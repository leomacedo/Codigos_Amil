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929" documentId="8_{BCECFDFE-FA91-4061-9E34-DA6D25024CEC}" xr6:coauthVersionLast="47" xr6:coauthVersionMax="47" xr10:uidLastSave="{60E40C3B-F375-4FBC-838E-0B1FBC39982E}"/>
  <bookViews>
    <workbookView xWindow="-108" yWindow="-108" windowWidth="23256" windowHeight="13896" tabRatio="781" xr2:uid="{00000000-000D-0000-FFFF-FFFF00000000}"/>
  </bookViews>
  <sheets>
    <sheet name="Consolidado" sheetId="32" r:id="rId1"/>
    <sheet name="Análise" sheetId="54" r:id="rId2"/>
    <sheet name="Lista Suspensa" sheetId="49" r:id="rId3"/>
    <sheet name="MODELO" sheetId="28" state="hidden" r:id="rId4"/>
  </sheets>
  <definedNames>
    <definedName name="_xlnm._FilterDatabase" localSheetId="0" hidden="1">Consolidado!$A$1:$AU$6863</definedName>
    <definedName name="_xlnm._FilterDatabase" localSheetId="2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324" i="32" l="1"/>
  <c r="AN1324" i="32"/>
  <c r="AO1324" i="32"/>
  <c r="AP1324" i="32"/>
  <c r="AU1324" i="32"/>
  <c r="AM1325" i="32"/>
  <c r="AN1325" i="32"/>
  <c r="AO1325" i="32"/>
  <c r="AP1325" i="32"/>
  <c r="AU1325" i="32"/>
  <c r="AM1326" i="32"/>
  <c r="AN1326" i="32"/>
  <c r="AO1326" i="32"/>
  <c r="AP1326" i="32"/>
  <c r="AU1326" i="32"/>
  <c r="AM1367" i="32"/>
  <c r="AN1367" i="32"/>
  <c r="AO1367" i="32"/>
  <c r="AP1367" i="32"/>
  <c r="AU1367" i="32"/>
  <c r="AM1368" i="32"/>
  <c r="AN1368" i="32"/>
  <c r="AO1368" i="32"/>
  <c r="AP1368" i="32"/>
  <c r="AU1368" i="32"/>
  <c r="AM1369" i="32"/>
  <c r="AN1369" i="32"/>
  <c r="AO1369" i="32"/>
  <c r="AP1369" i="32"/>
  <c r="AU1369" i="32"/>
  <c r="AM1370" i="32"/>
  <c r="AN1370" i="32"/>
  <c r="AO1370" i="32"/>
  <c r="AP1370" i="32"/>
  <c r="AU1370" i="32"/>
  <c r="AM1371" i="32"/>
  <c r="AN1371" i="32"/>
  <c r="AO1371" i="32"/>
  <c r="AP1371" i="32"/>
  <c r="AU1371" i="32"/>
  <c r="AM1372" i="32"/>
  <c r="AN1372" i="32"/>
  <c r="AO1372" i="32"/>
  <c r="AP1372" i="32"/>
  <c r="AU1372" i="32"/>
  <c r="AM1373" i="32"/>
  <c r="AN1373" i="32"/>
  <c r="AO1373" i="32"/>
  <c r="AP1373" i="32"/>
  <c r="AU1373" i="32"/>
  <c r="AM1374" i="32"/>
  <c r="AN1374" i="32"/>
  <c r="AO1374" i="32"/>
  <c r="AP1374" i="32"/>
  <c r="AU1374" i="32"/>
  <c r="AM1375" i="32"/>
  <c r="AN1375" i="32"/>
  <c r="AO1375" i="32"/>
  <c r="AP1375" i="32"/>
  <c r="AU1375" i="32"/>
  <c r="AM1376" i="32"/>
  <c r="AN1376" i="32"/>
  <c r="AO1376" i="32"/>
  <c r="AP1376" i="32"/>
  <c r="AU1376" i="32"/>
  <c r="AM1377" i="32"/>
  <c r="AN1377" i="32"/>
  <c r="AO1377" i="32"/>
  <c r="AP1377" i="32"/>
  <c r="AU1377" i="32"/>
  <c r="AM1378" i="32"/>
  <c r="AN1378" i="32"/>
  <c r="AO1378" i="32"/>
  <c r="AP1378" i="32"/>
  <c r="AU1378" i="32"/>
  <c r="AM1379" i="32"/>
  <c r="AN1379" i="32"/>
  <c r="AO1379" i="32"/>
  <c r="AP1379" i="32"/>
  <c r="AU1379" i="32"/>
  <c r="AM1380" i="32"/>
  <c r="AN1380" i="32"/>
  <c r="AO1380" i="32"/>
  <c r="AP1380" i="32"/>
  <c r="AU1380" i="32"/>
  <c r="AM1381" i="32"/>
  <c r="AN1381" i="32"/>
  <c r="AO1381" i="32"/>
  <c r="AP1381" i="32"/>
  <c r="AU1381" i="32"/>
  <c r="AM1382" i="32"/>
  <c r="AN1382" i="32"/>
  <c r="AO1382" i="32"/>
  <c r="AP1382" i="32"/>
  <c r="AU1382" i="32"/>
  <c r="AM1383" i="32"/>
  <c r="AN1383" i="32"/>
  <c r="AO1383" i="32"/>
  <c r="AP1383" i="32"/>
  <c r="AU1383" i="32"/>
  <c r="AM1384" i="32"/>
  <c r="AN1384" i="32"/>
  <c r="AO1384" i="32"/>
  <c r="AP1384" i="32"/>
  <c r="AU1384" i="32"/>
  <c r="AM1385" i="32"/>
  <c r="AN1385" i="32"/>
  <c r="AO1385" i="32"/>
  <c r="AP1385" i="32"/>
  <c r="AU1385" i="32"/>
  <c r="AM1386" i="32"/>
  <c r="AN1386" i="32"/>
  <c r="AO1386" i="32"/>
  <c r="AP1386" i="32"/>
  <c r="AU1386" i="32"/>
  <c r="AM1387" i="32"/>
  <c r="AN1387" i="32"/>
  <c r="AO1387" i="32"/>
  <c r="AP1387" i="32"/>
  <c r="AU1387" i="32"/>
  <c r="AM1388" i="32"/>
  <c r="AN1388" i="32"/>
  <c r="AO1388" i="32"/>
  <c r="AP1388" i="32"/>
  <c r="AU1388" i="32"/>
  <c r="AM1389" i="32"/>
  <c r="AN1389" i="32"/>
  <c r="AO1389" i="32"/>
  <c r="AP1389" i="32"/>
  <c r="AU1389" i="32"/>
  <c r="AM1390" i="32"/>
  <c r="AN1390" i="32"/>
  <c r="AO1390" i="32"/>
  <c r="AP1390" i="32"/>
  <c r="AU1390" i="32"/>
  <c r="AM1391" i="32"/>
  <c r="AN1391" i="32"/>
  <c r="AO1391" i="32"/>
  <c r="AP1391" i="32"/>
  <c r="AU1391" i="32"/>
  <c r="AM1392" i="32"/>
  <c r="AN1392" i="32"/>
  <c r="AO1392" i="32"/>
  <c r="AP1392" i="32"/>
  <c r="AU1392" i="32"/>
  <c r="AM1393" i="32"/>
  <c r="AN1393" i="32"/>
  <c r="AO1393" i="32"/>
  <c r="AP1393" i="32"/>
  <c r="AU1393" i="32"/>
  <c r="AM1394" i="32"/>
  <c r="AN1394" i="32"/>
  <c r="AO1394" i="32"/>
  <c r="AP1394" i="32"/>
  <c r="AU1394" i="32"/>
  <c r="AM1395" i="32"/>
  <c r="AN1395" i="32"/>
  <c r="AO1395" i="32"/>
  <c r="AP1395" i="32"/>
  <c r="AU1395" i="32"/>
  <c r="AM1396" i="32"/>
  <c r="AN1396" i="32"/>
  <c r="AO1396" i="32"/>
  <c r="AP1396" i="32"/>
  <c r="AU1396" i="32"/>
  <c r="AM1397" i="32"/>
  <c r="AN1397" i="32"/>
  <c r="AO1397" i="32"/>
  <c r="AP1397" i="32"/>
  <c r="AU1397" i="32"/>
  <c r="AM1398" i="32"/>
  <c r="AN1398" i="32"/>
  <c r="AO1398" i="32"/>
  <c r="AP1398" i="32"/>
  <c r="AU1398" i="32"/>
  <c r="AM1399" i="32"/>
  <c r="AN1399" i="32"/>
  <c r="AO1399" i="32"/>
  <c r="AP1399" i="32"/>
  <c r="AU1399" i="32"/>
  <c r="AM1400" i="32"/>
  <c r="AN1400" i="32"/>
  <c r="AO1400" i="32"/>
  <c r="AP1400" i="32"/>
  <c r="AU1400" i="32"/>
  <c r="AM1401" i="32"/>
  <c r="AN1401" i="32"/>
  <c r="AO1401" i="32"/>
  <c r="AP1401" i="32"/>
  <c r="AU1401" i="32"/>
  <c r="AM1402" i="32"/>
  <c r="AN1402" i="32"/>
  <c r="AO1402" i="32"/>
  <c r="AP1402" i="32"/>
  <c r="AU1402" i="32"/>
  <c r="AM1403" i="32"/>
  <c r="AN1403" i="32"/>
  <c r="AO1403" i="32"/>
  <c r="AP1403" i="32"/>
  <c r="AU1403" i="32"/>
  <c r="AM1404" i="32"/>
  <c r="AN1404" i="32"/>
  <c r="AO1404" i="32"/>
  <c r="AP1404" i="32"/>
  <c r="AU1404" i="32"/>
  <c r="AM1405" i="32"/>
  <c r="AN1405" i="32"/>
  <c r="AO1405" i="32"/>
  <c r="AP1405" i="32"/>
  <c r="AU1405" i="32"/>
  <c r="AM1406" i="32"/>
  <c r="AN1406" i="32"/>
  <c r="AO1406" i="32"/>
  <c r="AP1406" i="32"/>
  <c r="AU1406" i="32"/>
  <c r="AM1407" i="32"/>
  <c r="AN1407" i="32"/>
  <c r="AO1407" i="32"/>
  <c r="AP1407" i="32"/>
  <c r="AU1407" i="32"/>
  <c r="AM1408" i="32"/>
  <c r="AN1408" i="32"/>
  <c r="AO1408" i="32"/>
  <c r="AP1408" i="32"/>
  <c r="AU1408" i="32"/>
  <c r="AM1409" i="32"/>
  <c r="AN1409" i="32"/>
  <c r="AO1409" i="32"/>
  <c r="AP1409" i="32"/>
  <c r="AU1409" i="32"/>
  <c r="AM1410" i="32"/>
  <c r="AN1410" i="32"/>
  <c r="AO1410" i="32"/>
  <c r="AP1410" i="32"/>
  <c r="AU1410" i="32"/>
  <c r="AM1411" i="32"/>
  <c r="AN1411" i="32"/>
  <c r="AO1411" i="32"/>
  <c r="AP1411" i="32"/>
  <c r="AU1411" i="32"/>
  <c r="AM1412" i="32"/>
  <c r="AN1412" i="32"/>
  <c r="AO1412" i="32"/>
  <c r="AP1412" i="32"/>
  <c r="AU1412" i="32"/>
  <c r="AM1413" i="32"/>
  <c r="AN1413" i="32"/>
  <c r="AO1413" i="32"/>
  <c r="AP1413" i="32"/>
  <c r="AU1413" i="32"/>
  <c r="AM1414" i="32"/>
  <c r="AN1414" i="32"/>
  <c r="AO1414" i="32"/>
  <c r="AP1414" i="32"/>
  <c r="AU1414" i="32"/>
  <c r="AM1415" i="32"/>
  <c r="AN1415" i="32"/>
  <c r="AO1415" i="32"/>
  <c r="AP1415" i="32"/>
  <c r="AU1415" i="32"/>
  <c r="AM1416" i="32"/>
  <c r="AN1416" i="32"/>
  <c r="AO1416" i="32"/>
  <c r="AP1416" i="32"/>
  <c r="AU1416" i="32"/>
  <c r="AM1417" i="32"/>
  <c r="AN1417" i="32"/>
  <c r="AO1417" i="32"/>
  <c r="AP1417" i="32"/>
  <c r="AU1417" i="32"/>
  <c r="AM1418" i="32"/>
  <c r="AN1418" i="32"/>
  <c r="AO1418" i="32"/>
  <c r="AP1418" i="32"/>
  <c r="AU1418" i="32"/>
  <c r="AM1419" i="32"/>
  <c r="AN1419" i="32"/>
  <c r="AO1419" i="32"/>
  <c r="AP1419" i="32"/>
  <c r="AU1419" i="32"/>
  <c r="AM1420" i="32"/>
  <c r="AN1420" i="32"/>
  <c r="AO1420" i="32"/>
  <c r="AP1420" i="32"/>
  <c r="AU1420" i="32"/>
  <c r="AM1421" i="32"/>
  <c r="AN1421" i="32"/>
  <c r="AO1421" i="32"/>
  <c r="AP1421" i="32"/>
  <c r="AU1421" i="32"/>
  <c r="AM1422" i="32"/>
  <c r="AN1422" i="32"/>
  <c r="AO1422" i="32"/>
  <c r="AP1422" i="32"/>
  <c r="AU1422" i="32"/>
  <c r="AM1423" i="32"/>
  <c r="AN1423" i="32"/>
  <c r="AO1423" i="32"/>
  <c r="AP1423" i="32"/>
  <c r="AU1423" i="32"/>
  <c r="AM1424" i="32"/>
  <c r="AN1424" i="32"/>
  <c r="AO1424" i="32"/>
  <c r="AP1424" i="32"/>
  <c r="AU1424" i="32"/>
  <c r="AM1425" i="32"/>
  <c r="AN1425" i="32"/>
  <c r="AO1425" i="32"/>
  <c r="AP1425" i="32"/>
  <c r="AU1425" i="32"/>
  <c r="AM1426" i="32"/>
  <c r="AN1426" i="32"/>
  <c r="AO1426" i="32"/>
  <c r="AP1426" i="32"/>
  <c r="AU1426" i="32"/>
  <c r="AM1427" i="32"/>
  <c r="AN1427" i="32"/>
  <c r="AO1427" i="32"/>
  <c r="AP1427" i="32"/>
  <c r="AU1427" i="32"/>
  <c r="AM1428" i="32"/>
  <c r="AN1428" i="32"/>
  <c r="AO1428" i="32"/>
  <c r="AP1428" i="32"/>
  <c r="AU1428" i="32"/>
  <c r="AM1429" i="32"/>
  <c r="AN1429" i="32"/>
  <c r="AO1429" i="32"/>
  <c r="AP1429" i="32"/>
  <c r="AU1429" i="32"/>
  <c r="AM1430" i="32"/>
  <c r="AN1430" i="32"/>
  <c r="AO1430" i="32"/>
  <c r="AP1430" i="32"/>
  <c r="AU1430" i="32"/>
  <c r="AM1431" i="32"/>
  <c r="AN1431" i="32"/>
  <c r="AO1431" i="32"/>
  <c r="AP1431" i="32"/>
  <c r="AU1431" i="32"/>
  <c r="AM1432" i="32"/>
  <c r="AN1432" i="32"/>
  <c r="AO1432" i="32"/>
  <c r="AP1432" i="32"/>
  <c r="AU1432" i="32"/>
  <c r="AM1433" i="32"/>
  <c r="AN1433" i="32"/>
  <c r="AO1433" i="32"/>
  <c r="AP1433" i="32"/>
  <c r="AU1433" i="32"/>
  <c r="AM1434" i="32"/>
  <c r="AN1434" i="32"/>
  <c r="AO1434" i="32"/>
  <c r="AP1434" i="32"/>
  <c r="AU1434" i="32"/>
  <c r="AM1435" i="32"/>
  <c r="AN1435" i="32"/>
  <c r="AO1435" i="32"/>
  <c r="AP1435" i="32"/>
  <c r="AU1435" i="32"/>
  <c r="AM1436" i="32"/>
  <c r="AN1436" i="32"/>
  <c r="AO1436" i="32"/>
  <c r="AP1436" i="32"/>
  <c r="AU1436" i="32"/>
  <c r="AM1437" i="32"/>
  <c r="AN1437" i="32"/>
  <c r="AO1437" i="32"/>
  <c r="AP1437" i="32"/>
  <c r="AU1437" i="32"/>
  <c r="AM1438" i="32"/>
  <c r="AN1438" i="32"/>
  <c r="AO1438" i="32"/>
  <c r="AP1438" i="32"/>
  <c r="AU1438" i="32"/>
  <c r="AM1439" i="32"/>
  <c r="AN1439" i="32"/>
  <c r="AO1439" i="32"/>
  <c r="AP1439" i="32"/>
  <c r="AU1439" i="32"/>
  <c r="AM1440" i="32"/>
  <c r="AN1440" i="32"/>
  <c r="AO1440" i="32"/>
  <c r="AP1440" i="32"/>
  <c r="AU1440" i="32"/>
  <c r="AM1441" i="32"/>
  <c r="AN1441" i="32"/>
  <c r="AO1441" i="32"/>
  <c r="AP1441" i="32"/>
  <c r="AU1441" i="32"/>
  <c r="AM1317" i="32"/>
  <c r="AN1317" i="32"/>
  <c r="AO1317" i="32"/>
  <c r="AP1317" i="32"/>
  <c r="AU1317" i="32"/>
  <c r="AM1318" i="32"/>
  <c r="AN1318" i="32"/>
  <c r="AO1318" i="32"/>
  <c r="AP1318" i="32"/>
  <c r="AU1318" i="32"/>
  <c r="AM1319" i="32"/>
  <c r="AN1319" i="32"/>
  <c r="AO1319" i="32"/>
  <c r="AP1319" i="32"/>
  <c r="AU1319" i="32"/>
  <c r="AM1320" i="32"/>
  <c r="AN1320" i="32"/>
  <c r="AO1320" i="32"/>
  <c r="AP1320" i="32"/>
  <c r="AU1320" i="32"/>
  <c r="AM1321" i="32"/>
  <c r="AN1321" i="32"/>
  <c r="AO1321" i="32"/>
  <c r="AP1321" i="32"/>
  <c r="AU1321" i="32"/>
  <c r="AM1322" i="32"/>
  <c r="AN1322" i="32"/>
  <c r="AO1322" i="32"/>
  <c r="AP1322" i="32"/>
  <c r="AU1322" i="32"/>
  <c r="AQ1322" i="32" s="1"/>
  <c r="AM1323" i="32"/>
  <c r="AN1323" i="32"/>
  <c r="AO1323" i="32"/>
  <c r="AP1323" i="32"/>
  <c r="AU1323" i="32"/>
  <c r="AM1327" i="32"/>
  <c r="AN1327" i="32"/>
  <c r="AO1327" i="32"/>
  <c r="AP1327" i="32"/>
  <c r="AU1327" i="32"/>
  <c r="AM1328" i="32"/>
  <c r="AN1328" i="32"/>
  <c r="AO1328" i="32"/>
  <c r="AP1328" i="32"/>
  <c r="AU1328" i="32"/>
  <c r="AM1329" i="32"/>
  <c r="AN1329" i="32"/>
  <c r="AO1329" i="32"/>
  <c r="AP1329" i="32"/>
  <c r="AU1329" i="32"/>
  <c r="AM1330" i="32"/>
  <c r="AN1330" i="32"/>
  <c r="AO1330" i="32"/>
  <c r="AP1330" i="32"/>
  <c r="AU1330" i="32"/>
  <c r="AM1331" i="32"/>
  <c r="AN1331" i="32"/>
  <c r="AO1331" i="32"/>
  <c r="AP1331" i="32"/>
  <c r="AU1331" i="32"/>
  <c r="AM1332" i="32"/>
  <c r="AN1332" i="32"/>
  <c r="AO1332" i="32"/>
  <c r="AP1332" i="32"/>
  <c r="AU1332" i="32"/>
  <c r="AM1333" i="32"/>
  <c r="AN1333" i="32"/>
  <c r="AO1333" i="32"/>
  <c r="AP1333" i="32"/>
  <c r="AU1333" i="32"/>
  <c r="AM1334" i="32"/>
  <c r="AN1334" i="32"/>
  <c r="AO1334" i="32"/>
  <c r="AP1334" i="32"/>
  <c r="AU1334" i="32"/>
  <c r="AM1335" i="32"/>
  <c r="AN1335" i="32"/>
  <c r="AO1335" i="32"/>
  <c r="AP1335" i="32"/>
  <c r="AU1335" i="32"/>
  <c r="AM1336" i="32"/>
  <c r="AN1336" i="32"/>
  <c r="AO1336" i="32"/>
  <c r="AP1336" i="32"/>
  <c r="AU1336" i="32"/>
  <c r="AM1337" i="32"/>
  <c r="AN1337" i="32"/>
  <c r="AO1337" i="32"/>
  <c r="AP1337" i="32"/>
  <c r="AU1337" i="32"/>
  <c r="AM1338" i="32"/>
  <c r="AN1338" i="32"/>
  <c r="AO1338" i="32"/>
  <c r="AP1338" i="32"/>
  <c r="AU1338" i="32"/>
  <c r="AM1339" i="32"/>
  <c r="AN1339" i="32"/>
  <c r="AO1339" i="32"/>
  <c r="AP1339" i="32"/>
  <c r="AU1339" i="32"/>
  <c r="AM1340" i="32"/>
  <c r="AN1340" i="32"/>
  <c r="AO1340" i="32"/>
  <c r="AP1340" i="32"/>
  <c r="AU1340" i="32"/>
  <c r="AM1341" i="32"/>
  <c r="AN1341" i="32"/>
  <c r="AO1341" i="32"/>
  <c r="AP1341" i="32"/>
  <c r="AU1341" i="32"/>
  <c r="AM1342" i="32"/>
  <c r="AN1342" i="32"/>
  <c r="AO1342" i="32"/>
  <c r="AP1342" i="32"/>
  <c r="AU1342" i="32"/>
  <c r="AM1343" i="32"/>
  <c r="AN1343" i="32"/>
  <c r="AO1343" i="32"/>
  <c r="AP1343" i="32"/>
  <c r="AU1343" i="32"/>
  <c r="AM1344" i="32"/>
  <c r="AN1344" i="32"/>
  <c r="AO1344" i="32"/>
  <c r="AP1344" i="32"/>
  <c r="AU1344" i="32"/>
  <c r="AM1345" i="32"/>
  <c r="AN1345" i="32"/>
  <c r="AO1345" i="32"/>
  <c r="AP1345" i="32"/>
  <c r="AU1345" i="32"/>
  <c r="AM1346" i="32"/>
  <c r="AN1346" i="32"/>
  <c r="AO1346" i="32"/>
  <c r="AP1346" i="32"/>
  <c r="AU1346" i="32"/>
  <c r="AM1347" i="32"/>
  <c r="AN1347" i="32"/>
  <c r="AO1347" i="32"/>
  <c r="AP1347" i="32"/>
  <c r="AU1347" i="32"/>
  <c r="AM1348" i="32"/>
  <c r="AN1348" i="32"/>
  <c r="AO1348" i="32"/>
  <c r="AP1348" i="32"/>
  <c r="AU1348" i="32"/>
  <c r="AM1349" i="32"/>
  <c r="AN1349" i="32"/>
  <c r="AO1349" i="32"/>
  <c r="AP1349" i="32"/>
  <c r="AU1349" i="32"/>
  <c r="AM1350" i="32"/>
  <c r="AN1350" i="32"/>
  <c r="AO1350" i="32"/>
  <c r="AP1350" i="32"/>
  <c r="AU1350" i="32"/>
  <c r="AM1351" i="32"/>
  <c r="AN1351" i="32"/>
  <c r="AO1351" i="32"/>
  <c r="AP1351" i="32"/>
  <c r="AU1351" i="32"/>
  <c r="AM1352" i="32"/>
  <c r="AN1352" i="32"/>
  <c r="AO1352" i="32"/>
  <c r="AP1352" i="32"/>
  <c r="AU1352" i="32"/>
  <c r="AM1353" i="32"/>
  <c r="AN1353" i="32"/>
  <c r="AO1353" i="32"/>
  <c r="AP1353" i="32"/>
  <c r="AU1353" i="32"/>
  <c r="AM1354" i="32"/>
  <c r="AN1354" i="32"/>
  <c r="AO1354" i="32"/>
  <c r="AP1354" i="32"/>
  <c r="AU1354" i="32"/>
  <c r="AM1355" i="32"/>
  <c r="AN1355" i="32"/>
  <c r="AO1355" i="32"/>
  <c r="AP1355" i="32"/>
  <c r="AU1355" i="32"/>
  <c r="AM1356" i="32"/>
  <c r="AN1356" i="32"/>
  <c r="AO1356" i="32"/>
  <c r="AP1356" i="32"/>
  <c r="AU1356" i="32"/>
  <c r="AM1357" i="32"/>
  <c r="AN1357" i="32"/>
  <c r="AO1357" i="32"/>
  <c r="AP1357" i="32"/>
  <c r="AU1357" i="32"/>
  <c r="AM1358" i="32"/>
  <c r="AN1358" i="32"/>
  <c r="AO1358" i="32"/>
  <c r="AP1358" i="32"/>
  <c r="AU1358" i="32"/>
  <c r="AM1359" i="32"/>
  <c r="AN1359" i="32"/>
  <c r="AO1359" i="32"/>
  <c r="AP1359" i="32"/>
  <c r="AU1359" i="32"/>
  <c r="AM1360" i="32"/>
  <c r="AN1360" i="32"/>
  <c r="AO1360" i="32"/>
  <c r="AP1360" i="32"/>
  <c r="AU1360" i="32"/>
  <c r="AM1361" i="32"/>
  <c r="AN1361" i="32"/>
  <c r="AO1361" i="32"/>
  <c r="AP1361" i="32"/>
  <c r="AU1361" i="32"/>
  <c r="AM1362" i="32"/>
  <c r="AN1362" i="32"/>
  <c r="AO1362" i="32"/>
  <c r="AP1362" i="32"/>
  <c r="AU1362" i="32"/>
  <c r="AM1363" i="32"/>
  <c r="AN1363" i="32"/>
  <c r="AO1363" i="32"/>
  <c r="AP1363" i="32"/>
  <c r="AU1363" i="32"/>
  <c r="AM1364" i="32"/>
  <c r="AN1364" i="32"/>
  <c r="AO1364" i="32"/>
  <c r="AP1364" i="32"/>
  <c r="AU1364" i="32"/>
  <c r="AM1365" i="32"/>
  <c r="AN1365" i="32"/>
  <c r="AO1365" i="32"/>
  <c r="AP1365" i="32"/>
  <c r="AU1365" i="32"/>
  <c r="AM1366" i="32"/>
  <c r="AN1366" i="32"/>
  <c r="AO1366" i="32"/>
  <c r="AP1366" i="32"/>
  <c r="AU1366" i="32"/>
  <c r="AM1313" i="32"/>
  <c r="AN1313" i="32"/>
  <c r="AO1313" i="32"/>
  <c r="AP1313" i="32"/>
  <c r="AU1313" i="32"/>
  <c r="AM1314" i="32"/>
  <c r="AN1314" i="32"/>
  <c r="AO1314" i="32"/>
  <c r="AP1314" i="32"/>
  <c r="AU1314" i="32"/>
  <c r="AM1315" i="32"/>
  <c r="AN1315" i="32"/>
  <c r="AO1315" i="32"/>
  <c r="AP1315" i="32"/>
  <c r="AU1315" i="32"/>
  <c r="AM1316" i="32"/>
  <c r="AN1316" i="32"/>
  <c r="AO1316" i="32"/>
  <c r="AP1316" i="32"/>
  <c r="AU1316" i="32"/>
  <c r="AM1309" i="32"/>
  <c r="AN1309" i="32"/>
  <c r="AO1309" i="32"/>
  <c r="AP1309" i="32"/>
  <c r="AU1309" i="32"/>
  <c r="AM1310" i="32"/>
  <c r="AN1310" i="32"/>
  <c r="AO1310" i="32"/>
  <c r="AP1310" i="32"/>
  <c r="AU1310" i="32"/>
  <c r="AM1311" i="32"/>
  <c r="AN1311" i="32"/>
  <c r="AO1311" i="32"/>
  <c r="AP1311" i="32"/>
  <c r="AU1311" i="32"/>
  <c r="AM1312" i="32"/>
  <c r="AN1312" i="32"/>
  <c r="AO1312" i="32"/>
  <c r="AP1312" i="32"/>
  <c r="AU1312" i="32"/>
  <c r="AM1308" i="32"/>
  <c r="AN1308" i="32"/>
  <c r="AO1308" i="32"/>
  <c r="AP1308" i="32"/>
  <c r="AU1308" i="32"/>
  <c r="AM1307" i="32"/>
  <c r="AN1307" i="32"/>
  <c r="AO1307" i="32"/>
  <c r="AP1307" i="32"/>
  <c r="AU1307" i="32"/>
  <c r="AU1306" i="32"/>
  <c r="AT1306" i="32" s="1"/>
  <c r="AP1306" i="32"/>
  <c r="AO1306" i="32"/>
  <c r="AN1306" i="32"/>
  <c r="AM1306" i="32"/>
  <c r="AU658" i="32"/>
  <c r="AT658" i="32" s="1"/>
  <c r="AP658" i="32"/>
  <c r="AO658" i="32"/>
  <c r="AN658" i="32"/>
  <c r="AM658" i="32"/>
  <c r="AU657" i="32"/>
  <c r="AT657" i="32" s="1"/>
  <c r="AP657" i="32"/>
  <c r="AO657" i="32"/>
  <c r="AN657" i="32"/>
  <c r="AM657" i="32"/>
  <c r="AU656" i="32"/>
  <c r="AT656" i="32" s="1"/>
  <c r="AP656" i="32"/>
  <c r="AO656" i="32"/>
  <c r="AN656" i="32"/>
  <c r="AM656" i="32"/>
  <c r="AU655" i="32"/>
  <c r="AT655" i="32" s="1"/>
  <c r="AP655" i="32"/>
  <c r="AO655" i="32"/>
  <c r="AN655" i="32"/>
  <c r="AM655" i="32"/>
  <c r="AU654" i="32"/>
  <c r="AP654" i="32"/>
  <c r="AO654" i="32"/>
  <c r="AN654" i="32"/>
  <c r="AM654" i="32"/>
  <c r="AU653" i="32"/>
  <c r="AS653" i="32" s="1"/>
  <c r="AP653" i="32"/>
  <c r="AO653" i="32"/>
  <c r="AN653" i="32"/>
  <c r="AM653" i="32"/>
  <c r="AU1305" i="32"/>
  <c r="AT1305" i="32" s="1"/>
  <c r="AP1305" i="32"/>
  <c r="AO1305" i="32"/>
  <c r="AN1305" i="32"/>
  <c r="AM1305" i="32"/>
  <c r="AU1304" i="32"/>
  <c r="AT1304" i="32" s="1"/>
  <c r="AP1304" i="32"/>
  <c r="AO1304" i="32"/>
  <c r="AN1304" i="32"/>
  <c r="AM1304" i="32"/>
  <c r="AU652" i="32"/>
  <c r="AT652" i="32" s="1"/>
  <c r="AP652" i="32"/>
  <c r="AO652" i="32"/>
  <c r="AN652" i="32"/>
  <c r="AM652" i="32"/>
  <c r="AU1303" i="32"/>
  <c r="AT1303" i="32" s="1"/>
  <c r="AP1303" i="32"/>
  <c r="AO1303" i="32"/>
  <c r="AN1303" i="32"/>
  <c r="AM1303" i="32"/>
  <c r="AU651" i="32"/>
  <c r="AT651" i="32" s="1"/>
  <c r="AP651" i="32"/>
  <c r="AO651" i="32"/>
  <c r="AN651" i="32"/>
  <c r="AM651" i="32"/>
  <c r="AU650" i="32"/>
  <c r="AQ650" i="32" s="1"/>
  <c r="AP650" i="32"/>
  <c r="AO650" i="32"/>
  <c r="AN650" i="32"/>
  <c r="AM650" i="32"/>
  <c r="AU649" i="32"/>
  <c r="AP649" i="32"/>
  <c r="AO649" i="32"/>
  <c r="AN649" i="32"/>
  <c r="AM649" i="32"/>
  <c r="AU648" i="32"/>
  <c r="AT648" i="32" s="1"/>
  <c r="AP648" i="32"/>
  <c r="AO648" i="32"/>
  <c r="AN648" i="32"/>
  <c r="AM648" i="32"/>
  <c r="AU727" i="32"/>
  <c r="AT727" i="32" s="1"/>
  <c r="AP727" i="32"/>
  <c r="AO727" i="32"/>
  <c r="AN727" i="32"/>
  <c r="AM727" i="32"/>
  <c r="AU647" i="32"/>
  <c r="AP647" i="32"/>
  <c r="AO647" i="32"/>
  <c r="AN647" i="32"/>
  <c r="AM647" i="32"/>
  <c r="AU696" i="32"/>
  <c r="AP696" i="32"/>
  <c r="AO696" i="32"/>
  <c r="AN696" i="32"/>
  <c r="AM696" i="32"/>
  <c r="AU1300" i="32"/>
  <c r="AT1300" i="32" s="1"/>
  <c r="AP1300" i="32"/>
  <c r="AO1300" i="32"/>
  <c r="AN1300" i="32"/>
  <c r="AM1300" i="32"/>
  <c r="AU726" i="32"/>
  <c r="AP726" i="32"/>
  <c r="AO726" i="32"/>
  <c r="AN726" i="32"/>
  <c r="AM726" i="32"/>
  <c r="AU646" i="32"/>
  <c r="AP646" i="32"/>
  <c r="AO646" i="32"/>
  <c r="AN646" i="32"/>
  <c r="AM646" i="32"/>
  <c r="AU645" i="32"/>
  <c r="AS645" i="32" s="1"/>
  <c r="AP645" i="32"/>
  <c r="AO645" i="32"/>
  <c r="AN645" i="32"/>
  <c r="AM645" i="32"/>
  <c r="AU644" i="32"/>
  <c r="AT644" i="32" s="1"/>
  <c r="AP644" i="32"/>
  <c r="AO644" i="32"/>
  <c r="AN644" i="32"/>
  <c r="AM644" i="32"/>
  <c r="AU643" i="32"/>
  <c r="AP643" i="32"/>
  <c r="AO643" i="32"/>
  <c r="AN643" i="32"/>
  <c r="AM643" i="32"/>
  <c r="AU642" i="32"/>
  <c r="AT642" i="32" s="1"/>
  <c r="AP642" i="32"/>
  <c r="AO642" i="32"/>
  <c r="AN642" i="32"/>
  <c r="AM642" i="32"/>
  <c r="AU725" i="32"/>
  <c r="AP725" i="32"/>
  <c r="AO725" i="32"/>
  <c r="AN725" i="32"/>
  <c r="AM725" i="32"/>
  <c r="AU724" i="32"/>
  <c r="AQ724" i="32" s="1"/>
  <c r="AP724" i="32"/>
  <c r="AO724" i="32"/>
  <c r="AN724" i="32"/>
  <c r="AM724" i="32"/>
  <c r="AU641" i="32"/>
  <c r="AP641" i="32"/>
  <c r="AO641" i="32"/>
  <c r="AN641" i="32"/>
  <c r="AM641" i="32"/>
  <c r="AU723" i="32"/>
  <c r="AP723" i="32"/>
  <c r="AO723" i="32"/>
  <c r="AN723" i="32"/>
  <c r="AM723" i="32"/>
  <c r="AU640" i="32"/>
  <c r="AS640" i="32" s="1"/>
  <c r="AP640" i="32"/>
  <c r="AO640" i="32"/>
  <c r="AN640" i="32"/>
  <c r="AM640" i="32"/>
  <c r="AU722" i="32"/>
  <c r="AT722" i="32" s="1"/>
  <c r="AP722" i="32"/>
  <c r="AO722" i="32"/>
  <c r="AN722" i="32"/>
  <c r="AM722" i="32"/>
  <c r="AU639" i="32"/>
  <c r="AR639" i="32" s="1"/>
  <c r="AP639" i="32"/>
  <c r="AO639" i="32"/>
  <c r="AN639" i="32"/>
  <c r="AM639" i="32"/>
  <c r="AU638" i="32"/>
  <c r="AT638" i="32" s="1"/>
  <c r="AP638" i="32"/>
  <c r="AO638" i="32"/>
  <c r="AN638" i="32"/>
  <c r="AM638" i="32"/>
  <c r="AU637" i="32"/>
  <c r="AR637" i="32" s="1"/>
  <c r="AP637" i="32"/>
  <c r="AO637" i="32"/>
  <c r="AN637" i="32"/>
  <c r="AM637" i="32"/>
  <c r="AU695" i="32"/>
  <c r="AQ695" i="32" s="1"/>
  <c r="AP695" i="32"/>
  <c r="AO695" i="32"/>
  <c r="AN695" i="32"/>
  <c r="AM695" i="32"/>
  <c r="AU636" i="32"/>
  <c r="AQ636" i="32" s="1"/>
  <c r="AP636" i="32"/>
  <c r="AO636" i="32"/>
  <c r="AN636" i="32"/>
  <c r="AM636" i="32"/>
  <c r="AU635" i="32"/>
  <c r="AP635" i="32"/>
  <c r="AO635" i="32"/>
  <c r="AN635" i="32"/>
  <c r="AM635" i="32"/>
  <c r="AU634" i="32"/>
  <c r="AS634" i="32" s="1"/>
  <c r="AP634" i="32"/>
  <c r="AO634" i="32"/>
  <c r="AN634" i="32"/>
  <c r="AM634" i="32"/>
  <c r="AU721" i="32"/>
  <c r="AT721" i="32" s="1"/>
  <c r="AP721" i="32"/>
  <c r="AO721" i="32"/>
  <c r="AN721" i="32"/>
  <c r="AM721" i="32"/>
  <c r="AU633" i="32"/>
  <c r="AT633" i="32" s="1"/>
  <c r="AP633" i="32"/>
  <c r="AO633" i="32"/>
  <c r="AN633" i="32"/>
  <c r="AM633" i="32"/>
  <c r="AU632" i="32"/>
  <c r="AT632" i="32" s="1"/>
  <c r="AP632" i="32"/>
  <c r="AO632" i="32"/>
  <c r="AN632" i="32"/>
  <c r="AM632" i="32"/>
  <c r="AU631" i="32"/>
  <c r="AT631" i="32" s="1"/>
  <c r="AP631" i="32"/>
  <c r="AO631" i="32"/>
  <c r="AN631" i="32"/>
  <c r="AM631" i="32"/>
  <c r="AU630" i="32"/>
  <c r="AQ630" i="32" s="1"/>
  <c r="AP630" i="32"/>
  <c r="AO630" i="32"/>
  <c r="AN630" i="32"/>
  <c r="AM630" i="32"/>
  <c r="AU629" i="32"/>
  <c r="AQ629" i="32" s="1"/>
  <c r="AP629" i="32"/>
  <c r="AO629" i="32"/>
  <c r="AN629" i="32"/>
  <c r="AM629" i="32"/>
  <c r="AU628" i="32"/>
  <c r="AP628" i="32"/>
  <c r="AO628" i="32"/>
  <c r="AN628" i="32"/>
  <c r="AM628" i="32"/>
  <c r="AU720" i="32"/>
  <c r="AS720" i="32" s="1"/>
  <c r="AP720" i="32"/>
  <c r="AO720" i="32"/>
  <c r="AN720" i="32"/>
  <c r="AM720" i="32"/>
  <c r="AU627" i="32"/>
  <c r="AT627" i="32" s="1"/>
  <c r="AP627" i="32"/>
  <c r="AO627" i="32"/>
  <c r="AN627" i="32"/>
  <c r="AM627" i="32"/>
  <c r="AU626" i="32"/>
  <c r="AT626" i="32" s="1"/>
  <c r="AP626" i="32"/>
  <c r="AO626" i="32"/>
  <c r="AN626" i="32"/>
  <c r="AM626" i="32"/>
  <c r="AU625" i="32"/>
  <c r="AT625" i="32" s="1"/>
  <c r="AP625" i="32"/>
  <c r="AO625" i="32"/>
  <c r="AN625" i="32"/>
  <c r="AM625" i="32"/>
  <c r="AU624" i="32"/>
  <c r="AS624" i="32" s="1"/>
  <c r="AP624" i="32"/>
  <c r="AO624" i="32"/>
  <c r="AN624" i="32"/>
  <c r="AM624" i="32"/>
  <c r="AU719" i="32"/>
  <c r="AQ719" i="32" s="1"/>
  <c r="AP719" i="32"/>
  <c r="AO719" i="32"/>
  <c r="AN719" i="32"/>
  <c r="AM719" i="32"/>
  <c r="AU718" i="32"/>
  <c r="AQ718" i="32" s="1"/>
  <c r="AP718" i="32"/>
  <c r="AO718" i="32"/>
  <c r="AN718" i="32"/>
  <c r="AM718" i="32"/>
  <c r="AU623" i="32"/>
  <c r="AP623" i="32"/>
  <c r="AO623" i="32"/>
  <c r="AN623" i="32"/>
  <c r="AM623" i="32"/>
  <c r="AU622" i="32"/>
  <c r="AS622" i="32" s="1"/>
  <c r="AP622" i="32"/>
  <c r="AO622" i="32"/>
  <c r="AN622" i="32"/>
  <c r="AM622" i="32"/>
  <c r="AU621" i="32"/>
  <c r="AT621" i="32" s="1"/>
  <c r="AP621" i="32"/>
  <c r="AO621" i="32"/>
  <c r="AN621" i="32"/>
  <c r="AM621" i="32"/>
  <c r="AU1299" i="32"/>
  <c r="AP1299" i="32"/>
  <c r="AO1299" i="32"/>
  <c r="AN1299" i="32"/>
  <c r="AM1299" i="32"/>
  <c r="AU1298" i="32"/>
  <c r="AR1298" i="32" s="1"/>
  <c r="AP1298" i="32"/>
  <c r="AO1298" i="32"/>
  <c r="AN1298" i="32"/>
  <c r="AM1298" i="32"/>
  <c r="AU620" i="32"/>
  <c r="AS620" i="32" s="1"/>
  <c r="AP620" i="32"/>
  <c r="AO620" i="32"/>
  <c r="AN620" i="32"/>
  <c r="AM620" i="32"/>
  <c r="AU1297" i="32"/>
  <c r="AQ1297" i="32" s="1"/>
  <c r="AP1297" i="32"/>
  <c r="AO1297" i="32"/>
  <c r="AN1297" i="32"/>
  <c r="AM1297" i="32"/>
  <c r="AU1296" i="32"/>
  <c r="AQ1296" i="32" s="1"/>
  <c r="AP1296" i="32"/>
  <c r="AO1296" i="32"/>
  <c r="AN1296" i="32"/>
  <c r="AM1296" i="32"/>
  <c r="AU619" i="32"/>
  <c r="AP619" i="32"/>
  <c r="AO619" i="32"/>
  <c r="AN619" i="32"/>
  <c r="AM619" i="32"/>
  <c r="AU1295" i="32"/>
  <c r="AS1295" i="32" s="1"/>
  <c r="AP1295" i="32"/>
  <c r="AO1295" i="32"/>
  <c r="AN1295" i="32"/>
  <c r="AM1295" i="32"/>
  <c r="AU618" i="32"/>
  <c r="AT618" i="32" s="1"/>
  <c r="AP618" i="32"/>
  <c r="AO618" i="32"/>
  <c r="AN618" i="32"/>
  <c r="AM618" i="32"/>
  <c r="AU1294" i="32"/>
  <c r="AT1294" i="32" s="1"/>
  <c r="AP1294" i="32"/>
  <c r="AO1294" i="32"/>
  <c r="AN1294" i="32"/>
  <c r="AM1294" i="32"/>
  <c r="AU1293" i="32"/>
  <c r="AR1293" i="32" s="1"/>
  <c r="AP1293" i="32"/>
  <c r="AO1293" i="32"/>
  <c r="AN1293" i="32"/>
  <c r="AM1293" i="32"/>
  <c r="AU1292" i="32"/>
  <c r="AS1292" i="32" s="1"/>
  <c r="AP1292" i="32"/>
  <c r="AO1292" i="32"/>
  <c r="AN1292" i="32"/>
  <c r="AM1292" i="32"/>
  <c r="AU617" i="32"/>
  <c r="AQ617" i="32" s="1"/>
  <c r="AP617" i="32"/>
  <c r="AO617" i="32"/>
  <c r="AN617" i="32"/>
  <c r="AM617" i="32"/>
  <c r="AU1291" i="32"/>
  <c r="AP1291" i="32"/>
  <c r="AO1291" i="32"/>
  <c r="AN1291" i="32"/>
  <c r="AM1291" i="32"/>
  <c r="AU1290" i="32"/>
  <c r="AP1290" i="32"/>
  <c r="AO1290" i="32"/>
  <c r="AN1290" i="32"/>
  <c r="AM1290" i="32"/>
  <c r="AU1289" i="32"/>
  <c r="AS1289" i="32" s="1"/>
  <c r="AP1289" i="32"/>
  <c r="AO1289" i="32"/>
  <c r="AN1289" i="32"/>
  <c r="AM1289" i="32"/>
  <c r="AU616" i="32"/>
  <c r="AT616" i="32" s="1"/>
  <c r="AP616" i="32"/>
  <c r="AO616" i="32"/>
  <c r="AN616" i="32"/>
  <c r="AM616" i="32"/>
  <c r="AU1288" i="32"/>
  <c r="AT1288" i="32" s="1"/>
  <c r="AP1288" i="32"/>
  <c r="AO1288" i="32"/>
  <c r="AN1288" i="32"/>
  <c r="AM1288" i="32"/>
  <c r="AU615" i="32"/>
  <c r="AT615" i="32" s="1"/>
  <c r="AP615" i="32"/>
  <c r="AO615" i="32"/>
  <c r="AN615" i="32"/>
  <c r="AM615" i="32"/>
  <c r="AU614" i="32"/>
  <c r="AS614" i="32" s="1"/>
  <c r="AP614" i="32"/>
  <c r="AO614" i="32"/>
  <c r="AN614" i="32"/>
  <c r="AM614" i="32"/>
  <c r="AU1287" i="32"/>
  <c r="AQ1287" i="32" s="1"/>
  <c r="AP1287" i="32"/>
  <c r="AO1287" i="32"/>
  <c r="AN1287" i="32"/>
  <c r="AM1287" i="32"/>
  <c r="AU1286" i="32"/>
  <c r="AQ1286" i="32" s="1"/>
  <c r="AP1286" i="32"/>
  <c r="AO1286" i="32"/>
  <c r="AN1286" i="32"/>
  <c r="AM1286" i="32"/>
  <c r="AU1285" i="32"/>
  <c r="AP1285" i="32"/>
  <c r="AO1285" i="32"/>
  <c r="AN1285" i="32"/>
  <c r="AM1285" i="32"/>
  <c r="AU1284" i="32"/>
  <c r="AS1284" i="32" s="1"/>
  <c r="AP1284" i="32"/>
  <c r="AO1284" i="32"/>
  <c r="AN1284" i="32"/>
  <c r="AM1284" i="32"/>
  <c r="AU1283" i="32"/>
  <c r="AT1283" i="32" s="1"/>
  <c r="AP1283" i="32"/>
  <c r="AO1283" i="32"/>
  <c r="AN1283" i="32"/>
  <c r="AM1283" i="32"/>
  <c r="AU1282" i="32"/>
  <c r="AT1282" i="32" s="1"/>
  <c r="AP1282" i="32"/>
  <c r="AO1282" i="32"/>
  <c r="AN1282" i="32"/>
  <c r="AM1282" i="32"/>
  <c r="AU613" i="32"/>
  <c r="AS613" i="32" s="1"/>
  <c r="AP613" i="32"/>
  <c r="AO613" i="32"/>
  <c r="AN613" i="32"/>
  <c r="AM613" i="32"/>
  <c r="AU694" i="32"/>
  <c r="AQ694" i="32" s="1"/>
  <c r="AP694" i="32"/>
  <c r="AO694" i="32"/>
  <c r="AN694" i="32"/>
  <c r="AM694" i="32"/>
  <c r="AU693" i="32"/>
  <c r="AP693" i="32"/>
  <c r="AO693" i="32"/>
  <c r="AN693" i="32"/>
  <c r="AM693" i="32"/>
  <c r="AU612" i="32"/>
  <c r="AP612" i="32"/>
  <c r="AO612" i="32"/>
  <c r="AN612" i="32"/>
  <c r="AM612" i="32"/>
  <c r="AU692" i="32"/>
  <c r="AS692" i="32" s="1"/>
  <c r="AP692" i="32"/>
  <c r="AO692" i="32"/>
  <c r="AN692" i="32"/>
  <c r="AM692" i="32"/>
  <c r="AU611" i="32"/>
  <c r="AT611" i="32" s="1"/>
  <c r="AP611" i="32"/>
  <c r="AO611" i="32"/>
  <c r="AN611" i="32"/>
  <c r="AM611" i="32"/>
  <c r="AU610" i="32"/>
  <c r="AT610" i="32" s="1"/>
  <c r="AP610" i="32"/>
  <c r="AO610" i="32"/>
  <c r="AN610" i="32"/>
  <c r="AM610" i="32"/>
  <c r="AU609" i="32"/>
  <c r="AT609" i="32" s="1"/>
  <c r="AP609" i="32"/>
  <c r="AO609" i="32"/>
  <c r="AN609" i="32"/>
  <c r="AM609" i="32"/>
  <c r="AU608" i="32"/>
  <c r="AS608" i="32" s="1"/>
  <c r="AP608" i="32"/>
  <c r="AO608" i="32"/>
  <c r="AN608" i="32"/>
  <c r="AM608" i="32"/>
  <c r="AU691" i="32"/>
  <c r="AQ691" i="32" s="1"/>
  <c r="AP691" i="32"/>
  <c r="AO691" i="32"/>
  <c r="AN691" i="32"/>
  <c r="AM691" i="32"/>
  <c r="AU690" i="32"/>
  <c r="AT690" i="32" s="1"/>
  <c r="AP690" i="32"/>
  <c r="AO690" i="32"/>
  <c r="AN690" i="32"/>
  <c r="AM690" i="32"/>
  <c r="AU1281" i="32"/>
  <c r="AP1281" i="32"/>
  <c r="AO1281" i="32"/>
  <c r="AN1281" i="32"/>
  <c r="AM1281" i="32"/>
  <c r="AU607" i="32"/>
  <c r="AS607" i="32" s="1"/>
  <c r="AP607" i="32"/>
  <c r="AO607" i="32"/>
  <c r="AN607" i="32"/>
  <c r="AM607" i="32"/>
  <c r="AU689" i="32"/>
  <c r="AT689" i="32" s="1"/>
  <c r="AP689" i="32"/>
  <c r="AO689" i="32"/>
  <c r="AN689" i="32"/>
  <c r="AM689" i="32"/>
  <c r="AU606" i="32"/>
  <c r="AP606" i="32"/>
  <c r="AO606" i="32"/>
  <c r="AN606" i="32"/>
  <c r="AM606" i="32"/>
  <c r="AU605" i="32"/>
  <c r="AP605" i="32"/>
  <c r="AO605" i="32"/>
  <c r="AN605" i="32"/>
  <c r="AM605" i="32"/>
  <c r="AU604" i="32"/>
  <c r="AS604" i="32" s="1"/>
  <c r="AP604" i="32"/>
  <c r="AO604" i="32"/>
  <c r="AN604" i="32"/>
  <c r="AM604" i="32"/>
  <c r="AU603" i="32"/>
  <c r="AP603" i="32"/>
  <c r="AO603" i="32"/>
  <c r="AN603" i="32"/>
  <c r="AM603" i="32"/>
  <c r="AU602" i="32"/>
  <c r="AQ602" i="32" s="1"/>
  <c r="AP602" i="32"/>
  <c r="AO602" i="32"/>
  <c r="AN602" i="32"/>
  <c r="AM602" i="32"/>
  <c r="AU601" i="32"/>
  <c r="AP601" i="32"/>
  <c r="AO601" i="32"/>
  <c r="AN601" i="32"/>
  <c r="AM601" i="32"/>
  <c r="AU1280" i="32"/>
  <c r="AS1280" i="32" s="1"/>
  <c r="AP1280" i="32"/>
  <c r="AO1280" i="32"/>
  <c r="AN1280" i="32"/>
  <c r="AM1280" i="32"/>
  <c r="AU600" i="32"/>
  <c r="AT600" i="32" s="1"/>
  <c r="AP600" i="32"/>
  <c r="AO600" i="32"/>
  <c r="AN600" i="32"/>
  <c r="AM600" i="32"/>
  <c r="AU1279" i="32"/>
  <c r="AS1279" i="32" s="1"/>
  <c r="AP1279" i="32"/>
  <c r="AO1279" i="32"/>
  <c r="AN1279" i="32"/>
  <c r="AM1279" i="32"/>
  <c r="AU1278" i="32"/>
  <c r="AT1278" i="32" s="1"/>
  <c r="AP1278" i="32"/>
  <c r="AO1278" i="32"/>
  <c r="AN1278" i="32"/>
  <c r="AM1278" i="32"/>
  <c r="AU1277" i="32"/>
  <c r="AP1277" i="32"/>
  <c r="AO1277" i="32"/>
  <c r="AN1277" i="32"/>
  <c r="AM1277" i="32"/>
  <c r="AU599" i="32"/>
  <c r="AQ599" i="32" s="1"/>
  <c r="AP599" i="32"/>
  <c r="AO599" i="32"/>
  <c r="AN599" i="32"/>
  <c r="AM599" i="32"/>
  <c r="AU1276" i="32"/>
  <c r="AQ1276" i="32" s="1"/>
  <c r="AP1276" i="32"/>
  <c r="AO1276" i="32"/>
  <c r="AN1276" i="32"/>
  <c r="AM1276" i="32"/>
  <c r="AU1275" i="32"/>
  <c r="AP1275" i="32"/>
  <c r="AO1275" i="32"/>
  <c r="AN1275" i="32"/>
  <c r="AM1275" i="32"/>
  <c r="AU1274" i="32"/>
  <c r="AS1274" i="32" s="1"/>
  <c r="AP1274" i="32"/>
  <c r="AO1274" i="32"/>
  <c r="AN1274" i="32"/>
  <c r="AM1274" i="32"/>
  <c r="AU598" i="32"/>
  <c r="AP598" i="32"/>
  <c r="AO598" i="32"/>
  <c r="AN598" i="32"/>
  <c r="AM598" i="32"/>
  <c r="AU597" i="32"/>
  <c r="AT597" i="32" s="1"/>
  <c r="AP597" i="32"/>
  <c r="AO597" i="32"/>
  <c r="AN597" i="32"/>
  <c r="AM597" i="32"/>
  <c r="AU1273" i="32"/>
  <c r="AR1273" i="32" s="1"/>
  <c r="AP1273" i="32"/>
  <c r="AO1273" i="32"/>
  <c r="AN1273" i="32"/>
  <c r="AM1273" i="32"/>
  <c r="AU596" i="32"/>
  <c r="AP596" i="32"/>
  <c r="AO596" i="32"/>
  <c r="AN596" i="32"/>
  <c r="AM596" i="32"/>
  <c r="AU1272" i="32"/>
  <c r="AQ1272" i="32" s="1"/>
  <c r="AP1272" i="32"/>
  <c r="AO1272" i="32"/>
  <c r="AN1272" i="32"/>
  <c r="AM1272" i="32"/>
  <c r="AU595" i="32"/>
  <c r="AQ595" i="32" s="1"/>
  <c r="AP595" i="32"/>
  <c r="AO595" i="32"/>
  <c r="AN595" i="32"/>
  <c r="AM595" i="32"/>
  <c r="AU1271" i="32"/>
  <c r="AP1271" i="32"/>
  <c r="AO1271" i="32"/>
  <c r="AN1271" i="32"/>
  <c r="AM1271" i="32"/>
  <c r="AU594" i="32"/>
  <c r="AP594" i="32"/>
  <c r="AO594" i="32"/>
  <c r="AN594" i="32"/>
  <c r="AM594" i="32"/>
  <c r="AU1270" i="32"/>
  <c r="AT1270" i="32" s="1"/>
  <c r="AP1270" i="32"/>
  <c r="AO1270" i="32"/>
  <c r="AN1270" i="32"/>
  <c r="AM1270" i="32"/>
  <c r="AU1269" i="32"/>
  <c r="AT1269" i="32" s="1"/>
  <c r="AP1269" i="32"/>
  <c r="AO1269" i="32"/>
  <c r="AN1269" i="32"/>
  <c r="AM1269" i="32"/>
  <c r="AU1268" i="32"/>
  <c r="AP1268" i="32"/>
  <c r="AO1268" i="32"/>
  <c r="AN1268" i="32"/>
  <c r="AM1268" i="32"/>
  <c r="AU1267" i="32"/>
  <c r="AP1267" i="32"/>
  <c r="AO1267" i="32"/>
  <c r="AN1267" i="32"/>
  <c r="AM1267" i="32"/>
  <c r="AU1266" i="32"/>
  <c r="AQ1266" i="32" s="1"/>
  <c r="AP1266" i="32"/>
  <c r="AO1266" i="32"/>
  <c r="AN1266" i="32"/>
  <c r="AM1266" i="32"/>
  <c r="AU1265" i="32"/>
  <c r="AS1265" i="32" s="1"/>
  <c r="AP1265" i="32"/>
  <c r="AO1265" i="32"/>
  <c r="AN1265" i="32"/>
  <c r="AM1265" i="32"/>
  <c r="AU593" i="32"/>
  <c r="AP593" i="32"/>
  <c r="AO593" i="32"/>
  <c r="AN593" i="32"/>
  <c r="AM593" i="32"/>
  <c r="AU1264" i="32"/>
  <c r="AP1264" i="32"/>
  <c r="AO1264" i="32"/>
  <c r="AN1264" i="32"/>
  <c r="AM1264" i="32"/>
  <c r="AU1263" i="32"/>
  <c r="AP1263" i="32"/>
  <c r="AO1263" i="32"/>
  <c r="AN1263" i="32"/>
  <c r="AM1263" i="32"/>
  <c r="AU592" i="32"/>
  <c r="AP592" i="32"/>
  <c r="AO592" i="32"/>
  <c r="AN592" i="32"/>
  <c r="AM592" i="32"/>
  <c r="AU591" i="32"/>
  <c r="AP591" i="32"/>
  <c r="AO591" i="32"/>
  <c r="AN591" i="32"/>
  <c r="AM591" i="32"/>
  <c r="AU1262" i="32"/>
  <c r="AT1262" i="32" s="1"/>
  <c r="AP1262" i="32"/>
  <c r="AO1262" i="32"/>
  <c r="AN1262" i="32"/>
  <c r="AM1262" i="32"/>
  <c r="AU688" i="32"/>
  <c r="AS688" i="32" s="1"/>
  <c r="AP688" i="32"/>
  <c r="AO688" i="32"/>
  <c r="AN688" i="32"/>
  <c r="AM688" i="32"/>
  <c r="AU1261" i="32"/>
  <c r="AT1261" i="32" s="1"/>
  <c r="AP1261" i="32"/>
  <c r="AO1261" i="32"/>
  <c r="AN1261" i="32"/>
  <c r="AM1261" i="32"/>
  <c r="AU1260" i="32"/>
  <c r="AP1260" i="32"/>
  <c r="AO1260" i="32"/>
  <c r="AN1260" i="32"/>
  <c r="AM1260" i="32"/>
  <c r="AU590" i="32"/>
  <c r="AR590" i="32" s="1"/>
  <c r="AP590" i="32"/>
  <c r="AO590" i="32"/>
  <c r="AN590" i="32"/>
  <c r="AM590" i="32"/>
  <c r="AU589" i="32"/>
  <c r="AT589" i="32" s="1"/>
  <c r="AP589" i="32"/>
  <c r="AO589" i="32"/>
  <c r="AN589" i="32"/>
  <c r="AM589" i="32"/>
  <c r="AU1259" i="32"/>
  <c r="AP1259" i="32"/>
  <c r="AO1259" i="32"/>
  <c r="AN1259" i="32"/>
  <c r="AM1259" i="32"/>
  <c r="AU1258" i="32"/>
  <c r="AT1258" i="32" s="1"/>
  <c r="AP1258" i="32"/>
  <c r="AO1258" i="32"/>
  <c r="AN1258" i="32"/>
  <c r="AM1258" i="32"/>
  <c r="AU588" i="32"/>
  <c r="AP588" i="32"/>
  <c r="AO588" i="32"/>
  <c r="AN588" i="32"/>
  <c r="AM588" i="32"/>
  <c r="AU1257" i="32"/>
  <c r="AS1257" i="32" s="1"/>
  <c r="AP1257" i="32"/>
  <c r="AO1257" i="32"/>
  <c r="AN1257" i="32"/>
  <c r="AM1257" i="32"/>
  <c r="AU1256" i="32"/>
  <c r="AT1256" i="32" s="1"/>
  <c r="AP1256" i="32"/>
  <c r="AO1256" i="32"/>
  <c r="AN1256" i="32"/>
  <c r="AM1256" i="32"/>
  <c r="AU1255" i="32"/>
  <c r="AP1255" i="32"/>
  <c r="AO1255" i="32"/>
  <c r="AN1255" i="32"/>
  <c r="AM1255" i="32"/>
  <c r="AU1254" i="32"/>
  <c r="AR1254" i="32" s="1"/>
  <c r="AP1254" i="32"/>
  <c r="AO1254" i="32"/>
  <c r="AN1254" i="32"/>
  <c r="AM1254" i="32"/>
  <c r="AU587" i="32"/>
  <c r="AT587" i="32" s="1"/>
  <c r="AP587" i="32"/>
  <c r="AO587" i="32"/>
  <c r="AN587" i="32"/>
  <c r="AM587" i="32"/>
  <c r="AU586" i="32"/>
  <c r="AT586" i="32" s="1"/>
  <c r="AP586" i="32"/>
  <c r="AO586" i="32"/>
  <c r="AN586" i="32"/>
  <c r="AM586" i="32"/>
  <c r="AU1253" i="32"/>
  <c r="AP1253" i="32"/>
  <c r="AO1253" i="32"/>
  <c r="AN1253" i="32"/>
  <c r="AM1253" i="32"/>
  <c r="AU585" i="32"/>
  <c r="AS585" i="32" s="1"/>
  <c r="AP585" i="32"/>
  <c r="AO585" i="32"/>
  <c r="AN585" i="32"/>
  <c r="AM585" i="32"/>
  <c r="AU584" i="32"/>
  <c r="AP584" i="32"/>
  <c r="AO584" i="32"/>
  <c r="AN584" i="32"/>
  <c r="AM584" i="32"/>
  <c r="AU583" i="32"/>
  <c r="AT583" i="32" s="1"/>
  <c r="AP583" i="32"/>
  <c r="AO583" i="32"/>
  <c r="AN583" i="32"/>
  <c r="AM583" i="32"/>
  <c r="AU1252" i="32"/>
  <c r="AP1252" i="32"/>
  <c r="AO1252" i="32"/>
  <c r="AN1252" i="32"/>
  <c r="AM1252" i="32"/>
  <c r="AU582" i="32"/>
  <c r="AR582" i="32" s="1"/>
  <c r="AP582" i="32"/>
  <c r="AO582" i="32"/>
  <c r="AN582" i="32"/>
  <c r="AM582" i="32"/>
  <c r="AU1251" i="32"/>
  <c r="AT1251" i="32" s="1"/>
  <c r="AP1251" i="32"/>
  <c r="AO1251" i="32"/>
  <c r="AN1251" i="32"/>
  <c r="AM1251" i="32"/>
  <c r="AU1250" i="32"/>
  <c r="AP1250" i="32"/>
  <c r="AO1250" i="32"/>
  <c r="AN1250" i="32"/>
  <c r="AM1250" i="32"/>
  <c r="AU1249" i="32"/>
  <c r="AP1249" i="32"/>
  <c r="AO1249" i="32"/>
  <c r="AN1249" i="32"/>
  <c r="AM1249" i="32"/>
  <c r="AU1248" i="32"/>
  <c r="AS1248" i="32" s="1"/>
  <c r="AP1248" i="32"/>
  <c r="AO1248" i="32"/>
  <c r="AN1248" i="32"/>
  <c r="AM1248" i="32"/>
  <c r="AU581" i="32"/>
  <c r="AP581" i="32"/>
  <c r="AO581" i="32"/>
  <c r="AN581" i="32"/>
  <c r="AM581" i="32"/>
  <c r="AU1247" i="32"/>
  <c r="AT1247" i="32" s="1"/>
  <c r="AP1247" i="32"/>
  <c r="AO1247" i="32"/>
  <c r="AN1247" i="32"/>
  <c r="AM1247" i="32"/>
  <c r="AU580" i="32"/>
  <c r="AP580" i="32"/>
  <c r="AO580" i="32"/>
  <c r="AN580" i="32"/>
  <c r="AM580" i="32"/>
  <c r="AU579" i="32"/>
  <c r="AR579" i="32" s="1"/>
  <c r="AP579" i="32"/>
  <c r="AO579" i="32"/>
  <c r="AN579" i="32"/>
  <c r="AM579" i="32"/>
  <c r="AU1246" i="32"/>
  <c r="AQ1246" i="32" s="1"/>
  <c r="AP1246" i="32"/>
  <c r="AO1246" i="32"/>
  <c r="AN1246" i="32"/>
  <c r="AM1246" i="32"/>
  <c r="AU1245" i="32"/>
  <c r="AT1245" i="32" s="1"/>
  <c r="AP1245" i="32"/>
  <c r="AO1245" i="32"/>
  <c r="AN1245" i="32"/>
  <c r="AM1245" i="32"/>
  <c r="AU578" i="32"/>
  <c r="AP578" i="32"/>
  <c r="AO578" i="32"/>
  <c r="AN578" i="32"/>
  <c r="AM578" i="32"/>
  <c r="AU1244" i="32"/>
  <c r="AP1244" i="32"/>
  <c r="AO1244" i="32"/>
  <c r="AN1244" i="32"/>
  <c r="AM1244" i="32"/>
  <c r="AU1243" i="32"/>
  <c r="AT1243" i="32" s="1"/>
  <c r="AP1243" i="32"/>
  <c r="AO1243" i="32"/>
  <c r="AN1243" i="32"/>
  <c r="AM1243" i="32"/>
  <c r="AU1242" i="32"/>
  <c r="AT1242" i="32" s="1"/>
  <c r="AP1242" i="32"/>
  <c r="AO1242" i="32"/>
  <c r="AN1242" i="32"/>
  <c r="AM1242" i="32"/>
  <c r="AU577" i="32"/>
  <c r="AQ577" i="32" s="1"/>
  <c r="AP577" i="32"/>
  <c r="AO577" i="32"/>
  <c r="AN577" i="32"/>
  <c r="AM577" i="32"/>
  <c r="AU1241" i="32"/>
  <c r="AP1241" i="32"/>
  <c r="AO1241" i="32"/>
  <c r="AN1241" i="32"/>
  <c r="AM1241" i="32"/>
  <c r="AU1240" i="32"/>
  <c r="AS1240" i="32" s="1"/>
  <c r="AP1240" i="32"/>
  <c r="AO1240" i="32"/>
  <c r="AN1240" i="32"/>
  <c r="AM1240" i="32"/>
  <c r="AU576" i="32"/>
  <c r="AR576" i="32" s="1"/>
  <c r="AP576" i="32"/>
  <c r="AO576" i="32"/>
  <c r="AN576" i="32"/>
  <c r="AM576" i="32"/>
  <c r="AU1239" i="32"/>
  <c r="AP1239" i="32"/>
  <c r="AO1239" i="32"/>
  <c r="AN1239" i="32"/>
  <c r="AM1239" i="32"/>
  <c r="AU575" i="32"/>
  <c r="AP575" i="32"/>
  <c r="AO575" i="32"/>
  <c r="AN575" i="32"/>
  <c r="AM575" i="32"/>
  <c r="AU574" i="32"/>
  <c r="AP574" i="32"/>
  <c r="AO574" i="32"/>
  <c r="AN574" i="32"/>
  <c r="AM574" i="32"/>
  <c r="AU1238" i="32"/>
  <c r="AP1238" i="32"/>
  <c r="AO1238" i="32"/>
  <c r="AN1238" i="32"/>
  <c r="AM1238" i="32"/>
  <c r="AU1237" i="32"/>
  <c r="AP1237" i="32"/>
  <c r="AO1237" i="32"/>
  <c r="AN1237" i="32"/>
  <c r="AM1237" i="32"/>
  <c r="AU1236" i="32"/>
  <c r="AP1236" i="32"/>
  <c r="AO1236" i="32"/>
  <c r="AN1236" i="32"/>
  <c r="AM1236" i="32"/>
  <c r="AU573" i="32"/>
  <c r="AQ573" i="32" s="1"/>
  <c r="AP573" i="32"/>
  <c r="AO573" i="32"/>
  <c r="AN573" i="32"/>
  <c r="AM573" i="32"/>
  <c r="AU572" i="32"/>
  <c r="AR572" i="32" s="1"/>
  <c r="AP572" i="32"/>
  <c r="AO572" i="32"/>
  <c r="AN572" i="32"/>
  <c r="AM572" i="32"/>
  <c r="AU571" i="32"/>
  <c r="AP571" i="32"/>
  <c r="AO571" i="32"/>
  <c r="AN571" i="32"/>
  <c r="AM571" i="32"/>
  <c r="AU687" i="32"/>
  <c r="AT687" i="32" s="1"/>
  <c r="AP687" i="32"/>
  <c r="AO687" i="32"/>
  <c r="AN687" i="32"/>
  <c r="AM687" i="32"/>
  <c r="AU1235" i="32"/>
  <c r="AP1235" i="32"/>
  <c r="AO1235" i="32"/>
  <c r="AN1235" i="32"/>
  <c r="AM1235" i="32"/>
  <c r="AU1234" i="32"/>
  <c r="AR1234" i="32" s="1"/>
  <c r="AP1234" i="32"/>
  <c r="AO1234" i="32"/>
  <c r="AN1234" i="32"/>
  <c r="AM1234" i="32"/>
  <c r="AU570" i="32"/>
  <c r="AT570" i="32" s="1"/>
  <c r="AP570" i="32"/>
  <c r="AO570" i="32"/>
  <c r="AN570" i="32"/>
  <c r="AM570" i="32"/>
  <c r="AU1233" i="32"/>
  <c r="AT1233" i="32" s="1"/>
  <c r="AP1233" i="32"/>
  <c r="AO1233" i="32"/>
  <c r="AN1233" i="32"/>
  <c r="AM1233" i="32"/>
  <c r="AU1232" i="32"/>
  <c r="AP1232" i="32"/>
  <c r="AO1232" i="32"/>
  <c r="AN1232" i="32"/>
  <c r="AM1232" i="32"/>
  <c r="AU1231" i="32"/>
  <c r="AP1231" i="32"/>
  <c r="AO1231" i="32"/>
  <c r="AN1231" i="32"/>
  <c r="AM1231" i="32"/>
  <c r="AU1230" i="32"/>
  <c r="AP1230" i="32"/>
  <c r="AO1230" i="32"/>
  <c r="AN1230" i="32"/>
  <c r="AM1230" i="32"/>
  <c r="AU569" i="32"/>
  <c r="AT569" i="32" s="1"/>
  <c r="AP569" i="32"/>
  <c r="AO569" i="32"/>
  <c r="AN569" i="32"/>
  <c r="AM569" i="32"/>
  <c r="AU568" i="32"/>
  <c r="AT568" i="32" s="1"/>
  <c r="AP568" i="32"/>
  <c r="AO568" i="32"/>
  <c r="AN568" i="32"/>
  <c r="AM568" i="32"/>
  <c r="AU567" i="32"/>
  <c r="AR567" i="32" s="1"/>
  <c r="AP567" i="32"/>
  <c r="AO567" i="32"/>
  <c r="AN567" i="32"/>
  <c r="AM567" i="32"/>
  <c r="AU566" i="32"/>
  <c r="AT566" i="32" s="1"/>
  <c r="AP566" i="32"/>
  <c r="AO566" i="32"/>
  <c r="AN566" i="32"/>
  <c r="AM566" i="32"/>
  <c r="AU686" i="32"/>
  <c r="AT686" i="32" s="1"/>
  <c r="AP686" i="32"/>
  <c r="AO686" i="32"/>
  <c r="AN686" i="32"/>
  <c r="AM686" i="32"/>
  <c r="AU685" i="32"/>
  <c r="AQ685" i="32" s="1"/>
  <c r="AP685" i="32"/>
  <c r="AO685" i="32"/>
  <c r="AN685" i="32"/>
  <c r="AM685" i="32"/>
  <c r="AU1229" i="32"/>
  <c r="AR1229" i="32" s="1"/>
  <c r="AP1229" i="32"/>
  <c r="AO1229" i="32"/>
  <c r="AN1229" i="32"/>
  <c r="AM1229" i="32"/>
  <c r="AU1228" i="32"/>
  <c r="AP1228" i="32"/>
  <c r="AO1228" i="32"/>
  <c r="AN1228" i="32"/>
  <c r="AM1228" i="32"/>
  <c r="AU1227" i="32"/>
  <c r="AT1227" i="32" s="1"/>
  <c r="AP1227" i="32"/>
  <c r="AO1227" i="32"/>
  <c r="AN1227" i="32"/>
  <c r="AM1227" i="32"/>
  <c r="AU1226" i="32"/>
  <c r="AT1226" i="32" s="1"/>
  <c r="AP1226" i="32"/>
  <c r="AO1226" i="32"/>
  <c r="AN1226" i="32"/>
  <c r="AM1226" i="32"/>
  <c r="AU1225" i="32"/>
  <c r="AR1225" i="32" s="1"/>
  <c r="AP1225" i="32"/>
  <c r="AO1225" i="32"/>
  <c r="AN1225" i="32"/>
  <c r="AM1225" i="32"/>
  <c r="AU1224" i="32"/>
  <c r="AT1224" i="32" s="1"/>
  <c r="AP1224" i="32"/>
  <c r="AO1224" i="32"/>
  <c r="AN1224" i="32"/>
  <c r="AM1224" i="32"/>
  <c r="AU1223" i="32"/>
  <c r="AT1223" i="32" s="1"/>
  <c r="AP1223" i="32"/>
  <c r="AO1223" i="32"/>
  <c r="AN1223" i="32"/>
  <c r="AM1223" i="32"/>
  <c r="AU565" i="32"/>
  <c r="AP565" i="32"/>
  <c r="AO565" i="32"/>
  <c r="AN565" i="32"/>
  <c r="AM565" i="32"/>
  <c r="AU1222" i="32"/>
  <c r="AP1222" i="32"/>
  <c r="AO1222" i="32"/>
  <c r="AN1222" i="32"/>
  <c r="AM1222" i="32"/>
  <c r="AU564" i="32"/>
  <c r="AP564" i="32"/>
  <c r="AO564" i="32"/>
  <c r="AN564" i="32"/>
  <c r="AM564" i="32"/>
  <c r="AU563" i="32"/>
  <c r="AP563" i="32"/>
  <c r="AO563" i="32"/>
  <c r="AN563" i="32"/>
  <c r="AM563" i="32"/>
  <c r="AU562" i="32"/>
  <c r="AP562" i="32"/>
  <c r="AO562" i="32"/>
  <c r="AN562" i="32"/>
  <c r="AM562" i="32"/>
  <c r="AU1221" i="32"/>
  <c r="AP1221" i="32"/>
  <c r="AO1221" i="32"/>
  <c r="AN1221" i="32"/>
  <c r="AM1221" i="32"/>
  <c r="AU1220" i="32"/>
  <c r="AP1220" i="32"/>
  <c r="AO1220" i="32"/>
  <c r="AN1220" i="32"/>
  <c r="AM1220" i="32"/>
  <c r="AU1219" i="32"/>
  <c r="AP1219" i="32"/>
  <c r="AO1219" i="32"/>
  <c r="AN1219" i="32"/>
  <c r="AM1219" i="32"/>
  <c r="AU1218" i="32"/>
  <c r="AQ1218" i="32" s="1"/>
  <c r="AP1218" i="32"/>
  <c r="AO1218" i="32"/>
  <c r="AN1218" i="32"/>
  <c r="AM1218" i="32"/>
  <c r="AU561" i="32"/>
  <c r="AR561" i="32" s="1"/>
  <c r="AP561" i="32"/>
  <c r="AO561" i="32"/>
  <c r="AN561" i="32"/>
  <c r="AM561" i="32"/>
  <c r="AU1217" i="32"/>
  <c r="AP1217" i="32"/>
  <c r="AO1217" i="32"/>
  <c r="AN1217" i="32"/>
  <c r="AM1217" i="32"/>
  <c r="AU560" i="32"/>
  <c r="AT560" i="32" s="1"/>
  <c r="AP560" i="32"/>
  <c r="AO560" i="32"/>
  <c r="AN560" i="32"/>
  <c r="AM560" i="32"/>
  <c r="AU1216" i="32"/>
  <c r="AT1216" i="32" s="1"/>
  <c r="AP1216" i="32"/>
  <c r="AO1216" i="32"/>
  <c r="AN1216" i="32"/>
  <c r="AM1216" i="32"/>
  <c r="AU1215" i="32"/>
  <c r="AR1215" i="32" s="1"/>
  <c r="AP1215" i="32"/>
  <c r="AO1215" i="32"/>
  <c r="AN1215" i="32"/>
  <c r="AM1215" i="32"/>
  <c r="AU684" i="32"/>
  <c r="AT684" i="32" s="1"/>
  <c r="AP684" i="32"/>
  <c r="AO684" i="32"/>
  <c r="AN684" i="32"/>
  <c r="AM684" i="32"/>
  <c r="AU683" i="32"/>
  <c r="AP683" i="32"/>
  <c r="AO683" i="32"/>
  <c r="AN683" i="32"/>
  <c r="AM683" i="32"/>
  <c r="AU1214" i="32"/>
  <c r="AP1214" i="32"/>
  <c r="AO1214" i="32"/>
  <c r="AN1214" i="32"/>
  <c r="AM1214" i="32"/>
  <c r="AU559" i="32"/>
  <c r="AP559" i="32"/>
  <c r="AO559" i="32"/>
  <c r="AN559" i="32"/>
  <c r="AM559" i="32"/>
  <c r="AU682" i="32"/>
  <c r="AP682" i="32"/>
  <c r="AO682" i="32"/>
  <c r="AN682" i="32"/>
  <c r="AM682" i="32"/>
  <c r="AU558" i="32"/>
  <c r="AT558" i="32" s="1"/>
  <c r="AP558" i="32"/>
  <c r="AO558" i="32"/>
  <c r="AN558" i="32"/>
  <c r="AM558" i="32"/>
  <c r="AU557" i="32"/>
  <c r="AT557" i="32" s="1"/>
  <c r="AP557" i="32"/>
  <c r="AO557" i="32"/>
  <c r="AN557" i="32"/>
  <c r="AM557" i="32"/>
  <c r="AU1213" i="32"/>
  <c r="AP1213" i="32"/>
  <c r="AO1213" i="32"/>
  <c r="AN1213" i="32"/>
  <c r="AM1213" i="32"/>
  <c r="AU556" i="32"/>
  <c r="AP556" i="32"/>
  <c r="AO556" i="32"/>
  <c r="AN556" i="32"/>
  <c r="AM556" i="32"/>
  <c r="AU555" i="32"/>
  <c r="AT555" i="32" s="1"/>
  <c r="AP555" i="32"/>
  <c r="AO555" i="32"/>
  <c r="AN555" i="32"/>
  <c r="AM555" i="32"/>
  <c r="AU1212" i="32"/>
  <c r="AQ1212" i="32" s="1"/>
  <c r="AP1212" i="32"/>
  <c r="AO1212" i="32"/>
  <c r="AN1212" i="32"/>
  <c r="AM1212" i="32"/>
  <c r="AU1211" i="32"/>
  <c r="AR1211" i="32" s="1"/>
  <c r="AP1211" i="32"/>
  <c r="AO1211" i="32"/>
  <c r="AN1211" i="32"/>
  <c r="AM1211" i="32"/>
  <c r="AU1210" i="32"/>
  <c r="AP1210" i="32"/>
  <c r="AO1210" i="32"/>
  <c r="AN1210" i="32"/>
  <c r="AM1210" i="32"/>
  <c r="AU1209" i="32"/>
  <c r="AT1209" i="32" s="1"/>
  <c r="AP1209" i="32"/>
  <c r="AO1209" i="32"/>
  <c r="AN1209" i="32"/>
  <c r="AM1209" i="32"/>
  <c r="AU554" i="32"/>
  <c r="AQ554" i="32" s="1"/>
  <c r="AP554" i="32"/>
  <c r="AO554" i="32"/>
  <c r="AN554" i="32"/>
  <c r="AM554" i="32"/>
  <c r="AU1208" i="32"/>
  <c r="AR1208" i="32" s="1"/>
  <c r="AP1208" i="32"/>
  <c r="AO1208" i="32"/>
  <c r="AN1208" i="32"/>
  <c r="AM1208" i="32"/>
  <c r="AU553" i="32"/>
  <c r="AT553" i="32" s="1"/>
  <c r="AP553" i="32"/>
  <c r="AO553" i="32"/>
  <c r="AN553" i="32"/>
  <c r="AM553" i="32"/>
  <c r="AU1207" i="32"/>
  <c r="AT1207" i="32" s="1"/>
  <c r="AP1207" i="32"/>
  <c r="AO1207" i="32"/>
  <c r="AN1207" i="32"/>
  <c r="AM1207" i="32"/>
  <c r="AU552" i="32"/>
  <c r="AQ552" i="32" s="1"/>
  <c r="AP552" i="32"/>
  <c r="AO552" i="32"/>
  <c r="AN552" i="32"/>
  <c r="AM552" i="32"/>
  <c r="AU551" i="32"/>
  <c r="AR551" i="32" s="1"/>
  <c r="AP551" i="32"/>
  <c r="AO551" i="32"/>
  <c r="AN551" i="32"/>
  <c r="AM551" i="32"/>
  <c r="AU550" i="32"/>
  <c r="AP550" i="32"/>
  <c r="AO550" i="32"/>
  <c r="AN550" i="32"/>
  <c r="AM550" i="32"/>
  <c r="AU1206" i="32"/>
  <c r="AP1206" i="32"/>
  <c r="AO1206" i="32"/>
  <c r="AN1206" i="32"/>
  <c r="AM1206" i="32"/>
  <c r="AU1205" i="32"/>
  <c r="AT1205" i="32" s="1"/>
  <c r="AP1205" i="32"/>
  <c r="AO1205" i="32"/>
  <c r="AN1205" i="32"/>
  <c r="AM1205" i="32"/>
  <c r="AU549" i="32"/>
  <c r="AP549" i="32"/>
  <c r="AO549" i="32"/>
  <c r="AN549" i="32"/>
  <c r="AM549" i="32"/>
  <c r="AU548" i="32"/>
  <c r="AP548" i="32"/>
  <c r="AO548" i="32"/>
  <c r="AN548" i="32"/>
  <c r="AM548" i="32"/>
  <c r="AU1204" i="32"/>
  <c r="AT1204" i="32" s="1"/>
  <c r="AP1204" i="32"/>
  <c r="AO1204" i="32"/>
  <c r="AN1204" i="32"/>
  <c r="AM1204" i="32"/>
  <c r="AU1203" i="32"/>
  <c r="AQ1203" i="32" s="1"/>
  <c r="AP1203" i="32"/>
  <c r="AO1203" i="32"/>
  <c r="AN1203" i="32"/>
  <c r="AM1203" i="32"/>
  <c r="AU1202" i="32"/>
  <c r="AR1202" i="32" s="1"/>
  <c r="AP1202" i="32"/>
  <c r="AO1202" i="32"/>
  <c r="AN1202" i="32"/>
  <c r="AM1202" i="32"/>
  <c r="AU1201" i="32"/>
  <c r="AP1201" i="32"/>
  <c r="AO1201" i="32"/>
  <c r="AN1201" i="32"/>
  <c r="AM1201" i="32"/>
  <c r="AU1200" i="32"/>
  <c r="AP1200" i="32"/>
  <c r="AO1200" i="32"/>
  <c r="AN1200" i="32"/>
  <c r="AM1200" i="32"/>
  <c r="AU1199" i="32"/>
  <c r="AP1199" i="32"/>
  <c r="AO1199" i="32"/>
  <c r="AN1199" i="32"/>
  <c r="AM1199" i="32"/>
  <c r="AU547" i="32"/>
  <c r="AP547" i="32"/>
  <c r="AO547" i="32"/>
  <c r="AN547" i="32"/>
  <c r="AM547" i="32"/>
  <c r="AU546" i="32"/>
  <c r="AP546" i="32"/>
  <c r="AO546" i="32"/>
  <c r="AN546" i="32"/>
  <c r="AM546" i="32"/>
  <c r="AU545" i="32"/>
  <c r="AS545" i="32" s="1"/>
  <c r="AP545" i="32"/>
  <c r="AO545" i="32"/>
  <c r="AN545" i="32"/>
  <c r="AM545" i="32"/>
  <c r="AU544" i="32"/>
  <c r="AQ544" i="32" s="1"/>
  <c r="AP544" i="32"/>
  <c r="AO544" i="32"/>
  <c r="AN544" i="32"/>
  <c r="AM544" i="32"/>
  <c r="AU1198" i="32"/>
  <c r="AP1198" i="32"/>
  <c r="AO1198" i="32"/>
  <c r="AN1198" i="32"/>
  <c r="AM1198" i="32"/>
  <c r="AU543" i="32"/>
  <c r="AP543" i="32"/>
  <c r="AO543" i="32"/>
  <c r="AN543" i="32"/>
  <c r="AM543" i="32"/>
  <c r="AU1197" i="32"/>
  <c r="AT1197" i="32" s="1"/>
  <c r="AP1197" i="32"/>
  <c r="AO1197" i="32"/>
  <c r="AN1197" i="32"/>
  <c r="AM1197" i="32"/>
  <c r="AU542" i="32"/>
  <c r="AT542" i="32" s="1"/>
  <c r="AP542" i="32"/>
  <c r="AO542" i="32"/>
  <c r="AN542" i="32"/>
  <c r="AM542" i="32"/>
  <c r="AU541" i="32"/>
  <c r="AP541" i="32"/>
  <c r="AO541" i="32"/>
  <c r="AN541" i="32"/>
  <c r="AM541" i="32"/>
  <c r="AU1196" i="32"/>
  <c r="AT1196" i="32" s="1"/>
  <c r="AP1196" i="32"/>
  <c r="AO1196" i="32"/>
  <c r="AN1196" i="32"/>
  <c r="AM1196" i="32"/>
  <c r="AU1195" i="32"/>
  <c r="AP1195" i="32"/>
  <c r="AO1195" i="32"/>
  <c r="AN1195" i="32"/>
  <c r="AM1195" i="32"/>
  <c r="AU540" i="32"/>
  <c r="AT540" i="32" s="1"/>
  <c r="AP540" i="32"/>
  <c r="AO540" i="32"/>
  <c r="AN540" i="32"/>
  <c r="AM540" i="32"/>
  <c r="AU1194" i="32"/>
  <c r="AP1194" i="32"/>
  <c r="AO1194" i="32"/>
  <c r="AN1194" i="32"/>
  <c r="AM1194" i="32"/>
  <c r="AU1193" i="32"/>
  <c r="AP1193" i="32"/>
  <c r="AO1193" i="32"/>
  <c r="AN1193" i="32"/>
  <c r="AM1193" i="32"/>
  <c r="AU1192" i="32"/>
  <c r="AT1192" i="32" s="1"/>
  <c r="AP1192" i="32"/>
  <c r="AO1192" i="32"/>
  <c r="AN1192" i="32"/>
  <c r="AM1192" i="32"/>
  <c r="AU1302" i="32"/>
  <c r="AT1302" i="32" s="1"/>
  <c r="AP1302" i="32"/>
  <c r="AO1302" i="32"/>
  <c r="AN1302" i="32"/>
  <c r="AM1302" i="32"/>
  <c r="AU1191" i="32"/>
  <c r="AS1191" i="32" s="1"/>
  <c r="AP1191" i="32"/>
  <c r="AO1191" i="32"/>
  <c r="AN1191" i="32"/>
  <c r="AM1191" i="32"/>
  <c r="AU539" i="32"/>
  <c r="AT539" i="32" s="1"/>
  <c r="AP539" i="32"/>
  <c r="AO539" i="32"/>
  <c r="AN539" i="32"/>
  <c r="AM539" i="32"/>
  <c r="AU1190" i="32"/>
  <c r="AT1190" i="32" s="1"/>
  <c r="AP1190" i="32"/>
  <c r="AO1190" i="32"/>
  <c r="AN1190" i="32"/>
  <c r="AM1190" i="32"/>
  <c r="AU1189" i="32"/>
  <c r="AP1189" i="32"/>
  <c r="AO1189" i="32"/>
  <c r="AN1189" i="32"/>
  <c r="AM1189" i="32"/>
  <c r="AU538" i="32"/>
  <c r="AR538" i="32" s="1"/>
  <c r="AP538" i="32"/>
  <c r="AO538" i="32"/>
  <c r="AN538" i="32"/>
  <c r="AM538" i="32"/>
  <c r="AU1188" i="32"/>
  <c r="AP1188" i="32"/>
  <c r="AO1188" i="32"/>
  <c r="AN1188" i="32"/>
  <c r="AM1188" i="32"/>
  <c r="AU537" i="32"/>
  <c r="AT537" i="32" s="1"/>
  <c r="AP537" i="32"/>
  <c r="AO537" i="32"/>
  <c r="AN537" i="32"/>
  <c r="AM537" i="32"/>
  <c r="AU536" i="32"/>
  <c r="AQ536" i="32" s="1"/>
  <c r="AP536" i="32"/>
  <c r="AO536" i="32"/>
  <c r="AN536" i="32"/>
  <c r="AM536" i="32"/>
  <c r="AU535" i="32"/>
  <c r="AS535" i="32" s="1"/>
  <c r="AP535" i="32"/>
  <c r="AO535" i="32"/>
  <c r="AN535" i="32"/>
  <c r="AM535" i="32"/>
  <c r="AU1187" i="32"/>
  <c r="AT1187" i="32" s="1"/>
  <c r="AP1187" i="32"/>
  <c r="AO1187" i="32"/>
  <c r="AN1187" i="32"/>
  <c r="AM1187" i="32"/>
  <c r="AU534" i="32"/>
  <c r="AP534" i="32"/>
  <c r="AO534" i="32"/>
  <c r="AN534" i="32"/>
  <c r="AM534" i="32"/>
  <c r="AU533" i="32"/>
  <c r="AR533" i="32" s="1"/>
  <c r="AP533" i="32"/>
  <c r="AO533" i="32"/>
  <c r="AN533" i="32"/>
  <c r="AM533" i="32"/>
  <c r="AU1186" i="32"/>
  <c r="AR1186" i="32" s="1"/>
  <c r="AP1186" i="32"/>
  <c r="AO1186" i="32"/>
  <c r="AN1186" i="32"/>
  <c r="AM1186" i="32"/>
  <c r="AU1185" i="32"/>
  <c r="AP1185" i="32"/>
  <c r="AO1185" i="32"/>
  <c r="AN1185" i="32"/>
  <c r="AM1185" i="32"/>
  <c r="AU532" i="32"/>
  <c r="AS532" i="32" s="1"/>
  <c r="AP532" i="32"/>
  <c r="AO532" i="32"/>
  <c r="AN532" i="32"/>
  <c r="AM532" i="32"/>
  <c r="AU1184" i="32"/>
  <c r="AT1184" i="32" s="1"/>
  <c r="AP1184" i="32"/>
  <c r="AO1184" i="32"/>
  <c r="AN1184" i="32"/>
  <c r="AM1184" i="32"/>
  <c r="AU1183" i="32"/>
  <c r="AP1183" i="32"/>
  <c r="AO1183" i="32"/>
  <c r="AN1183" i="32"/>
  <c r="AM1183" i="32"/>
  <c r="AU1182" i="32"/>
  <c r="AT1182" i="32" s="1"/>
  <c r="AP1182" i="32"/>
  <c r="AO1182" i="32"/>
  <c r="AN1182" i="32"/>
  <c r="AM1182" i="32"/>
  <c r="AU531" i="32"/>
  <c r="AT531" i="32" s="1"/>
  <c r="AP531" i="32"/>
  <c r="AO531" i="32"/>
  <c r="AN531" i="32"/>
  <c r="AM531" i="32"/>
  <c r="AU530" i="32"/>
  <c r="AT530" i="32" s="1"/>
  <c r="AP530" i="32"/>
  <c r="AO530" i="32"/>
  <c r="AN530" i="32"/>
  <c r="AM530" i="32"/>
  <c r="AU1181" i="32"/>
  <c r="AR1181" i="32" s="1"/>
  <c r="AP1181" i="32"/>
  <c r="AO1181" i="32"/>
  <c r="AN1181" i="32"/>
  <c r="AM1181" i="32"/>
  <c r="AU529" i="32"/>
  <c r="AP529" i="32"/>
  <c r="AO529" i="32"/>
  <c r="AN529" i="32"/>
  <c r="AM529" i="32"/>
  <c r="AU528" i="32"/>
  <c r="AP528" i="32"/>
  <c r="AO528" i="32"/>
  <c r="AN528" i="32"/>
  <c r="AM528" i="32"/>
  <c r="AU1180" i="32"/>
  <c r="AR1180" i="32" s="1"/>
  <c r="AP1180" i="32"/>
  <c r="AO1180" i="32"/>
  <c r="AN1180" i="32"/>
  <c r="AM1180" i="32"/>
  <c r="AU1179" i="32"/>
  <c r="AP1179" i="32"/>
  <c r="AO1179" i="32"/>
  <c r="AN1179" i="32"/>
  <c r="AM1179" i="32"/>
  <c r="AU527" i="32"/>
  <c r="AP527" i="32"/>
  <c r="AO527" i="32"/>
  <c r="AN527" i="32"/>
  <c r="AM527" i="32"/>
  <c r="AU526" i="32"/>
  <c r="AT526" i="32" s="1"/>
  <c r="AP526" i="32"/>
  <c r="AO526" i="32"/>
  <c r="AN526" i="32"/>
  <c r="AM526" i="32"/>
  <c r="AU1178" i="32"/>
  <c r="AT1178" i="32" s="1"/>
  <c r="AP1178" i="32"/>
  <c r="AO1178" i="32"/>
  <c r="AN1178" i="32"/>
  <c r="AM1178" i="32"/>
  <c r="AU525" i="32"/>
  <c r="AR525" i="32" s="1"/>
  <c r="AP525" i="32"/>
  <c r="AO525" i="32"/>
  <c r="AN525" i="32"/>
  <c r="AM525" i="32"/>
  <c r="AU1177" i="32"/>
  <c r="AP1177" i="32"/>
  <c r="AO1177" i="32"/>
  <c r="AN1177" i="32"/>
  <c r="AM1177" i="32"/>
  <c r="AU1176" i="32"/>
  <c r="AS1176" i="32" s="1"/>
  <c r="AP1176" i="32"/>
  <c r="AO1176" i="32"/>
  <c r="AN1176" i="32"/>
  <c r="AM1176" i="32"/>
  <c r="AU1175" i="32"/>
  <c r="AP1175" i="32"/>
  <c r="AO1175" i="32"/>
  <c r="AN1175" i="32"/>
  <c r="AM1175" i="32"/>
  <c r="AU1174" i="32"/>
  <c r="AT1174" i="32" s="1"/>
  <c r="AP1174" i="32"/>
  <c r="AO1174" i="32"/>
  <c r="AN1174" i="32"/>
  <c r="AM1174" i="32"/>
  <c r="AU1173" i="32"/>
  <c r="AT1173" i="32" s="1"/>
  <c r="AP1173" i="32"/>
  <c r="AO1173" i="32"/>
  <c r="AN1173" i="32"/>
  <c r="AM1173" i="32"/>
  <c r="AU1172" i="32"/>
  <c r="AP1172" i="32"/>
  <c r="AO1172" i="32"/>
  <c r="AN1172" i="32"/>
  <c r="AM1172" i="32"/>
  <c r="AU1171" i="32"/>
  <c r="AT1171" i="32" s="1"/>
  <c r="AP1171" i="32"/>
  <c r="AO1171" i="32"/>
  <c r="AN1171" i="32"/>
  <c r="AM1171" i="32"/>
  <c r="AU1170" i="32"/>
  <c r="AR1170" i="32" s="1"/>
  <c r="AP1170" i="32"/>
  <c r="AO1170" i="32"/>
  <c r="AN1170" i="32"/>
  <c r="AM1170" i="32"/>
  <c r="AU1169" i="32"/>
  <c r="AP1169" i="32"/>
  <c r="AO1169" i="32"/>
  <c r="AN1169" i="32"/>
  <c r="AM1169" i="32"/>
  <c r="AU1168" i="32"/>
  <c r="AP1168" i="32"/>
  <c r="AO1168" i="32"/>
  <c r="AN1168" i="32"/>
  <c r="AM1168" i="32"/>
  <c r="AU524" i="32"/>
  <c r="AT524" i="32" s="1"/>
  <c r="AP524" i="32"/>
  <c r="AO524" i="32"/>
  <c r="AN524" i="32"/>
  <c r="AM524" i="32"/>
  <c r="AU1167" i="32"/>
  <c r="AP1167" i="32"/>
  <c r="AO1167" i="32"/>
  <c r="AN1167" i="32"/>
  <c r="AM1167" i="32"/>
  <c r="AU1166" i="32"/>
  <c r="AT1166" i="32" s="1"/>
  <c r="AP1166" i="32"/>
  <c r="AO1166" i="32"/>
  <c r="AN1166" i="32"/>
  <c r="AM1166" i="32"/>
  <c r="AU1165" i="32"/>
  <c r="AP1165" i="32"/>
  <c r="AO1165" i="32"/>
  <c r="AN1165" i="32"/>
  <c r="AM1165" i="32"/>
  <c r="AU523" i="32"/>
  <c r="AQ523" i="32" s="1"/>
  <c r="AP523" i="32"/>
  <c r="AO523" i="32"/>
  <c r="AN523" i="32"/>
  <c r="AM523" i="32"/>
  <c r="AU522" i="32"/>
  <c r="AR522" i="32" s="1"/>
  <c r="AP522" i="32"/>
  <c r="AO522" i="32"/>
  <c r="AN522" i="32"/>
  <c r="AM522" i="32"/>
  <c r="AU521" i="32"/>
  <c r="AP521" i="32"/>
  <c r="AO521" i="32"/>
  <c r="AN521" i="32"/>
  <c r="AM521" i="32"/>
  <c r="AU1164" i="32"/>
  <c r="AR1164" i="32" s="1"/>
  <c r="AP1164" i="32"/>
  <c r="AO1164" i="32"/>
  <c r="AN1164" i="32"/>
  <c r="AM1164" i="32"/>
  <c r="AU520" i="32"/>
  <c r="AQ520" i="32" s="1"/>
  <c r="AP520" i="32"/>
  <c r="AO520" i="32"/>
  <c r="AN520" i="32"/>
  <c r="AM520" i="32"/>
  <c r="AU1163" i="32"/>
  <c r="AS1163" i="32" s="1"/>
  <c r="AP1163" i="32"/>
  <c r="AO1163" i="32"/>
  <c r="AN1163" i="32"/>
  <c r="AM1163" i="32"/>
  <c r="AU519" i="32"/>
  <c r="AT519" i="32" s="1"/>
  <c r="AP519" i="32"/>
  <c r="AO519" i="32"/>
  <c r="AN519" i="32"/>
  <c r="AM519" i="32"/>
  <c r="AU1162" i="32"/>
  <c r="AT1162" i="32" s="1"/>
  <c r="AP1162" i="32"/>
  <c r="AO1162" i="32"/>
  <c r="AN1162" i="32"/>
  <c r="AM1162" i="32"/>
  <c r="AU1161" i="32"/>
  <c r="AT1161" i="32" s="1"/>
  <c r="AP1161" i="32"/>
  <c r="AO1161" i="32"/>
  <c r="AN1161" i="32"/>
  <c r="AM1161" i="32"/>
  <c r="AU518" i="32"/>
  <c r="AR518" i="32" s="1"/>
  <c r="AP518" i="32"/>
  <c r="AO518" i="32"/>
  <c r="AN518" i="32"/>
  <c r="AM518" i="32"/>
  <c r="AU517" i="32"/>
  <c r="AP517" i="32"/>
  <c r="AO517" i="32"/>
  <c r="AN517" i="32"/>
  <c r="AM517" i="32"/>
  <c r="AU1160" i="32"/>
  <c r="AR1160" i="32" s="1"/>
  <c r="AP1160" i="32"/>
  <c r="AO1160" i="32"/>
  <c r="AN1160" i="32"/>
  <c r="AM1160" i="32"/>
  <c r="AU1159" i="32"/>
  <c r="AP1159" i="32"/>
  <c r="AO1159" i="32"/>
  <c r="AN1159" i="32"/>
  <c r="AM1159" i="32"/>
  <c r="AU1158" i="32"/>
  <c r="AS1158" i="32" s="1"/>
  <c r="AP1158" i="32"/>
  <c r="AO1158" i="32"/>
  <c r="AN1158" i="32"/>
  <c r="AM1158" i="32"/>
  <c r="AU1157" i="32"/>
  <c r="AT1157" i="32" s="1"/>
  <c r="AP1157" i="32"/>
  <c r="AO1157" i="32"/>
  <c r="AN1157" i="32"/>
  <c r="AM1157" i="32"/>
  <c r="AU516" i="32"/>
  <c r="AP516" i="32"/>
  <c r="AO516" i="32"/>
  <c r="AN516" i="32"/>
  <c r="AM516" i="32"/>
  <c r="AU1156" i="32"/>
  <c r="AS1156" i="32" s="1"/>
  <c r="AP1156" i="32"/>
  <c r="AO1156" i="32"/>
  <c r="AN1156" i="32"/>
  <c r="AM1156" i="32"/>
  <c r="AU515" i="32"/>
  <c r="AT515" i="32" s="1"/>
  <c r="AP515" i="32"/>
  <c r="AO515" i="32"/>
  <c r="AN515" i="32"/>
  <c r="AM515" i="32"/>
  <c r="AU1155" i="32"/>
  <c r="AP1155" i="32"/>
  <c r="AO1155" i="32"/>
  <c r="AN1155" i="32"/>
  <c r="AM1155" i="32"/>
  <c r="AU1154" i="32"/>
  <c r="AP1154" i="32"/>
  <c r="AO1154" i="32"/>
  <c r="AN1154" i="32"/>
  <c r="AM1154" i="32"/>
  <c r="AU514" i="32"/>
  <c r="AP514" i="32"/>
  <c r="AO514" i="32"/>
  <c r="AN514" i="32"/>
  <c r="AM514" i="32"/>
  <c r="AU1153" i="32"/>
  <c r="AT1153" i="32" s="1"/>
  <c r="AP1153" i="32"/>
  <c r="AO1153" i="32"/>
  <c r="AN1153" i="32"/>
  <c r="AM1153" i="32"/>
  <c r="AU513" i="32"/>
  <c r="AP513" i="32"/>
  <c r="AO513" i="32"/>
  <c r="AN513" i="32"/>
  <c r="AM513" i="32"/>
  <c r="AU512" i="32"/>
  <c r="AT512" i="32" s="1"/>
  <c r="AP512" i="32"/>
  <c r="AO512" i="32"/>
  <c r="AN512" i="32"/>
  <c r="AM512" i="32"/>
  <c r="AU1152" i="32"/>
  <c r="AS1152" i="32" s="1"/>
  <c r="AP1152" i="32"/>
  <c r="AO1152" i="32"/>
  <c r="AN1152" i="32"/>
  <c r="AM1152" i="32"/>
  <c r="AU1151" i="32"/>
  <c r="AT1151" i="32" s="1"/>
  <c r="AP1151" i="32"/>
  <c r="AO1151" i="32"/>
  <c r="AN1151" i="32"/>
  <c r="AM1151" i="32"/>
  <c r="AU511" i="32"/>
  <c r="AQ511" i="32" s="1"/>
  <c r="AP511" i="32"/>
  <c r="AO511" i="32"/>
  <c r="AN511" i="32"/>
  <c r="AM511" i="32"/>
  <c r="AU510" i="32"/>
  <c r="AP510" i="32"/>
  <c r="AO510" i="32"/>
  <c r="AN510" i="32"/>
  <c r="AM510" i="32"/>
  <c r="AU509" i="32"/>
  <c r="AP509" i="32"/>
  <c r="AO509" i="32"/>
  <c r="AN509" i="32"/>
  <c r="AM509" i="32"/>
  <c r="AU1150" i="32"/>
  <c r="AT1150" i="32" s="1"/>
  <c r="AP1150" i="32"/>
  <c r="AO1150" i="32"/>
  <c r="AN1150" i="32"/>
  <c r="AM1150" i="32"/>
  <c r="AU1149" i="32"/>
  <c r="AR1149" i="32" s="1"/>
  <c r="AP1149" i="32"/>
  <c r="AO1149" i="32"/>
  <c r="AN1149" i="32"/>
  <c r="AM1149" i="32"/>
  <c r="AU508" i="32"/>
  <c r="AT508" i="32" s="1"/>
  <c r="AP508" i="32"/>
  <c r="AO508" i="32"/>
  <c r="AN508" i="32"/>
  <c r="AM508" i="32"/>
  <c r="AU681" i="32"/>
  <c r="AR681" i="32" s="1"/>
  <c r="AP681" i="32"/>
  <c r="AO681" i="32"/>
  <c r="AN681" i="32"/>
  <c r="AM681" i="32"/>
  <c r="AU1148" i="32"/>
  <c r="AP1148" i="32"/>
  <c r="AO1148" i="32"/>
  <c r="AN1148" i="32"/>
  <c r="AM1148" i="32"/>
  <c r="AU507" i="32"/>
  <c r="AP507" i="32"/>
  <c r="AO507" i="32"/>
  <c r="AN507" i="32"/>
  <c r="AM507" i="32"/>
  <c r="AU506" i="32"/>
  <c r="AS506" i="32" s="1"/>
  <c r="AP506" i="32"/>
  <c r="AO506" i="32"/>
  <c r="AN506" i="32"/>
  <c r="AM506" i="32"/>
  <c r="AU505" i="32"/>
  <c r="AT505" i="32" s="1"/>
  <c r="AP505" i="32"/>
  <c r="AO505" i="32"/>
  <c r="AN505" i="32"/>
  <c r="AM505" i="32"/>
  <c r="AU1147" i="32"/>
  <c r="AR1147" i="32" s="1"/>
  <c r="AP1147" i="32"/>
  <c r="AO1147" i="32"/>
  <c r="AN1147" i="32"/>
  <c r="AM1147" i="32"/>
  <c r="AU504" i="32"/>
  <c r="AS504" i="32" s="1"/>
  <c r="AP504" i="32"/>
  <c r="AO504" i="32"/>
  <c r="AN504" i="32"/>
  <c r="AM504" i="32"/>
  <c r="AU503" i="32"/>
  <c r="AT503" i="32" s="1"/>
  <c r="AP503" i="32"/>
  <c r="AO503" i="32"/>
  <c r="AN503" i="32"/>
  <c r="AM503" i="32"/>
  <c r="AU1146" i="32"/>
  <c r="AP1146" i="32"/>
  <c r="AO1146" i="32"/>
  <c r="AN1146" i="32"/>
  <c r="AM1146" i="32"/>
  <c r="AU1145" i="32"/>
  <c r="AR1145" i="32" s="1"/>
  <c r="AP1145" i="32"/>
  <c r="AO1145" i="32"/>
  <c r="AN1145" i="32"/>
  <c r="AM1145" i="32"/>
  <c r="AU502" i="32"/>
  <c r="AP502" i="32"/>
  <c r="AO502" i="32"/>
  <c r="AN502" i="32"/>
  <c r="AM502" i="32"/>
  <c r="AU501" i="32"/>
  <c r="AP501" i="32"/>
  <c r="AO501" i="32"/>
  <c r="AN501" i="32"/>
  <c r="AM501" i="32"/>
  <c r="AU1144" i="32"/>
  <c r="AQ1144" i="32" s="1"/>
  <c r="AP1144" i="32"/>
  <c r="AO1144" i="32"/>
  <c r="AN1144" i="32"/>
  <c r="AM1144" i="32"/>
  <c r="AU1143" i="32"/>
  <c r="AR1143" i="32" s="1"/>
  <c r="AP1143" i="32"/>
  <c r="AO1143" i="32"/>
  <c r="AN1143" i="32"/>
  <c r="AM1143" i="32"/>
  <c r="AU500" i="32"/>
  <c r="AS500" i="32" s="1"/>
  <c r="AP500" i="32"/>
  <c r="AO500" i="32"/>
  <c r="AN500" i="32"/>
  <c r="AM500" i="32"/>
  <c r="AU1142" i="32"/>
  <c r="AT1142" i="32" s="1"/>
  <c r="AP1142" i="32"/>
  <c r="AO1142" i="32"/>
  <c r="AN1142" i="32"/>
  <c r="AM1142" i="32"/>
  <c r="AU1141" i="32"/>
  <c r="AQ1141" i="32" s="1"/>
  <c r="AP1141" i="32"/>
  <c r="AO1141" i="32"/>
  <c r="AN1141" i="32"/>
  <c r="AM1141" i="32"/>
  <c r="AU1140" i="32"/>
  <c r="AP1140" i="32"/>
  <c r="AO1140" i="32"/>
  <c r="AN1140" i="32"/>
  <c r="AM1140" i="32"/>
  <c r="AU1139" i="32"/>
  <c r="AT1139" i="32" s="1"/>
  <c r="AP1139" i="32"/>
  <c r="AO1139" i="32"/>
  <c r="AN1139" i="32"/>
  <c r="AM1139" i="32"/>
  <c r="AU499" i="32"/>
  <c r="AT499" i="32" s="1"/>
  <c r="AP499" i="32"/>
  <c r="AO499" i="32"/>
  <c r="AN499" i="32"/>
  <c r="AM499" i="32"/>
  <c r="AU1138" i="32"/>
  <c r="AR1138" i="32" s="1"/>
  <c r="AP1138" i="32"/>
  <c r="AO1138" i="32"/>
  <c r="AN1138" i="32"/>
  <c r="AM1138" i="32"/>
  <c r="AU498" i="32"/>
  <c r="AP498" i="32"/>
  <c r="AO498" i="32"/>
  <c r="AN498" i="32"/>
  <c r="AM498" i="32"/>
  <c r="AU497" i="32"/>
  <c r="AP497" i="32"/>
  <c r="AO497" i="32"/>
  <c r="AN497" i="32"/>
  <c r="AM497" i="32"/>
  <c r="AU496" i="32"/>
  <c r="AQ496" i="32" s="1"/>
  <c r="AP496" i="32"/>
  <c r="AO496" i="32"/>
  <c r="AN496" i="32"/>
  <c r="AM496" i="32"/>
  <c r="AU680" i="32"/>
  <c r="AP680" i="32"/>
  <c r="AO680" i="32"/>
  <c r="AN680" i="32"/>
  <c r="AM680" i="32"/>
  <c r="AU495" i="32"/>
  <c r="AP495" i="32"/>
  <c r="AO495" i="32"/>
  <c r="AN495" i="32"/>
  <c r="AM495" i="32"/>
  <c r="AU1137" i="32"/>
  <c r="AP1137" i="32"/>
  <c r="AO1137" i="32"/>
  <c r="AN1137" i="32"/>
  <c r="AM1137" i="32"/>
  <c r="AU494" i="32"/>
  <c r="AT494" i="32" s="1"/>
  <c r="AP494" i="32"/>
  <c r="AO494" i="32"/>
  <c r="AN494" i="32"/>
  <c r="AM494" i="32"/>
  <c r="AU493" i="32"/>
  <c r="AP493" i="32"/>
  <c r="AO493" i="32"/>
  <c r="AN493" i="32"/>
  <c r="AM493" i="32"/>
  <c r="AU1136" i="32"/>
  <c r="AP1136" i="32"/>
  <c r="AO1136" i="32"/>
  <c r="AN1136" i="32"/>
  <c r="AM1136" i="32"/>
  <c r="AU492" i="32"/>
  <c r="AS492" i="32" s="1"/>
  <c r="AP492" i="32"/>
  <c r="AO492" i="32"/>
  <c r="AN492" i="32"/>
  <c r="AM492" i="32"/>
  <c r="AU491" i="32"/>
  <c r="AP491" i="32"/>
  <c r="AO491" i="32"/>
  <c r="AN491" i="32"/>
  <c r="AM491" i="32"/>
  <c r="AU1135" i="32"/>
  <c r="AQ1135" i="32" s="1"/>
  <c r="AP1135" i="32"/>
  <c r="AO1135" i="32"/>
  <c r="AN1135" i="32"/>
  <c r="AM1135" i="32"/>
  <c r="AU490" i="32"/>
  <c r="AP490" i="32"/>
  <c r="AO490" i="32"/>
  <c r="AN490" i="32"/>
  <c r="AM490" i="32"/>
  <c r="AU489" i="32"/>
  <c r="AT489" i="32" s="1"/>
  <c r="AP489" i="32"/>
  <c r="AO489" i="32"/>
  <c r="AN489" i="32"/>
  <c r="AM489" i="32"/>
  <c r="AU488" i="32"/>
  <c r="AT488" i="32" s="1"/>
  <c r="AP488" i="32"/>
  <c r="AO488" i="32"/>
  <c r="AN488" i="32"/>
  <c r="AM488" i="32"/>
  <c r="AU1134" i="32"/>
  <c r="AT1134" i="32" s="1"/>
  <c r="AP1134" i="32"/>
  <c r="AO1134" i="32"/>
  <c r="AN1134" i="32"/>
  <c r="AM1134" i="32"/>
  <c r="AU1133" i="32"/>
  <c r="AT1133" i="32" s="1"/>
  <c r="AP1133" i="32"/>
  <c r="AO1133" i="32"/>
  <c r="AN1133" i="32"/>
  <c r="AM1133" i="32"/>
  <c r="AU1132" i="32"/>
  <c r="AS1132" i="32" s="1"/>
  <c r="AP1132" i="32"/>
  <c r="AO1132" i="32"/>
  <c r="AN1132" i="32"/>
  <c r="AM1132" i="32"/>
  <c r="AU1131" i="32"/>
  <c r="AQ1131" i="32" s="1"/>
  <c r="AP1131" i="32"/>
  <c r="AO1131" i="32"/>
  <c r="AN1131" i="32"/>
  <c r="AM1131" i="32"/>
  <c r="AU487" i="32"/>
  <c r="AP487" i="32"/>
  <c r="AO487" i="32"/>
  <c r="AN487" i="32"/>
  <c r="AM487" i="32"/>
  <c r="AU1130" i="32"/>
  <c r="AP1130" i="32"/>
  <c r="AO1130" i="32"/>
  <c r="AN1130" i="32"/>
  <c r="AM1130" i="32"/>
  <c r="AU1129" i="32"/>
  <c r="AT1129" i="32" s="1"/>
  <c r="AP1129" i="32"/>
  <c r="AO1129" i="32"/>
  <c r="AN1129" i="32"/>
  <c r="AM1129" i="32"/>
  <c r="AU486" i="32"/>
  <c r="AT486" i="32" s="1"/>
  <c r="AP486" i="32"/>
  <c r="AO486" i="32"/>
  <c r="AN486" i="32"/>
  <c r="AM486" i="32"/>
  <c r="AU1128" i="32"/>
  <c r="AT1128" i="32" s="1"/>
  <c r="AP1128" i="32"/>
  <c r="AO1128" i="32"/>
  <c r="AN1128" i="32"/>
  <c r="AM1128" i="32"/>
  <c r="AU485" i="32"/>
  <c r="AT485" i="32" s="1"/>
  <c r="AP485" i="32"/>
  <c r="AO485" i="32"/>
  <c r="AN485" i="32"/>
  <c r="AM485" i="32"/>
  <c r="AU484" i="32"/>
  <c r="AS484" i="32" s="1"/>
  <c r="AP484" i="32"/>
  <c r="AO484" i="32"/>
  <c r="AN484" i="32"/>
  <c r="AM484" i="32"/>
  <c r="AU483" i="32"/>
  <c r="AQ483" i="32" s="1"/>
  <c r="AP483" i="32"/>
  <c r="AO483" i="32"/>
  <c r="AN483" i="32"/>
  <c r="AM483" i="32"/>
  <c r="AU1127" i="32"/>
  <c r="AQ1127" i="32" s="1"/>
  <c r="AP1127" i="32"/>
  <c r="AO1127" i="32"/>
  <c r="AN1127" i="32"/>
  <c r="AM1127" i="32"/>
  <c r="AU1126" i="32"/>
  <c r="AP1126" i="32"/>
  <c r="AO1126" i="32"/>
  <c r="AN1126" i="32"/>
  <c r="AM1126" i="32"/>
  <c r="AU482" i="32"/>
  <c r="AT482" i="32" s="1"/>
  <c r="AP482" i="32"/>
  <c r="AO482" i="32"/>
  <c r="AN482" i="32"/>
  <c r="AM482" i="32"/>
  <c r="AU1125" i="32"/>
  <c r="AT1125" i="32" s="1"/>
  <c r="AP1125" i="32"/>
  <c r="AO1125" i="32"/>
  <c r="AN1125" i="32"/>
  <c r="AM1125" i="32"/>
  <c r="AU481" i="32"/>
  <c r="AT481" i="32" s="1"/>
  <c r="AP481" i="32"/>
  <c r="AO481" i="32"/>
  <c r="AN481" i="32"/>
  <c r="AM481" i="32"/>
  <c r="AU480" i="32"/>
  <c r="AP480" i="32"/>
  <c r="AO480" i="32"/>
  <c r="AN480" i="32"/>
  <c r="AM480" i="32"/>
  <c r="AU1124" i="32"/>
  <c r="AT1124" i="32" s="1"/>
  <c r="AP1124" i="32"/>
  <c r="AO1124" i="32"/>
  <c r="AN1124" i="32"/>
  <c r="AM1124" i="32"/>
  <c r="AU1123" i="32"/>
  <c r="AQ1123" i="32" s="1"/>
  <c r="AP1123" i="32"/>
  <c r="AO1123" i="32"/>
  <c r="AN1123" i="32"/>
  <c r="AM1123" i="32"/>
  <c r="AU1122" i="32"/>
  <c r="AQ1122" i="32" s="1"/>
  <c r="AP1122" i="32"/>
  <c r="AO1122" i="32"/>
  <c r="AN1122" i="32"/>
  <c r="AM1122" i="32"/>
  <c r="AU679" i="32"/>
  <c r="AP679" i="32"/>
  <c r="AO679" i="32"/>
  <c r="AN679" i="32"/>
  <c r="AM679" i="32"/>
  <c r="AU479" i="32"/>
  <c r="AP479" i="32"/>
  <c r="AO479" i="32"/>
  <c r="AN479" i="32"/>
  <c r="AM479" i="32"/>
  <c r="AU1121" i="32"/>
  <c r="AT1121" i="32" s="1"/>
  <c r="AP1121" i="32"/>
  <c r="AO1121" i="32"/>
  <c r="AN1121" i="32"/>
  <c r="AM1121" i="32"/>
  <c r="AU1120" i="32"/>
  <c r="AP1120" i="32"/>
  <c r="AO1120" i="32"/>
  <c r="AN1120" i="32"/>
  <c r="AM1120" i="32"/>
  <c r="AU1119" i="32"/>
  <c r="AP1119" i="32"/>
  <c r="AO1119" i="32"/>
  <c r="AN1119" i="32"/>
  <c r="AM1119" i="32"/>
  <c r="AU1118" i="32"/>
  <c r="AS1118" i="32" s="1"/>
  <c r="AP1118" i="32"/>
  <c r="AO1118" i="32"/>
  <c r="AN1118" i="32"/>
  <c r="AM1118" i="32"/>
  <c r="AU1117" i="32"/>
  <c r="AP1117" i="32"/>
  <c r="AO1117" i="32"/>
  <c r="AN1117" i="32"/>
  <c r="AM1117" i="32"/>
  <c r="AU478" i="32"/>
  <c r="AQ478" i="32" s="1"/>
  <c r="AP478" i="32"/>
  <c r="AO478" i="32"/>
  <c r="AN478" i="32"/>
  <c r="AM478" i="32"/>
  <c r="AU1116" i="32"/>
  <c r="AP1116" i="32"/>
  <c r="AO1116" i="32"/>
  <c r="AN1116" i="32"/>
  <c r="AM1116" i="32"/>
  <c r="AU1115" i="32"/>
  <c r="AR1115" i="32" s="1"/>
  <c r="AP1115" i="32"/>
  <c r="AO1115" i="32"/>
  <c r="AN1115" i="32"/>
  <c r="AM1115" i="32"/>
  <c r="AU477" i="32"/>
  <c r="AP477" i="32"/>
  <c r="AO477" i="32"/>
  <c r="AN477" i="32"/>
  <c r="AM477" i="32"/>
  <c r="AU476" i="32"/>
  <c r="AT476" i="32" s="1"/>
  <c r="AP476" i="32"/>
  <c r="AO476" i="32"/>
  <c r="AN476" i="32"/>
  <c r="AM476" i="32"/>
  <c r="AU475" i="32"/>
  <c r="AT475" i="32" s="1"/>
  <c r="AP475" i="32"/>
  <c r="AO475" i="32"/>
  <c r="AN475" i="32"/>
  <c r="AM475" i="32"/>
  <c r="AU1114" i="32"/>
  <c r="AS1114" i="32" s="1"/>
  <c r="AP1114" i="32"/>
  <c r="AO1114" i="32"/>
  <c r="AN1114" i="32"/>
  <c r="AM1114" i="32"/>
  <c r="AU1113" i="32"/>
  <c r="AQ1113" i="32" s="1"/>
  <c r="AP1113" i="32"/>
  <c r="AO1113" i="32"/>
  <c r="AN1113" i="32"/>
  <c r="AM1113" i="32"/>
  <c r="AU474" i="32"/>
  <c r="AP474" i="32"/>
  <c r="AO474" i="32"/>
  <c r="AN474" i="32"/>
  <c r="AM474" i="32"/>
  <c r="AU473" i="32"/>
  <c r="AP473" i="32"/>
  <c r="AO473" i="32"/>
  <c r="AN473" i="32"/>
  <c r="AM473" i="32"/>
  <c r="AU472" i="32"/>
  <c r="AT472" i="32" s="1"/>
  <c r="AP472" i="32"/>
  <c r="AO472" i="32"/>
  <c r="AN472" i="32"/>
  <c r="AM472" i="32"/>
  <c r="AU471" i="32"/>
  <c r="AT471" i="32" s="1"/>
  <c r="AP471" i="32"/>
  <c r="AO471" i="32"/>
  <c r="AN471" i="32"/>
  <c r="AM471" i="32"/>
  <c r="AU470" i="32"/>
  <c r="AT470" i="32" s="1"/>
  <c r="AP470" i="32"/>
  <c r="AO470" i="32"/>
  <c r="AN470" i="32"/>
  <c r="AM470" i="32"/>
  <c r="AU469" i="32"/>
  <c r="AT469" i="32" s="1"/>
  <c r="AP469" i="32"/>
  <c r="AO469" i="32"/>
  <c r="AN469" i="32"/>
  <c r="AM469" i="32"/>
  <c r="AU468" i="32"/>
  <c r="AS468" i="32" s="1"/>
  <c r="AP468" i="32"/>
  <c r="AO468" i="32"/>
  <c r="AN468" i="32"/>
  <c r="AM468" i="32"/>
  <c r="AU467" i="32"/>
  <c r="AQ467" i="32" s="1"/>
  <c r="AP467" i="32"/>
  <c r="AO467" i="32"/>
  <c r="AN467" i="32"/>
  <c r="AM467" i="32"/>
  <c r="AU466" i="32"/>
  <c r="AQ466" i="32" s="1"/>
  <c r="AP466" i="32"/>
  <c r="AO466" i="32"/>
  <c r="AN466" i="32"/>
  <c r="AM466" i="32"/>
  <c r="AU465" i="32"/>
  <c r="AP465" i="32"/>
  <c r="AO465" i="32"/>
  <c r="AN465" i="32"/>
  <c r="AM465" i="32"/>
  <c r="AU1112" i="32"/>
  <c r="AS1112" i="32" s="1"/>
  <c r="AP1112" i="32"/>
  <c r="AO1112" i="32"/>
  <c r="AN1112" i="32"/>
  <c r="AM1112" i="32"/>
  <c r="AU1111" i="32"/>
  <c r="AP1111" i="32"/>
  <c r="AO1111" i="32"/>
  <c r="AN1111" i="32"/>
  <c r="AM1111" i="32"/>
  <c r="AU464" i="32"/>
  <c r="AQ464" i="32" s="1"/>
  <c r="AP464" i="32"/>
  <c r="AO464" i="32"/>
  <c r="AN464" i="32"/>
  <c r="AM464" i="32"/>
  <c r="AU463" i="32"/>
  <c r="AS463" i="32" s="1"/>
  <c r="AP463" i="32"/>
  <c r="AO463" i="32"/>
  <c r="AN463" i="32"/>
  <c r="AM463" i="32"/>
  <c r="AU1110" i="32"/>
  <c r="AP1110" i="32"/>
  <c r="AO1110" i="32"/>
  <c r="AN1110" i="32"/>
  <c r="AM1110" i="32"/>
  <c r="AU462" i="32"/>
  <c r="AP462" i="32"/>
  <c r="AO462" i="32"/>
  <c r="AN462" i="32"/>
  <c r="AM462" i="32"/>
  <c r="AU461" i="32"/>
  <c r="AP461" i="32"/>
  <c r="AO461" i="32"/>
  <c r="AN461" i="32"/>
  <c r="AM461" i="32"/>
  <c r="AU460" i="32"/>
  <c r="AP460" i="32"/>
  <c r="AO460" i="32"/>
  <c r="AN460" i="32"/>
  <c r="AM460" i="32"/>
  <c r="AU1109" i="32"/>
  <c r="AP1109" i="32"/>
  <c r="AO1109" i="32"/>
  <c r="AN1109" i="32"/>
  <c r="AM1109" i="32"/>
  <c r="AU1108" i="32"/>
  <c r="AT1108" i="32" s="1"/>
  <c r="AP1108" i="32"/>
  <c r="AO1108" i="32"/>
  <c r="AN1108" i="32"/>
  <c r="AM1108" i="32"/>
  <c r="AU459" i="32"/>
  <c r="AT459" i="32" s="1"/>
  <c r="AP459" i="32"/>
  <c r="AO459" i="32"/>
  <c r="AN459" i="32"/>
  <c r="AM459" i="32"/>
  <c r="AU1107" i="32"/>
  <c r="AP1107" i="32"/>
  <c r="AO1107" i="32"/>
  <c r="AN1107" i="32"/>
  <c r="AM1107" i="32"/>
  <c r="AU1106" i="32"/>
  <c r="AS1106" i="32" s="1"/>
  <c r="AP1106" i="32"/>
  <c r="AO1106" i="32"/>
  <c r="AN1106" i="32"/>
  <c r="AM1106" i="32"/>
  <c r="AU458" i="32"/>
  <c r="AP458" i="32"/>
  <c r="AO458" i="32"/>
  <c r="AN458" i="32"/>
  <c r="AM458" i="32"/>
  <c r="AU457" i="32"/>
  <c r="AP457" i="32"/>
  <c r="AO457" i="32"/>
  <c r="AN457" i="32"/>
  <c r="AM457" i="32"/>
  <c r="AU1105" i="32"/>
  <c r="AP1105" i="32"/>
  <c r="AO1105" i="32"/>
  <c r="AN1105" i="32"/>
  <c r="AM1105" i="32"/>
  <c r="AU456" i="32"/>
  <c r="AT456" i="32" s="1"/>
  <c r="AP456" i="32"/>
  <c r="AO456" i="32"/>
  <c r="AN456" i="32"/>
  <c r="AM456" i="32"/>
  <c r="AU455" i="32"/>
  <c r="AT455" i="32" s="1"/>
  <c r="AP455" i="32"/>
  <c r="AO455" i="32"/>
  <c r="AN455" i="32"/>
  <c r="AM455" i="32"/>
  <c r="AU1104" i="32"/>
  <c r="AT1104" i="32" s="1"/>
  <c r="AP1104" i="32"/>
  <c r="AO1104" i="32"/>
  <c r="AN1104" i="32"/>
  <c r="AM1104" i="32"/>
  <c r="AU1103" i="32"/>
  <c r="AQ1103" i="32" s="1"/>
  <c r="AP1103" i="32"/>
  <c r="AO1103" i="32"/>
  <c r="AN1103" i="32"/>
  <c r="AM1103" i="32"/>
  <c r="AU1102" i="32"/>
  <c r="AS1102" i="32" s="1"/>
  <c r="AP1102" i="32"/>
  <c r="AO1102" i="32"/>
  <c r="AN1102" i="32"/>
  <c r="AM1102" i="32"/>
  <c r="AU454" i="32"/>
  <c r="AS454" i="32" s="1"/>
  <c r="AP454" i="32"/>
  <c r="AO454" i="32"/>
  <c r="AN454" i="32"/>
  <c r="AM454" i="32"/>
  <c r="AU1101" i="32"/>
  <c r="AP1101" i="32"/>
  <c r="AO1101" i="32"/>
  <c r="AN1101" i="32"/>
  <c r="AM1101" i="32"/>
  <c r="AU1100" i="32"/>
  <c r="AP1100" i="32"/>
  <c r="AO1100" i="32"/>
  <c r="AN1100" i="32"/>
  <c r="AM1100" i="32"/>
  <c r="AU1099" i="32"/>
  <c r="AT1099" i="32" s="1"/>
  <c r="AP1099" i="32"/>
  <c r="AO1099" i="32"/>
  <c r="AN1099" i="32"/>
  <c r="AM1099" i="32"/>
  <c r="AU1098" i="32"/>
  <c r="AT1098" i="32" s="1"/>
  <c r="AP1098" i="32"/>
  <c r="AO1098" i="32"/>
  <c r="AN1098" i="32"/>
  <c r="AM1098" i="32"/>
  <c r="AU1097" i="32"/>
  <c r="AP1097" i="32"/>
  <c r="AO1097" i="32"/>
  <c r="AN1097" i="32"/>
  <c r="AM1097" i="32"/>
  <c r="AU1096" i="32"/>
  <c r="AT1096" i="32" s="1"/>
  <c r="AP1096" i="32"/>
  <c r="AO1096" i="32"/>
  <c r="AN1096" i="32"/>
  <c r="AM1096" i="32"/>
  <c r="AU1095" i="32"/>
  <c r="AS1095" i="32" s="1"/>
  <c r="AP1095" i="32"/>
  <c r="AO1095" i="32"/>
  <c r="AN1095" i="32"/>
  <c r="AM1095" i="32"/>
  <c r="AU453" i="32"/>
  <c r="AS453" i="32" s="1"/>
  <c r="AP453" i="32"/>
  <c r="AO453" i="32"/>
  <c r="AN453" i="32"/>
  <c r="AM453" i="32"/>
  <c r="AU678" i="32"/>
  <c r="AQ678" i="32" s="1"/>
  <c r="AP678" i="32"/>
  <c r="AO678" i="32"/>
  <c r="AN678" i="32"/>
  <c r="AM678" i="32"/>
  <c r="AU452" i="32"/>
  <c r="AP452" i="32"/>
  <c r="AO452" i="32"/>
  <c r="AN452" i="32"/>
  <c r="AM452" i="32"/>
  <c r="AU1094" i="32"/>
  <c r="AP1094" i="32"/>
  <c r="AO1094" i="32"/>
  <c r="AN1094" i="32"/>
  <c r="AM1094" i="32"/>
  <c r="AU451" i="32"/>
  <c r="AR451" i="32" s="1"/>
  <c r="AP451" i="32"/>
  <c r="AO451" i="32"/>
  <c r="AN451" i="32"/>
  <c r="AM451" i="32"/>
  <c r="AU1093" i="32"/>
  <c r="AT1093" i="32" s="1"/>
  <c r="AP1093" i="32"/>
  <c r="AO1093" i="32"/>
  <c r="AN1093" i="32"/>
  <c r="AM1093" i="32"/>
  <c r="AU1092" i="32"/>
  <c r="AP1092" i="32"/>
  <c r="AO1092" i="32"/>
  <c r="AN1092" i="32"/>
  <c r="AM1092" i="32"/>
  <c r="AU450" i="32"/>
  <c r="AP450" i="32"/>
  <c r="AO450" i="32"/>
  <c r="AN450" i="32"/>
  <c r="AM450" i="32"/>
  <c r="AU449" i="32"/>
  <c r="AS449" i="32" s="1"/>
  <c r="AP449" i="32"/>
  <c r="AO449" i="32"/>
  <c r="AN449" i="32"/>
  <c r="AM449" i="32"/>
  <c r="AU1091" i="32"/>
  <c r="AQ1091" i="32" s="1"/>
  <c r="AP1091" i="32"/>
  <c r="AO1091" i="32"/>
  <c r="AN1091" i="32"/>
  <c r="AM1091" i="32"/>
  <c r="AU1090" i="32"/>
  <c r="AS1090" i="32" s="1"/>
  <c r="AP1090" i="32"/>
  <c r="AO1090" i="32"/>
  <c r="AN1090" i="32"/>
  <c r="AM1090" i="32"/>
  <c r="AU448" i="32"/>
  <c r="AT448" i="32" s="1"/>
  <c r="AP448" i="32"/>
  <c r="AO448" i="32"/>
  <c r="AN448" i="32"/>
  <c r="AM448" i="32"/>
  <c r="AU447" i="32"/>
  <c r="AQ447" i="32" s="1"/>
  <c r="AP447" i="32"/>
  <c r="AO447" i="32"/>
  <c r="AN447" i="32"/>
  <c r="AM447" i="32"/>
  <c r="AU446" i="32"/>
  <c r="AP446" i="32"/>
  <c r="AO446" i="32"/>
  <c r="AN446" i="32"/>
  <c r="AM446" i="32"/>
  <c r="AU445" i="32"/>
  <c r="AP445" i="32"/>
  <c r="AO445" i="32"/>
  <c r="AN445" i="32"/>
  <c r="AM445" i="32"/>
  <c r="AU444" i="32"/>
  <c r="AT444" i="32" s="1"/>
  <c r="AP444" i="32"/>
  <c r="AO444" i="32"/>
  <c r="AN444" i="32"/>
  <c r="AM444" i="32"/>
  <c r="AU443" i="32"/>
  <c r="AQ443" i="32" s="1"/>
  <c r="AP443" i="32"/>
  <c r="AO443" i="32"/>
  <c r="AN443" i="32"/>
  <c r="AM443" i="32"/>
  <c r="AU1089" i="32"/>
  <c r="AQ1089" i="32" s="1"/>
  <c r="AP1089" i="32"/>
  <c r="AO1089" i="32"/>
  <c r="AN1089" i="32"/>
  <c r="AM1089" i="32"/>
  <c r="AU442" i="32"/>
  <c r="AS442" i="32" s="1"/>
  <c r="AP442" i="32"/>
  <c r="AO442" i="32"/>
  <c r="AN442" i="32"/>
  <c r="AM442" i="32"/>
  <c r="AU441" i="32"/>
  <c r="AT441" i="32" s="1"/>
  <c r="AP441" i="32"/>
  <c r="AO441" i="32"/>
  <c r="AN441" i="32"/>
  <c r="AM441" i="32"/>
  <c r="AU1088" i="32"/>
  <c r="AR1088" i="32" s="1"/>
  <c r="AP1088" i="32"/>
  <c r="AO1088" i="32"/>
  <c r="AN1088" i="32"/>
  <c r="AM1088" i="32"/>
  <c r="AU440" i="32"/>
  <c r="AT440" i="32" s="1"/>
  <c r="AP440" i="32"/>
  <c r="AO440" i="32"/>
  <c r="AN440" i="32"/>
  <c r="AM440" i="32"/>
  <c r="AU1087" i="32"/>
  <c r="AT1087" i="32" s="1"/>
  <c r="AP1087" i="32"/>
  <c r="AO1087" i="32"/>
  <c r="AN1087" i="32"/>
  <c r="AM1087" i="32"/>
  <c r="AU439" i="32"/>
  <c r="AQ439" i="32" s="1"/>
  <c r="AP439" i="32"/>
  <c r="AO439" i="32"/>
  <c r="AN439" i="32"/>
  <c r="AM439" i="32"/>
  <c r="AU438" i="32"/>
  <c r="AR438" i="32" s="1"/>
  <c r="AP438" i="32"/>
  <c r="AO438" i="32"/>
  <c r="AN438" i="32"/>
  <c r="AM438" i="32"/>
  <c r="AU1086" i="32"/>
  <c r="AT1086" i="32" s="1"/>
  <c r="AP1086" i="32"/>
  <c r="AO1086" i="32"/>
  <c r="AN1086" i="32"/>
  <c r="AM1086" i="32"/>
  <c r="AU437" i="32"/>
  <c r="AS437" i="32" s="1"/>
  <c r="AP437" i="32"/>
  <c r="AO437" i="32"/>
  <c r="AN437" i="32"/>
  <c r="AM437" i="32"/>
  <c r="AU1085" i="32"/>
  <c r="AT1085" i="32" s="1"/>
  <c r="AP1085" i="32"/>
  <c r="AO1085" i="32"/>
  <c r="AN1085" i="32"/>
  <c r="AM1085" i="32"/>
  <c r="AU436" i="32"/>
  <c r="AR436" i="32" s="1"/>
  <c r="AP436" i="32"/>
  <c r="AO436" i="32"/>
  <c r="AN436" i="32"/>
  <c r="AM436" i="32"/>
  <c r="AU435" i="32"/>
  <c r="AP435" i="32"/>
  <c r="AO435" i="32"/>
  <c r="AN435" i="32"/>
  <c r="AM435" i="32"/>
  <c r="AU1084" i="32"/>
  <c r="AP1084" i="32"/>
  <c r="AO1084" i="32"/>
  <c r="AN1084" i="32"/>
  <c r="AM1084" i="32"/>
  <c r="AU434" i="32"/>
  <c r="AP434" i="32"/>
  <c r="AO434" i="32"/>
  <c r="AN434" i="32"/>
  <c r="AM434" i="32"/>
  <c r="AU1083" i="32"/>
  <c r="AR1083" i="32" s="1"/>
  <c r="AP1083" i="32"/>
  <c r="AO1083" i="32"/>
  <c r="AN1083" i="32"/>
  <c r="AM1083" i="32"/>
  <c r="AU433" i="32"/>
  <c r="AT433" i="32" s="1"/>
  <c r="AP433" i="32"/>
  <c r="AO433" i="32"/>
  <c r="AN433" i="32"/>
  <c r="AM433" i="32"/>
  <c r="AU1082" i="32"/>
  <c r="AS1082" i="32" s="1"/>
  <c r="AP1082" i="32"/>
  <c r="AO1082" i="32"/>
  <c r="AN1082" i="32"/>
  <c r="AM1082" i="32"/>
  <c r="AU432" i="32"/>
  <c r="AT432" i="32" s="1"/>
  <c r="AP432" i="32"/>
  <c r="AO432" i="32"/>
  <c r="AN432" i="32"/>
  <c r="AM432" i="32"/>
  <c r="AU1081" i="32"/>
  <c r="AQ1081" i="32" s="1"/>
  <c r="AP1081" i="32"/>
  <c r="AO1081" i="32"/>
  <c r="AN1081" i="32"/>
  <c r="AM1081" i="32"/>
  <c r="AU1080" i="32"/>
  <c r="AR1080" i="32" s="1"/>
  <c r="AP1080" i="32"/>
  <c r="AO1080" i="32"/>
  <c r="AN1080" i="32"/>
  <c r="AM1080" i="32"/>
  <c r="AU1079" i="32"/>
  <c r="AS1079" i="32" s="1"/>
  <c r="AP1079" i="32"/>
  <c r="AO1079" i="32"/>
  <c r="AN1079" i="32"/>
  <c r="AM1079" i="32"/>
  <c r="AU431" i="32"/>
  <c r="AP431" i="32"/>
  <c r="AO431" i="32"/>
  <c r="AN431" i="32"/>
  <c r="AM431" i="32"/>
  <c r="AU430" i="32"/>
  <c r="AP430" i="32"/>
  <c r="AO430" i="32"/>
  <c r="AN430" i="32"/>
  <c r="AM430" i="32"/>
  <c r="AU429" i="32"/>
  <c r="AP429" i="32"/>
  <c r="AO429" i="32"/>
  <c r="AN429" i="32"/>
  <c r="AM429" i="32"/>
  <c r="AU1078" i="32"/>
  <c r="AP1078" i="32"/>
  <c r="AO1078" i="32"/>
  <c r="AN1078" i="32"/>
  <c r="AM1078" i="32"/>
  <c r="AU1077" i="32"/>
  <c r="AT1077" i="32" s="1"/>
  <c r="AP1077" i="32"/>
  <c r="AO1077" i="32"/>
  <c r="AN1077" i="32"/>
  <c r="AM1077" i="32"/>
  <c r="AU1076" i="32"/>
  <c r="AS1076" i="32" s="1"/>
  <c r="AP1076" i="32"/>
  <c r="AO1076" i="32"/>
  <c r="AN1076" i="32"/>
  <c r="AM1076" i="32"/>
  <c r="AU428" i="32"/>
  <c r="AT428" i="32" s="1"/>
  <c r="AP428" i="32"/>
  <c r="AO428" i="32"/>
  <c r="AN428" i="32"/>
  <c r="AM428" i="32"/>
  <c r="AU427" i="32"/>
  <c r="AT427" i="32" s="1"/>
  <c r="AP427" i="32"/>
  <c r="AO427" i="32"/>
  <c r="AN427" i="32"/>
  <c r="AM427" i="32"/>
  <c r="AU1075" i="32"/>
  <c r="AQ1075" i="32" s="1"/>
  <c r="AP1075" i="32"/>
  <c r="AO1075" i="32"/>
  <c r="AN1075" i="32"/>
  <c r="AM1075" i="32"/>
  <c r="AU1074" i="32"/>
  <c r="AR1074" i="32" s="1"/>
  <c r="AP1074" i="32"/>
  <c r="AO1074" i="32"/>
  <c r="AN1074" i="32"/>
  <c r="AM1074" i="32"/>
  <c r="AU426" i="32"/>
  <c r="AP426" i="32"/>
  <c r="AO426" i="32"/>
  <c r="AN426" i="32"/>
  <c r="AM426" i="32"/>
  <c r="AU425" i="32"/>
  <c r="AP425" i="32"/>
  <c r="AO425" i="32"/>
  <c r="AN425" i="32"/>
  <c r="AM425" i="32"/>
  <c r="AU1073" i="32"/>
  <c r="AP1073" i="32"/>
  <c r="AO1073" i="32"/>
  <c r="AN1073" i="32"/>
  <c r="AM1073" i="32"/>
  <c r="AU424" i="32"/>
  <c r="AS424" i="32" s="1"/>
  <c r="AP424" i="32"/>
  <c r="AO424" i="32"/>
  <c r="AN424" i="32"/>
  <c r="AM424" i="32"/>
  <c r="AU1072" i="32"/>
  <c r="AP1072" i="32"/>
  <c r="AO1072" i="32"/>
  <c r="AN1072" i="32"/>
  <c r="AM1072" i="32"/>
  <c r="AU1071" i="32"/>
  <c r="AT1071" i="32" s="1"/>
  <c r="AP1071" i="32"/>
  <c r="AO1071" i="32"/>
  <c r="AN1071" i="32"/>
  <c r="AM1071" i="32"/>
  <c r="AU1070" i="32"/>
  <c r="AP1070" i="32"/>
  <c r="AO1070" i="32"/>
  <c r="AN1070" i="32"/>
  <c r="AM1070" i="32"/>
  <c r="AU1069" i="32"/>
  <c r="AT1069" i="32" s="1"/>
  <c r="AP1069" i="32"/>
  <c r="AO1069" i="32"/>
  <c r="AN1069" i="32"/>
  <c r="AM1069" i="32"/>
  <c r="AU1068" i="32"/>
  <c r="AT1068" i="32" s="1"/>
  <c r="AP1068" i="32"/>
  <c r="AO1068" i="32"/>
  <c r="AN1068" i="32"/>
  <c r="AM1068" i="32"/>
  <c r="AU423" i="32"/>
  <c r="AT423" i="32" s="1"/>
  <c r="AP423" i="32"/>
  <c r="AO423" i="32"/>
  <c r="AN423" i="32"/>
  <c r="AM423" i="32"/>
  <c r="AU1067" i="32"/>
  <c r="AP1067" i="32"/>
  <c r="AO1067" i="32"/>
  <c r="AN1067" i="32"/>
  <c r="AM1067" i="32"/>
  <c r="AU1066" i="32"/>
  <c r="AS1066" i="32" s="1"/>
  <c r="AP1066" i="32"/>
  <c r="AO1066" i="32"/>
  <c r="AN1066" i="32"/>
  <c r="AM1066" i="32"/>
  <c r="AU1065" i="32"/>
  <c r="AP1065" i="32"/>
  <c r="AO1065" i="32"/>
  <c r="AN1065" i="32"/>
  <c r="AM1065" i="32"/>
  <c r="AU1064" i="32"/>
  <c r="AS1064" i="32" s="1"/>
  <c r="AP1064" i="32"/>
  <c r="AO1064" i="32"/>
  <c r="AN1064" i="32"/>
  <c r="AM1064" i="32"/>
  <c r="AU1063" i="32"/>
  <c r="AT1063" i="32" s="1"/>
  <c r="AP1063" i="32"/>
  <c r="AO1063" i="32"/>
  <c r="AN1063" i="32"/>
  <c r="AM1063" i="32"/>
  <c r="AU1062" i="32"/>
  <c r="AT1062" i="32" s="1"/>
  <c r="AP1062" i="32"/>
  <c r="AO1062" i="32"/>
  <c r="AN1062" i="32"/>
  <c r="AM1062" i="32"/>
  <c r="AU1061" i="32"/>
  <c r="AP1061" i="32"/>
  <c r="AO1061" i="32"/>
  <c r="AN1061" i="32"/>
  <c r="AM1061" i="32"/>
  <c r="AU1060" i="32"/>
  <c r="AQ1060" i="32" s="1"/>
  <c r="AP1060" i="32"/>
  <c r="AO1060" i="32"/>
  <c r="AN1060" i="32"/>
  <c r="AM1060" i="32"/>
  <c r="AU677" i="32"/>
  <c r="AR677" i="32" s="1"/>
  <c r="AP677" i="32"/>
  <c r="AO677" i="32"/>
  <c r="AN677" i="32"/>
  <c r="AM677" i="32"/>
  <c r="AU1059" i="32"/>
  <c r="AP1059" i="32"/>
  <c r="AO1059" i="32"/>
  <c r="AN1059" i="32"/>
  <c r="AM1059" i="32"/>
  <c r="AU1058" i="32"/>
  <c r="AP1058" i="32"/>
  <c r="AO1058" i="32"/>
  <c r="AN1058" i="32"/>
  <c r="AM1058" i="32"/>
  <c r="AU1057" i="32"/>
  <c r="AS1057" i="32" s="1"/>
  <c r="AP1057" i="32"/>
  <c r="AO1057" i="32"/>
  <c r="AN1057" i="32"/>
  <c r="AM1057" i="32"/>
  <c r="AU422" i="32"/>
  <c r="AT422" i="32" s="1"/>
  <c r="AP422" i="32"/>
  <c r="AO422" i="32"/>
  <c r="AN422" i="32"/>
  <c r="AM422" i="32"/>
  <c r="AU1056" i="32"/>
  <c r="AT1056" i="32" s="1"/>
  <c r="AP1056" i="32"/>
  <c r="AO1056" i="32"/>
  <c r="AN1056" i="32"/>
  <c r="AM1056" i="32"/>
  <c r="AU421" i="32"/>
  <c r="AT421" i="32" s="1"/>
  <c r="AP421" i="32"/>
  <c r="AO421" i="32"/>
  <c r="AN421" i="32"/>
  <c r="AM421" i="32"/>
  <c r="AU1055" i="32"/>
  <c r="AQ1055" i="32" s="1"/>
  <c r="AP1055" i="32"/>
  <c r="AO1055" i="32"/>
  <c r="AN1055" i="32"/>
  <c r="AM1055" i="32"/>
  <c r="AU1054" i="32"/>
  <c r="AR1054" i="32" s="1"/>
  <c r="AP1054" i="32"/>
  <c r="AO1054" i="32"/>
  <c r="AN1054" i="32"/>
  <c r="AM1054" i="32"/>
  <c r="AU1053" i="32"/>
  <c r="AS1053" i="32" s="1"/>
  <c r="AP1053" i="32"/>
  <c r="AO1053" i="32"/>
  <c r="AN1053" i="32"/>
  <c r="AM1053" i="32"/>
  <c r="AU420" i="32"/>
  <c r="AP420" i="32"/>
  <c r="AO420" i="32"/>
  <c r="AN420" i="32"/>
  <c r="AM420" i="32"/>
  <c r="AU419" i="32"/>
  <c r="AS419" i="32" s="1"/>
  <c r="AP419" i="32"/>
  <c r="AO419" i="32"/>
  <c r="AN419" i="32"/>
  <c r="AM419" i="32"/>
  <c r="AU418" i="32"/>
  <c r="AT418" i="32" s="1"/>
  <c r="AP418" i="32"/>
  <c r="AO418" i="32"/>
  <c r="AN418" i="32"/>
  <c r="AM418" i="32"/>
  <c r="AU1052" i="32"/>
  <c r="AT1052" i="32" s="1"/>
  <c r="AP1052" i="32"/>
  <c r="AO1052" i="32"/>
  <c r="AN1052" i="32"/>
  <c r="AM1052" i="32"/>
  <c r="AU676" i="32"/>
  <c r="AT676" i="32" s="1"/>
  <c r="AP676" i="32"/>
  <c r="AO676" i="32"/>
  <c r="AN676" i="32"/>
  <c r="AM676" i="32"/>
  <c r="AU1051" i="32"/>
  <c r="AQ1051" i="32" s="1"/>
  <c r="AP1051" i="32"/>
  <c r="AO1051" i="32"/>
  <c r="AN1051" i="32"/>
  <c r="AM1051" i="32"/>
  <c r="AU417" i="32"/>
  <c r="AR417" i="32" s="1"/>
  <c r="AP417" i="32"/>
  <c r="AO417" i="32"/>
  <c r="AN417" i="32"/>
  <c r="AM417" i="32"/>
  <c r="AU416" i="32"/>
  <c r="AS416" i="32" s="1"/>
  <c r="AP416" i="32"/>
  <c r="AO416" i="32"/>
  <c r="AN416" i="32"/>
  <c r="AM416" i="32"/>
  <c r="AU415" i="32"/>
  <c r="AP415" i="32"/>
  <c r="AO415" i="32"/>
  <c r="AN415" i="32"/>
  <c r="AM415" i="32"/>
  <c r="AU1050" i="32"/>
  <c r="AT1050" i="32" s="1"/>
  <c r="AP1050" i="32"/>
  <c r="AO1050" i="32"/>
  <c r="AN1050" i="32"/>
  <c r="AM1050" i="32"/>
  <c r="AU1049" i="32"/>
  <c r="AP1049" i="32"/>
  <c r="AO1049" i="32"/>
  <c r="AN1049" i="32"/>
  <c r="AM1049" i="32"/>
  <c r="AU414" i="32"/>
  <c r="AQ414" i="32" s="1"/>
  <c r="AP414" i="32"/>
  <c r="AO414" i="32"/>
  <c r="AN414" i="32"/>
  <c r="AM414" i="32"/>
  <c r="AU413" i="32"/>
  <c r="AT413" i="32" s="1"/>
  <c r="AP413" i="32"/>
  <c r="AO413" i="32"/>
  <c r="AN413" i="32"/>
  <c r="AM413" i="32"/>
  <c r="AU1048" i="32"/>
  <c r="AT1048" i="32" s="1"/>
  <c r="AP1048" i="32"/>
  <c r="AO1048" i="32"/>
  <c r="AN1048" i="32"/>
  <c r="AM1048" i="32"/>
  <c r="AU1047" i="32"/>
  <c r="AP1047" i="32"/>
  <c r="AO1047" i="32"/>
  <c r="AN1047" i="32"/>
  <c r="AM1047" i="32"/>
  <c r="AU412" i="32"/>
  <c r="AS412" i="32" s="1"/>
  <c r="AP412" i="32"/>
  <c r="AO412" i="32"/>
  <c r="AN412" i="32"/>
  <c r="AM412" i="32"/>
  <c r="AU411" i="32"/>
  <c r="AP411" i="32"/>
  <c r="AO411" i="32"/>
  <c r="AN411" i="32"/>
  <c r="AM411" i="32"/>
  <c r="AU1046" i="32"/>
  <c r="AP1046" i="32"/>
  <c r="AO1046" i="32"/>
  <c r="AN1046" i="32"/>
  <c r="AM1046" i="32"/>
  <c r="AU410" i="32"/>
  <c r="AT410" i="32" s="1"/>
  <c r="AP410" i="32"/>
  <c r="AO410" i="32"/>
  <c r="AN410" i="32"/>
  <c r="AM410" i="32"/>
  <c r="AU1045" i="32"/>
  <c r="AP1045" i="32"/>
  <c r="AO1045" i="32"/>
  <c r="AN1045" i="32"/>
  <c r="AM1045" i="32"/>
  <c r="AU409" i="32"/>
  <c r="AP409" i="32"/>
  <c r="AO409" i="32"/>
  <c r="AN409" i="32"/>
  <c r="AM409" i="32"/>
  <c r="AU408" i="32"/>
  <c r="AQ408" i="32" s="1"/>
  <c r="AP408" i="32"/>
  <c r="AO408" i="32"/>
  <c r="AN408" i="32"/>
  <c r="AM408" i="32"/>
  <c r="AU1044" i="32"/>
  <c r="AR1044" i="32" s="1"/>
  <c r="AP1044" i="32"/>
  <c r="AO1044" i="32"/>
  <c r="AN1044" i="32"/>
  <c r="AM1044" i="32"/>
  <c r="AU1043" i="32"/>
  <c r="AP1043" i="32"/>
  <c r="AO1043" i="32"/>
  <c r="AN1043" i="32"/>
  <c r="AM1043" i="32"/>
  <c r="AU1042" i="32"/>
  <c r="AP1042" i="32"/>
  <c r="AO1042" i="32"/>
  <c r="AN1042" i="32"/>
  <c r="AM1042" i="32"/>
  <c r="AU1041" i="32"/>
  <c r="AS1041" i="32" s="1"/>
  <c r="AP1041" i="32"/>
  <c r="AO1041" i="32"/>
  <c r="AN1041" i="32"/>
  <c r="AM1041" i="32"/>
  <c r="AU1040" i="32"/>
  <c r="AT1040" i="32" s="1"/>
  <c r="AP1040" i="32"/>
  <c r="AO1040" i="32"/>
  <c r="AN1040" i="32"/>
  <c r="AM1040" i="32"/>
  <c r="AU407" i="32"/>
  <c r="AP407" i="32"/>
  <c r="AO407" i="32"/>
  <c r="AN407" i="32"/>
  <c r="AM407" i="32"/>
  <c r="AU1039" i="32"/>
  <c r="AR1039" i="32" s="1"/>
  <c r="AP1039" i="32"/>
  <c r="AO1039" i="32"/>
  <c r="AN1039" i="32"/>
  <c r="AM1039" i="32"/>
  <c r="AU1038" i="32"/>
  <c r="AP1038" i="32"/>
  <c r="AO1038" i="32"/>
  <c r="AN1038" i="32"/>
  <c r="AM1038" i="32"/>
  <c r="AU406" i="32"/>
  <c r="AP406" i="32"/>
  <c r="AO406" i="32"/>
  <c r="AN406" i="32"/>
  <c r="AM406" i="32"/>
  <c r="AU1037" i="32"/>
  <c r="AS1037" i="32" s="1"/>
  <c r="AP1037" i="32"/>
  <c r="AO1037" i="32"/>
  <c r="AN1037" i="32"/>
  <c r="AM1037" i="32"/>
  <c r="AU1036" i="32"/>
  <c r="AP1036" i="32"/>
  <c r="AO1036" i="32"/>
  <c r="AN1036" i="32"/>
  <c r="AM1036" i="32"/>
  <c r="AU1035" i="32"/>
  <c r="AS1035" i="32" s="1"/>
  <c r="AP1035" i="32"/>
  <c r="AO1035" i="32"/>
  <c r="AN1035" i="32"/>
  <c r="AM1035" i="32"/>
  <c r="AU1034" i="32"/>
  <c r="AT1034" i="32" s="1"/>
  <c r="AP1034" i="32"/>
  <c r="AO1034" i="32"/>
  <c r="AN1034" i="32"/>
  <c r="AM1034" i="32"/>
  <c r="AU1033" i="32"/>
  <c r="AP1033" i="32"/>
  <c r="AO1033" i="32"/>
  <c r="AN1033" i="32"/>
  <c r="AM1033" i="32"/>
  <c r="AU1032" i="32"/>
  <c r="AT1032" i="32" s="1"/>
  <c r="AP1032" i="32"/>
  <c r="AO1032" i="32"/>
  <c r="AN1032" i="32"/>
  <c r="AM1032" i="32"/>
  <c r="AU1031" i="32"/>
  <c r="AQ1031" i="32" s="1"/>
  <c r="AP1031" i="32"/>
  <c r="AO1031" i="32"/>
  <c r="AN1031" i="32"/>
  <c r="AM1031" i="32"/>
  <c r="AU405" i="32"/>
  <c r="AR405" i="32" s="1"/>
  <c r="AP405" i="32"/>
  <c r="AO405" i="32"/>
  <c r="AN405" i="32"/>
  <c r="AM405" i="32"/>
  <c r="AU1030" i="32"/>
  <c r="AS1030" i="32" s="1"/>
  <c r="AP1030" i="32"/>
  <c r="AO1030" i="32"/>
  <c r="AN1030" i="32"/>
  <c r="AM1030" i="32"/>
  <c r="AU1029" i="32"/>
  <c r="AP1029" i="32"/>
  <c r="AO1029" i="32"/>
  <c r="AN1029" i="32"/>
  <c r="AM1029" i="32"/>
  <c r="AU404" i="32"/>
  <c r="AP404" i="32"/>
  <c r="AO404" i="32"/>
  <c r="AN404" i="32"/>
  <c r="AM404" i="32"/>
  <c r="AU1028" i="32"/>
  <c r="AT1028" i="32" s="1"/>
  <c r="AP1028" i="32"/>
  <c r="AO1028" i="32"/>
  <c r="AN1028" i="32"/>
  <c r="AM1028" i="32"/>
  <c r="AU1027" i="32"/>
  <c r="AQ1027" i="32" s="1"/>
  <c r="AP1027" i="32"/>
  <c r="AO1027" i="32"/>
  <c r="AN1027" i="32"/>
  <c r="AM1027" i="32"/>
  <c r="AU1026" i="32"/>
  <c r="AP1026" i="32"/>
  <c r="AO1026" i="32"/>
  <c r="AN1026" i="32"/>
  <c r="AM1026" i="32"/>
  <c r="AU403" i="32"/>
  <c r="AT403" i="32" s="1"/>
  <c r="AP403" i="32"/>
  <c r="AO403" i="32"/>
  <c r="AN403" i="32"/>
  <c r="AM403" i="32"/>
  <c r="AU1025" i="32"/>
  <c r="AT1025" i="32" s="1"/>
  <c r="AP1025" i="32"/>
  <c r="AO1025" i="32"/>
  <c r="AN1025" i="32"/>
  <c r="AM1025" i="32"/>
  <c r="AU1024" i="32"/>
  <c r="AS1024" i="32" s="1"/>
  <c r="AP1024" i="32"/>
  <c r="AO1024" i="32"/>
  <c r="AN1024" i="32"/>
  <c r="AM1024" i="32"/>
  <c r="AU1023" i="32"/>
  <c r="AP1023" i="32"/>
  <c r="AO1023" i="32"/>
  <c r="AN1023" i="32"/>
  <c r="AM1023" i="32"/>
  <c r="AU1022" i="32"/>
  <c r="AS1022" i="32" s="1"/>
  <c r="AP1022" i="32"/>
  <c r="AO1022" i="32"/>
  <c r="AN1022" i="32"/>
  <c r="AM1022" i="32"/>
  <c r="AU1021" i="32"/>
  <c r="AT1021" i="32" s="1"/>
  <c r="AP1021" i="32"/>
  <c r="AO1021" i="32"/>
  <c r="AN1021" i="32"/>
  <c r="AM1021" i="32"/>
  <c r="AU1020" i="32"/>
  <c r="AP1020" i="32"/>
  <c r="AO1020" i="32"/>
  <c r="AN1020" i="32"/>
  <c r="AM1020" i="32"/>
  <c r="AU1019" i="32"/>
  <c r="AP1019" i="32"/>
  <c r="AO1019" i="32"/>
  <c r="AN1019" i="32"/>
  <c r="AM1019" i="32"/>
  <c r="AU402" i="32"/>
  <c r="AQ402" i="32" s="1"/>
  <c r="AP402" i="32"/>
  <c r="AO402" i="32"/>
  <c r="AN402" i="32"/>
  <c r="AM402" i="32"/>
  <c r="AU1018" i="32"/>
  <c r="AR1018" i="32" s="1"/>
  <c r="AP1018" i="32"/>
  <c r="AO1018" i="32"/>
  <c r="AN1018" i="32"/>
  <c r="AM1018" i="32"/>
  <c r="AU1017" i="32"/>
  <c r="AP1017" i="32"/>
  <c r="AO1017" i="32"/>
  <c r="AN1017" i="32"/>
  <c r="AM1017" i="32"/>
  <c r="AU1016" i="32"/>
  <c r="AP1016" i="32"/>
  <c r="AO1016" i="32"/>
  <c r="AN1016" i="32"/>
  <c r="AM1016" i="32"/>
  <c r="AU1015" i="32"/>
  <c r="AS1015" i="32" s="1"/>
  <c r="AP1015" i="32"/>
  <c r="AO1015" i="32"/>
  <c r="AN1015" i="32"/>
  <c r="AM1015" i="32"/>
  <c r="AU1014" i="32"/>
  <c r="AT1014" i="32" s="1"/>
  <c r="AP1014" i="32"/>
  <c r="AO1014" i="32"/>
  <c r="AN1014" i="32"/>
  <c r="AM1014" i="32"/>
  <c r="AU401" i="32"/>
  <c r="AT401" i="32" s="1"/>
  <c r="AP401" i="32"/>
  <c r="AO401" i="32"/>
  <c r="AN401" i="32"/>
  <c r="AM401" i="32"/>
  <c r="AU1013" i="32"/>
  <c r="AQ1013" i="32" s="1"/>
  <c r="AP1013" i="32"/>
  <c r="AO1013" i="32"/>
  <c r="AN1013" i="32"/>
  <c r="AM1013" i="32"/>
  <c r="AU1012" i="32"/>
  <c r="AQ1012" i="32" s="1"/>
  <c r="AP1012" i="32"/>
  <c r="AO1012" i="32"/>
  <c r="AN1012" i="32"/>
  <c r="AM1012" i="32"/>
  <c r="AU1011" i="32"/>
  <c r="AR1011" i="32" s="1"/>
  <c r="AP1011" i="32"/>
  <c r="AO1011" i="32"/>
  <c r="AN1011" i="32"/>
  <c r="AM1011" i="32"/>
  <c r="AU1010" i="32"/>
  <c r="AS1010" i="32" s="1"/>
  <c r="AP1010" i="32"/>
  <c r="AO1010" i="32"/>
  <c r="AN1010" i="32"/>
  <c r="AM1010" i="32"/>
  <c r="AU1009" i="32"/>
  <c r="AP1009" i="32"/>
  <c r="AO1009" i="32"/>
  <c r="AN1009" i="32"/>
  <c r="AM1009" i="32"/>
  <c r="AU1008" i="32"/>
  <c r="AS1008" i="32" s="1"/>
  <c r="AP1008" i="32"/>
  <c r="AO1008" i="32"/>
  <c r="AN1008" i="32"/>
  <c r="AM1008" i="32"/>
  <c r="AU400" i="32"/>
  <c r="AT400" i="32" s="1"/>
  <c r="AP400" i="32"/>
  <c r="AO400" i="32"/>
  <c r="AN400" i="32"/>
  <c r="AM400" i="32"/>
  <c r="AU1007" i="32"/>
  <c r="AR1007" i="32" s="1"/>
  <c r="AP1007" i="32"/>
  <c r="AO1007" i="32"/>
  <c r="AN1007" i="32"/>
  <c r="AM1007" i="32"/>
  <c r="AU1006" i="32"/>
  <c r="AP1006" i="32"/>
  <c r="AO1006" i="32"/>
  <c r="AN1006" i="32"/>
  <c r="AM1006" i="32"/>
  <c r="AU399" i="32"/>
  <c r="AQ399" i="32" s="1"/>
  <c r="AP399" i="32"/>
  <c r="AO399" i="32"/>
  <c r="AN399" i="32"/>
  <c r="AM399" i="32"/>
  <c r="AU1005" i="32"/>
  <c r="AR1005" i="32" s="1"/>
  <c r="AP1005" i="32"/>
  <c r="AO1005" i="32"/>
  <c r="AN1005" i="32"/>
  <c r="AM1005" i="32"/>
  <c r="AU398" i="32"/>
  <c r="AT398" i="32" s="1"/>
  <c r="AP398" i="32"/>
  <c r="AO398" i="32"/>
  <c r="AN398" i="32"/>
  <c r="AM398" i="32"/>
  <c r="AU1004" i="32"/>
  <c r="AP1004" i="32"/>
  <c r="AO1004" i="32"/>
  <c r="AN1004" i="32"/>
  <c r="AM1004" i="32"/>
  <c r="AU1003" i="32"/>
  <c r="AT1003" i="32" s="1"/>
  <c r="AP1003" i="32"/>
  <c r="AO1003" i="32"/>
  <c r="AN1003" i="32"/>
  <c r="AM1003" i="32"/>
  <c r="AU397" i="32"/>
  <c r="AT397" i="32" s="1"/>
  <c r="AP397" i="32"/>
  <c r="AO397" i="32"/>
  <c r="AN397" i="32"/>
  <c r="AM397" i="32"/>
  <c r="AU1002" i="32"/>
  <c r="AQ1002" i="32" s="1"/>
  <c r="AP1002" i="32"/>
  <c r="AO1002" i="32"/>
  <c r="AN1002" i="32"/>
  <c r="AM1002" i="32"/>
  <c r="AU396" i="32"/>
  <c r="AP396" i="32"/>
  <c r="AO396" i="32"/>
  <c r="AN396" i="32"/>
  <c r="AM396" i="32"/>
  <c r="AU1001" i="32"/>
  <c r="AP1001" i="32"/>
  <c r="AO1001" i="32"/>
  <c r="AN1001" i="32"/>
  <c r="AM1001" i="32"/>
  <c r="AU1000" i="32"/>
  <c r="AT1000" i="32" s="1"/>
  <c r="AP1000" i="32"/>
  <c r="AO1000" i="32"/>
  <c r="AN1000" i="32"/>
  <c r="AM1000" i="32"/>
  <c r="AU395" i="32"/>
  <c r="AT395" i="32" s="1"/>
  <c r="AP395" i="32"/>
  <c r="AO395" i="32"/>
  <c r="AN395" i="32"/>
  <c r="AM395" i="32"/>
  <c r="AU394" i="32"/>
  <c r="AP394" i="32"/>
  <c r="AO394" i="32"/>
  <c r="AN394" i="32"/>
  <c r="AM394" i="32"/>
  <c r="AU999" i="32"/>
  <c r="AS999" i="32" s="1"/>
  <c r="AP999" i="32"/>
  <c r="AO999" i="32"/>
  <c r="AN999" i="32"/>
  <c r="AM999" i="32"/>
  <c r="AU998" i="32"/>
  <c r="AT998" i="32" s="1"/>
  <c r="AP998" i="32"/>
  <c r="AO998" i="32"/>
  <c r="AN998" i="32"/>
  <c r="AM998" i="32"/>
  <c r="AU393" i="32"/>
  <c r="AQ393" i="32" s="1"/>
  <c r="AP393" i="32"/>
  <c r="AO393" i="32"/>
  <c r="AN393" i="32"/>
  <c r="AM393" i="32"/>
  <c r="AU997" i="32"/>
  <c r="AP997" i="32"/>
  <c r="AO997" i="32"/>
  <c r="AN997" i="32"/>
  <c r="AM997" i="32"/>
  <c r="AU392" i="32"/>
  <c r="AP392" i="32"/>
  <c r="AO392" i="32"/>
  <c r="AN392" i="32"/>
  <c r="AM392" i="32"/>
  <c r="AU996" i="32"/>
  <c r="AT996" i="32" s="1"/>
  <c r="AP996" i="32"/>
  <c r="AO996" i="32"/>
  <c r="AN996" i="32"/>
  <c r="AM996" i="32"/>
  <c r="AU995" i="32"/>
  <c r="AP995" i="32"/>
  <c r="AO995" i="32"/>
  <c r="AN995" i="32"/>
  <c r="AM995" i="32"/>
  <c r="AU391" i="32"/>
  <c r="AP391" i="32"/>
  <c r="AO391" i="32"/>
  <c r="AN391" i="32"/>
  <c r="AM391" i="32"/>
  <c r="AU390" i="32"/>
  <c r="AP390" i="32"/>
  <c r="AO390" i="32"/>
  <c r="AN390" i="32"/>
  <c r="AM390" i="32"/>
  <c r="AU389" i="32"/>
  <c r="AP389" i="32"/>
  <c r="AO389" i="32"/>
  <c r="AN389" i="32"/>
  <c r="AM389" i="32"/>
  <c r="AU994" i="32"/>
  <c r="AP994" i="32"/>
  <c r="AO994" i="32"/>
  <c r="AN994" i="32"/>
  <c r="AM994" i="32"/>
  <c r="AU388" i="32"/>
  <c r="AQ388" i="32" s="1"/>
  <c r="AP388" i="32"/>
  <c r="AO388" i="32"/>
  <c r="AN388" i="32"/>
  <c r="AM388" i="32"/>
  <c r="AU993" i="32"/>
  <c r="AQ993" i="32" s="1"/>
  <c r="AP993" i="32"/>
  <c r="AO993" i="32"/>
  <c r="AN993" i="32"/>
  <c r="AM993" i="32"/>
  <c r="AU992" i="32"/>
  <c r="AR992" i="32" s="1"/>
  <c r="AP992" i="32"/>
  <c r="AO992" i="32"/>
  <c r="AN992" i="32"/>
  <c r="AM992" i="32"/>
  <c r="AU387" i="32"/>
  <c r="AT387" i="32" s="1"/>
  <c r="AP387" i="32"/>
  <c r="AO387" i="32"/>
  <c r="AN387" i="32"/>
  <c r="AM387" i="32"/>
  <c r="AU991" i="32"/>
  <c r="AP991" i="32"/>
  <c r="AO991" i="32"/>
  <c r="AN991" i="32"/>
  <c r="AM991" i="32"/>
  <c r="AU990" i="32"/>
  <c r="AS990" i="32" s="1"/>
  <c r="AP990" i="32"/>
  <c r="AO990" i="32"/>
  <c r="AN990" i="32"/>
  <c r="AM990" i="32"/>
  <c r="AU386" i="32"/>
  <c r="AP386" i="32"/>
  <c r="AO386" i="32"/>
  <c r="AN386" i="32"/>
  <c r="AM386" i="32"/>
  <c r="AU385" i="32"/>
  <c r="AR385" i="32" s="1"/>
  <c r="AP385" i="32"/>
  <c r="AO385" i="32"/>
  <c r="AN385" i="32"/>
  <c r="AM385" i="32"/>
  <c r="AU989" i="32"/>
  <c r="AP989" i="32"/>
  <c r="AO989" i="32"/>
  <c r="AN989" i="32"/>
  <c r="AM989" i="32"/>
  <c r="AU384" i="32"/>
  <c r="AR384" i="32" s="1"/>
  <c r="AP384" i="32"/>
  <c r="AO384" i="32"/>
  <c r="AN384" i="32"/>
  <c r="AM384" i="32"/>
  <c r="AU988" i="32"/>
  <c r="AP988" i="32"/>
  <c r="AO988" i="32"/>
  <c r="AN988" i="32"/>
  <c r="AM988" i="32"/>
  <c r="AU987" i="32"/>
  <c r="AT987" i="32" s="1"/>
  <c r="AP987" i="32"/>
  <c r="AO987" i="32"/>
  <c r="AN987" i="32"/>
  <c r="AM987" i="32"/>
  <c r="AU986" i="32"/>
  <c r="AP986" i="32"/>
  <c r="AO986" i="32"/>
  <c r="AN986" i="32"/>
  <c r="AM986" i="32"/>
  <c r="AU383" i="32"/>
  <c r="AS383" i="32" s="1"/>
  <c r="AP383" i="32"/>
  <c r="AO383" i="32"/>
  <c r="AN383" i="32"/>
  <c r="AM383" i="32"/>
  <c r="AU985" i="32"/>
  <c r="AT985" i="32" s="1"/>
  <c r="AP985" i="32"/>
  <c r="AO985" i="32"/>
  <c r="AN985" i="32"/>
  <c r="AM985" i="32"/>
  <c r="AU984" i="32"/>
  <c r="AP984" i="32"/>
  <c r="AO984" i="32"/>
  <c r="AN984" i="32"/>
  <c r="AM984" i="32"/>
  <c r="AU983" i="32"/>
  <c r="AS983" i="32" s="1"/>
  <c r="AP983" i="32"/>
  <c r="AO983" i="32"/>
  <c r="AN983" i="32"/>
  <c r="AM983" i="32"/>
  <c r="AU982" i="32"/>
  <c r="AQ982" i="32" s="1"/>
  <c r="AP982" i="32"/>
  <c r="AO982" i="32"/>
  <c r="AN982" i="32"/>
  <c r="AM982" i="32"/>
  <c r="AU382" i="32"/>
  <c r="AR382" i="32" s="1"/>
  <c r="AP382" i="32"/>
  <c r="AO382" i="32"/>
  <c r="AN382" i="32"/>
  <c r="AM382" i="32"/>
  <c r="AU981" i="32"/>
  <c r="AT981" i="32" s="1"/>
  <c r="AP981" i="32"/>
  <c r="AO981" i="32"/>
  <c r="AN981" i="32"/>
  <c r="AM981" i="32"/>
  <c r="AU980" i="32"/>
  <c r="AP980" i="32"/>
  <c r="AO980" i="32"/>
  <c r="AN980" i="32"/>
  <c r="AM980" i="32"/>
  <c r="AU979" i="32"/>
  <c r="AP979" i="32"/>
  <c r="AO979" i="32"/>
  <c r="AN979" i="32"/>
  <c r="AM979" i="32"/>
  <c r="AU978" i="32"/>
  <c r="AP978" i="32"/>
  <c r="AO978" i="32"/>
  <c r="AN978" i="32"/>
  <c r="AM978" i="32"/>
  <c r="AU381" i="32"/>
  <c r="AP381" i="32"/>
  <c r="AO381" i="32"/>
  <c r="AN381" i="32"/>
  <c r="AM381" i="32"/>
  <c r="AU380" i="32"/>
  <c r="AQ380" i="32" s="1"/>
  <c r="AP380" i="32"/>
  <c r="AO380" i="32"/>
  <c r="AN380" i="32"/>
  <c r="AM380" i="32"/>
  <c r="AU977" i="32"/>
  <c r="AQ977" i="32" s="1"/>
  <c r="AP977" i="32"/>
  <c r="AO977" i="32"/>
  <c r="AN977" i="32"/>
  <c r="AM977" i="32"/>
  <c r="AU976" i="32"/>
  <c r="AR976" i="32" s="1"/>
  <c r="AP976" i="32"/>
  <c r="AO976" i="32"/>
  <c r="AN976" i="32"/>
  <c r="AM976" i="32"/>
  <c r="AU379" i="32"/>
  <c r="AT379" i="32" s="1"/>
  <c r="AP379" i="32"/>
  <c r="AO379" i="32"/>
  <c r="AN379" i="32"/>
  <c r="AM379" i="32"/>
  <c r="AU378" i="32"/>
  <c r="AP378" i="32"/>
  <c r="AO378" i="32"/>
  <c r="AN378" i="32"/>
  <c r="AM378" i="32"/>
  <c r="AU975" i="32"/>
  <c r="AP975" i="32"/>
  <c r="AO975" i="32"/>
  <c r="AN975" i="32"/>
  <c r="AM975" i="32"/>
  <c r="AU377" i="32"/>
  <c r="AP377" i="32"/>
  <c r="AO377" i="32"/>
  <c r="AN377" i="32"/>
  <c r="AM377" i="32"/>
  <c r="AU974" i="32"/>
  <c r="AR974" i="32" s="1"/>
  <c r="AP974" i="32"/>
  <c r="AO974" i="32"/>
  <c r="AN974" i="32"/>
  <c r="AM974" i="32"/>
  <c r="AU376" i="32"/>
  <c r="AR376" i="32" s="1"/>
  <c r="AP376" i="32"/>
  <c r="AO376" i="32"/>
  <c r="AN376" i="32"/>
  <c r="AM376" i="32"/>
  <c r="AU973" i="32"/>
  <c r="AT973" i="32" s="1"/>
  <c r="AP973" i="32"/>
  <c r="AO973" i="32"/>
  <c r="AN973" i="32"/>
  <c r="AM973" i="32"/>
  <c r="AU375" i="32"/>
  <c r="AT375" i="32" s="1"/>
  <c r="AP375" i="32"/>
  <c r="AO375" i="32"/>
  <c r="AN375" i="32"/>
  <c r="AM375" i="32"/>
  <c r="AU972" i="32"/>
  <c r="AT972" i="32" s="1"/>
  <c r="AP972" i="32"/>
  <c r="AO972" i="32"/>
  <c r="AN972" i="32"/>
  <c r="AM972" i="32"/>
  <c r="AU374" i="32"/>
  <c r="AP374" i="32"/>
  <c r="AO374" i="32"/>
  <c r="AN374" i="32"/>
  <c r="AM374" i="32"/>
  <c r="AU971" i="32"/>
  <c r="AR971" i="32" s="1"/>
  <c r="AP971" i="32"/>
  <c r="AO971" i="32"/>
  <c r="AN971" i="32"/>
  <c r="AM971" i="32"/>
  <c r="AU970" i="32"/>
  <c r="AR970" i="32" s="1"/>
  <c r="AP970" i="32"/>
  <c r="AO970" i="32"/>
  <c r="AN970" i="32"/>
  <c r="AM970" i="32"/>
  <c r="AU373" i="32"/>
  <c r="AP373" i="32"/>
  <c r="AO373" i="32"/>
  <c r="AN373" i="32"/>
  <c r="AM373" i="32"/>
  <c r="AU969" i="32"/>
  <c r="AQ969" i="32" s="1"/>
  <c r="AP969" i="32"/>
  <c r="AO969" i="32"/>
  <c r="AN969" i="32"/>
  <c r="AM969" i="32"/>
  <c r="AU372" i="32"/>
  <c r="AT372" i="32" s="1"/>
  <c r="AP372" i="32"/>
  <c r="AO372" i="32"/>
  <c r="AN372" i="32"/>
  <c r="AM372" i="32"/>
  <c r="AU371" i="32"/>
  <c r="AT371" i="32" s="1"/>
  <c r="AP371" i="32"/>
  <c r="AO371" i="32"/>
  <c r="AN371" i="32"/>
  <c r="AM371" i="32"/>
  <c r="AU370" i="32"/>
  <c r="AT370" i="32" s="1"/>
  <c r="AP370" i="32"/>
  <c r="AO370" i="32"/>
  <c r="AN370" i="32"/>
  <c r="AM370" i="32"/>
  <c r="AU369" i="32"/>
  <c r="AP369" i="32"/>
  <c r="AO369" i="32"/>
  <c r="AN369" i="32"/>
  <c r="AM369" i="32"/>
  <c r="AU968" i="32"/>
  <c r="AP968" i="32"/>
  <c r="AO968" i="32"/>
  <c r="AN968" i="32"/>
  <c r="AM968" i="32"/>
  <c r="AU368" i="32"/>
  <c r="AR368" i="32" s="1"/>
  <c r="AP368" i="32"/>
  <c r="AO368" i="32"/>
  <c r="AN368" i="32"/>
  <c r="AM368" i="32"/>
  <c r="AU967" i="32"/>
  <c r="AT967" i="32" s="1"/>
  <c r="AP967" i="32"/>
  <c r="AO967" i="32"/>
  <c r="AN967" i="32"/>
  <c r="AM967" i="32"/>
  <c r="AU367" i="32"/>
  <c r="AT367" i="32" s="1"/>
  <c r="AP367" i="32"/>
  <c r="AO367" i="32"/>
  <c r="AN367" i="32"/>
  <c r="AM367" i="32"/>
  <c r="AU366" i="32"/>
  <c r="AQ366" i="32" s="1"/>
  <c r="AP366" i="32"/>
  <c r="AO366" i="32"/>
  <c r="AN366" i="32"/>
  <c r="AM366" i="32"/>
  <c r="AU365" i="32"/>
  <c r="AR365" i="32" s="1"/>
  <c r="AP365" i="32"/>
  <c r="AO365" i="32"/>
  <c r="AN365" i="32"/>
  <c r="AM365" i="32"/>
  <c r="AU364" i="32"/>
  <c r="AT364" i="32" s="1"/>
  <c r="AP364" i="32"/>
  <c r="AO364" i="32"/>
  <c r="AN364" i="32"/>
  <c r="AM364" i="32"/>
  <c r="AU363" i="32"/>
  <c r="AP363" i="32"/>
  <c r="AO363" i="32"/>
  <c r="AN363" i="32"/>
  <c r="AM363" i="32"/>
  <c r="AU966" i="32"/>
  <c r="AP966" i="32"/>
  <c r="AO966" i="32"/>
  <c r="AN966" i="32"/>
  <c r="AM966" i="32"/>
  <c r="AU362" i="32"/>
  <c r="AR362" i="32" s="1"/>
  <c r="AP362" i="32"/>
  <c r="AO362" i="32"/>
  <c r="AN362" i="32"/>
  <c r="AM362" i="32"/>
  <c r="AU965" i="32"/>
  <c r="AS965" i="32" s="1"/>
  <c r="AP965" i="32"/>
  <c r="AO965" i="32"/>
  <c r="AN965" i="32"/>
  <c r="AM965" i="32"/>
  <c r="AU964" i="32"/>
  <c r="AQ964" i="32" s="1"/>
  <c r="AP964" i="32"/>
  <c r="AO964" i="32"/>
  <c r="AN964" i="32"/>
  <c r="AM964" i="32"/>
  <c r="AU963" i="32"/>
  <c r="AT963" i="32" s="1"/>
  <c r="AP963" i="32"/>
  <c r="AO963" i="32"/>
  <c r="AN963" i="32"/>
  <c r="AM963" i="32"/>
  <c r="AU962" i="32"/>
  <c r="AT962" i="32" s="1"/>
  <c r="AP962" i="32"/>
  <c r="AO962" i="32"/>
  <c r="AN962" i="32"/>
  <c r="AM962" i="32"/>
  <c r="AU961" i="32"/>
  <c r="AT961" i="32" s="1"/>
  <c r="AP961" i="32"/>
  <c r="AO961" i="32"/>
  <c r="AN961" i="32"/>
  <c r="AM961" i="32"/>
  <c r="AU361" i="32"/>
  <c r="AP361" i="32"/>
  <c r="AO361" i="32"/>
  <c r="AN361" i="32"/>
  <c r="AM361" i="32"/>
  <c r="AU675" i="32"/>
  <c r="AQ675" i="32" s="1"/>
  <c r="AP675" i="32"/>
  <c r="AO675" i="32"/>
  <c r="AN675" i="32"/>
  <c r="AM675" i="32"/>
  <c r="AU960" i="32"/>
  <c r="AT960" i="32" s="1"/>
  <c r="AP960" i="32"/>
  <c r="AO960" i="32"/>
  <c r="AN960" i="32"/>
  <c r="AM960" i="32"/>
  <c r="AU674" i="32"/>
  <c r="AQ674" i="32" s="1"/>
  <c r="AP674" i="32"/>
  <c r="AO674" i="32"/>
  <c r="AN674" i="32"/>
  <c r="AM674" i="32"/>
  <c r="AU360" i="32"/>
  <c r="AR360" i="32" s="1"/>
  <c r="AP360" i="32"/>
  <c r="AO360" i="32"/>
  <c r="AN360" i="32"/>
  <c r="AM360" i="32"/>
  <c r="AU359" i="32"/>
  <c r="AP359" i="32"/>
  <c r="AO359" i="32"/>
  <c r="AN359" i="32"/>
  <c r="AM359" i="32"/>
  <c r="AU358" i="32"/>
  <c r="AP358" i="32"/>
  <c r="AO358" i="32"/>
  <c r="AN358" i="32"/>
  <c r="AM358" i="32"/>
  <c r="AU357" i="32"/>
  <c r="AT357" i="32" s="1"/>
  <c r="AP357" i="32"/>
  <c r="AO357" i="32"/>
  <c r="AN357" i="32"/>
  <c r="AM357" i="32"/>
  <c r="AU959" i="32"/>
  <c r="AP959" i="32"/>
  <c r="AO959" i="32"/>
  <c r="AN959" i="32"/>
  <c r="AM959" i="32"/>
  <c r="AU958" i="32"/>
  <c r="AT958" i="32" s="1"/>
  <c r="AP958" i="32"/>
  <c r="AO958" i="32"/>
  <c r="AN958" i="32"/>
  <c r="AM958" i="32"/>
  <c r="AU356" i="32"/>
  <c r="AP356" i="32"/>
  <c r="AO356" i="32"/>
  <c r="AN356" i="32"/>
  <c r="AM356" i="32"/>
  <c r="AU957" i="32"/>
  <c r="AT957" i="32" s="1"/>
  <c r="AP957" i="32"/>
  <c r="AO957" i="32"/>
  <c r="AN957" i="32"/>
  <c r="AM957" i="32"/>
  <c r="AU956" i="32"/>
  <c r="AQ956" i="32" s="1"/>
  <c r="AP956" i="32"/>
  <c r="AO956" i="32"/>
  <c r="AN956" i="32"/>
  <c r="AM956" i="32"/>
  <c r="AU955" i="32"/>
  <c r="AQ955" i="32" s="1"/>
  <c r="AP955" i="32"/>
  <c r="AO955" i="32"/>
  <c r="AN955" i="32"/>
  <c r="AM955" i="32"/>
  <c r="AU355" i="32"/>
  <c r="AP355" i="32"/>
  <c r="AO355" i="32"/>
  <c r="AN355" i="32"/>
  <c r="AM355" i="32"/>
  <c r="AU673" i="32"/>
  <c r="AT673" i="32" s="1"/>
  <c r="AP673" i="32"/>
  <c r="AO673" i="32"/>
  <c r="AN673" i="32"/>
  <c r="AM673" i="32"/>
  <c r="AU954" i="32"/>
  <c r="AQ954" i="32" s="1"/>
  <c r="AP954" i="32"/>
  <c r="AO954" i="32"/>
  <c r="AN954" i="32"/>
  <c r="AM954" i="32"/>
  <c r="AU354" i="32"/>
  <c r="AT354" i="32" s="1"/>
  <c r="AP354" i="32"/>
  <c r="AO354" i="32"/>
  <c r="AN354" i="32"/>
  <c r="AM354" i="32"/>
  <c r="AU953" i="32"/>
  <c r="AP953" i="32"/>
  <c r="AO953" i="32"/>
  <c r="AN953" i="32"/>
  <c r="AM953" i="32"/>
  <c r="AU353" i="32"/>
  <c r="AQ353" i="32" s="1"/>
  <c r="AP353" i="32"/>
  <c r="AO353" i="32"/>
  <c r="AN353" i="32"/>
  <c r="AM353" i="32"/>
  <c r="AU952" i="32"/>
  <c r="AS952" i="32" s="1"/>
  <c r="AP952" i="32"/>
  <c r="AO952" i="32"/>
  <c r="AN952" i="32"/>
  <c r="AM952" i="32"/>
  <c r="AU352" i="32"/>
  <c r="AQ352" i="32" s="1"/>
  <c r="AP352" i="32"/>
  <c r="AO352" i="32"/>
  <c r="AN352" i="32"/>
  <c r="AM352" i="32"/>
  <c r="AU351" i="32"/>
  <c r="AR351" i="32" s="1"/>
  <c r="AP351" i="32"/>
  <c r="AO351" i="32"/>
  <c r="AN351" i="32"/>
  <c r="AM351" i="32"/>
  <c r="AU350" i="32"/>
  <c r="AT350" i="32" s="1"/>
  <c r="AP350" i="32"/>
  <c r="AO350" i="32"/>
  <c r="AN350" i="32"/>
  <c r="AM350" i="32"/>
  <c r="AU349" i="32"/>
  <c r="AS349" i="32" s="1"/>
  <c r="AP349" i="32"/>
  <c r="AO349" i="32"/>
  <c r="AN349" i="32"/>
  <c r="AM349" i="32"/>
  <c r="AU348" i="32"/>
  <c r="AT348" i="32" s="1"/>
  <c r="AP348" i="32"/>
  <c r="AO348" i="32"/>
  <c r="AN348" i="32"/>
  <c r="AM348" i="32"/>
  <c r="AU951" i="32"/>
  <c r="AP951" i="32"/>
  <c r="AO951" i="32"/>
  <c r="AN951" i="32"/>
  <c r="AM951" i="32"/>
  <c r="AU950" i="32"/>
  <c r="AQ950" i="32" s="1"/>
  <c r="AP950" i="32"/>
  <c r="AO950" i="32"/>
  <c r="AN950" i="32"/>
  <c r="AM950" i="32"/>
  <c r="AU347" i="32"/>
  <c r="AT347" i="32" s="1"/>
  <c r="AP347" i="32"/>
  <c r="AO347" i="32"/>
  <c r="AN347" i="32"/>
  <c r="AM347" i="32"/>
  <c r="AU949" i="32"/>
  <c r="AQ949" i="32" s="1"/>
  <c r="AP949" i="32"/>
  <c r="AO949" i="32"/>
  <c r="AN949" i="32"/>
  <c r="AM949" i="32"/>
  <c r="AU948" i="32"/>
  <c r="AR948" i="32" s="1"/>
  <c r="AP948" i="32"/>
  <c r="AO948" i="32"/>
  <c r="AN948" i="32"/>
  <c r="AM948" i="32"/>
  <c r="AU346" i="32"/>
  <c r="AT346" i="32" s="1"/>
  <c r="AP346" i="32"/>
  <c r="AO346" i="32"/>
  <c r="AN346" i="32"/>
  <c r="AM346" i="32"/>
  <c r="AU345" i="32"/>
  <c r="AS345" i="32" s="1"/>
  <c r="AP345" i="32"/>
  <c r="AO345" i="32"/>
  <c r="AN345" i="32"/>
  <c r="AM345" i="32"/>
  <c r="AU344" i="32"/>
  <c r="AQ344" i="32" s="1"/>
  <c r="AP344" i="32"/>
  <c r="AO344" i="32"/>
  <c r="AN344" i="32"/>
  <c r="AM344" i="32"/>
  <c r="AU343" i="32"/>
  <c r="AT343" i="32" s="1"/>
  <c r="AP343" i="32"/>
  <c r="AO343" i="32"/>
  <c r="AN343" i="32"/>
  <c r="AM343" i="32"/>
  <c r="AU947" i="32"/>
  <c r="AS947" i="32" s="1"/>
  <c r="AP947" i="32"/>
  <c r="AO947" i="32"/>
  <c r="AN947" i="32"/>
  <c r="AM947" i="32"/>
  <c r="AU342" i="32"/>
  <c r="AS342" i="32" s="1"/>
  <c r="AP342" i="32"/>
  <c r="AO342" i="32"/>
  <c r="AN342" i="32"/>
  <c r="AM342" i="32"/>
  <c r="AU946" i="32"/>
  <c r="AS946" i="32" s="1"/>
  <c r="AP946" i="32"/>
  <c r="AO946" i="32"/>
  <c r="AN946" i="32"/>
  <c r="AM946" i="32"/>
  <c r="AU341" i="32"/>
  <c r="AQ341" i="32" s="1"/>
  <c r="AP341" i="32"/>
  <c r="AO341" i="32"/>
  <c r="AN341" i="32"/>
  <c r="AM341" i="32"/>
  <c r="AU945" i="32"/>
  <c r="AT945" i="32" s="1"/>
  <c r="AP945" i="32"/>
  <c r="AO945" i="32"/>
  <c r="AN945" i="32"/>
  <c r="AM945" i="32"/>
  <c r="AU944" i="32"/>
  <c r="AS944" i="32" s="1"/>
  <c r="AP944" i="32"/>
  <c r="AO944" i="32"/>
  <c r="AN944" i="32"/>
  <c r="AM944" i="32"/>
  <c r="AU943" i="32"/>
  <c r="AP943" i="32"/>
  <c r="AO943" i="32"/>
  <c r="AN943" i="32"/>
  <c r="AM943" i="32"/>
  <c r="AU340" i="32"/>
  <c r="AS340" i="32" s="1"/>
  <c r="AP340" i="32"/>
  <c r="AO340" i="32"/>
  <c r="AN340" i="32"/>
  <c r="AM340" i="32"/>
  <c r="AU942" i="32"/>
  <c r="AT942" i="32" s="1"/>
  <c r="AP942" i="32"/>
  <c r="AO942" i="32"/>
  <c r="AN942" i="32"/>
  <c r="AM942" i="32"/>
  <c r="AU941" i="32"/>
  <c r="AT941" i="32" s="1"/>
  <c r="AP941" i="32"/>
  <c r="AO941" i="32"/>
  <c r="AN941" i="32"/>
  <c r="AM941" i="32"/>
  <c r="AU940" i="32"/>
  <c r="AT940" i="32" s="1"/>
  <c r="AP940" i="32"/>
  <c r="AO940" i="32"/>
  <c r="AN940" i="32"/>
  <c r="AM940" i="32"/>
  <c r="AU339" i="32"/>
  <c r="AQ339" i="32" s="1"/>
  <c r="AP339" i="32"/>
  <c r="AO339" i="32"/>
  <c r="AN339" i="32"/>
  <c r="AM339" i="32"/>
  <c r="AU338" i="32"/>
  <c r="AQ338" i="32" s="1"/>
  <c r="AP338" i="32"/>
  <c r="AO338" i="32"/>
  <c r="AN338" i="32"/>
  <c r="AM338" i="32"/>
  <c r="AU337" i="32"/>
  <c r="AP337" i="32"/>
  <c r="AO337" i="32"/>
  <c r="AN337" i="32"/>
  <c r="AM337" i="32"/>
  <c r="AU939" i="32"/>
  <c r="AS939" i="32" s="1"/>
  <c r="AP939" i="32"/>
  <c r="AO939" i="32"/>
  <c r="AN939" i="32"/>
  <c r="AM939" i="32"/>
  <c r="AU938" i="32"/>
  <c r="AT938" i="32" s="1"/>
  <c r="AP938" i="32"/>
  <c r="AO938" i="32"/>
  <c r="AN938" i="32"/>
  <c r="AM938" i="32"/>
  <c r="AU937" i="32"/>
  <c r="AS937" i="32" s="1"/>
  <c r="AP937" i="32"/>
  <c r="AO937" i="32"/>
  <c r="AN937" i="32"/>
  <c r="AM937" i="32"/>
  <c r="AU936" i="32"/>
  <c r="AT936" i="32" s="1"/>
  <c r="AP936" i="32"/>
  <c r="AO936" i="32"/>
  <c r="AN936" i="32"/>
  <c r="AM936" i="32"/>
  <c r="AU336" i="32"/>
  <c r="AT336" i="32" s="1"/>
  <c r="AP336" i="32"/>
  <c r="AO336" i="32"/>
  <c r="AN336" i="32"/>
  <c r="AM336" i="32"/>
  <c r="AU335" i="32"/>
  <c r="AQ335" i="32" s="1"/>
  <c r="AP335" i="32"/>
  <c r="AO335" i="32"/>
  <c r="AN335" i="32"/>
  <c r="AM335" i="32"/>
  <c r="AU334" i="32"/>
  <c r="AP334" i="32"/>
  <c r="AO334" i="32"/>
  <c r="AN334" i="32"/>
  <c r="AM334" i="32"/>
  <c r="AU333" i="32"/>
  <c r="AP333" i="32"/>
  <c r="AO333" i="32"/>
  <c r="AN333" i="32"/>
  <c r="AM333" i="32"/>
  <c r="AU935" i="32"/>
  <c r="AS935" i="32" s="1"/>
  <c r="AP935" i="32"/>
  <c r="AO935" i="32"/>
  <c r="AN935" i="32"/>
  <c r="AM935" i="32"/>
  <c r="AU332" i="32"/>
  <c r="AT332" i="32" s="1"/>
  <c r="AP332" i="32"/>
  <c r="AO332" i="32"/>
  <c r="AN332" i="32"/>
  <c r="AM332" i="32"/>
  <c r="AU934" i="32"/>
  <c r="AR934" i="32" s="1"/>
  <c r="AP934" i="32"/>
  <c r="AO934" i="32"/>
  <c r="AN934" i="32"/>
  <c r="AM934" i="32"/>
  <c r="AU672" i="32"/>
  <c r="AT672" i="32" s="1"/>
  <c r="AP672" i="32"/>
  <c r="AO672" i="32"/>
  <c r="AN672" i="32"/>
  <c r="AM672" i="32"/>
  <c r="AU331" i="32"/>
  <c r="AT331" i="32" s="1"/>
  <c r="AP331" i="32"/>
  <c r="AO331" i="32"/>
  <c r="AN331" i="32"/>
  <c r="AM331" i="32"/>
  <c r="AU330" i="32"/>
  <c r="AQ330" i="32" s="1"/>
  <c r="AP330" i="32"/>
  <c r="AO330" i="32"/>
  <c r="AN330" i="32"/>
  <c r="AM330" i="32"/>
  <c r="AU933" i="32"/>
  <c r="AQ933" i="32" s="1"/>
  <c r="AP933" i="32"/>
  <c r="AO933" i="32"/>
  <c r="AN933" i="32"/>
  <c r="AM933" i="32"/>
  <c r="AU932" i="32"/>
  <c r="AP932" i="32"/>
  <c r="AO932" i="32"/>
  <c r="AN932" i="32"/>
  <c r="AM932" i="32"/>
  <c r="AU329" i="32"/>
  <c r="AS329" i="32" s="1"/>
  <c r="AP329" i="32"/>
  <c r="AO329" i="32"/>
  <c r="AN329" i="32"/>
  <c r="AM329" i="32"/>
  <c r="AU931" i="32"/>
  <c r="AT931" i="32" s="1"/>
  <c r="AP931" i="32"/>
  <c r="AO931" i="32"/>
  <c r="AN931" i="32"/>
  <c r="AM931" i="32"/>
  <c r="AU328" i="32"/>
  <c r="AS328" i="32" s="1"/>
  <c r="AP328" i="32"/>
  <c r="AO328" i="32"/>
  <c r="AN328" i="32"/>
  <c r="AM328" i="32"/>
  <c r="AU930" i="32"/>
  <c r="AP930" i="32"/>
  <c r="AO930" i="32"/>
  <c r="AN930" i="32"/>
  <c r="AM930" i="32"/>
  <c r="AU327" i="32"/>
  <c r="AP327" i="32"/>
  <c r="AO327" i="32"/>
  <c r="AN327" i="32"/>
  <c r="AM327" i="32"/>
  <c r="AU929" i="32"/>
  <c r="AQ929" i="32" s="1"/>
  <c r="AP929" i="32"/>
  <c r="AO929" i="32"/>
  <c r="AN929" i="32"/>
  <c r="AM929" i="32"/>
  <c r="AU928" i="32"/>
  <c r="AQ928" i="32" s="1"/>
  <c r="AP928" i="32"/>
  <c r="AO928" i="32"/>
  <c r="AN928" i="32"/>
  <c r="AM928" i="32"/>
  <c r="AU927" i="32"/>
  <c r="AP927" i="32"/>
  <c r="AO927" i="32"/>
  <c r="AN927" i="32"/>
  <c r="AM927" i="32"/>
  <c r="AU326" i="32"/>
  <c r="AP326" i="32"/>
  <c r="AO326" i="32"/>
  <c r="AN326" i="32"/>
  <c r="AM326" i="32"/>
  <c r="AU926" i="32"/>
  <c r="AT926" i="32" s="1"/>
  <c r="AP926" i="32"/>
  <c r="AO926" i="32"/>
  <c r="AN926" i="32"/>
  <c r="AM926" i="32"/>
  <c r="AU325" i="32"/>
  <c r="AS325" i="32" s="1"/>
  <c r="AP325" i="32"/>
  <c r="AO325" i="32"/>
  <c r="AN325" i="32"/>
  <c r="AM325" i="32"/>
  <c r="AU324" i="32"/>
  <c r="AT324" i="32" s="1"/>
  <c r="AP324" i="32"/>
  <c r="AO324" i="32"/>
  <c r="AN324" i="32"/>
  <c r="AM324" i="32"/>
  <c r="AU925" i="32"/>
  <c r="AT925" i="32" s="1"/>
  <c r="AP925" i="32"/>
  <c r="AO925" i="32"/>
  <c r="AN925" i="32"/>
  <c r="AM925" i="32"/>
  <c r="AU323" i="32"/>
  <c r="AQ323" i="32" s="1"/>
  <c r="AP323" i="32"/>
  <c r="AO323" i="32"/>
  <c r="AN323" i="32"/>
  <c r="AM323" i="32"/>
  <c r="AU924" i="32"/>
  <c r="AP924" i="32"/>
  <c r="AO924" i="32"/>
  <c r="AN924" i="32"/>
  <c r="AM924" i="32"/>
  <c r="AU322" i="32"/>
  <c r="AP322" i="32"/>
  <c r="AO322" i="32"/>
  <c r="AN322" i="32"/>
  <c r="AM322" i="32"/>
  <c r="AU923" i="32"/>
  <c r="AS923" i="32" s="1"/>
  <c r="AP923" i="32"/>
  <c r="AO923" i="32"/>
  <c r="AN923" i="32"/>
  <c r="AM923" i="32"/>
  <c r="AU922" i="32"/>
  <c r="AT922" i="32" s="1"/>
  <c r="AP922" i="32"/>
  <c r="AO922" i="32"/>
  <c r="AN922" i="32"/>
  <c r="AM922" i="32"/>
  <c r="AU321" i="32"/>
  <c r="AS321" i="32" s="1"/>
  <c r="AP321" i="32"/>
  <c r="AO321" i="32"/>
  <c r="AN321" i="32"/>
  <c r="AM321" i="32"/>
  <c r="AU921" i="32"/>
  <c r="AT921" i="32" s="1"/>
  <c r="AP921" i="32"/>
  <c r="AO921" i="32"/>
  <c r="AN921" i="32"/>
  <c r="AM921" i="32"/>
  <c r="AU920" i="32"/>
  <c r="AT920" i="32" s="1"/>
  <c r="AP920" i="32"/>
  <c r="AO920" i="32"/>
  <c r="AN920" i="32"/>
  <c r="AM920" i="32"/>
  <c r="AU320" i="32"/>
  <c r="AQ320" i="32" s="1"/>
  <c r="AP320" i="32"/>
  <c r="AO320" i="32"/>
  <c r="AN320" i="32"/>
  <c r="AM320" i="32"/>
  <c r="AU319" i="32"/>
  <c r="AQ319" i="32" s="1"/>
  <c r="AP319" i="32"/>
  <c r="AO319" i="32"/>
  <c r="AN319" i="32"/>
  <c r="AM319" i="32"/>
  <c r="AU318" i="32"/>
  <c r="AP318" i="32"/>
  <c r="AO318" i="32"/>
  <c r="AN318" i="32"/>
  <c r="AM318" i="32"/>
  <c r="AU317" i="32"/>
  <c r="AS317" i="32" s="1"/>
  <c r="AP317" i="32"/>
  <c r="AO317" i="32"/>
  <c r="AN317" i="32"/>
  <c r="AM317" i="32"/>
  <c r="AU316" i="32"/>
  <c r="AT316" i="32" s="1"/>
  <c r="AP316" i="32"/>
  <c r="AO316" i="32"/>
  <c r="AN316" i="32"/>
  <c r="AM316" i="32"/>
  <c r="AU919" i="32"/>
  <c r="AS919" i="32" s="1"/>
  <c r="AP919" i="32"/>
  <c r="AO919" i="32"/>
  <c r="AN919" i="32"/>
  <c r="AM919" i="32"/>
  <c r="AU315" i="32"/>
  <c r="AP315" i="32"/>
  <c r="AO315" i="32"/>
  <c r="AN315" i="32"/>
  <c r="AM315" i="32"/>
  <c r="AU314" i="32"/>
  <c r="AS314" i="32" s="1"/>
  <c r="AP314" i="32"/>
  <c r="AO314" i="32"/>
  <c r="AN314" i="32"/>
  <c r="AM314" i="32"/>
  <c r="AU313" i="32"/>
  <c r="AQ313" i="32" s="1"/>
  <c r="AP313" i="32"/>
  <c r="AO313" i="32"/>
  <c r="AN313" i="32"/>
  <c r="AM313" i="32"/>
  <c r="AU312" i="32"/>
  <c r="AQ312" i="32" s="1"/>
  <c r="AP312" i="32"/>
  <c r="AO312" i="32"/>
  <c r="AN312" i="32"/>
  <c r="AM312" i="32"/>
  <c r="AU311" i="32"/>
  <c r="AP311" i="32"/>
  <c r="AO311" i="32"/>
  <c r="AN311" i="32"/>
  <c r="AM311" i="32"/>
  <c r="AU310" i="32"/>
  <c r="AS310" i="32" s="1"/>
  <c r="AP310" i="32"/>
  <c r="AO310" i="32"/>
  <c r="AN310" i="32"/>
  <c r="AM310" i="32"/>
  <c r="AU918" i="32"/>
  <c r="AT918" i="32" s="1"/>
  <c r="AP918" i="32"/>
  <c r="AO918" i="32"/>
  <c r="AN918" i="32"/>
  <c r="AM918" i="32"/>
  <c r="AU917" i="32"/>
  <c r="AS917" i="32" s="1"/>
  <c r="AP917" i="32"/>
  <c r="AO917" i="32"/>
  <c r="AN917" i="32"/>
  <c r="AM917" i="32"/>
  <c r="AU916" i="32"/>
  <c r="AT916" i="32" s="1"/>
  <c r="AP916" i="32"/>
  <c r="AO916" i="32"/>
  <c r="AN916" i="32"/>
  <c r="AM916" i="32"/>
  <c r="AU309" i="32"/>
  <c r="AT309" i="32" s="1"/>
  <c r="AP309" i="32"/>
  <c r="AO309" i="32"/>
  <c r="AN309" i="32"/>
  <c r="AM309" i="32"/>
  <c r="AU915" i="32"/>
  <c r="AQ915" i="32" s="1"/>
  <c r="AP915" i="32"/>
  <c r="AO915" i="32"/>
  <c r="AN915" i="32"/>
  <c r="AM915" i="32"/>
  <c r="AU914" i="32"/>
  <c r="AQ914" i="32" s="1"/>
  <c r="AP914" i="32"/>
  <c r="AO914" i="32"/>
  <c r="AN914" i="32"/>
  <c r="AM914" i="32"/>
  <c r="AU308" i="32"/>
  <c r="AP308" i="32"/>
  <c r="AO308" i="32"/>
  <c r="AN308" i="32"/>
  <c r="AM308" i="32"/>
  <c r="AU913" i="32"/>
  <c r="AS913" i="32" s="1"/>
  <c r="AP913" i="32"/>
  <c r="AO913" i="32"/>
  <c r="AN913" i="32"/>
  <c r="AM913" i="32"/>
  <c r="AU912" i="32"/>
  <c r="AP912" i="32"/>
  <c r="AO912" i="32"/>
  <c r="AN912" i="32"/>
  <c r="AM912" i="32"/>
  <c r="AU671" i="32"/>
  <c r="AS671" i="32" s="1"/>
  <c r="AP671" i="32"/>
  <c r="AO671" i="32"/>
  <c r="AN671" i="32"/>
  <c r="AM671" i="32"/>
  <c r="AU307" i="32"/>
  <c r="AT307" i="32" s="1"/>
  <c r="AP307" i="32"/>
  <c r="AO307" i="32"/>
  <c r="AN307" i="32"/>
  <c r="AM307" i="32"/>
  <c r="AU911" i="32"/>
  <c r="AT911" i="32" s="1"/>
  <c r="AP911" i="32"/>
  <c r="AO911" i="32"/>
  <c r="AN911" i="32"/>
  <c r="AM911" i="32"/>
  <c r="AU910" i="32"/>
  <c r="AQ910" i="32" s="1"/>
  <c r="AP910" i="32"/>
  <c r="AO910" i="32"/>
  <c r="AN910" i="32"/>
  <c r="AM910" i="32"/>
  <c r="AU909" i="32"/>
  <c r="AQ909" i="32" s="1"/>
  <c r="AP909" i="32"/>
  <c r="AO909" i="32"/>
  <c r="AN909" i="32"/>
  <c r="AM909" i="32"/>
  <c r="AU908" i="32"/>
  <c r="AP908" i="32"/>
  <c r="AO908" i="32"/>
  <c r="AN908" i="32"/>
  <c r="AM908" i="32"/>
  <c r="AU907" i="32"/>
  <c r="AS907" i="32" s="1"/>
  <c r="AP907" i="32"/>
  <c r="AO907" i="32"/>
  <c r="AN907" i="32"/>
  <c r="AM907" i="32"/>
  <c r="AU906" i="32"/>
  <c r="AT906" i="32" s="1"/>
  <c r="AP906" i="32"/>
  <c r="AO906" i="32"/>
  <c r="AN906" i="32"/>
  <c r="AM906" i="32"/>
  <c r="AU905" i="32"/>
  <c r="AR905" i="32" s="1"/>
  <c r="AP905" i="32"/>
  <c r="AO905" i="32"/>
  <c r="AN905" i="32"/>
  <c r="AM905" i="32"/>
  <c r="AU306" i="32"/>
  <c r="AT306" i="32" s="1"/>
  <c r="AP306" i="32"/>
  <c r="AO306" i="32"/>
  <c r="AN306" i="32"/>
  <c r="AM306" i="32"/>
  <c r="AU305" i="32"/>
  <c r="AT305" i="32" s="1"/>
  <c r="AP305" i="32"/>
  <c r="AO305" i="32"/>
  <c r="AN305" i="32"/>
  <c r="AM305" i="32"/>
  <c r="AU904" i="32"/>
  <c r="AQ904" i="32" s="1"/>
  <c r="AP904" i="32"/>
  <c r="AO904" i="32"/>
  <c r="AN904" i="32"/>
  <c r="AM904" i="32"/>
  <c r="AU903" i="32"/>
  <c r="AQ903" i="32" s="1"/>
  <c r="AP903" i="32"/>
  <c r="AO903" i="32"/>
  <c r="AN903" i="32"/>
  <c r="AM903" i="32"/>
  <c r="AU304" i="32"/>
  <c r="AP304" i="32"/>
  <c r="AO304" i="32"/>
  <c r="AN304" i="32"/>
  <c r="AM304" i="32"/>
  <c r="AU902" i="32"/>
  <c r="AP902" i="32"/>
  <c r="AO902" i="32"/>
  <c r="AN902" i="32"/>
  <c r="AM902" i="32"/>
  <c r="AU901" i="32"/>
  <c r="AT901" i="32" s="1"/>
  <c r="AP901" i="32"/>
  <c r="AO901" i="32"/>
  <c r="AN901" i="32"/>
  <c r="AM901" i="32"/>
  <c r="AU900" i="32"/>
  <c r="AS900" i="32" s="1"/>
  <c r="AP900" i="32"/>
  <c r="AO900" i="32"/>
  <c r="AN900" i="32"/>
  <c r="AM900" i="32"/>
  <c r="AU303" i="32"/>
  <c r="AP303" i="32"/>
  <c r="AO303" i="32"/>
  <c r="AN303" i="32"/>
  <c r="AM303" i="32"/>
  <c r="AU302" i="32"/>
  <c r="AS302" i="32" s="1"/>
  <c r="AP302" i="32"/>
  <c r="AO302" i="32"/>
  <c r="AN302" i="32"/>
  <c r="AM302" i="32"/>
  <c r="AU899" i="32"/>
  <c r="AQ899" i="32" s="1"/>
  <c r="AP899" i="32"/>
  <c r="AO899" i="32"/>
  <c r="AN899" i="32"/>
  <c r="AM899" i="32"/>
  <c r="AU898" i="32"/>
  <c r="AP898" i="32"/>
  <c r="AO898" i="32"/>
  <c r="AN898" i="32"/>
  <c r="AM898" i="32"/>
  <c r="AU897" i="32"/>
  <c r="AP897" i="32"/>
  <c r="AO897" i="32"/>
  <c r="AN897" i="32"/>
  <c r="AM897" i="32"/>
  <c r="AU301" i="32"/>
  <c r="AS301" i="32" s="1"/>
  <c r="AP301" i="32"/>
  <c r="AO301" i="32"/>
  <c r="AN301" i="32"/>
  <c r="AM301" i="32"/>
  <c r="AU896" i="32"/>
  <c r="AT896" i="32" s="1"/>
  <c r="AP896" i="32"/>
  <c r="AO896" i="32"/>
  <c r="AN896" i="32"/>
  <c r="AM896" i="32"/>
  <c r="AU895" i="32"/>
  <c r="AS895" i="32" s="1"/>
  <c r="AP895" i="32"/>
  <c r="AO895" i="32"/>
  <c r="AN895" i="32"/>
  <c r="AM895" i="32"/>
  <c r="AU300" i="32"/>
  <c r="AR300" i="32" s="1"/>
  <c r="AP300" i="32"/>
  <c r="AO300" i="32"/>
  <c r="AN300" i="32"/>
  <c r="AM300" i="32"/>
  <c r="AU894" i="32"/>
  <c r="AT894" i="32" s="1"/>
  <c r="AP894" i="32"/>
  <c r="AO894" i="32"/>
  <c r="AN894" i="32"/>
  <c r="AM894" i="32"/>
  <c r="AU893" i="32"/>
  <c r="AQ893" i="32" s="1"/>
  <c r="AP893" i="32"/>
  <c r="AO893" i="32"/>
  <c r="AN893" i="32"/>
  <c r="AM893" i="32"/>
  <c r="AU299" i="32"/>
  <c r="AT299" i="32" s="1"/>
  <c r="AP299" i="32"/>
  <c r="AO299" i="32"/>
  <c r="AN299" i="32"/>
  <c r="AM299" i="32"/>
  <c r="AU298" i="32"/>
  <c r="AP298" i="32"/>
  <c r="AO298" i="32"/>
  <c r="AN298" i="32"/>
  <c r="AM298" i="32"/>
  <c r="AU892" i="32"/>
  <c r="AS892" i="32" s="1"/>
  <c r="AP892" i="32"/>
  <c r="AO892" i="32"/>
  <c r="AN892" i="32"/>
  <c r="AM892" i="32"/>
  <c r="AU297" i="32"/>
  <c r="AT297" i="32" s="1"/>
  <c r="AP297" i="32"/>
  <c r="AO297" i="32"/>
  <c r="AN297" i="32"/>
  <c r="AM297" i="32"/>
  <c r="AU296" i="32"/>
  <c r="AR296" i="32" s="1"/>
  <c r="AP296" i="32"/>
  <c r="AO296" i="32"/>
  <c r="AN296" i="32"/>
  <c r="AM296" i="32"/>
  <c r="AU295" i="32"/>
  <c r="AQ295" i="32" s="1"/>
  <c r="AP295" i="32"/>
  <c r="AO295" i="32"/>
  <c r="AN295" i="32"/>
  <c r="AM295" i="32"/>
  <c r="AU294" i="32"/>
  <c r="AT294" i="32" s="1"/>
  <c r="AP294" i="32"/>
  <c r="AO294" i="32"/>
  <c r="AN294" i="32"/>
  <c r="AM294" i="32"/>
  <c r="AU293" i="32"/>
  <c r="AQ293" i="32" s="1"/>
  <c r="AP293" i="32"/>
  <c r="AO293" i="32"/>
  <c r="AN293" i="32"/>
  <c r="AM293" i="32"/>
  <c r="AU670" i="32"/>
  <c r="AT670" i="32" s="1"/>
  <c r="AP670" i="32"/>
  <c r="AO670" i="32"/>
  <c r="AN670" i="32"/>
  <c r="AM670" i="32"/>
  <c r="AU891" i="32"/>
  <c r="AP891" i="32"/>
  <c r="AO891" i="32"/>
  <c r="AN891" i="32"/>
  <c r="AM891" i="32"/>
  <c r="AU890" i="32"/>
  <c r="AS890" i="32" s="1"/>
  <c r="AP890" i="32"/>
  <c r="AO890" i="32"/>
  <c r="AN890" i="32"/>
  <c r="AM890" i="32"/>
  <c r="AU292" i="32"/>
  <c r="AT292" i="32" s="1"/>
  <c r="AP292" i="32"/>
  <c r="AO292" i="32"/>
  <c r="AN292" i="32"/>
  <c r="AM292" i="32"/>
  <c r="AU291" i="32"/>
  <c r="AR291" i="32" s="1"/>
  <c r="AP291" i="32"/>
  <c r="AO291" i="32"/>
  <c r="AN291" i="32"/>
  <c r="AM291" i="32"/>
  <c r="AU290" i="32"/>
  <c r="AQ290" i="32" s="1"/>
  <c r="AP290" i="32"/>
  <c r="AO290" i="32"/>
  <c r="AN290" i="32"/>
  <c r="AM290" i="32"/>
  <c r="AU289" i="32"/>
  <c r="AT289" i="32" s="1"/>
  <c r="AP289" i="32"/>
  <c r="AO289" i="32"/>
  <c r="AN289" i="32"/>
  <c r="AM289" i="32"/>
  <c r="AU288" i="32"/>
  <c r="AQ288" i="32" s="1"/>
  <c r="AP288" i="32"/>
  <c r="AO288" i="32"/>
  <c r="AN288" i="32"/>
  <c r="AM288" i="32"/>
  <c r="AU889" i="32"/>
  <c r="AT889" i="32" s="1"/>
  <c r="AP889" i="32"/>
  <c r="AO889" i="32"/>
  <c r="AN889" i="32"/>
  <c r="AM889" i="32"/>
  <c r="AU287" i="32"/>
  <c r="AP287" i="32"/>
  <c r="AO287" i="32"/>
  <c r="AN287" i="32"/>
  <c r="AM287" i="32"/>
  <c r="AU888" i="32"/>
  <c r="AS888" i="32" s="1"/>
  <c r="AP888" i="32"/>
  <c r="AO888" i="32"/>
  <c r="AN888" i="32"/>
  <c r="AM888" i="32"/>
  <c r="AU887" i="32"/>
  <c r="AT887" i="32" s="1"/>
  <c r="AP887" i="32"/>
  <c r="AO887" i="32"/>
  <c r="AN887" i="32"/>
  <c r="AM887" i="32"/>
  <c r="AU286" i="32"/>
  <c r="AP286" i="32"/>
  <c r="AO286" i="32"/>
  <c r="AN286" i="32"/>
  <c r="AM286" i="32"/>
  <c r="AU886" i="32"/>
  <c r="AT886" i="32" s="1"/>
  <c r="AP886" i="32"/>
  <c r="AO886" i="32"/>
  <c r="AN886" i="32"/>
  <c r="AM886" i="32"/>
  <c r="AU885" i="32"/>
  <c r="AP885" i="32"/>
  <c r="AO885" i="32"/>
  <c r="AN885" i="32"/>
  <c r="AM885" i="32"/>
  <c r="AU285" i="32"/>
  <c r="AQ285" i="32" s="1"/>
  <c r="AP285" i="32"/>
  <c r="AO285" i="32"/>
  <c r="AN285" i="32"/>
  <c r="AM285" i="32"/>
  <c r="AU884" i="32"/>
  <c r="AT884" i="32" s="1"/>
  <c r="AP884" i="32"/>
  <c r="AO884" i="32"/>
  <c r="AN884" i="32"/>
  <c r="AM884" i="32"/>
  <c r="AU284" i="32"/>
  <c r="AP284" i="32"/>
  <c r="AO284" i="32"/>
  <c r="AN284" i="32"/>
  <c r="AM284" i="32"/>
  <c r="AU283" i="32"/>
  <c r="AP283" i="32"/>
  <c r="AO283" i="32"/>
  <c r="AN283" i="32"/>
  <c r="AM283" i="32"/>
  <c r="AU282" i="32"/>
  <c r="AT282" i="32" s="1"/>
  <c r="AP282" i="32"/>
  <c r="AO282" i="32"/>
  <c r="AN282" i="32"/>
  <c r="AM282" i="32"/>
  <c r="AU281" i="32"/>
  <c r="AT281" i="32" s="1"/>
  <c r="AP281" i="32"/>
  <c r="AO281" i="32"/>
  <c r="AN281" i="32"/>
  <c r="AM281" i="32"/>
  <c r="AU883" i="32"/>
  <c r="AP883" i="32"/>
  <c r="AO883" i="32"/>
  <c r="AN883" i="32"/>
  <c r="AM883" i="32"/>
  <c r="AU882" i="32"/>
  <c r="AP882" i="32"/>
  <c r="AO882" i="32"/>
  <c r="AN882" i="32"/>
  <c r="AM882" i="32"/>
  <c r="AU881" i="32"/>
  <c r="AQ881" i="32" s="1"/>
  <c r="AP881" i="32"/>
  <c r="AO881" i="32"/>
  <c r="AN881" i="32"/>
  <c r="AM881" i="32"/>
  <c r="AU880" i="32"/>
  <c r="AQ880" i="32" s="1"/>
  <c r="AP880" i="32"/>
  <c r="AO880" i="32"/>
  <c r="AN880" i="32"/>
  <c r="AM880" i="32"/>
  <c r="AU879" i="32"/>
  <c r="AP879" i="32"/>
  <c r="AO879" i="32"/>
  <c r="AN879" i="32"/>
  <c r="AM879" i="32"/>
  <c r="AU280" i="32"/>
  <c r="AP280" i="32"/>
  <c r="AO280" i="32"/>
  <c r="AN280" i="32"/>
  <c r="AM280" i="32"/>
  <c r="AU878" i="32"/>
  <c r="AT878" i="32" s="1"/>
  <c r="AP878" i="32"/>
  <c r="AO878" i="32"/>
  <c r="AN878" i="32"/>
  <c r="AM878" i="32"/>
  <c r="AU279" i="32"/>
  <c r="AQ279" i="32" s="1"/>
  <c r="AP279" i="32"/>
  <c r="AO279" i="32"/>
  <c r="AN279" i="32"/>
  <c r="AM279" i="32"/>
  <c r="AU877" i="32"/>
  <c r="AT877" i="32" s="1"/>
  <c r="AP877" i="32"/>
  <c r="AO877" i="32"/>
  <c r="AN877" i="32"/>
  <c r="AM877" i="32"/>
  <c r="AU876" i="32"/>
  <c r="AS876" i="32" s="1"/>
  <c r="AP876" i="32"/>
  <c r="AO876" i="32"/>
  <c r="AN876" i="32"/>
  <c r="AM876" i="32"/>
  <c r="AU278" i="32"/>
  <c r="AQ278" i="32" s="1"/>
  <c r="AP278" i="32"/>
  <c r="AO278" i="32"/>
  <c r="AN278" i="32"/>
  <c r="AM278" i="32"/>
  <c r="AU875" i="32"/>
  <c r="AQ875" i="32" s="1"/>
  <c r="AP875" i="32"/>
  <c r="AO875" i="32"/>
  <c r="AN875" i="32"/>
  <c r="AM875" i="32"/>
  <c r="AU874" i="32"/>
  <c r="AP874" i="32"/>
  <c r="AO874" i="32"/>
  <c r="AN874" i="32"/>
  <c r="AM874" i="32"/>
  <c r="AU873" i="32"/>
  <c r="AS873" i="32" s="1"/>
  <c r="AP873" i="32"/>
  <c r="AO873" i="32"/>
  <c r="AN873" i="32"/>
  <c r="AM873" i="32"/>
  <c r="AU872" i="32"/>
  <c r="AP872" i="32"/>
  <c r="AO872" i="32"/>
  <c r="AN872" i="32"/>
  <c r="AM872" i="32"/>
  <c r="AU277" i="32"/>
  <c r="AR277" i="32" s="1"/>
  <c r="AP277" i="32"/>
  <c r="AO277" i="32"/>
  <c r="AN277" i="32"/>
  <c r="AM277" i="32"/>
  <c r="AU871" i="32"/>
  <c r="AQ871" i="32" s="1"/>
  <c r="AP871" i="32"/>
  <c r="AO871" i="32"/>
  <c r="AN871" i="32"/>
  <c r="AM871" i="32"/>
  <c r="AU870" i="32"/>
  <c r="AS870" i="32" s="1"/>
  <c r="AP870" i="32"/>
  <c r="AO870" i="32"/>
  <c r="AN870" i="32"/>
  <c r="AM870" i="32"/>
  <c r="AU276" i="32"/>
  <c r="AQ276" i="32" s="1"/>
  <c r="AP276" i="32"/>
  <c r="AO276" i="32"/>
  <c r="AN276" i="32"/>
  <c r="AM276" i="32"/>
  <c r="AU869" i="32"/>
  <c r="AP869" i="32"/>
  <c r="AO869" i="32"/>
  <c r="AN869" i="32"/>
  <c r="AM869" i="32"/>
  <c r="AU868" i="32"/>
  <c r="AP868" i="32"/>
  <c r="AO868" i="32"/>
  <c r="AN868" i="32"/>
  <c r="AM868" i="32"/>
  <c r="AU867" i="32"/>
  <c r="AS867" i="32" s="1"/>
  <c r="AP867" i="32"/>
  <c r="AO867" i="32"/>
  <c r="AN867" i="32"/>
  <c r="AM867" i="32"/>
  <c r="AU275" i="32"/>
  <c r="AP275" i="32"/>
  <c r="AO275" i="32"/>
  <c r="AN275" i="32"/>
  <c r="AM275" i="32"/>
  <c r="AU274" i="32"/>
  <c r="AP274" i="32"/>
  <c r="AO274" i="32"/>
  <c r="AN274" i="32"/>
  <c r="AM274" i="32"/>
  <c r="AU273" i="32"/>
  <c r="AT273" i="32" s="1"/>
  <c r="AP273" i="32"/>
  <c r="AO273" i="32"/>
  <c r="AN273" i="32"/>
  <c r="AM273" i="32"/>
  <c r="AU866" i="32"/>
  <c r="AP866" i="32"/>
  <c r="AO866" i="32"/>
  <c r="AN866" i="32"/>
  <c r="AM866" i="32"/>
  <c r="AU865" i="32"/>
  <c r="AP865" i="32"/>
  <c r="AO865" i="32"/>
  <c r="AN865" i="32"/>
  <c r="AM865" i="32"/>
  <c r="AU272" i="32"/>
  <c r="AT272" i="32" s="1"/>
  <c r="AP272" i="32"/>
  <c r="AO272" i="32"/>
  <c r="AN272" i="32"/>
  <c r="AM272" i="32"/>
  <c r="AU864" i="32"/>
  <c r="AP864" i="32"/>
  <c r="AO864" i="32"/>
  <c r="AN864" i="32"/>
  <c r="AM864" i="32"/>
  <c r="AU863" i="32"/>
  <c r="AS863" i="32" s="1"/>
  <c r="AP863" i="32"/>
  <c r="AO863" i="32"/>
  <c r="AN863" i="32"/>
  <c r="AM863" i="32"/>
  <c r="AU271" i="32"/>
  <c r="AT271" i="32" s="1"/>
  <c r="AP271" i="32"/>
  <c r="AO271" i="32"/>
  <c r="AN271" i="32"/>
  <c r="AM271" i="32"/>
  <c r="AU669" i="32"/>
  <c r="AT669" i="32" s="1"/>
  <c r="AP669" i="32"/>
  <c r="AO669" i="32"/>
  <c r="AN669" i="32"/>
  <c r="AM669" i="32"/>
  <c r="AU862" i="32"/>
  <c r="AP862" i="32"/>
  <c r="AO862" i="32"/>
  <c r="AN862" i="32"/>
  <c r="AM862" i="32"/>
  <c r="AU861" i="32"/>
  <c r="AS861" i="32" s="1"/>
  <c r="AP861" i="32"/>
  <c r="AO861" i="32"/>
  <c r="AN861" i="32"/>
  <c r="AM861" i="32"/>
  <c r="AU270" i="32"/>
  <c r="AS270" i="32" s="1"/>
  <c r="AP270" i="32"/>
  <c r="AO270" i="32"/>
  <c r="AN270" i="32"/>
  <c r="AM270" i="32"/>
  <c r="AU269" i="32"/>
  <c r="AT269" i="32" s="1"/>
  <c r="AP269" i="32"/>
  <c r="AO269" i="32"/>
  <c r="AN269" i="32"/>
  <c r="AM269" i="32"/>
  <c r="AU860" i="32"/>
  <c r="AS860" i="32" s="1"/>
  <c r="AP860" i="32"/>
  <c r="AO860" i="32"/>
  <c r="AN860" i="32"/>
  <c r="AM860" i="32"/>
  <c r="AU859" i="32"/>
  <c r="AS859" i="32" s="1"/>
  <c r="AP859" i="32"/>
  <c r="AO859" i="32"/>
  <c r="AN859" i="32"/>
  <c r="AM859" i="32"/>
  <c r="AU858" i="32"/>
  <c r="AQ858" i="32" s="1"/>
  <c r="AP858" i="32"/>
  <c r="AO858" i="32"/>
  <c r="AN858" i="32"/>
  <c r="AM858" i="32"/>
  <c r="AU857" i="32"/>
  <c r="AT857" i="32" s="1"/>
  <c r="AP857" i="32"/>
  <c r="AO857" i="32"/>
  <c r="AN857" i="32"/>
  <c r="AM857" i="32"/>
  <c r="AU268" i="32"/>
  <c r="AT268" i="32" s="1"/>
  <c r="AP268" i="32"/>
  <c r="AO268" i="32"/>
  <c r="AN268" i="32"/>
  <c r="AM268" i="32"/>
  <c r="AU856" i="32"/>
  <c r="AS856" i="32" s="1"/>
  <c r="AP856" i="32"/>
  <c r="AO856" i="32"/>
  <c r="AN856" i="32"/>
  <c r="AM856" i="32"/>
  <c r="AU855" i="32"/>
  <c r="AQ855" i="32" s="1"/>
  <c r="AP855" i="32"/>
  <c r="AO855" i="32"/>
  <c r="AN855" i="32"/>
  <c r="AM855" i="32"/>
  <c r="AU854" i="32"/>
  <c r="AQ854" i="32" s="1"/>
  <c r="AP854" i="32"/>
  <c r="AO854" i="32"/>
  <c r="AN854" i="32"/>
  <c r="AM854" i="32"/>
  <c r="AU267" i="32"/>
  <c r="AP267" i="32"/>
  <c r="AO267" i="32"/>
  <c r="AN267" i="32"/>
  <c r="AM267" i="32"/>
  <c r="AU266" i="32"/>
  <c r="AS266" i="32" s="1"/>
  <c r="AP266" i="32"/>
  <c r="AO266" i="32"/>
  <c r="AN266" i="32"/>
  <c r="AM266" i="32"/>
  <c r="AU265" i="32"/>
  <c r="AQ265" i="32" s="1"/>
  <c r="AP265" i="32"/>
  <c r="AO265" i="32"/>
  <c r="AN265" i="32"/>
  <c r="AM265" i="32"/>
  <c r="AU853" i="32"/>
  <c r="AT853" i="32" s="1"/>
  <c r="AP853" i="32"/>
  <c r="AO853" i="32"/>
  <c r="AN853" i="32"/>
  <c r="AM853" i="32"/>
  <c r="AU264" i="32"/>
  <c r="AR264" i="32" s="1"/>
  <c r="AP264" i="32"/>
  <c r="AO264" i="32"/>
  <c r="AN264" i="32"/>
  <c r="AM264" i="32"/>
  <c r="AU263" i="32"/>
  <c r="AS263" i="32" s="1"/>
  <c r="AP263" i="32"/>
  <c r="AO263" i="32"/>
  <c r="AN263" i="32"/>
  <c r="AM263" i="32"/>
  <c r="AU852" i="32"/>
  <c r="AT852" i="32" s="1"/>
  <c r="AP852" i="32"/>
  <c r="AO852" i="32"/>
  <c r="AN852" i="32"/>
  <c r="AM852" i="32"/>
  <c r="AU851" i="32"/>
  <c r="AQ851" i="32" s="1"/>
  <c r="AP851" i="32"/>
  <c r="AO851" i="32"/>
  <c r="AN851" i="32"/>
  <c r="AM851" i="32"/>
  <c r="AU262" i="32"/>
  <c r="AT262" i="32" s="1"/>
  <c r="AP262" i="32"/>
  <c r="AO262" i="32"/>
  <c r="AN262" i="32"/>
  <c r="AM262" i="32"/>
  <c r="AU261" i="32"/>
  <c r="AT261" i="32" s="1"/>
  <c r="AP261" i="32"/>
  <c r="AO261" i="32"/>
  <c r="AN261" i="32"/>
  <c r="AM261" i="32"/>
  <c r="AU260" i="32"/>
  <c r="AR260" i="32" s="1"/>
  <c r="AP260" i="32"/>
  <c r="AO260" i="32"/>
  <c r="AN260" i="32"/>
  <c r="AM260" i="32"/>
  <c r="AU259" i="32"/>
  <c r="AP259" i="32"/>
  <c r="AO259" i="32"/>
  <c r="AN259" i="32"/>
  <c r="AM259" i="32"/>
  <c r="AU850" i="32"/>
  <c r="AT850" i="32" s="1"/>
  <c r="AP850" i="32"/>
  <c r="AO850" i="32"/>
  <c r="AN850" i="32"/>
  <c r="AM850" i="32"/>
  <c r="AU258" i="32"/>
  <c r="AS258" i="32" s="1"/>
  <c r="AP258" i="32"/>
  <c r="AO258" i="32"/>
  <c r="AN258" i="32"/>
  <c r="AM258" i="32"/>
  <c r="AU257" i="32"/>
  <c r="AT257" i="32" s="1"/>
  <c r="AP257" i="32"/>
  <c r="AO257" i="32"/>
  <c r="AN257" i="32"/>
  <c r="AM257" i="32"/>
  <c r="AU256" i="32"/>
  <c r="AQ256" i="32" s="1"/>
  <c r="AP256" i="32"/>
  <c r="AO256" i="32"/>
  <c r="AN256" i="32"/>
  <c r="AM256" i="32"/>
  <c r="AU849" i="32"/>
  <c r="AT849" i="32" s="1"/>
  <c r="AP849" i="32"/>
  <c r="AO849" i="32"/>
  <c r="AN849" i="32"/>
  <c r="AM849" i="32"/>
  <c r="AU848" i="32"/>
  <c r="AT848" i="32" s="1"/>
  <c r="AP848" i="32"/>
  <c r="AO848" i="32"/>
  <c r="AN848" i="32"/>
  <c r="AM848" i="32"/>
  <c r="AU847" i="32"/>
  <c r="AP847" i="32"/>
  <c r="AO847" i="32"/>
  <c r="AN847" i="32"/>
  <c r="AM847" i="32"/>
  <c r="AU846" i="32"/>
  <c r="AQ846" i="32" s="1"/>
  <c r="AP846" i="32"/>
  <c r="AO846" i="32"/>
  <c r="AN846" i="32"/>
  <c r="AM846" i="32"/>
  <c r="AU255" i="32"/>
  <c r="AT255" i="32" s="1"/>
  <c r="AP255" i="32"/>
  <c r="AO255" i="32"/>
  <c r="AN255" i="32"/>
  <c r="AM255" i="32"/>
  <c r="AU254" i="32"/>
  <c r="AT254" i="32" s="1"/>
  <c r="AP254" i="32"/>
  <c r="AO254" i="32"/>
  <c r="AN254" i="32"/>
  <c r="AM254" i="32"/>
  <c r="AU845" i="32"/>
  <c r="AP845" i="32"/>
  <c r="AO845" i="32"/>
  <c r="AN845" i="32"/>
  <c r="AM845" i="32"/>
  <c r="AU844" i="32"/>
  <c r="AQ844" i="32" s="1"/>
  <c r="AP844" i="32"/>
  <c r="AO844" i="32"/>
  <c r="AN844" i="32"/>
  <c r="AM844" i="32"/>
  <c r="AU253" i="32"/>
  <c r="AT253" i="32" s="1"/>
  <c r="AP253" i="32"/>
  <c r="AO253" i="32"/>
  <c r="AN253" i="32"/>
  <c r="AM253" i="32"/>
  <c r="AU843" i="32"/>
  <c r="AT843" i="32" s="1"/>
  <c r="AP843" i="32"/>
  <c r="AO843" i="32"/>
  <c r="AN843" i="32"/>
  <c r="AM843" i="32"/>
  <c r="AU252" i="32"/>
  <c r="AR252" i="32" s="1"/>
  <c r="AP252" i="32"/>
  <c r="AO252" i="32"/>
  <c r="AN252" i="32"/>
  <c r="AM252" i="32"/>
  <c r="AU842" i="32"/>
  <c r="AQ842" i="32" s="1"/>
  <c r="AP842" i="32"/>
  <c r="AO842" i="32"/>
  <c r="AN842" i="32"/>
  <c r="AM842" i="32"/>
  <c r="AU841" i="32"/>
  <c r="AP841" i="32"/>
  <c r="AO841" i="32"/>
  <c r="AN841" i="32"/>
  <c r="AM841" i="32"/>
  <c r="AU251" i="32"/>
  <c r="AT251" i="32" s="1"/>
  <c r="AP251" i="32"/>
  <c r="AO251" i="32"/>
  <c r="AN251" i="32"/>
  <c r="AM251" i="32"/>
  <c r="AU840" i="32"/>
  <c r="AT840" i="32" s="1"/>
  <c r="AP840" i="32"/>
  <c r="AO840" i="32"/>
  <c r="AN840" i="32"/>
  <c r="AM840" i="32"/>
  <c r="AU839" i="32"/>
  <c r="AQ839" i="32" s="1"/>
  <c r="AP839" i="32"/>
  <c r="AO839" i="32"/>
  <c r="AN839" i="32"/>
  <c r="AM839" i="32"/>
  <c r="AU838" i="32"/>
  <c r="AR838" i="32" s="1"/>
  <c r="AP838" i="32"/>
  <c r="AO838" i="32"/>
  <c r="AN838" i="32"/>
  <c r="AM838" i="32"/>
  <c r="AU837" i="32"/>
  <c r="AS837" i="32" s="1"/>
  <c r="AP837" i="32"/>
  <c r="AO837" i="32"/>
  <c r="AN837" i="32"/>
  <c r="AM837" i="32"/>
  <c r="AU836" i="32"/>
  <c r="AT836" i="32" s="1"/>
  <c r="AP836" i="32"/>
  <c r="AO836" i="32"/>
  <c r="AN836" i="32"/>
  <c r="AM836" i="32"/>
  <c r="AU250" i="32"/>
  <c r="AT250" i="32" s="1"/>
  <c r="AP250" i="32"/>
  <c r="AO250" i="32"/>
  <c r="AN250" i="32"/>
  <c r="AM250" i="32"/>
  <c r="AU249" i="32"/>
  <c r="AQ249" i="32" s="1"/>
  <c r="AP249" i="32"/>
  <c r="AO249" i="32"/>
  <c r="AN249" i="32"/>
  <c r="AM249" i="32"/>
  <c r="AU835" i="32"/>
  <c r="AQ835" i="32" s="1"/>
  <c r="AP835" i="32"/>
  <c r="AO835" i="32"/>
  <c r="AN835" i="32"/>
  <c r="AM835" i="32"/>
  <c r="AU248" i="32"/>
  <c r="AP248" i="32"/>
  <c r="AO248" i="32"/>
  <c r="AN248" i="32"/>
  <c r="AM248" i="32"/>
  <c r="AU247" i="32"/>
  <c r="AP247" i="32"/>
  <c r="AO247" i="32"/>
  <c r="AN247" i="32"/>
  <c r="AM247" i="32"/>
  <c r="AU246" i="32"/>
  <c r="AP246" i="32"/>
  <c r="AO246" i="32"/>
  <c r="AN246" i="32"/>
  <c r="AM246" i="32"/>
  <c r="AU245" i="32"/>
  <c r="AT245" i="32" s="1"/>
  <c r="AP245" i="32"/>
  <c r="AO245" i="32"/>
  <c r="AN245" i="32"/>
  <c r="AM245" i="32"/>
  <c r="AU834" i="32"/>
  <c r="AT834" i="32" s="1"/>
  <c r="AP834" i="32"/>
  <c r="AO834" i="32"/>
  <c r="AN834" i="32"/>
  <c r="AM834" i="32"/>
  <c r="AU833" i="32"/>
  <c r="AP833" i="32"/>
  <c r="AO833" i="32"/>
  <c r="AN833" i="32"/>
  <c r="AM833" i="32"/>
  <c r="AU668" i="32"/>
  <c r="AT668" i="32" s="1"/>
  <c r="AP668" i="32"/>
  <c r="AO668" i="32"/>
  <c r="AN668" i="32"/>
  <c r="AM668" i="32"/>
  <c r="AU832" i="32"/>
  <c r="AQ832" i="32" s="1"/>
  <c r="AP832" i="32"/>
  <c r="AO832" i="32"/>
  <c r="AN832" i="32"/>
  <c r="AM832" i="32"/>
  <c r="AU831" i="32"/>
  <c r="AQ831" i="32" s="1"/>
  <c r="AP831" i="32"/>
  <c r="AO831" i="32"/>
  <c r="AN831" i="32"/>
  <c r="AM831" i="32"/>
  <c r="AU830" i="32"/>
  <c r="AP830" i="32"/>
  <c r="AO830" i="32"/>
  <c r="AN830" i="32"/>
  <c r="AM830" i="32"/>
  <c r="AU829" i="32"/>
  <c r="AP829" i="32"/>
  <c r="AO829" i="32"/>
  <c r="AN829" i="32"/>
  <c r="AM829" i="32"/>
  <c r="AU244" i="32"/>
  <c r="AQ244" i="32" s="1"/>
  <c r="AP244" i="32"/>
  <c r="AO244" i="32"/>
  <c r="AN244" i="32"/>
  <c r="AM244" i="32"/>
  <c r="AU243" i="32"/>
  <c r="AT243" i="32" s="1"/>
  <c r="AP243" i="32"/>
  <c r="AO243" i="32"/>
  <c r="AN243" i="32"/>
  <c r="AM243" i="32"/>
  <c r="AU828" i="32"/>
  <c r="AT828" i="32" s="1"/>
  <c r="AP828" i="32"/>
  <c r="AO828" i="32"/>
  <c r="AN828" i="32"/>
  <c r="AM828" i="32"/>
  <c r="AU827" i="32"/>
  <c r="AT827" i="32" s="1"/>
  <c r="AP827" i="32"/>
  <c r="AO827" i="32"/>
  <c r="AN827" i="32"/>
  <c r="AM827" i="32"/>
  <c r="AU826" i="32"/>
  <c r="AQ826" i="32" s="1"/>
  <c r="AP826" i="32"/>
  <c r="AO826" i="32"/>
  <c r="AN826" i="32"/>
  <c r="AM826" i="32"/>
  <c r="AU242" i="32"/>
  <c r="AQ242" i="32" s="1"/>
  <c r="AP242" i="32"/>
  <c r="AO242" i="32"/>
  <c r="AN242" i="32"/>
  <c r="AM242" i="32"/>
  <c r="AU241" i="32"/>
  <c r="AP241" i="32"/>
  <c r="AO241" i="32"/>
  <c r="AN241" i="32"/>
  <c r="AM241" i="32"/>
  <c r="AU825" i="32"/>
  <c r="AP825" i="32"/>
  <c r="AO825" i="32"/>
  <c r="AN825" i="32"/>
  <c r="AM825" i="32"/>
  <c r="AU824" i="32"/>
  <c r="AP824" i="32"/>
  <c r="AO824" i="32"/>
  <c r="AN824" i="32"/>
  <c r="AM824" i="32"/>
  <c r="AU823" i="32"/>
  <c r="AT823" i="32" s="1"/>
  <c r="AP823" i="32"/>
  <c r="AO823" i="32"/>
  <c r="AN823" i="32"/>
  <c r="AM823" i="32"/>
  <c r="AU822" i="32"/>
  <c r="AT822" i="32" s="1"/>
  <c r="AP822" i="32"/>
  <c r="AO822" i="32"/>
  <c r="AN822" i="32"/>
  <c r="AM822" i="32"/>
  <c r="AU240" i="32"/>
  <c r="AS240" i="32" s="1"/>
  <c r="AP240" i="32"/>
  <c r="AO240" i="32"/>
  <c r="AN240" i="32"/>
  <c r="AM240" i="32"/>
  <c r="AU821" i="32"/>
  <c r="AQ821" i="32" s="1"/>
  <c r="AP821" i="32"/>
  <c r="AO821" i="32"/>
  <c r="AN821" i="32"/>
  <c r="AM821" i="32"/>
  <c r="AU239" i="32"/>
  <c r="AQ239" i="32" s="1"/>
  <c r="AP239" i="32"/>
  <c r="AO239" i="32"/>
  <c r="AN239" i="32"/>
  <c r="AM239" i="32"/>
  <c r="AU238" i="32"/>
  <c r="AS238" i="32" s="1"/>
  <c r="AP238" i="32"/>
  <c r="AO238" i="32"/>
  <c r="AN238" i="32"/>
  <c r="AM238" i="32"/>
  <c r="AU820" i="32"/>
  <c r="AP820" i="32"/>
  <c r="AO820" i="32"/>
  <c r="AN820" i="32"/>
  <c r="AM820" i="32"/>
  <c r="AU237" i="32"/>
  <c r="AT237" i="32" s="1"/>
  <c r="AP237" i="32"/>
  <c r="AO237" i="32"/>
  <c r="AN237" i="32"/>
  <c r="AM237" i="32"/>
  <c r="AU667" i="32"/>
  <c r="AP667" i="32"/>
  <c r="AO667" i="32"/>
  <c r="AN667" i="32"/>
  <c r="AM667" i="32"/>
  <c r="AU819" i="32"/>
  <c r="AT819" i="32" s="1"/>
  <c r="AP819" i="32"/>
  <c r="AO819" i="32"/>
  <c r="AN819" i="32"/>
  <c r="AM819" i="32"/>
  <c r="AU236" i="32"/>
  <c r="AT236" i="32" s="1"/>
  <c r="AP236" i="32"/>
  <c r="AO236" i="32"/>
  <c r="AN236" i="32"/>
  <c r="AM236" i="32"/>
  <c r="AU818" i="32"/>
  <c r="AQ818" i="32" s="1"/>
  <c r="AP818" i="32"/>
  <c r="AO818" i="32"/>
  <c r="AN818" i="32"/>
  <c r="AM818" i="32"/>
  <c r="AU817" i="32"/>
  <c r="AQ817" i="32" s="1"/>
  <c r="AP817" i="32"/>
  <c r="AO817" i="32"/>
  <c r="AN817" i="32"/>
  <c r="AM817" i="32"/>
  <c r="AU235" i="32"/>
  <c r="AT235" i="32" s="1"/>
  <c r="AP235" i="32"/>
  <c r="AO235" i="32"/>
  <c r="AN235" i="32"/>
  <c r="AM235" i="32"/>
  <c r="AU816" i="32"/>
  <c r="AP816" i="32"/>
  <c r="AO816" i="32"/>
  <c r="AN816" i="32"/>
  <c r="AM816" i="32"/>
  <c r="AU234" i="32"/>
  <c r="AP234" i="32"/>
  <c r="AO234" i="32"/>
  <c r="AN234" i="32"/>
  <c r="AM234" i="32"/>
  <c r="AU815" i="32"/>
  <c r="AT815" i="32" s="1"/>
  <c r="AP815" i="32"/>
  <c r="AO815" i="32"/>
  <c r="AN815" i="32"/>
  <c r="AM815" i="32"/>
  <c r="AU233" i="32"/>
  <c r="AT233" i="32" s="1"/>
  <c r="AP233" i="32"/>
  <c r="AO233" i="32"/>
  <c r="AN233" i="32"/>
  <c r="AM233" i="32"/>
  <c r="AU814" i="32"/>
  <c r="AQ814" i="32" s="1"/>
  <c r="AP814" i="32"/>
  <c r="AO814" i="32"/>
  <c r="AN814" i="32"/>
  <c r="AM814" i="32"/>
  <c r="AU813" i="32"/>
  <c r="AS813" i="32" s="1"/>
  <c r="AP813" i="32"/>
  <c r="AO813" i="32"/>
  <c r="AN813" i="32"/>
  <c r="AM813" i="32"/>
  <c r="AU232" i="32"/>
  <c r="AQ232" i="32" s="1"/>
  <c r="AP232" i="32"/>
  <c r="AO232" i="32"/>
  <c r="AN232" i="32"/>
  <c r="AM232" i="32"/>
  <c r="AU812" i="32"/>
  <c r="AS812" i="32" s="1"/>
  <c r="AP812" i="32"/>
  <c r="AO812" i="32"/>
  <c r="AN812" i="32"/>
  <c r="AM812" i="32"/>
  <c r="AU811" i="32"/>
  <c r="AP811" i="32"/>
  <c r="AO811" i="32"/>
  <c r="AN811" i="32"/>
  <c r="AM811" i="32"/>
  <c r="AU231" i="32"/>
  <c r="AT231" i="32" s="1"/>
  <c r="AP231" i="32"/>
  <c r="AO231" i="32"/>
  <c r="AN231" i="32"/>
  <c r="AM231" i="32"/>
  <c r="AU810" i="32"/>
  <c r="AT810" i="32" s="1"/>
  <c r="AP810" i="32"/>
  <c r="AO810" i="32"/>
  <c r="AN810" i="32"/>
  <c r="AM810" i="32"/>
  <c r="AU809" i="32"/>
  <c r="AP809" i="32"/>
  <c r="AO809" i="32"/>
  <c r="AN809" i="32"/>
  <c r="AM809" i="32"/>
  <c r="AU808" i="32"/>
  <c r="AS808" i="32" s="1"/>
  <c r="AP808" i="32"/>
  <c r="AO808" i="32"/>
  <c r="AN808" i="32"/>
  <c r="AM808" i="32"/>
  <c r="AU230" i="32"/>
  <c r="AP230" i="32"/>
  <c r="AO230" i="32"/>
  <c r="AN230" i="32"/>
  <c r="AM230" i="32"/>
  <c r="AU807" i="32"/>
  <c r="AQ807" i="32" s="1"/>
  <c r="AP807" i="32"/>
  <c r="AO807" i="32"/>
  <c r="AN807" i="32"/>
  <c r="AM807" i="32"/>
  <c r="AU806" i="32"/>
  <c r="AP806" i="32"/>
  <c r="AO806" i="32"/>
  <c r="AN806" i="32"/>
  <c r="AM806" i="32"/>
  <c r="AU805" i="32"/>
  <c r="AP805" i="32"/>
  <c r="AO805" i="32"/>
  <c r="AN805" i="32"/>
  <c r="AM805" i="32"/>
  <c r="AU229" i="32"/>
  <c r="AT229" i="32" s="1"/>
  <c r="AP229" i="32"/>
  <c r="AO229" i="32"/>
  <c r="AN229" i="32"/>
  <c r="AM229" i="32"/>
  <c r="AU804" i="32"/>
  <c r="AT804" i="32" s="1"/>
  <c r="AP804" i="32"/>
  <c r="AO804" i="32"/>
  <c r="AN804" i="32"/>
  <c r="AM804" i="32"/>
  <c r="AU803" i="32"/>
  <c r="AT803" i="32" s="1"/>
  <c r="AP803" i="32"/>
  <c r="AO803" i="32"/>
  <c r="AN803" i="32"/>
  <c r="AM803" i="32"/>
  <c r="AU228" i="32"/>
  <c r="AT228" i="32" s="1"/>
  <c r="AP228" i="32"/>
  <c r="AO228" i="32"/>
  <c r="AN228" i="32"/>
  <c r="AM228" i="32"/>
  <c r="AU802" i="32"/>
  <c r="AP802" i="32"/>
  <c r="AO802" i="32"/>
  <c r="AN802" i="32"/>
  <c r="AM802" i="32"/>
  <c r="AU227" i="32"/>
  <c r="AP227" i="32"/>
  <c r="AO227" i="32"/>
  <c r="AN227" i="32"/>
  <c r="AM227" i="32"/>
  <c r="AU226" i="32"/>
  <c r="AT226" i="32" s="1"/>
  <c r="AP226" i="32"/>
  <c r="AO226" i="32"/>
  <c r="AN226" i="32"/>
  <c r="AM226" i="32"/>
  <c r="AU225" i="32"/>
  <c r="AP225" i="32"/>
  <c r="AO225" i="32"/>
  <c r="AN225" i="32"/>
  <c r="AM225" i="32"/>
  <c r="AU801" i="32"/>
  <c r="AT801" i="32" s="1"/>
  <c r="AP801" i="32"/>
  <c r="AO801" i="32"/>
  <c r="AN801" i="32"/>
  <c r="AM801" i="32"/>
  <c r="AU800" i="32"/>
  <c r="AT800" i="32" s="1"/>
  <c r="AP800" i="32"/>
  <c r="AO800" i="32"/>
  <c r="AN800" i="32"/>
  <c r="AM800" i="32"/>
  <c r="AU799" i="32"/>
  <c r="AT799" i="32" s="1"/>
  <c r="AP799" i="32"/>
  <c r="AO799" i="32"/>
  <c r="AN799" i="32"/>
  <c r="AM799" i="32"/>
  <c r="AU224" i="32"/>
  <c r="AP224" i="32"/>
  <c r="AO224" i="32"/>
  <c r="AN224" i="32"/>
  <c r="AM224" i="32"/>
  <c r="AU798" i="32"/>
  <c r="AQ798" i="32" s="1"/>
  <c r="AP798" i="32"/>
  <c r="AO798" i="32"/>
  <c r="AN798" i="32"/>
  <c r="AM798" i="32"/>
  <c r="AU223" i="32"/>
  <c r="AQ223" i="32" s="1"/>
  <c r="AP223" i="32"/>
  <c r="AO223" i="32"/>
  <c r="AN223" i="32"/>
  <c r="AM223" i="32"/>
  <c r="AU797" i="32"/>
  <c r="AT797" i="32" s="1"/>
  <c r="AP797" i="32"/>
  <c r="AO797" i="32"/>
  <c r="AN797" i="32"/>
  <c r="AM797" i="32"/>
  <c r="AU796" i="32"/>
  <c r="AP796" i="32"/>
  <c r="AO796" i="32"/>
  <c r="AN796" i="32"/>
  <c r="AM796" i="32"/>
  <c r="AU222" i="32"/>
  <c r="AT222" i="32" s="1"/>
  <c r="AP222" i="32"/>
  <c r="AO222" i="32"/>
  <c r="AN222" i="32"/>
  <c r="AM222" i="32"/>
  <c r="AU795" i="32"/>
  <c r="AT795" i="32" s="1"/>
  <c r="AP795" i="32"/>
  <c r="AO795" i="32"/>
  <c r="AN795" i="32"/>
  <c r="AM795" i="32"/>
  <c r="AU794" i="32"/>
  <c r="AT794" i="32" s="1"/>
  <c r="AP794" i="32"/>
  <c r="AO794" i="32"/>
  <c r="AN794" i="32"/>
  <c r="AM794" i="32"/>
  <c r="AU793" i="32"/>
  <c r="AS793" i="32" s="1"/>
  <c r="AP793" i="32"/>
  <c r="AO793" i="32"/>
  <c r="AN793" i="32"/>
  <c r="AM793" i="32"/>
  <c r="AU221" i="32"/>
  <c r="AP221" i="32"/>
  <c r="AO221" i="32"/>
  <c r="AN221" i="32"/>
  <c r="AM221" i="32"/>
  <c r="AU792" i="32"/>
  <c r="AQ792" i="32" s="1"/>
  <c r="AP792" i="32"/>
  <c r="AO792" i="32"/>
  <c r="AN792" i="32"/>
  <c r="AM792" i="32"/>
  <c r="AU791" i="32"/>
  <c r="AP791" i="32"/>
  <c r="AO791" i="32"/>
  <c r="AN791" i="32"/>
  <c r="AM791" i="32"/>
  <c r="AU790" i="32"/>
  <c r="AP790" i="32"/>
  <c r="AO790" i="32"/>
  <c r="AN790" i="32"/>
  <c r="AM790" i="32"/>
  <c r="AU789" i="32"/>
  <c r="AQ789" i="32" s="1"/>
  <c r="AP789" i="32"/>
  <c r="AO789" i="32"/>
  <c r="AN789" i="32"/>
  <c r="AM789" i="32"/>
  <c r="AU220" i="32"/>
  <c r="AT220" i="32" s="1"/>
  <c r="AP220" i="32"/>
  <c r="AO220" i="32"/>
  <c r="AN220" i="32"/>
  <c r="AM220" i="32"/>
  <c r="AU219" i="32"/>
  <c r="AT219" i="32" s="1"/>
  <c r="AP219" i="32"/>
  <c r="AO219" i="32"/>
  <c r="AN219" i="32"/>
  <c r="AM219" i="32"/>
  <c r="AU788" i="32"/>
  <c r="AT788" i="32" s="1"/>
  <c r="AP788" i="32"/>
  <c r="AO788" i="32"/>
  <c r="AN788" i="32"/>
  <c r="AM788" i="32"/>
  <c r="AU218" i="32"/>
  <c r="AQ218" i="32" s="1"/>
  <c r="AP218" i="32"/>
  <c r="AO218" i="32"/>
  <c r="AN218" i="32"/>
  <c r="AM218" i="32"/>
  <c r="AU787" i="32"/>
  <c r="AQ787" i="32" s="1"/>
  <c r="AP787" i="32"/>
  <c r="AO787" i="32"/>
  <c r="AN787" i="32"/>
  <c r="AM787" i="32"/>
  <c r="AU786" i="32"/>
  <c r="AP786" i="32"/>
  <c r="AO786" i="32"/>
  <c r="AN786" i="32"/>
  <c r="AM786" i="32"/>
  <c r="AU785" i="32"/>
  <c r="AP785" i="32"/>
  <c r="AO785" i="32"/>
  <c r="AN785" i="32"/>
  <c r="AM785" i="32"/>
  <c r="AU217" i="32"/>
  <c r="AS217" i="32" s="1"/>
  <c r="AP217" i="32"/>
  <c r="AO217" i="32"/>
  <c r="AN217" i="32"/>
  <c r="AM217" i="32"/>
  <c r="AU784" i="32"/>
  <c r="AT784" i="32" s="1"/>
  <c r="AP784" i="32"/>
  <c r="AO784" i="32"/>
  <c r="AN784" i="32"/>
  <c r="AM784" i="32"/>
  <c r="AU783" i="32"/>
  <c r="AT783" i="32" s="1"/>
  <c r="AP783" i="32"/>
  <c r="AO783" i="32"/>
  <c r="AN783" i="32"/>
  <c r="AM783" i="32"/>
  <c r="AU782" i="32"/>
  <c r="AT782" i="32" s="1"/>
  <c r="AP782" i="32"/>
  <c r="AO782" i="32"/>
  <c r="AN782" i="32"/>
  <c r="AM782" i="32"/>
  <c r="AU216" i="32"/>
  <c r="AQ216" i="32" s="1"/>
  <c r="AP216" i="32"/>
  <c r="AO216" i="32"/>
  <c r="AN216" i="32"/>
  <c r="AM216" i="32"/>
  <c r="AU781" i="32"/>
  <c r="AQ781" i="32" s="1"/>
  <c r="AP781" i="32"/>
  <c r="AO781" i="32"/>
  <c r="AN781" i="32"/>
  <c r="AM781" i="32"/>
  <c r="AU780" i="32"/>
  <c r="AS780" i="32" s="1"/>
  <c r="AP780" i="32"/>
  <c r="AO780" i="32"/>
  <c r="AN780" i="32"/>
  <c r="AM780" i="32"/>
  <c r="AU779" i="32"/>
  <c r="AP779" i="32"/>
  <c r="AO779" i="32"/>
  <c r="AN779" i="32"/>
  <c r="AM779" i="32"/>
  <c r="AU778" i="32"/>
  <c r="AT778" i="32" s="1"/>
  <c r="AP778" i="32"/>
  <c r="AO778" i="32"/>
  <c r="AN778" i="32"/>
  <c r="AM778" i="32"/>
  <c r="AU215" i="32"/>
  <c r="AP215" i="32"/>
  <c r="AO215" i="32"/>
  <c r="AN215" i="32"/>
  <c r="AM215" i="32"/>
  <c r="AU777" i="32"/>
  <c r="AT777" i="32" s="1"/>
  <c r="AP777" i="32"/>
  <c r="AO777" i="32"/>
  <c r="AN777" i="32"/>
  <c r="AM777" i="32"/>
  <c r="AU666" i="32"/>
  <c r="AP666" i="32"/>
  <c r="AO666" i="32"/>
  <c r="AN666" i="32"/>
  <c r="AM666" i="32"/>
  <c r="AU776" i="32"/>
  <c r="AQ776" i="32" s="1"/>
  <c r="AP776" i="32"/>
  <c r="AO776" i="32"/>
  <c r="AN776" i="32"/>
  <c r="AM776" i="32"/>
  <c r="AU775" i="32"/>
  <c r="AQ775" i="32" s="1"/>
  <c r="AP775" i="32"/>
  <c r="AO775" i="32"/>
  <c r="AN775" i="32"/>
  <c r="AM775" i="32"/>
  <c r="AU774" i="32"/>
  <c r="AS774" i="32" s="1"/>
  <c r="AP774" i="32"/>
  <c r="AO774" i="32"/>
  <c r="AN774" i="32"/>
  <c r="AM774" i="32"/>
  <c r="AU773" i="32"/>
  <c r="AP773" i="32"/>
  <c r="AO773" i="32"/>
  <c r="AN773" i="32"/>
  <c r="AM773" i="32"/>
  <c r="AU214" i="32"/>
  <c r="AP214" i="32"/>
  <c r="AO214" i="32"/>
  <c r="AN214" i="32"/>
  <c r="AM214" i="32"/>
  <c r="AU213" i="32"/>
  <c r="AT213" i="32" s="1"/>
  <c r="AP213" i="32"/>
  <c r="AO213" i="32"/>
  <c r="AN213" i="32"/>
  <c r="AM213" i="32"/>
  <c r="AU772" i="32"/>
  <c r="AR772" i="32" s="1"/>
  <c r="AP772" i="32"/>
  <c r="AO772" i="32"/>
  <c r="AN772" i="32"/>
  <c r="AM772" i="32"/>
  <c r="AU771" i="32"/>
  <c r="AT771" i="32" s="1"/>
  <c r="AP771" i="32"/>
  <c r="AO771" i="32"/>
  <c r="AN771" i="32"/>
  <c r="AM771" i="32"/>
  <c r="AU770" i="32"/>
  <c r="AT770" i="32" s="1"/>
  <c r="AP770" i="32"/>
  <c r="AO770" i="32"/>
  <c r="AN770" i="32"/>
  <c r="AM770" i="32"/>
  <c r="AU212" i="32"/>
  <c r="AQ212" i="32" s="1"/>
  <c r="AP212" i="32"/>
  <c r="AO212" i="32"/>
  <c r="AN212" i="32"/>
  <c r="AM212" i="32"/>
  <c r="AU211" i="32"/>
  <c r="AS211" i="32" s="1"/>
  <c r="AP211" i="32"/>
  <c r="AO211" i="32"/>
  <c r="AN211" i="32"/>
  <c r="AM211" i="32"/>
  <c r="AU210" i="32"/>
  <c r="AP210" i="32"/>
  <c r="AO210" i="32"/>
  <c r="AN210" i="32"/>
  <c r="AM210" i="32"/>
  <c r="AU769" i="32"/>
  <c r="AT769" i="32" s="1"/>
  <c r="AP769" i="32"/>
  <c r="AO769" i="32"/>
  <c r="AN769" i="32"/>
  <c r="AM769" i="32"/>
  <c r="AU209" i="32"/>
  <c r="AP209" i="32"/>
  <c r="AO209" i="32"/>
  <c r="AN209" i="32"/>
  <c r="AM209" i="32"/>
  <c r="AU208" i="32"/>
  <c r="AT208" i="32" s="1"/>
  <c r="AP208" i="32"/>
  <c r="AO208" i="32"/>
  <c r="AN208" i="32"/>
  <c r="AM208" i="32"/>
  <c r="AU768" i="32"/>
  <c r="AP768" i="32"/>
  <c r="AO768" i="32"/>
  <c r="AN768" i="32"/>
  <c r="AM768" i="32"/>
  <c r="AU767" i="32"/>
  <c r="AQ767" i="32" s="1"/>
  <c r="AP767" i="32"/>
  <c r="AO767" i="32"/>
  <c r="AN767" i="32"/>
  <c r="AM767" i="32"/>
  <c r="AU766" i="32"/>
  <c r="AQ766" i="32" s="1"/>
  <c r="AP766" i="32"/>
  <c r="AO766" i="32"/>
  <c r="AN766" i="32"/>
  <c r="AM766" i="32"/>
  <c r="AU207" i="32"/>
  <c r="AP207" i="32"/>
  <c r="AO207" i="32"/>
  <c r="AN207" i="32"/>
  <c r="AM207" i="32"/>
  <c r="AU765" i="32"/>
  <c r="AP765" i="32"/>
  <c r="AO765" i="32"/>
  <c r="AN765" i="32"/>
  <c r="AM765" i="32"/>
  <c r="AU764" i="32"/>
  <c r="AT764" i="32" s="1"/>
  <c r="AP764" i="32"/>
  <c r="AO764" i="32"/>
  <c r="AN764" i="32"/>
  <c r="AM764" i="32"/>
  <c r="AU763" i="32"/>
  <c r="AP763" i="32"/>
  <c r="AO763" i="32"/>
  <c r="AN763" i="32"/>
  <c r="AM763" i="32"/>
  <c r="AU206" i="32"/>
  <c r="AT206" i="32" s="1"/>
  <c r="AP206" i="32"/>
  <c r="AO206" i="32"/>
  <c r="AN206" i="32"/>
  <c r="AM206" i="32"/>
  <c r="AU205" i="32"/>
  <c r="AT205" i="32" s="1"/>
  <c r="AP205" i="32"/>
  <c r="AO205" i="32"/>
  <c r="AN205" i="32"/>
  <c r="AM205" i="32"/>
  <c r="AU204" i="32"/>
  <c r="AQ204" i="32" s="1"/>
  <c r="AP204" i="32"/>
  <c r="AO204" i="32"/>
  <c r="AN204" i="32"/>
  <c r="AM204" i="32"/>
  <c r="AU203" i="32"/>
  <c r="AQ203" i="32" s="1"/>
  <c r="AP203" i="32"/>
  <c r="AO203" i="32"/>
  <c r="AN203" i="32"/>
  <c r="AM203" i="32"/>
  <c r="AU202" i="32"/>
  <c r="AP202" i="32"/>
  <c r="AO202" i="32"/>
  <c r="AN202" i="32"/>
  <c r="AM202" i="32"/>
  <c r="AU201" i="32"/>
  <c r="AP201" i="32"/>
  <c r="AO201" i="32"/>
  <c r="AN201" i="32"/>
  <c r="AM201" i="32"/>
  <c r="AU762" i="32"/>
  <c r="AT762" i="32" s="1"/>
  <c r="AP762" i="32"/>
  <c r="AO762" i="32"/>
  <c r="AN762" i="32"/>
  <c r="AM762" i="32"/>
  <c r="AU200" i="32"/>
  <c r="AT200" i="32" s="1"/>
  <c r="AP200" i="32"/>
  <c r="AO200" i="32"/>
  <c r="AN200" i="32"/>
  <c r="AM200" i="32"/>
  <c r="AU761" i="32"/>
  <c r="AT761" i="32" s="1"/>
  <c r="AP761" i="32"/>
  <c r="AO761" i="32"/>
  <c r="AN761" i="32"/>
  <c r="AM761" i="32"/>
  <c r="AU760" i="32"/>
  <c r="AS760" i="32" s="1"/>
  <c r="AP760" i="32"/>
  <c r="AO760" i="32"/>
  <c r="AN760" i="32"/>
  <c r="AM760" i="32"/>
  <c r="AU199" i="32"/>
  <c r="AQ199" i="32" s="1"/>
  <c r="AP199" i="32"/>
  <c r="AO199" i="32"/>
  <c r="AN199" i="32"/>
  <c r="AM199" i="32"/>
  <c r="AU759" i="32"/>
  <c r="AQ759" i="32" s="1"/>
  <c r="AP759" i="32"/>
  <c r="AO759" i="32"/>
  <c r="AN759" i="32"/>
  <c r="AM759" i="32"/>
  <c r="AU758" i="32"/>
  <c r="AQ758" i="32" s="1"/>
  <c r="AP758" i="32"/>
  <c r="AO758" i="32"/>
  <c r="AN758" i="32"/>
  <c r="AM758" i="32"/>
  <c r="AU757" i="32"/>
  <c r="AP757" i="32"/>
  <c r="AO757" i="32"/>
  <c r="AN757" i="32"/>
  <c r="AM757" i="32"/>
  <c r="AU198" i="32"/>
  <c r="AQ198" i="32" s="1"/>
  <c r="AP198" i="32"/>
  <c r="AO198" i="32"/>
  <c r="AN198" i="32"/>
  <c r="AM198" i="32"/>
  <c r="AU756" i="32"/>
  <c r="AT756" i="32" s="1"/>
  <c r="AP756" i="32"/>
  <c r="AO756" i="32"/>
  <c r="AN756" i="32"/>
  <c r="AM756" i="32"/>
  <c r="AU197" i="32"/>
  <c r="AT197" i="32" s="1"/>
  <c r="AP197" i="32"/>
  <c r="AO197" i="32"/>
  <c r="AN197" i="32"/>
  <c r="AM197" i="32"/>
  <c r="AU196" i="32"/>
  <c r="AT196" i="32" s="1"/>
  <c r="AP196" i="32"/>
  <c r="AO196" i="32"/>
  <c r="AN196" i="32"/>
  <c r="AM196" i="32"/>
  <c r="AU717" i="32"/>
  <c r="AQ717" i="32" s="1"/>
  <c r="AP717" i="32"/>
  <c r="AO717" i="32"/>
  <c r="AN717" i="32"/>
  <c r="AM717" i="32"/>
  <c r="AU195" i="32"/>
  <c r="AQ195" i="32" s="1"/>
  <c r="AP195" i="32"/>
  <c r="AO195" i="32"/>
  <c r="AN195" i="32"/>
  <c r="AM195" i="32"/>
  <c r="AU194" i="32"/>
  <c r="AP194" i="32"/>
  <c r="AO194" i="32"/>
  <c r="AN194" i="32"/>
  <c r="AM194" i="32"/>
  <c r="AU193" i="32"/>
  <c r="AP193" i="32"/>
  <c r="AO193" i="32"/>
  <c r="AN193" i="32"/>
  <c r="AM193" i="32"/>
  <c r="AU192" i="32"/>
  <c r="AS192" i="32" s="1"/>
  <c r="AP192" i="32"/>
  <c r="AO192" i="32"/>
  <c r="AN192" i="32"/>
  <c r="AM192" i="32"/>
  <c r="AU191" i="32"/>
  <c r="AT191" i="32" s="1"/>
  <c r="AP191" i="32"/>
  <c r="AO191" i="32"/>
  <c r="AN191" i="32"/>
  <c r="AM191" i="32"/>
  <c r="AU190" i="32"/>
  <c r="AP190" i="32"/>
  <c r="AO190" i="32"/>
  <c r="AN190" i="32"/>
  <c r="AM190" i="32"/>
  <c r="AU189" i="32"/>
  <c r="AT189" i="32" s="1"/>
  <c r="AP189" i="32"/>
  <c r="AO189" i="32"/>
  <c r="AN189" i="32"/>
  <c r="AM189" i="32"/>
  <c r="AU188" i="32"/>
  <c r="AP188" i="32"/>
  <c r="AO188" i="32"/>
  <c r="AN188" i="32"/>
  <c r="AM188" i="32"/>
  <c r="AU187" i="32"/>
  <c r="AP187" i="32"/>
  <c r="AO187" i="32"/>
  <c r="AN187" i="32"/>
  <c r="AM187" i="32"/>
  <c r="AU186" i="32"/>
  <c r="AT186" i="32" s="1"/>
  <c r="AP186" i="32"/>
  <c r="AO186" i="32"/>
  <c r="AN186" i="32"/>
  <c r="AM186" i="32"/>
  <c r="AU185" i="32"/>
  <c r="AP185" i="32"/>
  <c r="AO185" i="32"/>
  <c r="AN185" i="32"/>
  <c r="AM185" i="32"/>
  <c r="AU184" i="32"/>
  <c r="AP184" i="32"/>
  <c r="AO184" i="32"/>
  <c r="AN184" i="32"/>
  <c r="AM184" i="32"/>
  <c r="AU183" i="32"/>
  <c r="AT183" i="32" s="1"/>
  <c r="AP183" i="32"/>
  <c r="AO183" i="32"/>
  <c r="AN183" i="32"/>
  <c r="AM183" i="32"/>
  <c r="AU182" i="32"/>
  <c r="AT182" i="32" s="1"/>
  <c r="AP182" i="32"/>
  <c r="AO182" i="32"/>
  <c r="AN182" i="32"/>
  <c r="AM182" i="32"/>
  <c r="AU181" i="32"/>
  <c r="AQ181" i="32" s="1"/>
  <c r="AP181" i="32"/>
  <c r="AO181" i="32"/>
  <c r="AN181" i="32"/>
  <c r="AM181" i="32"/>
  <c r="AU180" i="32"/>
  <c r="AT180" i="32" s="1"/>
  <c r="AP180" i="32"/>
  <c r="AO180" i="32"/>
  <c r="AN180" i="32"/>
  <c r="AM180" i="32"/>
  <c r="AU179" i="32"/>
  <c r="AT179" i="32" s="1"/>
  <c r="AP179" i="32"/>
  <c r="AO179" i="32"/>
  <c r="AN179" i="32"/>
  <c r="AM179" i="32"/>
  <c r="AU178" i="32"/>
  <c r="AQ178" i="32" s="1"/>
  <c r="AP178" i="32"/>
  <c r="AO178" i="32"/>
  <c r="AN178" i="32"/>
  <c r="AM178" i="32"/>
  <c r="AU177" i="32"/>
  <c r="AP177" i="32"/>
  <c r="AO177" i="32"/>
  <c r="AN177" i="32"/>
  <c r="AM177" i="32"/>
  <c r="AU176" i="32"/>
  <c r="AT176" i="32" s="1"/>
  <c r="AP176" i="32"/>
  <c r="AO176" i="32"/>
  <c r="AN176" i="32"/>
  <c r="AM176" i="32"/>
  <c r="AU175" i="32"/>
  <c r="AT175" i="32" s="1"/>
  <c r="AP175" i="32"/>
  <c r="AO175" i="32"/>
  <c r="AN175" i="32"/>
  <c r="AM175" i="32"/>
  <c r="AU174" i="32"/>
  <c r="AP174" i="32"/>
  <c r="AO174" i="32"/>
  <c r="AN174" i="32"/>
  <c r="AM174" i="32"/>
  <c r="AU173" i="32"/>
  <c r="AT173" i="32" s="1"/>
  <c r="AP173" i="32"/>
  <c r="AO173" i="32"/>
  <c r="AN173" i="32"/>
  <c r="AM173" i="32"/>
  <c r="AU172" i="32"/>
  <c r="AT172" i="32" s="1"/>
  <c r="AP172" i="32"/>
  <c r="AO172" i="32"/>
  <c r="AN172" i="32"/>
  <c r="AM172" i="32"/>
  <c r="AU171" i="32"/>
  <c r="AS171" i="32" s="1"/>
  <c r="AP171" i="32"/>
  <c r="AO171" i="32"/>
  <c r="AN171" i="32"/>
  <c r="AM171" i="32"/>
  <c r="AU170" i="32"/>
  <c r="AT170" i="32" s="1"/>
  <c r="AP170" i="32"/>
  <c r="AO170" i="32"/>
  <c r="AN170" i="32"/>
  <c r="AM170" i="32"/>
  <c r="AU169" i="32"/>
  <c r="AP169" i="32"/>
  <c r="AO169" i="32"/>
  <c r="AN169" i="32"/>
  <c r="AM169" i="32"/>
  <c r="AU168" i="32"/>
  <c r="AT168" i="32" s="1"/>
  <c r="AP168" i="32"/>
  <c r="AO168" i="32"/>
  <c r="AN168" i="32"/>
  <c r="AM168" i="32"/>
  <c r="AU167" i="32"/>
  <c r="AT167" i="32" s="1"/>
  <c r="AP167" i="32"/>
  <c r="AO167" i="32"/>
  <c r="AN167" i="32"/>
  <c r="AM167" i="32"/>
  <c r="AU166" i="32"/>
  <c r="AP166" i="32"/>
  <c r="AO166" i="32"/>
  <c r="AN166" i="32"/>
  <c r="AM166" i="32"/>
  <c r="AU165" i="32"/>
  <c r="AP165" i="32"/>
  <c r="AO165" i="32"/>
  <c r="AN165" i="32"/>
  <c r="AM165" i="32"/>
  <c r="AU164" i="32"/>
  <c r="AP164" i="32"/>
  <c r="AO164" i="32"/>
  <c r="AN164" i="32"/>
  <c r="AM164" i="32"/>
  <c r="AU163" i="32"/>
  <c r="AP163" i="32"/>
  <c r="AO163" i="32"/>
  <c r="AN163" i="32"/>
  <c r="AM163" i="32"/>
  <c r="AU162" i="32"/>
  <c r="AP162" i="32"/>
  <c r="AO162" i="32"/>
  <c r="AN162" i="32"/>
  <c r="AM162" i="32"/>
  <c r="AU161" i="32"/>
  <c r="AP161" i="32"/>
  <c r="AO161" i="32"/>
  <c r="AN161" i="32"/>
  <c r="AM161" i="32"/>
  <c r="AU160" i="32"/>
  <c r="AT160" i="32" s="1"/>
  <c r="AP160" i="32"/>
  <c r="AO160" i="32"/>
  <c r="AN160" i="32"/>
  <c r="AM160" i="32"/>
  <c r="AU159" i="32"/>
  <c r="AT159" i="32" s="1"/>
  <c r="AP159" i="32"/>
  <c r="AO159" i="32"/>
  <c r="AN159" i="32"/>
  <c r="AM159" i="32"/>
  <c r="AU158" i="32"/>
  <c r="AT158" i="32" s="1"/>
  <c r="AP158" i="32"/>
  <c r="AO158" i="32"/>
  <c r="AN158" i="32"/>
  <c r="AM158" i="32"/>
  <c r="AU157" i="32"/>
  <c r="AQ157" i="32" s="1"/>
  <c r="AP157" i="32"/>
  <c r="AO157" i="32"/>
  <c r="AN157" i="32"/>
  <c r="AM157" i="32"/>
  <c r="AU156" i="32"/>
  <c r="AP156" i="32"/>
  <c r="AO156" i="32"/>
  <c r="AN156" i="32"/>
  <c r="AM156" i="32"/>
  <c r="AU155" i="32"/>
  <c r="AT155" i="32" s="1"/>
  <c r="AP155" i="32"/>
  <c r="AO155" i="32"/>
  <c r="AN155" i="32"/>
  <c r="AM155" i="32"/>
  <c r="AU154" i="32"/>
  <c r="AP154" i="32"/>
  <c r="AO154" i="32"/>
  <c r="AN154" i="32"/>
  <c r="AM154" i="32"/>
  <c r="AU153" i="32"/>
  <c r="AP153" i="32"/>
  <c r="AO153" i="32"/>
  <c r="AN153" i="32"/>
  <c r="AM153" i="32"/>
  <c r="AU152" i="32"/>
  <c r="AT152" i="32" s="1"/>
  <c r="AP152" i="32"/>
  <c r="AO152" i="32"/>
  <c r="AN152" i="32"/>
  <c r="AM152" i="32"/>
  <c r="AU151" i="32"/>
  <c r="AT151" i="32" s="1"/>
  <c r="AP151" i="32"/>
  <c r="AO151" i="32"/>
  <c r="AN151" i="32"/>
  <c r="AM151" i="32"/>
  <c r="AU150" i="32"/>
  <c r="AT150" i="32" s="1"/>
  <c r="AP150" i="32"/>
  <c r="AO150" i="32"/>
  <c r="AN150" i="32"/>
  <c r="AM150" i="32"/>
  <c r="AU149" i="32"/>
  <c r="AT149" i="32" s="1"/>
  <c r="AP149" i="32"/>
  <c r="AO149" i="32"/>
  <c r="AN149" i="32"/>
  <c r="AM149" i="32"/>
  <c r="AU148" i="32"/>
  <c r="AQ148" i="32" s="1"/>
  <c r="AP148" i="32"/>
  <c r="AO148" i="32"/>
  <c r="AN148" i="32"/>
  <c r="AM148" i="32"/>
  <c r="AU147" i="32"/>
  <c r="AT147" i="32" s="1"/>
  <c r="AP147" i="32"/>
  <c r="AO147" i="32"/>
  <c r="AN147" i="32"/>
  <c r="AM147" i="32"/>
  <c r="AU146" i="32"/>
  <c r="AQ146" i="32" s="1"/>
  <c r="AP146" i="32"/>
  <c r="AO146" i="32"/>
  <c r="AN146" i="32"/>
  <c r="AM146" i="32"/>
  <c r="AU145" i="32"/>
  <c r="AP145" i="32"/>
  <c r="AO145" i="32"/>
  <c r="AN145" i="32"/>
  <c r="AM145" i="32"/>
  <c r="AU144" i="32"/>
  <c r="AQ144" i="32" s="1"/>
  <c r="AP144" i="32"/>
  <c r="AO144" i="32"/>
  <c r="AN144" i="32"/>
  <c r="AM144" i="32"/>
  <c r="AU143" i="32"/>
  <c r="AT143" i="32" s="1"/>
  <c r="AP143" i="32"/>
  <c r="AO143" i="32"/>
  <c r="AN143" i="32"/>
  <c r="AM143" i="32"/>
  <c r="AU142" i="32"/>
  <c r="AR142" i="32" s="1"/>
  <c r="AP142" i="32"/>
  <c r="AO142" i="32"/>
  <c r="AN142" i="32"/>
  <c r="AM142" i="32"/>
  <c r="AU141" i="32"/>
  <c r="AQ141" i="32" s="1"/>
  <c r="AP141" i="32"/>
  <c r="AO141" i="32"/>
  <c r="AN141" i="32"/>
  <c r="AM141" i="32"/>
  <c r="AU140" i="32"/>
  <c r="AP140" i="32"/>
  <c r="AO140" i="32"/>
  <c r="AN140" i="32"/>
  <c r="AM140" i="32"/>
  <c r="AU139" i="32"/>
  <c r="AS139" i="32" s="1"/>
  <c r="AP139" i="32"/>
  <c r="AO139" i="32"/>
  <c r="AN139" i="32"/>
  <c r="AM139" i="32"/>
  <c r="AU138" i="32"/>
  <c r="AQ138" i="32" s="1"/>
  <c r="AP138" i="32"/>
  <c r="AO138" i="32"/>
  <c r="AN138" i="32"/>
  <c r="AM138" i="32"/>
  <c r="AU137" i="32"/>
  <c r="AP137" i="32"/>
  <c r="AO137" i="32"/>
  <c r="AN137" i="32"/>
  <c r="AM137" i="32"/>
  <c r="AU136" i="32"/>
  <c r="AT136" i="32" s="1"/>
  <c r="AP136" i="32"/>
  <c r="AO136" i="32"/>
  <c r="AN136" i="32"/>
  <c r="AM136" i="32"/>
  <c r="AU135" i="32"/>
  <c r="AT135" i="32" s="1"/>
  <c r="AP135" i="32"/>
  <c r="AO135" i="32"/>
  <c r="AN135" i="32"/>
  <c r="AM135" i="32"/>
  <c r="AU134" i="32"/>
  <c r="AT134" i="32" s="1"/>
  <c r="AP134" i="32"/>
  <c r="AO134" i="32"/>
  <c r="AN134" i="32"/>
  <c r="AM134" i="32"/>
  <c r="AU133" i="32"/>
  <c r="AT133" i="32" s="1"/>
  <c r="AP133" i="32"/>
  <c r="AO133" i="32"/>
  <c r="AN133" i="32"/>
  <c r="AM133" i="32"/>
  <c r="AU132" i="32"/>
  <c r="AQ132" i="32" s="1"/>
  <c r="AP132" i="32"/>
  <c r="AO132" i="32"/>
  <c r="AN132" i="32"/>
  <c r="AM132" i="32"/>
  <c r="AU131" i="32"/>
  <c r="AT131" i="32" s="1"/>
  <c r="AP131" i="32"/>
  <c r="AO131" i="32"/>
  <c r="AN131" i="32"/>
  <c r="AM131" i="32"/>
  <c r="AU130" i="32"/>
  <c r="AQ130" i="32" s="1"/>
  <c r="AP130" i="32"/>
  <c r="AO130" i="32"/>
  <c r="AN130" i="32"/>
  <c r="AM130" i="32"/>
  <c r="AU129" i="32"/>
  <c r="AP129" i="32"/>
  <c r="AO129" i="32"/>
  <c r="AN129" i="32"/>
  <c r="AM129" i="32"/>
  <c r="AU128" i="32"/>
  <c r="AT128" i="32" s="1"/>
  <c r="AP128" i="32"/>
  <c r="AO128" i="32"/>
  <c r="AN128" i="32"/>
  <c r="AM128" i="32"/>
  <c r="AU127" i="32"/>
  <c r="AP127" i="32"/>
  <c r="AO127" i="32"/>
  <c r="AN127" i="32"/>
  <c r="AM127" i="32"/>
  <c r="AU126" i="32"/>
  <c r="AT126" i="32" s="1"/>
  <c r="AP126" i="32"/>
  <c r="AO126" i="32"/>
  <c r="AN126" i="32"/>
  <c r="AM126" i="32"/>
  <c r="AU125" i="32"/>
  <c r="AQ125" i="32" s="1"/>
  <c r="AP125" i="32"/>
  <c r="AO125" i="32"/>
  <c r="AN125" i="32"/>
  <c r="AM125" i="32"/>
  <c r="AU124" i="32"/>
  <c r="AT124" i="32" s="1"/>
  <c r="AP124" i="32"/>
  <c r="AO124" i="32"/>
  <c r="AN124" i="32"/>
  <c r="AM124" i="32"/>
  <c r="AU123" i="32"/>
  <c r="AQ123" i="32" s="1"/>
  <c r="AP123" i="32"/>
  <c r="AO123" i="32"/>
  <c r="AN123" i="32"/>
  <c r="AM123" i="32"/>
  <c r="AU122" i="32"/>
  <c r="AQ122" i="32" s="1"/>
  <c r="AP122" i="32"/>
  <c r="AO122" i="32"/>
  <c r="AN122" i="32"/>
  <c r="AM122" i="32"/>
  <c r="AU121" i="32"/>
  <c r="AP121" i="32"/>
  <c r="AO121" i="32"/>
  <c r="AN121" i="32"/>
  <c r="AM121" i="32"/>
  <c r="AU120" i="32"/>
  <c r="AP120" i="32"/>
  <c r="AO120" i="32"/>
  <c r="AN120" i="32"/>
  <c r="AM120" i="32"/>
  <c r="AU119" i="32"/>
  <c r="AT119" i="32" s="1"/>
  <c r="AP119" i="32"/>
  <c r="AO119" i="32"/>
  <c r="AN119" i="32"/>
  <c r="AM119" i="32"/>
  <c r="AU118" i="32"/>
  <c r="AR118" i="32" s="1"/>
  <c r="AP118" i="32"/>
  <c r="AO118" i="32"/>
  <c r="AN118" i="32"/>
  <c r="AM118" i="32"/>
  <c r="AU117" i="32"/>
  <c r="AS117" i="32" s="1"/>
  <c r="AP117" i="32"/>
  <c r="AO117" i="32"/>
  <c r="AN117" i="32"/>
  <c r="AM117" i="32"/>
  <c r="AU116" i="32"/>
  <c r="AP116" i="32"/>
  <c r="AO116" i="32"/>
  <c r="AN116" i="32"/>
  <c r="AM116" i="32"/>
  <c r="AU115" i="32"/>
  <c r="AQ115" i="32" s="1"/>
  <c r="AP115" i="32"/>
  <c r="AO115" i="32"/>
  <c r="AN115" i="32"/>
  <c r="AM115" i="32"/>
  <c r="AU114" i="32"/>
  <c r="AQ114" i="32" s="1"/>
  <c r="AP114" i="32"/>
  <c r="AO114" i="32"/>
  <c r="AN114" i="32"/>
  <c r="AM114" i="32"/>
  <c r="AU113" i="32"/>
  <c r="AP113" i="32"/>
  <c r="AO113" i="32"/>
  <c r="AN113" i="32"/>
  <c r="AM113" i="32"/>
  <c r="AU112" i="32"/>
  <c r="AT112" i="32" s="1"/>
  <c r="AP112" i="32"/>
  <c r="AO112" i="32"/>
  <c r="AN112" i="32"/>
  <c r="AM112" i="32"/>
  <c r="AU111" i="32"/>
  <c r="AT111" i="32" s="1"/>
  <c r="AP111" i="32"/>
  <c r="AO111" i="32"/>
  <c r="AN111" i="32"/>
  <c r="AM111" i="32"/>
  <c r="AU110" i="32"/>
  <c r="AP110" i="32"/>
  <c r="AO110" i="32"/>
  <c r="AN110" i="32"/>
  <c r="AM110" i="32"/>
  <c r="AU109" i="32"/>
  <c r="AT109" i="32" s="1"/>
  <c r="AP109" i="32"/>
  <c r="AO109" i="32"/>
  <c r="AN109" i="32"/>
  <c r="AM109" i="32"/>
  <c r="AU108" i="32"/>
  <c r="AP108" i="32"/>
  <c r="AO108" i="32"/>
  <c r="AN108" i="32"/>
  <c r="AM108" i="32"/>
  <c r="AU107" i="32"/>
  <c r="AS107" i="32" s="1"/>
  <c r="AP107" i="32"/>
  <c r="AO107" i="32"/>
  <c r="AN107" i="32"/>
  <c r="AM107" i="32"/>
  <c r="AU106" i="32"/>
  <c r="AQ106" i="32" s="1"/>
  <c r="AP106" i="32"/>
  <c r="AO106" i="32"/>
  <c r="AN106" i="32"/>
  <c r="AM106" i="32"/>
  <c r="AU105" i="32"/>
  <c r="AS105" i="32" s="1"/>
  <c r="AP105" i="32"/>
  <c r="AO105" i="32"/>
  <c r="AN105" i="32"/>
  <c r="AM105" i="32"/>
  <c r="AU104" i="32"/>
  <c r="AT104" i="32" s="1"/>
  <c r="AP104" i="32"/>
  <c r="AO104" i="32"/>
  <c r="AN104" i="32"/>
  <c r="AM104" i="32"/>
  <c r="AU103" i="32"/>
  <c r="AP103" i="32"/>
  <c r="AO103" i="32"/>
  <c r="AN103" i="32"/>
  <c r="AM103" i="32"/>
  <c r="AU102" i="32"/>
  <c r="AP102" i="32"/>
  <c r="AO102" i="32"/>
  <c r="AN102" i="32"/>
  <c r="AM102" i="32"/>
  <c r="AU101" i="32"/>
  <c r="AT101" i="32" s="1"/>
  <c r="AP101" i="32"/>
  <c r="AO101" i="32"/>
  <c r="AN101" i="32"/>
  <c r="AM101" i="32"/>
  <c r="AU100" i="32"/>
  <c r="AP100" i="32"/>
  <c r="AO100" i="32"/>
  <c r="AN100" i="32"/>
  <c r="AM100" i="32"/>
  <c r="AU99" i="32"/>
  <c r="AP99" i="32"/>
  <c r="AO99" i="32"/>
  <c r="AN99" i="32"/>
  <c r="AM99" i="32"/>
  <c r="AU98" i="32"/>
  <c r="AT98" i="32" s="1"/>
  <c r="AP98" i="32"/>
  <c r="AO98" i="32"/>
  <c r="AN98" i="32"/>
  <c r="AM98" i="32"/>
  <c r="AU97" i="32"/>
  <c r="AS97" i="32" s="1"/>
  <c r="AP97" i="32"/>
  <c r="AO97" i="32"/>
  <c r="AN97" i="32"/>
  <c r="AM97" i="32"/>
  <c r="AU96" i="32"/>
  <c r="AQ96" i="32" s="1"/>
  <c r="AP96" i="32"/>
  <c r="AO96" i="32"/>
  <c r="AN96" i="32"/>
  <c r="AM96" i="32"/>
  <c r="AU95" i="32"/>
  <c r="AQ95" i="32" s="1"/>
  <c r="AP95" i="32"/>
  <c r="AO95" i="32"/>
  <c r="AN95" i="32"/>
  <c r="AM95" i="32"/>
  <c r="AU94" i="32"/>
  <c r="AT94" i="32" s="1"/>
  <c r="AP94" i="32"/>
  <c r="AO94" i="32"/>
  <c r="AN94" i="32"/>
  <c r="AM94" i="32"/>
  <c r="AU93" i="32"/>
  <c r="AT93" i="32" s="1"/>
  <c r="AP93" i="32"/>
  <c r="AO93" i="32"/>
  <c r="AN93" i="32"/>
  <c r="AM93" i="32"/>
  <c r="AU92" i="32"/>
  <c r="AQ92" i="32" s="1"/>
  <c r="AP92" i="32"/>
  <c r="AO92" i="32"/>
  <c r="AN92" i="32"/>
  <c r="AM92" i="32"/>
  <c r="AU91" i="32"/>
  <c r="AS91" i="32" s="1"/>
  <c r="AP91" i="32"/>
  <c r="AO91" i="32"/>
  <c r="AN91" i="32"/>
  <c r="AM91" i="32"/>
  <c r="AU90" i="32"/>
  <c r="AP90" i="32"/>
  <c r="AO90" i="32"/>
  <c r="AN90" i="32"/>
  <c r="AM90" i="32"/>
  <c r="AU89" i="32"/>
  <c r="AS89" i="32" s="1"/>
  <c r="AP89" i="32"/>
  <c r="AO89" i="32"/>
  <c r="AN89" i="32"/>
  <c r="AM89" i="32"/>
  <c r="AU88" i="32"/>
  <c r="AQ88" i="32" s="1"/>
  <c r="AP88" i="32"/>
  <c r="AO88" i="32"/>
  <c r="AN88" i="32"/>
  <c r="AM88" i="32"/>
  <c r="AU87" i="32"/>
  <c r="AQ87" i="32" s="1"/>
  <c r="AP87" i="32"/>
  <c r="AO87" i="32"/>
  <c r="AN87" i="32"/>
  <c r="AM87" i="32"/>
  <c r="AU86" i="32"/>
  <c r="AT86" i="32" s="1"/>
  <c r="AP86" i="32"/>
  <c r="AO86" i="32"/>
  <c r="AN86" i="32"/>
  <c r="AM86" i="32"/>
  <c r="AU85" i="32"/>
  <c r="AS85" i="32" s="1"/>
  <c r="AP85" i="32"/>
  <c r="AO85" i="32"/>
  <c r="AN85" i="32"/>
  <c r="AM85" i="32"/>
  <c r="AU84" i="32"/>
  <c r="AQ84" i="32" s="1"/>
  <c r="AP84" i="32"/>
  <c r="AO84" i="32"/>
  <c r="AN84" i="32"/>
  <c r="AM84" i="32"/>
  <c r="AU83" i="32"/>
  <c r="AR83" i="32" s="1"/>
  <c r="AP83" i="32"/>
  <c r="AO83" i="32"/>
  <c r="AN83" i="32"/>
  <c r="AM83" i="32"/>
  <c r="AU82" i="32"/>
  <c r="AT82" i="32" s="1"/>
  <c r="AP82" i="32"/>
  <c r="AO82" i="32"/>
  <c r="AN82" i="32"/>
  <c r="AM82" i="32"/>
  <c r="AU755" i="32"/>
  <c r="AS755" i="32" s="1"/>
  <c r="AP755" i="32"/>
  <c r="AO755" i="32"/>
  <c r="AN755" i="32"/>
  <c r="AM755" i="32"/>
  <c r="AU81" i="32"/>
  <c r="AQ81" i="32" s="1"/>
  <c r="AP81" i="32"/>
  <c r="AO81" i="32"/>
  <c r="AN81" i="32"/>
  <c r="AM81" i="32"/>
  <c r="AU80" i="32"/>
  <c r="AQ80" i="32" s="1"/>
  <c r="AP80" i="32"/>
  <c r="AO80" i="32"/>
  <c r="AN80" i="32"/>
  <c r="AM80" i="32"/>
  <c r="AU665" i="32"/>
  <c r="AR665" i="32" s="1"/>
  <c r="AP665" i="32"/>
  <c r="AO665" i="32"/>
  <c r="AN665" i="32"/>
  <c r="AM665" i="32"/>
  <c r="AU79" i="32"/>
  <c r="AT79" i="32" s="1"/>
  <c r="AP79" i="32"/>
  <c r="AO79" i="32"/>
  <c r="AN79" i="32"/>
  <c r="AM79" i="32"/>
  <c r="AU78" i="32"/>
  <c r="AT78" i="32" s="1"/>
  <c r="AP78" i="32"/>
  <c r="AO78" i="32"/>
  <c r="AN78" i="32"/>
  <c r="AM78" i="32"/>
  <c r="AU77" i="32"/>
  <c r="AR77" i="32" s="1"/>
  <c r="AP77" i="32"/>
  <c r="AO77" i="32"/>
  <c r="AN77" i="32"/>
  <c r="AM77" i="32"/>
  <c r="AU664" i="32"/>
  <c r="AP664" i="32"/>
  <c r="AO664" i="32"/>
  <c r="AN664" i="32"/>
  <c r="AM664" i="32"/>
  <c r="AU76" i="32"/>
  <c r="AS76" i="32" s="1"/>
  <c r="AP76" i="32"/>
  <c r="AO76" i="32"/>
  <c r="AN76" i="32"/>
  <c r="AM76" i="32"/>
  <c r="AU75" i="32"/>
  <c r="AT75" i="32" s="1"/>
  <c r="AP75" i="32"/>
  <c r="AO75" i="32"/>
  <c r="AN75" i="32"/>
  <c r="AM75" i="32"/>
  <c r="AU74" i="32"/>
  <c r="AQ74" i="32" s="1"/>
  <c r="AP74" i="32"/>
  <c r="AO74" i="32"/>
  <c r="AN74" i="32"/>
  <c r="AM74" i="32"/>
  <c r="AU73" i="32"/>
  <c r="AT73" i="32" s="1"/>
  <c r="AP73" i="32"/>
  <c r="AO73" i="32"/>
  <c r="AN73" i="32"/>
  <c r="AM73" i="32"/>
  <c r="AU72" i="32"/>
  <c r="AP72" i="32"/>
  <c r="AO72" i="32"/>
  <c r="AN72" i="32"/>
  <c r="AM72" i="32"/>
  <c r="AU663" i="32"/>
  <c r="AS663" i="32" s="1"/>
  <c r="AP663" i="32"/>
  <c r="AO663" i="32"/>
  <c r="AN663" i="32"/>
  <c r="AM663" i="32"/>
  <c r="AU71" i="32"/>
  <c r="AT71" i="32" s="1"/>
  <c r="AP71" i="32"/>
  <c r="AO71" i="32"/>
  <c r="AN71" i="32"/>
  <c r="AM71" i="32"/>
  <c r="AU662" i="32"/>
  <c r="AT662" i="32" s="1"/>
  <c r="AP662" i="32"/>
  <c r="AO662" i="32"/>
  <c r="AN662" i="32"/>
  <c r="AM662" i="32"/>
  <c r="AU70" i="32"/>
  <c r="AS70" i="32" s="1"/>
  <c r="AP70" i="32"/>
  <c r="AO70" i="32"/>
  <c r="AN70" i="32"/>
  <c r="AM70" i="32"/>
  <c r="AU69" i="32"/>
  <c r="AQ69" i="32" s="1"/>
  <c r="AP69" i="32"/>
  <c r="AO69" i="32"/>
  <c r="AN69" i="32"/>
  <c r="AM69" i="32"/>
  <c r="AU68" i="32"/>
  <c r="AQ68" i="32" s="1"/>
  <c r="AP68" i="32"/>
  <c r="AO68" i="32"/>
  <c r="AN68" i="32"/>
  <c r="AM68" i="32"/>
  <c r="AU67" i="32"/>
  <c r="AR67" i="32" s="1"/>
  <c r="AP67" i="32"/>
  <c r="AO67" i="32"/>
  <c r="AN67" i="32"/>
  <c r="AM67" i="32"/>
  <c r="AU66" i="32"/>
  <c r="AT66" i="32" s="1"/>
  <c r="AP66" i="32"/>
  <c r="AO66" i="32"/>
  <c r="AN66" i="32"/>
  <c r="AM66" i="32"/>
  <c r="AU65" i="32"/>
  <c r="AQ65" i="32" s="1"/>
  <c r="AP65" i="32"/>
  <c r="AO65" i="32"/>
  <c r="AN65" i="32"/>
  <c r="AM65" i="32"/>
  <c r="AU64" i="32"/>
  <c r="AR64" i="32" s="1"/>
  <c r="AP64" i="32"/>
  <c r="AO64" i="32"/>
  <c r="AN64" i="32"/>
  <c r="AM64" i="32"/>
  <c r="AU63" i="32"/>
  <c r="AS63" i="32" s="1"/>
  <c r="AP63" i="32"/>
  <c r="AO63" i="32"/>
  <c r="AN63" i="32"/>
  <c r="AM63" i="32"/>
  <c r="AU62" i="32"/>
  <c r="AS62" i="32" s="1"/>
  <c r="AP62" i="32"/>
  <c r="AO62" i="32"/>
  <c r="AN62" i="32"/>
  <c r="AM62" i="32"/>
  <c r="AU61" i="32"/>
  <c r="AT61" i="32" s="1"/>
  <c r="AP61" i="32"/>
  <c r="AO61" i="32"/>
  <c r="AN61" i="32"/>
  <c r="AM61" i="32"/>
  <c r="AU60" i="32"/>
  <c r="AT60" i="32" s="1"/>
  <c r="AP60" i="32"/>
  <c r="AO60" i="32"/>
  <c r="AN60" i="32"/>
  <c r="AM60" i="32"/>
  <c r="AU59" i="32"/>
  <c r="AQ59" i="32" s="1"/>
  <c r="AP59" i="32"/>
  <c r="AO59" i="32"/>
  <c r="AN59" i="32"/>
  <c r="AM59" i="32"/>
  <c r="AU58" i="32"/>
  <c r="AP58" i="32"/>
  <c r="AO58" i="32"/>
  <c r="AN58" i="32"/>
  <c r="AM58" i="32"/>
  <c r="AU57" i="32"/>
  <c r="AR57" i="32" s="1"/>
  <c r="AP57" i="32"/>
  <c r="AO57" i="32"/>
  <c r="AN57" i="32"/>
  <c r="AM57" i="32"/>
  <c r="AU56" i="32"/>
  <c r="AP56" i="32"/>
  <c r="AO56" i="32"/>
  <c r="AN56" i="32"/>
  <c r="AM56" i="32"/>
  <c r="AU55" i="32"/>
  <c r="AT55" i="32" s="1"/>
  <c r="AP55" i="32"/>
  <c r="AO55" i="32"/>
  <c r="AN55" i="32"/>
  <c r="AM55" i="32"/>
  <c r="AU661" i="32"/>
  <c r="AR661" i="32" s="1"/>
  <c r="AP661" i="32"/>
  <c r="AO661" i="32"/>
  <c r="AN661" i="32"/>
  <c r="AM661" i="32"/>
  <c r="AU54" i="32"/>
  <c r="AR54" i="32" s="1"/>
  <c r="AP54" i="32"/>
  <c r="AO54" i="32"/>
  <c r="AN54" i="32"/>
  <c r="AM54" i="32"/>
  <c r="AU53" i="32"/>
  <c r="AQ53" i="32" s="1"/>
  <c r="AP53" i="32"/>
  <c r="AO53" i="32"/>
  <c r="AN53" i="32"/>
  <c r="AM53" i="32"/>
  <c r="AU660" i="32"/>
  <c r="AR660" i="32" s="1"/>
  <c r="AP660" i="32"/>
  <c r="AO660" i="32"/>
  <c r="AN660" i="32"/>
  <c r="AM660" i="32"/>
  <c r="AU52" i="32"/>
  <c r="AT52" i="32" s="1"/>
  <c r="AP52" i="32"/>
  <c r="AO52" i="32"/>
  <c r="AN52" i="32"/>
  <c r="AM52" i="32"/>
  <c r="AU51" i="32"/>
  <c r="AQ51" i="32" s="1"/>
  <c r="AP51" i="32"/>
  <c r="AO51" i="32"/>
  <c r="AN51" i="32"/>
  <c r="AM51" i="32"/>
  <c r="AU50" i="32"/>
  <c r="AR50" i="32" s="1"/>
  <c r="AP50" i="32"/>
  <c r="AO50" i="32"/>
  <c r="AN50" i="32"/>
  <c r="AM50" i="32"/>
  <c r="AU49" i="32"/>
  <c r="AP49" i="32"/>
  <c r="AO49" i="32"/>
  <c r="AN49" i="32"/>
  <c r="AM49" i="32"/>
  <c r="AU48" i="32"/>
  <c r="AS48" i="32" s="1"/>
  <c r="AP48" i="32"/>
  <c r="AO48" i="32"/>
  <c r="AN48" i="32"/>
  <c r="AM48" i="32"/>
  <c r="AU47" i="32"/>
  <c r="AT47" i="32" s="1"/>
  <c r="AP47" i="32"/>
  <c r="AO47" i="32"/>
  <c r="AN47" i="32"/>
  <c r="AM47" i="32"/>
  <c r="AU46" i="32"/>
  <c r="AS46" i="32" s="1"/>
  <c r="AP46" i="32"/>
  <c r="AO46" i="32"/>
  <c r="AN46" i="32"/>
  <c r="AM46" i="32"/>
  <c r="AU45" i="32"/>
  <c r="AT45" i="32" s="1"/>
  <c r="AP45" i="32"/>
  <c r="AO45" i="32"/>
  <c r="AN45" i="32"/>
  <c r="AM45" i="32"/>
  <c r="AU44" i="32"/>
  <c r="AS44" i="32" s="1"/>
  <c r="AP44" i="32"/>
  <c r="AO44" i="32"/>
  <c r="AN44" i="32"/>
  <c r="AM44" i="32"/>
  <c r="AU43" i="32"/>
  <c r="AQ43" i="32" s="1"/>
  <c r="AP43" i="32"/>
  <c r="AO43" i="32"/>
  <c r="AN43" i="32"/>
  <c r="AM43" i="32"/>
  <c r="AU42" i="32"/>
  <c r="AR42" i="32" s="1"/>
  <c r="AP42" i="32"/>
  <c r="AO42" i="32"/>
  <c r="AN42" i="32"/>
  <c r="AM42" i="32"/>
  <c r="AU716" i="32"/>
  <c r="AP716" i="32"/>
  <c r="AO716" i="32"/>
  <c r="AN716" i="32"/>
  <c r="AM716" i="32"/>
  <c r="AU715" i="32"/>
  <c r="AR715" i="32" s="1"/>
  <c r="AP715" i="32"/>
  <c r="AO715" i="32"/>
  <c r="AN715" i="32"/>
  <c r="AM715" i="32"/>
  <c r="AU714" i="32"/>
  <c r="AQ714" i="32" s="1"/>
  <c r="AP714" i="32"/>
  <c r="AO714" i="32"/>
  <c r="AN714" i="32"/>
  <c r="AM714" i="32"/>
  <c r="AU713" i="32"/>
  <c r="AS713" i="32" s="1"/>
  <c r="AP713" i="32"/>
  <c r="AO713" i="32"/>
  <c r="AN713" i="32"/>
  <c r="AM713" i="32"/>
  <c r="AU41" i="32"/>
  <c r="AT41" i="32" s="1"/>
  <c r="AP41" i="32"/>
  <c r="AO41" i="32"/>
  <c r="AN41" i="32"/>
  <c r="AM41" i="32"/>
  <c r="AU712" i="32"/>
  <c r="AT712" i="32" s="1"/>
  <c r="AP712" i="32"/>
  <c r="AO712" i="32"/>
  <c r="AN712" i="32"/>
  <c r="AM712" i="32"/>
  <c r="AU711" i="32"/>
  <c r="AQ711" i="32" s="1"/>
  <c r="AP711" i="32"/>
  <c r="AO711" i="32"/>
  <c r="AN711" i="32"/>
  <c r="AM711" i="32"/>
  <c r="AU710" i="32"/>
  <c r="AR710" i="32" s="1"/>
  <c r="AP710" i="32"/>
  <c r="AO710" i="32"/>
  <c r="AN710" i="32"/>
  <c r="AM710" i="32"/>
  <c r="AU709" i="32"/>
  <c r="AS709" i="32" s="1"/>
  <c r="AP709" i="32"/>
  <c r="AO709" i="32"/>
  <c r="AN709" i="32"/>
  <c r="AM709" i="32"/>
  <c r="AU708" i="32"/>
  <c r="AS708" i="32" s="1"/>
  <c r="AP708" i="32"/>
  <c r="AO708" i="32"/>
  <c r="AN708" i="32"/>
  <c r="AM708" i="32"/>
  <c r="AU707" i="32"/>
  <c r="AT707" i="32" s="1"/>
  <c r="AP707" i="32"/>
  <c r="AO707" i="32"/>
  <c r="AN707" i="32"/>
  <c r="AM707" i="32"/>
  <c r="AU706" i="32"/>
  <c r="AS706" i="32" s="1"/>
  <c r="AP706" i="32"/>
  <c r="AO706" i="32"/>
  <c r="AN706" i="32"/>
  <c r="AM706" i="32"/>
  <c r="AU705" i="32"/>
  <c r="AT705" i="32" s="1"/>
  <c r="AP705" i="32"/>
  <c r="AO705" i="32"/>
  <c r="AN705" i="32"/>
  <c r="AM705" i="32"/>
  <c r="AU704" i="32"/>
  <c r="AT704" i="32" s="1"/>
  <c r="AP704" i="32"/>
  <c r="AO704" i="32"/>
  <c r="AN704" i="32"/>
  <c r="AM704" i="32"/>
  <c r="AU703" i="32"/>
  <c r="AQ703" i="32" s="1"/>
  <c r="AP703" i="32"/>
  <c r="AO703" i="32"/>
  <c r="AN703" i="32"/>
  <c r="AM703" i="32"/>
  <c r="AU40" i="32"/>
  <c r="AR40" i="32" s="1"/>
  <c r="AP40" i="32"/>
  <c r="AO40" i="32"/>
  <c r="AN40" i="32"/>
  <c r="AM40" i="32"/>
  <c r="AU702" i="32"/>
  <c r="AS702" i="32" s="1"/>
  <c r="AP702" i="32"/>
  <c r="AO702" i="32"/>
  <c r="AN702" i="32"/>
  <c r="AM702" i="32"/>
  <c r="AU701" i="32"/>
  <c r="AR701" i="32" s="1"/>
  <c r="AP701" i="32"/>
  <c r="AO701" i="32"/>
  <c r="AN701" i="32"/>
  <c r="AM701" i="32"/>
  <c r="AU700" i="32"/>
  <c r="AT700" i="32" s="1"/>
  <c r="AP700" i="32"/>
  <c r="AO700" i="32"/>
  <c r="AN700" i="32"/>
  <c r="AM700" i="32"/>
  <c r="AU699" i="32"/>
  <c r="AS699" i="32" s="1"/>
  <c r="AP699" i="32"/>
  <c r="AO699" i="32"/>
  <c r="AN699" i="32"/>
  <c r="AM699" i="32"/>
  <c r="AU754" i="32"/>
  <c r="AT754" i="32" s="1"/>
  <c r="AP754" i="32"/>
  <c r="AO754" i="32"/>
  <c r="AN754" i="32"/>
  <c r="AM754" i="32"/>
  <c r="AU753" i="32"/>
  <c r="AQ753" i="32" s="1"/>
  <c r="AP753" i="32"/>
  <c r="AO753" i="32"/>
  <c r="AN753" i="32"/>
  <c r="AM753" i="32"/>
  <c r="AU39" i="32"/>
  <c r="AT39" i="32" s="1"/>
  <c r="AP39" i="32"/>
  <c r="AO39" i="32"/>
  <c r="AN39" i="32"/>
  <c r="AM39" i="32"/>
  <c r="AU752" i="32"/>
  <c r="AR752" i="32" s="1"/>
  <c r="AP752" i="32"/>
  <c r="AO752" i="32"/>
  <c r="AN752" i="32"/>
  <c r="AM752" i="32"/>
  <c r="AU751" i="32"/>
  <c r="AS751" i="32" s="1"/>
  <c r="AP751" i="32"/>
  <c r="AO751" i="32"/>
  <c r="AN751" i="32"/>
  <c r="AM751" i="32"/>
  <c r="AU750" i="32"/>
  <c r="AT750" i="32" s="1"/>
  <c r="AP750" i="32"/>
  <c r="AO750" i="32"/>
  <c r="AN750" i="32"/>
  <c r="AM750" i="32"/>
  <c r="AU749" i="32"/>
  <c r="AS749" i="32" s="1"/>
  <c r="AP749" i="32"/>
  <c r="AO749" i="32"/>
  <c r="AN749" i="32"/>
  <c r="AM749" i="32"/>
  <c r="AU748" i="32"/>
  <c r="AR748" i="32" s="1"/>
  <c r="AP748" i="32"/>
  <c r="AO748" i="32"/>
  <c r="AN748" i="32"/>
  <c r="AM748" i="32"/>
  <c r="AU747" i="32"/>
  <c r="AS747" i="32" s="1"/>
  <c r="AP747" i="32"/>
  <c r="AO747" i="32"/>
  <c r="AN747" i="32"/>
  <c r="AM747" i="32"/>
  <c r="AU698" i="32"/>
  <c r="AT698" i="32" s="1"/>
  <c r="AP698" i="32"/>
  <c r="AO698" i="32"/>
  <c r="AN698" i="32"/>
  <c r="AM698" i="32"/>
  <c r="AU746" i="32"/>
  <c r="AQ746" i="32" s="1"/>
  <c r="AP746" i="32"/>
  <c r="AO746" i="32"/>
  <c r="AN746" i="32"/>
  <c r="AM746" i="32"/>
  <c r="AU745" i="32"/>
  <c r="AR745" i="32" s="1"/>
  <c r="AP745" i="32"/>
  <c r="AO745" i="32"/>
  <c r="AN745" i="32"/>
  <c r="AM745" i="32"/>
  <c r="AU744" i="32"/>
  <c r="AT744" i="32" s="1"/>
  <c r="AP744" i="32"/>
  <c r="AO744" i="32"/>
  <c r="AN744" i="32"/>
  <c r="AM744" i="32"/>
  <c r="AU743" i="32"/>
  <c r="AP743" i="32"/>
  <c r="AO743" i="32"/>
  <c r="AN743" i="32"/>
  <c r="AM743" i="32"/>
  <c r="AU38" i="32"/>
  <c r="AR38" i="32" s="1"/>
  <c r="AP38" i="32"/>
  <c r="AO38" i="32"/>
  <c r="AN38" i="32"/>
  <c r="AM38" i="32"/>
  <c r="AU742" i="32"/>
  <c r="AS742" i="32" s="1"/>
  <c r="AP742" i="32"/>
  <c r="AO742" i="32"/>
  <c r="AN742" i="32"/>
  <c r="AM742" i="32"/>
  <c r="AU741" i="32"/>
  <c r="AP741" i="32"/>
  <c r="AO741" i="32"/>
  <c r="AN741" i="32"/>
  <c r="AM741" i="32"/>
  <c r="AU740" i="32"/>
  <c r="AP740" i="32"/>
  <c r="AO740" i="32"/>
  <c r="AN740" i="32"/>
  <c r="AM740" i="32"/>
  <c r="AU739" i="32"/>
  <c r="AS739" i="32" s="1"/>
  <c r="AP739" i="32"/>
  <c r="AO739" i="32"/>
  <c r="AN739" i="32"/>
  <c r="AM739" i="32"/>
  <c r="AU738" i="32"/>
  <c r="AT738" i="32" s="1"/>
  <c r="AP738" i="32"/>
  <c r="AO738" i="32"/>
  <c r="AN738" i="32"/>
  <c r="AM738" i="32"/>
  <c r="AU37" i="32"/>
  <c r="AT37" i="32" s="1"/>
  <c r="AP37" i="32"/>
  <c r="AO37" i="32"/>
  <c r="AN37" i="32"/>
  <c r="AM37" i="32"/>
  <c r="AU36" i="32"/>
  <c r="AP36" i="32"/>
  <c r="AO36" i="32"/>
  <c r="AN36" i="32"/>
  <c r="AM36" i="32"/>
  <c r="AU737" i="32"/>
  <c r="AR737" i="32" s="1"/>
  <c r="AP737" i="32"/>
  <c r="AO737" i="32"/>
  <c r="AN737" i="32"/>
  <c r="AM737" i="32"/>
  <c r="AU736" i="32"/>
  <c r="AP736" i="32"/>
  <c r="AO736" i="32"/>
  <c r="AN736" i="32"/>
  <c r="AM736" i="32"/>
  <c r="AU697" i="32"/>
  <c r="AT697" i="32" s="1"/>
  <c r="AP697" i="32"/>
  <c r="AO697" i="32"/>
  <c r="AN697" i="32"/>
  <c r="AM697" i="32"/>
  <c r="AU735" i="32"/>
  <c r="AP735" i="32"/>
  <c r="AO735" i="32"/>
  <c r="AN735" i="32"/>
  <c r="AM735" i="32"/>
  <c r="AU734" i="32"/>
  <c r="AS734" i="32" s="1"/>
  <c r="AP734" i="32"/>
  <c r="AO734" i="32"/>
  <c r="AN734" i="32"/>
  <c r="AM734" i="32"/>
  <c r="AU733" i="32"/>
  <c r="AT733" i="32" s="1"/>
  <c r="AP733" i="32"/>
  <c r="AO733" i="32"/>
  <c r="AN733" i="32"/>
  <c r="AM733" i="32"/>
  <c r="AU732" i="32"/>
  <c r="AT732" i="32" s="1"/>
  <c r="AP732" i="32"/>
  <c r="AO732" i="32"/>
  <c r="AN732" i="32"/>
  <c r="AM732" i="32"/>
  <c r="AU35" i="32"/>
  <c r="AP35" i="32"/>
  <c r="AO35" i="32"/>
  <c r="AN35" i="32"/>
  <c r="AM35" i="32"/>
  <c r="AU731" i="32"/>
  <c r="AR731" i="32" s="1"/>
  <c r="AP731" i="32"/>
  <c r="AO731" i="32"/>
  <c r="AN731" i="32"/>
  <c r="AM731" i="32"/>
  <c r="AU730" i="32"/>
  <c r="AT730" i="32" s="1"/>
  <c r="AP730" i="32"/>
  <c r="AO730" i="32"/>
  <c r="AN730" i="32"/>
  <c r="AM730" i="32"/>
  <c r="AU729" i="32"/>
  <c r="AT729" i="32" s="1"/>
  <c r="AP729" i="32"/>
  <c r="AO729" i="32"/>
  <c r="AN729" i="32"/>
  <c r="AM729" i="32"/>
  <c r="AU728" i="32"/>
  <c r="AP728" i="32"/>
  <c r="AO728" i="32"/>
  <c r="AN728" i="32"/>
  <c r="AM728" i="32"/>
  <c r="AU34" i="32"/>
  <c r="AS34" i="32" s="1"/>
  <c r="AP34" i="32"/>
  <c r="AO34" i="32"/>
  <c r="AN34" i="32"/>
  <c r="AM34" i="32"/>
  <c r="AU33" i="32"/>
  <c r="AT33" i="32" s="1"/>
  <c r="AP33" i="32"/>
  <c r="AO33" i="32"/>
  <c r="AN33" i="32"/>
  <c r="AM33" i="32"/>
  <c r="AU1301" i="32"/>
  <c r="AT1301" i="32" s="1"/>
  <c r="AP1301" i="32"/>
  <c r="AO1301" i="32"/>
  <c r="AN1301" i="32"/>
  <c r="AM1301" i="32"/>
  <c r="AU32" i="32"/>
  <c r="AP32" i="32"/>
  <c r="AO32" i="32"/>
  <c r="AN32" i="32"/>
  <c r="AM32" i="32"/>
  <c r="AU31" i="32"/>
  <c r="AP31" i="32"/>
  <c r="AO31" i="32"/>
  <c r="AN31" i="32"/>
  <c r="AM31" i="32"/>
  <c r="AU30" i="32"/>
  <c r="AS30" i="32" s="1"/>
  <c r="AP30" i="32"/>
  <c r="AO30" i="32"/>
  <c r="AN30" i="32"/>
  <c r="AM30" i="32"/>
  <c r="AU29" i="32"/>
  <c r="AT29" i="32" s="1"/>
  <c r="AP29" i="32"/>
  <c r="AO29" i="32"/>
  <c r="AN29" i="32"/>
  <c r="AM29" i="32"/>
  <c r="AU28" i="32"/>
  <c r="AP28" i="32"/>
  <c r="AO28" i="32"/>
  <c r="AN28" i="32"/>
  <c r="AM28" i="32"/>
  <c r="AU27" i="32"/>
  <c r="AS27" i="32" s="1"/>
  <c r="AP27" i="32"/>
  <c r="AO27" i="32"/>
  <c r="AN27" i="32"/>
  <c r="AM27" i="32"/>
  <c r="AU26" i="32"/>
  <c r="AT26" i="32" s="1"/>
  <c r="AP26" i="32"/>
  <c r="AO26" i="32"/>
  <c r="AN26" i="32"/>
  <c r="AM26" i="32"/>
  <c r="AU25" i="32"/>
  <c r="AT25" i="32" s="1"/>
  <c r="AP25" i="32"/>
  <c r="AO25" i="32"/>
  <c r="AN25" i="32"/>
  <c r="AM25" i="32"/>
  <c r="AU24" i="32"/>
  <c r="AP24" i="32"/>
  <c r="AO24" i="32"/>
  <c r="AN24" i="32"/>
  <c r="AM24" i="32"/>
  <c r="AU23" i="32"/>
  <c r="AR23" i="32" s="1"/>
  <c r="AP23" i="32"/>
  <c r="AO23" i="32"/>
  <c r="AN23" i="32"/>
  <c r="AM23" i="32"/>
  <c r="AU22" i="32"/>
  <c r="AT22" i="32" s="1"/>
  <c r="AP22" i="32"/>
  <c r="AO22" i="32"/>
  <c r="AN22" i="32"/>
  <c r="AM22" i="32"/>
  <c r="AU21" i="32"/>
  <c r="AQ21" i="32" s="1"/>
  <c r="AP21" i="32"/>
  <c r="AO21" i="32"/>
  <c r="AN21" i="32"/>
  <c r="AM21" i="32"/>
  <c r="AU20" i="32"/>
  <c r="AP20" i="32"/>
  <c r="AO20" i="32"/>
  <c r="AN20" i="32"/>
  <c r="AM20" i="32"/>
  <c r="AU19" i="32"/>
  <c r="AS19" i="32" s="1"/>
  <c r="AP19" i="32"/>
  <c r="AO19" i="32"/>
  <c r="AN19" i="32"/>
  <c r="AM19" i="32"/>
  <c r="AU18" i="32"/>
  <c r="AT18" i="32" s="1"/>
  <c r="AP18" i="32"/>
  <c r="AO18" i="32"/>
  <c r="AN18" i="32"/>
  <c r="AM18" i="32"/>
  <c r="AU17" i="32"/>
  <c r="AT17" i="32" s="1"/>
  <c r="AP17" i="32"/>
  <c r="AO17" i="32"/>
  <c r="AN17" i="32"/>
  <c r="AM17" i="32"/>
  <c r="AU16" i="32"/>
  <c r="AQ16" i="32" s="1"/>
  <c r="AP16" i="32"/>
  <c r="AO16" i="32"/>
  <c r="AN16" i="32"/>
  <c r="AM16" i="32"/>
  <c r="AU15" i="32"/>
  <c r="AS15" i="32" s="1"/>
  <c r="AP15" i="32"/>
  <c r="AO15" i="32"/>
  <c r="AN15" i="32"/>
  <c r="AM15" i="32"/>
  <c r="AU14" i="32"/>
  <c r="AT14" i="32" s="1"/>
  <c r="AP14" i="32"/>
  <c r="AO14" i="32"/>
  <c r="AN14" i="32"/>
  <c r="AM14" i="32"/>
  <c r="AU13" i="32"/>
  <c r="AR13" i="32" s="1"/>
  <c r="AP13" i="32"/>
  <c r="AO13" i="32"/>
  <c r="AN13" i="32"/>
  <c r="AM13" i="32"/>
  <c r="AU12" i="32"/>
  <c r="AP12" i="32"/>
  <c r="AO12" i="32"/>
  <c r="AN12" i="32"/>
  <c r="AM12" i="32"/>
  <c r="AU11" i="32"/>
  <c r="AT11" i="32" s="1"/>
  <c r="AP11" i="32"/>
  <c r="AO11" i="32"/>
  <c r="AN11" i="32"/>
  <c r="AM11" i="32"/>
  <c r="AU10" i="32"/>
  <c r="AT10" i="32" s="1"/>
  <c r="AP10" i="32"/>
  <c r="AO10" i="32"/>
  <c r="AN10" i="32"/>
  <c r="AM10" i="32"/>
  <c r="AU9" i="32"/>
  <c r="AS9" i="32" s="1"/>
  <c r="AP9" i="32"/>
  <c r="AO9" i="32"/>
  <c r="AN9" i="32"/>
  <c r="AM9" i="32"/>
  <c r="AU8" i="32"/>
  <c r="AT8" i="32" s="1"/>
  <c r="AP8" i="32"/>
  <c r="AO8" i="32"/>
  <c r="AN8" i="32"/>
  <c r="AM8" i="32"/>
  <c r="AU7" i="32"/>
  <c r="AS7" i="32" s="1"/>
  <c r="AP7" i="32"/>
  <c r="AO7" i="32"/>
  <c r="AN7" i="32"/>
  <c r="AM7" i="32"/>
  <c r="AU6" i="32"/>
  <c r="AT6" i="32" s="1"/>
  <c r="AP6" i="32"/>
  <c r="AO6" i="32"/>
  <c r="AN6" i="32"/>
  <c r="AM6" i="32"/>
  <c r="AU5" i="32"/>
  <c r="AQ5" i="32" s="1"/>
  <c r="AP5" i="32"/>
  <c r="AO5" i="32"/>
  <c r="AN5" i="32"/>
  <c r="AM5" i="32"/>
  <c r="AU4" i="32"/>
  <c r="AS4" i="32" s="1"/>
  <c r="AP4" i="32"/>
  <c r="AO4" i="32"/>
  <c r="AN4" i="32"/>
  <c r="AM4" i="32"/>
  <c r="AU3" i="32"/>
  <c r="AT3" i="32" s="1"/>
  <c r="AP3" i="32"/>
  <c r="AO3" i="32"/>
  <c r="AN3" i="32"/>
  <c r="AM3" i="32"/>
  <c r="AU2" i="32"/>
  <c r="AT2" i="32" s="1"/>
  <c r="AP2" i="32"/>
  <c r="AO2" i="32"/>
  <c r="AN2" i="32"/>
  <c r="AM2" i="32"/>
  <c r="AQ1326" i="32" l="1"/>
  <c r="AR1326" i="32"/>
  <c r="AS1326" i="32"/>
  <c r="AT1326" i="32"/>
  <c r="AQ1325" i="32"/>
  <c r="AR1325" i="32"/>
  <c r="AS1325" i="32"/>
  <c r="AT1325" i="32"/>
  <c r="AQ1324" i="32"/>
  <c r="AR1324" i="32"/>
  <c r="AS1324" i="32"/>
  <c r="AT1324" i="32"/>
  <c r="AR1317" i="32"/>
  <c r="AT1317" i="32"/>
  <c r="AS1317" i="32"/>
  <c r="AQ1317" i="32"/>
  <c r="AQ1367" i="32"/>
  <c r="AR1367" i="32"/>
  <c r="AS1367" i="32"/>
  <c r="AT1367" i="32"/>
  <c r="AQ1368" i="32"/>
  <c r="AR1368" i="32"/>
  <c r="AS1368" i="32"/>
  <c r="AT1368" i="32"/>
  <c r="AQ1369" i="32"/>
  <c r="AR1369" i="32"/>
  <c r="AS1369" i="32"/>
  <c r="AT1369" i="32"/>
  <c r="AR1370" i="32"/>
  <c r="AS1370" i="32"/>
  <c r="AT1370" i="32"/>
  <c r="AQ1370" i="32"/>
  <c r="AQ1371" i="32"/>
  <c r="AR1371" i="32"/>
  <c r="AT1371" i="32"/>
  <c r="AS1371" i="32"/>
  <c r="AQ1372" i="32"/>
  <c r="AR1372" i="32"/>
  <c r="AS1372" i="32"/>
  <c r="AT1372" i="32"/>
  <c r="AR1373" i="32"/>
  <c r="AS1373" i="32"/>
  <c r="AQ1373" i="32"/>
  <c r="AT1373" i="32"/>
  <c r="AQ1374" i="32"/>
  <c r="AS1374" i="32"/>
  <c r="AT1374" i="32"/>
  <c r="AR1374" i="32"/>
  <c r="AQ1375" i="32"/>
  <c r="AR1375" i="32"/>
  <c r="AS1375" i="32"/>
  <c r="AT1375" i="32"/>
  <c r="AR1376" i="32"/>
  <c r="AS1376" i="32"/>
  <c r="AT1376" i="32"/>
  <c r="AQ1376" i="32"/>
  <c r="AQ1377" i="32"/>
  <c r="AR1377" i="32"/>
  <c r="AT1377" i="32"/>
  <c r="AS1377" i="32"/>
  <c r="AS1378" i="32"/>
  <c r="AR1378" i="32"/>
  <c r="AQ1378" i="32"/>
  <c r="AT1378" i="32"/>
  <c r="AR1379" i="32"/>
  <c r="AT1379" i="32"/>
  <c r="AQ1379" i="32"/>
  <c r="AS1379" i="32"/>
  <c r="AS1380" i="32"/>
  <c r="AR1380" i="32"/>
  <c r="AQ1380" i="32"/>
  <c r="AT1380" i="32"/>
  <c r="AQ1381" i="32"/>
  <c r="AR1381" i="32"/>
  <c r="AS1381" i="32"/>
  <c r="AT1381" i="32"/>
  <c r="AR1382" i="32"/>
  <c r="AT1382" i="32"/>
  <c r="AS1382" i="32"/>
  <c r="AQ1382" i="32"/>
  <c r="AS1383" i="32"/>
  <c r="AQ1383" i="32"/>
  <c r="AT1383" i="32"/>
  <c r="AR1383" i="32"/>
  <c r="AR1384" i="32"/>
  <c r="AS1384" i="32"/>
  <c r="AQ1384" i="32"/>
  <c r="AT1384" i="32"/>
  <c r="AQ1385" i="32"/>
  <c r="AS1385" i="32"/>
  <c r="AT1385" i="32"/>
  <c r="AR1385" i="32"/>
  <c r="AS1386" i="32"/>
  <c r="AT1386" i="32"/>
  <c r="AR1386" i="32"/>
  <c r="AQ1386" i="32"/>
  <c r="AR1387" i="32"/>
  <c r="AS1387" i="32"/>
  <c r="AT1387" i="32"/>
  <c r="AQ1387" i="32"/>
  <c r="AT1388" i="32"/>
  <c r="AQ1388" i="32"/>
  <c r="AS1388" i="32"/>
  <c r="AR1388" i="32"/>
  <c r="AQ1389" i="32"/>
  <c r="AR1389" i="32"/>
  <c r="AS1389" i="32"/>
  <c r="AT1389" i="32"/>
  <c r="AT1390" i="32"/>
  <c r="AQ1390" i="32"/>
  <c r="AR1390" i="32"/>
  <c r="AS1390" i="32"/>
  <c r="AS1391" i="32"/>
  <c r="AR1391" i="32"/>
  <c r="AQ1391" i="32"/>
  <c r="AT1391" i="32"/>
  <c r="AQ1392" i="32"/>
  <c r="AT1392" i="32"/>
  <c r="AS1392" i="32"/>
  <c r="AR1392" i="32"/>
  <c r="AT1393" i="32"/>
  <c r="AR1393" i="32"/>
  <c r="AS1393" i="32"/>
  <c r="AQ1393" i="32"/>
  <c r="AR1394" i="32"/>
  <c r="AQ1394" i="32"/>
  <c r="AS1394" i="32"/>
  <c r="AT1394" i="32"/>
  <c r="AT1395" i="32"/>
  <c r="AS1395" i="32"/>
  <c r="AR1395" i="32"/>
  <c r="AQ1395" i="32"/>
  <c r="AT1396" i="32"/>
  <c r="AR1396" i="32"/>
  <c r="AQ1396" i="32"/>
  <c r="AS1396" i="32"/>
  <c r="AS1397" i="32"/>
  <c r="AT1397" i="32"/>
  <c r="AQ1397" i="32"/>
  <c r="AR1397" i="32"/>
  <c r="AS1398" i="32"/>
  <c r="AQ1398" i="32"/>
  <c r="AR1398" i="32"/>
  <c r="AT1398" i="32"/>
  <c r="AS1399" i="32"/>
  <c r="AQ1399" i="32"/>
  <c r="AR1399" i="32"/>
  <c r="AT1399" i="32"/>
  <c r="AQ1400" i="32"/>
  <c r="AS1400" i="32"/>
  <c r="AR1400" i="32"/>
  <c r="AT1400" i="32"/>
  <c r="AS1401" i="32"/>
  <c r="AR1401" i="32"/>
  <c r="AQ1401" i="32"/>
  <c r="AT1401" i="32"/>
  <c r="AR1402" i="32"/>
  <c r="AS1402" i="32"/>
  <c r="AT1402" i="32"/>
  <c r="AQ1402" i="32"/>
  <c r="AQ1403" i="32"/>
  <c r="AR1403" i="32"/>
  <c r="AS1403" i="32"/>
  <c r="AT1403" i="32"/>
  <c r="AR1404" i="32"/>
  <c r="AT1404" i="32"/>
  <c r="AS1404" i="32"/>
  <c r="AQ1404" i="32"/>
  <c r="AT1405" i="32"/>
  <c r="AS1405" i="32"/>
  <c r="AR1405" i="32"/>
  <c r="AQ1405" i="32"/>
  <c r="AQ1406" i="32"/>
  <c r="AS1406" i="32"/>
  <c r="AT1406" i="32"/>
  <c r="AR1406" i="32"/>
  <c r="AT1407" i="32"/>
  <c r="AR1407" i="32"/>
  <c r="AQ1407" i="32"/>
  <c r="AS1407" i="32"/>
  <c r="AQ1408" i="32"/>
  <c r="AT1408" i="32"/>
  <c r="AR1408" i="32"/>
  <c r="AS1408" i="32"/>
  <c r="AS1409" i="32"/>
  <c r="AR1409" i="32"/>
  <c r="AQ1409" i="32"/>
  <c r="AT1409" i="32"/>
  <c r="AQ1410" i="32"/>
  <c r="AT1410" i="32"/>
  <c r="AR1410" i="32"/>
  <c r="AS1410" i="32"/>
  <c r="AT1411" i="32"/>
  <c r="AS1411" i="32"/>
  <c r="AR1411" i="32"/>
  <c r="AQ1411" i="32"/>
  <c r="AR1412" i="32"/>
  <c r="AQ1412" i="32"/>
  <c r="AT1412" i="32"/>
  <c r="AS1412" i="32"/>
  <c r="AT1413" i="32"/>
  <c r="AQ1413" i="32"/>
  <c r="AR1413" i="32"/>
  <c r="AS1413" i="32"/>
  <c r="AS1414" i="32"/>
  <c r="AQ1414" i="32"/>
  <c r="AR1414" i="32"/>
  <c r="AT1414" i="32"/>
  <c r="AR1415" i="32"/>
  <c r="AS1415" i="32"/>
  <c r="AQ1415" i="32"/>
  <c r="AT1415" i="32"/>
  <c r="AR1416" i="32"/>
  <c r="AS1416" i="32"/>
  <c r="AQ1416" i="32"/>
  <c r="AT1416" i="32"/>
  <c r="AQ1417" i="32"/>
  <c r="AR1417" i="32"/>
  <c r="AT1417" i="32"/>
  <c r="AS1417" i="32"/>
  <c r="AQ1418" i="32"/>
  <c r="AR1418" i="32"/>
  <c r="AS1418" i="32"/>
  <c r="AT1418" i="32"/>
  <c r="AR1419" i="32"/>
  <c r="AS1419" i="32"/>
  <c r="AT1419" i="32"/>
  <c r="AQ1419" i="32"/>
  <c r="AT1420" i="32"/>
  <c r="AS1420" i="32"/>
  <c r="AR1420" i="32"/>
  <c r="AQ1420" i="32"/>
  <c r="AQ1421" i="32"/>
  <c r="AR1421" i="32"/>
  <c r="AT1421" i="32"/>
  <c r="AS1421" i="32"/>
  <c r="AS1422" i="32"/>
  <c r="AT1422" i="32"/>
  <c r="AR1422" i="32"/>
  <c r="AQ1422" i="32"/>
  <c r="AR1423" i="32"/>
  <c r="AS1423" i="32"/>
  <c r="AT1423" i="32"/>
  <c r="AQ1423" i="32"/>
  <c r="AR1424" i="32"/>
  <c r="AS1424" i="32"/>
  <c r="AQ1424" i="32"/>
  <c r="AT1424" i="32"/>
  <c r="AS1425" i="32"/>
  <c r="AR1425" i="32"/>
  <c r="AT1425" i="32"/>
  <c r="AQ1425" i="32"/>
  <c r="AQ1426" i="32"/>
  <c r="AT1426" i="32"/>
  <c r="AR1426" i="32"/>
  <c r="AS1426" i="32"/>
  <c r="AT1427" i="32"/>
  <c r="AQ1427" i="32"/>
  <c r="AR1427" i="32"/>
  <c r="AS1427" i="32"/>
  <c r="AS1428" i="32"/>
  <c r="AT1428" i="32"/>
  <c r="AQ1428" i="32"/>
  <c r="AR1428" i="32"/>
  <c r="AS1429" i="32"/>
  <c r="AQ1429" i="32"/>
  <c r="AT1429" i="32"/>
  <c r="AR1429" i="32"/>
  <c r="AS1430" i="32"/>
  <c r="AQ1430" i="32"/>
  <c r="AR1430" i="32"/>
  <c r="AT1430" i="32"/>
  <c r="AS1431" i="32"/>
  <c r="AQ1431" i="32"/>
  <c r="AT1431" i="32"/>
  <c r="AR1431" i="32"/>
  <c r="AQ1432" i="32"/>
  <c r="AT1432" i="32"/>
  <c r="AS1432" i="32"/>
  <c r="AR1432" i="32"/>
  <c r="AT1433" i="32"/>
  <c r="AQ1433" i="32"/>
  <c r="AR1433" i="32"/>
  <c r="AS1433" i="32"/>
  <c r="AQ1434" i="32"/>
  <c r="AS1434" i="32"/>
  <c r="AR1434" i="32"/>
  <c r="AT1434" i="32"/>
  <c r="AT1435" i="32"/>
  <c r="AQ1435" i="32"/>
  <c r="AR1435" i="32"/>
  <c r="AS1435" i="32"/>
  <c r="AQ1436" i="32"/>
  <c r="AR1436" i="32"/>
  <c r="AT1436" i="32"/>
  <c r="AS1436" i="32"/>
  <c r="AT1437" i="32"/>
  <c r="AQ1437" i="32"/>
  <c r="AR1437" i="32"/>
  <c r="AS1437" i="32"/>
  <c r="AR1438" i="32"/>
  <c r="AS1438" i="32"/>
  <c r="AQ1438" i="32"/>
  <c r="AT1438" i="32"/>
  <c r="AT1439" i="32"/>
  <c r="AS1439" i="32"/>
  <c r="AR1439" i="32"/>
  <c r="AQ1439" i="32"/>
  <c r="AS1440" i="32"/>
  <c r="AR1440" i="32"/>
  <c r="AQ1440" i="32"/>
  <c r="AT1440" i="32"/>
  <c r="AQ1441" i="32"/>
  <c r="AT1441" i="32"/>
  <c r="AR1441" i="32"/>
  <c r="AS1441" i="32"/>
  <c r="AQ1318" i="32"/>
  <c r="AT1318" i="32"/>
  <c r="AR1318" i="32"/>
  <c r="AS1318" i="32"/>
  <c r="AQ1319" i="32"/>
  <c r="AT1319" i="32"/>
  <c r="AS1319" i="32"/>
  <c r="AR1319" i="32"/>
  <c r="AR1320" i="32"/>
  <c r="AT1320" i="32"/>
  <c r="AQ1320" i="32"/>
  <c r="AS1320" i="32"/>
  <c r="AQ1321" i="32"/>
  <c r="AS1321" i="32"/>
  <c r="AT1321" i="32"/>
  <c r="AR1321" i="32"/>
  <c r="AT1322" i="32"/>
  <c r="AS1322" i="32"/>
  <c r="AR1322" i="32"/>
  <c r="AS1323" i="32"/>
  <c r="AT1323" i="32"/>
  <c r="AR1323" i="32"/>
  <c r="AQ1323" i="32"/>
  <c r="AS1327" i="32"/>
  <c r="AT1327" i="32"/>
  <c r="AR1327" i="32"/>
  <c r="AQ1327" i="32"/>
  <c r="AQ1328" i="32"/>
  <c r="AR1328" i="32"/>
  <c r="AS1328" i="32"/>
  <c r="AT1328" i="32"/>
  <c r="AT1329" i="32"/>
  <c r="AS1329" i="32"/>
  <c r="AQ1329" i="32"/>
  <c r="AR1329" i="32"/>
  <c r="AS1330" i="32"/>
  <c r="AQ1330" i="32"/>
  <c r="AT1330" i="32"/>
  <c r="AR1330" i="32"/>
  <c r="AQ1331" i="32"/>
  <c r="AT1331" i="32"/>
  <c r="AS1331" i="32"/>
  <c r="AR1331" i="32"/>
  <c r="AR1332" i="32"/>
  <c r="AS1332" i="32"/>
  <c r="AT1332" i="32"/>
  <c r="AQ1332" i="32"/>
  <c r="AS1333" i="32"/>
  <c r="AQ1333" i="32"/>
  <c r="AT1333" i="32"/>
  <c r="AR1333" i="32"/>
  <c r="AT1334" i="32"/>
  <c r="AQ1334" i="32"/>
  <c r="AR1334" i="32"/>
  <c r="AS1334" i="32"/>
  <c r="AQ1335" i="32"/>
  <c r="AR1335" i="32"/>
  <c r="AT1335" i="32"/>
  <c r="AS1335" i="32"/>
  <c r="AS1336" i="32"/>
  <c r="AT1336" i="32"/>
  <c r="AQ1336" i="32"/>
  <c r="AR1336" i="32"/>
  <c r="AT1337" i="32"/>
  <c r="AS1337" i="32"/>
  <c r="AR1337" i="32"/>
  <c r="AQ1337" i="32"/>
  <c r="AS1338" i="32"/>
  <c r="AR1338" i="32"/>
  <c r="AT1338" i="32"/>
  <c r="AQ1338" i="32"/>
  <c r="AT1339" i="32"/>
  <c r="AS1339" i="32"/>
  <c r="AR1339" i="32"/>
  <c r="AQ1339" i="32"/>
  <c r="AQ1340" i="32"/>
  <c r="AT1340" i="32"/>
  <c r="AR1340" i="32"/>
  <c r="AS1340" i="32"/>
  <c r="AT1341" i="32"/>
  <c r="AS1341" i="32"/>
  <c r="AR1341" i="32"/>
  <c r="AQ1341" i="32"/>
  <c r="AQ1342" i="32"/>
  <c r="AR1342" i="32"/>
  <c r="AS1342" i="32"/>
  <c r="AT1342" i="32"/>
  <c r="AS1343" i="32"/>
  <c r="AR1343" i="32"/>
  <c r="AT1343" i="32"/>
  <c r="AQ1343" i="32"/>
  <c r="AQ1344" i="32"/>
  <c r="AR1344" i="32"/>
  <c r="AT1344" i="32"/>
  <c r="AS1344" i="32"/>
  <c r="AT1345" i="32"/>
  <c r="AS1345" i="32"/>
  <c r="AR1345" i="32"/>
  <c r="AQ1345" i="32"/>
  <c r="AR1346" i="32"/>
  <c r="AQ1346" i="32"/>
  <c r="AS1346" i="32"/>
  <c r="AT1346" i="32"/>
  <c r="AR1347" i="32"/>
  <c r="AT1347" i="32"/>
  <c r="AS1347" i="32"/>
  <c r="AQ1347" i="32"/>
  <c r="AR1348" i="32"/>
  <c r="AT1348" i="32"/>
  <c r="AQ1348" i="32"/>
  <c r="AS1348" i="32"/>
  <c r="AS1349" i="32"/>
  <c r="AR1349" i="32"/>
  <c r="AQ1349" i="32"/>
  <c r="AT1349" i="32"/>
  <c r="AT1350" i="32"/>
  <c r="AR1350" i="32"/>
  <c r="AQ1350" i="32"/>
  <c r="AS1350" i="32"/>
  <c r="AQ1351" i="32"/>
  <c r="AS1351" i="32"/>
  <c r="AT1351" i="32"/>
  <c r="AR1351" i="32"/>
  <c r="AR1352" i="32"/>
  <c r="AT1352" i="32"/>
  <c r="AQ1352" i="32"/>
  <c r="AS1352" i="32"/>
  <c r="AQ1353" i="32"/>
  <c r="AR1353" i="32"/>
  <c r="AS1353" i="32"/>
  <c r="AT1353" i="32"/>
  <c r="AT1354" i="32"/>
  <c r="AS1354" i="32"/>
  <c r="AR1354" i="32"/>
  <c r="AQ1354" i="32"/>
  <c r="AT1355" i="32"/>
  <c r="AS1355" i="32"/>
  <c r="AQ1355" i="32"/>
  <c r="AR1355" i="32"/>
  <c r="AQ1356" i="32"/>
  <c r="AR1356" i="32"/>
  <c r="AT1356" i="32"/>
  <c r="AS1356" i="32"/>
  <c r="AR1357" i="32"/>
  <c r="AT1357" i="32"/>
  <c r="AS1357" i="32"/>
  <c r="AQ1357" i="32"/>
  <c r="AR1358" i="32"/>
  <c r="AS1358" i="32"/>
  <c r="AT1358" i="32"/>
  <c r="AQ1358" i="32"/>
  <c r="AT1359" i="32"/>
  <c r="AS1359" i="32"/>
  <c r="AR1359" i="32"/>
  <c r="AQ1359" i="32"/>
  <c r="AQ1360" i="32"/>
  <c r="AR1360" i="32"/>
  <c r="AT1360" i="32"/>
  <c r="AS1360" i="32"/>
  <c r="AS1361" i="32"/>
  <c r="AQ1361" i="32"/>
  <c r="AR1361" i="32"/>
  <c r="AT1361" i="32"/>
  <c r="AR1362" i="32"/>
  <c r="AQ1362" i="32"/>
  <c r="AS1362" i="32"/>
  <c r="AT1362" i="32"/>
  <c r="AQ1363" i="32"/>
  <c r="AT1363" i="32"/>
  <c r="AS1363" i="32"/>
  <c r="AR1363" i="32"/>
  <c r="AR1364" i="32"/>
  <c r="AT1364" i="32"/>
  <c r="AQ1364" i="32"/>
  <c r="AS1364" i="32"/>
  <c r="AQ1365" i="32"/>
  <c r="AR1365" i="32"/>
  <c r="AS1365" i="32"/>
  <c r="AT1365" i="32"/>
  <c r="AR1366" i="32"/>
  <c r="AQ1366" i="32"/>
  <c r="AS1366" i="32"/>
  <c r="AT1366" i="32"/>
  <c r="AQ1313" i="32"/>
  <c r="AR1313" i="32"/>
  <c r="AS1313" i="32"/>
  <c r="AT1313" i="32"/>
  <c r="AQ1314" i="32"/>
  <c r="AR1314" i="32"/>
  <c r="AS1314" i="32"/>
  <c r="AT1314" i="32"/>
  <c r="AQ1315" i="32"/>
  <c r="AR1315" i="32"/>
  <c r="AS1315" i="32"/>
  <c r="AT1315" i="32"/>
  <c r="AQ1316" i="32"/>
  <c r="AR1316" i="32"/>
  <c r="AS1316" i="32"/>
  <c r="AT1316" i="32"/>
  <c r="AQ1309" i="32"/>
  <c r="AR1309" i="32"/>
  <c r="AS1309" i="32"/>
  <c r="AT1309" i="32"/>
  <c r="AQ1310" i="32"/>
  <c r="AR1310" i="32"/>
  <c r="AS1310" i="32"/>
  <c r="AT1310" i="32"/>
  <c r="AQ1311" i="32"/>
  <c r="AR1311" i="32"/>
  <c r="AS1311" i="32"/>
  <c r="AT1311" i="32"/>
  <c r="AQ1312" i="32"/>
  <c r="AR1312" i="32"/>
  <c r="AS1312" i="32"/>
  <c r="AT1312" i="32"/>
  <c r="AQ1308" i="32"/>
  <c r="AR1308" i="32"/>
  <c r="AS1308" i="32"/>
  <c r="AT1308" i="32"/>
  <c r="AQ1307" i="32"/>
  <c r="AR1307" i="32"/>
  <c r="AS1307" i="32"/>
  <c r="AT1307" i="32"/>
  <c r="AQ1256" i="32"/>
  <c r="AQ1015" i="32"/>
  <c r="AR993" i="32"/>
  <c r="AS717" i="32"/>
  <c r="AS821" i="32"/>
  <c r="AQ937" i="32"/>
  <c r="AT69" i="32"/>
  <c r="AQ41" i="32"/>
  <c r="AS715" i="32"/>
  <c r="AR774" i="32"/>
  <c r="AR321" i="32"/>
  <c r="AS366" i="32"/>
  <c r="AR1032" i="32"/>
  <c r="AT1057" i="32"/>
  <c r="AQ432" i="32"/>
  <c r="AT1170" i="32"/>
  <c r="AR268" i="32"/>
  <c r="AT1163" i="32"/>
  <c r="AT702" i="32"/>
  <c r="AS781" i="32"/>
  <c r="AR198" i="32"/>
  <c r="AT264" i="32"/>
  <c r="AR875" i="32"/>
  <c r="AR977" i="32"/>
  <c r="AT747" i="32"/>
  <c r="AS750" i="32"/>
  <c r="AR967" i="32"/>
  <c r="AR197" i="32"/>
  <c r="AR767" i="32"/>
  <c r="AQ222" i="32"/>
  <c r="AR1096" i="32"/>
  <c r="AS1139" i="32"/>
  <c r="AS1142" i="32"/>
  <c r="AR1144" i="32"/>
  <c r="AS10" i="32"/>
  <c r="AS13" i="32"/>
  <c r="AQ309" i="32"/>
  <c r="AR1248" i="32"/>
  <c r="AT85" i="32"/>
  <c r="AT826" i="32"/>
  <c r="AS855" i="32"/>
  <c r="AQ324" i="32"/>
  <c r="AT935" i="32"/>
  <c r="AT717" i="32"/>
  <c r="AT198" i="32"/>
  <c r="AR216" i="32"/>
  <c r="AT216" i="32"/>
  <c r="AR236" i="32"/>
  <c r="AS835" i="32"/>
  <c r="AT538" i="32"/>
  <c r="AR754" i="32"/>
  <c r="AT703" i="32"/>
  <c r="AT44" i="32"/>
  <c r="AS92" i="32"/>
  <c r="AR1081" i="32"/>
  <c r="AQ1099" i="32"/>
  <c r="AR585" i="32"/>
  <c r="AS22" i="32"/>
  <c r="AT54" i="32"/>
  <c r="AT92" i="32"/>
  <c r="AQ197" i="32"/>
  <c r="AT244" i="32"/>
  <c r="AS831" i="32"/>
  <c r="AT969" i="32"/>
  <c r="AR1099" i="32"/>
  <c r="AR1157" i="32"/>
  <c r="AS1160" i="32"/>
  <c r="AS1216" i="32"/>
  <c r="AQ205" i="32"/>
  <c r="AS782" i="32"/>
  <c r="AT217" i="32"/>
  <c r="AS787" i="32"/>
  <c r="AT808" i="32"/>
  <c r="AS272" i="32"/>
  <c r="AR894" i="32"/>
  <c r="AR940" i="32"/>
  <c r="AT417" i="32"/>
  <c r="AT1102" i="32"/>
  <c r="AT1103" i="32"/>
  <c r="AT1138" i="32"/>
  <c r="AS526" i="32"/>
  <c r="AT1181" i="32"/>
  <c r="AR1197" i="32"/>
  <c r="AT544" i="32"/>
  <c r="AQ1224" i="32"/>
  <c r="AQ14" i="32"/>
  <c r="AR367" i="32"/>
  <c r="AQ1158" i="32"/>
  <c r="AT520" i="32"/>
  <c r="AT522" i="32"/>
  <c r="AS1171" i="32"/>
  <c r="AS1203" i="32"/>
  <c r="AR14" i="32"/>
  <c r="AS732" i="32"/>
  <c r="AR48" i="32"/>
  <c r="AT51" i="32"/>
  <c r="AQ774" i="32"/>
  <c r="AQ810" i="32"/>
  <c r="AS826" i="32"/>
  <c r="AR925" i="32"/>
  <c r="AR936" i="32"/>
  <c r="AS367" i="32"/>
  <c r="AT1095" i="32"/>
  <c r="AR1127" i="32"/>
  <c r="AT1203" i="32"/>
  <c r="AQ729" i="32"/>
  <c r="AT742" i="32"/>
  <c r="AR65" i="32"/>
  <c r="AR668" i="32"/>
  <c r="AR354" i="32"/>
  <c r="AS385" i="32"/>
  <c r="AR414" i="32"/>
  <c r="AQ1064" i="32"/>
  <c r="AR1077" i="32"/>
  <c r="AS1080" i="32"/>
  <c r="AS1081" i="32"/>
  <c r="AR432" i="32"/>
  <c r="AT65" i="32"/>
  <c r="AT68" i="32"/>
  <c r="AQ85" i="32"/>
  <c r="AT130" i="32"/>
  <c r="AQ133" i="32"/>
  <c r="AS152" i="32"/>
  <c r="AS762" i="32"/>
  <c r="AR218" i="32"/>
  <c r="AT818" i="32"/>
  <c r="AT238" i="32"/>
  <c r="AS668" i="32"/>
  <c r="AQ245" i="32"/>
  <c r="AS279" i="32"/>
  <c r="AQ294" i="32"/>
  <c r="AS365" i="32"/>
  <c r="AT385" i="32"/>
  <c r="AT1037" i="32"/>
  <c r="AT1039" i="32"/>
  <c r="AT1041" i="32"/>
  <c r="AS1055" i="32"/>
  <c r="AQ422" i="32"/>
  <c r="AS1077" i="32"/>
  <c r="AT1080" i="32"/>
  <c r="AT1081" i="32"/>
  <c r="AS432" i="32"/>
  <c r="AR1103" i="32"/>
  <c r="AR476" i="32"/>
  <c r="AQ499" i="32"/>
  <c r="AR512" i="32"/>
  <c r="AQ553" i="32"/>
  <c r="AS1247" i="32"/>
  <c r="AT637" i="32"/>
  <c r="AQ722" i="32"/>
  <c r="AT40" i="32"/>
  <c r="AR85" i="32"/>
  <c r="AQ782" i="32"/>
  <c r="AT218" i="32"/>
  <c r="AR233" i="32"/>
  <c r="AT240" i="32"/>
  <c r="AS832" i="32"/>
  <c r="AS245" i="32"/>
  <c r="AT856" i="32"/>
  <c r="AT279" i="32"/>
  <c r="AQ894" i="32"/>
  <c r="AT964" i="32"/>
  <c r="AS417" i="32"/>
  <c r="AR1102" i="32"/>
  <c r="AS1103" i="32"/>
  <c r="AS597" i="32"/>
  <c r="AT663" i="32"/>
  <c r="AQ91" i="32"/>
  <c r="AT125" i="32"/>
  <c r="AQ168" i="32"/>
  <c r="AR205" i="32"/>
  <c r="AS818" i="32"/>
  <c r="AS244" i="32"/>
  <c r="AT832" i="32"/>
  <c r="AR245" i="32"/>
  <c r="AR852" i="32"/>
  <c r="AT870" i="32"/>
  <c r="AT875" i="32"/>
  <c r="AS877" i="32"/>
  <c r="AS893" i="32"/>
  <c r="AS894" i="32"/>
  <c r="AQ901" i="32"/>
  <c r="AR903" i="32"/>
  <c r="AR919" i="32"/>
  <c r="AQ936" i="32"/>
  <c r="AR937" i="32"/>
  <c r="AQ947" i="32"/>
  <c r="AS354" i="32"/>
  <c r="AR1003" i="32"/>
  <c r="AT1012" i="32"/>
  <c r="AR1075" i="32"/>
  <c r="AQ1085" i="32"/>
  <c r="AS1096" i="32"/>
  <c r="AQ1192" i="32"/>
  <c r="AT1202" i="32"/>
  <c r="AT552" i="32"/>
  <c r="AT1211" i="32"/>
  <c r="AR1243" i="32"/>
  <c r="AQ658" i="32"/>
  <c r="AS753" i="32"/>
  <c r="AS754" i="32"/>
  <c r="AS701" i="32"/>
  <c r="AQ66" i="32"/>
  <c r="AQ1008" i="32"/>
  <c r="AQ448" i="32"/>
  <c r="AR485" i="32"/>
  <c r="AT1298" i="32"/>
  <c r="AT753" i="32"/>
  <c r="AS54" i="32"/>
  <c r="AS65" i="32"/>
  <c r="AR66" i="32"/>
  <c r="AQ94" i="32"/>
  <c r="AS148" i="32"/>
  <c r="AQ260" i="32"/>
  <c r="AS851" i="32"/>
  <c r="AS268" i="32"/>
  <c r="AR294" i="32"/>
  <c r="AQ297" i="32"/>
  <c r="AR299" i="32"/>
  <c r="AS929" i="32"/>
  <c r="AQ328" i="32"/>
  <c r="AQ336" i="32"/>
  <c r="AR945" i="32"/>
  <c r="AR342" i="32"/>
  <c r="AQ948" i="32"/>
  <c r="AT366" i="32"/>
  <c r="AR1008" i="32"/>
  <c r="AR1041" i="32"/>
  <c r="AR1055" i="32"/>
  <c r="AQ1069" i="32"/>
  <c r="AR448" i="32"/>
  <c r="AT463" i="32"/>
  <c r="AT1112" i="32"/>
  <c r="AS485" i="32"/>
  <c r="AS1129" i="32"/>
  <c r="AR1134" i="32"/>
  <c r="AR526" i="32"/>
  <c r="AR1302" i="32"/>
  <c r="AT1208" i="32"/>
  <c r="AS1242" i="32"/>
  <c r="AQ589" i="32"/>
  <c r="AQ1261" i="32"/>
  <c r="AQ657" i="32"/>
  <c r="AQ240" i="32"/>
  <c r="AQ264" i="32"/>
  <c r="AQ481" i="32"/>
  <c r="AR1261" i="32"/>
  <c r="AS695" i="32"/>
  <c r="AQ44" i="32"/>
  <c r="AT53" i="32"/>
  <c r="AQ61" i="32"/>
  <c r="AT192" i="32"/>
  <c r="AS195" i="32"/>
  <c r="AR762" i="32"/>
  <c r="AS216" i="32"/>
  <c r="AR782" i="32"/>
  <c r="AS218" i="32"/>
  <c r="AR821" i="32"/>
  <c r="AR240" i="32"/>
  <c r="AS242" i="32"/>
  <c r="AS264" i="32"/>
  <c r="AQ321" i="32"/>
  <c r="AQ925" i="32"/>
  <c r="AQ942" i="32"/>
  <c r="AQ944" i="32"/>
  <c r="AS971" i="32"/>
  <c r="AS982" i="32"/>
  <c r="AQ990" i="32"/>
  <c r="AS1002" i="32"/>
  <c r="AR401" i="32"/>
  <c r="AQ1035" i="32"/>
  <c r="AQ1040" i="32"/>
  <c r="AR676" i="32"/>
  <c r="AR481" i="32"/>
  <c r="AQ1133" i="32"/>
  <c r="AT681" i="32"/>
  <c r="AR1173" i="32"/>
  <c r="AR1178" i="32"/>
  <c r="AR1182" i="32"/>
  <c r="AT1191" i="32"/>
  <c r="AR553" i="32"/>
  <c r="AQ567" i="32"/>
  <c r="AT572" i="32"/>
  <c r="AS1261" i="32"/>
  <c r="AQ229" i="32"/>
  <c r="AS249" i="32"/>
  <c r="AQ671" i="32"/>
  <c r="AQ921" i="32"/>
  <c r="AQ941" i="32"/>
  <c r="AT982" i="32"/>
  <c r="AT1002" i="32"/>
  <c r="AT1010" i="32"/>
  <c r="AR1031" i="32"/>
  <c r="AR1035" i="32"/>
  <c r="AS1051" i="32"/>
  <c r="AS676" i="32"/>
  <c r="AT419" i="32"/>
  <c r="AQ1104" i="32"/>
  <c r="AQ1152" i="32"/>
  <c r="AQ519" i="32"/>
  <c r="AS542" i="32"/>
  <c r="AS1209" i="32"/>
  <c r="AQ1215" i="32"/>
  <c r="AQ566" i="32"/>
  <c r="AS567" i="32"/>
  <c r="AR1233" i="32"/>
  <c r="AT576" i="32"/>
  <c r="AQ631" i="32"/>
  <c r="AQ721" i="32"/>
  <c r="AT636" i="32"/>
  <c r="AQ29" i="32"/>
  <c r="AR138" i="32"/>
  <c r="AR15" i="32"/>
  <c r="AQ705" i="32"/>
  <c r="AQ660" i="32"/>
  <c r="AT138" i="32"/>
  <c r="AR206" i="32"/>
  <c r="AR226" i="32"/>
  <c r="AR229" i="32"/>
  <c r="AS807" i="32"/>
  <c r="AT249" i="32"/>
  <c r="AQ887" i="32"/>
  <c r="AR671" i="32"/>
  <c r="AQ316" i="32"/>
  <c r="AR921" i="32"/>
  <c r="AR941" i="32"/>
  <c r="AT1013" i="32"/>
  <c r="AR1027" i="32"/>
  <c r="AQ1034" i="32"/>
  <c r="AT1035" i="32"/>
  <c r="AT1051" i="32"/>
  <c r="AR427" i="32"/>
  <c r="AR678" i="32"/>
  <c r="AR1104" i="32"/>
  <c r="AT478" i="32"/>
  <c r="AT525" i="32"/>
  <c r="AS531" i="32"/>
  <c r="AT1215" i="32"/>
  <c r="AR1226" i="32"/>
  <c r="AR566" i="32"/>
  <c r="AT567" i="32"/>
  <c r="AS583" i="32"/>
  <c r="AQ1274" i="32"/>
  <c r="AT699" i="32"/>
  <c r="AT42" i="32"/>
  <c r="AR59" i="32"/>
  <c r="AT96" i="32"/>
  <c r="AR114" i="32"/>
  <c r="AT760" i="32"/>
  <c r="AQ208" i="32"/>
  <c r="AS231" i="32"/>
  <c r="AT813" i="32"/>
  <c r="AR819" i="32"/>
  <c r="AQ251" i="32"/>
  <c r="AQ252" i="32"/>
  <c r="AT263" i="32"/>
  <c r="AR853" i="32"/>
  <c r="AT871" i="32"/>
  <c r="AT277" i="32"/>
  <c r="AR295" i="32"/>
  <c r="AS904" i="32"/>
  <c r="AS305" i="32"/>
  <c r="AQ916" i="32"/>
  <c r="AS330" i="32"/>
  <c r="AS331" i="32"/>
  <c r="AQ332" i="32"/>
  <c r="AR346" i="32"/>
  <c r="AT950" i="32"/>
  <c r="AS962" i="32"/>
  <c r="AQ967" i="32"/>
  <c r="AT382" i="32"/>
  <c r="AR399" i="32"/>
  <c r="AT1011" i="32"/>
  <c r="AQ1022" i="32"/>
  <c r="AQ1087" i="32"/>
  <c r="AQ441" i="32"/>
  <c r="AQ1096" i="32"/>
  <c r="AT468" i="32"/>
  <c r="AS469" i="32"/>
  <c r="AS470" i="32"/>
  <c r="AR478" i="32"/>
  <c r="AT484" i="32"/>
  <c r="AT1135" i="32"/>
  <c r="AQ500" i="32"/>
  <c r="AS681" i="32"/>
  <c r="AR530" i="32"/>
  <c r="AT1186" i="32"/>
  <c r="AR1187" i="32"/>
  <c r="AR1203" i="32"/>
  <c r="AS1204" i="32"/>
  <c r="AT551" i="32"/>
  <c r="AT554" i="32"/>
  <c r="AT1212" i="32"/>
  <c r="AT561" i="32"/>
  <c r="AS1225" i="32"/>
  <c r="AT1229" i="32"/>
  <c r="AT573" i="32"/>
  <c r="AR1282" i="32"/>
  <c r="AT614" i="32"/>
  <c r="AR324" i="32"/>
  <c r="AR933" i="32"/>
  <c r="AR942" i="32"/>
  <c r="AS413" i="32"/>
  <c r="AS414" i="32"/>
  <c r="AR1064" i="32"/>
  <c r="AT1296" i="32"/>
  <c r="AR631" i="32"/>
  <c r="AQ9" i="32"/>
  <c r="AQ780" i="32"/>
  <c r="AQ812" i="32"/>
  <c r="AR880" i="32"/>
  <c r="AQ376" i="32"/>
  <c r="AR990" i="32"/>
  <c r="AT1007" i="32"/>
  <c r="AT414" i="32"/>
  <c r="AQ418" i="32"/>
  <c r="AQ1056" i="32"/>
  <c r="AR1076" i="32"/>
  <c r="AQ486" i="32"/>
  <c r="AS523" i="32"/>
  <c r="AQ537" i="32"/>
  <c r="AR1247" i="32"/>
  <c r="AR1256" i="32"/>
  <c r="AR5" i="32"/>
  <c r="AT9" i="32"/>
  <c r="AT27" i="32"/>
  <c r="AQ752" i="32"/>
  <c r="AQ702" i="32"/>
  <c r="AQ40" i="32"/>
  <c r="AR703" i="32"/>
  <c r="AR704" i="32"/>
  <c r="AR44" i="32"/>
  <c r="AR52" i="32"/>
  <c r="AR61" i="32"/>
  <c r="AQ64" i="32"/>
  <c r="AQ112" i="32"/>
  <c r="AS141" i="32"/>
  <c r="AQ149" i="32"/>
  <c r="AS173" i="32"/>
  <c r="AQ756" i="32"/>
  <c r="AQ206" i="32"/>
  <c r="AT780" i="32"/>
  <c r="AQ801" i="32"/>
  <c r="AR812" i="32"/>
  <c r="AR839" i="32"/>
  <c r="AR256" i="32"/>
  <c r="AQ856" i="32"/>
  <c r="AQ268" i="32"/>
  <c r="AQ857" i="32"/>
  <c r="AR279" i="32"/>
  <c r="AS880" i="32"/>
  <c r="AQ920" i="32"/>
  <c r="AR328" i="32"/>
  <c r="AR336" i="32"/>
  <c r="AS940" i="32"/>
  <c r="AS344" i="32"/>
  <c r="AT365" i="32"/>
  <c r="AS376" i="32"/>
  <c r="AQ383" i="32"/>
  <c r="AQ385" i="32"/>
  <c r="AT990" i="32"/>
  <c r="AR1013" i="32"/>
  <c r="AT1076" i="32"/>
  <c r="AT1083" i="32"/>
  <c r="AS1099" i="32"/>
  <c r="AT466" i="32"/>
  <c r="AQ475" i="32"/>
  <c r="AQ489" i="32"/>
  <c r="AR1141" i="32"/>
  <c r="AQ1161" i="32"/>
  <c r="AT523" i="32"/>
  <c r="AR536" i="32"/>
  <c r="AR537" i="32"/>
  <c r="AQ1191" i="32"/>
  <c r="AQ1196" i="32"/>
  <c r="AQ1234" i="32"/>
  <c r="AS1256" i="32"/>
  <c r="AR604" i="32"/>
  <c r="AT5" i="32"/>
  <c r="AQ8" i="32"/>
  <c r="AT752" i="32"/>
  <c r="AR702" i="32"/>
  <c r="AS40" i="32"/>
  <c r="AS703" i="32"/>
  <c r="AS704" i="32"/>
  <c r="AS51" i="32"/>
  <c r="AS52" i="32"/>
  <c r="AR112" i="32"/>
  <c r="AR130" i="32"/>
  <c r="AT141" i="32"/>
  <c r="AR144" i="32"/>
  <c r="AR148" i="32"/>
  <c r="AR149" i="32"/>
  <c r="AR152" i="32"/>
  <c r="AQ176" i="32"/>
  <c r="AS179" i="32"/>
  <c r="AQ760" i="32"/>
  <c r="AR801" i="32"/>
  <c r="AT812" i="32"/>
  <c r="AR238" i="32"/>
  <c r="AR828" i="32"/>
  <c r="AS839" i="32"/>
  <c r="AT256" i="32"/>
  <c r="AQ850" i="32"/>
  <c r="AS262" i="32"/>
  <c r="AR856" i="32"/>
  <c r="AR857" i="32"/>
  <c r="AT880" i="32"/>
  <c r="AQ289" i="32"/>
  <c r="AQ911" i="32"/>
  <c r="AQ918" i="32"/>
  <c r="AR312" i="32"/>
  <c r="AT923" i="32"/>
  <c r="AQ926" i="32"/>
  <c r="AR928" i="32"/>
  <c r="AT939" i="32"/>
  <c r="AS339" i="32"/>
  <c r="AT344" i="32"/>
  <c r="AS969" i="32"/>
  <c r="AT376" i="32"/>
  <c r="AR383" i="32"/>
  <c r="AR1002" i="32"/>
  <c r="AS1013" i="32"/>
  <c r="AQ1028" i="32"/>
  <c r="AQ1032" i="32"/>
  <c r="AQ1041" i="32"/>
  <c r="AR1051" i="32"/>
  <c r="AQ676" i="32"/>
  <c r="AR1052" i="32"/>
  <c r="AQ421" i="32"/>
  <c r="AT1066" i="32"/>
  <c r="AS1068" i="32"/>
  <c r="AQ428" i="32"/>
  <c r="AR1091" i="32"/>
  <c r="AQ456" i="32"/>
  <c r="AT464" i="32"/>
  <c r="AT1115" i="32"/>
  <c r="AR1128" i="32"/>
  <c r="AR1156" i="32"/>
  <c r="AR1161" i="32"/>
  <c r="AS536" i="32"/>
  <c r="AR560" i="32"/>
  <c r="AQ1227" i="32"/>
  <c r="AT1234" i="32"/>
  <c r="AR586" i="32"/>
  <c r="AQ590" i="32"/>
  <c r="AR595" i="32"/>
  <c r="AT1273" i="32"/>
  <c r="AR1286" i="32"/>
  <c r="AS1294" i="32"/>
  <c r="AT620" i="32"/>
  <c r="AS625" i="32"/>
  <c r="AQ633" i="32"/>
  <c r="AT4" i="32"/>
  <c r="AT30" i="32"/>
  <c r="AS1301" i="32"/>
  <c r="AS746" i="32"/>
  <c r="AR700" i="32"/>
  <c r="AS136" i="32"/>
  <c r="AS144" i="32"/>
  <c r="AR760" i="32"/>
  <c r="AR204" i="32"/>
  <c r="AS801" i="32"/>
  <c r="AR846" i="32"/>
  <c r="AR850" i="32"/>
  <c r="AR854" i="32"/>
  <c r="AQ861" i="32"/>
  <c r="AQ277" i="32"/>
  <c r="AR289" i="32"/>
  <c r="AQ305" i="32"/>
  <c r="AQ306" i="32"/>
  <c r="AR911" i="32"/>
  <c r="AQ917" i="32"/>
  <c r="AQ331" i="32"/>
  <c r="AR433" i="32"/>
  <c r="AQ469" i="32"/>
  <c r="AQ470" i="32"/>
  <c r="AT1156" i="32"/>
  <c r="AT518" i="32"/>
  <c r="AS1161" i="32"/>
  <c r="AR531" i="32"/>
  <c r="AQ535" i="32"/>
  <c r="AR552" i="32"/>
  <c r="AR1209" i="32"/>
  <c r="AT1218" i="32"/>
  <c r="AQ1226" i="32"/>
  <c r="AT685" i="32"/>
  <c r="AQ583" i="32"/>
  <c r="AS1293" i="32"/>
  <c r="AT645" i="32"/>
  <c r="AQ1300" i="32"/>
  <c r="AR699" i="32"/>
  <c r="AS700" i="32"/>
  <c r="AQ42" i="32"/>
  <c r="AS50" i="32"/>
  <c r="AQ54" i="32"/>
  <c r="AS79" i="32"/>
  <c r="AS96" i="32"/>
  <c r="AS123" i="32"/>
  <c r="AT144" i="32"/>
  <c r="AQ147" i="32"/>
  <c r="AR717" i="32"/>
  <c r="AS196" i="32"/>
  <c r="AS204" i="32"/>
  <c r="AS775" i="32"/>
  <c r="AT789" i="32"/>
  <c r="AS792" i="32"/>
  <c r="AS798" i="32"/>
  <c r="AR231" i="32"/>
  <c r="AR826" i="32"/>
  <c r="AQ827" i="32"/>
  <c r="AR832" i="32"/>
  <c r="AQ668" i="32"/>
  <c r="AR249" i="32"/>
  <c r="AQ250" i="32"/>
  <c r="AT846" i="32"/>
  <c r="AS850" i="32"/>
  <c r="AR263" i="32"/>
  <c r="AQ853" i="32"/>
  <c r="AS854" i="32"/>
  <c r="AR861" i="32"/>
  <c r="AR871" i="32"/>
  <c r="AS277" i="32"/>
  <c r="AS288" i="32"/>
  <c r="AS289" i="32"/>
  <c r="AR305" i="32"/>
  <c r="AR306" i="32"/>
  <c r="AS910" i="32"/>
  <c r="AS911" i="32"/>
  <c r="AR917" i="32"/>
  <c r="AT317" i="32"/>
  <c r="AT329" i="32"/>
  <c r="AR331" i="32"/>
  <c r="AS948" i="32"/>
  <c r="AS950" i="32"/>
  <c r="AS382" i="32"/>
  <c r="AR468" i="32"/>
  <c r="AR469" i="32"/>
  <c r="AR470" i="32"/>
  <c r="AR484" i="32"/>
  <c r="AR1135" i="32"/>
  <c r="AS554" i="32"/>
  <c r="AQ1225" i="32"/>
  <c r="AT1293" i="32"/>
  <c r="AT624" i="32"/>
  <c r="AQ672" i="32"/>
  <c r="AR672" i="32"/>
  <c r="AQ681" i="32"/>
  <c r="AQ15" i="32"/>
  <c r="AT21" i="32"/>
  <c r="AT749" i="32"/>
  <c r="AQ140" i="32"/>
  <c r="AR140" i="32"/>
  <c r="AS140" i="32"/>
  <c r="AT209" i="32"/>
  <c r="AQ209" i="32"/>
  <c r="AQ221" i="32"/>
  <c r="AR221" i="32"/>
  <c r="AS221" i="32"/>
  <c r="AS806" i="32"/>
  <c r="AQ806" i="32"/>
  <c r="AT806" i="32"/>
  <c r="AQ883" i="32"/>
  <c r="AS883" i="32"/>
  <c r="AR883" i="32"/>
  <c r="AT883" i="32"/>
  <c r="AT286" i="32"/>
  <c r="AQ286" i="32"/>
  <c r="AR286" i="32"/>
  <c r="AS899" i="32"/>
  <c r="AS313" i="32"/>
  <c r="AT327" i="32"/>
  <c r="AQ327" i="32"/>
  <c r="AR327" i="32"/>
  <c r="AT943" i="32"/>
  <c r="AQ943" i="32"/>
  <c r="AR943" i="32"/>
  <c r="AQ946" i="32"/>
  <c r="AR946" i="32"/>
  <c r="AR966" i="32"/>
  <c r="AS966" i="32"/>
  <c r="AT190" i="32"/>
  <c r="AQ190" i="32"/>
  <c r="AR190" i="32"/>
  <c r="AQ425" i="32"/>
  <c r="AS425" i="32"/>
  <c r="AR425" i="32"/>
  <c r="AT425" i="32"/>
  <c r="AT592" i="32"/>
  <c r="AR592" i="32"/>
  <c r="AQ592" i="32"/>
  <c r="AS592" i="32"/>
  <c r="AS905" i="32"/>
  <c r="AQ905" i="32"/>
  <c r="AT974" i="32"/>
  <c r="AQ974" i="32"/>
  <c r="AT1165" i="32"/>
  <c r="AS1165" i="32"/>
  <c r="AS541" i="32"/>
  <c r="AT541" i="32"/>
  <c r="AR1222" i="32"/>
  <c r="AT1222" i="32"/>
  <c r="AT1250" i="32"/>
  <c r="AR1250" i="32"/>
  <c r="AQ39" i="32"/>
  <c r="AR39" i="32"/>
  <c r="AS5" i="32"/>
  <c r="AR9" i="32"/>
  <c r="AT13" i="32"/>
  <c r="AS17" i="32"/>
  <c r="AR104" i="32"/>
  <c r="AQ104" i="32"/>
  <c r="AS104" i="32"/>
  <c r="AR160" i="32"/>
  <c r="AQ160" i="32"/>
  <c r="AS160" i="32"/>
  <c r="AR764" i="32"/>
  <c r="AQ764" i="32"/>
  <c r="AS764" i="32"/>
  <c r="AQ884" i="32"/>
  <c r="AR884" i="32"/>
  <c r="AS884" i="32"/>
  <c r="AR886" i="32"/>
  <c r="AQ886" i="32"/>
  <c r="AS886" i="32"/>
  <c r="AQ334" i="32"/>
  <c r="AR334" i="32"/>
  <c r="AT340" i="32"/>
  <c r="AQ340" i="32"/>
  <c r="AT362" i="32"/>
  <c r="AQ362" i="32"/>
  <c r="AR994" i="32"/>
  <c r="AQ994" i="32"/>
  <c r="AS994" i="32"/>
  <c r="AT994" i="32"/>
  <c r="AS37" i="32"/>
  <c r="AT751" i="32"/>
  <c r="AQ186" i="32"/>
  <c r="AR186" i="32"/>
  <c r="AR189" i="32"/>
  <c r="AQ189" i="32"/>
  <c r="AS189" i="32"/>
  <c r="AS666" i="32"/>
  <c r="AR666" i="32"/>
  <c r="AQ666" i="32"/>
  <c r="AT666" i="32"/>
  <c r="AS235" i="32"/>
  <c r="AQ235" i="32"/>
  <c r="AR235" i="32"/>
  <c r="AT303" i="32"/>
  <c r="AQ303" i="32"/>
  <c r="AR303" i="32"/>
  <c r="AR914" i="32"/>
  <c r="AT315" i="32"/>
  <c r="AQ315" i="32"/>
  <c r="AR315" i="32"/>
  <c r="AQ347" i="32"/>
  <c r="AT368" i="32"/>
  <c r="AQ368" i="32"/>
  <c r="AQ973" i="32"/>
  <c r="AR973" i="32"/>
  <c r="AS973" i="32"/>
  <c r="AS975" i="32"/>
  <c r="AR975" i="32"/>
  <c r="AQ975" i="32"/>
  <c r="AT975" i="32"/>
  <c r="AT983" i="32"/>
  <c r="AR983" i="32"/>
  <c r="AT386" i="32"/>
  <c r="AQ386" i="32"/>
  <c r="AR386" i="32"/>
  <c r="AT187" i="32"/>
  <c r="AQ187" i="32"/>
  <c r="AS187" i="32"/>
  <c r="AS326" i="32"/>
  <c r="AT326" i="32"/>
  <c r="AT968" i="32"/>
  <c r="AQ968" i="32"/>
  <c r="AR968" i="32"/>
  <c r="AT407" i="32"/>
  <c r="AQ407" i="32"/>
  <c r="AR407" i="32"/>
  <c r="AQ434" i="32"/>
  <c r="AS434" i="32"/>
  <c r="AT434" i="32"/>
  <c r="AT445" i="32"/>
  <c r="AQ445" i="32"/>
  <c r="AR445" i="32"/>
  <c r="AT139" i="32"/>
  <c r="AQ139" i="32"/>
  <c r="AT833" i="32"/>
  <c r="AR833" i="32"/>
  <c r="AQ392" i="32"/>
  <c r="AR392" i="32"/>
  <c r="AS392" i="32"/>
  <c r="AT392" i="32"/>
  <c r="AT142" i="32"/>
  <c r="AQ142" i="32"/>
  <c r="AQ156" i="32"/>
  <c r="AR156" i="32"/>
  <c r="AT763" i="32"/>
  <c r="AQ763" i="32"/>
  <c r="AS885" i="32"/>
  <c r="AR885" i="32"/>
  <c r="AQ885" i="32"/>
  <c r="AT885" i="32"/>
  <c r="AT930" i="32"/>
  <c r="AQ930" i="32"/>
  <c r="AR930" i="32"/>
  <c r="AS934" i="32"/>
  <c r="AQ934" i="32"/>
  <c r="AT360" i="32"/>
  <c r="AQ360" i="32"/>
  <c r="AQ47" i="32"/>
  <c r="AR47" i="32"/>
  <c r="AS47" i="32"/>
  <c r="AQ72" i="32"/>
  <c r="AT72" i="32"/>
  <c r="AQ188" i="32"/>
  <c r="AS188" i="32"/>
  <c r="AR188" i="32"/>
  <c r="AT188" i="32"/>
  <c r="AQ194" i="32"/>
  <c r="AR194" i="32"/>
  <c r="AT194" i="32"/>
  <c r="AR769" i="32"/>
  <c r="AQ769" i="32"/>
  <c r="AS769" i="32"/>
  <c r="AT793" i="32"/>
  <c r="AQ793" i="32"/>
  <c r="AR793" i="32"/>
  <c r="AS274" i="32"/>
  <c r="AT274" i="32"/>
  <c r="AR281" i="32"/>
  <c r="AQ281" i="32"/>
  <c r="AS281" i="32"/>
  <c r="AQ924" i="32"/>
  <c r="AR924" i="32"/>
  <c r="AR375" i="32"/>
  <c r="AS375" i="32"/>
  <c r="AS989" i="32"/>
  <c r="AR989" i="32"/>
  <c r="AQ989" i="32"/>
  <c r="AT989" i="32"/>
  <c r="AR406" i="32"/>
  <c r="AS406" i="32"/>
  <c r="AT406" i="32"/>
  <c r="AT1299" i="32"/>
  <c r="AR1299" i="32"/>
  <c r="AS1299" i="32"/>
  <c r="AQ869" i="32"/>
  <c r="AS869" i="32"/>
  <c r="AR869" i="32"/>
  <c r="AT869" i="32"/>
  <c r="AS25" i="32"/>
  <c r="AS744" i="32"/>
  <c r="AR46" i="32"/>
  <c r="AT117" i="32"/>
  <c r="AT140" i="32"/>
  <c r="AQ170" i="32"/>
  <c r="AR170" i="32"/>
  <c r="AS786" i="32"/>
  <c r="AQ786" i="32"/>
  <c r="AR786" i="32"/>
  <c r="AT221" i="32"/>
  <c r="AS241" i="32"/>
  <c r="AQ241" i="32"/>
  <c r="AR241" i="32"/>
  <c r="AS248" i="32"/>
  <c r="AR248" i="32"/>
  <c r="AQ248" i="32"/>
  <c r="AT248" i="32"/>
  <c r="AT302" i="32"/>
  <c r="AQ302" i="32"/>
  <c r="AR302" i="32"/>
  <c r="AT314" i="32"/>
  <c r="AQ314" i="32"/>
  <c r="AR314" i="32"/>
  <c r="AS327" i="32"/>
  <c r="AT970" i="32"/>
  <c r="AQ970" i="32"/>
  <c r="AT377" i="32"/>
  <c r="AQ377" i="32"/>
  <c r="AR377" i="32"/>
  <c r="AR753" i="32"/>
  <c r="AQ754" i="32"/>
  <c r="AQ699" i="32"/>
  <c r="AQ700" i="32"/>
  <c r="AQ704" i="32"/>
  <c r="AR51" i="32"/>
  <c r="AQ52" i="32"/>
  <c r="AR96" i="32"/>
  <c r="AR141" i="32"/>
  <c r="AQ152" i="32"/>
  <c r="AQ762" i="32"/>
  <c r="AQ940" i="32"/>
  <c r="AR950" i="32"/>
  <c r="AQ354" i="32"/>
  <c r="AR366" i="32"/>
  <c r="AQ367" i="32"/>
  <c r="AQ680" i="32"/>
  <c r="AR680" i="32"/>
  <c r="AR1198" i="32"/>
  <c r="AT1198" i="32"/>
  <c r="AR1213" i="32"/>
  <c r="AS1213" i="32"/>
  <c r="AQ1213" i="32"/>
  <c r="AT1213" i="32"/>
  <c r="AR711" i="32"/>
  <c r="AR714" i="32"/>
  <c r="AS66" i="32"/>
  <c r="AR133" i="32"/>
  <c r="AR168" i="32"/>
  <c r="AR176" i="32"/>
  <c r="AQ179" i="32"/>
  <c r="AS198" i="32"/>
  <c r="AR199" i="32"/>
  <c r="AS203" i="32"/>
  <c r="AT204" i="32"/>
  <c r="AS205" i="32"/>
  <c r="AS212" i="32"/>
  <c r="AT774" i="32"/>
  <c r="AR780" i="32"/>
  <c r="AQ220" i="32"/>
  <c r="AR222" i="32"/>
  <c r="AR798" i="32"/>
  <c r="AQ804" i="32"/>
  <c r="AS229" i="32"/>
  <c r="AQ231" i="32"/>
  <c r="AR814" i="32"/>
  <c r="AQ238" i="32"/>
  <c r="AS239" i="32"/>
  <c r="AT821" i="32"/>
  <c r="AQ243" i="32"/>
  <c r="AR844" i="32"/>
  <c r="AS846" i="32"/>
  <c r="AS256" i="32"/>
  <c r="AR851" i="32"/>
  <c r="AQ852" i="32"/>
  <c r="AQ263" i="32"/>
  <c r="AT859" i="32"/>
  <c r="AT867" i="32"/>
  <c r="AS871" i="32"/>
  <c r="AS875" i="32"/>
  <c r="AQ878" i="32"/>
  <c r="AS881" i="32"/>
  <c r="AR290" i="32"/>
  <c r="AS293" i="32"/>
  <c r="AQ307" i="32"/>
  <c r="AR920" i="32"/>
  <c r="AQ325" i="32"/>
  <c r="AS941" i="32"/>
  <c r="AS390" i="32"/>
  <c r="AR390" i="32"/>
  <c r="AQ390" i="32"/>
  <c r="AT390" i="32"/>
  <c r="AR996" i="32"/>
  <c r="AS996" i="32"/>
  <c r="AS1033" i="32"/>
  <c r="AR1033" i="32"/>
  <c r="AQ1033" i="32"/>
  <c r="AT1033" i="32"/>
  <c r="AT435" i="32"/>
  <c r="AR435" i="32"/>
  <c r="AQ435" i="32"/>
  <c r="AS435" i="32"/>
  <c r="AT534" i="32"/>
  <c r="AR534" i="32"/>
  <c r="AS534" i="32"/>
  <c r="AT556" i="32"/>
  <c r="AQ556" i="32"/>
  <c r="AR556" i="32"/>
  <c r="AT1235" i="32"/>
  <c r="AS1235" i="32"/>
  <c r="AQ693" i="32"/>
  <c r="AR693" i="32"/>
  <c r="AS714" i="32"/>
  <c r="AR43" i="32"/>
  <c r="AR92" i="32"/>
  <c r="AQ93" i="32"/>
  <c r="AR94" i="32"/>
  <c r="AR122" i="32"/>
  <c r="AS133" i="32"/>
  <c r="AQ150" i="32"/>
  <c r="AS168" i="32"/>
  <c r="AQ196" i="32"/>
  <c r="AS199" i="32"/>
  <c r="AQ761" i="32"/>
  <c r="AQ211" i="32"/>
  <c r="AQ788" i="32"/>
  <c r="AS222" i="32"/>
  <c r="AT814" i="32"/>
  <c r="AQ236" i="32"/>
  <c r="AT888" i="32"/>
  <c r="AT907" i="32"/>
  <c r="AR307" i="32"/>
  <c r="AS320" i="32"/>
  <c r="AS920" i="32"/>
  <c r="AR325" i="32"/>
  <c r="AR338" i="32"/>
  <c r="AS964" i="32"/>
  <c r="AQ985" i="32"/>
  <c r="AR1073" i="32"/>
  <c r="AS1073" i="32"/>
  <c r="AT1073" i="32"/>
  <c r="AT516" i="32"/>
  <c r="AR516" i="32"/>
  <c r="AQ591" i="32"/>
  <c r="AS591" i="32"/>
  <c r="AR591" i="32"/>
  <c r="AT591" i="32"/>
  <c r="AT1268" i="32"/>
  <c r="AR1268" i="32"/>
  <c r="AQ1268" i="32"/>
  <c r="AS1268" i="32"/>
  <c r="AQ710" i="32"/>
  <c r="AQ713" i="32"/>
  <c r="AT43" i="32"/>
  <c r="AR93" i="32"/>
  <c r="AQ111" i="32"/>
  <c r="AS115" i="32"/>
  <c r="AR150" i="32"/>
  <c r="AR196" i="32"/>
  <c r="AS759" i="32"/>
  <c r="AT199" i="32"/>
  <c r="AR761" i="32"/>
  <c r="AR211" i="32"/>
  <c r="AR788" i="32"/>
  <c r="AR219" i="32"/>
  <c r="AQ800" i="32"/>
  <c r="AR827" i="32"/>
  <c r="AR250" i="32"/>
  <c r="AQ836" i="32"/>
  <c r="AQ837" i="32"/>
  <c r="AQ838" i="32"/>
  <c r="AT851" i="32"/>
  <c r="AS852" i="32"/>
  <c r="AS1006" i="32"/>
  <c r="AR1006" i="32"/>
  <c r="AQ1006" i="32"/>
  <c r="AT1006" i="32"/>
  <c r="AT1172" i="32"/>
  <c r="AR1172" i="32"/>
  <c r="AS1172" i="32"/>
  <c r="AT1189" i="32"/>
  <c r="AQ1189" i="32"/>
  <c r="AS1189" i="32"/>
  <c r="AS1244" i="32"/>
  <c r="AR1244" i="32"/>
  <c r="AS788" i="32"/>
  <c r="AS236" i="32"/>
  <c r="AS827" i="32"/>
  <c r="AS250" i="32"/>
  <c r="AR836" i="32"/>
  <c r="AR837" i="32"/>
  <c r="AS838" i="32"/>
  <c r="AS853" i="32"/>
  <c r="AQ895" i="32"/>
  <c r="AQ900" i="32"/>
  <c r="AT913" i="32"/>
  <c r="AR309" i="32"/>
  <c r="AR916" i="32"/>
  <c r="AQ919" i="32"/>
  <c r="AR319" i="32"/>
  <c r="AS323" i="32"/>
  <c r="AS925" i="32"/>
  <c r="AS335" i="32"/>
  <c r="AS336" i="32"/>
  <c r="AS936" i="32"/>
  <c r="AT937" i="32"/>
  <c r="AR947" i="32"/>
  <c r="AT948" i="32"/>
  <c r="AT389" i="32"/>
  <c r="AQ389" i="32"/>
  <c r="AR389" i="32"/>
  <c r="AQ1038" i="32"/>
  <c r="AS1038" i="32"/>
  <c r="AR1038" i="32"/>
  <c r="AT1038" i="32"/>
  <c r="AT426" i="32"/>
  <c r="AR426" i="32"/>
  <c r="AQ426" i="32"/>
  <c r="AS426" i="32"/>
  <c r="AQ1084" i="32"/>
  <c r="AS1084" i="32"/>
  <c r="AR1084" i="32"/>
  <c r="AT1084" i="32"/>
  <c r="AS547" i="32"/>
  <c r="AQ547" i="32"/>
  <c r="AT683" i="32"/>
  <c r="AR683" i="32"/>
  <c r="AQ706" i="32"/>
  <c r="AQ709" i="32"/>
  <c r="AS41" i="32"/>
  <c r="AS147" i="32"/>
  <c r="AT148" i="32"/>
  <c r="AR758" i="32"/>
  <c r="AS767" i="32"/>
  <c r="AT776" i="32"/>
  <c r="AR794" i="32"/>
  <c r="AR799" i="32"/>
  <c r="AS817" i="32"/>
  <c r="AQ823" i="32"/>
  <c r="AS836" i="32"/>
  <c r="AT837" i="32"/>
  <c r="AT838" i="32"/>
  <c r="AT839" i="32"/>
  <c r="AQ848" i="32"/>
  <c r="AT854" i="32"/>
  <c r="AS857" i="32"/>
  <c r="AT863" i="32"/>
  <c r="AT876" i="32"/>
  <c r="AQ282" i="32"/>
  <c r="AS285" i="32"/>
  <c r="AR889" i="32"/>
  <c r="AQ296" i="32"/>
  <c r="AR895" i="32"/>
  <c r="AR900" i="32"/>
  <c r="AR909" i="32"/>
  <c r="AS915" i="32"/>
  <c r="AS309" i="32"/>
  <c r="AS1046" i="32"/>
  <c r="AQ1046" i="32"/>
  <c r="AS1097" i="32"/>
  <c r="AR1097" i="32"/>
  <c r="AQ1097" i="32"/>
  <c r="AT1097" i="32"/>
  <c r="AQ461" i="32"/>
  <c r="AR461" i="32"/>
  <c r="AT477" i="32"/>
  <c r="AQ477" i="32"/>
  <c r="AQ513" i="32"/>
  <c r="AR513" i="32"/>
  <c r="AQ565" i="32"/>
  <c r="AS565" i="32"/>
  <c r="AR565" i="32"/>
  <c r="AT565" i="32"/>
  <c r="AS1267" i="32"/>
  <c r="AR1267" i="32"/>
  <c r="AT1267" i="32"/>
  <c r="AQ1291" i="32"/>
  <c r="AR1291" i="32"/>
  <c r="AS1007" i="32"/>
  <c r="AS1011" i="32"/>
  <c r="AS1012" i="32"/>
  <c r="AQ401" i="32"/>
  <c r="AS1039" i="32"/>
  <c r="AQ1052" i="32"/>
  <c r="AR419" i="32"/>
  <c r="AR1057" i="32"/>
  <c r="AS1083" i="32"/>
  <c r="AS464" i="32"/>
  <c r="AR466" i="32"/>
  <c r="AS1115" i="32"/>
  <c r="AQ485" i="32"/>
  <c r="AQ1128" i="32"/>
  <c r="AR1129" i="32"/>
  <c r="AS1138" i="32"/>
  <c r="AQ1156" i="32"/>
  <c r="AQ1163" i="32"/>
  <c r="AS520" i="32"/>
  <c r="AR523" i="32"/>
  <c r="AR1171" i="32"/>
  <c r="AQ1178" i="32"/>
  <c r="AQ530" i="32"/>
  <c r="AQ1182" i="32"/>
  <c r="AQ1302" i="32"/>
  <c r="AS1208" i="32"/>
  <c r="AR554" i="32"/>
  <c r="AQ1209" i="32"/>
  <c r="AR685" i="32"/>
  <c r="AS573" i="32"/>
  <c r="AQ1247" i="32"/>
  <c r="AS1273" i="32"/>
  <c r="AR597" i="32"/>
  <c r="AR1294" i="32"/>
  <c r="AS1298" i="32"/>
  <c r="AR636" i="32"/>
  <c r="AS1027" i="32"/>
  <c r="AS1052" i="32"/>
  <c r="AS1054" i="32"/>
  <c r="AR421" i="32"/>
  <c r="AR1069" i="32"/>
  <c r="AR1087" i="32"/>
  <c r="AQ440" i="32"/>
  <c r="AQ1088" i="32"/>
  <c r="AR441" i="32"/>
  <c r="AR456" i="32"/>
  <c r="AQ472" i="32"/>
  <c r="AR1114" i="32"/>
  <c r="AR475" i="32"/>
  <c r="AS482" i="32"/>
  <c r="AS1128" i="32"/>
  <c r="AR489" i="32"/>
  <c r="AR506" i="32"/>
  <c r="AR1152" i="32"/>
  <c r="AS1178" i="32"/>
  <c r="AS530" i="32"/>
  <c r="AR1207" i="32"/>
  <c r="AR602" i="32"/>
  <c r="AQ632" i="32"/>
  <c r="AS1300" i="32"/>
  <c r="AT1027" i="32"/>
  <c r="AR408" i="32"/>
  <c r="AT412" i="32"/>
  <c r="AT1054" i="32"/>
  <c r="AT1055" i="32"/>
  <c r="AS421" i="32"/>
  <c r="AR1056" i="32"/>
  <c r="AS1069" i="32"/>
  <c r="AQ1076" i="32"/>
  <c r="AQ1077" i="32"/>
  <c r="AQ1082" i="32"/>
  <c r="AS1087" i="32"/>
  <c r="AR440" i="32"/>
  <c r="AS441" i="32"/>
  <c r="AR447" i="32"/>
  <c r="AS1093" i="32"/>
  <c r="AT678" i="32"/>
  <c r="AQ455" i="32"/>
  <c r="AS456" i="32"/>
  <c r="AR472" i="32"/>
  <c r="AT1114" i="32"/>
  <c r="AS475" i="32"/>
  <c r="AQ488" i="32"/>
  <c r="AS489" i="32"/>
  <c r="AQ1143" i="32"/>
  <c r="AS505" i="32"/>
  <c r="AS508" i="32"/>
  <c r="AT1152" i="32"/>
  <c r="AR1204" i="32"/>
  <c r="AS552" i="32"/>
  <c r="AS1207" i="32"/>
  <c r="AR1212" i="32"/>
  <c r="AQ1216" i="32"/>
  <c r="AS1218" i="32"/>
  <c r="AQ568" i="32"/>
  <c r="AR570" i="32"/>
  <c r="AT1240" i="32"/>
  <c r="AR1245" i="32"/>
  <c r="AS1272" i="32"/>
  <c r="AT602" i="32"/>
  <c r="AR610" i="32"/>
  <c r="AT613" i="32"/>
  <c r="AR1288" i="32"/>
  <c r="AT1292" i="32"/>
  <c r="AS632" i="32"/>
  <c r="AR402" i="32"/>
  <c r="AT1024" i="32"/>
  <c r="AT1053" i="32"/>
  <c r="AQ427" i="32"/>
  <c r="AS440" i="32"/>
  <c r="AQ471" i="32"/>
  <c r="AS472" i="32"/>
  <c r="AS1113" i="32"/>
  <c r="AS1123" i="32"/>
  <c r="AT1143" i="32"/>
  <c r="AS1162" i="32"/>
  <c r="AQ656" i="32"/>
  <c r="AT595" i="32"/>
  <c r="AS609" i="32"/>
  <c r="AS615" i="32"/>
  <c r="AR718" i="32"/>
  <c r="AT634" i="32"/>
  <c r="AQ637" i="32"/>
  <c r="AR638" i="32"/>
  <c r="AQ655" i="32"/>
  <c r="AS656" i="32"/>
  <c r="AS1005" i="32"/>
  <c r="AS399" i="32"/>
  <c r="AQ1007" i="32"/>
  <c r="AR1015" i="32"/>
  <c r="AS405" i="32"/>
  <c r="AS1031" i="32"/>
  <c r="AQ1039" i="32"/>
  <c r="AR1060" i="32"/>
  <c r="AT1064" i="32"/>
  <c r="AQ1074" i="32"/>
  <c r="AS1075" i="32"/>
  <c r="AS427" i="32"/>
  <c r="AQ436" i="32"/>
  <c r="AR1085" i="32"/>
  <c r="AR1089" i="32"/>
  <c r="AT1091" i="32"/>
  <c r="AR1095" i="32"/>
  <c r="AQ1098" i="32"/>
  <c r="AQ1115" i="32"/>
  <c r="AR1122" i="32"/>
  <c r="AS481" i="32"/>
  <c r="AR1132" i="32"/>
  <c r="AR1133" i="32"/>
  <c r="AS496" i="32"/>
  <c r="AQ1138" i="32"/>
  <c r="AR511" i="32"/>
  <c r="AQ1157" i="32"/>
  <c r="AT1158" i="32"/>
  <c r="AQ1166" i="32"/>
  <c r="AQ1173" i="32"/>
  <c r="AQ1187" i="32"/>
  <c r="AT535" i="32"/>
  <c r="AT536" i="32"/>
  <c r="AS537" i="32"/>
  <c r="AS1190" i="32"/>
  <c r="AQ542" i="32"/>
  <c r="AS544" i="32"/>
  <c r="AQ557" i="32"/>
  <c r="AR684" i="32"/>
  <c r="AR1223" i="32"/>
  <c r="AR1224" i="32"/>
  <c r="AT1225" i="32"/>
  <c r="AS1226" i="32"/>
  <c r="AR1227" i="32"/>
  <c r="AR687" i="32"/>
  <c r="AT577" i="32"/>
  <c r="AR583" i="32"/>
  <c r="AT590" i="32"/>
  <c r="AQ1269" i="32"/>
  <c r="AQ1273" i="32"/>
  <c r="AR1296" i="32"/>
  <c r="AT718" i="32"/>
  <c r="AS637" i="32"/>
  <c r="AS638" i="32"/>
  <c r="AS724" i="32"/>
  <c r="AR655" i="32"/>
  <c r="AQ999" i="32"/>
  <c r="AT1005" i="32"/>
  <c r="AT399" i="32"/>
  <c r="AQ400" i="32"/>
  <c r="AT1008" i="32"/>
  <c r="AR1012" i="32"/>
  <c r="AQ1014" i="32"/>
  <c r="AT1015" i="32"/>
  <c r="AT405" i="32"/>
  <c r="AT1031" i="32"/>
  <c r="AS1032" i="32"/>
  <c r="AQ419" i="32"/>
  <c r="AQ1057" i="32"/>
  <c r="AS1074" i="32"/>
  <c r="AS1085" i="32"/>
  <c r="AT1089" i="32"/>
  <c r="AR464" i="32"/>
  <c r="AQ1129" i="32"/>
  <c r="AT1132" i="32"/>
  <c r="AS1133" i="32"/>
  <c r="AR520" i="32"/>
  <c r="AQ1171" i="32"/>
  <c r="AS1223" i="32"/>
  <c r="AS1227" i="32"/>
  <c r="AR573" i="32"/>
  <c r="AR1269" i="32"/>
  <c r="AQ597" i="32"/>
  <c r="AR1276" i="32"/>
  <c r="AT1280" i="32"/>
  <c r="AT608" i="32"/>
  <c r="AT1144" i="32"/>
  <c r="AR949" i="32"/>
  <c r="AS949" i="32"/>
  <c r="AT949" i="32"/>
  <c r="AQ689" i="32"/>
  <c r="AR662" i="32"/>
  <c r="AR736" i="32"/>
  <c r="AQ736" i="32"/>
  <c r="AT259" i="32"/>
  <c r="AS259" i="32"/>
  <c r="AR259" i="32"/>
  <c r="AQ259" i="32"/>
  <c r="AT23" i="32"/>
  <c r="AQ23" i="32"/>
  <c r="AS237" i="32"/>
  <c r="AR237" i="32"/>
  <c r="AQ237" i="32"/>
  <c r="AS594" i="32"/>
  <c r="AQ594" i="32"/>
  <c r="AT594" i="32"/>
  <c r="AQ641" i="32"/>
  <c r="AR641" i="32"/>
  <c r="AT641" i="32"/>
  <c r="AS741" i="32"/>
  <c r="AR741" i="32"/>
  <c r="AQ108" i="32"/>
  <c r="AT108" i="32"/>
  <c r="AS108" i="32"/>
  <c r="AR108" i="32"/>
  <c r="AT120" i="32"/>
  <c r="AS120" i="32"/>
  <c r="AR120" i="32"/>
  <c r="AS165" i="32"/>
  <c r="AR165" i="32"/>
  <c r="AQ165" i="32"/>
  <c r="AQ230" i="32"/>
  <c r="AS230" i="32"/>
  <c r="AR230" i="32"/>
  <c r="AR824" i="32"/>
  <c r="AQ824" i="32"/>
  <c r="AQ865" i="32"/>
  <c r="AS865" i="32"/>
  <c r="AR730" i="32"/>
  <c r="AQ730" i="32"/>
  <c r="AQ202" i="32"/>
  <c r="AT202" i="32"/>
  <c r="AR202" i="32"/>
  <c r="AT768" i="32"/>
  <c r="AS768" i="32"/>
  <c r="AR768" i="32"/>
  <c r="AQ768" i="32"/>
  <c r="AS830" i="32"/>
  <c r="AT830" i="32"/>
  <c r="AR830" i="32"/>
  <c r="AQ830" i="32"/>
  <c r="AS14" i="32"/>
  <c r="AT15" i="32"/>
  <c r="AR30" i="32"/>
  <c r="AQ30" i="32"/>
  <c r="AS729" i="32"/>
  <c r="AR729" i="32"/>
  <c r="AR735" i="32"/>
  <c r="AT735" i="32"/>
  <c r="AS735" i="32"/>
  <c r="AS743" i="32"/>
  <c r="AT743" i="32"/>
  <c r="AQ743" i="32"/>
  <c r="AQ707" i="32"/>
  <c r="AQ712" i="32"/>
  <c r="AS61" i="32"/>
  <c r="AR72" i="32"/>
  <c r="AQ73" i="32"/>
  <c r="AR136" i="32"/>
  <c r="AQ136" i="32"/>
  <c r="AT157" i="32"/>
  <c r="AS157" i="32"/>
  <c r="AR157" i="32"/>
  <c r="AQ164" i="32"/>
  <c r="AT164" i="32"/>
  <c r="AS164" i="32"/>
  <c r="AR164" i="32"/>
  <c r="AR173" i="32"/>
  <c r="AQ173" i="32"/>
  <c r="AT211" i="32"/>
  <c r="AQ784" i="32"/>
  <c r="AR217" i="32"/>
  <c r="AQ217" i="32"/>
  <c r="AT224" i="32"/>
  <c r="AS224" i="32"/>
  <c r="AR224" i="32"/>
  <c r="AQ224" i="32"/>
  <c r="AR806" i="32"/>
  <c r="AS814" i="32"/>
  <c r="AR822" i="32"/>
  <c r="AQ834" i="32"/>
  <c r="AR840" i="32"/>
  <c r="AS254" i="32"/>
  <c r="AR254" i="32"/>
  <c r="AQ254" i="32"/>
  <c r="AR274" i="32"/>
  <c r="AQ274" i="32"/>
  <c r="AS291" i="32"/>
  <c r="AT291" i="32"/>
  <c r="AQ291" i="32"/>
  <c r="AR1026" i="32"/>
  <c r="AQ1026" i="32"/>
  <c r="AS1026" i="32"/>
  <c r="AT1026" i="32"/>
  <c r="AT546" i="32"/>
  <c r="AQ546" i="32"/>
  <c r="AR546" i="32"/>
  <c r="AT1200" i="32"/>
  <c r="AR1200" i="32"/>
  <c r="AQ1200" i="32"/>
  <c r="AS1200" i="32"/>
  <c r="AT31" i="32"/>
  <c r="AQ31" i="32"/>
  <c r="AR841" i="32"/>
  <c r="AQ841" i="32"/>
  <c r="AQ898" i="32"/>
  <c r="AT898" i="32"/>
  <c r="AS898" i="32"/>
  <c r="AR898" i="32"/>
  <c r="AT16" i="32"/>
  <c r="AR16" i="32"/>
  <c r="AQ57" i="32"/>
  <c r="AT57" i="32"/>
  <c r="AS57" i="32"/>
  <c r="AQ100" i="32"/>
  <c r="AT100" i="32"/>
  <c r="AS100" i="32"/>
  <c r="AR100" i="32"/>
  <c r="AQ124" i="32"/>
  <c r="AR124" i="32"/>
  <c r="AR255" i="32"/>
  <c r="AQ255" i="32"/>
  <c r="AQ6" i="32"/>
  <c r="AQ7" i="32"/>
  <c r="AR22" i="32"/>
  <c r="AQ22" i="32"/>
  <c r="AS29" i="32"/>
  <c r="AR29" i="32"/>
  <c r="AR728" i="32"/>
  <c r="AT728" i="32"/>
  <c r="AS728" i="32"/>
  <c r="AS36" i="32"/>
  <c r="AT36" i="32"/>
  <c r="AQ36" i="32"/>
  <c r="AT739" i="32"/>
  <c r="AQ749" i="32"/>
  <c r="AR707" i="32"/>
  <c r="AR712" i="32"/>
  <c r="AT713" i="32"/>
  <c r="AT714" i="32"/>
  <c r="AR45" i="32"/>
  <c r="AR56" i="32"/>
  <c r="AT56" i="32"/>
  <c r="AQ56" i="32"/>
  <c r="AS72" i="32"/>
  <c r="AR73" i="32"/>
  <c r="AR79" i="32"/>
  <c r="AQ79" i="32"/>
  <c r="AR88" i="32"/>
  <c r="AT110" i="32"/>
  <c r="AR110" i="32"/>
  <c r="AQ110" i="32"/>
  <c r="AT114" i="32"/>
  <c r="AT122" i="32"/>
  <c r="AS128" i="32"/>
  <c r="AR128" i="32"/>
  <c r="AQ128" i="32"/>
  <c r="AR132" i="32"/>
  <c r="AQ172" i="32"/>
  <c r="AS172" i="32"/>
  <c r="AR172" i="32"/>
  <c r="AR181" i="32"/>
  <c r="AQ182" i="32"/>
  <c r="AS778" i="32"/>
  <c r="AR778" i="32"/>
  <c r="AQ778" i="32"/>
  <c r="AS791" i="32"/>
  <c r="AT791" i="32"/>
  <c r="AR791" i="32"/>
  <c r="AQ791" i="32"/>
  <c r="AS226" i="32"/>
  <c r="AQ226" i="32"/>
  <c r="AS228" i="32"/>
  <c r="AR228" i="32"/>
  <c r="AQ228" i="32"/>
  <c r="AT667" i="32"/>
  <c r="AQ667" i="32"/>
  <c r="AQ272" i="32"/>
  <c r="AR272" i="32"/>
  <c r="AS273" i="32"/>
  <c r="AR273" i="32"/>
  <c r="AQ273" i="32"/>
  <c r="AQ877" i="32"/>
  <c r="AR877" i="32"/>
  <c r="AQ300" i="32"/>
  <c r="AR381" i="32"/>
  <c r="AQ381" i="32"/>
  <c r="AS381" i="32"/>
  <c r="AT381" i="32"/>
  <c r="AQ384" i="32"/>
  <c r="AT384" i="32"/>
  <c r="AS384" i="32"/>
  <c r="AQ1001" i="32"/>
  <c r="AS1001" i="32"/>
  <c r="AR1001" i="32"/>
  <c r="AT1001" i="32"/>
  <c r="AQ514" i="32"/>
  <c r="AR514" i="32"/>
  <c r="AS514" i="32"/>
  <c r="AT514" i="32"/>
  <c r="AQ1159" i="32"/>
  <c r="AR1159" i="32"/>
  <c r="AT1159" i="32"/>
  <c r="AS1159" i="32"/>
  <c r="AQ116" i="32"/>
  <c r="AS116" i="32"/>
  <c r="AR116" i="32"/>
  <c r="AT174" i="32"/>
  <c r="AQ174" i="32"/>
  <c r="AQ207" i="32"/>
  <c r="AR207" i="32"/>
  <c r="AR882" i="32"/>
  <c r="AQ882" i="32"/>
  <c r="AS697" i="32"/>
  <c r="AR697" i="32"/>
  <c r="AQ154" i="32"/>
  <c r="AT154" i="32"/>
  <c r="AR154" i="32"/>
  <c r="AT951" i="32"/>
  <c r="AS951" i="32"/>
  <c r="AT984" i="32"/>
  <c r="AS984" i="32"/>
  <c r="AR984" i="32"/>
  <c r="AQ984" i="32"/>
  <c r="AT1259" i="32"/>
  <c r="AR1259" i="32"/>
  <c r="AS1259" i="32"/>
  <c r="AR6" i="32"/>
  <c r="AR7" i="32"/>
  <c r="AS12" i="32"/>
  <c r="AT12" i="32"/>
  <c r="AS21" i="32"/>
  <c r="AR21" i="32"/>
  <c r="AR28" i="32"/>
  <c r="AT28" i="32"/>
  <c r="AS28" i="32"/>
  <c r="AS35" i="32"/>
  <c r="AT35" i="32"/>
  <c r="AQ35" i="32"/>
  <c r="AT734" i="32"/>
  <c r="AS748" i="32"/>
  <c r="AR749" i="32"/>
  <c r="AQ750" i="32"/>
  <c r="AQ751" i="32"/>
  <c r="AS707" i="32"/>
  <c r="AS712" i="32"/>
  <c r="AS71" i="32"/>
  <c r="AQ78" i="32"/>
  <c r="AS78" i="32"/>
  <c r="AR78" i="32"/>
  <c r="AT81" i="32"/>
  <c r="AS81" i="32"/>
  <c r="AR81" i="32"/>
  <c r="AS88" i="32"/>
  <c r="AS99" i="32"/>
  <c r="AQ99" i="32"/>
  <c r="AT102" i="32"/>
  <c r="AR102" i="32"/>
  <c r="AQ102" i="32"/>
  <c r="AR106" i="32"/>
  <c r="AQ131" i="32"/>
  <c r="AS132" i="32"/>
  <c r="AQ134" i="32"/>
  <c r="AS180" i="32"/>
  <c r="AS181" i="32"/>
  <c r="AR182" i="32"/>
  <c r="AS771" i="32"/>
  <c r="AT772" i="32"/>
  <c r="AQ772" i="32"/>
  <c r="AR783" i="32"/>
  <c r="AQ795" i="32"/>
  <c r="AT809" i="32"/>
  <c r="AR809" i="32"/>
  <c r="AS232" i="32"/>
  <c r="AQ813" i="32"/>
  <c r="AR813" i="32"/>
  <c r="AT234" i="32"/>
  <c r="AS234" i="32"/>
  <c r="AR234" i="32"/>
  <c r="AQ234" i="32"/>
  <c r="AR818" i="32"/>
  <c r="AR244" i="32"/>
  <c r="AT845" i="32"/>
  <c r="AQ845" i="32"/>
  <c r="AS669" i="32"/>
  <c r="AR669" i="32"/>
  <c r="AQ669" i="32"/>
  <c r="AS278" i="32"/>
  <c r="AR876" i="32"/>
  <c r="AQ876" i="32"/>
  <c r="AS283" i="32"/>
  <c r="AT283" i="32"/>
  <c r="AT290" i="32"/>
  <c r="AS290" i="32"/>
  <c r="AT892" i="32"/>
  <c r="AS675" i="32"/>
  <c r="AR675" i="32"/>
  <c r="AT675" i="32"/>
  <c r="AQ462" i="32"/>
  <c r="AS462" i="32"/>
  <c r="AT1137" i="32"/>
  <c r="AS1137" i="32"/>
  <c r="AR1137" i="32"/>
  <c r="AQ1137" i="32"/>
  <c r="AS58" i="32"/>
  <c r="AR58" i="32"/>
  <c r="AR740" i="32"/>
  <c r="AT740" i="32"/>
  <c r="AS740" i="32"/>
  <c r="AT665" i="32"/>
  <c r="AQ665" i="32"/>
  <c r="AS6" i="32"/>
  <c r="AT7" i="32"/>
  <c r="AR20" i="32"/>
  <c r="AT20" i="32"/>
  <c r="AS20" i="32"/>
  <c r="AS32" i="32"/>
  <c r="AT32" i="32"/>
  <c r="AQ32" i="32"/>
  <c r="AT34" i="32"/>
  <c r="AT38" i="32"/>
  <c r="AQ38" i="32"/>
  <c r="AS745" i="32"/>
  <c r="AT748" i="32"/>
  <c r="AR750" i="32"/>
  <c r="AR751" i="32"/>
  <c r="AS752" i="32"/>
  <c r="AS39" i="32"/>
  <c r="AQ663" i="32"/>
  <c r="AR663" i="32"/>
  <c r="AQ83" i="32"/>
  <c r="AR84" i="32"/>
  <c r="AT88" i="32"/>
  <c r="AT106" i="32"/>
  <c r="AT118" i="32"/>
  <c r="AQ118" i="32"/>
  <c r="AT127" i="32"/>
  <c r="AQ127" i="32"/>
  <c r="AS131" i="32"/>
  <c r="AT132" i="32"/>
  <c r="AR134" i="32"/>
  <c r="AT163" i="32"/>
  <c r="AS163" i="32"/>
  <c r="AQ163" i="32"/>
  <c r="AT166" i="32"/>
  <c r="AR166" i="32"/>
  <c r="AQ166" i="32"/>
  <c r="AT171" i="32"/>
  <c r="AQ171" i="32"/>
  <c r="AT181" i="32"/>
  <c r="AQ200" i="32"/>
  <c r="AT215" i="32"/>
  <c r="AQ215" i="32"/>
  <c r="AQ802" i="32"/>
  <c r="AT802" i="32"/>
  <c r="AS802" i="32"/>
  <c r="AR802" i="32"/>
  <c r="AR842" i="32"/>
  <c r="AQ269" i="32"/>
  <c r="AS269" i="32"/>
  <c r="AR269" i="32"/>
  <c r="AS866" i="32"/>
  <c r="AT866" i="32"/>
  <c r="AR866" i="32"/>
  <c r="AQ866" i="32"/>
  <c r="AT872" i="32"/>
  <c r="AQ872" i="32"/>
  <c r="AT300" i="32"/>
  <c r="AS300" i="32"/>
  <c r="AT912" i="32"/>
  <c r="AQ912" i="32"/>
  <c r="AT310" i="32"/>
  <c r="AQ922" i="32"/>
  <c r="AT355" i="32"/>
  <c r="AS355" i="32"/>
  <c r="AT373" i="32"/>
  <c r="AQ373" i="32"/>
  <c r="AS373" i="32"/>
  <c r="AR373" i="32"/>
  <c r="AS979" i="32"/>
  <c r="AR979" i="32"/>
  <c r="AQ979" i="32"/>
  <c r="AT979" i="32"/>
  <c r="AQ457" i="32"/>
  <c r="AR457" i="32"/>
  <c r="AT457" i="32"/>
  <c r="AT1111" i="32"/>
  <c r="AQ1111" i="32"/>
  <c r="AQ474" i="32"/>
  <c r="AT474" i="32"/>
  <c r="AR474" i="32"/>
  <c r="AT1070" i="32"/>
  <c r="AQ1070" i="32"/>
  <c r="AS797" i="32"/>
  <c r="AR797" i="32"/>
  <c r="AQ797" i="32"/>
  <c r="AS736" i="32"/>
  <c r="AQ741" i="32"/>
  <c r="AS49" i="32"/>
  <c r="AR49" i="32"/>
  <c r="AS55" i="32"/>
  <c r="AQ55" i="32"/>
  <c r="AQ58" i="32"/>
  <c r="AR69" i="32"/>
  <c r="AR70" i="32"/>
  <c r="AR71" i="32"/>
  <c r="AQ71" i="32"/>
  <c r="AR82" i="32"/>
  <c r="AS83" i="32"/>
  <c r="AS84" i="32"/>
  <c r="AQ86" i="32"/>
  <c r="AS109" i="32"/>
  <c r="AR109" i="32"/>
  <c r="AQ109" i="32"/>
  <c r="AR125" i="32"/>
  <c r="AQ126" i="32"/>
  <c r="AR178" i="32"/>
  <c r="AQ180" i="32"/>
  <c r="AR180" i="32"/>
  <c r="AR771" i="32"/>
  <c r="AQ771" i="32"/>
  <c r="AT214" i="32"/>
  <c r="AS214" i="32"/>
  <c r="AR214" i="32"/>
  <c r="AQ214" i="32"/>
  <c r="AR776" i="32"/>
  <c r="AR789" i="32"/>
  <c r="AS824" i="32"/>
  <c r="AS841" i="32"/>
  <c r="AS842" i="32"/>
  <c r="AT862" i="32"/>
  <c r="AS862" i="32"/>
  <c r="AR862" i="32"/>
  <c r="AQ862" i="32"/>
  <c r="AS882" i="32"/>
  <c r="AR957" i="32"/>
  <c r="AQ957" i="32"/>
  <c r="AS957" i="32"/>
  <c r="AS380" i="32"/>
  <c r="AR380" i="32"/>
  <c r="AT380" i="32"/>
  <c r="AR1094" i="32"/>
  <c r="AQ1094" i="32"/>
  <c r="AS1094" i="32"/>
  <c r="AT1094" i="32"/>
  <c r="AQ162" i="32"/>
  <c r="AR162" i="32"/>
  <c r="AQ227" i="32"/>
  <c r="AS227" i="32"/>
  <c r="AQ90" i="32"/>
  <c r="AT90" i="32"/>
  <c r="AR90" i="32"/>
  <c r="AQ372" i="32"/>
  <c r="AR372" i="32"/>
  <c r="AS372" i="32"/>
  <c r="AS24" i="32"/>
  <c r="AT24" i="32"/>
  <c r="AQ24" i="32"/>
  <c r="AT737" i="32"/>
  <c r="AQ737" i="32"/>
  <c r="AT19" i="32"/>
  <c r="AR31" i="32"/>
  <c r="AS730" i="32"/>
  <c r="AT731" i="32"/>
  <c r="AQ731" i="32"/>
  <c r="AQ697" i="32"/>
  <c r="AT736" i="32"/>
  <c r="AT741" i="32"/>
  <c r="AR742" i="32"/>
  <c r="AQ742" i="32"/>
  <c r="AS716" i="32"/>
  <c r="AT716" i="32"/>
  <c r="AQ716" i="32"/>
  <c r="AS661" i="32"/>
  <c r="AT58" i="32"/>
  <c r="AS69" i="32"/>
  <c r="AS662" i="32"/>
  <c r="AQ662" i="32"/>
  <c r="AS75" i="32"/>
  <c r="AR75" i="32"/>
  <c r="AQ75" i="32"/>
  <c r="AT83" i="32"/>
  <c r="AT84" i="32"/>
  <c r="AR86" i="32"/>
  <c r="AQ98" i="32"/>
  <c r="AR98" i="32"/>
  <c r="AS101" i="32"/>
  <c r="AR101" i="32"/>
  <c r="AQ101" i="32"/>
  <c r="AT116" i="32"/>
  <c r="AR117" i="32"/>
  <c r="AQ117" i="32"/>
  <c r="AQ120" i="32"/>
  <c r="AS124" i="32"/>
  <c r="AS125" i="32"/>
  <c r="AR126" i="32"/>
  <c r="AT162" i="32"/>
  <c r="AT165" i="32"/>
  <c r="AR174" i="32"/>
  <c r="AT178" i="32"/>
  <c r="AT184" i="32"/>
  <c r="AS184" i="32"/>
  <c r="AR184" i="32"/>
  <c r="AQ184" i="32"/>
  <c r="AQ191" i="32"/>
  <c r="AR192" i="32"/>
  <c r="AQ192" i="32"/>
  <c r="AT207" i="32"/>
  <c r="AQ770" i="32"/>
  <c r="AS770" i="32"/>
  <c r="AR770" i="32"/>
  <c r="AS776" i="32"/>
  <c r="AR777" i="32"/>
  <c r="AS789" i="32"/>
  <c r="AT230" i="32"/>
  <c r="AR808" i="32"/>
  <c r="AQ808" i="32"/>
  <c r="AT824" i="32"/>
  <c r="AT841" i="32"/>
  <c r="AT842" i="32"/>
  <c r="AS255" i="32"/>
  <c r="AT266" i="32"/>
  <c r="AT275" i="32"/>
  <c r="AQ275" i="32"/>
  <c r="AS276" i="32"/>
  <c r="AR870" i="32"/>
  <c r="AQ870" i="32"/>
  <c r="AT882" i="32"/>
  <c r="AQ670" i="32"/>
  <c r="AS670" i="32"/>
  <c r="AR670" i="32"/>
  <c r="AS902" i="32"/>
  <c r="AT902" i="32"/>
  <c r="AS348" i="32"/>
  <c r="AR348" i="32"/>
  <c r="AQ348" i="32"/>
  <c r="AS353" i="32"/>
  <c r="AR353" i="32"/>
  <c r="AT353" i="32"/>
  <c r="AQ1101" i="32"/>
  <c r="AT1101" i="32"/>
  <c r="AR1101" i="32"/>
  <c r="AQ1214" i="32"/>
  <c r="AS1214" i="32"/>
  <c r="AR1214" i="32"/>
  <c r="AT1214" i="32"/>
  <c r="AT1219" i="32"/>
  <c r="AR1219" i="32"/>
  <c r="AR562" i="32"/>
  <c r="AQ562" i="32"/>
  <c r="AS562" i="32"/>
  <c r="AS596" i="32"/>
  <c r="AR596" i="32"/>
  <c r="AT596" i="32"/>
  <c r="AT1049" i="32"/>
  <c r="AQ1049" i="32"/>
  <c r="AS1059" i="32"/>
  <c r="AT1059" i="32"/>
  <c r="AT1061" i="32"/>
  <c r="AS1061" i="32"/>
  <c r="AR1061" i="32"/>
  <c r="AQ1061" i="32"/>
  <c r="AR480" i="32"/>
  <c r="AQ480" i="32"/>
  <c r="AS480" i="32"/>
  <c r="AT480" i="32"/>
  <c r="AT1136" i="32"/>
  <c r="AS1136" i="32"/>
  <c r="AR1136" i="32"/>
  <c r="AQ1136" i="32"/>
  <c r="AR642" i="32"/>
  <c r="AQ642" i="32"/>
  <c r="AS642" i="32"/>
  <c r="AS956" i="32"/>
  <c r="AR956" i="32"/>
  <c r="AT956" i="32"/>
  <c r="AR965" i="32"/>
  <c r="AT966" i="32"/>
  <c r="AQ966" i="32"/>
  <c r="AS443" i="32"/>
  <c r="AQ449" i="32"/>
  <c r="AT451" i="32"/>
  <c r="AQ451" i="32"/>
  <c r="AS1153" i="32"/>
  <c r="AQ1153" i="32"/>
  <c r="AS1174" i="32"/>
  <c r="AQ1174" i="32"/>
  <c r="AS286" i="32"/>
  <c r="AT890" i="32"/>
  <c r="AT301" i="32"/>
  <c r="AQ906" i="32"/>
  <c r="AT947" i="32"/>
  <c r="AR958" i="32"/>
  <c r="AQ958" i="32"/>
  <c r="AS958" i="32"/>
  <c r="AR371" i="32"/>
  <c r="AS371" i="32"/>
  <c r="AR988" i="32"/>
  <c r="AT988" i="32"/>
  <c r="AS988" i="32"/>
  <c r="AT997" i="32"/>
  <c r="AS997" i="32"/>
  <c r="AQ997" i="32"/>
  <c r="AR997" i="32"/>
  <c r="AS1045" i="32"/>
  <c r="AR1045" i="32"/>
  <c r="AQ1045" i="32"/>
  <c r="AT1045" i="32"/>
  <c r="AS1120" i="32"/>
  <c r="AR1120" i="32"/>
  <c r="AQ1120" i="32"/>
  <c r="AT1120" i="32"/>
  <c r="AT501" i="32"/>
  <c r="AQ501" i="32"/>
  <c r="AS501" i="32"/>
  <c r="AT1164" i="32"/>
  <c r="AS1164" i="32"/>
  <c r="AQ1164" i="32"/>
  <c r="AS1183" i="32"/>
  <c r="AQ1183" i="32"/>
  <c r="AT1183" i="32"/>
  <c r="AS93" i="32"/>
  <c r="AR146" i="32"/>
  <c r="AS149" i="32"/>
  <c r="AS176" i="32"/>
  <c r="AQ889" i="32"/>
  <c r="AS889" i="32"/>
  <c r="AS296" i="32"/>
  <c r="AT296" i="32"/>
  <c r="AQ299" i="32"/>
  <c r="AS299" i="32"/>
  <c r="AT342" i="32"/>
  <c r="AQ342" i="32"/>
  <c r="AT965" i="32"/>
  <c r="AQ965" i="32"/>
  <c r="AT978" i="32"/>
  <c r="AQ978" i="32"/>
  <c r="AR978" i="32"/>
  <c r="AQ403" i="32"/>
  <c r="AS403" i="32"/>
  <c r="AR403" i="32"/>
  <c r="AS404" i="32"/>
  <c r="AR404" i="32"/>
  <c r="AQ404" i="32"/>
  <c r="AT404" i="32"/>
  <c r="AR1067" i="32"/>
  <c r="AS1067" i="32"/>
  <c r="AT1067" i="32"/>
  <c r="AQ1117" i="32"/>
  <c r="AS1117" i="32"/>
  <c r="AS1124" i="32"/>
  <c r="AR1124" i="32"/>
  <c r="AT528" i="32"/>
  <c r="AR528" i="32"/>
  <c r="AS528" i="32"/>
  <c r="AQ528" i="32"/>
  <c r="AR574" i="32"/>
  <c r="AQ574" i="32"/>
  <c r="AS574" i="32"/>
  <c r="AT574" i="32"/>
  <c r="AS112" i="32"/>
  <c r="AQ155" i="32"/>
  <c r="AS156" i="32"/>
  <c r="AQ158" i="32"/>
  <c r="AQ63" i="32"/>
  <c r="AQ119" i="32"/>
  <c r="AT146" i="32"/>
  <c r="AS155" i="32"/>
  <c r="AT156" i="32"/>
  <c r="AR158" i="32"/>
  <c r="AT758" i="32"/>
  <c r="AS766" i="32"/>
  <c r="AT767" i="32"/>
  <c r="AR208" i="32"/>
  <c r="AQ213" i="32"/>
  <c r="AT786" i="32"/>
  <c r="AS223" i="32"/>
  <c r="AT798" i="32"/>
  <c r="AR803" i="32"/>
  <c r="AQ815" i="32"/>
  <c r="AT241" i="32"/>
  <c r="AQ270" i="32"/>
  <c r="AT861" i="32"/>
  <c r="AQ271" i="32"/>
  <c r="AT873" i="32"/>
  <c r="AS280" i="32"/>
  <c r="AT280" i="32"/>
  <c r="AQ292" i="32"/>
  <c r="AS294" i="32"/>
  <c r="AT295" i="32"/>
  <c r="AS295" i="32"/>
  <c r="AQ896" i="32"/>
  <c r="AQ931" i="32"/>
  <c r="AQ938" i="32"/>
  <c r="AT356" i="32"/>
  <c r="AQ356" i="32"/>
  <c r="AR356" i="32"/>
  <c r="AS674" i="32"/>
  <c r="AR674" i="32"/>
  <c r="AT674" i="32"/>
  <c r="AT971" i="32"/>
  <c r="AQ971" i="32"/>
  <c r="AS388" i="32"/>
  <c r="AR388" i="32"/>
  <c r="AT388" i="32"/>
  <c r="AS1092" i="32"/>
  <c r="AR1092" i="32"/>
  <c r="AQ1092" i="32"/>
  <c r="AT1092" i="32"/>
  <c r="AT1236" i="32"/>
  <c r="AR1236" i="32"/>
  <c r="AS1236" i="32"/>
  <c r="AR341" i="32"/>
  <c r="AS341" i="32"/>
  <c r="AQ963" i="32"/>
  <c r="AR963" i="32"/>
  <c r="AS963" i="32"/>
  <c r="AS1017" i="32"/>
  <c r="AT1017" i="32"/>
  <c r="AT1019" i="32"/>
  <c r="AS1019" i="32"/>
  <c r="AR1019" i="32"/>
  <c r="AQ1019" i="32"/>
  <c r="AR1047" i="32"/>
  <c r="AS1047" i="32"/>
  <c r="AT1047" i="32"/>
  <c r="AT1107" i="32"/>
  <c r="AS1107" i="32"/>
  <c r="AR1107" i="32"/>
  <c r="AQ1107" i="32"/>
  <c r="AT1109" i="32"/>
  <c r="AS1109" i="32"/>
  <c r="AR1109" i="32"/>
  <c r="AQ1109" i="32"/>
  <c r="AS497" i="32"/>
  <c r="AR497" i="32"/>
  <c r="AT497" i="32"/>
  <c r="AT1206" i="32"/>
  <c r="AQ1206" i="32"/>
  <c r="AR1206" i="32"/>
  <c r="AS1206" i="32"/>
  <c r="AS1219" i="32"/>
  <c r="AT562" i="32"/>
  <c r="AQ1232" i="32"/>
  <c r="AS1232" i="32"/>
  <c r="AR1232" i="32"/>
  <c r="AT1232" i="32"/>
  <c r="AR344" i="32"/>
  <c r="AR964" i="32"/>
  <c r="AR969" i="32"/>
  <c r="AR982" i="32"/>
  <c r="AQ983" i="32"/>
  <c r="AR396" i="32"/>
  <c r="AQ396" i="32"/>
  <c r="AS1020" i="32"/>
  <c r="AR1020" i="32"/>
  <c r="AQ1020" i="32"/>
  <c r="AS1110" i="32"/>
  <c r="AR1110" i="32"/>
  <c r="AQ491" i="32"/>
  <c r="AS491" i="32"/>
  <c r="AS493" i="32"/>
  <c r="AR493" i="32"/>
  <c r="AQ493" i="32"/>
  <c r="AR498" i="32"/>
  <c r="AQ498" i="32"/>
  <c r="AT1146" i="32"/>
  <c r="AS1146" i="32"/>
  <c r="AR1146" i="32"/>
  <c r="AQ1146" i="32"/>
  <c r="AT1154" i="32"/>
  <c r="AQ1154" i="32"/>
  <c r="AS1167" i="32"/>
  <c r="AQ1167" i="32"/>
  <c r="AT548" i="32"/>
  <c r="AQ548" i="32"/>
  <c r="AR548" i="32"/>
  <c r="AR985" i="32"/>
  <c r="AT383" i="32"/>
  <c r="AR1000" i="32"/>
  <c r="AS1000" i="32"/>
  <c r="AS1050" i="32"/>
  <c r="AR1050" i="32"/>
  <c r="AQ1050" i="32"/>
  <c r="AS1062" i="32"/>
  <c r="AR1062" i="32"/>
  <c r="AQ1062" i="32"/>
  <c r="AS1071" i="32"/>
  <c r="AR1071" i="32"/>
  <c r="AQ1071" i="32"/>
  <c r="AT446" i="32"/>
  <c r="AS446" i="32"/>
  <c r="AR446" i="32"/>
  <c r="AQ446" i="32"/>
  <c r="AT1119" i="32"/>
  <c r="AS1119" i="32"/>
  <c r="AR1119" i="32"/>
  <c r="AQ1119" i="32"/>
  <c r="AT479" i="32"/>
  <c r="AS479" i="32"/>
  <c r="AR479" i="32"/>
  <c r="AQ479" i="32"/>
  <c r="AQ507" i="32"/>
  <c r="AR507" i="32"/>
  <c r="AT510" i="32"/>
  <c r="AS510" i="32"/>
  <c r="AR510" i="32"/>
  <c r="AQ510" i="32"/>
  <c r="AT1168" i="32"/>
  <c r="AR1168" i="32"/>
  <c r="AS1168" i="32"/>
  <c r="AQ1168" i="32"/>
  <c r="AT1195" i="32"/>
  <c r="AR1195" i="32"/>
  <c r="AS1195" i="32"/>
  <c r="AR1025" i="32"/>
  <c r="AS1025" i="32"/>
  <c r="AR1093" i="32"/>
  <c r="AQ1093" i="32"/>
  <c r="AR1112" i="32"/>
  <c r="AQ1112" i="32"/>
  <c r="AT1160" i="32"/>
  <c r="AQ1160" i="32"/>
  <c r="AT527" i="32"/>
  <c r="AQ527" i="32"/>
  <c r="AR527" i="32"/>
  <c r="AR1278" i="32"/>
  <c r="AQ1278" i="32"/>
  <c r="AS1278" i="32"/>
  <c r="AQ690" i="32"/>
  <c r="AR690" i="32"/>
  <c r="AT639" i="32"/>
  <c r="AQ639" i="32"/>
  <c r="AT895" i="32"/>
  <c r="AS303" i="32"/>
  <c r="AT900" i="32"/>
  <c r="AS903" i="32"/>
  <c r="AS306" i="32"/>
  <c r="AT905" i="32"/>
  <c r="AS909" i="32"/>
  <c r="AS307" i="32"/>
  <c r="AT671" i="32"/>
  <c r="AS914" i="32"/>
  <c r="AS916" i="32"/>
  <c r="AT917" i="32"/>
  <c r="AS312" i="32"/>
  <c r="AS315" i="32"/>
  <c r="AT919" i="32"/>
  <c r="AS319" i="32"/>
  <c r="AS921" i="32"/>
  <c r="AT321" i="32"/>
  <c r="AS924" i="32"/>
  <c r="AS324" i="32"/>
  <c r="AT325" i="32"/>
  <c r="AS928" i="32"/>
  <c r="AS930" i="32"/>
  <c r="AT328" i="32"/>
  <c r="AS933" i="32"/>
  <c r="AS672" i="32"/>
  <c r="AT934" i="32"/>
  <c r="AS334" i="32"/>
  <c r="AS338" i="32"/>
  <c r="AS942" i="32"/>
  <c r="AS943" i="32"/>
  <c r="AR955" i="32"/>
  <c r="AS360" i="32"/>
  <c r="AQ960" i="32"/>
  <c r="AS967" i="32"/>
  <c r="AS968" i="32"/>
  <c r="AS974" i="32"/>
  <c r="AS976" i="32"/>
  <c r="AS977" i="32"/>
  <c r="AS992" i="32"/>
  <c r="AS993" i="32"/>
  <c r="AS396" i="32"/>
  <c r="AQ397" i="32"/>
  <c r="AR413" i="32"/>
  <c r="AQ413" i="32"/>
  <c r="AR1068" i="32"/>
  <c r="AQ1068" i="32"/>
  <c r="AS498" i="32"/>
  <c r="AR1139" i="32"/>
  <c r="AQ1139" i="32"/>
  <c r="AS502" i="32"/>
  <c r="AT502" i="32"/>
  <c r="AQ502" i="32"/>
  <c r="AT506" i="32"/>
  <c r="AQ506" i="32"/>
  <c r="AQ509" i="32"/>
  <c r="AT509" i="32"/>
  <c r="AS509" i="32"/>
  <c r="AR509" i="32"/>
  <c r="AR1154" i="32"/>
  <c r="AQ524" i="32"/>
  <c r="AS524" i="32"/>
  <c r="AR524" i="32"/>
  <c r="AT575" i="32"/>
  <c r="AQ575" i="32"/>
  <c r="AR575" i="32"/>
  <c r="AS575" i="32"/>
  <c r="AS1249" i="32"/>
  <c r="AR1249" i="32"/>
  <c r="AQ1249" i="32"/>
  <c r="AT1249" i="32"/>
  <c r="AR1264" i="32"/>
  <c r="AS1264" i="32"/>
  <c r="AQ1264" i="32"/>
  <c r="AT1264" i="32"/>
  <c r="AT903" i="32"/>
  <c r="AT909" i="32"/>
  <c r="AT914" i="32"/>
  <c r="AT312" i="32"/>
  <c r="AT319" i="32"/>
  <c r="AT924" i="32"/>
  <c r="AT928" i="32"/>
  <c r="AT933" i="32"/>
  <c r="AT334" i="32"/>
  <c r="AT338" i="32"/>
  <c r="AT952" i="32"/>
  <c r="AS955" i="32"/>
  <c r="AR960" i="32"/>
  <c r="AT976" i="32"/>
  <c r="AT977" i="32"/>
  <c r="AT992" i="32"/>
  <c r="AT993" i="32"/>
  <c r="AT393" i="32"/>
  <c r="AS393" i="32"/>
  <c r="AR393" i="32"/>
  <c r="AT396" i="32"/>
  <c r="AR397" i="32"/>
  <c r="AS1003" i="32"/>
  <c r="AQ1003" i="32"/>
  <c r="AT1020" i="32"/>
  <c r="AS1043" i="32"/>
  <c r="AT1043" i="32"/>
  <c r="AT409" i="32"/>
  <c r="AS409" i="32"/>
  <c r="AR409" i="32"/>
  <c r="AQ409" i="32"/>
  <c r="AQ1048" i="32"/>
  <c r="AS1048" i="32"/>
  <c r="AR1048" i="32"/>
  <c r="AQ423" i="32"/>
  <c r="AS423" i="32"/>
  <c r="AR423" i="32"/>
  <c r="AT450" i="32"/>
  <c r="AR450" i="32"/>
  <c r="AQ458" i="32"/>
  <c r="AS458" i="32"/>
  <c r="AS459" i="32"/>
  <c r="AR459" i="32"/>
  <c r="AQ459" i="32"/>
  <c r="AT1110" i="32"/>
  <c r="AR463" i="32"/>
  <c r="AQ463" i="32"/>
  <c r="AQ1125" i="32"/>
  <c r="AR482" i="32"/>
  <c r="AQ482" i="32"/>
  <c r="AQ487" i="32"/>
  <c r="AT487" i="32"/>
  <c r="AR487" i="32"/>
  <c r="AT493" i="32"/>
  <c r="AT498" i="32"/>
  <c r="AS1147" i="32"/>
  <c r="AQ505" i="32"/>
  <c r="AR505" i="32"/>
  <c r="AS1154" i="32"/>
  <c r="AT1167" i="32"/>
  <c r="AQ1175" i="32"/>
  <c r="AR1175" i="32"/>
  <c r="AT1175" i="32"/>
  <c r="AS1175" i="32"/>
  <c r="AT563" i="32"/>
  <c r="AQ563" i="32"/>
  <c r="AR563" i="32"/>
  <c r="AS563" i="32"/>
  <c r="AT1030" i="32"/>
  <c r="AT416" i="32"/>
  <c r="AT424" i="32"/>
  <c r="AT1074" i="32"/>
  <c r="AT1075" i="32"/>
  <c r="AT439" i="32"/>
  <c r="AT461" i="32"/>
  <c r="AS467" i="32"/>
  <c r="AQ476" i="32"/>
  <c r="AT1122" i="32"/>
  <c r="AS483" i="32"/>
  <c r="AQ1134" i="32"/>
  <c r="AT680" i="32"/>
  <c r="AQ1142" i="32"/>
  <c r="AT500" i="32"/>
  <c r="AR504" i="32"/>
  <c r="AR508" i="32"/>
  <c r="AQ1151" i="32"/>
  <c r="AS512" i="32"/>
  <c r="AS516" i="32"/>
  <c r="AR1162" i="32"/>
  <c r="AR519" i="32"/>
  <c r="AR1165" i="32"/>
  <c r="AR1166" i="32"/>
  <c r="AQ1180" i="32"/>
  <c r="AS1180" i="32"/>
  <c r="AT1180" i="32"/>
  <c r="AT545" i="32"/>
  <c r="AR545" i="32"/>
  <c r="AS1199" i="32"/>
  <c r="AR1199" i="32"/>
  <c r="AQ1199" i="32"/>
  <c r="AT1199" i="32"/>
  <c r="AR1205" i="32"/>
  <c r="AQ1205" i="32"/>
  <c r="AS1205" i="32"/>
  <c r="AS578" i="32"/>
  <c r="AR578" i="32"/>
  <c r="AQ578" i="32"/>
  <c r="AT578" i="32"/>
  <c r="AR1258" i="32"/>
  <c r="AQ1258" i="32"/>
  <c r="AS1258" i="32"/>
  <c r="AQ1270" i="32"/>
  <c r="AS1277" i="32"/>
  <c r="AR1277" i="32"/>
  <c r="AT1277" i="32"/>
  <c r="AQ603" i="32"/>
  <c r="AS603" i="32"/>
  <c r="AT606" i="32"/>
  <c r="AR606" i="32"/>
  <c r="AQ606" i="32"/>
  <c r="AS606" i="32"/>
  <c r="AT720" i="32"/>
  <c r="AS725" i="32"/>
  <c r="AR725" i="32"/>
  <c r="AQ725" i="32"/>
  <c r="AT725" i="32"/>
  <c r="AQ726" i="32"/>
  <c r="AR726" i="32"/>
  <c r="AT726" i="32"/>
  <c r="AR1221" i="32"/>
  <c r="AS1221" i="32"/>
  <c r="AQ1221" i="32"/>
  <c r="AT1221" i="32"/>
  <c r="AR1238" i="32"/>
  <c r="AS1238" i="32"/>
  <c r="AQ1238" i="32"/>
  <c r="AT1238" i="32"/>
  <c r="AT1263" i="32"/>
  <c r="AQ1263" i="32"/>
  <c r="AT647" i="32"/>
  <c r="AR647" i="32"/>
  <c r="AQ647" i="32"/>
  <c r="AS647" i="32"/>
  <c r="AQ998" i="32"/>
  <c r="AR999" i="32"/>
  <c r="AS401" i="32"/>
  <c r="AS1018" i="32"/>
  <c r="AS402" i="32"/>
  <c r="AR1022" i="32"/>
  <c r="AS407" i="32"/>
  <c r="AS1044" i="32"/>
  <c r="AS408" i="32"/>
  <c r="AR1046" i="32"/>
  <c r="AS1056" i="32"/>
  <c r="AS677" i="32"/>
  <c r="AS1060" i="32"/>
  <c r="AT1079" i="32"/>
  <c r="AT438" i="32"/>
  <c r="AS445" i="32"/>
  <c r="AS448" i="32"/>
  <c r="AS1104" i="32"/>
  <c r="AR1106" i="32"/>
  <c r="AS476" i="32"/>
  <c r="AR1118" i="32"/>
  <c r="AT1127" i="32"/>
  <c r="AS1131" i="32"/>
  <c r="AS1134" i="32"/>
  <c r="AR492" i="32"/>
  <c r="AT1141" i="32"/>
  <c r="AQ1145" i="32"/>
  <c r="AR503" i="32"/>
  <c r="AR1176" i="32"/>
  <c r="AS1179" i="32"/>
  <c r="AQ1179" i="32"/>
  <c r="AT1179" i="32"/>
  <c r="AT532" i="32"/>
  <c r="AQ532" i="32"/>
  <c r="AR532" i="32"/>
  <c r="AQ533" i="32"/>
  <c r="AR540" i="32"/>
  <c r="AQ540" i="32"/>
  <c r="AS540" i="32"/>
  <c r="AS549" i="32"/>
  <c r="AQ549" i="32"/>
  <c r="AT549" i="32"/>
  <c r="AR559" i="32"/>
  <c r="AT559" i="32"/>
  <c r="AR1231" i="32"/>
  <c r="AT1231" i="32"/>
  <c r="AS1253" i="32"/>
  <c r="AR1253" i="32"/>
  <c r="AQ1253" i="32"/>
  <c r="AT1253" i="32"/>
  <c r="AS588" i="32"/>
  <c r="AR588" i="32"/>
  <c r="AT588" i="32"/>
  <c r="AS599" i="32"/>
  <c r="AR998" i="32"/>
  <c r="AT999" i="32"/>
  <c r="AT1018" i="32"/>
  <c r="AT402" i="32"/>
  <c r="AQ1021" i="32"/>
  <c r="AT1022" i="32"/>
  <c r="AT1044" i="32"/>
  <c r="AT408" i="32"/>
  <c r="AQ410" i="32"/>
  <c r="AT1046" i="32"/>
  <c r="AT677" i="32"/>
  <c r="AT1060" i="32"/>
  <c r="AQ1063" i="32"/>
  <c r="AT1106" i="32"/>
  <c r="AQ1108" i="32"/>
  <c r="AT1118" i="32"/>
  <c r="AQ1121" i="32"/>
  <c r="AT492" i="32"/>
  <c r="AQ494" i="32"/>
  <c r="AT1145" i="32"/>
  <c r="AR1241" i="32"/>
  <c r="AT1241" i="32"/>
  <c r="AS605" i="32"/>
  <c r="AR605" i="32"/>
  <c r="AQ605" i="32"/>
  <c r="AT605" i="32"/>
  <c r="AT643" i="32"/>
  <c r="AQ643" i="32"/>
  <c r="AR643" i="32"/>
  <c r="AT1176" i="32"/>
  <c r="AQ1176" i="32"/>
  <c r="AQ1184" i="32"/>
  <c r="AR1184" i="32"/>
  <c r="AS1184" i="32"/>
  <c r="AT533" i="32"/>
  <c r="AS533" i="32"/>
  <c r="AR1194" i="32"/>
  <c r="AT1194" i="32"/>
  <c r="AT1220" i="32"/>
  <c r="AQ1220" i="32"/>
  <c r="AR1220" i="32"/>
  <c r="AT1237" i="32"/>
  <c r="AQ1237" i="32"/>
  <c r="AR1237" i="32"/>
  <c r="AS1262" i="32"/>
  <c r="AR1262" i="32"/>
  <c r="AT598" i="32"/>
  <c r="AQ598" i="32"/>
  <c r="AT1279" i="32"/>
  <c r="AQ1279" i="32"/>
  <c r="AR1279" i="32"/>
  <c r="AS696" i="32"/>
  <c r="AR696" i="32"/>
  <c r="AQ696" i="32"/>
  <c r="AT696" i="32"/>
  <c r="AR544" i="32"/>
  <c r="AQ1208" i="32"/>
  <c r="AR1218" i="32"/>
  <c r="AQ638" i="32"/>
  <c r="AR557" i="32"/>
  <c r="AQ558" i="32"/>
  <c r="AR568" i="32"/>
  <c r="AQ569" i="32"/>
  <c r="AQ579" i="32"/>
  <c r="AQ582" i="32"/>
  <c r="AQ1254" i="32"/>
  <c r="AQ1265" i="32"/>
  <c r="AS1266" i="32"/>
  <c r="AS1269" i="32"/>
  <c r="AT1276" i="32"/>
  <c r="AT692" i="32"/>
  <c r="AQ613" i="32"/>
  <c r="AT1284" i="32"/>
  <c r="AQ614" i="32"/>
  <c r="AT1289" i="32"/>
  <c r="AQ1292" i="32"/>
  <c r="AT1295" i="32"/>
  <c r="AQ620" i="32"/>
  <c r="AT622" i="32"/>
  <c r="AQ624" i="32"/>
  <c r="AQ627" i="32"/>
  <c r="AS630" i="32"/>
  <c r="AS631" i="32"/>
  <c r="AR632" i="32"/>
  <c r="AR633" i="32"/>
  <c r="AQ651" i="32"/>
  <c r="AQ1304" i="32"/>
  <c r="AS655" i="32"/>
  <c r="AR656" i="32"/>
  <c r="AR657" i="32"/>
  <c r="AQ539" i="32"/>
  <c r="AS1302" i="32"/>
  <c r="AR1192" i="32"/>
  <c r="AR555" i="32"/>
  <c r="AS557" i="32"/>
  <c r="AR558" i="32"/>
  <c r="AR686" i="32"/>
  <c r="AS568" i="32"/>
  <c r="AR569" i="32"/>
  <c r="AQ1235" i="32"/>
  <c r="AQ1242" i="32"/>
  <c r="AS579" i="32"/>
  <c r="AS582" i="32"/>
  <c r="AS1254" i="32"/>
  <c r="AR1265" i="32"/>
  <c r="AQ607" i="32"/>
  <c r="AQ609" i="32"/>
  <c r="AR613" i="32"/>
  <c r="AR614" i="32"/>
  <c r="AQ615" i="32"/>
  <c r="AR1292" i="32"/>
  <c r="AQ1293" i="32"/>
  <c r="AR620" i="32"/>
  <c r="AQ1298" i="32"/>
  <c r="AR624" i="32"/>
  <c r="AQ625" i="32"/>
  <c r="AQ626" i="32"/>
  <c r="AR629" i="32"/>
  <c r="AR650" i="32"/>
  <c r="AR651" i="32"/>
  <c r="AQ1303" i="32"/>
  <c r="AQ652" i="32"/>
  <c r="AR1189" i="32"/>
  <c r="AR1190" i="32"/>
  <c r="AR539" i="32"/>
  <c r="AS1192" i="32"/>
  <c r="AQ541" i="32"/>
  <c r="AR542" i="32"/>
  <c r="AQ1197" i="32"/>
  <c r="AS1212" i="32"/>
  <c r="AS555" i="32"/>
  <c r="AS558" i="32"/>
  <c r="AQ684" i="32"/>
  <c r="AS1215" i="32"/>
  <c r="AR1216" i="32"/>
  <c r="AQ560" i="32"/>
  <c r="AS685" i="32"/>
  <c r="AS686" i="32"/>
  <c r="AS569" i="32"/>
  <c r="AQ570" i="32"/>
  <c r="AS1234" i="32"/>
  <c r="AR1235" i="32"/>
  <c r="AQ687" i="32"/>
  <c r="AR1242" i="32"/>
  <c r="AQ1243" i="32"/>
  <c r="AQ1244" i="32"/>
  <c r="AR1246" i="32"/>
  <c r="AT579" i="32"/>
  <c r="AQ1251" i="32"/>
  <c r="AT582" i="32"/>
  <c r="AQ587" i="32"/>
  <c r="AT1254" i="32"/>
  <c r="AS590" i="32"/>
  <c r="AT1265" i="32"/>
  <c r="AQ1280" i="32"/>
  <c r="AT607" i="32"/>
  <c r="AR608" i="32"/>
  <c r="AR609" i="32"/>
  <c r="AQ610" i="32"/>
  <c r="AQ611" i="32"/>
  <c r="AS694" i="32"/>
  <c r="AQ1282" i="32"/>
  <c r="AQ1283" i="32"/>
  <c r="AS1287" i="32"/>
  <c r="AR615" i="32"/>
  <c r="AQ1288" i="32"/>
  <c r="AQ616" i="32"/>
  <c r="AS617" i="32"/>
  <c r="AQ1294" i="32"/>
  <c r="AQ618" i="32"/>
  <c r="AS1297" i="32"/>
  <c r="AQ1299" i="32"/>
  <c r="AQ621" i="32"/>
  <c r="AS719" i="32"/>
  <c r="AR625" i="32"/>
  <c r="AR626" i="32"/>
  <c r="AT629" i="32"/>
  <c r="AT640" i="32"/>
  <c r="AT650" i="32"/>
  <c r="AS651" i="32"/>
  <c r="AR1303" i="32"/>
  <c r="AR652" i="32"/>
  <c r="AQ644" i="32"/>
  <c r="AQ727" i="32"/>
  <c r="AS1303" i="32"/>
  <c r="AT653" i="32"/>
  <c r="AR1196" i="32"/>
  <c r="AS1197" i="32"/>
  <c r="AT547" i="32"/>
  <c r="AS683" i="32"/>
  <c r="AS560" i="32"/>
  <c r="AS1233" i="32"/>
  <c r="AS687" i="32"/>
  <c r="AS1243" i="32"/>
  <c r="AT1244" i="32"/>
  <c r="AS1245" i="32"/>
  <c r="AT1248" i="32"/>
  <c r="AS1250" i="32"/>
  <c r="AT585" i="32"/>
  <c r="AS586" i="32"/>
  <c r="AT1274" i="32"/>
  <c r="AQ600" i="32"/>
  <c r="AT604" i="32"/>
  <c r="AS691" i="32"/>
  <c r="AS610" i="32"/>
  <c r="AT693" i="32"/>
  <c r="AS1282" i="32"/>
  <c r="AT1286" i="32"/>
  <c r="AS1288" i="32"/>
  <c r="AT1291" i="32"/>
  <c r="AS811" i="32"/>
  <c r="AR811" i="32"/>
  <c r="AQ811" i="32"/>
  <c r="AT811" i="32"/>
  <c r="AR76" i="32"/>
  <c r="AQ76" i="32"/>
  <c r="AT76" i="32"/>
  <c r="AR89" i="32"/>
  <c r="AQ89" i="32"/>
  <c r="AT89" i="32"/>
  <c r="AS121" i="32"/>
  <c r="AR121" i="32"/>
  <c r="AQ121" i="32"/>
  <c r="AT121" i="32"/>
  <c r="AS185" i="32"/>
  <c r="AR185" i="32"/>
  <c r="AQ185" i="32"/>
  <c r="AT185" i="32"/>
  <c r="AS773" i="32"/>
  <c r="AR773" i="32"/>
  <c r="AQ773" i="32"/>
  <c r="AT773" i="32"/>
  <c r="AS816" i="32"/>
  <c r="AR816" i="32"/>
  <c r="AQ816" i="32"/>
  <c r="AT816" i="32"/>
  <c r="AS874" i="32"/>
  <c r="AR874" i="32"/>
  <c r="AQ874" i="32"/>
  <c r="AT874" i="32"/>
  <c r="AR358" i="32"/>
  <c r="AQ358" i="32"/>
  <c r="AS358" i="32"/>
  <c r="AT358" i="32"/>
  <c r="AT1029" i="32"/>
  <c r="AS1029" i="32"/>
  <c r="AR1029" i="32"/>
  <c r="AQ1029" i="32"/>
  <c r="AT415" i="32"/>
  <c r="AS415" i="32"/>
  <c r="AR415" i="32"/>
  <c r="AQ415" i="32"/>
  <c r="AT1072" i="32"/>
  <c r="AS1072" i="32"/>
  <c r="AR1072" i="32"/>
  <c r="AQ1072" i="32"/>
  <c r="AS429" i="32"/>
  <c r="AT429" i="32"/>
  <c r="AR429" i="32"/>
  <c r="AQ429" i="32"/>
  <c r="AR8" i="32"/>
  <c r="AT74" i="32"/>
  <c r="AS74" i="32"/>
  <c r="AR74" i="32"/>
  <c r="AT87" i="32"/>
  <c r="AS87" i="32"/>
  <c r="AR87" i="32"/>
  <c r="AT99" i="32"/>
  <c r="AR99" i="32"/>
  <c r="AS129" i="32"/>
  <c r="AR129" i="32"/>
  <c r="AQ129" i="32"/>
  <c r="AT129" i="32"/>
  <c r="AS779" i="32"/>
  <c r="AR779" i="32"/>
  <c r="AQ779" i="32"/>
  <c r="AT779" i="32"/>
  <c r="AS820" i="32"/>
  <c r="AR820" i="32"/>
  <c r="AQ820" i="32"/>
  <c r="AT820" i="32"/>
  <c r="AQ247" i="32"/>
  <c r="AS247" i="32"/>
  <c r="AR247" i="32"/>
  <c r="AT247" i="32"/>
  <c r="AR267" i="32"/>
  <c r="AQ267" i="32"/>
  <c r="AT267" i="32"/>
  <c r="AS267" i="32"/>
  <c r="AQ664" i="32"/>
  <c r="AS664" i="32"/>
  <c r="AS113" i="32"/>
  <c r="AR113" i="32"/>
  <c r="AQ113" i="32"/>
  <c r="AT113" i="32"/>
  <c r="AS16" i="32"/>
  <c r="AQ17" i="32"/>
  <c r="AS23" i="32"/>
  <c r="AR24" i="32"/>
  <c r="AQ25" i="32"/>
  <c r="AS31" i="32"/>
  <c r="AR32" i="32"/>
  <c r="AQ1301" i="32"/>
  <c r="AS731" i="32"/>
  <c r="AR35" i="32"/>
  <c r="AQ732" i="32"/>
  <c r="AS737" i="32"/>
  <c r="AR36" i="32"/>
  <c r="AQ37" i="32"/>
  <c r="AS38" i="32"/>
  <c r="AR743" i="32"/>
  <c r="AQ744" i="32"/>
  <c r="AR705" i="32"/>
  <c r="AR706" i="32"/>
  <c r="AR708" i="32"/>
  <c r="AR709" i="32"/>
  <c r="AS710" i="32"/>
  <c r="AS711" i="32"/>
  <c r="AQ60" i="32"/>
  <c r="AR62" i="32"/>
  <c r="AR63" i="32"/>
  <c r="AS64" i="32"/>
  <c r="AQ67" i="32"/>
  <c r="AS137" i="32"/>
  <c r="AR137" i="32"/>
  <c r="AQ137" i="32"/>
  <c r="AT137" i="32"/>
  <c r="AS193" i="32"/>
  <c r="AR193" i="32"/>
  <c r="AQ193" i="32"/>
  <c r="AT193" i="32"/>
  <c r="AS785" i="32"/>
  <c r="AR785" i="32"/>
  <c r="AQ785" i="32"/>
  <c r="AT785" i="32"/>
  <c r="AS825" i="32"/>
  <c r="AR825" i="32"/>
  <c r="AQ825" i="32"/>
  <c r="AT825" i="32"/>
  <c r="AQ2" i="32"/>
  <c r="AS8" i="32"/>
  <c r="AQ10" i="32"/>
  <c r="AR2" i="32"/>
  <c r="AQ3" i="32"/>
  <c r="AR10" i="32"/>
  <c r="AQ11" i="32"/>
  <c r="AR17" i="32"/>
  <c r="AQ18" i="32"/>
  <c r="AR25" i="32"/>
  <c r="AQ26" i="32"/>
  <c r="AR1301" i="32"/>
  <c r="AQ33" i="32"/>
  <c r="AR732" i="32"/>
  <c r="AQ733" i="32"/>
  <c r="AR37" i="32"/>
  <c r="AQ738" i="32"/>
  <c r="AR744" i="32"/>
  <c r="AQ745" i="32"/>
  <c r="AR746" i="32"/>
  <c r="AQ698" i="32"/>
  <c r="AQ701" i="32"/>
  <c r="AT701" i="32"/>
  <c r="AS705" i="32"/>
  <c r="AT706" i="32"/>
  <c r="AT709" i="32"/>
  <c r="AT710" i="32"/>
  <c r="AT711" i="32"/>
  <c r="AR41" i="32"/>
  <c r="AR713" i="32"/>
  <c r="AR716" i="32"/>
  <c r="AS42" i="32"/>
  <c r="AS43" i="32"/>
  <c r="AQ45" i="32"/>
  <c r="AQ46" i="32"/>
  <c r="AQ49" i="32"/>
  <c r="AQ50" i="32"/>
  <c r="AR55" i="32"/>
  <c r="AS56" i="32"/>
  <c r="AT63" i="32"/>
  <c r="AT64" i="32"/>
  <c r="AS68" i="32"/>
  <c r="AR68" i="32"/>
  <c r="AQ70" i="32"/>
  <c r="AT70" i="32"/>
  <c r="AQ82" i="32"/>
  <c r="AS82" i="32"/>
  <c r="AR97" i="32"/>
  <c r="AQ97" i="32"/>
  <c r="AT97" i="32"/>
  <c r="AQ107" i="32"/>
  <c r="AT107" i="32"/>
  <c r="AR107" i="32"/>
  <c r="AS145" i="32"/>
  <c r="AR145" i="32"/>
  <c r="AQ145" i="32"/>
  <c r="AT145" i="32"/>
  <c r="AS757" i="32"/>
  <c r="AR757" i="32"/>
  <c r="AQ757" i="32"/>
  <c r="AT757" i="32"/>
  <c r="AS790" i="32"/>
  <c r="AR790" i="32"/>
  <c r="AQ790" i="32"/>
  <c r="AT790" i="32"/>
  <c r="AS829" i="32"/>
  <c r="AR829" i="32"/>
  <c r="AQ829" i="32"/>
  <c r="AT829" i="32"/>
  <c r="AT847" i="32"/>
  <c r="AS847" i="32"/>
  <c r="AQ847" i="32"/>
  <c r="AR847" i="32"/>
  <c r="AS177" i="32"/>
  <c r="AR177" i="32"/>
  <c r="AQ177" i="32"/>
  <c r="AT177" i="32"/>
  <c r="AR18" i="32"/>
  <c r="AQ19" i="32"/>
  <c r="AR26" i="32"/>
  <c r="AQ27" i="32"/>
  <c r="AR33" i="32"/>
  <c r="AQ34" i="32"/>
  <c r="AR733" i="32"/>
  <c r="AQ734" i="32"/>
  <c r="AR738" i="32"/>
  <c r="AQ739" i="32"/>
  <c r="AR698" i="32"/>
  <c r="AQ747" i="32"/>
  <c r="AQ708" i="32"/>
  <c r="AT708" i="32"/>
  <c r="AS60" i="32"/>
  <c r="AR60" i="32"/>
  <c r="AQ62" i="32"/>
  <c r="AT62" i="32"/>
  <c r="AT67" i="32"/>
  <c r="AS67" i="32"/>
  <c r="AQ77" i="32"/>
  <c r="AR755" i="32"/>
  <c r="AQ755" i="32"/>
  <c r="AT755" i="32"/>
  <c r="AT95" i="32"/>
  <c r="AS95" i="32"/>
  <c r="AR95" i="32"/>
  <c r="AS153" i="32"/>
  <c r="AR153" i="32"/>
  <c r="AQ153" i="32"/>
  <c r="AT153" i="32"/>
  <c r="AS201" i="32"/>
  <c r="AR201" i="32"/>
  <c r="AQ201" i="32"/>
  <c r="AT201" i="32"/>
  <c r="AS796" i="32"/>
  <c r="AR796" i="32"/>
  <c r="AQ796" i="32"/>
  <c r="AT796" i="32"/>
  <c r="AS246" i="32"/>
  <c r="AR246" i="32"/>
  <c r="AQ246" i="32"/>
  <c r="AT246" i="32"/>
  <c r="AT103" i="32"/>
  <c r="AS103" i="32"/>
  <c r="AR103" i="32"/>
  <c r="AS2" i="32"/>
  <c r="AR3" i="32"/>
  <c r="AQ4" i="32"/>
  <c r="AR11" i="32"/>
  <c r="AQ12" i="32"/>
  <c r="AS3" i="32"/>
  <c r="AR4" i="32"/>
  <c r="AS11" i="32"/>
  <c r="AR12" i="32"/>
  <c r="AQ13" i="32"/>
  <c r="AS18" i="32"/>
  <c r="AR19" i="32"/>
  <c r="AQ20" i="32"/>
  <c r="AS26" i="32"/>
  <c r="AR27" i="32"/>
  <c r="AQ28" i="32"/>
  <c r="AS33" i="32"/>
  <c r="AR34" i="32"/>
  <c r="AQ728" i="32"/>
  <c r="AS733" i="32"/>
  <c r="AR734" i="32"/>
  <c r="AQ735" i="32"/>
  <c r="AS738" i="32"/>
  <c r="AR739" i="32"/>
  <c r="AQ740" i="32"/>
  <c r="AT745" i="32"/>
  <c r="AT746" i="32"/>
  <c r="AS698" i="32"/>
  <c r="AR747" i="32"/>
  <c r="AQ748" i="32"/>
  <c r="AQ715" i="32"/>
  <c r="AT715" i="32"/>
  <c r="AS45" i="32"/>
  <c r="AT46" i="32"/>
  <c r="AT49" i="32"/>
  <c r="AT50" i="32"/>
  <c r="AS53" i="32"/>
  <c r="AR53" i="32"/>
  <c r="AQ661" i="32"/>
  <c r="AT661" i="32"/>
  <c r="AT59" i="32"/>
  <c r="AS59" i="32"/>
  <c r="AR664" i="32"/>
  <c r="AS77" i="32"/>
  <c r="AT80" i="32"/>
  <c r="AS80" i="32"/>
  <c r="AR80" i="32"/>
  <c r="AS161" i="32"/>
  <c r="AR161" i="32"/>
  <c r="AQ161" i="32"/>
  <c r="AT161" i="32"/>
  <c r="AS765" i="32"/>
  <c r="AR765" i="32"/>
  <c r="AQ765" i="32"/>
  <c r="AT765" i="32"/>
  <c r="AS225" i="32"/>
  <c r="AR225" i="32"/>
  <c r="AQ225" i="32"/>
  <c r="AT225" i="32"/>
  <c r="AQ48" i="32"/>
  <c r="AT48" i="32"/>
  <c r="AT660" i="32"/>
  <c r="AS660" i="32"/>
  <c r="AT664" i="32"/>
  <c r="AT77" i="32"/>
  <c r="AT91" i="32"/>
  <c r="AR91" i="32"/>
  <c r="AQ103" i="32"/>
  <c r="AR105" i="32"/>
  <c r="AQ105" i="32"/>
  <c r="AT105" i="32"/>
  <c r="AS169" i="32"/>
  <c r="AR169" i="32"/>
  <c r="AQ169" i="32"/>
  <c r="AT169" i="32"/>
  <c r="AS210" i="32"/>
  <c r="AR210" i="32"/>
  <c r="AQ210" i="32"/>
  <c r="AT210" i="32"/>
  <c r="AS805" i="32"/>
  <c r="AR805" i="32"/>
  <c r="AQ805" i="32"/>
  <c r="AT805" i="32"/>
  <c r="AS90" i="32"/>
  <c r="AS98" i="32"/>
  <c r="AS106" i="32"/>
  <c r="AS114" i="32"/>
  <c r="AR115" i="32"/>
  <c r="AS122" i="32"/>
  <c r="AR123" i="32"/>
  <c r="AS130" i="32"/>
  <c r="AR131" i="32"/>
  <c r="AS138" i="32"/>
  <c r="AR139" i="32"/>
  <c r="AS146" i="32"/>
  <c r="AR147" i="32"/>
  <c r="AS154" i="32"/>
  <c r="AR155" i="32"/>
  <c r="AS162" i="32"/>
  <c r="AR163" i="32"/>
  <c r="AS170" i="32"/>
  <c r="AR171" i="32"/>
  <c r="AS178" i="32"/>
  <c r="AR179" i="32"/>
  <c r="AS186" i="32"/>
  <c r="AR187" i="32"/>
  <c r="AS194" i="32"/>
  <c r="AR195" i="32"/>
  <c r="AS758" i="32"/>
  <c r="AR759" i="32"/>
  <c r="AS202" i="32"/>
  <c r="AR203" i="32"/>
  <c r="AS207" i="32"/>
  <c r="AR766" i="32"/>
  <c r="AR212" i="32"/>
  <c r="AR775" i="32"/>
  <c r="AR781" i="32"/>
  <c r="AR787" i="32"/>
  <c r="AR792" i="32"/>
  <c r="AR223" i="32"/>
  <c r="AR227" i="32"/>
  <c r="AR807" i="32"/>
  <c r="AR232" i="32"/>
  <c r="AR817" i="32"/>
  <c r="AR239" i="32"/>
  <c r="AR242" i="32"/>
  <c r="AR831" i="32"/>
  <c r="AR835" i="32"/>
  <c r="AT252" i="32"/>
  <c r="AS252" i="32"/>
  <c r="AS848" i="32"/>
  <c r="AR848" i="32"/>
  <c r="AT260" i="32"/>
  <c r="AS260" i="32"/>
  <c r="AT855" i="32"/>
  <c r="AR855" i="32"/>
  <c r="AT858" i="32"/>
  <c r="AS858" i="32"/>
  <c r="AR858" i="32"/>
  <c r="AT115" i="32"/>
  <c r="AT123" i="32"/>
  <c r="AT195" i="32"/>
  <c r="AT759" i="32"/>
  <c r="AT203" i="32"/>
  <c r="AT766" i="32"/>
  <c r="AT212" i="32"/>
  <c r="AT775" i="32"/>
  <c r="AQ777" i="32"/>
  <c r="AT781" i="32"/>
  <c r="AQ783" i="32"/>
  <c r="AT787" i="32"/>
  <c r="AQ219" i="32"/>
  <c r="AT792" i="32"/>
  <c r="AQ794" i="32"/>
  <c r="AT223" i="32"/>
  <c r="AQ799" i="32"/>
  <c r="AT227" i="32"/>
  <c r="AQ803" i="32"/>
  <c r="AT807" i="32"/>
  <c r="AQ809" i="32"/>
  <c r="AT232" i="32"/>
  <c r="AQ233" i="32"/>
  <c r="AT817" i="32"/>
  <c r="AQ819" i="32"/>
  <c r="AT239" i="32"/>
  <c r="AQ822" i="32"/>
  <c r="AT242" i="32"/>
  <c r="AQ828" i="32"/>
  <c r="AT831" i="32"/>
  <c r="AQ833" i="32"/>
  <c r="AT835" i="32"/>
  <c r="AQ840" i="32"/>
  <c r="AS995" i="32"/>
  <c r="AR995" i="32"/>
  <c r="AQ995" i="32"/>
  <c r="AT995" i="32"/>
  <c r="AT1004" i="32"/>
  <c r="AS1004" i="32"/>
  <c r="AR1004" i="32"/>
  <c r="AQ1004" i="32"/>
  <c r="AQ135" i="32"/>
  <c r="AQ143" i="32"/>
  <c r="AQ151" i="32"/>
  <c r="AQ159" i="32"/>
  <c r="AQ167" i="32"/>
  <c r="AQ175" i="32"/>
  <c r="AQ183" i="32"/>
  <c r="AT270" i="32"/>
  <c r="AR270" i="32"/>
  <c r="AS879" i="32"/>
  <c r="AR879" i="32"/>
  <c r="AQ879" i="32"/>
  <c r="AT879" i="32"/>
  <c r="AS73" i="32"/>
  <c r="AS665" i="32"/>
  <c r="AS86" i="32"/>
  <c r="AS94" i="32"/>
  <c r="AS102" i="32"/>
  <c r="AS110" i="32"/>
  <c r="AR111" i="32"/>
  <c r="AS118" i="32"/>
  <c r="AR119" i="32"/>
  <c r="AS126" i="32"/>
  <c r="AR127" i="32"/>
  <c r="AS134" i="32"/>
  <c r="AR135" i="32"/>
  <c r="AS142" i="32"/>
  <c r="AR143" i="32"/>
  <c r="AS150" i="32"/>
  <c r="AR151" i="32"/>
  <c r="AS158" i="32"/>
  <c r="AR159" i="32"/>
  <c r="AS166" i="32"/>
  <c r="AR167" i="32"/>
  <c r="AS174" i="32"/>
  <c r="AR175" i="32"/>
  <c r="AS182" i="32"/>
  <c r="AR183" i="32"/>
  <c r="AS190" i="32"/>
  <c r="AR191" i="32"/>
  <c r="AS197" i="32"/>
  <c r="AR756" i="32"/>
  <c r="AS761" i="32"/>
  <c r="AR200" i="32"/>
  <c r="AS206" i="32"/>
  <c r="AR763" i="32"/>
  <c r="AS208" i="32"/>
  <c r="AR209" i="32"/>
  <c r="AS772" i="32"/>
  <c r="AR213" i="32"/>
  <c r="AS777" i="32"/>
  <c r="AR215" i="32"/>
  <c r="AS783" i="32"/>
  <c r="AR784" i="32"/>
  <c r="AS219" i="32"/>
  <c r="AR220" i="32"/>
  <c r="AS794" i="32"/>
  <c r="AR795" i="32"/>
  <c r="AS799" i="32"/>
  <c r="AR800" i="32"/>
  <c r="AS803" i="32"/>
  <c r="AR804" i="32"/>
  <c r="AS809" i="32"/>
  <c r="AR810" i="32"/>
  <c r="AS233" i="32"/>
  <c r="AR815" i="32"/>
  <c r="AS819" i="32"/>
  <c r="AR667" i="32"/>
  <c r="AS822" i="32"/>
  <c r="AR823" i="32"/>
  <c r="AS828" i="32"/>
  <c r="AR243" i="32"/>
  <c r="AS833" i="32"/>
  <c r="AR834" i="32"/>
  <c r="AS840" i="32"/>
  <c r="AR251" i="32"/>
  <c r="AS253" i="32"/>
  <c r="AS844" i="32"/>
  <c r="AR845" i="32"/>
  <c r="AQ257" i="32"/>
  <c r="AQ258" i="32"/>
  <c r="AR860" i="32"/>
  <c r="AQ860" i="32"/>
  <c r="AT860" i="32"/>
  <c r="AS111" i="32"/>
  <c r="AS119" i="32"/>
  <c r="AS127" i="32"/>
  <c r="AS135" i="32"/>
  <c r="AS143" i="32"/>
  <c r="AS151" i="32"/>
  <c r="AS159" i="32"/>
  <c r="AS167" i="32"/>
  <c r="AS175" i="32"/>
  <c r="AS183" i="32"/>
  <c r="AS191" i="32"/>
  <c r="AS756" i="32"/>
  <c r="AS200" i="32"/>
  <c r="AS763" i="32"/>
  <c r="AS209" i="32"/>
  <c r="AS213" i="32"/>
  <c r="AS215" i="32"/>
  <c r="AS784" i="32"/>
  <c r="AS220" i="32"/>
  <c r="AS795" i="32"/>
  <c r="AS800" i="32"/>
  <c r="AS804" i="32"/>
  <c r="AS810" i="32"/>
  <c r="AS815" i="32"/>
  <c r="AS667" i="32"/>
  <c r="AS823" i="32"/>
  <c r="AS243" i="32"/>
  <c r="AS834" i="32"/>
  <c r="AS251" i="32"/>
  <c r="AQ843" i="32"/>
  <c r="AT844" i="32"/>
  <c r="AS845" i="32"/>
  <c r="AS849" i="32"/>
  <c r="AR257" i="32"/>
  <c r="AR258" i="32"/>
  <c r="AR262" i="32"/>
  <c r="AQ262" i="32"/>
  <c r="AT265" i="32"/>
  <c r="AS265" i="32"/>
  <c r="AR265" i="32"/>
  <c r="AS284" i="32"/>
  <c r="AR284" i="32"/>
  <c r="AQ284" i="32"/>
  <c r="AT284" i="32"/>
  <c r="AT953" i="32"/>
  <c r="AR953" i="32"/>
  <c r="AQ953" i="32"/>
  <c r="AS953" i="32"/>
  <c r="AR253" i="32"/>
  <c r="AQ253" i="32"/>
  <c r="AS257" i="32"/>
  <c r="AT258" i="32"/>
  <c r="AS261" i="32"/>
  <c r="AR261" i="32"/>
  <c r="AQ261" i="32"/>
  <c r="AS864" i="32"/>
  <c r="AR864" i="32"/>
  <c r="AQ864" i="32"/>
  <c r="AT864" i="32"/>
  <c r="AQ359" i="32"/>
  <c r="AS359" i="32"/>
  <c r="AR359" i="32"/>
  <c r="AT359" i="32"/>
  <c r="AS843" i="32"/>
  <c r="AR843" i="32"/>
  <c r="AR849" i="32"/>
  <c r="AQ849" i="32"/>
  <c r="AS868" i="32"/>
  <c r="AR868" i="32"/>
  <c r="AQ868" i="32"/>
  <c r="AT868" i="32"/>
  <c r="AS287" i="32"/>
  <c r="AR287" i="32"/>
  <c r="AQ287" i="32"/>
  <c r="AT287" i="32"/>
  <c r="AS891" i="32"/>
  <c r="AR891" i="32"/>
  <c r="AQ891" i="32"/>
  <c r="AT891" i="32"/>
  <c r="AS298" i="32"/>
  <c r="AR298" i="32"/>
  <c r="AQ298" i="32"/>
  <c r="AT298" i="32"/>
  <c r="AS897" i="32"/>
  <c r="AR897" i="32"/>
  <c r="AQ897" i="32"/>
  <c r="AT897" i="32"/>
  <c r="AS304" i="32"/>
  <c r="AR304" i="32"/>
  <c r="AQ304" i="32"/>
  <c r="AT304" i="32"/>
  <c r="AS908" i="32"/>
  <c r="AR908" i="32"/>
  <c r="AQ908" i="32"/>
  <c r="AT908" i="32"/>
  <c r="AS308" i="32"/>
  <c r="AR308" i="32"/>
  <c r="AQ308" i="32"/>
  <c r="AT308" i="32"/>
  <c r="AS311" i="32"/>
  <c r="AR311" i="32"/>
  <c r="AQ311" i="32"/>
  <c r="AT311" i="32"/>
  <c r="AS318" i="32"/>
  <c r="AR318" i="32"/>
  <c r="AQ318" i="32"/>
  <c r="AT318" i="32"/>
  <c r="AS322" i="32"/>
  <c r="AR322" i="32"/>
  <c r="AQ322" i="32"/>
  <c r="AT322" i="32"/>
  <c r="AS927" i="32"/>
  <c r="AR927" i="32"/>
  <c r="AQ927" i="32"/>
  <c r="AT927" i="32"/>
  <c r="AS932" i="32"/>
  <c r="AR932" i="32"/>
  <c r="AQ932" i="32"/>
  <c r="AT932" i="32"/>
  <c r="AS333" i="32"/>
  <c r="AR333" i="32"/>
  <c r="AQ333" i="32"/>
  <c r="AT333" i="32"/>
  <c r="AS337" i="32"/>
  <c r="AR337" i="32"/>
  <c r="AQ337" i="32"/>
  <c r="AT337" i="32"/>
  <c r="AR865" i="32"/>
  <c r="AR276" i="32"/>
  <c r="AR278" i="32"/>
  <c r="AR881" i="32"/>
  <c r="AR285" i="32"/>
  <c r="AR288" i="32"/>
  <c r="AR293" i="32"/>
  <c r="AR893" i="32"/>
  <c r="AR899" i="32"/>
  <c r="AR904" i="32"/>
  <c r="AR910" i="32"/>
  <c r="AR915" i="32"/>
  <c r="AR313" i="32"/>
  <c r="AR320" i="32"/>
  <c r="AR323" i="32"/>
  <c r="AR929" i="32"/>
  <c r="AR330" i="32"/>
  <c r="AR335" i="32"/>
  <c r="AR339" i="32"/>
  <c r="AT349" i="32"/>
  <c r="AR349" i="32"/>
  <c r="AT954" i="32"/>
  <c r="AS954" i="32"/>
  <c r="AR954" i="32"/>
  <c r="AT361" i="32"/>
  <c r="AS361" i="32"/>
  <c r="AR361" i="32"/>
  <c r="AQ361" i="32"/>
  <c r="AT369" i="32"/>
  <c r="AS369" i="32"/>
  <c r="AR369" i="32"/>
  <c r="AQ369" i="32"/>
  <c r="AS981" i="32"/>
  <c r="AR981" i="32"/>
  <c r="AQ981" i="32"/>
  <c r="AT991" i="32"/>
  <c r="AS991" i="32"/>
  <c r="AR991" i="32"/>
  <c r="AQ991" i="32"/>
  <c r="AS460" i="32"/>
  <c r="AR460" i="32"/>
  <c r="AQ460" i="32"/>
  <c r="AT460" i="32"/>
  <c r="AS679" i="32"/>
  <c r="AR679" i="32"/>
  <c r="AQ679" i="32"/>
  <c r="AT679" i="32"/>
  <c r="AS495" i="32"/>
  <c r="AR495" i="32"/>
  <c r="AQ495" i="32"/>
  <c r="AT495" i="32"/>
  <c r="AR1148" i="32"/>
  <c r="AS1148" i="32"/>
  <c r="AQ1148" i="32"/>
  <c r="AT1148" i="32"/>
  <c r="AT865" i="32"/>
  <c r="AT276" i="32"/>
  <c r="AT278" i="32"/>
  <c r="AT881" i="32"/>
  <c r="AT285" i="32"/>
  <c r="AT288" i="32"/>
  <c r="AT293" i="32"/>
  <c r="AT893" i="32"/>
  <c r="AT899" i="32"/>
  <c r="AT904" i="32"/>
  <c r="AT910" i="32"/>
  <c r="AT915" i="32"/>
  <c r="AT313" i="32"/>
  <c r="AT320" i="32"/>
  <c r="AT323" i="32"/>
  <c r="AT929" i="32"/>
  <c r="AT330" i="32"/>
  <c r="AT335" i="32"/>
  <c r="AT339" i="32"/>
  <c r="AS357" i="32"/>
  <c r="AR357" i="32"/>
  <c r="AQ357" i="32"/>
  <c r="AS364" i="32"/>
  <c r="AR364" i="32"/>
  <c r="AQ364" i="32"/>
  <c r="AS972" i="32"/>
  <c r="AR972" i="32"/>
  <c r="AQ972" i="32"/>
  <c r="AT980" i="32"/>
  <c r="AS980" i="32"/>
  <c r="AR980" i="32"/>
  <c r="AQ980" i="32"/>
  <c r="AS987" i="32"/>
  <c r="AR987" i="32"/>
  <c r="AQ987" i="32"/>
  <c r="AT391" i="32"/>
  <c r="AS391" i="32"/>
  <c r="AR391" i="32"/>
  <c r="AQ391" i="32"/>
  <c r="AT1009" i="32"/>
  <c r="AS1009" i="32"/>
  <c r="AR1009" i="32"/>
  <c r="AQ1009" i="32"/>
  <c r="AT1036" i="32"/>
  <c r="AS1036" i="32"/>
  <c r="AR1036" i="32"/>
  <c r="AQ1036" i="32"/>
  <c r="AT420" i="32"/>
  <c r="AS420" i="32"/>
  <c r="AR420" i="32"/>
  <c r="AQ420" i="32"/>
  <c r="AQ431" i="32"/>
  <c r="AT431" i="32"/>
  <c r="AS431" i="32"/>
  <c r="AR431" i="32"/>
  <c r="AQ266" i="32"/>
  <c r="AQ859" i="32"/>
  <c r="AR271" i="32"/>
  <c r="AQ863" i="32"/>
  <c r="AR275" i="32"/>
  <c r="AQ867" i="32"/>
  <c r="AR872" i="32"/>
  <c r="AQ873" i="32"/>
  <c r="AR878" i="32"/>
  <c r="AQ280" i="32"/>
  <c r="AR282" i="32"/>
  <c r="AQ283" i="32"/>
  <c r="AR887" i="32"/>
  <c r="AQ888" i="32"/>
  <c r="AR292" i="32"/>
  <c r="AQ890" i="32"/>
  <c r="AR297" i="32"/>
  <c r="AQ892" i="32"/>
  <c r="AR896" i="32"/>
  <c r="AQ301" i="32"/>
  <c r="AR901" i="32"/>
  <c r="AQ902" i="32"/>
  <c r="AR906" i="32"/>
  <c r="AQ907" i="32"/>
  <c r="AR912" i="32"/>
  <c r="AQ913" i="32"/>
  <c r="AR918" i="32"/>
  <c r="AQ310" i="32"/>
  <c r="AR316" i="32"/>
  <c r="AQ317" i="32"/>
  <c r="AR922" i="32"/>
  <c r="AQ923" i="32"/>
  <c r="AR926" i="32"/>
  <c r="AQ326" i="32"/>
  <c r="AR931" i="32"/>
  <c r="AQ329" i="32"/>
  <c r="AR332" i="32"/>
  <c r="AQ935" i="32"/>
  <c r="AR938" i="32"/>
  <c r="AQ939" i="32"/>
  <c r="AR340" i="32"/>
  <c r="AT341" i="32"/>
  <c r="AT946" i="32"/>
  <c r="AQ343" i="32"/>
  <c r="AR347" i="32"/>
  <c r="AQ351" i="32"/>
  <c r="AR352" i="32"/>
  <c r="AQ952" i="32"/>
  <c r="AT955" i="32"/>
  <c r="AT959" i="32"/>
  <c r="AS959" i="32"/>
  <c r="AR959" i="32"/>
  <c r="AQ959" i="32"/>
  <c r="AT363" i="32"/>
  <c r="AS363" i="32"/>
  <c r="AR363" i="32"/>
  <c r="AQ363" i="32"/>
  <c r="AT374" i="32"/>
  <c r="AS374" i="32"/>
  <c r="AR374" i="32"/>
  <c r="AQ374" i="32"/>
  <c r="AS395" i="32"/>
  <c r="AR395" i="32"/>
  <c r="AQ395" i="32"/>
  <c r="AT1078" i="32"/>
  <c r="AS1078" i="32"/>
  <c r="AR1078" i="32"/>
  <c r="AQ1078" i="32"/>
  <c r="AR266" i="32"/>
  <c r="AR859" i="32"/>
  <c r="AS271" i="32"/>
  <c r="AR863" i="32"/>
  <c r="AS275" i="32"/>
  <c r="AR867" i="32"/>
  <c r="AS872" i="32"/>
  <c r="AR873" i="32"/>
  <c r="AS878" i="32"/>
  <c r="AR280" i="32"/>
  <c r="AS282" i="32"/>
  <c r="AR283" i="32"/>
  <c r="AS887" i="32"/>
  <c r="AR888" i="32"/>
  <c r="AS292" i="32"/>
  <c r="AR890" i="32"/>
  <c r="AS297" i="32"/>
  <c r="AR892" i="32"/>
  <c r="AS896" i="32"/>
  <c r="AR301" i="32"/>
  <c r="AS901" i="32"/>
  <c r="AR902" i="32"/>
  <c r="AS906" i="32"/>
  <c r="AR907" i="32"/>
  <c r="AS912" i="32"/>
  <c r="AR913" i="32"/>
  <c r="AS918" i="32"/>
  <c r="AR310" i="32"/>
  <c r="AS316" i="32"/>
  <c r="AR317" i="32"/>
  <c r="AS922" i="32"/>
  <c r="AR923" i="32"/>
  <c r="AS926" i="32"/>
  <c r="AR326" i="32"/>
  <c r="AS931" i="32"/>
  <c r="AR329" i="32"/>
  <c r="AS332" i="32"/>
  <c r="AR935" i="32"/>
  <c r="AS938" i="32"/>
  <c r="AR939" i="32"/>
  <c r="AS945" i="32"/>
  <c r="AQ945" i="32"/>
  <c r="AR343" i="32"/>
  <c r="AQ345" i="32"/>
  <c r="AS347" i="32"/>
  <c r="AQ951" i="32"/>
  <c r="AR350" i="32"/>
  <c r="AS351" i="32"/>
  <c r="AS352" i="32"/>
  <c r="AR952" i="32"/>
  <c r="AR355" i="32"/>
  <c r="AQ355" i="32"/>
  <c r="AR962" i="32"/>
  <c r="AQ962" i="32"/>
  <c r="AS379" i="32"/>
  <c r="AR379" i="32"/>
  <c r="AQ379" i="32"/>
  <c r="AT986" i="32"/>
  <c r="AS986" i="32"/>
  <c r="AR986" i="32"/>
  <c r="AQ986" i="32"/>
  <c r="AT1016" i="32"/>
  <c r="AS1016" i="32"/>
  <c r="AR1016" i="32"/>
  <c r="AQ1016" i="32"/>
  <c r="AT1042" i="32"/>
  <c r="AS1042" i="32"/>
  <c r="AR1042" i="32"/>
  <c r="AQ1042" i="32"/>
  <c r="AT1058" i="32"/>
  <c r="AS1058" i="32"/>
  <c r="AR1058" i="32"/>
  <c r="AQ1058" i="32"/>
  <c r="AT944" i="32"/>
  <c r="AR944" i="32"/>
  <c r="AS343" i="32"/>
  <c r="AS346" i="32"/>
  <c r="AQ346" i="32"/>
  <c r="AR951" i="32"/>
  <c r="AQ349" i="32"/>
  <c r="AT351" i="32"/>
  <c r="AT352" i="32"/>
  <c r="AS673" i="32"/>
  <c r="AR673" i="32"/>
  <c r="AQ673" i="32"/>
  <c r="AS961" i="32"/>
  <c r="AR961" i="32"/>
  <c r="AQ961" i="32"/>
  <c r="AS370" i="32"/>
  <c r="AR370" i="32"/>
  <c r="AQ370" i="32"/>
  <c r="AS387" i="32"/>
  <c r="AR387" i="32"/>
  <c r="AQ387" i="32"/>
  <c r="AT394" i="32"/>
  <c r="AS394" i="32"/>
  <c r="AR394" i="32"/>
  <c r="AQ394" i="32"/>
  <c r="AR430" i="32"/>
  <c r="AT430" i="32"/>
  <c r="AS430" i="32"/>
  <c r="AQ430" i="32"/>
  <c r="AT345" i="32"/>
  <c r="AR345" i="32"/>
  <c r="AS350" i="32"/>
  <c r="AQ350" i="32"/>
  <c r="AT378" i="32"/>
  <c r="AS378" i="32"/>
  <c r="AR378" i="32"/>
  <c r="AQ378" i="32"/>
  <c r="AS398" i="32"/>
  <c r="AR398" i="32"/>
  <c r="AQ398" i="32"/>
  <c r="AT1023" i="32"/>
  <c r="AS1023" i="32"/>
  <c r="AR1023" i="32"/>
  <c r="AQ1023" i="32"/>
  <c r="AT411" i="32"/>
  <c r="AS411" i="32"/>
  <c r="AR411" i="32"/>
  <c r="AQ411" i="32"/>
  <c r="AT1065" i="32"/>
  <c r="AS1065" i="32"/>
  <c r="AR1065" i="32"/>
  <c r="AQ1065" i="32"/>
  <c r="AQ1086" i="32"/>
  <c r="AS1086" i="32"/>
  <c r="AR442" i="32"/>
  <c r="AQ442" i="32"/>
  <c r="AT442" i="32"/>
  <c r="AQ454" i="32"/>
  <c r="AT454" i="32"/>
  <c r="AR454" i="32"/>
  <c r="AS1188" i="32"/>
  <c r="AR1188" i="32"/>
  <c r="AQ1188" i="32"/>
  <c r="AT1188" i="32"/>
  <c r="AS1210" i="32"/>
  <c r="AR1210" i="32"/>
  <c r="AQ1210" i="32"/>
  <c r="AT1210" i="32"/>
  <c r="AS1228" i="32"/>
  <c r="AR1228" i="32"/>
  <c r="AQ1228" i="32"/>
  <c r="AT1228" i="32"/>
  <c r="AQ584" i="32"/>
  <c r="AT584" i="32"/>
  <c r="AR584" i="32"/>
  <c r="AS584" i="32"/>
  <c r="AS612" i="32"/>
  <c r="AR612" i="32"/>
  <c r="AQ612" i="32"/>
  <c r="AT612" i="32"/>
  <c r="AS1285" i="32"/>
  <c r="AR1285" i="32"/>
  <c r="AQ1285" i="32"/>
  <c r="AT1285" i="32"/>
  <c r="AS1290" i="32"/>
  <c r="AR1290" i="32"/>
  <c r="AQ1290" i="32"/>
  <c r="AT1290" i="32"/>
  <c r="AS619" i="32"/>
  <c r="AR619" i="32"/>
  <c r="AQ619" i="32"/>
  <c r="AT619" i="32"/>
  <c r="AS623" i="32"/>
  <c r="AR623" i="32"/>
  <c r="AQ623" i="32"/>
  <c r="AT623" i="32"/>
  <c r="AQ433" i="32"/>
  <c r="AS433" i="32"/>
  <c r="AR437" i="32"/>
  <c r="AQ437" i="32"/>
  <c r="AT437" i="32"/>
  <c r="AT1088" i="32"/>
  <c r="AS1088" i="32"/>
  <c r="AS452" i="32"/>
  <c r="AR452" i="32"/>
  <c r="AQ452" i="32"/>
  <c r="AT452" i="32"/>
  <c r="AS465" i="32"/>
  <c r="AR465" i="32"/>
  <c r="AQ465" i="32"/>
  <c r="AT465" i="32"/>
  <c r="AS1126" i="32"/>
  <c r="AR1126" i="32"/>
  <c r="AQ1126" i="32"/>
  <c r="AT1126" i="32"/>
  <c r="AS1140" i="32"/>
  <c r="AR1140" i="32"/>
  <c r="AQ1140" i="32"/>
  <c r="AT1140" i="32"/>
  <c r="AS1155" i="32"/>
  <c r="AR1155" i="32"/>
  <c r="AT1155" i="32"/>
  <c r="AQ1155" i="32"/>
  <c r="AR400" i="32"/>
  <c r="AR1014" i="32"/>
  <c r="AR1021" i="32"/>
  <c r="AR1028" i="32"/>
  <c r="AR1034" i="32"/>
  <c r="AR1040" i="32"/>
  <c r="AR410" i="32"/>
  <c r="AR1049" i="32"/>
  <c r="AR418" i="32"/>
  <c r="AR422" i="32"/>
  <c r="AR1063" i="32"/>
  <c r="AR1070" i="32"/>
  <c r="AR428" i="32"/>
  <c r="AR1082" i="32"/>
  <c r="AT1082" i="32"/>
  <c r="AT436" i="32"/>
  <c r="AS436" i="32"/>
  <c r="AS450" i="32"/>
  <c r="AQ450" i="32"/>
  <c r="AS356" i="32"/>
  <c r="AS960" i="32"/>
  <c r="AS362" i="32"/>
  <c r="AS368" i="32"/>
  <c r="AS970" i="32"/>
  <c r="AS377" i="32"/>
  <c r="AS978" i="32"/>
  <c r="AS985" i="32"/>
  <c r="AS386" i="32"/>
  <c r="AS389" i="32"/>
  <c r="AS998" i="32"/>
  <c r="AS397" i="32"/>
  <c r="AS400" i="32"/>
  <c r="AS1014" i="32"/>
  <c r="AS1021" i="32"/>
  <c r="AS1028" i="32"/>
  <c r="AS1034" i="32"/>
  <c r="AS1040" i="32"/>
  <c r="AS410" i="32"/>
  <c r="AS1049" i="32"/>
  <c r="AS418" i="32"/>
  <c r="AS422" i="32"/>
  <c r="AS1063" i="32"/>
  <c r="AS1070" i="32"/>
  <c r="AS428" i="32"/>
  <c r="AR444" i="32"/>
  <c r="AT449" i="32"/>
  <c r="AR449" i="32"/>
  <c r="AS1100" i="32"/>
  <c r="AR1100" i="32"/>
  <c r="AQ1100" i="32"/>
  <c r="AT1100" i="32"/>
  <c r="AS473" i="32"/>
  <c r="AR473" i="32"/>
  <c r="AQ473" i="32"/>
  <c r="AT473" i="32"/>
  <c r="AS1130" i="32"/>
  <c r="AR1130" i="32"/>
  <c r="AQ1130" i="32"/>
  <c r="AT1130" i="32"/>
  <c r="AQ1010" i="32"/>
  <c r="AQ1017" i="32"/>
  <c r="AQ1024" i="32"/>
  <c r="AQ1030" i="32"/>
  <c r="AQ1037" i="32"/>
  <c r="AQ1043" i="32"/>
  <c r="AQ412" i="32"/>
  <c r="AQ416" i="32"/>
  <c r="AQ1053" i="32"/>
  <c r="AQ1059" i="32"/>
  <c r="AQ1066" i="32"/>
  <c r="AQ424" i="32"/>
  <c r="AQ1079" i="32"/>
  <c r="AQ365" i="32"/>
  <c r="AQ371" i="32"/>
  <c r="AQ375" i="32"/>
  <c r="AQ976" i="32"/>
  <c r="AQ382" i="32"/>
  <c r="AQ988" i="32"/>
  <c r="AQ992" i="32"/>
  <c r="AQ996" i="32"/>
  <c r="AQ1000" i="32"/>
  <c r="AQ1005" i="32"/>
  <c r="AR1010" i="32"/>
  <c r="AQ1011" i="32"/>
  <c r="AR1017" i="32"/>
  <c r="AQ1018" i="32"/>
  <c r="AR1024" i="32"/>
  <c r="AQ1025" i="32"/>
  <c r="AR1030" i="32"/>
  <c r="AQ405" i="32"/>
  <c r="AR1037" i="32"/>
  <c r="AQ406" i="32"/>
  <c r="AR1043" i="32"/>
  <c r="AQ1044" i="32"/>
  <c r="AR412" i="32"/>
  <c r="AQ1047" i="32"/>
  <c r="AR416" i="32"/>
  <c r="AQ417" i="32"/>
  <c r="AR1053" i="32"/>
  <c r="AQ1054" i="32"/>
  <c r="AR1059" i="32"/>
  <c r="AQ677" i="32"/>
  <c r="AR1066" i="32"/>
  <c r="AQ1067" i="32"/>
  <c r="AR424" i="32"/>
  <c r="AQ1073" i="32"/>
  <c r="AR1079" i="32"/>
  <c r="AQ1080" i="32"/>
  <c r="AQ438" i="32"/>
  <c r="AR439" i="32"/>
  <c r="AS444" i="32"/>
  <c r="AQ444" i="32"/>
  <c r="AR1090" i="32"/>
  <c r="AQ1090" i="32"/>
  <c r="AT1090" i="32"/>
  <c r="AS1105" i="32"/>
  <c r="AR1105" i="32"/>
  <c r="AQ1105" i="32"/>
  <c r="AT1105" i="32"/>
  <c r="AS1116" i="32"/>
  <c r="AR1116" i="32"/>
  <c r="AQ1116" i="32"/>
  <c r="AT1116" i="32"/>
  <c r="AS490" i="32"/>
  <c r="AR490" i="32"/>
  <c r="AQ490" i="32"/>
  <c r="AT490" i="32"/>
  <c r="AQ1083" i="32"/>
  <c r="AR434" i="32"/>
  <c r="AR1086" i="32"/>
  <c r="AS438" i="32"/>
  <c r="AS439" i="32"/>
  <c r="AT443" i="32"/>
  <c r="AR443" i="32"/>
  <c r="AT447" i="32"/>
  <c r="AS447" i="32"/>
  <c r="AQ453" i="32"/>
  <c r="AT453" i="32"/>
  <c r="AR453" i="32"/>
  <c r="AS1089" i="32"/>
  <c r="AS1091" i="32"/>
  <c r="AS678" i="32"/>
  <c r="AQ1095" i="32"/>
  <c r="AS1101" i="32"/>
  <c r="AQ1102" i="32"/>
  <c r="AS457" i="32"/>
  <c r="AR458" i="32"/>
  <c r="AQ1106" i="32"/>
  <c r="AS461" i="32"/>
  <c r="AR462" i="32"/>
  <c r="AQ1110" i="32"/>
  <c r="AS466" i="32"/>
  <c r="AR467" i="32"/>
  <c r="AQ468" i="32"/>
  <c r="AS474" i="32"/>
  <c r="AR1113" i="32"/>
  <c r="AQ1114" i="32"/>
  <c r="AS478" i="32"/>
  <c r="AR1117" i="32"/>
  <c r="AQ1118" i="32"/>
  <c r="AS1122" i="32"/>
  <c r="AR1123" i="32"/>
  <c r="AQ1124" i="32"/>
  <c r="AS1127" i="32"/>
  <c r="AR483" i="32"/>
  <c r="AQ484" i="32"/>
  <c r="AS487" i="32"/>
  <c r="AR1131" i="32"/>
  <c r="AQ1132" i="32"/>
  <c r="AS1135" i="32"/>
  <c r="AR491" i="32"/>
  <c r="AQ492" i="32"/>
  <c r="AS680" i="32"/>
  <c r="AR496" i="32"/>
  <c r="AQ497" i="32"/>
  <c r="AS1141" i="32"/>
  <c r="AR1142" i="32"/>
  <c r="AR500" i="32"/>
  <c r="AS1143" i="32"/>
  <c r="AS1144" i="32"/>
  <c r="AR501" i="32"/>
  <c r="AR502" i="32"/>
  <c r="AS1145" i="32"/>
  <c r="AQ503" i="32"/>
  <c r="AQ504" i="32"/>
  <c r="AQ1147" i="32"/>
  <c r="AT1149" i="32"/>
  <c r="AS1149" i="32"/>
  <c r="AT458" i="32"/>
  <c r="AT462" i="32"/>
  <c r="AT467" i="32"/>
  <c r="AT1113" i="32"/>
  <c r="AT1117" i="32"/>
  <c r="AT1123" i="32"/>
  <c r="AT483" i="32"/>
  <c r="AT1131" i="32"/>
  <c r="AT491" i="32"/>
  <c r="AT496" i="32"/>
  <c r="AS503" i="32"/>
  <c r="AT504" i="32"/>
  <c r="AT1147" i="32"/>
  <c r="AS507" i="32"/>
  <c r="AT507" i="32"/>
  <c r="AS517" i="32"/>
  <c r="AR517" i="32"/>
  <c r="AQ517" i="32"/>
  <c r="AT517" i="32"/>
  <c r="AS521" i="32"/>
  <c r="AR521" i="32"/>
  <c r="AQ521" i="32"/>
  <c r="AT521" i="32"/>
  <c r="AS1193" i="32"/>
  <c r="AR1193" i="32"/>
  <c r="AQ1193" i="32"/>
  <c r="AT1193" i="32"/>
  <c r="AS682" i="32"/>
  <c r="AR682" i="32"/>
  <c r="AQ682" i="32"/>
  <c r="AT682" i="32"/>
  <c r="AS1230" i="32"/>
  <c r="AR1230" i="32"/>
  <c r="AQ1230" i="32"/>
  <c r="AT1230" i="32"/>
  <c r="AR1098" i="32"/>
  <c r="AR455" i="32"/>
  <c r="AR1108" i="32"/>
  <c r="AR1111" i="32"/>
  <c r="AR471" i="32"/>
  <c r="AR477" i="32"/>
  <c r="AR1121" i="32"/>
  <c r="AR1125" i="32"/>
  <c r="AR486" i="32"/>
  <c r="AR488" i="32"/>
  <c r="AR494" i="32"/>
  <c r="AR499" i="32"/>
  <c r="AT513" i="32"/>
  <c r="AS513" i="32"/>
  <c r="AS1169" i="32"/>
  <c r="AR1169" i="32"/>
  <c r="AQ1169" i="32"/>
  <c r="AT1169" i="32"/>
  <c r="AS451" i="32"/>
  <c r="AS1098" i="32"/>
  <c r="AS455" i="32"/>
  <c r="AS1108" i="32"/>
  <c r="AS1111" i="32"/>
  <c r="AS471" i="32"/>
  <c r="AS477" i="32"/>
  <c r="AS1121" i="32"/>
  <c r="AS1125" i="32"/>
  <c r="AS486" i="32"/>
  <c r="AS488" i="32"/>
  <c r="AS494" i="32"/>
  <c r="AS499" i="32"/>
  <c r="AQ1150" i="32"/>
  <c r="AR1151" i="32"/>
  <c r="AS1151" i="32"/>
  <c r="AS1177" i="32"/>
  <c r="AR1177" i="32"/>
  <c r="AQ1177" i="32"/>
  <c r="AT1177" i="32"/>
  <c r="AS543" i="32"/>
  <c r="AR543" i="32"/>
  <c r="AQ543" i="32"/>
  <c r="AT543" i="32"/>
  <c r="AS1217" i="32"/>
  <c r="AR1217" i="32"/>
  <c r="AQ1217" i="32"/>
  <c r="AT1217" i="32"/>
  <c r="AS571" i="32"/>
  <c r="AR571" i="32"/>
  <c r="AQ571" i="32"/>
  <c r="AT571" i="32"/>
  <c r="AQ1149" i="32"/>
  <c r="AS511" i="32"/>
  <c r="AT511" i="32"/>
  <c r="AS529" i="32"/>
  <c r="AR529" i="32"/>
  <c r="AQ529" i="32"/>
  <c r="AT529" i="32"/>
  <c r="AS1201" i="32"/>
  <c r="AR1201" i="32"/>
  <c r="AQ1201" i="32"/>
  <c r="AT1201" i="32"/>
  <c r="AS1150" i="32"/>
  <c r="AR1150" i="32"/>
  <c r="AR515" i="32"/>
  <c r="AQ515" i="32"/>
  <c r="AS515" i="32"/>
  <c r="AS1185" i="32"/>
  <c r="AR1185" i="32"/>
  <c r="AQ1185" i="32"/>
  <c r="AT1185" i="32"/>
  <c r="AS550" i="32"/>
  <c r="AR550" i="32"/>
  <c r="AQ550" i="32"/>
  <c r="AT550" i="32"/>
  <c r="AS564" i="32"/>
  <c r="AR564" i="32"/>
  <c r="AQ564" i="32"/>
  <c r="AT564" i="32"/>
  <c r="AS1239" i="32"/>
  <c r="AR1239" i="32"/>
  <c r="AQ1239" i="32"/>
  <c r="AT1239" i="32"/>
  <c r="AQ508" i="32"/>
  <c r="AQ512" i="32"/>
  <c r="AQ516" i="32"/>
  <c r="AS518" i="32"/>
  <c r="AQ1162" i="32"/>
  <c r="AS522" i="32"/>
  <c r="AQ1165" i="32"/>
  <c r="AS1170" i="32"/>
  <c r="AQ1172" i="32"/>
  <c r="AS525" i="32"/>
  <c r="AQ526" i="32"/>
  <c r="AS1181" i="32"/>
  <c r="AQ531" i="32"/>
  <c r="AS1186" i="32"/>
  <c r="AQ534" i="32"/>
  <c r="AS538" i="32"/>
  <c r="AQ1190" i="32"/>
  <c r="AS1194" i="32"/>
  <c r="AQ1195" i="32"/>
  <c r="AS1198" i="32"/>
  <c r="AQ545" i="32"/>
  <c r="AS1202" i="32"/>
  <c r="AQ1204" i="32"/>
  <c r="AS551" i="32"/>
  <c r="AQ1207" i="32"/>
  <c r="AS1211" i="32"/>
  <c r="AQ555" i="32"/>
  <c r="AS559" i="32"/>
  <c r="AQ683" i="32"/>
  <c r="AS561" i="32"/>
  <c r="AQ1219" i="32"/>
  <c r="AS1222" i="32"/>
  <c r="AQ1223" i="32"/>
  <c r="AS1229" i="32"/>
  <c r="AQ686" i="32"/>
  <c r="AS1231" i="32"/>
  <c r="AQ1233" i="32"/>
  <c r="AS572" i="32"/>
  <c r="AQ1236" i="32"/>
  <c r="AS576" i="32"/>
  <c r="AR1240" i="32"/>
  <c r="AS1241" i="32"/>
  <c r="AS577" i="32"/>
  <c r="AR580" i="32"/>
  <c r="AQ580" i="32"/>
  <c r="AT580" i="32"/>
  <c r="AT581" i="32"/>
  <c r="AR581" i="32"/>
  <c r="AT1246" i="32"/>
  <c r="AS1246" i="32"/>
  <c r="AS1252" i="32"/>
  <c r="AR1252" i="32"/>
  <c r="AQ1252" i="32"/>
  <c r="AT1252" i="32"/>
  <c r="AQ1257" i="32"/>
  <c r="AT1257" i="32"/>
  <c r="AR1257" i="32"/>
  <c r="AS646" i="32"/>
  <c r="AR646" i="32"/>
  <c r="AQ646" i="32"/>
  <c r="AT646" i="32"/>
  <c r="AR1153" i="32"/>
  <c r="AS1157" i="32"/>
  <c r="AR1158" i="32"/>
  <c r="AS519" i="32"/>
  <c r="AR1163" i="32"/>
  <c r="AS1166" i="32"/>
  <c r="AR1167" i="32"/>
  <c r="AS1173" i="32"/>
  <c r="AR1174" i="32"/>
  <c r="AS527" i="32"/>
  <c r="AR1179" i="32"/>
  <c r="AS1182" i="32"/>
  <c r="AR1183" i="32"/>
  <c r="AS1187" i="32"/>
  <c r="AR535" i="32"/>
  <c r="AS539" i="32"/>
  <c r="AR1191" i="32"/>
  <c r="AS1196" i="32"/>
  <c r="AR541" i="32"/>
  <c r="AS546" i="32"/>
  <c r="AR547" i="32"/>
  <c r="AS548" i="32"/>
  <c r="AR549" i="32"/>
  <c r="AS553" i="32"/>
  <c r="AS556" i="32"/>
  <c r="AS684" i="32"/>
  <c r="AS1220" i="32"/>
  <c r="AS1224" i="32"/>
  <c r="AS566" i="32"/>
  <c r="AS570" i="32"/>
  <c r="AS1237" i="32"/>
  <c r="AS1255" i="32"/>
  <c r="AR1255" i="32"/>
  <c r="AQ1255" i="32"/>
  <c r="AT1255" i="32"/>
  <c r="AQ688" i="32"/>
  <c r="AT688" i="32"/>
  <c r="AR688" i="32"/>
  <c r="AS1281" i="32"/>
  <c r="AR1281" i="32"/>
  <c r="AQ1281" i="32"/>
  <c r="AT1281" i="32"/>
  <c r="AS723" i="32"/>
  <c r="AR723" i="32"/>
  <c r="AQ723" i="32"/>
  <c r="AT723" i="32"/>
  <c r="AS1260" i="32"/>
  <c r="AR1260" i="32"/>
  <c r="AQ1260" i="32"/>
  <c r="AT1260" i="32"/>
  <c r="AS601" i="32"/>
  <c r="AR601" i="32"/>
  <c r="AQ601" i="32"/>
  <c r="AT601" i="32"/>
  <c r="AS654" i="32"/>
  <c r="AR654" i="32"/>
  <c r="AQ654" i="32"/>
  <c r="AT654" i="32"/>
  <c r="AS1275" i="32"/>
  <c r="AR1275" i="32"/>
  <c r="AQ1275" i="32"/>
  <c r="AT1275" i="32"/>
  <c r="AS635" i="32"/>
  <c r="AR635" i="32"/>
  <c r="AQ635" i="32"/>
  <c r="AT635" i="32"/>
  <c r="AQ518" i="32"/>
  <c r="AQ522" i="32"/>
  <c r="AQ1170" i="32"/>
  <c r="AQ525" i="32"/>
  <c r="AQ1181" i="32"/>
  <c r="AQ1186" i="32"/>
  <c r="AQ538" i="32"/>
  <c r="AQ1194" i="32"/>
  <c r="AQ1198" i="32"/>
  <c r="AQ1202" i="32"/>
  <c r="AQ551" i="32"/>
  <c r="AQ1211" i="32"/>
  <c r="AQ559" i="32"/>
  <c r="AQ561" i="32"/>
  <c r="AQ1222" i="32"/>
  <c r="AQ1229" i="32"/>
  <c r="AQ1231" i="32"/>
  <c r="AQ572" i="32"/>
  <c r="AQ576" i="32"/>
  <c r="AQ581" i="32"/>
  <c r="AS593" i="32"/>
  <c r="AR593" i="32"/>
  <c r="AQ593" i="32"/>
  <c r="AT593" i="32"/>
  <c r="AS1271" i="32"/>
  <c r="AR1271" i="32"/>
  <c r="AQ1271" i="32"/>
  <c r="AT1271" i="32"/>
  <c r="AQ1240" i="32"/>
  <c r="AQ1241" i="32"/>
  <c r="AR577" i="32"/>
  <c r="AS580" i="32"/>
  <c r="AS581" i="32"/>
  <c r="AS628" i="32"/>
  <c r="AR628" i="32"/>
  <c r="AQ628" i="32"/>
  <c r="AT628" i="32"/>
  <c r="AS649" i="32"/>
  <c r="AR649" i="32"/>
  <c r="AQ649" i="32"/>
  <c r="AT649" i="32"/>
  <c r="AQ1248" i="32"/>
  <c r="AQ585" i="32"/>
  <c r="AQ588" i="32"/>
  <c r="AQ1262" i="32"/>
  <c r="AR1266" i="32"/>
  <c r="AQ1267" i="32"/>
  <c r="AS595" i="32"/>
  <c r="AR1272" i="32"/>
  <c r="AQ596" i="32"/>
  <c r="AS1276" i="32"/>
  <c r="AR599" i="32"/>
  <c r="AQ1277" i="32"/>
  <c r="AS602" i="32"/>
  <c r="AR603" i="32"/>
  <c r="AQ604" i="32"/>
  <c r="AS690" i="32"/>
  <c r="AR691" i="32"/>
  <c r="AQ608" i="32"/>
  <c r="AS693" i="32"/>
  <c r="AR694" i="32"/>
  <c r="AS1286" i="32"/>
  <c r="AR1287" i="32"/>
  <c r="AS1291" i="32"/>
  <c r="AR617" i="32"/>
  <c r="AS1296" i="32"/>
  <c r="AR1297" i="32"/>
  <c r="AS718" i="32"/>
  <c r="AR719" i="32"/>
  <c r="AS629" i="32"/>
  <c r="AR630" i="32"/>
  <c r="AS636" i="32"/>
  <c r="AR695" i="32"/>
  <c r="AS641" i="32"/>
  <c r="AR724" i="32"/>
  <c r="AS726" i="32"/>
  <c r="AR1300" i="32"/>
  <c r="AS650" i="32"/>
  <c r="AQ1245" i="32"/>
  <c r="AQ1250" i="32"/>
  <c r="AQ586" i="32"/>
  <c r="AQ1259" i="32"/>
  <c r="AT1266" i="32"/>
  <c r="AT1272" i="32"/>
  <c r="AT599" i="32"/>
  <c r="AT603" i="32"/>
  <c r="AT691" i="32"/>
  <c r="AT694" i="32"/>
  <c r="AT1287" i="32"/>
  <c r="AT617" i="32"/>
  <c r="AT1297" i="32"/>
  <c r="AT719" i="32"/>
  <c r="AT630" i="32"/>
  <c r="AT695" i="32"/>
  <c r="AT724" i="32"/>
  <c r="AR727" i="32"/>
  <c r="AQ648" i="32"/>
  <c r="AS652" i="32"/>
  <c r="AR1304" i="32"/>
  <c r="AQ1305" i="32"/>
  <c r="AS657" i="32"/>
  <c r="AR658" i="32"/>
  <c r="AQ1306" i="32"/>
  <c r="AR1251" i="32"/>
  <c r="AR587" i="32"/>
  <c r="AR589" i="32"/>
  <c r="AR1263" i="32"/>
  <c r="AR1270" i="32"/>
  <c r="AR598" i="32"/>
  <c r="AR600" i="32"/>
  <c r="AR689" i="32"/>
  <c r="AR611" i="32"/>
  <c r="AQ692" i="32"/>
  <c r="AR1283" i="32"/>
  <c r="AQ1284" i="32"/>
  <c r="AR616" i="32"/>
  <c r="AQ1289" i="32"/>
  <c r="AR618" i="32"/>
  <c r="AQ1295" i="32"/>
  <c r="AR621" i="32"/>
  <c r="AQ622" i="32"/>
  <c r="AS626" i="32"/>
  <c r="AR627" i="32"/>
  <c r="AQ720" i="32"/>
  <c r="AS633" i="32"/>
  <c r="AR721" i="32"/>
  <c r="AQ634" i="32"/>
  <c r="AS639" i="32"/>
  <c r="AR722" i="32"/>
  <c r="AQ640" i="32"/>
  <c r="AS643" i="32"/>
  <c r="AR644" i="32"/>
  <c r="AQ645" i="32"/>
  <c r="AS727" i="32"/>
  <c r="AR648" i="32"/>
  <c r="AS1304" i="32"/>
  <c r="AR1305" i="32"/>
  <c r="AQ653" i="32"/>
  <c r="AS658" i="32"/>
  <c r="AR1306" i="32"/>
  <c r="AS1251" i="32"/>
  <c r="AS587" i="32"/>
  <c r="AS589" i="32"/>
  <c r="AS1263" i="32"/>
  <c r="AS1270" i="32"/>
  <c r="AR594" i="32"/>
  <c r="AS598" i="32"/>
  <c r="AR1274" i="32"/>
  <c r="AS600" i="32"/>
  <c r="AR1280" i="32"/>
  <c r="AS689" i="32"/>
  <c r="AR607" i="32"/>
  <c r="AS611" i="32"/>
  <c r="AR692" i="32"/>
  <c r="AS1283" i="32"/>
  <c r="AR1284" i="32"/>
  <c r="AS616" i="32"/>
  <c r="AR1289" i="32"/>
  <c r="AS618" i="32"/>
  <c r="AR1295" i="32"/>
  <c r="AS621" i="32"/>
  <c r="AR622" i="32"/>
  <c r="AS627" i="32"/>
  <c r="AR720" i="32"/>
  <c r="AS721" i="32"/>
  <c r="AR634" i="32"/>
  <c r="AS722" i="32"/>
  <c r="AR640" i="32"/>
  <c r="AS644" i="32"/>
  <c r="AR645" i="32"/>
  <c r="AS648" i="32"/>
  <c r="AS1305" i="32"/>
  <c r="AR653" i="32"/>
  <c r="AS1306" i="32"/>
  <c r="C50" i="54"/>
  <c r="AP659" i="32"/>
  <c r="G47" i="54" s="1"/>
  <c r="AO659" i="32"/>
  <c r="G75" i="54"/>
  <c r="F75" i="54"/>
  <c r="E75" i="54"/>
  <c r="D75" i="54"/>
  <c r="C75" i="54"/>
  <c r="G74" i="54"/>
  <c r="F74" i="54"/>
  <c r="E74" i="54"/>
  <c r="D74" i="54"/>
  <c r="C74" i="54"/>
  <c r="G73" i="54"/>
  <c r="F73" i="54"/>
  <c r="E73" i="54"/>
  <c r="D73" i="54"/>
  <c r="L75" i="54"/>
  <c r="L74" i="54"/>
  <c r="L88" i="54"/>
  <c r="L87" i="54"/>
  <c r="G88" i="54"/>
  <c r="F88" i="54"/>
  <c r="E88" i="54"/>
  <c r="D88" i="54"/>
  <c r="C88" i="54"/>
  <c r="G87" i="54"/>
  <c r="F87" i="54"/>
  <c r="E87" i="54"/>
  <c r="D87" i="54"/>
  <c r="C87" i="54"/>
  <c r="L97" i="54"/>
  <c r="L96" i="54"/>
  <c r="L94" i="54"/>
  <c r="L93" i="54"/>
  <c r="G97" i="54"/>
  <c r="F97" i="54"/>
  <c r="E97" i="54"/>
  <c r="D97" i="54"/>
  <c r="C97" i="54"/>
  <c r="G96" i="54"/>
  <c r="F96" i="54"/>
  <c r="E96" i="54"/>
  <c r="D96" i="54"/>
  <c r="C96" i="54"/>
  <c r="G94" i="54"/>
  <c r="F94" i="54"/>
  <c r="E94" i="54"/>
  <c r="D94" i="54"/>
  <c r="C94" i="54"/>
  <c r="G93" i="54"/>
  <c r="F93" i="54"/>
  <c r="E93" i="54"/>
  <c r="D93" i="54"/>
  <c r="C93" i="54"/>
  <c r="G92" i="54"/>
  <c r="F92" i="54"/>
  <c r="E92" i="54"/>
  <c r="D92" i="54"/>
  <c r="G110" i="54"/>
  <c r="F110" i="54"/>
  <c r="E110" i="54"/>
  <c r="D110" i="54"/>
  <c r="C110" i="54"/>
  <c r="G109" i="54"/>
  <c r="F109" i="54"/>
  <c r="E109" i="54"/>
  <c r="D109" i="54"/>
  <c r="C109" i="54"/>
  <c r="G108" i="54"/>
  <c r="F108" i="54"/>
  <c r="E108" i="54"/>
  <c r="D108" i="54"/>
  <c r="C108" i="54"/>
  <c r="G107" i="54"/>
  <c r="F107" i="54"/>
  <c r="E107" i="54"/>
  <c r="D107" i="54"/>
  <c r="C107" i="54"/>
  <c r="G106" i="54"/>
  <c r="F106" i="54"/>
  <c r="E106" i="54"/>
  <c r="D106" i="54"/>
  <c r="C106" i="54"/>
  <c r="G105" i="54"/>
  <c r="F105" i="54"/>
  <c r="E105" i="54"/>
  <c r="D105" i="54"/>
  <c r="C105" i="54"/>
  <c r="L110" i="54"/>
  <c r="L109" i="54"/>
  <c r="L108" i="54"/>
  <c r="L107" i="54"/>
  <c r="L106" i="54"/>
  <c r="L105" i="54"/>
  <c r="L92" i="54"/>
  <c r="C92" i="54"/>
  <c r="L73" i="54"/>
  <c r="C73" i="54"/>
  <c r="L61" i="54"/>
  <c r="L60" i="54"/>
  <c r="L59" i="54"/>
  <c r="L58" i="54"/>
  <c r="L57" i="54"/>
  <c r="L56" i="54"/>
  <c r="G61" i="54"/>
  <c r="F61" i="54"/>
  <c r="E61" i="54"/>
  <c r="D61" i="54"/>
  <c r="C61" i="54"/>
  <c r="G60" i="54"/>
  <c r="F60" i="54"/>
  <c r="E60" i="54"/>
  <c r="D60" i="54"/>
  <c r="C60" i="54"/>
  <c r="G59" i="54"/>
  <c r="F59" i="54"/>
  <c r="E59" i="54"/>
  <c r="D59" i="54"/>
  <c r="C59" i="54"/>
  <c r="G58" i="54"/>
  <c r="F58" i="54"/>
  <c r="E58" i="54"/>
  <c r="D58" i="54"/>
  <c r="C58" i="54"/>
  <c r="G57" i="54"/>
  <c r="F57" i="54"/>
  <c r="E57" i="54"/>
  <c r="D57" i="54"/>
  <c r="C57" i="54"/>
  <c r="G56" i="54"/>
  <c r="F56" i="54"/>
  <c r="E56" i="54"/>
  <c r="D56" i="54"/>
  <c r="C56" i="54"/>
  <c r="X24" i="54"/>
  <c r="X23" i="54"/>
  <c r="T39" i="54"/>
  <c r="T38" i="54"/>
  <c r="T36" i="54"/>
  <c r="T35" i="54"/>
  <c r="T34" i="54"/>
  <c r="T33" i="54"/>
  <c r="T32" i="54"/>
  <c r="T31" i="54"/>
  <c r="T30" i="54"/>
  <c r="T29" i="54"/>
  <c r="T28" i="54"/>
  <c r="T26" i="54"/>
  <c r="T25" i="54"/>
  <c r="T24" i="54"/>
  <c r="T23" i="54"/>
  <c r="T22" i="54"/>
  <c r="T21" i="54"/>
  <c r="T20" i="54"/>
  <c r="T19" i="54"/>
  <c r="T18" i="54"/>
  <c r="T17" i="54"/>
  <c r="T16" i="54"/>
  <c r="T15" i="54"/>
  <c r="Z20" i="49"/>
  <c r="AA20" i="49" s="1" a="1"/>
  <c r="AA20" i="49" s="1"/>
  <c r="AU659" i="32" s="1"/>
  <c r="AT659" i="32" s="1"/>
  <c r="L86" i="54" l="1"/>
  <c r="T27" i="54"/>
  <c r="L95" i="54"/>
  <c r="L104" i="54"/>
  <c r="L111" i="54" s="1"/>
  <c r="T37" i="54"/>
  <c r="C47" i="54"/>
  <c r="D47" i="54"/>
  <c r="E47" i="54"/>
  <c r="F47" i="54"/>
  <c r="F68" i="54"/>
  <c r="L66" i="54"/>
  <c r="G66" i="54"/>
  <c r="C67" i="54"/>
  <c r="D68" i="54"/>
  <c r="D67" i="54"/>
  <c r="E68" i="54"/>
  <c r="L67" i="54"/>
  <c r="G68" i="54"/>
  <c r="G67" i="54"/>
  <c r="E67" i="54"/>
  <c r="F67" i="54"/>
  <c r="L68" i="54"/>
  <c r="C66" i="54"/>
  <c r="C68" i="54"/>
  <c r="D66" i="54"/>
  <c r="E66" i="54"/>
  <c r="AQ659" i="32"/>
  <c r="F66" i="54"/>
  <c r="AR659" i="32"/>
  <c r="AS659" i="32"/>
  <c r="H110" i="54"/>
  <c r="H109" i="54"/>
  <c r="K2" i="49" a="1"/>
  <c r="K2" i="49" s="1"/>
  <c r="AM659" i="32"/>
  <c r="AN659" i="32"/>
  <c r="F2" i="49" a="1"/>
  <c r="F2" i="49" s="1"/>
  <c r="H47" i="54" l="1"/>
  <c r="D95" i="54"/>
  <c r="C95" i="54"/>
  <c r="G86" i="54"/>
  <c r="F95" i="54"/>
  <c r="F86" i="54"/>
  <c r="E86" i="54"/>
  <c r="D86" i="54"/>
  <c r="G95" i="54"/>
  <c r="E95" i="54"/>
  <c r="C86" i="54"/>
  <c r="F104" i="54"/>
  <c r="L36" i="54"/>
  <c r="L35" i="54"/>
  <c r="E104" i="54"/>
  <c r="G104" i="54"/>
  <c r="D104" i="54"/>
  <c r="C104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O26" i="54"/>
  <c r="Y18" i="54"/>
  <c r="N26" i="54"/>
  <c r="Q21" i="54"/>
  <c r="M26" i="54"/>
  <c r="P21" i="54"/>
  <c r="Q26" i="54"/>
  <c r="L26" i="54"/>
  <c r="O21" i="54"/>
  <c r="Q20" i="54"/>
  <c r="O20" i="54"/>
  <c r="Y19" i="54"/>
  <c r="N21" i="54"/>
  <c r="P20" i="54"/>
  <c r="M21" i="54"/>
  <c r="L20" i="54"/>
  <c r="L21" i="54"/>
  <c r="N20" i="54"/>
  <c r="M20" i="54"/>
  <c r="Y17" i="54"/>
  <c r="H106" i="54"/>
  <c r="P26" i="54"/>
  <c r="Y16" i="54"/>
  <c r="F111" i="54" l="1"/>
  <c r="G111" i="54"/>
  <c r="E111" i="54"/>
  <c r="D111" i="54"/>
  <c r="C111" i="54"/>
  <c r="M36" i="54"/>
  <c r="Y24" i="54"/>
  <c r="H107" i="54"/>
  <c r="L76" i="54"/>
  <c r="M35" i="54"/>
  <c r="H104" i="54"/>
  <c r="H108" i="54"/>
  <c r="L98" i="54"/>
  <c r="H105" i="54"/>
  <c r="Y23" i="54"/>
  <c r="L89" i="54"/>
  <c r="L62" i="54"/>
  <c r="H96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4" i="54"/>
  <c r="E98" i="54"/>
  <c r="G89" i="54"/>
  <c r="F62" i="54"/>
  <c r="D89" i="54"/>
  <c r="D76" i="54"/>
  <c r="D98" i="54"/>
  <c r="D62" i="54"/>
  <c r="C89" i="54"/>
  <c r="E76" i="54"/>
  <c r="F76" i="54"/>
  <c r="G76" i="54"/>
  <c r="H88" i="54"/>
  <c r="H57" i="54"/>
  <c r="G98" i="54"/>
  <c r="H75" i="54"/>
  <c r="F89" i="54"/>
  <c r="C98" i="54"/>
  <c r="H87" i="54"/>
  <c r="H74" i="54"/>
  <c r="C62" i="54"/>
  <c r="H97" i="54"/>
  <c r="H95" i="54"/>
  <c r="C76" i="54"/>
  <c r="E62" i="54"/>
  <c r="H93" i="54"/>
  <c r="G62" i="54"/>
  <c r="H86" i="54"/>
  <c r="H60" i="54"/>
  <c r="H61" i="54"/>
  <c r="H92" i="54"/>
  <c r="F98" i="54"/>
  <c r="H56" i="54"/>
  <c r="E89" i="54"/>
  <c r="H73" i="54"/>
  <c r="H66" i="54" l="1"/>
  <c r="H67" i="54"/>
  <c r="H68" i="54"/>
  <c r="L79" i="54"/>
  <c r="L80" i="54"/>
  <c r="H111" i="54"/>
  <c r="L81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8" i="54"/>
  <c r="H35" i="54"/>
  <c r="H24" i="54"/>
  <c r="H22" i="54"/>
  <c r="H17" i="54"/>
  <c r="H31" i="54"/>
  <c r="F41" i="54"/>
  <c r="O16" i="54" s="1"/>
  <c r="O18" i="54" s="1"/>
  <c r="H62" i="54"/>
  <c r="H39" i="54"/>
  <c r="H33" i="54"/>
  <c r="H89" i="54"/>
  <c r="H28" i="54"/>
  <c r="D41" i="54"/>
  <c r="H23" i="54"/>
  <c r="H36" i="54"/>
  <c r="C41" i="54"/>
  <c r="L16" i="54" s="1"/>
  <c r="L18" i="54" s="1"/>
  <c r="H76" i="54"/>
  <c r="C79" i="54" s="1"/>
  <c r="H40" i="54"/>
  <c r="H30" i="54"/>
  <c r="G41" i="54"/>
  <c r="E41" i="54"/>
  <c r="N16" i="54" s="1"/>
  <c r="N18" i="54" s="1"/>
  <c r="C81" i="54" l="1"/>
  <c r="H41" i="54"/>
  <c r="I23" i="54" s="1"/>
  <c r="C80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<sst xmlns="http://schemas.openxmlformats.org/spreadsheetml/2006/main" count="25772" uniqueCount="3932">
  <si>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</si>
  <si>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</si>
  <si>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</si>
  <si>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</si>
  <si>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</si>
  <si>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</si>
  <si>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</si>
  <si>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</si>
  <si>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</si>
  <si>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</si>
  <si>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</si>
  <si>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</si>
  <si>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</si>
  <si>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</si>
  <si>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</si>
  <si>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</si>
  <si>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</si>
  <si>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</si>
  <si>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</si>
  <si>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</si>
  <si>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</si>
  <si>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</si>
  <si>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</si>
  <si>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</si>
  <si>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</si>
  <si>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</si>
  <si>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</si>
  <si>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</si>
  <si>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</si>
  <si>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</si>
  <si>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</si>
  <si>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</si>
  <si>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</si>
  <si>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</si>
  <si>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</si>
  <si>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</si>
  <si>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</si>
  <si>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</si>
  <si>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</si>
  <si>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</si>
  <si>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</si>
  <si>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</si>
  <si>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</si>
  <si>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</si>
  <si>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</si>
  <si>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</si>
  <si>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</si>
  <si>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Não</t>
  </si>
  <si>
    <t>Transbordo/Navegação</t>
  </si>
  <si>
    <t>Captado pela Amil/Call Center</t>
  </si>
  <si>
    <t>RODRIGO APARECIDO TORRES</t>
  </si>
  <si>
    <t>M</t>
  </si>
  <si>
    <t>SP</t>
  </si>
  <si>
    <t>SAO PAULO</t>
  </si>
  <si>
    <t>VILA COSMOPOLITA</t>
  </si>
  <si>
    <t>NÍVEL 110</t>
  </si>
  <si>
    <t>(11)958794978</t>
  </si>
  <si>
    <t>Gabriela</t>
  </si>
  <si>
    <t>1. Aceitou o programa</t>
  </si>
  <si>
    <t>Contato Com Sucesso</t>
  </si>
  <si>
    <t>Ativo</t>
  </si>
  <si>
    <t>Não se aplica</t>
  </si>
  <si>
    <t>Agendada</t>
  </si>
  <si>
    <t>Realizada</t>
  </si>
  <si>
    <t xml:space="preserve">Baixa </t>
  </si>
  <si>
    <t>Amil - Ud Cubatão Sp - Hospital Da Luz </t>
  </si>
  <si>
    <t>Confirmado</t>
  </si>
  <si>
    <t>Sim</t>
  </si>
  <si>
    <t>ICC</t>
  </si>
  <si>
    <t>DIVALDO MORENO RODRIGUES</t>
  </si>
  <si>
    <t>F</t>
  </si>
  <si>
    <t>CIDADE PATRIARCA</t>
  </si>
  <si>
    <t>NÍVEL 400</t>
  </si>
  <si>
    <t>(11)979585386</t>
  </si>
  <si>
    <t>JOSE ALEXANDRE DO NASCIMENTO</t>
  </si>
  <si>
    <t>RIBEIRAO PIRES</t>
  </si>
  <si>
    <t>NAO INFORMADO</t>
  </si>
  <si>
    <t>(11)999144458</t>
  </si>
  <si>
    <t>5. Alta por múltiplas tentativas</t>
  </si>
  <si>
    <t>Fora da Linha</t>
  </si>
  <si>
    <t xml:space="preserve">Não realizada - Falta </t>
  </si>
  <si>
    <t>Desflagado</t>
  </si>
  <si>
    <t>ADERALDO SALUSTIANO DA SILVA</t>
  </si>
  <si>
    <t>SANTO ANDRE</t>
  </si>
  <si>
    <t>SITIO DOS VIANAS</t>
  </si>
  <si>
    <t>(11)941767820</t>
  </si>
  <si>
    <t xml:space="preserve">Média </t>
  </si>
  <si>
    <t>MIRIAM NAZARETH FEIJO DE MOURA</t>
  </si>
  <si>
    <t>RJ</t>
  </si>
  <si>
    <t>RIO DE JANEIRO</t>
  </si>
  <si>
    <t>PRAÇA SECA</t>
  </si>
  <si>
    <t>NÍVEL 200</t>
  </si>
  <si>
    <t>(21)969353757</t>
  </si>
  <si>
    <t>APARECIDA MARTINS PERON</t>
  </si>
  <si>
    <t>SANTA CECILIA</t>
  </si>
  <si>
    <t>(11)991071276</t>
  </si>
  <si>
    <t>HYLLAS JOSE DA SILVA</t>
  </si>
  <si>
    <t>DUQUE DE CAXIAS</t>
  </si>
  <si>
    <t>VILA ITAMARATI</t>
  </si>
  <si>
    <t>(21)967271703</t>
  </si>
  <si>
    <t>LETICIA RODRIGUES DA SILVA</t>
  </si>
  <si>
    <t>CIDADE TIRADENTES</t>
  </si>
  <si>
    <t>NÍVEL 380</t>
  </si>
  <si>
    <t>(11)972603061</t>
  </si>
  <si>
    <t>FORA DO ESCOPO</t>
  </si>
  <si>
    <t>JADISON MARTINS SANTOS</t>
  </si>
  <si>
    <t>JARDIM MARINGA</t>
  </si>
  <si>
    <t>(11)948067973</t>
  </si>
  <si>
    <t>RITA DE CASSIA RODRIGUES MATEUS</t>
  </si>
  <si>
    <t>JARDIM SAO GONÇALO</t>
  </si>
  <si>
    <t>(11)945213075</t>
  </si>
  <si>
    <t>LUCIA HELENA CORDEIRO MOREIRA DE BRITO</t>
  </si>
  <si>
    <t>CACHAMBI</t>
  </si>
  <si>
    <t>NÍVEL 40</t>
  </si>
  <si>
    <t>(21)997267606</t>
  </si>
  <si>
    <t>MÁRCIA G J AMARANTE</t>
  </si>
  <si>
    <t>SAO JUDAS</t>
  </si>
  <si>
    <t>(11)968767777</t>
  </si>
  <si>
    <t>Não realizada - Desistência</t>
  </si>
  <si>
    <t>NILSON DE LIMA SOUSA</t>
  </si>
  <si>
    <t>COPACABANA</t>
  </si>
  <si>
    <t>NÍVEL 450</t>
  </si>
  <si>
    <t>(21)979383181</t>
  </si>
  <si>
    <t>FERNANDO LOPES DE MELO</t>
  </si>
  <si>
    <t>MEIER</t>
  </si>
  <si>
    <t>(21)998591815</t>
  </si>
  <si>
    <t>Amil Espaço Saúde - Tijuca </t>
  </si>
  <si>
    <t>PATRICIA PORFIRIO DA SILVA</t>
  </si>
  <si>
    <t>CARAPICUIBA</t>
  </si>
  <si>
    <t>JARDIM ANA ESTELA</t>
  </si>
  <si>
    <t>NÍVEL 50</t>
  </si>
  <si>
    <t>(11)964294991</t>
  </si>
  <si>
    <t>NELSON SILVESTRE RIBEIRO FERREIRA</t>
  </si>
  <si>
    <t>PINHEIROS</t>
  </si>
  <si>
    <t>(21)972174851</t>
  </si>
  <si>
    <t>MANUEL AGOSTINHO OLIVEIRA GROVA</t>
  </si>
  <si>
    <t>TAQUARA</t>
  </si>
  <si>
    <t>(21)964582309</t>
  </si>
  <si>
    <t>Interno - Amil Geral</t>
  </si>
  <si>
    <t>Negativo</t>
  </si>
  <si>
    <t>ADEVAN PEREIRA DA SILVA</t>
  </si>
  <si>
    <t>VILA ANGLO BRASILEIRA</t>
  </si>
  <si>
    <t>(11)987616040</t>
  </si>
  <si>
    <t>JEAN CARLOS RIBEIRO</t>
  </si>
  <si>
    <t>VILA RE</t>
  </si>
  <si>
    <t>(11)969984186</t>
  </si>
  <si>
    <t>MAURO DE OLIVEIRA TAVARES</t>
  </si>
  <si>
    <t>BARRA DA TIJUCA</t>
  </si>
  <si>
    <t>NÍVEL 60</t>
  </si>
  <si>
    <t>(21)999469575</t>
  </si>
  <si>
    <t>OCTAVIANO RIBEIRO DIAS</t>
  </si>
  <si>
    <t>BELA VISTA</t>
  </si>
  <si>
    <t>(21)999716451</t>
  </si>
  <si>
    <t>MARCELO LUIS AVELINO DOS SANTOS</t>
  </si>
  <si>
    <t>GAVEA</t>
  </si>
  <si>
    <t>(21)988289820</t>
  </si>
  <si>
    <t>ILZA DE MIRANDA NOGUEIRA SOUZA</t>
  </si>
  <si>
    <t>JARDIM NAZARETH</t>
  </si>
  <si>
    <t>(11)970130306</t>
  </si>
  <si>
    <t>JOSEFA MARCIA DE SOUZA CARVALHO AMORIM</t>
  </si>
  <si>
    <t>EMBU DAS ARTES</t>
  </si>
  <si>
    <t>QUINHAU</t>
  </si>
  <si>
    <t>(11)961014338</t>
  </si>
  <si>
    <t>ANTONIO FERNANDO DOS SANTOS</t>
  </si>
  <si>
    <t>RECANTO DOS HUMILDES</t>
  </si>
  <si>
    <t>(11)939473712</t>
  </si>
  <si>
    <t>ANA PATRICIA DOS SANTOS LIMA</t>
  </si>
  <si>
    <t>SANTO AMARO</t>
  </si>
  <si>
    <t>(11)951737293</t>
  </si>
  <si>
    <t>LUCI DOMINGUES MOLINA</t>
  </si>
  <si>
    <t>NÍVEL 600</t>
  </si>
  <si>
    <t>(11)999358617</t>
  </si>
  <si>
    <t>Hospital Samaritano - Não Especificado</t>
  </si>
  <si>
    <t>ANA MARIA CARVALHO DE OLIVEIRA</t>
  </si>
  <si>
    <t>(21)993066016</t>
  </si>
  <si>
    <t>Externo - Geral</t>
  </si>
  <si>
    <t>PAULO BEZERRA DE OLIVEIRA</t>
  </si>
  <si>
    <t>(11)947357891</t>
  </si>
  <si>
    <t>Amil - Unidade Avançada Vitoria </t>
  </si>
  <si>
    <t>MARIA VALDETE DE ARRUDA</t>
  </si>
  <si>
    <t>BONSUCESSO</t>
  </si>
  <si>
    <t>NÍVEL 75</t>
  </si>
  <si>
    <t>(21)998802082</t>
  </si>
  <si>
    <t>LEONEIDE LOPES DOS SANTOS</t>
  </si>
  <si>
    <t>PARQUE INDEPENDENCIA</t>
  </si>
  <si>
    <t>NÍVEL 80</t>
  </si>
  <si>
    <t>(11)982641928</t>
  </si>
  <si>
    <t>EDIVALDO LOPES FERNANDES</t>
  </si>
  <si>
    <t>MARIA DA GRAÇA</t>
  </si>
  <si>
    <t>(21)969613623</t>
  </si>
  <si>
    <t>ALBANY FELICIA GUGLIELMI ROSSIN</t>
  </si>
  <si>
    <t>VILA GUILHERME</t>
  </si>
  <si>
    <t>(11)980843369</t>
  </si>
  <si>
    <t>04/05/2026 14:40</t>
  </si>
  <si>
    <t>VEONICE GOMES DE OLIVEIRA</t>
  </si>
  <si>
    <t>JARDIM AMERICA</t>
  </si>
  <si>
    <t>(21)986212556</t>
  </si>
  <si>
    <t xml:space="preserve">Sim </t>
  </si>
  <si>
    <t>ITALIA DINIZ PINTO</t>
  </si>
  <si>
    <t>VILA OLIMPIA</t>
  </si>
  <si>
    <t>(11)996758851</t>
  </si>
  <si>
    <t>ALCEU FERREIRA DA CRUZ</t>
  </si>
  <si>
    <t>VILA SANTA MARIA</t>
  </si>
  <si>
    <t>(11)971979337</t>
  </si>
  <si>
    <t>RENATO BAEZ FILHO</t>
  </si>
  <si>
    <t>PARQUE JABAQUARA</t>
  </si>
  <si>
    <t>(11)974040777</t>
  </si>
  <si>
    <t>EDSON KOJI HIROTA</t>
  </si>
  <si>
    <t>AGUA BRANCA</t>
  </si>
  <si>
    <t>NÍVEL 750</t>
  </si>
  <si>
    <t>(11)947353555</t>
  </si>
  <si>
    <t xml:space="preserve">Navegação </t>
  </si>
  <si>
    <t>ELVECIO GAMA DA CUNHA</t>
  </si>
  <si>
    <t>JARDIM PLANALTO</t>
  </si>
  <si>
    <t>(11)995100739</t>
  </si>
  <si>
    <t>Amil Espaço Saúde - Tatuapé</t>
  </si>
  <si>
    <t>RONALD BERGAMI</t>
  </si>
  <si>
    <t>CONSOLAÇAO</t>
  </si>
  <si>
    <t>(11)81689862 11981689861 1132572357 1138725101</t>
  </si>
  <si>
    <t>MIRIAN BRAGA DE MORAIS DE MELLO</t>
  </si>
  <si>
    <t>SUMARE</t>
  </si>
  <si>
    <t>PARQUE YOLANDA (NOVA VENEZA)</t>
  </si>
  <si>
    <t>(19)971387979 (19) 998822564</t>
  </si>
  <si>
    <t>08/05/2026 11:00</t>
  </si>
  <si>
    <t>Não realizada - Reagendada</t>
  </si>
  <si>
    <t>JOSE AUGUSTO NASCIMENTO</t>
  </si>
  <si>
    <t>632.721.218-20</t>
  </si>
  <si>
    <t>SAO BERNARDO DO CAMPO</t>
  </si>
  <si>
    <t>FERRAZOPOLIS</t>
  </si>
  <si>
    <t>(11)987595807</t>
  </si>
  <si>
    <t>ZULEICA SOARES PITA</t>
  </si>
  <si>
    <t>SAO JOAO DE MERITI</t>
  </si>
  <si>
    <t>JARDIM MERITI</t>
  </si>
  <si>
    <t>NÍVEL 120</t>
  </si>
  <si>
    <t>(21)980825969</t>
  </si>
  <si>
    <t>EDUARDO REDL</t>
  </si>
  <si>
    <t>VILA LUCIA</t>
  </si>
  <si>
    <t>NÍVEL 300</t>
  </si>
  <si>
    <t>(11)996535090</t>
  </si>
  <si>
    <t>LUIZ GUILHERME GIOIA</t>
  </si>
  <si>
    <t>CENTRO</t>
  </si>
  <si>
    <t>(21)975472741</t>
  </si>
  <si>
    <t>CINTIA PEREIRA DE SOUZA</t>
  </si>
  <si>
    <t>CAPAO REDONDO</t>
  </si>
  <si>
    <t>(11)965602159 11975185259</t>
  </si>
  <si>
    <t>JORGE FELIPE DE LIMA GIGLIOZZI</t>
  </si>
  <si>
    <t>JACAREPAGUA</t>
  </si>
  <si>
    <t>(21)974946482</t>
  </si>
  <si>
    <t>Amil - Unidade Avançada Luz Joao Dias </t>
  </si>
  <si>
    <t>SEVERINA CORREIA DE OLIVEIRA</t>
  </si>
  <si>
    <t>112.320.978-29</t>
  </si>
  <si>
    <t>GLEBA DO PESSEGO</t>
  </si>
  <si>
    <t>NÍVEL 100</t>
  </si>
  <si>
    <t>(11)962754200</t>
  </si>
  <si>
    <t>IVANI APARECIDA DE SOUZA SANTOS</t>
  </si>
  <si>
    <t>(11)976399525</t>
  </si>
  <si>
    <t>MARLI JOSEFA DE SANTANA</t>
  </si>
  <si>
    <t>JARDIM VERGUEIRO</t>
  </si>
  <si>
    <t>(11)981506703</t>
  </si>
  <si>
    <t>JOSE DE OLIVEIRA SANTOS</t>
  </si>
  <si>
    <t>CIDADE DUTRA</t>
  </si>
  <si>
    <t>(11)987842707</t>
  </si>
  <si>
    <t>MAURILIO DIAS</t>
  </si>
  <si>
    <t>ACLIMAÇAO</t>
  </si>
  <si>
    <t>(11)999015150</t>
  </si>
  <si>
    <t xml:space="preserve">Alta </t>
  </si>
  <si>
    <t>PATRICIA VIANA MISEVICIUS</t>
  </si>
  <si>
    <t>JARDIM AVELINO</t>
  </si>
  <si>
    <t>(11)910217929</t>
  </si>
  <si>
    <t>NASSER SLEMIAN</t>
  </si>
  <si>
    <t>VILA ESPERANÇA</t>
  </si>
  <si>
    <t>(11)989477778</t>
  </si>
  <si>
    <t>NATALINA LHAMAS DOS SANTOS POLIDORO</t>
  </si>
  <si>
    <t>VILA PAIVA</t>
  </si>
  <si>
    <t>(11)996456511</t>
  </si>
  <si>
    <t>RICARDO IRAHA</t>
  </si>
  <si>
    <t>PARQUE PERUCHE</t>
  </si>
  <si>
    <t>NÍVEL 500</t>
  </si>
  <si>
    <t>(11)989892440</t>
  </si>
  <si>
    <t>Rafael Soggia Pinto</t>
  </si>
  <si>
    <t>BARRA FUNDA</t>
  </si>
  <si>
    <t>(11)969279971</t>
  </si>
  <si>
    <t>LARA BEATRIZ MARQUES DA SILVA</t>
  </si>
  <si>
    <t>OSASCO</t>
  </si>
  <si>
    <t>HELENA MARIA</t>
  </si>
  <si>
    <t>(11)952535197</t>
  </si>
  <si>
    <t>CARLOS LUIS CARVALHO</t>
  </si>
  <si>
    <t>MAUA</t>
  </si>
  <si>
    <t>JARDIM ORATORIO</t>
  </si>
  <si>
    <t>(11)948027827</t>
  </si>
  <si>
    <t>ANTONIO OLIVEIRA SANTOS</t>
  </si>
  <si>
    <t>JARDIM PAULISTA</t>
  </si>
  <si>
    <t>(11)965501558</t>
  </si>
  <si>
    <t>GILBERTO FALCAO DE OLIVEIRA</t>
  </si>
  <si>
    <t>VILA CONGONHAS</t>
  </si>
  <si>
    <t>(11)999118814 11961841645</t>
  </si>
  <si>
    <t>Amil Espaço Saúde - Ana Rosa </t>
  </si>
  <si>
    <t>ANTONIO FERNANDES GONCALVES DE FRANCA</t>
  </si>
  <si>
    <t>VILA NOVA CONCEIÇAO</t>
  </si>
  <si>
    <t>(11)952310213</t>
  </si>
  <si>
    <t>ELISEU LEITE MORAES</t>
  </si>
  <si>
    <t>PARQUE PANAMERICANO</t>
  </si>
  <si>
    <t>(11)991002931</t>
  </si>
  <si>
    <t>LEONILDA DOS SANTOS FERREIRA</t>
  </si>
  <si>
    <t>VILA BUTANTA</t>
  </si>
  <si>
    <t>(11)999951444</t>
  </si>
  <si>
    <t>ALEXANDER DIMITRI DE GOES</t>
  </si>
  <si>
    <t>NÍVEL 700</t>
  </si>
  <si>
    <t>(11)963527061</t>
  </si>
  <si>
    <t>JOSE MANUEL DA SILVA MARTINS</t>
  </si>
  <si>
    <t>INDIANOPOLIS</t>
  </si>
  <si>
    <t>(11)997344236</t>
  </si>
  <si>
    <t>18/05/2026 11:20</t>
  </si>
  <si>
    <t>Externo - Outros</t>
  </si>
  <si>
    <t>MARILIA GOMES SOARES DOS SANTOS</t>
  </si>
  <si>
    <t>PETROPOLIS</t>
  </si>
  <si>
    <t>(21)977354573</t>
  </si>
  <si>
    <t>JUSELITO OLIVEIRA DOS SANTOS</t>
  </si>
  <si>
    <t>RECANTO CAMPO BELO</t>
  </si>
  <si>
    <t>(11)951307096</t>
  </si>
  <si>
    <t>ADIVAL FERREIRA</t>
  </si>
  <si>
    <t>VILA CELESTE</t>
  </si>
  <si>
    <t>(11)999709133</t>
  </si>
  <si>
    <t>REGIANE MATTOS FERREIRA</t>
  </si>
  <si>
    <t>SANTISSIMO</t>
  </si>
  <si>
    <t>(21)970104225</t>
  </si>
  <si>
    <t>Amil Espaço Saúde - Campo Grande </t>
  </si>
  <si>
    <t>ROMILSON TAVARES LOPES</t>
  </si>
  <si>
    <t>NÍVEL 580</t>
  </si>
  <si>
    <t>(21)968254243</t>
  </si>
  <si>
    <t>FRANCISCA BACAGINE LEITE</t>
  </si>
  <si>
    <t>GUARULHOS</t>
  </si>
  <si>
    <t>JARDIM PRESIDENTE DUTRA</t>
  </si>
  <si>
    <t>(11)960381229</t>
  </si>
  <si>
    <t>MARIA DE LOURDES MONTEIRO PAIXAO</t>
  </si>
  <si>
    <t>JARDIM VINTE E CINCO DE AGOSTO</t>
  </si>
  <si>
    <t>(21)982242646</t>
  </si>
  <si>
    <t>VERONICA CORREIA DA SILVA FERREIRA</t>
  </si>
  <si>
    <t>281.390.018-48</t>
  </si>
  <si>
    <t>PARQUE PRIMAVERA</t>
  </si>
  <si>
    <t>(11)962384797</t>
  </si>
  <si>
    <t>Amil Espaço Saúde - Guarulhos</t>
  </si>
  <si>
    <t>TAINA FERREIRA LOROZA</t>
  </si>
  <si>
    <t>SEPETIBA</t>
  </si>
  <si>
    <t>(21)969686974</t>
  </si>
  <si>
    <t>DAIANE NASCIMENTO RODRIGUES</t>
  </si>
  <si>
    <t>JARDIM JABAQUARA</t>
  </si>
  <si>
    <t>(11)989094787</t>
  </si>
  <si>
    <t>MARCOS ANTONIO CAMILO CAVALCANTE</t>
  </si>
  <si>
    <t>739.514.123-72</t>
  </si>
  <si>
    <t>ARUJA</t>
  </si>
  <si>
    <t>VILA PILAR</t>
  </si>
  <si>
    <t>(11)946993361</t>
  </si>
  <si>
    <t>LUIZ FAUSTO COPPINI</t>
  </si>
  <si>
    <t>(11)973125765</t>
  </si>
  <si>
    <t>ROBSON INACIO RODRIGUES</t>
  </si>
  <si>
    <t>VILA GOMES CARDIM</t>
  </si>
  <si>
    <t>(11)999634839</t>
  </si>
  <si>
    <t>DONIZETE BENEDITO GALEGO</t>
  </si>
  <si>
    <t>PARQUE ESMERALDA</t>
  </si>
  <si>
    <t>(11)940123041</t>
  </si>
  <si>
    <t>05/05/2026 10:20</t>
  </si>
  <si>
    <t>ANA PAULA DE SOUZA</t>
  </si>
  <si>
    <t>21748323806</t>
  </si>
  <si>
    <t>VILA SANTA LUCIA</t>
  </si>
  <si>
    <t>(11)977454922</t>
  </si>
  <si>
    <t>RICARDO DE MELO CALADO</t>
  </si>
  <si>
    <t>JARDIM ALMANARA</t>
  </si>
  <si>
    <t>(11)966065908</t>
  </si>
  <si>
    <t>VALQUIRIA DA SILVA MARTINS</t>
  </si>
  <si>
    <t>VILA BARRETO</t>
  </si>
  <si>
    <t>(11)949415699</t>
  </si>
  <si>
    <t>SANDOVAL SILVA SANTOS</t>
  </si>
  <si>
    <t>64190242500</t>
  </si>
  <si>
    <t>EDILSON FRANKLIN DA NOBREGA</t>
  </si>
  <si>
    <t>38128357891</t>
  </si>
  <si>
    <t>11999945905 1140571209</t>
  </si>
  <si>
    <t>SILVANA VALERIO BRAZ</t>
  </si>
  <si>
    <t>27257415803</t>
  </si>
  <si>
    <t>TEREZINHA MARIA DO NASCIMENTO</t>
  </si>
  <si>
    <t>18966757863</t>
  </si>
  <si>
    <t>MARCIA DE ALMEIDA ANDRADE</t>
  </si>
  <si>
    <t>1235162770</t>
  </si>
  <si>
    <t>EDGLEIDE DE SANTANA MARQUES</t>
  </si>
  <si>
    <t>CAMPO GRANDE</t>
  </si>
  <si>
    <t>21-970157882</t>
  </si>
  <si>
    <t>WALTAIR BARBOSA FILHO</t>
  </si>
  <si>
    <t>21-982438385</t>
  </si>
  <si>
    <t>ANTONIO MIRRA</t>
  </si>
  <si>
    <t>VILA ISOLINA MAZZEI</t>
  </si>
  <si>
    <t>11-98809-1257</t>
  </si>
  <si>
    <t>16//04</t>
  </si>
  <si>
    <t>ELIANE MARIA DO NASCIMENTO</t>
  </si>
  <si>
    <t>CHACARA GAIVOTAS</t>
  </si>
  <si>
    <t>11-996174372</t>
  </si>
  <si>
    <t>DANIEL RODRIGUES DE ARRUDA</t>
  </si>
  <si>
    <t>21-980088307</t>
  </si>
  <si>
    <t>EDMILSON FRANCISCO DA SILVA</t>
  </si>
  <si>
    <t>REALENGO</t>
  </si>
  <si>
    <t>21-976627478</t>
  </si>
  <si>
    <t>DIRCE CANTRERA DE FREITAS</t>
  </si>
  <si>
    <t>BROOKLIN PAULISTA</t>
  </si>
  <si>
    <t>11-98361-8305</t>
  </si>
  <si>
    <t>Amil - Unidade Avançada Luz Butantã </t>
  </si>
  <si>
    <t>ELIZETE AUGUSTO DOS SANTOS</t>
  </si>
  <si>
    <t>SANTO CRISTO</t>
  </si>
  <si>
    <t>21-992164547</t>
  </si>
  <si>
    <t>DANIELA RODRIGUES RAMOS</t>
  </si>
  <si>
    <t>BELFORD ROXO</t>
  </si>
  <si>
    <t>NOVA PIAM</t>
  </si>
  <si>
    <t>21-964132568</t>
  </si>
  <si>
    <t>CLOVIS GERVASIO FELICIANO</t>
  </si>
  <si>
    <t>ENCANTADO</t>
  </si>
  <si>
    <t>21-966625501</t>
  </si>
  <si>
    <t>EDMILSON DIAS DA SILVA</t>
  </si>
  <si>
    <t>FREGUESIA DO O</t>
  </si>
  <si>
    <t>11-950303110</t>
  </si>
  <si>
    <t>EDENILSON NASCIMENTO OLIVEIRA</t>
  </si>
  <si>
    <t>JARDIM COMERCIAL</t>
  </si>
  <si>
    <t>11-982492025</t>
  </si>
  <si>
    <t>CLEMENCIA FERREIRA FELIX</t>
  </si>
  <si>
    <t>JARDIM IRAPIRANGA</t>
  </si>
  <si>
    <t>11-987048945</t>
  </si>
  <si>
    <t>DERNEVALDO ALVES DE SOUZA</t>
  </si>
  <si>
    <t>11-983919217</t>
  </si>
  <si>
    <t>DUARTE DAMASCENO DE AREDES</t>
  </si>
  <si>
    <t>SAO CRISTOVAO</t>
  </si>
  <si>
    <t>21-984551033</t>
  </si>
  <si>
    <t>EMERSON CATARINA DE SOUZA</t>
  </si>
  <si>
    <t>JARDIM ANGELICA</t>
  </si>
  <si>
    <t>11-987459566</t>
  </si>
  <si>
    <t>CLEONICE BISPO MORAES FERREIRA</t>
  </si>
  <si>
    <t>JARDIM AZANO II</t>
  </si>
  <si>
    <t>11-985722203</t>
  </si>
  <si>
    <t>CLAUDIO CORREA</t>
  </si>
  <si>
    <t>PARQUE PAULISTA</t>
  </si>
  <si>
    <t>21-999574603</t>
  </si>
  <si>
    <t>DILSON CORREA SOUZA</t>
  </si>
  <si>
    <t>APERIBE</t>
  </si>
  <si>
    <t>21-964317186</t>
  </si>
  <si>
    <t>EDILENE DA SILVA BARROS</t>
  </si>
  <si>
    <t>JARDIM BARRO BRANCO</t>
  </si>
  <si>
    <t>21-975029996</t>
  </si>
  <si>
    <t>CLAYTON COLTRO</t>
  </si>
  <si>
    <t>LIMAO</t>
  </si>
  <si>
    <t>11-976804020</t>
  </si>
  <si>
    <t>DANILO FERNANDO CELESTINO</t>
  </si>
  <si>
    <t>DIADEMA</t>
  </si>
  <si>
    <t>SERRARIA</t>
  </si>
  <si>
    <t>11-952971192</t>
  </si>
  <si>
    <t>EDIVALDO DA SILVA LISBOA</t>
  </si>
  <si>
    <t>VILA SOFIA</t>
  </si>
  <si>
    <t>11-943951063</t>
  </si>
  <si>
    <t>ELIEL DE MATOS BRITO</t>
  </si>
  <si>
    <t>NITEROI</t>
  </si>
  <si>
    <t>21-988801982</t>
  </si>
  <si>
    <t>EDUARDO AURELIO DA SILVA</t>
  </si>
  <si>
    <t>21-970339526</t>
  </si>
  <si>
    <t>CARLOS MAGNO MACHADO</t>
  </si>
  <si>
    <t>21-998923600</t>
  </si>
  <si>
    <t>CLAUDIO FRIGOLETTO PEIXOTO</t>
  </si>
  <si>
    <t>QUINTINO BOCAIUVA</t>
  </si>
  <si>
    <t>21-986651732</t>
  </si>
  <si>
    <t>ANTONIO MACHADO SANTOS</t>
  </si>
  <si>
    <t>VILA NATAL</t>
  </si>
  <si>
    <t>11-946938496</t>
  </si>
  <si>
    <t>CARLOS BEZERRA MACIEL</t>
  </si>
  <si>
    <t>21-993094874</t>
  </si>
  <si>
    <t>CARMEN SILVIA FELIPPE</t>
  </si>
  <si>
    <t>FLAMENGO</t>
  </si>
  <si>
    <t>21-999996983</t>
  </si>
  <si>
    <t>CINTIA MORALES BATISTA</t>
  </si>
  <si>
    <t>JARDIM ALVORADA (ZONA OESTE)</t>
  </si>
  <si>
    <t>11-985221445</t>
  </si>
  <si>
    <t>ADEILTON SATHELER LOUBACK</t>
  </si>
  <si>
    <t>JARDIM CARIOCA</t>
  </si>
  <si>
    <t>21-993971913</t>
  </si>
  <si>
    <t>ALESSANDRO DE OLIVEIRA</t>
  </si>
  <si>
    <t>JARDIM OLINDA</t>
  </si>
  <si>
    <t>11-949178794</t>
  </si>
  <si>
    <t>ALAN BARREIRA DOS REIS</t>
  </si>
  <si>
    <t>JARDIM PALMIRA</t>
  </si>
  <si>
    <t>11-985810351</t>
  </si>
  <si>
    <t>ANA DELFINA NERI RAMOS</t>
  </si>
  <si>
    <t>VILA ROSA</t>
  </si>
  <si>
    <t>11-933005909</t>
  </si>
  <si>
    <t>ANGELA MARIA CORDEIRO CORREIA ALVES</t>
  </si>
  <si>
    <t>CIDADE SAO MIGUEL</t>
  </si>
  <si>
    <t>11-977272881</t>
  </si>
  <si>
    <t>APARECIDA SIQUEIRA DE CARVALHO</t>
  </si>
  <si>
    <t>JARDIM SANTA MENA</t>
  </si>
  <si>
    <t>11-933454267</t>
  </si>
  <si>
    <t>ALDINAR DE OLIVEIRA CEZAR</t>
  </si>
  <si>
    <t>IRAJA</t>
  </si>
  <si>
    <t>21-997561447</t>
  </si>
  <si>
    <t>ALZIRA APARECIDA DA SILVA</t>
  </si>
  <si>
    <t>ADALGISA</t>
  </si>
  <si>
    <t>11-998838989</t>
  </si>
  <si>
    <t>ADELIA PEREIRA</t>
  </si>
  <si>
    <t>ELDORADO</t>
  </si>
  <si>
    <t>11-989610590</t>
  </si>
  <si>
    <t>ADILSON WANDERLEY DUDA</t>
  </si>
  <si>
    <t>JARDIM UBERABA</t>
  </si>
  <si>
    <t>11-980181311</t>
  </si>
  <si>
    <t>ALAIR CELESTINO</t>
  </si>
  <si>
    <t>11-996619995</t>
  </si>
  <si>
    <t>CLARICE ORMEDILLA MORENO TABONI</t>
  </si>
  <si>
    <t>VILA PRUDENTE</t>
  </si>
  <si>
    <t>11-993532730</t>
  </si>
  <si>
    <t>BEATRIZ DE LOURDES ESTEVES PINTO</t>
  </si>
  <si>
    <t>VILA GUARANI (Z SUL)</t>
  </si>
  <si>
    <t>11-973430050</t>
  </si>
  <si>
    <t>CLAUDIA MARIA DOS SANTOS</t>
  </si>
  <si>
    <t>21-997765618</t>
  </si>
  <si>
    <t>ALESSANDRA MONDINI BORGES</t>
  </si>
  <si>
    <t>CIDADE LIDER</t>
  </si>
  <si>
    <t>11-951668585</t>
  </si>
  <si>
    <t>ALCIDES DE ARAUJO REIS</t>
  </si>
  <si>
    <t>JANDIRA</t>
  </si>
  <si>
    <t>JARDIM SOL NASCENTE</t>
  </si>
  <si>
    <t>11-969768016</t>
  </si>
  <si>
    <t>ANDRE LUIZ DE SOUZA PEREIRA</t>
  </si>
  <si>
    <t>VISTA ALEGRE</t>
  </si>
  <si>
    <t>21-964176088</t>
  </si>
  <si>
    <t>CARLOS LOMBARDI TEODORO JUNIOR</t>
  </si>
  <si>
    <t>TABOAO DA SERRA</t>
  </si>
  <si>
    <t>JARDIM SANTA TEREZINHA</t>
  </si>
  <si>
    <t>11-963484471</t>
  </si>
  <si>
    <t>Amil Espaço Saúde - Santo Amaro</t>
  </si>
  <si>
    <t>ANTONIO ELCIO MOURA</t>
  </si>
  <si>
    <t>11-947203355</t>
  </si>
  <si>
    <t>ABIGAIL GOMES DE MENDONCA</t>
  </si>
  <si>
    <t>PARQUE CONTINENTAL II</t>
  </si>
  <si>
    <t>11-988698729</t>
  </si>
  <si>
    <t>ALCINDO MENOCCI</t>
  </si>
  <si>
    <t>CHACARA SANTANA</t>
  </si>
  <si>
    <t>11-954030856</t>
  </si>
  <si>
    <t>ALAIDE SILVA MIRANDA CASTRO</t>
  </si>
  <si>
    <t>JARDIM DOS LAGOS</t>
  </si>
  <si>
    <t>11-972503499</t>
  </si>
  <si>
    <t>ANA MARTA MARINHO DE OLIVEIRA</t>
  </si>
  <si>
    <t>JARDIM IBIRAPUERA</t>
  </si>
  <si>
    <t>11-951335850</t>
  </si>
  <si>
    <t>Fora do escopo</t>
  </si>
  <si>
    <t>CLARICE FRANDINI PEREIRA</t>
  </si>
  <si>
    <t>JARDIM PANORAMA (ZONA SUL)</t>
  </si>
  <si>
    <t>11-983297821</t>
  </si>
  <si>
    <t>CICERA MARIA DE SOUZA</t>
  </si>
  <si>
    <t>JARDIM THOMAZ</t>
  </si>
  <si>
    <t>11-951220902</t>
  </si>
  <si>
    <t>ALBERTO MARROCHIO</t>
  </si>
  <si>
    <t>JARDIM VAZ DE LIMA</t>
  </si>
  <si>
    <t>11-986342511</t>
  </si>
  <si>
    <t>CAZUMI JOSE HIRATA</t>
  </si>
  <si>
    <t>MIRANDOPOLIS</t>
  </si>
  <si>
    <t>11-995061936</t>
  </si>
  <si>
    <t>ANNA CAROLINE PONTES DE ASSIS</t>
  </si>
  <si>
    <t>PARQUE BOTURUSSU</t>
  </si>
  <si>
    <t>11-979928908</t>
  </si>
  <si>
    <t>ANGELO CAIO RUSSO NETO</t>
  </si>
  <si>
    <t>11-984870618</t>
  </si>
  <si>
    <t>ANTONIO LUIZ TONIOLLI</t>
  </si>
  <si>
    <t>SITIO PINHEIRINHO</t>
  </si>
  <si>
    <t>11-992691017</t>
  </si>
  <si>
    <t>ANTONIO MARCELO DE OLIVEIRA</t>
  </si>
  <si>
    <t>VILA BELA</t>
  </si>
  <si>
    <t>11-952756277</t>
  </si>
  <si>
    <t>BRUNO COELHO MELO</t>
  </si>
  <si>
    <t>21-995401338</t>
  </si>
  <si>
    <t>APARECIDA URBANA DE BRITO</t>
  </si>
  <si>
    <t>JARDIM DAS IMBUIAS</t>
  </si>
  <si>
    <t>11-934346493</t>
  </si>
  <si>
    <t>AKIRA TAKEBAYASHI</t>
  </si>
  <si>
    <t>SAUDE</t>
  </si>
  <si>
    <t>11-999449136</t>
  </si>
  <si>
    <t>CARLOS REIS DE SOUZA</t>
  </si>
  <si>
    <t>21-982260816</t>
  </si>
  <si>
    <t>ACACIO MARTINS DA SILVA</t>
  </si>
  <si>
    <t>11-939378146</t>
  </si>
  <si>
    <t>AURILEIDE ANTONIO MONTEIRO</t>
  </si>
  <si>
    <t>GARDENIA AZUL</t>
  </si>
  <si>
    <t>21-969898981</t>
  </si>
  <si>
    <t>ALEXANDRE FERNANDES DA SILVA SANTOS</t>
  </si>
  <si>
    <t>21-992284147</t>
  </si>
  <si>
    <t>ADELINO AURINDO DE SOUZA</t>
  </si>
  <si>
    <t>JARDIM DAS CAMELIAS</t>
  </si>
  <si>
    <t>11-954898556</t>
  </si>
  <si>
    <t>AIZA MARIA FERREIRA DE OLIVEIRA</t>
  </si>
  <si>
    <t>21-996680316</t>
  </si>
  <si>
    <t>ADILSON BARROZO FERREIRA</t>
  </si>
  <si>
    <t>VILA VALQUEIRE</t>
  </si>
  <si>
    <t>21-985670412</t>
  </si>
  <si>
    <t>ADJALMA DE OLIVEIRA BARBOZA</t>
  </si>
  <si>
    <t>21-999859886</t>
  </si>
  <si>
    <t>CARLOS MAURICIO BRAGA DE CASTRO</t>
  </si>
  <si>
    <t>21-997215900</t>
  </si>
  <si>
    <t>ANA LUCIA GOMES DA SILVA PAULA</t>
  </si>
  <si>
    <t>ENGENHO DE DENTRO</t>
  </si>
  <si>
    <t>21-999510480</t>
  </si>
  <si>
    <t>ANALUCIA MARCATTI LOURO</t>
  </si>
  <si>
    <t>FREGUESIA (JACAREPAGUA)</t>
  </si>
  <si>
    <t>21-97968-3484</t>
  </si>
  <si>
    <t>CARLOS ALBERTO CRUZ DA SILVA</t>
  </si>
  <si>
    <t>NOVA IGUAÇU</t>
  </si>
  <si>
    <t>GRAMA</t>
  </si>
  <si>
    <t>21-964392088</t>
  </si>
  <si>
    <t>ADMAR KLEN DE SOUZA</t>
  </si>
  <si>
    <t>HIGIENOPOLIS</t>
  </si>
  <si>
    <t>21-972168617</t>
  </si>
  <si>
    <t>AUDSON ALVES AROEIRA</t>
  </si>
  <si>
    <t>11-96934-3108</t>
  </si>
  <si>
    <t>ADAILSON FERREIRA GOIS</t>
  </si>
  <si>
    <t>11-997308860</t>
  </si>
  <si>
    <t>APARECIDA VIEIRA DA SILVA</t>
  </si>
  <si>
    <t>JARDIM IV CENTENARIO</t>
  </si>
  <si>
    <t>11-961238450</t>
  </si>
  <si>
    <t>CARMEN SILENE PARMEGIANI</t>
  </si>
  <si>
    <t>JARDIM LAS VEGAS</t>
  </si>
  <si>
    <t>11-985339360</t>
  </si>
  <si>
    <t>ANDERSON FREITAS DA SILVA</t>
  </si>
  <si>
    <t>JARDIM SANTANA DO PILAR</t>
  </si>
  <si>
    <t>21-993338078</t>
  </si>
  <si>
    <t>ADELIA CHALFOUN JORGE</t>
  </si>
  <si>
    <t>PECHINCHA</t>
  </si>
  <si>
    <t>21-964372673</t>
  </si>
  <si>
    <t>BERGSON DE MELO RODRIGUES</t>
  </si>
  <si>
    <t>PILARES</t>
  </si>
  <si>
    <t>21-993019886</t>
  </si>
  <si>
    <t>ROSEMARY MOURA DO NASCIMENTO</t>
  </si>
  <si>
    <t>SAO GONÇALO</t>
  </si>
  <si>
    <t>SANTA LUZIA</t>
  </si>
  <si>
    <t>21-964844886</t>
  </si>
  <si>
    <t>ALTAMIRO DA SILVA LEAL</t>
  </si>
  <si>
    <t>TURIAÇU</t>
  </si>
  <si>
    <t>21-964641388</t>
  </si>
  <si>
    <t>NEGA</t>
  </si>
  <si>
    <t>CIDINEIA ANTONIA APARECIDA PIRES</t>
  </si>
  <si>
    <t>VILA IPE</t>
  </si>
  <si>
    <t>11-991357525</t>
  </si>
  <si>
    <t>ARY NELSON MARTINS DE OLIVEIRA</t>
  </si>
  <si>
    <t>VILA LAGE</t>
  </si>
  <si>
    <t>21-980222367</t>
  </si>
  <si>
    <t>ALDO MORETTI FILHO</t>
  </si>
  <si>
    <t>VILA NAIR</t>
  </si>
  <si>
    <t>11-999298887</t>
  </si>
  <si>
    <t>ANGELICA INACIO DA SILVA</t>
  </si>
  <si>
    <t>21-960115310</t>
  </si>
  <si>
    <t>ALEX DA ROCHA LOPES</t>
  </si>
  <si>
    <t>21-970380898</t>
  </si>
  <si>
    <t>CLAUDIA JARDIM PINHO DE LIMA</t>
  </si>
  <si>
    <t>JARDIM SANTA RITA</t>
  </si>
  <si>
    <t>11-986420418</t>
  </si>
  <si>
    <t>CARLOS TAGLIAFERRI JUNIOR</t>
  </si>
  <si>
    <t>13-996112468</t>
  </si>
  <si>
    <t>REGINALDO GUIMARAES DE SANTANA</t>
  </si>
  <si>
    <t>11-960721222</t>
  </si>
  <si>
    <t>LUCIANA DOS SANTOS MARQUES VITORINO</t>
  </si>
  <si>
    <t>AGOSTINHO PORTO</t>
  </si>
  <si>
    <t>21-975746766</t>
  </si>
  <si>
    <t>SELVITA DE SOUZA TOMAZ</t>
  </si>
  <si>
    <t>ANIL</t>
  </si>
  <si>
    <t>21-985588625</t>
  </si>
  <si>
    <t>SHIRLEI TEREZINHA DUARTE</t>
  </si>
  <si>
    <t>21-991242564</t>
  </si>
  <si>
    <t>TEREZINHA GONCALVES DE SOUZA</t>
  </si>
  <si>
    <t>CHACARAS RIO-PETROPOLIS</t>
  </si>
  <si>
    <t>21-976070077</t>
  </si>
  <si>
    <t>30/04/2026 10:20</t>
  </si>
  <si>
    <t>FERNANDO APARECIDO VERECHI</t>
  </si>
  <si>
    <t>CIDADE MONÇOES</t>
  </si>
  <si>
    <t>11-992980800</t>
  </si>
  <si>
    <t>MARIA MARILENE DO CARMO SILVA</t>
  </si>
  <si>
    <t>COSMOS</t>
  </si>
  <si>
    <t>21-990235855</t>
  </si>
  <si>
    <t>29/04/2026 11:00</t>
  </si>
  <si>
    <t>NEIDE DOS SANTOS ALVES</t>
  </si>
  <si>
    <t>11-958469437</t>
  </si>
  <si>
    <t>30/04/2026 10:00</t>
  </si>
  <si>
    <t>RONALDO CANDIDO</t>
  </si>
  <si>
    <t>21-969878292</t>
  </si>
  <si>
    <t>29/04/2026 10:40</t>
  </si>
  <si>
    <t>MARIA AP DE OLIVEIRA DA SILVA</t>
  </si>
  <si>
    <t>FAZENDA CAGUAÇU</t>
  </si>
  <si>
    <t>11-977303066</t>
  </si>
  <si>
    <t>30/04/2026 14:40</t>
  </si>
  <si>
    <t>MANOEL DUARTE LOPES</t>
  </si>
  <si>
    <t>21-993266304</t>
  </si>
  <si>
    <t>29/04/2026 11:20</t>
  </si>
  <si>
    <t>RENZO GIANNASI</t>
  </si>
  <si>
    <t>5881927834</t>
  </si>
  <si>
    <t>11974849498 11973529401 1126840763</t>
  </si>
  <si>
    <t>06/05/2026 11:00</t>
  </si>
  <si>
    <t>SANDRA MARIA VALENTE GOMES</t>
  </si>
  <si>
    <t>21-987637162</t>
  </si>
  <si>
    <t>30/04/2026 11:20</t>
  </si>
  <si>
    <t>MARIA LUCIA FREITAS DOS SANTOS</t>
  </si>
  <si>
    <t>JARDIM SANTA TEREZINHA (PEDREIRA)</t>
  </si>
  <si>
    <t>11-989467538</t>
  </si>
  <si>
    <t>29/04/2026 11:40</t>
  </si>
  <si>
    <t>FRANCISCA BESERRA DA SILVA</t>
  </si>
  <si>
    <t>ATALAIA</t>
  </si>
  <si>
    <t>21-966422853</t>
  </si>
  <si>
    <t>JOSE FERREIRA DA SILVA</t>
  </si>
  <si>
    <t>JARDIM SILVIO SAMPAIO</t>
  </si>
  <si>
    <t>15-981264387</t>
  </si>
  <si>
    <t>29/04/2026 10:20</t>
  </si>
  <si>
    <t>JOSE LOURENCO GONCALVES</t>
  </si>
  <si>
    <t>JARDIM TONATO</t>
  </si>
  <si>
    <t>11-996543502</t>
  </si>
  <si>
    <t>30/04/2026 12:40</t>
  </si>
  <si>
    <t>LEILA DA SILVA PINTO SILVEIRA</t>
  </si>
  <si>
    <t>CIDADE DAS FLORES</t>
  </si>
  <si>
    <t>11-910656472</t>
  </si>
  <si>
    <t>JOSE DOMINGOS DOS SANTOS</t>
  </si>
  <si>
    <t>JARDIM VARGINHA</t>
  </si>
  <si>
    <t>11-957716217</t>
  </si>
  <si>
    <t>29/04/2026 14:40</t>
  </si>
  <si>
    <t>MARINALVA DOS SANTOS FERREIRA GOIS</t>
  </si>
  <si>
    <t>CIDADE IPAVA</t>
  </si>
  <si>
    <t>11-992256325</t>
  </si>
  <si>
    <t>ANALIA LEMOS</t>
  </si>
  <si>
    <t>CONCEIÇAO</t>
  </si>
  <si>
    <t>11-913634377</t>
  </si>
  <si>
    <t>13/05/2026 11:40</t>
  </si>
  <si>
    <t>Espaço Amil Santo amaro</t>
  </si>
  <si>
    <t>HELIO DE MENDONCA</t>
  </si>
  <si>
    <t>KENNEDY</t>
  </si>
  <si>
    <t>21-979037118</t>
  </si>
  <si>
    <t>GUILHERMINA DE OLIVEIRA ROSA</t>
  </si>
  <si>
    <t>CONJUNTO RESIDENCIAL JOSE BONIFACIO</t>
  </si>
  <si>
    <t>11-953215673</t>
  </si>
  <si>
    <t>MADALENA DE LOURDES ABATE DA SILVA</t>
  </si>
  <si>
    <t>GOPOUVA</t>
  </si>
  <si>
    <t>11-993125757</t>
  </si>
  <si>
    <t>HILDA DUTRA COSTA</t>
  </si>
  <si>
    <t>ITAIPU</t>
  </si>
  <si>
    <t>21-996550214</t>
  </si>
  <si>
    <t>13/05/2026 15:00</t>
  </si>
  <si>
    <t>ANTONIO DE JESUS DE FREITAS</t>
  </si>
  <si>
    <t>JARAGUA</t>
  </si>
  <si>
    <t>11-994081531</t>
  </si>
  <si>
    <t>08/05/2026 14:00</t>
  </si>
  <si>
    <t>MARCIA PEDRINA COSTA BALTHAZAR</t>
  </si>
  <si>
    <t>PACIENCIA</t>
  </si>
  <si>
    <t>21-991313947</t>
  </si>
  <si>
    <t>5. Alta por inelegibilidade</t>
  </si>
  <si>
    <t>Inativo</t>
  </si>
  <si>
    <t>04/05/2026 12:20</t>
  </si>
  <si>
    <t>NILCE FONSECA FERREIRA</t>
  </si>
  <si>
    <t>COTIA</t>
  </si>
  <si>
    <t>JARDIM ARARUAMA</t>
  </si>
  <si>
    <t>11-999669668</t>
  </si>
  <si>
    <t>RITA PEREIRA LOURENCO OLIVEIRA</t>
  </si>
  <si>
    <t>PARQUE BRASIL</t>
  </si>
  <si>
    <t>11-993184528</t>
  </si>
  <si>
    <t>30/04/2026 16:00</t>
  </si>
  <si>
    <t>GERALDO DARE PEREIRA</t>
  </si>
  <si>
    <t>JARDIM DAS FLORES</t>
  </si>
  <si>
    <t>11-939493776</t>
  </si>
  <si>
    <t>MEIRE CECCACCI DE SANTI</t>
  </si>
  <si>
    <t>PARQUE REBOUCAS</t>
  </si>
  <si>
    <t>11-98581-0476</t>
  </si>
  <si>
    <t>30/04/2026 15:00</t>
  </si>
  <si>
    <t>DELSON DE ARAUJO SILVA</t>
  </si>
  <si>
    <t>JARDIM METROPOLE</t>
  </si>
  <si>
    <t>21-992962100</t>
  </si>
  <si>
    <t>RIYOKO DEGUCHI COUTO GONCALVES</t>
  </si>
  <si>
    <t>SANTA EFIGENIA</t>
  </si>
  <si>
    <t>11-963091151</t>
  </si>
  <si>
    <t>LAERCIA SOARES OLIVEIRA</t>
  </si>
  <si>
    <t>SITIO DO MORRO</t>
  </si>
  <si>
    <t>11-993563650</t>
  </si>
  <si>
    <t>MARIA DE LOURDES FERREIRA</t>
  </si>
  <si>
    <t>JARDIM SAO FRANCISCO DE ASSIS</t>
  </si>
  <si>
    <t>11-951438179</t>
  </si>
  <si>
    <t>08/05/2026 14:20</t>
  </si>
  <si>
    <t>JOAO RUBENS BARZAN</t>
  </si>
  <si>
    <t>TRES MONTANHAS</t>
  </si>
  <si>
    <t>11-982168279</t>
  </si>
  <si>
    <t>MARIA FATIMA SANTOS ALMEIDA</t>
  </si>
  <si>
    <t>ITAPECERICA DA SERRA</t>
  </si>
  <si>
    <t>JARDIM SAO MARCOS</t>
  </si>
  <si>
    <t>11-917476107</t>
  </si>
  <si>
    <t>08/05/2026 12:00</t>
  </si>
  <si>
    <t>ARISTIDES BONESSI</t>
  </si>
  <si>
    <t>11-962344331</t>
  </si>
  <si>
    <t>08/05/2026 11:20</t>
  </si>
  <si>
    <t>MARIA OLIVEIRA DA COSTA COUVINHAS</t>
  </si>
  <si>
    <t>LINS DE VASCONCELOS</t>
  </si>
  <si>
    <t>21-992554183</t>
  </si>
  <si>
    <t>08/05/2026 10:20</t>
  </si>
  <si>
    <t>ANTONIO DOMINGOS AUGUSTO</t>
  </si>
  <si>
    <t>MUTINGA</t>
  </si>
  <si>
    <t>11-980852237</t>
  </si>
  <si>
    <t>FRANCISCO VERAS DOS SANTOS</t>
  </si>
  <si>
    <t>VILA GUMERCINDO</t>
  </si>
  <si>
    <t>11-992323859</t>
  </si>
  <si>
    <t>JAIME RAMOS DA SILVA</t>
  </si>
  <si>
    <t>21-998911215</t>
  </si>
  <si>
    <t>WLADIMIR MONTEIRO</t>
  </si>
  <si>
    <t>VILA OSASCO</t>
  </si>
  <si>
    <t>11-984487276</t>
  </si>
  <si>
    <t>VICENCIA APPROBATO FERONATTO</t>
  </si>
  <si>
    <t>VILA PARANAGUA</t>
  </si>
  <si>
    <t>11-986197154</t>
  </si>
  <si>
    <t>29/04/2026 09:40</t>
  </si>
  <si>
    <t>LAURA SETSUKO ARAKAWA</t>
  </si>
  <si>
    <t>VILA SANTO ANTONIO</t>
  </si>
  <si>
    <t>11-99170-0659</t>
  </si>
  <si>
    <t>MARIA ARCANJA ALVES SILVA</t>
  </si>
  <si>
    <t>VILA ZULMIRA</t>
  </si>
  <si>
    <t>21-979199372</t>
  </si>
  <si>
    <t>ENEIAS AUGUSTO MARTINS</t>
  </si>
  <si>
    <t>BANDEIRAS</t>
  </si>
  <si>
    <t>11-962691716</t>
  </si>
  <si>
    <t>LIDIANE ALVES PONCE</t>
  </si>
  <si>
    <t>CONJUNTO HABITACIONAL JOVA RURAL</t>
  </si>
  <si>
    <t>11-944259767</t>
  </si>
  <si>
    <t>MARIA RITA DOS REIS FRAGAZI</t>
  </si>
  <si>
    <t>JARDIM AIDA</t>
  </si>
  <si>
    <t>11-915535175</t>
  </si>
  <si>
    <t>30/04/2026 15:20</t>
  </si>
  <si>
    <t>VERA LUCIA GUTIERREZ MUNIZ MELO</t>
  </si>
  <si>
    <t>SETE PRAIAS</t>
  </si>
  <si>
    <t>11-99540-6240</t>
  </si>
  <si>
    <t>LUCIANO FERNANDO TAVARES DA SILVA</t>
  </si>
  <si>
    <t>JARDIM MARIA ROSA</t>
  </si>
  <si>
    <t>11-989865241</t>
  </si>
  <si>
    <t>05/05/2026 11:20</t>
  </si>
  <si>
    <t>MARCELO VIANA DOS SANTOS</t>
  </si>
  <si>
    <t>JARDIM MONTE AZUL</t>
  </si>
  <si>
    <t>11-949395870</t>
  </si>
  <si>
    <t>WILSON FINI</t>
  </si>
  <si>
    <t>JARDIM PROMISSAO</t>
  </si>
  <si>
    <t>11-991411000</t>
  </si>
  <si>
    <t>JOSIAS DEDIER DA SILVA</t>
  </si>
  <si>
    <t>JARDIM VILA GALVAO</t>
  </si>
  <si>
    <t>11-978922013</t>
  </si>
  <si>
    <t>30/04/2026 10:40</t>
  </si>
  <si>
    <t>MARCO ANTONIO ROSCH</t>
  </si>
  <si>
    <t>PARQUE AMERICA</t>
  </si>
  <si>
    <t>11-945334075</t>
  </si>
  <si>
    <t>30/04/2026 12:20</t>
  </si>
  <si>
    <t>Outros</t>
  </si>
  <si>
    <t>JOSUE LIMA RODRIGUES</t>
  </si>
  <si>
    <t>PARQUE BANDEIRANTES</t>
  </si>
  <si>
    <t>11-948747546</t>
  </si>
  <si>
    <t>SOLINDO EVANGELISTA SANTOS</t>
  </si>
  <si>
    <t>VARZEA DE BAIXO</t>
  </si>
  <si>
    <t>11-999698458</t>
  </si>
  <si>
    <t>LUIZ ROBERIO PEREIRA BRITO</t>
  </si>
  <si>
    <t>VILA CALEGARI</t>
  </si>
  <si>
    <t>11-914785433</t>
  </si>
  <si>
    <t>RITA DE CASSIA TAGIAROLI</t>
  </si>
  <si>
    <t>VILA ARRIETE</t>
  </si>
  <si>
    <t>11-982065769</t>
  </si>
  <si>
    <t>12/05/2026 15:40</t>
  </si>
  <si>
    <t>LUIZ CARLOS PIO PAPA</t>
  </si>
  <si>
    <t>PARQUE FERNANDA</t>
  </si>
  <si>
    <t>11-992644587</t>
  </si>
  <si>
    <t>NORMA DE SOUZA GONCALVES</t>
  </si>
  <si>
    <t>ANDARAI</t>
  </si>
  <si>
    <t>21-970072825</t>
  </si>
  <si>
    <t>ANTONIO PEREIRA ALCANTARA</t>
  </si>
  <si>
    <t>VILA MAZZEI</t>
  </si>
  <si>
    <t>11-948126318</t>
  </si>
  <si>
    <t>JORGE ANDERSON PIMENTEL GONCALVES DE ALMEIDA</t>
  </si>
  <si>
    <t>NILOPOLIS</t>
  </si>
  <si>
    <t>21-994559824</t>
  </si>
  <si>
    <t>30/04/2026 11:40</t>
  </si>
  <si>
    <t>LUCIANA DA CRUZ RIBEIRO</t>
  </si>
  <si>
    <t>21-986646700</t>
  </si>
  <si>
    <t>PEDRO LUCAS PANISSET MARTINS</t>
  </si>
  <si>
    <t>21-966945831</t>
  </si>
  <si>
    <t>YUZI OBA</t>
  </si>
  <si>
    <t>ITAQUAQUECETUBA</t>
  </si>
  <si>
    <t>VILA ZESUINA</t>
  </si>
  <si>
    <t>11-979697814</t>
  </si>
  <si>
    <t xml:space="preserve">sim </t>
  </si>
  <si>
    <t>MARCOS BELTRAN</t>
  </si>
  <si>
    <t>AGUA FRIA</t>
  </si>
  <si>
    <t>11-996669409</t>
  </si>
  <si>
    <t>LUIZ EDUARDO MUZITANO</t>
  </si>
  <si>
    <t>21-970846728</t>
  </si>
  <si>
    <t>30/04/2026 11:00</t>
  </si>
  <si>
    <t>VALDECK MORAES DOS SANTOS</t>
  </si>
  <si>
    <t>MARIA PAULA</t>
  </si>
  <si>
    <t>21-996061794</t>
  </si>
  <si>
    <t>ALTAMIRA RODRIGUES DE CARVALHO</t>
  </si>
  <si>
    <t>JARDIM DA LUZ</t>
  </si>
  <si>
    <t>11-964321291</t>
  </si>
  <si>
    <t>GUILHERME DOS SANTOS</t>
  </si>
  <si>
    <t>RIO COMPRIDO</t>
  </si>
  <si>
    <t>21-979832430</t>
  </si>
  <si>
    <t>DAIR DO PRADO</t>
  </si>
  <si>
    <t>JARDIM MARILIA</t>
  </si>
  <si>
    <t>11-944951957</t>
  </si>
  <si>
    <t>JANETE SOUZA LACERDA DE OLIVEIRA</t>
  </si>
  <si>
    <t>BADU</t>
  </si>
  <si>
    <t>21-999251955</t>
  </si>
  <si>
    <t>JOSE JAIR PEREIRA DE SOUSA</t>
  </si>
  <si>
    <t>PARQUE NOVO MUNDO</t>
  </si>
  <si>
    <t>11-986428948</t>
  </si>
  <si>
    <t>ALEXANDRE CASTILHO DEMEIS</t>
  </si>
  <si>
    <t>QUARTA PARADA</t>
  </si>
  <si>
    <t>11-999622158</t>
  </si>
  <si>
    <t>MILTON ALEXANDRE DE FREITAS</t>
  </si>
  <si>
    <t>JOSE RICARDO PUIG</t>
  </si>
  <si>
    <t>CAMBUCI</t>
  </si>
  <si>
    <t>11-999012132</t>
  </si>
  <si>
    <t>30/04/2026 15:40</t>
  </si>
  <si>
    <t>MARCO JOSE DO NASCIMENTO</t>
  </si>
  <si>
    <t>CANHEMA</t>
  </si>
  <si>
    <t>11-930544430</t>
  </si>
  <si>
    <t>ESMERALDO DA PURIFICACAO ALMEIDA</t>
  </si>
  <si>
    <t>11-957872613</t>
  </si>
  <si>
    <t>12/05/2026 09:40</t>
  </si>
  <si>
    <t>LAZARO FERREIRA DE ALVARENGA</t>
  </si>
  <si>
    <t>CHACARA SANTA MARIA</t>
  </si>
  <si>
    <t>11-947944845</t>
  </si>
  <si>
    <t>RICARDO VIEIRA DA CUNHA</t>
  </si>
  <si>
    <t>MARICA</t>
  </si>
  <si>
    <t>CHACARAS DE INOA (INOA)</t>
  </si>
  <si>
    <t>21-996401878</t>
  </si>
  <si>
    <t>PACIENTE RECUSA CONSULTA DE ENFERMAGEM DEVIDO DESCONFIANÇA</t>
  </si>
  <si>
    <t>ALMIR ALVES DA SILVA</t>
  </si>
  <si>
    <t>11-981265293</t>
  </si>
  <si>
    <t>07/05/2026 15:20</t>
  </si>
  <si>
    <t>VICENTE DE PAULA SANTOS</t>
  </si>
  <si>
    <t>COLEGIO</t>
  </si>
  <si>
    <t>21-969149399</t>
  </si>
  <si>
    <t>30/04/2026 14:20</t>
  </si>
  <si>
    <t>JAIR PEDROSA LIMA</t>
  </si>
  <si>
    <t>DEL CASTILHO</t>
  </si>
  <si>
    <t>21-997656815</t>
  </si>
  <si>
    <t>29/04/2026 10:00</t>
  </si>
  <si>
    <t>MARIA DE FATIMA DOS SANTOS</t>
  </si>
  <si>
    <t>21-988300877</t>
  </si>
  <si>
    <t>08/05/2026 12:20</t>
  </si>
  <si>
    <t>CICERA GEUSA FERREIRA DOS SANTOS PINHEIRO</t>
  </si>
  <si>
    <t>21-973742075</t>
  </si>
  <si>
    <t>5. Alta a pedido - perda de interesse</t>
  </si>
  <si>
    <t>NAIR APOLINARIO</t>
  </si>
  <si>
    <t>JARDIM BELCITO</t>
  </si>
  <si>
    <t>11-983368429</t>
  </si>
  <si>
    <t>ZELIA MARTINS DE ABREU SILVA</t>
  </si>
  <si>
    <t>JARDIM CONSORCIO</t>
  </si>
  <si>
    <t>11-992622211</t>
  </si>
  <si>
    <t>BRUNO SANTORO DA SILVA</t>
  </si>
  <si>
    <t>DOUTOR LAUREANO</t>
  </si>
  <si>
    <t>21-994667952</t>
  </si>
  <si>
    <t>08/05/2026 10:00</t>
  </si>
  <si>
    <t>MARICILDA SILVA BEZERRA</t>
  </si>
  <si>
    <t>JARDIM FELICIDADE (ZONA NORTE)</t>
  </si>
  <si>
    <t>11-984759495</t>
  </si>
  <si>
    <t>30/04/2026 16:40</t>
  </si>
  <si>
    <t>WILLIAM BORGES RIBEIRO</t>
  </si>
  <si>
    <t>GAMBOA</t>
  </si>
  <si>
    <t>21-974193646</t>
  </si>
  <si>
    <t>ROGERIO DA SILVA</t>
  </si>
  <si>
    <t>GUARATIBA</t>
  </si>
  <si>
    <t>21-997550719</t>
  </si>
  <si>
    <t>JULIANA DOS SANTOS FERREIRA</t>
  </si>
  <si>
    <t>21-981443712</t>
  </si>
  <si>
    <t>12/05/2026 12:40</t>
  </si>
  <si>
    <t>LUCIENE RAIMUNDA DE BARROS</t>
  </si>
  <si>
    <t>11-982473115</t>
  </si>
  <si>
    <t>12/05/2026 16:40</t>
  </si>
  <si>
    <t>REINILDA MARIA SANTOS DIAS</t>
  </si>
  <si>
    <t>JARDIM NAKAMURA</t>
  </si>
  <si>
    <t>11-983574679</t>
  </si>
  <si>
    <t>LUIS MASSARO ENDO</t>
  </si>
  <si>
    <t>CHACARA NOSSA SENHORA APARECIDA</t>
  </si>
  <si>
    <t>11-986918358</t>
  </si>
  <si>
    <t>LOURDES DA CONCEICAO SARAIVA</t>
  </si>
  <si>
    <t>11-989397673</t>
  </si>
  <si>
    <t>RUBENS GARCIA NEVES JR</t>
  </si>
  <si>
    <t>JARDIM AEROPORTO</t>
  </si>
  <si>
    <t>11-992825629</t>
  </si>
  <si>
    <t>06/05/2026 16:20</t>
  </si>
  <si>
    <t>JOSELICE PEREIRA LIMA</t>
  </si>
  <si>
    <t>JARDIM ANA LUCIA</t>
  </si>
  <si>
    <t>11-994983748</t>
  </si>
  <si>
    <t>JOSE PINHEIRO DA CRUZ FILHO</t>
  </si>
  <si>
    <t>JARDIM SAO BENTO NOVO</t>
  </si>
  <si>
    <t>11-986168282</t>
  </si>
  <si>
    <t>JOAO MARTINS CESAR</t>
  </si>
  <si>
    <t>JARDIM BANDEIRANTES</t>
  </si>
  <si>
    <t>11-996148103</t>
  </si>
  <si>
    <t>NELSON MARTINS MACHADO</t>
  </si>
  <si>
    <t>11-973926921</t>
  </si>
  <si>
    <t>06/05/2026 11:40</t>
  </si>
  <si>
    <t>JOSE SEVERINO DA SILVA</t>
  </si>
  <si>
    <t>JOQUEI CLUBE</t>
  </si>
  <si>
    <t>21-994111811</t>
  </si>
  <si>
    <t>FLAVIO ONORIO PINHEIRO PEREIRA</t>
  </si>
  <si>
    <t>MARE</t>
  </si>
  <si>
    <t>21-990853834</t>
  </si>
  <si>
    <t>HELENA COSTA DOS SANTOS</t>
  </si>
  <si>
    <t>JARDIM GUANHEMBU</t>
  </si>
  <si>
    <t>11-962616499</t>
  </si>
  <si>
    <t>GENIVALDO FAUSTINO TEIXEIRA</t>
  </si>
  <si>
    <t>EMBU-GUAÇU</t>
  </si>
  <si>
    <t>11-962104140</t>
  </si>
  <si>
    <t>HILARIA DA SILVA TEIXEIRA JESUS</t>
  </si>
  <si>
    <t>JARDIM GUARUJA</t>
  </si>
  <si>
    <t>11-989426076</t>
  </si>
  <si>
    <t>CIONIRA ALVES DE SOUZA</t>
  </si>
  <si>
    <t>JARDIM IPANEMA (ZONA SUL)</t>
  </si>
  <si>
    <t>11-98134-8007</t>
  </si>
  <si>
    <t>MARIO DIAS DE ARAUJO</t>
  </si>
  <si>
    <t>PARQUE ALTO DO RIO BONITO</t>
  </si>
  <si>
    <t>11-916508613</t>
  </si>
  <si>
    <t>PRISCILLA LOPES DE ARAUJO</t>
  </si>
  <si>
    <t>PARQUE GRAJAU</t>
  </si>
  <si>
    <t>11-980179981</t>
  </si>
  <si>
    <t>29/04/2026 16:20</t>
  </si>
  <si>
    <t>MARIA APARECIDA DA SILVA</t>
  </si>
  <si>
    <t>PARQUE LAFAIETE</t>
  </si>
  <si>
    <t>21-992502897</t>
  </si>
  <si>
    <t>MARIA DA CONCEICAO ABREU RIBEIRO</t>
  </si>
  <si>
    <t>JARDIM JUA</t>
  </si>
  <si>
    <t>11-952440302</t>
  </si>
  <si>
    <t>MARIA DE FREITAS LUCIO</t>
  </si>
  <si>
    <t>PARQUE REGINA</t>
  </si>
  <si>
    <t>11-996684393</t>
  </si>
  <si>
    <t>MARIA ALVES ROCHA</t>
  </si>
  <si>
    <t>PARQUE SANTO AMARO</t>
  </si>
  <si>
    <t>11-977010653</t>
  </si>
  <si>
    <t>29/04/2026 16:40</t>
  </si>
  <si>
    <t>GERALDA ALVES DA SILVA</t>
  </si>
  <si>
    <t>21-999338655</t>
  </si>
  <si>
    <t>29/04/2026 15:00</t>
  </si>
  <si>
    <t>MARIA ROSA DOS REIS VALE</t>
  </si>
  <si>
    <t>CAIEIRAS</t>
  </si>
  <si>
    <t>REGIAO CENTRAL</t>
  </si>
  <si>
    <t>11-972368149</t>
  </si>
  <si>
    <t>MARIA MADALENA RODRIGUES DA CRUZ</t>
  </si>
  <si>
    <t>11-984122684</t>
  </si>
  <si>
    <t>WILSON DE OLIVEIRA</t>
  </si>
  <si>
    <t>11-981022921</t>
  </si>
  <si>
    <t>11/05/2026 11:40</t>
  </si>
  <si>
    <t>Espaço amil Guarulhos</t>
  </si>
  <si>
    <t>ISAIAS ALVINO</t>
  </si>
  <si>
    <t>JARDIM PRINCESA</t>
  </si>
  <si>
    <t>11-960836825</t>
  </si>
  <si>
    <t>TEREZA BELMONTE MACARIO</t>
  </si>
  <si>
    <t>FRANCO DA ROCHA</t>
  </si>
  <si>
    <t>JARDIM PROGRESSO</t>
  </si>
  <si>
    <t>11-998493981</t>
  </si>
  <si>
    <t>12/05/2026 14:20</t>
  </si>
  <si>
    <t>MARIA DO CARMO LIMA ANTONIO</t>
  </si>
  <si>
    <t>JARDIM SAO BERNARDO</t>
  </si>
  <si>
    <t>11-979544799</t>
  </si>
  <si>
    <t>06/05/2026 15:00</t>
  </si>
  <si>
    <t>JOSE CARLOS FUMAGALI</t>
  </si>
  <si>
    <t>VILA DARLI</t>
  </si>
  <si>
    <t>11-977997163</t>
  </si>
  <si>
    <t>LEONOR DE PAULA GRILLO</t>
  </si>
  <si>
    <t>VILA DAS BELEZAS</t>
  </si>
  <si>
    <t>11-992434341</t>
  </si>
  <si>
    <t>HISAMI KITAGAMI KABABE</t>
  </si>
  <si>
    <t>VILA MARIANA</t>
  </si>
  <si>
    <t>11-982040906</t>
  </si>
  <si>
    <t>ALBERTO VIEIRA DA SILVA</t>
  </si>
  <si>
    <t>11-969456279</t>
  </si>
  <si>
    <t>13/05/2026 09:40</t>
  </si>
  <si>
    <t>ANTONIO JOSE DE BRITO</t>
  </si>
  <si>
    <t>21-986358378</t>
  </si>
  <si>
    <t>MARIA DA GLORIA DE PAIVA FAGUNDES</t>
  </si>
  <si>
    <t>SANTOS</t>
  </si>
  <si>
    <t>BOQUEIRAO</t>
  </si>
  <si>
    <t>11-998332939</t>
  </si>
  <si>
    <t>IOLANDA CHAPADA DE AMORIM</t>
  </si>
  <si>
    <t>BOTAFOGO</t>
  </si>
  <si>
    <t>21-995149749</t>
  </si>
  <si>
    <t>LUIGI SANSONE</t>
  </si>
  <si>
    <t>21-993599179</t>
  </si>
  <si>
    <t>29/04/2026 14:20</t>
  </si>
  <si>
    <t>MARIA CRISTINA DE MELO FERREIRA</t>
  </si>
  <si>
    <t>21-991358818</t>
  </si>
  <si>
    <t>29/04/2026 12:20</t>
  </si>
  <si>
    <t>ANTONIO MOACIR MILANI</t>
  </si>
  <si>
    <t>SOCORRO</t>
  </si>
  <si>
    <t>11-988371200</t>
  </si>
  <si>
    <t>GILSON VASCONCELLOS RAMOS</t>
  </si>
  <si>
    <t>CAONZE</t>
  </si>
  <si>
    <t>21-964634951</t>
  </si>
  <si>
    <t>SONIA REGINA MARIANO LEITE</t>
  </si>
  <si>
    <t>TERCEIRA DIVISAO DE INTERLAGOS</t>
  </si>
  <si>
    <t>11-963989908</t>
  </si>
  <si>
    <t>HAROLDO ESTEVES DOS ANJOS</t>
  </si>
  <si>
    <t>CORDOVIL</t>
  </si>
  <si>
    <t>21-970915099</t>
  </si>
  <si>
    <t>ROGERIO FERREIRA TELES</t>
  </si>
  <si>
    <t>21-985807436</t>
  </si>
  <si>
    <t>04/05/2026 10:00</t>
  </si>
  <si>
    <t>SIMAO FARES RACY NETO</t>
  </si>
  <si>
    <t>TIJUCA</t>
  </si>
  <si>
    <t>21-998008135</t>
  </si>
  <si>
    <t>SILVIO VIANA DE OLIVEIRA</t>
  </si>
  <si>
    <t>VELEIROS</t>
  </si>
  <si>
    <t>11-997922292</t>
  </si>
  <si>
    <t>TELMA CRISTINA TORRES DA SILVA</t>
  </si>
  <si>
    <t>11-976815575</t>
  </si>
  <si>
    <t>ROBERTO OUNO</t>
  </si>
  <si>
    <t>VILA CAMPESTRE</t>
  </si>
  <si>
    <t>11-999948542</t>
  </si>
  <si>
    <t>27/05/2026 10:40</t>
  </si>
  <si>
    <t>MIRIAN MAVER SIMONI</t>
  </si>
  <si>
    <t>VILA DO CASTELO</t>
  </si>
  <si>
    <t>11-945280290</t>
  </si>
  <si>
    <t>12/05/2026 16:00</t>
  </si>
  <si>
    <t>ODAIR GAGLIARDI</t>
  </si>
  <si>
    <t>11-987007221</t>
  </si>
  <si>
    <t>APARECIDO DE SOUZA SOBRINHO</t>
  </si>
  <si>
    <t>11-996347376</t>
  </si>
  <si>
    <t>NEIDE DA SILVA BRAZAO FAGUNDES</t>
  </si>
  <si>
    <t>VILA IORIO</t>
  </si>
  <si>
    <t>11-966022694</t>
  </si>
  <si>
    <t>ANA MARIA DA SILVA RONCATO</t>
  </si>
  <si>
    <t>VILA ROMANA</t>
  </si>
  <si>
    <t>11-985093385</t>
  </si>
  <si>
    <t>07/05/2026 11:20</t>
  </si>
  <si>
    <t>REGINA CELIA POLARES DA CRUZ</t>
  </si>
  <si>
    <t>VILA SAO LUIS</t>
  </si>
  <si>
    <t>21-975168335</t>
  </si>
  <si>
    <t>LUCIA HELENA MOREIRA DA SILVA</t>
  </si>
  <si>
    <t>BRAS DE PINA</t>
  </si>
  <si>
    <t>21-965280309</t>
  </si>
  <si>
    <t>JAIR DA SILVA DE OLIVAIRA</t>
  </si>
  <si>
    <t>CASCADURA</t>
  </si>
  <si>
    <t>21-970643530</t>
  </si>
  <si>
    <t>IZOLETTE SANTOS SOUZA</t>
  </si>
  <si>
    <t>ALTO DA BOA VISTA</t>
  </si>
  <si>
    <t>21-999128910</t>
  </si>
  <si>
    <t>12/05/2026 15:00</t>
  </si>
  <si>
    <t>TEREZINHA MARTINS DOS SANTOS</t>
  </si>
  <si>
    <t>21-997365834</t>
  </si>
  <si>
    <t>VIVALDO OTONI DE ANDRADE</t>
  </si>
  <si>
    <t>21-990198027</t>
  </si>
  <si>
    <t>VALDEREZ MARIA DA CONCEICAO DE LEMOS</t>
  </si>
  <si>
    <t>21-986886544</t>
  </si>
  <si>
    <t>HENRIQUE SERGIO DOS SANTOS GRACA</t>
  </si>
  <si>
    <t>21-995711313</t>
  </si>
  <si>
    <t>MARIA ROSA CARDOSO PINTO</t>
  </si>
  <si>
    <t>11-947988373</t>
  </si>
  <si>
    <t>TANIA REGINA DE SOUZA CRUZ</t>
  </si>
  <si>
    <t>JARDIM OLYMPIA</t>
  </si>
  <si>
    <t>11-961272792</t>
  </si>
  <si>
    <t>MARILENA CAMPOS GUIMARAES</t>
  </si>
  <si>
    <t>JARDIM PARAISO</t>
  </si>
  <si>
    <t>21-998275335</t>
  </si>
  <si>
    <t>GERALDO BRAZ DOS SANTOS</t>
  </si>
  <si>
    <t>JARDIM SAO LUIS</t>
  </si>
  <si>
    <t>21-995277064</t>
  </si>
  <si>
    <t>LUCAS BEZERRA DA SILVA</t>
  </si>
  <si>
    <t>OLAVO BILAC</t>
  </si>
  <si>
    <t>21-979833632</t>
  </si>
  <si>
    <t>EDISON JOSE DOS SANTOS</t>
  </si>
  <si>
    <t>DF</t>
  </si>
  <si>
    <t>BRASILIA</t>
  </si>
  <si>
    <t>VALE DO AMANHECER (PLANALTINA)</t>
  </si>
  <si>
    <t>21-998960767</t>
  </si>
  <si>
    <t>VERA LUCIA VALLE DA FONSECA</t>
  </si>
  <si>
    <t>VICENTE DE CARVALHO</t>
  </si>
  <si>
    <t>21-982236919</t>
  </si>
  <si>
    <t>22/05/2026 12:40</t>
  </si>
  <si>
    <t>WAGNER DE OLIVEIRA</t>
  </si>
  <si>
    <t>VILA ISABEL</t>
  </si>
  <si>
    <t>21-982714374</t>
  </si>
  <si>
    <t>12/05/2026 12:00</t>
  </si>
  <si>
    <t>JAIR DA SILVA</t>
  </si>
  <si>
    <t>SENADOR VASCONCELOS</t>
  </si>
  <si>
    <t>21-988854131</t>
  </si>
  <si>
    <t>MARIA VITORIA BUENO ESPINOSA</t>
  </si>
  <si>
    <t>ITANHAEM</t>
  </si>
  <si>
    <t>SUARAO</t>
  </si>
  <si>
    <t>11-991424366</t>
  </si>
  <si>
    <t>EMILIO RODRIGUES DE AGUIAR</t>
  </si>
  <si>
    <t>11-954299444</t>
  </si>
  <si>
    <t>MARILENE COLLI</t>
  </si>
  <si>
    <t>21-975468008</t>
  </si>
  <si>
    <t>07/05/2026 15:40</t>
  </si>
  <si>
    <t>JORGE MARCELO LEITE CORDEIRO CASTOR</t>
  </si>
  <si>
    <t>VILA SANTA ALICE</t>
  </si>
  <si>
    <t>21-994299609</t>
  </si>
  <si>
    <t>LUIZ CLAUDIO DE ARAUJO GONCALVES</t>
  </si>
  <si>
    <t>11-994640608</t>
  </si>
  <si>
    <t>OSWALDO RODRIGUES QUARESMA FILHO</t>
  </si>
  <si>
    <t>21-988122468</t>
  </si>
  <si>
    <t>IEDA CORDEIRO DE MORAES GOMES</t>
  </si>
  <si>
    <t>BENTO RIBEIRO</t>
  </si>
  <si>
    <t>21-980507920</t>
  </si>
  <si>
    <t>CARLOS ALBERTO ESTEVAO DE GOIS</t>
  </si>
  <si>
    <t>11-995438514</t>
  </si>
  <si>
    <t>FRANCUETE PEREIRA DE FRANCA</t>
  </si>
  <si>
    <t>CIDADE NOVA HELIOPOLIS</t>
  </si>
  <si>
    <t>11-986085864</t>
  </si>
  <si>
    <t>LUIS CLAUDIO CUNHA DA SILVA</t>
  </si>
  <si>
    <t>21-966634655</t>
  </si>
  <si>
    <t>29/04/2026 14:00</t>
  </si>
  <si>
    <t>MARCIA CECILIA ROSA</t>
  </si>
  <si>
    <t>JARDIM DA CONQUISTA (ZONA OESTE)</t>
  </si>
  <si>
    <t>11-988186902</t>
  </si>
  <si>
    <t>FATIMA APARECIDA GONCALVES</t>
  </si>
  <si>
    <t>JARDIM ROBERTO</t>
  </si>
  <si>
    <t>11-987547519</t>
  </si>
  <si>
    <t>MARCOS DA ROCHA SANTOS</t>
  </si>
  <si>
    <t>21-997199817</t>
  </si>
  <si>
    <t>NILO SERGIO VIEIRA DA SILVA</t>
  </si>
  <si>
    <t>21-988954774</t>
  </si>
  <si>
    <t>07/05/2026 15:00</t>
  </si>
  <si>
    <t>RAFAEL NOGUEIRA RIBEIRO</t>
  </si>
  <si>
    <t>21-982798385</t>
  </si>
  <si>
    <t>13/05/2026 10:20</t>
  </si>
  <si>
    <t>CLAUDIO CASTILHO</t>
  </si>
  <si>
    <t>11-987484243</t>
  </si>
  <si>
    <t>RICARDO TEIXEIRA CARVALHO</t>
  </si>
  <si>
    <t>21-981291599</t>
  </si>
  <si>
    <t>12/05/2026 11:40</t>
  </si>
  <si>
    <t>VANILDA FERREIRA DIAS MARTINS</t>
  </si>
  <si>
    <t>VILA NOVA BONSUCESSO</t>
  </si>
  <si>
    <t>11-978839511</t>
  </si>
  <si>
    <t>VAGNER DIAS DE MELO</t>
  </si>
  <si>
    <t>11-964523754</t>
  </si>
  <si>
    <t>07/05/2026 16:40</t>
  </si>
  <si>
    <t>VALERIA APARECIDA GONCALVES</t>
  </si>
  <si>
    <t>JARDIM CASA PINTADA</t>
  </si>
  <si>
    <t>11-968467387</t>
  </si>
  <si>
    <t>12/05/2026 10:20</t>
  </si>
  <si>
    <t>JOSE CARLOS BAPTISTA</t>
  </si>
  <si>
    <t>SAO CAETANO DO SUL</t>
  </si>
  <si>
    <t>BOA VISTA</t>
  </si>
  <si>
    <t>11-998888424</t>
  </si>
  <si>
    <t>04/05/2026 16:20</t>
  </si>
  <si>
    <t>SILMARA SANTOS ROCHA</t>
  </si>
  <si>
    <t>AMERICANOPOLIS</t>
  </si>
  <si>
    <t>11-995235652</t>
  </si>
  <si>
    <t>MARCO AURELIO DOS SANTOS MESQUITA</t>
  </si>
  <si>
    <t>BALNEARIO SAO JOSE</t>
  </si>
  <si>
    <t>11-994637827</t>
  </si>
  <si>
    <t>29/04/2026 16:00</t>
  </si>
  <si>
    <t>FABIANO MARTINS BUCCIERI</t>
  </si>
  <si>
    <t>11-981927903</t>
  </si>
  <si>
    <t>05/05/2026 16:40</t>
  </si>
  <si>
    <t>LEANDRO GOMES</t>
  </si>
  <si>
    <t>JARDIM MIRIAM</t>
  </si>
  <si>
    <t>11-986849063</t>
  </si>
  <si>
    <t>13/05/2026 12:00</t>
  </si>
  <si>
    <t>WALTER DE FREITAS SANTOS</t>
  </si>
  <si>
    <t>11-946250628</t>
  </si>
  <si>
    <t>JOSE MARIO BARBOSA</t>
  </si>
  <si>
    <t>11-981422391</t>
  </si>
  <si>
    <t>06/05/2026 12:00</t>
  </si>
  <si>
    <t>IARA CRISTINA CABRAL DE PAULA DE PAULA</t>
  </si>
  <si>
    <t>JARDIM SAO PAULO</t>
  </si>
  <si>
    <t>11-915271590</t>
  </si>
  <si>
    <t>08/05/2026 10:40</t>
  </si>
  <si>
    <t>RENE RAMOS DOS SANTOS</t>
  </si>
  <si>
    <t>JARDIM VAZAME</t>
  </si>
  <si>
    <t>11-949472411</t>
  </si>
  <si>
    <t>MARCOS ANSELMO PEREIRA</t>
  </si>
  <si>
    <t>PARQUE FLUMINENSE</t>
  </si>
  <si>
    <t>21-982645690</t>
  </si>
  <si>
    <t>HELGA DE SIQUEIRA PASSOS</t>
  </si>
  <si>
    <t>CONJUNTO RESIDENCIAL JARDIM CANAA</t>
  </si>
  <si>
    <t>11-991841424</t>
  </si>
  <si>
    <t>06/05/2026 14:00</t>
  </si>
  <si>
    <t>JOAO SANTINO BISPO FILHO</t>
  </si>
  <si>
    <t>VILA CONSTANÇA</t>
  </si>
  <si>
    <t>11-980308003</t>
  </si>
  <si>
    <t>08/05/2026 11:40</t>
  </si>
  <si>
    <t>JOSE CARLOS DA SILVA</t>
  </si>
  <si>
    <t>11-991465710</t>
  </si>
  <si>
    <t>LUCIA BAPTISTAO PIROLLA</t>
  </si>
  <si>
    <t>CHACARA SANTO ANTONIO (ZONA SUL)</t>
  </si>
  <si>
    <t>11-98408-6028</t>
  </si>
  <si>
    <t>04/05/2026 14:20</t>
  </si>
  <si>
    <t>EUNICE DA CRUZ ZENGA</t>
  </si>
  <si>
    <t>11-998058370</t>
  </si>
  <si>
    <t>PAULO SILVIO PIRES</t>
  </si>
  <si>
    <t>GRAJAU</t>
  </si>
  <si>
    <t>21-994222324</t>
  </si>
  <si>
    <t>05/05/2026 16:20</t>
  </si>
  <si>
    <t>MARIA ANGELA DE MAIO</t>
  </si>
  <si>
    <t>VILA REGENTE FEIJO</t>
  </si>
  <si>
    <t>11-989786569</t>
  </si>
  <si>
    <t>25/05/2026 11:40</t>
  </si>
  <si>
    <t>IDA LORELLI BORTOLOSSI</t>
  </si>
  <si>
    <t>11-991829038</t>
  </si>
  <si>
    <t>22/05/2026 09:40</t>
  </si>
  <si>
    <t>GRACIELA DA SILVA RIBEIRO</t>
  </si>
  <si>
    <t>JARDIM CASABLANCA</t>
  </si>
  <si>
    <t>11-996339009</t>
  </si>
  <si>
    <t>05/05/2026 16:00</t>
  </si>
  <si>
    <t>PEDRO BONIN</t>
  </si>
  <si>
    <t>JARDIM ALPINO</t>
  </si>
  <si>
    <t>11-977575000</t>
  </si>
  <si>
    <t>JOSE RIBEIRO DA SILVA</t>
  </si>
  <si>
    <t>21-997111885</t>
  </si>
  <si>
    <t>SILVANA JORGINA DOS SANTOS</t>
  </si>
  <si>
    <t>JARDIM CAMPINAS</t>
  </si>
  <si>
    <t>11-953933340</t>
  </si>
  <si>
    <t>ROSA FERNANDES GONCALVES</t>
  </si>
  <si>
    <t>JARDIM CASA GRANDE</t>
  </si>
  <si>
    <t>11-991640927</t>
  </si>
  <si>
    <t>AGNALDO CLEMENTE</t>
  </si>
  <si>
    <t>CONJUNTO HABITACIONAL PADRE JOSE DE ANCHIETA</t>
  </si>
  <si>
    <t>11-989175359</t>
  </si>
  <si>
    <t>13/05/2026 10:00</t>
  </si>
  <si>
    <t>SANDRA MARIA DE MARIGNY SANT ANNA</t>
  </si>
  <si>
    <t>21-964212374</t>
  </si>
  <si>
    <t>12/05/2026 11:00</t>
  </si>
  <si>
    <t>ROSA MARY CEREIJO BORRELLI</t>
  </si>
  <si>
    <t>21-965982982</t>
  </si>
  <si>
    <t>20/05/2026 16:20</t>
  </si>
  <si>
    <t>LOUIS CHIDIAC</t>
  </si>
  <si>
    <t>DA LAGOA</t>
  </si>
  <si>
    <t>11-947040383</t>
  </si>
  <si>
    <t>ROSINEIA APARECIDA DE OLIVEIRA SAINT CLAIR</t>
  </si>
  <si>
    <t>11-975417481</t>
  </si>
  <si>
    <t>04/05/2026 16:40</t>
  </si>
  <si>
    <t>INES SILVA DE SOUSA</t>
  </si>
  <si>
    <t>JARDIM DOM BOSCO</t>
  </si>
  <si>
    <t>11-914058309</t>
  </si>
  <si>
    <t>04/05/2026 16:00</t>
  </si>
  <si>
    <t>VANDERLEI JUVENCIO</t>
  </si>
  <si>
    <t>JARDIM EDITH</t>
  </si>
  <si>
    <t>11-987159908</t>
  </si>
  <si>
    <t>NATALIA ENCARNACAO ANDRE BREDA</t>
  </si>
  <si>
    <t>INTERLAGOS</t>
  </si>
  <si>
    <t>11-981191142</t>
  </si>
  <si>
    <t>NEUZA CAMPOS FERREIRA</t>
  </si>
  <si>
    <t>JARDIM APURA</t>
  </si>
  <si>
    <t>11-963878018</t>
  </si>
  <si>
    <t>HELOISA DE JESUS MAGALHAES</t>
  </si>
  <si>
    <t>JARDIM PREVIDENCIA</t>
  </si>
  <si>
    <t>11-994687784</t>
  </si>
  <si>
    <t>06/05/2026 12:40</t>
  </si>
  <si>
    <t>JOSE JUVINO DE ALMEIDA</t>
  </si>
  <si>
    <t>11-991959563</t>
  </si>
  <si>
    <t>12/05/2026 16:20</t>
  </si>
  <si>
    <t>MARIA LUCIA OLIVEIRA SILVA</t>
  </si>
  <si>
    <t>JARDIM MARABA(ZONA SUL)</t>
  </si>
  <si>
    <t>11-999940148</t>
  </si>
  <si>
    <t>ODONIEL PACONIO DA SILVA</t>
  </si>
  <si>
    <t>11-996208660</t>
  </si>
  <si>
    <t>NELSON PIRES LOUZAS</t>
  </si>
  <si>
    <t>JARDIM GERMANIA</t>
  </si>
  <si>
    <t>11-991425610</t>
  </si>
  <si>
    <t>JOANA DA SILVA GONCALVES</t>
  </si>
  <si>
    <t>11-949582783</t>
  </si>
  <si>
    <t>29/04/2026 12:40</t>
  </si>
  <si>
    <t>JACIRA PEREIRA DE CARVALHO MATILDE</t>
  </si>
  <si>
    <t>JARDIM PIRACUAMA</t>
  </si>
  <si>
    <t>11-986401661</t>
  </si>
  <si>
    <t>WALTER DA SILVA</t>
  </si>
  <si>
    <t>JARDIM SANTA CRUZ (CAMPO GRANDE)</t>
  </si>
  <si>
    <t>11-998634433</t>
  </si>
  <si>
    <t>MARILENE PEDON DE SOUZA</t>
  </si>
  <si>
    <t>11-969691340</t>
  </si>
  <si>
    <t>NARCISA ASSUNCAO ABE</t>
  </si>
  <si>
    <t>PARQUE DO LAGO</t>
  </si>
  <si>
    <t>11-962044110</t>
  </si>
  <si>
    <t>MARIA LUIZA ROLIM XAVIER</t>
  </si>
  <si>
    <t>JORDANOPOLIS</t>
  </si>
  <si>
    <t>11-999042040</t>
  </si>
  <si>
    <t>22/05/2026 14:40</t>
  </si>
  <si>
    <t>VERA LUCIA LIMA DE SOUSA</t>
  </si>
  <si>
    <t>PARQUE RESIDENCIAL COCAIA</t>
  </si>
  <si>
    <t>11-946832748</t>
  </si>
  <si>
    <t>29/04/2026 12:00</t>
  </si>
  <si>
    <t>MARIA HELENA BARBOSA CALIXTO</t>
  </si>
  <si>
    <t>PARQUE SAO JOSE</t>
  </si>
  <si>
    <t>11-983483506</t>
  </si>
  <si>
    <t>JACI GOMES</t>
  </si>
  <si>
    <t>21-964172313</t>
  </si>
  <si>
    <t>04/05/2026 12:00</t>
  </si>
  <si>
    <t>SILVANA APARECIDA CICALE GOUVEIA</t>
  </si>
  <si>
    <t>VILA FORMOSA</t>
  </si>
  <si>
    <t>11-991132560</t>
  </si>
  <si>
    <t>05/05/2026 15:20</t>
  </si>
  <si>
    <t>JOSE LEON VERLI</t>
  </si>
  <si>
    <t>21-988078000</t>
  </si>
  <si>
    <t>30/04/2026 14:00</t>
  </si>
  <si>
    <t>GUILHERME HENRIQUE MESQUITA MARINS</t>
  </si>
  <si>
    <t>11-997463699</t>
  </si>
  <si>
    <t>NEIDE PAIXAO SAGLIA BEIA</t>
  </si>
  <si>
    <t>PARQUE COCAIA</t>
  </si>
  <si>
    <t>11-962582101</t>
  </si>
  <si>
    <t>NEYDE DEL PICCOLO</t>
  </si>
  <si>
    <t>11-976549885</t>
  </si>
  <si>
    <t>5. Alta por óbito</t>
  </si>
  <si>
    <t>ILDA CROCCO DA SILVA</t>
  </si>
  <si>
    <t>VILA AUGUSTA</t>
  </si>
  <si>
    <t>11-984797717</t>
  </si>
  <si>
    <t>NAIR MONTEIRO GONCALVES</t>
  </si>
  <si>
    <t>VILA AURORA (ZONA NORTE)</t>
  </si>
  <si>
    <t>11-995067214</t>
  </si>
  <si>
    <t>04/05/2026 10:40</t>
  </si>
  <si>
    <t>MARIA DA CONCEICAO PAULINO SCHWITTAY</t>
  </si>
  <si>
    <t>VILA CRUZEIRO</t>
  </si>
  <si>
    <t>11-996234999</t>
  </si>
  <si>
    <t>AGEMIRA FERREIRA SPIRLANDELLI</t>
  </si>
  <si>
    <t>11-991371991</t>
  </si>
  <si>
    <t>MARIA HELENA DA SILVA</t>
  </si>
  <si>
    <t>PARQUE PARAISO</t>
  </si>
  <si>
    <t>11-981899832</t>
  </si>
  <si>
    <t>MARIA DALVA MENDES OLIVEIRA</t>
  </si>
  <si>
    <t>PORTO DA IGREJA</t>
  </si>
  <si>
    <t>11-951615282</t>
  </si>
  <si>
    <t>CARLOS CLEBER COELHO OLOVATE</t>
  </si>
  <si>
    <t>21-986048577</t>
  </si>
  <si>
    <t>IDEMI NAGASAWA</t>
  </si>
  <si>
    <t>VILA GUSTAVO</t>
  </si>
  <si>
    <t>11-996961839</t>
  </si>
  <si>
    <t>em investigação</t>
  </si>
  <si>
    <t>MARIA DE FATIMA DE AGUIAR</t>
  </si>
  <si>
    <t>JARDIM LUSO</t>
  </si>
  <si>
    <t>11-970913419</t>
  </si>
  <si>
    <t>04/05/2026 15:40</t>
  </si>
  <si>
    <t>ISABELLI RIOS LOPES</t>
  </si>
  <si>
    <t>21-980150011</t>
  </si>
  <si>
    <t>29/04/2026 15:40</t>
  </si>
  <si>
    <t>JOSE CARLOS PUERTA</t>
  </si>
  <si>
    <t>VILA PIRAJUSSARA</t>
  </si>
  <si>
    <t>11-967865319</t>
  </si>
  <si>
    <t>TEREZINHA EVANGELISTA TOME ALBONETTI</t>
  </si>
  <si>
    <t>VILA SAO FRANCISCO (ZONA SUL)</t>
  </si>
  <si>
    <t>11-959624747</t>
  </si>
  <si>
    <t>21/05/2026 11:40</t>
  </si>
  <si>
    <t>ROSELI DA SILVA CERQUEIRA</t>
  </si>
  <si>
    <t>VILA SAO JOSE</t>
  </si>
  <si>
    <t>11-992720176</t>
  </si>
  <si>
    <t>MARCOS VALADARES DOS SANTOS</t>
  </si>
  <si>
    <t>21-969660120</t>
  </si>
  <si>
    <t>VITOR EDUARDO GERMANO DA SILVA</t>
  </si>
  <si>
    <t>21-964135285</t>
  </si>
  <si>
    <t>EDSON JOSE TRAJANO</t>
  </si>
  <si>
    <t>JARDIM GRAMACHO</t>
  </si>
  <si>
    <t>21-974188493</t>
  </si>
  <si>
    <t>LUIZ ARNALDO LUNARDI PERRONI</t>
  </si>
  <si>
    <t>21-998855494</t>
  </si>
  <si>
    <t>MARIA PEREIRA DA SILVA</t>
  </si>
  <si>
    <t>21-994144899</t>
  </si>
  <si>
    <t>29/04/2026 15:20</t>
  </si>
  <si>
    <t>JEIDER SANTANNA DE SOUZA</t>
  </si>
  <si>
    <t>CIDADE DE DEUS</t>
  </si>
  <si>
    <t>21-975590096</t>
  </si>
  <si>
    <t>04/05/2026 15:20</t>
  </si>
  <si>
    <t>ALCIMAR RODRIGUES BARCELLOS</t>
  </si>
  <si>
    <t>VILA CAPIXABA</t>
  </si>
  <si>
    <t>21-973079593</t>
  </si>
  <si>
    <t>LUIZ PAULO DE ARAUJO CHAVES</t>
  </si>
  <si>
    <t>21-997095954</t>
  </si>
  <si>
    <t>CARLOS ALBERTO NAJA CARDOSO</t>
  </si>
  <si>
    <t>21-964375512</t>
  </si>
  <si>
    <t>LUIZ SERGIO SANKUEVITZ CRUZ</t>
  </si>
  <si>
    <t>ENGENHO NOVO</t>
  </si>
  <si>
    <t>21-999144190</t>
  </si>
  <si>
    <t>MANOEL DE SOUZA MARINHO ESPINDOLA</t>
  </si>
  <si>
    <t>FAZENDA DA JUTA</t>
  </si>
  <si>
    <t>11-976738205</t>
  </si>
  <si>
    <t>MARIA CLEIDE DE SOUSA</t>
  </si>
  <si>
    <t>BENFICA</t>
  </si>
  <si>
    <t>21-979218081</t>
  </si>
  <si>
    <t>25/05/2026 11:20</t>
  </si>
  <si>
    <t>LUIZ CARLOS TEIXEIRA DOS SANTOS</t>
  </si>
  <si>
    <t>21-997802308</t>
  </si>
  <si>
    <t>13/05/2026 11:00</t>
  </si>
  <si>
    <t>SILVIO LUIZ COLOMBO</t>
  </si>
  <si>
    <t>11-999636201</t>
  </si>
  <si>
    <t>EDILA SERAPIAO TRINDADE</t>
  </si>
  <si>
    <t>11-977117051</t>
  </si>
  <si>
    <t>NADIA AMBROSIO SOUZA MIYAMOTO</t>
  </si>
  <si>
    <t>11-962012004</t>
  </si>
  <si>
    <t>ANA PAULA LIMA DA SILVA</t>
  </si>
  <si>
    <t>CIDADE SERODIO</t>
  </si>
  <si>
    <t>11-946627603</t>
  </si>
  <si>
    <t>LUIZ GONZAGA BARBOSA DE SOUZA</t>
  </si>
  <si>
    <t>IPANEMA</t>
  </si>
  <si>
    <t>21-968817092</t>
  </si>
  <si>
    <t>FERNANDO ANTONIO DE PADUA DAINESE</t>
  </si>
  <si>
    <t>CIDADE VARGAS</t>
  </si>
  <si>
    <t>11-950214819</t>
  </si>
  <si>
    <t>WALTER DA SILVA DUARTE</t>
  </si>
  <si>
    <t>21-970045882</t>
  </si>
  <si>
    <t>JORGE LUIZ MIRANDA</t>
  </si>
  <si>
    <t>21-995136054</t>
  </si>
  <si>
    <t>paciente com wpw (arritmia)</t>
  </si>
  <si>
    <t>Em Investigação</t>
  </si>
  <si>
    <t>DIOGENES DOS SANTOS OLIVEIRA</t>
  </si>
  <si>
    <t>21-999765985</t>
  </si>
  <si>
    <t>IVAN BRANDAO VIEIRA</t>
  </si>
  <si>
    <t>INHAUMA</t>
  </si>
  <si>
    <t>22-988191781</t>
  </si>
  <si>
    <t>MARIA DO AMPARO SOUSA DA SILVA ROCHA</t>
  </si>
  <si>
    <t>JARDIM CUMBICA</t>
  </si>
  <si>
    <t>11-982598053</t>
  </si>
  <si>
    <t>ELIZABETE LOBO DE SOUZA SILVA</t>
  </si>
  <si>
    <t>JARDIM ADRIANA</t>
  </si>
  <si>
    <t>11-998200457</t>
  </si>
  <si>
    <t>GILBERTO APARECIDO DOS SANTOS</t>
  </si>
  <si>
    <t>JARDIM DA MAMAE</t>
  </si>
  <si>
    <t>11-984703149</t>
  </si>
  <si>
    <t>MILTON FERREIRA LOPES</t>
  </si>
  <si>
    <t>JARDIM DO COLEGIO</t>
  </si>
  <si>
    <t>11-941635380</t>
  </si>
  <si>
    <t>EVERALDO FELIX DOS SANTOS</t>
  </si>
  <si>
    <t>JARDIM DOM JOSE</t>
  </si>
  <si>
    <t>11-981762238</t>
  </si>
  <si>
    <t>12/05/2026 14:00</t>
  </si>
  <si>
    <t>NOEME PEREIRA LIMA</t>
  </si>
  <si>
    <t>JARDIM FERRAO</t>
  </si>
  <si>
    <t>11-965236628</t>
  </si>
  <si>
    <t>20/05/2026 11:40</t>
  </si>
  <si>
    <t>AURORA BATISTA DE SOUZA</t>
  </si>
  <si>
    <t>JARDIM FLOR DA MONTANHA</t>
  </si>
  <si>
    <t>11-996047320</t>
  </si>
  <si>
    <t>20/05/2026 12:20</t>
  </si>
  <si>
    <t>Amil - Unidade Avançada Carlos Chagas </t>
  </si>
  <si>
    <t>MARIA HELENA BEZERRA DE ALBUQUERQUE</t>
  </si>
  <si>
    <t>11-970963760</t>
  </si>
  <si>
    <t>DERENIZE APARECIDA SILVEIRA BRAOIOS</t>
  </si>
  <si>
    <t>JARDIM MOREIRA</t>
  </si>
  <si>
    <t>11-987474585</t>
  </si>
  <si>
    <t>CARLA BETANIA DOS SANTOS MACEDO</t>
  </si>
  <si>
    <t>JARDIM ORLY</t>
  </si>
  <si>
    <t>11-977714335</t>
  </si>
  <si>
    <t>GILMAR VIANA DOS SANTOS</t>
  </si>
  <si>
    <t>JARDIM OTTAWA</t>
  </si>
  <si>
    <t>11-994216535</t>
  </si>
  <si>
    <t>13/05/2026 12:40</t>
  </si>
  <si>
    <t>Espaço Amil Guarulhos</t>
  </si>
  <si>
    <t>IVAN SILVA ALMEIDA</t>
  </si>
  <si>
    <t>11-978476923</t>
  </si>
  <si>
    <t>NADIR OLIVEIRA DA COSTA</t>
  </si>
  <si>
    <t>JARDIM PINHAL</t>
  </si>
  <si>
    <t>11-999390485</t>
  </si>
  <si>
    <t>VALDINETE DE JESUS SILVA</t>
  </si>
  <si>
    <t>JARDIM RODOLFO PIRANI</t>
  </si>
  <si>
    <t>11-961291169</t>
  </si>
  <si>
    <t>08/05/2026 15:00</t>
  </si>
  <si>
    <t>EVA RIBAR KONSSO KONCZ</t>
  </si>
  <si>
    <t>JARDIM SANTA CECILIA</t>
  </si>
  <si>
    <t>11-981678560</t>
  </si>
  <si>
    <t>06/05/2026 10:00</t>
  </si>
  <si>
    <t>PEDRO GERALDO GOBI</t>
  </si>
  <si>
    <t>11-943393301</t>
  </si>
  <si>
    <t>MARIA DO SOCORRO SOBRINHA SILES</t>
  </si>
  <si>
    <t>JARDIM SANTA EMILIA</t>
  </si>
  <si>
    <t>11-982182852</t>
  </si>
  <si>
    <t>ELOISIO AGUIAR SILES</t>
  </si>
  <si>
    <t>11-982646898</t>
  </si>
  <si>
    <t>SYLVIO ZONARO</t>
  </si>
  <si>
    <t>11-947467977</t>
  </si>
  <si>
    <t>SILVONE HELENA SANTOS ZONARO</t>
  </si>
  <si>
    <t>11-947448653</t>
  </si>
  <si>
    <t>LUCI PONTES DE OLIVEIRA</t>
  </si>
  <si>
    <t>JARDIM SAO GERALDO</t>
  </si>
  <si>
    <t>11-987675420</t>
  </si>
  <si>
    <t>QUITERIA LEITE DOS SANTOS CASSIANO</t>
  </si>
  <si>
    <t>11-948840069</t>
  </si>
  <si>
    <t>LAURA TATIANE DE CAMPOS LEITE</t>
  </si>
  <si>
    <t>11-964945786</t>
  </si>
  <si>
    <t>20/05/2026 15:40</t>
  </si>
  <si>
    <t>MARIA DE FATIMA JOAQUIM</t>
  </si>
  <si>
    <t>11-981812123</t>
  </si>
  <si>
    <t>12/05/2026 10:00</t>
  </si>
  <si>
    <t>CLAUDIO ROGERIO FERREIRA DA SILVA</t>
  </si>
  <si>
    <t>JARDIM VERGUEIRO (SACOMA)</t>
  </si>
  <si>
    <t>11-986774888</t>
  </si>
  <si>
    <t>SERGIO GORNE</t>
  </si>
  <si>
    <t>11-980963441</t>
  </si>
  <si>
    <t>07/05/2026 16:00</t>
  </si>
  <si>
    <t>SENHORINHA ROSA DE SOUZA</t>
  </si>
  <si>
    <t>11-983566330</t>
  </si>
  <si>
    <t>12/05/2026 14:40</t>
  </si>
  <si>
    <t>TATIANE VIEIRA LOPES DA SILVA</t>
  </si>
  <si>
    <t>11-946314869</t>
  </si>
  <si>
    <t>11/05/2026 14:40</t>
  </si>
  <si>
    <t>BELARMINA NOGUEIRA LOPES</t>
  </si>
  <si>
    <t>PARQUE SANTOS DUMONT</t>
  </si>
  <si>
    <t>11-975782045</t>
  </si>
  <si>
    <t>MARIA JOSE DOS SANTOS EVANGELISTA</t>
  </si>
  <si>
    <t>PARQUE SAO MIGUEL</t>
  </si>
  <si>
    <t>11-962398249</t>
  </si>
  <si>
    <t>MARCIO NEVES DE OLIVEIRA</t>
  </si>
  <si>
    <t>21-991980220</t>
  </si>
  <si>
    <t>JOAO CARLOS FIGUEIREDO DA CRUZ</t>
  </si>
  <si>
    <t>21-976031243</t>
  </si>
  <si>
    <t>08/05/2026 12:40</t>
  </si>
  <si>
    <t>MARIA RITA DE CASSIA SANTANA DO CARMO</t>
  </si>
  <si>
    <t>SANTA CRUZ</t>
  </si>
  <si>
    <t>21-980971413</t>
  </si>
  <si>
    <t>07/05/2026 10:00</t>
  </si>
  <si>
    <t>HILDA BRITO DA SILVA</t>
  </si>
  <si>
    <t>21-985164759</t>
  </si>
  <si>
    <t>VIVALDI BARBOSA DOS SANTOS</t>
  </si>
  <si>
    <t>21-992563568</t>
  </si>
  <si>
    <t>12/05/2026 10:40</t>
  </si>
  <si>
    <t>ALESSANDRO DUTRA DUARTE</t>
  </si>
  <si>
    <t>TOMAZINHO</t>
  </si>
  <si>
    <t>21-965454452</t>
  </si>
  <si>
    <t>ECLEIDES GONZAGA DOURADO</t>
  </si>
  <si>
    <t>11-969881962</t>
  </si>
  <si>
    <t>NELSON CANOVA ROLDAN</t>
  </si>
  <si>
    <t>VILA EMA</t>
  </si>
  <si>
    <t>11-973252170</t>
  </si>
  <si>
    <t>19/05/2026 10:20</t>
  </si>
  <si>
    <t>WILIANS MENEZES</t>
  </si>
  <si>
    <t>11-972048546</t>
  </si>
  <si>
    <t>07/05/2026 12:20</t>
  </si>
  <si>
    <t>VALDIR LOTERIO FERREIRA</t>
  </si>
  <si>
    <t>VILA KOSMOS</t>
  </si>
  <si>
    <t>21-960118329</t>
  </si>
  <si>
    <t>08/05/2026 16:00</t>
  </si>
  <si>
    <t>FRANCIELE ALMEIDA DE MELO TRINDADE DA SILVA</t>
  </si>
  <si>
    <t>VILA LEOPOLDINA</t>
  </si>
  <si>
    <t>21-970341692</t>
  </si>
  <si>
    <t>PACIENTE COM VAB</t>
  </si>
  <si>
    <t>08/05/2026 14:40</t>
  </si>
  <si>
    <t>LUCIO NEVES FIALHO</t>
  </si>
  <si>
    <t>VILA MOREIRA</t>
  </si>
  <si>
    <t>11-963319097</t>
  </si>
  <si>
    <t>13/05/2026 11:20</t>
  </si>
  <si>
    <t>TERUMI DOI NEVES FIALHO</t>
  </si>
  <si>
    <t>ESTER DE OLIVEIRA SOUZA</t>
  </si>
  <si>
    <t>11-993036244</t>
  </si>
  <si>
    <t>ELISA DE JESUS CARVALHAIS</t>
  </si>
  <si>
    <t>11-982142312</t>
  </si>
  <si>
    <t>Amil - Ud Cubatão Sp - Hospital Da Luz</t>
  </si>
  <si>
    <t>ANA DE OLIVEIRA MOURA</t>
  </si>
  <si>
    <t>11-998033896</t>
  </si>
  <si>
    <t xml:space="preserve">telefone errado </t>
  </si>
  <si>
    <t>EMERSON FAUSTINO RAMOS</t>
  </si>
  <si>
    <t>CHACARA INGLESA</t>
  </si>
  <si>
    <t>11-981736177</t>
  </si>
  <si>
    <t>06/05/2026 12:20</t>
  </si>
  <si>
    <t>MARIA APARECIDA PEREIRA DA SILVA CAETANO</t>
  </si>
  <si>
    <t>VILA ROSA MINELIA</t>
  </si>
  <si>
    <t>11-947429365</t>
  </si>
  <si>
    <t>13/05/2026 10:40</t>
  </si>
  <si>
    <t>LUCI PEREIRA GASPAR DE OLIVEIRA</t>
  </si>
  <si>
    <t>MARACANA</t>
  </si>
  <si>
    <t>21-997299386</t>
  </si>
  <si>
    <t>ROSANGELA REGO DE CARVALHO</t>
  </si>
  <si>
    <t>ABOLIÇAO</t>
  </si>
  <si>
    <t>21-998157557</t>
  </si>
  <si>
    <t>22/05/2026 10:00</t>
  </si>
  <si>
    <t>ANA CELIA LOPES DE SANTANA SILVA</t>
  </si>
  <si>
    <t>COLONIA (ZONA LESTE)</t>
  </si>
  <si>
    <t>11-945736255</t>
  </si>
  <si>
    <t>05/05/2026 12:40</t>
  </si>
  <si>
    <t>SANDRA REGINA SOUZA PAIVA DOS SANTOS</t>
  </si>
  <si>
    <t>21-999728018</t>
  </si>
  <si>
    <t>05/05/2026 12:20</t>
  </si>
  <si>
    <t>LOURIVAL FERNANDES</t>
  </si>
  <si>
    <t>CURICICA</t>
  </si>
  <si>
    <t>21-995466191</t>
  </si>
  <si>
    <t>05/05/2026 14:00</t>
  </si>
  <si>
    <t>IRACEMA SANTOS LEMOS</t>
  </si>
  <si>
    <t>21-967778144</t>
  </si>
  <si>
    <t>05/05/2026 11:40</t>
  </si>
  <si>
    <t>HELENA CARDOSO OLIVIERI</t>
  </si>
  <si>
    <t>BANGU</t>
  </si>
  <si>
    <t>21-971609142</t>
  </si>
  <si>
    <t>07/05/2026 16:20</t>
  </si>
  <si>
    <t>JULIO ZAVERI NETO</t>
  </si>
  <si>
    <t>11-980316689</t>
  </si>
  <si>
    <t>LUIZ AMERICO DO VALE</t>
  </si>
  <si>
    <t>21-964198322</t>
  </si>
  <si>
    <t>11/05/2026 12:40</t>
  </si>
  <si>
    <t>VANIA MACEDO DE MATOS CAVALCANTE</t>
  </si>
  <si>
    <t>BRAS</t>
  </si>
  <si>
    <t>11-980828606</t>
  </si>
  <si>
    <t>MARIA ELIZETE DE SOUZA</t>
  </si>
  <si>
    <t>11-962260678</t>
  </si>
  <si>
    <t>RODRIGO LUIZ PORTO</t>
  </si>
  <si>
    <t>21-964424940</t>
  </si>
  <si>
    <t>IVAN DOS SANTOS MIRA</t>
  </si>
  <si>
    <t>ICARAI</t>
  </si>
  <si>
    <t>21-968675555</t>
  </si>
  <si>
    <t>ALEXANDRE MENEZES CARNEIRO</t>
  </si>
  <si>
    <t>21-980675830</t>
  </si>
  <si>
    <t>ILZENI ANDRADE ALVES BARBOSA SAMPAIO</t>
  </si>
  <si>
    <t>CHACARA DA ENSEADA</t>
  </si>
  <si>
    <t>11-952153086</t>
  </si>
  <si>
    <t>SEVERINO JOSE DA SILVA</t>
  </si>
  <si>
    <t>11-957519907</t>
  </si>
  <si>
    <t>SUELI REGINA DOS SANTOS SILVA</t>
  </si>
  <si>
    <t>CIDADE ARACILIA</t>
  </si>
  <si>
    <t>11-918268332</t>
  </si>
  <si>
    <t>21/05/2026 14:40</t>
  </si>
  <si>
    <t>CELSO DE MELO AVILA TRVINHO</t>
  </si>
  <si>
    <t>11-947246008</t>
  </si>
  <si>
    <t>JOSE LUCAS DE SOUZA HOLANDA</t>
  </si>
  <si>
    <t>CONJUNTO HABITACIONAL JUSCELINO KUBITSCHEK</t>
  </si>
  <si>
    <t>11-916233765</t>
  </si>
  <si>
    <t>19/05/2026 11:20</t>
  </si>
  <si>
    <t>IVONEI SOARES DE SOUZA ABREU</t>
  </si>
  <si>
    <t>JARDIM DAS OLIVEIRAS</t>
  </si>
  <si>
    <t>11-980733373</t>
  </si>
  <si>
    <t>05/05/2026 15:00</t>
  </si>
  <si>
    <t>GILVAN DOS SANTOS</t>
  </si>
  <si>
    <t>ESTACIO</t>
  </si>
  <si>
    <t>21-992764004</t>
  </si>
  <si>
    <t>19/05/2026 10:40</t>
  </si>
  <si>
    <t>ALBERTO TEIXEIRA DE MELO</t>
  </si>
  <si>
    <t>21-996669186</t>
  </si>
  <si>
    <t>NEUSA MARIA DE MELLO PEREIRA</t>
  </si>
  <si>
    <t>11-971889641</t>
  </si>
  <si>
    <t>CLAUDIA ANGELICA FERREIRA</t>
  </si>
  <si>
    <t>11-974448301</t>
  </si>
  <si>
    <t>ALEXANDRE LEPSCH RAMIRO</t>
  </si>
  <si>
    <t>21-988986363</t>
  </si>
  <si>
    <t>20/05/2026 16:00</t>
  </si>
  <si>
    <t>MERELE PEDROSO DE ABREU</t>
  </si>
  <si>
    <t>JARDIM BOM SUCESSO</t>
  </si>
  <si>
    <t>11-959360374</t>
  </si>
  <si>
    <t>EDSON FERREIRA SANTOS</t>
  </si>
  <si>
    <t>JARDIM CATANDUVA</t>
  </si>
  <si>
    <t>11-910119291</t>
  </si>
  <si>
    <t>JOELINGTON SOUSA MENDES SILVA</t>
  </si>
  <si>
    <t>11-952468703</t>
  </si>
  <si>
    <t>MARIA AUDERICE SANTOS DE FARIAS</t>
  </si>
  <si>
    <t>POA</t>
  </si>
  <si>
    <t>JARDIM EMILIA</t>
  </si>
  <si>
    <t>11-985388795</t>
  </si>
  <si>
    <t>SIDINEIA SCHREINER ZAGARE</t>
  </si>
  <si>
    <t>JARDIM EUSONIA</t>
  </si>
  <si>
    <t>11-947483393</t>
  </si>
  <si>
    <t>MARIA LOPES DE CAMPOS FERREIRA</t>
  </si>
  <si>
    <t>11-996964126</t>
  </si>
  <si>
    <t>19/05/2026 12:40</t>
  </si>
  <si>
    <t>PAULO PALADINI DE MORAIS</t>
  </si>
  <si>
    <t>11-997542978</t>
  </si>
  <si>
    <t>FREDSON DOS ANJOS PASSOS</t>
  </si>
  <si>
    <t>JARDIM FABIANA</t>
  </si>
  <si>
    <t>11-964415778</t>
  </si>
  <si>
    <t>PAULO HENRIQUE PEREIRA DA SILVA</t>
  </si>
  <si>
    <t>JARDIM HELENA</t>
  </si>
  <si>
    <t>11-979794359</t>
  </si>
  <si>
    <t>MARIA HELENA MARCIAL SOARES</t>
  </si>
  <si>
    <t>JARDIM HELGA</t>
  </si>
  <si>
    <t>11-948597934</t>
  </si>
  <si>
    <t>arritmia</t>
  </si>
  <si>
    <t>EVERALDO SOUZA BARBOSA</t>
  </si>
  <si>
    <t>JARDIM IPORANGA</t>
  </si>
  <si>
    <t>11-989158955</t>
  </si>
  <si>
    <t>MARLON JOSE GERIONI</t>
  </si>
  <si>
    <t>14-981837831</t>
  </si>
  <si>
    <t>RILERLAND MENEZES DOS SANTOS</t>
  </si>
  <si>
    <t>JARDIM MARAJOARA</t>
  </si>
  <si>
    <t>11-992417549</t>
  </si>
  <si>
    <t>NANCI RODRIGUES DE QUEIROZ ALVES</t>
  </si>
  <si>
    <t>JARDIM MONTE CARMELO</t>
  </si>
  <si>
    <t>11-995583826</t>
  </si>
  <si>
    <t>MARIA LUCIA DA SILVA LEAL</t>
  </si>
  <si>
    <t>JARDIM OKUYAMA</t>
  </si>
  <si>
    <t>11-962492245</t>
  </si>
  <si>
    <t>PATRICIA ANGELICA CLEIM MOREIRA</t>
  </si>
  <si>
    <t>JARDIM SANTA GERTRUDES</t>
  </si>
  <si>
    <t>11-967009518</t>
  </si>
  <si>
    <t>LUIZ NOGUEIRA DA SILVA</t>
  </si>
  <si>
    <t>JARDIM SANTA EDWIGES (GRAJAU)</t>
  </si>
  <si>
    <t>11-978240823</t>
  </si>
  <si>
    <t>ALEXANDRE BRACCIALLI</t>
  </si>
  <si>
    <t>11-947351131</t>
  </si>
  <si>
    <t>JULIANA CUNHA DE CARVALHO</t>
  </si>
  <si>
    <t>JARDIM TEREZOPOLIS</t>
  </si>
  <si>
    <t>11-974105115</t>
  </si>
  <si>
    <t>ELZA PEREIRA DE MATOS</t>
  </si>
  <si>
    <t>11-981482693</t>
  </si>
  <si>
    <t>PAULO ROBERTO DE SALES</t>
  </si>
  <si>
    <t>21-996045520</t>
  </si>
  <si>
    <t>JORGE HESPANHA DE SENA</t>
  </si>
  <si>
    <t>21-976754960</t>
  </si>
  <si>
    <t>LUIS ANTONIO POLIDORO MILANTONI</t>
  </si>
  <si>
    <t>11-996331778</t>
  </si>
  <si>
    <t>JORGE GOMES</t>
  </si>
  <si>
    <t>QUEIMADOS</t>
  </si>
  <si>
    <t>21-982380305</t>
  </si>
  <si>
    <t>NELSON CUNHA</t>
  </si>
  <si>
    <t>21-983598036</t>
  </si>
  <si>
    <t>19/05/2026 12:00</t>
  </si>
  <si>
    <t>JORGE LUIZ BUEGARE</t>
  </si>
  <si>
    <t>FERRAZ DE VASCONCELOS</t>
  </si>
  <si>
    <t>PARQUE DOURADO</t>
  </si>
  <si>
    <t>11-960222616</t>
  </si>
  <si>
    <t>ANTONIO FRANCISCO DE OLIVEIRA</t>
  </si>
  <si>
    <t>VILA ANDRADE</t>
  </si>
  <si>
    <t>11-953623330</t>
  </si>
  <si>
    <t>MAURICIO BARCELOS DE REZENDE</t>
  </si>
  <si>
    <t>PARQUE GUARARAPES</t>
  </si>
  <si>
    <t>21-973682379</t>
  </si>
  <si>
    <t>LETICIA RODRIGUES PIMENTA</t>
  </si>
  <si>
    <t>PARQUE MIKAIL</t>
  </si>
  <si>
    <t>11-997824785</t>
  </si>
  <si>
    <t>MARIA SOLANGIA VICENTE SOBRINHO</t>
  </si>
  <si>
    <t>PARQUE PINHEIROS</t>
  </si>
  <si>
    <t>11-982339212</t>
  </si>
  <si>
    <t>GERCINA GONCALVES ROSA ALVES</t>
  </si>
  <si>
    <t>PENHA CIRCULAR</t>
  </si>
  <si>
    <t>21-969021609</t>
  </si>
  <si>
    <t>ISAAC ARAUJO DA SILVA</t>
  </si>
  <si>
    <t>PIEDADE</t>
  </si>
  <si>
    <t>21-982778540</t>
  </si>
  <si>
    <t>JOSE ORLANDO RUPEIKA</t>
  </si>
  <si>
    <t>PARQUE RENATO MAIA</t>
  </si>
  <si>
    <t>11-999149197</t>
  </si>
  <si>
    <t>MARIA CLEIDE MIRANDA ROCHA SALES</t>
  </si>
  <si>
    <t>PARQUE VITORIA</t>
  </si>
  <si>
    <t>11-953170749</t>
  </si>
  <si>
    <t>MARIA DE FATIMA VIEIRA CARDOSO</t>
  </si>
  <si>
    <t>RESIDENCIAL PARQUE CUMBICA</t>
  </si>
  <si>
    <t>11-943223756</t>
  </si>
  <si>
    <t>ALVINO BRAGA DA SILVA FILHO</t>
  </si>
  <si>
    <t>PRAÇA DA BANDEIRA</t>
  </si>
  <si>
    <t>21-966748234</t>
  </si>
  <si>
    <t>FRANCISCO CANINDE DE MEDEIROS ZUMBA</t>
  </si>
  <si>
    <t>RIACHUELO</t>
  </si>
  <si>
    <t>21-994614413</t>
  </si>
  <si>
    <t>ROBSON MATIAS</t>
  </si>
  <si>
    <t>VALE DOS MACHADOS</t>
  </si>
  <si>
    <t>11-954313549</t>
  </si>
  <si>
    <t>JOAO BATISTA MACHADO</t>
  </si>
  <si>
    <t>SITIO MORRO GRANDE</t>
  </si>
  <si>
    <t>11-985913623</t>
  </si>
  <si>
    <t>25/05/2026 10:40</t>
  </si>
  <si>
    <t>SERGIO INACIO DE MAGALHAES</t>
  </si>
  <si>
    <t>VILA AGUA FUNDA</t>
  </si>
  <si>
    <t>11-996001772</t>
  </si>
  <si>
    <t>CARLOS ROBERTO GOMES DA SILVA</t>
  </si>
  <si>
    <t>21-998735162</t>
  </si>
  <si>
    <t>05/05/2026 10:00</t>
  </si>
  <si>
    <t>DALVA FERNANDES CARAPINA</t>
  </si>
  <si>
    <t>VILA IDEAL</t>
  </si>
  <si>
    <t>21-966225126</t>
  </si>
  <si>
    <t>LUIZ FERNANDO ROCHA</t>
  </si>
  <si>
    <t>VILA IPOJUCA</t>
  </si>
  <si>
    <t>11-985277430</t>
  </si>
  <si>
    <t>ELVIRA MIRANDA DOS SANTOS</t>
  </si>
  <si>
    <t>JARDIM AVENIDA</t>
  </si>
  <si>
    <t>11-984491001</t>
  </si>
  <si>
    <t>05/05/2026 10:40</t>
  </si>
  <si>
    <t>ESTER RECHE VIRGINIO</t>
  </si>
  <si>
    <t>11-974061920</t>
  </si>
  <si>
    <t>19/05/2026 16:40</t>
  </si>
  <si>
    <t>ANA APARECIDA FEITOSA</t>
  </si>
  <si>
    <t>VILA NOGUEIRA</t>
  </si>
  <si>
    <t>11-986507325</t>
  </si>
  <si>
    <t>Realizado</t>
  </si>
  <si>
    <t>TIAGO DA FONSECA GUEDES</t>
  </si>
  <si>
    <t>VILA VARELA</t>
  </si>
  <si>
    <t>11-997368137</t>
  </si>
  <si>
    <t>CELESTE PEREIRA DA COSTA SANTOS</t>
  </si>
  <si>
    <t>11-992652835</t>
  </si>
  <si>
    <t>LUIZ ROBERTO DOGNANI</t>
  </si>
  <si>
    <t>VILA MENCK</t>
  </si>
  <si>
    <t>11-969298459</t>
  </si>
  <si>
    <t>ROBERTO DE SOUZA SCARPELI</t>
  </si>
  <si>
    <t>VILA SAO SILVESTRE (ZONA LESTE)</t>
  </si>
  <si>
    <t>11-982919727</t>
  </si>
  <si>
    <t>21/05/2026 10:20</t>
  </si>
  <si>
    <t>OSMAR CARLOS BALAN</t>
  </si>
  <si>
    <t>BOSQUE DA SAUDE</t>
  </si>
  <si>
    <t>11-999973467</t>
  </si>
  <si>
    <t>MILTON GHERMAN</t>
  </si>
  <si>
    <t>21-991747830</t>
  </si>
  <si>
    <t>ROBERTO TESTA FILHO</t>
  </si>
  <si>
    <t>11-991866261</t>
  </si>
  <si>
    <t>VINICIUS DOS SANTOS RODRIGUES MARTINS</t>
  </si>
  <si>
    <t>21-999471322</t>
  </si>
  <si>
    <t>PAULO SERGIO MORETTI</t>
  </si>
  <si>
    <t>11-971474867</t>
  </si>
  <si>
    <t>19/05/2026 15:20</t>
  </si>
  <si>
    <t>BENVINDA AZEVEDO FERREIRA</t>
  </si>
  <si>
    <t>VILA JORDANOPOLIS</t>
  </si>
  <si>
    <t>11-996973299</t>
  </si>
  <si>
    <t>06/05/2026 14:40</t>
  </si>
  <si>
    <t>LUIS MAXIMILIANO LANDSCHECK</t>
  </si>
  <si>
    <t>11-993732233</t>
  </si>
  <si>
    <t>ISABEL MARIA LOPES DOLIVEIRA</t>
  </si>
  <si>
    <t>JARDIM DAS ACACIAS</t>
  </si>
  <si>
    <t>11-987486995</t>
  </si>
  <si>
    <t>PEDRO IVO CAMINHA</t>
  </si>
  <si>
    <t>JARDIM MONJOLO</t>
  </si>
  <si>
    <t>11-940022015</t>
  </si>
  <si>
    <t>KAZUO TORRITANI</t>
  </si>
  <si>
    <t>JARDIM PIRAJUSSARA</t>
  </si>
  <si>
    <t>11-958410728</t>
  </si>
  <si>
    <t>SIDNEI FRANCO DE SOUZA</t>
  </si>
  <si>
    <t>JARDIM PORTEIRA GRANDE</t>
  </si>
  <si>
    <t>11-992977017</t>
  </si>
  <si>
    <t>CLAUDINO DO PRADO SILVA</t>
  </si>
  <si>
    <t>JARDIM SHANGRILA (ZONA SUL)</t>
  </si>
  <si>
    <t>11-989311408</t>
  </si>
  <si>
    <t>CECILIA KROLHING DA SILVA</t>
  </si>
  <si>
    <t>11-998769221</t>
  </si>
  <si>
    <t>MARIA DA GUIA FERREIRA DE OLIVEIRA</t>
  </si>
  <si>
    <t>21-986614430</t>
  </si>
  <si>
    <t>LUIZ CARLOS AREIAS</t>
  </si>
  <si>
    <t>21-964423384</t>
  </si>
  <si>
    <t>HELIO HLAVAI</t>
  </si>
  <si>
    <t>VILA AZEVEDO</t>
  </si>
  <si>
    <t>11-959077485</t>
  </si>
  <si>
    <t>21/05/2026 11:00</t>
  </si>
  <si>
    <t>JUSSARA REGINA DUARTE BENVENUTO</t>
  </si>
  <si>
    <t>VILA ISA</t>
  </si>
  <si>
    <t>11-989748111</t>
  </si>
  <si>
    <t>Não Informou</t>
  </si>
  <si>
    <t>FILOMENA GIOCONDA CAPOBIANCO COCCHIOLA</t>
  </si>
  <si>
    <t>VILA CAVATON</t>
  </si>
  <si>
    <t>11-968657535</t>
  </si>
  <si>
    <t>LIBIO VITORIA SEBASTIAO DO CARMO</t>
  </si>
  <si>
    <t>VILA MORSE</t>
  </si>
  <si>
    <t>11-940308282</t>
  </si>
  <si>
    <t>PAULO CESAR DOS SANTOS</t>
  </si>
  <si>
    <t>BARRO VERMELHO</t>
  </si>
  <si>
    <t>21-999533451</t>
  </si>
  <si>
    <t>21/05/2026 12:40</t>
  </si>
  <si>
    <t>MIGUEL AGNELLI ANDREU</t>
  </si>
  <si>
    <t>VILA MONUMENTO</t>
  </si>
  <si>
    <t>11-994147797</t>
  </si>
  <si>
    <t>TELMA GOMES DA SILVA</t>
  </si>
  <si>
    <t>21-980746997</t>
  </si>
  <si>
    <t>JOSE ANTONIO PEREIRA DA SILVA</t>
  </si>
  <si>
    <t>11-999312299</t>
  </si>
  <si>
    <t>LUCILENE RAMOS DO NASCIMENTO</t>
  </si>
  <si>
    <t>21-984309961</t>
  </si>
  <si>
    <t>WILSON GOMES DA SILVA</t>
  </si>
  <si>
    <t>PENHA</t>
  </si>
  <si>
    <t>21-968440167</t>
  </si>
  <si>
    <t>MARIA JOSE SILVA DOMINGUES</t>
  </si>
  <si>
    <t>SAO VICENTE</t>
  </si>
  <si>
    <t>21-970288199</t>
  </si>
  <si>
    <t>JANAINA GOMES</t>
  </si>
  <si>
    <t>MAGE</t>
  </si>
  <si>
    <t>CACHOEIRA GRANDE (RIO DO OURO)</t>
  </si>
  <si>
    <t>21-988787277</t>
  </si>
  <si>
    <t>LUIZ CLAUDIO GOMES MACEDO</t>
  </si>
  <si>
    <t>21-989580138</t>
  </si>
  <si>
    <t>LUAN DE OLIVEIRA FONTOURA</t>
  </si>
  <si>
    <t>21-986219475</t>
  </si>
  <si>
    <t>MARIA APARECIDA SANTOS DA SILV</t>
  </si>
  <si>
    <t>21-988313385</t>
  </si>
  <si>
    <t>JOSE RUI ARAUJO</t>
  </si>
  <si>
    <t>21-985301321</t>
  </si>
  <si>
    <t>TEOFILO LUIS DO NASCIMENTO</t>
  </si>
  <si>
    <t>SENADOR CAMARA</t>
  </si>
  <si>
    <t>21-973497575</t>
  </si>
  <si>
    <t>LUCIA DE FATIMA DE SOUZA SANTOS</t>
  </si>
  <si>
    <t>XAVANTES</t>
  </si>
  <si>
    <t>21-974516591</t>
  </si>
  <si>
    <t>JOSE DO CARMO DE SOUZA</t>
  </si>
  <si>
    <t>11-975913991</t>
  </si>
  <si>
    <t>MARIA FLOR DE MAIO CHAVES</t>
  </si>
  <si>
    <t>JARDIM CAPELINHA</t>
  </si>
  <si>
    <t>11-958859319</t>
  </si>
  <si>
    <t>SIMONE FRANCISCA DA SILVA BELO</t>
  </si>
  <si>
    <t>JARDIM SANTA BARBARA</t>
  </si>
  <si>
    <t>11-951441623</t>
  </si>
  <si>
    <t>PAULO CESAR TARDEM</t>
  </si>
  <si>
    <t>21-994442198</t>
  </si>
  <si>
    <t>DIONE MARIA DA SILVA COSTA</t>
  </si>
  <si>
    <t>ROCHA</t>
  </si>
  <si>
    <t>21-991983212</t>
  </si>
  <si>
    <t>CLAUCIO MARIO GIOCONDO</t>
  </si>
  <si>
    <t>JARDIM COIMBRA</t>
  </si>
  <si>
    <t>11-982432802</t>
  </si>
  <si>
    <t>MOISEIS ALVES LUNA FILHO</t>
  </si>
  <si>
    <t>BARUERI</t>
  </si>
  <si>
    <t>VILA ENGENHO NOVO</t>
  </si>
  <si>
    <t>11-978005358</t>
  </si>
  <si>
    <t>CARLOS ALBERTO CAMPOS FAMA</t>
  </si>
  <si>
    <t>VILA SUZANA</t>
  </si>
  <si>
    <t>11-989358393</t>
  </si>
  <si>
    <t>RICARDO FELIX ROSA</t>
  </si>
  <si>
    <t>21-971014131</t>
  </si>
  <si>
    <t>20/05/2026 09:40</t>
  </si>
  <si>
    <t>MARCELO DE SOUZA VIEIRA</t>
  </si>
  <si>
    <t>21-985728750</t>
  </si>
  <si>
    <t>JOSE FILHO DE OLIVEIRA</t>
  </si>
  <si>
    <t>JARDIM SANTA HELENA</t>
  </si>
  <si>
    <t>11-930125944</t>
  </si>
  <si>
    <t>EDSON NOGUEIRA BASTOS</t>
  </si>
  <si>
    <t>PARQUE BRISTOL</t>
  </si>
  <si>
    <t>11-993455689</t>
  </si>
  <si>
    <t>PAULO CESAR RIBEIRO CARNEIRO</t>
  </si>
  <si>
    <t>SAO BENEDITO</t>
  </si>
  <si>
    <t>21-982523571</t>
  </si>
  <si>
    <t>22/05/2026 11:00</t>
  </si>
  <si>
    <t>JOSE INALDO DE FREITAS</t>
  </si>
  <si>
    <t>11-940399047</t>
  </si>
  <si>
    <t>ELIEGE BARBOSA AZEVEDO OLIVEIRA</t>
  </si>
  <si>
    <t>34029092861</t>
  </si>
  <si>
    <t>11946114070 11946114070</t>
  </si>
  <si>
    <t>Amil Paulistano</t>
  </si>
  <si>
    <t>Forms Total Care</t>
  </si>
  <si>
    <t>LEDA COSTA SODRE HATANO</t>
  </si>
  <si>
    <t xml:space="preserve">003.680.928-44 </t>
  </si>
  <si>
    <t xml:space="preserve">SAO PAULO </t>
  </si>
  <si>
    <t>null</t>
  </si>
  <si>
    <t>EDNICIO CAETANO</t>
  </si>
  <si>
    <t>MAIRIPORA</t>
  </si>
  <si>
    <t>MANTIQUEIRA</t>
  </si>
  <si>
    <t>(11)955544703</t>
  </si>
  <si>
    <t>RICARDO ALVES DA SILVA</t>
  </si>
  <si>
    <t xml:space="preserve">380.320.378-37 </t>
  </si>
  <si>
    <t>m</t>
  </si>
  <si>
    <t xml:space="preserve">SAO BERNARDO DO CAMPO </t>
  </si>
  <si>
    <t>MONTANHAO</t>
  </si>
  <si>
    <t>REALIZADA</t>
  </si>
  <si>
    <t>BAIXA</t>
  </si>
  <si>
    <t>JUBILEU FERNANDES PORTELA</t>
  </si>
  <si>
    <t>11940087310 11940087310 11940087310</t>
  </si>
  <si>
    <t>MEDIA</t>
  </si>
  <si>
    <t>NILTON CORREA FILHO</t>
  </si>
  <si>
    <t>21982159815 21995490770 21995540815</t>
  </si>
  <si>
    <t xml:space="preserve">Viva Bem </t>
  </si>
  <si>
    <t>CIRO MARTINS DOS SANTOS</t>
  </si>
  <si>
    <t>JARDIM INDEPENDENCIA</t>
  </si>
  <si>
    <t>11 932287930</t>
  </si>
  <si>
    <t>MARLI ALVES DOS SANTOS</t>
  </si>
  <si>
    <t>07918612876</t>
  </si>
  <si>
    <t>EDIVALDO RODRIGUES BARROS</t>
  </si>
  <si>
    <t>LAUZANE PAULISTA</t>
  </si>
  <si>
    <t>ODETINO SOUSA SILVA</t>
  </si>
  <si>
    <t>JARDIM MARISTELA</t>
  </si>
  <si>
    <t>ALEXANDRA DE SOUZA SILVA</t>
  </si>
  <si>
    <t>PAULO ROBERTO MUNHOES</t>
  </si>
  <si>
    <t>VILA ALPINA</t>
  </si>
  <si>
    <t>Gilda Carla Batista Santos</t>
  </si>
  <si>
    <t>VILA ARAGUAIA</t>
  </si>
  <si>
    <t>VILA FIRMIANO PINTO</t>
  </si>
  <si>
    <t>11982629141 1129145209</t>
  </si>
  <si>
    <t>fora do escopo</t>
  </si>
  <si>
    <t>MANOEL JESUS DOS SANTOS</t>
  </si>
  <si>
    <t xml:space="preserve">999.991.888-34 </t>
  </si>
  <si>
    <t>ELIETE GUEDES MENDONCA</t>
  </si>
  <si>
    <t>951.619.968-20</t>
  </si>
  <si>
    <t>AUGENECY MENDES DOS SANTOS</t>
  </si>
  <si>
    <t xml:space="preserve">764.034.837-49 </t>
  </si>
  <si>
    <t xml:space="preserve">BELFORD ROXO </t>
  </si>
  <si>
    <t>21-994680670</t>
  </si>
  <si>
    <t>ADAO LUIZ DO NASCIMENTO</t>
  </si>
  <si>
    <t xml:space="preserve">000.601.958-78 </t>
  </si>
  <si>
    <t>ANTONIO EMILIO GLIBER</t>
  </si>
  <si>
    <t>944.640.228-04</t>
  </si>
  <si>
    <t>INDEPENDENCIA</t>
  </si>
  <si>
    <t>FRANKLIN DE OLIVEIRA TAKAHASHI</t>
  </si>
  <si>
    <t>143.911.758-60</t>
  </si>
  <si>
    <t>LEONICE DA CONCEICAO AMENOR</t>
  </si>
  <si>
    <t>859.911.476-04</t>
  </si>
  <si>
    <t>21-987871874</t>
  </si>
  <si>
    <t>ADAO BUENO DO ROSARIO</t>
  </si>
  <si>
    <t>JARDIM RECANTO DO SOL</t>
  </si>
  <si>
    <t xml:space="preserve">paciente de arritmia </t>
  </si>
  <si>
    <t>CARLOS ALBERTO PEREIRA LOPES</t>
  </si>
  <si>
    <t>11/05/2026 10:00</t>
  </si>
  <si>
    <t>SADAKO HONA NISHIDA</t>
  </si>
  <si>
    <t>11981373599 11981373599</t>
  </si>
  <si>
    <t>12/05/2026 11:20</t>
  </si>
  <si>
    <t>MARIA FRANCO</t>
  </si>
  <si>
    <t>07/05/2026 14:20</t>
  </si>
  <si>
    <t>Espaço amil santa helena</t>
  </si>
  <si>
    <t>PAULO CESAR DA SILVA LIMA</t>
  </si>
  <si>
    <t>829.179.227-53</t>
  </si>
  <si>
    <t>EDNA CLAUDIA DE SOUSA</t>
  </si>
  <si>
    <t>JARDIM BRITANIA</t>
  </si>
  <si>
    <t>11954611403 1139117416</t>
  </si>
  <si>
    <t>MARCO ANTONIO FERNANDES</t>
  </si>
  <si>
    <t>JOELMA SUELI SARDINHA</t>
  </si>
  <si>
    <t>HERNANDE CAETANO DE OLIVEIRA</t>
  </si>
  <si>
    <t>JARDIM SABARA</t>
  </si>
  <si>
    <t>CICERA MARIA DA SILVA SANTOS</t>
  </si>
  <si>
    <t>11956294784 11947176346</t>
  </si>
  <si>
    <t>ELZA PRENDIM</t>
  </si>
  <si>
    <t>VILA PROGREDIOR</t>
  </si>
  <si>
    <t>11979710509 11981362706</t>
  </si>
  <si>
    <t>ANTONIO FELIX SOBRINHO</t>
  </si>
  <si>
    <t>003.135.778-46</t>
  </si>
  <si>
    <t xml:space="preserve">JARDIM IPANEMA (CIDADE LIDER) </t>
  </si>
  <si>
    <t>PAULO MILAGRES DO NASCIMENTO</t>
  </si>
  <si>
    <t>341.902.877-68</t>
  </si>
  <si>
    <t xml:space="preserve">NOVA AMERICA </t>
  </si>
  <si>
    <t>21-966034739/21-960151885</t>
  </si>
  <si>
    <t>SERGIO JORGETO</t>
  </si>
  <si>
    <t>11979657054 1155227058 11988175695</t>
  </si>
  <si>
    <t>GERALDO DE OLIVEIRA SILVA</t>
  </si>
  <si>
    <t>355.917.147-49</t>
  </si>
  <si>
    <t xml:space="preserve">CEILANDIA SUL </t>
  </si>
  <si>
    <t>BRUNO DE MELO SARAIVA</t>
  </si>
  <si>
    <t>055.273.247-81</t>
  </si>
  <si>
    <t>21-975810527/21-982682057</t>
  </si>
  <si>
    <t xml:space="preserve">Jose Carlos da Silva Andrade </t>
  </si>
  <si>
    <t>(21)968831502</t>
  </si>
  <si>
    <t>Obito</t>
  </si>
  <si>
    <t>MICHEL LOBATO LARANJEIRA</t>
  </si>
  <si>
    <t>347.110.658-81</t>
  </si>
  <si>
    <t>(11)982504520</t>
  </si>
  <si>
    <t>TERESA DE JESUS LISBOA</t>
  </si>
  <si>
    <t>JARDIM IRACEMA</t>
  </si>
  <si>
    <t>(11)943653005 11958990774</t>
  </si>
  <si>
    <t>ROBSON ROGERIO DOS SANTOS</t>
  </si>
  <si>
    <t>019.442.527-46</t>
  </si>
  <si>
    <t>DAS GRAÇAS</t>
  </si>
  <si>
    <t>(21)-975930988</t>
  </si>
  <si>
    <t>5. Alta por outros motivos</t>
  </si>
  <si>
    <t>CLAUDIO SOARES DA SILVA</t>
  </si>
  <si>
    <t>VILA SARAPUI</t>
  </si>
  <si>
    <t>(21)964944267</t>
  </si>
  <si>
    <t>CICERO FIRMINO BARBOSA</t>
  </si>
  <si>
    <t>PARAISO</t>
  </si>
  <si>
    <t>(11)991344625</t>
  </si>
  <si>
    <t>Nega Diagnostico</t>
  </si>
  <si>
    <t>HILTON ZEFERINO DA SILVA</t>
  </si>
  <si>
    <t>(11)980728517</t>
  </si>
  <si>
    <t>Diagnostico descartavel</t>
  </si>
  <si>
    <t>ROMAN TABOADA IGLESIAS</t>
  </si>
  <si>
    <t>21-991051132</t>
  </si>
  <si>
    <t>Passou em Consulta para controle de  HAS</t>
  </si>
  <si>
    <t>PEDRO HENRIQUE DE ANDRADE CORDEIRO</t>
  </si>
  <si>
    <t>JARDIM SANTA EFIGENIA</t>
  </si>
  <si>
    <t>11-957304177</t>
  </si>
  <si>
    <t>30/04/2026 16:20</t>
  </si>
  <si>
    <t>ADEMIR GONCALVES</t>
  </si>
  <si>
    <t>11-926802908</t>
  </si>
  <si>
    <t>JOSE MONTEIRO DE MELO</t>
  </si>
  <si>
    <t>11-972250295</t>
  </si>
  <si>
    <t>04/05/2026 14:00</t>
  </si>
  <si>
    <t>MARIA LEONIDA PEREIRA VITAL</t>
  </si>
  <si>
    <t>JARDIM JADE</t>
  </si>
  <si>
    <t>11-953378357</t>
  </si>
  <si>
    <t>AMALIA MARIA SANTOS LIMA</t>
  </si>
  <si>
    <t>11-962830530</t>
  </si>
  <si>
    <t>MARCO ANTONIO ROMEIRO DA COSTA</t>
  </si>
  <si>
    <t>21-969105519</t>
  </si>
  <si>
    <t>APARECIDA DONIZETTE DA SILVA</t>
  </si>
  <si>
    <t>11-980804945</t>
  </si>
  <si>
    <t>5. Alta por exclusão do plano</t>
  </si>
  <si>
    <t>JULIA RODRIGUES BRANDAO</t>
  </si>
  <si>
    <t>MOGI DAS CRUZES</t>
  </si>
  <si>
    <t>PARQUE RESIDENCIAL ITAPETI</t>
  </si>
  <si>
    <t>11-994032058</t>
  </si>
  <si>
    <t>AUGUSTA DUPONT</t>
  </si>
  <si>
    <t>SANTANA DE PARNAIBA</t>
  </si>
  <si>
    <t>ALPHAVILLE</t>
  </si>
  <si>
    <t>11-998332107</t>
  </si>
  <si>
    <t>NOEMIA DE CAMARGO ANTONIO</t>
  </si>
  <si>
    <t>11-993006962</t>
  </si>
  <si>
    <t>CLAUDIO ROSSI</t>
  </si>
  <si>
    <t>11-985197784</t>
  </si>
  <si>
    <t>JOSE HENRIQUE FIGUEIREDO VASCONCELOS</t>
  </si>
  <si>
    <t>11-987084762</t>
  </si>
  <si>
    <t>RUBEM DE OLIVEIRA</t>
  </si>
  <si>
    <t>PARQUE CRUZEIRO DO SUL</t>
  </si>
  <si>
    <t>11-997232997</t>
  </si>
  <si>
    <t>PATRICIA CSANK RIBEIRO KURACHI</t>
  </si>
  <si>
    <t>SANTA ISABEL</t>
  </si>
  <si>
    <t>11-940116677</t>
  </si>
  <si>
    <t>ADELSON ALVES SILVA</t>
  </si>
  <si>
    <t>BATISTINI</t>
  </si>
  <si>
    <t>11-947763722</t>
  </si>
  <si>
    <t>20/05/2026 11:00</t>
  </si>
  <si>
    <t>MAURICIO RIBEIRO</t>
  </si>
  <si>
    <t>PAULICEIA</t>
  </si>
  <si>
    <t>11-959759066</t>
  </si>
  <si>
    <t>NORMA LOPES DA SILVA SOARES</t>
  </si>
  <si>
    <t>RICARDO DE ALBUQUERQUE</t>
  </si>
  <si>
    <t>21-965176769</t>
  </si>
  <si>
    <t>TRAJANO BARRETO VIANA</t>
  </si>
  <si>
    <t>21-964865080</t>
  </si>
  <si>
    <t>MARTA ALVES ZVIR</t>
  </si>
  <si>
    <t>VILA GUIOMAR</t>
  </si>
  <si>
    <t>11-987526727</t>
  </si>
  <si>
    <t>HUDEMBERG FERRAZ DE SOUSA</t>
  </si>
  <si>
    <t>VILA HERMINIA</t>
  </si>
  <si>
    <t>11-996706466</t>
  </si>
  <si>
    <t>JOSE PAULO DA COSTA FILHO</t>
  </si>
  <si>
    <t>VILA MARINA</t>
  </si>
  <si>
    <t>11-998475799</t>
  </si>
  <si>
    <t>NATANAEL JOSE SOARES</t>
  </si>
  <si>
    <t>11-995922884</t>
  </si>
  <si>
    <t>JAYME CARNEIRO RODRIGUES JUNIOR</t>
  </si>
  <si>
    <t>21-981881519</t>
  </si>
  <si>
    <t>NAJUN AZARIO FLATO TURNER</t>
  </si>
  <si>
    <t>ITAIM BIBI</t>
  </si>
  <si>
    <t>11-988780761</t>
  </si>
  <si>
    <t>GUILHERME ASSIS DE LIMA</t>
  </si>
  <si>
    <t>COLONIA (ZONA SUL)</t>
  </si>
  <si>
    <t>11-946268431</t>
  </si>
  <si>
    <t>VALDECIR COSTA DA SILVA</t>
  </si>
  <si>
    <t>PONTE GRANDE</t>
  </si>
  <si>
    <t>11-968363636</t>
  </si>
  <si>
    <t>GILDA CARLA BATISTA SANTOS</t>
  </si>
  <si>
    <t>21-994462900</t>
  </si>
  <si>
    <t>MARCOS HENRIQUE FORTES</t>
  </si>
  <si>
    <t>11-991544790</t>
  </si>
  <si>
    <t>FRANCISCO DE ASSIS GONZAGA CAETANO</t>
  </si>
  <si>
    <t xml:space="preserve">713.438.577-91 </t>
  </si>
  <si>
    <t xml:space="preserve">SAO JOAO DE MERITI </t>
  </si>
  <si>
    <t>21-988365794</t>
  </si>
  <si>
    <t>FRANCISCO VERONICO PEREIRA DE SOUSA</t>
  </si>
  <si>
    <t>264.927.038-12</t>
  </si>
  <si>
    <t>Paciente demitido, recusa programa pois não sabe se irá manter o plano ativo.</t>
  </si>
  <si>
    <t>21/05/2026 10:00</t>
  </si>
  <si>
    <t>GELCELIA PEREIRA QUARESMA</t>
  </si>
  <si>
    <t>(21)997076448</t>
  </si>
  <si>
    <t>6. Contato sem sucesso</t>
  </si>
  <si>
    <t>Contato Sem Sucesso</t>
  </si>
  <si>
    <t>MAURO ROSSIN FILHO</t>
  </si>
  <si>
    <t>(11)980281698</t>
  </si>
  <si>
    <t>DEOLINDA AGUIAR DE OLIVEIRA</t>
  </si>
  <si>
    <t>CABUÇU</t>
  </si>
  <si>
    <t>(21)964034734</t>
  </si>
  <si>
    <t>NELVAIR CABRAL DA SILVA</t>
  </si>
  <si>
    <t>214.595.088-58</t>
  </si>
  <si>
    <t>VILA SANTISTA</t>
  </si>
  <si>
    <t>(11)933794590</t>
  </si>
  <si>
    <t>RUI MALERBA</t>
  </si>
  <si>
    <t>PARQUE CONTINENTAL</t>
  </si>
  <si>
    <t>(11)954079771 11954079771</t>
  </si>
  <si>
    <t>EDGAR FERREIRA BARBOSA</t>
  </si>
  <si>
    <t>019.774.437-02</t>
  </si>
  <si>
    <t>JARDIM HELOISA</t>
  </si>
  <si>
    <t>(11)967482239</t>
  </si>
  <si>
    <t>HIRTE LUCATTO DE ROSA</t>
  </si>
  <si>
    <t>MOOCA</t>
  </si>
  <si>
    <t>(11)947872162</t>
  </si>
  <si>
    <t>JOSEFINA PEREIRA DE ANDRADE</t>
  </si>
  <si>
    <t>092.515.958-10</t>
  </si>
  <si>
    <t>TABOAO</t>
  </si>
  <si>
    <t>(11)971270511</t>
  </si>
  <si>
    <t>ANDREIA DOS SANTOS LIMA</t>
  </si>
  <si>
    <t>PALHADA</t>
  </si>
  <si>
    <t>(21)987595747</t>
  </si>
  <si>
    <t>SERGIO AUGUSTO LEITE JUNIOR</t>
  </si>
  <si>
    <t>(21)-970280658</t>
  </si>
  <si>
    <t>MARIA DA CONCEICAO OLIVEIRA BATISTA</t>
  </si>
  <si>
    <t>(11)996104300</t>
  </si>
  <si>
    <t>NILZA APARECIDA DA ROCHA</t>
  </si>
  <si>
    <t>(11)35643679</t>
  </si>
  <si>
    <t>PAULA CASTRICINI ESPINDOLA</t>
  </si>
  <si>
    <t>VILA MERITI</t>
  </si>
  <si>
    <t>(21)981292020</t>
  </si>
  <si>
    <t>MARIA APARECIDA CORDEIRO DOS SANTOS</t>
  </si>
  <si>
    <t>JARDIM COLIBRI</t>
  </si>
  <si>
    <t>(11)987873988 11948017855</t>
  </si>
  <si>
    <t>ANGELINA SIMOES DA SILVA</t>
  </si>
  <si>
    <t>646.126.357-87</t>
  </si>
  <si>
    <t>PARQUE XEREM</t>
  </si>
  <si>
    <t>(21)-999443073</t>
  </si>
  <si>
    <t>HELOISA NEILI CORDEIRO FERNANDES</t>
  </si>
  <si>
    <t>520.206.578-72</t>
  </si>
  <si>
    <t>CAMPO BELO</t>
  </si>
  <si>
    <t>(11)11960000000</t>
  </si>
  <si>
    <t>VLADIMIR JANSON</t>
  </si>
  <si>
    <t>CENTRO (CAUCAIA DO ALTO)</t>
  </si>
  <si>
    <t>(11)973391177</t>
  </si>
  <si>
    <t>MARCO VALERIO CATALDO DE OLIVEIRA</t>
  </si>
  <si>
    <t>EMBARE</t>
  </si>
  <si>
    <t>(13)988010052</t>
  </si>
  <si>
    <t>ANTONIO JOSE ARAUJO DE OLIVEIRA</t>
  </si>
  <si>
    <t>IPIRANGA</t>
  </si>
  <si>
    <t>(11)980622465</t>
  </si>
  <si>
    <t>SOLON TEIXEIRA PARENTES</t>
  </si>
  <si>
    <t>VILA SAO JOSE (IPIRANGA)</t>
  </si>
  <si>
    <t>(11)949038902</t>
  </si>
  <si>
    <t>ROSANGELA DA SILVA LUZ DE AMORIM</t>
  </si>
  <si>
    <t>243948743</t>
  </si>
  <si>
    <t>21988484474 21988484474 21966826487</t>
  </si>
  <si>
    <t>KAYQUE SILVA DE OLIVEIRA</t>
  </si>
  <si>
    <t xml:space="preserve">425.847.508-48 </t>
  </si>
  <si>
    <t>CONCEICAO APARECIDA PEREIRA JUKNEVICIUS</t>
  </si>
  <si>
    <t xml:space="preserve">044.018.738-90 </t>
  </si>
  <si>
    <t>PARQUE DAS ARVORES</t>
  </si>
  <si>
    <t>ANA MARIA DO SOCORRO SENA BERNARDES</t>
  </si>
  <si>
    <t>VANDERLEI ROBERTO FERREIRA</t>
  </si>
  <si>
    <t>DJALMA SOUZA MENDONCA</t>
  </si>
  <si>
    <t>ENGENHO DO PORTO</t>
  </si>
  <si>
    <t>21986879926</t>
  </si>
  <si>
    <t>MARIA CRISTINA FONTAINHA</t>
  </si>
  <si>
    <t>127.359.258-11</t>
  </si>
  <si>
    <t>PARQUE SANTO ANTONIO</t>
  </si>
  <si>
    <t>FLAVIO RENATO FLORENCIO DE ALMEIDA</t>
  </si>
  <si>
    <t>ADERCIO TELES DE CARVALHO</t>
  </si>
  <si>
    <t>JARDIM ROSA DE FRANCA</t>
  </si>
  <si>
    <t>11961018288 11973336396</t>
  </si>
  <si>
    <t>FILIPE LUIZ DO NASCIMENTO MARTINS</t>
  </si>
  <si>
    <t>090.565.077-88</t>
  </si>
  <si>
    <t>21-968739148/999275657</t>
  </si>
  <si>
    <t>EDSON DOMINGUES</t>
  </si>
  <si>
    <t xml:space="preserve">RIO DE JANEIRO </t>
  </si>
  <si>
    <t>21980805758 21976288326</t>
  </si>
  <si>
    <t>GIDALVA SANTOS LEITE</t>
  </si>
  <si>
    <t>(11)97275-0836</t>
  </si>
  <si>
    <t>JOSE CARLOS DE FREITAS</t>
  </si>
  <si>
    <t>RAMOS</t>
  </si>
  <si>
    <t>(21)970389143</t>
  </si>
  <si>
    <t>CELSO FERREIRA DE CASTRO</t>
  </si>
  <si>
    <t>(21)992038038</t>
  </si>
  <si>
    <t>MARIA ALICE FERREIRA DE MOURA</t>
  </si>
  <si>
    <t>(21)993575200</t>
  </si>
  <si>
    <t>ARLINDO LETA</t>
  </si>
  <si>
    <t>(21)983914747</t>
  </si>
  <si>
    <t>EDDIE GONCALVES DA SILVA JUNIOR</t>
  </si>
  <si>
    <t>(21)85668425</t>
  </si>
  <si>
    <t>TEREZA DOS REMEDIOS FERREIRA</t>
  </si>
  <si>
    <t>(21)983822835</t>
  </si>
  <si>
    <t>LEANDRA FALCAO DE MELO</t>
  </si>
  <si>
    <t>PARADA XV DE NOVEMBRO</t>
  </si>
  <si>
    <t>(11)974947850</t>
  </si>
  <si>
    <t>ELZA MARIA RODRIGUES</t>
  </si>
  <si>
    <t>(11)999999999</t>
  </si>
  <si>
    <t>VERA LUCIA CAMINHA AFONSO</t>
  </si>
  <si>
    <t>(11)999751212</t>
  </si>
  <si>
    <t>ERNST ADALBERT ESKELSEN FILHO</t>
  </si>
  <si>
    <t>VILA MORAES</t>
  </si>
  <si>
    <t>(11)964223522</t>
  </si>
  <si>
    <t>ANTONIO ROSA SILVA FILHO</t>
  </si>
  <si>
    <t>GRAMACHO</t>
  </si>
  <si>
    <t>(21)975594148</t>
  </si>
  <si>
    <t>MANOEL JOSE DO NASCIMENTO</t>
  </si>
  <si>
    <t>(11)952147250</t>
  </si>
  <si>
    <t>ANTONIO CARLOS COSTA DE SOUZA</t>
  </si>
  <si>
    <t>TODOS OS SANTOS</t>
  </si>
  <si>
    <t>(21)982489144</t>
  </si>
  <si>
    <t>CHAN SOK VA LIAW</t>
  </si>
  <si>
    <t>(11)986956000</t>
  </si>
  <si>
    <t>MARIA DE FREITAS SPINOLA</t>
  </si>
  <si>
    <t>SANTANA</t>
  </si>
  <si>
    <t>(13)981126669</t>
  </si>
  <si>
    <t>SEBASTIANA FIQUES FERNANDES</t>
  </si>
  <si>
    <t>VILA ALZIRA</t>
  </si>
  <si>
    <t>(13)99601-9741</t>
  </si>
  <si>
    <t>JOSE HIGINO MALDONADO DE SOUZA</t>
  </si>
  <si>
    <t>VILA ESTER (ZONA NORTE)</t>
  </si>
  <si>
    <t>(11)934094466</t>
  </si>
  <si>
    <t>TATIANA MENDES PORTO</t>
  </si>
  <si>
    <t>(11)995613575</t>
  </si>
  <si>
    <t>FERNANDO CARBONARI FREIRE BRAGA</t>
  </si>
  <si>
    <t>VILA IRMAOS ARNONI</t>
  </si>
  <si>
    <t>(11)981609904</t>
  </si>
  <si>
    <t>CELIA REGINA PINHEIRO SADALLA</t>
  </si>
  <si>
    <t>(11)981319461</t>
  </si>
  <si>
    <t>LAURA MARIA GIL</t>
  </si>
  <si>
    <t>VILA MADALENA</t>
  </si>
  <si>
    <t>(11)993470989</t>
  </si>
  <si>
    <t>MARIA DA GRACA RODRIGUES BUENO</t>
  </si>
  <si>
    <t>(11)992688692</t>
  </si>
  <si>
    <t>MARTA STRABELLI NAZARIO</t>
  </si>
  <si>
    <t>VILA UBERABINHA</t>
  </si>
  <si>
    <t>(11)99900-6632</t>
  </si>
  <si>
    <t>RENATO MEDEIROS DA SILVA</t>
  </si>
  <si>
    <t>(21)998909134</t>
  </si>
  <si>
    <t>DANIELLE SOUSA AGUIAR</t>
  </si>
  <si>
    <t>CIDADE CONTINENTAL</t>
  </si>
  <si>
    <t>(11)992616540</t>
  </si>
  <si>
    <t>CHARLES LIMA DE MENEZES</t>
  </si>
  <si>
    <t>REPUBLICA</t>
  </si>
  <si>
    <t>(11)993985488</t>
  </si>
  <si>
    <t>VALDIR ROSSI</t>
  </si>
  <si>
    <t>07022220891</t>
  </si>
  <si>
    <t>FRANCISCO NUNES DA SILVA</t>
  </si>
  <si>
    <t>21-992864965</t>
  </si>
  <si>
    <t>MARIA DAS NEVES DOS SANTOS</t>
  </si>
  <si>
    <t>21-991353664</t>
  </si>
  <si>
    <t>WALTER GONCALVES COUTINHO</t>
  </si>
  <si>
    <t>11-980997751</t>
  </si>
  <si>
    <t>JORGE DE AZEVEDO COSTA</t>
  </si>
  <si>
    <t>21-993258001</t>
  </si>
  <si>
    <t>JOAO ALFREDO RODRIGUES IRMAOS</t>
  </si>
  <si>
    <t>21-980574383</t>
  </si>
  <si>
    <t>DENISE BARBOSA DE ANDRADE GOMES</t>
  </si>
  <si>
    <t>11-998728542</t>
  </si>
  <si>
    <t>MARIA JULIA DO AMPARO</t>
  </si>
  <si>
    <t>11-996728967</t>
  </si>
  <si>
    <t>PEDRO PAULO DA SILVA</t>
  </si>
  <si>
    <t>21-964967412</t>
  </si>
  <si>
    <t>DINIZ ALEXANDRE DE MELO PEREIRA</t>
  </si>
  <si>
    <t>21-994569617</t>
  </si>
  <si>
    <t>NEUSA DE ANDRADE VIEIRA</t>
  </si>
  <si>
    <t>FREI FABIANO</t>
  </si>
  <si>
    <t>21-968373832</t>
  </si>
  <si>
    <t>MARLENE CELESTE ESTRUC VICENTE</t>
  </si>
  <si>
    <t>21-995772832</t>
  </si>
  <si>
    <t>CLEBIO DA COSTA MEIRELES</t>
  </si>
  <si>
    <t>21-980112739</t>
  </si>
  <si>
    <t>ARI BUENO</t>
  </si>
  <si>
    <t>I.A.P.I.</t>
  </si>
  <si>
    <t>11-997899690</t>
  </si>
  <si>
    <t>SERGIO ROSA</t>
  </si>
  <si>
    <t>JARDIM ALZIRA FRANCO</t>
  </si>
  <si>
    <t>11-994947911</t>
  </si>
  <si>
    <t>MARIA DA CONCEICAO MOURA</t>
  </si>
  <si>
    <t>21-971318329</t>
  </si>
  <si>
    <t>SEBASTIAO MENDES DE SOUSA</t>
  </si>
  <si>
    <t>11-958312769</t>
  </si>
  <si>
    <t>IVONE MORTEAN DE LAURENTIS</t>
  </si>
  <si>
    <t>11-992261204</t>
  </si>
  <si>
    <t>CELINA GARCIA VIEIRA</t>
  </si>
  <si>
    <t>JARDIM DUPRAT</t>
  </si>
  <si>
    <t>11-967287024</t>
  </si>
  <si>
    <t>MARTA CRISTINA VIANI</t>
  </si>
  <si>
    <t>JARDIM EMA</t>
  </si>
  <si>
    <t>11-944716353</t>
  </si>
  <si>
    <t>APARECIDA DOMINGUES DE ARAUJO</t>
  </si>
  <si>
    <t>ATIBAIA</t>
  </si>
  <si>
    <t>JARDIM ESTANCIA BRASIL</t>
  </si>
  <si>
    <t>11-999085481</t>
  </si>
  <si>
    <t>ANTONIO CARLOS DA SILVA</t>
  </si>
  <si>
    <t>JARDIM HENRIQUETA</t>
  </si>
  <si>
    <t>11-997992960</t>
  </si>
  <si>
    <t>MARLI TEIXEIRA BERNARDES</t>
  </si>
  <si>
    <t>JARDIM LETICIA</t>
  </si>
  <si>
    <t>11-930109611</t>
  </si>
  <si>
    <t>MITIYO IKEDA</t>
  </si>
  <si>
    <t>11-974817226</t>
  </si>
  <si>
    <t>JOSE SILVA LIMA</t>
  </si>
  <si>
    <t>JARDIM MITSUTANI</t>
  </si>
  <si>
    <t>11-960349199</t>
  </si>
  <si>
    <t>ANTONIO DE ANDRADE SANTOS</t>
  </si>
  <si>
    <t>11-998024274</t>
  </si>
  <si>
    <t>NEUSA ROCHA SANTANA</t>
  </si>
  <si>
    <t>JARDIM PARAVENTI</t>
  </si>
  <si>
    <t>11-954746717</t>
  </si>
  <si>
    <t>ALESSANDRO TORRECILLAS</t>
  </si>
  <si>
    <t>JARDIM PENHA</t>
  </si>
  <si>
    <t>11-981140364</t>
  </si>
  <si>
    <t>EDSON VICENTE DA SILVA</t>
  </si>
  <si>
    <t>JARDIM PRIMAVERA</t>
  </si>
  <si>
    <t>21-981358455</t>
  </si>
  <si>
    <t>MANUEL ALVES DA SILVA</t>
  </si>
  <si>
    <t>JARDIM RIO PEQUENO</t>
  </si>
  <si>
    <t>11-99349-7076</t>
  </si>
  <si>
    <t>SANDRA REGINA DOMINGUES PAES</t>
  </si>
  <si>
    <t>11-994575219</t>
  </si>
  <si>
    <t>MARIZETE SALDANHA NERIS</t>
  </si>
  <si>
    <t>11-96505-8527</t>
  </si>
  <si>
    <t>MARIA MAGDALHA DE ARAUJO</t>
  </si>
  <si>
    <t>11-997093701</t>
  </si>
  <si>
    <t>MASARU JINBARA</t>
  </si>
  <si>
    <t>JARDIM SAO JOAQUIM</t>
  </si>
  <si>
    <t>11-975413220</t>
  </si>
  <si>
    <t>VERA LUCIA RAMOS DA SILVA</t>
  </si>
  <si>
    <t>11-998592821</t>
  </si>
  <si>
    <t>WILSON PEREIRA DA SILVA</t>
  </si>
  <si>
    <t>JARDIM SUARAO (INTERIOR)</t>
  </si>
  <si>
    <t>11-996349124</t>
  </si>
  <si>
    <t>AURORA BALDOINO DUTRA</t>
  </si>
  <si>
    <t>JARDIM TRIANON</t>
  </si>
  <si>
    <t>11-960666508</t>
  </si>
  <si>
    <t>JOANA ALVES FERNANDES</t>
  </si>
  <si>
    <t>JARDIM UMARIZAL</t>
  </si>
  <si>
    <t>11-998855769</t>
  </si>
  <si>
    <t>MARIA PERES DE OLIVEIRA</t>
  </si>
  <si>
    <t>JARDIM VISTA ALEGRE</t>
  </si>
  <si>
    <t>11-953656563</t>
  </si>
  <si>
    <t>CARLOS FERREIRA GONCALVES</t>
  </si>
  <si>
    <t>LARANJEIRAS</t>
  </si>
  <si>
    <t>21-984403217</t>
  </si>
  <si>
    <t>NELSON RAINHO</t>
  </si>
  <si>
    <t>11-992645049</t>
  </si>
  <si>
    <t>MARIO AVELINO SEGADAES DE FARIA</t>
  </si>
  <si>
    <t>21-991039179</t>
  </si>
  <si>
    <t>SIDNEY FOLLA</t>
  </si>
  <si>
    <t>11-940080044</t>
  </si>
  <si>
    <t>IZILDINHA VENANCIO</t>
  </si>
  <si>
    <t>CERQUILHO</t>
  </si>
  <si>
    <t>15-992017727</t>
  </si>
  <si>
    <t>JORGE PAES</t>
  </si>
  <si>
    <t>21-982428110</t>
  </si>
  <si>
    <t>CELSO PASSARELLO</t>
  </si>
  <si>
    <t>11-983439337</t>
  </si>
  <si>
    <t>IVONNE BATISTA CAVALCANTE MIRANDEZ</t>
  </si>
  <si>
    <t>VARGEM GRANDE PAULISTA</t>
  </si>
  <si>
    <t>11-945346625</t>
  </si>
  <si>
    <t>VITORIA REGIA LACERDA SENA</t>
  </si>
  <si>
    <t>PARQUE CONTINENTAL III</t>
  </si>
  <si>
    <t>11-943429583</t>
  </si>
  <si>
    <t>ALBERTO VANKEVICIUS</t>
  </si>
  <si>
    <t>PARQUE DA VILA PRUDENTE</t>
  </si>
  <si>
    <t>11-989262991</t>
  </si>
  <si>
    <t>RENATO BEVERARI</t>
  </si>
  <si>
    <t>PARQUE NAÇOES UNIDAS</t>
  </si>
  <si>
    <t>11-992310357</t>
  </si>
  <si>
    <t>IRACEMA SALES DOS SANTOS MAFALDO</t>
  </si>
  <si>
    <t>11-959327403</t>
  </si>
  <si>
    <t>SANDRA BEZERRA DA SILVA</t>
  </si>
  <si>
    <t>11-965210582</t>
  </si>
  <si>
    <t>VALDEIR DE ALENCAR</t>
  </si>
  <si>
    <t>PARQUE URUGUAIANA</t>
  </si>
  <si>
    <t>21-981903315</t>
  </si>
  <si>
    <t>INES SANTANA DA SILVA</t>
  </si>
  <si>
    <t>PAVUNA</t>
  </si>
  <si>
    <t>21-978935265</t>
  </si>
  <si>
    <t>OTAVIANO ALCIDES ANDRADE</t>
  </si>
  <si>
    <t>PINDORAMA</t>
  </si>
  <si>
    <t>11-942356587</t>
  </si>
  <si>
    <t>MARIA DAS GRACAS DE CARVALHO BATISTA</t>
  </si>
  <si>
    <t>21-992637885</t>
  </si>
  <si>
    <t>WALDEMIRO ALVES DE ARAUJO</t>
  </si>
  <si>
    <t>RECANTO PARAISO</t>
  </si>
  <si>
    <t>01-139155604</t>
  </si>
  <si>
    <t>JOSE BASILIO DE MEDEIRO</t>
  </si>
  <si>
    <t>ROCHA MIRANDA</t>
  </si>
  <si>
    <t>21-975760874</t>
  </si>
  <si>
    <t>BENEDITO BARBOSA DA SILVA</t>
  </si>
  <si>
    <t>ROCHDALE</t>
  </si>
  <si>
    <t>11-967996795</t>
  </si>
  <si>
    <t>JOSE AUGUSTO DE SOUZA TEIXEIRA</t>
  </si>
  <si>
    <t>21-999587291</t>
  </si>
  <si>
    <t>DAVID CALEGARO</t>
  </si>
  <si>
    <t>11-981112659</t>
  </si>
  <si>
    <t>DORLY MARQUES</t>
  </si>
  <si>
    <t>21-984425788</t>
  </si>
  <si>
    <t>ROSENI GOMES DE ALVARENGA</t>
  </si>
  <si>
    <t>21-999720391</t>
  </si>
  <si>
    <t>FRANCISCO JOSE PENEDO</t>
  </si>
  <si>
    <t>21-981918110</t>
  </si>
  <si>
    <t>PAULO JOSE NETO</t>
  </si>
  <si>
    <t>21-995312299</t>
  </si>
  <si>
    <t>DERLI CARLOS CARVALHO MARIA</t>
  </si>
  <si>
    <t>21-991201348</t>
  </si>
  <si>
    <t>CARMEM APARECIDA DA ROCHA</t>
  </si>
  <si>
    <t>11-993295512</t>
  </si>
  <si>
    <t>ANTONIA DE CARVALHO ZAMARIOLI</t>
  </si>
  <si>
    <t>VILA ALEXANDRIA</t>
  </si>
  <si>
    <t>11-996558241</t>
  </si>
  <si>
    <t>SERGIO TRINTINI ZAMARIOLI</t>
  </si>
  <si>
    <t>RAIMUNDO ALVES DE ARRUDA</t>
  </si>
  <si>
    <t>VILA ANTONIETA</t>
  </si>
  <si>
    <t>11-985177178</t>
  </si>
  <si>
    <t>OLINDA PAZ TEODORO</t>
  </si>
  <si>
    <t>21-981008242</t>
  </si>
  <si>
    <t>JOSE DO EGITO LIMEIRA</t>
  </si>
  <si>
    <t>11-964654096</t>
  </si>
  <si>
    <t>MARCIA BRESSIANINI CANCIO</t>
  </si>
  <si>
    <t>VILA CALIFORNIA</t>
  </si>
  <si>
    <t>11-97313-9418</t>
  </si>
  <si>
    <t>TSUKASA KIKUCHI</t>
  </si>
  <si>
    <t>VILA CAMPO GRANDE</t>
  </si>
  <si>
    <t>11-996698522</t>
  </si>
  <si>
    <t>HISSAKO KIKUCHI</t>
  </si>
  <si>
    <t>MARLI SILVA ROCHA</t>
  </si>
  <si>
    <t>VILA CENTENARIO</t>
  </si>
  <si>
    <t>21-966812239</t>
  </si>
  <si>
    <t>JAIRO MOREIRA DE CARVALHO</t>
  </si>
  <si>
    <t>VILA CLEMENTINO</t>
  </si>
  <si>
    <t>11-998190580</t>
  </si>
  <si>
    <t>SANDRA CRISTINE DO PRADO</t>
  </si>
  <si>
    <t>VILA EMIR</t>
  </si>
  <si>
    <t>11-942660413</t>
  </si>
  <si>
    <t>GILBERTO ARROJO DE CAMARGO</t>
  </si>
  <si>
    <t>11-983038586</t>
  </si>
  <si>
    <t>EUFEMIA MARIGUAN DE GRINSTEIN</t>
  </si>
  <si>
    <t>11-991175408</t>
  </si>
  <si>
    <t>CARLOS MAURICIO BARRETO DOS SANTOS</t>
  </si>
  <si>
    <t>VILA SAO PAULO</t>
  </si>
  <si>
    <t>11-982559132</t>
  </si>
  <si>
    <t>ALCIDES JOSE DE OLIVEIRA</t>
  </si>
  <si>
    <t>11-939535029</t>
  </si>
  <si>
    <t>REGINA MARTA RODRIGUES SILVA DE OLIVEIRA</t>
  </si>
  <si>
    <t>11-986243415</t>
  </si>
  <si>
    <t>JOSE LUIS CARONI</t>
  </si>
  <si>
    <t>11-998119733</t>
  </si>
  <si>
    <t>LUCIA SANTOS MANZANO</t>
  </si>
  <si>
    <t>11-993566136</t>
  </si>
  <si>
    <t>LUCIVANE BARBOSA SILVA</t>
  </si>
  <si>
    <t>11-969263016</t>
  </si>
  <si>
    <t>VALQUIRIA BEZERRA VIEIRA</t>
  </si>
  <si>
    <t>11-982969428</t>
  </si>
  <si>
    <t>PAULO EDUARDO PAVONE</t>
  </si>
  <si>
    <t>GRANJA JULIETA</t>
  </si>
  <si>
    <t>11-993943994</t>
  </si>
  <si>
    <t>AILSON PAULINO DA SILVA</t>
  </si>
  <si>
    <t>11-981056287</t>
  </si>
  <si>
    <t>JINALDO ALCANTARA</t>
  </si>
  <si>
    <t>JARDIM ELIZABETH</t>
  </si>
  <si>
    <t>11-991859512</t>
  </si>
  <si>
    <t>AYAKO NARITA NAGASAVA</t>
  </si>
  <si>
    <t>JARDIM GABRIELA</t>
  </si>
  <si>
    <t>11-918535042</t>
  </si>
  <si>
    <t>MARIA FRANCISCA DE SOUZA SILVA</t>
  </si>
  <si>
    <t>11-943963056</t>
  </si>
  <si>
    <t>ADRIANA APARECIDA DE SOUZA</t>
  </si>
  <si>
    <t>11-965840506</t>
  </si>
  <si>
    <t>12/05/2026 15:20</t>
  </si>
  <si>
    <t>JOAO ELIAS DOS SANTOS</t>
  </si>
  <si>
    <t>JARDIM SANTA EDWIGES (CAPELA DO SOCORRO)</t>
  </si>
  <si>
    <t>11-949470389</t>
  </si>
  <si>
    <t>SABRINA DE PAULA SOUSA</t>
  </si>
  <si>
    <t>11-994991973</t>
  </si>
  <si>
    <t>JOAQUIM GARCIA DE ARAUJO</t>
  </si>
  <si>
    <t>RECANTO VERDE DO SOL</t>
  </si>
  <si>
    <t>11-951483009</t>
  </si>
  <si>
    <t>CARLOS ANTONIO PASSOS DO ESPIRITO SANTO</t>
  </si>
  <si>
    <t>VILA GEA</t>
  </si>
  <si>
    <t>14-947178751</t>
  </si>
  <si>
    <t>ANA OLIVEIRA LEITE</t>
  </si>
  <si>
    <t>11-977662694</t>
  </si>
  <si>
    <t>JOSE CARLOS DOS SANTOS TOMAS</t>
  </si>
  <si>
    <t>11-992177004</t>
  </si>
  <si>
    <t>LEONEL HARUNOBU OGAWA</t>
  </si>
  <si>
    <t>11-984130149</t>
  </si>
  <si>
    <t>GABRIELA DA SILVA LEMOS</t>
  </si>
  <si>
    <t>BARROS FILHO</t>
  </si>
  <si>
    <t>21-970126275</t>
  </si>
  <si>
    <t>VIVIANE DE FREITAS FERREIRA</t>
  </si>
  <si>
    <t>CABUIS</t>
  </si>
  <si>
    <t>21-983227994</t>
  </si>
  <si>
    <t>TANIA MARIA COELHO DOS SANTOS</t>
  </si>
  <si>
    <t>21-993201306</t>
  </si>
  <si>
    <t>LUCIA MARIA ALMEIDA DE SOUZA</t>
  </si>
  <si>
    <t>21-973701140</t>
  </si>
  <si>
    <t>OSVALDO RODRIGUES DA SILVA</t>
  </si>
  <si>
    <t>21-968723937</t>
  </si>
  <si>
    <t>TAINA PAULA SANTOS DA SILVA</t>
  </si>
  <si>
    <t>21-994699107</t>
  </si>
  <si>
    <t>DEIVES GOULART DOS SANTOS</t>
  </si>
  <si>
    <t>21-987346536</t>
  </si>
  <si>
    <t>GILDELISIA ROSA DA SILVA MEIRA</t>
  </si>
  <si>
    <t>11-947480032</t>
  </si>
  <si>
    <t>ADEMAR ISAIAS DE SOUZA FILHO</t>
  </si>
  <si>
    <t>21-969172371</t>
  </si>
  <si>
    <t>SILVIA ZOEGA RODRIGUES GUIMARAES</t>
  </si>
  <si>
    <t>COELHO NETO</t>
  </si>
  <si>
    <t>21-993368049</t>
  </si>
  <si>
    <t>TATIANA FIGUEIREDO DO AMARAL GURGEL</t>
  </si>
  <si>
    <t>21-989267079</t>
  </si>
  <si>
    <t>JANE JOSE DE SOUZA</t>
  </si>
  <si>
    <t>NI-NI</t>
  </si>
  <si>
    <t>ADRIANA VICENTE DA SILVA CARDOSO</t>
  </si>
  <si>
    <t>21-993025833</t>
  </si>
  <si>
    <t>SUELI LUIZ VARGAS</t>
  </si>
  <si>
    <t>JARDIM SANTO ANTONIO</t>
  </si>
  <si>
    <t>21-975112965</t>
  </si>
  <si>
    <t>JORGEMAR LEMOS</t>
  </si>
  <si>
    <t>PEDRA DE GUARATIBA</t>
  </si>
  <si>
    <t>21-996756988</t>
  </si>
  <si>
    <t>RENATA VERONICA DA ROCHA OUEVERNEY AGUIAR</t>
  </si>
  <si>
    <t>21-970003898</t>
  </si>
  <si>
    <t>MARIA DA PENHA FERREIRA</t>
  </si>
  <si>
    <t>TANQUE</t>
  </si>
  <si>
    <t>21-971673857</t>
  </si>
  <si>
    <t>ELIANA MARIA JOSE REIS SILVA</t>
  </si>
  <si>
    <t>11-99600-7067</t>
  </si>
  <si>
    <t>ELISABETE SILVEIRA DA CRUZ</t>
  </si>
  <si>
    <t>21-994541497</t>
  </si>
  <si>
    <t>APARECIDO BATISTA DOS SANTOS</t>
  </si>
  <si>
    <t>BARCELONA</t>
  </si>
  <si>
    <t>11-971763441</t>
  </si>
  <si>
    <t>FRANCISCO GOMES</t>
  </si>
  <si>
    <t>21-99641927</t>
  </si>
  <si>
    <t>JOSE LUIZ DA SILVA PERNA</t>
  </si>
  <si>
    <t>21-972768837</t>
  </si>
  <si>
    <t>LUCIA DOS SANTOS MARAVILHA</t>
  </si>
  <si>
    <t>11-993634326</t>
  </si>
  <si>
    <t>ROSALINA GOMES DA SILVA PEREIRA</t>
  </si>
  <si>
    <t>11-965895274</t>
  </si>
  <si>
    <t>CONCEICAO JANAINA PARREIRAS DA SILVA</t>
  </si>
  <si>
    <t>FATIMA</t>
  </si>
  <si>
    <t>21-991290909</t>
  </si>
  <si>
    <t>SERGIO LUIZ GARCIA ROSA JUNIOR</t>
  </si>
  <si>
    <t>GUADALUPE</t>
  </si>
  <si>
    <t>21-993159121</t>
  </si>
  <si>
    <t>VIRGILIO ROQUE DE OLIVEIRA FALCONE</t>
  </si>
  <si>
    <t>HUMAITA</t>
  </si>
  <si>
    <t>21-986500325</t>
  </si>
  <si>
    <t>TOSHIYUKI MIZUTA</t>
  </si>
  <si>
    <t>JABAQUARA</t>
  </si>
  <si>
    <t>11-981397429</t>
  </si>
  <si>
    <t>MARIA NEUZA SANTANA MIZUTA</t>
  </si>
  <si>
    <t>11-25777030</t>
  </si>
  <si>
    <t>ADRIANA ROMEIRO DOS SANTOS</t>
  </si>
  <si>
    <t>JARDIM CAPAO REDONDO</t>
  </si>
  <si>
    <t>11-981588459</t>
  </si>
  <si>
    <t>LOURDES DOS REIS MACHADO</t>
  </si>
  <si>
    <t>SEVERINA MARIA DA CONCEICAO</t>
  </si>
  <si>
    <t>11-977510264</t>
  </si>
  <si>
    <t>JULIA EUGENIO DOMINGOS</t>
  </si>
  <si>
    <t>ANGELA MARIA FERREIRA LACERDA</t>
  </si>
  <si>
    <t>11-983888600</t>
  </si>
  <si>
    <t>CRISTINA ALVES DOS SANTOS</t>
  </si>
  <si>
    <t>JARDIM FIGUEIRA GRANDE</t>
  </si>
  <si>
    <t>11-987997462</t>
  </si>
  <si>
    <t>MATILDE DOS SANTOS DE ASSIS</t>
  </si>
  <si>
    <t>JARDIM IRIS</t>
  </si>
  <si>
    <t>11-948011763</t>
  </si>
  <si>
    <t>JOSE ANTONIO CRUZ VITAL</t>
  </si>
  <si>
    <t>11-930863334</t>
  </si>
  <si>
    <t>AMILTON CABRAL E SILVA</t>
  </si>
  <si>
    <t>11-970362241</t>
  </si>
  <si>
    <t>ALIRIO LEONARDO COELHO</t>
  </si>
  <si>
    <t>11-997335110</t>
  </si>
  <si>
    <t>GRAZIELA EDWIRGES MARQUES DOS SANTOS</t>
  </si>
  <si>
    <t>JARDIM MAZZA</t>
  </si>
  <si>
    <t>11-962132544</t>
  </si>
  <si>
    <t>SONIA MASAE MAEDA UEDA</t>
  </si>
  <si>
    <t>JARDIM NICE</t>
  </si>
  <si>
    <t>11-992685778</t>
  </si>
  <si>
    <t>RAIMUNDO NOBRE FILHO</t>
  </si>
  <si>
    <t>11-999853912</t>
  </si>
  <si>
    <t>DILMA PEREIRA DE SOUZA TRINDADE</t>
  </si>
  <si>
    <t>11-953750305</t>
  </si>
  <si>
    <t>MARIA JOSE</t>
  </si>
  <si>
    <t>11-997891462</t>
  </si>
  <si>
    <t>ANTONIO JOSE CANDIDO RIBEIRO</t>
  </si>
  <si>
    <t>11-915210140</t>
  </si>
  <si>
    <t>JOAQUIM DA FRANCA</t>
  </si>
  <si>
    <t>11-945437651</t>
  </si>
  <si>
    <t>NEUZA RODRIGUES VIANA DA SILVA</t>
  </si>
  <si>
    <t>JARDIM SANDRA</t>
  </si>
  <si>
    <t>11-962715444</t>
  </si>
  <si>
    <t>SAMUEL PEDRO MARTINS</t>
  </si>
  <si>
    <t>JARDIM SANTA CLARA</t>
  </si>
  <si>
    <t>11-952966931</t>
  </si>
  <si>
    <t>FERNANDO DA SILVA</t>
  </si>
  <si>
    <t>11-967541129</t>
  </si>
  <si>
    <t>TEREZINHA PEREIRA DOS SANTOS</t>
  </si>
  <si>
    <t>JARDIM SAO RICARDO</t>
  </si>
  <si>
    <t>11-992784300</t>
  </si>
  <si>
    <t>ALMIR AQUINO DE FREITAS</t>
  </si>
  <si>
    <t>JARDIM TRES CORAÇOES</t>
  </si>
  <si>
    <t>11-994151115</t>
  </si>
  <si>
    <t>MARLETE RAMOS DE FREITAS</t>
  </si>
  <si>
    <t>AVANI MENDONCA DE LIMA</t>
  </si>
  <si>
    <t>MARANHAO</t>
  </si>
  <si>
    <t>11-999936661</t>
  </si>
  <si>
    <t>FRANCISCO RUFINO DE LIMA</t>
  </si>
  <si>
    <t>TEREZINHA SANTOS VIEIRA</t>
  </si>
  <si>
    <t>21-996267903</t>
  </si>
  <si>
    <t>SELMA AMARAL RIBEIRO</t>
  </si>
  <si>
    <t>21-996285536</t>
  </si>
  <si>
    <t>NARCISO MIELITZ</t>
  </si>
  <si>
    <t>PARELHEIROS</t>
  </si>
  <si>
    <t>11-975940649</t>
  </si>
  <si>
    <t>MANOEL LIMA DOS SANTOS</t>
  </si>
  <si>
    <t>11-984752658</t>
  </si>
  <si>
    <t>MARIA APARECIDA KIL</t>
  </si>
  <si>
    <t>PARQUE BOLOGNE</t>
  </si>
  <si>
    <t>11-934059551</t>
  </si>
  <si>
    <t>LINDAURA MENDES FERREIRA</t>
  </si>
  <si>
    <t>11-994039374</t>
  </si>
  <si>
    <t>RITA BRANDAO MULATINHO</t>
  </si>
  <si>
    <t>21-999555430</t>
  </si>
  <si>
    <t>MANOEL GOMES DE OLIVEIRA</t>
  </si>
  <si>
    <t>21-982117578</t>
  </si>
  <si>
    <t>FRANCISCA EUNICE VIANA RAMOS</t>
  </si>
  <si>
    <t>SANTA TERESA</t>
  </si>
  <si>
    <t>21-992554041</t>
  </si>
  <si>
    <t>SERGIO IVO RODRIGUES</t>
  </si>
  <si>
    <t>11-982858660</t>
  </si>
  <si>
    <t>TEREZINA HIROKO SAKAMOTO</t>
  </si>
  <si>
    <t>11-993720972</t>
  </si>
  <si>
    <t>NEIDE DELFINO GIFFONI</t>
  </si>
  <si>
    <t>VILA BERTIOGA</t>
  </si>
  <si>
    <t>11-997979827</t>
  </si>
  <si>
    <t>VALTER VAZ MOURAO</t>
  </si>
  <si>
    <t>VILA BOM JARDIM</t>
  </si>
  <si>
    <t>11-973814554</t>
  </si>
  <si>
    <t>EUNICE MARIA DOS SANTOS ALCIDES DA COSTA</t>
  </si>
  <si>
    <t>VILA BRASILANDIA</t>
  </si>
  <si>
    <t>11-998077737</t>
  </si>
  <si>
    <t>EYKO NISSY TADOKORO</t>
  </si>
  <si>
    <t>VILA BRASILINA</t>
  </si>
  <si>
    <t>11-998675234</t>
  </si>
  <si>
    <t>LUZIA LINO DE OLIVEIRA</t>
  </si>
  <si>
    <t>11-943688693</t>
  </si>
  <si>
    <t>ALICE HARUE KUROSU LOMONACO</t>
  </si>
  <si>
    <t>VILA FIAT LUX</t>
  </si>
  <si>
    <t>11-983996730</t>
  </si>
  <si>
    <t>ELISABETE MODESTO DE SOUZA</t>
  </si>
  <si>
    <t>11-941938300</t>
  </si>
  <si>
    <t>THEOBALDO DE SOUZA GOMES</t>
  </si>
  <si>
    <t>11-986828624</t>
  </si>
  <si>
    <t>PEDRO FRANCISCO PINHEIRO NETO</t>
  </si>
  <si>
    <t>11-981062816</t>
  </si>
  <si>
    <t>MARIA ALVES PEREIRA</t>
  </si>
  <si>
    <t>11-998044885</t>
  </si>
  <si>
    <t>FLORENCIO MARTIR NETO</t>
  </si>
  <si>
    <t>VILA ROSALIA</t>
  </si>
  <si>
    <t>11-996799058</t>
  </si>
  <si>
    <t>MIGUEL DOS SANTOS OLIVEIRA</t>
  </si>
  <si>
    <t>11-24551778</t>
  </si>
  <si>
    <t>EDSON ROSA DE JESUS</t>
  </si>
  <si>
    <t>VILA SANTA CATARINA</t>
  </si>
  <si>
    <t>11-989429656</t>
  </si>
  <si>
    <t>JOSE FELIPE MANGANO</t>
  </si>
  <si>
    <t>11-997774131</t>
  </si>
  <si>
    <t>SOLANGE MARIA ALVES</t>
  </si>
  <si>
    <t>21-972530902</t>
  </si>
  <si>
    <t>SERGIO GOMES FERREIRA</t>
  </si>
  <si>
    <t>21-984843022</t>
  </si>
  <si>
    <t>MARIA FRANCISCA SILVA DE LIMA</t>
  </si>
  <si>
    <t>21-994578550</t>
  </si>
  <si>
    <t>CARLOS EDUARDO DE SOUZA</t>
  </si>
  <si>
    <t>21-999766748</t>
  </si>
  <si>
    <t>DALCE SIMAS IOZZI DIAS</t>
  </si>
  <si>
    <t>21-999446310</t>
  </si>
  <si>
    <t>ANGELA MEIRELES DOS SANTOS</t>
  </si>
  <si>
    <t>21-986446973</t>
  </si>
  <si>
    <t>EDIVALDO MAURICIO SILVA</t>
  </si>
  <si>
    <t>21-999979694</t>
  </si>
  <si>
    <t>HELIA SANCHES COSSAO</t>
  </si>
  <si>
    <t>PICANÇO</t>
  </si>
  <si>
    <t>21-999544912</t>
  </si>
  <si>
    <t>JORGE SEBASTIAO ALVES JOSE</t>
  </si>
  <si>
    <t>RAUL VEIGA</t>
  </si>
  <si>
    <t>21-973690510</t>
  </si>
  <si>
    <t>JOSE PEREIRA MENDES</t>
  </si>
  <si>
    <t>21-991544039</t>
  </si>
  <si>
    <t>MARIA GOMES DOS SANTOS</t>
  </si>
  <si>
    <t>21-988035168</t>
  </si>
  <si>
    <t>MARIA PIA BONAVITA CALVANO</t>
  </si>
  <si>
    <t>21-995533437</t>
  </si>
  <si>
    <t>ALCIRA BASTOS DE MENDONCA MARINHO</t>
  </si>
  <si>
    <t>VENDA DA CRUZ</t>
  </si>
  <si>
    <t>21-988338499</t>
  </si>
  <si>
    <t>RISOLETA PEREIRA DE SOUZA</t>
  </si>
  <si>
    <t>21-996580087</t>
  </si>
  <si>
    <t>JOSE ANTONIO BARRETO DOS SANTOS</t>
  </si>
  <si>
    <t>21-983850616</t>
  </si>
  <si>
    <t>RENATO AFONSO DA SILVA SOUSA</t>
  </si>
  <si>
    <t>11-955953003</t>
  </si>
  <si>
    <t>3. Recusa por falta de interesse</t>
  </si>
  <si>
    <t>WAGNER FERREIRA DOS SANTOS</t>
  </si>
  <si>
    <t>21-964337806</t>
  </si>
  <si>
    <t>GIOVANI SOUSA SANTOS</t>
  </si>
  <si>
    <t>CATUMBI</t>
  </si>
  <si>
    <t>21-991624095</t>
  </si>
  <si>
    <t>MARIA DA CONCEICAO CRUZ CORTEZ</t>
  </si>
  <si>
    <t>COELHO DA ROCHA</t>
  </si>
  <si>
    <t>21-999451972</t>
  </si>
  <si>
    <t>MARCOS CARMELINHO DA SILVA</t>
  </si>
  <si>
    <t>21-976139677</t>
  </si>
  <si>
    <t>JOEL PAULA DA CRUZ</t>
  </si>
  <si>
    <t>HELIOPOLIS</t>
  </si>
  <si>
    <t>MARIA APARECIDA COSTA</t>
  </si>
  <si>
    <t>11-993713028</t>
  </si>
  <si>
    <t>KELLY SANTANA LIMA CORREIA</t>
  </si>
  <si>
    <t>JARDIM DAS GRAÇAS</t>
  </si>
  <si>
    <t>11-994458853</t>
  </si>
  <si>
    <t>RODNEY DE OLIVEIRA JERONIMO</t>
  </si>
  <si>
    <t>JARDIM SCYNTILA</t>
  </si>
  <si>
    <t>11-999696673</t>
  </si>
  <si>
    <t>RICARDO TAVARES SANTOS</t>
  </si>
  <si>
    <t>MARECHAL HERMES</t>
  </si>
  <si>
    <t>21-974108187</t>
  </si>
  <si>
    <t>MARLENE GARCIA DE SOUZA</t>
  </si>
  <si>
    <t>OSWALDO CRUZ</t>
  </si>
  <si>
    <t>21-996552141</t>
  </si>
  <si>
    <t>MELQUIZEDEC RODRIGUES DA SILVA</t>
  </si>
  <si>
    <t>SAO FRANCISCO DE ASSIS</t>
  </si>
  <si>
    <t>21-994441043</t>
  </si>
  <si>
    <t>LEONARDO DA SILVA LAURINDO</t>
  </si>
  <si>
    <t>21-987648870</t>
  </si>
  <si>
    <t>TESIA MARIA CORTEZ ROCHA SIQUEIRA</t>
  </si>
  <si>
    <t>VILA BUARQUE</t>
  </si>
  <si>
    <t>11-998879605</t>
  </si>
  <si>
    <t>JOSE ROBERTO DA COSTA</t>
  </si>
  <si>
    <t>11-976760072</t>
  </si>
  <si>
    <t>MARIA MARGARIDA ALVES LIMA</t>
  </si>
  <si>
    <t>VILA PAULISTA</t>
  </si>
  <si>
    <t>11-946844658</t>
  </si>
  <si>
    <t>MARIA DO SOCORRO SILVA</t>
  </si>
  <si>
    <t>21-964210631</t>
  </si>
  <si>
    <t>MARIA DA GUIA SILVA</t>
  </si>
  <si>
    <t>CHACARA CABUÇU</t>
  </si>
  <si>
    <t>11-972602996</t>
  </si>
  <si>
    <t>MARIA JOCELI TAKARA</t>
  </si>
  <si>
    <t>JARDIM COLORADO</t>
  </si>
  <si>
    <t>11-962652048</t>
  </si>
  <si>
    <t>EMANUEL DE SOUZA</t>
  </si>
  <si>
    <t>JARDIM LEDA</t>
  </si>
  <si>
    <t>11-996418614</t>
  </si>
  <si>
    <t>LUIZ FERNANDO DE NOVAES CARLOS</t>
  </si>
  <si>
    <t>JARDIM TUPAN</t>
  </si>
  <si>
    <t>11-972831328</t>
  </si>
  <si>
    <t>MITSUCO ISHIZAWA</t>
  </si>
  <si>
    <t>JARDIM ZAIRA</t>
  </si>
  <si>
    <t>11-975351718</t>
  </si>
  <si>
    <t>ESPEDITO PEDRO RODRIGUES</t>
  </si>
  <si>
    <t>11-975669806</t>
  </si>
  <si>
    <t>ANTONIO CIRILO DA TRINDADE</t>
  </si>
  <si>
    <t>SUZANO</t>
  </si>
  <si>
    <t>PARQUE RESIDENCIAL SAMAMBAIA</t>
  </si>
  <si>
    <t>11-930314231</t>
  </si>
  <si>
    <t>NEIDE NUNES DA SILVA</t>
  </si>
  <si>
    <t>11-992387702</t>
  </si>
  <si>
    <t>RONALDO ALVES FERREIRA</t>
  </si>
  <si>
    <t>11-995800234</t>
  </si>
  <si>
    <t>SILVIA PIVA LABA ALVES FERREIRA</t>
  </si>
  <si>
    <t>11-99988-2115</t>
  </si>
  <si>
    <t>JORGE LUIZ MARTINS SANTOS</t>
  </si>
  <si>
    <t>21-964334658</t>
  </si>
  <si>
    <t>GENIVAL ARLINDO DA SILVA FILHO</t>
  </si>
  <si>
    <t>21-964987564</t>
  </si>
  <si>
    <t>EDVALDO ALVES DE FREITAS</t>
  </si>
  <si>
    <t>ALTO DA RIVIERA</t>
  </si>
  <si>
    <t>11-969144568</t>
  </si>
  <si>
    <t>CONCEICAO MARIA DE JESUS</t>
  </si>
  <si>
    <t>11-962944751</t>
  </si>
  <si>
    <t>LUCAS PEREIRA LEAO</t>
  </si>
  <si>
    <t>11-969139905</t>
  </si>
  <si>
    <t>REINALDO HENRIQUE BARBOZA</t>
  </si>
  <si>
    <t>11-999993863</t>
  </si>
  <si>
    <t>ELCE NOELI BERGO</t>
  </si>
  <si>
    <t>11-996069317</t>
  </si>
  <si>
    <t>JOSE ESTEVAM CRESPO</t>
  </si>
  <si>
    <t>11-999784577</t>
  </si>
  <si>
    <t>MARIA DOLORES C LEIRIA</t>
  </si>
  <si>
    <t>21-999890015</t>
  </si>
  <si>
    <t>DEUGRACIA MARIA SARTORIO DA COSTA</t>
  </si>
  <si>
    <t>21-996420846</t>
  </si>
  <si>
    <t>WALDIR ALVES</t>
  </si>
  <si>
    <t>21-964725174</t>
  </si>
  <si>
    <t>CARLOS EDUARDO DOS SANTOS ALMEIDA</t>
  </si>
  <si>
    <t>CABRAL</t>
  </si>
  <si>
    <t>21-973253426</t>
  </si>
  <si>
    <t>LUCIA MARANO SEABRA</t>
  </si>
  <si>
    <t>11-948799217</t>
  </si>
  <si>
    <t>MARIA DA GLORIA DE SOUZA GOMES</t>
  </si>
  <si>
    <t>21-994249585</t>
  </si>
  <si>
    <t>ANTONIO KANAAN</t>
  </si>
  <si>
    <t>CHACARA CALIFORNIA</t>
  </si>
  <si>
    <t>11-982025072</t>
  </si>
  <si>
    <t>MARIA VILMA GILBERTONI KANAAN</t>
  </si>
  <si>
    <t>MOIRA VIRGINIA LANG</t>
  </si>
  <si>
    <t>11-996761843</t>
  </si>
  <si>
    <t>DEVANIR GONCALVES DE SOUZA</t>
  </si>
  <si>
    <t>CIDADE INTERCAP</t>
  </si>
  <si>
    <t>11-986705458</t>
  </si>
  <si>
    <t>MOISES BELO DE LIMA</t>
  </si>
  <si>
    <t>CONJUNTO PROMORAR SAO LUIS</t>
  </si>
  <si>
    <t>11-989683470</t>
  </si>
  <si>
    <t>JOSE SOARES DA SILVA</t>
  </si>
  <si>
    <t>11-986722458</t>
  </si>
  <si>
    <t>FRANCISCA MARIA DE SENNA</t>
  </si>
  <si>
    <t>21-996618408</t>
  </si>
  <si>
    <t>JOSE FERNANDO DE SOUZA</t>
  </si>
  <si>
    <t>FREGUESIA (ILHA DO GOVERNADOR)</t>
  </si>
  <si>
    <t>21-980733700</t>
  </si>
  <si>
    <t>DIAMANTINA MARIA GUIMARAES SIGUEIRA</t>
  </si>
  <si>
    <t>21-976288326</t>
  </si>
  <si>
    <t>EVARISTO ALVES SEABRA</t>
  </si>
  <si>
    <t>PRAIA GRANDE</t>
  </si>
  <si>
    <t>GUILHERMINA</t>
  </si>
  <si>
    <t>11-982124444</t>
  </si>
  <si>
    <t>SERGIO ARTUR DE MORAES</t>
  </si>
  <si>
    <t>11-995255250</t>
  </si>
  <si>
    <t>PORFIRIA XAVIER DOS SANTOS</t>
  </si>
  <si>
    <t>JARDIM ANGELA (ZONA SUL)</t>
  </si>
  <si>
    <t>11-961944163</t>
  </si>
  <si>
    <t>ARNALDO SOUZA MENEZES</t>
  </si>
  <si>
    <t>JARDIM CAMPO GRANDE</t>
  </si>
  <si>
    <t>11-912366777</t>
  </si>
  <si>
    <t>EVANDO DOS SANTOS FERREIRA</t>
  </si>
  <si>
    <t>11-989440962</t>
  </si>
  <si>
    <t>JOSE ERASMO GUIMARAES</t>
  </si>
  <si>
    <t>11-964436522</t>
  </si>
  <si>
    <t>ANA ANTUNES DE SOUZA</t>
  </si>
  <si>
    <t>JARDIM CENTENARIO</t>
  </si>
  <si>
    <t>11-940233272</t>
  </si>
  <si>
    <t>SEBASTIAO JOSE DE SOUZA</t>
  </si>
  <si>
    <t>11-948165188</t>
  </si>
  <si>
    <t>EDITE SCHON</t>
  </si>
  <si>
    <t>JARDIM CIDALIA</t>
  </si>
  <si>
    <t>11-994931899</t>
  </si>
  <si>
    <t>AGUINALDO AUTUORI</t>
  </si>
  <si>
    <t>JARDIM DANFER</t>
  </si>
  <si>
    <t>11-980707541</t>
  </si>
  <si>
    <t>GABRIELA DOS ANJOS BARBOSA</t>
  </si>
  <si>
    <t>11-952260817</t>
  </si>
  <si>
    <t>SANDRA SOUZA LOPES</t>
  </si>
  <si>
    <t>JARDIM DO PAPAI</t>
  </si>
  <si>
    <t>11-991069378</t>
  </si>
  <si>
    <t>ELISABETE DA SILVA</t>
  </si>
  <si>
    <t>11-944536487</t>
  </si>
  <si>
    <t>NAIVALDO OTAVIO DE ARAUJO</t>
  </si>
  <si>
    <t>JARDIM DOS PEREIRAS (CAUCAIA DO ALTO)</t>
  </si>
  <si>
    <t>11-995763664</t>
  </si>
  <si>
    <t>LUIZ CARLOS DA ROCHA</t>
  </si>
  <si>
    <t>11-951626145</t>
  </si>
  <si>
    <t>MASILIO NAGHIRNIAC</t>
  </si>
  <si>
    <t>JARDIM GUARAPIRANGA</t>
  </si>
  <si>
    <t>11-956599183</t>
  </si>
  <si>
    <t>ANTONIO CARLOS BATTAGLINI</t>
  </si>
  <si>
    <t>11-99399-9506</t>
  </si>
  <si>
    <t>MARILENE ROMANA DE SOUZA</t>
  </si>
  <si>
    <t>JARDIM JACIRA</t>
  </si>
  <si>
    <t>11-985626818</t>
  </si>
  <si>
    <t>GERALDO FERREIRA RIBEIRO</t>
  </si>
  <si>
    <t>JARDIM JUSSARA</t>
  </si>
  <si>
    <t>11-994369026</t>
  </si>
  <si>
    <t>CICERO DA SILVA NETO</t>
  </si>
  <si>
    <t>JARDIM LEONOR</t>
  </si>
  <si>
    <t>11-977469268</t>
  </si>
  <si>
    <t>FATIMA MARIA CAMACHO SILVA</t>
  </si>
  <si>
    <t>11-947762243</t>
  </si>
  <si>
    <t>BENEDITO DE SOUSA GOMES</t>
  </si>
  <si>
    <t>JARDIM LIDIA</t>
  </si>
  <si>
    <t>11-948821669</t>
  </si>
  <si>
    <t>JOSE VITAL DE SIQUEIRA</t>
  </si>
  <si>
    <t>JARDIM MARACA</t>
  </si>
  <si>
    <t>11-945801616</t>
  </si>
  <si>
    <t>ELIDA DA CONCEICAO</t>
  </si>
  <si>
    <t>11-983313018</t>
  </si>
  <si>
    <t>RAUL FRAGA DE OLIVEIRA</t>
  </si>
  <si>
    <t>JARDIM NELLY</t>
  </si>
  <si>
    <t>11-991563485</t>
  </si>
  <si>
    <t>NELSON DAMIAO GONCALVES</t>
  </si>
  <si>
    <t>11-999799907</t>
  </si>
  <si>
    <t>SEBASTIANA DE SOUZA RIBEIRO</t>
  </si>
  <si>
    <t>JARDIM PAULISTANO (ZONA NORTE)</t>
  </si>
  <si>
    <t>11-961758975</t>
  </si>
  <si>
    <t>WAGNER RODRIGUES SILVA</t>
  </si>
  <si>
    <t>JARDIM REAL</t>
  </si>
  <si>
    <t>11-965718071</t>
  </si>
  <si>
    <t>ABELITA FRANCISCA DA SILVA</t>
  </si>
  <si>
    <t>JARDIM SAMAMBAIA</t>
  </si>
  <si>
    <t>11-966693229</t>
  </si>
  <si>
    <t>SILEDA MARQUES CORREIA</t>
  </si>
  <si>
    <t>11-963054016</t>
  </si>
  <si>
    <t>MARIA CECILIA MARQUES MORAES</t>
  </si>
  <si>
    <t>11-940079098</t>
  </si>
  <si>
    <t>MARIA CICERA DA CONCEICAO MOREIRA</t>
  </si>
  <si>
    <t>JARDIM SANTA FE (ZONA SUL)</t>
  </si>
  <si>
    <t>11-945492245</t>
  </si>
  <si>
    <t>MARIA NEVES DE SOUZA</t>
  </si>
  <si>
    <t>11-947006528</t>
  </si>
  <si>
    <t>FRANCISCA DE LOURDES CARVALHO DE SANTANA</t>
  </si>
  <si>
    <t>JARDIM SAO JORGE</t>
  </si>
  <si>
    <t>11-995487983</t>
  </si>
  <si>
    <t>MARLY DIAS GONCALVES</t>
  </si>
  <si>
    <t>JARDIM SAO NICOLAU</t>
  </si>
  <si>
    <t>11-984058384</t>
  </si>
  <si>
    <t>PATROCINIA LUIZA DE CARVALHO ROCHA</t>
  </si>
  <si>
    <t>JARDIM SAO VITOR</t>
  </si>
  <si>
    <t>11-983461059</t>
  </si>
  <si>
    <t>ALICE SUMIKO SUZUKI</t>
  </si>
  <si>
    <t>JARDIM TABOAO</t>
  </si>
  <si>
    <t>11-957534363</t>
  </si>
  <si>
    <t>ISAO SUZUKI</t>
  </si>
  <si>
    <t>11-980841605</t>
  </si>
  <si>
    <t>LUIZ CARLOS PEREIRA</t>
  </si>
  <si>
    <t>JARDIM TAQUARAL</t>
  </si>
  <si>
    <t>11-99594-1880</t>
  </si>
  <si>
    <t>ELIZETE RODRIGUES DOS SANTOS FONTES</t>
  </si>
  <si>
    <t>JARDIM TOCA</t>
  </si>
  <si>
    <t>11-997179172</t>
  </si>
  <si>
    <t>MARIA DAS GRACAS RIGUEIRA MEDINA</t>
  </si>
  <si>
    <t>JARDIM UMUARAMA</t>
  </si>
  <si>
    <t>11-992601916</t>
  </si>
  <si>
    <t>ALBERTO MARQUES QUARESMA</t>
  </si>
  <si>
    <t>21-96260173</t>
  </si>
  <si>
    <t>JOSE DA MOTTA LIMA</t>
  </si>
  <si>
    <t>11-999954292</t>
  </si>
  <si>
    <t>MARIA HELENA ALVES</t>
  </si>
  <si>
    <t>11-960612881</t>
  </si>
  <si>
    <t>ELZA DE ALMEIDA MELLO</t>
  </si>
  <si>
    <t>13-996444281</t>
  </si>
  <si>
    <t>LUIZ REIS ORMONDE</t>
  </si>
  <si>
    <t>21-991249320</t>
  </si>
  <si>
    <t>IEDA MARIA SANTOS SOARES</t>
  </si>
  <si>
    <t>11-995440152</t>
  </si>
  <si>
    <t>EDESIA ALCANTARA CARVALHO</t>
  </si>
  <si>
    <t>11-976043694</t>
  </si>
  <si>
    <t>GUILHERME DE SOUZA CAIA</t>
  </si>
  <si>
    <t>MARIA THEREZA ESTEVES MARTINS</t>
  </si>
  <si>
    <t>PARQUE CISPER</t>
  </si>
  <si>
    <t>11-980947875</t>
  </si>
  <si>
    <t>ROSA SINELLI</t>
  </si>
  <si>
    <t>PARQUE COLONIAL</t>
  </si>
  <si>
    <t>11-996121758</t>
  </si>
  <si>
    <t>LUANA RODRIGUES DE OLIVEIRA</t>
  </si>
  <si>
    <t>11-999921755</t>
  </si>
  <si>
    <t>ELIERTE BATISTA DOS SANTOS CRUZ</t>
  </si>
  <si>
    <t>11-985555881</t>
  </si>
  <si>
    <t>JOSE EDSON S DE ANDRADE</t>
  </si>
  <si>
    <t>PARQUE NOVO SANTO AMARO</t>
  </si>
  <si>
    <t>11-958750630</t>
  </si>
  <si>
    <t>MARIA APARECIDA KLEIN PUCCA</t>
  </si>
  <si>
    <t>11-986079493</t>
  </si>
  <si>
    <t>SEBASTIAO BENEDITO FREIRE</t>
  </si>
  <si>
    <t>11-963872016</t>
  </si>
  <si>
    <t>ENILDA PANTA DE MENDONCA</t>
  </si>
  <si>
    <t>11-943611940</t>
  </si>
  <si>
    <t>ELIAS CORES DA SILVA</t>
  </si>
  <si>
    <t>21-973446642</t>
  </si>
  <si>
    <t>LUIZ CARLOS DE FREITAS FURTADO</t>
  </si>
  <si>
    <t>SANTA RITA</t>
  </si>
  <si>
    <t>21-975718983</t>
  </si>
  <si>
    <t>NEIDE DE ABUQUERQUE LIMA</t>
  </si>
  <si>
    <t>11-996082860</t>
  </si>
  <si>
    <t>JONY SIGUEO KAWANO</t>
  </si>
  <si>
    <t>11-961875386</t>
  </si>
  <si>
    <t>MARIA AMELIA DE SOUZA ROSSI</t>
  </si>
  <si>
    <t>FRANCISCA RODRIGUES DOS SANTOS</t>
  </si>
  <si>
    <t>11-959091931</t>
  </si>
  <si>
    <t>UMBELINA ROSA DE SOUSA</t>
  </si>
  <si>
    <t>VILA CLARA</t>
  </si>
  <si>
    <t>11-966615091</t>
  </si>
  <si>
    <t>DOMENICA BENEVENTO LAURENZANA</t>
  </si>
  <si>
    <t>19-978293030</t>
  </si>
  <si>
    <t>ROCCO LAURENZANA</t>
  </si>
  <si>
    <t>11-953954259</t>
  </si>
  <si>
    <t>ESPEDITO RODRIGUES FROES</t>
  </si>
  <si>
    <t>11-982716465</t>
  </si>
  <si>
    <t>ANTONIO ALVES LEITE</t>
  </si>
  <si>
    <t>VILA DA SAUDE</t>
  </si>
  <si>
    <t>11-971748675</t>
  </si>
  <si>
    <t>JOSE ALUISIO MAURICIO TAVARES</t>
  </si>
  <si>
    <t>VILA DALILA</t>
  </si>
  <si>
    <t>11-970230572</t>
  </si>
  <si>
    <t>JONES DA SILVA PARANHOS</t>
  </si>
  <si>
    <t>21-964546850</t>
  </si>
  <si>
    <t>CARMEN MARTINS LOPES NARCIZO</t>
  </si>
  <si>
    <t>VILA JOANIZA</t>
  </si>
  <si>
    <t>11-981886045</t>
  </si>
  <si>
    <t>MARIA DAS GRACAS DA SILVA</t>
  </si>
  <si>
    <t>11-942907627</t>
  </si>
  <si>
    <t>OSVALDO DA SILVA</t>
  </si>
  <si>
    <t>11-946069979</t>
  </si>
  <si>
    <t>EPITACIO MARQUES DA SILVA</t>
  </si>
  <si>
    <t>VILA LISBOA</t>
  </si>
  <si>
    <t>11-999007801</t>
  </si>
  <si>
    <t>MARIA BERENICE BRUNETTI</t>
  </si>
  <si>
    <t>VILA MASCOTE</t>
  </si>
  <si>
    <t>11-952790805</t>
  </si>
  <si>
    <t>PLINIO MINUCCI</t>
  </si>
  <si>
    <t>11-954514510</t>
  </si>
  <si>
    <t>MARIA JOSE DOS REIS OLIVEIRA</t>
  </si>
  <si>
    <t>VILA RICA</t>
  </si>
  <si>
    <t>11-971208247</t>
  </si>
  <si>
    <t>MARIA HELENA RIBEIRO SOBRAL</t>
  </si>
  <si>
    <t>VILA SAO JOSE (CIDADE DUTRA)</t>
  </si>
  <si>
    <t>11-954640501</t>
  </si>
  <si>
    <t>ZELDA SHIRLEI GIMENES DE PASQUALE</t>
  </si>
  <si>
    <t>11-975820187</t>
  </si>
  <si>
    <t>ROSA MARIA DE JESUS</t>
  </si>
  <si>
    <t>VILA TALARICO</t>
  </si>
  <si>
    <t>11-952150126</t>
  </si>
  <si>
    <t>APARECIDO BUENO</t>
  </si>
  <si>
    <t>JARDIM MARIA DUARTE</t>
  </si>
  <si>
    <t>11-981664591</t>
  </si>
  <si>
    <t>CLAUDIO ALVES PEREIRA DOS SANTOS</t>
  </si>
  <si>
    <t>RECREIO DOS BANDEIRANTES</t>
  </si>
  <si>
    <t>21-991216802</t>
  </si>
  <si>
    <t>JORGE DARZE FILHO</t>
  </si>
  <si>
    <t>11-979553113</t>
  </si>
  <si>
    <t>NILMA DA SILVA JESUS</t>
  </si>
  <si>
    <t>SAO MATEUS</t>
  </si>
  <si>
    <t>21-983100510</t>
  </si>
  <si>
    <t>HOMERO ROSIN CASSIANO</t>
  </si>
  <si>
    <t>21-994723282</t>
  </si>
  <si>
    <t>FRANCISCO JOSE OLIVEIRA VALADAO</t>
  </si>
  <si>
    <t>21-987025838</t>
  </si>
  <si>
    <t>REGINA CELIA SISTO HOMEM SANTOS</t>
  </si>
  <si>
    <t>ANCHIETA</t>
  </si>
  <si>
    <t>21-981461159</t>
  </si>
  <si>
    <t>JAILTON OLIVEIRA DOS SANTOS</t>
  </si>
  <si>
    <t>ARUJA CENTRO RESIDENCIAL</t>
  </si>
  <si>
    <t>11-991094813</t>
  </si>
  <si>
    <t>MARIA DE LOURDES SILVA</t>
  </si>
  <si>
    <t>21-991629696</t>
  </si>
  <si>
    <t>SIDNEY MORAES DOS PASSOS</t>
  </si>
  <si>
    <t>21-986314486</t>
  </si>
  <si>
    <t>TANIA LUCIA GOMES NASCIMENTO CLAUDINO</t>
  </si>
  <si>
    <t>CIDADE JARDIM CUMBICA</t>
  </si>
  <si>
    <t>11-930043680</t>
  </si>
  <si>
    <t>JOSE LUIZ LOZZARDO</t>
  </si>
  <si>
    <t>CONJUNTO RESIDENCIAL BUTANTA</t>
  </si>
  <si>
    <t>11-983775017</t>
  </si>
  <si>
    <t>REGINA DE SOUZA DA SILVA</t>
  </si>
  <si>
    <t>21-999446640</t>
  </si>
  <si>
    <t>MARIA DE NAZARE OLIVEIRA BRAGA</t>
  </si>
  <si>
    <t>11-981850424</t>
  </si>
  <si>
    <t>MARLENE BENEDITA DE PAULA NERY</t>
  </si>
  <si>
    <t>11-946827655</t>
  </si>
  <si>
    <t>GERSON MASSATO MIYAMOTO</t>
  </si>
  <si>
    <t>11-991382636</t>
  </si>
  <si>
    <t>ROSA YENOHI</t>
  </si>
  <si>
    <t>JARDIM ANA MARIA</t>
  </si>
  <si>
    <t>11-997731270</t>
  </si>
  <si>
    <t>JULIO CESAR MONTEIRO DE OLIVEIRA ROSA</t>
  </si>
  <si>
    <t>JARDIM ARUJA</t>
  </si>
  <si>
    <t>11-994292197</t>
  </si>
  <si>
    <t>JACI NUNES DE SOUZA</t>
  </si>
  <si>
    <t>JARDIM BELA VISTA</t>
  </si>
  <si>
    <t>11-997559130</t>
  </si>
  <si>
    <t>LICINHA PEREIRA DOS SANTOS</t>
  </si>
  <si>
    <t>JARDIM BELVEDERE</t>
  </si>
  <si>
    <t>11-977759104</t>
  </si>
  <si>
    <t>QUITERIA DOS SANTOS LIMA</t>
  </si>
  <si>
    <t>JARDIM BONDANÇA</t>
  </si>
  <si>
    <t>11-964229079</t>
  </si>
  <si>
    <t>JOSE CANDIDO FILHO</t>
  </si>
  <si>
    <t>JARDIM CAMPO LIMPO</t>
  </si>
  <si>
    <t>11-965493657</t>
  </si>
  <si>
    <t>MARIA JOSE DA COSTA</t>
  </si>
  <si>
    <t>11-981403567</t>
  </si>
  <si>
    <t>SILENE DONIZETE COSTA DOS SANTOS</t>
  </si>
  <si>
    <t>11-982072663</t>
  </si>
  <si>
    <t>KIYOITSI VATANABE</t>
  </si>
  <si>
    <t>JARDIM DIVINOLANDIA</t>
  </si>
  <si>
    <t>11-973098359</t>
  </si>
  <si>
    <t>NATAL NUNES</t>
  </si>
  <si>
    <t>11-945125096</t>
  </si>
  <si>
    <t>ARMINDO JOSE RAMOS CASTRO</t>
  </si>
  <si>
    <t>11-991507471</t>
  </si>
  <si>
    <t>SUEMITSU MIYAZAKI</t>
  </si>
  <si>
    <t>11-988244894</t>
  </si>
  <si>
    <t>ROSELENE ALCANTARA DE OLIVEIRA BALANCIERI</t>
  </si>
  <si>
    <t>JARDIM IPANEMA</t>
  </si>
  <si>
    <t>11-976377249</t>
  </si>
  <si>
    <t>BENEDITO FRANCISCO DE PAULA</t>
  </si>
  <si>
    <t>11-965589849</t>
  </si>
  <si>
    <t>VALDINEI DANTAS SILVA</t>
  </si>
  <si>
    <t>JARDIM LEBLON</t>
  </si>
  <si>
    <t>11-989652846</t>
  </si>
  <si>
    <t>EUNICE FELIX SANTOS</t>
  </si>
  <si>
    <t>11-969520553</t>
  </si>
  <si>
    <t>VICENTE DE PAULO PEDROZA DA SILVA</t>
  </si>
  <si>
    <t>11-965545339</t>
  </si>
  <si>
    <t>LUCIANA NOBERTA LOPES VILHEGAS MAS</t>
  </si>
  <si>
    <t>JARDIM RIZZO</t>
  </si>
  <si>
    <t>11-977575016</t>
  </si>
  <si>
    <t>MARIA LOURENCA GADELHO</t>
  </si>
  <si>
    <t>JARDIM SILVIA</t>
  </si>
  <si>
    <t>11-991528088</t>
  </si>
  <si>
    <t>MARIA VALDETE LOPES DE ALMEIDA</t>
  </si>
  <si>
    <t>11-965432759</t>
  </si>
  <si>
    <t>CLEIDE SIMOES MONTES</t>
  </si>
  <si>
    <t>21-990986990</t>
  </si>
  <si>
    <t>BENJAMIM DA CUNHA CARACA DOMINGOS</t>
  </si>
  <si>
    <t>11-971174066</t>
  </si>
  <si>
    <t>AVANI DE LIMA SILVA</t>
  </si>
  <si>
    <t>11-992933982</t>
  </si>
  <si>
    <t>SONIA REGINA RODRIGUES DE CAIRES BOFFO</t>
  </si>
  <si>
    <t>11-995269635</t>
  </si>
  <si>
    <t>MARIA SEBASTIANA CARTAXO</t>
  </si>
  <si>
    <t>PARQUE CONTINENTAL I</t>
  </si>
  <si>
    <t>11-987182481</t>
  </si>
  <si>
    <t>CLAUDEMIRA APARECIDA BISCASSI DE ARAUJO</t>
  </si>
  <si>
    <t>11-943644059</t>
  </si>
  <si>
    <t>GISLENE FATIMA DE OLIVEIRA</t>
  </si>
  <si>
    <t>11-946310083</t>
  </si>
  <si>
    <t>ILDA DE FREITAS CARRARO</t>
  </si>
  <si>
    <t>PARQUE JANDAIA</t>
  </si>
  <si>
    <t>11-948521746</t>
  </si>
  <si>
    <t>CELESTE TEREZINHA POLITO</t>
  </si>
  <si>
    <t>21-985772383</t>
  </si>
  <si>
    <t>ANTONIO ALBERTO DA COSTA CARVALHAIS</t>
  </si>
  <si>
    <t>11-913619381</t>
  </si>
  <si>
    <t>MARIA ODAISIA DOS SANTOS DE LIMA</t>
  </si>
  <si>
    <t>PARQUE UIRAPURU</t>
  </si>
  <si>
    <t>11-969598905</t>
  </si>
  <si>
    <t>REGINALDO DA ROCHA CARVALHO</t>
  </si>
  <si>
    <t>21-996376069</t>
  </si>
  <si>
    <t>WLADIMIR TERUEL BAENA</t>
  </si>
  <si>
    <t>11-970761991</t>
  </si>
  <si>
    <t>BRUNO BARCELLOS MENDES VIEIRA</t>
  </si>
  <si>
    <t>11-950849952</t>
  </si>
  <si>
    <t>ALBERTO DE SOUZA MACHADO</t>
  </si>
  <si>
    <t>21-995256472</t>
  </si>
  <si>
    <t>MARIA CRISTINA QUEIROZ REINELT</t>
  </si>
  <si>
    <t>21-964920406</t>
  </si>
  <si>
    <t>EDILMA DE SANTANA MILHOMEM</t>
  </si>
  <si>
    <t>11-946729726</t>
  </si>
  <si>
    <t>ANALICE SAMPAIO DA SILVA</t>
  </si>
  <si>
    <t>11-951304532</t>
  </si>
  <si>
    <t>BENEDITA LUCI DOS SANTOS</t>
  </si>
  <si>
    <t>11-974757171</t>
  </si>
  <si>
    <t>WALTER DE SOUZA RAMOS</t>
  </si>
  <si>
    <t>11-962762189</t>
  </si>
  <si>
    <t>JOSE ACACIO DE OLIVEIRA</t>
  </si>
  <si>
    <t>VILA GALVAO</t>
  </si>
  <si>
    <t>11-971264122</t>
  </si>
  <si>
    <t>MARIA APARECIDA DE SOUZA</t>
  </si>
  <si>
    <t>VILA MESQUITA</t>
  </si>
  <si>
    <t>11-947465456</t>
  </si>
  <si>
    <t>ROSANA MARIA DOS SANTOS</t>
  </si>
  <si>
    <t>VILA NOSSA SENHORA DE FATIMA</t>
  </si>
  <si>
    <t>11-976609119</t>
  </si>
  <si>
    <t>CLEONICE TEREZINHA BAUER</t>
  </si>
  <si>
    <t>VILA PEDRO MOREIRA</t>
  </si>
  <si>
    <t>11-972681970</t>
  </si>
  <si>
    <t>LUIZ CARLOS COSTA</t>
  </si>
  <si>
    <t>11-995432817</t>
  </si>
  <si>
    <t>NEUSA CARDOSO LOPES</t>
  </si>
  <si>
    <t>VILA ZANARDI</t>
  </si>
  <si>
    <t>11-997499689</t>
  </si>
  <si>
    <t>MARCOS DE JESUS CHAGAS</t>
  </si>
  <si>
    <t>11-939386731</t>
  </si>
  <si>
    <t>CLAUDINEIA DOS SANTOS PEDRO MICHELETTI</t>
  </si>
  <si>
    <t>JARDIM CASTRO ALVES</t>
  </si>
  <si>
    <t>11-983489001</t>
  </si>
  <si>
    <t>DORIZA ELENA KER</t>
  </si>
  <si>
    <t>QUINTA DA PAINEIRA</t>
  </si>
  <si>
    <t>11-943790949</t>
  </si>
  <si>
    <t>LUIZ HENRIQUE SOARES</t>
  </si>
  <si>
    <t>PARQUE SANTA RITA</t>
  </si>
  <si>
    <t>11-945128446</t>
  </si>
  <si>
    <t>Recusa por orientação médica</t>
  </si>
  <si>
    <t>JOSUE FELIX FRANCISCO DAS CHAGAS</t>
  </si>
  <si>
    <t>21-969651201</t>
  </si>
  <si>
    <t>LUIZ CARLOS JORGE DE LIMA</t>
  </si>
  <si>
    <t>ANDRADE ARAUJO</t>
  </si>
  <si>
    <t>21-972115511</t>
  </si>
  <si>
    <t>JOSE LUIZ DA SILVA</t>
  </si>
  <si>
    <t>ANITA GARIBALDI</t>
  </si>
  <si>
    <t>11-991318069</t>
  </si>
  <si>
    <t>JOYCE LIMA APOLINARIO</t>
  </si>
  <si>
    <t>21-968024851</t>
  </si>
  <si>
    <t>MARILZA SOUZA DE MELLO</t>
  </si>
  <si>
    <t>21-984470013</t>
  </si>
  <si>
    <t>REGINALDO RODRIGUES FROIS</t>
  </si>
  <si>
    <t>11-943942927</t>
  </si>
  <si>
    <t>MARILSA PEREIRA CAMPOS</t>
  </si>
  <si>
    <t>21-989039237</t>
  </si>
  <si>
    <t>SOLANGE GOLOMETZ GUIMARAES</t>
  </si>
  <si>
    <t>CANGAIBA</t>
  </si>
  <si>
    <t>11-954512539</t>
  </si>
  <si>
    <t>MARCOS LUIZ FERREIRA DE OLIVEIRA</t>
  </si>
  <si>
    <t>21-997239930</t>
  </si>
  <si>
    <t>MARIA HILDETE DINIZ</t>
  </si>
  <si>
    <t>11-989773586</t>
  </si>
  <si>
    <t>MIRIAM GIMENEZ DE SOUZA</t>
  </si>
  <si>
    <t>CHACARA SANTO ANTONIO (ZONA LESTE)</t>
  </si>
  <si>
    <t>11-992319494</t>
  </si>
  <si>
    <t>MARIO DIAS DA COSTA</t>
  </si>
  <si>
    <t>CHACARAS COPACO</t>
  </si>
  <si>
    <t>11-971005263</t>
  </si>
  <si>
    <t>MARTA GOMES DA SILVA</t>
  </si>
  <si>
    <t>11-981546409</t>
  </si>
  <si>
    <t>FRANCISCO EVILARDO MACIEL</t>
  </si>
  <si>
    <t>11-963136266</t>
  </si>
  <si>
    <t>JOSE ERINALDO DA SILVA</t>
  </si>
  <si>
    <t>CIDADE SANTA JULIA</t>
  </si>
  <si>
    <t>11-956566303</t>
  </si>
  <si>
    <t>MARIA APARECIDA DE SOUZA SANTOS</t>
  </si>
  <si>
    <t>11-974243443</t>
  </si>
  <si>
    <t>ELAINE BISPO DE SOUZA</t>
  </si>
  <si>
    <t>CONJUNTO RESIDENCIAL INGAI</t>
  </si>
  <si>
    <t>11-988039121</t>
  </si>
  <si>
    <t>JULIO CESAR MOREIRA DE OLIVEIRA</t>
  </si>
  <si>
    <t>21-992530707</t>
  </si>
  <si>
    <t>ARTHUR GUIMARAES DE SOUZA</t>
  </si>
  <si>
    <t>21-992856620</t>
  </si>
  <si>
    <t>MARCO ANTONIO AVILLA CRIVELARO</t>
  </si>
  <si>
    <t>21-989496573</t>
  </si>
  <si>
    <t>LEANDRO CORDEIRO SOUZA</t>
  </si>
  <si>
    <t>GRAÇAS</t>
  </si>
  <si>
    <t>21-965497098</t>
  </si>
  <si>
    <t>RENATO FABIANO COELHO MARTINS</t>
  </si>
  <si>
    <t>21-991144730</t>
  </si>
  <si>
    <t>SOLANGE MASSOCATI RODRIGUES</t>
  </si>
  <si>
    <t>21-988063995</t>
  </si>
  <si>
    <t>MARIA JOSE MOUHAMED DOS NAVEGANTES</t>
  </si>
  <si>
    <t>21-982941834</t>
  </si>
  <si>
    <t>ANABELA WON KEE CHIN</t>
  </si>
  <si>
    <t>11-984821729</t>
  </si>
  <si>
    <t>MA SHUI KEI</t>
  </si>
  <si>
    <t>EUZIMAR XAVIER DO NASCIMENTO</t>
  </si>
  <si>
    <t>ITANHANGA</t>
  </si>
  <si>
    <t>21-990485145</t>
  </si>
  <si>
    <t>ALEXANDRE ALVES COUTINHO</t>
  </si>
  <si>
    <t>21-968808366</t>
  </si>
  <si>
    <t>MARCOS RYAN SOARES AQUINO</t>
  </si>
  <si>
    <t>JARDIM AMERICA DA PENHA</t>
  </si>
  <si>
    <t>11-997020619</t>
  </si>
  <si>
    <t>TEREZINHA CERQUEIRA SANTOS</t>
  </si>
  <si>
    <t>11-913437589</t>
  </si>
  <si>
    <t>IVANILDO LEOPOLDINO DA SILVA</t>
  </si>
  <si>
    <t>JARDIM BELA VISTA (ZONA SUL)</t>
  </si>
  <si>
    <t>11-91422638</t>
  </si>
  <si>
    <t>ROSELI APARECIDA DOS SANTOS LIMA</t>
  </si>
  <si>
    <t>JARDIM BETEL</t>
  </si>
  <si>
    <t>11-976996011</t>
  </si>
  <si>
    <t>FRANCISCA DAS CHAGAS DOS RODRIGUES</t>
  </si>
  <si>
    <t>JARDIM BOM CLIMA</t>
  </si>
  <si>
    <t>11-961346043</t>
  </si>
  <si>
    <t>EINAR VIANA DOS SANTOS FILHO</t>
  </si>
  <si>
    <t>JARDIM BOTANICO</t>
  </si>
  <si>
    <t>21-981248525</t>
  </si>
  <si>
    <t>ROBERTO MARQUES DA SILVA</t>
  </si>
  <si>
    <t>JARDIM BRASILIA</t>
  </si>
  <si>
    <t>11-987366854</t>
  </si>
  <si>
    <t>CLEBERSON FERREIRA DA CONCEICAO</t>
  </si>
  <si>
    <t>JARDIM CAMARGO NOVO</t>
  </si>
  <si>
    <t>11-983181051</t>
  </si>
  <si>
    <t>ALQUIDEMAR DIAS MARCAL</t>
  </si>
  <si>
    <t>11-997988018</t>
  </si>
  <si>
    <t>JOSE EVANGELISTA DOS SANTOS NETO</t>
  </si>
  <si>
    <t>JARDIM DAS ROSAS (IGUATEMI)</t>
  </si>
  <si>
    <t>11-987967214</t>
  </si>
  <si>
    <t>LEONARDO ZAGARE</t>
  </si>
  <si>
    <t>11-999979699</t>
  </si>
  <si>
    <t>MARIA INES VELA DE MORAES</t>
  </si>
  <si>
    <t>11-975596696</t>
  </si>
  <si>
    <t>MARIA DA CONCEICAO PIRES FERREIRA</t>
  </si>
  <si>
    <t>21-974805959</t>
  </si>
  <si>
    <t>SANTOS FERNANDES DE SOUZA</t>
  </si>
  <si>
    <t>JARDIM GRAZIELA</t>
  </si>
  <si>
    <t>92-81809492</t>
  </si>
  <si>
    <t>ENEDINA ROSA VEIGA</t>
  </si>
  <si>
    <t>JARDIM HUMAITA</t>
  </si>
  <si>
    <t>11-996393170</t>
  </si>
  <si>
    <t>MIRALDO BARRETO DE MORAIS</t>
  </si>
  <si>
    <t>JARDIM MODELO</t>
  </si>
  <si>
    <t>11-996667402</t>
  </si>
  <si>
    <t>LUCELIA ALVES DANTAS</t>
  </si>
  <si>
    <t>JARDIM MYRNA</t>
  </si>
  <si>
    <t>11-980657096</t>
  </si>
  <si>
    <t>IVANILDO HELENO DO NASCIMENTO</t>
  </si>
  <si>
    <t>JARDIM NOVO SANTO AMARO</t>
  </si>
  <si>
    <t>11-954196076</t>
  </si>
  <si>
    <t>DONATO JONAS DA SILVA</t>
  </si>
  <si>
    <t>11-968133785</t>
  </si>
  <si>
    <t>MARIA DO CARMO DA SILVA</t>
  </si>
  <si>
    <t>11-969780389</t>
  </si>
  <si>
    <t>JOSE FERREIRA DE VANSCONCELOS</t>
  </si>
  <si>
    <t>11-957453947</t>
  </si>
  <si>
    <t>ROSILDA GONCALVES DE SANTANA</t>
  </si>
  <si>
    <t>JARDIM RECORD</t>
  </si>
  <si>
    <t>11-950510750</t>
  </si>
  <si>
    <t>ZENAIDE DE SOUSA BISPO</t>
  </si>
  <si>
    <t>11-990010002</t>
  </si>
  <si>
    <t>DAVI PEREIRA DE SOUZA</t>
  </si>
  <si>
    <t>JARDIM REGINA</t>
  </si>
  <si>
    <t>11-982448265</t>
  </si>
  <si>
    <t>EDILSON LIMA DO NASCIMENTO</t>
  </si>
  <si>
    <t>11-982207860</t>
  </si>
  <si>
    <t>ANGELICA MARIA DA CONCEICAO GOMES</t>
  </si>
  <si>
    <t>11-945666788</t>
  </si>
  <si>
    <t>AGUINALDO KAZUYOSHI NOHARA</t>
  </si>
  <si>
    <t>JARDIM SATELITE</t>
  </si>
  <si>
    <t>11-971836899</t>
  </si>
  <si>
    <t>VAGNER MARTINO DA SILVA</t>
  </si>
  <si>
    <t>JARDIM TANAY</t>
  </si>
  <si>
    <t>11-913365970</t>
  </si>
  <si>
    <t>AVANI NUNES PIRES</t>
  </si>
  <si>
    <t>11-973961854</t>
  </si>
  <si>
    <t>ARTHUR PINTO DOS SANTOS</t>
  </si>
  <si>
    <t>MANGUINHOS</t>
  </si>
  <si>
    <t>21-995800626</t>
  </si>
  <si>
    <t>JOSE MANOEL DA SILVA</t>
  </si>
  <si>
    <t>11-940444520</t>
  </si>
  <si>
    <t>VERA LUCIA DA CONCEICAO SUZARTE</t>
  </si>
  <si>
    <t>11-982093940</t>
  </si>
  <si>
    <t>FRANCISCA LIMA FERREIRA</t>
  </si>
  <si>
    <t>55-951291860</t>
  </si>
  <si>
    <t>GILVANICE MARIA DE OLIVEIRA</t>
  </si>
  <si>
    <t>11-982043085</t>
  </si>
  <si>
    <t>SOLANGE APARECIDA TRIGO</t>
  </si>
  <si>
    <t>PARQUE CASA DE PEDRA</t>
  </si>
  <si>
    <t>11-974434902</t>
  </si>
  <si>
    <t>IVANILDO BORIN</t>
  </si>
  <si>
    <t>PARQUE CECAP</t>
  </si>
  <si>
    <t>11-937029825</t>
  </si>
  <si>
    <t>WELLINGTON SENDIN</t>
  </si>
  <si>
    <t>11-994779189</t>
  </si>
  <si>
    <t>VANIA BARBOSA DOS SANTOS</t>
  </si>
  <si>
    <t>11-982206018</t>
  </si>
  <si>
    <t>JOSE LUIZ HIPOLITO</t>
  </si>
  <si>
    <t>PARQUE ESPLANADA</t>
  </si>
  <si>
    <t>11-940365452</t>
  </si>
  <si>
    <t>YEDDA DE PAULA JONES</t>
  </si>
  <si>
    <t>PARQUE MARABA</t>
  </si>
  <si>
    <t>11-947088131</t>
  </si>
  <si>
    <t>CLEUZANI GOMES CARVALHO MORAES</t>
  </si>
  <si>
    <t>11-987116326</t>
  </si>
  <si>
    <t>NEIDE MARIA DE MENDONCA RODRIGUES</t>
  </si>
  <si>
    <t>21-992499447</t>
  </si>
  <si>
    <t>LUIS CAETANO BRAZ</t>
  </si>
  <si>
    <t>21-964558976</t>
  </si>
  <si>
    <t>GERALDO DA SILVA PINTO</t>
  </si>
  <si>
    <t>11-996383793</t>
  </si>
  <si>
    <t>DOMINGOS FERREIRA DOS SANTOS MOUTA</t>
  </si>
  <si>
    <t>21-998836304</t>
  </si>
  <si>
    <t>NELSON GOMES LEAL</t>
  </si>
  <si>
    <t>21-964250406</t>
  </si>
  <si>
    <t>ISAQUE RAMOS BARBOSA TEIXEIRA</t>
  </si>
  <si>
    <t>21-996235073</t>
  </si>
  <si>
    <t>ANA MARLI DA LUZ</t>
  </si>
  <si>
    <t>21-988249013</t>
  </si>
  <si>
    <t>MICHELLE DA SILVA BRITO</t>
  </si>
  <si>
    <t>SAO FRANCISCO XAVIER</t>
  </si>
  <si>
    <t>21-970653708</t>
  </si>
  <si>
    <t>JOAO LUIS CANDIDO SILVA</t>
  </si>
  <si>
    <t>11-984470593</t>
  </si>
  <si>
    <t>ROSELENE DE OLIVEIRA</t>
  </si>
  <si>
    <t>11-982914496</t>
  </si>
  <si>
    <t>CARLOS ALBERTO PINTO GOMES</t>
  </si>
  <si>
    <t>21-981414694</t>
  </si>
  <si>
    <t>FATIMA TEREZA LEIROZ DE OLIVEIRA</t>
  </si>
  <si>
    <t>VARZEA DAS MOÇAS</t>
  </si>
  <si>
    <t>21-998790101</t>
  </si>
  <si>
    <t>IVETE CHARNET MENEZES</t>
  </si>
  <si>
    <t>11-991171379</t>
  </si>
  <si>
    <t>LENON DELLA ROVERE RODRIGUES</t>
  </si>
  <si>
    <t>VILA ALIANÇA</t>
  </si>
  <si>
    <t>11-996041364</t>
  </si>
  <si>
    <t>CRISTINA COSTA TORNICH</t>
  </si>
  <si>
    <t>VILA ANHANGUERA</t>
  </si>
  <si>
    <t>11-971279855</t>
  </si>
  <si>
    <t>JOSE FRANCISCO TORNICH</t>
  </si>
  <si>
    <t>ROSILENE BARBOSA DA SILVA</t>
  </si>
  <si>
    <t>11-964842258</t>
  </si>
  <si>
    <t>VANUSA DE AMORIM GOMES</t>
  </si>
  <si>
    <t>VILA BARROS</t>
  </si>
  <si>
    <t>11-970787537</t>
  </si>
  <si>
    <t>ELSON DE OLIVEIRA</t>
  </si>
  <si>
    <t>VILA GUILHERMINA</t>
  </si>
  <si>
    <t>11-988134107</t>
  </si>
  <si>
    <t>LUIZ VALENCA DOS SANTOS</t>
  </si>
  <si>
    <t>21-987556120</t>
  </si>
  <si>
    <t>CONCEICAO MOTA DE OLIVEIRA</t>
  </si>
  <si>
    <t>VILA MARACANA</t>
  </si>
  <si>
    <t>11-982503297</t>
  </si>
  <si>
    <t>ROBSON FRANCO DE CARMAGO</t>
  </si>
  <si>
    <t>11-971006210</t>
  </si>
  <si>
    <t>SANDRA FERREIRA NEVES</t>
  </si>
  <si>
    <t>11-984354863</t>
  </si>
  <si>
    <t>MILTON MOSCARDI MARTINIANO</t>
  </si>
  <si>
    <t>11-982709962</t>
  </si>
  <si>
    <t>LUIZ CANDIDO DOS ANJOS</t>
  </si>
  <si>
    <t>VILA PROGRESSO (ZONA LESTE)</t>
  </si>
  <si>
    <t>11-993905429</t>
  </si>
  <si>
    <t>ANA MARIA ALVES DA SILVA</t>
  </si>
  <si>
    <t>21-992377009</t>
  </si>
  <si>
    <t>MARIA HELENA FONSECA BRITO LOPES</t>
  </si>
  <si>
    <t>11-94326177</t>
  </si>
  <si>
    <t>IRACEMA DOS SANTOS FONSECA</t>
  </si>
  <si>
    <t>11-976534320</t>
  </si>
  <si>
    <t>CLARICE CARLOS LIMA</t>
  </si>
  <si>
    <t>CAPELA DO SOCORRO</t>
  </si>
  <si>
    <t>11-980674266</t>
  </si>
  <si>
    <t>MARIO CORREIA DOS SANTOS LIMA</t>
  </si>
  <si>
    <t>VALTER DE MORAES VIEIRA</t>
  </si>
  <si>
    <t>11-991993040</t>
  </si>
  <si>
    <t>VILMA HELENA DE ALMEIDA</t>
  </si>
  <si>
    <t>CHACARA SEIS DE OUTUBRO</t>
  </si>
  <si>
    <t>11-950503929</t>
  </si>
  <si>
    <t>MANOEL RODRIGUES DOS SANTOS</t>
  </si>
  <si>
    <t>CONJUNTO HABITACIONAL PIRAJUSSARA</t>
  </si>
  <si>
    <t>11-963572621</t>
  </si>
  <si>
    <t>ISAAC NEWTON DOS SANTOS CARVALHO</t>
  </si>
  <si>
    <t>21-998114831</t>
  </si>
  <si>
    <t>SYLVIO SANTORO JUNIOR</t>
  </si>
  <si>
    <t>11-981555253</t>
  </si>
  <si>
    <t>SEBASTIAO LINO DE SOUZA</t>
  </si>
  <si>
    <t>11-948867096</t>
  </si>
  <si>
    <t>EDDA PECORARO ROSSI</t>
  </si>
  <si>
    <t>JARDIM BRASIL (ZONA SUL)</t>
  </si>
  <si>
    <t>11-991529759</t>
  </si>
  <si>
    <t>MIGUEL LUCIO POLICICIO</t>
  </si>
  <si>
    <t>11-996346239</t>
  </si>
  <si>
    <t>JOAO CYPRIANO BASTOS VALBAO</t>
  </si>
  <si>
    <t>11-991656882</t>
  </si>
  <si>
    <t>ERMELINDO RODRIGUES</t>
  </si>
  <si>
    <t>JARDIM SANTO AMARO</t>
  </si>
  <si>
    <t>11-97073-6660</t>
  </si>
  <si>
    <t>MAURO DE CASSIO NEVES BRAGA</t>
  </si>
  <si>
    <t>JARDIM SONIA (ZONA SUL)</t>
  </si>
  <si>
    <t>11-980960240</t>
  </si>
  <si>
    <t>MARIA IVETE TOFANELLO DE SOUZA</t>
  </si>
  <si>
    <t>PARQUE DAS NAÇOES</t>
  </si>
  <si>
    <t>11-981273538</t>
  </si>
  <si>
    <t>NANCY SALGADO RODRIGUES</t>
  </si>
  <si>
    <t>21-979214224</t>
  </si>
  <si>
    <t>OSWALDO CUSTODIO NOVO</t>
  </si>
  <si>
    <t>PERDIZES</t>
  </si>
  <si>
    <t>11-996987349</t>
  </si>
  <si>
    <t>ALCYR AGUIAR</t>
  </si>
  <si>
    <t>21-996321937</t>
  </si>
  <si>
    <t>FRANCISCO PEDREIRA DOS SANTOS LOPES</t>
  </si>
  <si>
    <t>21-974535746</t>
  </si>
  <si>
    <t>BENEDITO DE SA TELES</t>
  </si>
  <si>
    <t>11-976039644</t>
  </si>
  <si>
    <t>ANTONIO NERIS</t>
  </si>
  <si>
    <t>VILA CORDEIRO</t>
  </si>
  <si>
    <t>11-983356565</t>
  </si>
  <si>
    <t>CONSTANTE PIZZINI FILHO</t>
  </si>
  <si>
    <t>11-994625373</t>
  </si>
  <si>
    <t>RUBENS ANTONIO DE MENEZES</t>
  </si>
  <si>
    <t>21-984551001</t>
  </si>
  <si>
    <t>MARIA LUCIA ANDREU</t>
  </si>
  <si>
    <t>11-998008785</t>
  </si>
  <si>
    <t>JOAO ALVES TEIXEIRA</t>
  </si>
  <si>
    <t>VILA PREL</t>
  </si>
  <si>
    <t>51-993529439</t>
  </si>
  <si>
    <t>IVANEIDE SOUZA SANCHEZ CAMINHA</t>
  </si>
  <si>
    <t>VILA PRIMAVERA</t>
  </si>
  <si>
    <t>11-996263227</t>
  </si>
  <si>
    <t>JOSE ZUCHERATTO NETO</t>
  </si>
  <si>
    <t>11-97513-1369</t>
  </si>
  <si>
    <t>FELIPE NOGUEIROL DEFEO</t>
  </si>
  <si>
    <t>11-982445325</t>
  </si>
  <si>
    <t>LUIZ PAULO PIRES DA SILVA</t>
  </si>
  <si>
    <t>21-999768616</t>
  </si>
  <si>
    <t>ANTONIO CUSTODIO DA SILVA NETO</t>
  </si>
  <si>
    <t>21-975478290</t>
  </si>
  <si>
    <t>WILSON BENEDITO BARBOSA</t>
  </si>
  <si>
    <t>21-983917282</t>
  </si>
  <si>
    <t>LAURIMERI DE OLIVEIRA</t>
  </si>
  <si>
    <t>21-995985120</t>
  </si>
  <si>
    <t>ALCIDES DIAS DE MENDONCA</t>
  </si>
  <si>
    <t>21-968541401</t>
  </si>
  <si>
    <t>NORIVALTE MENDES DOS SANTOS</t>
  </si>
  <si>
    <t>21-975244207</t>
  </si>
  <si>
    <t>SIDNEY OLIVEIRA DA SILVA</t>
  </si>
  <si>
    <t>21-986488177</t>
  </si>
  <si>
    <t>EDENI MARIA DE JESUS</t>
  </si>
  <si>
    <t>PADRE MIGUEL</t>
  </si>
  <si>
    <t>21-998154515</t>
  </si>
  <si>
    <t>ROGERIO ANTONIO DE RESENDE</t>
  </si>
  <si>
    <t>21-993581488</t>
  </si>
  <si>
    <t>ADRIANA WERNECK BARCELLOS</t>
  </si>
  <si>
    <t>00-021450050</t>
  </si>
  <si>
    <t>MIGUEL ALMEIDA PEREIRA DOS SANTOS</t>
  </si>
  <si>
    <t>21-984274206</t>
  </si>
  <si>
    <t>LUCIMAR BRAZ</t>
  </si>
  <si>
    <t>TINGUAZINHO</t>
  </si>
  <si>
    <t>21-998541245</t>
  </si>
  <si>
    <t>ISAIAS CELSO RODRIGUES MACEDO</t>
  </si>
  <si>
    <t>21-985929302</t>
  </si>
  <si>
    <t>JORGE LUIS SILVA</t>
  </si>
  <si>
    <t>VILA DO TINGUA</t>
  </si>
  <si>
    <t>21-974707424</t>
  </si>
  <si>
    <t>GHABI RAMEZ HAJJ</t>
  </si>
  <si>
    <t>21-996642878</t>
  </si>
  <si>
    <t>LUIZ CARLOS LOPES MOREIRA</t>
  </si>
  <si>
    <t>21-975098173</t>
  </si>
  <si>
    <t>JULIANA OLIVEIRA FERREIRA</t>
  </si>
  <si>
    <t>11-982870102</t>
  </si>
  <si>
    <t>DIEGO LIMA CANDIDO DA SILVA</t>
  </si>
  <si>
    <t>22-988739786</t>
  </si>
  <si>
    <t>JANE MARIA CASTRO SERPA</t>
  </si>
  <si>
    <t>21-981479812</t>
  </si>
  <si>
    <t>JACI ARCANJO DA SILVA</t>
  </si>
  <si>
    <t>AGUA SANTA</t>
  </si>
  <si>
    <t>21-981694608</t>
  </si>
  <si>
    <t>HILIOGERIO FERREIRA</t>
  </si>
  <si>
    <t>BANCARIOS</t>
  </si>
  <si>
    <t>21-994277187</t>
  </si>
  <si>
    <t>LUCIO SANSONE</t>
  </si>
  <si>
    <t>11-999348921</t>
  </si>
  <si>
    <t>ROBSON DE OLIVEIRA VIEIRA</t>
  </si>
  <si>
    <t>21-991523197</t>
  </si>
  <si>
    <t>CLEIDE VIANA DE SOUSA</t>
  </si>
  <si>
    <t>21-997227944</t>
  </si>
  <si>
    <t>FRANCISCO LEONCIO DE SOUZA</t>
  </si>
  <si>
    <t>21-979011727</t>
  </si>
  <si>
    <t>JONAS FERREIRA DA SILVA</t>
  </si>
  <si>
    <t>11-947699459</t>
  </si>
  <si>
    <t>ADANS DA LUZ RIBEIRO</t>
  </si>
  <si>
    <t>MARGARIDA</t>
  </si>
  <si>
    <t>21-986606095</t>
  </si>
  <si>
    <t>DIEGO DO MONTE HIRATA</t>
  </si>
  <si>
    <t>11-956025565</t>
  </si>
  <si>
    <t>OLGA MARIA DOS SANTOS</t>
  </si>
  <si>
    <t>11-969422812</t>
  </si>
  <si>
    <t>KAREN RODRIGUES SOUZA</t>
  </si>
  <si>
    <t>11-959686025</t>
  </si>
  <si>
    <t>VILMAR ANTONIO BASSI</t>
  </si>
  <si>
    <t>11-952914337</t>
  </si>
  <si>
    <t>CLEUZA DA SILVA FELICIANO</t>
  </si>
  <si>
    <t>116.745.228-35</t>
  </si>
  <si>
    <t>KIRNA DELLY RIVAS PAREDES</t>
  </si>
  <si>
    <t>(11)972489350</t>
  </si>
  <si>
    <t>LUIZ ANTONIO DA SILVA</t>
  </si>
  <si>
    <t>11-984986792</t>
  </si>
  <si>
    <t>informa desinteresse, não permite consulta de enfermagem</t>
  </si>
  <si>
    <t>NA</t>
  </si>
  <si>
    <t>CICERO HERCULANO DA SILVA</t>
  </si>
  <si>
    <t>142.328.028-86</t>
  </si>
  <si>
    <t>SÃO PAULO</t>
  </si>
  <si>
    <t>7. Em fase de captação</t>
  </si>
  <si>
    <t>APARECIDA GERALDA DE FARIA ADRIANO</t>
  </si>
  <si>
    <t>041.915.538-44</t>
  </si>
  <si>
    <t>f</t>
  </si>
  <si>
    <t>MARIA RIBEIRO FERREIRA</t>
  </si>
  <si>
    <t>160.547.488-66</t>
  </si>
  <si>
    <t>MARISTELA LOPES MARTINS</t>
  </si>
  <si>
    <t>099.296.207-29</t>
  </si>
  <si>
    <t xml:space="preserve">BARRA DA TIJUCA </t>
  </si>
  <si>
    <t>21-994284128</t>
  </si>
  <si>
    <t>ROBERTO DEL ESTAL TERAN</t>
  </si>
  <si>
    <t>892.894.478-34</t>
  </si>
  <si>
    <t xml:space="preserve">JARDIM BONFIGLIOLI </t>
  </si>
  <si>
    <t>SULIMAR RANGEL CORDEIRO DA CRUZ</t>
  </si>
  <si>
    <t>023.919.337-70</t>
  </si>
  <si>
    <t xml:space="preserve">MARECHAL HERMES </t>
  </si>
  <si>
    <t>MANUEL CORREIA GONCALVES RIBEIRO</t>
  </si>
  <si>
    <t>11972324417 11995886655 21996172307</t>
  </si>
  <si>
    <t>LINCOLN KENJIRO MATSUZAKA</t>
  </si>
  <si>
    <t>11983741961 11982629141</t>
  </si>
  <si>
    <t>JOEL CORDEIRO DE OLIVEIRA</t>
  </si>
  <si>
    <t>100.674.518-10</t>
  </si>
  <si>
    <t>JARDIM CACIQUE</t>
  </si>
  <si>
    <t>ERNESTO PIRES RODRIGUES</t>
  </si>
  <si>
    <t>131.196.217-49</t>
  </si>
  <si>
    <t>VILAR DOS TELES</t>
  </si>
  <si>
    <t>21-981286087</t>
  </si>
  <si>
    <t>MARIA APARECIDA DE MORAES</t>
  </si>
  <si>
    <t>ROBERTO INOCENTE FRANCA</t>
  </si>
  <si>
    <t>sao paulo</t>
  </si>
  <si>
    <t>VILA NOVA CACHOEIRINHA</t>
  </si>
  <si>
    <t>JULIO CAMPANA DE CARVALHO</t>
  </si>
  <si>
    <t>034.041.587-84</t>
  </si>
  <si>
    <t>MARIA JOSE FERNANDES DA SILVA</t>
  </si>
  <si>
    <t>459.370.797-87</t>
  </si>
  <si>
    <t>rio de janeiro</t>
  </si>
  <si>
    <t>Navegação</t>
  </si>
  <si>
    <t>Forms</t>
  </si>
  <si>
    <t>KAIO SALLES CUNHA ZAMPOL</t>
  </si>
  <si>
    <t>438.984.078-96</t>
  </si>
  <si>
    <t>Masculino</t>
  </si>
  <si>
    <t>VILA CARRAO</t>
  </si>
  <si>
    <t>PAULO CEZAR BERENBAUM</t>
  </si>
  <si>
    <t>664.542.047-15</t>
  </si>
  <si>
    <t>WANDER DIAS PEREIRA</t>
  </si>
  <si>
    <t>187.826.047-20</t>
  </si>
  <si>
    <t>NEMUEL DA CUNHA PEREIRA ANTUNES</t>
  </si>
  <si>
    <t>443.839.917-34</t>
  </si>
  <si>
    <t>GUSTAVO HENRIQUE PRAXEDES BARBOZA</t>
  </si>
  <si>
    <t>436.380.428-98GUSTAVO HENRIQUE PRAXEDES BARBOZA</t>
  </si>
  <si>
    <t>BELA</t>
  </si>
  <si>
    <t>ADRIANO RAMOS DA SILVA</t>
  </si>
  <si>
    <t>328.999.468-62</t>
  </si>
  <si>
    <t>VILA NOSSA SENHORA APARECIDA</t>
  </si>
  <si>
    <t>NASSER ELBACHA</t>
  </si>
  <si>
    <t>035.104.958-45</t>
  </si>
  <si>
    <t>JOSE JOAQUIM FERREIRA DE SOUZA</t>
  </si>
  <si>
    <t>093.398.257-72</t>
  </si>
  <si>
    <t>001.634.957-18</t>
  </si>
  <si>
    <t>LUIZ FERNANDO SOARES</t>
  </si>
  <si>
    <t>800.607.817-34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</si>
  <si>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</si>
  <si>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</si>
  <si>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</si>
  <si>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</si>
  <si>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</si>
  <si>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</si>
  <si>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</si>
  <si>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</si>
  <si>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</si>
  <si>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</si>
  <si>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</si>
  <si>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</si>
  <si>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</si>
  <si>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</si>
  <si>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</si>
  <si>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3. Recusa por desconfiança do programa</t>
  </si>
  <si>
    <t>SLA Consulta
Médio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</si>
  <si>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</si>
  <si>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</si>
  <si>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</si>
  <si>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</si>
  <si>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</si>
  <si>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</si>
  <si>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Inelegível fora do escopo</t>
  </si>
  <si>
    <t>4. Exclusão do plano</t>
  </si>
  <si>
    <t>4. Óbito</t>
  </si>
  <si>
    <t>4. Não Captar a pedido da Operadora</t>
  </si>
  <si>
    <t>5. Alta a pedido - recusa em assinar o termo</t>
  </si>
  <si>
    <t>5. Alta a pedido - mudança de região</t>
  </si>
  <si>
    <t>5. Alta a pedido da operadora</t>
  </si>
  <si>
    <t>8. Não contactado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</si>
  <si>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</si>
  <si>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</si>
  <si>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</si>
  <si>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</si>
  <si>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</si>
  <si>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Samaritano Higi</t>
  </si>
  <si>
    <t>COI -RJ</t>
  </si>
  <si>
    <t>Taxa de Conversão - Hub Linha</t>
  </si>
  <si>
    <t>COI RJ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</si>
  <si>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</si>
  <si>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</si>
  <si>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</si>
  <si>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</si>
  <si>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</si>
  <si>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</si>
  <si>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Recusa</t>
  </si>
  <si>
    <t>Status Consultas de Enfermagem</t>
  </si>
  <si>
    <t>Sem Preenchimento</t>
  </si>
  <si>
    <t>ORIGEM</t>
  </si>
  <si>
    <t>Casos Prioritário - E-mail</t>
  </si>
  <si>
    <t>GSC</t>
  </si>
  <si>
    <t>Triggers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</si>
  <si>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</si>
  <si>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</si>
  <si>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</si>
  <si>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</si>
  <si>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</si>
  <si>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</si>
  <si>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CA Confirmado?</t>
  </si>
  <si>
    <t>Direcionado ao Paulistano?</t>
  </si>
  <si>
    <t>CÉLULA COM FÓRMULA - NÃO ALTERAR</t>
  </si>
  <si>
    <t xml:space="preserve">Captação + Navegação </t>
  </si>
  <si>
    <t>Outras</t>
  </si>
  <si>
    <t>Colorretal</t>
  </si>
  <si>
    <t>Mama</t>
  </si>
  <si>
    <t>Aguardando Agendamento</t>
  </si>
  <si>
    <t>Pós-TMO</t>
  </si>
  <si>
    <t>Aguardando Contato</t>
  </si>
  <si>
    <t>Pendente</t>
  </si>
  <si>
    <t>Migrou do Fluxo de Negativa</t>
  </si>
  <si>
    <t>Próstata</t>
  </si>
  <si>
    <t>Transbordo/TotalCare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</si>
  <si>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</si>
  <si>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</si>
  <si>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</si>
  <si>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</si>
  <si>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</si>
  <si>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</si>
  <si>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Arritmias</t>
  </si>
  <si>
    <t>Ambulatório - Samaritano Barra</t>
  </si>
  <si>
    <t>Amil - Hospital Ipiranga Arujá - Ambulatório </t>
  </si>
  <si>
    <t>Captado pela Amil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</si>
  <si>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</si>
  <si>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</si>
  <si>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</si>
  <si>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</si>
  <si>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</si>
  <si>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</si>
  <si>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Amil - Hospital Paulistano - Ambulatório </t>
  </si>
  <si>
    <t>Diabetes</t>
  </si>
  <si>
    <t>CMDP - Eduardo</t>
  </si>
  <si>
    <t>CMDP Nutri - Andreza Oliveira Barbosa</t>
  </si>
  <si>
    <t>Gestantes</t>
  </si>
  <si>
    <t>CMDP Nutri - Helena Guazzelli</t>
  </si>
  <si>
    <t>Coluna</t>
  </si>
  <si>
    <t>CMDP Nutri - Juliana Cardoso Gaia</t>
  </si>
  <si>
    <t>Pós-AVC</t>
  </si>
  <si>
    <t>CMDP Nutri - Maria Carolina Vieira Marrano</t>
  </si>
  <si>
    <t>Cefaleia</t>
  </si>
  <si>
    <t>CMDP Nutri - Mariana Freire Lima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</si>
  <si>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</si>
  <si>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</si>
  <si>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</si>
  <si>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</si>
  <si>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</si>
  <si>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</si>
  <si>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</si>
  <si>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</si>
  <si>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</si>
  <si>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</si>
  <si>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</si>
  <si>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</si>
  <si>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</si>
  <si>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</si>
  <si>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</si>
  <si>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</si>
  <si>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</si>
  <si>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</si>
  <si>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</si>
  <si>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</si>
  <si>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</si>
  <si>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</si>
  <si>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</si>
  <si>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</si>
  <si>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</si>
  <si>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</si>
  <si>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</si>
  <si>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</si>
  <si>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</si>
  <si>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</si>
  <si>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</si>
  <si>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</si>
  <si>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</si>
  <si>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</si>
  <si>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</si>
  <si>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</si>
  <si>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</si>
  <si>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</si>
  <si>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</si>
  <si>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</si>
  <si>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</si>
  <si>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</si>
  <si>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</si>
  <si>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</si>
  <si>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</si>
  <si>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</si>
  <si>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</si>
  <si>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</si>
  <si>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</si>
  <si>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</si>
  <si>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</si>
  <si>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</si>
  <si>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</si>
  <si>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</si>
  <si>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</si>
  <si>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</si>
  <si>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</si>
  <si>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</si>
  <si>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Captado Total Care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</si>
  <si>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</si>
  <si>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</si>
  <si>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</si>
  <si>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</si>
  <si>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</si>
  <si>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</si>
  <si>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</si>
  <si>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</si>
  <si>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 xml:space="preserve">Amil Espaço Saúde - Santa Helena </t>
  </si>
  <si>
    <t>SUS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</si>
  <si>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</si>
  <si>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</si>
  <si>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</si>
  <si>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</si>
  <si>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</si>
  <si>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</si>
  <si>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</si>
  <si>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</si>
  <si>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</si>
  <si>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</si>
  <si>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</si>
  <si>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</si>
  <si>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</si>
  <si>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</si>
  <si>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</si>
  <si>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</si>
  <si>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Interno</t>
  </si>
  <si>
    <t>Externo</t>
  </si>
  <si>
    <t>Investigando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</si>
</sst>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00000000"/>
    <numFmt numFmtId="171" formatCode="d/mm/yyyy;@"/>
  </numFmts>
  <fonts count="19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sz val="11"/>
      <color rgb="FF000000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E2EFDA"/>
        <bgColor rgb="FF000000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8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0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15" fillId="3" borderId="34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5" fillId="5" borderId="29" xfId="0" applyFont="1" applyFill="1" applyBorder="1" applyAlignment="1">
      <alignment horizontal="center" vertical="center" wrapText="1"/>
    </xf>
    <xf numFmtId="0" fontId="15" fillId="5" borderId="34" xfId="0" applyFont="1" applyFill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15" fillId="2" borderId="34" xfId="0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7" borderId="29" xfId="0" applyFont="1" applyFill="1" applyBorder="1" applyAlignment="1">
      <alignment horizontal="center" vertical="center" wrapText="1"/>
    </xf>
    <xf numFmtId="0" fontId="11" fillId="0" borderId="35" xfId="0" applyFont="1" applyBorder="1" applyAlignment="1">
      <alignment horizontal="center"/>
    </xf>
    <xf numFmtId="0" fontId="11" fillId="0" borderId="36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39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49" fontId="0" fillId="11" borderId="0" xfId="0" applyNumberFormat="1" applyFill="1" applyAlignment="1">
      <alignment horizontal="center"/>
    </xf>
    <xf numFmtId="0" fontId="0" fillId="2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19" borderId="0" xfId="0" applyFont="1" applyFill="1"/>
    <xf numFmtId="0" fontId="8" fillId="19" borderId="0" xfId="0" applyFont="1" applyFill="1"/>
    <xf numFmtId="0" fontId="0" fillId="19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15" fillId="3" borderId="29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171" fontId="17" fillId="3" borderId="1" xfId="0" applyNumberFormat="1" applyFont="1" applyFill="1" applyBorder="1" applyAlignment="1">
      <alignment horizontal="center" vertical="center" wrapText="1"/>
    </xf>
    <xf numFmtId="171" fontId="1" fillId="0" borderId="0" xfId="0" applyNumberFormat="1" applyFont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 wrapText="1"/>
    </xf>
    <xf numFmtId="0" fontId="18" fillId="0" borderId="1" xfId="0" applyFont="1" applyBorder="1"/>
    <xf numFmtId="0" fontId="18" fillId="0" borderId="45" xfId="0" applyFont="1" applyBorder="1"/>
    <xf numFmtId="0" fontId="18" fillId="20" borderId="6" xfId="0" applyFont="1" applyFill="1" applyBorder="1"/>
    <xf numFmtId="0" fontId="18" fillId="0" borderId="46" xfId="0" applyFont="1" applyBorder="1"/>
    <xf numFmtId="0" fontId="8" fillId="1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ceitou" id="{D95C93D9-C83A-4C91-89A8-30655F5F9EE8}">
    <nsvFilter filterId="{9931A248-8A11-4D8E-BACD-A0C0D59E4D18}" ref="A1:AU6863" tableId="0">
      <columnFilter colId="16">
        <filter colId="16">
          <x:filters>
            <x:filter val="1. Aceitou o programa"/>
          </x:filters>
        </filter>
      </columnFilter>
      <columnFilter colId="35">
        <filter colId="35">
          <x:filters blank="1">
            <x:filter val="Pendente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 filterMode="1">
    <tabColor rgb="FF00B0F0"/>
  </sheetPr>
  <dimension ref="A1:AU6863"/>
  <sheetViews>
    <sheetView showGridLines="0" tabSelected="1" zoomScale="85" zoomScaleNormal="85" zoomScaleSheetLayoutView="120" workbookViewId="0">
      <pane xSplit="6" ySplit="1" topLeftCell="L631" activePane="bottomRight" state="frozen"/>
      <selection pane="topRight"/>
      <selection pane="bottomLeft"/>
      <selection pane="bottomRight" activeCell="O637" sqref="O637"/>
    </sheetView>
  </sheetViews>
  <sheetFormatPr defaultColWidth="8.88671875" defaultRowHeight="12" customHeight="1" x14ac:dyDescent="0.3"/>
  <cols>
    <col min="1" max="1" width="11" style="31" customWidth="1"/>
    <col min="2" max="2" width="11.5546875" style="27" customWidth="1"/>
    <col min="3" max="3" width="16.88671875" style="29" bestFit="1" customWidth="1"/>
    <col min="4" max="4" width="21.6640625" style="29" bestFit="1" customWidth="1"/>
    <col min="5" max="5" width="11.6640625" style="28" bestFit="1" customWidth="1"/>
    <col min="6" max="6" width="16.88671875" style="185" customWidth="1"/>
    <col min="7" max="7" width="11.6640625" style="30" bestFit="1" customWidth="1"/>
    <col min="8" max="8" width="19" style="27" bestFit="1" customWidth="1"/>
    <col min="9" max="9" width="9.33203125" style="30" bestFit="1" customWidth="1"/>
    <col min="10" max="10" width="10.5546875" style="31" bestFit="1" customWidth="1"/>
    <col min="11" max="11" width="9.88671875" style="31" bestFit="1" customWidth="1"/>
    <col min="12" max="12" width="18.6640625" style="29" bestFit="1" customWidth="1"/>
    <col min="13" max="13" width="30.44140625" style="29" bestFit="1" customWidth="1"/>
    <col min="14" max="14" width="14.6640625" style="31" bestFit="1" customWidth="1"/>
    <col min="15" max="15" width="30.5546875" style="29" bestFit="1" customWidth="1"/>
    <col min="16" max="16" width="13.109375" style="32" bestFit="1" customWidth="1"/>
    <col min="17" max="17" width="28.6640625" style="31" bestFit="1" customWidth="1"/>
    <col min="18" max="18" width="16.33203125" style="27" bestFit="1" customWidth="1"/>
    <col min="19" max="19" width="20.5546875" style="192" customWidth="1"/>
    <col min="20" max="20" width="17.33203125" style="27" bestFit="1" customWidth="1"/>
    <col min="21" max="21" width="23.5546875" style="27" customWidth="1"/>
    <col min="22" max="24" width="20.5546875" style="27" customWidth="1"/>
    <col min="25" max="25" width="25.5546875" style="33" customWidth="1"/>
    <col min="26" max="26" width="27.109375" style="31" customWidth="1"/>
    <col min="27" max="27" width="27.44140625" style="27" customWidth="1"/>
    <col min="28" max="28" width="28.33203125" style="29" customWidth="1"/>
    <col min="29" max="29" width="25.33203125" style="156" customWidth="1"/>
    <col min="30" max="30" width="15.109375" style="31" customWidth="1"/>
    <col min="31" max="31" width="18.33203125" style="31" customWidth="1"/>
    <col min="32" max="33" width="24.88671875" style="31" customWidth="1"/>
    <col min="34" max="34" width="16.109375" style="31" customWidth="1"/>
    <col min="35" max="35" width="14.33203125" style="31" customWidth="1"/>
    <col min="36" max="36" width="8.109375" style="31" customWidth="1"/>
    <col min="37" max="37" width="15.44140625" style="31" customWidth="1"/>
    <col min="38" max="38" width="10.33203125" style="45" customWidth="1"/>
    <col min="39" max="39" width="9.44140625" style="161" customWidth="1"/>
    <col min="40" max="42" width="12.5546875" style="45" customWidth="1"/>
    <col min="43" max="44" width="17.109375" style="45" customWidth="1"/>
    <col min="45" max="45" width="22.33203125" style="45" customWidth="1"/>
    <col min="46" max="46" width="16.88671875" style="45" bestFit="1" customWidth="1"/>
    <col min="47" max="47" width="15.109375" customWidth="1"/>
  </cols>
  <sheetData>
    <row r="1" spans="1:47" s="1" customFormat="1" ht="23.4" customHeight="1" x14ac:dyDescent="0.3">
      <c r="A1" s="100" t="s">
        <v>0</v>
      </c>
      <c r="B1" s="101" t="s">
        <v>1</v>
      </c>
      <c r="C1" s="102" t="s">
        <v>2</v>
      </c>
      <c r="D1" s="102" t="s">
        <v>3</v>
      </c>
      <c r="E1" s="100" t="s">
        <v>4</v>
      </c>
      <c r="F1" s="183" t="s">
        <v>5</v>
      </c>
      <c r="G1" s="104" t="s">
        <v>6</v>
      </c>
      <c r="H1" s="101" t="s">
        <v>7</v>
      </c>
      <c r="I1" s="104" t="s">
        <v>8</v>
      </c>
      <c r="J1" s="103" t="s">
        <v>9</v>
      </c>
      <c r="K1" s="105" t="s">
        <v>10</v>
      </c>
      <c r="L1" s="103" t="s">
        <v>11</v>
      </c>
      <c r="M1" s="103" t="s">
        <v>12</v>
      </c>
      <c r="N1" s="103" t="s">
        <v>13</v>
      </c>
      <c r="O1" s="103" t="s">
        <v>14</v>
      </c>
      <c r="P1" s="106" t="s">
        <v>15</v>
      </c>
      <c r="Q1" s="106" t="s">
        <v>16</v>
      </c>
      <c r="R1" s="106" t="s">
        <v>17</v>
      </c>
      <c r="S1" s="191" t="s">
        <v>18</v>
      </c>
      <c r="T1" s="107" t="s">
        <v>19</v>
      </c>
      <c r="U1" s="107" t="s">
        <v>20</v>
      </c>
      <c r="V1" s="108" t="s">
        <v>21</v>
      </c>
      <c r="W1" s="108" t="s">
        <v>22</v>
      </c>
      <c r="X1" s="108" t="s">
        <v>23</v>
      </c>
      <c r="Y1" s="109" t="s">
        <v>24</v>
      </c>
      <c r="Z1" s="110" t="s">
        <v>25</v>
      </c>
      <c r="AA1" s="106" t="s">
        <v>26</v>
      </c>
      <c r="AB1" s="110" t="s">
        <v>27</v>
      </c>
      <c r="AC1" s="155" t="s">
        <v>28</v>
      </c>
      <c r="AD1" s="110" t="s">
        <v>29</v>
      </c>
      <c r="AE1" s="110" t="s">
        <v>30</v>
      </c>
      <c r="AF1" s="107" t="s">
        <v>31</v>
      </c>
      <c r="AG1" s="107" t="s">
        <v>32</v>
      </c>
      <c r="AH1" s="107" t="s">
        <v>33</v>
      </c>
      <c r="AI1" s="186" t="s">
        <v>34</v>
      </c>
      <c r="AJ1" s="186" t="s">
        <v>35</v>
      </c>
      <c r="AK1" s="186" t="s">
        <v>36</v>
      </c>
      <c r="AL1" s="34" t="s">
        <v>37</v>
      </c>
      <c r="AM1" s="160" t="s">
        <v>38</v>
      </c>
      <c r="AN1" s="34" t="s">
        <v>39</v>
      </c>
      <c r="AO1" s="190" t="s">
        <v>40</v>
      </c>
      <c r="AP1" s="190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customHeight="1" x14ac:dyDescent="0.3">
      <c r="A2" s="87" t="s">
        <v>47</v>
      </c>
      <c r="B2" s="88">
        <v>46090</v>
      </c>
      <c r="C2" s="89" t="s">
        <v>48</v>
      </c>
      <c r="D2" s="89" t="s">
        <v>49</v>
      </c>
      <c r="E2" s="90">
        <v>89647515</v>
      </c>
      <c r="F2" s="184" t="s">
        <v>50</v>
      </c>
      <c r="G2" s="91">
        <v>32582776807</v>
      </c>
      <c r="H2" s="92">
        <v>31406</v>
      </c>
      <c r="I2" s="89">
        <v>40</v>
      </c>
      <c r="J2" s="89" t="s">
        <v>51</v>
      </c>
      <c r="K2" s="89" t="s">
        <v>52</v>
      </c>
      <c r="L2" s="89" t="s">
        <v>53</v>
      </c>
      <c r="M2" s="89" t="s">
        <v>54</v>
      </c>
      <c r="N2" s="89" t="s">
        <v>55</v>
      </c>
      <c r="O2" s="93" t="s">
        <v>56</v>
      </c>
      <c r="P2" s="94" t="s">
        <v>57</v>
      </c>
      <c r="Q2" s="112" t="s">
        <v>58</v>
      </c>
      <c r="R2" s="95">
        <v>46098</v>
      </c>
      <c r="S2" s="96"/>
      <c r="T2" s="96" t="s">
        <v>59</v>
      </c>
      <c r="U2" s="96" t="s">
        <v>60</v>
      </c>
      <c r="V2" s="92">
        <v>46098</v>
      </c>
      <c r="W2" s="92" t="s">
        <v>61</v>
      </c>
      <c r="X2" s="92" t="s">
        <v>61</v>
      </c>
      <c r="Y2" s="97"/>
      <c r="Z2" s="89" t="s">
        <v>62</v>
      </c>
      <c r="AA2" s="96">
        <v>46104.597222222219</v>
      </c>
      <c r="AB2" s="89" t="s">
        <v>63</v>
      </c>
      <c r="AC2" s="111"/>
      <c r="AD2" s="89" t="s">
        <v>64</v>
      </c>
      <c r="AE2" s="89">
        <v>35</v>
      </c>
      <c r="AF2" s="98" t="s">
        <v>65</v>
      </c>
      <c r="AG2" s="98"/>
      <c r="AH2" s="98" t="s">
        <v>66</v>
      </c>
      <c r="AI2" s="99" t="s">
        <v>67</v>
      </c>
      <c r="AJ2" s="99" t="s">
        <v>67</v>
      </c>
      <c r="AK2" s="99" t="s">
        <v>67</v>
      </c>
      <c r="AL2" s="45" t="s">
        <v>68</v>
      </c>
      <c r="AM2" s="162" t="str">
        <f t="shared" ref="AM2:AM65" si="0">MONTH(B2)&amp;"/"&amp;YEAR(B2)</f>
        <v>3/2026</v>
      </c>
      <c r="AN2" s="45">
        <f t="shared" ref="AN2:AN65" si="1">WEEKNUM(B2)-WEEKNUM(EOMONTH(B2,-1)+1)+1</f>
        <v>2</v>
      </c>
      <c r="AO2" s="45" t="str">
        <f t="shared" ref="AO2:AO65" si="2">MONTH(R2)&amp;"/"&amp;YEAR(R2)</f>
        <v>3/2026</v>
      </c>
      <c r="AP2" s="45">
        <f t="shared" ref="AP2:AP65" si="3">WEEKNUM(R2)-WEEKNUM(EOMONTH(R2,-1)+1)+1</f>
        <v>3</v>
      </c>
      <c r="AQ2" s="45">
        <f t="shared" ref="AQ2:AQ65" si="4">IF(AU2="S",IF(Q2="1. Aceitou o programa",R2-B2,0),0)</f>
        <v>8</v>
      </c>
      <c r="AR2" s="45">
        <f t="shared" ref="AR2:AR65" si="5">IF(AU2="S",IF(AND(S2&lt;&gt;"",R2&lt;&gt;""),S2-R2,0),0)</f>
        <v>0</v>
      </c>
      <c r="AS2" s="45">
        <f t="shared" ref="AS2:AS65" si="6">IF(AU2="S",IF(Q2="1. Aceitou o programa",IF(OR(X2="Não se Aplica",X2=""),IF(OR(W2="Não se Aplica",W2=""),0,W2-V2),AVERAGE(X2-W2,W2-V2)),0),0)</f>
        <v>0</v>
      </c>
      <c r="AT2" s="45">
        <f t="shared" ref="AT2:AT65" si="7">IF(AU2="S",IF(AND(Q2="1. Aceitou o programa",AB2="Realizada"),IFERROR(IF(AA2="",0,AA2-R2),0),0),0)</f>
        <v>6.5972222222189885</v>
      </c>
      <c r="AU2" s="45" t="str">
        <f>_xlfn.XLOOKUP(U2,'Lista Suspensa'!$AA$20:$AA$23,'Lista Suspensa'!$AB$20:$AB$23,"N/A")</f>
        <v>S</v>
      </c>
    </row>
    <row r="3" spans="1:47" ht="12" customHeight="1" x14ac:dyDescent="0.3">
      <c r="A3" s="87" t="s">
        <v>47</v>
      </c>
      <c r="B3" s="88">
        <v>46090</v>
      </c>
      <c r="C3" s="89" t="s">
        <v>48</v>
      </c>
      <c r="D3" s="89" t="s">
        <v>49</v>
      </c>
      <c r="E3" s="90">
        <v>451841425</v>
      </c>
      <c r="F3" s="184" t="s">
        <v>69</v>
      </c>
      <c r="G3" s="91">
        <v>37417428800</v>
      </c>
      <c r="H3" s="92">
        <v>17863</v>
      </c>
      <c r="I3" s="89">
        <v>77</v>
      </c>
      <c r="J3" s="89" t="s">
        <v>70</v>
      </c>
      <c r="K3" s="89" t="s">
        <v>52</v>
      </c>
      <c r="L3" s="89" t="s">
        <v>53</v>
      </c>
      <c r="M3" s="89" t="s">
        <v>71</v>
      </c>
      <c r="N3" s="89" t="s">
        <v>72</v>
      </c>
      <c r="O3" s="93" t="s">
        <v>73</v>
      </c>
      <c r="P3" s="94" t="s">
        <v>57</v>
      </c>
      <c r="Q3" s="112" t="s">
        <v>58</v>
      </c>
      <c r="R3" s="95">
        <v>46098</v>
      </c>
      <c r="S3" s="96"/>
      <c r="T3" s="96" t="s">
        <v>59</v>
      </c>
      <c r="U3" s="96" t="s">
        <v>60</v>
      </c>
      <c r="V3" s="92">
        <v>46098</v>
      </c>
      <c r="W3" s="92" t="s">
        <v>61</v>
      </c>
      <c r="X3" s="92" t="s">
        <v>61</v>
      </c>
      <c r="Y3" s="97"/>
      <c r="Z3" s="89" t="s">
        <v>62</v>
      </c>
      <c r="AA3" s="96">
        <v>46161</v>
      </c>
      <c r="AB3" s="89" t="s">
        <v>80</v>
      </c>
      <c r="AC3" s="111"/>
      <c r="AD3" s="89"/>
      <c r="AE3" s="89"/>
      <c r="AF3" s="98"/>
      <c r="AG3" s="98"/>
      <c r="AH3" s="98"/>
      <c r="AI3" s="99" t="s">
        <v>67</v>
      </c>
      <c r="AJ3" s="99" t="s">
        <v>67</v>
      </c>
      <c r="AK3" s="99" t="s">
        <v>67</v>
      </c>
      <c r="AL3" s="45" t="s">
        <v>68</v>
      </c>
      <c r="AM3" s="162" t="str">
        <f t="shared" si="0"/>
        <v>3/2026</v>
      </c>
      <c r="AN3" s="45">
        <f t="shared" si="1"/>
        <v>2</v>
      </c>
      <c r="AO3" s="45" t="str">
        <f t="shared" si="2"/>
        <v>3/2026</v>
      </c>
      <c r="AP3" s="45">
        <f t="shared" si="3"/>
        <v>3</v>
      </c>
      <c r="AQ3" s="45">
        <f t="shared" si="4"/>
        <v>8</v>
      </c>
      <c r="AR3" s="45">
        <f t="shared" si="5"/>
        <v>0</v>
      </c>
      <c r="AS3" s="45">
        <f t="shared" si="6"/>
        <v>0</v>
      </c>
      <c r="AT3" s="45">
        <f t="shared" si="7"/>
        <v>0</v>
      </c>
      <c r="AU3" s="45" t="str">
        <f>_xlfn.XLOOKUP(U3,'Lista Suspensa'!$AA$20:$AA$23,'Lista Suspensa'!$AB$20:$AB$23,"N/A")</f>
        <v>S</v>
      </c>
    </row>
    <row r="4" spans="1:47" ht="12" hidden="1" customHeight="1" x14ac:dyDescent="0.3">
      <c r="A4" s="87" t="s">
        <v>47</v>
      </c>
      <c r="B4" s="88">
        <v>46090</v>
      </c>
      <c r="C4" s="89" t="s">
        <v>48</v>
      </c>
      <c r="D4" s="89" t="s">
        <v>49</v>
      </c>
      <c r="E4" s="90">
        <v>95064495</v>
      </c>
      <c r="F4" s="184" t="s">
        <v>74</v>
      </c>
      <c r="G4" s="91">
        <v>9421775848</v>
      </c>
      <c r="H4" s="92">
        <v>25009</v>
      </c>
      <c r="I4" s="89">
        <v>57</v>
      </c>
      <c r="J4" s="89" t="s">
        <v>51</v>
      </c>
      <c r="K4" s="89" t="s">
        <v>52</v>
      </c>
      <c r="L4" s="89" t="s">
        <v>75</v>
      </c>
      <c r="M4" s="89" t="s">
        <v>76</v>
      </c>
      <c r="N4" s="89" t="s">
        <v>55</v>
      </c>
      <c r="O4" s="93" t="s">
        <v>77</v>
      </c>
      <c r="P4" s="94" t="s">
        <v>57</v>
      </c>
      <c r="Q4" s="112" t="s">
        <v>78</v>
      </c>
      <c r="R4" s="95">
        <v>46073</v>
      </c>
      <c r="S4" s="96">
        <v>46174</v>
      </c>
      <c r="T4" s="96" t="s">
        <v>59</v>
      </c>
      <c r="U4" s="96" t="s">
        <v>79</v>
      </c>
      <c r="V4" s="92">
        <v>46073</v>
      </c>
      <c r="W4" s="92" t="s">
        <v>61</v>
      </c>
      <c r="X4" s="92" t="s">
        <v>61</v>
      </c>
      <c r="Y4" s="97"/>
      <c r="Z4" s="89" t="s">
        <v>62</v>
      </c>
      <c r="AA4" s="96">
        <v>46174</v>
      </c>
      <c r="AB4" s="89" t="s">
        <v>80</v>
      </c>
      <c r="AC4" s="111">
        <v>46174</v>
      </c>
      <c r="AD4" s="89"/>
      <c r="AE4" s="89"/>
      <c r="AF4" s="98"/>
      <c r="AG4" s="98"/>
      <c r="AH4" s="98"/>
      <c r="AI4" s="99" t="s">
        <v>67</v>
      </c>
      <c r="AJ4" s="99" t="s">
        <v>81</v>
      </c>
      <c r="AK4" s="99" t="s">
        <v>67</v>
      </c>
      <c r="AL4" s="45" t="s">
        <v>68</v>
      </c>
      <c r="AM4" s="162" t="str">
        <f t="shared" si="0"/>
        <v>3/2026</v>
      </c>
      <c r="AN4" s="45">
        <f t="shared" si="1"/>
        <v>2</v>
      </c>
      <c r="AO4" s="45" t="str">
        <f t="shared" si="2"/>
        <v>2/2026</v>
      </c>
      <c r="AP4" s="45">
        <f t="shared" si="3"/>
        <v>3</v>
      </c>
      <c r="AQ4" s="45">
        <f t="shared" si="4"/>
        <v>0</v>
      </c>
      <c r="AR4" s="45">
        <f t="shared" si="5"/>
        <v>101</v>
      </c>
      <c r="AS4" s="45">
        <f t="shared" si="6"/>
        <v>0</v>
      </c>
      <c r="AT4" s="45">
        <f t="shared" si="7"/>
        <v>0</v>
      </c>
      <c r="AU4" s="45" t="str">
        <f>_xlfn.XLOOKUP(U4,'Lista Suspensa'!$AA$20:$AA$23,'Lista Suspensa'!$AB$20:$AB$23,"N/A")</f>
        <v>S</v>
      </c>
    </row>
    <row r="5" spans="1:47" ht="12" customHeight="1" x14ac:dyDescent="0.3">
      <c r="A5" s="87" t="s">
        <v>47</v>
      </c>
      <c r="B5" s="88">
        <v>46090</v>
      </c>
      <c r="C5" s="89" t="s">
        <v>48</v>
      </c>
      <c r="D5" s="89" t="s">
        <v>49</v>
      </c>
      <c r="E5" s="90">
        <v>94916121</v>
      </c>
      <c r="F5" s="184" t="s">
        <v>82</v>
      </c>
      <c r="G5" s="91">
        <v>27008508824</v>
      </c>
      <c r="H5" s="92">
        <v>28759</v>
      </c>
      <c r="I5" s="89">
        <v>47</v>
      </c>
      <c r="J5" s="89" t="s">
        <v>70</v>
      </c>
      <c r="K5" s="89" t="s">
        <v>52</v>
      </c>
      <c r="L5" s="89" t="s">
        <v>83</v>
      </c>
      <c r="M5" s="89" t="s">
        <v>84</v>
      </c>
      <c r="N5" s="89" t="s">
        <v>55</v>
      </c>
      <c r="O5" s="93" t="s">
        <v>85</v>
      </c>
      <c r="P5" s="94" t="s">
        <v>57</v>
      </c>
      <c r="Q5" s="112" t="s">
        <v>58</v>
      </c>
      <c r="R5" s="95">
        <v>46073</v>
      </c>
      <c r="S5" s="96"/>
      <c r="T5" s="96" t="s">
        <v>59</v>
      </c>
      <c r="U5" s="96" t="s">
        <v>60</v>
      </c>
      <c r="V5" s="92">
        <v>46073</v>
      </c>
      <c r="W5" s="92" t="s">
        <v>61</v>
      </c>
      <c r="X5" s="92" t="s">
        <v>61</v>
      </c>
      <c r="Y5" s="97"/>
      <c r="Z5" s="89" t="s">
        <v>62</v>
      </c>
      <c r="AA5" s="96">
        <v>46112.583333333336</v>
      </c>
      <c r="AB5" s="89" t="s">
        <v>63</v>
      </c>
      <c r="AC5" s="111"/>
      <c r="AD5" s="89" t="s">
        <v>86</v>
      </c>
      <c r="AE5" s="89">
        <v>61</v>
      </c>
      <c r="AF5" s="98"/>
      <c r="AG5" s="98"/>
      <c r="AH5" s="98"/>
      <c r="AI5" s="99" t="s">
        <v>67</v>
      </c>
      <c r="AJ5" s="99" t="s">
        <v>67</v>
      </c>
      <c r="AK5" s="99" t="s">
        <v>67</v>
      </c>
      <c r="AL5" s="45" t="s">
        <v>68</v>
      </c>
      <c r="AM5" s="162" t="str">
        <f t="shared" si="0"/>
        <v>3/2026</v>
      </c>
      <c r="AN5" s="45">
        <f t="shared" si="1"/>
        <v>2</v>
      </c>
      <c r="AO5" s="45" t="str">
        <f t="shared" si="2"/>
        <v>2/2026</v>
      </c>
      <c r="AP5" s="45">
        <f t="shared" si="3"/>
        <v>3</v>
      </c>
      <c r="AQ5" s="45">
        <f t="shared" si="4"/>
        <v>-17</v>
      </c>
      <c r="AR5" s="45">
        <f t="shared" si="5"/>
        <v>0</v>
      </c>
      <c r="AS5" s="45">
        <f t="shared" si="6"/>
        <v>0</v>
      </c>
      <c r="AT5" s="45">
        <f t="shared" si="7"/>
        <v>39.583333333335759</v>
      </c>
      <c r="AU5" s="45" t="str">
        <f>_xlfn.XLOOKUP(U5,'Lista Suspensa'!$AA$20:$AA$23,'Lista Suspensa'!$AB$20:$AB$23,"N/A")</f>
        <v>S</v>
      </c>
    </row>
    <row r="6" spans="1:47" ht="12" customHeight="1" x14ac:dyDescent="0.3">
      <c r="A6" s="87" t="s">
        <v>47</v>
      </c>
      <c r="B6" s="88">
        <v>46090</v>
      </c>
      <c r="C6" s="89" t="s">
        <v>48</v>
      </c>
      <c r="D6" s="89" t="s">
        <v>49</v>
      </c>
      <c r="E6" s="90">
        <v>72460390</v>
      </c>
      <c r="F6" s="184" t="s">
        <v>87</v>
      </c>
      <c r="G6" s="91">
        <v>43471625704</v>
      </c>
      <c r="H6" s="92">
        <v>16213</v>
      </c>
      <c r="I6" s="89">
        <v>81</v>
      </c>
      <c r="J6" s="89" t="s">
        <v>70</v>
      </c>
      <c r="K6" s="89" t="s">
        <v>88</v>
      </c>
      <c r="L6" s="89" t="s">
        <v>89</v>
      </c>
      <c r="M6" s="89" t="s">
        <v>90</v>
      </c>
      <c r="N6" s="89" t="s">
        <v>91</v>
      </c>
      <c r="O6" s="93" t="s">
        <v>92</v>
      </c>
      <c r="P6" s="94" t="s">
        <v>57</v>
      </c>
      <c r="Q6" s="112" t="s">
        <v>58</v>
      </c>
      <c r="R6" s="95">
        <v>46112</v>
      </c>
      <c r="S6" s="96"/>
      <c r="T6" s="96" t="s">
        <v>59</v>
      </c>
      <c r="U6" s="96" t="s">
        <v>60</v>
      </c>
      <c r="V6" s="92">
        <v>46112</v>
      </c>
      <c r="W6" s="92" t="s">
        <v>61</v>
      </c>
      <c r="X6" s="92" t="s">
        <v>61</v>
      </c>
      <c r="Y6" s="97"/>
      <c r="Z6" s="89" t="s">
        <v>62</v>
      </c>
      <c r="AA6" s="96">
        <v>46113.458333101851</v>
      </c>
      <c r="AB6" s="89" t="s">
        <v>80</v>
      </c>
      <c r="AC6" s="111"/>
      <c r="AD6" s="89"/>
      <c r="AE6" s="89"/>
      <c r="AF6" s="98"/>
      <c r="AG6" s="98"/>
      <c r="AH6" s="98"/>
      <c r="AI6" s="99" t="s">
        <v>67</v>
      </c>
      <c r="AJ6" s="99" t="s">
        <v>67</v>
      </c>
      <c r="AK6" s="99" t="s">
        <v>67</v>
      </c>
      <c r="AL6" s="45" t="s">
        <v>68</v>
      </c>
      <c r="AM6" s="162" t="str">
        <f t="shared" si="0"/>
        <v>3/2026</v>
      </c>
      <c r="AN6" s="45">
        <f t="shared" si="1"/>
        <v>2</v>
      </c>
      <c r="AO6" s="45" t="str">
        <f t="shared" si="2"/>
        <v>3/2026</v>
      </c>
      <c r="AP6" s="45">
        <f t="shared" si="3"/>
        <v>5</v>
      </c>
      <c r="AQ6" s="45">
        <f t="shared" si="4"/>
        <v>22</v>
      </c>
      <c r="AR6" s="45">
        <f t="shared" si="5"/>
        <v>0</v>
      </c>
      <c r="AS6" s="45">
        <f t="shared" si="6"/>
        <v>0</v>
      </c>
      <c r="AT6" s="45">
        <f t="shared" si="7"/>
        <v>0</v>
      </c>
      <c r="AU6" s="45" t="str">
        <f>_xlfn.XLOOKUP(U6,'Lista Suspensa'!$AA$20:$AA$23,'Lista Suspensa'!$AB$20:$AB$23,"N/A")</f>
        <v>S</v>
      </c>
    </row>
    <row r="7" spans="1:47" ht="12" customHeight="1" x14ac:dyDescent="0.3">
      <c r="A7" s="87" t="s">
        <v>47</v>
      </c>
      <c r="B7" s="88">
        <v>46090</v>
      </c>
      <c r="C7" s="89" t="s">
        <v>48</v>
      </c>
      <c r="D7" s="89" t="s">
        <v>49</v>
      </c>
      <c r="E7" s="90">
        <v>88137375</v>
      </c>
      <c r="F7" s="184" t="s">
        <v>93</v>
      </c>
      <c r="G7" s="91">
        <v>25036101880</v>
      </c>
      <c r="H7" s="92">
        <v>16282</v>
      </c>
      <c r="I7" s="89">
        <v>81</v>
      </c>
      <c r="J7" s="89" t="s">
        <v>51</v>
      </c>
      <c r="K7" s="89" t="s">
        <v>52</v>
      </c>
      <c r="L7" s="89" t="s">
        <v>53</v>
      </c>
      <c r="M7" s="89" t="s">
        <v>94</v>
      </c>
      <c r="N7" s="89" t="s">
        <v>91</v>
      </c>
      <c r="O7" s="93" t="s">
        <v>95</v>
      </c>
      <c r="P7" s="94" t="s">
        <v>57</v>
      </c>
      <c r="Q7" s="112" t="s">
        <v>58</v>
      </c>
      <c r="R7" s="95">
        <v>46073</v>
      </c>
      <c r="S7" s="96"/>
      <c r="T7" s="96" t="s">
        <v>59</v>
      </c>
      <c r="U7" s="96" t="s">
        <v>60</v>
      </c>
      <c r="V7" s="92">
        <v>46073</v>
      </c>
      <c r="W7" s="92" t="s">
        <v>61</v>
      </c>
      <c r="X7" s="92" t="s">
        <v>61</v>
      </c>
      <c r="Y7" s="97"/>
      <c r="Z7" s="89" t="s">
        <v>62</v>
      </c>
      <c r="AA7" s="96">
        <v>46153</v>
      </c>
      <c r="AB7" s="89" t="s">
        <v>63</v>
      </c>
      <c r="AC7" s="111"/>
      <c r="AD7" s="89" t="s">
        <v>86</v>
      </c>
      <c r="AE7" s="89">
        <v>51</v>
      </c>
      <c r="AF7" s="98" t="s">
        <v>65</v>
      </c>
      <c r="AG7" s="98"/>
      <c r="AH7" s="98" t="s">
        <v>66</v>
      </c>
      <c r="AI7" s="99" t="s">
        <v>67</v>
      </c>
      <c r="AJ7" s="99" t="s">
        <v>67</v>
      </c>
      <c r="AK7" s="99" t="s">
        <v>67</v>
      </c>
      <c r="AL7" s="45" t="s">
        <v>68</v>
      </c>
      <c r="AM7" s="162" t="str">
        <f t="shared" si="0"/>
        <v>3/2026</v>
      </c>
      <c r="AN7" s="45">
        <f t="shared" si="1"/>
        <v>2</v>
      </c>
      <c r="AO7" s="45" t="str">
        <f t="shared" si="2"/>
        <v>2/2026</v>
      </c>
      <c r="AP7" s="45">
        <f t="shared" si="3"/>
        <v>3</v>
      </c>
      <c r="AQ7" s="45">
        <f t="shared" si="4"/>
        <v>-17</v>
      </c>
      <c r="AR7" s="45">
        <f t="shared" si="5"/>
        <v>0</v>
      </c>
      <c r="AS7" s="45">
        <f t="shared" si="6"/>
        <v>0</v>
      </c>
      <c r="AT7" s="45">
        <f t="shared" si="7"/>
        <v>80</v>
      </c>
      <c r="AU7" s="45" t="str">
        <f>_xlfn.XLOOKUP(U7,'Lista Suspensa'!$AA$20:$AA$23,'Lista Suspensa'!$AB$20:$AB$23,"N/A")</f>
        <v>S</v>
      </c>
    </row>
    <row r="8" spans="1:47" ht="12" hidden="1" customHeight="1" x14ac:dyDescent="0.3">
      <c r="A8" s="87" t="s">
        <v>47</v>
      </c>
      <c r="B8" s="88">
        <v>46090</v>
      </c>
      <c r="C8" s="89" t="s">
        <v>48</v>
      </c>
      <c r="D8" s="89" t="s">
        <v>49</v>
      </c>
      <c r="E8" s="90">
        <v>750494530</v>
      </c>
      <c r="F8" s="184" t="s">
        <v>96</v>
      </c>
      <c r="G8" s="91">
        <v>72735244768</v>
      </c>
      <c r="H8" s="92">
        <v>23332</v>
      </c>
      <c r="I8" s="89">
        <v>62</v>
      </c>
      <c r="J8" s="89" t="s">
        <v>70</v>
      </c>
      <c r="K8" s="89" t="s">
        <v>88</v>
      </c>
      <c r="L8" s="89" t="s">
        <v>97</v>
      </c>
      <c r="M8" s="89" t="s">
        <v>98</v>
      </c>
      <c r="N8" s="89" t="s">
        <v>91</v>
      </c>
      <c r="O8" s="93" t="s">
        <v>99</v>
      </c>
      <c r="P8" s="94" t="s">
        <v>57</v>
      </c>
      <c r="Q8" s="112" t="s">
        <v>78</v>
      </c>
      <c r="R8" s="95">
        <v>46073</v>
      </c>
      <c r="S8" s="96">
        <v>46174</v>
      </c>
      <c r="T8" s="96" t="s">
        <v>59</v>
      </c>
      <c r="U8" s="96" t="s">
        <v>79</v>
      </c>
      <c r="V8" s="92">
        <v>46073</v>
      </c>
      <c r="W8" s="92" t="s">
        <v>61</v>
      </c>
      <c r="X8" s="92" t="s">
        <v>61</v>
      </c>
      <c r="Y8" s="97"/>
      <c r="Z8" s="89" t="s">
        <v>62</v>
      </c>
      <c r="AA8" s="96">
        <v>46174</v>
      </c>
      <c r="AB8" s="89" t="s">
        <v>80</v>
      </c>
      <c r="AC8" s="111"/>
      <c r="AD8" s="89"/>
      <c r="AE8" s="89"/>
      <c r="AF8" s="98"/>
      <c r="AG8" s="98"/>
      <c r="AH8" s="98"/>
      <c r="AI8" s="99" t="s">
        <v>67</v>
      </c>
      <c r="AJ8" s="99" t="s">
        <v>81</v>
      </c>
      <c r="AK8" s="99" t="s">
        <v>67</v>
      </c>
      <c r="AL8" s="45" t="s">
        <v>68</v>
      </c>
      <c r="AM8" s="162" t="str">
        <f t="shared" si="0"/>
        <v>3/2026</v>
      </c>
      <c r="AN8" s="45">
        <f t="shared" si="1"/>
        <v>2</v>
      </c>
      <c r="AO8" s="45" t="str">
        <f t="shared" si="2"/>
        <v>2/2026</v>
      </c>
      <c r="AP8" s="45">
        <f t="shared" si="3"/>
        <v>3</v>
      </c>
      <c r="AQ8" s="45">
        <f t="shared" si="4"/>
        <v>0</v>
      </c>
      <c r="AR8" s="45">
        <f t="shared" si="5"/>
        <v>101</v>
      </c>
      <c r="AS8" s="45">
        <f t="shared" si="6"/>
        <v>0</v>
      </c>
      <c r="AT8" s="45">
        <f t="shared" si="7"/>
        <v>0</v>
      </c>
      <c r="AU8" s="45" t="str">
        <f>_xlfn.XLOOKUP(U8,'Lista Suspensa'!$AA$20:$AA$23,'Lista Suspensa'!$AB$20:$AB$23,"N/A")</f>
        <v>S</v>
      </c>
    </row>
    <row r="9" spans="1:47" ht="12" customHeight="1" x14ac:dyDescent="0.3">
      <c r="A9" s="87" t="s">
        <v>47</v>
      </c>
      <c r="B9" s="88">
        <v>46090</v>
      </c>
      <c r="C9" s="89" t="s">
        <v>48</v>
      </c>
      <c r="D9" s="89" t="s">
        <v>49</v>
      </c>
      <c r="E9" s="90">
        <v>86571991</v>
      </c>
      <c r="F9" s="184" t="s">
        <v>100</v>
      </c>
      <c r="G9" s="91">
        <v>35941572883</v>
      </c>
      <c r="H9" s="92">
        <v>35321</v>
      </c>
      <c r="I9" s="89">
        <v>29</v>
      </c>
      <c r="J9" s="89" t="s">
        <v>70</v>
      </c>
      <c r="K9" s="89" t="s">
        <v>52</v>
      </c>
      <c r="L9" s="89" t="s">
        <v>53</v>
      </c>
      <c r="M9" s="89" t="s">
        <v>101</v>
      </c>
      <c r="N9" s="89" t="s">
        <v>102</v>
      </c>
      <c r="O9" s="93" t="s">
        <v>103</v>
      </c>
      <c r="P9" s="94" t="s">
        <v>57</v>
      </c>
      <c r="Q9" s="112" t="s">
        <v>58</v>
      </c>
      <c r="R9" s="95">
        <v>46073</v>
      </c>
      <c r="S9" s="96"/>
      <c r="T9" s="96" t="s">
        <v>59</v>
      </c>
      <c r="U9" s="96" t="s">
        <v>60</v>
      </c>
      <c r="V9" s="92">
        <v>46073</v>
      </c>
      <c r="W9" s="92" t="s">
        <v>61</v>
      </c>
      <c r="X9" s="92" t="s">
        <v>61</v>
      </c>
      <c r="Y9" s="97"/>
      <c r="Z9" s="89" t="s">
        <v>62</v>
      </c>
      <c r="AA9" s="96">
        <v>46108.694444444445</v>
      </c>
      <c r="AB9" s="89" t="s">
        <v>63</v>
      </c>
      <c r="AC9" s="111" t="s">
        <v>104</v>
      </c>
      <c r="AD9" s="89"/>
      <c r="AE9" s="89"/>
      <c r="AF9" s="98"/>
      <c r="AG9" s="98"/>
      <c r="AH9" s="98"/>
      <c r="AI9" s="99" t="s">
        <v>67</v>
      </c>
      <c r="AJ9" s="99" t="s">
        <v>67</v>
      </c>
      <c r="AK9" s="99" t="s">
        <v>67</v>
      </c>
      <c r="AL9" s="45" t="s">
        <v>68</v>
      </c>
      <c r="AM9" s="162" t="str">
        <f t="shared" si="0"/>
        <v>3/2026</v>
      </c>
      <c r="AN9" s="45">
        <f t="shared" si="1"/>
        <v>2</v>
      </c>
      <c r="AO9" s="45" t="str">
        <f t="shared" si="2"/>
        <v>2/2026</v>
      </c>
      <c r="AP9" s="45">
        <f t="shared" si="3"/>
        <v>3</v>
      </c>
      <c r="AQ9" s="45">
        <f t="shared" si="4"/>
        <v>-17</v>
      </c>
      <c r="AR9" s="45">
        <f t="shared" si="5"/>
        <v>0</v>
      </c>
      <c r="AS9" s="45">
        <f t="shared" si="6"/>
        <v>0</v>
      </c>
      <c r="AT9" s="45">
        <f t="shared" si="7"/>
        <v>35.694444444445253</v>
      </c>
      <c r="AU9" s="45" t="str">
        <f>_xlfn.XLOOKUP(U9,'Lista Suspensa'!$AA$20:$AA$23,'Lista Suspensa'!$AB$20:$AB$23,"N/A")</f>
        <v>S</v>
      </c>
    </row>
    <row r="10" spans="1:47" ht="12" hidden="1" customHeight="1" x14ac:dyDescent="0.3">
      <c r="A10" s="87" t="s">
        <v>47</v>
      </c>
      <c r="B10" s="88">
        <v>46090</v>
      </c>
      <c r="C10" s="89" t="s">
        <v>48</v>
      </c>
      <c r="D10" s="89" t="s">
        <v>49</v>
      </c>
      <c r="E10" s="90">
        <v>83216545</v>
      </c>
      <c r="F10" s="184" t="s">
        <v>105</v>
      </c>
      <c r="G10" s="91">
        <v>21432876821</v>
      </c>
      <c r="H10" s="92">
        <v>27603</v>
      </c>
      <c r="I10" s="89">
        <v>50</v>
      </c>
      <c r="J10" s="89" t="s">
        <v>51</v>
      </c>
      <c r="K10" s="89" t="s">
        <v>52</v>
      </c>
      <c r="L10" s="89" t="s">
        <v>53</v>
      </c>
      <c r="M10" s="89" t="s">
        <v>106</v>
      </c>
      <c r="N10" s="89" t="s">
        <v>102</v>
      </c>
      <c r="O10" s="93" t="s">
        <v>107</v>
      </c>
      <c r="P10" s="94" t="s">
        <v>57</v>
      </c>
      <c r="Q10" s="112" t="s">
        <v>78</v>
      </c>
      <c r="R10" s="95">
        <v>46073</v>
      </c>
      <c r="S10" s="96">
        <v>46174</v>
      </c>
      <c r="T10" s="96" t="s">
        <v>59</v>
      </c>
      <c r="U10" s="96" t="s">
        <v>79</v>
      </c>
      <c r="V10" s="92">
        <v>46073</v>
      </c>
      <c r="W10" s="92" t="s">
        <v>61</v>
      </c>
      <c r="X10" s="92" t="s">
        <v>61</v>
      </c>
      <c r="Y10" s="97"/>
      <c r="Z10" s="89" t="s">
        <v>62</v>
      </c>
      <c r="AA10" s="96">
        <v>46174</v>
      </c>
      <c r="AB10" s="89" t="s">
        <v>80</v>
      </c>
      <c r="AC10" s="111"/>
      <c r="AD10" s="89"/>
      <c r="AE10" s="89"/>
      <c r="AF10" s="98"/>
      <c r="AG10" s="98"/>
      <c r="AH10" s="98"/>
      <c r="AI10" s="99" t="s">
        <v>67</v>
      </c>
      <c r="AJ10" s="99" t="s">
        <v>81</v>
      </c>
      <c r="AK10" s="99" t="s">
        <v>67</v>
      </c>
      <c r="AL10" s="45" t="s">
        <v>68</v>
      </c>
      <c r="AM10" s="162" t="str">
        <f t="shared" si="0"/>
        <v>3/2026</v>
      </c>
      <c r="AN10" s="45">
        <f t="shared" si="1"/>
        <v>2</v>
      </c>
      <c r="AO10" s="45" t="str">
        <f t="shared" si="2"/>
        <v>2/2026</v>
      </c>
      <c r="AP10" s="45">
        <f t="shared" si="3"/>
        <v>3</v>
      </c>
      <c r="AQ10" s="45">
        <f t="shared" si="4"/>
        <v>0</v>
      </c>
      <c r="AR10" s="45">
        <f t="shared" si="5"/>
        <v>101</v>
      </c>
      <c r="AS10" s="45">
        <f t="shared" si="6"/>
        <v>0</v>
      </c>
      <c r="AT10" s="45">
        <f t="shared" si="7"/>
        <v>0</v>
      </c>
      <c r="AU10" s="45" t="str">
        <f>_xlfn.XLOOKUP(U10,'Lista Suspensa'!$AA$20:$AA$23,'Lista Suspensa'!$AB$20:$AB$23,"N/A")</f>
        <v>S</v>
      </c>
    </row>
    <row r="11" spans="1:47" ht="12" hidden="1" customHeight="1" x14ac:dyDescent="0.3">
      <c r="A11" s="87" t="s">
        <v>47</v>
      </c>
      <c r="B11" s="88">
        <v>46090</v>
      </c>
      <c r="C11" s="89" t="s">
        <v>48</v>
      </c>
      <c r="D11" s="89" t="s">
        <v>49</v>
      </c>
      <c r="E11" s="90">
        <v>83736033</v>
      </c>
      <c r="F11" s="184" t="s">
        <v>108</v>
      </c>
      <c r="G11" s="91">
        <v>33290455823</v>
      </c>
      <c r="H11" s="92">
        <v>30604</v>
      </c>
      <c r="I11" s="89">
        <v>42</v>
      </c>
      <c r="J11" s="89" t="s">
        <v>70</v>
      </c>
      <c r="K11" s="89" t="s">
        <v>52</v>
      </c>
      <c r="L11" s="89" t="s">
        <v>53</v>
      </c>
      <c r="M11" s="89" t="s">
        <v>109</v>
      </c>
      <c r="N11" s="89" t="s">
        <v>102</v>
      </c>
      <c r="O11" s="93" t="s">
        <v>110</v>
      </c>
      <c r="P11" s="94" t="s">
        <v>57</v>
      </c>
      <c r="Q11" s="112" t="s">
        <v>78</v>
      </c>
      <c r="R11" s="95">
        <v>46073</v>
      </c>
      <c r="S11" s="96">
        <v>46174</v>
      </c>
      <c r="T11" s="96" t="s">
        <v>59</v>
      </c>
      <c r="U11" s="96" t="s">
        <v>79</v>
      </c>
      <c r="V11" s="92">
        <v>46073</v>
      </c>
      <c r="W11" s="92" t="s">
        <v>61</v>
      </c>
      <c r="X11" s="92" t="s">
        <v>61</v>
      </c>
      <c r="Y11" s="97"/>
      <c r="Z11" s="89" t="s">
        <v>62</v>
      </c>
      <c r="AA11" s="96">
        <v>46174</v>
      </c>
      <c r="AB11" s="89" t="s">
        <v>80</v>
      </c>
      <c r="AC11" s="111"/>
      <c r="AD11" s="89"/>
      <c r="AE11" s="89"/>
      <c r="AF11" s="98"/>
      <c r="AG11" s="98"/>
      <c r="AH11" s="98"/>
      <c r="AI11" s="99" t="s">
        <v>67</v>
      </c>
      <c r="AJ11" s="99" t="s">
        <v>81</v>
      </c>
      <c r="AK11" s="99" t="s">
        <v>67</v>
      </c>
      <c r="AL11" s="45" t="s">
        <v>68</v>
      </c>
      <c r="AM11" s="162" t="str">
        <f t="shared" si="0"/>
        <v>3/2026</v>
      </c>
      <c r="AN11" s="45">
        <f t="shared" si="1"/>
        <v>2</v>
      </c>
      <c r="AO11" s="45" t="str">
        <f t="shared" si="2"/>
        <v>2/2026</v>
      </c>
      <c r="AP11" s="45">
        <f t="shared" si="3"/>
        <v>3</v>
      </c>
      <c r="AQ11" s="45">
        <f t="shared" si="4"/>
        <v>0</v>
      </c>
      <c r="AR11" s="45">
        <f t="shared" si="5"/>
        <v>101</v>
      </c>
      <c r="AS11" s="45">
        <f t="shared" si="6"/>
        <v>0</v>
      </c>
      <c r="AT11" s="45">
        <f t="shared" si="7"/>
        <v>0</v>
      </c>
      <c r="AU11" s="45" t="str">
        <f>_xlfn.XLOOKUP(U11,'Lista Suspensa'!$AA$20:$AA$23,'Lista Suspensa'!$AB$20:$AB$23,"N/A")</f>
        <v>S</v>
      </c>
    </row>
    <row r="12" spans="1:47" ht="12" customHeight="1" x14ac:dyDescent="0.3">
      <c r="A12" s="87" t="s">
        <v>47</v>
      </c>
      <c r="B12" s="88">
        <v>46090</v>
      </c>
      <c r="C12" s="89" t="s">
        <v>48</v>
      </c>
      <c r="D12" s="89" t="s">
        <v>49</v>
      </c>
      <c r="E12" s="90">
        <v>84616653</v>
      </c>
      <c r="F12" s="184" t="s">
        <v>111</v>
      </c>
      <c r="G12" s="91">
        <v>62696262772</v>
      </c>
      <c r="H12" s="92">
        <v>22337</v>
      </c>
      <c r="I12" s="89">
        <v>65</v>
      </c>
      <c r="J12" s="89" t="s">
        <v>70</v>
      </c>
      <c r="K12" s="89" t="s">
        <v>88</v>
      </c>
      <c r="L12" s="89" t="s">
        <v>89</v>
      </c>
      <c r="M12" s="89" t="s">
        <v>112</v>
      </c>
      <c r="N12" s="89" t="s">
        <v>113</v>
      </c>
      <c r="O12" s="93" t="s">
        <v>114</v>
      </c>
      <c r="P12" s="94" t="s">
        <v>57</v>
      </c>
      <c r="Q12" s="112" t="s">
        <v>58</v>
      </c>
      <c r="R12" s="95">
        <v>46112</v>
      </c>
      <c r="S12" s="96"/>
      <c r="T12" s="96" t="s">
        <v>59</v>
      </c>
      <c r="U12" s="96" t="s">
        <v>60</v>
      </c>
      <c r="V12" s="92">
        <v>46073</v>
      </c>
      <c r="W12" s="92" t="s">
        <v>61</v>
      </c>
      <c r="X12" s="92" t="s">
        <v>61</v>
      </c>
      <c r="Y12" s="97"/>
      <c r="Z12" s="89" t="s">
        <v>62</v>
      </c>
      <c r="AA12" s="96">
        <v>46113.444444270834</v>
      </c>
      <c r="AB12" s="89" t="s">
        <v>80</v>
      </c>
      <c r="AC12" s="111"/>
      <c r="AD12" s="89"/>
      <c r="AE12" s="89"/>
      <c r="AF12" s="98"/>
      <c r="AG12" s="98"/>
      <c r="AH12" s="98"/>
      <c r="AI12" s="99" t="s">
        <v>67</v>
      </c>
      <c r="AJ12" s="99" t="s">
        <v>67</v>
      </c>
      <c r="AK12" s="99" t="s">
        <v>67</v>
      </c>
      <c r="AL12" s="45" t="s">
        <v>68</v>
      </c>
      <c r="AM12" s="162" t="str">
        <f t="shared" si="0"/>
        <v>3/2026</v>
      </c>
      <c r="AN12" s="45">
        <f t="shared" si="1"/>
        <v>2</v>
      </c>
      <c r="AO12" s="45" t="str">
        <f t="shared" si="2"/>
        <v>3/2026</v>
      </c>
      <c r="AP12" s="45">
        <f t="shared" si="3"/>
        <v>5</v>
      </c>
      <c r="AQ12" s="45">
        <f t="shared" si="4"/>
        <v>22</v>
      </c>
      <c r="AR12" s="45">
        <f t="shared" si="5"/>
        <v>0</v>
      </c>
      <c r="AS12" s="45">
        <f t="shared" si="6"/>
        <v>0</v>
      </c>
      <c r="AT12" s="45">
        <f t="shared" si="7"/>
        <v>0</v>
      </c>
      <c r="AU12" s="45" t="str">
        <f>_xlfn.XLOOKUP(U12,'Lista Suspensa'!$AA$20:$AA$23,'Lista Suspensa'!$AB$20:$AB$23,"N/A")</f>
        <v>S</v>
      </c>
    </row>
    <row r="13" spans="1:47" ht="12" customHeight="1" x14ac:dyDescent="0.3">
      <c r="A13" s="87" t="s">
        <v>47</v>
      </c>
      <c r="B13" s="88">
        <v>46090</v>
      </c>
      <c r="C13" s="89" t="s">
        <v>48</v>
      </c>
      <c r="D13" s="89" t="s">
        <v>49</v>
      </c>
      <c r="E13" s="90">
        <v>82519312</v>
      </c>
      <c r="F13" s="184" t="s">
        <v>115</v>
      </c>
      <c r="G13" s="91">
        <v>33830266553</v>
      </c>
      <c r="H13" s="92">
        <v>23824</v>
      </c>
      <c r="I13" s="89">
        <v>61</v>
      </c>
      <c r="J13" s="89" t="s">
        <v>70</v>
      </c>
      <c r="K13" s="89" t="s">
        <v>52</v>
      </c>
      <c r="L13" s="89" t="s">
        <v>53</v>
      </c>
      <c r="M13" s="89" t="s">
        <v>116</v>
      </c>
      <c r="N13" s="89" t="s">
        <v>113</v>
      </c>
      <c r="O13" s="93" t="s">
        <v>117</v>
      </c>
      <c r="P13" s="94" t="s">
        <v>57</v>
      </c>
      <c r="Q13" s="112" t="s">
        <v>58</v>
      </c>
      <c r="R13" s="95">
        <v>46112</v>
      </c>
      <c r="S13" s="96"/>
      <c r="T13" s="96" t="s">
        <v>59</v>
      </c>
      <c r="U13" s="96" t="s">
        <v>60</v>
      </c>
      <c r="V13" s="92">
        <v>46112</v>
      </c>
      <c r="W13" s="92" t="s">
        <v>61</v>
      </c>
      <c r="X13" s="92" t="s">
        <v>61</v>
      </c>
      <c r="Y13" s="97"/>
      <c r="Z13" s="89" t="s">
        <v>62</v>
      </c>
      <c r="AA13" s="96">
        <v>46114.444444444445</v>
      </c>
      <c r="AB13" s="89" t="s">
        <v>118</v>
      </c>
      <c r="AC13" s="111"/>
      <c r="AD13" s="89"/>
      <c r="AE13" s="89"/>
      <c r="AF13" s="98"/>
      <c r="AG13" s="98"/>
      <c r="AH13" s="98"/>
      <c r="AI13" s="99" t="s">
        <v>67</v>
      </c>
      <c r="AJ13" s="99" t="s">
        <v>67</v>
      </c>
      <c r="AK13" s="99" t="s">
        <v>67</v>
      </c>
      <c r="AL13" s="45" t="s">
        <v>68</v>
      </c>
      <c r="AM13" s="162" t="str">
        <f t="shared" si="0"/>
        <v>3/2026</v>
      </c>
      <c r="AN13" s="45">
        <f t="shared" si="1"/>
        <v>2</v>
      </c>
      <c r="AO13" s="45" t="str">
        <f t="shared" si="2"/>
        <v>3/2026</v>
      </c>
      <c r="AP13" s="45">
        <f t="shared" si="3"/>
        <v>5</v>
      </c>
      <c r="AQ13" s="45">
        <f t="shared" si="4"/>
        <v>22</v>
      </c>
      <c r="AR13" s="45">
        <f t="shared" si="5"/>
        <v>0</v>
      </c>
      <c r="AS13" s="45">
        <f t="shared" si="6"/>
        <v>0</v>
      </c>
      <c r="AT13" s="45">
        <f t="shared" si="7"/>
        <v>0</v>
      </c>
      <c r="AU13" s="45" t="str">
        <f>_xlfn.XLOOKUP(U13,'Lista Suspensa'!$AA$20:$AA$23,'Lista Suspensa'!$AB$20:$AB$23,"N/A")</f>
        <v>S</v>
      </c>
    </row>
    <row r="14" spans="1:47" ht="12" customHeight="1" x14ac:dyDescent="0.3">
      <c r="A14" s="87" t="s">
        <v>47</v>
      </c>
      <c r="B14" s="88">
        <v>46090</v>
      </c>
      <c r="C14" s="89" t="s">
        <v>48</v>
      </c>
      <c r="D14" s="89" t="s">
        <v>49</v>
      </c>
      <c r="E14" s="90">
        <v>85402601</v>
      </c>
      <c r="F14" s="184" t="s">
        <v>119</v>
      </c>
      <c r="G14" s="91">
        <v>58672036700</v>
      </c>
      <c r="H14" s="92">
        <v>21424</v>
      </c>
      <c r="I14" s="89">
        <v>67</v>
      </c>
      <c r="J14" s="89" t="s">
        <v>51</v>
      </c>
      <c r="K14" s="89" t="s">
        <v>88</v>
      </c>
      <c r="L14" s="89" t="s">
        <v>89</v>
      </c>
      <c r="M14" s="89" t="s">
        <v>120</v>
      </c>
      <c r="N14" s="89" t="s">
        <v>121</v>
      </c>
      <c r="O14" s="93" t="s">
        <v>122</v>
      </c>
      <c r="P14" s="94" t="s">
        <v>57</v>
      </c>
      <c r="Q14" s="112" t="s">
        <v>58</v>
      </c>
      <c r="R14" s="95">
        <v>46112</v>
      </c>
      <c r="S14" s="96"/>
      <c r="T14" s="96" t="s">
        <v>59</v>
      </c>
      <c r="U14" s="96" t="s">
        <v>60</v>
      </c>
      <c r="V14" s="92">
        <v>46112</v>
      </c>
      <c r="W14" s="92" t="s">
        <v>61</v>
      </c>
      <c r="X14" s="92" t="s">
        <v>61</v>
      </c>
      <c r="Y14" s="97"/>
      <c r="Z14" s="89" t="s">
        <v>62</v>
      </c>
      <c r="AA14" s="96">
        <v>46114.458333333336</v>
      </c>
      <c r="AB14" s="89" t="s">
        <v>118</v>
      </c>
      <c r="AC14" s="111"/>
      <c r="AD14" s="89"/>
      <c r="AE14" s="89"/>
      <c r="AF14" s="98"/>
      <c r="AG14" s="98"/>
      <c r="AH14" s="98"/>
      <c r="AI14" s="99" t="s">
        <v>67</v>
      </c>
      <c r="AJ14" s="99" t="s">
        <v>67</v>
      </c>
      <c r="AK14" s="99" t="s">
        <v>67</v>
      </c>
      <c r="AL14" s="45" t="s">
        <v>68</v>
      </c>
      <c r="AM14" s="162" t="str">
        <f t="shared" si="0"/>
        <v>3/2026</v>
      </c>
      <c r="AN14" s="45">
        <f t="shared" si="1"/>
        <v>2</v>
      </c>
      <c r="AO14" s="45" t="str">
        <f t="shared" si="2"/>
        <v>3/2026</v>
      </c>
      <c r="AP14" s="45">
        <f t="shared" si="3"/>
        <v>5</v>
      </c>
      <c r="AQ14" s="45">
        <f t="shared" si="4"/>
        <v>22</v>
      </c>
      <c r="AR14" s="45">
        <f t="shared" si="5"/>
        <v>0</v>
      </c>
      <c r="AS14" s="45">
        <f t="shared" si="6"/>
        <v>0</v>
      </c>
      <c r="AT14" s="45">
        <f t="shared" si="7"/>
        <v>0</v>
      </c>
      <c r="AU14" s="45" t="str">
        <f>_xlfn.XLOOKUP(U14,'Lista Suspensa'!$AA$20:$AA$23,'Lista Suspensa'!$AB$20:$AB$23,"N/A")</f>
        <v>S</v>
      </c>
    </row>
    <row r="15" spans="1:47" ht="12" customHeight="1" x14ac:dyDescent="0.3">
      <c r="A15" s="87" t="s">
        <v>47</v>
      </c>
      <c r="B15" s="88">
        <v>46090</v>
      </c>
      <c r="C15" s="89" t="s">
        <v>48</v>
      </c>
      <c r="D15" s="89" t="s">
        <v>49</v>
      </c>
      <c r="E15" s="90">
        <v>77687383</v>
      </c>
      <c r="F15" s="184" t="s">
        <v>123</v>
      </c>
      <c r="G15" s="91">
        <v>60100630782</v>
      </c>
      <c r="H15" s="92">
        <v>21863</v>
      </c>
      <c r="I15" s="89">
        <v>66</v>
      </c>
      <c r="J15" s="89" t="s">
        <v>51</v>
      </c>
      <c r="K15" s="89" t="s">
        <v>88</v>
      </c>
      <c r="L15" s="89" t="s">
        <v>89</v>
      </c>
      <c r="M15" s="89" t="s">
        <v>124</v>
      </c>
      <c r="N15" s="89" t="s">
        <v>121</v>
      </c>
      <c r="O15" s="93" t="s">
        <v>125</v>
      </c>
      <c r="P15" s="94" t="s">
        <v>57</v>
      </c>
      <c r="Q15" s="112" t="s">
        <v>58</v>
      </c>
      <c r="R15" s="95">
        <v>46073</v>
      </c>
      <c r="S15" s="96"/>
      <c r="T15" s="96" t="s">
        <v>59</v>
      </c>
      <c r="U15" s="96" t="s">
        <v>60</v>
      </c>
      <c r="V15" s="92">
        <v>46073</v>
      </c>
      <c r="W15" s="92" t="s">
        <v>61</v>
      </c>
      <c r="X15" s="92" t="s">
        <v>61</v>
      </c>
      <c r="Y15" s="97"/>
      <c r="Z15" s="89" t="s">
        <v>62</v>
      </c>
      <c r="AA15" s="96">
        <v>46106.680555555555</v>
      </c>
      <c r="AB15" s="89" t="s">
        <v>63</v>
      </c>
      <c r="AC15" s="111"/>
      <c r="AD15" s="89" t="s">
        <v>64</v>
      </c>
      <c r="AE15" s="89">
        <v>59</v>
      </c>
      <c r="AF15" s="98" t="s">
        <v>126</v>
      </c>
      <c r="AG15" s="98"/>
      <c r="AH15" s="98" t="s">
        <v>66</v>
      </c>
      <c r="AI15" s="99" t="s">
        <v>67</v>
      </c>
      <c r="AJ15" s="99" t="s">
        <v>67</v>
      </c>
      <c r="AK15" s="99" t="s">
        <v>67</v>
      </c>
      <c r="AL15" s="45" t="s">
        <v>68</v>
      </c>
      <c r="AM15" s="162" t="str">
        <f t="shared" si="0"/>
        <v>3/2026</v>
      </c>
      <c r="AN15" s="45">
        <f t="shared" si="1"/>
        <v>2</v>
      </c>
      <c r="AO15" s="45" t="str">
        <f t="shared" si="2"/>
        <v>2/2026</v>
      </c>
      <c r="AP15" s="45">
        <f t="shared" si="3"/>
        <v>3</v>
      </c>
      <c r="AQ15" s="45">
        <f t="shared" si="4"/>
        <v>-17</v>
      </c>
      <c r="AR15" s="45">
        <f t="shared" si="5"/>
        <v>0</v>
      </c>
      <c r="AS15" s="45">
        <f t="shared" si="6"/>
        <v>0</v>
      </c>
      <c r="AT15" s="45">
        <f t="shared" si="7"/>
        <v>33.680555555554747</v>
      </c>
      <c r="AU15" s="45" t="str">
        <f>_xlfn.XLOOKUP(U15,'Lista Suspensa'!$AA$20:$AA$23,'Lista Suspensa'!$AB$20:$AB$23,"N/A")</f>
        <v>S</v>
      </c>
    </row>
    <row r="16" spans="1:47" ht="12" customHeight="1" x14ac:dyDescent="0.3">
      <c r="A16" s="87" t="s">
        <v>47</v>
      </c>
      <c r="B16" s="88">
        <v>46090</v>
      </c>
      <c r="C16" s="89" t="s">
        <v>48</v>
      </c>
      <c r="D16" s="89" t="s">
        <v>49</v>
      </c>
      <c r="E16" s="90">
        <v>95072276</v>
      </c>
      <c r="F16" s="184" t="s">
        <v>127</v>
      </c>
      <c r="G16" s="91">
        <v>16114937813</v>
      </c>
      <c r="H16" s="92">
        <v>27419</v>
      </c>
      <c r="I16" s="89">
        <v>51</v>
      </c>
      <c r="J16" s="89" t="s">
        <v>51</v>
      </c>
      <c r="K16" s="89" t="s">
        <v>52</v>
      </c>
      <c r="L16" s="89" t="s">
        <v>128</v>
      </c>
      <c r="M16" s="89" t="s">
        <v>129</v>
      </c>
      <c r="N16" s="89" t="s">
        <v>130</v>
      </c>
      <c r="O16" s="93" t="s">
        <v>131</v>
      </c>
      <c r="P16" s="94" t="s">
        <v>57</v>
      </c>
      <c r="Q16" s="112" t="s">
        <v>58</v>
      </c>
      <c r="R16" s="95">
        <v>46073</v>
      </c>
      <c r="S16" s="96"/>
      <c r="T16" s="96" t="s">
        <v>59</v>
      </c>
      <c r="U16" s="96" t="s">
        <v>60</v>
      </c>
      <c r="V16" s="92">
        <v>46073</v>
      </c>
      <c r="W16" s="92" t="s">
        <v>61</v>
      </c>
      <c r="X16" s="92" t="s">
        <v>61</v>
      </c>
      <c r="Y16" s="97"/>
      <c r="Z16" s="89" t="s">
        <v>62</v>
      </c>
      <c r="AA16" s="96">
        <v>46108.611111111109</v>
      </c>
      <c r="AB16" s="89" t="s">
        <v>63</v>
      </c>
      <c r="AC16" s="111"/>
      <c r="AD16" s="89" t="s">
        <v>86</v>
      </c>
      <c r="AE16" s="89">
        <v>40</v>
      </c>
      <c r="AF16" s="98" t="s">
        <v>65</v>
      </c>
      <c r="AG16" s="98"/>
      <c r="AH16" s="98" t="s">
        <v>66</v>
      </c>
      <c r="AI16" s="99" t="s">
        <v>67</v>
      </c>
      <c r="AJ16" s="99" t="s">
        <v>67</v>
      </c>
      <c r="AK16" s="99" t="s">
        <v>67</v>
      </c>
      <c r="AL16" s="45" t="s">
        <v>68</v>
      </c>
      <c r="AM16" s="162" t="str">
        <f t="shared" si="0"/>
        <v>3/2026</v>
      </c>
      <c r="AN16" s="45">
        <f t="shared" si="1"/>
        <v>2</v>
      </c>
      <c r="AO16" s="45" t="str">
        <f t="shared" si="2"/>
        <v>2/2026</v>
      </c>
      <c r="AP16" s="45">
        <f t="shared" si="3"/>
        <v>3</v>
      </c>
      <c r="AQ16" s="45">
        <f t="shared" si="4"/>
        <v>-17</v>
      </c>
      <c r="AR16" s="45">
        <f t="shared" si="5"/>
        <v>0</v>
      </c>
      <c r="AS16" s="45">
        <f t="shared" si="6"/>
        <v>0</v>
      </c>
      <c r="AT16" s="45">
        <f t="shared" si="7"/>
        <v>35.611111111109494</v>
      </c>
      <c r="AU16" s="45" t="str">
        <f>_xlfn.XLOOKUP(U16,'Lista Suspensa'!$AA$20:$AA$23,'Lista Suspensa'!$AB$20:$AB$23,"N/A")</f>
        <v>S</v>
      </c>
    </row>
    <row r="17" spans="1:47" ht="12" customHeight="1" x14ac:dyDescent="0.3">
      <c r="A17" s="87" t="s">
        <v>47</v>
      </c>
      <c r="B17" s="88">
        <v>46090</v>
      </c>
      <c r="C17" s="89" t="s">
        <v>48</v>
      </c>
      <c r="D17" s="89" t="s">
        <v>49</v>
      </c>
      <c r="E17" s="90">
        <v>87152536</v>
      </c>
      <c r="F17" s="184" t="s">
        <v>132</v>
      </c>
      <c r="G17" s="91">
        <v>10099523744</v>
      </c>
      <c r="H17" s="92">
        <v>31033</v>
      </c>
      <c r="I17" s="89">
        <v>41</v>
      </c>
      <c r="J17" s="89" t="s">
        <v>51</v>
      </c>
      <c r="K17" s="89" t="s">
        <v>88</v>
      </c>
      <c r="L17" s="89" t="s">
        <v>53</v>
      </c>
      <c r="M17" s="89" t="s">
        <v>133</v>
      </c>
      <c r="N17" s="89" t="s">
        <v>130</v>
      </c>
      <c r="O17" s="93" t="s">
        <v>134</v>
      </c>
      <c r="P17" s="94" t="s">
        <v>57</v>
      </c>
      <c r="Q17" s="112" t="s">
        <v>58</v>
      </c>
      <c r="R17" s="95">
        <v>46112</v>
      </c>
      <c r="S17" s="96"/>
      <c r="T17" s="96" t="s">
        <v>59</v>
      </c>
      <c r="U17" s="96" t="s">
        <v>60</v>
      </c>
      <c r="V17" s="92">
        <v>46112</v>
      </c>
      <c r="W17" s="92" t="s">
        <v>61</v>
      </c>
      <c r="X17" s="92" t="s">
        <v>61</v>
      </c>
      <c r="Y17" s="97"/>
      <c r="Z17" s="89" t="s">
        <v>62</v>
      </c>
      <c r="AA17" s="96">
        <v>46113.472221932869</v>
      </c>
      <c r="AB17" s="89" t="s">
        <v>80</v>
      </c>
      <c r="AC17" s="111"/>
      <c r="AD17" s="89"/>
      <c r="AE17" s="89"/>
      <c r="AF17" s="98"/>
      <c r="AG17" s="98"/>
      <c r="AH17" s="98"/>
      <c r="AI17" s="99" t="s">
        <v>67</v>
      </c>
      <c r="AJ17" s="99" t="s">
        <v>67</v>
      </c>
      <c r="AK17" s="99" t="s">
        <v>67</v>
      </c>
      <c r="AL17" s="45" t="s">
        <v>68</v>
      </c>
      <c r="AM17" s="162" t="str">
        <f t="shared" si="0"/>
        <v>3/2026</v>
      </c>
      <c r="AN17" s="45">
        <f t="shared" si="1"/>
        <v>2</v>
      </c>
      <c r="AO17" s="45" t="str">
        <f t="shared" si="2"/>
        <v>3/2026</v>
      </c>
      <c r="AP17" s="45">
        <f t="shared" si="3"/>
        <v>5</v>
      </c>
      <c r="AQ17" s="45">
        <f t="shared" si="4"/>
        <v>22</v>
      </c>
      <c r="AR17" s="45">
        <f t="shared" si="5"/>
        <v>0</v>
      </c>
      <c r="AS17" s="45">
        <f t="shared" si="6"/>
        <v>0</v>
      </c>
      <c r="AT17" s="45">
        <f t="shared" si="7"/>
        <v>0</v>
      </c>
      <c r="AU17" s="45" t="str">
        <f>_xlfn.XLOOKUP(U17,'Lista Suspensa'!$AA$20:$AA$23,'Lista Suspensa'!$AB$20:$AB$23,"N/A")</f>
        <v>S</v>
      </c>
    </row>
    <row r="18" spans="1:47" ht="12" customHeight="1" x14ac:dyDescent="0.3">
      <c r="A18" s="87" t="s">
        <v>47</v>
      </c>
      <c r="B18" s="88">
        <v>46090</v>
      </c>
      <c r="C18" s="89" t="s">
        <v>48</v>
      </c>
      <c r="D18" s="89" t="s">
        <v>49</v>
      </c>
      <c r="E18" s="90">
        <v>76307672</v>
      </c>
      <c r="F18" s="184" t="s">
        <v>135</v>
      </c>
      <c r="G18" s="91">
        <v>78315930710</v>
      </c>
      <c r="H18" s="92">
        <v>23376</v>
      </c>
      <c r="I18" s="89">
        <v>62</v>
      </c>
      <c r="J18" s="89" t="s">
        <v>51</v>
      </c>
      <c r="K18" s="89" t="s">
        <v>88</v>
      </c>
      <c r="L18" s="89" t="s">
        <v>89</v>
      </c>
      <c r="M18" s="89" t="s">
        <v>136</v>
      </c>
      <c r="N18" s="89" t="s">
        <v>130</v>
      </c>
      <c r="O18" s="93" t="s">
        <v>137</v>
      </c>
      <c r="P18" s="94" t="s">
        <v>57</v>
      </c>
      <c r="Q18" s="112" t="s">
        <v>58</v>
      </c>
      <c r="R18" s="95">
        <v>46073</v>
      </c>
      <c r="S18" s="96"/>
      <c r="T18" s="96" t="s">
        <v>59</v>
      </c>
      <c r="U18" s="96" t="s">
        <v>60</v>
      </c>
      <c r="V18" s="92">
        <v>46073</v>
      </c>
      <c r="W18" s="92" t="s">
        <v>61</v>
      </c>
      <c r="X18" s="92" t="s">
        <v>61</v>
      </c>
      <c r="Y18" s="97" t="s">
        <v>104</v>
      </c>
      <c r="Z18" s="89" t="s">
        <v>62</v>
      </c>
      <c r="AA18" s="96">
        <v>46104.652777777781</v>
      </c>
      <c r="AB18" s="89" t="s">
        <v>63</v>
      </c>
      <c r="AC18" s="111"/>
      <c r="AD18" s="89" t="s">
        <v>64</v>
      </c>
      <c r="AE18" s="89"/>
      <c r="AF18" s="98" t="s">
        <v>138</v>
      </c>
      <c r="AG18" s="98"/>
      <c r="AH18" s="98" t="s">
        <v>139</v>
      </c>
      <c r="AI18" s="99" t="s">
        <v>67</v>
      </c>
      <c r="AJ18" s="99" t="s">
        <v>67</v>
      </c>
      <c r="AK18" s="99" t="s">
        <v>67</v>
      </c>
      <c r="AL18" s="45" t="s">
        <v>68</v>
      </c>
      <c r="AM18" s="162" t="str">
        <f t="shared" si="0"/>
        <v>3/2026</v>
      </c>
      <c r="AN18" s="45">
        <f t="shared" si="1"/>
        <v>2</v>
      </c>
      <c r="AO18" s="45" t="str">
        <f t="shared" si="2"/>
        <v>2/2026</v>
      </c>
      <c r="AP18" s="45">
        <f t="shared" si="3"/>
        <v>3</v>
      </c>
      <c r="AQ18" s="45">
        <f t="shared" si="4"/>
        <v>-17</v>
      </c>
      <c r="AR18" s="45">
        <f t="shared" si="5"/>
        <v>0</v>
      </c>
      <c r="AS18" s="45">
        <f t="shared" si="6"/>
        <v>0</v>
      </c>
      <c r="AT18" s="45">
        <f t="shared" si="7"/>
        <v>31.652777777781012</v>
      </c>
      <c r="AU18" s="45" t="str">
        <f>_xlfn.XLOOKUP(U18,'Lista Suspensa'!$AA$20:$AA$23,'Lista Suspensa'!$AB$20:$AB$23,"N/A")</f>
        <v>S</v>
      </c>
    </row>
    <row r="19" spans="1:47" ht="12" customHeight="1" x14ac:dyDescent="0.3">
      <c r="A19" s="87" t="s">
        <v>47</v>
      </c>
      <c r="B19" s="88">
        <v>46090</v>
      </c>
      <c r="C19" s="89" t="s">
        <v>48</v>
      </c>
      <c r="D19" s="89" t="s">
        <v>49</v>
      </c>
      <c r="E19" s="90">
        <v>84184241</v>
      </c>
      <c r="F19" s="184" t="s">
        <v>140</v>
      </c>
      <c r="G19" s="91">
        <v>4605849440</v>
      </c>
      <c r="H19" s="92">
        <v>29947</v>
      </c>
      <c r="I19" s="89">
        <v>44</v>
      </c>
      <c r="J19" s="89" t="s">
        <v>51</v>
      </c>
      <c r="K19" s="89" t="s">
        <v>52</v>
      </c>
      <c r="L19" s="89" t="s">
        <v>53</v>
      </c>
      <c r="M19" s="89" t="s">
        <v>141</v>
      </c>
      <c r="N19" s="89" t="s">
        <v>130</v>
      </c>
      <c r="O19" s="93" t="s">
        <v>142</v>
      </c>
      <c r="P19" s="94" t="s">
        <v>57</v>
      </c>
      <c r="Q19" s="112" t="s">
        <v>58</v>
      </c>
      <c r="R19" s="95">
        <v>46073</v>
      </c>
      <c r="S19" s="96"/>
      <c r="T19" s="96" t="s">
        <v>59</v>
      </c>
      <c r="U19" s="96" t="s">
        <v>60</v>
      </c>
      <c r="V19" s="92">
        <v>46073</v>
      </c>
      <c r="W19" s="92" t="s">
        <v>61</v>
      </c>
      <c r="X19" s="92" t="s">
        <v>61</v>
      </c>
      <c r="Y19" s="97"/>
      <c r="Z19" s="89" t="s">
        <v>62</v>
      </c>
      <c r="AA19" s="96">
        <v>46106.583333333336</v>
      </c>
      <c r="AB19" s="89" t="s">
        <v>63</v>
      </c>
      <c r="AC19" s="111"/>
      <c r="AD19" s="89" t="s">
        <v>64</v>
      </c>
      <c r="AE19" s="89"/>
      <c r="AF19" s="98" t="s">
        <v>65</v>
      </c>
      <c r="AG19" s="98"/>
      <c r="AH19" s="98" t="s">
        <v>66</v>
      </c>
      <c r="AI19" s="99" t="s">
        <v>67</v>
      </c>
      <c r="AJ19" s="99" t="s">
        <v>67</v>
      </c>
      <c r="AK19" s="99" t="s">
        <v>67</v>
      </c>
      <c r="AL19" s="45" t="s">
        <v>68</v>
      </c>
      <c r="AM19" s="162" t="str">
        <f t="shared" si="0"/>
        <v>3/2026</v>
      </c>
      <c r="AN19" s="45">
        <f t="shared" si="1"/>
        <v>2</v>
      </c>
      <c r="AO19" s="45" t="str">
        <f t="shared" si="2"/>
        <v>2/2026</v>
      </c>
      <c r="AP19" s="45">
        <f t="shared" si="3"/>
        <v>3</v>
      </c>
      <c r="AQ19" s="45">
        <f t="shared" si="4"/>
        <v>-17</v>
      </c>
      <c r="AR19" s="45">
        <f t="shared" si="5"/>
        <v>0</v>
      </c>
      <c r="AS19" s="45">
        <f t="shared" si="6"/>
        <v>0</v>
      </c>
      <c r="AT19" s="45">
        <f t="shared" si="7"/>
        <v>33.583333333335759</v>
      </c>
      <c r="AU19" s="45" t="str">
        <f>_xlfn.XLOOKUP(U19,'Lista Suspensa'!$AA$20:$AA$23,'Lista Suspensa'!$AB$20:$AB$23,"N/A")</f>
        <v>S</v>
      </c>
    </row>
    <row r="20" spans="1:47" ht="12" customHeight="1" x14ac:dyDescent="0.3">
      <c r="A20" s="87" t="s">
        <v>47</v>
      </c>
      <c r="B20" s="88">
        <v>46090</v>
      </c>
      <c r="C20" s="89" t="s">
        <v>48</v>
      </c>
      <c r="D20" s="89" t="s">
        <v>49</v>
      </c>
      <c r="E20" s="90">
        <v>87532271</v>
      </c>
      <c r="F20" s="184" t="s">
        <v>143</v>
      </c>
      <c r="G20" s="91">
        <v>14624251865</v>
      </c>
      <c r="H20" s="92">
        <v>25655</v>
      </c>
      <c r="I20" s="89">
        <v>56</v>
      </c>
      <c r="J20" s="89" t="s">
        <v>51</v>
      </c>
      <c r="K20" s="89" t="s">
        <v>52</v>
      </c>
      <c r="L20" s="89" t="s">
        <v>53</v>
      </c>
      <c r="M20" s="89" t="s">
        <v>144</v>
      </c>
      <c r="N20" s="89" t="s">
        <v>130</v>
      </c>
      <c r="O20" s="93" t="s">
        <v>145</v>
      </c>
      <c r="P20" s="94" t="s">
        <v>57</v>
      </c>
      <c r="Q20" s="112" t="s">
        <v>58</v>
      </c>
      <c r="R20" s="95">
        <v>46073</v>
      </c>
      <c r="S20" s="96"/>
      <c r="T20" s="96" t="s">
        <v>59</v>
      </c>
      <c r="U20" s="96" t="s">
        <v>60</v>
      </c>
      <c r="V20" s="92">
        <v>46073</v>
      </c>
      <c r="W20" s="92" t="s">
        <v>61</v>
      </c>
      <c r="X20" s="92" t="s">
        <v>61</v>
      </c>
      <c r="Y20" s="97"/>
      <c r="Z20" s="89" t="s">
        <v>62</v>
      </c>
      <c r="AA20" s="96">
        <v>46112.597222222219</v>
      </c>
      <c r="AB20" s="89" t="s">
        <v>63</v>
      </c>
      <c r="AC20" s="111" t="s">
        <v>104</v>
      </c>
      <c r="AD20" s="89"/>
      <c r="AE20" s="89"/>
      <c r="AF20" s="98"/>
      <c r="AG20" s="98"/>
      <c r="AH20" s="98"/>
      <c r="AI20" s="99" t="s">
        <v>67</v>
      </c>
      <c r="AJ20" s="99" t="s">
        <v>67</v>
      </c>
      <c r="AK20" s="99" t="s">
        <v>67</v>
      </c>
      <c r="AL20" s="45" t="s">
        <v>68</v>
      </c>
      <c r="AM20" s="162" t="str">
        <f t="shared" si="0"/>
        <v>3/2026</v>
      </c>
      <c r="AN20" s="45">
        <f t="shared" si="1"/>
        <v>2</v>
      </c>
      <c r="AO20" s="45" t="str">
        <f t="shared" si="2"/>
        <v>2/2026</v>
      </c>
      <c r="AP20" s="45">
        <f t="shared" si="3"/>
        <v>3</v>
      </c>
      <c r="AQ20" s="45">
        <f t="shared" si="4"/>
        <v>-17</v>
      </c>
      <c r="AR20" s="45">
        <f t="shared" si="5"/>
        <v>0</v>
      </c>
      <c r="AS20" s="45">
        <f t="shared" si="6"/>
        <v>0</v>
      </c>
      <c r="AT20" s="45">
        <f t="shared" si="7"/>
        <v>39.597222222218988</v>
      </c>
      <c r="AU20" s="45" t="str">
        <f>_xlfn.XLOOKUP(U20,'Lista Suspensa'!$AA$20:$AA$23,'Lista Suspensa'!$AB$20:$AB$23,"N/A")</f>
        <v>S</v>
      </c>
    </row>
    <row r="21" spans="1:47" ht="12" customHeight="1" x14ac:dyDescent="0.3">
      <c r="A21" s="87" t="s">
        <v>47</v>
      </c>
      <c r="B21" s="88">
        <v>46090</v>
      </c>
      <c r="C21" s="89" t="s">
        <v>48</v>
      </c>
      <c r="D21" s="89" t="s">
        <v>49</v>
      </c>
      <c r="E21" s="90">
        <v>82871971</v>
      </c>
      <c r="F21" s="184" t="s">
        <v>146</v>
      </c>
      <c r="G21" s="91">
        <v>32980019704</v>
      </c>
      <c r="H21" s="92">
        <v>19597</v>
      </c>
      <c r="I21" s="89">
        <v>72</v>
      </c>
      <c r="J21" s="89" t="s">
        <v>51</v>
      </c>
      <c r="K21" s="89" t="s">
        <v>88</v>
      </c>
      <c r="L21" s="89" t="s">
        <v>89</v>
      </c>
      <c r="M21" s="89" t="s">
        <v>147</v>
      </c>
      <c r="N21" s="89" t="s">
        <v>148</v>
      </c>
      <c r="O21" s="93" t="s">
        <v>149</v>
      </c>
      <c r="P21" s="94" t="s">
        <v>57</v>
      </c>
      <c r="Q21" s="112" t="s">
        <v>58</v>
      </c>
      <c r="R21" s="95">
        <v>46073</v>
      </c>
      <c r="S21" s="96"/>
      <c r="T21" s="96" t="s">
        <v>59</v>
      </c>
      <c r="U21" s="96" t="s">
        <v>60</v>
      </c>
      <c r="V21" s="92">
        <v>46073</v>
      </c>
      <c r="W21" s="92" t="s">
        <v>61</v>
      </c>
      <c r="X21" s="92" t="s">
        <v>61</v>
      </c>
      <c r="Y21" s="97"/>
      <c r="Z21" s="89" t="s">
        <v>62</v>
      </c>
      <c r="AA21" s="96">
        <v>46108.638888888891</v>
      </c>
      <c r="AB21" s="89" t="s">
        <v>63</v>
      </c>
      <c r="AC21" s="111"/>
      <c r="AD21" s="89" t="s">
        <v>86</v>
      </c>
      <c r="AE21" s="89">
        <v>60</v>
      </c>
      <c r="AF21" s="98" t="s">
        <v>138</v>
      </c>
      <c r="AG21" s="98"/>
      <c r="AH21" s="98" t="s">
        <v>66</v>
      </c>
      <c r="AI21" s="99" t="s">
        <v>67</v>
      </c>
      <c r="AJ21" s="99" t="s">
        <v>67</v>
      </c>
      <c r="AK21" s="99" t="s">
        <v>67</v>
      </c>
      <c r="AL21" s="45" t="s">
        <v>68</v>
      </c>
      <c r="AM21" s="162" t="str">
        <f t="shared" si="0"/>
        <v>3/2026</v>
      </c>
      <c r="AN21" s="45">
        <f t="shared" si="1"/>
        <v>2</v>
      </c>
      <c r="AO21" s="45" t="str">
        <f t="shared" si="2"/>
        <v>2/2026</v>
      </c>
      <c r="AP21" s="45">
        <f t="shared" si="3"/>
        <v>3</v>
      </c>
      <c r="AQ21" s="45">
        <f t="shared" si="4"/>
        <v>-17</v>
      </c>
      <c r="AR21" s="45">
        <f t="shared" si="5"/>
        <v>0</v>
      </c>
      <c r="AS21" s="45">
        <f t="shared" si="6"/>
        <v>0</v>
      </c>
      <c r="AT21" s="45">
        <f t="shared" si="7"/>
        <v>35.638888888890506</v>
      </c>
      <c r="AU21" s="45" t="str">
        <f>_xlfn.XLOOKUP(U21,'Lista Suspensa'!$AA$20:$AA$23,'Lista Suspensa'!$AB$20:$AB$23,"N/A")</f>
        <v>S</v>
      </c>
    </row>
    <row r="22" spans="1:47" ht="12" customHeight="1" x14ac:dyDescent="0.3">
      <c r="A22" s="87" t="s">
        <v>47</v>
      </c>
      <c r="B22" s="88">
        <v>46090</v>
      </c>
      <c r="C22" s="89" t="s">
        <v>48</v>
      </c>
      <c r="D22" s="89" t="s">
        <v>49</v>
      </c>
      <c r="E22" s="90">
        <v>81500877</v>
      </c>
      <c r="F22" s="184" t="s">
        <v>150</v>
      </c>
      <c r="G22" s="91">
        <v>63054493768</v>
      </c>
      <c r="H22" s="92">
        <v>22236</v>
      </c>
      <c r="I22" s="89">
        <v>65</v>
      </c>
      <c r="J22" s="89" t="s">
        <v>51</v>
      </c>
      <c r="K22" s="89" t="s">
        <v>88</v>
      </c>
      <c r="L22" s="89" t="s">
        <v>53</v>
      </c>
      <c r="M22" s="89" t="s">
        <v>151</v>
      </c>
      <c r="N22" s="89" t="s">
        <v>148</v>
      </c>
      <c r="O22" s="93" t="s">
        <v>152</v>
      </c>
      <c r="P22" s="94" t="s">
        <v>57</v>
      </c>
      <c r="Q22" s="112" t="s">
        <v>58</v>
      </c>
      <c r="R22" s="95">
        <v>46112</v>
      </c>
      <c r="S22" s="96"/>
      <c r="T22" s="96" t="s">
        <v>59</v>
      </c>
      <c r="U22" s="96" t="s">
        <v>60</v>
      </c>
      <c r="V22" s="92">
        <v>46112</v>
      </c>
      <c r="W22" s="92" t="s">
        <v>61</v>
      </c>
      <c r="X22" s="92" t="s">
        <v>61</v>
      </c>
      <c r="Y22" s="97"/>
      <c r="Z22" s="89" t="s">
        <v>62</v>
      </c>
      <c r="AA22" s="96">
        <v>46113.430555439816</v>
      </c>
      <c r="AB22" s="89" t="s">
        <v>80</v>
      </c>
      <c r="AC22" s="111"/>
      <c r="AD22" s="89"/>
      <c r="AE22" s="89"/>
      <c r="AF22" s="98"/>
      <c r="AG22" s="98"/>
      <c r="AH22" s="98"/>
      <c r="AI22" s="99" t="s">
        <v>67</v>
      </c>
      <c r="AJ22" s="99" t="s">
        <v>67</v>
      </c>
      <c r="AK22" s="99" t="s">
        <v>67</v>
      </c>
      <c r="AL22" s="45" t="s">
        <v>68</v>
      </c>
      <c r="AM22" s="162" t="str">
        <f t="shared" si="0"/>
        <v>3/2026</v>
      </c>
      <c r="AN22" s="45">
        <f t="shared" si="1"/>
        <v>2</v>
      </c>
      <c r="AO22" s="45" t="str">
        <f t="shared" si="2"/>
        <v>3/2026</v>
      </c>
      <c r="AP22" s="45">
        <f t="shared" si="3"/>
        <v>5</v>
      </c>
      <c r="AQ22" s="45">
        <f t="shared" si="4"/>
        <v>22</v>
      </c>
      <c r="AR22" s="45">
        <f t="shared" si="5"/>
        <v>0</v>
      </c>
      <c r="AS22" s="45">
        <f t="shared" si="6"/>
        <v>0</v>
      </c>
      <c r="AT22" s="45">
        <f t="shared" si="7"/>
        <v>0</v>
      </c>
      <c r="AU22" s="45" t="str">
        <f>_xlfn.XLOOKUP(U22,'Lista Suspensa'!$AA$20:$AA$23,'Lista Suspensa'!$AB$20:$AB$23,"N/A")</f>
        <v>S</v>
      </c>
    </row>
    <row r="23" spans="1:47" ht="12" customHeight="1" x14ac:dyDescent="0.3">
      <c r="A23" s="87" t="s">
        <v>47</v>
      </c>
      <c r="B23" s="88">
        <v>46090</v>
      </c>
      <c r="C23" s="89" t="s">
        <v>48</v>
      </c>
      <c r="D23" s="89" t="s">
        <v>49</v>
      </c>
      <c r="E23" s="90">
        <v>82626819</v>
      </c>
      <c r="F23" s="184" t="s">
        <v>153</v>
      </c>
      <c r="G23" s="91">
        <v>10181809745</v>
      </c>
      <c r="H23" s="92">
        <v>30565</v>
      </c>
      <c r="I23" s="89">
        <v>42</v>
      </c>
      <c r="J23" s="89" t="s">
        <v>51</v>
      </c>
      <c r="K23" s="89" t="s">
        <v>88</v>
      </c>
      <c r="L23" s="89" t="s">
        <v>89</v>
      </c>
      <c r="M23" s="89" t="s">
        <v>154</v>
      </c>
      <c r="N23" s="89" t="s">
        <v>148</v>
      </c>
      <c r="O23" s="93" t="s">
        <v>155</v>
      </c>
      <c r="P23" s="94" t="s">
        <v>57</v>
      </c>
      <c r="Q23" s="112" t="s">
        <v>58</v>
      </c>
      <c r="R23" s="95">
        <v>46073</v>
      </c>
      <c r="S23" s="96"/>
      <c r="T23" s="96" t="s">
        <v>59</v>
      </c>
      <c r="U23" s="96" t="s">
        <v>60</v>
      </c>
      <c r="V23" s="92">
        <v>46073</v>
      </c>
      <c r="W23" s="92" t="s">
        <v>61</v>
      </c>
      <c r="X23" s="92" t="s">
        <v>61</v>
      </c>
      <c r="Y23" s="97"/>
      <c r="Z23" s="89" t="s">
        <v>62</v>
      </c>
      <c r="AA23" s="96">
        <v>46107.583333333336</v>
      </c>
      <c r="AB23" s="89" t="s">
        <v>63</v>
      </c>
      <c r="AC23" s="111"/>
      <c r="AD23" s="89" t="s">
        <v>64</v>
      </c>
      <c r="AE23" s="89">
        <v>59</v>
      </c>
      <c r="AF23" s="98" t="s">
        <v>138</v>
      </c>
      <c r="AG23" s="98"/>
      <c r="AH23" s="98" t="s">
        <v>66</v>
      </c>
      <c r="AI23" s="99" t="s">
        <v>67</v>
      </c>
      <c r="AJ23" s="99" t="s">
        <v>67</v>
      </c>
      <c r="AK23" s="99" t="s">
        <v>67</v>
      </c>
      <c r="AL23" s="45" t="s">
        <v>68</v>
      </c>
      <c r="AM23" s="162" t="str">
        <f t="shared" si="0"/>
        <v>3/2026</v>
      </c>
      <c r="AN23" s="45">
        <f t="shared" si="1"/>
        <v>2</v>
      </c>
      <c r="AO23" s="45" t="str">
        <f t="shared" si="2"/>
        <v>2/2026</v>
      </c>
      <c r="AP23" s="45">
        <f t="shared" si="3"/>
        <v>3</v>
      </c>
      <c r="AQ23" s="45">
        <f t="shared" si="4"/>
        <v>-17</v>
      </c>
      <c r="AR23" s="45">
        <f t="shared" si="5"/>
        <v>0</v>
      </c>
      <c r="AS23" s="45">
        <f t="shared" si="6"/>
        <v>0</v>
      </c>
      <c r="AT23" s="45">
        <f t="shared" si="7"/>
        <v>34.583333333335759</v>
      </c>
      <c r="AU23" s="45" t="str">
        <f>_xlfn.XLOOKUP(U23,'Lista Suspensa'!$AA$20:$AA$23,'Lista Suspensa'!$AB$20:$AB$23,"N/A")</f>
        <v>S</v>
      </c>
    </row>
    <row r="24" spans="1:47" ht="12" customHeight="1" x14ac:dyDescent="0.3">
      <c r="A24" s="87" t="s">
        <v>47</v>
      </c>
      <c r="B24" s="88">
        <v>46090</v>
      </c>
      <c r="C24" s="89" t="s">
        <v>48</v>
      </c>
      <c r="D24" s="89" t="s">
        <v>49</v>
      </c>
      <c r="E24" s="90">
        <v>83446603</v>
      </c>
      <c r="F24" s="184" t="s">
        <v>156</v>
      </c>
      <c r="G24" s="91">
        <v>19076302871</v>
      </c>
      <c r="H24" s="92">
        <v>28419</v>
      </c>
      <c r="I24" s="89">
        <v>48</v>
      </c>
      <c r="J24" s="89" t="s">
        <v>70</v>
      </c>
      <c r="K24" s="89" t="s">
        <v>52</v>
      </c>
      <c r="L24" s="89" t="s">
        <v>53</v>
      </c>
      <c r="M24" s="89" t="s">
        <v>157</v>
      </c>
      <c r="N24" s="89" t="s">
        <v>148</v>
      </c>
      <c r="O24" s="93" t="s">
        <v>158</v>
      </c>
      <c r="P24" s="94" t="s">
        <v>57</v>
      </c>
      <c r="Q24" s="112" t="s">
        <v>58</v>
      </c>
      <c r="R24" s="95">
        <v>46073</v>
      </c>
      <c r="S24" s="96"/>
      <c r="T24" s="96" t="s">
        <v>59</v>
      </c>
      <c r="U24" s="96" t="s">
        <v>60</v>
      </c>
      <c r="V24" s="92">
        <v>46073</v>
      </c>
      <c r="W24" s="92" t="s">
        <v>61</v>
      </c>
      <c r="X24" s="92" t="s">
        <v>61</v>
      </c>
      <c r="Y24" s="97"/>
      <c r="Z24" s="89" t="s">
        <v>62</v>
      </c>
      <c r="AA24" s="96">
        <v>46106.652777777781</v>
      </c>
      <c r="AB24" s="89" t="s">
        <v>63</v>
      </c>
      <c r="AC24" s="111"/>
      <c r="AD24" s="89" t="s">
        <v>64</v>
      </c>
      <c r="AE24" s="89">
        <v>60</v>
      </c>
      <c r="AF24" s="98"/>
      <c r="AG24" s="98"/>
      <c r="AH24" s="98" t="s">
        <v>66</v>
      </c>
      <c r="AI24" s="99" t="s">
        <v>67</v>
      </c>
      <c r="AJ24" s="99" t="s">
        <v>67</v>
      </c>
      <c r="AK24" s="99" t="s">
        <v>67</v>
      </c>
      <c r="AL24" s="45" t="s">
        <v>68</v>
      </c>
      <c r="AM24" s="162" t="str">
        <f t="shared" si="0"/>
        <v>3/2026</v>
      </c>
      <c r="AN24" s="45">
        <f t="shared" si="1"/>
        <v>2</v>
      </c>
      <c r="AO24" s="45" t="str">
        <f t="shared" si="2"/>
        <v>2/2026</v>
      </c>
      <c r="AP24" s="45">
        <f t="shared" si="3"/>
        <v>3</v>
      </c>
      <c r="AQ24" s="45">
        <f t="shared" si="4"/>
        <v>-17</v>
      </c>
      <c r="AR24" s="45">
        <f t="shared" si="5"/>
        <v>0</v>
      </c>
      <c r="AS24" s="45">
        <f t="shared" si="6"/>
        <v>0</v>
      </c>
      <c r="AT24" s="45">
        <f t="shared" si="7"/>
        <v>33.652777777781012</v>
      </c>
      <c r="AU24" s="45" t="str">
        <f>_xlfn.XLOOKUP(U24,'Lista Suspensa'!$AA$20:$AA$23,'Lista Suspensa'!$AB$20:$AB$23,"N/A")</f>
        <v>S</v>
      </c>
    </row>
    <row r="25" spans="1:47" ht="12" customHeight="1" x14ac:dyDescent="0.3">
      <c r="A25" s="87" t="s">
        <v>47</v>
      </c>
      <c r="B25" s="88">
        <v>46090</v>
      </c>
      <c r="C25" s="89" t="s">
        <v>48</v>
      </c>
      <c r="D25" s="89" t="s">
        <v>49</v>
      </c>
      <c r="E25" s="90">
        <v>94094307</v>
      </c>
      <c r="F25" s="184" t="s">
        <v>159</v>
      </c>
      <c r="G25" s="91">
        <v>7271761454</v>
      </c>
      <c r="H25" s="92">
        <v>32709</v>
      </c>
      <c r="I25" s="89">
        <v>36</v>
      </c>
      <c r="J25" s="89" t="s">
        <v>70</v>
      </c>
      <c r="K25" s="89" t="s">
        <v>52</v>
      </c>
      <c r="L25" s="89" t="s">
        <v>160</v>
      </c>
      <c r="M25" s="89" t="s">
        <v>161</v>
      </c>
      <c r="N25" s="89" t="s">
        <v>148</v>
      </c>
      <c r="O25" s="93" t="s">
        <v>162</v>
      </c>
      <c r="P25" s="94" t="s">
        <v>57</v>
      </c>
      <c r="Q25" s="112" t="s">
        <v>58</v>
      </c>
      <c r="R25" s="95">
        <v>46073</v>
      </c>
      <c r="S25" s="96"/>
      <c r="T25" s="96" t="s">
        <v>59</v>
      </c>
      <c r="U25" s="96" t="s">
        <v>60</v>
      </c>
      <c r="V25" s="92">
        <v>46073</v>
      </c>
      <c r="W25" s="92" t="s">
        <v>61</v>
      </c>
      <c r="X25" s="92" t="s">
        <v>61</v>
      </c>
      <c r="Y25" s="97"/>
      <c r="Z25" s="89" t="s">
        <v>62</v>
      </c>
      <c r="AA25" s="96">
        <v>46108.625</v>
      </c>
      <c r="AB25" s="89" t="s">
        <v>63</v>
      </c>
      <c r="AC25" s="111"/>
      <c r="AD25" s="89" t="s">
        <v>86</v>
      </c>
      <c r="AE25" s="89">
        <v>60</v>
      </c>
      <c r="AF25" s="98" t="s">
        <v>65</v>
      </c>
      <c r="AG25" s="98"/>
      <c r="AH25" s="98" t="s">
        <v>66</v>
      </c>
      <c r="AI25" s="99" t="s">
        <v>67</v>
      </c>
      <c r="AJ25" s="99" t="s">
        <v>67</v>
      </c>
      <c r="AK25" s="99" t="s">
        <v>67</v>
      </c>
      <c r="AL25" s="45" t="s">
        <v>68</v>
      </c>
      <c r="AM25" s="162" t="str">
        <f t="shared" si="0"/>
        <v>3/2026</v>
      </c>
      <c r="AN25" s="45">
        <f t="shared" si="1"/>
        <v>2</v>
      </c>
      <c r="AO25" s="45" t="str">
        <f t="shared" si="2"/>
        <v>2/2026</v>
      </c>
      <c r="AP25" s="45">
        <f t="shared" si="3"/>
        <v>3</v>
      </c>
      <c r="AQ25" s="45">
        <f t="shared" si="4"/>
        <v>-17</v>
      </c>
      <c r="AR25" s="45">
        <f t="shared" si="5"/>
        <v>0</v>
      </c>
      <c r="AS25" s="45">
        <f t="shared" si="6"/>
        <v>0</v>
      </c>
      <c r="AT25" s="45">
        <f t="shared" si="7"/>
        <v>35.625</v>
      </c>
      <c r="AU25" s="45" t="str">
        <f>_xlfn.XLOOKUP(U25,'Lista Suspensa'!$AA$20:$AA$23,'Lista Suspensa'!$AB$20:$AB$23,"N/A")</f>
        <v>S</v>
      </c>
    </row>
    <row r="26" spans="1:47" ht="12" customHeight="1" x14ac:dyDescent="0.3">
      <c r="A26" s="87" t="s">
        <v>47</v>
      </c>
      <c r="B26" s="88">
        <v>46090</v>
      </c>
      <c r="C26" s="89" t="s">
        <v>48</v>
      </c>
      <c r="D26" s="89" t="s">
        <v>49</v>
      </c>
      <c r="E26" s="90">
        <v>92629054</v>
      </c>
      <c r="F26" s="184" t="s">
        <v>163</v>
      </c>
      <c r="G26" s="91">
        <v>51114720453</v>
      </c>
      <c r="H26" s="92">
        <v>24968</v>
      </c>
      <c r="I26" s="89">
        <v>58</v>
      </c>
      <c r="J26" s="89" t="s">
        <v>51</v>
      </c>
      <c r="K26" s="89" t="s">
        <v>52</v>
      </c>
      <c r="L26" s="89" t="s">
        <v>53</v>
      </c>
      <c r="M26" s="89" t="s">
        <v>164</v>
      </c>
      <c r="N26" s="89" t="s">
        <v>148</v>
      </c>
      <c r="O26" s="93" t="s">
        <v>165</v>
      </c>
      <c r="P26" s="94" t="s">
        <v>57</v>
      </c>
      <c r="Q26" s="112" t="s">
        <v>58</v>
      </c>
      <c r="R26" s="95">
        <v>46073</v>
      </c>
      <c r="S26" s="96"/>
      <c r="T26" s="96" t="s">
        <v>59</v>
      </c>
      <c r="U26" s="96" t="s">
        <v>60</v>
      </c>
      <c r="V26" s="92">
        <v>46073</v>
      </c>
      <c r="W26" s="92" t="s">
        <v>61</v>
      </c>
      <c r="X26" s="92" t="s">
        <v>61</v>
      </c>
      <c r="Y26" s="97"/>
      <c r="Z26" s="89" t="s">
        <v>62</v>
      </c>
      <c r="AA26" s="96">
        <v>46111.638888657406</v>
      </c>
      <c r="AB26" s="89" t="s">
        <v>63</v>
      </c>
      <c r="AC26" s="111"/>
      <c r="AD26" s="89" t="s">
        <v>86</v>
      </c>
      <c r="AE26" s="89">
        <v>65</v>
      </c>
      <c r="AF26" s="98" t="s">
        <v>138</v>
      </c>
      <c r="AG26" s="98"/>
      <c r="AH26" s="98" t="s">
        <v>139</v>
      </c>
      <c r="AI26" s="99" t="s">
        <v>67</v>
      </c>
      <c r="AJ26" s="99" t="s">
        <v>67</v>
      </c>
      <c r="AK26" s="99" t="s">
        <v>67</v>
      </c>
      <c r="AL26" s="45" t="s">
        <v>68</v>
      </c>
      <c r="AM26" s="162" t="str">
        <f t="shared" si="0"/>
        <v>3/2026</v>
      </c>
      <c r="AN26" s="45">
        <f t="shared" si="1"/>
        <v>2</v>
      </c>
      <c r="AO26" s="45" t="str">
        <f t="shared" si="2"/>
        <v>2/2026</v>
      </c>
      <c r="AP26" s="45">
        <f t="shared" si="3"/>
        <v>3</v>
      </c>
      <c r="AQ26" s="45">
        <f t="shared" si="4"/>
        <v>-17</v>
      </c>
      <c r="AR26" s="45">
        <f t="shared" si="5"/>
        <v>0</v>
      </c>
      <c r="AS26" s="45">
        <f t="shared" si="6"/>
        <v>0</v>
      </c>
      <c r="AT26" s="45">
        <f t="shared" si="7"/>
        <v>38.638888657405914</v>
      </c>
      <c r="AU26" s="45" t="str">
        <f>_xlfn.XLOOKUP(U26,'Lista Suspensa'!$AA$20:$AA$23,'Lista Suspensa'!$AB$20:$AB$23,"N/A")</f>
        <v>S</v>
      </c>
    </row>
    <row r="27" spans="1:47" ht="12" customHeight="1" x14ac:dyDescent="0.3">
      <c r="A27" s="87" t="s">
        <v>47</v>
      </c>
      <c r="B27" s="88">
        <v>46090</v>
      </c>
      <c r="C27" s="89" t="s">
        <v>48</v>
      </c>
      <c r="D27" s="89" t="s">
        <v>49</v>
      </c>
      <c r="E27" s="90">
        <v>82253494</v>
      </c>
      <c r="F27" s="184" t="s">
        <v>166</v>
      </c>
      <c r="G27" s="91">
        <v>32970207842</v>
      </c>
      <c r="H27" s="92">
        <v>28104</v>
      </c>
      <c r="I27" s="89">
        <v>49</v>
      </c>
      <c r="J27" s="89" t="s">
        <v>70</v>
      </c>
      <c r="K27" s="89" t="s">
        <v>52</v>
      </c>
      <c r="L27" s="89" t="s">
        <v>53</v>
      </c>
      <c r="M27" s="89" t="s">
        <v>167</v>
      </c>
      <c r="N27" s="89" t="s">
        <v>148</v>
      </c>
      <c r="O27" s="93" t="s">
        <v>168</v>
      </c>
      <c r="P27" s="94" t="s">
        <v>57</v>
      </c>
      <c r="Q27" s="112" t="s">
        <v>58</v>
      </c>
      <c r="R27" s="95">
        <v>46073</v>
      </c>
      <c r="S27" s="96"/>
      <c r="T27" s="96" t="s">
        <v>59</v>
      </c>
      <c r="U27" s="96" t="s">
        <v>60</v>
      </c>
      <c r="V27" s="92">
        <v>46073</v>
      </c>
      <c r="W27" s="92" t="s">
        <v>61</v>
      </c>
      <c r="X27" s="92" t="s">
        <v>61</v>
      </c>
      <c r="Y27" s="97"/>
      <c r="Z27" s="89" t="s">
        <v>62</v>
      </c>
      <c r="AA27" s="96">
        <v>46108.680555555555</v>
      </c>
      <c r="AB27" s="89" t="s">
        <v>63</v>
      </c>
      <c r="AC27" s="111"/>
      <c r="AD27" s="89" t="s">
        <v>64</v>
      </c>
      <c r="AE27" s="89">
        <v>29</v>
      </c>
      <c r="AF27" s="98" t="s">
        <v>65</v>
      </c>
      <c r="AG27" s="98"/>
      <c r="AH27" s="98" t="s">
        <v>66</v>
      </c>
      <c r="AI27" s="99" t="s">
        <v>67</v>
      </c>
      <c r="AJ27" s="99" t="s">
        <v>67</v>
      </c>
      <c r="AK27" s="99" t="s">
        <v>67</v>
      </c>
      <c r="AL27" s="45" t="s">
        <v>68</v>
      </c>
      <c r="AM27" s="162" t="str">
        <f t="shared" si="0"/>
        <v>3/2026</v>
      </c>
      <c r="AN27" s="45">
        <f t="shared" si="1"/>
        <v>2</v>
      </c>
      <c r="AO27" s="45" t="str">
        <f t="shared" si="2"/>
        <v>2/2026</v>
      </c>
      <c r="AP27" s="45">
        <f t="shared" si="3"/>
        <v>3</v>
      </c>
      <c r="AQ27" s="45">
        <f t="shared" si="4"/>
        <v>-17</v>
      </c>
      <c r="AR27" s="45">
        <f t="shared" si="5"/>
        <v>0</v>
      </c>
      <c r="AS27" s="45">
        <f t="shared" si="6"/>
        <v>0</v>
      </c>
      <c r="AT27" s="45">
        <f t="shared" si="7"/>
        <v>35.680555555554747</v>
      </c>
      <c r="AU27" s="45" t="str">
        <f>_xlfn.XLOOKUP(U27,'Lista Suspensa'!$AA$20:$AA$23,'Lista Suspensa'!$AB$20:$AB$23,"N/A")</f>
        <v>S</v>
      </c>
    </row>
    <row r="28" spans="1:47" ht="12" customHeight="1" x14ac:dyDescent="0.3">
      <c r="A28" s="87" t="s">
        <v>47</v>
      </c>
      <c r="B28" s="88">
        <v>46090</v>
      </c>
      <c r="C28" s="89" t="s">
        <v>48</v>
      </c>
      <c r="D28" s="89" t="s">
        <v>49</v>
      </c>
      <c r="E28" s="90">
        <v>451999487</v>
      </c>
      <c r="F28" s="184" t="s">
        <v>169</v>
      </c>
      <c r="G28" s="91">
        <v>3442636817</v>
      </c>
      <c r="H28" s="92">
        <v>21658</v>
      </c>
      <c r="I28" s="89">
        <v>67</v>
      </c>
      <c r="J28" s="89" t="s">
        <v>70</v>
      </c>
      <c r="K28" s="89" t="s">
        <v>52</v>
      </c>
      <c r="L28" s="89" t="s">
        <v>53</v>
      </c>
      <c r="M28" s="89" t="s">
        <v>151</v>
      </c>
      <c r="N28" s="89" t="s">
        <v>170</v>
      </c>
      <c r="O28" s="93" t="s">
        <v>171</v>
      </c>
      <c r="P28" s="94" t="s">
        <v>57</v>
      </c>
      <c r="Q28" s="112" t="s">
        <v>58</v>
      </c>
      <c r="R28" s="95">
        <v>46073</v>
      </c>
      <c r="S28" s="96"/>
      <c r="T28" s="96" t="s">
        <v>59</v>
      </c>
      <c r="U28" s="96" t="s">
        <v>60</v>
      </c>
      <c r="V28" s="92">
        <v>46073</v>
      </c>
      <c r="W28" s="92" t="s">
        <v>61</v>
      </c>
      <c r="X28" s="92" t="s">
        <v>61</v>
      </c>
      <c r="Y28" s="97"/>
      <c r="Z28" s="89" t="s">
        <v>62</v>
      </c>
      <c r="AA28" s="96">
        <v>46111.652777488423</v>
      </c>
      <c r="AB28" s="89" t="s">
        <v>63</v>
      </c>
      <c r="AC28" s="111"/>
      <c r="AD28" s="89" t="s">
        <v>64</v>
      </c>
      <c r="AE28" s="89">
        <v>54</v>
      </c>
      <c r="AF28" s="98" t="s">
        <v>172</v>
      </c>
      <c r="AG28" s="98"/>
      <c r="AH28" s="98" t="s">
        <v>66</v>
      </c>
      <c r="AI28" s="99" t="s">
        <v>67</v>
      </c>
      <c r="AJ28" s="99" t="s">
        <v>67</v>
      </c>
      <c r="AK28" s="99" t="s">
        <v>67</v>
      </c>
      <c r="AL28" s="45" t="s">
        <v>68</v>
      </c>
      <c r="AM28" s="162" t="str">
        <f t="shared" si="0"/>
        <v>3/2026</v>
      </c>
      <c r="AN28" s="45">
        <f t="shared" si="1"/>
        <v>2</v>
      </c>
      <c r="AO28" s="45" t="str">
        <f t="shared" si="2"/>
        <v>2/2026</v>
      </c>
      <c r="AP28" s="45">
        <f t="shared" si="3"/>
        <v>3</v>
      </c>
      <c r="AQ28" s="45">
        <f t="shared" si="4"/>
        <v>-17</v>
      </c>
      <c r="AR28" s="45">
        <f t="shared" si="5"/>
        <v>0</v>
      </c>
      <c r="AS28" s="45">
        <f t="shared" si="6"/>
        <v>0</v>
      </c>
      <c r="AT28" s="45">
        <f t="shared" si="7"/>
        <v>38.652777488423453</v>
      </c>
      <c r="AU28" s="45" t="str">
        <f>_xlfn.XLOOKUP(U28,'Lista Suspensa'!$AA$20:$AA$23,'Lista Suspensa'!$AB$20:$AB$23,"N/A")</f>
        <v>S</v>
      </c>
    </row>
    <row r="29" spans="1:47" ht="12" customHeight="1" x14ac:dyDescent="0.3">
      <c r="A29" s="87" t="s">
        <v>47</v>
      </c>
      <c r="B29" s="88">
        <v>46090</v>
      </c>
      <c r="C29" s="89" t="s">
        <v>48</v>
      </c>
      <c r="D29" s="89" t="s">
        <v>49</v>
      </c>
      <c r="E29" s="90">
        <v>72095112</v>
      </c>
      <c r="F29" s="184" t="s">
        <v>173</v>
      </c>
      <c r="G29" s="91">
        <v>54999545772</v>
      </c>
      <c r="H29" s="92">
        <v>15048</v>
      </c>
      <c r="I29" s="89">
        <v>85</v>
      </c>
      <c r="J29" s="89" t="s">
        <v>70</v>
      </c>
      <c r="K29" s="89" t="s">
        <v>88</v>
      </c>
      <c r="L29" s="89" t="s">
        <v>89</v>
      </c>
      <c r="M29" s="89" t="s">
        <v>120</v>
      </c>
      <c r="N29" s="89" t="s">
        <v>170</v>
      </c>
      <c r="O29" s="93" t="s">
        <v>174</v>
      </c>
      <c r="P29" s="94" t="s">
        <v>57</v>
      </c>
      <c r="Q29" s="112" t="s">
        <v>58</v>
      </c>
      <c r="R29" s="95">
        <v>46073</v>
      </c>
      <c r="S29" s="96"/>
      <c r="T29" s="96" t="s">
        <v>59</v>
      </c>
      <c r="U29" s="96" t="s">
        <v>60</v>
      </c>
      <c r="V29" s="92">
        <v>46073</v>
      </c>
      <c r="W29" s="92" t="s">
        <v>61</v>
      </c>
      <c r="X29" s="92" t="s">
        <v>61</v>
      </c>
      <c r="Y29" s="97"/>
      <c r="Z29" s="89" t="s">
        <v>62</v>
      </c>
      <c r="AA29" s="96">
        <v>46107.625</v>
      </c>
      <c r="AB29" s="89" t="s">
        <v>63</v>
      </c>
      <c r="AC29" s="111"/>
      <c r="AD29" s="89" t="s">
        <v>86</v>
      </c>
      <c r="AE29" s="89">
        <v>38</v>
      </c>
      <c r="AF29" s="98" t="s">
        <v>175</v>
      </c>
      <c r="AG29" s="98"/>
      <c r="AH29" s="98" t="s">
        <v>66</v>
      </c>
      <c r="AI29" s="99" t="s">
        <v>67</v>
      </c>
      <c r="AJ29" s="99" t="s">
        <v>67</v>
      </c>
      <c r="AK29" s="99" t="s">
        <v>67</v>
      </c>
      <c r="AL29" s="45" t="s">
        <v>68</v>
      </c>
      <c r="AM29" s="162" t="str">
        <f t="shared" si="0"/>
        <v>3/2026</v>
      </c>
      <c r="AN29" s="45">
        <f t="shared" si="1"/>
        <v>2</v>
      </c>
      <c r="AO29" s="45" t="str">
        <f t="shared" si="2"/>
        <v>2/2026</v>
      </c>
      <c r="AP29" s="45">
        <f t="shared" si="3"/>
        <v>3</v>
      </c>
      <c r="AQ29" s="45">
        <f t="shared" si="4"/>
        <v>-17</v>
      </c>
      <c r="AR29" s="45">
        <f t="shared" si="5"/>
        <v>0</v>
      </c>
      <c r="AS29" s="45">
        <f t="shared" si="6"/>
        <v>0</v>
      </c>
      <c r="AT29" s="45">
        <f t="shared" si="7"/>
        <v>34.625</v>
      </c>
      <c r="AU29" s="45" t="str">
        <f>_xlfn.XLOOKUP(U29,'Lista Suspensa'!$AA$20:$AA$23,'Lista Suspensa'!$AB$20:$AB$23,"N/A")</f>
        <v>S</v>
      </c>
    </row>
    <row r="30" spans="1:47" ht="12" customHeight="1" x14ac:dyDescent="0.3">
      <c r="A30" s="87" t="s">
        <v>47</v>
      </c>
      <c r="B30" s="88">
        <v>46090</v>
      </c>
      <c r="C30" s="89" t="s">
        <v>48</v>
      </c>
      <c r="D30" s="89" t="s">
        <v>49</v>
      </c>
      <c r="E30" s="90">
        <v>88972724</v>
      </c>
      <c r="F30" s="184" t="s">
        <v>176</v>
      </c>
      <c r="G30" s="91">
        <v>3820972897</v>
      </c>
      <c r="H30" s="92">
        <v>22576</v>
      </c>
      <c r="I30" s="89">
        <v>64</v>
      </c>
      <c r="J30" s="89" t="s">
        <v>70</v>
      </c>
      <c r="K30" s="89" t="s">
        <v>52</v>
      </c>
      <c r="L30" s="89" t="s">
        <v>53</v>
      </c>
      <c r="M30" s="89" t="s">
        <v>76</v>
      </c>
      <c r="N30" s="89" t="s">
        <v>170</v>
      </c>
      <c r="O30" s="93" t="s">
        <v>177</v>
      </c>
      <c r="P30" s="94" t="s">
        <v>57</v>
      </c>
      <c r="Q30" s="112" t="s">
        <v>58</v>
      </c>
      <c r="R30" s="95">
        <v>46073</v>
      </c>
      <c r="S30" s="96"/>
      <c r="T30" s="96" t="s">
        <v>59</v>
      </c>
      <c r="U30" s="96" t="s">
        <v>60</v>
      </c>
      <c r="V30" s="92">
        <v>46073</v>
      </c>
      <c r="W30" s="92" t="s">
        <v>61</v>
      </c>
      <c r="X30" s="92" t="s">
        <v>61</v>
      </c>
      <c r="Y30" s="97"/>
      <c r="Z30" s="89" t="s">
        <v>62</v>
      </c>
      <c r="AA30" s="96">
        <v>46107.694444444445</v>
      </c>
      <c r="AB30" s="89" t="s">
        <v>63</v>
      </c>
      <c r="AC30" s="111"/>
      <c r="AD30" s="89" t="s">
        <v>64</v>
      </c>
      <c r="AE30" s="89">
        <v>60</v>
      </c>
      <c r="AF30" s="98" t="s">
        <v>178</v>
      </c>
      <c r="AG30" s="98"/>
      <c r="AH30" s="98" t="s">
        <v>66</v>
      </c>
      <c r="AI30" s="99" t="s">
        <v>67</v>
      </c>
      <c r="AJ30" s="99" t="s">
        <v>67</v>
      </c>
      <c r="AK30" s="99" t="s">
        <v>67</v>
      </c>
      <c r="AL30" s="45" t="s">
        <v>68</v>
      </c>
      <c r="AM30" s="162" t="str">
        <f t="shared" si="0"/>
        <v>3/2026</v>
      </c>
      <c r="AN30" s="45">
        <f t="shared" si="1"/>
        <v>2</v>
      </c>
      <c r="AO30" s="45" t="str">
        <f t="shared" si="2"/>
        <v>2/2026</v>
      </c>
      <c r="AP30" s="45">
        <f t="shared" si="3"/>
        <v>3</v>
      </c>
      <c r="AQ30" s="45">
        <f t="shared" si="4"/>
        <v>-17</v>
      </c>
      <c r="AR30" s="45">
        <f t="shared" si="5"/>
        <v>0</v>
      </c>
      <c r="AS30" s="45">
        <f t="shared" si="6"/>
        <v>0</v>
      </c>
      <c r="AT30" s="45">
        <f t="shared" si="7"/>
        <v>34.694444444445253</v>
      </c>
      <c r="AU30" s="45" t="str">
        <f>_xlfn.XLOOKUP(U30,'Lista Suspensa'!$AA$20:$AA$23,'Lista Suspensa'!$AB$20:$AB$23,"N/A")</f>
        <v>S</v>
      </c>
    </row>
    <row r="31" spans="1:47" ht="12" customHeight="1" x14ac:dyDescent="0.3">
      <c r="A31" s="87" t="s">
        <v>47</v>
      </c>
      <c r="B31" s="88">
        <v>46090</v>
      </c>
      <c r="C31" s="89" t="s">
        <v>48</v>
      </c>
      <c r="D31" s="89" t="s">
        <v>49</v>
      </c>
      <c r="E31" s="90">
        <v>93590822</v>
      </c>
      <c r="F31" s="184" t="s">
        <v>179</v>
      </c>
      <c r="G31" s="91">
        <v>57544999491</v>
      </c>
      <c r="H31" s="92">
        <v>24524</v>
      </c>
      <c r="I31" s="89">
        <v>59</v>
      </c>
      <c r="J31" s="89" t="s">
        <v>51</v>
      </c>
      <c r="K31" s="89" t="s">
        <v>88</v>
      </c>
      <c r="L31" s="89" t="s">
        <v>89</v>
      </c>
      <c r="M31" s="89" t="s">
        <v>180</v>
      </c>
      <c r="N31" s="89" t="s">
        <v>181</v>
      </c>
      <c r="O31" s="93" t="s">
        <v>182</v>
      </c>
      <c r="P31" s="94" t="s">
        <v>57</v>
      </c>
      <c r="Q31" s="112" t="s">
        <v>58</v>
      </c>
      <c r="R31" s="95">
        <v>46073</v>
      </c>
      <c r="S31" s="96"/>
      <c r="T31" s="96" t="s">
        <v>59</v>
      </c>
      <c r="U31" s="96" t="s">
        <v>60</v>
      </c>
      <c r="V31" s="92">
        <v>46073</v>
      </c>
      <c r="W31" s="92" t="s">
        <v>61</v>
      </c>
      <c r="X31" s="92" t="s">
        <v>61</v>
      </c>
      <c r="Y31" s="97"/>
      <c r="Z31" s="89" t="s">
        <v>62</v>
      </c>
      <c r="AA31" s="96">
        <v>46108.652777777781</v>
      </c>
      <c r="AB31" s="89" t="s">
        <v>63</v>
      </c>
      <c r="AC31" s="111"/>
      <c r="AD31" s="89" t="s">
        <v>86</v>
      </c>
      <c r="AE31" s="89">
        <v>51</v>
      </c>
      <c r="AF31" s="98" t="s">
        <v>126</v>
      </c>
      <c r="AG31" s="98"/>
      <c r="AH31" s="98" t="s">
        <v>139</v>
      </c>
      <c r="AI31" s="99" t="s">
        <v>67</v>
      </c>
      <c r="AJ31" s="99" t="s">
        <v>67</v>
      </c>
      <c r="AK31" s="99" t="s">
        <v>67</v>
      </c>
      <c r="AL31" s="45" t="s">
        <v>68</v>
      </c>
      <c r="AM31" s="162" t="str">
        <f t="shared" si="0"/>
        <v>3/2026</v>
      </c>
      <c r="AN31" s="45">
        <f t="shared" si="1"/>
        <v>2</v>
      </c>
      <c r="AO31" s="45" t="str">
        <f t="shared" si="2"/>
        <v>2/2026</v>
      </c>
      <c r="AP31" s="45">
        <f t="shared" si="3"/>
        <v>3</v>
      </c>
      <c r="AQ31" s="45">
        <f t="shared" si="4"/>
        <v>-17</v>
      </c>
      <c r="AR31" s="45">
        <f t="shared" si="5"/>
        <v>0</v>
      </c>
      <c r="AS31" s="45">
        <f t="shared" si="6"/>
        <v>0</v>
      </c>
      <c r="AT31" s="45">
        <f t="shared" si="7"/>
        <v>35.652777777781012</v>
      </c>
      <c r="AU31" s="45" t="str">
        <f>_xlfn.XLOOKUP(U31,'Lista Suspensa'!$AA$20:$AA$23,'Lista Suspensa'!$AB$20:$AB$23,"N/A")</f>
        <v>S</v>
      </c>
    </row>
    <row r="32" spans="1:47" ht="12" customHeight="1" x14ac:dyDescent="0.3">
      <c r="A32" s="87" t="s">
        <v>47</v>
      </c>
      <c r="B32" s="88">
        <v>46090</v>
      </c>
      <c r="C32" s="89" t="s">
        <v>48</v>
      </c>
      <c r="D32" s="89" t="s">
        <v>49</v>
      </c>
      <c r="E32" s="90">
        <v>78196270</v>
      </c>
      <c r="F32" s="184" t="s">
        <v>183</v>
      </c>
      <c r="G32" s="91">
        <v>10081374801</v>
      </c>
      <c r="H32" s="92">
        <v>25603</v>
      </c>
      <c r="I32" s="89">
        <v>56</v>
      </c>
      <c r="J32" s="89" t="s">
        <v>70</v>
      </c>
      <c r="K32" s="89" t="s">
        <v>52</v>
      </c>
      <c r="L32" s="89" t="s">
        <v>53</v>
      </c>
      <c r="M32" s="89" t="s">
        <v>184</v>
      </c>
      <c r="N32" s="89" t="s">
        <v>185</v>
      </c>
      <c r="O32" s="93" t="s">
        <v>186</v>
      </c>
      <c r="P32" s="94" t="s">
        <v>57</v>
      </c>
      <c r="Q32" s="112" t="s">
        <v>58</v>
      </c>
      <c r="R32" s="95">
        <v>46073</v>
      </c>
      <c r="S32" s="96"/>
      <c r="T32" s="96" t="s">
        <v>59</v>
      </c>
      <c r="U32" s="96" t="s">
        <v>60</v>
      </c>
      <c r="V32" s="92">
        <v>46073</v>
      </c>
      <c r="W32" s="92" t="s">
        <v>61</v>
      </c>
      <c r="X32" s="92" t="s">
        <v>61</v>
      </c>
      <c r="Y32" s="97"/>
      <c r="Z32" s="89" t="s">
        <v>62</v>
      </c>
      <c r="AA32" s="96">
        <v>46122.402777777781</v>
      </c>
      <c r="AB32" s="89" t="s">
        <v>63</v>
      </c>
      <c r="AC32" s="111"/>
      <c r="AD32" s="89" t="s">
        <v>86</v>
      </c>
      <c r="AE32" s="89">
        <v>43</v>
      </c>
      <c r="AF32" s="98" t="s">
        <v>65</v>
      </c>
      <c r="AG32" s="98"/>
      <c r="AH32" s="98" t="s">
        <v>66</v>
      </c>
      <c r="AI32" s="99" t="s">
        <v>67</v>
      </c>
      <c r="AJ32" s="99" t="s">
        <v>67</v>
      </c>
      <c r="AK32" s="99" t="s">
        <v>67</v>
      </c>
      <c r="AL32" s="45" t="s">
        <v>68</v>
      </c>
      <c r="AM32" s="162" t="str">
        <f t="shared" si="0"/>
        <v>3/2026</v>
      </c>
      <c r="AN32" s="45">
        <f t="shared" si="1"/>
        <v>2</v>
      </c>
      <c r="AO32" s="45" t="str">
        <f t="shared" si="2"/>
        <v>2/2026</v>
      </c>
      <c r="AP32" s="45">
        <f t="shared" si="3"/>
        <v>3</v>
      </c>
      <c r="AQ32" s="45">
        <f t="shared" si="4"/>
        <v>-17</v>
      </c>
      <c r="AR32" s="45">
        <f t="shared" si="5"/>
        <v>0</v>
      </c>
      <c r="AS32" s="45">
        <f t="shared" si="6"/>
        <v>0</v>
      </c>
      <c r="AT32" s="45">
        <f t="shared" si="7"/>
        <v>49.402777777781012</v>
      </c>
      <c r="AU32" s="45" t="str">
        <f>_xlfn.XLOOKUP(U32,'Lista Suspensa'!$AA$20:$AA$23,'Lista Suspensa'!$AB$20:$AB$23,"N/A")</f>
        <v>S</v>
      </c>
    </row>
    <row r="33" spans="1:47" ht="12" customHeight="1" x14ac:dyDescent="0.3">
      <c r="A33" s="87" t="s">
        <v>47</v>
      </c>
      <c r="B33" s="88">
        <v>46090</v>
      </c>
      <c r="C33" s="89" t="s">
        <v>48</v>
      </c>
      <c r="D33" s="89" t="s">
        <v>49</v>
      </c>
      <c r="E33" s="90">
        <v>84834277</v>
      </c>
      <c r="F33" s="184" t="s">
        <v>187</v>
      </c>
      <c r="G33" s="91">
        <v>87321343715</v>
      </c>
      <c r="H33" s="92">
        <v>24067</v>
      </c>
      <c r="I33" s="89">
        <v>60</v>
      </c>
      <c r="J33" s="89" t="s">
        <v>51</v>
      </c>
      <c r="K33" s="89" t="s">
        <v>88</v>
      </c>
      <c r="L33" s="89" t="s">
        <v>89</v>
      </c>
      <c r="M33" s="89" t="s">
        <v>188</v>
      </c>
      <c r="N33" s="89" t="s">
        <v>148</v>
      </c>
      <c r="O33" s="93" t="s">
        <v>189</v>
      </c>
      <c r="P33" s="94" t="s">
        <v>57</v>
      </c>
      <c r="Q33" s="112" t="s">
        <v>58</v>
      </c>
      <c r="R33" s="95">
        <v>46141</v>
      </c>
      <c r="S33" s="96"/>
      <c r="T33" s="96" t="s">
        <v>59</v>
      </c>
      <c r="U33" s="96" t="s">
        <v>60</v>
      </c>
      <c r="V33" s="92">
        <v>46073</v>
      </c>
      <c r="W33" s="92">
        <v>46141</v>
      </c>
      <c r="X33" s="92" t="s">
        <v>61</v>
      </c>
      <c r="Y33" s="97"/>
      <c r="Z33" s="89" t="s">
        <v>62</v>
      </c>
      <c r="AA33" s="96">
        <v>46149</v>
      </c>
      <c r="AB33" s="89" t="s">
        <v>80</v>
      </c>
      <c r="AC33" s="111"/>
      <c r="AD33" s="89"/>
      <c r="AE33" s="89"/>
      <c r="AF33" s="98"/>
      <c r="AG33" s="98"/>
      <c r="AH33" s="98"/>
      <c r="AI33" s="99" t="s">
        <v>67</v>
      </c>
      <c r="AJ33" s="99" t="s">
        <v>67</v>
      </c>
      <c r="AK33" s="99" t="s">
        <v>67</v>
      </c>
      <c r="AL33" s="45" t="s">
        <v>68</v>
      </c>
      <c r="AM33" s="162" t="str">
        <f t="shared" si="0"/>
        <v>3/2026</v>
      </c>
      <c r="AN33" s="45">
        <f t="shared" si="1"/>
        <v>2</v>
      </c>
      <c r="AO33" s="45" t="str">
        <f t="shared" si="2"/>
        <v>4/2026</v>
      </c>
      <c r="AP33" s="45">
        <f t="shared" si="3"/>
        <v>5</v>
      </c>
      <c r="AQ33" s="45">
        <f t="shared" si="4"/>
        <v>51</v>
      </c>
      <c r="AR33" s="45">
        <f t="shared" si="5"/>
        <v>0</v>
      </c>
      <c r="AS33" s="45">
        <f t="shared" si="6"/>
        <v>68</v>
      </c>
      <c r="AT33" s="45">
        <f t="shared" si="7"/>
        <v>0</v>
      </c>
      <c r="AU33" s="45" t="str">
        <f>_xlfn.XLOOKUP(U33,'Lista Suspensa'!$AA$20:$AA$23,'Lista Suspensa'!$AB$20:$AB$23,"N/A")</f>
        <v>S</v>
      </c>
    </row>
    <row r="34" spans="1:47" ht="12" customHeight="1" x14ac:dyDescent="0.3">
      <c r="A34" s="87" t="s">
        <v>47</v>
      </c>
      <c r="B34" s="88">
        <v>46090</v>
      </c>
      <c r="C34" s="89" t="s">
        <v>48</v>
      </c>
      <c r="D34" s="89" t="s">
        <v>49</v>
      </c>
      <c r="E34" s="90">
        <v>124137482</v>
      </c>
      <c r="F34" s="184" t="s">
        <v>190</v>
      </c>
      <c r="G34" s="91">
        <v>25682496841</v>
      </c>
      <c r="H34" s="92">
        <v>18972</v>
      </c>
      <c r="I34" s="89">
        <v>74</v>
      </c>
      <c r="J34" s="89" t="s">
        <v>51</v>
      </c>
      <c r="K34" s="89" t="s">
        <v>52</v>
      </c>
      <c r="L34" s="89" t="s">
        <v>53</v>
      </c>
      <c r="M34" s="89" t="s">
        <v>191</v>
      </c>
      <c r="N34" s="89" t="s">
        <v>170</v>
      </c>
      <c r="O34" s="93" t="s">
        <v>192</v>
      </c>
      <c r="P34" s="94" t="s">
        <v>57</v>
      </c>
      <c r="Q34" s="112" t="s">
        <v>58</v>
      </c>
      <c r="R34" s="95">
        <v>46141</v>
      </c>
      <c r="S34" s="96"/>
      <c r="T34" s="96" t="s">
        <v>59</v>
      </c>
      <c r="U34" s="96" t="s">
        <v>60</v>
      </c>
      <c r="V34" s="92">
        <v>46112</v>
      </c>
      <c r="W34" s="92">
        <v>46141</v>
      </c>
      <c r="X34" s="92" t="s">
        <v>61</v>
      </c>
      <c r="Y34" s="97"/>
      <c r="Z34" s="89" t="s">
        <v>62</v>
      </c>
      <c r="AA34" s="96" t="s">
        <v>193</v>
      </c>
      <c r="AB34" s="89" t="s">
        <v>80</v>
      </c>
      <c r="AC34" s="111"/>
      <c r="AD34" s="89"/>
      <c r="AE34" s="89"/>
      <c r="AF34" s="98"/>
      <c r="AG34" s="98"/>
      <c r="AH34" s="98"/>
      <c r="AI34" s="99" t="s">
        <v>67</v>
      </c>
      <c r="AJ34" s="99" t="s">
        <v>67</v>
      </c>
      <c r="AK34" s="99" t="s">
        <v>67</v>
      </c>
      <c r="AL34" s="45" t="s">
        <v>68</v>
      </c>
      <c r="AM34" s="162" t="str">
        <f t="shared" si="0"/>
        <v>3/2026</v>
      </c>
      <c r="AN34" s="45">
        <f t="shared" si="1"/>
        <v>2</v>
      </c>
      <c r="AO34" s="45" t="str">
        <f t="shared" si="2"/>
        <v>4/2026</v>
      </c>
      <c r="AP34" s="45">
        <f t="shared" si="3"/>
        <v>5</v>
      </c>
      <c r="AQ34" s="45">
        <f t="shared" si="4"/>
        <v>51</v>
      </c>
      <c r="AR34" s="45">
        <f t="shared" si="5"/>
        <v>0</v>
      </c>
      <c r="AS34" s="45">
        <f t="shared" si="6"/>
        <v>29</v>
      </c>
      <c r="AT34" s="45">
        <f t="shared" si="7"/>
        <v>0</v>
      </c>
      <c r="AU34" s="45" t="str">
        <f>_xlfn.XLOOKUP(U34,'Lista Suspensa'!$AA$20:$AA$23,'Lista Suspensa'!$AB$20:$AB$23,"N/A")</f>
        <v>S</v>
      </c>
    </row>
    <row r="35" spans="1:47" ht="12" customHeight="1" x14ac:dyDescent="0.3">
      <c r="A35" s="87" t="s">
        <v>47</v>
      </c>
      <c r="B35" s="88">
        <v>46090</v>
      </c>
      <c r="C35" s="89" t="s">
        <v>48</v>
      </c>
      <c r="D35" s="89" t="s">
        <v>49</v>
      </c>
      <c r="E35" s="90">
        <v>757868134</v>
      </c>
      <c r="F35" s="184" t="s">
        <v>194</v>
      </c>
      <c r="G35" s="91">
        <v>80783244720</v>
      </c>
      <c r="H35" s="92">
        <v>12519</v>
      </c>
      <c r="I35" s="89">
        <v>92</v>
      </c>
      <c r="J35" s="89" t="s">
        <v>51</v>
      </c>
      <c r="K35" s="89" t="s">
        <v>88</v>
      </c>
      <c r="L35" s="89" t="s">
        <v>89</v>
      </c>
      <c r="M35" s="89" t="s">
        <v>195</v>
      </c>
      <c r="N35" s="89" t="s">
        <v>91</v>
      </c>
      <c r="O35" s="93" t="s">
        <v>196</v>
      </c>
      <c r="P35" s="94" t="s">
        <v>57</v>
      </c>
      <c r="Q35" s="112" t="s">
        <v>58</v>
      </c>
      <c r="R35" s="95">
        <v>46142</v>
      </c>
      <c r="S35" s="96"/>
      <c r="T35" s="96" t="s">
        <v>59</v>
      </c>
      <c r="U35" s="96" t="s">
        <v>60</v>
      </c>
      <c r="V35" s="92">
        <v>46112</v>
      </c>
      <c r="W35" s="92">
        <v>46142</v>
      </c>
      <c r="X35" s="92" t="s">
        <v>61</v>
      </c>
      <c r="Y35" s="97"/>
      <c r="Z35" s="89" t="s">
        <v>62</v>
      </c>
      <c r="AA35" s="96">
        <v>46161</v>
      </c>
      <c r="AB35" s="89" t="s">
        <v>80</v>
      </c>
      <c r="AC35" s="111"/>
      <c r="AD35" s="89"/>
      <c r="AE35" s="89"/>
      <c r="AF35" s="98"/>
      <c r="AG35" s="98"/>
      <c r="AH35" s="98"/>
      <c r="AI35" s="99" t="s">
        <v>197</v>
      </c>
      <c r="AJ35" s="99" t="s">
        <v>197</v>
      </c>
      <c r="AK35" s="99" t="s">
        <v>67</v>
      </c>
      <c r="AL35" s="45" t="s">
        <v>68</v>
      </c>
      <c r="AM35" s="162" t="str">
        <f t="shared" si="0"/>
        <v>3/2026</v>
      </c>
      <c r="AN35" s="45">
        <f t="shared" si="1"/>
        <v>2</v>
      </c>
      <c r="AO35" s="45" t="str">
        <f t="shared" si="2"/>
        <v>4/2026</v>
      </c>
      <c r="AP35" s="45">
        <f t="shared" si="3"/>
        <v>5</v>
      </c>
      <c r="AQ35" s="45">
        <f t="shared" si="4"/>
        <v>52</v>
      </c>
      <c r="AR35" s="45">
        <f t="shared" si="5"/>
        <v>0</v>
      </c>
      <c r="AS35" s="45">
        <f t="shared" si="6"/>
        <v>30</v>
      </c>
      <c r="AT35" s="45">
        <f t="shared" si="7"/>
        <v>0</v>
      </c>
      <c r="AU35" s="45" t="str">
        <f>_xlfn.XLOOKUP(U35,'Lista Suspensa'!$AA$20:$AA$23,'Lista Suspensa'!$AB$20:$AB$23,"N/A")</f>
        <v>S</v>
      </c>
    </row>
    <row r="36" spans="1:47" ht="12" customHeight="1" x14ac:dyDescent="0.3">
      <c r="A36" s="87" t="s">
        <v>47</v>
      </c>
      <c r="B36" s="88">
        <v>46090</v>
      </c>
      <c r="C36" s="89" t="s">
        <v>48</v>
      </c>
      <c r="D36" s="89" t="s">
        <v>49</v>
      </c>
      <c r="E36" s="90">
        <v>328363260</v>
      </c>
      <c r="F36" s="184" t="s">
        <v>198</v>
      </c>
      <c r="G36" s="91">
        <v>25912472850</v>
      </c>
      <c r="H36" s="92">
        <v>13787</v>
      </c>
      <c r="I36" s="89">
        <v>88</v>
      </c>
      <c r="J36" s="89" t="s">
        <v>70</v>
      </c>
      <c r="K36" s="89" t="s">
        <v>52</v>
      </c>
      <c r="L36" s="89" t="s">
        <v>53</v>
      </c>
      <c r="M36" s="89" t="s">
        <v>199</v>
      </c>
      <c r="N36" s="89" t="s">
        <v>72</v>
      </c>
      <c r="O36" s="93" t="s">
        <v>200</v>
      </c>
      <c r="P36" s="94" t="s">
        <v>57</v>
      </c>
      <c r="Q36" s="112" t="s">
        <v>58</v>
      </c>
      <c r="R36" s="95">
        <v>46142</v>
      </c>
      <c r="S36" s="96"/>
      <c r="T36" s="96" t="s">
        <v>59</v>
      </c>
      <c r="U36" s="96" t="s">
        <v>60</v>
      </c>
      <c r="V36" s="92">
        <v>46112</v>
      </c>
      <c r="W36" s="92">
        <v>46142</v>
      </c>
      <c r="X36" s="92" t="s">
        <v>61</v>
      </c>
      <c r="Y36" s="97"/>
      <c r="Z36" s="89" t="s">
        <v>62</v>
      </c>
      <c r="AA36" s="96">
        <v>46161</v>
      </c>
      <c r="AB36" s="89" t="s">
        <v>63</v>
      </c>
      <c r="AC36" s="111"/>
      <c r="AD36" s="89"/>
      <c r="AE36" s="89"/>
      <c r="AF36" s="98"/>
      <c r="AG36" s="98"/>
      <c r="AH36" s="98"/>
      <c r="AI36" s="99" t="s">
        <v>197</v>
      </c>
      <c r="AJ36" s="99" t="s">
        <v>197</v>
      </c>
      <c r="AK36" s="99" t="s">
        <v>67</v>
      </c>
      <c r="AL36" s="45" t="s">
        <v>68</v>
      </c>
      <c r="AM36" s="162" t="str">
        <f t="shared" si="0"/>
        <v>3/2026</v>
      </c>
      <c r="AN36" s="45">
        <f t="shared" si="1"/>
        <v>2</v>
      </c>
      <c r="AO36" s="45" t="str">
        <f t="shared" si="2"/>
        <v>4/2026</v>
      </c>
      <c r="AP36" s="45">
        <f t="shared" si="3"/>
        <v>5</v>
      </c>
      <c r="AQ36" s="45">
        <f t="shared" si="4"/>
        <v>52</v>
      </c>
      <c r="AR36" s="45">
        <f t="shared" si="5"/>
        <v>0</v>
      </c>
      <c r="AS36" s="45">
        <f t="shared" si="6"/>
        <v>30</v>
      </c>
      <c r="AT36" s="45">
        <f t="shared" si="7"/>
        <v>19</v>
      </c>
      <c r="AU36" s="45" t="str">
        <f>_xlfn.XLOOKUP(U36,'Lista Suspensa'!$AA$20:$AA$23,'Lista Suspensa'!$AB$20:$AB$23,"N/A")</f>
        <v>S</v>
      </c>
    </row>
    <row r="37" spans="1:47" ht="12" customHeight="1" x14ac:dyDescent="0.3">
      <c r="A37" s="87" t="s">
        <v>47</v>
      </c>
      <c r="B37" s="88">
        <v>46090</v>
      </c>
      <c r="C37" s="89" t="s">
        <v>48</v>
      </c>
      <c r="D37" s="89" t="s">
        <v>49</v>
      </c>
      <c r="E37" s="90">
        <v>450018334</v>
      </c>
      <c r="F37" s="184" t="s">
        <v>201</v>
      </c>
      <c r="G37" s="91">
        <v>66513588804</v>
      </c>
      <c r="H37" s="92">
        <v>19775</v>
      </c>
      <c r="I37" s="89">
        <v>72</v>
      </c>
      <c r="J37" s="89" t="s">
        <v>70</v>
      </c>
      <c r="K37" s="89" t="s">
        <v>52</v>
      </c>
      <c r="L37" s="89" t="s">
        <v>53</v>
      </c>
      <c r="M37" s="89" t="s">
        <v>202</v>
      </c>
      <c r="N37" s="89" t="s">
        <v>72</v>
      </c>
      <c r="O37" s="93" t="s">
        <v>203</v>
      </c>
      <c r="P37" s="94" t="s">
        <v>57</v>
      </c>
      <c r="Q37" s="112" t="s">
        <v>58</v>
      </c>
      <c r="R37" s="95">
        <v>46164</v>
      </c>
      <c r="S37" s="96"/>
      <c r="T37" s="96" t="s">
        <v>59</v>
      </c>
      <c r="U37" s="96" t="s">
        <v>60</v>
      </c>
      <c r="V37" s="92">
        <v>46112</v>
      </c>
      <c r="W37" s="92">
        <v>46142</v>
      </c>
      <c r="X37" s="92">
        <v>46154</v>
      </c>
      <c r="Y37" s="97"/>
      <c r="Z37" s="89" t="s">
        <v>62</v>
      </c>
      <c r="AA37" s="96">
        <v>46176</v>
      </c>
      <c r="AB37" s="89" t="s">
        <v>80</v>
      </c>
      <c r="AC37" s="111"/>
      <c r="AD37" s="89"/>
      <c r="AE37" s="89"/>
      <c r="AF37" s="98"/>
      <c r="AG37" s="98"/>
      <c r="AH37" s="98"/>
      <c r="AI37" s="99" t="s">
        <v>67</v>
      </c>
      <c r="AJ37" s="99" t="s">
        <v>67</v>
      </c>
      <c r="AK37" s="99" t="s">
        <v>67</v>
      </c>
      <c r="AL37" s="45" t="s">
        <v>68</v>
      </c>
      <c r="AM37" s="162" t="str">
        <f t="shared" si="0"/>
        <v>3/2026</v>
      </c>
      <c r="AN37" s="45">
        <f t="shared" si="1"/>
        <v>2</v>
      </c>
      <c r="AO37" s="45" t="str">
        <f t="shared" si="2"/>
        <v>5/2026</v>
      </c>
      <c r="AP37" s="45">
        <f t="shared" si="3"/>
        <v>4</v>
      </c>
      <c r="AQ37" s="45">
        <f t="shared" si="4"/>
        <v>74</v>
      </c>
      <c r="AR37" s="45">
        <f t="shared" si="5"/>
        <v>0</v>
      </c>
      <c r="AS37" s="45">
        <f t="shared" si="6"/>
        <v>21</v>
      </c>
      <c r="AT37" s="45">
        <f t="shared" si="7"/>
        <v>0</v>
      </c>
      <c r="AU37" s="45" t="str">
        <f>_xlfn.XLOOKUP(U37,'Lista Suspensa'!$AA$20:$AA$23,'Lista Suspensa'!$AB$20:$AB$23,"N/A")</f>
        <v>S</v>
      </c>
    </row>
    <row r="38" spans="1:47" ht="12" customHeight="1" x14ac:dyDescent="0.3">
      <c r="A38" s="87" t="s">
        <v>47</v>
      </c>
      <c r="B38" s="88">
        <v>46090</v>
      </c>
      <c r="C38" s="89" t="s">
        <v>48</v>
      </c>
      <c r="D38" s="89" t="s">
        <v>49</v>
      </c>
      <c r="E38" s="90">
        <v>301131155</v>
      </c>
      <c r="F38" s="184" t="s">
        <v>204</v>
      </c>
      <c r="G38" s="91">
        <v>24342572834</v>
      </c>
      <c r="H38" s="92">
        <v>17466</v>
      </c>
      <c r="I38" s="89">
        <v>78</v>
      </c>
      <c r="J38" s="89" t="s">
        <v>70</v>
      </c>
      <c r="K38" s="89" t="s">
        <v>52</v>
      </c>
      <c r="L38" s="89" t="s">
        <v>53</v>
      </c>
      <c r="M38" s="89" t="s">
        <v>205</v>
      </c>
      <c r="N38" s="89" t="s">
        <v>170</v>
      </c>
      <c r="O38" s="93" t="s">
        <v>206</v>
      </c>
      <c r="P38" s="94" t="s">
        <v>57</v>
      </c>
      <c r="Q38" s="112" t="s">
        <v>58</v>
      </c>
      <c r="R38" s="95">
        <v>46142</v>
      </c>
      <c r="S38" s="96"/>
      <c r="T38" s="96" t="s">
        <v>59</v>
      </c>
      <c r="U38" s="96" t="s">
        <v>60</v>
      </c>
      <c r="V38" s="92">
        <v>46112</v>
      </c>
      <c r="W38" s="92">
        <v>46141</v>
      </c>
      <c r="X38" s="92">
        <v>46142</v>
      </c>
      <c r="Y38" s="97"/>
      <c r="Z38" s="89" t="s">
        <v>62</v>
      </c>
      <c r="AA38" s="96">
        <v>46161</v>
      </c>
      <c r="AB38" s="89" t="s">
        <v>80</v>
      </c>
      <c r="AC38" s="111"/>
      <c r="AD38" s="89"/>
      <c r="AE38" s="89"/>
      <c r="AF38" s="98"/>
      <c r="AG38" s="98"/>
      <c r="AH38" s="98"/>
      <c r="AI38" s="99" t="s">
        <v>197</v>
      </c>
      <c r="AJ38" s="99" t="s">
        <v>197</v>
      </c>
      <c r="AK38" s="99" t="s">
        <v>67</v>
      </c>
      <c r="AL38" s="45" t="s">
        <v>68</v>
      </c>
      <c r="AM38" s="162" t="str">
        <f t="shared" si="0"/>
        <v>3/2026</v>
      </c>
      <c r="AN38" s="45">
        <f t="shared" si="1"/>
        <v>2</v>
      </c>
      <c r="AO38" s="45" t="str">
        <f t="shared" si="2"/>
        <v>4/2026</v>
      </c>
      <c r="AP38" s="45">
        <f t="shared" si="3"/>
        <v>5</v>
      </c>
      <c r="AQ38" s="45">
        <f t="shared" si="4"/>
        <v>52</v>
      </c>
      <c r="AR38" s="45">
        <f t="shared" si="5"/>
        <v>0</v>
      </c>
      <c r="AS38" s="45">
        <f t="shared" si="6"/>
        <v>15</v>
      </c>
      <c r="AT38" s="45">
        <f t="shared" si="7"/>
        <v>0</v>
      </c>
      <c r="AU38" s="45" t="str">
        <f>_xlfn.XLOOKUP(U38,'Lista Suspensa'!$AA$20:$AA$23,'Lista Suspensa'!$AB$20:$AB$23,"N/A")</f>
        <v>S</v>
      </c>
    </row>
    <row r="39" spans="1:47" ht="12" customHeight="1" x14ac:dyDescent="0.3">
      <c r="A39" s="87" t="s">
        <v>47</v>
      </c>
      <c r="B39" s="88">
        <v>46090</v>
      </c>
      <c r="C39" s="89" t="s">
        <v>48</v>
      </c>
      <c r="D39" s="89" t="s">
        <v>49</v>
      </c>
      <c r="E39" s="90">
        <v>81712113</v>
      </c>
      <c r="F39" s="184" t="s">
        <v>207</v>
      </c>
      <c r="G39" s="91">
        <v>1548286885</v>
      </c>
      <c r="H39" s="92">
        <v>21301</v>
      </c>
      <c r="I39" s="89">
        <v>68</v>
      </c>
      <c r="J39" s="89" t="s">
        <v>51</v>
      </c>
      <c r="K39" s="89" t="s">
        <v>52</v>
      </c>
      <c r="L39" s="89" t="s">
        <v>53</v>
      </c>
      <c r="M39" s="89" t="s">
        <v>208</v>
      </c>
      <c r="N39" s="89" t="s">
        <v>209</v>
      </c>
      <c r="O39" s="93" t="s">
        <v>210</v>
      </c>
      <c r="P39" s="94" t="s">
        <v>57</v>
      </c>
      <c r="Q39" s="112" t="s">
        <v>58</v>
      </c>
      <c r="R39" s="95">
        <v>46142</v>
      </c>
      <c r="S39" s="96"/>
      <c r="T39" s="96" t="s">
        <v>59</v>
      </c>
      <c r="U39" s="96" t="s">
        <v>60</v>
      </c>
      <c r="V39" s="92">
        <v>46073</v>
      </c>
      <c r="W39" s="92">
        <v>46141</v>
      </c>
      <c r="X39" s="92">
        <v>46142</v>
      </c>
      <c r="Y39" s="97"/>
      <c r="Z39" s="89" t="s">
        <v>62</v>
      </c>
      <c r="AA39" s="96">
        <v>46161</v>
      </c>
      <c r="AB39" s="89" t="s">
        <v>80</v>
      </c>
      <c r="AC39" s="111"/>
      <c r="AD39" s="89"/>
      <c r="AE39" s="89"/>
      <c r="AF39" s="98"/>
      <c r="AG39" s="98"/>
      <c r="AH39" s="98"/>
      <c r="AI39" s="99" t="s">
        <v>197</v>
      </c>
      <c r="AJ39" s="99" t="s">
        <v>197</v>
      </c>
      <c r="AK39" s="99" t="s">
        <v>67</v>
      </c>
      <c r="AL39" s="45" t="s">
        <v>68</v>
      </c>
      <c r="AM39" s="162" t="str">
        <f t="shared" si="0"/>
        <v>3/2026</v>
      </c>
      <c r="AN39" s="45">
        <f t="shared" si="1"/>
        <v>2</v>
      </c>
      <c r="AO39" s="45" t="str">
        <f t="shared" si="2"/>
        <v>4/2026</v>
      </c>
      <c r="AP39" s="45">
        <f t="shared" si="3"/>
        <v>5</v>
      </c>
      <c r="AQ39" s="45">
        <f t="shared" si="4"/>
        <v>52</v>
      </c>
      <c r="AR39" s="45">
        <f t="shared" si="5"/>
        <v>0</v>
      </c>
      <c r="AS39" s="45">
        <f t="shared" si="6"/>
        <v>34.5</v>
      </c>
      <c r="AT39" s="45">
        <f t="shared" si="7"/>
        <v>0</v>
      </c>
      <c r="AU39" s="45" t="str">
        <f>_xlfn.XLOOKUP(U39,'Lista Suspensa'!$AA$20:$AA$23,'Lista Suspensa'!$AB$20:$AB$23,"N/A")</f>
        <v>S</v>
      </c>
    </row>
    <row r="40" spans="1:47" ht="12" customHeight="1" x14ac:dyDescent="0.3">
      <c r="A40" s="87" t="s">
        <v>67</v>
      </c>
      <c r="B40" s="88">
        <v>46091</v>
      </c>
      <c r="C40" s="89" t="s">
        <v>211</v>
      </c>
      <c r="D40" s="89" t="s">
        <v>49</v>
      </c>
      <c r="E40" s="90">
        <v>773130870</v>
      </c>
      <c r="F40" s="184" t="s">
        <v>212</v>
      </c>
      <c r="G40" s="91">
        <v>83003576887</v>
      </c>
      <c r="H40" s="92">
        <v>21187</v>
      </c>
      <c r="I40" s="89">
        <v>68</v>
      </c>
      <c r="J40" s="89" t="s">
        <v>70</v>
      </c>
      <c r="K40" s="89" t="s">
        <v>52</v>
      </c>
      <c r="L40" s="89" t="s">
        <v>128</v>
      </c>
      <c r="M40" s="89" t="s">
        <v>213</v>
      </c>
      <c r="N40" s="89" t="s">
        <v>91</v>
      </c>
      <c r="O40" s="93" t="s">
        <v>214</v>
      </c>
      <c r="P40" s="94" t="s">
        <v>57</v>
      </c>
      <c r="Q40" s="112" t="s">
        <v>58</v>
      </c>
      <c r="R40" s="95">
        <v>46117</v>
      </c>
      <c r="S40" s="96"/>
      <c r="T40" s="96" t="s">
        <v>59</v>
      </c>
      <c r="U40" s="96" t="s">
        <v>60</v>
      </c>
      <c r="V40" s="92">
        <v>46098</v>
      </c>
      <c r="W40" s="92">
        <v>46095</v>
      </c>
      <c r="X40" s="92">
        <v>46147</v>
      </c>
      <c r="Y40" s="97"/>
      <c r="Z40" s="89" t="s">
        <v>62</v>
      </c>
      <c r="AA40" s="96">
        <v>46168</v>
      </c>
      <c r="AB40" s="89" t="s">
        <v>63</v>
      </c>
      <c r="AC40" s="111"/>
      <c r="AD40" s="89" t="s">
        <v>86</v>
      </c>
      <c r="AE40" s="89">
        <v>54</v>
      </c>
      <c r="AF40" s="98" t="s">
        <v>215</v>
      </c>
      <c r="AG40" s="98" t="s">
        <v>215</v>
      </c>
      <c r="AH40" s="98" t="s">
        <v>66</v>
      </c>
      <c r="AI40" s="99" t="s">
        <v>67</v>
      </c>
      <c r="AJ40" s="99" t="s">
        <v>67</v>
      </c>
      <c r="AK40" s="99" t="s">
        <v>67</v>
      </c>
      <c r="AL40" s="45" t="s">
        <v>68</v>
      </c>
      <c r="AM40" s="162" t="str">
        <f t="shared" si="0"/>
        <v>3/2026</v>
      </c>
      <c r="AN40" s="45">
        <f t="shared" si="1"/>
        <v>2</v>
      </c>
      <c r="AO40" s="45" t="str">
        <f t="shared" si="2"/>
        <v>4/2026</v>
      </c>
      <c r="AP40" s="45">
        <f t="shared" si="3"/>
        <v>2</v>
      </c>
      <c r="AQ40" s="45">
        <f t="shared" si="4"/>
        <v>26</v>
      </c>
      <c r="AR40" s="45">
        <f t="shared" si="5"/>
        <v>0</v>
      </c>
      <c r="AS40" s="45">
        <f t="shared" si="6"/>
        <v>24.5</v>
      </c>
      <c r="AT40" s="45">
        <f t="shared" si="7"/>
        <v>51</v>
      </c>
      <c r="AU40" s="45" t="str">
        <f>_xlfn.XLOOKUP(U40,'Lista Suspensa'!$AA$20:$AA$23,'Lista Suspensa'!$AB$20:$AB$23,"N/A")</f>
        <v>S</v>
      </c>
    </row>
    <row r="41" spans="1:47" ht="12" customHeight="1" x14ac:dyDescent="0.3">
      <c r="A41" s="87" t="s">
        <v>67</v>
      </c>
      <c r="B41" s="88">
        <v>46091</v>
      </c>
      <c r="C41" s="89" t="s">
        <v>211</v>
      </c>
      <c r="D41" s="89" t="s">
        <v>49</v>
      </c>
      <c r="E41" s="90">
        <v>93514195</v>
      </c>
      <c r="F41" s="184" t="s">
        <v>216</v>
      </c>
      <c r="G41" s="91">
        <v>1675267820</v>
      </c>
      <c r="H41" s="92">
        <v>20194</v>
      </c>
      <c r="I41" s="89">
        <v>71</v>
      </c>
      <c r="J41" s="89" t="s">
        <v>51</v>
      </c>
      <c r="K41" s="89" t="s">
        <v>52</v>
      </c>
      <c r="L41" s="89" t="s">
        <v>53</v>
      </c>
      <c r="M41" s="89" t="s">
        <v>217</v>
      </c>
      <c r="N41" s="89" t="s">
        <v>148</v>
      </c>
      <c r="O41" s="93" t="s">
        <v>218</v>
      </c>
      <c r="P41" s="94" t="s">
        <v>57</v>
      </c>
      <c r="Q41" s="112" t="s">
        <v>58</v>
      </c>
      <c r="R41" s="95">
        <v>46171</v>
      </c>
      <c r="S41" s="96"/>
      <c r="T41" s="96" t="s">
        <v>59</v>
      </c>
      <c r="U41" s="96" t="s">
        <v>60</v>
      </c>
      <c r="V41" s="92">
        <v>46098</v>
      </c>
      <c r="W41" s="92">
        <v>46095</v>
      </c>
      <c r="X41" s="92">
        <v>46147</v>
      </c>
      <c r="Y41" s="97"/>
      <c r="Z41" s="89" t="s">
        <v>62</v>
      </c>
      <c r="AA41" s="96">
        <v>46175</v>
      </c>
      <c r="AB41" s="89" t="s">
        <v>80</v>
      </c>
      <c r="AC41" s="111"/>
      <c r="AD41" s="89"/>
      <c r="AE41" s="89"/>
      <c r="AF41" s="98"/>
      <c r="AG41" s="98"/>
      <c r="AH41" s="98"/>
      <c r="AI41" s="99" t="s">
        <v>67</v>
      </c>
      <c r="AJ41" s="99" t="s">
        <v>67</v>
      </c>
      <c r="AK41" s="99" t="s">
        <v>67</v>
      </c>
      <c r="AL41" s="45" t="s">
        <v>68</v>
      </c>
      <c r="AM41" s="162" t="str">
        <f t="shared" si="0"/>
        <v>3/2026</v>
      </c>
      <c r="AN41" s="45">
        <f t="shared" si="1"/>
        <v>2</v>
      </c>
      <c r="AO41" s="45" t="str">
        <f t="shared" si="2"/>
        <v>5/2026</v>
      </c>
      <c r="AP41" s="45">
        <f t="shared" si="3"/>
        <v>5</v>
      </c>
      <c r="AQ41" s="45">
        <f t="shared" si="4"/>
        <v>80</v>
      </c>
      <c r="AR41" s="45">
        <f t="shared" si="5"/>
        <v>0</v>
      </c>
      <c r="AS41" s="45">
        <f t="shared" si="6"/>
        <v>24.5</v>
      </c>
      <c r="AT41" s="45">
        <f t="shared" si="7"/>
        <v>0</v>
      </c>
      <c r="AU41" s="45" t="str">
        <f>_xlfn.XLOOKUP(U41,'Lista Suspensa'!$AA$20:$AA$23,'Lista Suspensa'!$AB$20:$AB$23,"N/A")</f>
        <v>S</v>
      </c>
    </row>
    <row r="42" spans="1:47" ht="12" customHeight="1" x14ac:dyDescent="0.3">
      <c r="A42" s="87" t="s">
        <v>67</v>
      </c>
      <c r="B42" s="88">
        <v>46091</v>
      </c>
      <c r="C42" s="89" t="s">
        <v>211</v>
      </c>
      <c r="D42" s="89" t="s">
        <v>49</v>
      </c>
      <c r="E42" s="90">
        <v>85765105</v>
      </c>
      <c r="F42" s="184" t="s">
        <v>219</v>
      </c>
      <c r="G42" s="91">
        <v>26476160869</v>
      </c>
      <c r="H42" s="92">
        <v>28965</v>
      </c>
      <c r="I42" s="89">
        <v>47</v>
      </c>
      <c r="J42" s="89" t="s">
        <v>51</v>
      </c>
      <c r="K42" s="89" t="s">
        <v>52</v>
      </c>
      <c r="L42" s="89" t="s">
        <v>220</v>
      </c>
      <c r="M42" s="89" t="s">
        <v>221</v>
      </c>
      <c r="N42" s="89" t="s">
        <v>209</v>
      </c>
      <c r="O42" s="93" t="s">
        <v>222</v>
      </c>
      <c r="P42" s="94" t="s">
        <v>57</v>
      </c>
      <c r="Q42" s="112" t="s">
        <v>58</v>
      </c>
      <c r="R42" s="95">
        <v>46117</v>
      </c>
      <c r="S42" s="96"/>
      <c r="T42" s="96" t="s">
        <v>59</v>
      </c>
      <c r="U42" s="96" t="s">
        <v>60</v>
      </c>
      <c r="V42" s="92">
        <v>46098</v>
      </c>
      <c r="W42" s="92">
        <v>46095</v>
      </c>
      <c r="X42" s="92">
        <v>46147</v>
      </c>
      <c r="Y42" s="97"/>
      <c r="Z42" s="89" t="s">
        <v>62</v>
      </c>
      <c r="AA42" s="96" t="s">
        <v>223</v>
      </c>
      <c r="AB42" s="89" t="s">
        <v>224</v>
      </c>
      <c r="AC42" s="111">
        <v>46153</v>
      </c>
      <c r="AD42" s="89"/>
      <c r="AE42" s="89"/>
      <c r="AF42" s="98"/>
      <c r="AG42" s="98"/>
      <c r="AH42" s="98"/>
      <c r="AI42" s="99" t="s">
        <v>67</v>
      </c>
      <c r="AJ42" s="99" t="s">
        <v>67</v>
      </c>
      <c r="AK42" s="99" t="s">
        <v>67</v>
      </c>
      <c r="AL42" s="45" t="s">
        <v>68</v>
      </c>
      <c r="AM42" s="162" t="str">
        <f t="shared" si="0"/>
        <v>3/2026</v>
      </c>
      <c r="AN42" s="45">
        <f t="shared" si="1"/>
        <v>2</v>
      </c>
      <c r="AO42" s="45" t="str">
        <f t="shared" si="2"/>
        <v>4/2026</v>
      </c>
      <c r="AP42" s="45">
        <f t="shared" si="3"/>
        <v>2</v>
      </c>
      <c r="AQ42" s="45">
        <f t="shared" si="4"/>
        <v>26</v>
      </c>
      <c r="AR42" s="45">
        <f t="shared" si="5"/>
        <v>0</v>
      </c>
      <c r="AS42" s="45">
        <f t="shared" si="6"/>
        <v>24.5</v>
      </c>
      <c r="AT42" s="45">
        <f t="shared" si="7"/>
        <v>0</v>
      </c>
      <c r="AU42" s="45" t="str">
        <f>_xlfn.XLOOKUP(U42,'Lista Suspensa'!$AA$20:$AA$23,'Lista Suspensa'!$AB$20:$AB$23,"N/A")</f>
        <v>S</v>
      </c>
    </row>
    <row r="43" spans="1:47" ht="12" customHeight="1" x14ac:dyDescent="0.3">
      <c r="A43" s="87" t="s">
        <v>67</v>
      </c>
      <c r="B43" s="88">
        <v>46091</v>
      </c>
      <c r="C43" s="89" t="s">
        <v>211</v>
      </c>
      <c r="D43" s="89" t="s">
        <v>49</v>
      </c>
      <c r="E43" s="90">
        <v>89582789</v>
      </c>
      <c r="F43" s="184" t="s">
        <v>225</v>
      </c>
      <c r="G43" s="91" t="s">
        <v>226</v>
      </c>
      <c r="H43" s="92">
        <v>20554</v>
      </c>
      <c r="I43" s="89">
        <v>70</v>
      </c>
      <c r="J43" s="89" t="s">
        <v>70</v>
      </c>
      <c r="K43" s="89" t="s">
        <v>52</v>
      </c>
      <c r="L43" s="89" t="s">
        <v>227</v>
      </c>
      <c r="M43" s="89" t="s">
        <v>228</v>
      </c>
      <c r="N43" s="89" t="s">
        <v>185</v>
      </c>
      <c r="O43" s="93" t="s">
        <v>229</v>
      </c>
      <c r="P43" s="94" t="s">
        <v>57</v>
      </c>
      <c r="Q43" s="112" t="s">
        <v>58</v>
      </c>
      <c r="R43" s="95">
        <v>46171</v>
      </c>
      <c r="S43" s="96"/>
      <c r="T43" s="96" t="s">
        <v>59</v>
      </c>
      <c r="U43" s="96" t="s">
        <v>60</v>
      </c>
      <c r="V43" s="92">
        <v>46098</v>
      </c>
      <c r="W43" s="92">
        <v>46095</v>
      </c>
      <c r="X43" s="92">
        <v>46147</v>
      </c>
      <c r="Y43" s="97"/>
      <c r="Z43" s="89" t="s">
        <v>62</v>
      </c>
      <c r="AA43" s="96">
        <v>46176</v>
      </c>
      <c r="AB43" s="89" t="s">
        <v>80</v>
      </c>
      <c r="AC43" s="111"/>
      <c r="AD43" s="89"/>
      <c r="AE43" s="89"/>
      <c r="AF43" s="98"/>
      <c r="AG43" s="98"/>
      <c r="AH43" s="98"/>
      <c r="AI43" s="99" t="s">
        <v>67</v>
      </c>
      <c r="AJ43" s="99" t="s">
        <v>67</v>
      </c>
      <c r="AK43" s="99" t="s">
        <v>67</v>
      </c>
      <c r="AL43" s="45" t="s">
        <v>68</v>
      </c>
      <c r="AM43" s="162" t="str">
        <f t="shared" si="0"/>
        <v>3/2026</v>
      </c>
      <c r="AN43" s="45">
        <f t="shared" si="1"/>
        <v>2</v>
      </c>
      <c r="AO43" s="45" t="str">
        <f t="shared" si="2"/>
        <v>5/2026</v>
      </c>
      <c r="AP43" s="45">
        <f t="shared" si="3"/>
        <v>5</v>
      </c>
      <c r="AQ43" s="45">
        <f t="shared" si="4"/>
        <v>80</v>
      </c>
      <c r="AR43" s="45">
        <f t="shared" si="5"/>
        <v>0</v>
      </c>
      <c r="AS43" s="45">
        <f t="shared" si="6"/>
        <v>24.5</v>
      </c>
      <c r="AT43" s="45">
        <f t="shared" si="7"/>
        <v>0</v>
      </c>
      <c r="AU43" s="45" t="str">
        <f>_xlfn.XLOOKUP(U43,'Lista Suspensa'!$AA$20:$AA$23,'Lista Suspensa'!$AB$20:$AB$23,"N/A")</f>
        <v>S</v>
      </c>
    </row>
    <row r="44" spans="1:47" ht="12" customHeight="1" x14ac:dyDescent="0.3">
      <c r="A44" s="87" t="s">
        <v>67</v>
      </c>
      <c r="B44" s="88">
        <v>46091</v>
      </c>
      <c r="C44" s="89" t="s">
        <v>211</v>
      </c>
      <c r="D44" s="89" t="s">
        <v>49</v>
      </c>
      <c r="E44" s="90">
        <v>89079976</v>
      </c>
      <c r="F44" s="184" t="s">
        <v>230</v>
      </c>
      <c r="G44" s="91">
        <v>3650447762</v>
      </c>
      <c r="H44" s="92">
        <v>27040</v>
      </c>
      <c r="I44" s="89">
        <v>52</v>
      </c>
      <c r="J44" s="89" t="s">
        <v>70</v>
      </c>
      <c r="K44" s="89" t="s">
        <v>88</v>
      </c>
      <c r="L44" s="89" t="s">
        <v>231</v>
      </c>
      <c r="M44" s="89" t="s">
        <v>232</v>
      </c>
      <c r="N44" s="89" t="s">
        <v>233</v>
      </c>
      <c r="O44" s="93" t="s">
        <v>234</v>
      </c>
      <c r="P44" s="94" t="s">
        <v>57</v>
      </c>
      <c r="Q44" s="112" t="s">
        <v>58</v>
      </c>
      <c r="R44" s="95">
        <v>46128</v>
      </c>
      <c r="S44" s="96"/>
      <c r="T44" s="96" t="s">
        <v>59</v>
      </c>
      <c r="U44" s="96" t="s">
        <v>60</v>
      </c>
      <c r="V44" s="92">
        <v>46112</v>
      </c>
      <c r="W44" s="92">
        <v>46095</v>
      </c>
      <c r="X44" s="92">
        <v>46128</v>
      </c>
      <c r="Y44" s="97"/>
      <c r="Z44" s="89" t="s">
        <v>62</v>
      </c>
      <c r="AA44" s="96">
        <v>46135.486111111109</v>
      </c>
      <c r="AB44" s="89" t="s">
        <v>80</v>
      </c>
      <c r="AC44" s="111"/>
      <c r="AD44" s="89"/>
      <c r="AE44" s="89"/>
      <c r="AF44" s="98"/>
      <c r="AG44" s="98"/>
      <c r="AH44" s="98"/>
      <c r="AI44" s="99" t="s">
        <v>67</v>
      </c>
      <c r="AJ44" s="99" t="s">
        <v>67</v>
      </c>
      <c r="AK44" s="99" t="s">
        <v>67</v>
      </c>
      <c r="AL44" s="45" t="s">
        <v>68</v>
      </c>
      <c r="AM44" s="162" t="str">
        <f t="shared" si="0"/>
        <v>3/2026</v>
      </c>
      <c r="AN44" s="45">
        <f t="shared" si="1"/>
        <v>2</v>
      </c>
      <c r="AO44" s="45" t="str">
        <f t="shared" si="2"/>
        <v>4/2026</v>
      </c>
      <c r="AP44" s="45">
        <f t="shared" si="3"/>
        <v>3</v>
      </c>
      <c r="AQ44" s="45">
        <f t="shared" si="4"/>
        <v>37</v>
      </c>
      <c r="AR44" s="45">
        <f t="shared" si="5"/>
        <v>0</v>
      </c>
      <c r="AS44" s="45">
        <f t="shared" si="6"/>
        <v>8</v>
      </c>
      <c r="AT44" s="45">
        <f t="shared" si="7"/>
        <v>0</v>
      </c>
      <c r="AU44" s="45" t="str">
        <f>_xlfn.XLOOKUP(U44,'Lista Suspensa'!$AA$20:$AA$23,'Lista Suspensa'!$AB$20:$AB$23,"N/A")</f>
        <v>S</v>
      </c>
    </row>
    <row r="45" spans="1:47" ht="12" customHeight="1" x14ac:dyDescent="0.3">
      <c r="A45" s="87" t="s">
        <v>67</v>
      </c>
      <c r="B45" s="88">
        <v>46091</v>
      </c>
      <c r="C45" s="89" t="s">
        <v>211</v>
      </c>
      <c r="D45" s="89" t="s">
        <v>49</v>
      </c>
      <c r="E45" s="90">
        <v>228202000</v>
      </c>
      <c r="F45" s="184" t="s">
        <v>235</v>
      </c>
      <c r="G45" s="91">
        <v>82875146815</v>
      </c>
      <c r="H45" s="92">
        <v>20834</v>
      </c>
      <c r="I45" s="89">
        <v>69</v>
      </c>
      <c r="J45" s="89" t="s">
        <v>51</v>
      </c>
      <c r="K45" s="89" t="s">
        <v>52</v>
      </c>
      <c r="L45" s="89" t="s">
        <v>53</v>
      </c>
      <c r="M45" s="89" t="s">
        <v>236</v>
      </c>
      <c r="N45" s="89" t="s">
        <v>237</v>
      </c>
      <c r="O45" s="93" t="s">
        <v>238</v>
      </c>
      <c r="P45" s="94" t="s">
        <v>57</v>
      </c>
      <c r="Q45" s="112" t="s">
        <v>58</v>
      </c>
      <c r="R45" s="95">
        <v>46128</v>
      </c>
      <c r="S45" s="96"/>
      <c r="T45" s="96" t="s">
        <v>59</v>
      </c>
      <c r="U45" s="96" t="s">
        <v>60</v>
      </c>
      <c r="V45" s="92">
        <v>46098</v>
      </c>
      <c r="W45" s="92">
        <v>46095</v>
      </c>
      <c r="X45" s="92">
        <v>46128</v>
      </c>
      <c r="Y45" s="97"/>
      <c r="Z45" s="89" t="s">
        <v>62</v>
      </c>
      <c r="AA45" s="96">
        <v>46142.666666666664</v>
      </c>
      <c r="AB45" s="89" t="s">
        <v>63</v>
      </c>
      <c r="AC45" s="111"/>
      <c r="AD45" s="89"/>
      <c r="AE45" s="89"/>
      <c r="AF45" s="98"/>
      <c r="AG45" s="98"/>
      <c r="AH45" s="98"/>
      <c r="AI45" s="99" t="s">
        <v>67</v>
      </c>
      <c r="AJ45" s="99" t="s">
        <v>67</v>
      </c>
      <c r="AK45" s="99" t="s">
        <v>67</v>
      </c>
      <c r="AL45" s="45" t="s">
        <v>68</v>
      </c>
      <c r="AM45" s="162" t="str">
        <f t="shared" si="0"/>
        <v>3/2026</v>
      </c>
      <c r="AN45" s="45">
        <f t="shared" si="1"/>
        <v>2</v>
      </c>
      <c r="AO45" s="45" t="str">
        <f t="shared" si="2"/>
        <v>4/2026</v>
      </c>
      <c r="AP45" s="45">
        <f t="shared" si="3"/>
        <v>3</v>
      </c>
      <c r="AQ45" s="45">
        <f t="shared" si="4"/>
        <v>37</v>
      </c>
      <c r="AR45" s="45">
        <f t="shared" si="5"/>
        <v>0</v>
      </c>
      <c r="AS45" s="45">
        <f t="shared" si="6"/>
        <v>15</v>
      </c>
      <c r="AT45" s="45">
        <f t="shared" si="7"/>
        <v>14.666666666664241</v>
      </c>
      <c r="AU45" s="45" t="str">
        <f>_xlfn.XLOOKUP(U45,'Lista Suspensa'!$AA$20:$AA$23,'Lista Suspensa'!$AB$20:$AB$23,"N/A")</f>
        <v>S</v>
      </c>
    </row>
    <row r="46" spans="1:47" ht="12" customHeight="1" x14ac:dyDescent="0.3">
      <c r="A46" s="87" t="s">
        <v>67</v>
      </c>
      <c r="B46" s="88">
        <v>46091</v>
      </c>
      <c r="C46" s="89" t="s">
        <v>211</v>
      </c>
      <c r="D46" s="89" t="s">
        <v>49</v>
      </c>
      <c r="E46" s="90">
        <v>86289363</v>
      </c>
      <c r="F46" s="184" t="s">
        <v>239</v>
      </c>
      <c r="G46" s="91">
        <v>15235313712</v>
      </c>
      <c r="H46" s="92">
        <v>34267</v>
      </c>
      <c r="I46" s="89">
        <v>32</v>
      </c>
      <c r="J46" s="89" t="s">
        <v>51</v>
      </c>
      <c r="K46" s="89" t="s">
        <v>88</v>
      </c>
      <c r="L46" s="89" t="s">
        <v>89</v>
      </c>
      <c r="M46" s="89" t="s">
        <v>240</v>
      </c>
      <c r="N46" s="89" t="s">
        <v>102</v>
      </c>
      <c r="O46" s="93" t="s">
        <v>241</v>
      </c>
      <c r="P46" s="94" t="s">
        <v>57</v>
      </c>
      <c r="Q46" s="112" t="s">
        <v>58</v>
      </c>
      <c r="R46" s="95">
        <v>46128</v>
      </c>
      <c r="S46" s="96"/>
      <c r="T46" s="96" t="s">
        <v>59</v>
      </c>
      <c r="U46" s="96" t="s">
        <v>60</v>
      </c>
      <c r="V46" s="92">
        <v>46112</v>
      </c>
      <c r="W46" s="92">
        <v>46095</v>
      </c>
      <c r="X46" s="92" t="s">
        <v>61</v>
      </c>
      <c r="Y46" s="97"/>
      <c r="Z46" s="89" t="s">
        <v>62</v>
      </c>
      <c r="AA46" s="96">
        <v>46132.486111111109</v>
      </c>
      <c r="AB46" s="89" t="s">
        <v>80</v>
      </c>
      <c r="AC46" s="111">
        <v>46135</v>
      </c>
      <c r="AD46" s="89"/>
      <c r="AE46" s="89"/>
      <c r="AF46" s="98"/>
      <c r="AG46" s="98"/>
      <c r="AH46" s="98"/>
      <c r="AI46" s="99" t="s">
        <v>67</v>
      </c>
      <c r="AJ46" s="99" t="s">
        <v>67</v>
      </c>
      <c r="AK46" s="99" t="s">
        <v>67</v>
      </c>
      <c r="AL46" s="45" t="s">
        <v>68</v>
      </c>
      <c r="AM46" s="162" t="str">
        <f t="shared" si="0"/>
        <v>3/2026</v>
      </c>
      <c r="AN46" s="45">
        <f t="shared" si="1"/>
        <v>2</v>
      </c>
      <c r="AO46" s="45" t="str">
        <f t="shared" si="2"/>
        <v>4/2026</v>
      </c>
      <c r="AP46" s="45">
        <f t="shared" si="3"/>
        <v>3</v>
      </c>
      <c r="AQ46" s="45">
        <f t="shared" si="4"/>
        <v>37</v>
      </c>
      <c r="AR46" s="45">
        <f t="shared" si="5"/>
        <v>0</v>
      </c>
      <c r="AS46" s="45">
        <f t="shared" si="6"/>
        <v>-17</v>
      </c>
      <c r="AT46" s="45">
        <f t="shared" si="7"/>
        <v>0</v>
      </c>
      <c r="AU46" s="45" t="str">
        <f>_xlfn.XLOOKUP(U46,'Lista Suspensa'!$AA$20:$AA$23,'Lista Suspensa'!$AB$20:$AB$23,"N/A")</f>
        <v>S</v>
      </c>
    </row>
    <row r="47" spans="1:47" ht="12" customHeight="1" x14ac:dyDescent="0.3">
      <c r="A47" s="87" t="s">
        <v>67</v>
      </c>
      <c r="B47" s="88">
        <v>46091</v>
      </c>
      <c r="C47" s="89" t="s">
        <v>211</v>
      </c>
      <c r="D47" s="89" t="s">
        <v>49</v>
      </c>
      <c r="E47" s="90">
        <v>78208432</v>
      </c>
      <c r="F47" s="184" t="s">
        <v>242</v>
      </c>
      <c r="G47" s="91">
        <v>30033391840</v>
      </c>
      <c r="H47" s="92">
        <v>30416</v>
      </c>
      <c r="I47" s="89">
        <v>43</v>
      </c>
      <c r="J47" s="89" t="s">
        <v>51</v>
      </c>
      <c r="K47" s="89" t="s">
        <v>52</v>
      </c>
      <c r="L47" s="89" t="s">
        <v>53</v>
      </c>
      <c r="M47" s="89" t="s">
        <v>243</v>
      </c>
      <c r="N47" s="89" t="s">
        <v>148</v>
      </c>
      <c r="O47" s="93" t="s">
        <v>244</v>
      </c>
      <c r="P47" s="94" t="s">
        <v>57</v>
      </c>
      <c r="Q47" s="112" t="s">
        <v>58</v>
      </c>
      <c r="R47" s="95">
        <v>46128</v>
      </c>
      <c r="S47" s="96"/>
      <c r="T47" s="96" t="s">
        <v>59</v>
      </c>
      <c r="U47" s="96" t="s">
        <v>60</v>
      </c>
      <c r="V47" s="92">
        <v>46098</v>
      </c>
      <c r="W47" s="92">
        <v>46095</v>
      </c>
      <c r="X47" s="92" t="s">
        <v>61</v>
      </c>
      <c r="Y47" s="97"/>
      <c r="Z47" s="89" t="s">
        <v>62</v>
      </c>
      <c r="AA47" s="96">
        <v>46132.486111111109</v>
      </c>
      <c r="AB47" s="89" t="s">
        <v>80</v>
      </c>
      <c r="AC47" s="111"/>
      <c r="AD47" s="89"/>
      <c r="AE47" s="89"/>
      <c r="AF47" s="98"/>
      <c r="AG47" s="98"/>
      <c r="AH47" s="98"/>
      <c r="AI47" s="99" t="s">
        <v>67</v>
      </c>
      <c r="AJ47" s="99" t="s">
        <v>67</v>
      </c>
      <c r="AK47" s="99" t="s">
        <v>67</v>
      </c>
      <c r="AL47" s="45" t="s">
        <v>68</v>
      </c>
      <c r="AM47" s="162" t="str">
        <f t="shared" si="0"/>
        <v>3/2026</v>
      </c>
      <c r="AN47" s="45">
        <f t="shared" si="1"/>
        <v>2</v>
      </c>
      <c r="AO47" s="45" t="str">
        <f t="shared" si="2"/>
        <v>4/2026</v>
      </c>
      <c r="AP47" s="45">
        <f t="shared" si="3"/>
        <v>3</v>
      </c>
      <c r="AQ47" s="45">
        <f t="shared" si="4"/>
        <v>37</v>
      </c>
      <c r="AR47" s="45">
        <f t="shared" si="5"/>
        <v>0</v>
      </c>
      <c r="AS47" s="45">
        <f t="shared" si="6"/>
        <v>-3</v>
      </c>
      <c r="AT47" s="45">
        <f t="shared" si="7"/>
        <v>0</v>
      </c>
      <c r="AU47" s="45" t="str">
        <f>_xlfn.XLOOKUP(U47,'Lista Suspensa'!$AA$20:$AA$23,'Lista Suspensa'!$AB$20:$AB$23,"N/A")</f>
        <v>S</v>
      </c>
    </row>
    <row r="48" spans="1:47" ht="12" customHeight="1" x14ac:dyDescent="0.3">
      <c r="A48" s="87" t="s">
        <v>67</v>
      </c>
      <c r="B48" s="88">
        <v>46091</v>
      </c>
      <c r="C48" s="89" t="s">
        <v>211</v>
      </c>
      <c r="D48" s="89" t="s">
        <v>49</v>
      </c>
      <c r="E48" s="90">
        <v>82306990</v>
      </c>
      <c r="F48" s="184" t="s">
        <v>245</v>
      </c>
      <c r="G48" s="91">
        <v>12350965724</v>
      </c>
      <c r="H48" s="92">
        <v>32332</v>
      </c>
      <c r="I48" s="89">
        <v>37</v>
      </c>
      <c r="J48" s="89" t="s">
        <v>51</v>
      </c>
      <c r="K48" s="89" t="s">
        <v>88</v>
      </c>
      <c r="L48" s="89" t="s">
        <v>89</v>
      </c>
      <c r="M48" s="89" t="s">
        <v>246</v>
      </c>
      <c r="N48" s="89" t="s">
        <v>148</v>
      </c>
      <c r="O48" s="93" t="s">
        <v>247</v>
      </c>
      <c r="P48" s="94" t="s">
        <v>57</v>
      </c>
      <c r="Q48" s="112" t="s">
        <v>58</v>
      </c>
      <c r="R48" s="95">
        <v>46128</v>
      </c>
      <c r="S48" s="96"/>
      <c r="T48" s="96" t="s">
        <v>59</v>
      </c>
      <c r="U48" s="96" t="s">
        <v>60</v>
      </c>
      <c r="V48" s="92">
        <v>46112</v>
      </c>
      <c r="W48" s="92">
        <v>46095</v>
      </c>
      <c r="X48" s="92" t="s">
        <v>61</v>
      </c>
      <c r="Y48" s="97"/>
      <c r="Z48" s="89" t="s">
        <v>62</v>
      </c>
      <c r="AA48" s="96">
        <v>46132.486111111109</v>
      </c>
      <c r="AB48" s="89" t="s">
        <v>63</v>
      </c>
      <c r="AC48" s="111">
        <v>46135</v>
      </c>
      <c r="AD48" s="89" t="s">
        <v>64</v>
      </c>
      <c r="AE48" s="89">
        <v>60</v>
      </c>
      <c r="AF48" s="98" t="s">
        <v>248</v>
      </c>
      <c r="AG48" s="98"/>
      <c r="AH48" s="98" t="s">
        <v>66</v>
      </c>
      <c r="AI48" s="99" t="s">
        <v>67</v>
      </c>
      <c r="AJ48" s="99" t="s">
        <v>67</v>
      </c>
      <c r="AK48" s="99" t="s">
        <v>67</v>
      </c>
      <c r="AL48" s="45" t="s">
        <v>68</v>
      </c>
      <c r="AM48" s="162" t="str">
        <f t="shared" si="0"/>
        <v>3/2026</v>
      </c>
      <c r="AN48" s="45">
        <f t="shared" si="1"/>
        <v>2</v>
      </c>
      <c r="AO48" s="45" t="str">
        <f t="shared" si="2"/>
        <v>4/2026</v>
      </c>
      <c r="AP48" s="45">
        <f t="shared" si="3"/>
        <v>3</v>
      </c>
      <c r="AQ48" s="45">
        <f t="shared" si="4"/>
        <v>37</v>
      </c>
      <c r="AR48" s="45">
        <f t="shared" si="5"/>
        <v>0</v>
      </c>
      <c r="AS48" s="45">
        <f t="shared" si="6"/>
        <v>-17</v>
      </c>
      <c r="AT48" s="45">
        <f t="shared" si="7"/>
        <v>4.4861111111094942</v>
      </c>
      <c r="AU48" s="45" t="str">
        <f>_xlfn.XLOOKUP(U48,'Lista Suspensa'!$AA$20:$AA$23,'Lista Suspensa'!$AB$20:$AB$23,"N/A")</f>
        <v>S</v>
      </c>
    </row>
    <row r="49" spans="1:47" ht="12" customHeight="1" x14ac:dyDescent="0.3">
      <c r="A49" s="87" t="s">
        <v>67</v>
      </c>
      <c r="B49" s="88">
        <v>46091</v>
      </c>
      <c r="C49" s="89" t="s">
        <v>211</v>
      </c>
      <c r="D49" s="89" t="s">
        <v>49</v>
      </c>
      <c r="E49" s="90">
        <v>790367190</v>
      </c>
      <c r="F49" s="184" t="s">
        <v>249</v>
      </c>
      <c r="G49" s="91" t="s">
        <v>250</v>
      </c>
      <c r="H49" s="92">
        <v>13472</v>
      </c>
      <c r="I49" s="89">
        <v>89</v>
      </c>
      <c r="J49" s="89" t="s">
        <v>51</v>
      </c>
      <c r="K49" s="89" t="s">
        <v>52</v>
      </c>
      <c r="L49" s="89" t="s">
        <v>53</v>
      </c>
      <c r="M49" s="89" t="s">
        <v>251</v>
      </c>
      <c r="N49" s="89" t="s">
        <v>252</v>
      </c>
      <c r="O49" s="93" t="s">
        <v>253</v>
      </c>
      <c r="P49" s="94" t="s">
        <v>57</v>
      </c>
      <c r="Q49" s="112" t="s">
        <v>58</v>
      </c>
      <c r="R49" s="95">
        <v>46098</v>
      </c>
      <c r="S49" s="96"/>
      <c r="T49" s="96" t="s">
        <v>59</v>
      </c>
      <c r="U49" s="96" t="s">
        <v>60</v>
      </c>
      <c r="V49" s="92">
        <v>46098</v>
      </c>
      <c r="W49" s="92" t="s">
        <v>61</v>
      </c>
      <c r="X49" s="92" t="s">
        <v>61</v>
      </c>
      <c r="Y49" s="97"/>
      <c r="Z49" s="89" t="s">
        <v>62</v>
      </c>
      <c r="AA49" s="96">
        <v>46160</v>
      </c>
      <c r="AB49" s="89" t="s">
        <v>80</v>
      </c>
      <c r="AC49" s="111"/>
      <c r="AD49" s="89"/>
      <c r="AE49" s="89"/>
      <c r="AF49" s="98"/>
      <c r="AG49" s="98"/>
      <c r="AH49" s="98"/>
      <c r="AI49" s="99" t="s">
        <v>67</v>
      </c>
      <c r="AJ49" s="99" t="s">
        <v>67</v>
      </c>
      <c r="AK49" s="99" t="s">
        <v>67</v>
      </c>
      <c r="AL49" s="45" t="s">
        <v>68</v>
      </c>
      <c r="AM49" s="162" t="str">
        <f t="shared" si="0"/>
        <v>3/2026</v>
      </c>
      <c r="AN49" s="45">
        <f t="shared" si="1"/>
        <v>2</v>
      </c>
      <c r="AO49" s="45" t="str">
        <f t="shared" si="2"/>
        <v>3/2026</v>
      </c>
      <c r="AP49" s="45">
        <f t="shared" si="3"/>
        <v>3</v>
      </c>
      <c r="AQ49" s="45">
        <f t="shared" si="4"/>
        <v>7</v>
      </c>
      <c r="AR49" s="45">
        <f t="shared" si="5"/>
        <v>0</v>
      </c>
      <c r="AS49" s="45">
        <f t="shared" si="6"/>
        <v>0</v>
      </c>
      <c r="AT49" s="45">
        <f t="shared" si="7"/>
        <v>0</v>
      </c>
      <c r="AU49" s="45" t="str">
        <f>_xlfn.XLOOKUP(U49,'Lista Suspensa'!$AA$20:$AA$23,'Lista Suspensa'!$AB$20:$AB$23,"N/A")</f>
        <v>S</v>
      </c>
    </row>
    <row r="50" spans="1:47" ht="12" customHeight="1" x14ac:dyDescent="0.3">
      <c r="A50" s="87" t="s">
        <v>67</v>
      </c>
      <c r="B50" s="88">
        <v>46091</v>
      </c>
      <c r="C50" s="89" t="s">
        <v>211</v>
      </c>
      <c r="D50" s="89" t="s">
        <v>49</v>
      </c>
      <c r="E50" s="90">
        <v>458450065</v>
      </c>
      <c r="F50" s="184" t="s">
        <v>254</v>
      </c>
      <c r="G50" s="91">
        <v>3209444846</v>
      </c>
      <c r="H50" s="92">
        <v>21925</v>
      </c>
      <c r="I50" s="89">
        <v>66</v>
      </c>
      <c r="J50" s="89" t="s">
        <v>51</v>
      </c>
      <c r="K50" s="89" t="s">
        <v>52</v>
      </c>
      <c r="L50" s="89" t="s">
        <v>53</v>
      </c>
      <c r="M50" s="89" t="s">
        <v>76</v>
      </c>
      <c r="N50" s="89" t="s">
        <v>252</v>
      </c>
      <c r="O50" s="93" t="s">
        <v>255</v>
      </c>
      <c r="P50" s="94" t="s">
        <v>57</v>
      </c>
      <c r="Q50" s="112" t="s">
        <v>58</v>
      </c>
      <c r="R50" s="95">
        <v>46098</v>
      </c>
      <c r="S50" s="96"/>
      <c r="T50" s="96" t="s">
        <v>59</v>
      </c>
      <c r="U50" s="96" t="s">
        <v>60</v>
      </c>
      <c r="V50" s="92">
        <v>46098</v>
      </c>
      <c r="W50" s="92" t="s">
        <v>61</v>
      </c>
      <c r="X50" s="92" t="s">
        <v>61</v>
      </c>
      <c r="Y50" s="97"/>
      <c r="Z50" s="89" t="s">
        <v>62</v>
      </c>
      <c r="AA50" s="96">
        <v>46105.597222222219</v>
      </c>
      <c r="AB50" s="89" t="s">
        <v>63</v>
      </c>
      <c r="AC50" s="111"/>
      <c r="AD50" s="89" t="s">
        <v>86</v>
      </c>
      <c r="AE50" s="89">
        <v>59</v>
      </c>
      <c r="AF50" s="98" t="s">
        <v>65</v>
      </c>
      <c r="AG50" s="98"/>
      <c r="AH50" s="98" t="s">
        <v>66</v>
      </c>
      <c r="AI50" s="99" t="s">
        <v>67</v>
      </c>
      <c r="AJ50" s="99" t="s">
        <v>67</v>
      </c>
      <c r="AK50" s="99" t="s">
        <v>67</v>
      </c>
      <c r="AL50" s="45" t="s">
        <v>68</v>
      </c>
      <c r="AM50" s="162" t="str">
        <f t="shared" si="0"/>
        <v>3/2026</v>
      </c>
      <c r="AN50" s="45">
        <f t="shared" si="1"/>
        <v>2</v>
      </c>
      <c r="AO50" s="45" t="str">
        <f t="shared" si="2"/>
        <v>3/2026</v>
      </c>
      <c r="AP50" s="45">
        <f t="shared" si="3"/>
        <v>3</v>
      </c>
      <c r="AQ50" s="45">
        <f t="shared" si="4"/>
        <v>7</v>
      </c>
      <c r="AR50" s="45">
        <f t="shared" si="5"/>
        <v>0</v>
      </c>
      <c r="AS50" s="45">
        <f t="shared" si="6"/>
        <v>0</v>
      </c>
      <c r="AT50" s="45">
        <f t="shared" si="7"/>
        <v>7.5972222222189885</v>
      </c>
      <c r="AU50" s="45" t="str">
        <f>_xlfn.XLOOKUP(U50,'Lista Suspensa'!$AA$20:$AA$23,'Lista Suspensa'!$AB$20:$AB$23,"N/A")</f>
        <v>S</v>
      </c>
    </row>
    <row r="51" spans="1:47" ht="12" customHeight="1" x14ac:dyDescent="0.3">
      <c r="A51" s="87" t="s">
        <v>67</v>
      </c>
      <c r="B51" s="88">
        <v>46091</v>
      </c>
      <c r="C51" s="89" t="s">
        <v>211</v>
      </c>
      <c r="D51" s="89" t="s">
        <v>49</v>
      </c>
      <c r="E51" s="90">
        <v>95953592</v>
      </c>
      <c r="F51" s="184" t="s">
        <v>256</v>
      </c>
      <c r="G51" s="91">
        <v>6665091821</v>
      </c>
      <c r="H51" s="92">
        <v>23934</v>
      </c>
      <c r="I51" s="89">
        <v>60</v>
      </c>
      <c r="J51" s="89" t="s">
        <v>51</v>
      </c>
      <c r="K51" s="89" t="s">
        <v>52</v>
      </c>
      <c r="L51" s="89" t="s">
        <v>53</v>
      </c>
      <c r="M51" s="89" t="s">
        <v>257</v>
      </c>
      <c r="N51" s="89" t="s">
        <v>55</v>
      </c>
      <c r="O51" s="93" t="s">
        <v>258</v>
      </c>
      <c r="P51" s="94" t="s">
        <v>57</v>
      </c>
      <c r="Q51" s="112" t="s">
        <v>58</v>
      </c>
      <c r="R51" s="95">
        <v>46098</v>
      </c>
      <c r="S51" s="96"/>
      <c r="T51" s="96" t="s">
        <v>59</v>
      </c>
      <c r="U51" s="96" t="s">
        <v>60</v>
      </c>
      <c r="V51" s="92">
        <v>46098</v>
      </c>
      <c r="W51" s="92" t="s">
        <v>61</v>
      </c>
      <c r="X51" s="92" t="s">
        <v>61</v>
      </c>
      <c r="Y51" s="97"/>
      <c r="Z51" s="89" t="s">
        <v>62</v>
      </c>
      <c r="AA51" s="96">
        <v>46161</v>
      </c>
      <c r="AB51" s="89" t="s">
        <v>80</v>
      </c>
      <c r="AC51" s="111"/>
      <c r="AD51" s="89"/>
      <c r="AE51" s="89"/>
      <c r="AF51" s="98"/>
      <c r="AG51" s="98"/>
      <c r="AH51" s="98"/>
      <c r="AI51" s="99" t="s">
        <v>67</v>
      </c>
      <c r="AJ51" s="99" t="s">
        <v>67</v>
      </c>
      <c r="AK51" s="99" t="s">
        <v>67</v>
      </c>
      <c r="AL51" s="45" t="s">
        <v>68</v>
      </c>
      <c r="AM51" s="162" t="str">
        <f t="shared" si="0"/>
        <v>3/2026</v>
      </c>
      <c r="AN51" s="45">
        <f t="shared" si="1"/>
        <v>2</v>
      </c>
      <c r="AO51" s="45" t="str">
        <f t="shared" si="2"/>
        <v>3/2026</v>
      </c>
      <c r="AP51" s="45">
        <f t="shared" si="3"/>
        <v>3</v>
      </c>
      <c r="AQ51" s="45">
        <f t="shared" si="4"/>
        <v>7</v>
      </c>
      <c r="AR51" s="45">
        <f t="shared" si="5"/>
        <v>0</v>
      </c>
      <c r="AS51" s="45">
        <f t="shared" si="6"/>
        <v>0</v>
      </c>
      <c r="AT51" s="45">
        <f t="shared" si="7"/>
        <v>0</v>
      </c>
      <c r="AU51" s="45" t="str">
        <f>_xlfn.XLOOKUP(U51,'Lista Suspensa'!$AA$20:$AA$23,'Lista Suspensa'!$AB$20:$AB$23,"N/A")</f>
        <v>S</v>
      </c>
    </row>
    <row r="52" spans="1:47" ht="12" customHeight="1" x14ac:dyDescent="0.3">
      <c r="A52" s="87" t="s">
        <v>67</v>
      </c>
      <c r="B52" s="88">
        <v>46091</v>
      </c>
      <c r="C52" s="89" t="s">
        <v>211</v>
      </c>
      <c r="D52" s="89" t="s">
        <v>49</v>
      </c>
      <c r="E52" s="90">
        <v>450516920</v>
      </c>
      <c r="F52" s="184" t="s">
        <v>259</v>
      </c>
      <c r="G52" s="91">
        <v>83677828872</v>
      </c>
      <c r="H52" s="92">
        <v>17009</v>
      </c>
      <c r="I52" s="89">
        <v>79</v>
      </c>
      <c r="J52" s="89" t="s">
        <v>70</v>
      </c>
      <c r="K52" s="89" t="s">
        <v>52</v>
      </c>
      <c r="L52" s="89" t="s">
        <v>53</v>
      </c>
      <c r="M52" s="89" t="s">
        <v>260</v>
      </c>
      <c r="N52" s="89" t="s">
        <v>91</v>
      </c>
      <c r="O52" s="93" t="s">
        <v>261</v>
      </c>
      <c r="P52" s="94" t="s">
        <v>57</v>
      </c>
      <c r="Q52" s="112" t="s">
        <v>58</v>
      </c>
      <c r="R52" s="95">
        <v>46098</v>
      </c>
      <c r="S52" s="96"/>
      <c r="T52" s="96" t="s">
        <v>59</v>
      </c>
      <c r="U52" s="96" t="s">
        <v>60</v>
      </c>
      <c r="V52" s="92">
        <v>46098</v>
      </c>
      <c r="W52" s="92" t="s">
        <v>61</v>
      </c>
      <c r="X52" s="92" t="s">
        <v>61</v>
      </c>
      <c r="Y52" s="97"/>
      <c r="Z52" s="89" t="s">
        <v>62</v>
      </c>
      <c r="AA52" s="96">
        <v>46161</v>
      </c>
      <c r="AB52" s="89" t="s">
        <v>80</v>
      </c>
      <c r="AC52" s="111"/>
      <c r="AD52" s="89"/>
      <c r="AE52" s="89"/>
      <c r="AF52" s="98"/>
      <c r="AG52" s="98"/>
      <c r="AH52" s="98"/>
      <c r="AI52" s="99" t="s">
        <v>67</v>
      </c>
      <c r="AJ52" s="99" t="s">
        <v>67</v>
      </c>
      <c r="AK52" s="99" t="s">
        <v>67</v>
      </c>
      <c r="AL52" s="45" t="s">
        <v>68</v>
      </c>
      <c r="AM52" s="162" t="str">
        <f t="shared" si="0"/>
        <v>3/2026</v>
      </c>
      <c r="AN52" s="45">
        <f t="shared" si="1"/>
        <v>2</v>
      </c>
      <c r="AO52" s="45" t="str">
        <f t="shared" si="2"/>
        <v>3/2026</v>
      </c>
      <c r="AP52" s="45">
        <f t="shared" si="3"/>
        <v>3</v>
      </c>
      <c r="AQ52" s="45">
        <f t="shared" si="4"/>
        <v>7</v>
      </c>
      <c r="AR52" s="45">
        <f t="shared" si="5"/>
        <v>0</v>
      </c>
      <c r="AS52" s="45">
        <f t="shared" si="6"/>
        <v>0</v>
      </c>
      <c r="AT52" s="45">
        <f t="shared" si="7"/>
        <v>0</v>
      </c>
      <c r="AU52" s="45" t="str">
        <f>_xlfn.XLOOKUP(U52,'Lista Suspensa'!$AA$20:$AA$23,'Lista Suspensa'!$AB$20:$AB$23,"N/A")</f>
        <v>S</v>
      </c>
    </row>
    <row r="53" spans="1:47" ht="12" customHeight="1" x14ac:dyDescent="0.3">
      <c r="A53" s="87" t="s">
        <v>67</v>
      </c>
      <c r="B53" s="88">
        <v>46091</v>
      </c>
      <c r="C53" s="89" t="s">
        <v>211</v>
      </c>
      <c r="D53" s="89" t="s">
        <v>49</v>
      </c>
      <c r="E53" s="90">
        <v>792842901</v>
      </c>
      <c r="F53" s="184" t="s">
        <v>262</v>
      </c>
      <c r="G53" s="91">
        <v>8909277823</v>
      </c>
      <c r="H53" s="92">
        <v>24715</v>
      </c>
      <c r="I53" s="89">
        <v>58</v>
      </c>
      <c r="J53" s="89" t="s">
        <v>51</v>
      </c>
      <c r="K53" s="89" t="s">
        <v>52</v>
      </c>
      <c r="L53" s="89" t="s">
        <v>53</v>
      </c>
      <c r="M53" s="89" t="s">
        <v>263</v>
      </c>
      <c r="N53" s="89" t="s">
        <v>237</v>
      </c>
      <c r="O53" s="93" t="s">
        <v>264</v>
      </c>
      <c r="P53" s="94" t="s">
        <v>57</v>
      </c>
      <c r="Q53" s="112" t="s">
        <v>58</v>
      </c>
      <c r="R53" s="95">
        <v>46098</v>
      </c>
      <c r="S53" s="96"/>
      <c r="T53" s="96" t="s">
        <v>59</v>
      </c>
      <c r="U53" s="96" t="s">
        <v>60</v>
      </c>
      <c r="V53" s="92">
        <v>46098</v>
      </c>
      <c r="W53" s="92" t="s">
        <v>61</v>
      </c>
      <c r="X53" s="92" t="s">
        <v>61</v>
      </c>
      <c r="Y53" s="97"/>
      <c r="Z53" s="89" t="s">
        <v>62</v>
      </c>
      <c r="AA53" s="96">
        <v>46105.680555555555</v>
      </c>
      <c r="AB53" s="89" t="s">
        <v>63</v>
      </c>
      <c r="AC53" s="111"/>
      <c r="AD53" s="89" t="s">
        <v>265</v>
      </c>
      <c r="AE53" s="89">
        <v>88</v>
      </c>
      <c r="AF53" s="98"/>
      <c r="AG53" s="98"/>
      <c r="AH53" s="98" t="s">
        <v>66</v>
      </c>
      <c r="AI53" s="99" t="s">
        <v>67</v>
      </c>
      <c r="AJ53" s="99" t="s">
        <v>67</v>
      </c>
      <c r="AK53" s="99" t="s">
        <v>67</v>
      </c>
      <c r="AL53" s="45" t="s">
        <v>68</v>
      </c>
      <c r="AM53" s="162" t="str">
        <f t="shared" si="0"/>
        <v>3/2026</v>
      </c>
      <c r="AN53" s="45">
        <f t="shared" si="1"/>
        <v>2</v>
      </c>
      <c r="AO53" s="45" t="str">
        <f t="shared" si="2"/>
        <v>3/2026</v>
      </c>
      <c r="AP53" s="45">
        <f t="shared" si="3"/>
        <v>3</v>
      </c>
      <c r="AQ53" s="45">
        <f t="shared" si="4"/>
        <v>7</v>
      </c>
      <c r="AR53" s="45">
        <f t="shared" si="5"/>
        <v>0</v>
      </c>
      <c r="AS53" s="45">
        <f t="shared" si="6"/>
        <v>0</v>
      </c>
      <c r="AT53" s="45">
        <f t="shared" si="7"/>
        <v>7.6805555555547471</v>
      </c>
      <c r="AU53" s="45" t="str">
        <f>_xlfn.XLOOKUP(U53,'Lista Suspensa'!$AA$20:$AA$23,'Lista Suspensa'!$AB$20:$AB$23,"N/A")</f>
        <v>S</v>
      </c>
    </row>
    <row r="54" spans="1:47" ht="12" customHeight="1" x14ac:dyDescent="0.3">
      <c r="A54" s="87" t="s">
        <v>67</v>
      </c>
      <c r="B54" s="88">
        <v>46091</v>
      </c>
      <c r="C54" s="89" t="s">
        <v>211</v>
      </c>
      <c r="D54" s="89" t="s">
        <v>49</v>
      </c>
      <c r="E54" s="90">
        <v>81792026</v>
      </c>
      <c r="F54" s="184" t="s">
        <v>266</v>
      </c>
      <c r="G54" s="91">
        <v>32938210817</v>
      </c>
      <c r="H54" s="92">
        <v>29994</v>
      </c>
      <c r="I54" s="89">
        <v>44</v>
      </c>
      <c r="J54" s="89" t="s">
        <v>70</v>
      </c>
      <c r="K54" s="89" t="s">
        <v>52</v>
      </c>
      <c r="L54" s="89" t="s">
        <v>53</v>
      </c>
      <c r="M54" s="89" t="s">
        <v>267</v>
      </c>
      <c r="N54" s="89" t="s">
        <v>113</v>
      </c>
      <c r="O54" s="93" t="s">
        <v>268</v>
      </c>
      <c r="P54" s="94" t="s">
        <v>57</v>
      </c>
      <c r="Q54" s="112" t="s">
        <v>58</v>
      </c>
      <c r="R54" s="95">
        <v>46098</v>
      </c>
      <c r="S54" s="96"/>
      <c r="T54" s="96" t="s">
        <v>59</v>
      </c>
      <c r="U54" s="96" t="s">
        <v>60</v>
      </c>
      <c r="V54" s="92">
        <v>46098</v>
      </c>
      <c r="W54" s="92" t="s">
        <v>61</v>
      </c>
      <c r="X54" s="92" t="s">
        <v>61</v>
      </c>
      <c r="Y54" s="97"/>
      <c r="Z54" s="89" t="s">
        <v>62</v>
      </c>
      <c r="AA54" s="96">
        <v>46154</v>
      </c>
      <c r="AB54" s="89" t="s">
        <v>63</v>
      </c>
      <c r="AC54" s="111"/>
      <c r="AD54" s="89" t="s">
        <v>265</v>
      </c>
      <c r="AE54" s="89">
        <v>33</v>
      </c>
      <c r="AF54" s="98" t="s">
        <v>178</v>
      </c>
      <c r="AG54" s="98"/>
      <c r="AH54" s="98" t="s">
        <v>66</v>
      </c>
      <c r="AI54" s="99" t="s">
        <v>67</v>
      </c>
      <c r="AJ54" s="99" t="s">
        <v>67</v>
      </c>
      <c r="AK54" s="99" t="s">
        <v>67</v>
      </c>
      <c r="AL54" s="45" t="s">
        <v>68</v>
      </c>
      <c r="AM54" s="162" t="str">
        <f t="shared" si="0"/>
        <v>3/2026</v>
      </c>
      <c r="AN54" s="45">
        <f t="shared" si="1"/>
        <v>2</v>
      </c>
      <c r="AO54" s="45" t="str">
        <f t="shared" si="2"/>
        <v>3/2026</v>
      </c>
      <c r="AP54" s="45">
        <f t="shared" si="3"/>
        <v>3</v>
      </c>
      <c r="AQ54" s="45">
        <f t="shared" si="4"/>
        <v>7</v>
      </c>
      <c r="AR54" s="45">
        <f t="shared" si="5"/>
        <v>0</v>
      </c>
      <c r="AS54" s="45">
        <f t="shared" si="6"/>
        <v>0</v>
      </c>
      <c r="AT54" s="45">
        <f t="shared" si="7"/>
        <v>56</v>
      </c>
      <c r="AU54" s="45" t="str">
        <f>_xlfn.XLOOKUP(U54,'Lista Suspensa'!$AA$20:$AA$23,'Lista Suspensa'!$AB$20:$AB$23,"N/A")</f>
        <v>S</v>
      </c>
    </row>
    <row r="55" spans="1:47" ht="12" customHeight="1" x14ac:dyDescent="0.3">
      <c r="A55" s="87" t="s">
        <v>67</v>
      </c>
      <c r="B55" s="88">
        <v>46091</v>
      </c>
      <c r="C55" s="89" t="s">
        <v>211</v>
      </c>
      <c r="D55" s="89" t="s">
        <v>49</v>
      </c>
      <c r="E55" s="90">
        <v>451938410</v>
      </c>
      <c r="F55" s="184" t="s">
        <v>269</v>
      </c>
      <c r="G55" s="91">
        <v>8482438891</v>
      </c>
      <c r="H55" s="92">
        <v>16422</v>
      </c>
      <c r="I55" s="89">
        <v>81</v>
      </c>
      <c r="J55" s="89" t="s">
        <v>51</v>
      </c>
      <c r="K55" s="89" t="s">
        <v>52</v>
      </c>
      <c r="L55" s="89" t="s">
        <v>53</v>
      </c>
      <c r="M55" s="89" t="s">
        <v>270</v>
      </c>
      <c r="N55" s="89" t="s">
        <v>72</v>
      </c>
      <c r="O55" s="93" t="s">
        <v>271</v>
      </c>
      <c r="P55" s="94" t="s">
        <v>57</v>
      </c>
      <c r="Q55" s="112" t="s">
        <v>58</v>
      </c>
      <c r="R55" s="95">
        <v>46098</v>
      </c>
      <c r="S55" s="96"/>
      <c r="T55" s="96" t="s">
        <v>59</v>
      </c>
      <c r="U55" s="96" t="s">
        <v>60</v>
      </c>
      <c r="V55" s="92">
        <v>46098</v>
      </c>
      <c r="W55" s="92" t="s">
        <v>61</v>
      </c>
      <c r="X55" s="92" t="s">
        <v>61</v>
      </c>
      <c r="Y55" s="97"/>
      <c r="Z55" s="89" t="s">
        <v>62</v>
      </c>
      <c r="AA55" s="96">
        <v>46161</v>
      </c>
      <c r="AB55" s="89" t="s">
        <v>80</v>
      </c>
      <c r="AC55" s="111"/>
      <c r="AD55" s="89"/>
      <c r="AE55" s="89"/>
      <c r="AF55" s="98"/>
      <c r="AG55" s="98"/>
      <c r="AH55" s="98"/>
      <c r="AI55" s="99" t="s">
        <v>67</v>
      </c>
      <c r="AJ55" s="99" t="s">
        <v>67</v>
      </c>
      <c r="AK55" s="99" t="s">
        <v>67</v>
      </c>
      <c r="AL55" s="45" t="s">
        <v>68</v>
      </c>
      <c r="AM55" s="162" t="str">
        <f t="shared" si="0"/>
        <v>3/2026</v>
      </c>
      <c r="AN55" s="45">
        <f t="shared" si="1"/>
        <v>2</v>
      </c>
      <c r="AO55" s="45" t="str">
        <f t="shared" si="2"/>
        <v>3/2026</v>
      </c>
      <c r="AP55" s="45">
        <f t="shared" si="3"/>
        <v>3</v>
      </c>
      <c r="AQ55" s="45">
        <f t="shared" si="4"/>
        <v>7</v>
      </c>
      <c r="AR55" s="45">
        <f t="shared" si="5"/>
        <v>0</v>
      </c>
      <c r="AS55" s="45">
        <f t="shared" si="6"/>
        <v>0</v>
      </c>
      <c r="AT55" s="45">
        <f t="shared" si="7"/>
        <v>0</v>
      </c>
      <c r="AU55" s="45" t="str">
        <f>_xlfn.XLOOKUP(U55,'Lista Suspensa'!$AA$20:$AA$23,'Lista Suspensa'!$AB$20:$AB$23,"N/A")</f>
        <v>S</v>
      </c>
    </row>
    <row r="56" spans="1:47" ht="12" customHeight="1" x14ac:dyDescent="0.3">
      <c r="A56" s="87" t="s">
        <v>67</v>
      </c>
      <c r="B56" s="88">
        <v>46091</v>
      </c>
      <c r="C56" s="89" t="s">
        <v>211</v>
      </c>
      <c r="D56" s="89" t="s">
        <v>49</v>
      </c>
      <c r="E56" s="90">
        <v>594045410</v>
      </c>
      <c r="F56" s="184" t="s">
        <v>272</v>
      </c>
      <c r="G56" s="91">
        <v>81005725853</v>
      </c>
      <c r="H56" s="92">
        <v>18987</v>
      </c>
      <c r="I56" s="89">
        <v>74</v>
      </c>
      <c r="J56" s="89" t="s">
        <v>51</v>
      </c>
      <c r="K56" s="89" t="s">
        <v>52</v>
      </c>
      <c r="L56" s="89" t="s">
        <v>53</v>
      </c>
      <c r="M56" s="89" t="s">
        <v>273</v>
      </c>
      <c r="N56" s="89" t="s">
        <v>130</v>
      </c>
      <c r="O56" s="93" t="s">
        <v>274</v>
      </c>
      <c r="P56" s="94" t="s">
        <v>57</v>
      </c>
      <c r="Q56" s="112" t="s">
        <v>58</v>
      </c>
      <c r="R56" s="95">
        <v>46098</v>
      </c>
      <c r="S56" s="96"/>
      <c r="T56" s="96" t="s">
        <v>59</v>
      </c>
      <c r="U56" s="96" t="s">
        <v>60</v>
      </c>
      <c r="V56" s="92">
        <v>46098</v>
      </c>
      <c r="W56" s="92" t="s">
        <v>61</v>
      </c>
      <c r="X56" s="92" t="s">
        <v>61</v>
      </c>
      <c r="Y56" s="97"/>
      <c r="Z56" s="89" t="s">
        <v>62</v>
      </c>
      <c r="AA56" s="96">
        <v>46157</v>
      </c>
      <c r="AB56" s="89" t="s">
        <v>63</v>
      </c>
      <c r="AC56" s="111"/>
      <c r="AD56" s="89" t="s">
        <v>86</v>
      </c>
      <c r="AE56" s="89">
        <v>57</v>
      </c>
      <c r="AF56" s="98" t="s">
        <v>215</v>
      </c>
      <c r="AG56" s="98"/>
      <c r="AH56" s="98" t="s">
        <v>66</v>
      </c>
      <c r="AI56" s="99" t="s">
        <v>67</v>
      </c>
      <c r="AJ56" s="99" t="s">
        <v>67</v>
      </c>
      <c r="AK56" s="99" t="s">
        <v>67</v>
      </c>
      <c r="AL56" s="45" t="s">
        <v>68</v>
      </c>
      <c r="AM56" s="162" t="str">
        <f t="shared" si="0"/>
        <v>3/2026</v>
      </c>
      <c r="AN56" s="45">
        <f t="shared" si="1"/>
        <v>2</v>
      </c>
      <c r="AO56" s="45" t="str">
        <f t="shared" si="2"/>
        <v>3/2026</v>
      </c>
      <c r="AP56" s="45">
        <f t="shared" si="3"/>
        <v>3</v>
      </c>
      <c r="AQ56" s="45">
        <f t="shared" si="4"/>
        <v>7</v>
      </c>
      <c r="AR56" s="45">
        <f t="shared" si="5"/>
        <v>0</v>
      </c>
      <c r="AS56" s="45">
        <f t="shared" si="6"/>
        <v>0</v>
      </c>
      <c r="AT56" s="45">
        <f t="shared" si="7"/>
        <v>59</v>
      </c>
      <c r="AU56" s="45" t="str">
        <f>_xlfn.XLOOKUP(U56,'Lista Suspensa'!$AA$20:$AA$23,'Lista Suspensa'!$AB$20:$AB$23,"N/A")</f>
        <v>S</v>
      </c>
    </row>
    <row r="57" spans="1:47" ht="12" customHeight="1" x14ac:dyDescent="0.3">
      <c r="A57" s="87" t="s">
        <v>67</v>
      </c>
      <c r="B57" s="88">
        <v>46091</v>
      </c>
      <c r="C57" s="89" t="s">
        <v>211</v>
      </c>
      <c r="D57" s="89" t="s">
        <v>49</v>
      </c>
      <c r="E57" s="90">
        <v>444862927</v>
      </c>
      <c r="F57" s="184" t="s">
        <v>275</v>
      </c>
      <c r="G57" s="91">
        <v>11772729892</v>
      </c>
      <c r="H57" s="92">
        <v>27133</v>
      </c>
      <c r="I57" s="89">
        <v>52</v>
      </c>
      <c r="J57" s="89" t="s">
        <v>51</v>
      </c>
      <c r="K57" s="89" t="s">
        <v>52</v>
      </c>
      <c r="L57" s="89" t="s">
        <v>53</v>
      </c>
      <c r="M57" s="89" t="s">
        <v>276</v>
      </c>
      <c r="N57" s="89" t="s">
        <v>277</v>
      </c>
      <c r="O57" s="93" t="s">
        <v>278</v>
      </c>
      <c r="P57" s="94" t="s">
        <v>57</v>
      </c>
      <c r="Q57" s="112" t="s">
        <v>58</v>
      </c>
      <c r="R57" s="95">
        <v>46098</v>
      </c>
      <c r="S57" s="96"/>
      <c r="T57" s="96" t="s">
        <v>59</v>
      </c>
      <c r="U57" s="96" t="s">
        <v>60</v>
      </c>
      <c r="V57" s="92">
        <v>46098</v>
      </c>
      <c r="W57" s="92" t="s">
        <v>61</v>
      </c>
      <c r="X57" s="92" t="s">
        <v>61</v>
      </c>
      <c r="Y57" s="97"/>
      <c r="Z57" s="89" t="s">
        <v>62</v>
      </c>
      <c r="AA57" s="96">
        <v>46104.611111111109</v>
      </c>
      <c r="AB57" s="89" t="s">
        <v>63</v>
      </c>
      <c r="AC57" s="111"/>
      <c r="AD57" s="89" t="s">
        <v>64</v>
      </c>
      <c r="AE57" s="89">
        <v>53</v>
      </c>
      <c r="AF57" s="98" t="s">
        <v>138</v>
      </c>
      <c r="AG57" s="98"/>
      <c r="AH57" s="98" t="s">
        <v>66</v>
      </c>
      <c r="AI57" s="99" t="s">
        <v>67</v>
      </c>
      <c r="AJ57" s="99" t="s">
        <v>67</v>
      </c>
      <c r="AK57" s="99" t="s">
        <v>67</v>
      </c>
      <c r="AL57" s="45" t="s">
        <v>68</v>
      </c>
      <c r="AM57" s="162" t="str">
        <f t="shared" si="0"/>
        <v>3/2026</v>
      </c>
      <c r="AN57" s="45">
        <f t="shared" si="1"/>
        <v>2</v>
      </c>
      <c r="AO57" s="45" t="str">
        <f t="shared" si="2"/>
        <v>3/2026</v>
      </c>
      <c r="AP57" s="45">
        <f t="shared" si="3"/>
        <v>3</v>
      </c>
      <c r="AQ57" s="45">
        <f t="shared" si="4"/>
        <v>7</v>
      </c>
      <c r="AR57" s="45">
        <f t="shared" si="5"/>
        <v>0</v>
      </c>
      <c r="AS57" s="45">
        <f t="shared" si="6"/>
        <v>0</v>
      </c>
      <c r="AT57" s="45">
        <f t="shared" si="7"/>
        <v>6.6111111111094942</v>
      </c>
      <c r="AU57" s="45" t="str">
        <f>_xlfn.XLOOKUP(U57,'Lista Suspensa'!$AA$20:$AA$23,'Lista Suspensa'!$AB$20:$AB$23,"N/A")</f>
        <v>S</v>
      </c>
    </row>
    <row r="58" spans="1:47" ht="12" customHeight="1" x14ac:dyDescent="0.3">
      <c r="A58" s="87" t="s">
        <v>67</v>
      </c>
      <c r="B58" s="88">
        <v>46091</v>
      </c>
      <c r="C58" s="89" t="s">
        <v>211</v>
      </c>
      <c r="D58" s="89" t="s">
        <v>49</v>
      </c>
      <c r="E58" s="90">
        <v>93796760</v>
      </c>
      <c r="F58" s="184" t="s">
        <v>279</v>
      </c>
      <c r="G58" s="91">
        <v>32530824880</v>
      </c>
      <c r="H58" s="92">
        <v>31027</v>
      </c>
      <c r="I58" s="89">
        <v>41</v>
      </c>
      <c r="J58" s="89" t="s">
        <v>70</v>
      </c>
      <c r="K58" s="89" t="s">
        <v>52</v>
      </c>
      <c r="L58" s="89" t="s">
        <v>53</v>
      </c>
      <c r="M58" s="89" t="s">
        <v>280</v>
      </c>
      <c r="N58" s="89" t="s">
        <v>148</v>
      </c>
      <c r="O58" s="93" t="s">
        <v>281</v>
      </c>
      <c r="P58" s="94" t="s">
        <v>57</v>
      </c>
      <c r="Q58" s="112" t="s">
        <v>58</v>
      </c>
      <c r="R58" s="95">
        <v>46098</v>
      </c>
      <c r="S58" s="96"/>
      <c r="T58" s="96" t="s">
        <v>59</v>
      </c>
      <c r="U58" s="96" t="s">
        <v>60</v>
      </c>
      <c r="V58" s="92">
        <v>46098</v>
      </c>
      <c r="W58" s="92" t="s">
        <v>61</v>
      </c>
      <c r="X58" s="92" t="s">
        <v>61</v>
      </c>
      <c r="Y58" s="97"/>
      <c r="Z58" s="89" t="s">
        <v>62</v>
      </c>
      <c r="AA58" s="96">
        <v>46161</v>
      </c>
      <c r="AB58" s="89" t="s">
        <v>80</v>
      </c>
      <c r="AC58" s="111"/>
      <c r="AD58" s="89"/>
      <c r="AE58" s="89"/>
      <c r="AF58" s="98"/>
      <c r="AG58" s="98"/>
      <c r="AH58" s="98"/>
      <c r="AI58" s="99" t="s">
        <v>67</v>
      </c>
      <c r="AJ58" s="99" t="s">
        <v>67</v>
      </c>
      <c r="AK58" s="99" t="s">
        <v>67</v>
      </c>
      <c r="AL58" s="45" t="s">
        <v>68</v>
      </c>
      <c r="AM58" s="162" t="str">
        <f t="shared" si="0"/>
        <v>3/2026</v>
      </c>
      <c r="AN58" s="45">
        <f t="shared" si="1"/>
        <v>2</v>
      </c>
      <c r="AO58" s="45" t="str">
        <f t="shared" si="2"/>
        <v>3/2026</v>
      </c>
      <c r="AP58" s="45">
        <f t="shared" si="3"/>
        <v>3</v>
      </c>
      <c r="AQ58" s="45">
        <f t="shared" si="4"/>
        <v>7</v>
      </c>
      <c r="AR58" s="45">
        <f t="shared" si="5"/>
        <v>0</v>
      </c>
      <c r="AS58" s="45">
        <f t="shared" si="6"/>
        <v>0</v>
      </c>
      <c r="AT58" s="45">
        <f t="shared" si="7"/>
        <v>0</v>
      </c>
      <c r="AU58" s="45" t="str">
        <f>_xlfn.XLOOKUP(U58,'Lista Suspensa'!$AA$20:$AA$23,'Lista Suspensa'!$AB$20:$AB$23,"N/A")</f>
        <v>S</v>
      </c>
    </row>
    <row r="59" spans="1:47" ht="12" customHeight="1" x14ac:dyDescent="0.3">
      <c r="A59" s="87" t="s">
        <v>67</v>
      </c>
      <c r="B59" s="88">
        <v>46091</v>
      </c>
      <c r="C59" s="89" t="s">
        <v>211</v>
      </c>
      <c r="D59" s="89" t="s">
        <v>49</v>
      </c>
      <c r="E59" s="90">
        <v>94703527</v>
      </c>
      <c r="F59" s="184" t="s">
        <v>282</v>
      </c>
      <c r="G59" s="91">
        <v>52327938880</v>
      </c>
      <c r="H59" s="92">
        <v>37568</v>
      </c>
      <c r="I59" s="89">
        <v>23</v>
      </c>
      <c r="J59" s="89" t="s">
        <v>70</v>
      </c>
      <c r="K59" s="89" t="s">
        <v>52</v>
      </c>
      <c r="L59" s="89" t="s">
        <v>283</v>
      </c>
      <c r="M59" s="89" t="s">
        <v>284</v>
      </c>
      <c r="N59" s="89" t="s">
        <v>148</v>
      </c>
      <c r="O59" s="93" t="s">
        <v>285</v>
      </c>
      <c r="P59" s="94" t="s">
        <v>57</v>
      </c>
      <c r="Q59" s="112" t="s">
        <v>58</v>
      </c>
      <c r="R59" s="95">
        <v>46098</v>
      </c>
      <c r="S59" s="96"/>
      <c r="T59" s="96" t="s">
        <v>59</v>
      </c>
      <c r="U59" s="96" t="s">
        <v>60</v>
      </c>
      <c r="V59" s="92">
        <v>46098</v>
      </c>
      <c r="W59" s="92" t="s">
        <v>61</v>
      </c>
      <c r="X59" s="92" t="s">
        <v>61</v>
      </c>
      <c r="Y59" s="97"/>
      <c r="Z59" s="89" t="s">
        <v>62</v>
      </c>
      <c r="AA59" s="96">
        <v>46161</v>
      </c>
      <c r="AB59" s="89" t="s">
        <v>80</v>
      </c>
      <c r="AC59" s="111"/>
      <c r="AD59" s="89"/>
      <c r="AE59" s="89"/>
      <c r="AF59" s="98"/>
      <c r="AG59" s="98"/>
      <c r="AH59" s="98"/>
      <c r="AI59" s="99" t="s">
        <v>67</v>
      </c>
      <c r="AJ59" s="99" t="s">
        <v>67</v>
      </c>
      <c r="AK59" s="99" t="s">
        <v>67</v>
      </c>
      <c r="AL59" s="45" t="s">
        <v>68</v>
      </c>
      <c r="AM59" s="162" t="str">
        <f t="shared" si="0"/>
        <v>3/2026</v>
      </c>
      <c r="AN59" s="45">
        <f t="shared" si="1"/>
        <v>2</v>
      </c>
      <c r="AO59" s="45" t="str">
        <f t="shared" si="2"/>
        <v>3/2026</v>
      </c>
      <c r="AP59" s="45">
        <f t="shared" si="3"/>
        <v>3</v>
      </c>
      <c r="AQ59" s="45">
        <f t="shared" si="4"/>
        <v>7</v>
      </c>
      <c r="AR59" s="45">
        <f t="shared" si="5"/>
        <v>0</v>
      </c>
      <c r="AS59" s="45">
        <f t="shared" si="6"/>
        <v>0</v>
      </c>
      <c r="AT59" s="45">
        <f t="shared" si="7"/>
        <v>0</v>
      </c>
      <c r="AU59" s="45" t="str">
        <f>_xlfn.XLOOKUP(U59,'Lista Suspensa'!$AA$20:$AA$23,'Lista Suspensa'!$AB$20:$AB$23,"N/A")</f>
        <v>S</v>
      </c>
    </row>
    <row r="60" spans="1:47" ht="12" customHeight="1" x14ac:dyDescent="0.3">
      <c r="A60" s="87" t="s">
        <v>67</v>
      </c>
      <c r="B60" s="88">
        <v>46091</v>
      </c>
      <c r="C60" s="89" t="s">
        <v>211</v>
      </c>
      <c r="D60" s="89" t="s">
        <v>49</v>
      </c>
      <c r="E60" s="90">
        <v>95743227</v>
      </c>
      <c r="F60" s="184" t="s">
        <v>286</v>
      </c>
      <c r="G60" s="91">
        <v>11296075850</v>
      </c>
      <c r="H60" s="92">
        <v>26590</v>
      </c>
      <c r="I60" s="89">
        <v>53</v>
      </c>
      <c r="J60" s="89" t="s">
        <v>51</v>
      </c>
      <c r="K60" s="89" t="s">
        <v>52</v>
      </c>
      <c r="L60" s="89" t="s">
        <v>287</v>
      </c>
      <c r="M60" s="89" t="s">
        <v>288</v>
      </c>
      <c r="N60" s="89" t="s">
        <v>148</v>
      </c>
      <c r="O60" s="93" t="s">
        <v>289</v>
      </c>
      <c r="P60" s="94" t="s">
        <v>57</v>
      </c>
      <c r="Q60" s="112" t="s">
        <v>58</v>
      </c>
      <c r="R60" s="95">
        <v>46098</v>
      </c>
      <c r="S60" s="96"/>
      <c r="T60" s="96" t="s">
        <v>59</v>
      </c>
      <c r="U60" s="96" t="s">
        <v>60</v>
      </c>
      <c r="V60" s="92">
        <v>46098</v>
      </c>
      <c r="W60" s="92" t="s">
        <v>61</v>
      </c>
      <c r="X60" s="92" t="s">
        <v>61</v>
      </c>
      <c r="Y60" s="97"/>
      <c r="Z60" s="89" t="s">
        <v>62</v>
      </c>
      <c r="AA60" s="96">
        <v>46161</v>
      </c>
      <c r="AB60" s="89" t="s">
        <v>80</v>
      </c>
      <c r="AC60" s="111"/>
      <c r="AD60" s="89"/>
      <c r="AE60" s="89"/>
      <c r="AF60" s="98"/>
      <c r="AG60" s="98"/>
      <c r="AH60" s="98"/>
      <c r="AI60" s="99" t="s">
        <v>67</v>
      </c>
      <c r="AJ60" s="99" t="s">
        <v>67</v>
      </c>
      <c r="AK60" s="99" t="s">
        <v>67</v>
      </c>
      <c r="AL60" s="45" t="s">
        <v>68</v>
      </c>
      <c r="AM60" s="162" t="str">
        <f t="shared" si="0"/>
        <v>3/2026</v>
      </c>
      <c r="AN60" s="45">
        <f t="shared" si="1"/>
        <v>2</v>
      </c>
      <c r="AO60" s="45" t="str">
        <f t="shared" si="2"/>
        <v>3/2026</v>
      </c>
      <c r="AP60" s="45">
        <f t="shared" si="3"/>
        <v>3</v>
      </c>
      <c r="AQ60" s="45">
        <f t="shared" si="4"/>
        <v>7</v>
      </c>
      <c r="AR60" s="45">
        <f t="shared" si="5"/>
        <v>0</v>
      </c>
      <c r="AS60" s="45">
        <f t="shared" si="6"/>
        <v>0</v>
      </c>
      <c r="AT60" s="45">
        <f t="shared" si="7"/>
        <v>0</v>
      </c>
      <c r="AU60" s="45" t="str">
        <f>_xlfn.XLOOKUP(U60,'Lista Suspensa'!$AA$20:$AA$23,'Lista Suspensa'!$AB$20:$AB$23,"N/A")</f>
        <v>S</v>
      </c>
    </row>
    <row r="61" spans="1:47" ht="12" customHeight="1" x14ac:dyDescent="0.3">
      <c r="A61" s="87" t="s">
        <v>67</v>
      </c>
      <c r="B61" s="88">
        <v>46091</v>
      </c>
      <c r="C61" s="89" t="s">
        <v>211</v>
      </c>
      <c r="D61" s="89" t="s">
        <v>49</v>
      </c>
      <c r="E61" s="90">
        <v>87506889</v>
      </c>
      <c r="F61" s="184" t="s">
        <v>290</v>
      </c>
      <c r="G61" s="91">
        <v>8641567828</v>
      </c>
      <c r="H61" s="92">
        <v>22318</v>
      </c>
      <c r="I61" s="89">
        <v>65</v>
      </c>
      <c r="J61" s="89" t="s">
        <v>70</v>
      </c>
      <c r="K61" s="89" t="s">
        <v>52</v>
      </c>
      <c r="L61" s="89" t="s">
        <v>53</v>
      </c>
      <c r="M61" s="89" t="s">
        <v>291</v>
      </c>
      <c r="N61" s="89" t="s">
        <v>148</v>
      </c>
      <c r="O61" s="93" t="s">
        <v>292</v>
      </c>
      <c r="P61" s="94" t="s">
        <v>57</v>
      </c>
      <c r="Q61" s="112" t="s">
        <v>58</v>
      </c>
      <c r="R61" s="95">
        <v>46098</v>
      </c>
      <c r="S61" s="96"/>
      <c r="T61" s="96" t="s">
        <v>59</v>
      </c>
      <c r="U61" s="96" t="s">
        <v>60</v>
      </c>
      <c r="V61" s="92">
        <v>46098</v>
      </c>
      <c r="W61" s="92" t="s">
        <v>61</v>
      </c>
      <c r="X61" s="92" t="s">
        <v>61</v>
      </c>
      <c r="Y61" s="97"/>
      <c r="Z61" s="89" t="s">
        <v>62</v>
      </c>
      <c r="AA61" s="96">
        <v>46161</v>
      </c>
      <c r="AB61" s="89" t="s">
        <v>80</v>
      </c>
      <c r="AC61" s="111"/>
      <c r="AD61" s="89"/>
      <c r="AE61" s="89"/>
      <c r="AF61" s="98"/>
      <c r="AG61" s="98"/>
      <c r="AH61" s="98"/>
      <c r="AI61" s="99" t="s">
        <v>67</v>
      </c>
      <c r="AJ61" s="99" t="s">
        <v>67</v>
      </c>
      <c r="AK61" s="99" t="s">
        <v>67</v>
      </c>
      <c r="AL61" s="45" t="s">
        <v>68</v>
      </c>
      <c r="AM61" s="162" t="str">
        <f t="shared" si="0"/>
        <v>3/2026</v>
      </c>
      <c r="AN61" s="45">
        <f t="shared" si="1"/>
        <v>2</v>
      </c>
      <c r="AO61" s="45" t="str">
        <f t="shared" si="2"/>
        <v>3/2026</v>
      </c>
      <c r="AP61" s="45">
        <f t="shared" si="3"/>
        <v>3</v>
      </c>
      <c r="AQ61" s="45">
        <f t="shared" si="4"/>
        <v>7</v>
      </c>
      <c r="AR61" s="45">
        <f t="shared" si="5"/>
        <v>0</v>
      </c>
      <c r="AS61" s="45">
        <f t="shared" si="6"/>
        <v>0</v>
      </c>
      <c r="AT61" s="45">
        <f t="shared" si="7"/>
        <v>0</v>
      </c>
      <c r="AU61" s="45" t="str">
        <f>_xlfn.XLOOKUP(U61,'Lista Suspensa'!$AA$20:$AA$23,'Lista Suspensa'!$AB$20:$AB$23,"N/A")</f>
        <v>S</v>
      </c>
    </row>
    <row r="62" spans="1:47" ht="12" customHeight="1" x14ac:dyDescent="0.3">
      <c r="A62" s="87" t="s">
        <v>67</v>
      </c>
      <c r="B62" s="88">
        <v>46091</v>
      </c>
      <c r="C62" s="89" t="s">
        <v>211</v>
      </c>
      <c r="D62" s="89" t="s">
        <v>49</v>
      </c>
      <c r="E62" s="90">
        <v>81466007</v>
      </c>
      <c r="F62" s="184" t="s">
        <v>293</v>
      </c>
      <c r="G62" s="91">
        <v>7346775880</v>
      </c>
      <c r="H62" s="92">
        <v>24167</v>
      </c>
      <c r="I62" s="89">
        <v>60</v>
      </c>
      <c r="J62" s="89" t="s">
        <v>70</v>
      </c>
      <c r="K62" s="89" t="s">
        <v>52</v>
      </c>
      <c r="L62" s="89" t="s">
        <v>53</v>
      </c>
      <c r="M62" s="89" t="s">
        <v>294</v>
      </c>
      <c r="N62" s="89" t="s">
        <v>148</v>
      </c>
      <c r="O62" s="93" t="s">
        <v>295</v>
      </c>
      <c r="P62" s="94" t="s">
        <v>57</v>
      </c>
      <c r="Q62" s="112" t="s">
        <v>58</v>
      </c>
      <c r="R62" s="95">
        <v>46098</v>
      </c>
      <c r="S62" s="96"/>
      <c r="T62" s="96" t="s">
        <v>59</v>
      </c>
      <c r="U62" s="96" t="s">
        <v>60</v>
      </c>
      <c r="V62" s="92">
        <v>46098</v>
      </c>
      <c r="W62" s="92" t="s">
        <v>61</v>
      </c>
      <c r="X62" s="92" t="s">
        <v>61</v>
      </c>
      <c r="Y62" s="97"/>
      <c r="Z62" s="89" t="s">
        <v>62</v>
      </c>
      <c r="AA62" s="96">
        <v>46132.638888888891</v>
      </c>
      <c r="AB62" s="89" t="s">
        <v>63</v>
      </c>
      <c r="AC62" s="111"/>
      <c r="AD62" s="89" t="s">
        <v>64</v>
      </c>
      <c r="AE62" s="89">
        <v>61</v>
      </c>
      <c r="AF62" s="98" t="s">
        <v>296</v>
      </c>
      <c r="AG62" s="98"/>
      <c r="AH62" s="98" t="s">
        <v>66</v>
      </c>
      <c r="AI62" s="99" t="s">
        <v>67</v>
      </c>
      <c r="AJ62" s="99" t="s">
        <v>67</v>
      </c>
      <c r="AK62" s="99" t="s">
        <v>67</v>
      </c>
      <c r="AL62" s="45" t="s">
        <v>68</v>
      </c>
      <c r="AM62" s="162" t="str">
        <f t="shared" si="0"/>
        <v>3/2026</v>
      </c>
      <c r="AN62" s="45">
        <f t="shared" si="1"/>
        <v>2</v>
      </c>
      <c r="AO62" s="45" t="str">
        <f t="shared" si="2"/>
        <v>3/2026</v>
      </c>
      <c r="AP62" s="45">
        <f t="shared" si="3"/>
        <v>3</v>
      </c>
      <c r="AQ62" s="45">
        <f t="shared" si="4"/>
        <v>7</v>
      </c>
      <c r="AR62" s="45">
        <f t="shared" si="5"/>
        <v>0</v>
      </c>
      <c r="AS62" s="45">
        <f t="shared" si="6"/>
        <v>0</v>
      </c>
      <c r="AT62" s="45">
        <f t="shared" si="7"/>
        <v>34.638888888890506</v>
      </c>
      <c r="AU62" s="45" t="str">
        <f>_xlfn.XLOOKUP(U62,'Lista Suspensa'!$AA$20:$AA$23,'Lista Suspensa'!$AB$20:$AB$23,"N/A")</f>
        <v>S</v>
      </c>
    </row>
    <row r="63" spans="1:47" ht="12" customHeight="1" x14ac:dyDescent="0.3">
      <c r="A63" s="87" t="s">
        <v>67</v>
      </c>
      <c r="B63" s="88">
        <v>46091</v>
      </c>
      <c r="C63" s="89" t="s">
        <v>211</v>
      </c>
      <c r="D63" s="89" t="s">
        <v>49</v>
      </c>
      <c r="E63" s="90">
        <v>86081017</v>
      </c>
      <c r="F63" s="184" t="s">
        <v>297</v>
      </c>
      <c r="G63" s="91">
        <v>82147124400</v>
      </c>
      <c r="H63" s="92">
        <v>23125</v>
      </c>
      <c r="I63" s="89">
        <v>63</v>
      </c>
      <c r="J63" s="89" t="s">
        <v>51</v>
      </c>
      <c r="K63" s="89" t="s">
        <v>52</v>
      </c>
      <c r="L63" s="89" t="s">
        <v>53</v>
      </c>
      <c r="M63" s="89" t="s">
        <v>298</v>
      </c>
      <c r="N63" s="89" t="s">
        <v>148</v>
      </c>
      <c r="O63" s="93" t="s">
        <v>299</v>
      </c>
      <c r="P63" s="94" t="s">
        <v>57</v>
      </c>
      <c r="Q63" s="112" t="s">
        <v>58</v>
      </c>
      <c r="R63" s="95">
        <v>46098</v>
      </c>
      <c r="S63" s="96"/>
      <c r="T63" s="96" t="s">
        <v>59</v>
      </c>
      <c r="U63" s="96" t="s">
        <v>60</v>
      </c>
      <c r="V63" s="92">
        <v>46098</v>
      </c>
      <c r="W63" s="92" t="s">
        <v>61</v>
      </c>
      <c r="X63" s="92" t="s">
        <v>61</v>
      </c>
      <c r="Y63" s="97"/>
      <c r="Z63" s="89" t="s">
        <v>62</v>
      </c>
      <c r="AA63" s="96">
        <v>46161</v>
      </c>
      <c r="AB63" s="89" t="s">
        <v>80</v>
      </c>
      <c r="AC63" s="111"/>
      <c r="AD63" s="89"/>
      <c r="AE63" s="89"/>
      <c r="AF63" s="98"/>
      <c r="AG63" s="98"/>
      <c r="AH63" s="98"/>
      <c r="AI63" s="99" t="s">
        <v>67</v>
      </c>
      <c r="AJ63" s="99" t="s">
        <v>67</v>
      </c>
      <c r="AK63" s="99" t="s">
        <v>67</v>
      </c>
      <c r="AL63" s="45" t="s">
        <v>68</v>
      </c>
      <c r="AM63" s="162" t="str">
        <f t="shared" si="0"/>
        <v>3/2026</v>
      </c>
      <c r="AN63" s="45">
        <f t="shared" si="1"/>
        <v>2</v>
      </c>
      <c r="AO63" s="45" t="str">
        <f t="shared" si="2"/>
        <v>3/2026</v>
      </c>
      <c r="AP63" s="45">
        <f t="shared" si="3"/>
        <v>3</v>
      </c>
      <c r="AQ63" s="45">
        <f t="shared" si="4"/>
        <v>7</v>
      </c>
      <c r="AR63" s="45">
        <f t="shared" si="5"/>
        <v>0</v>
      </c>
      <c r="AS63" s="45">
        <f t="shared" si="6"/>
        <v>0</v>
      </c>
      <c r="AT63" s="45">
        <f t="shared" si="7"/>
        <v>0</v>
      </c>
      <c r="AU63" s="45" t="str">
        <f>_xlfn.XLOOKUP(U63,'Lista Suspensa'!$AA$20:$AA$23,'Lista Suspensa'!$AB$20:$AB$23,"N/A")</f>
        <v>S</v>
      </c>
    </row>
    <row r="64" spans="1:47" ht="12" customHeight="1" x14ac:dyDescent="0.3">
      <c r="A64" s="87" t="s">
        <v>67</v>
      </c>
      <c r="B64" s="88">
        <v>46091</v>
      </c>
      <c r="C64" s="89" t="s">
        <v>211</v>
      </c>
      <c r="D64" s="89" t="s">
        <v>49</v>
      </c>
      <c r="E64" s="90">
        <v>228555272</v>
      </c>
      <c r="F64" s="184" t="s">
        <v>300</v>
      </c>
      <c r="G64" s="91">
        <v>81196814872</v>
      </c>
      <c r="H64" s="92">
        <v>20493</v>
      </c>
      <c r="I64" s="89">
        <v>70</v>
      </c>
      <c r="J64" s="89" t="s">
        <v>51</v>
      </c>
      <c r="K64" s="89" t="s">
        <v>52</v>
      </c>
      <c r="L64" s="89" t="s">
        <v>53</v>
      </c>
      <c r="M64" s="89" t="s">
        <v>301</v>
      </c>
      <c r="N64" s="89" t="s">
        <v>170</v>
      </c>
      <c r="O64" s="93" t="s">
        <v>302</v>
      </c>
      <c r="P64" s="94" t="s">
        <v>57</v>
      </c>
      <c r="Q64" s="112" t="s">
        <v>58</v>
      </c>
      <c r="R64" s="95">
        <v>46098</v>
      </c>
      <c r="S64" s="96"/>
      <c r="T64" s="96" t="s">
        <v>59</v>
      </c>
      <c r="U64" s="96" t="s">
        <v>60</v>
      </c>
      <c r="V64" s="92">
        <v>46098</v>
      </c>
      <c r="W64" s="92" t="s">
        <v>61</v>
      </c>
      <c r="X64" s="92" t="s">
        <v>61</v>
      </c>
      <c r="Y64" s="97"/>
      <c r="Z64" s="89" t="s">
        <v>62</v>
      </c>
      <c r="AA64" s="96">
        <v>46161</v>
      </c>
      <c r="AB64" s="89" t="s">
        <v>80</v>
      </c>
      <c r="AC64" s="111"/>
      <c r="AD64" s="89"/>
      <c r="AE64" s="89"/>
      <c r="AF64" s="98"/>
      <c r="AG64" s="98"/>
      <c r="AH64" s="98"/>
      <c r="AI64" s="99" t="s">
        <v>67</v>
      </c>
      <c r="AJ64" s="99" t="s">
        <v>67</v>
      </c>
      <c r="AK64" s="99" t="s">
        <v>67</v>
      </c>
      <c r="AL64" s="45" t="s">
        <v>68</v>
      </c>
      <c r="AM64" s="162" t="str">
        <f t="shared" si="0"/>
        <v>3/2026</v>
      </c>
      <c r="AN64" s="45">
        <f t="shared" si="1"/>
        <v>2</v>
      </c>
      <c r="AO64" s="45" t="str">
        <f t="shared" si="2"/>
        <v>3/2026</v>
      </c>
      <c r="AP64" s="45">
        <f t="shared" si="3"/>
        <v>3</v>
      </c>
      <c r="AQ64" s="45">
        <f t="shared" si="4"/>
        <v>7</v>
      </c>
      <c r="AR64" s="45">
        <f t="shared" si="5"/>
        <v>0</v>
      </c>
      <c r="AS64" s="45">
        <f t="shared" si="6"/>
        <v>0</v>
      </c>
      <c r="AT64" s="45">
        <f t="shared" si="7"/>
        <v>0</v>
      </c>
      <c r="AU64" s="45" t="str">
        <f>_xlfn.XLOOKUP(U64,'Lista Suspensa'!$AA$20:$AA$23,'Lista Suspensa'!$AB$20:$AB$23,"N/A")</f>
        <v>S</v>
      </c>
    </row>
    <row r="65" spans="1:47" ht="12" customHeight="1" x14ac:dyDescent="0.3">
      <c r="A65" s="87" t="s">
        <v>67</v>
      </c>
      <c r="B65" s="88">
        <v>46091</v>
      </c>
      <c r="C65" s="89" t="s">
        <v>211</v>
      </c>
      <c r="D65" s="89" t="s">
        <v>49</v>
      </c>
      <c r="E65" s="90">
        <v>451728750</v>
      </c>
      <c r="F65" s="184" t="s">
        <v>303</v>
      </c>
      <c r="G65" s="91">
        <v>22635808830</v>
      </c>
      <c r="H65" s="92">
        <v>11949</v>
      </c>
      <c r="I65" s="89">
        <v>93</v>
      </c>
      <c r="J65" s="89" t="s">
        <v>51</v>
      </c>
      <c r="K65" s="89" t="s">
        <v>52</v>
      </c>
      <c r="L65" s="89" t="s">
        <v>53</v>
      </c>
      <c r="M65" s="89" t="s">
        <v>304</v>
      </c>
      <c r="N65" s="89" t="s">
        <v>170</v>
      </c>
      <c r="O65" s="93" t="s">
        <v>305</v>
      </c>
      <c r="P65" s="94" t="s">
        <v>57</v>
      </c>
      <c r="Q65" s="112" t="s">
        <v>58</v>
      </c>
      <c r="R65" s="95">
        <v>46098</v>
      </c>
      <c r="S65" s="96"/>
      <c r="T65" s="96" t="s">
        <v>59</v>
      </c>
      <c r="U65" s="96" t="s">
        <v>60</v>
      </c>
      <c r="V65" s="92">
        <v>46098</v>
      </c>
      <c r="W65" s="92" t="s">
        <v>61</v>
      </c>
      <c r="X65" s="92" t="s">
        <v>61</v>
      </c>
      <c r="Y65" s="97"/>
      <c r="Z65" s="89" t="s">
        <v>62</v>
      </c>
      <c r="AA65" s="96">
        <v>46161</v>
      </c>
      <c r="AB65" s="89" t="s">
        <v>80</v>
      </c>
      <c r="AC65" s="111"/>
      <c r="AD65" s="89"/>
      <c r="AE65" s="89"/>
      <c r="AF65" s="98"/>
      <c r="AG65" s="98"/>
      <c r="AH65" s="98"/>
      <c r="AI65" s="99" t="s">
        <v>67</v>
      </c>
      <c r="AJ65" s="99" t="s">
        <v>67</v>
      </c>
      <c r="AK65" s="99" t="s">
        <v>67</v>
      </c>
      <c r="AL65" s="45" t="s">
        <v>68</v>
      </c>
      <c r="AM65" s="162" t="str">
        <f t="shared" si="0"/>
        <v>3/2026</v>
      </c>
      <c r="AN65" s="45">
        <f t="shared" si="1"/>
        <v>2</v>
      </c>
      <c r="AO65" s="45" t="str">
        <f t="shared" si="2"/>
        <v>3/2026</v>
      </c>
      <c r="AP65" s="45">
        <f t="shared" si="3"/>
        <v>3</v>
      </c>
      <c r="AQ65" s="45">
        <f t="shared" si="4"/>
        <v>7</v>
      </c>
      <c r="AR65" s="45">
        <f t="shared" si="5"/>
        <v>0</v>
      </c>
      <c r="AS65" s="45">
        <f t="shared" si="6"/>
        <v>0</v>
      </c>
      <c r="AT65" s="45">
        <f t="shared" si="7"/>
        <v>0</v>
      </c>
      <c r="AU65" s="45" t="str">
        <f>_xlfn.XLOOKUP(U65,'Lista Suspensa'!$AA$20:$AA$23,'Lista Suspensa'!$AB$20:$AB$23,"N/A")</f>
        <v>S</v>
      </c>
    </row>
    <row r="66" spans="1:47" ht="12" customHeight="1" x14ac:dyDescent="0.3">
      <c r="A66" s="87" t="s">
        <v>67</v>
      </c>
      <c r="B66" s="88">
        <v>46091</v>
      </c>
      <c r="C66" s="89" t="s">
        <v>211</v>
      </c>
      <c r="D66" s="89" t="s">
        <v>49</v>
      </c>
      <c r="E66" s="90">
        <v>87339453</v>
      </c>
      <c r="F66" s="184" t="s">
        <v>306</v>
      </c>
      <c r="G66" s="91">
        <v>14745207824</v>
      </c>
      <c r="H66" s="92">
        <v>27599</v>
      </c>
      <c r="I66" s="89">
        <v>50</v>
      </c>
      <c r="J66" s="89" t="s">
        <v>70</v>
      </c>
      <c r="K66" s="89" t="s">
        <v>52</v>
      </c>
      <c r="L66" s="89" t="s">
        <v>227</v>
      </c>
      <c r="M66" s="89" t="s">
        <v>240</v>
      </c>
      <c r="N66" s="89" t="s">
        <v>307</v>
      </c>
      <c r="O66" s="93" t="s">
        <v>308</v>
      </c>
      <c r="P66" s="94" t="s">
        <v>57</v>
      </c>
      <c r="Q66" s="112" t="s">
        <v>58</v>
      </c>
      <c r="R66" s="95">
        <v>46098</v>
      </c>
      <c r="S66" s="96"/>
      <c r="T66" s="96" t="s">
        <v>59</v>
      </c>
      <c r="U66" s="96" t="s">
        <v>60</v>
      </c>
      <c r="V66" s="92">
        <v>46098</v>
      </c>
      <c r="W66" s="92" t="s">
        <v>61</v>
      </c>
      <c r="X66" s="92" t="s">
        <v>61</v>
      </c>
      <c r="Y66" s="97"/>
      <c r="Z66" s="89" t="s">
        <v>62</v>
      </c>
      <c r="AA66" s="96">
        <v>46161</v>
      </c>
      <c r="AB66" s="89" t="s">
        <v>80</v>
      </c>
      <c r="AC66" s="111"/>
      <c r="AD66" s="89"/>
      <c r="AE66" s="89"/>
      <c r="AF66" s="98"/>
      <c r="AG66" s="98"/>
      <c r="AH66" s="98"/>
      <c r="AI66" s="99" t="s">
        <v>67</v>
      </c>
      <c r="AJ66" s="99" t="s">
        <v>67</v>
      </c>
      <c r="AK66" s="99" t="s">
        <v>67</v>
      </c>
      <c r="AL66" s="45" t="s">
        <v>68</v>
      </c>
      <c r="AM66" s="162" t="str">
        <f t="shared" ref="AM66:AM129" si="8">MONTH(B66)&amp;"/"&amp;YEAR(B66)</f>
        <v>3/2026</v>
      </c>
      <c r="AN66" s="45">
        <f t="shared" ref="AN66:AN129" si="9">WEEKNUM(B66)-WEEKNUM(EOMONTH(B66,-1)+1)+1</f>
        <v>2</v>
      </c>
      <c r="AO66" s="45" t="str">
        <f t="shared" ref="AO66:AO129" si="10">MONTH(R66)&amp;"/"&amp;YEAR(R66)</f>
        <v>3/2026</v>
      </c>
      <c r="AP66" s="45">
        <f t="shared" ref="AP66:AP129" si="11">WEEKNUM(R66)-WEEKNUM(EOMONTH(R66,-1)+1)+1</f>
        <v>3</v>
      </c>
      <c r="AQ66" s="45">
        <f t="shared" ref="AQ66:AQ129" si="12">IF(AU66="S",IF(Q66="1. Aceitou o programa",R66-B66,0),0)</f>
        <v>7</v>
      </c>
      <c r="AR66" s="45">
        <f t="shared" ref="AR66:AR129" si="13">IF(AU66="S",IF(AND(S66&lt;&gt;"",R66&lt;&gt;""),S66-R66,0),0)</f>
        <v>0</v>
      </c>
      <c r="AS66" s="45">
        <f t="shared" ref="AS66:AS129" si="14">IF(AU66="S",IF(Q66="1. Aceitou o programa",IF(OR(X66="Não se Aplica",X66=""),IF(OR(W66="Não se Aplica",W66=""),0,W66-V66),AVERAGE(X66-W66,W66-V66)),0),0)</f>
        <v>0</v>
      </c>
      <c r="AT66" s="45">
        <f t="shared" ref="AT66:AT129" si="15">IF(AU66="S",IF(AND(Q66="1. Aceitou o programa",AB66="Realizada"),IFERROR(IF(AA66="",0,AA66-R66),0),0),0)</f>
        <v>0</v>
      </c>
      <c r="AU66" s="45" t="str">
        <f>_xlfn.XLOOKUP(U66,'Lista Suspensa'!$AA$20:$AA$23,'Lista Suspensa'!$AB$20:$AB$23,"N/A")</f>
        <v>S</v>
      </c>
    </row>
    <row r="67" spans="1:47" ht="12" customHeight="1" x14ac:dyDescent="0.3">
      <c r="A67" s="87" t="s">
        <v>67</v>
      </c>
      <c r="B67" s="88">
        <v>46091</v>
      </c>
      <c r="C67" s="89" t="s">
        <v>211</v>
      </c>
      <c r="D67" s="89" t="s">
        <v>49</v>
      </c>
      <c r="E67" s="90">
        <v>79126705</v>
      </c>
      <c r="F67" s="184" t="s">
        <v>309</v>
      </c>
      <c r="G67" s="91">
        <v>23606541791</v>
      </c>
      <c r="H67" s="92">
        <v>18920</v>
      </c>
      <c r="I67" s="89">
        <v>74</v>
      </c>
      <c r="J67" s="89" t="s">
        <v>51</v>
      </c>
      <c r="K67" s="89" t="s">
        <v>52</v>
      </c>
      <c r="L67" s="89" t="s">
        <v>53</v>
      </c>
      <c r="M67" s="89" t="s">
        <v>310</v>
      </c>
      <c r="N67" s="89" t="s">
        <v>185</v>
      </c>
      <c r="O67" s="93" t="s">
        <v>311</v>
      </c>
      <c r="P67" s="94" t="s">
        <v>57</v>
      </c>
      <c r="Q67" s="112" t="s">
        <v>58</v>
      </c>
      <c r="R67" s="95">
        <v>46098</v>
      </c>
      <c r="S67" s="96"/>
      <c r="T67" s="96" t="s">
        <v>59</v>
      </c>
      <c r="U67" s="96" t="s">
        <v>60</v>
      </c>
      <c r="V67" s="92">
        <v>46098</v>
      </c>
      <c r="W67" s="92" t="s">
        <v>61</v>
      </c>
      <c r="X67" s="92" t="s">
        <v>61</v>
      </c>
      <c r="Y67" s="97"/>
      <c r="Z67" s="89" t="s">
        <v>62</v>
      </c>
      <c r="AA67" s="96" t="s">
        <v>312</v>
      </c>
      <c r="AB67" s="89" t="s">
        <v>63</v>
      </c>
      <c r="AC67" s="111"/>
      <c r="AD67" s="89" t="s">
        <v>64</v>
      </c>
      <c r="AE67" s="89">
        <v>65</v>
      </c>
      <c r="AF67" s="98" t="s">
        <v>65</v>
      </c>
      <c r="AG67" s="98" t="s">
        <v>313</v>
      </c>
      <c r="AH67" s="98" t="s">
        <v>66</v>
      </c>
      <c r="AI67" s="99" t="s">
        <v>67</v>
      </c>
      <c r="AJ67" s="99" t="s">
        <v>67</v>
      </c>
      <c r="AK67" s="99" t="s">
        <v>67</v>
      </c>
      <c r="AL67" s="45" t="s">
        <v>68</v>
      </c>
      <c r="AM67" s="162" t="str">
        <f t="shared" si="8"/>
        <v>3/2026</v>
      </c>
      <c r="AN67" s="45">
        <f t="shared" si="9"/>
        <v>2</v>
      </c>
      <c r="AO67" s="45" t="str">
        <f t="shared" si="10"/>
        <v>3/2026</v>
      </c>
      <c r="AP67" s="45">
        <f t="shared" si="11"/>
        <v>3</v>
      </c>
      <c r="AQ67" s="45">
        <f t="shared" si="12"/>
        <v>7</v>
      </c>
      <c r="AR67" s="45">
        <f t="shared" si="13"/>
        <v>0</v>
      </c>
      <c r="AS67" s="45">
        <f t="shared" si="14"/>
        <v>0</v>
      </c>
      <c r="AT67" s="45">
        <f t="shared" si="15"/>
        <v>62.472222222218988</v>
      </c>
      <c r="AU67" s="45" t="str">
        <f>_xlfn.XLOOKUP(U67,'Lista Suspensa'!$AA$20:$AA$23,'Lista Suspensa'!$AB$20:$AB$23,"N/A")</f>
        <v>S</v>
      </c>
    </row>
    <row r="68" spans="1:47" ht="12" customHeight="1" x14ac:dyDescent="0.3">
      <c r="A68" s="87" t="s">
        <v>67</v>
      </c>
      <c r="B68" s="88">
        <v>46091</v>
      </c>
      <c r="C68" s="89" t="s">
        <v>211</v>
      </c>
      <c r="D68" s="89" t="s">
        <v>49</v>
      </c>
      <c r="E68" s="90">
        <v>76214077</v>
      </c>
      <c r="F68" s="184" t="s">
        <v>314</v>
      </c>
      <c r="G68" s="91">
        <v>3009037740</v>
      </c>
      <c r="H68" s="92">
        <v>27807</v>
      </c>
      <c r="I68" s="89">
        <v>50</v>
      </c>
      <c r="J68" s="89" t="s">
        <v>51</v>
      </c>
      <c r="K68" s="89" t="s">
        <v>88</v>
      </c>
      <c r="L68" s="89" t="s">
        <v>315</v>
      </c>
      <c r="M68" s="89" t="s">
        <v>76</v>
      </c>
      <c r="N68" s="89" t="s">
        <v>91</v>
      </c>
      <c r="O68" s="93" t="s">
        <v>316</v>
      </c>
      <c r="P68" s="94" t="s">
        <v>57</v>
      </c>
      <c r="Q68" s="112" t="s">
        <v>58</v>
      </c>
      <c r="R68" s="95">
        <v>46073</v>
      </c>
      <c r="S68" s="96"/>
      <c r="T68" s="96" t="s">
        <v>59</v>
      </c>
      <c r="U68" s="96" t="s">
        <v>60</v>
      </c>
      <c r="V68" s="92">
        <v>46073</v>
      </c>
      <c r="W68" s="92" t="s">
        <v>61</v>
      </c>
      <c r="X68" s="92" t="s">
        <v>61</v>
      </c>
      <c r="Y68" s="97"/>
      <c r="Z68" s="89" t="s">
        <v>62</v>
      </c>
      <c r="AA68" s="96">
        <v>46104.666666666664</v>
      </c>
      <c r="AB68" s="89" t="s">
        <v>63</v>
      </c>
      <c r="AC68" s="111">
        <v>46119</v>
      </c>
      <c r="AD68" s="89" t="s">
        <v>86</v>
      </c>
      <c r="AE68" s="89">
        <v>50</v>
      </c>
      <c r="AF68" s="98" t="s">
        <v>126</v>
      </c>
      <c r="AG68" s="98"/>
      <c r="AH68" s="98" t="s">
        <v>66</v>
      </c>
      <c r="AI68" s="99" t="s">
        <v>67</v>
      </c>
      <c r="AJ68" s="99" t="s">
        <v>67</v>
      </c>
      <c r="AK68" s="99" t="s">
        <v>67</v>
      </c>
      <c r="AL68" s="45" t="s">
        <v>68</v>
      </c>
      <c r="AM68" s="162" t="str">
        <f t="shared" si="8"/>
        <v>3/2026</v>
      </c>
      <c r="AN68" s="45">
        <f t="shared" si="9"/>
        <v>2</v>
      </c>
      <c r="AO68" s="45" t="str">
        <f t="shared" si="10"/>
        <v>2/2026</v>
      </c>
      <c r="AP68" s="45">
        <f t="shared" si="11"/>
        <v>3</v>
      </c>
      <c r="AQ68" s="45">
        <f t="shared" si="12"/>
        <v>-18</v>
      </c>
      <c r="AR68" s="45">
        <f t="shared" si="13"/>
        <v>0</v>
      </c>
      <c r="AS68" s="45">
        <f t="shared" si="14"/>
        <v>0</v>
      </c>
      <c r="AT68" s="45">
        <f t="shared" si="15"/>
        <v>31.666666666664241</v>
      </c>
      <c r="AU68" s="45" t="str">
        <f>_xlfn.XLOOKUP(U68,'Lista Suspensa'!$AA$20:$AA$23,'Lista Suspensa'!$AB$20:$AB$23,"N/A")</f>
        <v>S</v>
      </c>
    </row>
    <row r="69" spans="1:47" ht="12" customHeight="1" x14ac:dyDescent="0.3">
      <c r="A69" s="87" t="s">
        <v>67</v>
      </c>
      <c r="B69" s="88">
        <v>46091</v>
      </c>
      <c r="C69" s="89" t="s">
        <v>211</v>
      </c>
      <c r="D69" s="89" t="s">
        <v>49</v>
      </c>
      <c r="E69" s="90">
        <v>92697443</v>
      </c>
      <c r="F69" s="184" t="s">
        <v>317</v>
      </c>
      <c r="G69" s="91">
        <v>48853160578</v>
      </c>
      <c r="H69" s="92">
        <v>23165</v>
      </c>
      <c r="I69" s="89">
        <v>62</v>
      </c>
      <c r="J69" s="89" t="s">
        <v>70</v>
      </c>
      <c r="K69" s="89" t="s">
        <v>52</v>
      </c>
      <c r="L69" s="89" t="s">
        <v>53</v>
      </c>
      <c r="M69" s="89" t="s">
        <v>318</v>
      </c>
      <c r="N69" s="89" t="s">
        <v>113</v>
      </c>
      <c r="O69" s="93" t="s">
        <v>319</v>
      </c>
      <c r="P69" s="94" t="s">
        <v>57</v>
      </c>
      <c r="Q69" s="112" t="s">
        <v>58</v>
      </c>
      <c r="R69" s="95">
        <v>46112</v>
      </c>
      <c r="S69" s="96"/>
      <c r="T69" s="96" t="s">
        <v>59</v>
      </c>
      <c r="U69" s="96" t="s">
        <v>60</v>
      </c>
      <c r="V69" s="92">
        <v>46098</v>
      </c>
      <c r="W69" s="92" t="s">
        <v>61</v>
      </c>
      <c r="X69" s="92" t="s">
        <v>61</v>
      </c>
      <c r="Y69" s="97"/>
      <c r="Z69" s="89" t="s">
        <v>62</v>
      </c>
      <c r="AA69" s="96">
        <v>46113.458333101851</v>
      </c>
      <c r="AB69" s="89" t="s">
        <v>80</v>
      </c>
      <c r="AC69" s="111"/>
      <c r="AD69" s="89"/>
      <c r="AE69" s="89"/>
      <c r="AF69" s="98"/>
      <c r="AG69" s="98"/>
      <c r="AH69" s="98"/>
      <c r="AI69" s="99" t="s">
        <v>67</v>
      </c>
      <c r="AJ69" s="99" t="s">
        <v>67</v>
      </c>
      <c r="AK69" s="99" t="s">
        <v>67</v>
      </c>
      <c r="AL69" s="45" t="s">
        <v>68</v>
      </c>
      <c r="AM69" s="162" t="str">
        <f t="shared" si="8"/>
        <v>3/2026</v>
      </c>
      <c r="AN69" s="45">
        <f t="shared" si="9"/>
        <v>2</v>
      </c>
      <c r="AO69" s="45" t="str">
        <f t="shared" si="10"/>
        <v>3/2026</v>
      </c>
      <c r="AP69" s="45">
        <f t="shared" si="11"/>
        <v>5</v>
      </c>
      <c r="AQ69" s="45">
        <f t="shared" si="12"/>
        <v>21</v>
      </c>
      <c r="AR69" s="45">
        <f t="shared" si="13"/>
        <v>0</v>
      </c>
      <c r="AS69" s="45">
        <f t="shared" si="14"/>
        <v>0</v>
      </c>
      <c r="AT69" s="45">
        <f t="shared" si="15"/>
        <v>0</v>
      </c>
      <c r="AU69" s="45" t="str">
        <f>_xlfn.XLOOKUP(U69,'Lista Suspensa'!$AA$20:$AA$23,'Lista Suspensa'!$AB$20:$AB$23,"N/A")</f>
        <v>S</v>
      </c>
    </row>
    <row r="70" spans="1:47" ht="12" customHeight="1" x14ac:dyDescent="0.3">
      <c r="A70" s="87" t="s">
        <v>67</v>
      </c>
      <c r="B70" s="88">
        <v>46091</v>
      </c>
      <c r="C70" s="89" t="s">
        <v>211</v>
      </c>
      <c r="D70" s="89" t="s">
        <v>49</v>
      </c>
      <c r="E70" s="90">
        <v>451630173</v>
      </c>
      <c r="F70" s="184" t="s">
        <v>320</v>
      </c>
      <c r="G70" s="91">
        <v>7856083891</v>
      </c>
      <c r="H70" s="92">
        <v>14350</v>
      </c>
      <c r="I70" s="89">
        <v>87</v>
      </c>
      <c r="J70" s="89" t="s">
        <v>70</v>
      </c>
      <c r="K70" s="89" t="s">
        <v>52</v>
      </c>
      <c r="L70" s="89" t="s">
        <v>53</v>
      </c>
      <c r="M70" s="89" t="s">
        <v>321</v>
      </c>
      <c r="N70" s="89" t="s">
        <v>72</v>
      </c>
      <c r="O70" s="93" t="s">
        <v>322</v>
      </c>
      <c r="P70" s="94" t="s">
        <v>57</v>
      </c>
      <c r="Q70" s="112" t="s">
        <v>58</v>
      </c>
      <c r="R70" s="95">
        <v>46112</v>
      </c>
      <c r="S70" s="96"/>
      <c r="T70" s="96" t="s">
        <v>59</v>
      </c>
      <c r="U70" s="96" t="s">
        <v>60</v>
      </c>
      <c r="V70" s="92">
        <v>46098</v>
      </c>
      <c r="W70" s="92" t="s">
        <v>61</v>
      </c>
      <c r="X70" s="92" t="s">
        <v>61</v>
      </c>
      <c r="Y70" s="97"/>
      <c r="Z70" s="89" t="s">
        <v>62</v>
      </c>
      <c r="AA70" s="96">
        <v>46114.444444444445</v>
      </c>
      <c r="AB70" s="89" t="s">
        <v>80</v>
      </c>
      <c r="AC70" s="111"/>
      <c r="AD70" s="89"/>
      <c r="AE70" s="89"/>
      <c r="AF70" s="98"/>
      <c r="AG70" s="98"/>
      <c r="AH70" s="98"/>
      <c r="AI70" s="99" t="s">
        <v>67</v>
      </c>
      <c r="AJ70" s="99" t="s">
        <v>67</v>
      </c>
      <c r="AK70" s="99" t="s">
        <v>67</v>
      </c>
      <c r="AL70" s="45" t="s">
        <v>68</v>
      </c>
      <c r="AM70" s="162" t="str">
        <f t="shared" si="8"/>
        <v>3/2026</v>
      </c>
      <c r="AN70" s="45">
        <f t="shared" si="9"/>
        <v>2</v>
      </c>
      <c r="AO70" s="45" t="str">
        <f t="shared" si="10"/>
        <v>3/2026</v>
      </c>
      <c r="AP70" s="45">
        <f t="shared" si="11"/>
        <v>5</v>
      </c>
      <c r="AQ70" s="45">
        <f t="shared" si="12"/>
        <v>21</v>
      </c>
      <c r="AR70" s="45">
        <f t="shared" si="13"/>
        <v>0</v>
      </c>
      <c r="AS70" s="45">
        <f t="shared" si="14"/>
        <v>0</v>
      </c>
      <c r="AT70" s="45">
        <f t="shared" si="15"/>
        <v>0</v>
      </c>
      <c r="AU70" s="45" t="str">
        <f>_xlfn.XLOOKUP(U70,'Lista Suspensa'!$AA$20:$AA$23,'Lista Suspensa'!$AB$20:$AB$23,"N/A")</f>
        <v>S</v>
      </c>
    </row>
    <row r="71" spans="1:47" ht="12" customHeight="1" x14ac:dyDescent="0.3">
      <c r="A71" s="87" t="s">
        <v>67</v>
      </c>
      <c r="B71" s="88">
        <v>46091</v>
      </c>
      <c r="C71" s="89" t="s">
        <v>211</v>
      </c>
      <c r="D71" s="89" t="s">
        <v>49</v>
      </c>
      <c r="E71" s="90">
        <v>78345596</v>
      </c>
      <c r="F71" s="184" t="s">
        <v>323</v>
      </c>
      <c r="G71" s="91">
        <v>3756539709</v>
      </c>
      <c r="H71" s="92">
        <v>27381</v>
      </c>
      <c r="I71" s="89">
        <v>51</v>
      </c>
      <c r="J71" s="89" t="s">
        <v>70</v>
      </c>
      <c r="K71" s="89" t="s">
        <v>88</v>
      </c>
      <c r="L71" s="89" t="s">
        <v>89</v>
      </c>
      <c r="M71" s="89" t="s">
        <v>324</v>
      </c>
      <c r="N71" s="89" t="s">
        <v>130</v>
      </c>
      <c r="O71" s="93" t="s">
        <v>325</v>
      </c>
      <c r="P71" s="94" t="s">
        <v>57</v>
      </c>
      <c r="Q71" s="112" t="s">
        <v>58</v>
      </c>
      <c r="R71" s="95">
        <v>46073</v>
      </c>
      <c r="S71" s="96"/>
      <c r="T71" s="96" t="s">
        <v>59</v>
      </c>
      <c r="U71" s="96" t="s">
        <v>60</v>
      </c>
      <c r="V71" s="92">
        <v>46073</v>
      </c>
      <c r="W71" s="92" t="s">
        <v>61</v>
      </c>
      <c r="X71" s="92" t="s">
        <v>61</v>
      </c>
      <c r="Y71" s="97"/>
      <c r="Z71" s="89" t="s">
        <v>62</v>
      </c>
      <c r="AA71" s="96">
        <v>46111.624999826388</v>
      </c>
      <c r="AB71" s="89" t="s">
        <v>63</v>
      </c>
      <c r="AC71" s="111"/>
      <c r="AD71" s="89" t="s">
        <v>64</v>
      </c>
      <c r="AE71" s="89">
        <v>53</v>
      </c>
      <c r="AF71" s="98" t="s">
        <v>326</v>
      </c>
      <c r="AG71" s="98"/>
      <c r="AH71" s="98" t="s">
        <v>66</v>
      </c>
      <c r="AI71" s="99" t="s">
        <v>67</v>
      </c>
      <c r="AJ71" s="99" t="s">
        <v>67</v>
      </c>
      <c r="AK71" s="99" t="s">
        <v>67</v>
      </c>
      <c r="AL71" s="45" t="s">
        <v>68</v>
      </c>
      <c r="AM71" s="162" t="str">
        <f t="shared" si="8"/>
        <v>3/2026</v>
      </c>
      <c r="AN71" s="45">
        <f t="shared" si="9"/>
        <v>2</v>
      </c>
      <c r="AO71" s="45" t="str">
        <f t="shared" si="10"/>
        <v>2/2026</v>
      </c>
      <c r="AP71" s="45">
        <f t="shared" si="11"/>
        <v>3</v>
      </c>
      <c r="AQ71" s="45">
        <f t="shared" si="12"/>
        <v>-18</v>
      </c>
      <c r="AR71" s="45">
        <f t="shared" si="13"/>
        <v>0</v>
      </c>
      <c r="AS71" s="45">
        <f t="shared" si="14"/>
        <v>0</v>
      </c>
      <c r="AT71" s="45">
        <f t="shared" si="15"/>
        <v>38.624999826388375</v>
      </c>
      <c r="AU71" s="45" t="str">
        <f>_xlfn.XLOOKUP(U71,'Lista Suspensa'!$AA$20:$AA$23,'Lista Suspensa'!$AB$20:$AB$23,"N/A")</f>
        <v>S</v>
      </c>
    </row>
    <row r="72" spans="1:47" ht="12" customHeight="1" x14ac:dyDescent="0.3">
      <c r="A72" s="87" t="s">
        <v>67</v>
      </c>
      <c r="B72" s="88">
        <v>46091</v>
      </c>
      <c r="C72" s="89" t="s">
        <v>211</v>
      </c>
      <c r="D72" s="89" t="s">
        <v>49</v>
      </c>
      <c r="E72" s="90">
        <v>86308398</v>
      </c>
      <c r="F72" s="184" t="s">
        <v>327</v>
      </c>
      <c r="G72" s="91">
        <v>2214007709</v>
      </c>
      <c r="H72" s="92">
        <v>26270</v>
      </c>
      <c r="I72" s="89">
        <v>54</v>
      </c>
      <c r="J72" s="89" t="s">
        <v>51</v>
      </c>
      <c r="K72" s="89" t="s">
        <v>88</v>
      </c>
      <c r="L72" s="89" t="s">
        <v>89</v>
      </c>
      <c r="M72" s="89" t="s">
        <v>195</v>
      </c>
      <c r="N72" s="89" t="s">
        <v>328</v>
      </c>
      <c r="O72" s="93" t="s">
        <v>329</v>
      </c>
      <c r="P72" s="94" t="s">
        <v>57</v>
      </c>
      <c r="Q72" s="112" t="s">
        <v>58</v>
      </c>
      <c r="R72" s="95">
        <v>46073</v>
      </c>
      <c r="S72" s="96"/>
      <c r="T72" s="96" t="s">
        <v>59</v>
      </c>
      <c r="U72" s="96" t="s">
        <v>60</v>
      </c>
      <c r="V72" s="92">
        <v>46073</v>
      </c>
      <c r="W72" s="92" t="s">
        <v>61</v>
      </c>
      <c r="X72" s="92" t="s">
        <v>61</v>
      </c>
      <c r="Y72" s="97"/>
      <c r="Z72" s="89" t="s">
        <v>62</v>
      </c>
      <c r="AA72" s="96">
        <v>46162.486111111109</v>
      </c>
      <c r="AB72" s="89" t="s">
        <v>80</v>
      </c>
      <c r="AC72" s="111"/>
      <c r="AD72" s="89"/>
      <c r="AE72" s="89"/>
      <c r="AF72" s="98"/>
      <c r="AG72" s="98"/>
      <c r="AH72" s="98"/>
      <c r="AI72" s="99" t="s">
        <v>67</v>
      </c>
      <c r="AJ72" s="99" t="s">
        <v>67</v>
      </c>
      <c r="AK72" s="99" t="s">
        <v>67</v>
      </c>
      <c r="AL72" s="45" t="s">
        <v>68</v>
      </c>
      <c r="AM72" s="162" t="str">
        <f t="shared" si="8"/>
        <v>3/2026</v>
      </c>
      <c r="AN72" s="45">
        <f t="shared" si="9"/>
        <v>2</v>
      </c>
      <c r="AO72" s="45" t="str">
        <f t="shared" si="10"/>
        <v>2/2026</v>
      </c>
      <c r="AP72" s="45">
        <f t="shared" si="11"/>
        <v>3</v>
      </c>
      <c r="AQ72" s="45">
        <f t="shared" si="12"/>
        <v>-18</v>
      </c>
      <c r="AR72" s="45">
        <f t="shared" si="13"/>
        <v>0</v>
      </c>
      <c r="AS72" s="45">
        <f t="shared" si="14"/>
        <v>0</v>
      </c>
      <c r="AT72" s="45">
        <f t="shared" si="15"/>
        <v>0</v>
      </c>
      <c r="AU72" s="45" t="str">
        <f>_xlfn.XLOOKUP(U72,'Lista Suspensa'!$AA$20:$AA$23,'Lista Suspensa'!$AB$20:$AB$23,"N/A")</f>
        <v>S</v>
      </c>
    </row>
    <row r="73" spans="1:47" ht="12" customHeight="1" x14ac:dyDescent="0.3">
      <c r="A73" s="87" t="s">
        <v>67</v>
      </c>
      <c r="B73" s="88">
        <v>46091</v>
      </c>
      <c r="C73" s="89" t="s">
        <v>211</v>
      </c>
      <c r="D73" s="89" t="s">
        <v>49</v>
      </c>
      <c r="E73" s="90">
        <v>82280432</v>
      </c>
      <c r="F73" s="184" t="s">
        <v>330</v>
      </c>
      <c r="G73" s="91">
        <v>6036931808</v>
      </c>
      <c r="H73" s="92">
        <v>22131</v>
      </c>
      <c r="I73" s="89">
        <v>65</v>
      </c>
      <c r="J73" s="89" t="s">
        <v>70</v>
      </c>
      <c r="K73" s="89" t="s">
        <v>52</v>
      </c>
      <c r="L73" s="89" t="s">
        <v>331</v>
      </c>
      <c r="M73" s="89" t="s">
        <v>332</v>
      </c>
      <c r="N73" s="89" t="s">
        <v>148</v>
      </c>
      <c r="O73" s="93" t="s">
        <v>333</v>
      </c>
      <c r="P73" s="94" t="s">
        <v>57</v>
      </c>
      <c r="Q73" s="112" t="s">
        <v>58</v>
      </c>
      <c r="R73" s="95">
        <v>46128</v>
      </c>
      <c r="S73" s="96"/>
      <c r="T73" s="96" t="s">
        <v>59</v>
      </c>
      <c r="U73" s="96" t="s">
        <v>60</v>
      </c>
      <c r="V73" s="92">
        <v>46098</v>
      </c>
      <c r="W73" s="92">
        <v>46128</v>
      </c>
      <c r="X73" s="92" t="s">
        <v>61</v>
      </c>
      <c r="Y73" s="97"/>
      <c r="Z73" s="89" t="s">
        <v>62</v>
      </c>
      <c r="AA73" s="96">
        <v>46118</v>
      </c>
      <c r="AB73" s="89" t="s">
        <v>63</v>
      </c>
      <c r="AC73" s="111"/>
      <c r="AD73" s="89"/>
      <c r="AE73" s="89"/>
      <c r="AF73" s="98" t="s">
        <v>138</v>
      </c>
      <c r="AG73" s="98"/>
      <c r="AH73" s="98" t="s">
        <v>66</v>
      </c>
      <c r="AI73" s="99" t="s">
        <v>67</v>
      </c>
      <c r="AJ73" s="99" t="s">
        <v>67</v>
      </c>
      <c r="AK73" s="99" t="s">
        <v>67</v>
      </c>
      <c r="AL73" s="45" t="s">
        <v>68</v>
      </c>
      <c r="AM73" s="162" t="str">
        <f t="shared" si="8"/>
        <v>3/2026</v>
      </c>
      <c r="AN73" s="45">
        <f t="shared" si="9"/>
        <v>2</v>
      </c>
      <c r="AO73" s="45" t="str">
        <f t="shared" si="10"/>
        <v>4/2026</v>
      </c>
      <c r="AP73" s="45">
        <f t="shared" si="11"/>
        <v>3</v>
      </c>
      <c r="AQ73" s="45">
        <f t="shared" si="12"/>
        <v>37</v>
      </c>
      <c r="AR73" s="45">
        <f t="shared" si="13"/>
        <v>0</v>
      </c>
      <c r="AS73" s="45">
        <f t="shared" si="14"/>
        <v>30</v>
      </c>
      <c r="AT73" s="45">
        <f t="shared" si="15"/>
        <v>-10</v>
      </c>
      <c r="AU73" s="45" t="str">
        <f>_xlfn.XLOOKUP(U73,'Lista Suspensa'!$AA$20:$AA$23,'Lista Suspensa'!$AB$20:$AB$23,"N/A")</f>
        <v>S</v>
      </c>
    </row>
    <row r="74" spans="1:47" ht="12" customHeight="1" x14ac:dyDescent="0.3">
      <c r="A74" s="87" t="s">
        <v>67</v>
      </c>
      <c r="B74" s="88">
        <v>46091</v>
      </c>
      <c r="C74" s="89" t="s">
        <v>211</v>
      </c>
      <c r="D74" s="89" t="s">
        <v>49</v>
      </c>
      <c r="E74" s="90">
        <v>77274799</v>
      </c>
      <c r="F74" s="184" t="s">
        <v>334</v>
      </c>
      <c r="G74" s="91">
        <v>2096262755</v>
      </c>
      <c r="H74" s="92">
        <v>13183</v>
      </c>
      <c r="I74" s="89">
        <v>90</v>
      </c>
      <c r="J74" s="89" t="s">
        <v>51</v>
      </c>
      <c r="K74" s="89" t="s">
        <v>88</v>
      </c>
      <c r="L74" s="89" t="s">
        <v>97</v>
      </c>
      <c r="M74" s="89" t="s">
        <v>335</v>
      </c>
      <c r="N74" s="89" t="s">
        <v>148</v>
      </c>
      <c r="O74" s="93" t="s">
        <v>336</v>
      </c>
      <c r="P74" s="94" t="s">
        <v>57</v>
      </c>
      <c r="Q74" s="112" t="s">
        <v>58</v>
      </c>
      <c r="R74" s="95">
        <v>46128</v>
      </c>
      <c r="S74" s="96"/>
      <c r="T74" s="96" t="s">
        <v>59</v>
      </c>
      <c r="U74" s="96" t="s">
        <v>60</v>
      </c>
      <c r="V74" s="92">
        <v>46112</v>
      </c>
      <c r="W74" s="92">
        <v>46128</v>
      </c>
      <c r="X74" s="92" t="s">
        <v>61</v>
      </c>
      <c r="Y74" s="97"/>
      <c r="Z74" s="89" t="s">
        <v>62</v>
      </c>
      <c r="AA74" s="96">
        <v>46118</v>
      </c>
      <c r="AB74" s="89" t="s">
        <v>118</v>
      </c>
      <c r="AC74" s="111"/>
      <c r="AD74" s="89"/>
      <c r="AE74" s="89"/>
      <c r="AF74" s="98"/>
      <c r="AG74" s="98"/>
      <c r="AH74" s="98"/>
      <c r="AI74" s="99" t="s">
        <v>67</v>
      </c>
      <c r="AJ74" s="99" t="s">
        <v>67</v>
      </c>
      <c r="AK74" s="99" t="s">
        <v>67</v>
      </c>
      <c r="AL74" s="45" t="s">
        <v>68</v>
      </c>
      <c r="AM74" s="162" t="str">
        <f t="shared" si="8"/>
        <v>3/2026</v>
      </c>
      <c r="AN74" s="45">
        <f t="shared" si="9"/>
        <v>2</v>
      </c>
      <c r="AO74" s="45" t="str">
        <f t="shared" si="10"/>
        <v>4/2026</v>
      </c>
      <c r="AP74" s="45">
        <f t="shared" si="11"/>
        <v>3</v>
      </c>
      <c r="AQ74" s="45">
        <f t="shared" si="12"/>
        <v>37</v>
      </c>
      <c r="AR74" s="45">
        <f t="shared" si="13"/>
        <v>0</v>
      </c>
      <c r="AS74" s="45">
        <f t="shared" si="14"/>
        <v>16</v>
      </c>
      <c r="AT74" s="45">
        <f t="shared" si="15"/>
        <v>0</v>
      </c>
      <c r="AU74" s="45" t="str">
        <f>_xlfn.XLOOKUP(U74,'Lista Suspensa'!$AA$20:$AA$23,'Lista Suspensa'!$AB$20:$AB$23,"N/A")</f>
        <v>S</v>
      </c>
    </row>
    <row r="75" spans="1:47" ht="12" customHeight="1" x14ac:dyDescent="0.3">
      <c r="A75" s="87" t="s">
        <v>67</v>
      </c>
      <c r="B75" s="88">
        <v>46091</v>
      </c>
      <c r="C75" s="89" t="s">
        <v>211</v>
      </c>
      <c r="D75" s="89" t="s">
        <v>49</v>
      </c>
      <c r="E75" s="90">
        <v>77612491</v>
      </c>
      <c r="F75" s="184" t="s">
        <v>337</v>
      </c>
      <c r="G75" s="91" t="s">
        <v>338</v>
      </c>
      <c r="H75" s="92">
        <v>25904</v>
      </c>
      <c r="I75" s="89">
        <v>55</v>
      </c>
      <c r="J75" s="89" t="s">
        <v>70</v>
      </c>
      <c r="K75" s="89" t="s">
        <v>52</v>
      </c>
      <c r="L75" s="89" t="s">
        <v>331</v>
      </c>
      <c r="M75" s="89" t="s">
        <v>339</v>
      </c>
      <c r="N75" s="89" t="s">
        <v>148</v>
      </c>
      <c r="O75" s="93" t="s">
        <v>340</v>
      </c>
      <c r="P75" s="94" t="s">
        <v>57</v>
      </c>
      <c r="Q75" s="112" t="s">
        <v>58</v>
      </c>
      <c r="R75" s="95">
        <v>46073</v>
      </c>
      <c r="S75" s="96"/>
      <c r="T75" s="96" t="s">
        <v>59</v>
      </c>
      <c r="U75" s="96" t="s">
        <v>60</v>
      </c>
      <c r="V75" s="92">
        <v>46098</v>
      </c>
      <c r="W75" s="92" t="s">
        <v>61</v>
      </c>
      <c r="X75" s="92" t="s">
        <v>61</v>
      </c>
      <c r="Y75" s="97"/>
      <c r="Z75" s="89" t="s">
        <v>62</v>
      </c>
      <c r="AA75" s="96">
        <v>46111.694443981483</v>
      </c>
      <c r="AB75" s="89" t="s">
        <v>63</v>
      </c>
      <c r="AC75" s="111"/>
      <c r="AD75" s="89" t="s">
        <v>86</v>
      </c>
      <c r="AE75" s="89">
        <v>39</v>
      </c>
      <c r="AF75" s="98" t="s">
        <v>341</v>
      </c>
      <c r="AG75" s="98"/>
      <c r="AH75" s="98" t="s">
        <v>66</v>
      </c>
      <c r="AI75" s="99" t="s">
        <v>67</v>
      </c>
      <c r="AJ75" s="99" t="s">
        <v>67</v>
      </c>
      <c r="AK75" s="99" t="s">
        <v>67</v>
      </c>
      <c r="AL75" s="45" t="s">
        <v>68</v>
      </c>
      <c r="AM75" s="162" t="str">
        <f t="shared" si="8"/>
        <v>3/2026</v>
      </c>
      <c r="AN75" s="45">
        <f t="shared" si="9"/>
        <v>2</v>
      </c>
      <c r="AO75" s="45" t="str">
        <f t="shared" si="10"/>
        <v>2/2026</v>
      </c>
      <c r="AP75" s="45">
        <f t="shared" si="11"/>
        <v>3</v>
      </c>
      <c r="AQ75" s="45">
        <f t="shared" si="12"/>
        <v>-18</v>
      </c>
      <c r="AR75" s="45">
        <f t="shared" si="13"/>
        <v>0</v>
      </c>
      <c r="AS75" s="45">
        <f t="shared" si="14"/>
        <v>0</v>
      </c>
      <c r="AT75" s="45">
        <f t="shared" si="15"/>
        <v>38.694443981483346</v>
      </c>
      <c r="AU75" s="45" t="str">
        <f>_xlfn.XLOOKUP(U75,'Lista Suspensa'!$AA$20:$AA$23,'Lista Suspensa'!$AB$20:$AB$23,"N/A")</f>
        <v>S</v>
      </c>
    </row>
    <row r="76" spans="1:47" ht="12" customHeight="1" x14ac:dyDescent="0.3">
      <c r="A76" s="87" t="s">
        <v>67</v>
      </c>
      <c r="B76" s="88">
        <v>46091</v>
      </c>
      <c r="C76" s="89" t="s">
        <v>211</v>
      </c>
      <c r="D76" s="89" t="s">
        <v>49</v>
      </c>
      <c r="E76" s="90">
        <v>83571836</v>
      </c>
      <c r="F76" s="184" t="s">
        <v>342</v>
      </c>
      <c r="G76" s="91">
        <v>12309674788</v>
      </c>
      <c r="H76" s="92">
        <v>32386</v>
      </c>
      <c r="I76" s="89">
        <v>37</v>
      </c>
      <c r="J76" s="89" t="s">
        <v>51</v>
      </c>
      <c r="K76" s="89" t="s">
        <v>88</v>
      </c>
      <c r="L76" s="89" t="s">
        <v>89</v>
      </c>
      <c r="M76" s="89" t="s">
        <v>343</v>
      </c>
      <c r="N76" s="89" t="s">
        <v>148</v>
      </c>
      <c r="O76" s="93" t="s">
        <v>344</v>
      </c>
      <c r="P76" s="94" t="s">
        <v>57</v>
      </c>
      <c r="Q76" s="112" t="s">
        <v>58</v>
      </c>
      <c r="R76" s="95">
        <v>46073</v>
      </c>
      <c r="S76" s="96"/>
      <c r="T76" s="96" t="s">
        <v>59</v>
      </c>
      <c r="U76" s="96" t="s">
        <v>60</v>
      </c>
      <c r="V76" s="92">
        <v>46073</v>
      </c>
      <c r="W76" s="92" t="s">
        <v>61</v>
      </c>
      <c r="X76" s="92" t="s">
        <v>61</v>
      </c>
      <c r="Y76" s="97"/>
      <c r="Z76" s="89" t="s">
        <v>62</v>
      </c>
      <c r="AA76" s="96">
        <v>46105.708333333336</v>
      </c>
      <c r="AB76" s="89" t="s">
        <v>63</v>
      </c>
      <c r="AC76" s="111"/>
      <c r="AD76" s="89" t="s">
        <v>86</v>
      </c>
      <c r="AE76" s="89">
        <v>65</v>
      </c>
      <c r="AF76" s="98"/>
      <c r="AG76" s="98"/>
      <c r="AH76" s="98" t="s">
        <v>66</v>
      </c>
      <c r="AI76" s="99" t="s">
        <v>67</v>
      </c>
      <c r="AJ76" s="99" t="s">
        <v>67</v>
      </c>
      <c r="AK76" s="99" t="s">
        <v>67</v>
      </c>
      <c r="AL76" s="45" t="s">
        <v>68</v>
      </c>
      <c r="AM76" s="162" t="str">
        <f t="shared" si="8"/>
        <v>3/2026</v>
      </c>
      <c r="AN76" s="45">
        <f t="shared" si="9"/>
        <v>2</v>
      </c>
      <c r="AO76" s="45" t="str">
        <f t="shared" si="10"/>
        <v>2/2026</v>
      </c>
      <c r="AP76" s="45">
        <f t="shared" si="11"/>
        <v>3</v>
      </c>
      <c r="AQ76" s="45">
        <f t="shared" si="12"/>
        <v>-18</v>
      </c>
      <c r="AR76" s="45">
        <f t="shared" si="13"/>
        <v>0</v>
      </c>
      <c r="AS76" s="45">
        <f t="shared" si="14"/>
        <v>0</v>
      </c>
      <c r="AT76" s="45">
        <f t="shared" si="15"/>
        <v>32.708333333335759</v>
      </c>
      <c r="AU76" s="45" t="str">
        <f>_xlfn.XLOOKUP(U76,'Lista Suspensa'!$AA$20:$AA$23,'Lista Suspensa'!$AB$20:$AB$23,"N/A")</f>
        <v>S</v>
      </c>
    </row>
    <row r="77" spans="1:47" ht="12" customHeight="1" x14ac:dyDescent="0.3">
      <c r="A77" s="87" t="s">
        <v>67</v>
      </c>
      <c r="B77" s="88">
        <v>46091</v>
      </c>
      <c r="C77" s="89" t="s">
        <v>211</v>
      </c>
      <c r="D77" s="89" t="s">
        <v>49</v>
      </c>
      <c r="E77" s="90">
        <v>94192838</v>
      </c>
      <c r="F77" s="184" t="s">
        <v>345</v>
      </c>
      <c r="G77" s="91">
        <v>43327210802</v>
      </c>
      <c r="H77" s="92">
        <v>34358</v>
      </c>
      <c r="I77" s="89">
        <v>32</v>
      </c>
      <c r="J77" s="89" t="s">
        <v>51</v>
      </c>
      <c r="K77" s="89" t="s">
        <v>52</v>
      </c>
      <c r="L77" s="89" t="s">
        <v>53</v>
      </c>
      <c r="M77" s="89" t="s">
        <v>346</v>
      </c>
      <c r="N77" s="89" t="s">
        <v>148</v>
      </c>
      <c r="O77" s="93" t="s">
        <v>347</v>
      </c>
      <c r="P77" s="94" t="s">
        <v>57</v>
      </c>
      <c r="Q77" s="112" t="s">
        <v>58</v>
      </c>
      <c r="R77" s="95">
        <v>46141</v>
      </c>
      <c r="S77" s="96"/>
      <c r="T77" s="96" t="s">
        <v>59</v>
      </c>
      <c r="U77" s="96" t="s">
        <v>60</v>
      </c>
      <c r="V77" s="92">
        <v>46098</v>
      </c>
      <c r="W77" s="92">
        <v>46095</v>
      </c>
      <c r="X77" s="92">
        <v>46141</v>
      </c>
      <c r="Y77" s="97"/>
      <c r="Z77" s="89" t="s">
        <v>62</v>
      </c>
      <c r="AA77" s="96">
        <v>46146</v>
      </c>
      <c r="AB77" s="89" t="s">
        <v>63</v>
      </c>
      <c r="AC77" s="111"/>
      <c r="AD77" s="89" t="s">
        <v>64</v>
      </c>
      <c r="AE77" s="89">
        <v>55</v>
      </c>
      <c r="AF77" s="98" t="s">
        <v>296</v>
      </c>
      <c r="AG77" s="98"/>
      <c r="AH77" s="98" t="s">
        <v>66</v>
      </c>
      <c r="AI77" s="99" t="s">
        <v>67</v>
      </c>
      <c r="AJ77" s="99" t="s">
        <v>67</v>
      </c>
      <c r="AK77" s="99" t="s">
        <v>67</v>
      </c>
      <c r="AL77" s="45" t="s">
        <v>68</v>
      </c>
      <c r="AM77" s="162" t="str">
        <f t="shared" si="8"/>
        <v>3/2026</v>
      </c>
      <c r="AN77" s="45">
        <f t="shared" si="9"/>
        <v>2</v>
      </c>
      <c r="AO77" s="45" t="str">
        <f t="shared" si="10"/>
        <v>4/2026</v>
      </c>
      <c r="AP77" s="45">
        <f t="shared" si="11"/>
        <v>5</v>
      </c>
      <c r="AQ77" s="45">
        <f t="shared" si="12"/>
        <v>50</v>
      </c>
      <c r="AR77" s="45">
        <f t="shared" si="13"/>
        <v>0</v>
      </c>
      <c r="AS77" s="45">
        <f t="shared" si="14"/>
        <v>21.5</v>
      </c>
      <c r="AT77" s="45">
        <f t="shared" si="15"/>
        <v>5</v>
      </c>
      <c r="AU77" s="45" t="str">
        <f>_xlfn.XLOOKUP(U77,'Lista Suspensa'!$AA$20:$AA$23,'Lista Suspensa'!$AB$20:$AB$23,"N/A")</f>
        <v>S</v>
      </c>
    </row>
    <row r="78" spans="1:47" ht="12" customHeight="1" x14ac:dyDescent="0.3">
      <c r="A78" s="87" t="s">
        <v>67</v>
      </c>
      <c r="B78" s="88">
        <v>46091</v>
      </c>
      <c r="C78" s="89" t="s">
        <v>211</v>
      </c>
      <c r="D78" s="89" t="s">
        <v>49</v>
      </c>
      <c r="E78" s="90">
        <v>81344730</v>
      </c>
      <c r="F78" s="184" t="s">
        <v>348</v>
      </c>
      <c r="G78" s="91" t="s">
        <v>349</v>
      </c>
      <c r="H78" s="92">
        <v>27773</v>
      </c>
      <c r="I78" s="89">
        <v>50</v>
      </c>
      <c r="J78" s="89" t="s">
        <v>51</v>
      </c>
      <c r="K78" s="89" t="s">
        <v>52</v>
      </c>
      <c r="L78" s="89" t="s">
        <v>350</v>
      </c>
      <c r="M78" s="89" t="s">
        <v>351</v>
      </c>
      <c r="N78" s="89" t="s">
        <v>148</v>
      </c>
      <c r="O78" s="93" t="s">
        <v>352</v>
      </c>
      <c r="P78" s="94" t="s">
        <v>57</v>
      </c>
      <c r="Q78" s="112" t="s">
        <v>58</v>
      </c>
      <c r="R78" s="95">
        <v>46141</v>
      </c>
      <c r="S78" s="96"/>
      <c r="T78" s="96" t="s">
        <v>59</v>
      </c>
      <c r="U78" s="96" t="s">
        <v>60</v>
      </c>
      <c r="V78" s="92">
        <v>46098</v>
      </c>
      <c r="W78" s="92">
        <v>46095</v>
      </c>
      <c r="X78" s="92">
        <v>46141</v>
      </c>
      <c r="Y78" s="97"/>
      <c r="Z78" s="89" t="s">
        <v>62</v>
      </c>
      <c r="AA78" s="96">
        <v>46161</v>
      </c>
      <c r="AB78" s="89" t="s">
        <v>80</v>
      </c>
      <c r="AC78" s="111"/>
      <c r="AD78" s="89"/>
      <c r="AE78" s="89"/>
      <c r="AF78" s="98"/>
      <c r="AG78" s="98"/>
      <c r="AH78" s="98"/>
      <c r="AI78" s="99" t="s">
        <v>67</v>
      </c>
      <c r="AJ78" s="99" t="s">
        <v>67</v>
      </c>
      <c r="AK78" s="99" t="s">
        <v>67</v>
      </c>
      <c r="AL78" s="45" t="s">
        <v>68</v>
      </c>
      <c r="AM78" s="162" t="str">
        <f t="shared" si="8"/>
        <v>3/2026</v>
      </c>
      <c r="AN78" s="45">
        <f t="shared" si="9"/>
        <v>2</v>
      </c>
      <c r="AO78" s="45" t="str">
        <f t="shared" si="10"/>
        <v>4/2026</v>
      </c>
      <c r="AP78" s="45">
        <f t="shared" si="11"/>
        <v>5</v>
      </c>
      <c r="AQ78" s="45">
        <f t="shared" si="12"/>
        <v>50</v>
      </c>
      <c r="AR78" s="45">
        <f t="shared" si="13"/>
        <v>0</v>
      </c>
      <c r="AS78" s="45">
        <f t="shared" si="14"/>
        <v>21.5</v>
      </c>
      <c r="AT78" s="45">
        <f t="shared" si="15"/>
        <v>0</v>
      </c>
      <c r="AU78" s="45" t="str">
        <f>_xlfn.XLOOKUP(U78,'Lista Suspensa'!$AA$20:$AA$23,'Lista Suspensa'!$AB$20:$AB$23,"N/A")</f>
        <v>S</v>
      </c>
    </row>
    <row r="79" spans="1:47" ht="12" customHeight="1" x14ac:dyDescent="0.3">
      <c r="A79" s="87" t="s">
        <v>67</v>
      </c>
      <c r="B79" s="88">
        <v>46091</v>
      </c>
      <c r="C79" s="89" t="s">
        <v>211</v>
      </c>
      <c r="D79" s="89" t="s">
        <v>49</v>
      </c>
      <c r="E79" s="90">
        <v>301300712</v>
      </c>
      <c r="F79" s="184" t="s">
        <v>353</v>
      </c>
      <c r="G79" s="91">
        <v>7167156868</v>
      </c>
      <c r="H79" s="92">
        <v>12024</v>
      </c>
      <c r="I79" s="89">
        <v>93</v>
      </c>
      <c r="J79" s="89" t="s">
        <v>51</v>
      </c>
      <c r="K79" s="89" t="s">
        <v>52</v>
      </c>
      <c r="L79" s="89" t="s">
        <v>53</v>
      </c>
      <c r="M79" s="89" t="s">
        <v>151</v>
      </c>
      <c r="N79" s="89" t="s">
        <v>170</v>
      </c>
      <c r="O79" s="93" t="s">
        <v>354</v>
      </c>
      <c r="P79" s="94" t="s">
        <v>57</v>
      </c>
      <c r="Q79" s="112" t="s">
        <v>58</v>
      </c>
      <c r="R79" s="95">
        <v>46141</v>
      </c>
      <c r="S79" s="96"/>
      <c r="T79" s="96" t="s">
        <v>59</v>
      </c>
      <c r="U79" s="96" t="s">
        <v>60</v>
      </c>
      <c r="V79" s="92">
        <v>46098</v>
      </c>
      <c r="W79" s="92">
        <v>46095</v>
      </c>
      <c r="X79" s="92">
        <v>46141</v>
      </c>
      <c r="Y79" s="97"/>
      <c r="Z79" s="89" t="s">
        <v>62</v>
      </c>
      <c r="AA79" s="96">
        <v>46146</v>
      </c>
      <c r="AB79" s="89" t="s">
        <v>63</v>
      </c>
      <c r="AC79" s="111"/>
      <c r="AD79" s="89" t="s">
        <v>265</v>
      </c>
      <c r="AE79" s="89">
        <v>28</v>
      </c>
      <c r="AF79" s="98" t="s">
        <v>175</v>
      </c>
      <c r="AG79" s="98"/>
      <c r="AH79" s="98" t="s">
        <v>66</v>
      </c>
      <c r="AI79" s="99" t="s">
        <v>67</v>
      </c>
      <c r="AJ79" s="99" t="s">
        <v>67</v>
      </c>
      <c r="AK79" s="99" t="s">
        <v>67</v>
      </c>
      <c r="AL79" s="45" t="s">
        <v>68</v>
      </c>
      <c r="AM79" s="162" t="str">
        <f t="shared" si="8"/>
        <v>3/2026</v>
      </c>
      <c r="AN79" s="45">
        <f t="shared" si="9"/>
        <v>2</v>
      </c>
      <c r="AO79" s="45" t="str">
        <f t="shared" si="10"/>
        <v>4/2026</v>
      </c>
      <c r="AP79" s="45">
        <f t="shared" si="11"/>
        <v>5</v>
      </c>
      <c r="AQ79" s="45">
        <f t="shared" si="12"/>
        <v>50</v>
      </c>
      <c r="AR79" s="45">
        <f t="shared" si="13"/>
        <v>0</v>
      </c>
      <c r="AS79" s="45">
        <f t="shared" si="14"/>
        <v>21.5</v>
      </c>
      <c r="AT79" s="45">
        <f t="shared" si="15"/>
        <v>5</v>
      </c>
      <c r="AU79" s="45" t="str">
        <f>_xlfn.XLOOKUP(U79,'Lista Suspensa'!$AA$20:$AA$23,'Lista Suspensa'!$AB$20:$AB$23,"N/A")</f>
        <v>S</v>
      </c>
    </row>
    <row r="80" spans="1:47" ht="12" customHeight="1" x14ac:dyDescent="0.3">
      <c r="A80" s="87" t="s">
        <v>67</v>
      </c>
      <c r="B80" s="88">
        <v>46091</v>
      </c>
      <c r="C80" s="89" t="s">
        <v>211</v>
      </c>
      <c r="D80" s="89" t="s">
        <v>49</v>
      </c>
      <c r="E80" s="90">
        <v>226416852</v>
      </c>
      <c r="F80" s="184" t="s">
        <v>355</v>
      </c>
      <c r="G80" s="91">
        <v>12878387821</v>
      </c>
      <c r="H80" s="92">
        <v>24200</v>
      </c>
      <c r="I80" s="89">
        <v>60</v>
      </c>
      <c r="J80" s="89" t="s">
        <v>70</v>
      </c>
      <c r="K80" s="89" t="s">
        <v>52</v>
      </c>
      <c r="L80" s="89" t="s">
        <v>53</v>
      </c>
      <c r="M80" s="89" t="s">
        <v>356</v>
      </c>
      <c r="N80" s="89" t="s">
        <v>170</v>
      </c>
      <c r="O80" s="93" t="s">
        <v>357</v>
      </c>
      <c r="P80" s="94" t="s">
        <v>57</v>
      </c>
      <c r="Q80" s="112" t="s">
        <v>58</v>
      </c>
      <c r="R80" s="95">
        <v>46141</v>
      </c>
      <c r="S80" s="96"/>
      <c r="T80" s="96" t="s">
        <v>59</v>
      </c>
      <c r="U80" s="96" t="s">
        <v>60</v>
      </c>
      <c r="V80" s="92">
        <v>46098</v>
      </c>
      <c r="W80" s="92">
        <v>46095</v>
      </c>
      <c r="X80" s="92">
        <v>46141</v>
      </c>
      <c r="Y80" s="97"/>
      <c r="Z80" s="89" t="s">
        <v>62</v>
      </c>
      <c r="AA80" s="96">
        <v>46149</v>
      </c>
      <c r="AB80" s="89" t="s">
        <v>63</v>
      </c>
      <c r="AC80" s="111"/>
      <c r="AD80" s="89" t="s">
        <v>86</v>
      </c>
      <c r="AE80" s="89">
        <v>50</v>
      </c>
      <c r="AF80" s="98" t="s">
        <v>172</v>
      </c>
      <c r="AG80" s="98"/>
      <c r="AH80" s="98" t="s">
        <v>66</v>
      </c>
      <c r="AI80" s="99" t="s">
        <v>67</v>
      </c>
      <c r="AJ80" s="99" t="s">
        <v>67</v>
      </c>
      <c r="AK80" s="99" t="s">
        <v>67</v>
      </c>
      <c r="AL80" s="45" t="s">
        <v>68</v>
      </c>
      <c r="AM80" s="162" t="str">
        <f t="shared" si="8"/>
        <v>3/2026</v>
      </c>
      <c r="AN80" s="45">
        <f t="shared" si="9"/>
        <v>2</v>
      </c>
      <c r="AO80" s="45" t="str">
        <f t="shared" si="10"/>
        <v>4/2026</v>
      </c>
      <c r="AP80" s="45">
        <f t="shared" si="11"/>
        <v>5</v>
      </c>
      <c r="AQ80" s="45">
        <f t="shared" si="12"/>
        <v>50</v>
      </c>
      <c r="AR80" s="45">
        <f t="shared" si="13"/>
        <v>0</v>
      </c>
      <c r="AS80" s="45">
        <f t="shared" si="14"/>
        <v>21.5</v>
      </c>
      <c r="AT80" s="45">
        <f t="shared" si="15"/>
        <v>8</v>
      </c>
      <c r="AU80" s="45" t="str">
        <f>_xlfn.XLOOKUP(U80,'Lista Suspensa'!$AA$20:$AA$23,'Lista Suspensa'!$AB$20:$AB$23,"N/A")</f>
        <v>S</v>
      </c>
    </row>
    <row r="81" spans="1:47" ht="12" customHeight="1" x14ac:dyDescent="0.3">
      <c r="A81" s="87" t="s">
        <v>67</v>
      </c>
      <c r="B81" s="88">
        <v>46091</v>
      </c>
      <c r="C81" s="89" t="s">
        <v>211</v>
      </c>
      <c r="D81" s="89" t="s">
        <v>49</v>
      </c>
      <c r="E81" s="90">
        <v>450096670</v>
      </c>
      <c r="F81" s="184" t="s">
        <v>358</v>
      </c>
      <c r="G81" s="91">
        <v>95685880863</v>
      </c>
      <c r="H81" s="92">
        <v>20222</v>
      </c>
      <c r="I81" s="89">
        <v>71</v>
      </c>
      <c r="J81" s="89" t="s">
        <v>70</v>
      </c>
      <c r="K81" s="89" t="s">
        <v>52</v>
      </c>
      <c r="L81" s="89" t="s">
        <v>53</v>
      </c>
      <c r="M81" s="89" t="s">
        <v>359</v>
      </c>
      <c r="N81" s="89" t="s">
        <v>252</v>
      </c>
      <c r="O81" s="93" t="s">
        <v>360</v>
      </c>
      <c r="P81" s="94" t="s">
        <v>57</v>
      </c>
      <c r="Q81" s="112" t="s">
        <v>58</v>
      </c>
      <c r="R81" s="95">
        <v>46142</v>
      </c>
      <c r="S81" s="96"/>
      <c r="T81" s="96" t="s">
        <v>59</v>
      </c>
      <c r="U81" s="96" t="s">
        <v>60</v>
      </c>
      <c r="V81" s="92">
        <v>46098</v>
      </c>
      <c r="W81" s="92">
        <v>46095</v>
      </c>
      <c r="X81" s="92">
        <v>46142</v>
      </c>
      <c r="Y81" s="97"/>
      <c r="Z81" s="89" t="s">
        <v>62</v>
      </c>
      <c r="AA81" s="96" t="s">
        <v>361</v>
      </c>
      <c r="AB81" s="89" t="s">
        <v>63</v>
      </c>
      <c r="AC81" s="111"/>
      <c r="AD81" s="89" t="s">
        <v>86</v>
      </c>
      <c r="AE81" s="89">
        <v>40</v>
      </c>
      <c r="AF81" s="98" t="s">
        <v>175</v>
      </c>
      <c r="AG81" s="98"/>
      <c r="AH81" s="98" t="s">
        <v>66</v>
      </c>
      <c r="AI81" s="99" t="s">
        <v>67</v>
      </c>
      <c r="AJ81" s="99" t="s">
        <v>67</v>
      </c>
      <c r="AK81" s="99" t="s">
        <v>67</v>
      </c>
      <c r="AL81" s="45" t="s">
        <v>68</v>
      </c>
      <c r="AM81" s="162" t="str">
        <f t="shared" si="8"/>
        <v>3/2026</v>
      </c>
      <c r="AN81" s="45">
        <f t="shared" si="9"/>
        <v>2</v>
      </c>
      <c r="AO81" s="45" t="str">
        <f t="shared" si="10"/>
        <v>4/2026</v>
      </c>
      <c r="AP81" s="45">
        <f t="shared" si="11"/>
        <v>5</v>
      </c>
      <c r="AQ81" s="45">
        <f t="shared" si="12"/>
        <v>51</v>
      </c>
      <c r="AR81" s="45">
        <f t="shared" si="13"/>
        <v>0</v>
      </c>
      <c r="AS81" s="45">
        <f t="shared" si="14"/>
        <v>22</v>
      </c>
      <c r="AT81" s="45">
        <f t="shared" si="15"/>
        <v>5.4305555555547471</v>
      </c>
      <c r="AU81" s="45" t="str">
        <f>_xlfn.XLOOKUP(U81,'Lista Suspensa'!$AA$20:$AA$23,'Lista Suspensa'!$AB$20:$AB$23,"N/A")</f>
        <v>S</v>
      </c>
    </row>
    <row r="82" spans="1:47" ht="12" customHeight="1" x14ac:dyDescent="0.3">
      <c r="A82" s="87" t="s">
        <v>67</v>
      </c>
      <c r="B82" s="88">
        <v>46099</v>
      </c>
      <c r="C82" s="89" t="s">
        <v>211</v>
      </c>
      <c r="D82" s="89" t="s">
        <v>49</v>
      </c>
      <c r="E82" s="90">
        <v>450468267</v>
      </c>
      <c r="F82" s="184" t="s">
        <v>362</v>
      </c>
      <c r="G82" s="91" t="s">
        <v>363</v>
      </c>
      <c r="H82" s="92">
        <v>28569</v>
      </c>
      <c r="I82" s="89">
        <v>48</v>
      </c>
      <c r="J82" s="89" t="s">
        <v>70</v>
      </c>
      <c r="K82" s="89" t="s">
        <v>52</v>
      </c>
      <c r="L82" s="89" t="s">
        <v>53</v>
      </c>
      <c r="M82" s="89" t="s">
        <v>364</v>
      </c>
      <c r="N82" s="89" t="s">
        <v>252</v>
      </c>
      <c r="O82" s="93" t="s">
        <v>365</v>
      </c>
      <c r="P82" s="94" t="s">
        <v>57</v>
      </c>
      <c r="Q82" s="112" t="s">
        <v>58</v>
      </c>
      <c r="R82" s="95">
        <v>46112</v>
      </c>
      <c r="S82" s="96"/>
      <c r="T82" s="96" t="s">
        <v>59</v>
      </c>
      <c r="U82" s="96" t="s">
        <v>60</v>
      </c>
      <c r="V82" s="92">
        <v>46112</v>
      </c>
      <c r="W82" s="92" t="s">
        <v>61</v>
      </c>
      <c r="X82" s="92" t="s">
        <v>61</v>
      </c>
      <c r="Y82" s="97"/>
      <c r="Z82" s="89" t="s">
        <v>62</v>
      </c>
      <c r="AA82" s="96">
        <v>46113.472221932869</v>
      </c>
      <c r="AB82" s="89" t="s">
        <v>80</v>
      </c>
      <c r="AC82" s="111"/>
      <c r="AD82" s="89"/>
      <c r="AE82" s="89"/>
      <c r="AF82" s="98"/>
      <c r="AG82" s="98"/>
      <c r="AH82" s="98"/>
      <c r="AI82" s="99" t="s">
        <v>197</v>
      </c>
      <c r="AJ82" s="99" t="s">
        <v>67</v>
      </c>
      <c r="AK82" s="99" t="s">
        <v>67</v>
      </c>
      <c r="AL82" s="45" t="s">
        <v>68</v>
      </c>
      <c r="AM82" s="162" t="str">
        <f t="shared" si="8"/>
        <v>3/2026</v>
      </c>
      <c r="AN82" s="45">
        <f t="shared" si="9"/>
        <v>3</v>
      </c>
      <c r="AO82" s="45" t="str">
        <f t="shared" si="10"/>
        <v>3/2026</v>
      </c>
      <c r="AP82" s="45">
        <f t="shared" si="11"/>
        <v>5</v>
      </c>
      <c r="AQ82" s="45">
        <f t="shared" si="12"/>
        <v>13</v>
      </c>
      <c r="AR82" s="45">
        <f t="shared" si="13"/>
        <v>0</v>
      </c>
      <c r="AS82" s="45">
        <f t="shared" si="14"/>
        <v>0</v>
      </c>
      <c r="AT82" s="45">
        <f t="shared" si="15"/>
        <v>0</v>
      </c>
      <c r="AU82" s="45" t="str">
        <f>_xlfn.XLOOKUP(U82,'Lista Suspensa'!$AA$20:$AA$23,'Lista Suspensa'!$AB$20:$AB$23,"N/A")</f>
        <v>S</v>
      </c>
    </row>
    <row r="83" spans="1:47" ht="12" customHeight="1" x14ac:dyDescent="0.3">
      <c r="A83" s="87" t="s">
        <v>67</v>
      </c>
      <c r="B83" s="88">
        <v>46099</v>
      </c>
      <c r="C83" s="89" t="s">
        <v>211</v>
      </c>
      <c r="D83" s="89" t="s">
        <v>49</v>
      </c>
      <c r="E83" s="90">
        <v>94399117</v>
      </c>
      <c r="F83" s="184" t="s">
        <v>366</v>
      </c>
      <c r="G83" s="91">
        <v>27126710828</v>
      </c>
      <c r="H83" s="92">
        <v>28181</v>
      </c>
      <c r="I83" s="89">
        <v>49</v>
      </c>
      <c r="J83" s="89" t="s">
        <v>51</v>
      </c>
      <c r="K83" s="89" t="s">
        <v>52</v>
      </c>
      <c r="L83" s="89" t="s">
        <v>53</v>
      </c>
      <c r="M83" s="89" t="s">
        <v>367</v>
      </c>
      <c r="N83" s="89" t="s">
        <v>148</v>
      </c>
      <c r="O83" s="93" t="s">
        <v>368</v>
      </c>
      <c r="P83" s="94" t="s">
        <v>57</v>
      </c>
      <c r="Q83" s="112" t="s">
        <v>58</v>
      </c>
      <c r="R83" s="95">
        <v>46073</v>
      </c>
      <c r="S83" s="96"/>
      <c r="T83" s="96" t="s">
        <v>59</v>
      </c>
      <c r="U83" s="96" t="s">
        <v>60</v>
      </c>
      <c r="V83" s="92">
        <v>46073</v>
      </c>
      <c r="W83" s="92" t="s">
        <v>61</v>
      </c>
      <c r="X83" s="92" t="s">
        <v>61</v>
      </c>
      <c r="Y83" s="97"/>
      <c r="Z83" s="89" t="s">
        <v>62</v>
      </c>
      <c r="AA83" s="96">
        <v>46106.611111111109</v>
      </c>
      <c r="AB83" s="89" t="s">
        <v>63</v>
      </c>
      <c r="AC83" s="111"/>
      <c r="AD83" s="89" t="s">
        <v>64</v>
      </c>
      <c r="AE83" s="89">
        <v>42</v>
      </c>
      <c r="AF83" s="98" t="s">
        <v>65</v>
      </c>
      <c r="AG83" s="98"/>
      <c r="AH83" s="98" t="s">
        <v>66</v>
      </c>
      <c r="AI83" s="99" t="s">
        <v>197</v>
      </c>
      <c r="AJ83" s="99" t="s">
        <v>67</v>
      </c>
      <c r="AK83" s="99" t="s">
        <v>67</v>
      </c>
      <c r="AL83" s="45" t="s">
        <v>68</v>
      </c>
      <c r="AM83" s="162" t="str">
        <f t="shared" si="8"/>
        <v>3/2026</v>
      </c>
      <c r="AN83" s="45">
        <f t="shared" si="9"/>
        <v>3</v>
      </c>
      <c r="AO83" s="45" t="str">
        <f t="shared" si="10"/>
        <v>2/2026</v>
      </c>
      <c r="AP83" s="45">
        <f t="shared" si="11"/>
        <v>3</v>
      </c>
      <c r="AQ83" s="45">
        <f t="shared" si="12"/>
        <v>-26</v>
      </c>
      <c r="AR83" s="45">
        <f t="shared" si="13"/>
        <v>0</v>
      </c>
      <c r="AS83" s="45">
        <f t="shared" si="14"/>
        <v>0</v>
      </c>
      <c r="AT83" s="45">
        <f t="shared" si="15"/>
        <v>33.611111111109494</v>
      </c>
      <c r="AU83" s="45" t="str">
        <f>_xlfn.XLOOKUP(U83,'Lista Suspensa'!$AA$20:$AA$23,'Lista Suspensa'!$AB$20:$AB$23,"N/A")</f>
        <v>S</v>
      </c>
    </row>
    <row r="84" spans="1:47" ht="12" customHeight="1" x14ac:dyDescent="0.3">
      <c r="A84" s="87" t="s">
        <v>67</v>
      </c>
      <c r="B84" s="88">
        <v>46099</v>
      </c>
      <c r="C84" s="89" t="s">
        <v>211</v>
      </c>
      <c r="D84" s="89" t="s">
        <v>49</v>
      </c>
      <c r="E84" s="90">
        <v>95195427</v>
      </c>
      <c r="F84" s="184" t="s">
        <v>369</v>
      </c>
      <c r="G84" s="91">
        <v>11239582897</v>
      </c>
      <c r="H84" s="92">
        <v>24841</v>
      </c>
      <c r="I84" s="89">
        <v>58</v>
      </c>
      <c r="J84" s="89" t="s">
        <v>70</v>
      </c>
      <c r="K84" s="89" t="s">
        <v>52</v>
      </c>
      <c r="L84" s="89" t="s">
        <v>53</v>
      </c>
      <c r="M84" s="89" t="s">
        <v>370</v>
      </c>
      <c r="N84" s="89" t="s">
        <v>148</v>
      </c>
      <c r="O84" s="93" t="s">
        <v>371</v>
      </c>
      <c r="P84" s="94" t="s">
        <v>57</v>
      </c>
      <c r="Q84" s="112" t="s">
        <v>58</v>
      </c>
      <c r="R84" s="95">
        <v>46073</v>
      </c>
      <c r="S84" s="96"/>
      <c r="T84" s="96" t="s">
        <v>59</v>
      </c>
      <c r="U84" s="96" t="s">
        <v>60</v>
      </c>
      <c r="V84" s="92">
        <v>46073</v>
      </c>
      <c r="W84" s="92" t="s">
        <v>61</v>
      </c>
      <c r="X84" s="92" t="s">
        <v>61</v>
      </c>
      <c r="Y84" s="97"/>
      <c r="Z84" s="89" t="s">
        <v>62</v>
      </c>
      <c r="AA84" s="96">
        <v>46104.638888888891</v>
      </c>
      <c r="AB84" s="89" t="s">
        <v>63</v>
      </c>
      <c r="AC84" s="111"/>
      <c r="AD84" s="89" t="s">
        <v>64</v>
      </c>
      <c r="AE84" s="89">
        <v>49</v>
      </c>
      <c r="AF84" s="98" t="s">
        <v>138</v>
      </c>
      <c r="AG84" s="98"/>
      <c r="AH84" s="98" t="s">
        <v>66</v>
      </c>
      <c r="AI84" s="99" t="s">
        <v>197</v>
      </c>
      <c r="AJ84" s="99" t="s">
        <v>67</v>
      </c>
      <c r="AK84" s="99" t="s">
        <v>67</v>
      </c>
      <c r="AL84" s="45" t="s">
        <v>68</v>
      </c>
      <c r="AM84" s="162" t="str">
        <f t="shared" si="8"/>
        <v>3/2026</v>
      </c>
      <c r="AN84" s="45">
        <f t="shared" si="9"/>
        <v>3</v>
      </c>
      <c r="AO84" s="45" t="str">
        <f t="shared" si="10"/>
        <v>2/2026</v>
      </c>
      <c r="AP84" s="45">
        <f t="shared" si="11"/>
        <v>3</v>
      </c>
      <c r="AQ84" s="45">
        <f t="shared" si="12"/>
        <v>-26</v>
      </c>
      <c r="AR84" s="45">
        <f t="shared" si="13"/>
        <v>0</v>
      </c>
      <c r="AS84" s="45">
        <f t="shared" si="14"/>
        <v>0</v>
      </c>
      <c r="AT84" s="45">
        <f t="shared" si="15"/>
        <v>31.638888888890506</v>
      </c>
      <c r="AU84" s="45" t="str">
        <f>_xlfn.XLOOKUP(U84,'Lista Suspensa'!$AA$20:$AA$23,'Lista Suspensa'!$AB$20:$AB$23,"N/A")</f>
        <v>S</v>
      </c>
    </row>
    <row r="85" spans="1:47" ht="12" customHeight="1" x14ac:dyDescent="0.3">
      <c r="A85" s="87" t="s">
        <v>67</v>
      </c>
      <c r="B85" s="88">
        <v>46104</v>
      </c>
      <c r="C85" s="89" t="s">
        <v>211</v>
      </c>
      <c r="D85" s="89" t="s">
        <v>49</v>
      </c>
      <c r="E85" s="90">
        <v>81438605</v>
      </c>
      <c r="F85" s="184" t="s">
        <v>372</v>
      </c>
      <c r="G85" s="91" t="s">
        <v>373</v>
      </c>
      <c r="H85" s="92">
        <v>27364</v>
      </c>
      <c r="I85" s="89">
        <v>51</v>
      </c>
      <c r="J85" s="89" t="s">
        <v>51</v>
      </c>
      <c r="K85" s="89" t="s">
        <v>52</v>
      </c>
      <c r="L85" s="89"/>
      <c r="M85" s="89"/>
      <c r="N85" s="89"/>
      <c r="O85" s="93">
        <v>11964460794</v>
      </c>
      <c r="P85" s="94" t="s">
        <v>57</v>
      </c>
      <c r="Q85" s="112" t="s">
        <v>58</v>
      </c>
      <c r="R85" s="95">
        <v>46128</v>
      </c>
      <c r="S85" s="96"/>
      <c r="T85" s="96" t="s">
        <v>59</v>
      </c>
      <c r="U85" s="96" t="s">
        <v>60</v>
      </c>
      <c r="V85" s="92">
        <v>46112</v>
      </c>
      <c r="W85" s="92">
        <v>46095</v>
      </c>
      <c r="X85" s="92" t="s">
        <v>61</v>
      </c>
      <c r="Y85" s="97"/>
      <c r="Z85" s="89" t="s">
        <v>62</v>
      </c>
      <c r="AA85" s="96">
        <v>46134.444444444445</v>
      </c>
      <c r="AB85" s="89" t="s">
        <v>63</v>
      </c>
      <c r="AC85" s="111"/>
      <c r="AD85" s="89" t="s">
        <v>265</v>
      </c>
      <c r="AE85" s="89">
        <v>44</v>
      </c>
      <c r="AF85" s="98" t="s">
        <v>172</v>
      </c>
      <c r="AG85" s="98"/>
      <c r="AH85" s="98" t="s">
        <v>66</v>
      </c>
      <c r="AI85" s="99" t="s">
        <v>67</v>
      </c>
      <c r="AJ85" s="99" t="s">
        <v>67</v>
      </c>
      <c r="AK85" s="99" t="s">
        <v>67</v>
      </c>
      <c r="AL85" s="45" t="s">
        <v>68</v>
      </c>
      <c r="AM85" s="162" t="str">
        <f t="shared" si="8"/>
        <v>3/2026</v>
      </c>
      <c r="AN85" s="45">
        <f t="shared" si="9"/>
        <v>4</v>
      </c>
      <c r="AO85" s="45" t="str">
        <f t="shared" si="10"/>
        <v>4/2026</v>
      </c>
      <c r="AP85" s="45">
        <f t="shared" si="11"/>
        <v>3</v>
      </c>
      <c r="AQ85" s="45">
        <f t="shared" si="12"/>
        <v>24</v>
      </c>
      <c r="AR85" s="45">
        <f t="shared" si="13"/>
        <v>0</v>
      </c>
      <c r="AS85" s="45">
        <f t="shared" si="14"/>
        <v>-17</v>
      </c>
      <c r="AT85" s="45">
        <f t="shared" si="15"/>
        <v>6.4444444444452529</v>
      </c>
      <c r="AU85" s="45" t="str">
        <f>_xlfn.XLOOKUP(U85,'Lista Suspensa'!$AA$20:$AA$23,'Lista Suspensa'!$AB$20:$AB$23,"N/A")</f>
        <v>S</v>
      </c>
    </row>
    <row r="86" spans="1:47" ht="12" customHeight="1" x14ac:dyDescent="0.3">
      <c r="A86" s="87" t="s">
        <v>67</v>
      </c>
      <c r="B86" s="88">
        <v>46104</v>
      </c>
      <c r="C86" s="89" t="s">
        <v>211</v>
      </c>
      <c r="D86" s="89" t="s">
        <v>49</v>
      </c>
      <c r="E86" s="90">
        <v>450180077</v>
      </c>
      <c r="F86" s="184" t="s">
        <v>374</v>
      </c>
      <c r="G86" s="91" t="s">
        <v>375</v>
      </c>
      <c r="H86" s="92">
        <v>15202</v>
      </c>
      <c r="I86" s="89">
        <v>84</v>
      </c>
      <c r="J86" s="89" t="s">
        <v>51</v>
      </c>
      <c r="K86" s="89" t="s">
        <v>52</v>
      </c>
      <c r="L86" s="89"/>
      <c r="M86" s="89"/>
      <c r="N86" s="89"/>
      <c r="O86" s="93" t="s">
        <v>376</v>
      </c>
      <c r="P86" s="94" t="s">
        <v>57</v>
      </c>
      <c r="Q86" s="112" t="s">
        <v>58</v>
      </c>
      <c r="R86" s="95">
        <v>46112</v>
      </c>
      <c r="S86" s="96"/>
      <c r="T86" s="96" t="s">
        <v>59</v>
      </c>
      <c r="U86" s="96" t="s">
        <v>60</v>
      </c>
      <c r="V86" s="92">
        <v>46112</v>
      </c>
      <c r="W86" s="92" t="s">
        <v>61</v>
      </c>
      <c r="X86" s="92" t="s">
        <v>61</v>
      </c>
      <c r="Y86" s="97"/>
      <c r="Z86" s="89" t="s">
        <v>62</v>
      </c>
      <c r="AA86" s="96">
        <v>46114.458333333336</v>
      </c>
      <c r="AB86" s="89" t="s">
        <v>63</v>
      </c>
      <c r="AC86" s="111"/>
      <c r="AD86" s="89" t="s">
        <v>64</v>
      </c>
      <c r="AE86" s="89">
        <v>43</v>
      </c>
      <c r="AF86" s="98" t="s">
        <v>138</v>
      </c>
      <c r="AG86" s="98"/>
      <c r="AH86" s="98" t="s">
        <v>66</v>
      </c>
      <c r="AI86" s="99" t="s">
        <v>67</v>
      </c>
      <c r="AJ86" s="99" t="s">
        <v>67</v>
      </c>
      <c r="AK86" s="99" t="s">
        <v>67</v>
      </c>
      <c r="AL86" s="45" t="s">
        <v>68</v>
      </c>
      <c r="AM86" s="162" t="str">
        <f t="shared" si="8"/>
        <v>3/2026</v>
      </c>
      <c r="AN86" s="45">
        <f t="shared" si="9"/>
        <v>4</v>
      </c>
      <c r="AO86" s="45" t="str">
        <f t="shared" si="10"/>
        <v>3/2026</v>
      </c>
      <c r="AP86" s="45">
        <f t="shared" si="11"/>
        <v>5</v>
      </c>
      <c r="AQ86" s="45">
        <f t="shared" si="12"/>
        <v>8</v>
      </c>
      <c r="AR86" s="45">
        <f t="shared" si="13"/>
        <v>0</v>
      </c>
      <c r="AS86" s="45">
        <f t="shared" si="14"/>
        <v>0</v>
      </c>
      <c r="AT86" s="45">
        <f t="shared" si="15"/>
        <v>2.4583333333357587</v>
      </c>
      <c r="AU86" s="45" t="str">
        <f>_xlfn.XLOOKUP(U86,'Lista Suspensa'!$AA$20:$AA$23,'Lista Suspensa'!$AB$20:$AB$23,"N/A")</f>
        <v>S</v>
      </c>
    </row>
    <row r="87" spans="1:47" ht="12" customHeight="1" x14ac:dyDescent="0.3">
      <c r="A87" s="87" t="s">
        <v>67</v>
      </c>
      <c r="B87" s="88">
        <v>46104</v>
      </c>
      <c r="C87" s="89" t="s">
        <v>211</v>
      </c>
      <c r="D87" s="89" t="s">
        <v>49</v>
      </c>
      <c r="E87" s="90">
        <v>85082806</v>
      </c>
      <c r="F87" s="184" t="s">
        <v>377</v>
      </c>
      <c r="G87" s="91" t="s">
        <v>378</v>
      </c>
      <c r="H87" s="92">
        <v>29003</v>
      </c>
      <c r="I87" s="89">
        <v>46</v>
      </c>
      <c r="J87" s="89" t="s">
        <v>70</v>
      </c>
      <c r="K87" s="89" t="s">
        <v>52</v>
      </c>
      <c r="L87" s="89"/>
      <c r="M87" s="89"/>
      <c r="N87" s="89"/>
      <c r="O87" s="93">
        <v>11987027099</v>
      </c>
      <c r="P87" s="94" t="s">
        <v>57</v>
      </c>
      <c r="Q87" s="112" t="s">
        <v>58</v>
      </c>
      <c r="R87" s="95">
        <v>46112</v>
      </c>
      <c r="S87" s="96"/>
      <c r="T87" s="96" t="s">
        <v>59</v>
      </c>
      <c r="U87" s="96" t="s">
        <v>60</v>
      </c>
      <c r="V87" s="92">
        <v>46112</v>
      </c>
      <c r="W87" s="92" t="s">
        <v>61</v>
      </c>
      <c r="X87" s="92" t="s">
        <v>61</v>
      </c>
      <c r="Y87" s="97"/>
      <c r="Z87" s="89" t="s">
        <v>62</v>
      </c>
      <c r="AA87" s="96">
        <v>46113.430555439816</v>
      </c>
      <c r="AB87" s="89" t="s">
        <v>80</v>
      </c>
      <c r="AC87" s="111"/>
      <c r="AD87" s="89"/>
      <c r="AE87" s="89"/>
      <c r="AF87" s="98"/>
      <c r="AG87" s="98"/>
      <c r="AH87" s="98"/>
      <c r="AI87" s="99" t="s">
        <v>67</v>
      </c>
      <c r="AJ87" s="99" t="s">
        <v>67</v>
      </c>
      <c r="AK87" s="99" t="s">
        <v>67</v>
      </c>
      <c r="AL87" s="45" t="s">
        <v>68</v>
      </c>
      <c r="AM87" s="162" t="str">
        <f t="shared" si="8"/>
        <v>3/2026</v>
      </c>
      <c r="AN87" s="45">
        <f t="shared" si="9"/>
        <v>4</v>
      </c>
      <c r="AO87" s="45" t="str">
        <f t="shared" si="10"/>
        <v>3/2026</v>
      </c>
      <c r="AP87" s="45">
        <f t="shared" si="11"/>
        <v>5</v>
      </c>
      <c r="AQ87" s="45">
        <f t="shared" si="12"/>
        <v>8</v>
      </c>
      <c r="AR87" s="45">
        <f t="shared" si="13"/>
        <v>0</v>
      </c>
      <c r="AS87" s="45">
        <f t="shared" si="14"/>
        <v>0</v>
      </c>
      <c r="AT87" s="45">
        <f t="shared" si="15"/>
        <v>0</v>
      </c>
      <c r="AU87" s="45" t="str">
        <f>_xlfn.XLOOKUP(U87,'Lista Suspensa'!$AA$20:$AA$23,'Lista Suspensa'!$AB$20:$AB$23,"N/A")</f>
        <v>S</v>
      </c>
    </row>
    <row r="88" spans="1:47" ht="12" customHeight="1" x14ac:dyDescent="0.3">
      <c r="A88" s="87" t="s">
        <v>67</v>
      </c>
      <c r="B88" s="88">
        <v>46104</v>
      </c>
      <c r="C88" s="89" t="s">
        <v>211</v>
      </c>
      <c r="D88" s="89" t="s">
        <v>49</v>
      </c>
      <c r="E88" s="90">
        <v>212803506</v>
      </c>
      <c r="F88" s="184" t="s">
        <v>379</v>
      </c>
      <c r="G88" s="91" t="s">
        <v>380</v>
      </c>
      <c r="H88" s="92">
        <v>13211</v>
      </c>
      <c r="I88" s="89">
        <v>90</v>
      </c>
      <c r="J88" s="89" t="s">
        <v>70</v>
      </c>
      <c r="K88" s="89" t="s">
        <v>88</v>
      </c>
      <c r="L88" s="89"/>
      <c r="M88" s="89"/>
      <c r="N88" s="89"/>
      <c r="O88" s="93">
        <v>21979641204</v>
      </c>
      <c r="P88" s="94" t="s">
        <v>57</v>
      </c>
      <c r="Q88" s="112" t="s">
        <v>58</v>
      </c>
      <c r="R88" s="95">
        <v>46141</v>
      </c>
      <c r="S88" s="96"/>
      <c r="T88" s="96" t="s">
        <v>59</v>
      </c>
      <c r="U88" s="96" t="s">
        <v>60</v>
      </c>
      <c r="V88" s="92">
        <v>46112</v>
      </c>
      <c r="W88" s="92">
        <v>46095</v>
      </c>
      <c r="X88" s="92">
        <v>46141</v>
      </c>
      <c r="Y88" s="97"/>
      <c r="Z88" s="89" t="s">
        <v>62</v>
      </c>
      <c r="AA88" s="96">
        <v>46148</v>
      </c>
      <c r="AB88" s="89" t="s">
        <v>80</v>
      </c>
      <c r="AC88" s="111"/>
      <c r="AD88" s="89"/>
      <c r="AE88" s="89"/>
      <c r="AF88" s="98"/>
      <c r="AG88" s="98"/>
      <c r="AH88" s="98"/>
      <c r="AI88" s="99" t="s">
        <v>67</v>
      </c>
      <c r="AJ88" s="99" t="s">
        <v>67</v>
      </c>
      <c r="AK88" s="99" t="s">
        <v>67</v>
      </c>
      <c r="AL88" s="45" t="s">
        <v>68</v>
      </c>
      <c r="AM88" s="162" t="str">
        <f t="shared" si="8"/>
        <v>3/2026</v>
      </c>
      <c r="AN88" s="45">
        <f t="shared" si="9"/>
        <v>4</v>
      </c>
      <c r="AO88" s="45" t="str">
        <f t="shared" si="10"/>
        <v>4/2026</v>
      </c>
      <c r="AP88" s="45">
        <f t="shared" si="11"/>
        <v>5</v>
      </c>
      <c r="AQ88" s="45">
        <f t="shared" si="12"/>
        <v>37</v>
      </c>
      <c r="AR88" s="45">
        <f t="shared" si="13"/>
        <v>0</v>
      </c>
      <c r="AS88" s="45">
        <f t="shared" si="14"/>
        <v>14.5</v>
      </c>
      <c r="AT88" s="45">
        <f t="shared" si="15"/>
        <v>0</v>
      </c>
      <c r="AU88" s="45" t="str">
        <f>_xlfn.XLOOKUP(U88,'Lista Suspensa'!$AA$20:$AA$23,'Lista Suspensa'!$AB$20:$AB$23,"N/A")</f>
        <v>S</v>
      </c>
    </row>
    <row r="89" spans="1:47" ht="12" customHeight="1" x14ac:dyDescent="0.3">
      <c r="A89" s="87" t="s">
        <v>67</v>
      </c>
      <c r="B89" s="88">
        <v>46104</v>
      </c>
      <c r="C89" s="89" t="s">
        <v>211</v>
      </c>
      <c r="D89" s="89" t="s">
        <v>49</v>
      </c>
      <c r="E89" s="90">
        <v>81989691</v>
      </c>
      <c r="F89" s="184" t="s">
        <v>381</v>
      </c>
      <c r="G89" s="91" t="s">
        <v>382</v>
      </c>
      <c r="H89" s="92">
        <v>26177</v>
      </c>
      <c r="I89" s="89">
        <v>54</v>
      </c>
      <c r="J89" s="89" t="s">
        <v>70</v>
      </c>
      <c r="K89" s="89" t="s">
        <v>88</v>
      </c>
      <c r="L89" s="89"/>
      <c r="M89" s="89"/>
      <c r="N89" s="89"/>
      <c r="O89" s="93">
        <v>21991327659</v>
      </c>
      <c r="P89" s="94" t="s">
        <v>57</v>
      </c>
      <c r="Q89" s="112" t="s">
        <v>58</v>
      </c>
      <c r="R89" s="95">
        <v>46141</v>
      </c>
      <c r="S89" s="96"/>
      <c r="T89" s="96" t="s">
        <v>59</v>
      </c>
      <c r="U89" s="96" t="s">
        <v>60</v>
      </c>
      <c r="V89" s="92">
        <v>46112</v>
      </c>
      <c r="W89" s="92">
        <v>46095</v>
      </c>
      <c r="X89" s="92">
        <v>46141</v>
      </c>
      <c r="Y89" s="97"/>
      <c r="Z89" s="89" t="s">
        <v>62</v>
      </c>
      <c r="AA89" s="96">
        <v>46148</v>
      </c>
      <c r="AB89" s="89" t="s">
        <v>80</v>
      </c>
      <c r="AC89" s="111"/>
      <c r="AD89" s="89"/>
      <c r="AE89" s="89"/>
      <c r="AF89" s="98"/>
      <c r="AG89" s="98"/>
      <c r="AH89" s="98"/>
      <c r="AI89" s="99" t="s">
        <v>67</v>
      </c>
      <c r="AJ89" s="99" t="s">
        <v>67</v>
      </c>
      <c r="AK89" s="99" t="s">
        <v>67</v>
      </c>
      <c r="AL89" s="45" t="s">
        <v>68</v>
      </c>
      <c r="AM89" s="162" t="str">
        <f t="shared" si="8"/>
        <v>3/2026</v>
      </c>
      <c r="AN89" s="45">
        <f t="shared" si="9"/>
        <v>4</v>
      </c>
      <c r="AO89" s="45" t="str">
        <f t="shared" si="10"/>
        <v>4/2026</v>
      </c>
      <c r="AP89" s="45">
        <f t="shared" si="11"/>
        <v>5</v>
      </c>
      <c r="AQ89" s="45">
        <f t="shared" si="12"/>
        <v>37</v>
      </c>
      <c r="AR89" s="45">
        <f t="shared" si="13"/>
        <v>0</v>
      </c>
      <c r="AS89" s="45">
        <f t="shared" si="14"/>
        <v>14.5</v>
      </c>
      <c r="AT89" s="45">
        <f t="shared" si="15"/>
        <v>0</v>
      </c>
      <c r="AU89" s="45" t="str">
        <f>_xlfn.XLOOKUP(U89,'Lista Suspensa'!$AA$20:$AA$23,'Lista Suspensa'!$AB$20:$AB$23,"N/A")</f>
        <v>S</v>
      </c>
    </row>
    <row r="90" spans="1:47" ht="12" customHeight="1" x14ac:dyDescent="0.3">
      <c r="A90" s="87" t="s">
        <v>47</v>
      </c>
      <c r="B90" s="88">
        <v>46104</v>
      </c>
      <c r="C90" s="89" t="s">
        <v>48</v>
      </c>
      <c r="D90" s="89" t="s">
        <v>49</v>
      </c>
      <c r="E90" s="90">
        <v>754210758</v>
      </c>
      <c r="F90" s="184" t="s">
        <v>383</v>
      </c>
      <c r="G90" s="91">
        <v>90749650753</v>
      </c>
      <c r="H90" s="92">
        <v>19277</v>
      </c>
      <c r="I90" s="89">
        <v>73</v>
      </c>
      <c r="J90" s="89" t="s">
        <v>70</v>
      </c>
      <c r="K90" s="89" t="s">
        <v>88</v>
      </c>
      <c r="L90" s="89" t="s">
        <v>89</v>
      </c>
      <c r="M90" s="89" t="s">
        <v>384</v>
      </c>
      <c r="N90" s="89" t="s">
        <v>252</v>
      </c>
      <c r="O90" s="93" t="s">
        <v>385</v>
      </c>
      <c r="P90" s="94" t="s">
        <v>57</v>
      </c>
      <c r="Q90" s="112" t="s">
        <v>58</v>
      </c>
      <c r="R90" s="95">
        <v>46128</v>
      </c>
      <c r="S90" s="96"/>
      <c r="T90" s="96" t="s">
        <v>59</v>
      </c>
      <c r="U90" s="96" t="s">
        <v>60</v>
      </c>
      <c r="V90" s="92">
        <v>46128</v>
      </c>
      <c r="W90" s="92" t="s">
        <v>61</v>
      </c>
      <c r="X90" s="92" t="s">
        <v>61</v>
      </c>
      <c r="Y90" s="97"/>
      <c r="Z90" s="89" t="s">
        <v>62</v>
      </c>
      <c r="AA90" s="96">
        <v>46136</v>
      </c>
      <c r="AB90" s="89" t="s">
        <v>80</v>
      </c>
      <c r="AC90" s="111"/>
      <c r="AD90" s="89"/>
      <c r="AE90" s="89"/>
      <c r="AF90" s="98"/>
      <c r="AG90" s="98"/>
      <c r="AH90" s="98"/>
      <c r="AI90" s="99" t="s">
        <v>67</v>
      </c>
      <c r="AJ90" s="99" t="s">
        <v>67</v>
      </c>
      <c r="AK90" s="99" t="s">
        <v>67</v>
      </c>
      <c r="AL90" s="45" t="s">
        <v>68</v>
      </c>
      <c r="AM90" s="162" t="str">
        <f t="shared" si="8"/>
        <v>3/2026</v>
      </c>
      <c r="AN90" s="45">
        <f t="shared" si="9"/>
        <v>4</v>
      </c>
      <c r="AO90" s="45" t="str">
        <f t="shared" si="10"/>
        <v>4/2026</v>
      </c>
      <c r="AP90" s="45">
        <f t="shared" si="11"/>
        <v>3</v>
      </c>
      <c r="AQ90" s="45">
        <f t="shared" si="12"/>
        <v>24</v>
      </c>
      <c r="AR90" s="45">
        <f t="shared" si="13"/>
        <v>0</v>
      </c>
      <c r="AS90" s="45">
        <f t="shared" si="14"/>
        <v>0</v>
      </c>
      <c r="AT90" s="45">
        <f t="shared" si="15"/>
        <v>0</v>
      </c>
      <c r="AU90" s="45" t="str">
        <f>_xlfn.XLOOKUP(U90,'Lista Suspensa'!$AA$20:$AA$23,'Lista Suspensa'!$AB$20:$AB$23,"N/A")</f>
        <v>S</v>
      </c>
    </row>
    <row r="91" spans="1:47" ht="12" customHeight="1" x14ac:dyDescent="0.3">
      <c r="A91" s="87" t="s">
        <v>47</v>
      </c>
      <c r="B91" s="88">
        <v>46104</v>
      </c>
      <c r="C91" s="89" t="s">
        <v>48</v>
      </c>
      <c r="D91" s="89" t="s">
        <v>49</v>
      </c>
      <c r="E91" s="90">
        <v>82040424</v>
      </c>
      <c r="F91" s="184" t="s">
        <v>386</v>
      </c>
      <c r="G91" s="91">
        <v>477989713</v>
      </c>
      <c r="H91" s="92">
        <v>25182</v>
      </c>
      <c r="I91" s="89">
        <v>57</v>
      </c>
      <c r="J91" s="89" t="s">
        <v>51</v>
      </c>
      <c r="K91" s="89" t="s">
        <v>88</v>
      </c>
      <c r="L91" s="89" t="s">
        <v>89</v>
      </c>
      <c r="M91" s="89" t="s">
        <v>76</v>
      </c>
      <c r="N91" s="89" t="s">
        <v>252</v>
      </c>
      <c r="O91" s="93" t="s">
        <v>387</v>
      </c>
      <c r="P91" s="94" t="s">
        <v>57</v>
      </c>
      <c r="Q91" s="112" t="s">
        <v>58</v>
      </c>
      <c r="R91" s="95">
        <v>46128</v>
      </c>
      <c r="S91" s="96"/>
      <c r="T91" s="96" t="s">
        <v>59</v>
      </c>
      <c r="U91" s="96" t="s">
        <v>60</v>
      </c>
      <c r="V91" s="92">
        <v>46128</v>
      </c>
      <c r="W91" s="92" t="s">
        <v>61</v>
      </c>
      <c r="X91" s="92" t="s">
        <v>61</v>
      </c>
      <c r="Y91" s="97"/>
      <c r="Z91" s="89" t="s">
        <v>62</v>
      </c>
      <c r="AA91" s="96">
        <v>46136</v>
      </c>
      <c r="AB91" s="89" t="s">
        <v>80</v>
      </c>
      <c r="AC91" s="111"/>
      <c r="AD91" s="89"/>
      <c r="AE91" s="89"/>
      <c r="AF91" s="98"/>
      <c r="AG91" s="98"/>
      <c r="AH91" s="98"/>
      <c r="AI91" s="99" t="s">
        <v>67</v>
      </c>
      <c r="AJ91" s="99" t="s">
        <v>67</v>
      </c>
      <c r="AK91" s="99" t="s">
        <v>67</v>
      </c>
      <c r="AL91" s="45" t="s">
        <v>68</v>
      </c>
      <c r="AM91" s="162" t="str">
        <f t="shared" si="8"/>
        <v>3/2026</v>
      </c>
      <c r="AN91" s="45">
        <f t="shared" si="9"/>
        <v>4</v>
      </c>
      <c r="AO91" s="45" t="str">
        <f t="shared" si="10"/>
        <v>4/2026</v>
      </c>
      <c r="AP91" s="45">
        <f t="shared" si="11"/>
        <v>3</v>
      </c>
      <c r="AQ91" s="45">
        <f t="shared" si="12"/>
        <v>24</v>
      </c>
      <c r="AR91" s="45">
        <f t="shared" si="13"/>
        <v>0</v>
      </c>
      <c r="AS91" s="45">
        <f t="shared" si="14"/>
        <v>0</v>
      </c>
      <c r="AT91" s="45">
        <f t="shared" si="15"/>
        <v>0</v>
      </c>
      <c r="AU91" s="45" t="str">
        <f>_xlfn.XLOOKUP(U91,'Lista Suspensa'!$AA$20:$AA$23,'Lista Suspensa'!$AB$20:$AB$23,"N/A")</f>
        <v>S</v>
      </c>
    </row>
    <row r="92" spans="1:47" ht="12" customHeight="1" x14ac:dyDescent="0.3">
      <c r="A92" s="87" t="s">
        <v>47</v>
      </c>
      <c r="B92" s="88">
        <v>46104</v>
      </c>
      <c r="C92" s="89" t="s">
        <v>48</v>
      </c>
      <c r="D92" s="89" t="s">
        <v>49</v>
      </c>
      <c r="E92" s="90">
        <v>807134759</v>
      </c>
      <c r="F92" s="184" t="s">
        <v>388</v>
      </c>
      <c r="G92" s="91">
        <v>38023598872</v>
      </c>
      <c r="H92" s="92">
        <v>15814</v>
      </c>
      <c r="I92" s="89">
        <v>82</v>
      </c>
      <c r="J92" s="89" t="s">
        <v>51</v>
      </c>
      <c r="K92" s="89" t="s">
        <v>52</v>
      </c>
      <c r="L92" s="89" t="s">
        <v>53</v>
      </c>
      <c r="M92" s="89" t="s">
        <v>389</v>
      </c>
      <c r="N92" s="89" t="s">
        <v>252</v>
      </c>
      <c r="O92" s="93" t="s">
        <v>390</v>
      </c>
      <c r="P92" s="94" t="s">
        <v>57</v>
      </c>
      <c r="Q92" s="112" t="s">
        <v>58</v>
      </c>
      <c r="R92" s="95">
        <v>46128</v>
      </c>
      <c r="S92" s="96"/>
      <c r="T92" s="96" t="s">
        <v>59</v>
      </c>
      <c r="U92" s="96" t="s">
        <v>60</v>
      </c>
      <c r="V92" s="92">
        <v>46122</v>
      </c>
      <c r="W92" s="92" t="s">
        <v>391</v>
      </c>
      <c r="X92" s="92" t="s">
        <v>61</v>
      </c>
      <c r="Y92" s="97"/>
      <c r="Z92" s="89" t="s">
        <v>62</v>
      </c>
      <c r="AA92" s="96">
        <v>46134.444444444445</v>
      </c>
      <c r="AB92" s="89" t="s">
        <v>80</v>
      </c>
      <c r="AC92" s="111"/>
      <c r="AD92" s="89"/>
      <c r="AE92" s="89"/>
      <c r="AF92" s="98"/>
      <c r="AG92" s="98"/>
      <c r="AH92" s="98"/>
      <c r="AI92" s="99" t="s">
        <v>67</v>
      </c>
      <c r="AJ92" s="99" t="s">
        <v>67</v>
      </c>
      <c r="AK92" s="99" t="s">
        <v>67</v>
      </c>
      <c r="AL92" s="45" t="s">
        <v>68</v>
      </c>
      <c r="AM92" s="162" t="str">
        <f t="shared" si="8"/>
        <v>3/2026</v>
      </c>
      <c r="AN92" s="45">
        <f t="shared" si="9"/>
        <v>4</v>
      </c>
      <c r="AO92" s="45" t="str">
        <f t="shared" si="10"/>
        <v>4/2026</v>
      </c>
      <c r="AP92" s="45">
        <f t="shared" si="11"/>
        <v>3</v>
      </c>
      <c r="AQ92" s="45">
        <f t="shared" si="12"/>
        <v>24</v>
      </c>
      <c r="AR92" s="45">
        <f t="shared" si="13"/>
        <v>0</v>
      </c>
      <c r="AS92" s="45" t="e">
        <f t="shared" si="14"/>
        <v>#VALUE!</v>
      </c>
      <c r="AT92" s="45">
        <f t="shared" si="15"/>
        <v>0</v>
      </c>
      <c r="AU92" s="45" t="str">
        <f>_xlfn.XLOOKUP(U92,'Lista Suspensa'!$AA$20:$AA$23,'Lista Suspensa'!$AB$20:$AB$23,"N/A")</f>
        <v>S</v>
      </c>
    </row>
    <row r="93" spans="1:47" ht="12" customHeight="1" x14ac:dyDescent="0.3">
      <c r="A93" s="87" t="s">
        <v>47</v>
      </c>
      <c r="B93" s="88">
        <v>46104</v>
      </c>
      <c r="C93" s="89" t="s">
        <v>48</v>
      </c>
      <c r="D93" s="89" t="s">
        <v>49</v>
      </c>
      <c r="E93" s="90">
        <v>94658298</v>
      </c>
      <c r="F93" s="184" t="s">
        <v>392</v>
      </c>
      <c r="G93" s="91">
        <v>13464562832</v>
      </c>
      <c r="H93" s="92">
        <v>22919</v>
      </c>
      <c r="I93" s="89">
        <v>63</v>
      </c>
      <c r="J93" s="89" t="s">
        <v>70</v>
      </c>
      <c r="K93" s="89" t="s">
        <v>52</v>
      </c>
      <c r="L93" s="89" t="s">
        <v>53</v>
      </c>
      <c r="M93" s="89" t="s">
        <v>393</v>
      </c>
      <c r="N93" s="89" t="s">
        <v>55</v>
      </c>
      <c r="O93" s="93" t="s">
        <v>394</v>
      </c>
      <c r="P93" s="94" t="s">
        <v>57</v>
      </c>
      <c r="Q93" s="112" t="s">
        <v>58</v>
      </c>
      <c r="R93" s="95">
        <v>46128</v>
      </c>
      <c r="S93" s="96"/>
      <c r="T93" s="96" t="s">
        <v>59</v>
      </c>
      <c r="U93" s="96" t="s">
        <v>60</v>
      </c>
      <c r="V93" s="92">
        <v>46128</v>
      </c>
      <c r="W93" s="92" t="s">
        <v>61</v>
      </c>
      <c r="X93" s="92" t="s">
        <v>61</v>
      </c>
      <c r="Y93" s="97"/>
      <c r="Z93" s="89" t="s">
        <v>62</v>
      </c>
      <c r="AA93" s="96">
        <v>46136</v>
      </c>
      <c r="AB93" s="89" t="s">
        <v>80</v>
      </c>
      <c r="AC93" s="111"/>
      <c r="AD93" s="89"/>
      <c r="AE93" s="89"/>
      <c r="AF93" s="98"/>
      <c r="AG93" s="98"/>
      <c r="AH93" s="98"/>
      <c r="AI93" s="99" t="s">
        <v>67</v>
      </c>
      <c r="AJ93" s="99" t="s">
        <v>67</v>
      </c>
      <c r="AK93" s="99" t="s">
        <v>67</v>
      </c>
      <c r="AL93" s="45" t="s">
        <v>68</v>
      </c>
      <c r="AM93" s="162" t="str">
        <f t="shared" si="8"/>
        <v>3/2026</v>
      </c>
      <c r="AN93" s="45">
        <f t="shared" si="9"/>
        <v>4</v>
      </c>
      <c r="AO93" s="45" t="str">
        <f t="shared" si="10"/>
        <v>4/2026</v>
      </c>
      <c r="AP93" s="45">
        <f t="shared" si="11"/>
        <v>3</v>
      </c>
      <c r="AQ93" s="45">
        <f t="shared" si="12"/>
        <v>24</v>
      </c>
      <c r="AR93" s="45">
        <f t="shared" si="13"/>
        <v>0</v>
      </c>
      <c r="AS93" s="45">
        <f t="shared" si="14"/>
        <v>0</v>
      </c>
      <c r="AT93" s="45">
        <f t="shared" si="15"/>
        <v>0</v>
      </c>
      <c r="AU93" s="45" t="str">
        <f>_xlfn.XLOOKUP(U93,'Lista Suspensa'!$AA$20:$AA$23,'Lista Suspensa'!$AB$20:$AB$23,"N/A")</f>
        <v>S</v>
      </c>
    </row>
    <row r="94" spans="1:47" ht="12" customHeight="1" x14ac:dyDescent="0.3">
      <c r="A94" s="87" t="s">
        <v>47</v>
      </c>
      <c r="B94" s="88">
        <v>46104</v>
      </c>
      <c r="C94" s="89" t="s">
        <v>48</v>
      </c>
      <c r="D94" s="89" t="s">
        <v>49</v>
      </c>
      <c r="E94" s="90">
        <v>92852937</v>
      </c>
      <c r="F94" s="184" t="s">
        <v>395</v>
      </c>
      <c r="G94" s="91">
        <v>11790493730</v>
      </c>
      <c r="H94" s="92">
        <v>32544</v>
      </c>
      <c r="I94" s="89">
        <v>37</v>
      </c>
      <c r="J94" s="89" t="s">
        <v>51</v>
      </c>
      <c r="K94" s="89" t="s">
        <v>88</v>
      </c>
      <c r="L94" s="89" t="s">
        <v>89</v>
      </c>
      <c r="M94" s="89" t="s">
        <v>76</v>
      </c>
      <c r="N94" s="89" t="s">
        <v>233</v>
      </c>
      <c r="O94" s="93" t="s">
        <v>396</v>
      </c>
      <c r="P94" s="94" t="s">
        <v>57</v>
      </c>
      <c r="Q94" s="112" t="s">
        <v>58</v>
      </c>
      <c r="R94" s="95">
        <v>46128</v>
      </c>
      <c r="S94" s="96"/>
      <c r="T94" s="96" t="s">
        <v>59</v>
      </c>
      <c r="U94" s="96" t="s">
        <v>60</v>
      </c>
      <c r="V94" s="92">
        <v>46128</v>
      </c>
      <c r="W94" s="92" t="s">
        <v>61</v>
      </c>
      <c r="X94" s="92" t="s">
        <v>61</v>
      </c>
      <c r="Y94" s="97"/>
      <c r="Z94" s="89" t="s">
        <v>62</v>
      </c>
      <c r="AA94" s="96">
        <v>46136</v>
      </c>
      <c r="AB94" s="89" t="s">
        <v>80</v>
      </c>
      <c r="AC94" s="111"/>
      <c r="AD94" s="89"/>
      <c r="AE94" s="89"/>
      <c r="AF94" s="98"/>
      <c r="AG94" s="98"/>
      <c r="AH94" s="98"/>
      <c r="AI94" s="99" t="s">
        <v>67</v>
      </c>
      <c r="AJ94" s="99" t="s">
        <v>67</v>
      </c>
      <c r="AK94" s="99" t="s">
        <v>67</v>
      </c>
      <c r="AL94" s="45" t="s">
        <v>68</v>
      </c>
      <c r="AM94" s="162" t="str">
        <f t="shared" si="8"/>
        <v>3/2026</v>
      </c>
      <c r="AN94" s="45">
        <f t="shared" si="9"/>
        <v>4</v>
      </c>
      <c r="AO94" s="45" t="str">
        <f t="shared" si="10"/>
        <v>4/2026</v>
      </c>
      <c r="AP94" s="45">
        <f t="shared" si="11"/>
        <v>3</v>
      </c>
      <c r="AQ94" s="45">
        <f t="shared" si="12"/>
        <v>24</v>
      </c>
      <c r="AR94" s="45">
        <f t="shared" si="13"/>
        <v>0</v>
      </c>
      <c r="AS94" s="45">
        <f t="shared" si="14"/>
        <v>0</v>
      </c>
      <c r="AT94" s="45">
        <f t="shared" si="15"/>
        <v>0</v>
      </c>
      <c r="AU94" s="45" t="str">
        <f>_xlfn.XLOOKUP(U94,'Lista Suspensa'!$AA$20:$AA$23,'Lista Suspensa'!$AB$20:$AB$23,"N/A")</f>
        <v>S</v>
      </c>
    </row>
    <row r="95" spans="1:47" ht="12" customHeight="1" x14ac:dyDescent="0.3">
      <c r="A95" s="87" t="s">
        <v>47</v>
      </c>
      <c r="B95" s="88">
        <v>46104</v>
      </c>
      <c r="C95" s="89" t="s">
        <v>48</v>
      </c>
      <c r="D95" s="89" t="s">
        <v>49</v>
      </c>
      <c r="E95" s="90">
        <v>94596637</v>
      </c>
      <c r="F95" s="184" t="s">
        <v>397</v>
      </c>
      <c r="G95" s="91">
        <v>40048659487</v>
      </c>
      <c r="H95" s="92">
        <v>24411</v>
      </c>
      <c r="I95" s="89">
        <v>59</v>
      </c>
      <c r="J95" s="89" t="s">
        <v>51</v>
      </c>
      <c r="K95" s="89" t="s">
        <v>88</v>
      </c>
      <c r="L95" s="89" t="s">
        <v>89</v>
      </c>
      <c r="M95" s="89" t="s">
        <v>398</v>
      </c>
      <c r="N95" s="89" t="s">
        <v>233</v>
      </c>
      <c r="O95" s="93" t="s">
        <v>399</v>
      </c>
      <c r="P95" s="94" t="s">
        <v>57</v>
      </c>
      <c r="Q95" s="112" t="s">
        <v>58</v>
      </c>
      <c r="R95" s="95">
        <v>46128</v>
      </c>
      <c r="S95" s="96"/>
      <c r="T95" s="96" t="s">
        <v>59</v>
      </c>
      <c r="U95" s="96" t="s">
        <v>60</v>
      </c>
      <c r="V95" s="92">
        <v>46128</v>
      </c>
      <c r="W95" s="92" t="s">
        <v>61</v>
      </c>
      <c r="X95" s="92" t="s">
        <v>61</v>
      </c>
      <c r="Y95" s="97"/>
      <c r="Z95" s="89" t="s">
        <v>62</v>
      </c>
      <c r="AA95" s="96">
        <v>46139</v>
      </c>
      <c r="AB95" s="89" t="s">
        <v>80</v>
      </c>
      <c r="AC95" s="111"/>
      <c r="AD95" s="89"/>
      <c r="AE95" s="89"/>
      <c r="AF95" s="98"/>
      <c r="AG95" s="98"/>
      <c r="AH95" s="98"/>
      <c r="AI95" s="99" t="s">
        <v>67</v>
      </c>
      <c r="AJ95" s="99" t="s">
        <v>67</v>
      </c>
      <c r="AK95" s="99" t="s">
        <v>67</v>
      </c>
      <c r="AL95" s="45" t="s">
        <v>68</v>
      </c>
      <c r="AM95" s="162" t="str">
        <f t="shared" si="8"/>
        <v>3/2026</v>
      </c>
      <c r="AN95" s="45">
        <f t="shared" si="9"/>
        <v>4</v>
      </c>
      <c r="AO95" s="45" t="str">
        <f t="shared" si="10"/>
        <v>4/2026</v>
      </c>
      <c r="AP95" s="45">
        <f t="shared" si="11"/>
        <v>3</v>
      </c>
      <c r="AQ95" s="45">
        <f t="shared" si="12"/>
        <v>24</v>
      </c>
      <c r="AR95" s="45">
        <f t="shared" si="13"/>
        <v>0</v>
      </c>
      <c r="AS95" s="45">
        <f t="shared" si="14"/>
        <v>0</v>
      </c>
      <c r="AT95" s="45">
        <f t="shared" si="15"/>
        <v>0</v>
      </c>
      <c r="AU95" s="45" t="str">
        <f>_xlfn.XLOOKUP(U95,'Lista Suspensa'!$AA$20:$AA$23,'Lista Suspensa'!$AB$20:$AB$23,"N/A")</f>
        <v>S</v>
      </c>
    </row>
    <row r="96" spans="1:47" ht="12" customHeight="1" x14ac:dyDescent="0.3">
      <c r="A96" s="87" t="s">
        <v>47</v>
      </c>
      <c r="B96" s="88">
        <v>46104</v>
      </c>
      <c r="C96" s="89" t="s">
        <v>48</v>
      </c>
      <c r="D96" s="89" t="s">
        <v>49</v>
      </c>
      <c r="E96" s="90">
        <v>452277248</v>
      </c>
      <c r="F96" s="184" t="s">
        <v>400</v>
      </c>
      <c r="G96" s="91">
        <v>9349369869</v>
      </c>
      <c r="H96" s="92">
        <v>18790</v>
      </c>
      <c r="I96" s="89">
        <v>74</v>
      </c>
      <c r="J96" s="89" t="s">
        <v>70</v>
      </c>
      <c r="K96" s="89" t="s">
        <v>52</v>
      </c>
      <c r="L96" s="89" t="s">
        <v>53</v>
      </c>
      <c r="M96" s="89" t="s">
        <v>401</v>
      </c>
      <c r="N96" s="89" t="s">
        <v>91</v>
      </c>
      <c r="O96" s="93" t="s">
        <v>402</v>
      </c>
      <c r="P96" s="94" t="s">
        <v>57</v>
      </c>
      <c r="Q96" s="112" t="s">
        <v>58</v>
      </c>
      <c r="R96" s="95">
        <v>46128</v>
      </c>
      <c r="S96" s="96"/>
      <c r="T96" s="96" t="s">
        <v>59</v>
      </c>
      <c r="U96" s="96" t="s">
        <v>60</v>
      </c>
      <c r="V96" s="92">
        <v>46128</v>
      </c>
      <c r="W96" s="92" t="s">
        <v>61</v>
      </c>
      <c r="X96" s="92" t="s">
        <v>61</v>
      </c>
      <c r="Y96" s="97"/>
      <c r="Z96" s="89" t="s">
        <v>62</v>
      </c>
      <c r="AA96" s="96">
        <v>46136</v>
      </c>
      <c r="AB96" s="89" t="s">
        <v>63</v>
      </c>
      <c r="AC96" s="111"/>
      <c r="AD96" s="89" t="s">
        <v>86</v>
      </c>
      <c r="AE96" s="89">
        <v>48</v>
      </c>
      <c r="AF96" s="98" t="s">
        <v>403</v>
      </c>
      <c r="AG96" s="98"/>
      <c r="AH96" s="98" t="s">
        <v>66</v>
      </c>
      <c r="AI96" s="99" t="s">
        <v>67</v>
      </c>
      <c r="AJ96" s="99" t="s">
        <v>67</v>
      </c>
      <c r="AK96" s="99" t="s">
        <v>67</v>
      </c>
      <c r="AL96" s="45" t="s">
        <v>68</v>
      </c>
      <c r="AM96" s="162" t="str">
        <f t="shared" si="8"/>
        <v>3/2026</v>
      </c>
      <c r="AN96" s="45">
        <f t="shared" si="9"/>
        <v>4</v>
      </c>
      <c r="AO96" s="45" t="str">
        <f t="shared" si="10"/>
        <v>4/2026</v>
      </c>
      <c r="AP96" s="45">
        <f t="shared" si="11"/>
        <v>3</v>
      </c>
      <c r="AQ96" s="45">
        <f t="shared" si="12"/>
        <v>24</v>
      </c>
      <c r="AR96" s="45">
        <f t="shared" si="13"/>
        <v>0</v>
      </c>
      <c r="AS96" s="45">
        <f t="shared" si="14"/>
        <v>0</v>
      </c>
      <c r="AT96" s="45">
        <f t="shared" si="15"/>
        <v>8</v>
      </c>
      <c r="AU96" s="45" t="str">
        <f>_xlfn.XLOOKUP(U96,'Lista Suspensa'!$AA$20:$AA$23,'Lista Suspensa'!$AB$20:$AB$23,"N/A")</f>
        <v>S</v>
      </c>
    </row>
    <row r="97" spans="1:47" ht="12" customHeight="1" x14ac:dyDescent="0.3">
      <c r="A97" s="87" t="s">
        <v>47</v>
      </c>
      <c r="B97" s="88">
        <v>46104</v>
      </c>
      <c r="C97" s="89" t="s">
        <v>48</v>
      </c>
      <c r="D97" s="89" t="s">
        <v>49</v>
      </c>
      <c r="E97" s="90">
        <v>733405908</v>
      </c>
      <c r="F97" s="184" t="s">
        <v>404</v>
      </c>
      <c r="G97" s="91">
        <v>54679303700</v>
      </c>
      <c r="H97" s="92">
        <v>20211</v>
      </c>
      <c r="I97" s="89">
        <v>70</v>
      </c>
      <c r="J97" s="89" t="s">
        <v>70</v>
      </c>
      <c r="K97" s="89" t="s">
        <v>88</v>
      </c>
      <c r="L97" s="89" t="s">
        <v>89</v>
      </c>
      <c r="M97" s="89" t="s">
        <v>405</v>
      </c>
      <c r="N97" s="89" t="s">
        <v>91</v>
      </c>
      <c r="O97" s="93" t="s">
        <v>406</v>
      </c>
      <c r="P97" s="94" t="s">
        <v>57</v>
      </c>
      <c r="Q97" s="112" t="s">
        <v>58</v>
      </c>
      <c r="R97" s="95">
        <v>46128</v>
      </c>
      <c r="S97" s="96"/>
      <c r="T97" s="96" t="s">
        <v>59</v>
      </c>
      <c r="U97" s="96" t="s">
        <v>60</v>
      </c>
      <c r="V97" s="92">
        <v>46128</v>
      </c>
      <c r="W97" s="92" t="s">
        <v>61</v>
      </c>
      <c r="X97" s="92" t="s">
        <v>61</v>
      </c>
      <c r="Y97" s="97"/>
      <c r="Z97" s="89" t="s">
        <v>62</v>
      </c>
      <c r="AA97" s="96">
        <v>46135.486111111109</v>
      </c>
      <c r="AB97" s="89" t="s">
        <v>80</v>
      </c>
      <c r="AC97" s="111"/>
      <c r="AD97" s="89"/>
      <c r="AE97" s="89"/>
      <c r="AF97" s="98"/>
      <c r="AG97" s="98"/>
      <c r="AH97" s="98"/>
      <c r="AI97" s="99" t="s">
        <v>67</v>
      </c>
      <c r="AJ97" s="99" t="s">
        <v>67</v>
      </c>
      <c r="AK97" s="99" t="s">
        <v>67</v>
      </c>
      <c r="AL97" s="45" t="s">
        <v>68</v>
      </c>
      <c r="AM97" s="162" t="str">
        <f t="shared" si="8"/>
        <v>3/2026</v>
      </c>
      <c r="AN97" s="45">
        <f t="shared" si="9"/>
        <v>4</v>
      </c>
      <c r="AO97" s="45" t="str">
        <f t="shared" si="10"/>
        <v>4/2026</v>
      </c>
      <c r="AP97" s="45">
        <f t="shared" si="11"/>
        <v>3</v>
      </c>
      <c r="AQ97" s="45">
        <f t="shared" si="12"/>
        <v>24</v>
      </c>
      <c r="AR97" s="45">
        <f t="shared" si="13"/>
        <v>0</v>
      </c>
      <c r="AS97" s="45">
        <f t="shared" si="14"/>
        <v>0</v>
      </c>
      <c r="AT97" s="45">
        <f t="shared" si="15"/>
        <v>0</v>
      </c>
      <c r="AU97" s="45" t="str">
        <f>_xlfn.XLOOKUP(U97,'Lista Suspensa'!$AA$20:$AA$23,'Lista Suspensa'!$AB$20:$AB$23,"N/A")</f>
        <v>S</v>
      </c>
    </row>
    <row r="98" spans="1:47" ht="12" customHeight="1" x14ac:dyDescent="0.3">
      <c r="A98" s="87" t="s">
        <v>47</v>
      </c>
      <c r="B98" s="88">
        <v>46104</v>
      </c>
      <c r="C98" s="89" t="s">
        <v>48</v>
      </c>
      <c r="D98" s="89" t="s">
        <v>49</v>
      </c>
      <c r="E98" s="90">
        <v>86265645</v>
      </c>
      <c r="F98" s="184" t="s">
        <v>407</v>
      </c>
      <c r="G98" s="91">
        <v>5389480783</v>
      </c>
      <c r="H98" s="92">
        <v>27138</v>
      </c>
      <c r="I98" s="89">
        <v>51</v>
      </c>
      <c r="J98" s="89" t="s">
        <v>70</v>
      </c>
      <c r="K98" s="89" t="s">
        <v>88</v>
      </c>
      <c r="L98" s="89" t="s">
        <v>408</v>
      </c>
      <c r="M98" s="89" t="s">
        <v>409</v>
      </c>
      <c r="N98" s="89" t="s">
        <v>237</v>
      </c>
      <c r="O98" s="93" t="s">
        <v>410</v>
      </c>
      <c r="P98" s="94" t="s">
        <v>57</v>
      </c>
      <c r="Q98" s="112" t="s">
        <v>58</v>
      </c>
      <c r="R98" s="95">
        <v>46128</v>
      </c>
      <c r="S98" s="96"/>
      <c r="T98" s="96" t="s">
        <v>59</v>
      </c>
      <c r="U98" s="96" t="s">
        <v>60</v>
      </c>
      <c r="V98" s="92">
        <v>46128</v>
      </c>
      <c r="W98" s="92" t="s">
        <v>61</v>
      </c>
      <c r="X98" s="92" t="s">
        <v>61</v>
      </c>
      <c r="Y98" s="97"/>
      <c r="Z98" s="89" t="s">
        <v>62</v>
      </c>
      <c r="AA98" s="96">
        <v>46136</v>
      </c>
      <c r="AB98" s="89" t="s">
        <v>80</v>
      </c>
      <c r="AC98" s="111"/>
      <c r="AD98" s="89"/>
      <c r="AE98" s="89"/>
      <c r="AF98" s="98"/>
      <c r="AG98" s="98"/>
      <c r="AH98" s="98"/>
      <c r="AI98" s="99" t="s">
        <v>67</v>
      </c>
      <c r="AJ98" s="99" t="s">
        <v>67</v>
      </c>
      <c r="AK98" s="99" t="s">
        <v>67</v>
      </c>
      <c r="AL98" s="45" t="s">
        <v>68</v>
      </c>
      <c r="AM98" s="162" t="str">
        <f t="shared" si="8"/>
        <v>3/2026</v>
      </c>
      <c r="AN98" s="45">
        <f t="shared" si="9"/>
        <v>4</v>
      </c>
      <c r="AO98" s="45" t="str">
        <f t="shared" si="10"/>
        <v>4/2026</v>
      </c>
      <c r="AP98" s="45">
        <f t="shared" si="11"/>
        <v>3</v>
      </c>
      <c r="AQ98" s="45">
        <f t="shared" si="12"/>
        <v>24</v>
      </c>
      <c r="AR98" s="45">
        <f t="shared" si="13"/>
        <v>0</v>
      </c>
      <c r="AS98" s="45">
        <f t="shared" si="14"/>
        <v>0</v>
      </c>
      <c r="AT98" s="45">
        <f t="shared" si="15"/>
        <v>0</v>
      </c>
      <c r="AU98" s="45" t="str">
        <f>_xlfn.XLOOKUP(U98,'Lista Suspensa'!$AA$20:$AA$23,'Lista Suspensa'!$AB$20:$AB$23,"N/A")</f>
        <v>S</v>
      </c>
    </row>
    <row r="99" spans="1:47" ht="12" customHeight="1" x14ac:dyDescent="0.3">
      <c r="A99" s="87" t="s">
        <v>47</v>
      </c>
      <c r="B99" s="88">
        <v>46104</v>
      </c>
      <c r="C99" s="89" t="s">
        <v>48</v>
      </c>
      <c r="D99" s="89" t="s">
        <v>49</v>
      </c>
      <c r="E99" s="90">
        <v>87563231</v>
      </c>
      <c r="F99" s="184" t="s">
        <v>411</v>
      </c>
      <c r="G99" s="91">
        <v>26742705</v>
      </c>
      <c r="H99" s="92">
        <v>24630</v>
      </c>
      <c r="I99" s="89">
        <v>58</v>
      </c>
      <c r="J99" s="89" t="s">
        <v>51</v>
      </c>
      <c r="K99" s="89" t="s">
        <v>88</v>
      </c>
      <c r="L99" s="89" t="s">
        <v>89</v>
      </c>
      <c r="M99" s="89" t="s">
        <v>412</v>
      </c>
      <c r="N99" s="89" t="s">
        <v>102</v>
      </c>
      <c r="O99" s="93" t="s">
        <v>413</v>
      </c>
      <c r="P99" s="94" t="s">
        <v>57</v>
      </c>
      <c r="Q99" s="112" t="s">
        <v>58</v>
      </c>
      <c r="R99" s="95">
        <v>46128</v>
      </c>
      <c r="S99" s="96"/>
      <c r="T99" s="96" t="s">
        <v>59</v>
      </c>
      <c r="U99" s="96" t="s">
        <v>60</v>
      </c>
      <c r="V99" s="92">
        <v>46128</v>
      </c>
      <c r="W99" s="92" t="s">
        <v>61</v>
      </c>
      <c r="X99" s="92" t="s">
        <v>61</v>
      </c>
      <c r="Y99" s="97"/>
      <c r="Z99" s="89" t="s">
        <v>62</v>
      </c>
      <c r="AA99" s="96">
        <v>46135.486111111109</v>
      </c>
      <c r="AB99" s="89" t="s">
        <v>80</v>
      </c>
      <c r="AC99" s="111"/>
      <c r="AD99" s="89"/>
      <c r="AE99" s="89"/>
      <c r="AF99" s="98"/>
      <c r="AG99" s="98"/>
      <c r="AH99" s="98"/>
      <c r="AI99" s="99" t="s">
        <v>67</v>
      </c>
      <c r="AJ99" s="99" t="s">
        <v>67</v>
      </c>
      <c r="AK99" s="99" t="s">
        <v>67</v>
      </c>
      <c r="AL99" s="45" t="s">
        <v>68</v>
      </c>
      <c r="AM99" s="162" t="str">
        <f t="shared" si="8"/>
        <v>3/2026</v>
      </c>
      <c r="AN99" s="45">
        <f t="shared" si="9"/>
        <v>4</v>
      </c>
      <c r="AO99" s="45" t="str">
        <f t="shared" si="10"/>
        <v>4/2026</v>
      </c>
      <c r="AP99" s="45">
        <f t="shared" si="11"/>
        <v>3</v>
      </c>
      <c r="AQ99" s="45">
        <f t="shared" si="12"/>
        <v>24</v>
      </c>
      <c r="AR99" s="45">
        <f t="shared" si="13"/>
        <v>0</v>
      </c>
      <c r="AS99" s="45">
        <f t="shared" si="14"/>
        <v>0</v>
      </c>
      <c r="AT99" s="45">
        <f t="shared" si="15"/>
        <v>0</v>
      </c>
      <c r="AU99" s="45" t="str">
        <f>_xlfn.XLOOKUP(U99,'Lista Suspensa'!$AA$20:$AA$23,'Lista Suspensa'!$AB$20:$AB$23,"N/A")</f>
        <v>S</v>
      </c>
    </row>
    <row r="100" spans="1:47" ht="12" customHeight="1" x14ac:dyDescent="0.3">
      <c r="A100" s="87" t="s">
        <v>47</v>
      </c>
      <c r="B100" s="88">
        <v>46104</v>
      </c>
      <c r="C100" s="89" t="s">
        <v>48</v>
      </c>
      <c r="D100" s="89" t="s">
        <v>49</v>
      </c>
      <c r="E100" s="90">
        <v>451900642</v>
      </c>
      <c r="F100" s="184" t="s">
        <v>414</v>
      </c>
      <c r="G100" s="91">
        <v>93902549815</v>
      </c>
      <c r="H100" s="92">
        <v>20900</v>
      </c>
      <c r="I100" s="89">
        <v>69</v>
      </c>
      <c r="J100" s="89" t="s">
        <v>51</v>
      </c>
      <c r="K100" s="89" t="s">
        <v>52</v>
      </c>
      <c r="L100" s="89" t="s">
        <v>53</v>
      </c>
      <c r="M100" s="89" t="s">
        <v>415</v>
      </c>
      <c r="N100" s="89" t="s">
        <v>72</v>
      </c>
      <c r="O100" s="93" t="s">
        <v>416</v>
      </c>
      <c r="P100" s="94" t="s">
        <v>57</v>
      </c>
      <c r="Q100" s="112" t="s">
        <v>58</v>
      </c>
      <c r="R100" s="95">
        <v>46128</v>
      </c>
      <c r="S100" s="96"/>
      <c r="T100" s="96" t="s">
        <v>59</v>
      </c>
      <c r="U100" s="96" t="s">
        <v>60</v>
      </c>
      <c r="V100" s="92">
        <v>46128</v>
      </c>
      <c r="W100" s="92" t="s">
        <v>61</v>
      </c>
      <c r="X100" s="92" t="s">
        <v>61</v>
      </c>
      <c r="Y100" s="97"/>
      <c r="Z100" s="89" t="s">
        <v>62</v>
      </c>
      <c r="AA100" s="96">
        <v>46136</v>
      </c>
      <c r="AB100" s="89" t="s">
        <v>80</v>
      </c>
      <c r="AC100" s="111"/>
      <c r="AD100" s="89"/>
      <c r="AE100" s="89"/>
      <c r="AF100" s="98"/>
      <c r="AG100" s="98"/>
      <c r="AH100" s="98"/>
      <c r="AI100" s="99" t="s">
        <v>67</v>
      </c>
      <c r="AJ100" s="99" t="s">
        <v>67</v>
      </c>
      <c r="AK100" s="99" t="s">
        <v>67</v>
      </c>
      <c r="AL100" s="45" t="s">
        <v>68</v>
      </c>
      <c r="AM100" s="162" t="str">
        <f t="shared" si="8"/>
        <v>3/2026</v>
      </c>
      <c r="AN100" s="45">
        <f t="shared" si="9"/>
        <v>4</v>
      </c>
      <c r="AO100" s="45" t="str">
        <f t="shared" si="10"/>
        <v>4/2026</v>
      </c>
      <c r="AP100" s="45">
        <f t="shared" si="11"/>
        <v>3</v>
      </c>
      <c r="AQ100" s="45">
        <f t="shared" si="12"/>
        <v>24</v>
      </c>
      <c r="AR100" s="45">
        <f t="shared" si="13"/>
        <v>0</v>
      </c>
      <c r="AS100" s="45">
        <f t="shared" si="14"/>
        <v>0</v>
      </c>
      <c r="AT100" s="45">
        <f t="shared" si="15"/>
        <v>0</v>
      </c>
      <c r="AU100" s="45" t="str">
        <f>_xlfn.XLOOKUP(U100,'Lista Suspensa'!$AA$20:$AA$23,'Lista Suspensa'!$AB$20:$AB$23,"N/A")</f>
        <v>S</v>
      </c>
    </row>
    <row r="101" spans="1:47" ht="12" customHeight="1" x14ac:dyDescent="0.3">
      <c r="A101" s="87" t="s">
        <v>47</v>
      </c>
      <c r="B101" s="88">
        <v>46104</v>
      </c>
      <c r="C101" s="89" t="s">
        <v>48</v>
      </c>
      <c r="D101" s="89" t="s">
        <v>49</v>
      </c>
      <c r="E101" s="90">
        <v>83884049</v>
      </c>
      <c r="F101" s="184" t="s">
        <v>417</v>
      </c>
      <c r="G101" s="91">
        <v>26427750895</v>
      </c>
      <c r="H101" s="92">
        <v>28990</v>
      </c>
      <c r="I101" s="89">
        <v>46</v>
      </c>
      <c r="J101" s="89" t="s">
        <v>51</v>
      </c>
      <c r="K101" s="89" t="s">
        <v>52</v>
      </c>
      <c r="L101" s="89" t="s">
        <v>53</v>
      </c>
      <c r="M101" s="89" t="s">
        <v>418</v>
      </c>
      <c r="N101" s="89" t="s">
        <v>72</v>
      </c>
      <c r="O101" s="93" t="s">
        <v>419</v>
      </c>
      <c r="P101" s="94" t="s">
        <v>57</v>
      </c>
      <c r="Q101" s="112" t="s">
        <v>58</v>
      </c>
      <c r="R101" s="95">
        <v>46128</v>
      </c>
      <c r="S101" s="96"/>
      <c r="T101" s="96" t="s">
        <v>59</v>
      </c>
      <c r="U101" s="96" t="s">
        <v>60</v>
      </c>
      <c r="V101" s="92">
        <v>46128</v>
      </c>
      <c r="W101" s="92" t="s">
        <v>61</v>
      </c>
      <c r="X101" s="92" t="s">
        <v>61</v>
      </c>
      <c r="Y101" s="97"/>
      <c r="Z101" s="89" t="s">
        <v>62</v>
      </c>
      <c r="AA101" s="96">
        <v>46135.486111111109</v>
      </c>
      <c r="AB101" s="89" t="s">
        <v>80</v>
      </c>
      <c r="AC101" s="111"/>
      <c r="AD101" s="89"/>
      <c r="AE101" s="89"/>
      <c r="AF101" s="98"/>
      <c r="AG101" s="98"/>
      <c r="AH101" s="98"/>
      <c r="AI101" s="99" t="s">
        <v>67</v>
      </c>
      <c r="AJ101" s="99" t="s">
        <v>67</v>
      </c>
      <c r="AK101" s="99" t="s">
        <v>67</v>
      </c>
      <c r="AL101" s="45" t="s">
        <v>68</v>
      </c>
      <c r="AM101" s="162" t="str">
        <f t="shared" si="8"/>
        <v>3/2026</v>
      </c>
      <c r="AN101" s="45">
        <f t="shared" si="9"/>
        <v>4</v>
      </c>
      <c r="AO101" s="45" t="str">
        <f t="shared" si="10"/>
        <v>4/2026</v>
      </c>
      <c r="AP101" s="45">
        <f t="shared" si="11"/>
        <v>3</v>
      </c>
      <c r="AQ101" s="45">
        <f t="shared" si="12"/>
        <v>24</v>
      </c>
      <c r="AR101" s="45">
        <f t="shared" si="13"/>
        <v>0</v>
      </c>
      <c r="AS101" s="45">
        <f t="shared" si="14"/>
        <v>0</v>
      </c>
      <c r="AT101" s="45">
        <f t="shared" si="15"/>
        <v>0</v>
      </c>
      <c r="AU101" s="45" t="str">
        <f>_xlfn.XLOOKUP(U101,'Lista Suspensa'!$AA$20:$AA$23,'Lista Suspensa'!$AB$20:$AB$23,"N/A")</f>
        <v>S</v>
      </c>
    </row>
    <row r="102" spans="1:47" ht="12" customHeight="1" x14ac:dyDescent="0.3">
      <c r="A102" s="87" t="s">
        <v>47</v>
      </c>
      <c r="B102" s="88">
        <v>46104</v>
      </c>
      <c r="C102" s="89" t="s">
        <v>48</v>
      </c>
      <c r="D102" s="89" t="s">
        <v>49</v>
      </c>
      <c r="E102" s="90">
        <v>451671392</v>
      </c>
      <c r="F102" s="184" t="s">
        <v>420</v>
      </c>
      <c r="G102" s="91">
        <v>16703805806</v>
      </c>
      <c r="H102" s="92">
        <v>23125</v>
      </c>
      <c r="I102" s="89">
        <v>62</v>
      </c>
      <c r="J102" s="89" t="s">
        <v>70</v>
      </c>
      <c r="K102" s="89" t="s">
        <v>52</v>
      </c>
      <c r="L102" s="89" t="s">
        <v>53</v>
      </c>
      <c r="M102" s="89" t="s">
        <v>421</v>
      </c>
      <c r="N102" s="89" t="s">
        <v>72</v>
      </c>
      <c r="O102" s="93" t="s">
        <v>422</v>
      </c>
      <c r="P102" s="94" t="s">
        <v>57</v>
      </c>
      <c r="Q102" s="112" t="s">
        <v>58</v>
      </c>
      <c r="R102" s="95">
        <v>46128</v>
      </c>
      <c r="S102" s="96"/>
      <c r="T102" s="96" t="s">
        <v>59</v>
      </c>
      <c r="U102" s="96" t="s">
        <v>60</v>
      </c>
      <c r="V102" s="92">
        <v>46128</v>
      </c>
      <c r="W102" s="92" t="s">
        <v>61</v>
      </c>
      <c r="X102" s="92" t="s">
        <v>61</v>
      </c>
      <c r="Y102" s="97"/>
      <c r="Z102" s="89" t="s">
        <v>62</v>
      </c>
      <c r="AA102" s="96">
        <v>46139</v>
      </c>
      <c r="AB102" s="89" t="s">
        <v>80</v>
      </c>
      <c r="AC102" s="111"/>
      <c r="AD102" s="89"/>
      <c r="AE102" s="89"/>
      <c r="AF102" s="98"/>
      <c r="AG102" s="98"/>
      <c r="AH102" s="98"/>
      <c r="AI102" s="99" t="s">
        <v>67</v>
      </c>
      <c r="AJ102" s="99" t="s">
        <v>67</v>
      </c>
      <c r="AK102" s="99" t="s">
        <v>67</v>
      </c>
      <c r="AL102" s="45" t="s">
        <v>68</v>
      </c>
      <c r="AM102" s="162" t="str">
        <f t="shared" si="8"/>
        <v>3/2026</v>
      </c>
      <c r="AN102" s="45">
        <f t="shared" si="9"/>
        <v>4</v>
      </c>
      <c r="AO102" s="45" t="str">
        <f t="shared" si="10"/>
        <v>4/2026</v>
      </c>
      <c r="AP102" s="45">
        <f t="shared" si="11"/>
        <v>3</v>
      </c>
      <c r="AQ102" s="45">
        <f t="shared" si="12"/>
        <v>24</v>
      </c>
      <c r="AR102" s="45">
        <f t="shared" si="13"/>
        <v>0</v>
      </c>
      <c r="AS102" s="45">
        <f t="shared" si="14"/>
        <v>0</v>
      </c>
      <c r="AT102" s="45">
        <f t="shared" si="15"/>
        <v>0</v>
      </c>
      <c r="AU102" s="45" t="str">
        <f>_xlfn.XLOOKUP(U102,'Lista Suspensa'!$AA$20:$AA$23,'Lista Suspensa'!$AB$20:$AB$23,"N/A")</f>
        <v>S</v>
      </c>
    </row>
    <row r="103" spans="1:47" ht="12" customHeight="1" x14ac:dyDescent="0.3">
      <c r="A103" s="87" t="s">
        <v>47</v>
      </c>
      <c r="B103" s="88">
        <v>46104</v>
      </c>
      <c r="C103" s="89" t="s">
        <v>48</v>
      </c>
      <c r="D103" s="89" t="s">
        <v>49</v>
      </c>
      <c r="E103" s="90">
        <v>937420697</v>
      </c>
      <c r="F103" s="184" t="s">
        <v>423</v>
      </c>
      <c r="G103" s="91">
        <v>13974716890</v>
      </c>
      <c r="H103" s="92">
        <v>23693</v>
      </c>
      <c r="I103" s="89">
        <v>61</v>
      </c>
      <c r="J103" s="89" t="s">
        <v>51</v>
      </c>
      <c r="K103" s="89" t="s">
        <v>52</v>
      </c>
      <c r="L103" s="89" t="s">
        <v>53</v>
      </c>
      <c r="M103" s="89" t="s">
        <v>421</v>
      </c>
      <c r="N103" s="89" t="s">
        <v>72</v>
      </c>
      <c r="O103" s="93" t="s">
        <v>424</v>
      </c>
      <c r="P103" s="94" t="s">
        <v>57</v>
      </c>
      <c r="Q103" s="112" t="s">
        <v>58</v>
      </c>
      <c r="R103" s="95">
        <v>46128</v>
      </c>
      <c r="S103" s="96"/>
      <c r="T103" s="96" t="s">
        <v>59</v>
      </c>
      <c r="U103" s="96" t="s">
        <v>60</v>
      </c>
      <c r="V103" s="92">
        <v>46128</v>
      </c>
      <c r="W103" s="92" t="s">
        <v>61</v>
      </c>
      <c r="X103" s="92" t="s">
        <v>61</v>
      </c>
      <c r="Y103" s="97"/>
      <c r="Z103" s="89" t="s">
        <v>62</v>
      </c>
      <c r="AA103" s="96">
        <v>46136</v>
      </c>
      <c r="AB103" s="89" t="s">
        <v>80</v>
      </c>
      <c r="AC103" s="111"/>
      <c r="AD103" s="89"/>
      <c r="AE103" s="89"/>
      <c r="AF103" s="98"/>
      <c r="AG103" s="98"/>
      <c r="AH103" s="98"/>
      <c r="AI103" s="99" t="s">
        <v>67</v>
      </c>
      <c r="AJ103" s="99" t="s">
        <v>67</v>
      </c>
      <c r="AK103" s="99" t="s">
        <v>67</v>
      </c>
      <c r="AL103" s="45" t="s">
        <v>68</v>
      </c>
      <c r="AM103" s="162" t="str">
        <f t="shared" si="8"/>
        <v>3/2026</v>
      </c>
      <c r="AN103" s="45">
        <f t="shared" si="9"/>
        <v>4</v>
      </c>
      <c r="AO103" s="45" t="str">
        <f t="shared" si="10"/>
        <v>4/2026</v>
      </c>
      <c r="AP103" s="45">
        <f t="shared" si="11"/>
        <v>3</v>
      </c>
      <c r="AQ103" s="45">
        <f t="shared" si="12"/>
        <v>24</v>
      </c>
      <c r="AR103" s="45">
        <f t="shared" si="13"/>
        <v>0</v>
      </c>
      <c r="AS103" s="45">
        <f t="shared" si="14"/>
        <v>0</v>
      </c>
      <c r="AT103" s="45">
        <f t="shared" si="15"/>
        <v>0</v>
      </c>
      <c r="AU103" s="45" t="str">
        <f>_xlfn.XLOOKUP(U103,'Lista Suspensa'!$AA$20:$AA$23,'Lista Suspensa'!$AB$20:$AB$23,"N/A")</f>
        <v>S</v>
      </c>
    </row>
    <row r="104" spans="1:47" ht="12" customHeight="1" x14ac:dyDescent="0.3">
      <c r="A104" s="87" t="s">
        <v>47</v>
      </c>
      <c r="B104" s="88">
        <v>46104</v>
      </c>
      <c r="C104" s="89" t="s">
        <v>48</v>
      </c>
      <c r="D104" s="89" t="s">
        <v>49</v>
      </c>
      <c r="E104" s="90">
        <v>431004200</v>
      </c>
      <c r="F104" s="184" t="s">
        <v>425</v>
      </c>
      <c r="G104" s="91">
        <v>39594041749</v>
      </c>
      <c r="H104" s="92">
        <v>20625</v>
      </c>
      <c r="I104" s="89">
        <v>69</v>
      </c>
      <c r="J104" s="89" t="s">
        <v>51</v>
      </c>
      <c r="K104" s="89" t="s">
        <v>88</v>
      </c>
      <c r="L104" s="89" t="s">
        <v>89</v>
      </c>
      <c r="M104" s="89" t="s">
        <v>426</v>
      </c>
      <c r="N104" s="89" t="s">
        <v>72</v>
      </c>
      <c r="O104" s="93" t="s">
        <v>427</v>
      </c>
      <c r="P104" s="94" t="s">
        <v>57</v>
      </c>
      <c r="Q104" s="112" t="s">
        <v>58</v>
      </c>
      <c r="R104" s="95">
        <v>46128</v>
      </c>
      <c r="S104" s="96"/>
      <c r="T104" s="96" t="s">
        <v>59</v>
      </c>
      <c r="U104" s="96" t="s">
        <v>60</v>
      </c>
      <c r="V104" s="92">
        <v>46128</v>
      </c>
      <c r="W104" s="92" t="s">
        <v>61</v>
      </c>
      <c r="X104" s="92" t="s">
        <v>61</v>
      </c>
      <c r="Y104" s="97"/>
      <c r="Z104" s="89" t="s">
        <v>62</v>
      </c>
      <c r="AA104" s="96">
        <v>46139</v>
      </c>
      <c r="AB104" s="89" t="s">
        <v>80</v>
      </c>
      <c r="AC104" s="111"/>
      <c r="AD104" s="89"/>
      <c r="AE104" s="89"/>
      <c r="AF104" s="98"/>
      <c r="AG104" s="98"/>
      <c r="AH104" s="98"/>
      <c r="AI104" s="99" t="s">
        <v>67</v>
      </c>
      <c r="AJ104" s="99" t="s">
        <v>67</v>
      </c>
      <c r="AK104" s="99" t="s">
        <v>67</v>
      </c>
      <c r="AL104" s="45" t="s">
        <v>68</v>
      </c>
      <c r="AM104" s="162" t="str">
        <f t="shared" si="8"/>
        <v>3/2026</v>
      </c>
      <c r="AN104" s="45">
        <f t="shared" si="9"/>
        <v>4</v>
      </c>
      <c r="AO104" s="45" t="str">
        <f t="shared" si="10"/>
        <v>4/2026</v>
      </c>
      <c r="AP104" s="45">
        <f t="shared" si="11"/>
        <v>3</v>
      </c>
      <c r="AQ104" s="45">
        <f t="shared" si="12"/>
        <v>24</v>
      </c>
      <c r="AR104" s="45">
        <f t="shared" si="13"/>
        <v>0</v>
      </c>
      <c r="AS104" s="45">
        <f t="shared" si="14"/>
        <v>0</v>
      </c>
      <c r="AT104" s="45">
        <f t="shared" si="15"/>
        <v>0</v>
      </c>
      <c r="AU104" s="45" t="str">
        <f>_xlfn.XLOOKUP(U104,'Lista Suspensa'!$AA$20:$AA$23,'Lista Suspensa'!$AB$20:$AB$23,"N/A")</f>
        <v>S</v>
      </c>
    </row>
    <row r="105" spans="1:47" ht="12" customHeight="1" x14ac:dyDescent="0.3">
      <c r="A105" s="87" t="s">
        <v>47</v>
      </c>
      <c r="B105" s="88">
        <v>46104</v>
      </c>
      <c r="C105" s="89" t="s">
        <v>48</v>
      </c>
      <c r="D105" s="89" t="s">
        <v>49</v>
      </c>
      <c r="E105" s="90">
        <v>593829557</v>
      </c>
      <c r="F105" s="184" t="s">
        <v>428</v>
      </c>
      <c r="G105" s="91">
        <v>29861908803</v>
      </c>
      <c r="H105" s="92">
        <v>30167</v>
      </c>
      <c r="I105" s="89">
        <v>43</v>
      </c>
      <c r="J105" s="89" t="s">
        <v>51</v>
      </c>
      <c r="K105" s="89" t="s">
        <v>52</v>
      </c>
      <c r="L105" s="89" t="s">
        <v>331</v>
      </c>
      <c r="M105" s="89" t="s">
        <v>429</v>
      </c>
      <c r="N105" s="89" t="s">
        <v>130</v>
      </c>
      <c r="O105" s="93" t="s">
        <v>430</v>
      </c>
      <c r="P105" s="94" t="s">
        <v>57</v>
      </c>
      <c r="Q105" s="112" t="s">
        <v>58</v>
      </c>
      <c r="R105" s="95">
        <v>46128</v>
      </c>
      <c r="S105" s="96"/>
      <c r="T105" s="96" t="s">
        <v>59</v>
      </c>
      <c r="U105" s="96" t="s">
        <v>60</v>
      </c>
      <c r="V105" s="92">
        <v>46128</v>
      </c>
      <c r="W105" s="92" t="s">
        <v>61</v>
      </c>
      <c r="X105" s="92" t="s">
        <v>61</v>
      </c>
      <c r="Y105" s="97"/>
      <c r="Z105" s="89" t="s">
        <v>62</v>
      </c>
      <c r="AA105" s="96">
        <v>46142.583333333336</v>
      </c>
      <c r="AB105" s="89" t="s">
        <v>80</v>
      </c>
      <c r="AC105" s="111"/>
      <c r="AD105" s="89"/>
      <c r="AE105" s="89"/>
      <c r="AF105" s="98"/>
      <c r="AG105" s="98"/>
      <c r="AH105" s="98"/>
      <c r="AI105" s="99" t="s">
        <v>67</v>
      </c>
      <c r="AJ105" s="99" t="s">
        <v>67</v>
      </c>
      <c r="AK105" s="99" t="s">
        <v>67</v>
      </c>
      <c r="AL105" s="45" t="s">
        <v>68</v>
      </c>
      <c r="AM105" s="162" t="str">
        <f t="shared" si="8"/>
        <v>3/2026</v>
      </c>
      <c r="AN105" s="45">
        <f t="shared" si="9"/>
        <v>4</v>
      </c>
      <c r="AO105" s="45" t="str">
        <f t="shared" si="10"/>
        <v>4/2026</v>
      </c>
      <c r="AP105" s="45">
        <f t="shared" si="11"/>
        <v>3</v>
      </c>
      <c r="AQ105" s="45">
        <f t="shared" si="12"/>
        <v>24</v>
      </c>
      <c r="AR105" s="45">
        <f t="shared" si="13"/>
        <v>0</v>
      </c>
      <c r="AS105" s="45">
        <f t="shared" si="14"/>
        <v>0</v>
      </c>
      <c r="AT105" s="45">
        <f t="shared" si="15"/>
        <v>0</v>
      </c>
      <c r="AU105" s="45" t="str">
        <f>_xlfn.XLOOKUP(U105,'Lista Suspensa'!$AA$20:$AA$23,'Lista Suspensa'!$AB$20:$AB$23,"N/A")</f>
        <v>S</v>
      </c>
    </row>
    <row r="106" spans="1:47" ht="12" customHeight="1" x14ac:dyDescent="0.3">
      <c r="A106" s="87" t="s">
        <v>47</v>
      </c>
      <c r="B106" s="88">
        <v>46104</v>
      </c>
      <c r="C106" s="89" t="s">
        <v>48</v>
      </c>
      <c r="D106" s="89" t="s">
        <v>49</v>
      </c>
      <c r="E106" s="90">
        <v>72119663</v>
      </c>
      <c r="F106" s="184" t="s">
        <v>431</v>
      </c>
      <c r="G106" s="91">
        <v>12811162895</v>
      </c>
      <c r="H106" s="92">
        <v>26698</v>
      </c>
      <c r="I106" s="89">
        <v>53</v>
      </c>
      <c r="J106" s="89" t="s">
        <v>70</v>
      </c>
      <c r="K106" s="89" t="s">
        <v>52</v>
      </c>
      <c r="L106" s="89" t="s">
        <v>53</v>
      </c>
      <c r="M106" s="89" t="s">
        <v>432</v>
      </c>
      <c r="N106" s="89" t="s">
        <v>130</v>
      </c>
      <c r="O106" s="93" t="s">
        <v>433</v>
      </c>
      <c r="P106" s="94" t="s">
        <v>57</v>
      </c>
      <c r="Q106" s="112" t="s">
        <v>58</v>
      </c>
      <c r="R106" s="95">
        <v>46128</v>
      </c>
      <c r="S106" s="96"/>
      <c r="T106" s="96" t="s">
        <v>59</v>
      </c>
      <c r="U106" s="96" t="s">
        <v>60</v>
      </c>
      <c r="V106" s="92">
        <v>46128</v>
      </c>
      <c r="W106" s="92" t="s">
        <v>61</v>
      </c>
      <c r="X106" s="92" t="s">
        <v>61</v>
      </c>
      <c r="Y106" s="97"/>
      <c r="Z106" s="89" t="s">
        <v>62</v>
      </c>
      <c r="AA106" s="96">
        <v>46136</v>
      </c>
      <c r="AB106" s="89" t="s">
        <v>63</v>
      </c>
      <c r="AC106" s="111"/>
      <c r="AD106" s="89"/>
      <c r="AE106" s="89"/>
      <c r="AF106" s="98"/>
      <c r="AG106" s="98"/>
      <c r="AH106" s="98"/>
      <c r="AI106" s="99" t="s">
        <v>67</v>
      </c>
      <c r="AJ106" s="99" t="s">
        <v>67</v>
      </c>
      <c r="AK106" s="99" t="s">
        <v>67</v>
      </c>
      <c r="AL106" s="45" t="s">
        <v>68</v>
      </c>
      <c r="AM106" s="162" t="str">
        <f t="shared" si="8"/>
        <v>3/2026</v>
      </c>
      <c r="AN106" s="45">
        <f t="shared" si="9"/>
        <v>4</v>
      </c>
      <c r="AO106" s="45" t="str">
        <f t="shared" si="10"/>
        <v>4/2026</v>
      </c>
      <c r="AP106" s="45">
        <f t="shared" si="11"/>
        <v>3</v>
      </c>
      <c r="AQ106" s="45">
        <f t="shared" si="12"/>
        <v>24</v>
      </c>
      <c r="AR106" s="45">
        <f t="shared" si="13"/>
        <v>0</v>
      </c>
      <c r="AS106" s="45">
        <f t="shared" si="14"/>
        <v>0</v>
      </c>
      <c r="AT106" s="45">
        <f t="shared" si="15"/>
        <v>8</v>
      </c>
      <c r="AU106" s="45" t="str">
        <f>_xlfn.XLOOKUP(U106,'Lista Suspensa'!$AA$20:$AA$23,'Lista Suspensa'!$AB$20:$AB$23,"N/A")</f>
        <v>S</v>
      </c>
    </row>
    <row r="107" spans="1:47" ht="12" customHeight="1" x14ac:dyDescent="0.3">
      <c r="A107" s="87" t="s">
        <v>47</v>
      </c>
      <c r="B107" s="88">
        <v>46104</v>
      </c>
      <c r="C107" s="89" t="s">
        <v>48</v>
      </c>
      <c r="D107" s="89" t="s">
        <v>49</v>
      </c>
      <c r="E107" s="90">
        <v>73174176</v>
      </c>
      <c r="F107" s="184" t="s">
        <v>434</v>
      </c>
      <c r="G107" s="91">
        <v>56485492704</v>
      </c>
      <c r="H107" s="92">
        <v>21664</v>
      </c>
      <c r="I107" s="89">
        <v>66</v>
      </c>
      <c r="J107" s="89" t="s">
        <v>51</v>
      </c>
      <c r="K107" s="89" t="s">
        <v>88</v>
      </c>
      <c r="L107" s="89" t="s">
        <v>97</v>
      </c>
      <c r="M107" s="89" t="s">
        <v>435</v>
      </c>
      <c r="N107" s="89" t="s">
        <v>130</v>
      </c>
      <c r="O107" s="93" t="s">
        <v>436</v>
      </c>
      <c r="P107" s="94" t="s">
        <v>57</v>
      </c>
      <c r="Q107" s="112" t="s">
        <v>58</v>
      </c>
      <c r="R107" s="95">
        <v>46128</v>
      </c>
      <c r="S107" s="96"/>
      <c r="T107" s="96" t="s">
        <v>59</v>
      </c>
      <c r="U107" s="96" t="s">
        <v>60</v>
      </c>
      <c r="V107" s="92">
        <v>46128</v>
      </c>
      <c r="W107" s="92" t="s">
        <v>61</v>
      </c>
      <c r="X107" s="92" t="s">
        <v>61</v>
      </c>
      <c r="Y107" s="97"/>
      <c r="Z107" s="89" t="s">
        <v>62</v>
      </c>
      <c r="AA107" s="96">
        <v>46136</v>
      </c>
      <c r="AB107" s="89" t="s">
        <v>80</v>
      </c>
      <c r="AC107" s="111"/>
      <c r="AD107" s="89"/>
      <c r="AE107" s="89"/>
      <c r="AF107" s="98"/>
      <c r="AG107" s="98"/>
      <c r="AH107" s="98"/>
      <c r="AI107" s="99" t="s">
        <v>67</v>
      </c>
      <c r="AJ107" s="99" t="s">
        <v>67</v>
      </c>
      <c r="AK107" s="99" t="s">
        <v>67</v>
      </c>
      <c r="AL107" s="45" t="s">
        <v>68</v>
      </c>
      <c r="AM107" s="162" t="str">
        <f t="shared" si="8"/>
        <v>3/2026</v>
      </c>
      <c r="AN107" s="45">
        <f t="shared" si="9"/>
        <v>4</v>
      </c>
      <c r="AO107" s="45" t="str">
        <f t="shared" si="10"/>
        <v>4/2026</v>
      </c>
      <c r="AP107" s="45">
        <f t="shared" si="11"/>
        <v>3</v>
      </c>
      <c r="AQ107" s="45">
        <f t="shared" si="12"/>
        <v>24</v>
      </c>
      <c r="AR107" s="45">
        <f t="shared" si="13"/>
        <v>0</v>
      </c>
      <c r="AS107" s="45">
        <f t="shared" si="14"/>
        <v>0</v>
      </c>
      <c r="AT107" s="45">
        <f t="shared" si="15"/>
        <v>0</v>
      </c>
      <c r="AU107" s="45" t="str">
        <f>_xlfn.XLOOKUP(U107,'Lista Suspensa'!$AA$20:$AA$23,'Lista Suspensa'!$AB$20:$AB$23,"N/A")</f>
        <v>S</v>
      </c>
    </row>
    <row r="108" spans="1:47" ht="12" customHeight="1" x14ac:dyDescent="0.3">
      <c r="A108" s="87" t="s">
        <v>47</v>
      </c>
      <c r="B108" s="88">
        <v>46104</v>
      </c>
      <c r="C108" s="89" t="s">
        <v>48</v>
      </c>
      <c r="D108" s="89" t="s">
        <v>49</v>
      </c>
      <c r="E108" s="90">
        <v>482825596</v>
      </c>
      <c r="F108" s="184" t="s">
        <v>437</v>
      </c>
      <c r="G108" s="91">
        <v>82307814787</v>
      </c>
      <c r="H108" s="92">
        <v>24519</v>
      </c>
      <c r="I108" s="89">
        <v>59</v>
      </c>
      <c r="J108" s="89" t="s">
        <v>51</v>
      </c>
      <c r="K108" s="89" t="s">
        <v>88</v>
      </c>
      <c r="L108" s="89" t="s">
        <v>438</v>
      </c>
      <c r="M108" s="89" t="s">
        <v>240</v>
      </c>
      <c r="N108" s="89" t="s">
        <v>277</v>
      </c>
      <c r="O108" s="93" t="s">
        <v>439</v>
      </c>
      <c r="P108" s="94" t="s">
        <v>57</v>
      </c>
      <c r="Q108" s="112" t="s">
        <v>58</v>
      </c>
      <c r="R108" s="95">
        <v>46128</v>
      </c>
      <c r="S108" s="96"/>
      <c r="T108" s="96" t="s">
        <v>59</v>
      </c>
      <c r="U108" s="96" t="s">
        <v>60</v>
      </c>
      <c r="V108" s="92">
        <v>46128</v>
      </c>
      <c r="W108" s="92" t="s">
        <v>61</v>
      </c>
      <c r="X108" s="92" t="s">
        <v>61</v>
      </c>
      <c r="Y108" s="97"/>
      <c r="Z108" s="89" t="s">
        <v>62</v>
      </c>
      <c r="AA108" s="96">
        <v>46139</v>
      </c>
      <c r="AB108" s="89" t="s">
        <v>80</v>
      </c>
      <c r="AC108" s="111"/>
      <c r="AD108" s="89"/>
      <c r="AE108" s="89"/>
      <c r="AF108" s="98"/>
      <c r="AG108" s="98"/>
      <c r="AH108" s="98"/>
      <c r="AI108" s="99" t="s">
        <v>67</v>
      </c>
      <c r="AJ108" s="99" t="s">
        <v>67</v>
      </c>
      <c r="AK108" s="99" t="s">
        <v>67</v>
      </c>
      <c r="AL108" s="45" t="s">
        <v>68</v>
      </c>
      <c r="AM108" s="162" t="str">
        <f t="shared" si="8"/>
        <v>3/2026</v>
      </c>
      <c r="AN108" s="45">
        <f t="shared" si="9"/>
        <v>4</v>
      </c>
      <c r="AO108" s="45" t="str">
        <f t="shared" si="10"/>
        <v>4/2026</v>
      </c>
      <c r="AP108" s="45">
        <f t="shared" si="11"/>
        <v>3</v>
      </c>
      <c r="AQ108" s="45">
        <f t="shared" si="12"/>
        <v>24</v>
      </c>
      <c r="AR108" s="45">
        <f t="shared" si="13"/>
        <v>0</v>
      </c>
      <c r="AS108" s="45">
        <f t="shared" si="14"/>
        <v>0</v>
      </c>
      <c r="AT108" s="45">
        <f t="shared" si="15"/>
        <v>0</v>
      </c>
      <c r="AU108" s="45" t="str">
        <f>_xlfn.XLOOKUP(U108,'Lista Suspensa'!$AA$20:$AA$23,'Lista Suspensa'!$AB$20:$AB$23,"N/A")</f>
        <v>S</v>
      </c>
    </row>
    <row r="109" spans="1:47" ht="12" customHeight="1" x14ac:dyDescent="0.3">
      <c r="A109" s="87" t="s">
        <v>47</v>
      </c>
      <c r="B109" s="88">
        <v>46104</v>
      </c>
      <c r="C109" s="89" t="s">
        <v>48</v>
      </c>
      <c r="D109" s="89" t="s">
        <v>49</v>
      </c>
      <c r="E109" s="90">
        <v>82263212</v>
      </c>
      <c r="F109" s="184" t="s">
        <v>440</v>
      </c>
      <c r="G109" s="91">
        <v>53662970791</v>
      </c>
      <c r="H109" s="92">
        <v>21457</v>
      </c>
      <c r="I109" s="89">
        <v>67</v>
      </c>
      <c r="J109" s="89" t="s">
        <v>70</v>
      </c>
      <c r="K109" s="89" t="s">
        <v>88</v>
      </c>
      <c r="L109" s="89" t="s">
        <v>97</v>
      </c>
      <c r="M109" s="89" t="s">
        <v>441</v>
      </c>
      <c r="N109" s="89" t="s">
        <v>148</v>
      </c>
      <c r="O109" s="93" t="s">
        <v>442</v>
      </c>
      <c r="P109" s="94" t="s">
        <v>57</v>
      </c>
      <c r="Q109" s="112" t="s">
        <v>58</v>
      </c>
      <c r="R109" s="95">
        <v>46128</v>
      </c>
      <c r="S109" s="96"/>
      <c r="T109" s="96" t="s">
        <v>59</v>
      </c>
      <c r="U109" s="96" t="s">
        <v>60</v>
      </c>
      <c r="V109" s="92">
        <v>46128</v>
      </c>
      <c r="W109" s="92" t="s">
        <v>61</v>
      </c>
      <c r="X109" s="92" t="s">
        <v>61</v>
      </c>
      <c r="Y109" s="97"/>
      <c r="Z109" s="89" t="s">
        <v>62</v>
      </c>
      <c r="AA109" s="96">
        <v>46135.486111111109</v>
      </c>
      <c r="AB109" s="89" t="s">
        <v>80</v>
      </c>
      <c r="AC109" s="111"/>
      <c r="AD109" s="89"/>
      <c r="AE109" s="89"/>
      <c r="AF109" s="98"/>
      <c r="AG109" s="98"/>
      <c r="AH109" s="98"/>
      <c r="AI109" s="99" t="s">
        <v>67</v>
      </c>
      <c r="AJ109" s="99" t="s">
        <v>67</v>
      </c>
      <c r="AK109" s="99" t="s">
        <v>67</v>
      </c>
      <c r="AL109" s="45" t="s">
        <v>68</v>
      </c>
      <c r="AM109" s="162" t="str">
        <f t="shared" si="8"/>
        <v>3/2026</v>
      </c>
      <c r="AN109" s="45">
        <f t="shared" si="9"/>
        <v>4</v>
      </c>
      <c r="AO109" s="45" t="str">
        <f t="shared" si="10"/>
        <v>4/2026</v>
      </c>
      <c r="AP109" s="45">
        <f t="shared" si="11"/>
        <v>3</v>
      </c>
      <c r="AQ109" s="45">
        <f t="shared" si="12"/>
        <v>24</v>
      </c>
      <c r="AR109" s="45">
        <f t="shared" si="13"/>
        <v>0</v>
      </c>
      <c r="AS109" s="45">
        <f t="shared" si="14"/>
        <v>0</v>
      </c>
      <c r="AT109" s="45">
        <f t="shared" si="15"/>
        <v>0</v>
      </c>
      <c r="AU109" s="45" t="str">
        <f>_xlfn.XLOOKUP(U109,'Lista Suspensa'!$AA$20:$AA$23,'Lista Suspensa'!$AB$20:$AB$23,"N/A")</f>
        <v>S</v>
      </c>
    </row>
    <row r="110" spans="1:47" ht="12" customHeight="1" x14ac:dyDescent="0.3">
      <c r="A110" s="87" t="s">
        <v>47</v>
      </c>
      <c r="B110" s="88">
        <v>46104</v>
      </c>
      <c r="C110" s="89" t="s">
        <v>48</v>
      </c>
      <c r="D110" s="89" t="s">
        <v>49</v>
      </c>
      <c r="E110" s="90">
        <v>85191978</v>
      </c>
      <c r="F110" s="184" t="s">
        <v>443</v>
      </c>
      <c r="G110" s="91">
        <v>25046429896</v>
      </c>
      <c r="H110" s="92">
        <v>27756</v>
      </c>
      <c r="I110" s="89">
        <v>50</v>
      </c>
      <c r="J110" s="89" t="s">
        <v>51</v>
      </c>
      <c r="K110" s="89" t="s">
        <v>52</v>
      </c>
      <c r="L110" s="89" t="s">
        <v>53</v>
      </c>
      <c r="M110" s="89" t="s">
        <v>444</v>
      </c>
      <c r="N110" s="89" t="s">
        <v>148</v>
      </c>
      <c r="O110" s="93" t="s">
        <v>445</v>
      </c>
      <c r="P110" s="94" t="s">
        <v>57</v>
      </c>
      <c r="Q110" s="112" t="s">
        <v>58</v>
      </c>
      <c r="R110" s="95">
        <v>46128</v>
      </c>
      <c r="S110" s="96"/>
      <c r="T110" s="96" t="s">
        <v>59</v>
      </c>
      <c r="U110" s="96" t="s">
        <v>60</v>
      </c>
      <c r="V110" s="92">
        <v>46128</v>
      </c>
      <c r="W110" s="92" t="s">
        <v>61</v>
      </c>
      <c r="X110" s="92" t="s">
        <v>61</v>
      </c>
      <c r="Y110" s="97"/>
      <c r="Z110" s="89" t="s">
        <v>62</v>
      </c>
      <c r="AA110" s="96">
        <v>46135.486111111109</v>
      </c>
      <c r="AB110" s="89" t="s">
        <v>80</v>
      </c>
      <c r="AC110" s="111"/>
      <c r="AD110" s="89"/>
      <c r="AE110" s="89"/>
      <c r="AF110" s="98"/>
      <c r="AG110" s="98"/>
      <c r="AH110" s="98"/>
      <c r="AI110" s="99" t="s">
        <v>67</v>
      </c>
      <c r="AJ110" s="99" t="s">
        <v>67</v>
      </c>
      <c r="AK110" s="99" t="s">
        <v>67</v>
      </c>
      <c r="AL110" s="45" t="s">
        <v>68</v>
      </c>
      <c r="AM110" s="162" t="str">
        <f t="shared" si="8"/>
        <v>3/2026</v>
      </c>
      <c r="AN110" s="45">
        <f t="shared" si="9"/>
        <v>4</v>
      </c>
      <c r="AO110" s="45" t="str">
        <f t="shared" si="10"/>
        <v>4/2026</v>
      </c>
      <c r="AP110" s="45">
        <f t="shared" si="11"/>
        <v>3</v>
      </c>
      <c r="AQ110" s="45">
        <f t="shared" si="12"/>
        <v>24</v>
      </c>
      <c r="AR110" s="45">
        <f t="shared" si="13"/>
        <v>0</v>
      </c>
      <c r="AS110" s="45">
        <f t="shared" si="14"/>
        <v>0</v>
      </c>
      <c r="AT110" s="45">
        <f t="shared" si="15"/>
        <v>0</v>
      </c>
      <c r="AU110" s="45" t="str">
        <f>_xlfn.XLOOKUP(U110,'Lista Suspensa'!$AA$20:$AA$23,'Lista Suspensa'!$AB$20:$AB$23,"N/A")</f>
        <v>S</v>
      </c>
    </row>
    <row r="111" spans="1:47" ht="12" customHeight="1" x14ac:dyDescent="0.3">
      <c r="A111" s="87" t="s">
        <v>47</v>
      </c>
      <c r="B111" s="88">
        <v>46104</v>
      </c>
      <c r="C111" s="89" t="s">
        <v>48</v>
      </c>
      <c r="D111" s="89" t="s">
        <v>49</v>
      </c>
      <c r="E111" s="90">
        <v>94934244</v>
      </c>
      <c r="F111" s="184" t="s">
        <v>446</v>
      </c>
      <c r="G111" s="91">
        <v>1720049505</v>
      </c>
      <c r="H111" s="92">
        <v>29674</v>
      </c>
      <c r="I111" s="89">
        <v>44</v>
      </c>
      <c r="J111" s="89" t="s">
        <v>51</v>
      </c>
      <c r="K111" s="89" t="s">
        <v>52</v>
      </c>
      <c r="L111" s="89" t="s">
        <v>447</v>
      </c>
      <c r="M111" s="89" t="s">
        <v>448</v>
      </c>
      <c r="N111" s="89" t="s">
        <v>148</v>
      </c>
      <c r="O111" s="93" t="s">
        <v>449</v>
      </c>
      <c r="P111" s="94" t="s">
        <v>57</v>
      </c>
      <c r="Q111" s="112" t="s">
        <v>58</v>
      </c>
      <c r="R111" s="95">
        <v>46128</v>
      </c>
      <c r="S111" s="96"/>
      <c r="T111" s="96" t="s">
        <v>59</v>
      </c>
      <c r="U111" s="96" t="s">
        <v>60</v>
      </c>
      <c r="V111" s="92">
        <v>46128</v>
      </c>
      <c r="W111" s="92" t="s">
        <v>61</v>
      </c>
      <c r="X111" s="92" t="s">
        <v>61</v>
      </c>
      <c r="Y111" s="97"/>
      <c r="Z111" s="89" t="s">
        <v>62</v>
      </c>
      <c r="AA111" s="96">
        <v>46136</v>
      </c>
      <c r="AB111" s="89" t="s">
        <v>80</v>
      </c>
      <c r="AC111" s="111"/>
      <c r="AD111" s="89"/>
      <c r="AE111" s="89"/>
      <c r="AF111" s="98"/>
      <c r="AG111" s="98"/>
      <c r="AH111" s="98"/>
      <c r="AI111" s="99" t="s">
        <v>67</v>
      </c>
      <c r="AJ111" s="99" t="s">
        <v>67</v>
      </c>
      <c r="AK111" s="99" t="s">
        <v>67</v>
      </c>
      <c r="AL111" s="45" t="s">
        <v>68</v>
      </c>
      <c r="AM111" s="162" t="str">
        <f t="shared" si="8"/>
        <v>3/2026</v>
      </c>
      <c r="AN111" s="45">
        <f t="shared" si="9"/>
        <v>4</v>
      </c>
      <c r="AO111" s="45" t="str">
        <f t="shared" si="10"/>
        <v>4/2026</v>
      </c>
      <c r="AP111" s="45">
        <f t="shared" si="11"/>
        <v>3</v>
      </c>
      <c r="AQ111" s="45">
        <f t="shared" si="12"/>
        <v>24</v>
      </c>
      <c r="AR111" s="45">
        <f t="shared" si="13"/>
        <v>0</v>
      </c>
      <c r="AS111" s="45">
        <f t="shared" si="14"/>
        <v>0</v>
      </c>
      <c r="AT111" s="45">
        <f t="shared" si="15"/>
        <v>0</v>
      </c>
      <c r="AU111" s="45" t="str">
        <f>_xlfn.XLOOKUP(U111,'Lista Suspensa'!$AA$20:$AA$23,'Lista Suspensa'!$AB$20:$AB$23,"N/A")</f>
        <v>S</v>
      </c>
    </row>
    <row r="112" spans="1:47" ht="12" customHeight="1" x14ac:dyDescent="0.3">
      <c r="A112" s="87" t="s">
        <v>47</v>
      </c>
      <c r="B112" s="88">
        <v>46104</v>
      </c>
      <c r="C112" s="89" t="s">
        <v>48</v>
      </c>
      <c r="D112" s="89" t="s">
        <v>49</v>
      </c>
      <c r="E112" s="90">
        <v>81793673</v>
      </c>
      <c r="F112" s="184" t="s">
        <v>450</v>
      </c>
      <c r="G112" s="91">
        <v>54077931568</v>
      </c>
      <c r="H112" s="92">
        <v>25075</v>
      </c>
      <c r="I112" s="89">
        <v>57</v>
      </c>
      <c r="J112" s="89" t="s">
        <v>51</v>
      </c>
      <c r="K112" s="89" t="s">
        <v>52</v>
      </c>
      <c r="L112" s="89" t="s">
        <v>53</v>
      </c>
      <c r="M112" s="89" t="s">
        <v>451</v>
      </c>
      <c r="N112" s="89" t="s">
        <v>148</v>
      </c>
      <c r="O112" s="93" t="s">
        <v>452</v>
      </c>
      <c r="P112" s="94" t="s">
        <v>57</v>
      </c>
      <c r="Q112" s="112" t="s">
        <v>58</v>
      </c>
      <c r="R112" s="95">
        <v>46128</v>
      </c>
      <c r="S112" s="96"/>
      <c r="T112" s="96" t="s">
        <v>59</v>
      </c>
      <c r="U112" s="96" t="s">
        <v>60</v>
      </c>
      <c r="V112" s="92">
        <v>46128</v>
      </c>
      <c r="W112" s="92" t="s">
        <v>61</v>
      </c>
      <c r="X112" s="92" t="s">
        <v>61</v>
      </c>
      <c r="Y112" s="97"/>
      <c r="Z112" s="89" t="s">
        <v>62</v>
      </c>
      <c r="AA112" s="96">
        <v>46136</v>
      </c>
      <c r="AB112" s="89" t="s">
        <v>80</v>
      </c>
      <c r="AC112" s="111"/>
      <c r="AD112" s="89"/>
      <c r="AE112" s="89"/>
      <c r="AF112" s="98"/>
      <c r="AG112" s="98"/>
      <c r="AH112" s="98"/>
      <c r="AI112" s="99" t="s">
        <v>67</v>
      </c>
      <c r="AJ112" s="99" t="s">
        <v>67</v>
      </c>
      <c r="AK112" s="99" t="s">
        <v>67</v>
      </c>
      <c r="AL112" s="45" t="s">
        <v>68</v>
      </c>
      <c r="AM112" s="162" t="str">
        <f t="shared" si="8"/>
        <v>3/2026</v>
      </c>
      <c r="AN112" s="45">
        <f t="shared" si="9"/>
        <v>4</v>
      </c>
      <c r="AO112" s="45" t="str">
        <f t="shared" si="10"/>
        <v>4/2026</v>
      </c>
      <c r="AP112" s="45">
        <f t="shared" si="11"/>
        <v>3</v>
      </c>
      <c r="AQ112" s="45">
        <f t="shared" si="12"/>
        <v>24</v>
      </c>
      <c r="AR112" s="45">
        <f t="shared" si="13"/>
        <v>0</v>
      </c>
      <c r="AS112" s="45">
        <f t="shared" si="14"/>
        <v>0</v>
      </c>
      <c r="AT112" s="45">
        <f t="shared" si="15"/>
        <v>0</v>
      </c>
      <c r="AU112" s="45" t="str">
        <f>_xlfn.XLOOKUP(U112,'Lista Suspensa'!$AA$20:$AA$23,'Lista Suspensa'!$AB$20:$AB$23,"N/A")</f>
        <v>S</v>
      </c>
    </row>
    <row r="113" spans="1:47" ht="12" customHeight="1" x14ac:dyDescent="0.3">
      <c r="A113" s="87" t="s">
        <v>47</v>
      </c>
      <c r="B113" s="88">
        <v>46104</v>
      </c>
      <c r="C113" s="89" t="s">
        <v>48</v>
      </c>
      <c r="D113" s="89" t="s">
        <v>49</v>
      </c>
      <c r="E113" s="90">
        <v>89794720</v>
      </c>
      <c r="F113" s="184" t="s">
        <v>453</v>
      </c>
      <c r="G113" s="91">
        <v>99989204772</v>
      </c>
      <c r="H113" s="92">
        <v>24571</v>
      </c>
      <c r="I113" s="89">
        <v>58</v>
      </c>
      <c r="J113" s="89" t="s">
        <v>51</v>
      </c>
      <c r="K113" s="89" t="s">
        <v>88</v>
      </c>
      <c r="L113" s="89" t="s">
        <v>454</v>
      </c>
      <c r="M113" s="89" t="s">
        <v>240</v>
      </c>
      <c r="N113" s="89" t="s">
        <v>181</v>
      </c>
      <c r="O113" s="93" t="s">
        <v>455</v>
      </c>
      <c r="P113" s="94" t="s">
        <v>57</v>
      </c>
      <c r="Q113" s="112" t="s">
        <v>58</v>
      </c>
      <c r="R113" s="95">
        <v>46128</v>
      </c>
      <c r="S113" s="96"/>
      <c r="T113" s="96" t="s">
        <v>59</v>
      </c>
      <c r="U113" s="96" t="s">
        <v>60</v>
      </c>
      <c r="V113" s="92">
        <v>46128</v>
      </c>
      <c r="W113" s="92" t="s">
        <v>61</v>
      </c>
      <c r="X113" s="92" t="s">
        <v>61</v>
      </c>
      <c r="Y113" s="97"/>
      <c r="Z113" s="89" t="s">
        <v>62</v>
      </c>
      <c r="AA113" s="96">
        <v>46136</v>
      </c>
      <c r="AB113" s="89" t="s">
        <v>80</v>
      </c>
      <c r="AC113" s="111"/>
      <c r="AD113" s="89"/>
      <c r="AE113" s="89"/>
      <c r="AF113" s="98"/>
      <c r="AG113" s="98"/>
      <c r="AH113" s="98"/>
      <c r="AI113" s="99" t="s">
        <v>67</v>
      </c>
      <c r="AJ113" s="99" t="s">
        <v>67</v>
      </c>
      <c r="AK113" s="99" t="s">
        <v>67</v>
      </c>
      <c r="AL113" s="45" t="s">
        <v>68</v>
      </c>
      <c r="AM113" s="162" t="str">
        <f t="shared" si="8"/>
        <v>3/2026</v>
      </c>
      <c r="AN113" s="45">
        <f t="shared" si="9"/>
        <v>4</v>
      </c>
      <c r="AO113" s="45" t="str">
        <f t="shared" si="10"/>
        <v>4/2026</v>
      </c>
      <c r="AP113" s="45">
        <f t="shared" si="11"/>
        <v>3</v>
      </c>
      <c r="AQ113" s="45">
        <f t="shared" si="12"/>
        <v>24</v>
      </c>
      <c r="AR113" s="45">
        <f t="shared" si="13"/>
        <v>0</v>
      </c>
      <c r="AS113" s="45">
        <f t="shared" si="14"/>
        <v>0</v>
      </c>
      <c r="AT113" s="45">
        <f t="shared" si="15"/>
        <v>0</v>
      </c>
      <c r="AU113" s="45" t="str">
        <f>_xlfn.XLOOKUP(U113,'Lista Suspensa'!$AA$20:$AA$23,'Lista Suspensa'!$AB$20:$AB$23,"N/A")</f>
        <v>S</v>
      </c>
    </row>
    <row r="114" spans="1:47" ht="12" customHeight="1" x14ac:dyDescent="0.3">
      <c r="A114" s="87" t="s">
        <v>47</v>
      </c>
      <c r="B114" s="88">
        <v>46104</v>
      </c>
      <c r="C114" s="89" t="s">
        <v>48</v>
      </c>
      <c r="D114" s="89" t="s">
        <v>49</v>
      </c>
      <c r="E114" s="90">
        <v>85118629</v>
      </c>
      <c r="F114" s="184" t="s">
        <v>456</v>
      </c>
      <c r="G114" s="91">
        <v>7143876739</v>
      </c>
      <c r="H114" s="92">
        <v>26079</v>
      </c>
      <c r="I114" s="89">
        <v>54</v>
      </c>
      <c r="J114" s="89" t="s">
        <v>51</v>
      </c>
      <c r="K114" s="89" t="s">
        <v>88</v>
      </c>
      <c r="L114" s="89" t="s">
        <v>89</v>
      </c>
      <c r="M114" s="89" t="s">
        <v>426</v>
      </c>
      <c r="N114" s="89" t="s">
        <v>181</v>
      </c>
      <c r="O114" s="93" t="s">
        <v>457</v>
      </c>
      <c r="P114" s="94" t="s">
        <v>57</v>
      </c>
      <c r="Q114" s="112" t="s">
        <v>58</v>
      </c>
      <c r="R114" s="95">
        <v>46128</v>
      </c>
      <c r="S114" s="96"/>
      <c r="T114" s="96" t="s">
        <v>59</v>
      </c>
      <c r="U114" s="96" t="s">
        <v>60</v>
      </c>
      <c r="V114" s="92">
        <v>46128</v>
      </c>
      <c r="W114" s="92" t="s">
        <v>61</v>
      </c>
      <c r="X114" s="92" t="s">
        <v>61</v>
      </c>
      <c r="Y114" s="97"/>
      <c r="Z114" s="89" t="s">
        <v>62</v>
      </c>
      <c r="AA114" s="96">
        <v>46136</v>
      </c>
      <c r="AB114" s="89" t="s">
        <v>80</v>
      </c>
      <c r="AC114" s="111"/>
      <c r="AD114" s="89"/>
      <c r="AE114" s="89"/>
      <c r="AF114" s="98"/>
      <c r="AG114" s="98"/>
      <c r="AH114" s="98"/>
      <c r="AI114" s="99" t="s">
        <v>67</v>
      </c>
      <c r="AJ114" s="99" t="s">
        <v>67</v>
      </c>
      <c r="AK114" s="99" t="s">
        <v>67</v>
      </c>
      <c r="AL114" s="45" t="s">
        <v>68</v>
      </c>
      <c r="AM114" s="162" t="str">
        <f t="shared" si="8"/>
        <v>3/2026</v>
      </c>
      <c r="AN114" s="45">
        <f t="shared" si="9"/>
        <v>4</v>
      </c>
      <c r="AO114" s="45" t="str">
        <f t="shared" si="10"/>
        <v>4/2026</v>
      </c>
      <c r="AP114" s="45">
        <f t="shared" si="11"/>
        <v>3</v>
      </c>
      <c r="AQ114" s="45">
        <f t="shared" si="12"/>
        <v>24</v>
      </c>
      <c r="AR114" s="45">
        <f t="shared" si="13"/>
        <v>0</v>
      </c>
      <c r="AS114" s="45">
        <f t="shared" si="14"/>
        <v>0</v>
      </c>
      <c r="AT114" s="45">
        <f t="shared" si="15"/>
        <v>0</v>
      </c>
      <c r="AU114" s="45" t="str">
        <f>_xlfn.XLOOKUP(U114,'Lista Suspensa'!$AA$20:$AA$23,'Lista Suspensa'!$AB$20:$AB$23,"N/A")</f>
        <v>S</v>
      </c>
    </row>
    <row r="115" spans="1:47" ht="12" customHeight="1" x14ac:dyDescent="0.3">
      <c r="A115" s="87" t="s">
        <v>47</v>
      </c>
      <c r="B115" s="88">
        <v>46104</v>
      </c>
      <c r="C115" s="89" t="s">
        <v>48</v>
      </c>
      <c r="D115" s="89" t="s">
        <v>49</v>
      </c>
      <c r="E115" s="90">
        <v>84367876</v>
      </c>
      <c r="F115" s="184" t="s">
        <v>458</v>
      </c>
      <c r="G115" s="91">
        <v>476599717</v>
      </c>
      <c r="H115" s="92">
        <v>25388</v>
      </c>
      <c r="I115" s="89">
        <v>56</v>
      </c>
      <c r="J115" s="89" t="s">
        <v>51</v>
      </c>
      <c r="K115" s="89" t="s">
        <v>88</v>
      </c>
      <c r="L115" s="89" t="s">
        <v>89</v>
      </c>
      <c r="M115" s="89" t="s">
        <v>124</v>
      </c>
      <c r="N115" s="89" t="s">
        <v>209</v>
      </c>
      <c r="O115" s="93" t="s">
        <v>459</v>
      </c>
      <c r="P115" s="94" t="s">
        <v>57</v>
      </c>
      <c r="Q115" s="112" t="s">
        <v>58</v>
      </c>
      <c r="R115" s="95">
        <v>46128</v>
      </c>
      <c r="S115" s="96"/>
      <c r="T115" s="96" t="s">
        <v>59</v>
      </c>
      <c r="U115" s="96" t="s">
        <v>60</v>
      </c>
      <c r="V115" s="92">
        <v>46122</v>
      </c>
      <c r="W115" s="92" t="s">
        <v>61</v>
      </c>
      <c r="X115" s="92" t="s">
        <v>61</v>
      </c>
      <c r="Y115" s="97"/>
      <c r="Z115" s="89" t="s">
        <v>62</v>
      </c>
      <c r="AA115" s="96">
        <v>46132</v>
      </c>
      <c r="AB115" s="89" t="s">
        <v>80</v>
      </c>
      <c r="AC115" s="111"/>
      <c r="AD115" s="89"/>
      <c r="AE115" s="89"/>
      <c r="AF115" s="98"/>
      <c r="AG115" s="98"/>
      <c r="AH115" s="98"/>
      <c r="AI115" s="99" t="s">
        <v>67</v>
      </c>
      <c r="AJ115" s="99" t="s">
        <v>67</v>
      </c>
      <c r="AK115" s="99" t="s">
        <v>67</v>
      </c>
      <c r="AL115" s="45" t="s">
        <v>68</v>
      </c>
      <c r="AM115" s="162" t="str">
        <f t="shared" si="8"/>
        <v>3/2026</v>
      </c>
      <c r="AN115" s="45">
        <f t="shared" si="9"/>
        <v>4</v>
      </c>
      <c r="AO115" s="45" t="str">
        <f t="shared" si="10"/>
        <v>4/2026</v>
      </c>
      <c r="AP115" s="45">
        <f t="shared" si="11"/>
        <v>3</v>
      </c>
      <c r="AQ115" s="45">
        <f t="shared" si="12"/>
        <v>24</v>
      </c>
      <c r="AR115" s="45">
        <f t="shared" si="13"/>
        <v>0</v>
      </c>
      <c r="AS115" s="45">
        <f t="shared" si="14"/>
        <v>0</v>
      </c>
      <c r="AT115" s="45">
        <f t="shared" si="15"/>
        <v>0</v>
      </c>
      <c r="AU115" s="45" t="str">
        <f>_xlfn.XLOOKUP(U115,'Lista Suspensa'!$AA$20:$AA$23,'Lista Suspensa'!$AB$20:$AB$23,"N/A")</f>
        <v>S</v>
      </c>
    </row>
    <row r="116" spans="1:47" ht="12" customHeight="1" x14ac:dyDescent="0.3">
      <c r="A116" s="87" t="s">
        <v>47</v>
      </c>
      <c r="B116" s="88">
        <v>46104</v>
      </c>
      <c r="C116" s="89" t="s">
        <v>48</v>
      </c>
      <c r="D116" s="89" t="s">
        <v>49</v>
      </c>
      <c r="E116" s="90">
        <v>92687397</v>
      </c>
      <c r="F116" s="184" t="s">
        <v>460</v>
      </c>
      <c r="G116" s="91">
        <v>38897016715</v>
      </c>
      <c r="H116" s="92">
        <v>20208</v>
      </c>
      <c r="I116" s="89">
        <v>70</v>
      </c>
      <c r="J116" s="89" t="s">
        <v>51</v>
      </c>
      <c r="K116" s="89" t="s">
        <v>88</v>
      </c>
      <c r="L116" s="89" t="s">
        <v>89</v>
      </c>
      <c r="M116" s="89" t="s">
        <v>461</v>
      </c>
      <c r="N116" s="89" t="s">
        <v>185</v>
      </c>
      <c r="O116" s="93" t="s">
        <v>462</v>
      </c>
      <c r="P116" s="94" t="s">
        <v>57</v>
      </c>
      <c r="Q116" s="112" t="s">
        <v>58</v>
      </c>
      <c r="R116" s="95">
        <v>46128</v>
      </c>
      <c r="S116" s="96"/>
      <c r="T116" s="96" t="s">
        <v>59</v>
      </c>
      <c r="U116" s="96" t="s">
        <v>60</v>
      </c>
      <c r="V116" s="92">
        <v>46128</v>
      </c>
      <c r="W116" s="92" t="s">
        <v>61</v>
      </c>
      <c r="X116" s="92" t="s">
        <v>61</v>
      </c>
      <c r="Y116" s="97"/>
      <c r="Z116" s="89" t="s">
        <v>62</v>
      </c>
      <c r="AA116" s="96">
        <v>46136</v>
      </c>
      <c r="AB116" s="89" t="s">
        <v>80</v>
      </c>
      <c r="AC116" s="111"/>
      <c r="AD116" s="89"/>
      <c r="AE116" s="89"/>
      <c r="AF116" s="98"/>
      <c r="AG116" s="98"/>
      <c r="AH116" s="98"/>
      <c r="AI116" s="99" t="s">
        <v>67</v>
      </c>
      <c r="AJ116" s="99" t="s">
        <v>67</v>
      </c>
      <c r="AK116" s="99" t="s">
        <v>67</v>
      </c>
      <c r="AL116" s="45" t="s">
        <v>68</v>
      </c>
      <c r="AM116" s="162" t="str">
        <f t="shared" si="8"/>
        <v>3/2026</v>
      </c>
      <c r="AN116" s="45">
        <f t="shared" si="9"/>
        <v>4</v>
      </c>
      <c r="AO116" s="45" t="str">
        <f t="shared" si="10"/>
        <v>4/2026</v>
      </c>
      <c r="AP116" s="45">
        <f t="shared" si="11"/>
        <v>3</v>
      </c>
      <c r="AQ116" s="45">
        <f t="shared" si="12"/>
        <v>24</v>
      </c>
      <c r="AR116" s="45">
        <f t="shared" si="13"/>
        <v>0</v>
      </c>
      <c r="AS116" s="45">
        <f t="shared" si="14"/>
        <v>0</v>
      </c>
      <c r="AT116" s="45">
        <f t="shared" si="15"/>
        <v>0</v>
      </c>
      <c r="AU116" s="45" t="str">
        <f>_xlfn.XLOOKUP(U116,'Lista Suspensa'!$AA$20:$AA$23,'Lista Suspensa'!$AB$20:$AB$23,"N/A")</f>
        <v>S</v>
      </c>
    </row>
    <row r="117" spans="1:47" ht="12" customHeight="1" x14ac:dyDescent="0.3">
      <c r="A117" s="87" t="s">
        <v>47</v>
      </c>
      <c r="B117" s="88">
        <v>46104</v>
      </c>
      <c r="C117" s="89" t="s">
        <v>48</v>
      </c>
      <c r="D117" s="89" t="s">
        <v>49</v>
      </c>
      <c r="E117" s="90">
        <v>84026056</v>
      </c>
      <c r="F117" s="184" t="s">
        <v>463</v>
      </c>
      <c r="G117" s="91">
        <v>94081336849</v>
      </c>
      <c r="H117" s="92">
        <v>20079</v>
      </c>
      <c r="I117" s="89">
        <v>71</v>
      </c>
      <c r="J117" s="89" t="s">
        <v>51</v>
      </c>
      <c r="K117" s="89" t="s">
        <v>52</v>
      </c>
      <c r="L117" s="89" t="s">
        <v>53</v>
      </c>
      <c r="M117" s="89" t="s">
        <v>464</v>
      </c>
      <c r="N117" s="89" t="s">
        <v>185</v>
      </c>
      <c r="O117" s="93" t="s">
        <v>465</v>
      </c>
      <c r="P117" s="94" t="s">
        <v>57</v>
      </c>
      <c r="Q117" s="112" t="s">
        <v>58</v>
      </c>
      <c r="R117" s="95">
        <v>46128</v>
      </c>
      <c r="S117" s="96"/>
      <c r="T117" s="96" t="s">
        <v>59</v>
      </c>
      <c r="U117" s="96" t="s">
        <v>60</v>
      </c>
      <c r="V117" s="92">
        <v>46122</v>
      </c>
      <c r="W117" s="92">
        <v>46128</v>
      </c>
      <c r="X117" s="92" t="s">
        <v>61</v>
      </c>
      <c r="Y117" s="97"/>
      <c r="Z117" s="89" t="s">
        <v>62</v>
      </c>
      <c r="AA117" s="96">
        <v>46132.486111111109</v>
      </c>
      <c r="AB117" s="89" t="s">
        <v>63</v>
      </c>
      <c r="AC117" s="111"/>
      <c r="AD117" s="89" t="s">
        <v>86</v>
      </c>
      <c r="AE117" s="89"/>
      <c r="AF117" s="98" t="s">
        <v>296</v>
      </c>
      <c r="AG117" s="98"/>
      <c r="AH117" s="98" t="s">
        <v>66</v>
      </c>
      <c r="AI117" s="99" t="s">
        <v>67</v>
      </c>
      <c r="AJ117" s="99" t="s">
        <v>67</v>
      </c>
      <c r="AK117" s="99" t="s">
        <v>67</v>
      </c>
      <c r="AL117" s="45" t="s">
        <v>68</v>
      </c>
      <c r="AM117" s="162" t="str">
        <f t="shared" si="8"/>
        <v>3/2026</v>
      </c>
      <c r="AN117" s="45">
        <f t="shared" si="9"/>
        <v>4</v>
      </c>
      <c r="AO117" s="45" t="str">
        <f t="shared" si="10"/>
        <v>4/2026</v>
      </c>
      <c r="AP117" s="45">
        <f t="shared" si="11"/>
        <v>3</v>
      </c>
      <c r="AQ117" s="45">
        <f t="shared" si="12"/>
        <v>24</v>
      </c>
      <c r="AR117" s="45">
        <f t="shared" si="13"/>
        <v>0</v>
      </c>
      <c r="AS117" s="45">
        <f t="shared" si="14"/>
        <v>6</v>
      </c>
      <c r="AT117" s="45">
        <f t="shared" si="15"/>
        <v>4.4861111111094942</v>
      </c>
      <c r="AU117" s="45" t="str">
        <f>_xlfn.XLOOKUP(U117,'Lista Suspensa'!$AA$20:$AA$23,'Lista Suspensa'!$AB$20:$AB$23,"N/A")</f>
        <v>S</v>
      </c>
    </row>
    <row r="118" spans="1:47" ht="12" customHeight="1" x14ac:dyDescent="0.3">
      <c r="A118" s="87" t="s">
        <v>47</v>
      </c>
      <c r="B118" s="88">
        <v>46104</v>
      </c>
      <c r="C118" s="89" t="s">
        <v>48</v>
      </c>
      <c r="D118" s="89" t="s">
        <v>49</v>
      </c>
      <c r="E118" s="90">
        <v>760024774</v>
      </c>
      <c r="F118" s="184" t="s">
        <v>466</v>
      </c>
      <c r="G118" s="91">
        <v>6840930734</v>
      </c>
      <c r="H118" s="92">
        <v>13092</v>
      </c>
      <c r="I118" s="89">
        <v>90</v>
      </c>
      <c r="J118" s="89" t="s">
        <v>51</v>
      </c>
      <c r="K118" s="89" t="s">
        <v>88</v>
      </c>
      <c r="L118" s="89" t="s">
        <v>89</v>
      </c>
      <c r="M118" s="89" t="s">
        <v>112</v>
      </c>
      <c r="N118" s="89" t="s">
        <v>252</v>
      </c>
      <c r="O118" s="93" t="s">
        <v>467</v>
      </c>
      <c r="P118" s="94" t="s">
        <v>57</v>
      </c>
      <c r="Q118" s="112" t="s">
        <v>58</v>
      </c>
      <c r="R118" s="95">
        <v>46122</v>
      </c>
      <c r="S118" s="96"/>
      <c r="T118" s="96" t="s">
        <v>59</v>
      </c>
      <c r="U118" s="96" t="s">
        <v>60</v>
      </c>
      <c r="V118" s="92">
        <v>46122</v>
      </c>
      <c r="W118" s="92" t="s">
        <v>61</v>
      </c>
      <c r="X118" s="92" t="s">
        <v>61</v>
      </c>
      <c r="Y118" s="97"/>
      <c r="Z118" s="89" t="s">
        <v>62</v>
      </c>
      <c r="AA118" s="96">
        <v>46129</v>
      </c>
      <c r="AB118" s="89" t="s">
        <v>80</v>
      </c>
      <c r="AC118" s="111"/>
      <c r="AD118" s="89"/>
      <c r="AE118" s="89"/>
      <c r="AF118" s="98"/>
      <c r="AG118" s="98"/>
      <c r="AH118" s="98"/>
      <c r="AI118" s="99" t="s">
        <v>67</v>
      </c>
      <c r="AJ118" s="99" t="s">
        <v>67</v>
      </c>
      <c r="AK118" s="99" t="s">
        <v>67</v>
      </c>
      <c r="AL118" s="45" t="s">
        <v>68</v>
      </c>
      <c r="AM118" s="162" t="str">
        <f t="shared" si="8"/>
        <v>3/2026</v>
      </c>
      <c r="AN118" s="45">
        <f t="shared" si="9"/>
        <v>4</v>
      </c>
      <c r="AO118" s="45" t="str">
        <f t="shared" si="10"/>
        <v>4/2026</v>
      </c>
      <c r="AP118" s="45">
        <f t="shared" si="11"/>
        <v>2</v>
      </c>
      <c r="AQ118" s="45">
        <f t="shared" si="12"/>
        <v>18</v>
      </c>
      <c r="AR118" s="45">
        <f t="shared" si="13"/>
        <v>0</v>
      </c>
      <c r="AS118" s="45">
        <f t="shared" si="14"/>
        <v>0</v>
      </c>
      <c r="AT118" s="45">
        <f t="shared" si="15"/>
        <v>0</v>
      </c>
      <c r="AU118" s="45" t="str">
        <f>_xlfn.XLOOKUP(U118,'Lista Suspensa'!$AA$20:$AA$23,'Lista Suspensa'!$AB$20:$AB$23,"N/A")</f>
        <v>S</v>
      </c>
    </row>
    <row r="119" spans="1:47" ht="12" customHeight="1" x14ac:dyDescent="0.3">
      <c r="A119" s="87" t="s">
        <v>47</v>
      </c>
      <c r="B119" s="88">
        <v>46104</v>
      </c>
      <c r="C119" s="89" t="s">
        <v>48</v>
      </c>
      <c r="D119" s="89" t="s">
        <v>49</v>
      </c>
      <c r="E119" s="90">
        <v>754514757</v>
      </c>
      <c r="F119" s="184" t="s">
        <v>468</v>
      </c>
      <c r="G119" s="91">
        <v>29764408753</v>
      </c>
      <c r="H119" s="92">
        <v>18705</v>
      </c>
      <c r="I119" s="89">
        <v>75</v>
      </c>
      <c r="J119" s="89" t="s">
        <v>70</v>
      </c>
      <c r="K119" s="89" t="s">
        <v>88</v>
      </c>
      <c r="L119" s="89" t="s">
        <v>89</v>
      </c>
      <c r="M119" s="89" t="s">
        <v>469</v>
      </c>
      <c r="N119" s="89" t="s">
        <v>252</v>
      </c>
      <c r="O119" s="93" t="s">
        <v>470</v>
      </c>
      <c r="P119" s="94" t="s">
        <v>57</v>
      </c>
      <c r="Q119" s="112" t="s">
        <v>58</v>
      </c>
      <c r="R119" s="95">
        <v>46122</v>
      </c>
      <c r="S119" s="96"/>
      <c r="T119" s="96" t="s">
        <v>59</v>
      </c>
      <c r="U119" s="96" t="s">
        <v>60</v>
      </c>
      <c r="V119" s="92">
        <v>46122</v>
      </c>
      <c r="W119" s="92" t="s">
        <v>61</v>
      </c>
      <c r="X119" s="92" t="s">
        <v>61</v>
      </c>
      <c r="Y119" s="97"/>
      <c r="Z119" s="89" t="s">
        <v>62</v>
      </c>
      <c r="AA119" s="96">
        <v>46128</v>
      </c>
      <c r="AB119" s="89" t="s">
        <v>80</v>
      </c>
      <c r="AC119" s="111"/>
      <c r="AD119" s="89"/>
      <c r="AE119" s="89"/>
      <c r="AF119" s="98"/>
      <c r="AG119" s="98"/>
      <c r="AH119" s="98"/>
      <c r="AI119" s="99" t="s">
        <v>67</v>
      </c>
      <c r="AJ119" s="99" t="s">
        <v>67</v>
      </c>
      <c r="AK119" s="99" t="s">
        <v>67</v>
      </c>
      <c r="AL119" s="45" t="s">
        <v>68</v>
      </c>
      <c r="AM119" s="162" t="str">
        <f t="shared" si="8"/>
        <v>3/2026</v>
      </c>
      <c r="AN119" s="45">
        <f t="shared" si="9"/>
        <v>4</v>
      </c>
      <c r="AO119" s="45" t="str">
        <f t="shared" si="10"/>
        <v>4/2026</v>
      </c>
      <c r="AP119" s="45">
        <f t="shared" si="11"/>
        <v>2</v>
      </c>
      <c r="AQ119" s="45">
        <f t="shared" si="12"/>
        <v>18</v>
      </c>
      <c r="AR119" s="45">
        <f t="shared" si="13"/>
        <v>0</v>
      </c>
      <c r="AS119" s="45">
        <f t="shared" si="14"/>
        <v>0</v>
      </c>
      <c r="AT119" s="45">
        <f t="shared" si="15"/>
        <v>0</v>
      </c>
      <c r="AU119" s="45" t="str">
        <f>_xlfn.XLOOKUP(U119,'Lista Suspensa'!$AA$20:$AA$23,'Lista Suspensa'!$AB$20:$AB$23,"N/A")</f>
        <v>S</v>
      </c>
    </row>
    <row r="120" spans="1:47" ht="12" customHeight="1" x14ac:dyDescent="0.3">
      <c r="A120" s="87" t="s">
        <v>47</v>
      </c>
      <c r="B120" s="88">
        <v>46104</v>
      </c>
      <c r="C120" s="89" t="s">
        <v>48</v>
      </c>
      <c r="D120" s="89" t="s">
        <v>49</v>
      </c>
      <c r="E120" s="90">
        <v>450230198</v>
      </c>
      <c r="F120" s="184" t="s">
        <v>471</v>
      </c>
      <c r="G120" s="91">
        <v>36890770870</v>
      </c>
      <c r="H120" s="92">
        <v>31795</v>
      </c>
      <c r="I120" s="89">
        <v>39</v>
      </c>
      <c r="J120" s="89" t="s">
        <v>70</v>
      </c>
      <c r="K120" s="89" t="s">
        <v>52</v>
      </c>
      <c r="L120" s="89" t="s">
        <v>53</v>
      </c>
      <c r="M120" s="89" t="s">
        <v>472</v>
      </c>
      <c r="N120" s="89" t="s">
        <v>252</v>
      </c>
      <c r="O120" s="93" t="s">
        <v>473</v>
      </c>
      <c r="P120" s="94" t="s">
        <v>57</v>
      </c>
      <c r="Q120" s="112" t="s">
        <v>58</v>
      </c>
      <c r="R120" s="95">
        <v>46122</v>
      </c>
      <c r="S120" s="96"/>
      <c r="T120" s="96" t="s">
        <v>59</v>
      </c>
      <c r="U120" s="96" t="s">
        <v>60</v>
      </c>
      <c r="V120" s="92">
        <v>46122</v>
      </c>
      <c r="W120" s="92" t="s">
        <v>61</v>
      </c>
      <c r="X120" s="92" t="s">
        <v>61</v>
      </c>
      <c r="Y120" s="97"/>
      <c r="Z120" s="89" t="s">
        <v>62</v>
      </c>
      <c r="AA120" s="96">
        <v>46157</v>
      </c>
      <c r="AB120" s="89" t="s">
        <v>80</v>
      </c>
      <c r="AC120" s="111"/>
      <c r="AD120" s="89"/>
      <c r="AE120" s="89"/>
      <c r="AF120" s="98"/>
      <c r="AG120" s="98"/>
      <c r="AH120" s="98"/>
      <c r="AI120" s="99" t="s">
        <v>67</v>
      </c>
      <c r="AJ120" s="99" t="s">
        <v>67</v>
      </c>
      <c r="AK120" s="99" t="s">
        <v>67</v>
      </c>
      <c r="AL120" s="45" t="s">
        <v>68</v>
      </c>
      <c r="AM120" s="162" t="str">
        <f t="shared" si="8"/>
        <v>3/2026</v>
      </c>
      <c r="AN120" s="45">
        <f t="shared" si="9"/>
        <v>4</v>
      </c>
      <c r="AO120" s="45" t="str">
        <f t="shared" si="10"/>
        <v>4/2026</v>
      </c>
      <c r="AP120" s="45">
        <f t="shared" si="11"/>
        <v>2</v>
      </c>
      <c r="AQ120" s="45">
        <f t="shared" si="12"/>
        <v>18</v>
      </c>
      <c r="AR120" s="45">
        <f t="shared" si="13"/>
        <v>0</v>
      </c>
      <c r="AS120" s="45">
        <f t="shared" si="14"/>
        <v>0</v>
      </c>
      <c r="AT120" s="45">
        <f t="shared" si="15"/>
        <v>0</v>
      </c>
      <c r="AU120" s="45" t="str">
        <f>_xlfn.XLOOKUP(U120,'Lista Suspensa'!$AA$20:$AA$23,'Lista Suspensa'!$AB$20:$AB$23,"N/A")</f>
        <v>S</v>
      </c>
    </row>
    <row r="121" spans="1:47" ht="12" customHeight="1" x14ac:dyDescent="0.3">
      <c r="A121" s="87" t="s">
        <v>47</v>
      </c>
      <c r="B121" s="88">
        <v>46104</v>
      </c>
      <c r="C121" s="89" t="s">
        <v>48</v>
      </c>
      <c r="D121" s="89" t="s">
        <v>49</v>
      </c>
      <c r="E121" s="90">
        <v>755436474</v>
      </c>
      <c r="F121" s="184" t="s">
        <v>474</v>
      </c>
      <c r="G121" s="91">
        <v>52323161768</v>
      </c>
      <c r="H121" s="92">
        <v>19566</v>
      </c>
      <c r="I121" s="89">
        <v>72</v>
      </c>
      <c r="J121" s="89" t="s">
        <v>51</v>
      </c>
      <c r="K121" s="89" t="s">
        <v>88</v>
      </c>
      <c r="L121" s="89" t="s">
        <v>89</v>
      </c>
      <c r="M121" s="89" t="s">
        <v>475</v>
      </c>
      <c r="N121" s="89" t="s">
        <v>252</v>
      </c>
      <c r="O121" s="93" t="s">
        <v>476</v>
      </c>
      <c r="P121" s="94" t="s">
        <v>57</v>
      </c>
      <c r="Q121" s="112" t="s">
        <v>58</v>
      </c>
      <c r="R121" s="95">
        <v>46112</v>
      </c>
      <c r="S121" s="96"/>
      <c r="T121" s="96" t="s">
        <v>59</v>
      </c>
      <c r="U121" s="96" t="s">
        <v>60</v>
      </c>
      <c r="V121" s="92">
        <v>46112</v>
      </c>
      <c r="W121" s="92" t="s">
        <v>61</v>
      </c>
      <c r="X121" s="92" t="s">
        <v>61</v>
      </c>
      <c r="Y121" s="97"/>
      <c r="Z121" s="89" t="s">
        <v>62</v>
      </c>
      <c r="AA121" s="96">
        <v>46114.472222222219</v>
      </c>
      <c r="AB121" s="89" t="s">
        <v>63</v>
      </c>
      <c r="AC121" s="111"/>
      <c r="AD121" s="89" t="s">
        <v>64</v>
      </c>
      <c r="AE121" s="89">
        <v>60</v>
      </c>
      <c r="AF121" s="98" t="s">
        <v>126</v>
      </c>
      <c r="AG121" s="98"/>
      <c r="AH121" s="98" t="s">
        <v>66</v>
      </c>
      <c r="AI121" s="99" t="s">
        <v>67</v>
      </c>
      <c r="AJ121" s="99" t="s">
        <v>67</v>
      </c>
      <c r="AK121" s="99" t="s">
        <v>67</v>
      </c>
      <c r="AL121" s="45" t="s">
        <v>68</v>
      </c>
      <c r="AM121" s="162" t="str">
        <f t="shared" si="8"/>
        <v>3/2026</v>
      </c>
      <c r="AN121" s="45">
        <f t="shared" si="9"/>
        <v>4</v>
      </c>
      <c r="AO121" s="45" t="str">
        <f t="shared" si="10"/>
        <v>3/2026</v>
      </c>
      <c r="AP121" s="45">
        <f t="shared" si="11"/>
        <v>5</v>
      </c>
      <c r="AQ121" s="45">
        <f t="shared" si="12"/>
        <v>8</v>
      </c>
      <c r="AR121" s="45">
        <f t="shared" si="13"/>
        <v>0</v>
      </c>
      <c r="AS121" s="45">
        <f t="shared" si="14"/>
        <v>0</v>
      </c>
      <c r="AT121" s="45">
        <f t="shared" si="15"/>
        <v>2.4722222222189885</v>
      </c>
      <c r="AU121" s="45" t="str">
        <f>_xlfn.XLOOKUP(U121,'Lista Suspensa'!$AA$20:$AA$23,'Lista Suspensa'!$AB$20:$AB$23,"N/A")</f>
        <v>S</v>
      </c>
    </row>
    <row r="122" spans="1:47" ht="12" customHeight="1" x14ac:dyDescent="0.3">
      <c r="A122" s="87" t="s">
        <v>47</v>
      </c>
      <c r="B122" s="88">
        <v>46104</v>
      </c>
      <c r="C122" s="89" t="s">
        <v>48</v>
      </c>
      <c r="D122" s="89" t="s">
        <v>49</v>
      </c>
      <c r="E122" s="90">
        <v>450481646</v>
      </c>
      <c r="F122" s="184" t="s">
        <v>477</v>
      </c>
      <c r="G122" s="91">
        <v>28929697860</v>
      </c>
      <c r="H122" s="92">
        <v>28943</v>
      </c>
      <c r="I122" s="89">
        <v>46</v>
      </c>
      <c r="J122" s="89" t="s">
        <v>51</v>
      </c>
      <c r="K122" s="89" t="s">
        <v>52</v>
      </c>
      <c r="L122" s="89" t="s">
        <v>53</v>
      </c>
      <c r="M122" s="89" t="s">
        <v>478</v>
      </c>
      <c r="N122" s="89" t="s">
        <v>252</v>
      </c>
      <c r="O122" s="93" t="s">
        <v>479</v>
      </c>
      <c r="P122" s="94" t="s">
        <v>57</v>
      </c>
      <c r="Q122" s="112" t="s">
        <v>58</v>
      </c>
      <c r="R122" s="95">
        <v>46112</v>
      </c>
      <c r="S122" s="96"/>
      <c r="T122" s="96" t="s">
        <v>59</v>
      </c>
      <c r="U122" s="96" t="s">
        <v>60</v>
      </c>
      <c r="V122" s="92">
        <v>46112</v>
      </c>
      <c r="W122" s="92" t="s">
        <v>61</v>
      </c>
      <c r="X122" s="92" t="s">
        <v>61</v>
      </c>
      <c r="Y122" s="97"/>
      <c r="Z122" s="89" t="s">
        <v>62</v>
      </c>
      <c r="AA122" s="96">
        <v>46113.499999594904</v>
      </c>
      <c r="AB122" s="89" t="s">
        <v>80</v>
      </c>
      <c r="AC122" s="111"/>
      <c r="AD122" s="89"/>
      <c r="AE122" s="89"/>
      <c r="AF122" s="98"/>
      <c r="AG122" s="98"/>
      <c r="AH122" s="98"/>
      <c r="AI122" s="99" t="s">
        <v>67</v>
      </c>
      <c r="AJ122" s="99" t="s">
        <v>67</v>
      </c>
      <c r="AK122" s="99" t="s">
        <v>67</v>
      </c>
      <c r="AL122" s="45" t="s">
        <v>68</v>
      </c>
      <c r="AM122" s="162" t="str">
        <f t="shared" si="8"/>
        <v>3/2026</v>
      </c>
      <c r="AN122" s="45">
        <f t="shared" si="9"/>
        <v>4</v>
      </c>
      <c r="AO122" s="45" t="str">
        <f t="shared" si="10"/>
        <v>3/2026</v>
      </c>
      <c r="AP122" s="45">
        <f t="shared" si="11"/>
        <v>5</v>
      </c>
      <c r="AQ122" s="45">
        <f t="shared" si="12"/>
        <v>8</v>
      </c>
      <c r="AR122" s="45">
        <f t="shared" si="13"/>
        <v>0</v>
      </c>
      <c r="AS122" s="45">
        <f t="shared" si="14"/>
        <v>0</v>
      </c>
      <c r="AT122" s="45">
        <f t="shared" si="15"/>
        <v>0</v>
      </c>
      <c r="AU122" s="45" t="str">
        <f>_xlfn.XLOOKUP(U122,'Lista Suspensa'!$AA$20:$AA$23,'Lista Suspensa'!$AB$20:$AB$23,"N/A")</f>
        <v>S</v>
      </c>
    </row>
    <row r="123" spans="1:47" ht="12" customHeight="1" x14ac:dyDescent="0.3">
      <c r="A123" s="87" t="s">
        <v>47</v>
      </c>
      <c r="B123" s="88">
        <v>46104</v>
      </c>
      <c r="C123" s="89" t="s">
        <v>48</v>
      </c>
      <c r="D123" s="89" t="s">
        <v>49</v>
      </c>
      <c r="E123" s="90">
        <v>799416312</v>
      </c>
      <c r="F123" s="184" t="s">
        <v>480</v>
      </c>
      <c r="G123" s="91">
        <v>27652850800</v>
      </c>
      <c r="H123" s="92">
        <v>28136</v>
      </c>
      <c r="I123" s="89">
        <v>49</v>
      </c>
      <c r="J123" s="89" t="s">
        <v>51</v>
      </c>
      <c r="K123" s="89" t="s">
        <v>52</v>
      </c>
      <c r="L123" s="89" t="s">
        <v>331</v>
      </c>
      <c r="M123" s="89" t="s">
        <v>481</v>
      </c>
      <c r="N123" s="89" t="s">
        <v>252</v>
      </c>
      <c r="O123" s="93" t="s">
        <v>482</v>
      </c>
      <c r="P123" s="94" t="s">
        <v>57</v>
      </c>
      <c r="Q123" s="112" t="s">
        <v>58</v>
      </c>
      <c r="R123" s="95">
        <v>46112</v>
      </c>
      <c r="S123" s="96"/>
      <c r="T123" s="96" t="s">
        <v>59</v>
      </c>
      <c r="U123" s="96" t="s">
        <v>60</v>
      </c>
      <c r="V123" s="92">
        <v>46112</v>
      </c>
      <c r="W123" s="92" t="s">
        <v>61</v>
      </c>
      <c r="X123" s="92" t="s">
        <v>61</v>
      </c>
      <c r="Y123" s="97"/>
      <c r="Z123" s="89" t="s">
        <v>62</v>
      </c>
      <c r="AA123" s="96">
        <v>46115.430555555555</v>
      </c>
      <c r="AB123" s="89" t="s">
        <v>63</v>
      </c>
      <c r="AC123" s="111"/>
      <c r="AD123" s="89" t="s">
        <v>64</v>
      </c>
      <c r="AE123" s="89">
        <v>60</v>
      </c>
      <c r="AF123" s="98" t="s">
        <v>215</v>
      </c>
      <c r="AG123" s="98"/>
      <c r="AH123" s="98" t="s">
        <v>66</v>
      </c>
      <c r="AI123" s="99" t="s">
        <v>67</v>
      </c>
      <c r="AJ123" s="99" t="s">
        <v>67</v>
      </c>
      <c r="AK123" s="99" t="s">
        <v>67</v>
      </c>
      <c r="AL123" s="45" t="s">
        <v>68</v>
      </c>
      <c r="AM123" s="162" t="str">
        <f t="shared" si="8"/>
        <v>3/2026</v>
      </c>
      <c r="AN123" s="45">
        <f t="shared" si="9"/>
        <v>4</v>
      </c>
      <c r="AO123" s="45" t="str">
        <f t="shared" si="10"/>
        <v>3/2026</v>
      </c>
      <c r="AP123" s="45">
        <f t="shared" si="11"/>
        <v>5</v>
      </c>
      <c r="AQ123" s="45">
        <f t="shared" si="12"/>
        <v>8</v>
      </c>
      <c r="AR123" s="45">
        <f t="shared" si="13"/>
        <v>0</v>
      </c>
      <c r="AS123" s="45">
        <f t="shared" si="14"/>
        <v>0</v>
      </c>
      <c r="AT123" s="45">
        <f t="shared" si="15"/>
        <v>3.4305555555547471</v>
      </c>
      <c r="AU123" s="45" t="str">
        <f>_xlfn.XLOOKUP(U123,'Lista Suspensa'!$AA$20:$AA$23,'Lista Suspensa'!$AB$20:$AB$23,"N/A")</f>
        <v>S</v>
      </c>
    </row>
    <row r="124" spans="1:47" ht="12" customHeight="1" x14ac:dyDescent="0.3">
      <c r="A124" s="87" t="s">
        <v>47</v>
      </c>
      <c r="B124" s="88">
        <v>46104</v>
      </c>
      <c r="C124" s="89" t="s">
        <v>48</v>
      </c>
      <c r="D124" s="89" t="s">
        <v>49</v>
      </c>
      <c r="E124" s="90">
        <v>809606283</v>
      </c>
      <c r="F124" s="184" t="s">
        <v>483</v>
      </c>
      <c r="G124" s="91">
        <v>6903841814</v>
      </c>
      <c r="H124" s="92">
        <v>20595</v>
      </c>
      <c r="I124" s="89">
        <v>69</v>
      </c>
      <c r="J124" s="89" t="s">
        <v>70</v>
      </c>
      <c r="K124" s="89" t="s">
        <v>52</v>
      </c>
      <c r="L124" s="89" t="s">
        <v>227</v>
      </c>
      <c r="M124" s="89" t="s">
        <v>484</v>
      </c>
      <c r="N124" s="89" t="s">
        <v>252</v>
      </c>
      <c r="O124" s="93" t="s">
        <v>485</v>
      </c>
      <c r="P124" s="94" t="s">
        <v>57</v>
      </c>
      <c r="Q124" s="112" t="s">
        <v>58</v>
      </c>
      <c r="R124" s="95">
        <v>46112</v>
      </c>
      <c r="S124" s="96"/>
      <c r="T124" s="96" t="s">
        <v>59</v>
      </c>
      <c r="U124" s="96" t="s">
        <v>60</v>
      </c>
      <c r="V124" s="92">
        <v>46112</v>
      </c>
      <c r="W124" s="92" t="s">
        <v>61</v>
      </c>
      <c r="X124" s="92" t="s">
        <v>61</v>
      </c>
      <c r="Y124" s="97"/>
      <c r="Z124" s="89" t="s">
        <v>62</v>
      </c>
      <c r="AA124" s="96">
        <v>46118.416666666664</v>
      </c>
      <c r="AB124" s="89" t="s">
        <v>63</v>
      </c>
      <c r="AC124" s="111"/>
      <c r="AD124" s="89" t="s">
        <v>265</v>
      </c>
      <c r="AE124" s="89">
        <v>28</v>
      </c>
      <c r="AF124" s="98" t="s">
        <v>65</v>
      </c>
      <c r="AG124" s="98"/>
      <c r="AH124" s="98" t="s">
        <v>66</v>
      </c>
      <c r="AI124" s="99" t="s">
        <v>67</v>
      </c>
      <c r="AJ124" s="99" t="s">
        <v>67</v>
      </c>
      <c r="AK124" s="99" t="s">
        <v>67</v>
      </c>
      <c r="AL124" s="45" t="s">
        <v>68</v>
      </c>
      <c r="AM124" s="162" t="str">
        <f t="shared" si="8"/>
        <v>3/2026</v>
      </c>
      <c r="AN124" s="45">
        <f t="shared" si="9"/>
        <v>4</v>
      </c>
      <c r="AO124" s="45" t="str">
        <f t="shared" si="10"/>
        <v>3/2026</v>
      </c>
      <c r="AP124" s="45">
        <f t="shared" si="11"/>
        <v>5</v>
      </c>
      <c r="AQ124" s="45">
        <f t="shared" si="12"/>
        <v>8</v>
      </c>
      <c r="AR124" s="45">
        <f t="shared" si="13"/>
        <v>0</v>
      </c>
      <c r="AS124" s="45">
        <f t="shared" si="14"/>
        <v>0</v>
      </c>
      <c r="AT124" s="45">
        <f t="shared" si="15"/>
        <v>6.4166666666642413</v>
      </c>
      <c r="AU124" s="45" t="str">
        <f>_xlfn.XLOOKUP(U124,'Lista Suspensa'!$AA$20:$AA$23,'Lista Suspensa'!$AB$20:$AB$23,"N/A")</f>
        <v>S</v>
      </c>
    </row>
    <row r="125" spans="1:47" ht="12" customHeight="1" x14ac:dyDescent="0.3">
      <c r="A125" s="87" t="s">
        <v>47</v>
      </c>
      <c r="B125" s="88">
        <v>46104</v>
      </c>
      <c r="C125" s="89" t="s">
        <v>48</v>
      </c>
      <c r="D125" s="89" t="s">
        <v>49</v>
      </c>
      <c r="E125" s="90">
        <v>95896933</v>
      </c>
      <c r="F125" s="184" t="s">
        <v>486</v>
      </c>
      <c r="G125" s="91">
        <v>12632591899</v>
      </c>
      <c r="H125" s="92">
        <v>26053</v>
      </c>
      <c r="I125" s="89">
        <v>54</v>
      </c>
      <c r="J125" s="89" t="s">
        <v>70</v>
      </c>
      <c r="K125" s="89" t="s">
        <v>52</v>
      </c>
      <c r="L125" s="89" t="s">
        <v>53</v>
      </c>
      <c r="M125" s="89" t="s">
        <v>487</v>
      </c>
      <c r="N125" s="89" t="s">
        <v>55</v>
      </c>
      <c r="O125" s="93" t="s">
        <v>488</v>
      </c>
      <c r="P125" s="94" t="s">
        <v>57</v>
      </c>
      <c r="Q125" s="112" t="s">
        <v>58</v>
      </c>
      <c r="R125" s="95">
        <v>46112</v>
      </c>
      <c r="S125" s="96"/>
      <c r="T125" s="96" t="s">
        <v>59</v>
      </c>
      <c r="U125" s="96" t="s">
        <v>60</v>
      </c>
      <c r="V125" s="92">
        <v>46112</v>
      </c>
      <c r="W125" s="92" t="s">
        <v>61</v>
      </c>
      <c r="X125" s="92" t="s">
        <v>61</v>
      </c>
      <c r="Y125" s="97"/>
      <c r="Z125" s="89" t="s">
        <v>62</v>
      </c>
      <c r="AA125" s="96">
        <v>46118.402777777781</v>
      </c>
      <c r="AB125" s="89" t="s">
        <v>63</v>
      </c>
      <c r="AC125" s="111"/>
      <c r="AD125" s="89" t="s">
        <v>86</v>
      </c>
      <c r="AE125" s="89">
        <v>50</v>
      </c>
      <c r="AF125" s="98" t="s">
        <v>215</v>
      </c>
      <c r="AG125" s="98"/>
      <c r="AH125" s="98" t="s">
        <v>66</v>
      </c>
      <c r="AI125" s="99" t="s">
        <v>67</v>
      </c>
      <c r="AJ125" s="99" t="s">
        <v>67</v>
      </c>
      <c r="AK125" s="99" t="s">
        <v>67</v>
      </c>
      <c r="AL125" s="45" t="s">
        <v>68</v>
      </c>
      <c r="AM125" s="162" t="str">
        <f t="shared" si="8"/>
        <v>3/2026</v>
      </c>
      <c r="AN125" s="45">
        <f t="shared" si="9"/>
        <v>4</v>
      </c>
      <c r="AO125" s="45" t="str">
        <f t="shared" si="10"/>
        <v>3/2026</v>
      </c>
      <c r="AP125" s="45">
        <f t="shared" si="11"/>
        <v>5</v>
      </c>
      <c r="AQ125" s="45">
        <f t="shared" si="12"/>
        <v>8</v>
      </c>
      <c r="AR125" s="45">
        <f t="shared" si="13"/>
        <v>0</v>
      </c>
      <c r="AS125" s="45">
        <f t="shared" si="14"/>
        <v>0</v>
      </c>
      <c r="AT125" s="45">
        <f t="shared" si="15"/>
        <v>6.4027777777810115</v>
      </c>
      <c r="AU125" s="45" t="str">
        <f>_xlfn.XLOOKUP(U125,'Lista Suspensa'!$AA$20:$AA$23,'Lista Suspensa'!$AB$20:$AB$23,"N/A")</f>
        <v>S</v>
      </c>
    </row>
    <row r="126" spans="1:47" ht="12" customHeight="1" x14ac:dyDescent="0.3">
      <c r="A126" s="87" t="s">
        <v>47</v>
      </c>
      <c r="B126" s="88">
        <v>46104</v>
      </c>
      <c r="C126" s="89" t="s">
        <v>48</v>
      </c>
      <c r="D126" s="89" t="s">
        <v>49</v>
      </c>
      <c r="E126" s="90">
        <v>86757898</v>
      </c>
      <c r="F126" s="184" t="s">
        <v>489</v>
      </c>
      <c r="G126" s="91">
        <v>25341010809</v>
      </c>
      <c r="H126" s="92">
        <v>18277</v>
      </c>
      <c r="I126" s="89">
        <v>76</v>
      </c>
      <c r="J126" s="89" t="s">
        <v>70</v>
      </c>
      <c r="K126" s="89" t="s">
        <v>52</v>
      </c>
      <c r="L126" s="89" t="s">
        <v>331</v>
      </c>
      <c r="M126" s="89" t="s">
        <v>490</v>
      </c>
      <c r="N126" s="89" t="s">
        <v>55</v>
      </c>
      <c r="O126" s="93" t="s">
        <v>491</v>
      </c>
      <c r="P126" s="94" t="s">
        <v>57</v>
      </c>
      <c r="Q126" s="112" t="s">
        <v>58</v>
      </c>
      <c r="R126" s="95">
        <v>46128</v>
      </c>
      <c r="S126" s="96"/>
      <c r="T126" s="96" t="s">
        <v>59</v>
      </c>
      <c r="U126" s="96" t="s">
        <v>60</v>
      </c>
      <c r="V126" s="92">
        <v>46122</v>
      </c>
      <c r="W126" s="92">
        <v>46128</v>
      </c>
      <c r="X126" s="92" t="s">
        <v>61</v>
      </c>
      <c r="Y126" s="97"/>
      <c r="Z126" s="89" t="s">
        <v>62</v>
      </c>
      <c r="AA126" s="96">
        <v>46129</v>
      </c>
      <c r="AB126" s="89" t="s">
        <v>63</v>
      </c>
      <c r="AC126" s="111"/>
      <c r="AD126" s="89" t="s">
        <v>86</v>
      </c>
      <c r="AE126" s="89">
        <v>48</v>
      </c>
      <c r="AF126" s="98" t="s">
        <v>341</v>
      </c>
      <c r="AG126" s="98"/>
      <c r="AH126" s="98" t="s">
        <v>139</v>
      </c>
      <c r="AI126" s="99" t="s">
        <v>67</v>
      </c>
      <c r="AJ126" s="99" t="s">
        <v>67</v>
      </c>
      <c r="AK126" s="99" t="s">
        <v>67</v>
      </c>
      <c r="AL126" s="45" t="s">
        <v>68</v>
      </c>
      <c r="AM126" s="162" t="str">
        <f t="shared" si="8"/>
        <v>3/2026</v>
      </c>
      <c r="AN126" s="45">
        <f t="shared" si="9"/>
        <v>4</v>
      </c>
      <c r="AO126" s="45" t="str">
        <f t="shared" si="10"/>
        <v>4/2026</v>
      </c>
      <c r="AP126" s="45">
        <f t="shared" si="11"/>
        <v>3</v>
      </c>
      <c r="AQ126" s="45">
        <f t="shared" si="12"/>
        <v>24</v>
      </c>
      <c r="AR126" s="45">
        <f t="shared" si="13"/>
        <v>0</v>
      </c>
      <c r="AS126" s="45">
        <f t="shared" si="14"/>
        <v>6</v>
      </c>
      <c r="AT126" s="45">
        <f t="shared" si="15"/>
        <v>1</v>
      </c>
      <c r="AU126" s="45" t="str">
        <f>_xlfn.XLOOKUP(U126,'Lista Suspensa'!$AA$20:$AA$23,'Lista Suspensa'!$AB$20:$AB$23,"N/A")</f>
        <v>S</v>
      </c>
    </row>
    <row r="127" spans="1:47" ht="12" customHeight="1" x14ac:dyDescent="0.3">
      <c r="A127" s="87" t="s">
        <v>47</v>
      </c>
      <c r="B127" s="88">
        <v>46104</v>
      </c>
      <c r="C127" s="89" t="s">
        <v>48</v>
      </c>
      <c r="D127" s="89" t="s">
        <v>49</v>
      </c>
      <c r="E127" s="90">
        <v>95290747</v>
      </c>
      <c r="F127" s="184" t="s">
        <v>492</v>
      </c>
      <c r="G127" s="91">
        <v>2098863748</v>
      </c>
      <c r="H127" s="92">
        <v>26377</v>
      </c>
      <c r="I127" s="89">
        <v>54</v>
      </c>
      <c r="J127" s="89" t="s">
        <v>70</v>
      </c>
      <c r="K127" s="89" t="s">
        <v>88</v>
      </c>
      <c r="L127" s="89" t="s">
        <v>89</v>
      </c>
      <c r="M127" s="89" t="s">
        <v>493</v>
      </c>
      <c r="N127" s="89" t="s">
        <v>233</v>
      </c>
      <c r="O127" s="93" t="s">
        <v>494</v>
      </c>
      <c r="P127" s="94" t="s">
        <v>57</v>
      </c>
      <c r="Q127" s="112" t="s">
        <v>58</v>
      </c>
      <c r="R127" s="95">
        <v>46112</v>
      </c>
      <c r="S127" s="96"/>
      <c r="T127" s="96" t="s">
        <v>59</v>
      </c>
      <c r="U127" s="96" t="s">
        <v>60</v>
      </c>
      <c r="V127" s="92">
        <v>46112</v>
      </c>
      <c r="W127" s="92" t="s">
        <v>61</v>
      </c>
      <c r="X127" s="92" t="s">
        <v>61</v>
      </c>
      <c r="Y127" s="97"/>
      <c r="Z127" s="89" t="s">
        <v>62</v>
      </c>
      <c r="AA127" s="96">
        <v>46118.430555555555</v>
      </c>
      <c r="AB127" s="89" t="s">
        <v>63</v>
      </c>
      <c r="AC127" s="111"/>
      <c r="AD127" s="89" t="s">
        <v>86</v>
      </c>
      <c r="AE127" s="89">
        <v>50</v>
      </c>
      <c r="AF127" s="98" t="s">
        <v>126</v>
      </c>
      <c r="AG127" s="98"/>
      <c r="AH127" s="98" t="s">
        <v>66</v>
      </c>
      <c r="AI127" s="99" t="s">
        <v>67</v>
      </c>
      <c r="AJ127" s="99" t="s">
        <v>67</v>
      </c>
      <c r="AK127" s="99" t="s">
        <v>67</v>
      </c>
      <c r="AL127" s="45" t="s">
        <v>68</v>
      </c>
      <c r="AM127" s="162" t="str">
        <f t="shared" si="8"/>
        <v>3/2026</v>
      </c>
      <c r="AN127" s="45">
        <f t="shared" si="9"/>
        <v>4</v>
      </c>
      <c r="AO127" s="45" t="str">
        <f t="shared" si="10"/>
        <v>3/2026</v>
      </c>
      <c r="AP127" s="45">
        <f t="shared" si="11"/>
        <v>5</v>
      </c>
      <c r="AQ127" s="45">
        <f t="shared" si="12"/>
        <v>8</v>
      </c>
      <c r="AR127" s="45">
        <f t="shared" si="13"/>
        <v>0</v>
      </c>
      <c r="AS127" s="45">
        <f t="shared" si="14"/>
        <v>0</v>
      </c>
      <c r="AT127" s="45">
        <f t="shared" si="15"/>
        <v>6.4305555555547471</v>
      </c>
      <c r="AU127" s="45" t="str">
        <f>_xlfn.XLOOKUP(U127,'Lista Suspensa'!$AA$20:$AA$23,'Lista Suspensa'!$AB$20:$AB$23,"N/A")</f>
        <v>S</v>
      </c>
    </row>
    <row r="128" spans="1:47" ht="12" customHeight="1" x14ac:dyDescent="0.3">
      <c r="A128" s="87" t="s">
        <v>47</v>
      </c>
      <c r="B128" s="88">
        <v>46104</v>
      </c>
      <c r="C128" s="89" t="s">
        <v>48</v>
      </c>
      <c r="D128" s="89" t="s">
        <v>49</v>
      </c>
      <c r="E128" s="90">
        <v>800023196</v>
      </c>
      <c r="F128" s="184" t="s">
        <v>495</v>
      </c>
      <c r="G128" s="91">
        <v>15550632845</v>
      </c>
      <c r="H128" s="92">
        <v>19252</v>
      </c>
      <c r="I128" s="89">
        <v>73</v>
      </c>
      <c r="J128" s="89" t="s">
        <v>70</v>
      </c>
      <c r="K128" s="89" t="s">
        <v>52</v>
      </c>
      <c r="L128" s="89" t="s">
        <v>283</v>
      </c>
      <c r="M128" s="89" t="s">
        <v>496</v>
      </c>
      <c r="N128" s="89" t="s">
        <v>91</v>
      </c>
      <c r="O128" s="93" t="s">
        <v>497</v>
      </c>
      <c r="P128" s="94" t="s">
        <v>57</v>
      </c>
      <c r="Q128" s="112" t="s">
        <v>58</v>
      </c>
      <c r="R128" s="95">
        <v>46112</v>
      </c>
      <c r="S128" s="96"/>
      <c r="T128" s="96" t="s">
        <v>59</v>
      </c>
      <c r="U128" s="96" t="s">
        <v>60</v>
      </c>
      <c r="V128" s="92">
        <v>46112</v>
      </c>
      <c r="W128" s="92" t="s">
        <v>61</v>
      </c>
      <c r="X128" s="92" t="s">
        <v>61</v>
      </c>
      <c r="Y128" s="97"/>
      <c r="Z128" s="89" t="s">
        <v>62</v>
      </c>
      <c r="AA128" s="96">
        <v>46115.527777777781</v>
      </c>
      <c r="AB128" s="89" t="s">
        <v>63</v>
      </c>
      <c r="AC128" s="111">
        <v>46119</v>
      </c>
      <c r="AD128" s="89"/>
      <c r="AE128" s="89"/>
      <c r="AF128" s="98"/>
      <c r="AG128" s="98"/>
      <c r="AH128" s="98"/>
      <c r="AI128" s="99" t="s">
        <v>67</v>
      </c>
      <c r="AJ128" s="99" t="s">
        <v>67</v>
      </c>
      <c r="AK128" s="99" t="s">
        <v>67</v>
      </c>
      <c r="AL128" s="45" t="s">
        <v>68</v>
      </c>
      <c r="AM128" s="162" t="str">
        <f t="shared" si="8"/>
        <v>3/2026</v>
      </c>
      <c r="AN128" s="45">
        <f t="shared" si="9"/>
        <v>4</v>
      </c>
      <c r="AO128" s="45" t="str">
        <f t="shared" si="10"/>
        <v>3/2026</v>
      </c>
      <c r="AP128" s="45">
        <f t="shared" si="11"/>
        <v>5</v>
      </c>
      <c r="AQ128" s="45">
        <f t="shared" si="12"/>
        <v>8</v>
      </c>
      <c r="AR128" s="45">
        <f t="shared" si="13"/>
        <v>0</v>
      </c>
      <c r="AS128" s="45">
        <f t="shared" si="14"/>
        <v>0</v>
      </c>
      <c r="AT128" s="45">
        <f t="shared" si="15"/>
        <v>3.5277777777810115</v>
      </c>
      <c r="AU128" s="45" t="str">
        <f>_xlfn.XLOOKUP(U128,'Lista Suspensa'!$AA$20:$AA$23,'Lista Suspensa'!$AB$20:$AB$23,"N/A")</f>
        <v>S</v>
      </c>
    </row>
    <row r="129" spans="1:47" ht="12" customHeight="1" x14ac:dyDescent="0.3">
      <c r="A129" s="87" t="s">
        <v>47</v>
      </c>
      <c r="B129" s="88">
        <v>46104</v>
      </c>
      <c r="C129" s="89" t="s">
        <v>48</v>
      </c>
      <c r="D129" s="89" t="s">
        <v>49</v>
      </c>
      <c r="E129" s="90">
        <v>796497885</v>
      </c>
      <c r="F129" s="184" t="s">
        <v>498</v>
      </c>
      <c r="G129" s="91">
        <v>32212625820</v>
      </c>
      <c r="H129" s="92">
        <v>12461</v>
      </c>
      <c r="I129" s="89">
        <v>92</v>
      </c>
      <c r="J129" s="89" t="s">
        <v>70</v>
      </c>
      <c r="K129" s="89" t="s">
        <v>52</v>
      </c>
      <c r="L129" s="89" t="s">
        <v>53</v>
      </c>
      <c r="M129" s="89" t="s">
        <v>499</v>
      </c>
      <c r="N129" s="89" t="s">
        <v>91</v>
      </c>
      <c r="O129" s="93" t="s">
        <v>500</v>
      </c>
      <c r="P129" s="94" t="s">
        <v>57</v>
      </c>
      <c r="Q129" s="112" t="s">
        <v>58</v>
      </c>
      <c r="R129" s="95">
        <v>46112</v>
      </c>
      <c r="S129" s="96"/>
      <c r="T129" s="96" t="s">
        <v>59</v>
      </c>
      <c r="U129" s="96" t="s">
        <v>60</v>
      </c>
      <c r="V129" s="92">
        <v>46112</v>
      </c>
      <c r="W129" s="92" t="s">
        <v>61</v>
      </c>
      <c r="X129" s="92" t="s">
        <v>61</v>
      </c>
      <c r="Y129" s="97"/>
      <c r="Z129" s="89" t="s">
        <v>62</v>
      </c>
      <c r="AA129" s="96">
        <v>46114.513888888891</v>
      </c>
      <c r="AB129" s="89" t="s">
        <v>80</v>
      </c>
      <c r="AC129" s="111"/>
      <c r="AD129" s="89"/>
      <c r="AE129" s="89"/>
      <c r="AF129" s="98"/>
      <c r="AG129" s="98"/>
      <c r="AH129" s="98"/>
      <c r="AI129" s="99" t="s">
        <v>67</v>
      </c>
      <c r="AJ129" s="99" t="s">
        <v>67</v>
      </c>
      <c r="AK129" s="99" t="s">
        <v>67</v>
      </c>
      <c r="AL129" s="45" t="s">
        <v>68</v>
      </c>
      <c r="AM129" s="162" t="str">
        <f t="shared" si="8"/>
        <v>3/2026</v>
      </c>
      <c r="AN129" s="45">
        <f t="shared" si="9"/>
        <v>4</v>
      </c>
      <c r="AO129" s="45" t="str">
        <f t="shared" si="10"/>
        <v>3/2026</v>
      </c>
      <c r="AP129" s="45">
        <f t="shared" si="11"/>
        <v>5</v>
      </c>
      <c r="AQ129" s="45">
        <f t="shared" si="12"/>
        <v>8</v>
      </c>
      <c r="AR129" s="45">
        <f t="shared" si="13"/>
        <v>0</v>
      </c>
      <c r="AS129" s="45">
        <f t="shared" si="14"/>
        <v>0</v>
      </c>
      <c r="AT129" s="45">
        <f t="shared" si="15"/>
        <v>0</v>
      </c>
      <c r="AU129" s="45" t="str">
        <f>_xlfn.XLOOKUP(U129,'Lista Suspensa'!$AA$20:$AA$23,'Lista Suspensa'!$AB$20:$AB$23,"N/A")</f>
        <v>S</v>
      </c>
    </row>
    <row r="130" spans="1:47" ht="12" customHeight="1" x14ac:dyDescent="0.3">
      <c r="A130" s="87" t="s">
        <v>47</v>
      </c>
      <c r="B130" s="88">
        <v>46104</v>
      </c>
      <c r="C130" s="89" t="s">
        <v>48</v>
      </c>
      <c r="D130" s="89" t="s">
        <v>49</v>
      </c>
      <c r="E130" s="90">
        <v>460939785</v>
      </c>
      <c r="F130" s="184" t="s">
        <v>501</v>
      </c>
      <c r="G130" s="91">
        <v>53211944400</v>
      </c>
      <c r="H130" s="92">
        <v>24821</v>
      </c>
      <c r="I130" s="89">
        <v>58</v>
      </c>
      <c r="J130" s="89" t="s">
        <v>51</v>
      </c>
      <c r="K130" s="89" t="s">
        <v>52</v>
      </c>
      <c r="L130" s="89" t="s">
        <v>53</v>
      </c>
      <c r="M130" s="89" t="s">
        <v>502</v>
      </c>
      <c r="N130" s="89" t="s">
        <v>91</v>
      </c>
      <c r="O130" s="93" t="s">
        <v>503</v>
      </c>
      <c r="P130" s="94" t="s">
        <v>57</v>
      </c>
      <c r="Q130" s="112" t="s">
        <v>58</v>
      </c>
      <c r="R130" s="95">
        <v>46112</v>
      </c>
      <c r="S130" s="96"/>
      <c r="T130" s="96" t="s">
        <v>59</v>
      </c>
      <c r="U130" s="96" t="s">
        <v>60</v>
      </c>
      <c r="V130" s="92">
        <v>46112</v>
      </c>
      <c r="W130" s="92" t="s">
        <v>61</v>
      </c>
      <c r="X130" s="92" t="s">
        <v>61</v>
      </c>
      <c r="Y130" s="97"/>
      <c r="Z130" s="89" t="s">
        <v>62</v>
      </c>
      <c r="AA130" s="96">
        <v>46114.402777777781</v>
      </c>
      <c r="AB130" s="89" t="s">
        <v>80</v>
      </c>
      <c r="AC130" s="111"/>
      <c r="AD130" s="89"/>
      <c r="AE130" s="89"/>
      <c r="AF130" s="98"/>
      <c r="AG130" s="98"/>
      <c r="AH130" s="98"/>
      <c r="AI130" s="99" t="s">
        <v>67</v>
      </c>
      <c r="AJ130" s="99" t="s">
        <v>67</v>
      </c>
      <c r="AK130" s="99" t="s">
        <v>67</v>
      </c>
      <c r="AL130" s="45" t="s">
        <v>68</v>
      </c>
      <c r="AM130" s="162" t="str">
        <f t="shared" ref="AM130:AM193" si="16">MONTH(B130)&amp;"/"&amp;YEAR(B130)</f>
        <v>3/2026</v>
      </c>
      <c r="AN130" s="45">
        <f t="shared" ref="AN130:AN193" si="17">WEEKNUM(B130)-WEEKNUM(EOMONTH(B130,-1)+1)+1</f>
        <v>4</v>
      </c>
      <c r="AO130" s="45" t="str">
        <f t="shared" ref="AO130:AO193" si="18">MONTH(R130)&amp;"/"&amp;YEAR(R130)</f>
        <v>3/2026</v>
      </c>
      <c r="AP130" s="45">
        <f t="shared" ref="AP130:AP193" si="19">WEEKNUM(R130)-WEEKNUM(EOMONTH(R130,-1)+1)+1</f>
        <v>5</v>
      </c>
      <c r="AQ130" s="45">
        <f t="shared" ref="AQ130:AQ193" si="20">IF(AU130="S",IF(Q130="1. Aceitou o programa",R130-B130,0),0)</f>
        <v>8</v>
      </c>
      <c r="AR130" s="45">
        <f t="shared" ref="AR130:AR193" si="21">IF(AU130="S",IF(AND(S130&lt;&gt;"",R130&lt;&gt;""),S130-R130,0),0)</f>
        <v>0</v>
      </c>
      <c r="AS130" s="45">
        <f t="shared" ref="AS130:AS193" si="22">IF(AU130="S",IF(Q130="1. Aceitou o programa",IF(OR(X130="Não se Aplica",X130=""),IF(OR(W130="Não se Aplica",W130=""),0,W130-V130),AVERAGE(X130-W130,W130-V130)),0),0)</f>
        <v>0</v>
      </c>
      <c r="AT130" s="45">
        <f t="shared" ref="AT130:AT193" si="23">IF(AU130="S",IF(AND(Q130="1. Aceitou o programa",AB130="Realizada"),IFERROR(IF(AA130="",0,AA130-R130),0),0),0)</f>
        <v>0</v>
      </c>
      <c r="AU130" s="45" t="str">
        <f>_xlfn.XLOOKUP(U130,'Lista Suspensa'!$AA$20:$AA$23,'Lista Suspensa'!$AB$20:$AB$23,"N/A")</f>
        <v>S</v>
      </c>
    </row>
    <row r="131" spans="1:47" ht="12" customHeight="1" x14ac:dyDescent="0.3">
      <c r="A131" s="87" t="s">
        <v>47</v>
      </c>
      <c r="B131" s="88">
        <v>46104</v>
      </c>
      <c r="C131" s="89" t="s">
        <v>48</v>
      </c>
      <c r="D131" s="89" t="s">
        <v>49</v>
      </c>
      <c r="E131" s="90">
        <v>772575835</v>
      </c>
      <c r="F131" s="184" t="s">
        <v>504</v>
      </c>
      <c r="G131" s="91">
        <v>43067476891</v>
      </c>
      <c r="H131" s="92">
        <v>15602</v>
      </c>
      <c r="I131" s="89">
        <v>83</v>
      </c>
      <c r="J131" s="89" t="s">
        <v>70</v>
      </c>
      <c r="K131" s="89" t="s">
        <v>52</v>
      </c>
      <c r="L131" s="89" t="s">
        <v>53</v>
      </c>
      <c r="M131" s="89" t="s">
        <v>356</v>
      </c>
      <c r="N131" s="89" t="s">
        <v>91</v>
      </c>
      <c r="O131" s="93" t="s">
        <v>505</v>
      </c>
      <c r="P131" s="94" t="s">
        <v>57</v>
      </c>
      <c r="Q131" s="112" t="s">
        <v>58</v>
      </c>
      <c r="R131" s="95">
        <v>46112</v>
      </c>
      <c r="S131" s="96"/>
      <c r="T131" s="96" t="s">
        <v>59</v>
      </c>
      <c r="U131" s="96" t="s">
        <v>60</v>
      </c>
      <c r="V131" s="92">
        <v>46112</v>
      </c>
      <c r="W131" s="92" t="s">
        <v>61</v>
      </c>
      <c r="X131" s="92" t="s">
        <v>61</v>
      </c>
      <c r="Y131" s="97"/>
      <c r="Z131" s="89" t="s">
        <v>62</v>
      </c>
      <c r="AA131" s="96">
        <v>46114.430555555555</v>
      </c>
      <c r="AB131" s="89" t="s">
        <v>80</v>
      </c>
      <c r="AC131" s="111"/>
      <c r="AD131" s="89"/>
      <c r="AE131" s="89"/>
      <c r="AF131" s="98"/>
      <c r="AG131" s="98"/>
      <c r="AH131" s="98"/>
      <c r="AI131" s="99" t="s">
        <v>67</v>
      </c>
      <c r="AJ131" s="99" t="s">
        <v>67</v>
      </c>
      <c r="AK131" s="99" t="s">
        <v>67</v>
      </c>
      <c r="AL131" s="45" t="s">
        <v>68</v>
      </c>
      <c r="AM131" s="162" t="str">
        <f t="shared" si="16"/>
        <v>3/2026</v>
      </c>
      <c r="AN131" s="45">
        <f t="shared" si="17"/>
        <v>4</v>
      </c>
      <c r="AO131" s="45" t="str">
        <f t="shared" si="18"/>
        <v>3/2026</v>
      </c>
      <c r="AP131" s="45">
        <f t="shared" si="19"/>
        <v>5</v>
      </c>
      <c r="AQ131" s="45">
        <f t="shared" si="20"/>
        <v>8</v>
      </c>
      <c r="AR131" s="45">
        <f t="shared" si="21"/>
        <v>0</v>
      </c>
      <c r="AS131" s="45">
        <f t="shared" si="22"/>
        <v>0</v>
      </c>
      <c r="AT131" s="45">
        <f t="shared" si="23"/>
        <v>0</v>
      </c>
      <c r="AU131" s="45" t="str">
        <f>_xlfn.XLOOKUP(U131,'Lista Suspensa'!$AA$20:$AA$23,'Lista Suspensa'!$AB$20:$AB$23,"N/A")</f>
        <v>S</v>
      </c>
    </row>
    <row r="132" spans="1:47" ht="12" customHeight="1" x14ac:dyDescent="0.3">
      <c r="A132" s="87" t="s">
        <v>47</v>
      </c>
      <c r="B132" s="88">
        <v>46104</v>
      </c>
      <c r="C132" s="89" t="s">
        <v>48</v>
      </c>
      <c r="D132" s="89" t="s">
        <v>49</v>
      </c>
      <c r="E132" s="90">
        <v>775772011</v>
      </c>
      <c r="F132" s="184" t="s">
        <v>506</v>
      </c>
      <c r="G132" s="91">
        <v>56233132800</v>
      </c>
      <c r="H132" s="92">
        <v>17704</v>
      </c>
      <c r="I132" s="89">
        <v>77</v>
      </c>
      <c r="J132" s="89" t="s">
        <v>70</v>
      </c>
      <c r="K132" s="89" t="s">
        <v>52</v>
      </c>
      <c r="L132" s="89" t="s">
        <v>53</v>
      </c>
      <c r="M132" s="89" t="s">
        <v>507</v>
      </c>
      <c r="N132" s="89" t="s">
        <v>91</v>
      </c>
      <c r="O132" s="93" t="s">
        <v>508</v>
      </c>
      <c r="P132" s="94" t="s">
        <v>57</v>
      </c>
      <c r="Q132" s="112" t="s">
        <v>58</v>
      </c>
      <c r="R132" s="95">
        <v>46128</v>
      </c>
      <c r="S132" s="96"/>
      <c r="T132" s="96" t="s">
        <v>59</v>
      </c>
      <c r="U132" s="96" t="s">
        <v>60</v>
      </c>
      <c r="V132" s="92">
        <v>46122</v>
      </c>
      <c r="W132" s="92">
        <v>46128</v>
      </c>
      <c r="X132" s="92" t="s">
        <v>61</v>
      </c>
      <c r="Y132" s="97"/>
      <c r="Z132" s="89" t="s">
        <v>62</v>
      </c>
      <c r="AA132" s="96">
        <v>46128</v>
      </c>
      <c r="AB132" s="89" t="s">
        <v>63</v>
      </c>
      <c r="AC132" s="111"/>
      <c r="AD132" s="89"/>
      <c r="AE132" s="89"/>
      <c r="AF132" s="98"/>
      <c r="AG132" s="98"/>
      <c r="AH132" s="98"/>
      <c r="AI132" s="99" t="s">
        <v>67</v>
      </c>
      <c r="AJ132" s="99" t="s">
        <v>67</v>
      </c>
      <c r="AK132" s="99" t="s">
        <v>67</v>
      </c>
      <c r="AL132" s="45" t="s">
        <v>68</v>
      </c>
      <c r="AM132" s="162" t="str">
        <f t="shared" si="16"/>
        <v>3/2026</v>
      </c>
      <c r="AN132" s="45">
        <f t="shared" si="17"/>
        <v>4</v>
      </c>
      <c r="AO132" s="45" t="str">
        <f t="shared" si="18"/>
        <v>4/2026</v>
      </c>
      <c r="AP132" s="45">
        <f t="shared" si="19"/>
        <v>3</v>
      </c>
      <c r="AQ132" s="45">
        <f t="shared" si="20"/>
        <v>24</v>
      </c>
      <c r="AR132" s="45">
        <f t="shared" si="21"/>
        <v>0</v>
      </c>
      <c r="AS132" s="45">
        <f t="shared" si="22"/>
        <v>6</v>
      </c>
      <c r="AT132" s="45">
        <f t="shared" si="23"/>
        <v>0</v>
      </c>
      <c r="AU132" s="45" t="str">
        <f>_xlfn.XLOOKUP(U132,'Lista Suspensa'!$AA$20:$AA$23,'Lista Suspensa'!$AB$20:$AB$23,"N/A")</f>
        <v>S</v>
      </c>
    </row>
    <row r="133" spans="1:47" ht="12" customHeight="1" x14ac:dyDescent="0.3">
      <c r="A133" s="87" t="s">
        <v>47</v>
      </c>
      <c r="B133" s="88">
        <v>46104</v>
      </c>
      <c r="C133" s="89" t="s">
        <v>48</v>
      </c>
      <c r="D133" s="89" t="s">
        <v>49</v>
      </c>
      <c r="E133" s="90">
        <v>867294183</v>
      </c>
      <c r="F133" s="184" t="s">
        <v>509</v>
      </c>
      <c r="G133" s="91">
        <v>6350164865</v>
      </c>
      <c r="H133" s="92">
        <v>19438</v>
      </c>
      <c r="I133" s="89">
        <v>73</v>
      </c>
      <c r="J133" s="89" t="s">
        <v>70</v>
      </c>
      <c r="K133" s="89" t="s">
        <v>52</v>
      </c>
      <c r="L133" s="89" t="s">
        <v>53</v>
      </c>
      <c r="M133" s="89" t="s">
        <v>510</v>
      </c>
      <c r="N133" s="89" t="s">
        <v>237</v>
      </c>
      <c r="O133" s="93" t="s">
        <v>511</v>
      </c>
      <c r="P133" s="94" t="s">
        <v>57</v>
      </c>
      <c r="Q133" s="112" t="s">
        <v>58</v>
      </c>
      <c r="R133" s="95">
        <v>46122</v>
      </c>
      <c r="S133" s="96"/>
      <c r="T133" s="96" t="s">
        <v>59</v>
      </c>
      <c r="U133" s="96" t="s">
        <v>60</v>
      </c>
      <c r="V133" s="92">
        <v>46122</v>
      </c>
      <c r="W133" s="92" t="s">
        <v>61</v>
      </c>
      <c r="X133" s="92" t="s">
        <v>61</v>
      </c>
      <c r="Y133" s="97"/>
      <c r="Z133" s="89" t="s">
        <v>62</v>
      </c>
      <c r="AA133" s="96">
        <v>46118</v>
      </c>
      <c r="AB133" s="89" t="s">
        <v>80</v>
      </c>
      <c r="AC133" s="111"/>
      <c r="AD133" s="89"/>
      <c r="AE133" s="89"/>
      <c r="AF133" s="98"/>
      <c r="AG133" s="98"/>
      <c r="AH133" s="98"/>
      <c r="AI133" s="99" t="s">
        <v>67</v>
      </c>
      <c r="AJ133" s="99" t="s">
        <v>67</v>
      </c>
      <c r="AK133" s="99" t="s">
        <v>67</v>
      </c>
      <c r="AL133" s="45" t="s">
        <v>68</v>
      </c>
      <c r="AM133" s="162" t="str">
        <f t="shared" si="16"/>
        <v>3/2026</v>
      </c>
      <c r="AN133" s="45">
        <f t="shared" si="17"/>
        <v>4</v>
      </c>
      <c r="AO133" s="45" t="str">
        <f t="shared" si="18"/>
        <v>4/2026</v>
      </c>
      <c r="AP133" s="45">
        <f t="shared" si="19"/>
        <v>2</v>
      </c>
      <c r="AQ133" s="45">
        <f t="shared" si="20"/>
        <v>18</v>
      </c>
      <c r="AR133" s="45">
        <f t="shared" si="21"/>
        <v>0</v>
      </c>
      <c r="AS133" s="45">
        <f t="shared" si="22"/>
        <v>0</v>
      </c>
      <c r="AT133" s="45">
        <f t="shared" si="23"/>
        <v>0</v>
      </c>
      <c r="AU133" s="45" t="str">
        <f>_xlfn.XLOOKUP(U133,'Lista Suspensa'!$AA$20:$AA$23,'Lista Suspensa'!$AB$20:$AB$23,"N/A")</f>
        <v>S</v>
      </c>
    </row>
    <row r="134" spans="1:47" ht="12" customHeight="1" x14ac:dyDescent="0.3">
      <c r="A134" s="87" t="s">
        <v>47</v>
      </c>
      <c r="B134" s="88">
        <v>46104</v>
      </c>
      <c r="C134" s="89" t="s">
        <v>48</v>
      </c>
      <c r="D134" s="89" t="s">
        <v>49</v>
      </c>
      <c r="E134" s="90">
        <v>93348473</v>
      </c>
      <c r="F134" s="184" t="s">
        <v>512</v>
      </c>
      <c r="G134" s="91">
        <v>278026710</v>
      </c>
      <c r="H134" s="92">
        <v>24900</v>
      </c>
      <c r="I134" s="89">
        <v>58</v>
      </c>
      <c r="J134" s="89" t="s">
        <v>70</v>
      </c>
      <c r="K134" s="89" t="s">
        <v>88</v>
      </c>
      <c r="L134" s="89" t="s">
        <v>89</v>
      </c>
      <c r="M134" s="89" t="s">
        <v>384</v>
      </c>
      <c r="N134" s="89" t="s">
        <v>102</v>
      </c>
      <c r="O134" s="93" t="s">
        <v>513</v>
      </c>
      <c r="P134" s="94" t="s">
        <v>57</v>
      </c>
      <c r="Q134" s="112" t="s">
        <v>58</v>
      </c>
      <c r="R134" s="95">
        <v>46128</v>
      </c>
      <c r="S134" s="96"/>
      <c r="T134" s="96" t="s">
        <v>59</v>
      </c>
      <c r="U134" s="96" t="s">
        <v>60</v>
      </c>
      <c r="V134" s="92">
        <v>46122</v>
      </c>
      <c r="W134" s="92">
        <v>46128</v>
      </c>
      <c r="X134" s="92" t="s">
        <v>61</v>
      </c>
      <c r="Y134" s="97"/>
      <c r="Z134" s="89" t="s">
        <v>62</v>
      </c>
      <c r="AA134" s="96">
        <v>46126</v>
      </c>
      <c r="AB134" s="89" t="s">
        <v>80</v>
      </c>
      <c r="AC134" s="111"/>
      <c r="AD134" s="89"/>
      <c r="AE134" s="89"/>
      <c r="AF134" s="98"/>
      <c r="AG134" s="98"/>
      <c r="AH134" s="98"/>
      <c r="AI134" s="99" t="s">
        <v>67</v>
      </c>
      <c r="AJ134" s="99" t="s">
        <v>67</v>
      </c>
      <c r="AK134" s="99" t="s">
        <v>67</v>
      </c>
      <c r="AL134" s="45" t="s">
        <v>68</v>
      </c>
      <c r="AM134" s="162" t="str">
        <f t="shared" si="16"/>
        <v>3/2026</v>
      </c>
      <c r="AN134" s="45">
        <f t="shared" si="17"/>
        <v>4</v>
      </c>
      <c r="AO134" s="45" t="str">
        <f t="shared" si="18"/>
        <v>4/2026</v>
      </c>
      <c r="AP134" s="45">
        <f t="shared" si="19"/>
        <v>3</v>
      </c>
      <c r="AQ134" s="45">
        <f t="shared" si="20"/>
        <v>24</v>
      </c>
      <c r="AR134" s="45">
        <f t="shared" si="21"/>
        <v>0</v>
      </c>
      <c r="AS134" s="45">
        <f t="shared" si="22"/>
        <v>6</v>
      </c>
      <c r="AT134" s="45">
        <f t="shared" si="23"/>
        <v>0</v>
      </c>
      <c r="AU134" s="45" t="str">
        <f>_xlfn.XLOOKUP(U134,'Lista Suspensa'!$AA$20:$AA$23,'Lista Suspensa'!$AB$20:$AB$23,"N/A")</f>
        <v>S</v>
      </c>
    </row>
    <row r="135" spans="1:47" ht="12" customHeight="1" x14ac:dyDescent="0.3">
      <c r="A135" s="87" t="s">
        <v>47</v>
      </c>
      <c r="B135" s="88">
        <v>46104</v>
      </c>
      <c r="C135" s="89" t="s">
        <v>48</v>
      </c>
      <c r="D135" s="89" t="s">
        <v>49</v>
      </c>
      <c r="E135" s="90">
        <v>79736836</v>
      </c>
      <c r="F135" s="184" t="s">
        <v>514</v>
      </c>
      <c r="G135" s="91">
        <v>27545081803</v>
      </c>
      <c r="H135" s="92">
        <v>26721</v>
      </c>
      <c r="I135" s="89">
        <v>53</v>
      </c>
      <c r="J135" s="89" t="s">
        <v>70</v>
      </c>
      <c r="K135" s="89" t="s">
        <v>52</v>
      </c>
      <c r="L135" s="89" t="s">
        <v>53</v>
      </c>
      <c r="M135" s="89" t="s">
        <v>515</v>
      </c>
      <c r="N135" s="89" t="s">
        <v>102</v>
      </c>
      <c r="O135" s="93" t="s">
        <v>516</v>
      </c>
      <c r="P135" s="94" t="s">
        <v>57</v>
      </c>
      <c r="Q135" s="112" t="s">
        <v>58</v>
      </c>
      <c r="R135" s="95">
        <v>46112</v>
      </c>
      <c r="S135" s="96"/>
      <c r="T135" s="96" t="s">
        <v>59</v>
      </c>
      <c r="U135" s="96" t="s">
        <v>60</v>
      </c>
      <c r="V135" s="92">
        <v>46112</v>
      </c>
      <c r="W135" s="92" t="s">
        <v>61</v>
      </c>
      <c r="X135" s="92" t="s">
        <v>61</v>
      </c>
      <c r="Y135" s="97"/>
      <c r="Z135" s="89" t="s">
        <v>62</v>
      </c>
      <c r="AA135" s="96">
        <v>46113.513888425929</v>
      </c>
      <c r="AB135" s="89" t="s">
        <v>63</v>
      </c>
      <c r="AC135" s="111"/>
      <c r="AD135" s="89" t="s">
        <v>64</v>
      </c>
      <c r="AE135" s="89">
        <v>56</v>
      </c>
      <c r="AF135" s="98" t="s">
        <v>65</v>
      </c>
      <c r="AG135" s="98"/>
      <c r="AH135" s="98" t="s">
        <v>66</v>
      </c>
      <c r="AI135" s="99" t="s">
        <v>67</v>
      </c>
      <c r="AJ135" s="99" t="s">
        <v>67</v>
      </c>
      <c r="AK135" s="99" t="s">
        <v>67</v>
      </c>
      <c r="AL135" s="45" t="s">
        <v>68</v>
      </c>
      <c r="AM135" s="162" t="str">
        <f t="shared" si="16"/>
        <v>3/2026</v>
      </c>
      <c r="AN135" s="45">
        <f t="shared" si="17"/>
        <v>4</v>
      </c>
      <c r="AO135" s="45" t="str">
        <f t="shared" si="18"/>
        <v>3/2026</v>
      </c>
      <c r="AP135" s="45">
        <f t="shared" si="19"/>
        <v>5</v>
      </c>
      <c r="AQ135" s="45">
        <f t="shared" si="20"/>
        <v>8</v>
      </c>
      <c r="AR135" s="45">
        <f t="shared" si="21"/>
        <v>0</v>
      </c>
      <c r="AS135" s="45">
        <f t="shared" si="22"/>
        <v>0</v>
      </c>
      <c r="AT135" s="45">
        <f t="shared" si="23"/>
        <v>1.5138884259285987</v>
      </c>
      <c r="AU135" s="45" t="str">
        <f>_xlfn.XLOOKUP(U135,'Lista Suspensa'!$AA$20:$AA$23,'Lista Suspensa'!$AB$20:$AB$23,"N/A")</f>
        <v>S</v>
      </c>
    </row>
    <row r="136" spans="1:47" ht="12" customHeight="1" x14ac:dyDescent="0.3">
      <c r="A136" s="87" t="s">
        <v>47</v>
      </c>
      <c r="B136" s="88">
        <v>46104</v>
      </c>
      <c r="C136" s="89" t="s">
        <v>48</v>
      </c>
      <c r="D136" s="89" t="s">
        <v>49</v>
      </c>
      <c r="E136" s="90">
        <v>93856777</v>
      </c>
      <c r="F136" s="184" t="s">
        <v>517</v>
      </c>
      <c r="G136" s="91">
        <v>25580450168</v>
      </c>
      <c r="H136" s="92">
        <v>21303</v>
      </c>
      <c r="I136" s="89">
        <v>67</v>
      </c>
      <c r="J136" s="89" t="s">
        <v>51</v>
      </c>
      <c r="K136" s="89" t="s">
        <v>52</v>
      </c>
      <c r="L136" s="89" t="s">
        <v>518</v>
      </c>
      <c r="M136" s="89" t="s">
        <v>519</v>
      </c>
      <c r="N136" s="89" t="s">
        <v>102</v>
      </c>
      <c r="O136" s="93" t="s">
        <v>520</v>
      </c>
      <c r="P136" s="94" t="s">
        <v>57</v>
      </c>
      <c r="Q136" s="112" t="s">
        <v>58</v>
      </c>
      <c r="R136" s="95">
        <v>46113</v>
      </c>
      <c r="S136" s="96"/>
      <c r="T136" s="96" t="s">
        <v>59</v>
      </c>
      <c r="U136" s="96" t="s">
        <v>60</v>
      </c>
      <c r="V136" s="92">
        <v>46112</v>
      </c>
      <c r="W136" s="92" t="s">
        <v>61</v>
      </c>
      <c r="X136" s="92" t="s">
        <v>61</v>
      </c>
      <c r="Y136" s="97"/>
      <c r="Z136" s="89" t="s">
        <v>62</v>
      </c>
      <c r="AA136" s="96">
        <v>46118.486111111109</v>
      </c>
      <c r="AB136" s="89" t="s">
        <v>63</v>
      </c>
      <c r="AC136" s="111"/>
      <c r="AD136" s="89" t="s">
        <v>64</v>
      </c>
      <c r="AE136" s="89">
        <v>60</v>
      </c>
      <c r="AF136" s="98" t="s">
        <v>138</v>
      </c>
      <c r="AG136" s="98"/>
      <c r="AH136" s="98" t="s">
        <v>66</v>
      </c>
      <c r="AI136" s="99" t="s">
        <v>67</v>
      </c>
      <c r="AJ136" s="99" t="s">
        <v>67</v>
      </c>
      <c r="AK136" s="99" t="s">
        <v>67</v>
      </c>
      <c r="AL136" s="45" t="s">
        <v>68</v>
      </c>
      <c r="AM136" s="162" t="str">
        <f t="shared" si="16"/>
        <v>3/2026</v>
      </c>
      <c r="AN136" s="45">
        <f t="shared" si="17"/>
        <v>4</v>
      </c>
      <c r="AO136" s="45" t="str">
        <f t="shared" si="18"/>
        <v>4/2026</v>
      </c>
      <c r="AP136" s="45">
        <f t="shared" si="19"/>
        <v>1</v>
      </c>
      <c r="AQ136" s="45">
        <f t="shared" si="20"/>
        <v>9</v>
      </c>
      <c r="AR136" s="45">
        <f t="shared" si="21"/>
        <v>0</v>
      </c>
      <c r="AS136" s="45">
        <f t="shared" si="22"/>
        <v>0</v>
      </c>
      <c r="AT136" s="45">
        <f t="shared" si="23"/>
        <v>5.4861111111094942</v>
      </c>
      <c r="AU136" s="45" t="str">
        <f>_xlfn.XLOOKUP(U136,'Lista Suspensa'!$AA$20:$AA$23,'Lista Suspensa'!$AB$20:$AB$23,"N/A")</f>
        <v>S</v>
      </c>
    </row>
    <row r="137" spans="1:47" ht="12" customHeight="1" x14ac:dyDescent="0.3">
      <c r="A137" s="87" t="s">
        <v>47</v>
      </c>
      <c r="B137" s="88">
        <v>46104</v>
      </c>
      <c r="C137" s="89" t="s">
        <v>48</v>
      </c>
      <c r="D137" s="89" t="s">
        <v>49</v>
      </c>
      <c r="E137" s="90">
        <v>87555261</v>
      </c>
      <c r="F137" s="184" t="s">
        <v>521</v>
      </c>
      <c r="G137" s="91">
        <v>83713476772</v>
      </c>
      <c r="H137" s="92">
        <v>23771</v>
      </c>
      <c r="I137" s="89">
        <v>61</v>
      </c>
      <c r="J137" s="89" t="s">
        <v>51</v>
      </c>
      <c r="K137" s="89" t="s">
        <v>88</v>
      </c>
      <c r="L137" s="89" t="s">
        <v>89</v>
      </c>
      <c r="M137" s="89" t="s">
        <v>522</v>
      </c>
      <c r="N137" s="89" t="s">
        <v>102</v>
      </c>
      <c r="O137" s="93" t="s">
        <v>523</v>
      </c>
      <c r="P137" s="94" t="s">
        <v>57</v>
      </c>
      <c r="Q137" s="112" t="s">
        <v>58</v>
      </c>
      <c r="R137" s="95">
        <v>46112</v>
      </c>
      <c r="S137" s="96"/>
      <c r="T137" s="96" t="s">
        <v>59</v>
      </c>
      <c r="U137" s="96" t="s">
        <v>60</v>
      </c>
      <c r="V137" s="92">
        <v>46112</v>
      </c>
      <c r="W137" s="92" t="s">
        <v>61</v>
      </c>
      <c r="X137" s="92" t="s">
        <v>61</v>
      </c>
      <c r="Y137" s="97"/>
      <c r="Z137" s="89" t="s">
        <v>62</v>
      </c>
      <c r="AA137" s="96">
        <v>46115.402777777781</v>
      </c>
      <c r="AB137" s="89" t="s">
        <v>63</v>
      </c>
      <c r="AC137" s="111"/>
      <c r="AD137" s="89" t="s">
        <v>64</v>
      </c>
      <c r="AE137" s="89">
        <v>40</v>
      </c>
      <c r="AF137" s="98" t="s">
        <v>126</v>
      </c>
      <c r="AG137" s="98"/>
      <c r="AH137" s="98" t="s">
        <v>66</v>
      </c>
      <c r="AI137" s="99" t="s">
        <v>67</v>
      </c>
      <c r="AJ137" s="99" t="s">
        <v>67</v>
      </c>
      <c r="AK137" s="99" t="s">
        <v>67</v>
      </c>
      <c r="AL137" s="45" t="s">
        <v>68</v>
      </c>
      <c r="AM137" s="162" t="str">
        <f t="shared" si="16"/>
        <v>3/2026</v>
      </c>
      <c r="AN137" s="45">
        <f t="shared" si="17"/>
        <v>4</v>
      </c>
      <c r="AO137" s="45" t="str">
        <f t="shared" si="18"/>
        <v>3/2026</v>
      </c>
      <c r="AP137" s="45">
        <f t="shared" si="19"/>
        <v>5</v>
      </c>
      <c r="AQ137" s="45">
        <f t="shared" si="20"/>
        <v>8</v>
      </c>
      <c r="AR137" s="45">
        <f t="shared" si="21"/>
        <v>0</v>
      </c>
      <c r="AS137" s="45">
        <f t="shared" si="22"/>
        <v>0</v>
      </c>
      <c r="AT137" s="45">
        <f t="shared" si="23"/>
        <v>3.4027777777810115</v>
      </c>
      <c r="AU137" s="45" t="str">
        <f>_xlfn.XLOOKUP(U137,'Lista Suspensa'!$AA$20:$AA$23,'Lista Suspensa'!$AB$20:$AB$23,"N/A")</f>
        <v>S</v>
      </c>
    </row>
    <row r="138" spans="1:47" ht="12" customHeight="1" x14ac:dyDescent="0.3">
      <c r="A138" s="87" t="s">
        <v>47</v>
      </c>
      <c r="B138" s="88">
        <v>46104</v>
      </c>
      <c r="C138" s="89" t="s">
        <v>48</v>
      </c>
      <c r="D138" s="89" t="s">
        <v>49</v>
      </c>
      <c r="E138" s="90">
        <v>81907928</v>
      </c>
      <c r="F138" s="184" t="s">
        <v>524</v>
      </c>
      <c r="G138" s="91">
        <v>32281469875</v>
      </c>
      <c r="H138" s="92">
        <v>30309</v>
      </c>
      <c r="I138" s="89">
        <v>43</v>
      </c>
      <c r="J138" s="89" t="s">
        <v>51</v>
      </c>
      <c r="K138" s="89" t="s">
        <v>52</v>
      </c>
      <c r="L138" s="89" t="s">
        <v>525</v>
      </c>
      <c r="M138" s="89" t="s">
        <v>526</v>
      </c>
      <c r="N138" s="89" t="s">
        <v>113</v>
      </c>
      <c r="O138" s="93" t="s">
        <v>527</v>
      </c>
      <c r="P138" s="94" t="s">
        <v>57</v>
      </c>
      <c r="Q138" s="112" t="s">
        <v>58</v>
      </c>
      <c r="R138" s="95">
        <v>46122</v>
      </c>
      <c r="S138" s="96"/>
      <c r="T138" s="96" t="s">
        <v>59</v>
      </c>
      <c r="U138" s="96" t="s">
        <v>60</v>
      </c>
      <c r="V138" s="92">
        <v>46122</v>
      </c>
      <c r="W138" s="92" t="s">
        <v>61</v>
      </c>
      <c r="X138" s="92" t="s">
        <v>61</v>
      </c>
      <c r="Y138" s="97"/>
      <c r="Z138" s="89" t="s">
        <v>62</v>
      </c>
      <c r="AA138" s="96">
        <v>46129</v>
      </c>
      <c r="AB138" s="89" t="s">
        <v>63</v>
      </c>
      <c r="AC138" s="111"/>
      <c r="AD138" s="89" t="s">
        <v>86</v>
      </c>
      <c r="AE138" s="89">
        <v>49</v>
      </c>
      <c r="AF138" s="98" t="s">
        <v>528</v>
      </c>
      <c r="AG138" s="98"/>
      <c r="AH138" s="98" t="s">
        <v>66</v>
      </c>
      <c r="AI138" s="99" t="s">
        <v>67</v>
      </c>
      <c r="AJ138" s="99" t="s">
        <v>67</v>
      </c>
      <c r="AK138" s="99" t="s">
        <v>67</v>
      </c>
      <c r="AL138" s="45" t="s">
        <v>68</v>
      </c>
      <c r="AM138" s="162" t="str">
        <f t="shared" si="16"/>
        <v>3/2026</v>
      </c>
      <c r="AN138" s="45">
        <f t="shared" si="17"/>
        <v>4</v>
      </c>
      <c r="AO138" s="45" t="str">
        <f t="shared" si="18"/>
        <v>4/2026</v>
      </c>
      <c r="AP138" s="45">
        <f t="shared" si="19"/>
        <v>2</v>
      </c>
      <c r="AQ138" s="45">
        <f t="shared" si="20"/>
        <v>18</v>
      </c>
      <c r="AR138" s="45">
        <f t="shared" si="21"/>
        <v>0</v>
      </c>
      <c r="AS138" s="45">
        <f t="shared" si="22"/>
        <v>0</v>
      </c>
      <c r="AT138" s="45">
        <f t="shared" si="23"/>
        <v>7</v>
      </c>
      <c r="AU138" s="45" t="str">
        <f>_xlfn.XLOOKUP(U138,'Lista Suspensa'!$AA$20:$AA$23,'Lista Suspensa'!$AB$20:$AB$23,"N/A")</f>
        <v>S</v>
      </c>
    </row>
    <row r="139" spans="1:47" ht="12" customHeight="1" x14ac:dyDescent="0.3">
      <c r="A139" s="87" t="s">
        <v>47</v>
      </c>
      <c r="B139" s="88">
        <v>46104</v>
      </c>
      <c r="C139" s="89" t="s">
        <v>48</v>
      </c>
      <c r="D139" s="89" t="s">
        <v>49</v>
      </c>
      <c r="E139" s="90">
        <v>81029831</v>
      </c>
      <c r="F139" s="184" t="s">
        <v>529</v>
      </c>
      <c r="G139" s="91">
        <v>57850135504</v>
      </c>
      <c r="H139" s="92">
        <v>25869</v>
      </c>
      <c r="I139" s="89">
        <v>55</v>
      </c>
      <c r="J139" s="89" t="s">
        <v>51</v>
      </c>
      <c r="K139" s="89" t="s">
        <v>52</v>
      </c>
      <c r="L139" s="89" t="s">
        <v>331</v>
      </c>
      <c r="M139" s="89" t="s">
        <v>76</v>
      </c>
      <c r="N139" s="89" t="s">
        <v>113</v>
      </c>
      <c r="O139" s="93" t="s">
        <v>530</v>
      </c>
      <c r="P139" s="94" t="s">
        <v>57</v>
      </c>
      <c r="Q139" s="112" t="s">
        <v>58</v>
      </c>
      <c r="R139" s="95">
        <v>46128</v>
      </c>
      <c r="S139" s="96"/>
      <c r="T139" s="96" t="s">
        <v>59</v>
      </c>
      <c r="U139" s="96" t="s">
        <v>60</v>
      </c>
      <c r="V139" s="92">
        <v>46122</v>
      </c>
      <c r="W139" s="92">
        <v>46128</v>
      </c>
      <c r="X139" s="92" t="s">
        <v>61</v>
      </c>
      <c r="Y139" s="97"/>
      <c r="Z139" s="89" t="s">
        <v>62</v>
      </c>
      <c r="AA139" s="96">
        <v>46129</v>
      </c>
      <c r="AB139" s="89" t="s">
        <v>63</v>
      </c>
      <c r="AC139" s="111"/>
      <c r="AD139" s="89" t="s">
        <v>64</v>
      </c>
      <c r="AE139" s="89">
        <v>62</v>
      </c>
      <c r="AF139" s="98" t="s">
        <v>341</v>
      </c>
      <c r="AG139" s="98"/>
      <c r="AH139" s="98" t="s">
        <v>139</v>
      </c>
      <c r="AI139" s="99" t="s">
        <v>67</v>
      </c>
      <c r="AJ139" s="99" t="s">
        <v>67</v>
      </c>
      <c r="AK139" s="99" t="s">
        <v>67</v>
      </c>
      <c r="AL139" s="45" t="s">
        <v>68</v>
      </c>
      <c r="AM139" s="162" t="str">
        <f t="shared" si="16"/>
        <v>3/2026</v>
      </c>
      <c r="AN139" s="45">
        <f t="shared" si="17"/>
        <v>4</v>
      </c>
      <c r="AO139" s="45" t="str">
        <f t="shared" si="18"/>
        <v>4/2026</v>
      </c>
      <c r="AP139" s="45">
        <f t="shared" si="19"/>
        <v>3</v>
      </c>
      <c r="AQ139" s="45">
        <f t="shared" si="20"/>
        <v>24</v>
      </c>
      <c r="AR139" s="45">
        <f t="shared" si="21"/>
        <v>0</v>
      </c>
      <c r="AS139" s="45">
        <f t="shared" si="22"/>
        <v>6</v>
      </c>
      <c r="AT139" s="45">
        <f t="shared" si="23"/>
        <v>1</v>
      </c>
      <c r="AU139" s="45" t="str">
        <f>_xlfn.XLOOKUP(U139,'Lista Suspensa'!$AA$20:$AA$23,'Lista Suspensa'!$AB$20:$AB$23,"N/A")</f>
        <v>S</v>
      </c>
    </row>
    <row r="140" spans="1:47" ht="12" customHeight="1" x14ac:dyDescent="0.3">
      <c r="A140" s="87" t="s">
        <v>47</v>
      </c>
      <c r="B140" s="88">
        <v>46104</v>
      </c>
      <c r="C140" s="89" t="s">
        <v>48</v>
      </c>
      <c r="D140" s="89" t="s">
        <v>49</v>
      </c>
      <c r="E140" s="90">
        <v>81355456</v>
      </c>
      <c r="F140" s="184" t="s">
        <v>531</v>
      </c>
      <c r="G140" s="91">
        <v>13917700808</v>
      </c>
      <c r="H140" s="92">
        <v>21833</v>
      </c>
      <c r="I140" s="89">
        <v>66</v>
      </c>
      <c r="J140" s="89" t="s">
        <v>70</v>
      </c>
      <c r="K140" s="89" t="s">
        <v>52</v>
      </c>
      <c r="L140" s="89" t="s">
        <v>331</v>
      </c>
      <c r="M140" s="89" t="s">
        <v>532</v>
      </c>
      <c r="N140" s="89" t="s">
        <v>113</v>
      </c>
      <c r="O140" s="93" t="s">
        <v>533</v>
      </c>
      <c r="P140" s="94" t="s">
        <v>57</v>
      </c>
      <c r="Q140" s="112" t="s">
        <v>58</v>
      </c>
      <c r="R140" s="95">
        <v>46128</v>
      </c>
      <c r="S140" s="96"/>
      <c r="T140" s="96" t="s">
        <v>59</v>
      </c>
      <c r="U140" s="96" t="s">
        <v>60</v>
      </c>
      <c r="V140" s="92">
        <v>46112</v>
      </c>
      <c r="W140" s="92">
        <v>46128</v>
      </c>
      <c r="X140" s="92" t="s">
        <v>61</v>
      </c>
      <c r="Y140" s="97"/>
      <c r="Z140" s="89" t="s">
        <v>62</v>
      </c>
      <c r="AA140" s="96">
        <v>46118</v>
      </c>
      <c r="AB140" s="89" t="s">
        <v>63</v>
      </c>
      <c r="AC140" s="111"/>
      <c r="AD140" s="89" t="s">
        <v>86</v>
      </c>
      <c r="AE140" s="89">
        <v>55</v>
      </c>
      <c r="AF140" s="98" t="s">
        <v>341</v>
      </c>
      <c r="AG140" s="98"/>
      <c r="AH140" s="98" t="s">
        <v>66</v>
      </c>
      <c r="AI140" s="99" t="s">
        <v>67</v>
      </c>
      <c r="AJ140" s="99" t="s">
        <v>67</v>
      </c>
      <c r="AK140" s="99" t="s">
        <v>67</v>
      </c>
      <c r="AL140" s="45" t="s">
        <v>68</v>
      </c>
      <c r="AM140" s="162" t="str">
        <f t="shared" si="16"/>
        <v>3/2026</v>
      </c>
      <c r="AN140" s="45">
        <f t="shared" si="17"/>
        <v>4</v>
      </c>
      <c r="AO140" s="45" t="str">
        <f t="shared" si="18"/>
        <v>4/2026</v>
      </c>
      <c r="AP140" s="45">
        <f t="shared" si="19"/>
        <v>3</v>
      </c>
      <c r="AQ140" s="45">
        <f t="shared" si="20"/>
        <v>24</v>
      </c>
      <c r="AR140" s="45">
        <f t="shared" si="21"/>
        <v>0</v>
      </c>
      <c r="AS140" s="45">
        <f t="shared" si="22"/>
        <v>16</v>
      </c>
      <c r="AT140" s="45">
        <f t="shared" si="23"/>
        <v>-10</v>
      </c>
      <c r="AU140" s="45" t="str">
        <f>_xlfn.XLOOKUP(U140,'Lista Suspensa'!$AA$20:$AA$23,'Lista Suspensa'!$AB$20:$AB$23,"N/A")</f>
        <v>S</v>
      </c>
    </row>
    <row r="141" spans="1:47" ht="12" customHeight="1" x14ac:dyDescent="0.3">
      <c r="A141" s="87" t="s">
        <v>47</v>
      </c>
      <c r="B141" s="88">
        <v>46104</v>
      </c>
      <c r="C141" s="89" t="s">
        <v>48</v>
      </c>
      <c r="D141" s="89" t="s">
        <v>49</v>
      </c>
      <c r="E141" s="90">
        <v>451616600</v>
      </c>
      <c r="F141" s="184" t="s">
        <v>534</v>
      </c>
      <c r="G141" s="91">
        <v>30091403804</v>
      </c>
      <c r="H141" s="92">
        <v>13211</v>
      </c>
      <c r="I141" s="89">
        <v>90</v>
      </c>
      <c r="J141" s="89" t="s">
        <v>51</v>
      </c>
      <c r="K141" s="89" t="s">
        <v>52</v>
      </c>
      <c r="L141" s="89" t="s">
        <v>53</v>
      </c>
      <c r="M141" s="89" t="s">
        <v>535</v>
      </c>
      <c r="N141" s="89" t="s">
        <v>72</v>
      </c>
      <c r="O141" s="93" t="s">
        <v>536</v>
      </c>
      <c r="P141" s="94" t="s">
        <v>57</v>
      </c>
      <c r="Q141" s="112" t="s">
        <v>58</v>
      </c>
      <c r="R141" s="95">
        <v>46112</v>
      </c>
      <c r="S141" s="96"/>
      <c r="T141" s="96" t="s">
        <v>59</v>
      </c>
      <c r="U141" s="96" t="s">
        <v>60</v>
      </c>
      <c r="V141" s="92">
        <v>46112</v>
      </c>
      <c r="W141" s="92" t="s">
        <v>61</v>
      </c>
      <c r="X141" s="92" t="s">
        <v>61</v>
      </c>
      <c r="Y141" s="97"/>
      <c r="Z141" s="89" t="s">
        <v>62</v>
      </c>
      <c r="AA141" s="96">
        <v>46114.527777777781</v>
      </c>
      <c r="AB141" s="89" t="s">
        <v>63</v>
      </c>
      <c r="AC141" s="111"/>
      <c r="AD141" s="89" t="s">
        <v>64</v>
      </c>
      <c r="AE141" s="89">
        <v>31</v>
      </c>
      <c r="AF141" s="98" t="s">
        <v>138</v>
      </c>
      <c r="AG141" s="98"/>
      <c r="AH141" s="98" t="s">
        <v>66</v>
      </c>
      <c r="AI141" s="99" t="s">
        <v>67</v>
      </c>
      <c r="AJ141" s="99" t="s">
        <v>67</v>
      </c>
      <c r="AK141" s="99" t="s">
        <v>67</v>
      </c>
      <c r="AL141" s="45" t="s">
        <v>68</v>
      </c>
      <c r="AM141" s="162" t="str">
        <f t="shared" si="16"/>
        <v>3/2026</v>
      </c>
      <c r="AN141" s="45">
        <f t="shared" si="17"/>
        <v>4</v>
      </c>
      <c r="AO141" s="45" t="str">
        <f t="shared" si="18"/>
        <v>3/2026</v>
      </c>
      <c r="AP141" s="45">
        <f t="shared" si="19"/>
        <v>5</v>
      </c>
      <c r="AQ141" s="45">
        <f t="shared" si="20"/>
        <v>8</v>
      </c>
      <c r="AR141" s="45">
        <f t="shared" si="21"/>
        <v>0</v>
      </c>
      <c r="AS141" s="45">
        <f t="shared" si="22"/>
        <v>0</v>
      </c>
      <c r="AT141" s="45">
        <f t="shared" si="23"/>
        <v>2.5277777777810115</v>
      </c>
      <c r="AU141" s="45" t="str">
        <f>_xlfn.XLOOKUP(U141,'Lista Suspensa'!$AA$20:$AA$23,'Lista Suspensa'!$AB$20:$AB$23,"N/A")</f>
        <v>S</v>
      </c>
    </row>
    <row r="142" spans="1:47" ht="12" customHeight="1" x14ac:dyDescent="0.3">
      <c r="A142" s="87" t="s">
        <v>47</v>
      </c>
      <c r="B142" s="88">
        <v>46104</v>
      </c>
      <c r="C142" s="89" t="s">
        <v>48</v>
      </c>
      <c r="D142" s="89" t="s">
        <v>49</v>
      </c>
      <c r="E142" s="90">
        <v>451603362</v>
      </c>
      <c r="F142" s="184" t="s">
        <v>537</v>
      </c>
      <c r="G142" s="91">
        <v>19187603810</v>
      </c>
      <c r="H142" s="92">
        <v>16180</v>
      </c>
      <c r="I142" s="89">
        <v>81</v>
      </c>
      <c r="J142" s="89" t="s">
        <v>70</v>
      </c>
      <c r="K142" s="89" t="s">
        <v>52</v>
      </c>
      <c r="L142" s="89" t="s">
        <v>53</v>
      </c>
      <c r="M142" s="89" t="s">
        <v>538</v>
      </c>
      <c r="N142" s="89" t="s">
        <v>72</v>
      </c>
      <c r="O142" s="93" t="s">
        <v>539</v>
      </c>
      <c r="P142" s="94" t="s">
        <v>57</v>
      </c>
      <c r="Q142" s="112" t="s">
        <v>58</v>
      </c>
      <c r="R142" s="95">
        <v>46112</v>
      </c>
      <c r="S142" s="96"/>
      <c r="T142" s="96" t="s">
        <v>59</v>
      </c>
      <c r="U142" s="96" t="s">
        <v>60</v>
      </c>
      <c r="V142" s="92">
        <v>46112</v>
      </c>
      <c r="W142" s="92" t="s">
        <v>61</v>
      </c>
      <c r="X142" s="92" t="s">
        <v>61</v>
      </c>
      <c r="Y142" s="97"/>
      <c r="Z142" s="89" t="s">
        <v>62</v>
      </c>
      <c r="AA142" s="96">
        <v>46114.513888888891</v>
      </c>
      <c r="AB142" s="89" t="s">
        <v>80</v>
      </c>
      <c r="AC142" s="111"/>
      <c r="AD142" s="89"/>
      <c r="AE142" s="89"/>
      <c r="AF142" s="98"/>
      <c r="AG142" s="98"/>
      <c r="AH142" s="98"/>
      <c r="AI142" s="99" t="s">
        <v>67</v>
      </c>
      <c r="AJ142" s="99" t="s">
        <v>67</v>
      </c>
      <c r="AK142" s="99" t="s">
        <v>67</v>
      </c>
      <c r="AL142" s="45" t="s">
        <v>68</v>
      </c>
      <c r="AM142" s="162" t="str">
        <f t="shared" si="16"/>
        <v>3/2026</v>
      </c>
      <c r="AN142" s="45">
        <f t="shared" si="17"/>
        <v>4</v>
      </c>
      <c r="AO142" s="45" t="str">
        <f t="shared" si="18"/>
        <v>3/2026</v>
      </c>
      <c r="AP142" s="45">
        <f t="shared" si="19"/>
        <v>5</v>
      </c>
      <c r="AQ142" s="45">
        <f t="shared" si="20"/>
        <v>8</v>
      </c>
      <c r="AR142" s="45">
        <f t="shared" si="21"/>
        <v>0</v>
      </c>
      <c r="AS142" s="45">
        <f t="shared" si="22"/>
        <v>0</v>
      </c>
      <c r="AT142" s="45">
        <f t="shared" si="23"/>
        <v>0</v>
      </c>
      <c r="AU142" s="45" t="str">
        <f>_xlfn.XLOOKUP(U142,'Lista Suspensa'!$AA$20:$AA$23,'Lista Suspensa'!$AB$20:$AB$23,"N/A")</f>
        <v>S</v>
      </c>
    </row>
    <row r="143" spans="1:47" ht="12" customHeight="1" x14ac:dyDescent="0.3">
      <c r="A143" s="87" t="s">
        <v>47</v>
      </c>
      <c r="B143" s="88">
        <v>46104</v>
      </c>
      <c r="C143" s="89" t="s">
        <v>48</v>
      </c>
      <c r="D143" s="89" t="s">
        <v>49</v>
      </c>
      <c r="E143" s="90">
        <v>796537585</v>
      </c>
      <c r="F143" s="184" t="s">
        <v>540</v>
      </c>
      <c r="G143" s="91">
        <v>8995235870</v>
      </c>
      <c r="H143" s="92">
        <v>22973</v>
      </c>
      <c r="I143" s="89">
        <v>63</v>
      </c>
      <c r="J143" s="89" t="s">
        <v>70</v>
      </c>
      <c r="K143" s="89" t="s">
        <v>52</v>
      </c>
      <c r="L143" s="89" t="s">
        <v>53</v>
      </c>
      <c r="M143" s="89" t="s">
        <v>541</v>
      </c>
      <c r="N143" s="89" t="s">
        <v>72</v>
      </c>
      <c r="O143" s="93" t="s">
        <v>542</v>
      </c>
      <c r="P143" s="94" t="s">
        <v>57</v>
      </c>
      <c r="Q143" s="112" t="s">
        <v>58</v>
      </c>
      <c r="R143" s="95">
        <v>46128</v>
      </c>
      <c r="S143" s="96"/>
      <c r="T143" s="96" t="s">
        <v>59</v>
      </c>
      <c r="U143" s="96" t="s">
        <v>60</v>
      </c>
      <c r="V143" s="92">
        <v>46112</v>
      </c>
      <c r="W143" s="92">
        <v>46128</v>
      </c>
      <c r="X143" s="92" t="s">
        <v>61</v>
      </c>
      <c r="Y143" s="97"/>
      <c r="Z143" s="89" t="s">
        <v>62</v>
      </c>
      <c r="AA143" s="96">
        <v>46118</v>
      </c>
      <c r="AB143" s="89" t="s">
        <v>63</v>
      </c>
      <c r="AC143" s="111" t="s">
        <v>543</v>
      </c>
      <c r="AD143" s="89"/>
      <c r="AE143" s="89"/>
      <c r="AF143" s="98"/>
      <c r="AG143" s="98"/>
      <c r="AH143" s="98"/>
      <c r="AI143" s="99" t="s">
        <v>67</v>
      </c>
      <c r="AJ143" s="99" t="s">
        <v>67</v>
      </c>
      <c r="AK143" s="99" t="s">
        <v>67</v>
      </c>
      <c r="AL143" s="45" t="s">
        <v>68</v>
      </c>
      <c r="AM143" s="162" t="str">
        <f t="shared" si="16"/>
        <v>3/2026</v>
      </c>
      <c r="AN143" s="45">
        <f t="shared" si="17"/>
        <v>4</v>
      </c>
      <c r="AO143" s="45" t="str">
        <f t="shared" si="18"/>
        <v>4/2026</v>
      </c>
      <c r="AP143" s="45">
        <f t="shared" si="19"/>
        <v>3</v>
      </c>
      <c r="AQ143" s="45">
        <f t="shared" si="20"/>
        <v>24</v>
      </c>
      <c r="AR143" s="45">
        <f t="shared" si="21"/>
        <v>0</v>
      </c>
      <c r="AS143" s="45">
        <f t="shared" si="22"/>
        <v>16</v>
      </c>
      <c r="AT143" s="45">
        <f t="shared" si="23"/>
        <v>-10</v>
      </c>
      <c r="AU143" s="45" t="str">
        <f>_xlfn.XLOOKUP(U143,'Lista Suspensa'!$AA$20:$AA$23,'Lista Suspensa'!$AB$20:$AB$23,"N/A")</f>
        <v>S</v>
      </c>
    </row>
    <row r="144" spans="1:47" ht="12" customHeight="1" x14ac:dyDescent="0.3">
      <c r="A144" s="87" t="s">
        <v>47</v>
      </c>
      <c r="B144" s="88">
        <v>46104</v>
      </c>
      <c r="C144" s="89" t="s">
        <v>48</v>
      </c>
      <c r="D144" s="89" t="s">
        <v>49</v>
      </c>
      <c r="E144" s="90">
        <v>451674480</v>
      </c>
      <c r="F144" s="184" t="s">
        <v>544</v>
      </c>
      <c r="G144" s="91">
        <v>5527885899</v>
      </c>
      <c r="H144" s="92">
        <v>20203</v>
      </c>
      <c r="I144" s="89">
        <v>70</v>
      </c>
      <c r="J144" s="89" t="s">
        <v>70</v>
      </c>
      <c r="K144" s="89" t="s">
        <v>52</v>
      </c>
      <c r="L144" s="89" t="s">
        <v>53</v>
      </c>
      <c r="M144" s="89" t="s">
        <v>545</v>
      </c>
      <c r="N144" s="89" t="s">
        <v>72</v>
      </c>
      <c r="O144" s="93" t="s">
        <v>546</v>
      </c>
      <c r="P144" s="94" t="s">
        <v>57</v>
      </c>
      <c r="Q144" s="112" t="s">
        <v>58</v>
      </c>
      <c r="R144" s="95">
        <v>46122</v>
      </c>
      <c r="S144" s="96"/>
      <c r="T144" s="96" t="s">
        <v>59</v>
      </c>
      <c r="U144" s="96" t="s">
        <v>60</v>
      </c>
      <c r="V144" s="92">
        <v>46122</v>
      </c>
      <c r="W144" s="92" t="s">
        <v>61</v>
      </c>
      <c r="X144" s="92" t="s">
        <v>61</v>
      </c>
      <c r="Y144" s="97"/>
      <c r="Z144" s="89" t="s">
        <v>62</v>
      </c>
      <c r="AA144" s="96">
        <v>46157</v>
      </c>
      <c r="AB144" s="89" t="s">
        <v>80</v>
      </c>
      <c r="AC144" s="111"/>
      <c r="AD144" s="89"/>
      <c r="AE144" s="89"/>
      <c r="AF144" s="98"/>
      <c r="AG144" s="98"/>
      <c r="AH144" s="98"/>
      <c r="AI144" s="99" t="s">
        <v>67</v>
      </c>
      <c r="AJ144" s="99" t="s">
        <v>67</v>
      </c>
      <c r="AK144" s="99" t="s">
        <v>67</v>
      </c>
      <c r="AL144" s="45" t="s">
        <v>68</v>
      </c>
      <c r="AM144" s="162" t="str">
        <f t="shared" si="16"/>
        <v>3/2026</v>
      </c>
      <c r="AN144" s="45">
        <f t="shared" si="17"/>
        <v>4</v>
      </c>
      <c r="AO144" s="45" t="str">
        <f t="shared" si="18"/>
        <v>4/2026</v>
      </c>
      <c r="AP144" s="45">
        <f t="shared" si="19"/>
        <v>2</v>
      </c>
      <c r="AQ144" s="45">
        <f t="shared" si="20"/>
        <v>18</v>
      </c>
      <c r="AR144" s="45">
        <f t="shared" si="21"/>
        <v>0</v>
      </c>
      <c r="AS144" s="45">
        <f t="shared" si="22"/>
        <v>0</v>
      </c>
      <c r="AT144" s="45">
        <f t="shared" si="23"/>
        <v>0</v>
      </c>
      <c r="AU144" s="45" t="str">
        <f>_xlfn.XLOOKUP(U144,'Lista Suspensa'!$AA$20:$AA$23,'Lista Suspensa'!$AB$20:$AB$23,"N/A")</f>
        <v>S</v>
      </c>
    </row>
    <row r="145" spans="1:47" ht="12" customHeight="1" x14ac:dyDescent="0.3">
      <c r="A145" s="87" t="s">
        <v>47</v>
      </c>
      <c r="B145" s="88">
        <v>46104</v>
      </c>
      <c r="C145" s="89" t="s">
        <v>48</v>
      </c>
      <c r="D145" s="89" t="s">
        <v>49</v>
      </c>
      <c r="E145" s="90">
        <v>451804899</v>
      </c>
      <c r="F145" s="184" t="s">
        <v>547</v>
      </c>
      <c r="G145" s="91">
        <v>27079243858</v>
      </c>
      <c r="H145" s="92">
        <v>18663</v>
      </c>
      <c r="I145" s="89">
        <v>75</v>
      </c>
      <c r="J145" s="89" t="s">
        <v>70</v>
      </c>
      <c r="K145" s="89" t="s">
        <v>52</v>
      </c>
      <c r="L145" s="89" t="s">
        <v>53</v>
      </c>
      <c r="M145" s="89" t="s">
        <v>548</v>
      </c>
      <c r="N145" s="89" t="s">
        <v>72</v>
      </c>
      <c r="O145" s="93" t="s">
        <v>549</v>
      </c>
      <c r="P145" s="94" t="s">
        <v>57</v>
      </c>
      <c r="Q145" s="112" t="s">
        <v>58</v>
      </c>
      <c r="R145" s="95">
        <v>46128</v>
      </c>
      <c r="S145" s="96"/>
      <c r="T145" s="96" t="s">
        <v>59</v>
      </c>
      <c r="U145" s="96" t="s">
        <v>60</v>
      </c>
      <c r="V145" s="92">
        <v>46122</v>
      </c>
      <c r="W145" s="92">
        <v>46128</v>
      </c>
      <c r="X145" s="92" t="s">
        <v>61</v>
      </c>
      <c r="Y145" s="97"/>
      <c r="Z145" s="89" t="s">
        <v>62</v>
      </c>
      <c r="AA145" s="96">
        <v>46129</v>
      </c>
      <c r="AB145" s="89" t="s">
        <v>80</v>
      </c>
      <c r="AC145" s="111"/>
      <c r="AD145" s="89"/>
      <c r="AE145" s="89"/>
      <c r="AF145" s="98"/>
      <c r="AG145" s="98"/>
      <c r="AH145" s="98"/>
      <c r="AI145" s="99" t="s">
        <v>67</v>
      </c>
      <c r="AJ145" s="99" t="s">
        <v>67</v>
      </c>
      <c r="AK145" s="99" t="s">
        <v>67</v>
      </c>
      <c r="AL145" s="45" t="s">
        <v>68</v>
      </c>
      <c r="AM145" s="162" t="str">
        <f t="shared" si="16"/>
        <v>3/2026</v>
      </c>
      <c r="AN145" s="45">
        <f t="shared" si="17"/>
        <v>4</v>
      </c>
      <c r="AO145" s="45" t="str">
        <f t="shared" si="18"/>
        <v>4/2026</v>
      </c>
      <c r="AP145" s="45">
        <f t="shared" si="19"/>
        <v>3</v>
      </c>
      <c r="AQ145" s="45">
        <f t="shared" si="20"/>
        <v>24</v>
      </c>
      <c r="AR145" s="45">
        <f t="shared" si="21"/>
        <v>0</v>
      </c>
      <c r="AS145" s="45">
        <f t="shared" si="22"/>
        <v>6</v>
      </c>
      <c r="AT145" s="45">
        <f t="shared" si="23"/>
        <v>0</v>
      </c>
      <c r="AU145" s="45" t="str">
        <f>_xlfn.XLOOKUP(U145,'Lista Suspensa'!$AA$20:$AA$23,'Lista Suspensa'!$AB$20:$AB$23,"N/A")</f>
        <v>S</v>
      </c>
    </row>
    <row r="146" spans="1:47" ht="12" customHeight="1" x14ac:dyDescent="0.3">
      <c r="A146" s="87" t="s">
        <v>47</v>
      </c>
      <c r="B146" s="88">
        <v>46104</v>
      </c>
      <c r="C146" s="89" t="s">
        <v>48</v>
      </c>
      <c r="D146" s="89" t="s">
        <v>49</v>
      </c>
      <c r="E146" s="90">
        <v>451780450</v>
      </c>
      <c r="F146" s="184" t="s">
        <v>550</v>
      </c>
      <c r="G146" s="91">
        <v>32191553834</v>
      </c>
      <c r="H146" s="92">
        <v>18411</v>
      </c>
      <c r="I146" s="89">
        <v>75</v>
      </c>
      <c r="J146" s="89" t="s">
        <v>51</v>
      </c>
      <c r="K146" s="89" t="s">
        <v>52</v>
      </c>
      <c r="L146" s="89" t="s">
        <v>53</v>
      </c>
      <c r="M146" s="89" t="s">
        <v>551</v>
      </c>
      <c r="N146" s="89" t="s">
        <v>72</v>
      </c>
      <c r="O146" s="93" t="s">
        <v>552</v>
      </c>
      <c r="P146" s="94" t="s">
        <v>57</v>
      </c>
      <c r="Q146" s="112" t="s">
        <v>58</v>
      </c>
      <c r="R146" s="95">
        <v>46112</v>
      </c>
      <c r="S146" s="96"/>
      <c r="T146" s="96" t="s">
        <v>59</v>
      </c>
      <c r="U146" s="96" t="s">
        <v>60</v>
      </c>
      <c r="V146" s="92">
        <v>46112</v>
      </c>
      <c r="W146" s="92" t="s">
        <v>61</v>
      </c>
      <c r="X146" s="92" t="s">
        <v>61</v>
      </c>
      <c r="Y146" s="97"/>
      <c r="Z146" s="89" t="s">
        <v>62</v>
      </c>
      <c r="AA146" s="96">
        <v>46118.472222222219</v>
      </c>
      <c r="AB146" s="89" t="s">
        <v>63</v>
      </c>
      <c r="AC146" s="111">
        <v>46119</v>
      </c>
      <c r="AD146" s="89"/>
      <c r="AE146" s="89"/>
      <c r="AF146" s="98"/>
      <c r="AG146" s="98"/>
      <c r="AH146" s="98"/>
      <c r="AI146" s="99" t="s">
        <v>67</v>
      </c>
      <c r="AJ146" s="99" t="s">
        <v>67</v>
      </c>
      <c r="AK146" s="99" t="s">
        <v>67</v>
      </c>
      <c r="AL146" s="45" t="s">
        <v>68</v>
      </c>
      <c r="AM146" s="162" t="str">
        <f t="shared" si="16"/>
        <v>3/2026</v>
      </c>
      <c r="AN146" s="45">
        <f t="shared" si="17"/>
        <v>4</v>
      </c>
      <c r="AO146" s="45" t="str">
        <f t="shared" si="18"/>
        <v>3/2026</v>
      </c>
      <c r="AP146" s="45">
        <f t="shared" si="19"/>
        <v>5</v>
      </c>
      <c r="AQ146" s="45">
        <f t="shared" si="20"/>
        <v>8</v>
      </c>
      <c r="AR146" s="45">
        <f t="shared" si="21"/>
        <v>0</v>
      </c>
      <c r="AS146" s="45">
        <f t="shared" si="22"/>
        <v>0</v>
      </c>
      <c r="AT146" s="45">
        <f t="shared" si="23"/>
        <v>6.4722222222189885</v>
      </c>
      <c r="AU146" s="45" t="str">
        <f>_xlfn.XLOOKUP(U146,'Lista Suspensa'!$AA$20:$AA$23,'Lista Suspensa'!$AB$20:$AB$23,"N/A")</f>
        <v>S</v>
      </c>
    </row>
    <row r="147" spans="1:47" ht="12" customHeight="1" x14ac:dyDescent="0.3">
      <c r="A147" s="87" t="s">
        <v>47</v>
      </c>
      <c r="B147" s="88">
        <v>46104</v>
      </c>
      <c r="C147" s="89" t="s">
        <v>48</v>
      </c>
      <c r="D147" s="89" t="s">
        <v>49</v>
      </c>
      <c r="E147" s="90">
        <v>128560118</v>
      </c>
      <c r="F147" s="184" t="s">
        <v>553</v>
      </c>
      <c r="G147" s="91">
        <v>11183870825</v>
      </c>
      <c r="H147" s="92">
        <v>13993</v>
      </c>
      <c r="I147" s="89">
        <v>87</v>
      </c>
      <c r="J147" s="89" t="s">
        <v>51</v>
      </c>
      <c r="K147" s="89" t="s">
        <v>52</v>
      </c>
      <c r="L147" s="89" t="s">
        <v>53</v>
      </c>
      <c r="M147" s="89" t="s">
        <v>554</v>
      </c>
      <c r="N147" s="89" t="s">
        <v>72</v>
      </c>
      <c r="O147" s="93" t="s">
        <v>555</v>
      </c>
      <c r="P147" s="94" t="s">
        <v>57</v>
      </c>
      <c r="Q147" s="112" t="s">
        <v>58</v>
      </c>
      <c r="R147" s="95">
        <v>46122</v>
      </c>
      <c r="S147" s="96"/>
      <c r="T147" s="96" t="s">
        <v>59</v>
      </c>
      <c r="U147" s="96" t="s">
        <v>60</v>
      </c>
      <c r="V147" s="92">
        <v>46122</v>
      </c>
      <c r="W147" s="92" t="s">
        <v>61</v>
      </c>
      <c r="X147" s="92" t="s">
        <v>61</v>
      </c>
      <c r="Y147" s="97"/>
      <c r="Z147" s="89" t="s">
        <v>62</v>
      </c>
      <c r="AA147" s="96">
        <v>46157</v>
      </c>
      <c r="AB147" s="89" t="s">
        <v>80</v>
      </c>
      <c r="AC147" s="111"/>
      <c r="AD147" s="89"/>
      <c r="AE147" s="89"/>
      <c r="AF147" s="98"/>
      <c r="AG147" s="98"/>
      <c r="AH147" s="98"/>
      <c r="AI147" s="99" t="s">
        <v>67</v>
      </c>
      <c r="AJ147" s="99" t="s">
        <v>67</v>
      </c>
      <c r="AK147" s="99" t="s">
        <v>67</v>
      </c>
      <c r="AL147" s="45" t="s">
        <v>68</v>
      </c>
      <c r="AM147" s="162" t="str">
        <f t="shared" si="16"/>
        <v>3/2026</v>
      </c>
      <c r="AN147" s="45">
        <f t="shared" si="17"/>
        <v>4</v>
      </c>
      <c r="AO147" s="45" t="str">
        <f t="shared" si="18"/>
        <v>4/2026</v>
      </c>
      <c r="AP147" s="45">
        <f t="shared" si="19"/>
        <v>2</v>
      </c>
      <c r="AQ147" s="45">
        <f t="shared" si="20"/>
        <v>18</v>
      </c>
      <c r="AR147" s="45">
        <f t="shared" si="21"/>
        <v>0</v>
      </c>
      <c r="AS147" s="45">
        <f t="shared" si="22"/>
        <v>0</v>
      </c>
      <c r="AT147" s="45">
        <f t="shared" si="23"/>
        <v>0</v>
      </c>
      <c r="AU147" s="45" t="str">
        <f>_xlfn.XLOOKUP(U147,'Lista Suspensa'!$AA$20:$AA$23,'Lista Suspensa'!$AB$20:$AB$23,"N/A")</f>
        <v>S</v>
      </c>
    </row>
    <row r="148" spans="1:47" ht="12" customHeight="1" x14ac:dyDescent="0.3">
      <c r="A148" s="87" t="s">
        <v>47</v>
      </c>
      <c r="B148" s="88">
        <v>46104</v>
      </c>
      <c r="C148" s="89" t="s">
        <v>48</v>
      </c>
      <c r="D148" s="89" t="s">
        <v>49</v>
      </c>
      <c r="E148" s="90">
        <v>422428132</v>
      </c>
      <c r="F148" s="184" t="s">
        <v>556</v>
      </c>
      <c r="G148" s="91">
        <v>32013194811</v>
      </c>
      <c r="H148" s="92">
        <v>30951</v>
      </c>
      <c r="I148" s="89">
        <v>41</v>
      </c>
      <c r="J148" s="89" t="s">
        <v>70</v>
      </c>
      <c r="K148" s="89" t="s">
        <v>52</v>
      </c>
      <c r="L148" s="89" t="s">
        <v>53</v>
      </c>
      <c r="M148" s="89" t="s">
        <v>557</v>
      </c>
      <c r="N148" s="89" t="s">
        <v>72</v>
      </c>
      <c r="O148" s="93" t="s">
        <v>558</v>
      </c>
      <c r="P148" s="94" t="s">
        <v>57</v>
      </c>
      <c r="Q148" s="112" t="s">
        <v>58</v>
      </c>
      <c r="R148" s="95">
        <v>46112</v>
      </c>
      <c r="S148" s="96"/>
      <c r="T148" s="96" t="s">
        <v>59</v>
      </c>
      <c r="U148" s="96" t="s">
        <v>60</v>
      </c>
      <c r="V148" s="92">
        <v>46112</v>
      </c>
      <c r="W148" s="92" t="s">
        <v>61</v>
      </c>
      <c r="X148" s="92" t="s">
        <v>61</v>
      </c>
      <c r="Y148" s="97"/>
      <c r="Z148" s="89" t="s">
        <v>62</v>
      </c>
      <c r="AA148" s="96">
        <v>46115.472222222219</v>
      </c>
      <c r="AB148" s="89" t="s">
        <v>63</v>
      </c>
      <c r="AC148" s="111">
        <v>46119</v>
      </c>
      <c r="AD148" s="89"/>
      <c r="AE148" s="89"/>
      <c r="AF148" s="98"/>
      <c r="AG148" s="98"/>
      <c r="AH148" s="98"/>
      <c r="AI148" s="99" t="s">
        <v>67</v>
      </c>
      <c r="AJ148" s="99" t="s">
        <v>67</v>
      </c>
      <c r="AK148" s="99" t="s">
        <v>67</v>
      </c>
      <c r="AL148" s="45" t="s">
        <v>68</v>
      </c>
      <c r="AM148" s="162" t="str">
        <f t="shared" si="16"/>
        <v>3/2026</v>
      </c>
      <c r="AN148" s="45">
        <f t="shared" si="17"/>
        <v>4</v>
      </c>
      <c r="AO148" s="45" t="str">
        <f t="shared" si="18"/>
        <v>3/2026</v>
      </c>
      <c r="AP148" s="45">
        <f t="shared" si="19"/>
        <v>5</v>
      </c>
      <c r="AQ148" s="45">
        <f t="shared" si="20"/>
        <v>8</v>
      </c>
      <c r="AR148" s="45">
        <f t="shared" si="21"/>
        <v>0</v>
      </c>
      <c r="AS148" s="45">
        <f t="shared" si="22"/>
        <v>0</v>
      </c>
      <c r="AT148" s="45">
        <f t="shared" si="23"/>
        <v>3.4722222222189885</v>
      </c>
      <c r="AU148" s="45" t="str">
        <f>_xlfn.XLOOKUP(U148,'Lista Suspensa'!$AA$20:$AA$23,'Lista Suspensa'!$AB$20:$AB$23,"N/A")</f>
        <v>S</v>
      </c>
    </row>
    <row r="149" spans="1:47" ht="12" customHeight="1" x14ac:dyDescent="0.3">
      <c r="A149" s="87" t="s">
        <v>47</v>
      </c>
      <c r="B149" s="88">
        <v>46104</v>
      </c>
      <c r="C149" s="89" t="s">
        <v>48</v>
      </c>
      <c r="D149" s="89" t="s">
        <v>49</v>
      </c>
      <c r="E149" s="90">
        <v>451728068</v>
      </c>
      <c r="F149" s="184" t="s">
        <v>559</v>
      </c>
      <c r="G149" s="91">
        <v>69450226849</v>
      </c>
      <c r="H149" s="92">
        <v>19576</v>
      </c>
      <c r="I149" s="89">
        <v>72</v>
      </c>
      <c r="J149" s="89" t="s">
        <v>51</v>
      </c>
      <c r="K149" s="89" t="s">
        <v>52</v>
      </c>
      <c r="L149" s="89" t="s">
        <v>53</v>
      </c>
      <c r="M149" s="89" t="s">
        <v>167</v>
      </c>
      <c r="N149" s="89" t="s">
        <v>72</v>
      </c>
      <c r="O149" s="93" t="s">
        <v>560</v>
      </c>
      <c r="P149" s="94" t="s">
        <v>57</v>
      </c>
      <c r="Q149" s="112" t="s">
        <v>58</v>
      </c>
      <c r="R149" s="95">
        <v>46113</v>
      </c>
      <c r="S149" s="96"/>
      <c r="T149" s="96" t="s">
        <v>59</v>
      </c>
      <c r="U149" s="96" t="s">
        <v>60</v>
      </c>
      <c r="V149" s="92">
        <v>46112</v>
      </c>
      <c r="W149" s="92" t="s">
        <v>61</v>
      </c>
      <c r="X149" s="92" t="s">
        <v>61</v>
      </c>
      <c r="Y149" s="97"/>
      <c r="Z149" s="89" t="s">
        <v>62</v>
      </c>
      <c r="AA149" s="96">
        <v>46118</v>
      </c>
      <c r="AB149" s="89" t="s">
        <v>63</v>
      </c>
      <c r="AC149" s="111" t="s">
        <v>543</v>
      </c>
      <c r="AD149" s="89"/>
      <c r="AE149" s="89"/>
      <c r="AF149" s="98"/>
      <c r="AG149" s="98"/>
      <c r="AH149" s="98"/>
      <c r="AI149" s="99" t="s">
        <v>67</v>
      </c>
      <c r="AJ149" s="99" t="s">
        <v>67</v>
      </c>
      <c r="AK149" s="99" t="s">
        <v>67</v>
      </c>
      <c r="AL149" s="45" t="s">
        <v>68</v>
      </c>
      <c r="AM149" s="162" t="str">
        <f t="shared" si="16"/>
        <v>3/2026</v>
      </c>
      <c r="AN149" s="45">
        <f t="shared" si="17"/>
        <v>4</v>
      </c>
      <c r="AO149" s="45" t="str">
        <f t="shared" si="18"/>
        <v>4/2026</v>
      </c>
      <c r="AP149" s="45">
        <f t="shared" si="19"/>
        <v>1</v>
      </c>
      <c r="AQ149" s="45">
        <f t="shared" si="20"/>
        <v>9</v>
      </c>
      <c r="AR149" s="45">
        <f t="shared" si="21"/>
        <v>0</v>
      </c>
      <c r="AS149" s="45">
        <f t="shared" si="22"/>
        <v>0</v>
      </c>
      <c r="AT149" s="45">
        <f t="shared" si="23"/>
        <v>5</v>
      </c>
      <c r="AU149" s="45" t="str">
        <f>_xlfn.XLOOKUP(U149,'Lista Suspensa'!$AA$20:$AA$23,'Lista Suspensa'!$AB$20:$AB$23,"N/A")</f>
        <v>S</v>
      </c>
    </row>
    <row r="150" spans="1:47" ht="12" customHeight="1" x14ac:dyDescent="0.3">
      <c r="A150" s="87" t="s">
        <v>47</v>
      </c>
      <c r="B150" s="88">
        <v>46104</v>
      </c>
      <c r="C150" s="89" t="s">
        <v>48</v>
      </c>
      <c r="D150" s="89" t="s">
        <v>49</v>
      </c>
      <c r="E150" s="90">
        <v>451684419</v>
      </c>
      <c r="F150" s="184" t="s">
        <v>561</v>
      </c>
      <c r="G150" s="91">
        <v>9750053834</v>
      </c>
      <c r="H150" s="92">
        <v>18358</v>
      </c>
      <c r="I150" s="89">
        <v>75</v>
      </c>
      <c r="J150" s="89" t="s">
        <v>51</v>
      </c>
      <c r="K150" s="89" t="s">
        <v>52</v>
      </c>
      <c r="L150" s="89" t="s">
        <v>53</v>
      </c>
      <c r="M150" s="89" t="s">
        <v>562</v>
      </c>
      <c r="N150" s="89" t="s">
        <v>72</v>
      </c>
      <c r="O150" s="93" t="s">
        <v>563</v>
      </c>
      <c r="P150" s="94" t="s">
        <v>57</v>
      </c>
      <c r="Q150" s="112" t="s">
        <v>58</v>
      </c>
      <c r="R150" s="95">
        <v>46128</v>
      </c>
      <c r="S150" s="96"/>
      <c r="T150" s="96" t="s">
        <v>59</v>
      </c>
      <c r="U150" s="96" t="s">
        <v>60</v>
      </c>
      <c r="V150" s="92">
        <v>46122</v>
      </c>
      <c r="W150" s="92">
        <v>46128</v>
      </c>
      <c r="X150" s="92" t="s">
        <v>61</v>
      </c>
      <c r="Y150" s="97"/>
      <c r="Z150" s="89" t="s">
        <v>62</v>
      </c>
      <c r="AA150" s="96">
        <v>46128</v>
      </c>
      <c r="AB150" s="89" t="s">
        <v>80</v>
      </c>
      <c r="AC150" s="111"/>
      <c r="AD150" s="89"/>
      <c r="AE150" s="89"/>
      <c r="AF150" s="98"/>
      <c r="AG150" s="98"/>
      <c r="AH150" s="98"/>
      <c r="AI150" s="99" t="s">
        <v>67</v>
      </c>
      <c r="AJ150" s="99" t="s">
        <v>67</v>
      </c>
      <c r="AK150" s="99" t="s">
        <v>67</v>
      </c>
      <c r="AL150" s="45" t="s">
        <v>68</v>
      </c>
      <c r="AM150" s="162" t="str">
        <f t="shared" si="16"/>
        <v>3/2026</v>
      </c>
      <c r="AN150" s="45">
        <f t="shared" si="17"/>
        <v>4</v>
      </c>
      <c r="AO150" s="45" t="str">
        <f t="shared" si="18"/>
        <v>4/2026</v>
      </c>
      <c r="AP150" s="45">
        <f t="shared" si="19"/>
        <v>3</v>
      </c>
      <c r="AQ150" s="45">
        <f t="shared" si="20"/>
        <v>24</v>
      </c>
      <c r="AR150" s="45">
        <f t="shared" si="21"/>
        <v>0</v>
      </c>
      <c r="AS150" s="45">
        <f t="shared" si="22"/>
        <v>6</v>
      </c>
      <c r="AT150" s="45">
        <f t="shared" si="23"/>
        <v>0</v>
      </c>
      <c r="AU150" s="45" t="str">
        <f>_xlfn.XLOOKUP(U150,'Lista Suspensa'!$AA$20:$AA$23,'Lista Suspensa'!$AB$20:$AB$23,"N/A")</f>
        <v>S</v>
      </c>
    </row>
    <row r="151" spans="1:47" ht="12" customHeight="1" x14ac:dyDescent="0.3">
      <c r="A151" s="87" t="s">
        <v>47</v>
      </c>
      <c r="B151" s="88">
        <v>46104</v>
      </c>
      <c r="C151" s="89" t="s">
        <v>48</v>
      </c>
      <c r="D151" s="89" t="s">
        <v>49</v>
      </c>
      <c r="E151" s="90">
        <v>451753690</v>
      </c>
      <c r="F151" s="184" t="s">
        <v>564</v>
      </c>
      <c r="G151" s="91">
        <v>7527386827</v>
      </c>
      <c r="H151" s="92">
        <v>17924</v>
      </c>
      <c r="I151" s="89">
        <v>77</v>
      </c>
      <c r="J151" s="89" t="s">
        <v>51</v>
      </c>
      <c r="K151" s="89" t="s">
        <v>52</v>
      </c>
      <c r="L151" s="89" t="s">
        <v>53</v>
      </c>
      <c r="M151" s="89" t="s">
        <v>565</v>
      </c>
      <c r="N151" s="89" t="s">
        <v>72</v>
      </c>
      <c r="O151" s="93" t="s">
        <v>566</v>
      </c>
      <c r="P151" s="94" t="s">
        <v>57</v>
      </c>
      <c r="Q151" s="112" t="s">
        <v>58</v>
      </c>
      <c r="R151" s="95">
        <v>46122</v>
      </c>
      <c r="S151" s="96"/>
      <c r="T151" s="96" t="s">
        <v>59</v>
      </c>
      <c r="U151" s="96" t="s">
        <v>60</v>
      </c>
      <c r="V151" s="92">
        <v>46122</v>
      </c>
      <c r="W151" s="92" t="s">
        <v>61</v>
      </c>
      <c r="X151" s="92" t="s">
        <v>61</v>
      </c>
      <c r="Y151" s="97"/>
      <c r="Z151" s="89" t="s">
        <v>62</v>
      </c>
      <c r="AA151" s="96">
        <v>46118</v>
      </c>
      <c r="AB151" s="89" t="s">
        <v>80</v>
      </c>
      <c r="AC151" s="111"/>
      <c r="AD151" s="89"/>
      <c r="AE151" s="89"/>
      <c r="AF151" s="98"/>
      <c r="AG151" s="98"/>
      <c r="AH151" s="98"/>
      <c r="AI151" s="99" t="s">
        <v>67</v>
      </c>
      <c r="AJ151" s="99" t="s">
        <v>67</v>
      </c>
      <c r="AK151" s="99" t="s">
        <v>67</v>
      </c>
      <c r="AL151" s="45" t="s">
        <v>68</v>
      </c>
      <c r="AM151" s="162" t="str">
        <f t="shared" si="16"/>
        <v>3/2026</v>
      </c>
      <c r="AN151" s="45">
        <f t="shared" si="17"/>
        <v>4</v>
      </c>
      <c r="AO151" s="45" t="str">
        <f t="shared" si="18"/>
        <v>4/2026</v>
      </c>
      <c r="AP151" s="45">
        <f t="shared" si="19"/>
        <v>2</v>
      </c>
      <c r="AQ151" s="45">
        <f t="shared" si="20"/>
        <v>18</v>
      </c>
      <c r="AR151" s="45">
        <f t="shared" si="21"/>
        <v>0</v>
      </c>
      <c r="AS151" s="45">
        <f t="shared" si="22"/>
        <v>0</v>
      </c>
      <c r="AT151" s="45">
        <f t="shared" si="23"/>
        <v>0</v>
      </c>
      <c r="AU151" s="45" t="str">
        <f>_xlfn.XLOOKUP(U151,'Lista Suspensa'!$AA$20:$AA$23,'Lista Suspensa'!$AB$20:$AB$23,"N/A")</f>
        <v>S</v>
      </c>
    </row>
    <row r="152" spans="1:47" ht="12" customHeight="1" x14ac:dyDescent="0.3">
      <c r="A152" s="87" t="s">
        <v>47</v>
      </c>
      <c r="B152" s="88">
        <v>46104</v>
      </c>
      <c r="C152" s="89" t="s">
        <v>48</v>
      </c>
      <c r="D152" s="89" t="s">
        <v>49</v>
      </c>
      <c r="E152" s="90">
        <v>92751038</v>
      </c>
      <c r="F152" s="184" t="s">
        <v>567</v>
      </c>
      <c r="G152" s="91">
        <v>11071488716</v>
      </c>
      <c r="H152" s="92">
        <v>31679</v>
      </c>
      <c r="I152" s="89">
        <v>39</v>
      </c>
      <c r="J152" s="89" t="s">
        <v>70</v>
      </c>
      <c r="K152" s="89" t="s">
        <v>88</v>
      </c>
      <c r="L152" s="89" t="s">
        <v>89</v>
      </c>
      <c r="M152" s="89" t="s">
        <v>112</v>
      </c>
      <c r="N152" s="89" t="s">
        <v>121</v>
      </c>
      <c r="O152" s="93" t="s">
        <v>568</v>
      </c>
      <c r="P152" s="94" t="s">
        <v>57</v>
      </c>
      <c r="Q152" s="112" t="s">
        <v>58</v>
      </c>
      <c r="R152" s="95">
        <v>46128</v>
      </c>
      <c r="S152" s="96"/>
      <c r="T152" s="96" t="s">
        <v>59</v>
      </c>
      <c r="U152" s="96" t="s">
        <v>60</v>
      </c>
      <c r="V152" s="92">
        <v>46122</v>
      </c>
      <c r="W152" s="92">
        <v>46128</v>
      </c>
      <c r="X152" s="92" t="s">
        <v>61</v>
      </c>
      <c r="Y152" s="97"/>
      <c r="Z152" s="89" t="s">
        <v>62</v>
      </c>
      <c r="AA152" s="96">
        <v>46128</v>
      </c>
      <c r="AB152" s="89" t="s">
        <v>80</v>
      </c>
      <c r="AC152" s="111"/>
      <c r="AD152" s="89"/>
      <c r="AE152" s="89"/>
      <c r="AF152" s="98"/>
      <c r="AG152" s="98"/>
      <c r="AH152" s="98"/>
      <c r="AI152" s="99" t="s">
        <v>67</v>
      </c>
      <c r="AJ152" s="99" t="s">
        <v>67</v>
      </c>
      <c r="AK152" s="99" t="s">
        <v>67</v>
      </c>
      <c r="AL152" s="45" t="s">
        <v>68</v>
      </c>
      <c r="AM152" s="162" t="str">
        <f t="shared" si="16"/>
        <v>3/2026</v>
      </c>
      <c r="AN152" s="45">
        <f t="shared" si="17"/>
        <v>4</v>
      </c>
      <c r="AO152" s="45" t="str">
        <f t="shared" si="18"/>
        <v>4/2026</v>
      </c>
      <c r="AP152" s="45">
        <f t="shared" si="19"/>
        <v>3</v>
      </c>
      <c r="AQ152" s="45">
        <f t="shared" si="20"/>
        <v>24</v>
      </c>
      <c r="AR152" s="45">
        <f t="shared" si="21"/>
        <v>0</v>
      </c>
      <c r="AS152" s="45">
        <f t="shared" si="22"/>
        <v>6</v>
      </c>
      <c r="AT152" s="45">
        <f t="shared" si="23"/>
        <v>0</v>
      </c>
      <c r="AU152" s="45" t="str">
        <f>_xlfn.XLOOKUP(U152,'Lista Suspensa'!$AA$20:$AA$23,'Lista Suspensa'!$AB$20:$AB$23,"N/A")</f>
        <v>S</v>
      </c>
    </row>
    <row r="153" spans="1:47" ht="12" customHeight="1" x14ac:dyDescent="0.3">
      <c r="A153" s="87" t="s">
        <v>47</v>
      </c>
      <c r="B153" s="88">
        <v>46104</v>
      </c>
      <c r="C153" s="89" t="s">
        <v>48</v>
      </c>
      <c r="D153" s="89" t="s">
        <v>49</v>
      </c>
      <c r="E153" s="90">
        <v>84929182</v>
      </c>
      <c r="F153" s="184" t="s">
        <v>569</v>
      </c>
      <c r="G153" s="91">
        <v>56359918820</v>
      </c>
      <c r="H153" s="92">
        <v>15956</v>
      </c>
      <c r="I153" s="89">
        <v>82</v>
      </c>
      <c r="J153" s="89" t="s">
        <v>70</v>
      </c>
      <c r="K153" s="89" t="s">
        <v>52</v>
      </c>
      <c r="L153" s="89" t="s">
        <v>53</v>
      </c>
      <c r="M153" s="89" t="s">
        <v>570</v>
      </c>
      <c r="N153" s="89" t="s">
        <v>121</v>
      </c>
      <c r="O153" s="93" t="s">
        <v>571</v>
      </c>
      <c r="P153" s="94" t="s">
        <v>57</v>
      </c>
      <c r="Q153" s="112" t="s">
        <v>58</v>
      </c>
      <c r="R153" s="95">
        <v>46128</v>
      </c>
      <c r="S153" s="96"/>
      <c r="T153" s="96" t="s">
        <v>59</v>
      </c>
      <c r="U153" s="96" t="s">
        <v>60</v>
      </c>
      <c r="V153" s="92">
        <v>46122</v>
      </c>
      <c r="W153" s="92">
        <v>46128</v>
      </c>
      <c r="X153" s="92" t="s">
        <v>61</v>
      </c>
      <c r="Y153" s="97"/>
      <c r="Z153" s="89" t="s">
        <v>62</v>
      </c>
      <c r="AA153" s="96">
        <v>46128</v>
      </c>
      <c r="AB153" s="89" t="s">
        <v>63</v>
      </c>
      <c r="AC153" s="111"/>
      <c r="AD153" s="89"/>
      <c r="AE153" s="89"/>
      <c r="AF153" s="98"/>
      <c r="AG153" s="98"/>
      <c r="AH153" s="98"/>
      <c r="AI153" s="99" t="s">
        <v>67</v>
      </c>
      <c r="AJ153" s="99" t="s">
        <v>67</v>
      </c>
      <c r="AK153" s="99" t="s">
        <v>67</v>
      </c>
      <c r="AL153" s="45" t="s">
        <v>68</v>
      </c>
      <c r="AM153" s="162" t="str">
        <f t="shared" si="16"/>
        <v>3/2026</v>
      </c>
      <c r="AN153" s="45">
        <f t="shared" si="17"/>
        <v>4</v>
      </c>
      <c r="AO153" s="45" t="str">
        <f t="shared" si="18"/>
        <v>4/2026</v>
      </c>
      <c r="AP153" s="45">
        <f t="shared" si="19"/>
        <v>3</v>
      </c>
      <c r="AQ153" s="45">
        <f t="shared" si="20"/>
        <v>24</v>
      </c>
      <c r="AR153" s="45">
        <f t="shared" si="21"/>
        <v>0</v>
      </c>
      <c r="AS153" s="45">
        <f t="shared" si="22"/>
        <v>6</v>
      </c>
      <c r="AT153" s="45">
        <f t="shared" si="23"/>
        <v>0</v>
      </c>
      <c r="AU153" s="45" t="str">
        <f>_xlfn.XLOOKUP(U153,'Lista Suspensa'!$AA$20:$AA$23,'Lista Suspensa'!$AB$20:$AB$23,"N/A")</f>
        <v>S</v>
      </c>
    </row>
    <row r="154" spans="1:47" ht="12" customHeight="1" x14ac:dyDescent="0.3">
      <c r="A154" s="87" t="s">
        <v>47</v>
      </c>
      <c r="B154" s="88">
        <v>46104</v>
      </c>
      <c r="C154" s="89" t="s">
        <v>48</v>
      </c>
      <c r="D154" s="89" t="s">
        <v>49</v>
      </c>
      <c r="E154" s="90">
        <v>93549611</v>
      </c>
      <c r="F154" s="184" t="s">
        <v>572</v>
      </c>
      <c r="G154" s="91">
        <v>19340230868</v>
      </c>
      <c r="H154" s="92">
        <v>18552</v>
      </c>
      <c r="I154" s="89">
        <v>75</v>
      </c>
      <c r="J154" s="89" t="s">
        <v>51</v>
      </c>
      <c r="K154" s="89" t="s">
        <v>52</v>
      </c>
      <c r="L154" s="89" t="s">
        <v>53</v>
      </c>
      <c r="M154" s="89" t="s">
        <v>573</v>
      </c>
      <c r="N154" s="89" t="s">
        <v>121</v>
      </c>
      <c r="O154" s="93" t="s">
        <v>574</v>
      </c>
      <c r="P154" s="94" t="s">
        <v>57</v>
      </c>
      <c r="Q154" s="112" t="s">
        <v>58</v>
      </c>
      <c r="R154" s="95">
        <v>46112</v>
      </c>
      <c r="S154" s="96"/>
      <c r="T154" s="96" t="s">
        <v>59</v>
      </c>
      <c r="U154" s="96" t="s">
        <v>60</v>
      </c>
      <c r="V154" s="92">
        <v>46112</v>
      </c>
      <c r="W154" s="92" t="s">
        <v>61</v>
      </c>
      <c r="X154" s="92" t="s">
        <v>61</v>
      </c>
      <c r="Y154" s="97"/>
      <c r="Z154" s="89" t="s">
        <v>62</v>
      </c>
      <c r="AA154" s="96">
        <v>46114.402777777781</v>
      </c>
      <c r="AB154" s="89" t="s">
        <v>80</v>
      </c>
      <c r="AC154" s="111"/>
      <c r="AD154" s="89"/>
      <c r="AE154" s="89"/>
      <c r="AF154" s="98"/>
      <c r="AG154" s="98"/>
      <c r="AH154" s="98"/>
      <c r="AI154" s="99" t="s">
        <v>67</v>
      </c>
      <c r="AJ154" s="99" t="s">
        <v>67</v>
      </c>
      <c r="AK154" s="99" t="s">
        <v>67</v>
      </c>
      <c r="AL154" s="45" t="s">
        <v>68</v>
      </c>
      <c r="AM154" s="162" t="str">
        <f t="shared" si="16"/>
        <v>3/2026</v>
      </c>
      <c r="AN154" s="45">
        <f t="shared" si="17"/>
        <v>4</v>
      </c>
      <c r="AO154" s="45" t="str">
        <f t="shared" si="18"/>
        <v>3/2026</v>
      </c>
      <c r="AP154" s="45">
        <f t="shared" si="19"/>
        <v>5</v>
      </c>
      <c r="AQ154" s="45">
        <f t="shared" si="20"/>
        <v>8</v>
      </c>
      <c r="AR154" s="45">
        <f t="shared" si="21"/>
        <v>0</v>
      </c>
      <c r="AS154" s="45">
        <f t="shared" si="22"/>
        <v>0</v>
      </c>
      <c r="AT154" s="45">
        <f t="shared" si="23"/>
        <v>0</v>
      </c>
      <c r="AU154" s="45" t="str">
        <f>_xlfn.XLOOKUP(U154,'Lista Suspensa'!$AA$20:$AA$23,'Lista Suspensa'!$AB$20:$AB$23,"N/A")</f>
        <v>S</v>
      </c>
    </row>
    <row r="155" spans="1:47" ht="12" customHeight="1" x14ac:dyDescent="0.3">
      <c r="A155" s="87" t="s">
        <v>47</v>
      </c>
      <c r="B155" s="88">
        <v>46104</v>
      </c>
      <c r="C155" s="89" t="s">
        <v>48</v>
      </c>
      <c r="D155" s="89" t="s">
        <v>49</v>
      </c>
      <c r="E155" s="90">
        <v>73313330</v>
      </c>
      <c r="F155" s="184" t="s">
        <v>575</v>
      </c>
      <c r="G155" s="91">
        <v>39262952791</v>
      </c>
      <c r="H155" s="92">
        <v>19365</v>
      </c>
      <c r="I155" s="89">
        <v>73</v>
      </c>
      <c r="J155" s="89" t="s">
        <v>51</v>
      </c>
      <c r="K155" s="89" t="s">
        <v>88</v>
      </c>
      <c r="L155" s="89" t="s">
        <v>97</v>
      </c>
      <c r="M155" s="89" t="s">
        <v>240</v>
      </c>
      <c r="N155" s="89" t="s">
        <v>130</v>
      </c>
      <c r="O155" s="93" t="s">
        <v>576</v>
      </c>
      <c r="P155" s="94" t="s">
        <v>57</v>
      </c>
      <c r="Q155" s="112" t="s">
        <v>58</v>
      </c>
      <c r="R155" s="95">
        <v>46128</v>
      </c>
      <c r="S155" s="96"/>
      <c r="T155" s="96" t="s">
        <v>59</v>
      </c>
      <c r="U155" s="96" t="s">
        <v>60</v>
      </c>
      <c r="V155" s="92">
        <v>46122</v>
      </c>
      <c r="W155" s="92">
        <v>46128</v>
      </c>
      <c r="X155" s="92" t="s">
        <v>61</v>
      </c>
      <c r="Y155" s="97"/>
      <c r="Z155" s="89" t="s">
        <v>62</v>
      </c>
      <c r="AA155" s="96">
        <v>46126</v>
      </c>
      <c r="AB155" s="89" t="s">
        <v>63</v>
      </c>
      <c r="AC155" s="111"/>
      <c r="AD155" s="89"/>
      <c r="AE155" s="89"/>
      <c r="AF155" s="98"/>
      <c r="AG155" s="98"/>
      <c r="AH155" s="98"/>
      <c r="AI155" s="99" t="s">
        <v>67</v>
      </c>
      <c r="AJ155" s="99" t="s">
        <v>67</v>
      </c>
      <c r="AK155" s="99" t="s">
        <v>67</v>
      </c>
      <c r="AL155" s="45" t="s">
        <v>68</v>
      </c>
      <c r="AM155" s="162" t="str">
        <f t="shared" si="16"/>
        <v>3/2026</v>
      </c>
      <c r="AN155" s="45">
        <f t="shared" si="17"/>
        <v>4</v>
      </c>
      <c r="AO155" s="45" t="str">
        <f t="shared" si="18"/>
        <v>4/2026</v>
      </c>
      <c r="AP155" s="45">
        <f t="shared" si="19"/>
        <v>3</v>
      </c>
      <c r="AQ155" s="45">
        <f t="shared" si="20"/>
        <v>24</v>
      </c>
      <c r="AR155" s="45">
        <f t="shared" si="21"/>
        <v>0</v>
      </c>
      <c r="AS155" s="45">
        <f t="shared" si="22"/>
        <v>6</v>
      </c>
      <c r="AT155" s="45">
        <f t="shared" si="23"/>
        <v>-2</v>
      </c>
      <c r="AU155" s="45" t="str">
        <f>_xlfn.XLOOKUP(U155,'Lista Suspensa'!$AA$20:$AA$23,'Lista Suspensa'!$AB$20:$AB$23,"N/A")</f>
        <v>S</v>
      </c>
    </row>
    <row r="156" spans="1:47" ht="12" customHeight="1" x14ac:dyDescent="0.3">
      <c r="A156" s="87" t="s">
        <v>47</v>
      </c>
      <c r="B156" s="88">
        <v>46104</v>
      </c>
      <c r="C156" s="89" t="s">
        <v>48</v>
      </c>
      <c r="D156" s="89" t="s">
        <v>49</v>
      </c>
      <c r="E156" s="90">
        <v>594267129</v>
      </c>
      <c r="F156" s="184" t="s">
        <v>577</v>
      </c>
      <c r="G156" s="91">
        <v>5067134828</v>
      </c>
      <c r="H156" s="92">
        <v>21679</v>
      </c>
      <c r="I156" s="89">
        <v>66</v>
      </c>
      <c r="J156" s="89" t="s">
        <v>51</v>
      </c>
      <c r="K156" s="89" t="s">
        <v>52</v>
      </c>
      <c r="L156" s="89" t="s">
        <v>53</v>
      </c>
      <c r="M156" s="89" t="s">
        <v>217</v>
      </c>
      <c r="N156" s="89" t="s">
        <v>130</v>
      </c>
      <c r="O156" s="93" t="s">
        <v>578</v>
      </c>
      <c r="P156" s="94" t="s">
        <v>57</v>
      </c>
      <c r="Q156" s="112" t="s">
        <v>58</v>
      </c>
      <c r="R156" s="95">
        <v>46112</v>
      </c>
      <c r="S156" s="96"/>
      <c r="T156" s="96" t="s">
        <v>59</v>
      </c>
      <c r="U156" s="96" t="s">
        <v>60</v>
      </c>
      <c r="V156" s="92">
        <v>46112</v>
      </c>
      <c r="W156" s="92" t="s">
        <v>61</v>
      </c>
      <c r="X156" s="92" t="s">
        <v>61</v>
      </c>
      <c r="Y156" s="97"/>
      <c r="Z156" s="89" t="s">
        <v>62</v>
      </c>
      <c r="AA156" s="96">
        <v>46113.527777314812</v>
      </c>
      <c r="AB156" s="89" t="s">
        <v>80</v>
      </c>
      <c r="AC156" s="111"/>
      <c r="AD156" s="89"/>
      <c r="AE156" s="89"/>
      <c r="AF156" s="98"/>
      <c r="AG156" s="98"/>
      <c r="AH156" s="98"/>
      <c r="AI156" s="99" t="s">
        <v>67</v>
      </c>
      <c r="AJ156" s="99" t="s">
        <v>67</v>
      </c>
      <c r="AK156" s="99" t="s">
        <v>67</v>
      </c>
      <c r="AL156" s="45" t="s">
        <v>68</v>
      </c>
      <c r="AM156" s="162" t="str">
        <f t="shared" si="16"/>
        <v>3/2026</v>
      </c>
      <c r="AN156" s="45">
        <f t="shared" si="17"/>
        <v>4</v>
      </c>
      <c r="AO156" s="45" t="str">
        <f t="shared" si="18"/>
        <v>3/2026</v>
      </c>
      <c r="AP156" s="45">
        <f t="shared" si="19"/>
        <v>5</v>
      </c>
      <c r="AQ156" s="45">
        <f t="shared" si="20"/>
        <v>8</v>
      </c>
      <c r="AR156" s="45">
        <f t="shared" si="21"/>
        <v>0</v>
      </c>
      <c r="AS156" s="45">
        <f t="shared" si="22"/>
        <v>0</v>
      </c>
      <c r="AT156" s="45">
        <f t="shared" si="23"/>
        <v>0</v>
      </c>
      <c r="AU156" s="45" t="str">
        <f>_xlfn.XLOOKUP(U156,'Lista Suspensa'!$AA$20:$AA$23,'Lista Suspensa'!$AB$20:$AB$23,"N/A")</f>
        <v>S</v>
      </c>
    </row>
    <row r="157" spans="1:47" ht="12" customHeight="1" x14ac:dyDescent="0.3">
      <c r="A157" s="87" t="s">
        <v>47</v>
      </c>
      <c r="B157" s="88">
        <v>46104</v>
      </c>
      <c r="C157" s="89" t="s">
        <v>48</v>
      </c>
      <c r="D157" s="89" t="s">
        <v>49</v>
      </c>
      <c r="E157" s="90">
        <v>86313901</v>
      </c>
      <c r="F157" s="184" t="s">
        <v>579</v>
      </c>
      <c r="G157" s="91">
        <v>26825495860</v>
      </c>
      <c r="H157" s="92">
        <v>28484</v>
      </c>
      <c r="I157" s="89">
        <v>48</v>
      </c>
      <c r="J157" s="89" t="s">
        <v>51</v>
      </c>
      <c r="K157" s="89" t="s">
        <v>88</v>
      </c>
      <c r="L157" s="89" t="s">
        <v>89</v>
      </c>
      <c r="M157" s="89" t="s">
        <v>580</v>
      </c>
      <c r="N157" s="89" t="s">
        <v>130</v>
      </c>
      <c r="O157" s="93" t="s">
        <v>581</v>
      </c>
      <c r="P157" s="94" t="s">
        <v>57</v>
      </c>
      <c r="Q157" s="112" t="s">
        <v>58</v>
      </c>
      <c r="R157" s="95">
        <v>46128</v>
      </c>
      <c r="S157" s="96"/>
      <c r="T157" s="96" t="s">
        <v>59</v>
      </c>
      <c r="U157" s="96" t="s">
        <v>60</v>
      </c>
      <c r="V157" s="92">
        <v>46122</v>
      </c>
      <c r="W157" s="92">
        <v>46128</v>
      </c>
      <c r="X157" s="92" t="s">
        <v>61</v>
      </c>
      <c r="Y157" s="97"/>
      <c r="Z157" s="89" t="s">
        <v>62</v>
      </c>
      <c r="AA157" s="96">
        <v>46128</v>
      </c>
      <c r="AB157" s="89" t="s">
        <v>80</v>
      </c>
      <c r="AC157" s="111"/>
      <c r="AD157" s="89"/>
      <c r="AE157" s="89"/>
      <c r="AF157" s="98"/>
      <c r="AG157" s="98"/>
      <c r="AH157" s="98"/>
      <c r="AI157" s="99" t="s">
        <v>67</v>
      </c>
      <c r="AJ157" s="99" t="s">
        <v>67</v>
      </c>
      <c r="AK157" s="99" t="s">
        <v>67</v>
      </c>
      <c r="AL157" s="45" t="s">
        <v>68</v>
      </c>
      <c r="AM157" s="162" t="str">
        <f t="shared" si="16"/>
        <v>3/2026</v>
      </c>
      <c r="AN157" s="45">
        <f t="shared" si="17"/>
        <v>4</v>
      </c>
      <c r="AO157" s="45" t="str">
        <f t="shared" si="18"/>
        <v>4/2026</v>
      </c>
      <c r="AP157" s="45">
        <f t="shared" si="19"/>
        <v>3</v>
      </c>
      <c r="AQ157" s="45">
        <f t="shared" si="20"/>
        <v>24</v>
      </c>
      <c r="AR157" s="45">
        <f t="shared" si="21"/>
        <v>0</v>
      </c>
      <c r="AS157" s="45">
        <f t="shared" si="22"/>
        <v>6</v>
      </c>
      <c r="AT157" s="45">
        <f t="shared" si="23"/>
        <v>0</v>
      </c>
      <c r="AU157" s="45" t="str">
        <f>_xlfn.XLOOKUP(U157,'Lista Suspensa'!$AA$20:$AA$23,'Lista Suspensa'!$AB$20:$AB$23,"N/A")</f>
        <v>S</v>
      </c>
    </row>
    <row r="158" spans="1:47" ht="12" customHeight="1" x14ac:dyDescent="0.3">
      <c r="A158" s="87" t="s">
        <v>47</v>
      </c>
      <c r="B158" s="88">
        <v>46104</v>
      </c>
      <c r="C158" s="89" t="s">
        <v>48</v>
      </c>
      <c r="D158" s="89" t="s">
        <v>49</v>
      </c>
      <c r="E158" s="90">
        <v>85769383</v>
      </c>
      <c r="F158" s="184" t="s">
        <v>582</v>
      </c>
      <c r="G158" s="91">
        <v>76984826772</v>
      </c>
      <c r="H158" s="92">
        <v>23332</v>
      </c>
      <c r="I158" s="89">
        <v>62</v>
      </c>
      <c r="J158" s="89" t="s">
        <v>51</v>
      </c>
      <c r="K158" s="89" t="s">
        <v>88</v>
      </c>
      <c r="L158" s="89" t="s">
        <v>89</v>
      </c>
      <c r="M158" s="89" t="s">
        <v>246</v>
      </c>
      <c r="N158" s="89" t="s">
        <v>130</v>
      </c>
      <c r="O158" s="93" t="s">
        <v>583</v>
      </c>
      <c r="P158" s="94" t="s">
        <v>57</v>
      </c>
      <c r="Q158" s="112" t="s">
        <v>58</v>
      </c>
      <c r="R158" s="95">
        <v>46112</v>
      </c>
      <c r="S158" s="96"/>
      <c r="T158" s="96" t="s">
        <v>59</v>
      </c>
      <c r="U158" s="96" t="s">
        <v>60</v>
      </c>
      <c r="V158" s="92">
        <v>46112</v>
      </c>
      <c r="W158" s="92" t="s">
        <v>61</v>
      </c>
      <c r="X158" s="92" t="s">
        <v>61</v>
      </c>
      <c r="Y158" s="97"/>
      <c r="Z158" s="89" t="s">
        <v>62</v>
      </c>
      <c r="AA158" s="96">
        <v>46114.486111111109</v>
      </c>
      <c r="AB158" s="89" t="s">
        <v>63</v>
      </c>
      <c r="AC158" s="111"/>
      <c r="AD158" s="89" t="s">
        <v>64</v>
      </c>
      <c r="AE158" s="89">
        <v>55</v>
      </c>
      <c r="AF158" s="98" t="s">
        <v>126</v>
      </c>
      <c r="AG158" s="98"/>
      <c r="AH158" s="98" t="s">
        <v>66</v>
      </c>
      <c r="AI158" s="99" t="s">
        <v>67</v>
      </c>
      <c r="AJ158" s="99" t="s">
        <v>67</v>
      </c>
      <c r="AK158" s="99" t="s">
        <v>67</v>
      </c>
      <c r="AL158" s="45" t="s">
        <v>68</v>
      </c>
      <c r="AM158" s="162" t="str">
        <f t="shared" si="16"/>
        <v>3/2026</v>
      </c>
      <c r="AN158" s="45">
        <f t="shared" si="17"/>
        <v>4</v>
      </c>
      <c r="AO158" s="45" t="str">
        <f t="shared" si="18"/>
        <v>3/2026</v>
      </c>
      <c r="AP158" s="45">
        <f t="shared" si="19"/>
        <v>5</v>
      </c>
      <c r="AQ158" s="45">
        <f t="shared" si="20"/>
        <v>8</v>
      </c>
      <c r="AR158" s="45">
        <f t="shared" si="21"/>
        <v>0</v>
      </c>
      <c r="AS158" s="45">
        <f t="shared" si="22"/>
        <v>0</v>
      </c>
      <c r="AT158" s="45">
        <f t="shared" si="23"/>
        <v>2.4861111111094942</v>
      </c>
      <c r="AU158" s="45" t="str">
        <f>_xlfn.XLOOKUP(U158,'Lista Suspensa'!$AA$20:$AA$23,'Lista Suspensa'!$AB$20:$AB$23,"N/A")</f>
        <v>S</v>
      </c>
    </row>
    <row r="159" spans="1:47" ht="12" customHeight="1" x14ac:dyDescent="0.3">
      <c r="A159" s="87" t="s">
        <v>47</v>
      </c>
      <c r="B159" s="88">
        <v>46104</v>
      </c>
      <c r="C159" s="89" t="s">
        <v>48</v>
      </c>
      <c r="D159" s="89" t="s">
        <v>49</v>
      </c>
      <c r="E159" s="90">
        <v>73272048</v>
      </c>
      <c r="F159" s="184" t="s">
        <v>584</v>
      </c>
      <c r="G159" s="91">
        <v>17482814884</v>
      </c>
      <c r="H159" s="92">
        <v>25146</v>
      </c>
      <c r="I159" s="89">
        <v>57</v>
      </c>
      <c r="J159" s="89" t="s">
        <v>51</v>
      </c>
      <c r="K159" s="89" t="s">
        <v>52</v>
      </c>
      <c r="L159" s="89" t="s">
        <v>53</v>
      </c>
      <c r="M159" s="89" t="s">
        <v>585</v>
      </c>
      <c r="N159" s="89" t="s">
        <v>130</v>
      </c>
      <c r="O159" s="93" t="s">
        <v>586</v>
      </c>
      <c r="P159" s="94" t="s">
        <v>57</v>
      </c>
      <c r="Q159" s="112" t="s">
        <v>58</v>
      </c>
      <c r="R159" s="95">
        <v>46112</v>
      </c>
      <c r="S159" s="96"/>
      <c r="T159" s="96" t="s">
        <v>59</v>
      </c>
      <c r="U159" s="96" t="s">
        <v>60</v>
      </c>
      <c r="V159" s="92">
        <v>46112</v>
      </c>
      <c r="W159" s="92" t="s">
        <v>61</v>
      </c>
      <c r="X159" s="92" t="s">
        <v>61</v>
      </c>
      <c r="Y159" s="97"/>
      <c r="Z159" s="89" t="s">
        <v>62</v>
      </c>
      <c r="AA159" s="96">
        <v>46114.430555555555</v>
      </c>
      <c r="AB159" s="89" t="s">
        <v>80</v>
      </c>
      <c r="AC159" s="111"/>
      <c r="AD159" s="89"/>
      <c r="AE159" s="89"/>
      <c r="AF159" s="98"/>
      <c r="AG159" s="98"/>
      <c r="AH159" s="98"/>
      <c r="AI159" s="99" t="s">
        <v>67</v>
      </c>
      <c r="AJ159" s="99" t="s">
        <v>67</v>
      </c>
      <c r="AK159" s="99" t="s">
        <v>67</v>
      </c>
      <c r="AL159" s="45" t="s">
        <v>68</v>
      </c>
      <c r="AM159" s="162" t="str">
        <f t="shared" si="16"/>
        <v>3/2026</v>
      </c>
      <c r="AN159" s="45">
        <f t="shared" si="17"/>
        <v>4</v>
      </c>
      <c r="AO159" s="45" t="str">
        <f t="shared" si="18"/>
        <v>3/2026</v>
      </c>
      <c r="AP159" s="45">
        <f t="shared" si="19"/>
        <v>5</v>
      </c>
      <c r="AQ159" s="45">
        <f t="shared" si="20"/>
        <v>8</v>
      </c>
      <c r="AR159" s="45">
        <f t="shared" si="21"/>
        <v>0</v>
      </c>
      <c r="AS159" s="45">
        <f t="shared" si="22"/>
        <v>0</v>
      </c>
      <c r="AT159" s="45">
        <f t="shared" si="23"/>
        <v>0</v>
      </c>
      <c r="AU159" s="45" t="str">
        <f>_xlfn.XLOOKUP(U159,'Lista Suspensa'!$AA$20:$AA$23,'Lista Suspensa'!$AB$20:$AB$23,"N/A")</f>
        <v>S</v>
      </c>
    </row>
    <row r="160" spans="1:47" ht="12" customHeight="1" x14ac:dyDescent="0.3">
      <c r="A160" s="87" t="s">
        <v>47</v>
      </c>
      <c r="B160" s="88">
        <v>46104</v>
      </c>
      <c r="C160" s="89" t="s">
        <v>48</v>
      </c>
      <c r="D160" s="89" t="s">
        <v>49</v>
      </c>
      <c r="E160" s="90">
        <v>76982746</v>
      </c>
      <c r="F160" s="184" t="s">
        <v>587</v>
      </c>
      <c r="G160" s="91">
        <v>4277571778</v>
      </c>
      <c r="H160" s="92">
        <v>18439</v>
      </c>
      <c r="I160" s="89">
        <v>75</v>
      </c>
      <c r="J160" s="89" t="s">
        <v>70</v>
      </c>
      <c r="K160" s="89" t="s">
        <v>88</v>
      </c>
      <c r="L160" s="89" t="s">
        <v>89</v>
      </c>
      <c r="M160" s="89" t="s">
        <v>124</v>
      </c>
      <c r="N160" s="89" t="s">
        <v>130</v>
      </c>
      <c r="O160" s="93" t="s">
        <v>588</v>
      </c>
      <c r="P160" s="94" t="s">
        <v>57</v>
      </c>
      <c r="Q160" s="112" t="s">
        <v>58</v>
      </c>
      <c r="R160" s="95">
        <v>46112</v>
      </c>
      <c r="S160" s="96"/>
      <c r="T160" s="96" t="s">
        <v>59</v>
      </c>
      <c r="U160" s="96" t="s">
        <v>60</v>
      </c>
      <c r="V160" s="92">
        <v>46112</v>
      </c>
      <c r="W160" s="92" t="s">
        <v>61</v>
      </c>
      <c r="X160" s="92" t="s">
        <v>61</v>
      </c>
      <c r="Y160" s="97"/>
      <c r="Z160" s="89" t="s">
        <v>62</v>
      </c>
      <c r="AA160" s="96">
        <v>46114.430555555555</v>
      </c>
      <c r="AB160" s="89" t="s">
        <v>63</v>
      </c>
      <c r="AC160" s="111"/>
      <c r="AD160" s="89" t="s">
        <v>64</v>
      </c>
      <c r="AE160" s="89"/>
      <c r="AF160" s="98"/>
      <c r="AG160" s="98"/>
      <c r="AH160" s="98" t="s">
        <v>66</v>
      </c>
      <c r="AI160" s="99" t="s">
        <v>67</v>
      </c>
      <c r="AJ160" s="99" t="s">
        <v>67</v>
      </c>
      <c r="AK160" s="99" t="s">
        <v>67</v>
      </c>
      <c r="AL160" s="45" t="s">
        <v>68</v>
      </c>
      <c r="AM160" s="162" t="str">
        <f t="shared" si="16"/>
        <v>3/2026</v>
      </c>
      <c r="AN160" s="45">
        <f t="shared" si="17"/>
        <v>4</v>
      </c>
      <c r="AO160" s="45" t="str">
        <f t="shared" si="18"/>
        <v>3/2026</v>
      </c>
      <c r="AP160" s="45">
        <f t="shared" si="19"/>
        <v>5</v>
      </c>
      <c r="AQ160" s="45">
        <f t="shared" si="20"/>
        <v>8</v>
      </c>
      <c r="AR160" s="45">
        <f t="shared" si="21"/>
        <v>0</v>
      </c>
      <c r="AS160" s="45">
        <f t="shared" si="22"/>
        <v>0</v>
      </c>
      <c r="AT160" s="45">
        <f t="shared" si="23"/>
        <v>2.4305555555547471</v>
      </c>
      <c r="AU160" s="45" t="str">
        <f>_xlfn.XLOOKUP(U160,'Lista Suspensa'!$AA$20:$AA$23,'Lista Suspensa'!$AB$20:$AB$23,"N/A")</f>
        <v>S</v>
      </c>
    </row>
    <row r="161" spans="1:47" ht="12" customHeight="1" x14ac:dyDescent="0.3">
      <c r="A161" s="87" t="s">
        <v>47</v>
      </c>
      <c r="B161" s="88">
        <v>46104</v>
      </c>
      <c r="C161" s="89" t="s">
        <v>48</v>
      </c>
      <c r="D161" s="89" t="s">
        <v>49</v>
      </c>
      <c r="E161" s="90">
        <v>74307383</v>
      </c>
      <c r="F161" s="184" t="s">
        <v>589</v>
      </c>
      <c r="G161" s="91">
        <v>63448300772</v>
      </c>
      <c r="H161" s="92">
        <v>21616</v>
      </c>
      <c r="I161" s="89">
        <v>67</v>
      </c>
      <c r="J161" s="89" t="s">
        <v>51</v>
      </c>
      <c r="K161" s="89" t="s">
        <v>88</v>
      </c>
      <c r="L161" s="89" t="s">
        <v>89</v>
      </c>
      <c r="M161" s="89" t="s">
        <v>590</v>
      </c>
      <c r="N161" s="89" t="s">
        <v>130</v>
      </c>
      <c r="O161" s="93" t="s">
        <v>591</v>
      </c>
      <c r="P161" s="94" t="s">
        <v>57</v>
      </c>
      <c r="Q161" s="112" t="s">
        <v>58</v>
      </c>
      <c r="R161" s="95">
        <v>46112</v>
      </c>
      <c r="S161" s="96"/>
      <c r="T161" s="96" t="s">
        <v>59</v>
      </c>
      <c r="U161" s="96" t="s">
        <v>60</v>
      </c>
      <c r="V161" s="92">
        <v>46112</v>
      </c>
      <c r="W161" s="92" t="s">
        <v>61</v>
      </c>
      <c r="X161" s="92" t="s">
        <v>61</v>
      </c>
      <c r="Y161" s="97"/>
      <c r="Z161" s="89" t="s">
        <v>62</v>
      </c>
      <c r="AA161" s="96">
        <v>46114.513888888891</v>
      </c>
      <c r="AB161" s="89" t="s">
        <v>63</v>
      </c>
      <c r="AC161" s="111"/>
      <c r="AD161" s="89" t="s">
        <v>86</v>
      </c>
      <c r="AE161" s="89">
        <v>65</v>
      </c>
      <c r="AF161" s="98" t="s">
        <v>126</v>
      </c>
      <c r="AG161" s="98"/>
      <c r="AH161" s="98" t="s">
        <v>66</v>
      </c>
      <c r="AI161" s="99" t="s">
        <v>67</v>
      </c>
      <c r="AJ161" s="99" t="s">
        <v>67</v>
      </c>
      <c r="AK161" s="99" t="s">
        <v>67</v>
      </c>
      <c r="AL161" s="45" t="s">
        <v>68</v>
      </c>
      <c r="AM161" s="162" t="str">
        <f t="shared" si="16"/>
        <v>3/2026</v>
      </c>
      <c r="AN161" s="45">
        <f t="shared" si="17"/>
        <v>4</v>
      </c>
      <c r="AO161" s="45" t="str">
        <f t="shared" si="18"/>
        <v>3/2026</v>
      </c>
      <c r="AP161" s="45">
        <f t="shared" si="19"/>
        <v>5</v>
      </c>
      <c r="AQ161" s="45">
        <f t="shared" si="20"/>
        <v>8</v>
      </c>
      <c r="AR161" s="45">
        <f t="shared" si="21"/>
        <v>0</v>
      </c>
      <c r="AS161" s="45">
        <f t="shared" si="22"/>
        <v>0</v>
      </c>
      <c r="AT161" s="45">
        <f t="shared" si="23"/>
        <v>2.5138888888905058</v>
      </c>
      <c r="AU161" s="45" t="str">
        <f>_xlfn.XLOOKUP(U161,'Lista Suspensa'!$AA$20:$AA$23,'Lista Suspensa'!$AB$20:$AB$23,"N/A")</f>
        <v>S</v>
      </c>
    </row>
    <row r="162" spans="1:47" ht="12" customHeight="1" x14ac:dyDescent="0.3">
      <c r="A162" s="87" t="s">
        <v>47</v>
      </c>
      <c r="B162" s="88">
        <v>46104</v>
      </c>
      <c r="C162" s="89" t="s">
        <v>48</v>
      </c>
      <c r="D162" s="89" t="s">
        <v>49</v>
      </c>
      <c r="E162" s="90">
        <v>910994358</v>
      </c>
      <c r="F162" s="184" t="s">
        <v>592</v>
      </c>
      <c r="G162" s="91">
        <v>3043959787</v>
      </c>
      <c r="H162" s="92">
        <v>15871</v>
      </c>
      <c r="I162" s="89">
        <v>82</v>
      </c>
      <c r="J162" s="89" t="s">
        <v>51</v>
      </c>
      <c r="K162" s="89" t="s">
        <v>88</v>
      </c>
      <c r="L162" s="89" t="s">
        <v>89</v>
      </c>
      <c r="M162" s="89" t="s">
        <v>590</v>
      </c>
      <c r="N162" s="89" t="s">
        <v>277</v>
      </c>
      <c r="O162" s="93" t="s">
        <v>593</v>
      </c>
      <c r="P162" s="94" t="s">
        <v>57</v>
      </c>
      <c r="Q162" s="112" t="s">
        <v>58</v>
      </c>
      <c r="R162" s="95">
        <v>46112</v>
      </c>
      <c r="S162" s="96"/>
      <c r="T162" s="96" t="s">
        <v>59</v>
      </c>
      <c r="U162" s="96" t="s">
        <v>60</v>
      </c>
      <c r="V162" s="92">
        <v>46112</v>
      </c>
      <c r="W162" s="92" t="s">
        <v>61</v>
      </c>
      <c r="X162" s="92" t="s">
        <v>61</v>
      </c>
      <c r="Y162" s="97"/>
      <c r="Z162" s="89" t="s">
        <v>62</v>
      </c>
      <c r="AA162" s="96">
        <v>46114.513888888891</v>
      </c>
      <c r="AB162" s="89" t="s">
        <v>80</v>
      </c>
      <c r="AC162" s="111"/>
      <c r="AD162" s="89"/>
      <c r="AE162" s="89"/>
      <c r="AF162" s="98"/>
      <c r="AG162" s="98"/>
      <c r="AH162" s="98"/>
      <c r="AI162" s="99" t="s">
        <v>67</v>
      </c>
      <c r="AJ162" s="99" t="s">
        <v>67</v>
      </c>
      <c r="AK162" s="99" t="s">
        <v>67</v>
      </c>
      <c r="AL162" s="45" t="s">
        <v>68</v>
      </c>
      <c r="AM162" s="162" t="str">
        <f t="shared" si="16"/>
        <v>3/2026</v>
      </c>
      <c r="AN162" s="45">
        <f t="shared" si="17"/>
        <v>4</v>
      </c>
      <c r="AO162" s="45" t="str">
        <f t="shared" si="18"/>
        <v>3/2026</v>
      </c>
      <c r="AP162" s="45">
        <f t="shared" si="19"/>
        <v>5</v>
      </c>
      <c r="AQ162" s="45">
        <f t="shared" si="20"/>
        <v>8</v>
      </c>
      <c r="AR162" s="45">
        <f t="shared" si="21"/>
        <v>0</v>
      </c>
      <c r="AS162" s="45">
        <f t="shared" si="22"/>
        <v>0</v>
      </c>
      <c r="AT162" s="45">
        <f t="shared" si="23"/>
        <v>0</v>
      </c>
      <c r="AU162" s="45" t="str">
        <f>_xlfn.XLOOKUP(U162,'Lista Suspensa'!$AA$20:$AA$23,'Lista Suspensa'!$AB$20:$AB$23,"N/A")</f>
        <v>S</v>
      </c>
    </row>
    <row r="163" spans="1:47" ht="12" customHeight="1" x14ac:dyDescent="0.3">
      <c r="A163" s="87" t="s">
        <v>47</v>
      </c>
      <c r="B163" s="88">
        <v>46104</v>
      </c>
      <c r="C163" s="89" t="s">
        <v>48</v>
      </c>
      <c r="D163" s="89" t="s">
        <v>49</v>
      </c>
      <c r="E163" s="90">
        <v>83470877</v>
      </c>
      <c r="F163" s="184" t="s">
        <v>594</v>
      </c>
      <c r="G163" s="91">
        <v>38607140744</v>
      </c>
      <c r="H163" s="92">
        <v>20027</v>
      </c>
      <c r="I163" s="89">
        <v>71</v>
      </c>
      <c r="J163" s="89" t="s">
        <v>51</v>
      </c>
      <c r="K163" s="89" t="s">
        <v>88</v>
      </c>
      <c r="L163" s="89" t="s">
        <v>454</v>
      </c>
      <c r="M163" s="89" t="s">
        <v>240</v>
      </c>
      <c r="N163" s="89" t="s">
        <v>148</v>
      </c>
      <c r="O163" s="93" t="s">
        <v>595</v>
      </c>
      <c r="P163" s="94" t="s">
        <v>57</v>
      </c>
      <c r="Q163" s="112" t="s">
        <v>58</v>
      </c>
      <c r="R163" s="95">
        <v>46128</v>
      </c>
      <c r="S163" s="96"/>
      <c r="T163" s="96" t="s">
        <v>59</v>
      </c>
      <c r="U163" s="96" t="s">
        <v>60</v>
      </c>
      <c r="V163" s="92">
        <v>46122</v>
      </c>
      <c r="W163" s="92" t="s">
        <v>61</v>
      </c>
      <c r="X163" s="92" t="s">
        <v>61</v>
      </c>
      <c r="Y163" s="97"/>
      <c r="Z163" s="89" t="s">
        <v>62</v>
      </c>
      <c r="AA163" s="96">
        <v>46128</v>
      </c>
      <c r="AB163" s="89" t="s">
        <v>63</v>
      </c>
      <c r="AC163" s="111"/>
      <c r="AD163" s="89" t="s">
        <v>265</v>
      </c>
      <c r="AE163" s="89">
        <v>44</v>
      </c>
      <c r="AF163" s="98" t="s">
        <v>126</v>
      </c>
      <c r="AG163" s="98"/>
      <c r="AH163" s="98" t="s">
        <v>139</v>
      </c>
      <c r="AI163" s="99" t="s">
        <v>67</v>
      </c>
      <c r="AJ163" s="99" t="s">
        <v>67</v>
      </c>
      <c r="AK163" s="99" t="s">
        <v>67</v>
      </c>
      <c r="AL163" s="45" t="s">
        <v>68</v>
      </c>
      <c r="AM163" s="162" t="str">
        <f t="shared" si="16"/>
        <v>3/2026</v>
      </c>
      <c r="AN163" s="45">
        <f t="shared" si="17"/>
        <v>4</v>
      </c>
      <c r="AO163" s="45" t="str">
        <f t="shared" si="18"/>
        <v>4/2026</v>
      </c>
      <c r="AP163" s="45">
        <f t="shared" si="19"/>
        <v>3</v>
      </c>
      <c r="AQ163" s="45">
        <f t="shared" si="20"/>
        <v>24</v>
      </c>
      <c r="AR163" s="45">
        <f t="shared" si="21"/>
        <v>0</v>
      </c>
      <c r="AS163" s="45">
        <f t="shared" si="22"/>
        <v>0</v>
      </c>
      <c r="AT163" s="45">
        <f t="shared" si="23"/>
        <v>0</v>
      </c>
      <c r="AU163" s="45" t="str">
        <f>_xlfn.XLOOKUP(U163,'Lista Suspensa'!$AA$20:$AA$23,'Lista Suspensa'!$AB$20:$AB$23,"N/A")</f>
        <v>S</v>
      </c>
    </row>
    <row r="164" spans="1:47" ht="12" customHeight="1" x14ac:dyDescent="0.3">
      <c r="A164" s="87" t="s">
        <v>47</v>
      </c>
      <c r="B164" s="88">
        <v>46104</v>
      </c>
      <c r="C164" s="89" t="s">
        <v>48</v>
      </c>
      <c r="D164" s="89" t="s">
        <v>49</v>
      </c>
      <c r="E164" s="90">
        <v>79002987</v>
      </c>
      <c r="F164" s="184" t="s">
        <v>596</v>
      </c>
      <c r="G164" s="91">
        <v>49539655749</v>
      </c>
      <c r="H164" s="92">
        <v>21090</v>
      </c>
      <c r="I164" s="89">
        <v>68</v>
      </c>
      <c r="J164" s="89" t="s">
        <v>70</v>
      </c>
      <c r="K164" s="89" t="s">
        <v>88</v>
      </c>
      <c r="L164" s="89" t="s">
        <v>89</v>
      </c>
      <c r="M164" s="89" t="s">
        <v>597</v>
      </c>
      <c r="N164" s="89" t="s">
        <v>148</v>
      </c>
      <c r="O164" s="93" t="s">
        <v>598</v>
      </c>
      <c r="P164" s="94" t="s">
        <v>57</v>
      </c>
      <c r="Q164" s="112" t="s">
        <v>58</v>
      </c>
      <c r="R164" s="95">
        <v>46112</v>
      </c>
      <c r="S164" s="96"/>
      <c r="T164" s="96" t="s">
        <v>59</v>
      </c>
      <c r="U164" s="96" t="s">
        <v>60</v>
      </c>
      <c r="V164" s="92">
        <v>46112</v>
      </c>
      <c r="W164" s="92" t="s">
        <v>61</v>
      </c>
      <c r="X164" s="92" t="s">
        <v>61</v>
      </c>
      <c r="Y164" s="97"/>
      <c r="Z164" s="89" t="s">
        <v>62</v>
      </c>
      <c r="AA164" s="96">
        <v>46115.458333333336</v>
      </c>
      <c r="AB164" s="89" t="s">
        <v>63</v>
      </c>
      <c r="AC164" s="111"/>
      <c r="AD164" s="89" t="s">
        <v>265</v>
      </c>
      <c r="AE164" s="89">
        <v>60</v>
      </c>
      <c r="AF164" s="98" t="s">
        <v>126</v>
      </c>
      <c r="AG164" s="98"/>
      <c r="AH164" s="98" t="s">
        <v>66</v>
      </c>
      <c r="AI164" s="99" t="s">
        <v>67</v>
      </c>
      <c r="AJ164" s="99" t="s">
        <v>67</v>
      </c>
      <c r="AK164" s="99" t="s">
        <v>67</v>
      </c>
      <c r="AL164" s="45" t="s">
        <v>68</v>
      </c>
      <c r="AM164" s="162" t="str">
        <f t="shared" si="16"/>
        <v>3/2026</v>
      </c>
      <c r="AN164" s="45">
        <f t="shared" si="17"/>
        <v>4</v>
      </c>
      <c r="AO164" s="45" t="str">
        <f t="shared" si="18"/>
        <v>3/2026</v>
      </c>
      <c r="AP164" s="45">
        <f t="shared" si="19"/>
        <v>5</v>
      </c>
      <c r="AQ164" s="45">
        <f t="shared" si="20"/>
        <v>8</v>
      </c>
      <c r="AR164" s="45">
        <f t="shared" si="21"/>
        <v>0</v>
      </c>
      <c r="AS164" s="45">
        <f t="shared" si="22"/>
        <v>0</v>
      </c>
      <c r="AT164" s="45">
        <f t="shared" si="23"/>
        <v>3.4583333333357587</v>
      </c>
      <c r="AU164" s="45" t="str">
        <f>_xlfn.XLOOKUP(U164,'Lista Suspensa'!$AA$20:$AA$23,'Lista Suspensa'!$AB$20:$AB$23,"N/A")</f>
        <v>S</v>
      </c>
    </row>
    <row r="165" spans="1:47" ht="12" customHeight="1" x14ac:dyDescent="0.3">
      <c r="A165" s="87" t="s">
        <v>47</v>
      </c>
      <c r="B165" s="88">
        <v>46104</v>
      </c>
      <c r="C165" s="89" t="s">
        <v>48</v>
      </c>
      <c r="D165" s="89" t="s">
        <v>49</v>
      </c>
      <c r="E165" s="90">
        <v>84948194</v>
      </c>
      <c r="F165" s="184" t="s">
        <v>599</v>
      </c>
      <c r="G165" s="91">
        <v>30471877700</v>
      </c>
      <c r="H165" s="92">
        <v>20085</v>
      </c>
      <c r="I165" s="89">
        <v>71</v>
      </c>
      <c r="J165" s="89" t="s">
        <v>70</v>
      </c>
      <c r="K165" s="89" t="s">
        <v>88</v>
      </c>
      <c r="L165" s="89" t="s">
        <v>89</v>
      </c>
      <c r="M165" s="89" t="s">
        <v>600</v>
      </c>
      <c r="N165" s="89" t="s">
        <v>148</v>
      </c>
      <c r="O165" s="93" t="s">
        <v>601</v>
      </c>
      <c r="P165" s="94" t="s">
        <v>57</v>
      </c>
      <c r="Q165" s="112" t="s">
        <v>58</v>
      </c>
      <c r="R165" s="95">
        <v>46112</v>
      </c>
      <c r="S165" s="96"/>
      <c r="T165" s="96" t="s">
        <v>59</v>
      </c>
      <c r="U165" s="96" t="s">
        <v>60</v>
      </c>
      <c r="V165" s="92">
        <v>46112</v>
      </c>
      <c r="W165" s="92" t="s">
        <v>61</v>
      </c>
      <c r="X165" s="92" t="s">
        <v>61</v>
      </c>
      <c r="Y165" s="97"/>
      <c r="Z165" s="89" t="s">
        <v>62</v>
      </c>
      <c r="AA165" s="96">
        <v>46115.444444444445</v>
      </c>
      <c r="AB165" s="89" t="s">
        <v>224</v>
      </c>
      <c r="AC165" s="111">
        <v>46119</v>
      </c>
      <c r="AD165" s="89"/>
      <c r="AE165" s="89"/>
      <c r="AF165" s="98"/>
      <c r="AG165" s="98"/>
      <c r="AH165" s="98"/>
      <c r="AI165" s="99" t="s">
        <v>67</v>
      </c>
      <c r="AJ165" s="99" t="s">
        <v>67</v>
      </c>
      <c r="AK165" s="99" t="s">
        <v>67</v>
      </c>
      <c r="AL165" s="45" t="s">
        <v>68</v>
      </c>
      <c r="AM165" s="162" t="str">
        <f t="shared" si="16"/>
        <v>3/2026</v>
      </c>
      <c r="AN165" s="45">
        <f t="shared" si="17"/>
        <v>4</v>
      </c>
      <c r="AO165" s="45" t="str">
        <f t="shared" si="18"/>
        <v>3/2026</v>
      </c>
      <c r="AP165" s="45">
        <f t="shared" si="19"/>
        <v>5</v>
      </c>
      <c r="AQ165" s="45">
        <f t="shared" si="20"/>
        <v>8</v>
      </c>
      <c r="AR165" s="45">
        <f t="shared" si="21"/>
        <v>0</v>
      </c>
      <c r="AS165" s="45">
        <f t="shared" si="22"/>
        <v>0</v>
      </c>
      <c r="AT165" s="45">
        <f t="shared" si="23"/>
        <v>0</v>
      </c>
      <c r="AU165" s="45" t="str">
        <f>_xlfn.XLOOKUP(U165,'Lista Suspensa'!$AA$20:$AA$23,'Lista Suspensa'!$AB$20:$AB$23,"N/A")</f>
        <v>S</v>
      </c>
    </row>
    <row r="166" spans="1:47" ht="12" customHeight="1" x14ac:dyDescent="0.3">
      <c r="A166" s="87" t="s">
        <v>47</v>
      </c>
      <c r="B166" s="88">
        <v>46104</v>
      </c>
      <c r="C166" s="89" t="s">
        <v>48</v>
      </c>
      <c r="D166" s="89" t="s">
        <v>49</v>
      </c>
      <c r="E166" s="90">
        <v>84685538</v>
      </c>
      <c r="F166" s="184" t="s">
        <v>602</v>
      </c>
      <c r="G166" s="91">
        <v>8876805770</v>
      </c>
      <c r="H166" s="92">
        <v>29723</v>
      </c>
      <c r="I166" s="89">
        <v>44</v>
      </c>
      <c r="J166" s="89" t="s">
        <v>51</v>
      </c>
      <c r="K166" s="89" t="s">
        <v>88</v>
      </c>
      <c r="L166" s="89" t="s">
        <v>603</v>
      </c>
      <c r="M166" s="89" t="s">
        <v>604</v>
      </c>
      <c r="N166" s="89" t="s">
        <v>148</v>
      </c>
      <c r="O166" s="93" t="s">
        <v>605</v>
      </c>
      <c r="P166" s="94" t="s">
        <v>57</v>
      </c>
      <c r="Q166" s="112" t="s">
        <v>58</v>
      </c>
      <c r="R166" s="95">
        <v>46128</v>
      </c>
      <c r="S166" s="96"/>
      <c r="T166" s="96" t="s">
        <v>59</v>
      </c>
      <c r="U166" s="96" t="s">
        <v>60</v>
      </c>
      <c r="V166" s="92">
        <v>46122</v>
      </c>
      <c r="W166" s="92">
        <v>46128</v>
      </c>
      <c r="X166" s="92" t="s">
        <v>61</v>
      </c>
      <c r="Y166" s="97"/>
      <c r="Z166" s="89" t="s">
        <v>62</v>
      </c>
      <c r="AA166" s="96">
        <v>46128</v>
      </c>
      <c r="AB166" s="89" t="s">
        <v>63</v>
      </c>
      <c r="AC166" s="111"/>
      <c r="AD166" s="89" t="s">
        <v>86</v>
      </c>
      <c r="AE166" s="89">
        <v>52</v>
      </c>
      <c r="AF166" s="98" t="s">
        <v>138</v>
      </c>
      <c r="AG166" s="98"/>
      <c r="AH166" s="98" t="s">
        <v>139</v>
      </c>
      <c r="AI166" s="99" t="s">
        <v>67</v>
      </c>
      <c r="AJ166" s="99" t="s">
        <v>67</v>
      </c>
      <c r="AK166" s="99" t="s">
        <v>67</v>
      </c>
      <c r="AL166" s="45" t="s">
        <v>68</v>
      </c>
      <c r="AM166" s="162" t="str">
        <f t="shared" si="16"/>
        <v>3/2026</v>
      </c>
      <c r="AN166" s="45">
        <f t="shared" si="17"/>
        <v>4</v>
      </c>
      <c r="AO166" s="45" t="str">
        <f t="shared" si="18"/>
        <v>4/2026</v>
      </c>
      <c r="AP166" s="45">
        <f t="shared" si="19"/>
        <v>3</v>
      </c>
      <c r="AQ166" s="45">
        <f t="shared" si="20"/>
        <v>24</v>
      </c>
      <c r="AR166" s="45">
        <f t="shared" si="21"/>
        <v>0</v>
      </c>
      <c r="AS166" s="45">
        <f t="shared" si="22"/>
        <v>6</v>
      </c>
      <c r="AT166" s="45">
        <f t="shared" si="23"/>
        <v>0</v>
      </c>
      <c r="AU166" s="45" t="str">
        <f>_xlfn.XLOOKUP(U166,'Lista Suspensa'!$AA$20:$AA$23,'Lista Suspensa'!$AB$20:$AB$23,"N/A")</f>
        <v>S</v>
      </c>
    </row>
    <row r="167" spans="1:47" ht="12" customHeight="1" x14ac:dyDescent="0.3">
      <c r="A167" s="87" t="s">
        <v>47</v>
      </c>
      <c r="B167" s="88">
        <v>46104</v>
      </c>
      <c r="C167" s="89" t="s">
        <v>48</v>
      </c>
      <c r="D167" s="89" t="s">
        <v>49</v>
      </c>
      <c r="E167" s="90">
        <v>79897587</v>
      </c>
      <c r="F167" s="184" t="s">
        <v>606</v>
      </c>
      <c r="G167" s="91">
        <v>56174314715</v>
      </c>
      <c r="H167" s="92">
        <v>21527</v>
      </c>
      <c r="I167" s="89">
        <v>67</v>
      </c>
      <c r="J167" s="89" t="s">
        <v>51</v>
      </c>
      <c r="K167" s="89" t="s">
        <v>88</v>
      </c>
      <c r="L167" s="89" t="s">
        <v>89</v>
      </c>
      <c r="M167" s="89" t="s">
        <v>607</v>
      </c>
      <c r="N167" s="89" t="s">
        <v>148</v>
      </c>
      <c r="O167" s="93" t="s">
        <v>608</v>
      </c>
      <c r="P167" s="94" t="s">
        <v>57</v>
      </c>
      <c r="Q167" s="112" t="s">
        <v>58</v>
      </c>
      <c r="R167" s="95">
        <v>46112</v>
      </c>
      <c r="S167" s="96"/>
      <c r="T167" s="96" t="s">
        <v>59</v>
      </c>
      <c r="U167" s="96" t="s">
        <v>60</v>
      </c>
      <c r="V167" s="92">
        <v>46112</v>
      </c>
      <c r="W167" s="92" t="s">
        <v>61</v>
      </c>
      <c r="X167" s="92" t="s">
        <v>61</v>
      </c>
      <c r="Y167" s="97"/>
      <c r="Z167" s="89" t="s">
        <v>62</v>
      </c>
      <c r="AA167" s="96">
        <v>46114.430555555555</v>
      </c>
      <c r="AB167" s="89" t="s">
        <v>80</v>
      </c>
      <c r="AC167" s="111"/>
      <c r="AD167" s="89"/>
      <c r="AE167" s="89"/>
      <c r="AF167" s="98"/>
      <c r="AG167" s="98"/>
      <c r="AH167" s="98"/>
      <c r="AI167" s="99" t="s">
        <v>67</v>
      </c>
      <c r="AJ167" s="99" t="s">
        <v>67</v>
      </c>
      <c r="AK167" s="99" t="s">
        <v>67</v>
      </c>
      <c r="AL167" s="45" t="s">
        <v>68</v>
      </c>
      <c r="AM167" s="162" t="str">
        <f t="shared" si="16"/>
        <v>3/2026</v>
      </c>
      <c r="AN167" s="45">
        <f t="shared" si="17"/>
        <v>4</v>
      </c>
      <c r="AO167" s="45" t="str">
        <f t="shared" si="18"/>
        <v>3/2026</v>
      </c>
      <c r="AP167" s="45">
        <f t="shared" si="19"/>
        <v>5</v>
      </c>
      <c r="AQ167" s="45">
        <f t="shared" si="20"/>
        <v>8</v>
      </c>
      <c r="AR167" s="45">
        <f t="shared" si="21"/>
        <v>0</v>
      </c>
      <c r="AS167" s="45">
        <f t="shared" si="22"/>
        <v>0</v>
      </c>
      <c r="AT167" s="45">
        <f t="shared" si="23"/>
        <v>0</v>
      </c>
      <c r="AU167" s="45" t="str">
        <f>_xlfn.XLOOKUP(U167,'Lista Suspensa'!$AA$20:$AA$23,'Lista Suspensa'!$AB$20:$AB$23,"N/A")</f>
        <v>S</v>
      </c>
    </row>
    <row r="168" spans="1:47" ht="12" customHeight="1" x14ac:dyDescent="0.3">
      <c r="A168" s="87" t="s">
        <v>47</v>
      </c>
      <c r="B168" s="88">
        <v>46104</v>
      </c>
      <c r="C168" s="89" t="s">
        <v>48</v>
      </c>
      <c r="D168" s="89" t="s">
        <v>49</v>
      </c>
      <c r="E168" s="90">
        <v>81631359</v>
      </c>
      <c r="F168" s="184" t="s">
        <v>609</v>
      </c>
      <c r="G168" s="91">
        <v>36211095449</v>
      </c>
      <c r="H168" s="92">
        <v>23184</v>
      </c>
      <c r="I168" s="89">
        <v>62</v>
      </c>
      <c r="J168" s="89" t="s">
        <v>51</v>
      </c>
      <c r="K168" s="89" t="s">
        <v>52</v>
      </c>
      <c r="L168" s="89" t="s">
        <v>53</v>
      </c>
      <c r="M168" s="89" t="s">
        <v>570</v>
      </c>
      <c r="N168" s="89" t="s">
        <v>148</v>
      </c>
      <c r="O168" s="93" t="s">
        <v>610</v>
      </c>
      <c r="P168" s="94" t="s">
        <v>57</v>
      </c>
      <c r="Q168" s="112" t="s">
        <v>58</v>
      </c>
      <c r="R168" s="95">
        <v>46128</v>
      </c>
      <c r="S168" s="96"/>
      <c r="T168" s="96" t="s">
        <v>59</v>
      </c>
      <c r="U168" s="96" t="s">
        <v>60</v>
      </c>
      <c r="V168" s="92">
        <v>46122</v>
      </c>
      <c r="W168" s="92">
        <v>46128</v>
      </c>
      <c r="X168" s="92" t="s">
        <v>61</v>
      </c>
      <c r="Y168" s="97"/>
      <c r="Z168" s="89" t="s">
        <v>62</v>
      </c>
      <c r="AA168" s="96">
        <v>46128</v>
      </c>
      <c r="AB168" s="89" t="s">
        <v>80</v>
      </c>
      <c r="AC168" s="111"/>
      <c r="AD168" s="89"/>
      <c r="AE168" s="89"/>
      <c r="AF168" s="98"/>
      <c r="AG168" s="98"/>
      <c r="AH168" s="98"/>
      <c r="AI168" s="99" t="s">
        <v>67</v>
      </c>
      <c r="AJ168" s="99" t="s">
        <v>67</v>
      </c>
      <c r="AK168" s="99" t="s">
        <v>67</v>
      </c>
      <c r="AL168" s="45" t="s">
        <v>68</v>
      </c>
      <c r="AM168" s="162" t="str">
        <f t="shared" si="16"/>
        <v>3/2026</v>
      </c>
      <c r="AN168" s="45">
        <f t="shared" si="17"/>
        <v>4</v>
      </c>
      <c r="AO168" s="45" t="str">
        <f t="shared" si="18"/>
        <v>4/2026</v>
      </c>
      <c r="AP168" s="45">
        <f t="shared" si="19"/>
        <v>3</v>
      </c>
      <c r="AQ168" s="45">
        <f t="shared" si="20"/>
        <v>24</v>
      </c>
      <c r="AR168" s="45">
        <f t="shared" si="21"/>
        <v>0</v>
      </c>
      <c r="AS168" s="45">
        <f t="shared" si="22"/>
        <v>6</v>
      </c>
      <c r="AT168" s="45">
        <f t="shared" si="23"/>
        <v>0</v>
      </c>
      <c r="AU168" s="45" t="str">
        <f>_xlfn.XLOOKUP(U168,'Lista Suspensa'!$AA$20:$AA$23,'Lista Suspensa'!$AB$20:$AB$23,"N/A")</f>
        <v>S</v>
      </c>
    </row>
    <row r="169" spans="1:47" ht="12" customHeight="1" x14ac:dyDescent="0.3">
      <c r="A169" s="87" t="s">
        <v>47</v>
      </c>
      <c r="B169" s="88">
        <v>46104</v>
      </c>
      <c r="C169" s="89" t="s">
        <v>48</v>
      </c>
      <c r="D169" s="89" t="s">
        <v>49</v>
      </c>
      <c r="E169" s="90">
        <v>79105963</v>
      </c>
      <c r="F169" s="184" t="s">
        <v>611</v>
      </c>
      <c r="G169" s="91">
        <v>9493658821</v>
      </c>
      <c r="H169" s="92">
        <v>24634</v>
      </c>
      <c r="I169" s="89">
        <v>58</v>
      </c>
      <c r="J169" s="89" t="s">
        <v>51</v>
      </c>
      <c r="K169" s="89" t="s">
        <v>52</v>
      </c>
      <c r="L169" s="89" t="s">
        <v>53</v>
      </c>
      <c r="M169" s="89" t="s">
        <v>570</v>
      </c>
      <c r="N169" s="89" t="s">
        <v>148</v>
      </c>
      <c r="O169" s="93" t="s">
        <v>612</v>
      </c>
      <c r="P169" s="94" t="s">
        <v>57</v>
      </c>
      <c r="Q169" s="112" t="s">
        <v>58</v>
      </c>
      <c r="R169" s="95">
        <v>46112</v>
      </c>
      <c r="S169" s="96"/>
      <c r="T169" s="96" t="s">
        <v>59</v>
      </c>
      <c r="U169" s="96" t="s">
        <v>60</v>
      </c>
      <c r="V169" s="92">
        <v>46112</v>
      </c>
      <c r="W169" s="92" t="s">
        <v>61</v>
      </c>
      <c r="X169" s="92" t="s">
        <v>61</v>
      </c>
      <c r="Y169" s="97"/>
      <c r="Z169" s="89" t="s">
        <v>62</v>
      </c>
      <c r="AA169" s="96">
        <v>46115.5</v>
      </c>
      <c r="AB169" s="89" t="s">
        <v>63</v>
      </c>
      <c r="AC169" s="111"/>
      <c r="AD169" s="89" t="s">
        <v>64</v>
      </c>
      <c r="AE169" s="89">
        <v>63</v>
      </c>
      <c r="AF169" s="98" t="s">
        <v>138</v>
      </c>
      <c r="AG169" s="98"/>
      <c r="AH169" s="98" t="s">
        <v>66</v>
      </c>
      <c r="AI169" s="99" t="s">
        <v>67</v>
      </c>
      <c r="AJ169" s="99" t="s">
        <v>67</v>
      </c>
      <c r="AK169" s="99" t="s">
        <v>67</v>
      </c>
      <c r="AL169" s="45" t="s">
        <v>68</v>
      </c>
      <c r="AM169" s="162" t="str">
        <f t="shared" si="16"/>
        <v>3/2026</v>
      </c>
      <c r="AN169" s="45">
        <f t="shared" si="17"/>
        <v>4</v>
      </c>
      <c r="AO169" s="45" t="str">
        <f t="shared" si="18"/>
        <v>3/2026</v>
      </c>
      <c r="AP169" s="45">
        <f t="shared" si="19"/>
        <v>5</v>
      </c>
      <c r="AQ169" s="45">
        <f t="shared" si="20"/>
        <v>8</v>
      </c>
      <c r="AR169" s="45">
        <f t="shared" si="21"/>
        <v>0</v>
      </c>
      <c r="AS169" s="45">
        <f t="shared" si="22"/>
        <v>0</v>
      </c>
      <c r="AT169" s="45">
        <f t="shared" si="23"/>
        <v>3.5</v>
      </c>
      <c r="AU169" s="45" t="str">
        <f>_xlfn.XLOOKUP(U169,'Lista Suspensa'!$AA$20:$AA$23,'Lista Suspensa'!$AB$20:$AB$23,"N/A")</f>
        <v>S</v>
      </c>
    </row>
    <row r="170" spans="1:47" ht="12" customHeight="1" x14ac:dyDescent="0.3">
      <c r="A170" s="87" t="s">
        <v>47</v>
      </c>
      <c r="B170" s="88">
        <v>46104</v>
      </c>
      <c r="C170" s="89" t="s">
        <v>48</v>
      </c>
      <c r="D170" s="89" t="s">
        <v>49</v>
      </c>
      <c r="E170" s="90">
        <v>79578347</v>
      </c>
      <c r="F170" s="184" t="s">
        <v>613</v>
      </c>
      <c r="G170" s="91">
        <v>86373684415</v>
      </c>
      <c r="H170" s="92">
        <v>26548</v>
      </c>
      <c r="I170" s="89">
        <v>53</v>
      </c>
      <c r="J170" s="89" t="s">
        <v>70</v>
      </c>
      <c r="K170" s="89" t="s">
        <v>52</v>
      </c>
      <c r="L170" s="89" t="s">
        <v>331</v>
      </c>
      <c r="M170" s="89" t="s">
        <v>614</v>
      </c>
      <c r="N170" s="89" t="s">
        <v>148</v>
      </c>
      <c r="O170" s="93" t="s">
        <v>615</v>
      </c>
      <c r="P170" s="94" t="s">
        <v>57</v>
      </c>
      <c r="Q170" s="112" t="s">
        <v>58</v>
      </c>
      <c r="R170" s="95">
        <v>46128</v>
      </c>
      <c r="S170" s="96"/>
      <c r="T170" s="96" t="s">
        <v>59</v>
      </c>
      <c r="U170" s="96" t="s">
        <v>60</v>
      </c>
      <c r="V170" s="92">
        <v>46122</v>
      </c>
      <c r="W170" s="92">
        <v>46128</v>
      </c>
      <c r="X170" s="92" t="s">
        <v>61</v>
      </c>
      <c r="Y170" s="97"/>
      <c r="Z170" s="89" t="s">
        <v>62</v>
      </c>
      <c r="AA170" s="96">
        <v>46132</v>
      </c>
      <c r="AB170" s="89" t="s">
        <v>63</v>
      </c>
      <c r="AC170" s="111"/>
      <c r="AD170" s="89"/>
      <c r="AE170" s="89"/>
      <c r="AF170" s="98"/>
      <c r="AG170" s="98"/>
      <c r="AH170" s="98"/>
      <c r="AI170" s="99" t="s">
        <v>67</v>
      </c>
      <c r="AJ170" s="99" t="s">
        <v>67</v>
      </c>
      <c r="AK170" s="99" t="s">
        <v>67</v>
      </c>
      <c r="AL170" s="45" t="s">
        <v>68</v>
      </c>
      <c r="AM170" s="162" t="str">
        <f t="shared" si="16"/>
        <v>3/2026</v>
      </c>
      <c r="AN170" s="45">
        <f t="shared" si="17"/>
        <v>4</v>
      </c>
      <c r="AO170" s="45" t="str">
        <f t="shared" si="18"/>
        <v>4/2026</v>
      </c>
      <c r="AP170" s="45">
        <f t="shared" si="19"/>
        <v>3</v>
      </c>
      <c r="AQ170" s="45">
        <f t="shared" si="20"/>
        <v>24</v>
      </c>
      <c r="AR170" s="45">
        <f t="shared" si="21"/>
        <v>0</v>
      </c>
      <c r="AS170" s="45">
        <f t="shared" si="22"/>
        <v>6</v>
      </c>
      <c r="AT170" s="45">
        <f t="shared" si="23"/>
        <v>4</v>
      </c>
      <c r="AU170" s="45" t="str">
        <f>_xlfn.XLOOKUP(U170,'Lista Suspensa'!$AA$20:$AA$23,'Lista Suspensa'!$AB$20:$AB$23,"N/A")</f>
        <v>S</v>
      </c>
    </row>
    <row r="171" spans="1:47" ht="12" customHeight="1" x14ac:dyDescent="0.3">
      <c r="A171" s="87" t="s">
        <v>47</v>
      </c>
      <c r="B171" s="88">
        <v>46104</v>
      </c>
      <c r="C171" s="89" t="s">
        <v>48</v>
      </c>
      <c r="D171" s="89" t="s">
        <v>49</v>
      </c>
      <c r="E171" s="90">
        <v>92833368</v>
      </c>
      <c r="F171" s="184" t="s">
        <v>616</v>
      </c>
      <c r="G171" s="91">
        <v>16906835890</v>
      </c>
      <c r="H171" s="92">
        <v>24771</v>
      </c>
      <c r="I171" s="89">
        <v>58</v>
      </c>
      <c r="J171" s="89" t="s">
        <v>70</v>
      </c>
      <c r="K171" s="89" t="s">
        <v>52</v>
      </c>
      <c r="L171" s="89" t="s">
        <v>331</v>
      </c>
      <c r="M171" s="89" t="s">
        <v>617</v>
      </c>
      <c r="N171" s="89" t="s">
        <v>148</v>
      </c>
      <c r="O171" s="93" t="s">
        <v>618</v>
      </c>
      <c r="P171" s="94" t="s">
        <v>57</v>
      </c>
      <c r="Q171" s="112" t="s">
        <v>58</v>
      </c>
      <c r="R171" s="95">
        <v>46122</v>
      </c>
      <c r="S171" s="96"/>
      <c r="T171" s="96" t="s">
        <v>59</v>
      </c>
      <c r="U171" s="96" t="s">
        <v>60</v>
      </c>
      <c r="V171" s="92">
        <v>46122</v>
      </c>
      <c r="W171" s="92" t="s">
        <v>61</v>
      </c>
      <c r="X171" s="92" t="s">
        <v>61</v>
      </c>
      <c r="Y171" s="97"/>
      <c r="Z171" s="89" t="s">
        <v>62</v>
      </c>
      <c r="AA171" s="96">
        <v>46129</v>
      </c>
      <c r="AB171" s="89" t="s">
        <v>80</v>
      </c>
      <c r="AC171" s="111"/>
      <c r="AD171" s="89"/>
      <c r="AE171" s="89"/>
      <c r="AF171" s="98"/>
      <c r="AG171" s="98"/>
      <c r="AH171" s="98"/>
      <c r="AI171" s="99" t="s">
        <v>67</v>
      </c>
      <c r="AJ171" s="99" t="s">
        <v>67</v>
      </c>
      <c r="AK171" s="99" t="s">
        <v>67</v>
      </c>
      <c r="AL171" s="45" t="s">
        <v>68</v>
      </c>
      <c r="AM171" s="162" t="str">
        <f t="shared" si="16"/>
        <v>3/2026</v>
      </c>
      <c r="AN171" s="45">
        <f t="shared" si="17"/>
        <v>4</v>
      </c>
      <c r="AO171" s="45" t="str">
        <f t="shared" si="18"/>
        <v>4/2026</v>
      </c>
      <c r="AP171" s="45">
        <f t="shared" si="19"/>
        <v>2</v>
      </c>
      <c r="AQ171" s="45">
        <f t="shared" si="20"/>
        <v>18</v>
      </c>
      <c r="AR171" s="45">
        <f t="shared" si="21"/>
        <v>0</v>
      </c>
      <c r="AS171" s="45">
        <f t="shared" si="22"/>
        <v>0</v>
      </c>
      <c r="AT171" s="45">
        <f t="shared" si="23"/>
        <v>0</v>
      </c>
      <c r="AU171" s="45" t="str">
        <f>_xlfn.XLOOKUP(U171,'Lista Suspensa'!$AA$20:$AA$23,'Lista Suspensa'!$AB$20:$AB$23,"N/A")</f>
        <v>S</v>
      </c>
    </row>
    <row r="172" spans="1:47" ht="12" customHeight="1" x14ac:dyDescent="0.3">
      <c r="A172" s="87" t="s">
        <v>47</v>
      </c>
      <c r="B172" s="88">
        <v>46104</v>
      </c>
      <c r="C172" s="89" t="s">
        <v>48</v>
      </c>
      <c r="D172" s="89" t="s">
        <v>49</v>
      </c>
      <c r="E172" s="90">
        <v>83808450</v>
      </c>
      <c r="F172" s="184" t="s">
        <v>619</v>
      </c>
      <c r="G172" s="91">
        <v>2311452762</v>
      </c>
      <c r="H172" s="92">
        <v>26216</v>
      </c>
      <c r="I172" s="89">
        <v>54</v>
      </c>
      <c r="J172" s="89" t="s">
        <v>51</v>
      </c>
      <c r="K172" s="89" t="s">
        <v>88</v>
      </c>
      <c r="L172" s="89" t="s">
        <v>97</v>
      </c>
      <c r="M172" s="89" t="s">
        <v>620</v>
      </c>
      <c r="N172" s="89" t="s">
        <v>148</v>
      </c>
      <c r="O172" s="93" t="s">
        <v>621</v>
      </c>
      <c r="P172" s="94" t="s">
        <v>57</v>
      </c>
      <c r="Q172" s="112" t="s">
        <v>58</v>
      </c>
      <c r="R172" s="95">
        <v>46112</v>
      </c>
      <c r="S172" s="96"/>
      <c r="T172" s="96" t="s">
        <v>59</v>
      </c>
      <c r="U172" s="96" t="s">
        <v>60</v>
      </c>
      <c r="V172" s="92">
        <v>46112</v>
      </c>
      <c r="W172" s="92" t="s">
        <v>61</v>
      </c>
      <c r="X172" s="92" t="s">
        <v>61</v>
      </c>
      <c r="Y172" s="97"/>
      <c r="Z172" s="89" t="s">
        <v>62</v>
      </c>
      <c r="AA172" s="96">
        <v>46118.444444444445</v>
      </c>
      <c r="AB172" s="89" t="s">
        <v>63</v>
      </c>
      <c r="AC172" s="111"/>
      <c r="AD172" s="89" t="s">
        <v>86</v>
      </c>
      <c r="AE172" s="89">
        <v>45</v>
      </c>
      <c r="AF172" s="98" t="s">
        <v>126</v>
      </c>
      <c r="AG172" s="98"/>
      <c r="AH172" s="98" t="s">
        <v>66</v>
      </c>
      <c r="AI172" s="99" t="s">
        <v>67</v>
      </c>
      <c r="AJ172" s="99" t="s">
        <v>67</v>
      </c>
      <c r="AK172" s="99" t="s">
        <v>67</v>
      </c>
      <c r="AL172" s="45" t="s">
        <v>68</v>
      </c>
      <c r="AM172" s="162" t="str">
        <f t="shared" si="16"/>
        <v>3/2026</v>
      </c>
      <c r="AN172" s="45">
        <f t="shared" si="17"/>
        <v>4</v>
      </c>
      <c r="AO172" s="45" t="str">
        <f t="shared" si="18"/>
        <v>3/2026</v>
      </c>
      <c r="AP172" s="45">
        <f t="shared" si="19"/>
        <v>5</v>
      </c>
      <c r="AQ172" s="45">
        <f t="shared" si="20"/>
        <v>8</v>
      </c>
      <c r="AR172" s="45">
        <f t="shared" si="21"/>
        <v>0</v>
      </c>
      <c r="AS172" s="45">
        <f t="shared" si="22"/>
        <v>0</v>
      </c>
      <c r="AT172" s="45">
        <f t="shared" si="23"/>
        <v>6.4444444444452529</v>
      </c>
      <c r="AU172" s="45" t="str">
        <f>_xlfn.XLOOKUP(U172,'Lista Suspensa'!$AA$20:$AA$23,'Lista Suspensa'!$AB$20:$AB$23,"N/A")</f>
        <v>S</v>
      </c>
    </row>
    <row r="173" spans="1:47" ht="12" customHeight="1" x14ac:dyDescent="0.3">
      <c r="A173" s="87" t="s">
        <v>47</v>
      </c>
      <c r="B173" s="88">
        <v>46104</v>
      </c>
      <c r="C173" s="89" t="s">
        <v>48</v>
      </c>
      <c r="D173" s="89" t="s">
        <v>49</v>
      </c>
      <c r="E173" s="90">
        <v>82420202</v>
      </c>
      <c r="F173" s="184" t="s">
        <v>622</v>
      </c>
      <c r="G173" s="91">
        <v>1600789706</v>
      </c>
      <c r="H173" s="92">
        <v>18776</v>
      </c>
      <c r="I173" s="89">
        <v>74</v>
      </c>
      <c r="J173" s="89" t="s">
        <v>70</v>
      </c>
      <c r="K173" s="89" t="s">
        <v>88</v>
      </c>
      <c r="L173" s="89" t="s">
        <v>89</v>
      </c>
      <c r="M173" s="89" t="s">
        <v>623</v>
      </c>
      <c r="N173" s="89" t="s">
        <v>148</v>
      </c>
      <c r="O173" s="93" t="s">
        <v>624</v>
      </c>
      <c r="P173" s="94" t="s">
        <v>57</v>
      </c>
      <c r="Q173" s="112" t="s">
        <v>58</v>
      </c>
      <c r="R173" s="95">
        <v>46112</v>
      </c>
      <c r="S173" s="96"/>
      <c r="T173" s="96" t="s">
        <v>59</v>
      </c>
      <c r="U173" s="96" t="s">
        <v>60</v>
      </c>
      <c r="V173" s="92">
        <v>46112</v>
      </c>
      <c r="W173" s="92" t="s">
        <v>61</v>
      </c>
      <c r="X173" s="92" t="s">
        <v>61</v>
      </c>
      <c r="Y173" s="97"/>
      <c r="Z173" s="89" t="s">
        <v>62</v>
      </c>
      <c r="AA173" s="96">
        <v>46114.402777777781</v>
      </c>
      <c r="AB173" s="89" t="s">
        <v>63</v>
      </c>
      <c r="AC173" s="111"/>
      <c r="AD173" s="89" t="s">
        <v>64</v>
      </c>
      <c r="AE173" s="89">
        <v>39</v>
      </c>
      <c r="AF173" s="98" t="s">
        <v>126</v>
      </c>
      <c r="AG173" s="98"/>
      <c r="AH173" s="98" t="s">
        <v>66</v>
      </c>
      <c r="AI173" s="99" t="s">
        <v>67</v>
      </c>
      <c r="AJ173" s="99" t="s">
        <v>67</v>
      </c>
      <c r="AK173" s="99" t="s">
        <v>67</v>
      </c>
      <c r="AL173" s="45" t="s">
        <v>68</v>
      </c>
      <c r="AM173" s="162" t="str">
        <f t="shared" si="16"/>
        <v>3/2026</v>
      </c>
      <c r="AN173" s="45">
        <f t="shared" si="17"/>
        <v>4</v>
      </c>
      <c r="AO173" s="45" t="str">
        <f t="shared" si="18"/>
        <v>3/2026</v>
      </c>
      <c r="AP173" s="45">
        <f t="shared" si="19"/>
        <v>5</v>
      </c>
      <c r="AQ173" s="45">
        <f t="shared" si="20"/>
        <v>8</v>
      </c>
      <c r="AR173" s="45">
        <f t="shared" si="21"/>
        <v>0</v>
      </c>
      <c r="AS173" s="45">
        <f t="shared" si="22"/>
        <v>0</v>
      </c>
      <c r="AT173" s="45">
        <f t="shared" si="23"/>
        <v>2.4027777777810115</v>
      </c>
      <c r="AU173" s="45" t="str">
        <f>_xlfn.XLOOKUP(U173,'Lista Suspensa'!$AA$20:$AA$23,'Lista Suspensa'!$AB$20:$AB$23,"N/A")</f>
        <v>S</v>
      </c>
    </row>
    <row r="174" spans="1:47" ht="12" customHeight="1" x14ac:dyDescent="0.3">
      <c r="A174" s="87" t="s">
        <v>47</v>
      </c>
      <c r="B174" s="88">
        <v>46104</v>
      </c>
      <c r="C174" s="89" t="s">
        <v>48</v>
      </c>
      <c r="D174" s="89" t="s">
        <v>49</v>
      </c>
      <c r="E174" s="90">
        <v>78104338</v>
      </c>
      <c r="F174" s="184" t="s">
        <v>625</v>
      </c>
      <c r="G174" s="91">
        <v>3768204707</v>
      </c>
      <c r="H174" s="92">
        <v>27509</v>
      </c>
      <c r="I174" s="89">
        <v>50</v>
      </c>
      <c r="J174" s="89" t="s">
        <v>51</v>
      </c>
      <c r="K174" s="89" t="s">
        <v>88</v>
      </c>
      <c r="L174" s="89" t="s">
        <v>89</v>
      </c>
      <c r="M174" s="89" t="s">
        <v>626</v>
      </c>
      <c r="N174" s="89" t="s">
        <v>148</v>
      </c>
      <c r="O174" s="93" t="s">
        <v>627</v>
      </c>
      <c r="P174" s="94" t="s">
        <v>57</v>
      </c>
      <c r="Q174" s="112" t="s">
        <v>58</v>
      </c>
      <c r="R174" s="95">
        <v>46122</v>
      </c>
      <c r="S174" s="96"/>
      <c r="T174" s="96" t="s">
        <v>59</v>
      </c>
      <c r="U174" s="96" t="s">
        <v>60</v>
      </c>
      <c r="V174" s="92">
        <v>46122</v>
      </c>
      <c r="W174" s="92" t="s">
        <v>61</v>
      </c>
      <c r="X174" s="92" t="s">
        <v>61</v>
      </c>
      <c r="Y174" s="97"/>
      <c r="Z174" s="89" t="s">
        <v>62</v>
      </c>
      <c r="AA174" s="96">
        <v>46118</v>
      </c>
      <c r="AB174" s="89" t="s">
        <v>80</v>
      </c>
      <c r="AC174" s="111"/>
      <c r="AD174" s="89"/>
      <c r="AE174" s="89"/>
      <c r="AF174" s="98"/>
      <c r="AG174" s="98"/>
      <c r="AH174" s="98"/>
      <c r="AI174" s="99" t="s">
        <v>67</v>
      </c>
      <c r="AJ174" s="99" t="s">
        <v>67</v>
      </c>
      <c r="AK174" s="99" t="s">
        <v>67</v>
      </c>
      <c r="AL174" s="45" t="s">
        <v>68</v>
      </c>
      <c r="AM174" s="162" t="str">
        <f t="shared" si="16"/>
        <v>3/2026</v>
      </c>
      <c r="AN174" s="45">
        <f t="shared" si="17"/>
        <v>4</v>
      </c>
      <c r="AO174" s="45" t="str">
        <f t="shared" si="18"/>
        <v>4/2026</v>
      </c>
      <c r="AP174" s="45">
        <f t="shared" si="19"/>
        <v>2</v>
      </c>
      <c r="AQ174" s="45">
        <f t="shared" si="20"/>
        <v>18</v>
      </c>
      <c r="AR174" s="45">
        <f t="shared" si="21"/>
        <v>0</v>
      </c>
      <c r="AS174" s="45">
        <f t="shared" si="22"/>
        <v>0</v>
      </c>
      <c r="AT174" s="45">
        <f t="shared" si="23"/>
        <v>0</v>
      </c>
      <c r="AU174" s="45" t="str">
        <f>_xlfn.XLOOKUP(U174,'Lista Suspensa'!$AA$20:$AA$23,'Lista Suspensa'!$AB$20:$AB$23,"N/A")</f>
        <v>S</v>
      </c>
    </row>
    <row r="175" spans="1:47" ht="12" customHeight="1" x14ac:dyDescent="0.3">
      <c r="A175" s="87" t="s">
        <v>47</v>
      </c>
      <c r="B175" s="88">
        <v>46104</v>
      </c>
      <c r="C175" s="89" t="s">
        <v>48</v>
      </c>
      <c r="D175" s="89" t="s">
        <v>49</v>
      </c>
      <c r="E175" s="90">
        <v>86437225</v>
      </c>
      <c r="F175" s="184" t="s">
        <v>628</v>
      </c>
      <c r="G175" s="91">
        <v>1562026704</v>
      </c>
      <c r="H175" s="92">
        <v>25886</v>
      </c>
      <c r="I175" s="89">
        <v>55</v>
      </c>
      <c r="J175" s="89" t="s">
        <v>70</v>
      </c>
      <c r="K175" s="89" t="s">
        <v>88</v>
      </c>
      <c r="L175" s="89" t="s">
        <v>629</v>
      </c>
      <c r="M175" s="89" t="s">
        <v>630</v>
      </c>
      <c r="N175" s="89" t="s">
        <v>148</v>
      </c>
      <c r="O175" s="93" t="s">
        <v>631</v>
      </c>
      <c r="P175" s="94" t="s">
        <v>57</v>
      </c>
      <c r="Q175" s="112" t="s">
        <v>58</v>
      </c>
      <c r="R175" s="95">
        <v>46108</v>
      </c>
      <c r="S175" s="96"/>
      <c r="T175" s="96" t="s">
        <v>59</v>
      </c>
      <c r="U175" s="96" t="s">
        <v>60</v>
      </c>
      <c r="V175" s="92">
        <v>46108</v>
      </c>
      <c r="W175" s="92" t="s">
        <v>61</v>
      </c>
      <c r="X175" s="92" t="s">
        <v>61</v>
      </c>
      <c r="Y175" s="97"/>
      <c r="Z175" s="89" t="s">
        <v>62</v>
      </c>
      <c r="AA175" s="96">
        <v>46108.597222222219</v>
      </c>
      <c r="AB175" s="89" t="s">
        <v>63</v>
      </c>
      <c r="AC175" s="111"/>
      <c r="AD175" s="89" t="s">
        <v>64</v>
      </c>
      <c r="AE175" s="89">
        <v>54</v>
      </c>
      <c r="AF175" s="98" t="s">
        <v>126</v>
      </c>
      <c r="AG175" s="98"/>
      <c r="AH175" s="98" t="s">
        <v>66</v>
      </c>
      <c r="AI175" s="99" t="s">
        <v>67</v>
      </c>
      <c r="AJ175" s="99" t="s">
        <v>67</v>
      </c>
      <c r="AK175" s="99" t="s">
        <v>67</v>
      </c>
      <c r="AL175" s="45" t="s">
        <v>68</v>
      </c>
      <c r="AM175" s="162" t="str">
        <f t="shared" si="16"/>
        <v>3/2026</v>
      </c>
      <c r="AN175" s="45">
        <f t="shared" si="17"/>
        <v>4</v>
      </c>
      <c r="AO175" s="45" t="str">
        <f t="shared" si="18"/>
        <v>3/2026</v>
      </c>
      <c r="AP175" s="45">
        <f t="shared" si="19"/>
        <v>4</v>
      </c>
      <c r="AQ175" s="45">
        <f t="shared" si="20"/>
        <v>4</v>
      </c>
      <c r="AR175" s="45">
        <f t="shared" si="21"/>
        <v>0</v>
      </c>
      <c r="AS175" s="45">
        <f t="shared" si="22"/>
        <v>0</v>
      </c>
      <c r="AT175" s="45">
        <f t="shared" si="23"/>
        <v>0.59722222221898846</v>
      </c>
      <c r="AU175" s="45" t="str">
        <f>_xlfn.XLOOKUP(U175,'Lista Suspensa'!$AA$20:$AA$23,'Lista Suspensa'!$AB$20:$AB$23,"N/A")</f>
        <v>S</v>
      </c>
    </row>
    <row r="176" spans="1:47" ht="12" customHeight="1" x14ac:dyDescent="0.3">
      <c r="A176" s="87" t="s">
        <v>47</v>
      </c>
      <c r="B176" s="88">
        <v>46104</v>
      </c>
      <c r="C176" s="89" t="s">
        <v>48</v>
      </c>
      <c r="D176" s="89" t="s">
        <v>49</v>
      </c>
      <c r="E176" s="90">
        <v>79956775</v>
      </c>
      <c r="F176" s="184" t="s">
        <v>632</v>
      </c>
      <c r="G176" s="91">
        <v>48393762715</v>
      </c>
      <c r="H176" s="92">
        <v>20537</v>
      </c>
      <c r="I176" s="89">
        <v>69</v>
      </c>
      <c r="J176" s="89" t="s">
        <v>51</v>
      </c>
      <c r="K176" s="89" t="s">
        <v>88</v>
      </c>
      <c r="L176" s="89" t="s">
        <v>89</v>
      </c>
      <c r="M176" s="89" t="s">
        <v>633</v>
      </c>
      <c r="N176" s="89" t="s">
        <v>148</v>
      </c>
      <c r="O176" s="93" t="s">
        <v>634</v>
      </c>
      <c r="P176" s="94" t="s">
        <v>57</v>
      </c>
      <c r="Q176" s="112" t="s">
        <v>58</v>
      </c>
      <c r="R176" s="95">
        <v>46112</v>
      </c>
      <c r="S176" s="96"/>
      <c r="T176" s="96" t="s">
        <v>59</v>
      </c>
      <c r="U176" s="96" t="s">
        <v>60</v>
      </c>
      <c r="V176" s="92">
        <v>46112</v>
      </c>
      <c r="W176" s="92" t="s">
        <v>61</v>
      </c>
      <c r="X176" s="92" t="s">
        <v>61</v>
      </c>
      <c r="Y176" s="97"/>
      <c r="Z176" s="89" t="s">
        <v>62</v>
      </c>
      <c r="AA176" s="96">
        <v>46114.416666666664</v>
      </c>
      <c r="AB176" s="89" t="s">
        <v>63</v>
      </c>
      <c r="AC176" s="111" t="s">
        <v>635</v>
      </c>
      <c r="AD176" s="89"/>
      <c r="AE176" s="89"/>
      <c r="AF176" s="98"/>
      <c r="AG176" s="98"/>
      <c r="AH176" s="98"/>
      <c r="AI176" s="99" t="s">
        <v>67</v>
      </c>
      <c r="AJ176" s="99" t="s">
        <v>67</v>
      </c>
      <c r="AK176" s="99" t="s">
        <v>67</v>
      </c>
      <c r="AL176" s="45" t="s">
        <v>68</v>
      </c>
      <c r="AM176" s="162" t="str">
        <f t="shared" si="16"/>
        <v>3/2026</v>
      </c>
      <c r="AN176" s="45">
        <f t="shared" si="17"/>
        <v>4</v>
      </c>
      <c r="AO176" s="45" t="str">
        <f t="shared" si="18"/>
        <v>3/2026</v>
      </c>
      <c r="AP176" s="45">
        <f t="shared" si="19"/>
        <v>5</v>
      </c>
      <c r="AQ176" s="45">
        <f t="shared" si="20"/>
        <v>8</v>
      </c>
      <c r="AR176" s="45">
        <f t="shared" si="21"/>
        <v>0</v>
      </c>
      <c r="AS176" s="45">
        <f t="shared" si="22"/>
        <v>0</v>
      </c>
      <c r="AT176" s="45">
        <f t="shared" si="23"/>
        <v>2.4166666666642413</v>
      </c>
      <c r="AU176" s="45" t="str">
        <f>_xlfn.XLOOKUP(U176,'Lista Suspensa'!$AA$20:$AA$23,'Lista Suspensa'!$AB$20:$AB$23,"N/A")</f>
        <v>S</v>
      </c>
    </row>
    <row r="177" spans="1:47" ht="12" customHeight="1" x14ac:dyDescent="0.3">
      <c r="A177" s="87" t="s">
        <v>47</v>
      </c>
      <c r="B177" s="88">
        <v>46104</v>
      </c>
      <c r="C177" s="89" t="s">
        <v>48</v>
      </c>
      <c r="D177" s="89" t="s">
        <v>49</v>
      </c>
      <c r="E177" s="90">
        <v>93018914</v>
      </c>
      <c r="F177" s="184" t="s">
        <v>636</v>
      </c>
      <c r="G177" s="91">
        <v>94415129820</v>
      </c>
      <c r="H177" s="92">
        <v>22157</v>
      </c>
      <c r="I177" s="89">
        <v>65</v>
      </c>
      <c r="J177" s="89" t="s">
        <v>70</v>
      </c>
      <c r="K177" s="89" t="s">
        <v>52</v>
      </c>
      <c r="L177" s="89" t="s">
        <v>518</v>
      </c>
      <c r="M177" s="89" t="s">
        <v>637</v>
      </c>
      <c r="N177" s="89" t="s">
        <v>148</v>
      </c>
      <c r="O177" s="93" t="s">
        <v>638</v>
      </c>
      <c r="P177" s="94" t="s">
        <v>57</v>
      </c>
      <c r="Q177" s="112" t="s">
        <v>58</v>
      </c>
      <c r="R177" s="95">
        <v>46122</v>
      </c>
      <c r="S177" s="96"/>
      <c r="T177" s="96" t="s">
        <v>59</v>
      </c>
      <c r="U177" s="96" t="s">
        <v>60</v>
      </c>
      <c r="V177" s="92">
        <v>46122</v>
      </c>
      <c r="W177" s="92" t="s">
        <v>61</v>
      </c>
      <c r="X177" s="92" t="s">
        <v>61</v>
      </c>
      <c r="Y177" s="97"/>
      <c r="Z177" s="89" t="s">
        <v>62</v>
      </c>
      <c r="AA177" s="96">
        <v>46129</v>
      </c>
      <c r="AB177" s="89" t="s">
        <v>63</v>
      </c>
      <c r="AC177" s="111"/>
      <c r="AD177" s="89" t="s">
        <v>64</v>
      </c>
      <c r="AE177" s="89">
        <v>50</v>
      </c>
      <c r="AF177" s="98" t="s">
        <v>65</v>
      </c>
      <c r="AG177" s="98"/>
      <c r="AH177" s="98" t="s">
        <v>66</v>
      </c>
      <c r="AI177" s="99" t="s">
        <v>67</v>
      </c>
      <c r="AJ177" s="99" t="s">
        <v>67</v>
      </c>
      <c r="AK177" s="99" t="s">
        <v>67</v>
      </c>
      <c r="AL177" s="45" t="s">
        <v>68</v>
      </c>
      <c r="AM177" s="162" t="str">
        <f t="shared" si="16"/>
        <v>3/2026</v>
      </c>
      <c r="AN177" s="45">
        <f t="shared" si="17"/>
        <v>4</v>
      </c>
      <c r="AO177" s="45" t="str">
        <f t="shared" si="18"/>
        <v>4/2026</v>
      </c>
      <c r="AP177" s="45">
        <f t="shared" si="19"/>
        <v>2</v>
      </c>
      <c r="AQ177" s="45">
        <f t="shared" si="20"/>
        <v>18</v>
      </c>
      <c r="AR177" s="45">
        <f t="shared" si="21"/>
        <v>0</v>
      </c>
      <c r="AS177" s="45">
        <f t="shared" si="22"/>
        <v>0</v>
      </c>
      <c r="AT177" s="45">
        <f t="shared" si="23"/>
        <v>7</v>
      </c>
      <c r="AU177" s="45" t="str">
        <f>_xlfn.XLOOKUP(U177,'Lista Suspensa'!$AA$20:$AA$23,'Lista Suspensa'!$AB$20:$AB$23,"N/A")</f>
        <v>S</v>
      </c>
    </row>
    <row r="178" spans="1:47" ht="12" customHeight="1" x14ac:dyDescent="0.3">
      <c r="A178" s="87" t="s">
        <v>47</v>
      </c>
      <c r="B178" s="88">
        <v>46104</v>
      </c>
      <c r="C178" s="89" t="s">
        <v>48</v>
      </c>
      <c r="D178" s="89" t="s">
        <v>49</v>
      </c>
      <c r="E178" s="90">
        <v>79280847</v>
      </c>
      <c r="F178" s="184" t="s">
        <v>639</v>
      </c>
      <c r="G178" s="91">
        <v>41415345791</v>
      </c>
      <c r="H178" s="92">
        <v>19175</v>
      </c>
      <c r="I178" s="89">
        <v>73</v>
      </c>
      <c r="J178" s="89" t="s">
        <v>51</v>
      </c>
      <c r="K178" s="89" t="s">
        <v>88</v>
      </c>
      <c r="L178" s="89" t="s">
        <v>629</v>
      </c>
      <c r="M178" s="89" t="s">
        <v>640</v>
      </c>
      <c r="N178" s="89" t="s">
        <v>148</v>
      </c>
      <c r="O178" s="93" t="s">
        <v>641</v>
      </c>
      <c r="P178" s="94" t="s">
        <v>57</v>
      </c>
      <c r="Q178" s="112" t="s">
        <v>58</v>
      </c>
      <c r="R178" s="95">
        <v>46128</v>
      </c>
      <c r="S178" s="96"/>
      <c r="T178" s="96" t="s">
        <v>59</v>
      </c>
      <c r="U178" s="96" t="s">
        <v>60</v>
      </c>
      <c r="V178" s="92">
        <v>46122</v>
      </c>
      <c r="W178" s="92">
        <v>46128</v>
      </c>
      <c r="X178" s="92" t="s">
        <v>61</v>
      </c>
      <c r="Y178" s="97"/>
      <c r="Z178" s="89" t="s">
        <v>62</v>
      </c>
      <c r="AA178" s="96">
        <v>46129</v>
      </c>
      <c r="AB178" s="89" t="s">
        <v>63</v>
      </c>
      <c r="AC178" s="111"/>
      <c r="AD178" s="89" t="s">
        <v>86</v>
      </c>
      <c r="AE178" s="89">
        <v>38</v>
      </c>
      <c r="AF178" s="98" t="s">
        <v>126</v>
      </c>
      <c r="AG178" s="98"/>
      <c r="AH178" s="98" t="s">
        <v>139</v>
      </c>
      <c r="AI178" s="99" t="s">
        <v>67</v>
      </c>
      <c r="AJ178" s="99" t="s">
        <v>67</v>
      </c>
      <c r="AK178" s="99" t="s">
        <v>67</v>
      </c>
      <c r="AL178" s="45" t="s">
        <v>68</v>
      </c>
      <c r="AM178" s="162" t="str">
        <f t="shared" si="16"/>
        <v>3/2026</v>
      </c>
      <c r="AN178" s="45">
        <f t="shared" si="17"/>
        <v>4</v>
      </c>
      <c r="AO178" s="45" t="str">
        <f t="shared" si="18"/>
        <v>4/2026</v>
      </c>
      <c r="AP178" s="45">
        <f t="shared" si="19"/>
        <v>3</v>
      </c>
      <c r="AQ178" s="45">
        <f t="shared" si="20"/>
        <v>24</v>
      </c>
      <c r="AR178" s="45">
        <f t="shared" si="21"/>
        <v>0</v>
      </c>
      <c r="AS178" s="45">
        <f t="shared" si="22"/>
        <v>6</v>
      </c>
      <c r="AT178" s="45">
        <f t="shared" si="23"/>
        <v>1</v>
      </c>
      <c r="AU178" s="45" t="str">
        <f>_xlfn.XLOOKUP(U178,'Lista Suspensa'!$AA$20:$AA$23,'Lista Suspensa'!$AB$20:$AB$23,"N/A")</f>
        <v>S</v>
      </c>
    </row>
    <row r="179" spans="1:47" ht="12" customHeight="1" x14ac:dyDescent="0.3">
      <c r="A179" s="87" t="s">
        <v>47</v>
      </c>
      <c r="B179" s="88">
        <v>46104</v>
      </c>
      <c r="C179" s="89" t="s">
        <v>48</v>
      </c>
      <c r="D179" s="89" t="s">
        <v>49</v>
      </c>
      <c r="E179" s="90">
        <v>451795717</v>
      </c>
      <c r="F179" s="184" t="s">
        <v>642</v>
      </c>
      <c r="G179" s="91">
        <v>4417917868</v>
      </c>
      <c r="H179" s="92">
        <v>17381</v>
      </c>
      <c r="I179" s="89">
        <v>78</v>
      </c>
      <c r="J179" s="89" t="s">
        <v>51</v>
      </c>
      <c r="K179" s="89" t="s">
        <v>52</v>
      </c>
      <c r="L179" s="89" t="s">
        <v>53</v>
      </c>
      <c r="M179" s="89" t="s">
        <v>643</v>
      </c>
      <c r="N179" s="89" t="s">
        <v>170</v>
      </c>
      <c r="O179" s="93" t="s">
        <v>644</v>
      </c>
      <c r="P179" s="94" t="s">
        <v>57</v>
      </c>
      <c r="Q179" s="112" t="s">
        <v>58</v>
      </c>
      <c r="R179" s="95">
        <v>46112</v>
      </c>
      <c r="S179" s="96"/>
      <c r="T179" s="96" t="s">
        <v>59</v>
      </c>
      <c r="U179" s="96" t="s">
        <v>60</v>
      </c>
      <c r="V179" s="92">
        <v>46112</v>
      </c>
      <c r="W179" s="92" t="s">
        <v>61</v>
      </c>
      <c r="X179" s="92" t="s">
        <v>61</v>
      </c>
      <c r="Y179" s="97"/>
      <c r="Z179" s="89" t="s">
        <v>62</v>
      </c>
      <c r="AA179" s="96">
        <v>46115.416666666664</v>
      </c>
      <c r="AB179" s="89" t="s">
        <v>63</v>
      </c>
      <c r="AC179" s="111"/>
      <c r="AD179" s="89" t="s">
        <v>86</v>
      </c>
      <c r="AE179" s="89">
        <v>60</v>
      </c>
      <c r="AF179" s="98" t="s">
        <v>138</v>
      </c>
      <c r="AG179" s="98"/>
      <c r="AH179" s="98" t="s">
        <v>66</v>
      </c>
      <c r="AI179" s="99" t="s">
        <v>67</v>
      </c>
      <c r="AJ179" s="99" t="s">
        <v>67</v>
      </c>
      <c r="AK179" s="99" t="s">
        <v>67</v>
      </c>
      <c r="AL179" s="45" t="s">
        <v>68</v>
      </c>
      <c r="AM179" s="162" t="str">
        <f t="shared" si="16"/>
        <v>3/2026</v>
      </c>
      <c r="AN179" s="45">
        <f t="shared" si="17"/>
        <v>4</v>
      </c>
      <c r="AO179" s="45" t="str">
        <f t="shared" si="18"/>
        <v>3/2026</v>
      </c>
      <c r="AP179" s="45">
        <f t="shared" si="19"/>
        <v>5</v>
      </c>
      <c r="AQ179" s="45">
        <f t="shared" si="20"/>
        <v>8</v>
      </c>
      <c r="AR179" s="45">
        <f t="shared" si="21"/>
        <v>0</v>
      </c>
      <c r="AS179" s="45">
        <f t="shared" si="22"/>
        <v>0</v>
      </c>
      <c r="AT179" s="45">
        <f t="shared" si="23"/>
        <v>3.4166666666642413</v>
      </c>
      <c r="AU179" s="45" t="str">
        <f>_xlfn.XLOOKUP(U179,'Lista Suspensa'!$AA$20:$AA$23,'Lista Suspensa'!$AB$20:$AB$23,"N/A")</f>
        <v>S</v>
      </c>
    </row>
    <row r="180" spans="1:47" ht="12" customHeight="1" x14ac:dyDescent="0.3">
      <c r="A180" s="87" t="s">
        <v>47</v>
      </c>
      <c r="B180" s="88">
        <v>46104</v>
      </c>
      <c r="C180" s="89" t="s">
        <v>48</v>
      </c>
      <c r="D180" s="89" t="s">
        <v>49</v>
      </c>
      <c r="E180" s="90">
        <v>93784307</v>
      </c>
      <c r="F180" s="184" t="s">
        <v>645</v>
      </c>
      <c r="G180" s="91">
        <v>2809288747</v>
      </c>
      <c r="H180" s="92">
        <v>26823</v>
      </c>
      <c r="I180" s="89">
        <v>52</v>
      </c>
      <c r="J180" s="89" t="s">
        <v>70</v>
      </c>
      <c r="K180" s="89" t="s">
        <v>88</v>
      </c>
      <c r="L180" s="89" t="s">
        <v>89</v>
      </c>
      <c r="M180" s="89" t="s">
        <v>324</v>
      </c>
      <c r="N180" s="89" t="s">
        <v>181</v>
      </c>
      <c r="O180" s="93" t="s">
        <v>646</v>
      </c>
      <c r="P180" s="94" t="s">
        <v>57</v>
      </c>
      <c r="Q180" s="112" t="s">
        <v>58</v>
      </c>
      <c r="R180" s="95">
        <v>46112</v>
      </c>
      <c r="S180" s="96"/>
      <c r="T180" s="96" t="s">
        <v>59</v>
      </c>
      <c r="U180" s="96" t="s">
        <v>60</v>
      </c>
      <c r="V180" s="92">
        <v>46112</v>
      </c>
      <c r="W180" s="92" t="s">
        <v>61</v>
      </c>
      <c r="X180" s="92" t="s">
        <v>61</v>
      </c>
      <c r="Y180" s="97"/>
      <c r="Z180" s="89" t="s">
        <v>62</v>
      </c>
      <c r="AA180" s="96">
        <v>46115.486111111109</v>
      </c>
      <c r="AB180" s="89" t="s">
        <v>80</v>
      </c>
      <c r="AC180" s="111"/>
      <c r="AD180" s="89"/>
      <c r="AE180" s="89"/>
      <c r="AF180" s="98"/>
      <c r="AG180" s="98"/>
      <c r="AH180" s="98"/>
      <c r="AI180" s="99" t="s">
        <v>67</v>
      </c>
      <c r="AJ180" s="99" t="s">
        <v>67</v>
      </c>
      <c r="AK180" s="99" t="s">
        <v>67</v>
      </c>
      <c r="AL180" s="45" t="s">
        <v>68</v>
      </c>
      <c r="AM180" s="162" t="str">
        <f t="shared" si="16"/>
        <v>3/2026</v>
      </c>
      <c r="AN180" s="45">
        <f t="shared" si="17"/>
        <v>4</v>
      </c>
      <c r="AO180" s="45" t="str">
        <f t="shared" si="18"/>
        <v>3/2026</v>
      </c>
      <c r="AP180" s="45">
        <f t="shared" si="19"/>
        <v>5</v>
      </c>
      <c r="AQ180" s="45">
        <f t="shared" si="20"/>
        <v>8</v>
      </c>
      <c r="AR180" s="45">
        <f t="shared" si="21"/>
        <v>0</v>
      </c>
      <c r="AS180" s="45">
        <f t="shared" si="22"/>
        <v>0</v>
      </c>
      <c r="AT180" s="45">
        <f t="shared" si="23"/>
        <v>0</v>
      </c>
      <c r="AU180" s="45" t="str">
        <f>_xlfn.XLOOKUP(U180,'Lista Suspensa'!$AA$20:$AA$23,'Lista Suspensa'!$AB$20:$AB$23,"N/A")</f>
        <v>S</v>
      </c>
    </row>
    <row r="181" spans="1:47" ht="12" customHeight="1" x14ac:dyDescent="0.3">
      <c r="A181" s="87" t="s">
        <v>47</v>
      </c>
      <c r="B181" s="88">
        <v>46104</v>
      </c>
      <c r="C181" s="89" t="s">
        <v>48</v>
      </c>
      <c r="D181" s="89" t="s">
        <v>49</v>
      </c>
      <c r="E181" s="90">
        <v>89739207</v>
      </c>
      <c r="F181" s="184" t="s">
        <v>647</v>
      </c>
      <c r="G181" s="91">
        <v>7221443777</v>
      </c>
      <c r="H181" s="92">
        <v>27170</v>
      </c>
      <c r="I181" s="89">
        <v>51</v>
      </c>
      <c r="J181" s="89" t="s">
        <v>51</v>
      </c>
      <c r="K181" s="89" t="s">
        <v>88</v>
      </c>
      <c r="L181" s="89" t="s">
        <v>89</v>
      </c>
      <c r="M181" s="89" t="s">
        <v>522</v>
      </c>
      <c r="N181" s="89" t="s">
        <v>181</v>
      </c>
      <c r="O181" s="93" t="s">
        <v>648</v>
      </c>
      <c r="P181" s="94" t="s">
        <v>57</v>
      </c>
      <c r="Q181" s="112" t="s">
        <v>58</v>
      </c>
      <c r="R181" s="95">
        <v>46112</v>
      </c>
      <c r="S181" s="96"/>
      <c r="T181" s="96" t="s">
        <v>59</v>
      </c>
      <c r="U181" s="96" t="s">
        <v>60</v>
      </c>
      <c r="V181" s="92">
        <v>46112</v>
      </c>
      <c r="W181" s="92" t="s">
        <v>61</v>
      </c>
      <c r="X181" s="92" t="s">
        <v>61</v>
      </c>
      <c r="Y181" s="97"/>
      <c r="Z181" s="89" t="s">
        <v>62</v>
      </c>
      <c r="AA181" s="96">
        <v>46115.513888888891</v>
      </c>
      <c r="AB181" s="89" t="s">
        <v>63</v>
      </c>
      <c r="AC181" s="111"/>
      <c r="AD181" s="89" t="s">
        <v>64</v>
      </c>
      <c r="AE181" s="89">
        <v>51</v>
      </c>
      <c r="AF181" s="98" t="s">
        <v>138</v>
      </c>
      <c r="AG181" s="98"/>
      <c r="AH181" s="98" t="s">
        <v>66</v>
      </c>
      <c r="AI181" s="99" t="s">
        <v>67</v>
      </c>
      <c r="AJ181" s="99" t="s">
        <v>67</v>
      </c>
      <c r="AK181" s="99" t="s">
        <v>67</v>
      </c>
      <c r="AL181" s="45" t="s">
        <v>68</v>
      </c>
      <c r="AM181" s="162" t="str">
        <f t="shared" si="16"/>
        <v>3/2026</v>
      </c>
      <c r="AN181" s="45">
        <f t="shared" si="17"/>
        <v>4</v>
      </c>
      <c r="AO181" s="45" t="str">
        <f t="shared" si="18"/>
        <v>3/2026</v>
      </c>
      <c r="AP181" s="45">
        <f t="shared" si="19"/>
        <v>5</v>
      </c>
      <c r="AQ181" s="45">
        <f t="shared" si="20"/>
        <v>8</v>
      </c>
      <c r="AR181" s="45">
        <f t="shared" si="21"/>
        <v>0</v>
      </c>
      <c r="AS181" s="45">
        <f t="shared" si="22"/>
        <v>0</v>
      </c>
      <c r="AT181" s="45">
        <f t="shared" si="23"/>
        <v>3.5138888888905058</v>
      </c>
      <c r="AU181" s="45" t="str">
        <f>_xlfn.XLOOKUP(U181,'Lista Suspensa'!$AA$20:$AA$23,'Lista Suspensa'!$AB$20:$AB$23,"N/A")</f>
        <v>S</v>
      </c>
    </row>
    <row r="182" spans="1:47" ht="12" customHeight="1" x14ac:dyDescent="0.3">
      <c r="A182" s="87" t="s">
        <v>47</v>
      </c>
      <c r="B182" s="88">
        <v>46104</v>
      </c>
      <c r="C182" s="89" t="s">
        <v>48</v>
      </c>
      <c r="D182" s="89" t="s">
        <v>49</v>
      </c>
      <c r="E182" s="90">
        <v>88315401</v>
      </c>
      <c r="F182" s="184" t="s">
        <v>649</v>
      </c>
      <c r="G182" s="91">
        <v>27716543857</v>
      </c>
      <c r="H182" s="92">
        <v>29452</v>
      </c>
      <c r="I182" s="89">
        <v>45</v>
      </c>
      <c r="J182" s="89" t="s">
        <v>70</v>
      </c>
      <c r="K182" s="89" t="s">
        <v>52</v>
      </c>
      <c r="L182" s="89" t="s">
        <v>160</v>
      </c>
      <c r="M182" s="89" t="s">
        <v>650</v>
      </c>
      <c r="N182" s="89" t="s">
        <v>185</v>
      </c>
      <c r="O182" s="93" t="s">
        <v>651</v>
      </c>
      <c r="P182" s="94" t="s">
        <v>57</v>
      </c>
      <c r="Q182" s="112" t="s">
        <v>58</v>
      </c>
      <c r="R182" s="95">
        <v>46128</v>
      </c>
      <c r="S182" s="96"/>
      <c r="T182" s="96" t="s">
        <v>59</v>
      </c>
      <c r="U182" s="96" t="s">
        <v>60</v>
      </c>
      <c r="V182" s="92">
        <v>46122</v>
      </c>
      <c r="W182" s="92">
        <v>46128</v>
      </c>
      <c r="X182" s="92" t="s">
        <v>61</v>
      </c>
      <c r="Y182" s="97"/>
      <c r="Z182" s="89" t="s">
        <v>62</v>
      </c>
      <c r="AA182" s="96">
        <v>46129</v>
      </c>
      <c r="AB182" s="89" t="s">
        <v>63</v>
      </c>
      <c r="AC182" s="111"/>
      <c r="AD182" s="89" t="s">
        <v>86</v>
      </c>
      <c r="AE182" s="89">
        <v>41</v>
      </c>
      <c r="AF182" s="98" t="s">
        <v>248</v>
      </c>
      <c r="AG182" s="98"/>
      <c r="AH182" s="98" t="s">
        <v>139</v>
      </c>
      <c r="AI182" s="99" t="s">
        <v>67</v>
      </c>
      <c r="AJ182" s="99" t="s">
        <v>67</v>
      </c>
      <c r="AK182" s="99" t="s">
        <v>67</v>
      </c>
      <c r="AL182" s="45" t="s">
        <v>68</v>
      </c>
      <c r="AM182" s="162" t="str">
        <f t="shared" si="16"/>
        <v>3/2026</v>
      </c>
      <c r="AN182" s="45">
        <f t="shared" si="17"/>
        <v>4</v>
      </c>
      <c r="AO182" s="45" t="str">
        <f t="shared" si="18"/>
        <v>4/2026</v>
      </c>
      <c r="AP182" s="45">
        <f t="shared" si="19"/>
        <v>3</v>
      </c>
      <c r="AQ182" s="45">
        <f t="shared" si="20"/>
        <v>24</v>
      </c>
      <c r="AR182" s="45">
        <f t="shared" si="21"/>
        <v>0</v>
      </c>
      <c r="AS182" s="45">
        <f t="shared" si="22"/>
        <v>6</v>
      </c>
      <c r="AT182" s="45">
        <f t="shared" si="23"/>
        <v>1</v>
      </c>
      <c r="AU182" s="45" t="str">
        <f>_xlfn.XLOOKUP(U182,'Lista Suspensa'!$AA$20:$AA$23,'Lista Suspensa'!$AB$20:$AB$23,"N/A")</f>
        <v>S</v>
      </c>
    </row>
    <row r="183" spans="1:47" ht="12" customHeight="1" x14ac:dyDescent="0.3">
      <c r="A183" s="87" t="s">
        <v>47</v>
      </c>
      <c r="B183" s="88">
        <v>46104</v>
      </c>
      <c r="C183" s="89" t="s">
        <v>48</v>
      </c>
      <c r="D183" s="89" t="s">
        <v>49</v>
      </c>
      <c r="E183" s="90">
        <v>95550792</v>
      </c>
      <c r="F183" s="184" t="s">
        <v>652</v>
      </c>
      <c r="G183" s="91">
        <v>5571411848</v>
      </c>
      <c r="H183" s="92">
        <v>23806</v>
      </c>
      <c r="I183" s="89">
        <v>61</v>
      </c>
      <c r="J183" s="89" t="s">
        <v>51</v>
      </c>
      <c r="K183" s="89" t="s">
        <v>52</v>
      </c>
      <c r="L183" s="89" t="s">
        <v>53</v>
      </c>
      <c r="M183" s="89" t="s">
        <v>389</v>
      </c>
      <c r="N183" s="89" t="s">
        <v>185</v>
      </c>
      <c r="O183" s="93" t="s">
        <v>653</v>
      </c>
      <c r="P183" s="94" t="s">
        <v>57</v>
      </c>
      <c r="Q183" s="112" t="s">
        <v>58</v>
      </c>
      <c r="R183" s="95">
        <v>46128</v>
      </c>
      <c r="S183" s="96"/>
      <c r="T183" s="96" t="s">
        <v>59</v>
      </c>
      <c r="U183" s="96" t="s">
        <v>60</v>
      </c>
      <c r="V183" s="92">
        <v>46122</v>
      </c>
      <c r="W183" s="92">
        <v>46128</v>
      </c>
      <c r="X183" s="92" t="s">
        <v>61</v>
      </c>
      <c r="Y183" s="97"/>
      <c r="Z183" s="89" t="s">
        <v>62</v>
      </c>
      <c r="AA183" s="96">
        <v>46128</v>
      </c>
      <c r="AB183" s="89" t="s">
        <v>63</v>
      </c>
      <c r="AC183" s="111"/>
      <c r="AD183" s="89" t="s">
        <v>64</v>
      </c>
      <c r="AE183" s="89">
        <v>65</v>
      </c>
      <c r="AF183" s="98" t="s">
        <v>65</v>
      </c>
      <c r="AG183" s="98"/>
      <c r="AH183" s="98" t="s">
        <v>139</v>
      </c>
      <c r="AI183" s="99" t="s">
        <v>67</v>
      </c>
      <c r="AJ183" s="99" t="s">
        <v>67</v>
      </c>
      <c r="AK183" s="99" t="s">
        <v>67</v>
      </c>
      <c r="AL183" s="45" t="s">
        <v>68</v>
      </c>
      <c r="AM183" s="162" t="str">
        <f t="shared" si="16"/>
        <v>3/2026</v>
      </c>
      <c r="AN183" s="45">
        <f t="shared" si="17"/>
        <v>4</v>
      </c>
      <c r="AO183" s="45" t="str">
        <f t="shared" si="18"/>
        <v>4/2026</v>
      </c>
      <c r="AP183" s="45">
        <f t="shared" si="19"/>
        <v>3</v>
      </c>
      <c r="AQ183" s="45">
        <f t="shared" si="20"/>
        <v>24</v>
      </c>
      <c r="AR183" s="45">
        <f t="shared" si="21"/>
        <v>0</v>
      </c>
      <c r="AS183" s="45">
        <f t="shared" si="22"/>
        <v>6</v>
      </c>
      <c r="AT183" s="45">
        <f t="shared" si="23"/>
        <v>0</v>
      </c>
      <c r="AU183" s="45" t="str">
        <f>_xlfn.XLOOKUP(U183,'Lista Suspensa'!$AA$20:$AA$23,'Lista Suspensa'!$AB$20:$AB$23,"N/A")</f>
        <v>S</v>
      </c>
    </row>
    <row r="184" spans="1:47" ht="12" customHeight="1" x14ac:dyDescent="0.3">
      <c r="A184" s="87" t="s">
        <v>47</v>
      </c>
      <c r="B184" s="88">
        <v>46104</v>
      </c>
      <c r="C184" s="89" t="s">
        <v>48</v>
      </c>
      <c r="D184" s="89" t="s">
        <v>49</v>
      </c>
      <c r="E184" s="90">
        <v>805760881</v>
      </c>
      <c r="F184" s="184" t="s">
        <v>654</v>
      </c>
      <c r="G184" s="91">
        <v>8266267855</v>
      </c>
      <c r="H184" s="92">
        <v>23178</v>
      </c>
      <c r="I184" s="89">
        <v>62</v>
      </c>
      <c r="J184" s="89" t="s">
        <v>51</v>
      </c>
      <c r="K184" s="89" t="s">
        <v>52</v>
      </c>
      <c r="L184" s="89" t="s">
        <v>53</v>
      </c>
      <c r="M184" s="89" t="s">
        <v>263</v>
      </c>
      <c r="N184" s="89" t="s">
        <v>252</v>
      </c>
      <c r="O184" s="93" t="s">
        <v>655</v>
      </c>
      <c r="P184" s="94" t="s">
        <v>57</v>
      </c>
      <c r="Q184" s="112" t="s">
        <v>58</v>
      </c>
      <c r="R184" s="95">
        <v>46140</v>
      </c>
      <c r="S184" s="96"/>
      <c r="T184" s="96" t="s">
        <v>59</v>
      </c>
      <c r="U184" s="96" t="s">
        <v>60</v>
      </c>
      <c r="V184" s="92">
        <v>46140</v>
      </c>
      <c r="W184" s="92" t="s">
        <v>61</v>
      </c>
      <c r="X184" s="92" t="s">
        <v>61</v>
      </c>
      <c r="Y184" s="97"/>
      <c r="Z184" s="89" t="s">
        <v>62</v>
      </c>
      <c r="AA184" s="96">
        <v>46141.416666666664</v>
      </c>
      <c r="AB184" s="89" t="s">
        <v>80</v>
      </c>
      <c r="AC184" s="111"/>
      <c r="AD184" s="89"/>
      <c r="AE184" s="89"/>
      <c r="AF184" s="98"/>
      <c r="AG184" s="98"/>
      <c r="AH184" s="98"/>
      <c r="AI184" s="99" t="s">
        <v>67</v>
      </c>
      <c r="AJ184" s="99" t="s">
        <v>67</v>
      </c>
      <c r="AK184" s="99" t="s">
        <v>67</v>
      </c>
      <c r="AL184" s="45" t="s">
        <v>68</v>
      </c>
      <c r="AM184" s="162" t="str">
        <f t="shared" si="16"/>
        <v>3/2026</v>
      </c>
      <c r="AN184" s="45">
        <f t="shared" si="17"/>
        <v>4</v>
      </c>
      <c r="AO184" s="45" t="str">
        <f t="shared" si="18"/>
        <v>4/2026</v>
      </c>
      <c r="AP184" s="45">
        <f t="shared" si="19"/>
        <v>5</v>
      </c>
      <c r="AQ184" s="45">
        <f t="shared" si="20"/>
        <v>36</v>
      </c>
      <c r="AR184" s="45">
        <f t="shared" si="21"/>
        <v>0</v>
      </c>
      <c r="AS184" s="45">
        <f t="shared" si="22"/>
        <v>0</v>
      </c>
      <c r="AT184" s="45">
        <f t="shared" si="23"/>
        <v>0</v>
      </c>
      <c r="AU184" s="45" t="str">
        <f>_xlfn.XLOOKUP(U184,'Lista Suspensa'!$AA$20:$AA$23,'Lista Suspensa'!$AB$20:$AB$23,"N/A")</f>
        <v>S</v>
      </c>
    </row>
    <row r="185" spans="1:47" ht="12" customHeight="1" x14ac:dyDescent="0.3">
      <c r="A185" s="87" t="s">
        <v>47</v>
      </c>
      <c r="B185" s="88">
        <v>46104</v>
      </c>
      <c r="C185" s="89" t="s">
        <v>48</v>
      </c>
      <c r="D185" s="89" t="s">
        <v>49</v>
      </c>
      <c r="E185" s="90">
        <v>747082626</v>
      </c>
      <c r="F185" s="184" t="s">
        <v>656</v>
      </c>
      <c r="G185" s="91">
        <v>8793830700</v>
      </c>
      <c r="H185" s="92">
        <v>29823</v>
      </c>
      <c r="I185" s="89">
        <v>44</v>
      </c>
      <c r="J185" s="89" t="s">
        <v>70</v>
      </c>
      <c r="K185" s="89" t="s">
        <v>88</v>
      </c>
      <c r="L185" s="89" t="s">
        <v>231</v>
      </c>
      <c r="M185" s="89" t="s">
        <v>657</v>
      </c>
      <c r="N185" s="89" t="s">
        <v>252</v>
      </c>
      <c r="O185" s="93" t="s">
        <v>658</v>
      </c>
      <c r="P185" s="94" t="s">
        <v>57</v>
      </c>
      <c r="Q185" s="112" t="s">
        <v>58</v>
      </c>
      <c r="R185" s="95">
        <v>46140</v>
      </c>
      <c r="S185" s="96"/>
      <c r="T185" s="96" t="s">
        <v>59</v>
      </c>
      <c r="U185" s="96" t="s">
        <v>60</v>
      </c>
      <c r="V185" s="92">
        <v>46140</v>
      </c>
      <c r="W185" s="92" t="s">
        <v>61</v>
      </c>
      <c r="X185" s="92" t="s">
        <v>61</v>
      </c>
      <c r="Y185" s="97"/>
      <c r="Z185" s="89" t="s">
        <v>62</v>
      </c>
      <c r="AA185" s="96">
        <v>46141.527777777781</v>
      </c>
      <c r="AB185" s="89" t="s">
        <v>80</v>
      </c>
      <c r="AC185" s="111"/>
      <c r="AD185" s="89"/>
      <c r="AE185" s="89"/>
      <c r="AF185" s="98"/>
      <c r="AG185" s="98"/>
      <c r="AH185" s="98"/>
      <c r="AI185" s="99" t="s">
        <v>67</v>
      </c>
      <c r="AJ185" s="99" t="s">
        <v>67</v>
      </c>
      <c r="AK185" s="99" t="s">
        <v>67</v>
      </c>
      <c r="AL185" s="45" t="s">
        <v>68</v>
      </c>
      <c r="AM185" s="162" t="str">
        <f t="shared" si="16"/>
        <v>3/2026</v>
      </c>
      <c r="AN185" s="45">
        <f t="shared" si="17"/>
        <v>4</v>
      </c>
      <c r="AO185" s="45" t="str">
        <f t="shared" si="18"/>
        <v>4/2026</v>
      </c>
      <c r="AP185" s="45">
        <f t="shared" si="19"/>
        <v>5</v>
      </c>
      <c r="AQ185" s="45">
        <f t="shared" si="20"/>
        <v>36</v>
      </c>
      <c r="AR185" s="45">
        <f t="shared" si="21"/>
        <v>0</v>
      </c>
      <c r="AS185" s="45">
        <f t="shared" si="22"/>
        <v>0</v>
      </c>
      <c r="AT185" s="45">
        <f t="shared" si="23"/>
        <v>0</v>
      </c>
      <c r="AU185" s="45" t="str">
        <f>_xlfn.XLOOKUP(U185,'Lista Suspensa'!$AA$20:$AA$23,'Lista Suspensa'!$AB$20:$AB$23,"N/A")</f>
        <v>S</v>
      </c>
    </row>
    <row r="186" spans="1:47" ht="12" customHeight="1" x14ac:dyDescent="0.3">
      <c r="A186" s="87" t="s">
        <v>47</v>
      </c>
      <c r="B186" s="88">
        <v>46104</v>
      </c>
      <c r="C186" s="89" t="s">
        <v>48</v>
      </c>
      <c r="D186" s="89" t="s">
        <v>49</v>
      </c>
      <c r="E186" s="90">
        <v>745970516</v>
      </c>
      <c r="F186" s="184" t="s">
        <v>659</v>
      </c>
      <c r="G186" s="91">
        <v>90216792720</v>
      </c>
      <c r="H186" s="92">
        <v>12546</v>
      </c>
      <c r="I186" s="89">
        <v>91</v>
      </c>
      <c r="J186" s="89" t="s">
        <v>70</v>
      </c>
      <c r="K186" s="89" t="s">
        <v>88</v>
      </c>
      <c r="L186" s="89" t="s">
        <v>89</v>
      </c>
      <c r="M186" s="89" t="s">
        <v>660</v>
      </c>
      <c r="N186" s="89" t="s">
        <v>252</v>
      </c>
      <c r="O186" s="93" t="s">
        <v>661</v>
      </c>
      <c r="P186" s="94" t="s">
        <v>57</v>
      </c>
      <c r="Q186" s="112" t="s">
        <v>58</v>
      </c>
      <c r="R186" s="95">
        <v>46140</v>
      </c>
      <c r="S186" s="96"/>
      <c r="T186" s="96" t="s">
        <v>59</v>
      </c>
      <c r="U186" s="96" t="s">
        <v>60</v>
      </c>
      <c r="V186" s="92">
        <v>46140</v>
      </c>
      <c r="W186" s="92" t="s">
        <v>61</v>
      </c>
      <c r="X186" s="92" t="s">
        <v>61</v>
      </c>
      <c r="Y186" s="97"/>
      <c r="Z186" s="89" t="s">
        <v>62</v>
      </c>
      <c r="AA186" s="96">
        <v>46142.513888888891</v>
      </c>
      <c r="AB186" s="89" t="s">
        <v>80</v>
      </c>
      <c r="AC186" s="111"/>
      <c r="AD186" s="89"/>
      <c r="AE186" s="89"/>
      <c r="AF186" s="98"/>
      <c r="AG186" s="98"/>
      <c r="AH186" s="98"/>
      <c r="AI186" s="99" t="s">
        <v>67</v>
      </c>
      <c r="AJ186" s="99" t="s">
        <v>67</v>
      </c>
      <c r="AK186" s="99" t="s">
        <v>67</v>
      </c>
      <c r="AL186" s="45" t="s">
        <v>68</v>
      </c>
      <c r="AM186" s="162" t="str">
        <f t="shared" si="16"/>
        <v>3/2026</v>
      </c>
      <c r="AN186" s="45">
        <f t="shared" si="17"/>
        <v>4</v>
      </c>
      <c r="AO186" s="45" t="str">
        <f t="shared" si="18"/>
        <v>4/2026</v>
      </c>
      <c r="AP186" s="45">
        <f t="shared" si="19"/>
        <v>5</v>
      </c>
      <c r="AQ186" s="45">
        <f t="shared" si="20"/>
        <v>36</v>
      </c>
      <c r="AR186" s="45">
        <f t="shared" si="21"/>
        <v>0</v>
      </c>
      <c r="AS186" s="45">
        <f t="shared" si="22"/>
        <v>0</v>
      </c>
      <c r="AT186" s="45">
        <f t="shared" si="23"/>
        <v>0</v>
      </c>
      <c r="AU186" s="45" t="str">
        <f>_xlfn.XLOOKUP(U186,'Lista Suspensa'!$AA$20:$AA$23,'Lista Suspensa'!$AB$20:$AB$23,"N/A")</f>
        <v>S</v>
      </c>
    </row>
    <row r="187" spans="1:47" ht="12" customHeight="1" x14ac:dyDescent="0.3">
      <c r="A187" s="87" t="s">
        <v>47</v>
      </c>
      <c r="B187" s="88">
        <v>46104</v>
      </c>
      <c r="C187" s="89" t="s">
        <v>48</v>
      </c>
      <c r="D187" s="89" t="s">
        <v>49</v>
      </c>
      <c r="E187" s="90">
        <v>760666121</v>
      </c>
      <c r="F187" s="184" t="s">
        <v>662</v>
      </c>
      <c r="G187" s="91">
        <v>45705445768</v>
      </c>
      <c r="H187" s="92">
        <v>16975</v>
      </c>
      <c r="I187" s="89">
        <v>79</v>
      </c>
      <c r="J187" s="89" t="s">
        <v>70</v>
      </c>
      <c r="K187" s="89" t="s">
        <v>88</v>
      </c>
      <c r="L187" s="89" t="s">
        <v>89</v>
      </c>
      <c r="M187" s="89" t="s">
        <v>384</v>
      </c>
      <c r="N187" s="89" t="s">
        <v>252</v>
      </c>
      <c r="O187" s="93" t="s">
        <v>663</v>
      </c>
      <c r="P187" s="94" t="s">
        <v>57</v>
      </c>
      <c r="Q187" s="112" t="s">
        <v>58</v>
      </c>
      <c r="R187" s="95">
        <v>46140</v>
      </c>
      <c r="S187" s="96"/>
      <c r="T187" s="96" t="s">
        <v>59</v>
      </c>
      <c r="U187" s="96" t="s">
        <v>60</v>
      </c>
      <c r="V187" s="92">
        <v>46140</v>
      </c>
      <c r="W187" s="92" t="s">
        <v>61</v>
      </c>
      <c r="X187" s="92" t="s">
        <v>61</v>
      </c>
      <c r="Y187" s="97"/>
      <c r="Z187" s="89" t="s">
        <v>62</v>
      </c>
      <c r="AA187" s="96">
        <v>46142.597222222219</v>
      </c>
      <c r="AB187" s="89" t="s">
        <v>80</v>
      </c>
      <c r="AC187" s="111"/>
      <c r="AD187" s="89"/>
      <c r="AE187" s="89"/>
      <c r="AF187" s="98"/>
      <c r="AG187" s="98"/>
      <c r="AH187" s="98"/>
      <c r="AI187" s="99" t="s">
        <v>67</v>
      </c>
      <c r="AJ187" s="99" t="s">
        <v>67</v>
      </c>
      <c r="AK187" s="99" t="s">
        <v>67</v>
      </c>
      <c r="AL187" s="45" t="s">
        <v>68</v>
      </c>
      <c r="AM187" s="162" t="str">
        <f t="shared" si="16"/>
        <v>3/2026</v>
      </c>
      <c r="AN187" s="45">
        <f t="shared" si="17"/>
        <v>4</v>
      </c>
      <c r="AO187" s="45" t="str">
        <f t="shared" si="18"/>
        <v>4/2026</v>
      </c>
      <c r="AP187" s="45">
        <f t="shared" si="19"/>
        <v>5</v>
      </c>
      <c r="AQ187" s="45">
        <f t="shared" si="20"/>
        <v>36</v>
      </c>
      <c r="AR187" s="45">
        <f t="shared" si="21"/>
        <v>0</v>
      </c>
      <c r="AS187" s="45">
        <f t="shared" si="22"/>
        <v>0</v>
      </c>
      <c r="AT187" s="45">
        <f t="shared" si="23"/>
        <v>0</v>
      </c>
      <c r="AU187" s="45" t="str">
        <f>_xlfn.XLOOKUP(U187,'Lista Suspensa'!$AA$20:$AA$23,'Lista Suspensa'!$AB$20:$AB$23,"N/A")</f>
        <v>S</v>
      </c>
    </row>
    <row r="188" spans="1:47" ht="12" customHeight="1" x14ac:dyDescent="0.3">
      <c r="A188" s="87" t="s">
        <v>47</v>
      </c>
      <c r="B188" s="88">
        <v>46104</v>
      </c>
      <c r="C188" s="89" t="s">
        <v>48</v>
      </c>
      <c r="D188" s="89" t="s">
        <v>49</v>
      </c>
      <c r="E188" s="90">
        <v>756285739</v>
      </c>
      <c r="F188" s="184" t="s">
        <v>664</v>
      </c>
      <c r="G188" s="91">
        <v>82185581791</v>
      </c>
      <c r="H188" s="92">
        <v>15722</v>
      </c>
      <c r="I188" s="89">
        <v>83</v>
      </c>
      <c r="J188" s="89" t="s">
        <v>70</v>
      </c>
      <c r="K188" s="89" t="s">
        <v>88</v>
      </c>
      <c r="L188" s="89" t="s">
        <v>97</v>
      </c>
      <c r="M188" s="89" t="s">
        <v>665</v>
      </c>
      <c r="N188" s="89" t="s">
        <v>252</v>
      </c>
      <c r="O188" s="93" t="s">
        <v>666</v>
      </c>
      <c r="P188" s="94" t="s">
        <v>57</v>
      </c>
      <c r="Q188" s="112" t="s">
        <v>58</v>
      </c>
      <c r="R188" s="95">
        <v>46140</v>
      </c>
      <c r="S188" s="96"/>
      <c r="T188" s="96" t="s">
        <v>59</v>
      </c>
      <c r="U188" s="96" t="s">
        <v>60</v>
      </c>
      <c r="V188" s="92">
        <v>46140</v>
      </c>
      <c r="W188" s="92" t="s">
        <v>61</v>
      </c>
      <c r="X188" s="92" t="s">
        <v>61</v>
      </c>
      <c r="Y188" s="97"/>
      <c r="Z188" s="89" t="s">
        <v>62</v>
      </c>
      <c r="AA188" s="96" t="s">
        <v>667</v>
      </c>
      <c r="AB188" s="89" t="s">
        <v>63</v>
      </c>
      <c r="AC188" s="111"/>
      <c r="AD188" s="89"/>
      <c r="AE188" s="89"/>
      <c r="AF188" s="98" t="s">
        <v>126</v>
      </c>
      <c r="AG188" s="98"/>
      <c r="AH188" s="98" t="s">
        <v>66</v>
      </c>
      <c r="AI188" s="99" t="s">
        <v>67</v>
      </c>
      <c r="AJ188" s="99" t="s">
        <v>67</v>
      </c>
      <c r="AK188" s="99" t="s">
        <v>67</v>
      </c>
      <c r="AL188" s="45" t="s">
        <v>68</v>
      </c>
      <c r="AM188" s="162" t="str">
        <f t="shared" si="16"/>
        <v>3/2026</v>
      </c>
      <c r="AN188" s="45">
        <f t="shared" si="17"/>
        <v>4</v>
      </c>
      <c r="AO188" s="45" t="str">
        <f t="shared" si="18"/>
        <v>4/2026</v>
      </c>
      <c r="AP188" s="45">
        <f t="shared" si="19"/>
        <v>5</v>
      </c>
      <c r="AQ188" s="45">
        <f t="shared" si="20"/>
        <v>36</v>
      </c>
      <c r="AR188" s="45">
        <f t="shared" si="21"/>
        <v>0</v>
      </c>
      <c r="AS188" s="45">
        <f t="shared" si="22"/>
        <v>0</v>
      </c>
      <c r="AT188" s="45">
        <f t="shared" si="23"/>
        <v>2.4305555555547471</v>
      </c>
      <c r="AU188" s="45" t="str">
        <f>_xlfn.XLOOKUP(U188,'Lista Suspensa'!$AA$20:$AA$23,'Lista Suspensa'!$AB$20:$AB$23,"N/A")</f>
        <v>S</v>
      </c>
    </row>
    <row r="189" spans="1:47" ht="12" customHeight="1" x14ac:dyDescent="0.3">
      <c r="A189" s="87" t="s">
        <v>47</v>
      </c>
      <c r="B189" s="88">
        <v>46104</v>
      </c>
      <c r="C189" s="89" t="s">
        <v>48</v>
      </c>
      <c r="D189" s="89" t="s">
        <v>49</v>
      </c>
      <c r="E189" s="90">
        <v>805038680</v>
      </c>
      <c r="F189" s="184" t="s">
        <v>668</v>
      </c>
      <c r="G189" s="91">
        <v>795779895</v>
      </c>
      <c r="H189" s="92">
        <v>21939</v>
      </c>
      <c r="I189" s="89">
        <v>66</v>
      </c>
      <c r="J189" s="89" t="s">
        <v>51</v>
      </c>
      <c r="K189" s="89" t="s">
        <v>52</v>
      </c>
      <c r="L189" s="89" t="s">
        <v>53</v>
      </c>
      <c r="M189" s="89" t="s">
        <v>669</v>
      </c>
      <c r="N189" s="89" t="s">
        <v>252</v>
      </c>
      <c r="O189" s="93" t="s">
        <v>670</v>
      </c>
      <c r="P189" s="94" t="s">
        <v>57</v>
      </c>
      <c r="Q189" s="112" t="s">
        <v>58</v>
      </c>
      <c r="R189" s="95">
        <v>46140</v>
      </c>
      <c r="S189" s="96"/>
      <c r="T189" s="96" t="s">
        <v>59</v>
      </c>
      <c r="U189" s="96" t="s">
        <v>60</v>
      </c>
      <c r="V189" s="92">
        <v>46140</v>
      </c>
      <c r="W189" s="92" t="s">
        <v>61</v>
      </c>
      <c r="X189" s="92" t="s">
        <v>61</v>
      </c>
      <c r="Y189" s="97"/>
      <c r="Z189" s="89" t="s">
        <v>62</v>
      </c>
      <c r="AA189" s="96">
        <v>46141.513888888891</v>
      </c>
      <c r="AB189" s="89" t="s">
        <v>80</v>
      </c>
      <c r="AC189" s="111"/>
      <c r="AD189" s="89"/>
      <c r="AE189" s="89"/>
      <c r="AF189" s="98"/>
      <c r="AG189" s="98"/>
      <c r="AH189" s="98"/>
      <c r="AI189" s="99" t="s">
        <v>67</v>
      </c>
      <c r="AJ189" s="99" t="s">
        <v>67</v>
      </c>
      <c r="AK189" s="99" t="s">
        <v>67</v>
      </c>
      <c r="AL189" s="45" t="s">
        <v>68</v>
      </c>
      <c r="AM189" s="162" t="str">
        <f t="shared" si="16"/>
        <v>3/2026</v>
      </c>
      <c r="AN189" s="45">
        <f t="shared" si="17"/>
        <v>4</v>
      </c>
      <c r="AO189" s="45" t="str">
        <f t="shared" si="18"/>
        <v>4/2026</v>
      </c>
      <c r="AP189" s="45">
        <f t="shared" si="19"/>
        <v>5</v>
      </c>
      <c r="AQ189" s="45">
        <f t="shared" si="20"/>
        <v>36</v>
      </c>
      <c r="AR189" s="45">
        <f t="shared" si="21"/>
        <v>0</v>
      </c>
      <c r="AS189" s="45">
        <f t="shared" si="22"/>
        <v>0</v>
      </c>
      <c r="AT189" s="45">
        <f t="shared" si="23"/>
        <v>0</v>
      </c>
      <c r="AU189" s="45" t="str">
        <f>_xlfn.XLOOKUP(U189,'Lista Suspensa'!$AA$20:$AA$23,'Lista Suspensa'!$AB$20:$AB$23,"N/A")</f>
        <v>S</v>
      </c>
    </row>
    <row r="190" spans="1:47" ht="12" customHeight="1" x14ac:dyDescent="0.3">
      <c r="A190" s="87" t="s">
        <v>47</v>
      </c>
      <c r="B190" s="88">
        <v>46104</v>
      </c>
      <c r="C190" s="89" t="s">
        <v>48</v>
      </c>
      <c r="D190" s="89" t="s">
        <v>49</v>
      </c>
      <c r="E190" s="90">
        <v>758456344</v>
      </c>
      <c r="F190" s="184" t="s">
        <v>671</v>
      </c>
      <c r="G190" s="91">
        <v>10978930738</v>
      </c>
      <c r="H190" s="92">
        <v>31459</v>
      </c>
      <c r="I190" s="89">
        <v>40</v>
      </c>
      <c r="J190" s="89" t="s">
        <v>70</v>
      </c>
      <c r="K190" s="89" t="s">
        <v>88</v>
      </c>
      <c r="L190" s="89" t="s">
        <v>89</v>
      </c>
      <c r="M190" s="89" t="s">
        <v>672</v>
      </c>
      <c r="N190" s="89" t="s">
        <v>252</v>
      </c>
      <c r="O190" s="93" t="s">
        <v>673</v>
      </c>
      <c r="P190" s="94" t="s">
        <v>57</v>
      </c>
      <c r="Q190" s="112" t="s">
        <v>58</v>
      </c>
      <c r="R190" s="95">
        <v>46140</v>
      </c>
      <c r="S190" s="96"/>
      <c r="T190" s="96" t="s">
        <v>59</v>
      </c>
      <c r="U190" s="96" t="s">
        <v>60</v>
      </c>
      <c r="V190" s="92">
        <v>46140</v>
      </c>
      <c r="W190" s="92" t="s">
        <v>61</v>
      </c>
      <c r="X190" s="92" t="s">
        <v>61</v>
      </c>
      <c r="Y190" s="97"/>
      <c r="Z190" s="89" t="s">
        <v>62</v>
      </c>
      <c r="AA190" s="96" t="s">
        <v>674</v>
      </c>
      <c r="AB190" s="89" t="s">
        <v>80</v>
      </c>
      <c r="AC190" s="111"/>
      <c r="AD190" s="89"/>
      <c r="AE190" s="89"/>
      <c r="AF190" s="98"/>
      <c r="AG190" s="98"/>
      <c r="AH190" s="98"/>
      <c r="AI190" s="99" t="s">
        <v>67</v>
      </c>
      <c r="AJ190" s="99" t="s">
        <v>67</v>
      </c>
      <c r="AK190" s="99" t="s">
        <v>67</v>
      </c>
      <c r="AL190" s="45" t="s">
        <v>68</v>
      </c>
      <c r="AM190" s="162" t="str">
        <f t="shared" si="16"/>
        <v>3/2026</v>
      </c>
      <c r="AN190" s="45">
        <f t="shared" si="17"/>
        <v>4</v>
      </c>
      <c r="AO190" s="45" t="str">
        <f t="shared" si="18"/>
        <v>4/2026</v>
      </c>
      <c r="AP190" s="45">
        <f t="shared" si="19"/>
        <v>5</v>
      </c>
      <c r="AQ190" s="45">
        <f t="shared" si="20"/>
        <v>36</v>
      </c>
      <c r="AR190" s="45">
        <f t="shared" si="21"/>
        <v>0</v>
      </c>
      <c r="AS190" s="45">
        <f t="shared" si="22"/>
        <v>0</v>
      </c>
      <c r="AT190" s="45">
        <f t="shared" si="23"/>
        <v>0</v>
      </c>
      <c r="AU190" s="45" t="str">
        <f>_xlfn.XLOOKUP(U190,'Lista Suspensa'!$AA$20:$AA$23,'Lista Suspensa'!$AB$20:$AB$23,"N/A")</f>
        <v>S</v>
      </c>
    </row>
    <row r="191" spans="1:47" ht="12" customHeight="1" x14ac:dyDescent="0.3">
      <c r="A191" s="87" t="s">
        <v>47</v>
      </c>
      <c r="B191" s="88">
        <v>46104</v>
      </c>
      <c r="C191" s="89" t="s">
        <v>48</v>
      </c>
      <c r="D191" s="89" t="s">
        <v>49</v>
      </c>
      <c r="E191" s="90">
        <v>805442219</v>
      </c>
      <c r="F191" s="184" t="s">
        <v>675</v>
      </c>
      <c r="G191" s="91">
        <v>95343555853</v>
      </c>
      <c r="H191" s="92">
        <v>18664</v>
      </c>
      <c r="I191" s="89">
        <v>75</v>
      </c>
      <c r="J191" s="89" t="s">
        <v>70</v>
      </c>
      <c r="K191" s="89" t="s">
        <v>52</v>
      </c>
      <c r="L191" s="89" t="s">
        <v>447</v>
      </c>
      <c r="M191" s="89" t="s">
        <v>499</v>
      </c>
      <c r="N191" s="89" t="s">
        <v>252</v>
      </c>
      <c r="O191" s="93" t="s">
        <v>676</v>
      </c>
      <c r="P191" s="94" t="s">
        <v>57</v>
      </c>
      <c r="Q191" s="112" t="s">
        <v>58</v>
      </c>
      <c r="R191" s="95">
        <v>46140</v>
      </c>
      <c r="S191" s="96"/>
      <c r="T191" s="96" t="s">
        <v>59</v>
      </c>
      <c r="U191" s="96" t="s">
        <v>60</v>
      </c>
      <c r="V191" s="92">
        <v>46140</v>
      </c>
      <c r="W191" s="92" t="s">
        <v>61</v>
      </c>
      <c r="X191" s="92" t="s">
        <v>61</v>
      </c>
      <c r="Y191" s="97"/>
      <c r="Z191" s="89" t="s">
        <v>62</v>
      </c>
      <c r="AA191" s="96" t="s">
        <v>677</v>
      </c>
      <c r="AB191" s="89" t="s">
        <v>224</v>
      </c>
      <c r="AC191" s="111"/>
      <c r="AD191" s="89"/>
      <c r="AE191" s="89"/>
      <c r="AF191" s="98"/>
      <c r="AG191" s="98"/>
      <c r="AH191" s="98"/>
      <c r="AI191" s="99" t="s">
        <v>67</v>
      </c>
      <c r="AJ191" s="99" t="s">
        <v>67</v>
      </c>
      <c r="AK191" s="99" t="s">
        <v>67</v>
      </c>
      <c r="AL191" s="45" t="s">
        <v>68</v>
      </c>
      <c r="AM191" s="162" t="str">
        <f t="shared" si="16"/>
        <v>3/2026</v>
      </c>
      <c r="AN191" s="45">
        <f t="shared" si="17"/>
        <v>4</v>
      </c>
      <c r="AO191" s="45" t="str">
        <f t="shared" si="18"/>
        <v>4/2026</v>
      </c>
      <c r="AP191" s="45">
        <f t="shared" si="19"/>
        <v>5</v>
      </c>
      <c r="AQ191" s="45">
        <f t="shared" si="20"/>
        <v>36</v>
      </c>
      <c r="AR191" s="45">
        <f t="shared" si="21"/>
        <v>0</v>
      </c>
      <c r="AS191" s="45">
        <f t="shared" si="22"/>
        <v>0</v>
      </c>
      <c r="AT191" s="45">
        <f t="shared" si="23"/>
        <v>0</v>
      </c>
      <c r="AU191" s="45" t="str">
        <f>_xlfn.XLOOKUP(U191,'Lista Suspensa'!$AA$20:$AA$23,'Lista Suspensa'!$AB$20:$AB$23,"N/A")</f>
        <v>S</v>
      </c>
    </row>
    <row r="192" spans="1:47" ht="12" customHeight="1" x14ac:dyDescent="0.3">
      <c r="A192" s="87" t="s">
        <v>47</v>
      </c>
      <c r="B192" s="88">
        <v>46104</v>
      </c>
      <c r="C192" s="89" t="s">
        <v>48</v>
      </c>
      <c r="D192" s="89" t="s">
        <v>49</v>
      </c>
      <c r="E192" s="90">
        <v>758676573</v>
      </c>
      <c r="F192" s="184" t="s">
        <v>678</v>
      </c>
      <c r="G192" s="91">
        <v>84322039804</v>
      </c>
      <c r="H192" s="92">
        <v>21157</v>
      </c>
      <c r="I192" s="89">
        <v>68</v>
      </c>
      <c r="J192" s="89" t="s">
        <v>51</v>
      </c>
      <c r="K192" s="89" t="s">
        <v>88</v>
      </c>
      <c r="L192" s="89" t="s">
        <v>89</v>
      </c>
      <c r="M192" s="89" t="s">
        <v>412</v>
      </c>
      <c r="N192" s="89" t="s">
        <v>252</v>
      </c>
      <c r="O192" s="93" t="s">
        <v>679</v>
      </c>
      <c r="P192" s="94" t="s">
        <v>57</v>
      </c>
      <c r="Q192" s="112" t="s">
        <v>58</v>
      </c>
      <c r="R192" s="95">
        <v>46140</v>
      </c>
      <c r="S192" s="96"/>
      <c r="T192" s="96" t="s">
        <v>59</v>
      </c>
      <c r="U192" s="96" t="s">
        <v>60</v>
      </c>
      <c r="V192" s="92">
        <v>46140</v>
      </c>
      <c r="W192" s="92" t="s">
        <v>61</v>
      </c>
      <c r="X192" s="92" t="s">
        <v>61</v>
      </c>
      <c r="Y192" s="97"/>
      <c r="Z192" s="89" t="s">
        <v>62</v>
      </c>
      <c r="AA192" s="96" t="s">
        <v>680</v>
      </c>
      <c r="AB192" s="89" t="s">
        <v>80</v>
      </c>
      <c r="AC192" s="111"/>
      <c r="AD192" s="89"/>
      <c r="AE192" s="89"/>
      <c r="AF192" s="98"/>
      <c r="AG192" s="98"/>
      <c r="AH192" s="98"/>
      <c r="AI192" s="99" t="s">
        <v>67</v>
      </c>
      <c r="AJ192" s="99" t="s">
        <v>67</v>
      </c>
      <c r="AK192" s="99" t="s">
        <v>67</v>
      </c>
      <c r="AL192" s="45" t="s">
        <v>68</v>
      </c>
      <c r="AM192" s="162" t="str">
        <f t="shared" si="16"/>
        <v>3/2026</v>
      </c>
      <c r="AN192" s="45">
        <f t="shared" si="17"/>
        <v>4</v>
      </c>
      <c r="AO192" s="45" t="str">
        <f t="shared" si="18"/>
        <v>4/2026</v>
      </c>
      <c r="AP192" s="45">
        <f t="shared" si="19"/>
        <v>5</v>
      </c>
      <c r="AQ192" s="45">
        <f t="shared" si="20"/>
        <v>36</v>
      </c>
      <c r="AR192" s="45">
        <f t="shared" si="21"/>
        <v>0</v>
      </c>
      <c r="AS192" s="45">
        <f t="shared" si="22"/>
        <v>0</v>
      </c>
      <c r="AT192" s="45">
        <f t="shared" si="23"/>
        <v>0</v>
      </c>
      <c r="AU192" s="45" t="str">
        <f>_xlfn.XLOOKUP(U192,'Lista Suspensa'!$AA$20:$AA$23,'Lista Suspensa'!$AB$20:$AB$23,"N/A")</f>
        <v>S</v>
      </c>
    </row>
    <row r="193" spans="1:47" ht="12" customHeight="1" x14ac:dyDescent="0.3">
      <c r="A193" s="87" t="s">
        <v>47</v>
      </c>
      <c r="B193" s="88">
        <v>46104</v>
      </c>
      <c r="C193" s="89" t="s">
        <v>48</v>
      </c>
      <c r="D193" s="89" t="s">
        <v>49</v>
      </c>
      <c r="E193" s="90">
        <v>450175600</v>
      </c>
      <c r="F193" s="184" t="s">
        <v>681</v>
      </c>
      <c r="G193" s="91">
        <v>25970021873</v>
      </c>
      <c r="H193" s="92">
        <v>13349</v>
      </c>
      <c r="I193" s="89">
        <v>89</v>
      </c>
      <c r="J193" s="89" t="s">
        <v>70</v>
      </c>
      <c r="K193" s="89" t="s">
        <v>52</v>
      </c>
      <c r="L193" s="89" t="s">
        <v>53</v>
      </c>
      <c r="M193" s="89" t="s">
        <v>682</v>
      </c>
      <c r="N193" s="89" t="s">
        <v>252</v>
      </c>
      <c r="O193" s="93" t="s">
        <v>683</v>
      </c>
      <c r="P193" s="94" t="s">
        <v>57</v>
      </c>
      <c r="Q193" s="112" t="s">
        <v>58</v>
      </c>
      <c r="R193" s="95">
        <v>46140</v>
      </c>
      <c r="S193" s="96"/>
      <c r="T193" s="96" t="s">
        <v>59</v>
      </c>
      <c r="U193" s="96" t="s">
        <v>60</v>
      </c>
      <c r="V193" s="92">
        <v>46140</v>
      </c>
      <c r="W193" s="92" t="s">
        <v>61</v>
      </c>
      <c r="X193" s="92" t="s">
        <v>61</v>
      </c>
      <c r="Y193" s="97"/>
      <c r="Z193" s="89" t="s">
        <v>62</v>
      </c>
      <c r="AA193" s="96" t="s">
        <v>684</v>
      </c>
      <c r="AB193" s="89" t="s">
        <v>80</v>
      </c>
      <c r="AC193" s="111"/>
      <c r="AD193" s="89"/>
      <c r="AE193" s="89"/>
      <c r="AF193" s="98"/>
      <c r="AG193" s="98"/>
      <c r="AH193" s="98"/>
      <c r="AI193" s="99" t="s">
        <v>67</v>
      </c>
      <c r="AJ193" s="99" t="s">
        <v>67</v>
      </c>
      <c r="AK193" s="99" t="s">
        <v>67</v>
      </c>
      <c r="AL193" s="45" t="s">
        <v>68</v>
      </c>
      <c r="AM193" s="162" t="str">
        <f t="shared" si="16"/>
        <v>3/2026</v>
      </c>
      <c r="AN193" s="45">
        <f t="shared" si="17"/>
        <v>4</v>
      </c>
      <c r="AO193" s="45" t="str">
        <f t="shared" si="18"/>
        <v>4/2026</v>
      </c>
      <c r="AP193" s="45">
        <f t="shared" si="19"/>
        <v>5</v>
      </c>
      <c r="AQ193" s="45">
        <f t="shared" si="20"/>
        <v>36</v>
      </c>
      <c r="AR193" s="45">
        <f t="shared" si="21"/>
        <v>0</v>
      </c>
      <c r="AS193" s="45">
        <f t="shared" si="22"/>
        <v>0</v>
      </c>
      <c r="AT193" s="45">
        <f t="shared" si="23"/>
        <v>0</v>
      </c>
      <c r="AU193" s="45" t="str">
        <f>_xlfn.XLOOKUP(U193,'Lista Suspensa'!$AA$20:$AA$23,'Lista Suspensa'!$AB$20:$AB$23,"N/A")</f>
        <v>S</v>
      </c>
    </row>
    <row r="194" spans="1:47" ht="12" customHeight="1" x14ac:dyDescent="0.3">
      <c r="A194" s="87" t="s">
        <v>47</v>
      </c>
      <c r="B194" s="88">
        <v>46104</v>
      </c>
      <c r="C194" s="89" t="s">
        <v>48</v>
      </c>
      <c r="D194" s="89" t="s">
        <v>49</v>
      </c>
      <c r="E194" s="90">
        <v>745338275</v>
      </c>
      <c r="F194" s="184" t="s">
        <v>685</v>
      </c>
      <c r="G194" s="91">
        <v>13064223704</v>
      </c>
      <c r="H194" s="92">
        <v>11838</v>
      </c>
      <c r="I194" s="89">
        <v>93</v>
      </c>
      <c r="J194" s="89" t="s">
        <v>51</v>
      </c>
      <c r="K194" s="89" t="s">
        <v>88</v>
      </c>
      <c r="L194" s="89" t="s">
        <v>89</v>
      </c>
      <c r="M194" s="89" t="s">
        <v>600</v>
      </c>
      <c r="N194" s="89" t="s">
        <v>252</v>
      </c>
      <c r="O194" s="93" t="s">
        <v>686</v>
      </c>
      <c r="P194" s="94" t="s">
        <v>57</v>
      </c>
      <c r="Q194" s="112" t="s">
        <v>58</v>
      </c>
      <c r="R194" s="95">
        <v>46140</v>
      </c>
      <c r="S194" s="96"/>
      <c r="T194" s="96" t="s">
        <v>59</v>
      </c>
      <c r="U194" s="96" t="s">
        <v>60</v>
      </c>
      <c r="V194" s="92">
        <v>46140</v>
      </c>
      <c r="W194" s="92" t="s">
        <v>61</v>
      </c>
      <c r="X194" s="92" t="s">
        <v>61</v>
      </c>
      <c r="Y194" s="97"/>
      <c r="Z194" s="89" t="s">
        <v>62</v>
      </c>
      <c r="AA194" s="96" t="s">
        <v>687</v>
      </c>
      <c r="AB194" s="89" t="s">
        <v>63</v>
      </c>
      <c r="AC194" s="111"/>
      <c r="AD194" s="89"/>
      <c r="AE194" s="89"/>
      <c r="AF194" s="98" t="s">
        <v>126</v>
      </c>
      <c r="AG194" s="98"/>
      <c r="AH194" s="98" t="s">
        <v>66</v>
      </c>
      <c r="AI194" s="99" t="s">
        <v>67</v>
      </c>
      <c r="AJ194" s="99" t="s">
        <v>67</v>
      </c>
      <c r="AK194" s="99" t="s">
        <v>67</v>
      </c>
      <c r="AL194" s="45" t="s">
        <v>68</v>
      </c>
      <c r="AM194" s="162" t="str">
        <f t="shared" ref="AM194:AM257" si="24">MONTH(B194)&amp;"/"&amp;YEAR(B194)</f>
        <v>3/2026</v>
      </c>
      <c r="AN194" s="45">
        <f t="shared" ref="AN194:AN257" si="25">WEEKNUM(B194)-WEEKNUM(EOMONTH(B194,-1)+1)+1</f>
        <v>4</v>
      </c>
      <c r="AO194" s="45" t="str">
        <f t="shared" ref="AO194:AO257" si="26">MONTH(R194)&amp;"/"&amp;YEAR(R194)</f>
        <v>4/2026</v>
      </c>
      <c r="AP194" s="45">
        <f t="shared" ref="AP194:AP257" si="27">WEEKNUM(R194)-WEEKNUM(EOMONTH(R194,-1)+1)+1</f>
        <v>5</v>
      </c>
      <c r="AQ194" s="45">
        <f t="shared" ref="AQ194:AQ257" si="28">IF(AU194="S",IF(Q194="1. Aceitou o programa",R194-B194,0),0)</f>
        <v>36</v>
      </c>
      <c r="AR194" s="45">
        <f t="shared" ref="AR194:AR257" si="29">IF(AU194="S",IF(AND(S194&lt;&gt;"",R194&lt;&gt;""),S194-R194,0),0)</f>
        <v>0</v>
      </c>
      <c r="AS194" s="45">
        <f t="shared" ref="AS194:AS257" si="30">IF(AU194="S",IF(Q194="1. Aceitou o programa",IF(OR(X194="Não se Aplica",X194=""),IF(OR(W194="Não se Aplica",W194=""),0,W194-V194),AVERAGE(X194-W194,W194-V194)),0),0)</f>
        <v>0</v>
      </c>
      <c r="AT194" s="45">
        <f t="shared" ref="AT194:AT257" si="31">IF(AU194="S",IF(AND(Q194="1. Aceitou o programa",AB194="Realizada"),IFERROR(IF(AA194="",0,AA194-R194),0),0),0)</f>
        <v>1.4722222222189885</v>
      </c>
      <c r="AU194" s="45" t="str">
        <f>_xlfn.XLOOKUP(U194,'Lista Suspensa'!$AA$20:$AA$23,'Lista Suspensa'!$AB$20:$AB$23,"N/A")</f>
        <v>S</v>
      </c>
    </row>
    <row r="195" spans="1:47" ht="12" customHeight="1" x14ac:dyDescent="0.3">
      <c r="A195" s="87" t="s">
        <v>67</v>
      </c>
      <c r="B195" s="88">
        <v>46104</v>
      </c>
      <c r="C195" s="89" t="s">
        <v>211</v>
      </c>
      <c r="D195" s="89" t="s">
        <v>49</v>
      </c>
      <c r="E195" s="90">
        <v>451763980</v>
      </c>
      <c r="F195" s="184" t="s">
        <v>688</v>
      </c>
      <c r="G195" s="91" t="s">
        <v>689</v>
      </c>
      <c r="H195" s="92">
        <v>13965</v>
      </c>
      <c r="I195" s="89">
        <v>88</v>
      </c>
      <c r="J195" s="89" t="s">
        <v>51</v>
      </c>
      <c r="K195" s="89" t="s">
        <v>52</v>
      </c>
      <c r="L195" s="89"/>
      <c r="M195" s="89"/>
      <c r="N195" s="89"/>
      <c r="O195" s="93" t="s">
        <v>690</v>
      </c>
      <c r="P195" s="94" t="s">
        <v>57</v>
      </c>
      <c r="Q195" s="112" t="s">
        <v>58</v>
      </c>
      <c r="R195" s="95">
        <v>46147</v>
      </c>
      <c r="S195" s="96"/>
      <c r="T195" s="96" t="s">
        <v>59</v>
      </c>
      <c r="U195" s="96" t="s">
        <v>60</v>
      </c>
      <c r="V195" s="92">
        <v>46112</v>
      </c>
      <c r="W195" s="92">
        <v>46095</v>
      </c>
      <c r="X195" s="92">
        <v>46147</v>
      </c>
      <c r="Y195" s="97"/>
      <c r="Z195" s="89" t="s">
        <v>62</v>
      </c>
      <c r="AA195" s="96" t="s">
        <v>691</v>
      </c>
      <c r="AB195" s="89" t="s">
        <v>80</v>
      </c>
      <c r="AC195" s="111"/>
      <c r="AD195" s="89"/>
      <c r="AE195" s="89"/>
      <c r="AF195" s="98"/>
      <c r="AG195" s="98"/>
      <c r="AH195" s="98"/>
      <c r="AI195" s="99" t="s">
        <v>67</v>
      </c>
      <c r="AJ195" s="99" t="s">
        <v>67</v>
      </c>
      <c r="AK195" s="99" t="s">
        <v>67</v>
      </c>
      <c r="AL195" s="45" t="s">
        <v>68</v>
      </c>
      <c r="AM195" s="162" t="str">
        <f t="shared" si="24"/>
        <v>3/2026</v>
      </c>
      <c r="AN195" s="45">
        <f t="shared" si="25"/>
        <v>4</v>
      </c>
      <c r="AO195" s="45" t="str">
        <f t="shared" si="26"/>
        <v>5/2026</v>
      </c>
      <c r="AP195" s="45">
        <f t="shared" si="27"/>
        <v>2</v>
      </c>
      <c r="AQ195" s="45">
        <f t="shared" si="28"/>
        <v>43</v>
      </c>
      <c r="AR195" s="45">
        <f t="shared" si="29"/>
        <v>0</v>
      </c>
      <c r="AS195" s="45">
        <f t="shared" si="30"/>
        <v>17.5</v>
      </c>
      <c r="AT195" s="45">
        <f t="shared" si="31"/>
        <v>0</v>
      </c>
      <c r="AU195" s="45" t="str">
        <f>_xlfn.XLOOKUP(U195,'Lista Suspensa'!$AA$20:$AA$23,'Lista Suspensa'!$AB$20:$AB$23,"N/A")</f>
        <v>S</v>
      </c>
    </row>
    <row r="196" spans="1:47" ht="12" customHeight="1" x14ac:dyDescent="0.3">
      <c r="A196" s="87" t="s">
        <v>47</v>
      </c>
      <c r="B196" s="88">
        <v>46104</v>
      </c>
      <c r="C196" s="89" t="s">
        <v>48</v>
      </c>
      <c r="D196" s="89" t="s">
        <v>49</v>
      </c>
      <c r="E196" s="90">
        <v>760117934</v>
      </c>
      <c r="F196" s="184" t="s">
        <v>692</v>
      </c>
      <c r="G196" s="91">
        <v>64435504715</v>
      </c>
      <c r="H196" s="92">
        <v>22063</v>
      </c>
      <c r="I196" s="89">
        <v>65</v>
      </c>
      <c r="J196" s="89" t="s">
        <v>70</v>
      </c>
      <c r="K196" s="89" t="s">
        <v>88</v>
      </c>
      <c r="L196" s="89" t="s">
        <v>231</v>
      </c>
      <c r="M196" s="89" t="s">
        <v>232</v>
      </c>
      <c r="N196" s="89" t="s">
        <v>252</v>
      </c>
      <c r="O196" s="93" t="s">
        <v>693</v>
      </c>
      <c r="P196" s="94" t="s">
        <v>57</v>
      </c>
      <c r="Q196" s="112" t="s">
        <v>58</v>
      </c>
      <c r="R196" s="95">
        <v>46140</v>
      </c>
      <c r="S196" s="96"/>
      <c r="T196" s="96" t="s">
        <v>59</v>
      </c>
      <c r="U196" s="96" t="s">
        <v>60</v>
      </c>
      <c r="V196" s="92">
        <v>46140</v>
      </c>
      <c r="W196" s="92" t="s">
        <v>61</v>
      </c>
      <c r="X196" s="92" t="s">
        <v>61</v>
      </c>
      <c r="Y196" s="97"/>
      <c r="Z196" s="89" t="s">
        <v>62</v>
      </c>
      <c r="AA196" s="96" t="s">
        <v>694</v>
      </c>
      <c r="AB196" s="89" t="s">
        <v>80</v>
      </c>
      <c r="AC196" s="111"/>
      <c r="AD196" s="89"/>
      <c r="AE196" s="89"/>
      <c r="AF196" s="98"/>
      <c r="AG196" s="98"/>
      <c r="AH196" s="98"/>
      <c r="AI196" s="99" t="s">
        <v>67</v>
      </c>
      <c r="AJ196" s="99" t="s">
        <v>67</v>
      </c>
      <c r="AK196" s="99" t="s">
        <v>67</v>
      </c>
      <c r="AL196" s="45" t="s">
        <v>68</v>
      </c>
      <c r="AM196" s="162" t="str">
        <f t="shared" si="24"/>
        <v>3/2026</v>
      </c>
      <c r="AN196" s="45">
        <f t="shared" si="25"/>
        <v>4</v>
      </c>
      <c r="AO196" s="45" t="str">
        <f t="shared" si="26"/>
        <v>4/2026</v>
      </c>
      <c r="AP196" s="45">
        <f t="shared" si="27"/>
        <v>5</v>
      </c>
      <c r="AQ196" s="45">
        <f t="shared" si="28"/>
        <v>36</v>
      </c>
      <c r="AR196" s="45">
        <f t="shared" si="29"/>
        <v>0</v>
      </c>
      <c r="AS196" s="45">
        <f t="shared" si="30"/>
        <v>0</v>
      </c>
      <c r="AT196" s="45">
        <f t="shared" si="31"/>
        <v>0</v>
      </c>
      <c r="AU196" s="45" t="str">
        <f>_xlfn.XLOOKUP(U196,'Lista Suspensa'!$AA$20:$AA$23,'Lista Suspensa'!$AB$20:$AB$23,"N/A")</f>
        <v>S</v>
      </c>
    </row>
    <row r="197" spans="1:47" ht="12" customHeight="1" x14ac:dyDescent="0.3">
      <c r="A197" s="87" t="s">
        <v>47</v>
      </c>
      <c r="B197" s="88">
        <v>46104</v>
      </c>
      <c r="C197" s="89" t="s">
        <v>48</v>
      </c>
      <c r="D197" s="89" t="s">
        <v>49</v>
      </c>
      <c r="E197" s="90">
        <v>805747141</v>
      </c>
      <c r="F197" s="184" t="s">
        <v>695</v>
      </c>
      <c r="G197" s="91">
        <v>63434318887</v>
      </c>
      <c r="H197" s="92">
        <v>20381</v>
      </c>
      <c r="I197" s="89">
        <v>70</v>
      </c>
      <c r="J197" s="89" t="s">
        <v>70</v>
      </c>
      <c r="K197" s="89" t="s">
        <v>52</v>
      </c>
      <c r="L197" s="89" t="s">
        <v>53</v>
      </c>
      <c r="M197" s="89" t="s">
        <v>696</v>
      </c>
      <c r="N197" s="89" t="s">
        <v>252</v>
      </c>
      <c r="O197" s="93" t="s">
        <v>697</v>
      </c>
      <c r="P197" s="94" t="s">
        <v>57</v>
      </c>
      <c r="Q197" s="112" t="s">
        <v>58</v>
      </c>
      <c r="R197" s="95">
        <v>46140</v>
      </c>
      <c r="S197" s="96"/>
      <c r="T197" s="96" t="s">
        <v>59</v>
      </c>
      <c r="U197" s="96" t="s">
        <v>60</v>
      </c>
      <c r="V197" s="92">
        <v>46140</v>
      </c>
      <c r="W197" s="92" t="s">
        <v>61</v>
      </c>
      <c r="X197" s="92" t="s">
        <v>61</v>
      </c>
      <c r="Y197" s="97"/>
      <c r="Z197" s="89" t="s">
        <v>62</v>
      </c>
      <c r="AA197" s="96" t="s">
        <v>698</v>
      </c>
      <c r="AB197" s="89" t="s">
        <v>63</v>
      </c>
      <c r="AC197" s="111"/>
      <c r="AD197" s="89"/>
      <c r="AE197" s="89"/>
      <c r="AF197" s="98" t="s">
        <v>126</v>
      </c>
      <c r="AG197" s="98"/>
      <c r="AH197" s="98" t="s">
        <v>66</v>
      </c>
      <c r="AI197" s="99" t="s">
        <v>67</v>
      </c>
      <c r="AJ197" s="99" t="s">
        <v>67</v>
      </c>
      <c r="AK197" s="99" t="s">
        <v>67</v>
      </c>
      <c r="AL197" s="45" t="s">
        <v>68</v>
      </c>
      <c r="AM197" s="162" t="str">
        <f t="shared" si="24"/>
        <v>3/2026</v>
      </c>
      <c r="AN197" s="45">
        <f t="shared" si="25"/>
        <v>4</v>
      </c>
      <c r="AO197" s="45" t="str">
        <f t="shared" si="26"/>
        <v>4/2026</v>
      </c>
      <c r="AP197" s="45">
        <f t="shared" si="27"/>
        <v>5</v>
      </c>
      <c r="AQ197" s="45">
        <f t="shared" si="28"/>
        <v>36</v>
      </c>
      <c r="AR197" s="45">
        <f t="shared" si="29"/>
        <v>0</v>
      </c>
      <c r="AS197" s="45">
        <f t="shared" si="30"/>
        <v>0</v>
      </c>
      <c r="AT197" s="45">
        <f t="shared" si="31"/>
        <v>1.4861111111094942</v>
      </c>
      <c r="AU197" s="45" t="str">
        <f>_xlfn.XLOOKUP(U197,'Lista Suspensa'!$AA$20:$AA$23,'Lista Suspensa'!$AB$20:$AB$23,"N/A")</f>
        <v>S</v>
      </c>
    </row>
    <row r="198" spans="1:47" ht="12" customHeight="1" x14ac:dyDescent="0.3">
      <c r="A198" s="87" t="s">
        <v>47</v>
      </c>
      <c r="B198" s="88">
        <v>46104</v>
      </c>
      <c r="C198" s="89" t="s">
        <v>48</v>
      </c>
      <c r="D198" s="89" t="s">
        <v>49</v>
      </c>
      <c r="E198" s="90">
        <v>757441270</v>
      </c>
      <c r="F198" s="184" t="s">
        <v>699</v>
      </c>
      <c r="G198" s="91">
        <v>7072793720</v>
      </c>
      <c r="H198" s="92">
        <v>16112</v>
      </c>
      <c r="I198" s="89">
        <v>82</v>
      </c>
      <c r="J198" s="89" t="s">
        <v>70</v>
      </c>
      <c r="K198" s="89" t="s">
        <v>88</v>
      </c>
      <c r="L198" s="89" t="s">
        <v>454</v>
      </c>
      <c r="M198" s="89" t="s">
        <v>700</v>
      </c>
      <c r="N198" s="89" t="s">
        <v>252</v>
      </c>
      <c r="O198" s="93" t="s">
        <v>701</v>
      </c>
      <c r="P198" s="94" t="s">
        <v>57</v>
      </c>
      <c r="Q198" s="112" t="s">
        <v>58</v>
      </c>
      <c r="R198" s="95">
        <v>46171</v>
      </c>
      <c r="S198" s="96"/>
      <c r="T198" s="96" t="s">
        <v>59</v>
      </c>
      <c r="U198" s="96" t="s">
        <v>60</v>
      </c>
      <c r="V198" s="92">
        <v>46140</v>
      </c>
      <c r="W198" s="92">
        <v>46147</v>
      </c>
      <c r="X198" s="92">
        <v>46154</v>
      </c>
      <c r="Y198" s="97"/>
      <c r="Z198" s="89" t="s">
        <v>62</v>
      </c>
      <c r="AA198" s="96">
        <v>46176</v>
      </c>
      <c r="AB198" s="89" t="s">
        <v>80</v>
      </c>
      <c r="AC198" s="111"/>
      <c r="AD198" s="89"/>
      <c r="AE198" s="89"/>
      <c r="AF198" s="98"/>
      <c r="AG198" s="98"/>
      <c r="AH198" s="98"/>
      <c r="AI198" s="99"/>
      <c r="AJ198" s="99" t="s">
        <v>197</v>
      </c>
      <c r="AK198" s="99" t="s">
        <v>67</v>
      </c>
      <c r="AL198" s="45" t="s">
        <v>68</v>
      </c>
      <c r="AM198" s="162" t="str">
        <f t="shared" si="24"/>
        <v>3/2026</v>
      </c>
      <c r="AN198" s="45">
        <f t="shared" si="25"/>
        <v>4</v>
      </c>
      <c r="AO198" s="45" t="str">
        <f t="shared" si="26"/>
        <v>5/2026</v>
      </c>
      <c r="AP198" s="45">
        <f t="shared" si="27"/>
        <v>5</v>
      </c>
      <c r="AQ198" s="45">
        <f t="shared" si="28"/>
        <v>67</v>
      </c>
      <c r="AR198" s="45">
        <f t="shared" si="29"/>
        <v>0</v>
      </c>
      <c r="AS198" s="45">
        <f t="shared" si="30"/>
        <v>7</v>
      </c>
      <c r="AT198" s="45">
        <f t="shared" si="31"/>
        <v>0</v>
      </c>
      <c r="AU198" s="45" t="str">
        <f>_xlfn.XLOOKUP(U198,'Lista Suspensa'!$AA$20:$AA$23,'Lista Suspensa'!$AB$20:$AB$23,"N/A")</f>
        <v>S</v>
      </c>
    </row>
    <row r="199" spans="1:47" ht="12" customHeight="1" x14ac:dyDescent="0.3">
      <c r="A199" s="87" t="s">
        <v>47</v>
      </c>
      <c r="B199" s="88">
        <v>46104</v>
      </c>
      <c r="C199" s="89" t="s">
        <v>48</v>
      </c>
      <c r="D199" s="89" t="s">
        <v>49</v>
      </c>
      <c r="E199" s="90">
        <v>230398979</v>
      </c>
      <c r="F199" s="184" t="s">
        <v>702</v>
      </c>
      <c r="G199" s="91">
        <v>20833490834</v>
      </c>
      <c r="H199" s="92">
        <v>14993</v>
      </c>
      <c r="I199" s="89">
        <v>85</v>
      </c>
      <c r="J199" s="89" t="s">
        <v>51</v>
      </c>
      <c r="K199" s="89" t="s">
        <v>52</v>
      </c>
      <c r="L199" s="89" t="s">
        <v>525</v>
      </c>
      <c r="M199" s="89" t="s">
        <v>703</v>
      </c>
      <c r="N199" s="89" t="s">
        <v>252</v>
      </c>
      <c r="O199" s="93" t="s">
        <v>704</v>
      </c>
      <c r="P199" s="94" t="s">
        <v>57</v>
      </c>
      <c r="Q199" s="112" t="s">
        <v>58</v>
      </c>
      <c r="R199" s="95">
        <v>46140</v>
      </c>
      <c r="S199" s="96"/>
      <c r="T199" s="96" t="s">
        <v>59</v>
      </c>
      <c r="U199" s="96" t="s">
        <v>60</v>
      </c>
      <c r="V199" s="92">
        <v>46140</v>
      </c>
      <c r="W199" s="92" t="s">
        <v>61</v>
      </c>
      <c r="X199" s="92" t="s">
        <v>61</v>
      </c>
      <c r="Y199" s="97"/>
      <c r="Z199" s="89" t="s">
        <v>62</v>
      </c>
      <c r="AA199" s="96" t="s">
        <v>705</v>
      </c>
      <c r="AB199" s="89" t="s">
        <v>118</v>
      </c>
      <c r="AC199" s="111"/>
      <c r="AD199" s="89"/>
      <c r="AE199" s="89"/>
      <c r="AF199" s="98"/>
      <c r="AG199" s="98"/>
      <c r="AH199" s="98"/>
      <c r="AI199" s="99" t="s">
        <v>67</v>
      </c>
      <c r="AJ199" s="99" t="s">
        <v>67</v>
      </c>
      <c r="AK199" s="99" t="s">
        <v>67</v>
      </c>
      <c r="AL199" s="45" t="s">
        <v>68</v>
      </c>
      <c r="AM199" s="162" t="str">
        <f t="shared" si="24"/>
        <v>3/2026</v>
      </c>
      <c r="AN199" s="45">
        <f t="shared" si="25"/>
        <v>4</v>
      </c>
      <c r="AO199" s="45" t="str">
        <f t="shared" si="26"/>
        <v>4/2026</v>
      </c>
      <c r="AP199" s="45">
        <f t="shared" si="27"/>
        <v>5</v>
      </c>
      <c r="AQ199" s="45">
        <f t="shared" si="28"/>
        <v>36</v>
      </c>
      <c r="AR199" s="45">
        <f t="shared" si="29"/>
        <v>0</v>
      </c>
      <c r="AS199" s="45">
        <f t="shared" si="30"/>
        <v>0</v>
      </c>
      <c r="AT199" s="45">
        <f t="shared" si="31"/>
        <v>0</v>
      </c>
      <c r="AU199" s="45" t="str">
        <f>_xlfn.XLOOKUP(U199,'Lista Suspensa'!$AA$20:$AA$23,'Lista Suspensa'!$AB$20:$AB$23,"N/A")</f>
        <v>S</v>
      </c>
    </row>
    <row r="200" spans="1:47" ht="12" customHeight="1" x14ac:dyDescent="0.3">
      <c r="A200" s="87" t="s">
        <v>47</v>
      </c>
      <c r="B200" s="88">
        <v>46104</v>
      </c>
      <c r="C200" s="89" t="s">
        <v>48</v>
      </c>
      <c r="D200" s="89" t="s">
        <v>49</v>
      </c>
      <c r="E200" s="90">
        <v>450149790</v>
      </c>
      <c r="F200" s="184" t="s">
        <v>706</v>
      </c>
      <c r="G200" s="91">
        <v>68238487820</v>
      </c>
      <c r="H200" s="92">
        <v>19000</v>
      </c>
      <c r="I200" s="89">
        <v>74</v>
      </c>
      <c r="J200" s="89" t="s">
        <v>51</v>
      </c>
      <c r="K200" s="89" t="s">
        <v>52</v>
      </c>
      <c r="L200" s="89" t="s">
        <v>128</v>
      </c>
      <c r="M200" s="89" t="s">
        <v>707</v>
      </c>
      <c r="N200" s="89" t="s">
        <v>252</v>
      </c>
      <c r="O200" s="93" t="s">
        <v>708</v>
      </c>
      <c r="P200" s="94" t="s">
        <v>57</v>
      </c>
      <c r="Q200" s="112" t="s">
        <v>58</v>
      </c>
      <c r="R200" s="95">
        <v>46140</v>
      </c>
      <c r="S200" s="96"/>
      <c r="T200" s="96" t="s">
        <v>59</v>
      </c>
      <c r="U200" s="96" t="s">
        <v>60</v>
      </c>
      <c r="V200" s="92">
        <v>46140</v>
      </c>
      <c r="W200" s="92" t="s">
        <v>61</v>
      </c>
      <c r="X200" s="92" t="s">
        <v>61</v>
      </c>
      <c r="Y200" s="97"/>
      <c r="Z200" s="89" t="s">
        <v>62</v>
      </c>
      <c r="AA200" s="96" t="s">
        <v>709</v>
      </c>
      <c r="AB200" s="89" t="s">
        <v>80</v>
      </c>
      <c r="AC200" s="111"/>
      <c r="AD200" s="89"/>
      <c r="AE200" s="89"/>
      <c r="AF200" s="98"/>
      <c r="AG200" s="98"/>
      <c r="AH200" s="98"/>
      <c r="AI200" s="99" t="s">
        <v>67</v>
      </c>
      <c r="AJ200" s="99" t="s">
        <v>67</v>
      </c>
      <c r="AK200" s="99" t="s">
        <v>67</v>
      </c>
      <c r="AL200" s="45" t="s">
        <v>68</v>
      </c>
      <c r="AM200" s="162" t="str">
        <f t="shared" si="24"/>
        <v>3/2026</v>
      </c>
      <c r="AN200" s="45">
        <f t="shared" si="25"/>
        <v>4</v>
      </c>
      <c r="AO200" s="45" t="str">
        <f t="shared" si="26"/>
        <v>4/2026</v>
      </c>
      <c r="AP200" s="45">
        <f t="shared" si="27"/>
        <v>5</v>
      </c>
      <c r="AQ200" s="45">
        <f t="shared" si="28"/>
        <v>36</v>
      </c>
      <c r="AR200" s="45">
        <f t="shared" si="29"/>
        <v>0</v>
      </c>
      <c r="AS200" s="45">
        <f t="shared" si="30"/>
        <v>0</v>
      </c>
      <c r="AT200" s="45">
        <f t="shared" si="31"/>
        <v>0</v>
      </c>
      <c r="AU200" s="45" t="str">
        <f>_xlfn.XLOOKUP(U200,'Lista Suspensa'!$AA$20:$AA$23,'Lista Suspensa'!$AB$20:$AB$23,"N/A")</f>
        <v>S</v>
      </c>
    </row>
    <row r="201" spans="1:47" ht="12" customHeight="1" x14ac:dyDescent="0.3">
      <c r="A201" s="87" t="s">
        <v>47</v>
      </c>
      <c r="B201" s="88">
        <v>46104</v>
      </c>
      <c r="C201" s="89" t="s">
        <v>48</v>
      </c>
      <c r="D201" s="89" t="s">
        <v>49</v>
      </c>
      <c r="E201" s="90">
        <v>450090680</v>
      </c>
      <c r="F201" s="184" t="s">
        <v>710</v>
      </c>
      <c r="G201" s="91">
        <v>922982813</v>
      </c>
      <c r="H201" s="92">
        <v>21830</v>
      </c>
      <c r="I201" s="89">
        <v>66</v>
      </c>
      <c r="J201" s="89" t="s">
        <v>70</v>
      </c>
      <c r="K201" s="89" t="s">
        <v>52</v>
      </c>
      <c r="L201" s="89" t="s">
        <v>283</v>
      </c>
      <c r="M201" s="89" t="s">
        <v>711</v>
      </c>
      <c r="N201" s="89" t="s">
        <v>252</v>
      </c>
      <c r="O201" s="93" t="s">
        <v>712</v>
      </c>
      <c r="P201" s="94" t="s">
        <v>57</v>
      </c>
      <c r="Q201" s="112" t="s">
        <v>58</v>
      </c>
      <c r="R201" s="95">
        <v>46147</v>
      </c>
      <c r="S201" s="96"/>
      <c r="T201" s="96" t="s">
        <v>59</v>
      </c>
      <c r="U201" s="96" t="s">
        <v>60</v>
      </c>
      <c r="V201" s="92">
        <v>46140</v>
      </c>
      <c r="W201" s="92">
        <v>46147</v>
      </c>
      <c r="X201" s="92" t="s">
        <v>61</v>
      </c>
      <c r="Y201" s="97"/>
      <c r="Z201" s="89" t="s">
        <v>62</v>
      </c>
      <c r="AA201" s="96">
        <v>46164.666666666664</v>
      </c>
      <c r="AB201" s="89" t="s">
        <v>63</v>
      </c>
      <c r="AC201" s="111"/>
      <c r="AD201" s="89" t="s">
        <v>64</v>
      </c>
      <c r="AE201" s="89">
        <v>63</v>
      </c>
      <c r="AF201" s="98" t="s">
        <v>138</v>
      </c>
      <c r="AG201" s="98" t="s">
        <v>138</v>
      </c>
      <c r="AH201" s="98" t="s">
        <v>66</v>
      </c>
      <c r="AI201" s="99" t="s">
        <v>197</v>
      </c>
      <c r="AJ201" s="99" t="s">
        <v>197</v>
      </c>
      <c r="AK201" s="99" t="s">
        <v>67</v>
      </c>
      <c r="AL201" s="45" t="s">
        <v>68</v>
      </c>
      <c r="AM201" s="162" t="str">
        <f t="shared" si="24"/>
        <v>3/2026</v>
      </c>
      <c r="AN201" s="45">
        <f t="shared" si="25"/>
        <v>4</v>
      </c>
      <c r="AO201" s="45" t="str">
        <f t="shared" si="26"/>
        <v>5/2026</v>
      </c>
      <c r="AP201" s="45">
        <f t="shared" si="27"/>
        <v>2</v>
      </c>
      <c r="AQ201" s="45">
        <f t="shared" si="28"/>
        <v>43</v>
      </c>
      <c r="AR201" s="45">
        <f t="shared" si="29"/>
        <v>0</v>
      </c>
      <c r="AS201" s="45">
        <f t="shared" si="30"/>
        <v>7</v>
      </c>
      <c r="AT201" s="45">
        <f t="shared" si="31"/>
        <v>17.666666666664241</v>
      </c>
      <c r="AU201" s="45" t="str">
        <f>_xlfn.XLOOKUP(U201,'Lista Suspensa'!$AA$20:$AA$23,'Lista Suspensa'!$AB$20:$AB$23,"N/A")</f>
        <v>S</v>
      </c>
    </row>
    <row r="202" spans="1:47" ht="12" customHeight="1" x14ac:dyDescent="0.3">
      <c r="A202" s="87" t="s">
        <v>47</v>
      </c>
      <c r="B202" s="88">
        <v>46104</v>
      </c>
      <c r="C202" s="89" t="s">
        <v>48</v>
      </c>
      <c r="D202" s="89" t="s">
        <v>49</v>
      </c>
      <c r="E202" s="90">
        <v>861390059</v>
      </c>
      <c r="F202" s="184" t="s">
        <v>713</v>
      </c>
      <c r="G202" s="91">
        <v>75528410878</v>
      </c>
      <c r="H202" s="92">
        <v>19423</v>
      </c>
      <c r="I202" s="89">
        <v>73</v>
      </c>
      <c r="J202" s="89" t="s">
        <v>51</v>
      </c>
      <c r="K202" s="89" t="s">
        <v>52</v>
      </c>
      <c r="L202" s="89" t="s">
        <v>53</v>
      </c>
      <c r="M202" s="89" t="s">
        <v>714</v>
      </c>
      <c r="N202" s="89" t="s">
        <v>252</v>
      </c>
      <c r="O202" s="93" t="s">
        <v>715</v>
      </c>
      <c r="P202" s="94" t="s">
        <v>57</v>
      </c>
      <c r="Q202" s="112" t="s">
        <v>58</v>
      </c>
      <c r="R202" s="95">
        <v>46140</v>
      </c>
      <c r="S202" s="96"/>
      <c r="T202" s="96" t="s">
        <v>59</v>
      </c>
      <c r="U202" s="96" t="s">
        <v>60</v>
      </c>
      <c r="V202" s="92">
        <v>46140</v>
      </c>
      <c r="W202" s="92" t="s">
        <v>61</v>
      </c>
      <c r="X202" s="92" t="s">
        <v>61</v>
      </c>
      <c r="Y202" s="97"/>
      <c r="Z202" s="89" t="s">
        <v>62</v>
      </c>
      <c r="AA202" s="96" t="s">
        <v>716</v>
      </c>
      <c r="AB202" s="89" t="s">
        <v>224</v>
      </c>
      <c r="AC202" s="111"/>
      <c r="AD202" s="89"/>
      <c r="AE202" s="89"/>
      <c r="AF202" s="98"/>
      <c r="AG202" s="98"/>
      <c r="AH202" s="98"/>
      <c r="AI202" s="99" t="s">
        <v>67</v>
      </c>
      <c r="AJ202" s="99" t="s">
        <v>67</v>
      </c>
      <c r="AK202" s="99" t="s">
        <v>67</v>
      </c>
      <c r="AL202" s="45" t="s">
        <v>68</v>
      </c>
      <c r="AM202" s="162" t="str">
        <f t="shared" si="24"/>
        <v>3/2026</v>
      </c>
      <c r="AN202" s="45">
        <f t="shared" si="25"/>
        <v>4</v>
      </c>
      <c r="AO202" s="45" t="str">
        <f t="shared" si="26"/>
        <v>4/2026</v>
      </c>
      <c r="AP202" s="45">
        <f t="shared" si="27"/>
        <v>5</v>
      </c>
      <c r="AQ202" s="45">
        <f t="shared" si="28"/>
        <v>36</v>
      </c>
      <c r="AR202" s="45">
        <f t="shared" si="29"/>
        <v>0</v>
      </c>
      <c r="AS202" s="45">
        <f t="shared" si="30"/>
        <v>0</v>
      </c>
      <c r="AT202" s="45">
        <f t="shared" si="31"/>
        <v>0</v>
      </c>
      <c r="AU202" s="45" t="str">
        <f>_xlfn.XLOOKUP(U202,'Lista Suspensa'!$AA$20:$AA$23,'Lista Suspensa'!$AB$20:$AB$23,"N/A")</f>
        <v>S</v>
      </c>
    </row>
    <row r="203" spans="1:47" ht="12" customHeight="1" x14ac:dyDescent="0.3">
      <c r="A203" s="87" t="s">
        <v>47</v>
      </c>
      <c r="B203" s="88">
        <v>46104</v>
      </c>
      <c r="C203" s="89" t="s">
        <v>48</v>
      </c>
      <c r="D203" s="89" t="s">
        <v>49</v>
      </c>
      <c r="E203" s="90">
        <v>809162431</v>
      </c>
      <c r="F203" s="184" t="s">
        <v>717</v>
      </c>
      <c r="G203" s="91">
        <v>16696038817</v>
      </c>
      <c r="H203" s="92">
        <v>23344</v>
      </c>
      <c r="I203" s="89">
        <v>62</v>
      </c>
      <c r="J203" s="89" t="s">
        <v>70</v>
      </c>
      <c r="K203" s="89" t="s">
        <v>52</v>
      </c>
      <c r="L203" s="89" t="s">
        <v>53</v>
      </c>
      <c r="M203" s="89" t="s">
        <v>718</v>
      </c>
      <c r="N203" s="89" t="s">
        <v>252</v>
      </c>
      <c r="O203" s="93" t="s">
        <v>719</v>
      </c>
      <c r="P203" s="94" t="s">
        <v>57</v>
      </c>
      <c r="Q203" s="112" t="s">
        <v>58</v>
      </c>
      <c r="R203" s="95">
        <v>46153</v>
      </c>
      <c r="S203" s="96"/>
      <c r="T203" s="96" t="s">
        <v>59</v>
      </c>
      <c r="U203" s="96" t="s">
        <v>60</v>
      </c>
      <c r="V203" s="92">
        <v>46140</v>
      </c>
      <c r="W203" s="92">
        <v>46147</v>
      </c>
      <c r="X203" s="92">
        <v>46154</v>
      </c>
      <c r="Y203" s="97"/>
      <c r="Z203" s="89" t="s">
        <v>62</v>
      </c>
      <c r="AA203" s="96">
        <v>46163</v>
      </c>
      <c r="AB203" s="89" t="s">
        <v>80</v>
      </c>
      <c r="AC203" s="111"/>
      <c r="AD203" s="89"/>
      <c r="AE203" s="89"/>
      <c r="AF203" s="98"/>
      <c r="AG203" s="98"/>
      <c r="AH203" s="98"/>
      <c r="AI203" s="99" t="s">
        <v>197</v>
      </c>
      <c r="AJ203" s="99" t="s">
        <v>197</v>
      </c>
      <c r="AK203" s="99" t="s">
        <v>67</v>
      </c>
      <c r="AL203" s="45" t="s">
        <v>68</v>
      </c>
      <c r="AM203" s="162" t="str">
        <f t="shared" si="24"/>
        <v>3/2026</v>
      </c>
      <c r="AN203" s="45">
        <f t="shared" si="25"/>
        <v>4</v>
      </c>
      <c r="AO203" s="45" t="str">
        <f t="shared" si="26"/>
        <v>5/2026</v>
      </c>
      <c r="AP203" s="45">
        <f t="shared" si="27"/>
        <v>3</v>
      </c>
      <c r="AQ203" s="45">
        <f t="shared" si="28"/>
        <v>49</v>
      </c>
      <c r="AR203" s="45">
        <f t="shared" si="29"/>
        <v>0</v>
      </c>
      <c r="AS203" s="45">
        <f t="shared" si="30"/>
        <v>7</v>
      </c>
      <c r="AT203" s="45">
        <f t="shared" si="31"/>
        <v>0</v>
      </c>
      <c r="AU203" s="45" t="str">
        <f>_xlfn.XLOOKUP(U203,'Lista Suspensa'!$AA$20:$AA$23,'Lista Suspensa'!$AB$20:$AB$23,"N/A")</f>
        <v>S</v>
      </c>
    </row>
    <row r="204" spans="1:47" ht="12" customHeight="1" x14ac:dyDescent="0.3">
      <c r="A204" s="87" t="s">
        <v>47</v>
      </c>
      <c r="B204" s="88">
        <v>46104</v>
      </c>
      <c r="C204" s="89" t="s">
        <v>48</v>
      </c>
      <c r="D204" s="89" t="s">
        <v>49</v>
      </c>
      <c r="E204" s="90">
        <v>809097915</v>
      </c>
      <c r="F204" s="184" t="s">
        <v>720</v>
      </c>
      <c r="G204" s="91">
        <v>22750061687</v>
      </c>
      <c r="H204" s="92">
        <v>17142</v>
      </c>
      <c r="I204" s="89">
        <v>79</v>
      </c>
      <c r="J204" s="89" t="s">
        <v>70</v>
      </c>
      <c r="K204" s="89" t="s">
        <v>52</v>
      </c>
      <c r="L204" s="89" t="s">
        <v>447</v>
      </c>
      <c r="M204" s="89" t="s">
        <v>721</v>
      </c>
      <c r="N204" s="89" t="s">
        <v>252</v>
      </c>
      <c r="O204" s="93" t="s">
        <v>722</v>
      </c>
      <c r="P204" s="94" t="s">
        <v>57</v>
      </c>
      <c r="Q204" s="112" t="s">
        <v>58</v>
      </c>
      <c r="R204" s="95">
        <v>46147</v>
      </c>
      <c r="S204" s="96"/>
      <c r="T204" s="96" t="s">
        <v>59</v>
      </c>
      <c r="U204" s="96" t="s">
        <v>60</v>
      </c>
      <c r="V204" s="92">
        <v>46112</v>
      </c>
      <c r="W204" s="92">
        <v>46147</v>
      </c>
      <c r="X204" s="92" t="s">
        <v>61</v>
      </c>
      <c r="Y204" s="97"/>
      <c r="Z204" s="89" t="s">
        <v>62</v>
      </c>
      <c r="AA204" s="96" t="s">
        <v>723</v>
      </c>
      <c r="AB204" s="89" t="s">
        <v>63</v>
      </c>
      <c r="AC204" s="111"/>
      <c r="AD204" s="89" t="s">
        <v>265</v>
      </c>
      <c r="AE204" s="89">
        <v>34</v>
      </c>
      <c r="AF204" s="98" t="s">
        <v>724</v>
      </c>
      <c r="AG204" s="98"/>
      <c r="AH204" s="98" t="s">
        <v>139</v>
      </c>
      <c r="AI204" s="99" t="s">
        <v>197</v>
      </c>
      <c r="AJ204" s="99" t="s">
        <v>197</v>
      </c>
      <c r="AK204" s="99" t="s">
        <v>67</v>
      </c>
      <c r="AL204" s="45" t="s">
        <v>68</v>
      </c>
      <c r="AM204" s="162" t="str">
        <f t="shared" si="24"/>
        <v>3/2026</v>
      </c>
      <c r="AN204" s="45">
        <f t="shared" si="25"/>
        <v>4</v>
      </c>
      <c r="AO204" s="45" t="str">
        <f t="shared" si="26"/>
        <v>5/2026</v>
      </c>
      <c r="AP204" s="45">
        <f t="shared" si="27"/>
        <v>2</v>
      </c>
      <c r="AQ204" s="45">
        <f t="shared" si="28"/>
        <v>43</v>
      </c>
      <c r="AR204" s="45">
        <f t="shared" si="29"/>
        <v>0</v>
      </c>
      <c r="AS204" s="45">
        <f t="shared" si="30"/>
        <v>35</v>
      </c>
      <c r="AT204" s="45">
        <f t="shared" si="31"/>
        <v>8.4861111111094942</v>
      </c>
      <c r="AU204" s="45" t="str">
        <f>_xlfn.XLOOKUP(U204,'Lista Suspensa'!$AA$20:$AA$23,'Lista Suspensa'!$AB$20:$AB$23,"N/A")</f>
        <v>S</v>
      </c>
    </row>
    <row r="205" spans="1:47" ht="12" customHeight="1" x14ac:dyDescent="0.3">
      <c r="A205" s="87" t="s">
        <v>47</v>
      </c>
      <c r="B205" s="88">
        <v>46104</v>
      </c>
      <c r="C205" s="89" t="s">
        <v>48</v>
      </c>
      <c r="D205" s="89" t="s">
        <v>49</v>
      </c>
      <c r="E205" s="90">
        <v>758452314</v>
      </c>
      <c r="F205" s="184" t="s">
        <v>725</v>
      </c>
      <c r="G205" s="91">
        <v>5041422753</v>
      </c>
      <c r="H205" s="92">
        <v>15446</v>
      </c>
      <c r="I205" s="89">
        <v>83</v>
      </c>
      <c r="J205" s="89" t="s">
        <v>51</v>
      </c>
      <c r="K205" s="89" t="s">
        <v>88</v>
      </c>
      <c r="L205" s="89" t="s">
        <v>603</v>
      </c>
      <c r="M205" s="89" t="s">
        <v>726</v>
      </c>
      <c r="N205" s="89" t="s">
        <v>252</v>
      </c>
      <c r="O205" s="93" t="s">
        <v>727</v>
      </c>
      <c r="P205" s="94" t="s">
        <v>57</v>
      </c>
      <c r="Q205" s="112" t="s">
        <v>58</v>
      </c>
      <c r="R205" s="95">
        <v>46140</v>
      </c>
      <c r="S205" s="96"/>
      <c r="T205" s="96" t="s">
        <v>59</v>
      </c>
      <c r="U205" s="96" t="s">
        <v>60</v>
      </c>
      <c r="V205" s="92">
        <v>46140</v>
      </c>
      <c r="W205" s="92" t="s">
        <v>61</v>
      </c>
      <c r="X205" s="92" t="s">
        <v>61</v>
      </c>
      <c r="Y205" s="97"/>
      <c r="Z205" s="89" t="s">
        <v>62</v>
      </c>
      <c r="AA205" s="96">
        <v>46141.458333333336</v>
      </c>
      <c r="AB205" s="89" t="s">
        <v>80</v>
      </c>
      <c r="AC205" s="111"/>
      <c r="AD205" s="89"/>
      <c r="AE205" s="89"/>
      <c r="AF205" s="98"/>
      <c r="AG205" s="98"/>
      <c r="AH205" s="98"/>
      <c r="AI205" s="99" t="s">
        <v>67</v>
      </c>
      <c r="AJ205" s="99" t="s">
        <v>67</v>
      </c>
      <c r="AK205" s="99" t="s">
        <v>67</v>
      </c>
      <c r="AL205" s="45" t="s">
        <v>68</v>
      </c>
      <c r="AM205" s="162" t="str">
        <f t="shared" si="24"/>
        <v>3/2026</v>
      </c>
      <c r="AN205" s="45">
        <f t="shared" si="25"/>
        <v>4</v>
      </c>
      <c r="AO205" s="45" t="str">
        <f t="shared" si="26"/>
        <v>4/2026</v>
      </c>
      <c r="AP205" s="45">
        <f t="shared" si="27"/>
        <v>5</v>
      </c>
      <c r="AQ205" s="45">
        <f t="shared" si="28"/>
        <v>36</v>
      </c>
      <c r="AR205" s="45">
        <f t="shared" si="29"/>
        <v>0</v>
      </c>
      <c r="AS205" s="45">
        <f t="shared" si="30"/>
        <v>0</v>
      </c>
      <c r="AT205" s="45">
        <f t="shared" si="31"/>
        <v>0</v>
      </c>
      <c r="AU205" s="45" t="str">
        <f>_xlfn.XLOOKUP(U205,'Lista Suspensa'!$AA$20:$AA$23,'Lista Suspensa'!$AB$20:$AB$23,"N/A")</f>
        <v>S</v>
      </c>
    </row>
    <row r="206" spans="1:47" ht="12" customHeight="1" x14ac:dyDescent="0.3">
      <c r="A206" s="87" t="s">
        <v>47</v>
      </c>
      <c r="B206" s="88">
        <v>46104</v>
      </c>
      <c r="C206" s="89" t="s">
        <v>48</v>
      </c>
      <c r="D206" s="89" t="s">
        <v>49</v>
      </c>
      <c r="E206" s="90">
        <v>450115208</v>
      </c>
      <c r="F206" s="184" t="s">
        <v>728</v>
      </c>
      <c r="G206" s="91">
        <v>50765450887</v>
      </c>
      <c r="H206" s="92">
        <v>15708</v>
      </c>
      <c r="I206" s="89">
        <v>83</v>
      </c>
      <c r="J206" s="89" t="s">
        <v>70</v>
      </c>
      <c r="K206" s="89" t="s">
        <v>52</v>
      </c>
      <c r="L206" s="89" t="s">
        <v>53</v>
      </c>
      <c r="M206" s="89" t="s">
        <v>729</v>
      </c>
      <c r="N206" s="89" t="s">
        <v>252</v>
      </c>
      <c r="O206" s="93" t="s">
        <v>730</v>
      </c>
      <c r="P206" s="94" t="s">
        <v>57</v>
      </c>
      <c r="Q206" s="112" t="s">
        <v>58</v>
      </c>
      <c r="R206" s="95">
        <v>46164</v>
      </c>
      <c r="S206" s="96"/>
      <c r="T206" s="96" t="s">
        <v>59</v>
      </c>
      <c r="U206" s="96" t="s">
        <v>60</v>
      </c>
      <c r="V206" s="92">
        <v>46140</v>
      </c>
      <c r="W206" s="92">
        <v>46147</v>
      </c>
      <c r="X206" s="92">
        <v>46154</v>
      </c>
      <c r="Y206" s="97"/>
      <c r="Z206" s="89" t="s">
        <v>62</v>
      </c>
      <c r="AA206" s="96">
        <v>46176</v>
      </c>
      <c r="AB206" s="89" t="s">
        <v>80</v>
      </c>
      <c r="AC206" s="111"/>
      <c r="AD206" s="89"/>
      <c r="AE206" s="89"/>
      <c r="AF206" s="98"/>
      <c r="AG206" s="98"/>
      <c r="AH206" s="98"/>
      <c r="AI206" s="99"/>
      <c r="AJ206" s="99" t="s">
        <v>197</v>
      </c>
      <c r="AK206" s="99" t="s">
        <v>67</v>
      </c>
      <c r="AL206" s="45" t="s">
        <v>68</v>
      </c>
      <c r="AM206" s="162" t="str">
        <f t="shared" si="24"/>
        <v>3/2026</v>
      </c>
      <c r="AN206" s="45">
        <f t="shared" si="25"/>
        <v>4</v>
      </c>
      <c r="AO206" s="45" t="str">
        <f t="shared" si="26"/>
        <v>5/2026</v>
      </c>
      <c r="AP206" s="45">
        <f t="shared" si="27"/>
        <v>4</v>
      </c>
      <c r="AQ206" s="45">
        <f t="shared" si="28"/>
        <v>60</v>
      </c>
      <c r="AR206" s="45">
        <f t="shared" si="29"/>
        <v>0</v>
      </c>
      <c r="AS206" s="45">
        <f t="shared" si="30"/>
        <v>7</v>
      </c>
      <c r="AT206" s="45">
        <f t="shared" si="31"/>
        <v>0</v>
      </c>
      <c r="AU206" s="45" t="str">
        <f>_xlfn.XLOOKUP(U206,'Lista Suspensa'!$AA$20:$AA$23,'Lista Suspensa'!$AB$20:$AB$23,"N/A")</f>
        <v>S</v>
      </c>
    </row>
    <row r="207" spans="1:47" ht="12" customHeight="1" x14ac:dyDescent="0.3">
      <c r="A207" s="87" t="s">
        <v>47</v>
      </c>
      <c r="B207" s="88">
        <v>46104</v>
      </c>
      <c r="C207" s="89" t="s">
        <v>48</v>
      </c>
      <c r="D207" s="89" t="s">
        <v>49</v>
      </c>
      <c r="E207" s="193">
        <v>450265439</v>
      </c>
      <c r="F207" s="184" t="s">
        <v>731</v>
      </c>
      <c r="G207" s="91">
        <v>10484498827</v>
      </c>
      <c r="H207" s="92">
        <v>17046</v>
      </c>
      <c r="I207" s="89">
        <v>79</v>
      </c>
      <c r="J207" s="89" t="s">
        <v>70</v>
      </c>
      <c r="K207" s="89" t="s">
        <v>52</v>
      </c>
      <c r="L207" s="89" t="s">
        <v>331</v>
      </c>
      <c r="M207" s="89" t="s">
        <v>732</v>
      </c>
      <c r="N207" s="89" t="s">
        <v>252</v>
      </c>
      <c r="O207" s="93" t="s">
        <v>733</v>
      </c>
      <c r="P207" s="94" t="s">
        <v>57</v>
      </c>
      <c r="Q207" s="112" t="s">
        <v>58</v>
      </c>
      <c r="R207" s="95">
        <v>46163</v>
      </c>
      <c r="S207" s="96"/>
      <c r="T207" s="96" t="s">
        <v>59</v>
      </c>
      <c r="U207" s="96" t="s">
        <v>60</v>
      </c>
      <c r="V207" s="92">
        <v>46140</v>
      </c>
      <c r="W207" s="92">
        <v>46147</v>
      </c>
      <c r="X207" s="92">
        <v>46154</v>
      </c>
      <c r="Y207" s="97"/>
      <c r="Z207" s="89" t="s">
        <v>62</v>
      </c>
      <c r="AA207" s="96">
        <v>46171</v>
      </c>
      <c r="AB207" s="89" t="s">
        <v>80</v>
      </c>
      <c r="AC207" s="111"/>
      <c r="AD207" s="89"/>
      <c r="AE207" s="89"/>
      <c r="AF207" s="98"/>
      <c r="AG207" s="98"/>
      <c r="AH207" s="98"/>
      <c r="AI207" s="99"/>
      <c r="AJ207" s="99" t="s">
        <v>197</v>
      </c>
      <c r="AK207" s="99" t="s">
        <v>67</v>
      </c>
      <c r="AL207" s="45" t="s">
        <v>68</v>
      </c>
      <c r="AM207" s="162" t="str">
        <f t="shared" si="24"/>
        <v>3/2026</v>
      </c>
      <c r="AN207" s="45">
        <f t="shared" si="25"/>
        <v>4</v>
      </c>
      <c r="AO207" s="45" t="str">
        <f t="shared" si="26"/>
        <v>5/2026</v>
      </c>
      <c r="AP207" s="45">
        <f t="shared" si="27"/>
        <v>4</v>
      </c>
      <c r="AQ207" s="45">
        <f t="shared" si="28"/>
        <v>59</v>
      </c>
      <c r="AR207" s="45">
        <f t="shared" si="29"/>
        <v>0</v>
      </c>
      <c r="AS207" s="45">
        <f t="shared" si="30"/>
        <v>7</v>
      </c>
      <c r="AT207" s="45">
        <f t="shared" si="31"/>
        <v>0</v>
      </c>
      <c r="AU207" s="45" t="str">
        <f>_xlfn.XLOOKUP(U207,'Lista Suspensa'!$AA$20:$AA$23,'Lista Suspensa'!$AB$20:$AB$23,"N/A")</f>
        <v>S</v>
      </c>
    </row>
    <row r="208" spans="1:47" ht="12" customHeight="1" x14ac:dyDescent="0.3">
      <c r="A208" s="87" t="s">
        <v>47</v>
      </c>
      <c r="B208" s="88">
        <v>46104</v>
      </c>
      <c r="C208" s="89" t="s">
        <v>48</v>
      </c>
      <c r="D208" s="89" t="s">
        <v>49</v>
      </c>
      <c r="E208" s="90">
        <v>752991914</v>
      </c>
      <c r="F208" s="184" t="s">
        <v>734</v>
      </c>
      <c r="G208" s="91">
        <v>1201765722</v>
      </c>
      <c r="H208" s="92">
        <v>13896</v>
      </c>
      <c r="I208" s="89">
        <v>88</v>
      </c>
      <c r="J208" s="89" t="s">
        <v>70</v>
      </c>
      <c r="K208" s="89" t="s">
        <v>88</v>
      </c>
      <c r="L208" s="89" t="s">
        <v>454</v>
      </c>
      <c r="M208" s="89" t="s">
        <v>735</v>
      </c>
      <c r="N208" s="89" t="s">
        <v>252</v>
      </c>
      <c r="O208" s="93" t="s">
        <v>736</v>
      </c>
      <c r="P208" s="94" t="s">
        <v>57</v>
      </c>
      <c r="Q208" s="112" t="s">
        <v>58</v>
      </c>
      <c r="R208" s="95">
        <v>46147</v>
      </c>
      <c r="S208" s="96"/>
      <c r="T208" s="96" t="s">
        <v>59</v>
      </c>
      <c r="U208" s="96" t="s">
        <v>60</v>
      </c>
      <c r="V208" s="92">
        <v>46140</v>
      </c>
      <c r="W208" s="92">
        <v>46147</v>
      </c>
      <c r="X208" s="92" t="s">
        <v>61</v>
      </c>
      <c r="Y208" s="97"/>
      <c r="Z208" s="89" t="s">
        <v>62</v>
      </c>
      <c r="AA208" s="96" t="s">
        <v>737</v>
      </c>
      <c r="AB208" s="89" t="s">
        <v>80</v>
      </c>
      <c r="AC208" s="111"/>
      <c r="AD208" s="89"/>
      <c r="AE208" s="89"/>
      <c r="AF208" s="98"/>
      <c r="AG208" s="98"/>
      <c r="AH208" s="98"/>
      <c r="AI208" s="99" t="s">
        <v>197</v>
      </c>
      <c r="AJ208" s="99" t="s">
        <v>197</v>
      </c>
      <c r="AK208" s="99" t="s">
        <v>67</v>
      </c>
      <c r="AL208" s="45" t="s">
        <v>68</v>
      </c>
      <c r="AM208" s="162" t="str">
        <f t="shared" si="24"/>
        <v>3/2026</v>
      </c>
      <c r="AN208" s="45">
        <f t="shared" si="25"/>
        <v>4</v>
      </c>
      <c r="AO208" s="45" t="str">
        <f t="shared" si="26"/>
        <v>5/2026</v>
      </c>
      <c r="AP208" s="45">
        <f t="shared" si="27"/>
        <v>2</v>
      </c>
      <c r="AQ208" s="45">
        <f t="shared" si="28"/>
        <v>43</v>
      </c>
      <c r="AR208" s="45">
        <f t="shared" si="29"/>
        <v>0</v>
      </c>
      <c r="AS208" s="45">
        <f t="shared" si="30"/>
        <v>7</v>
      </c>
      <c r="AT208" s="45">
        <f t="shared" si="31"/>
        <v>0</v>
      </c>
      <c r="AU208" s="45" t="str">
        <f>_xlfn.XLOOKUP(U208,'Lista Suspensa'!$AA$20:$AA$23,'Lista Suspensa'!$AB$20:$AB$23,"N/A")</f>
        <v>S</v>
      </c>
    </row>
    <row r="209" spans="1:47" ht="12" customHeight="1" x14ac:dyDescent="0.3">
      <c r="A209" s="87" t="s">
        <v>47</v>
      </c>
      <c r="B209" s="88">
        <v>46104</v>
      </c>
      <c r="C209" s="89" t="s">
        <v>48</v>
      </c>
      <c r="D209" s="89" t="s">
        <v>49</v>
      </c>
      <c r="E209" s="90">
        <v>808475487</v>
      </c>
      <c r="F209" s="184" t="s">
        <v>738</v>
      </c>
      <c r="G209" s="91">
        <v>1198584874</v>
      </c>
      <c r="H209" s="92">
        <v>21826</v>
      </c>
      <c r="I209" s="89">
        <v>66</v>
      </c>
      <c r="J209" s="89" t="s">
        <v>51</v>
      </c>
      <c r="K209" s="89" t="s">
        <v>52</v>
      </c>
      <c r="L209" s="89" t="s">
        <v>53</v>
      </c>
      <c r="M209" s="89" t="s">
        <v>739</v>
      </c>
      <c r="N209" s="89" t="s">
        <v>252</v>
      </c>
      <c r="O209" s="93" t="s">
        <v>740</v>
      </c>
      <c r="P209" s="94" t="s">
        <v>57</v>
      </c>
      <c r="Q209" s="112" t="s">
        <v>58</v>
      </c>
      <c r="R209" s="95">
        <v>46117</v>
      </c>
      <c r="S209" s="96"/>
      <c r="T209" s="96" t="s">
        <v>59</v>
      </c>
      <c r="U209" s="96" t="s">
        <v>60</v>
      </c>
      <c r="V209" s="92">
        <v>46122</v>
      </c>
      <c r="W209" s="92">
        <v>46147</v>
      </c>
      <c r="X209" s="92">
        <v>46150</v>
      </c>
      <c r="Y209" s="97"/>
      <c r="Z209" s="89" t="s">
        <v>62</v>
      </c>
      <c r="AA209" s="96" t="s">
        <v>741</v>
      </c>
      <c r="AB209" s="89" t="s">
        <v>63</v>
      </c>
      <c r="AC209" s="111"/>
      <c r="AD209" s="89" t="s">
        <v>64</v>
      </c>
      <c r="AE209" s="89">
        <v>63</v>
      </c>
      <c r="AF209" s="98"/>
      <c r="AG209" s="98"/>
      <c r="AH209" s="98"/>
      <c r="AI209" s="99" t="s">
        <v>197</v>
      </c>
      <c r="AJ209" s="99" t="s">
        <v>197</v>
      </c>
      <c r="AK209" s="99" t="s">
        <v>67</v>
      </c>
      <c r="AL209" s="45" t="s">
        <v>68</v>
      </c>
      <c r="AM209" s="162" t="str">
        <f t="shared" si="24"/>
        <v>3/2026</v>
      </c>
      <c r="AN209" s="45">
        <f t="shared" si="25"/>
        <v>4</v>
      </c>
      <c r="AO209" s="45" t="str">
        <f t="shared" si="26"/>
        <v>4/2026</v>
      </c>
      <c r="AP209" s="45">
        <f t="shared" si="27"/>
        <v>2</v>
      </c>
      <c r="AQ209" s="45">
        <f t="shared" si="28"/>
        <v>13</v>
      </c>
      <c r="AR209" s="45">
        <f t="shared" si="29"/>
        <v>0</v>
      </c>
      <c r="AS209" s="45">
        <f t="shared" si="30"/>
        <v>14</v>
      </c>
      <c r="AT209" s="45">
        <f t="shared" si="31"/>
        <v>33.583333333335759</v>
      </c>
      <c r="AU209" s="45" t="str">
        <f>_xlfn.XLOOKUP(U209,'Lista Suspensa'!$AA$20:$AA$23,'Lista Suspensa'!$AB$20:$AB$23,"N/A")</f>
        <v>S</v>
      </c>
    </row>
    <row r="210" spans="1:47" ht="12" hidden="1" customHeight="1" x14ac:dyDescent="0.3">
      <c r="A210" s="87" t="s">
        <v>47</v>
      </c>
      <c r="B210" s="88">
        <v>46104</v>
      </c>
      <c r="C210" s="89" t="s">
        <v>48</v>
      </c>
      <c r="D210" s="89" t="s">
        <v>49</v>
      </c>
      <c r="E210" s="90">
        <v>757194303</v>
      </c>
      <c r="F210" s="184" t="s">
        <v>742</v>
      </c>
      <c r="G210" s="91">
        <v>88189554700</v>
      </c>
      <c r="H210" s="92">
        <v>19173</v>
      </c>
      <c r="I210" s="89">
        <v>73</v>
      </c>
      <c r="J210" s="89" t="s">
        <v>70</v>
      </c>
      <c r="K210" s="89" t="s">
        <v>88</v>
      </c>
      <c r="L210" s="89" t="s">
        <v>89</v>
      </c>
      <c r="M210" s="89" t="s">
        <v>743</v>
      </c>
      <c r="N210" s="89" t="s">
        <v>252</v>
      </c>
      <c r="O210" s="93" t="s">
        <v>744</v>
      </c>
      <c r="P210" s="94" t="s">
        <v>57</v>
      </c>
      <c r="Q210" s="112" t="s">
        <v>745</v>
      </c>
      <c r="R210" s="95">
        <v>46140</v>
      </c>
      <c r="S210" s="96">
        <v>46182</v>
      </c>
      <c r="T210" s="96" t="s">
        <v>59</v>
      </c>
      <c r="U210" s="96" t="s">
        <v>746</v>
      </c>
      <c r="V210" s="92">
        <v>46140</v>
      </c>
      <c r="W210" s="92" t="s">
        <v>61</v>
      </c>
      <c r="X210" s="92" t="s">
        <v>61</v>
      </c>
      <c r="Y210" s="97"/>
      <c r="Z210" s="89" t="s">
        <v>62</v>
      </c>
      <c r="AA210" s="96" t="s">
        <v>747</v>
      </c>
      <c r="AB210" s="89" t="s">
        <v>63</v>
      </c>
      <c r="AC210" s="111"/>
      <c r="AD210" s="89"/>
      <c r="AE210" s="89"/>
      <c r="AF210" s="98"/>
      <c r="AG210" s="98"/>
      <c r="AH210" s="98" t="s">
        <v>139</v>
      </c>
      <c r="AI210" s="99" t="s">
        <v>67</v>
      </c>
      <c r="AJ210" s="99" t="s">
        <v>67</v>
      </c>
      <c r="AK210" s="99" t="s">
        <v>67</v>
      </c>
      <c r="AL210" s="45" t="s">
        <v>68</v>
      </c>
      <c r="AM210" s="162" t="str">
        <f t="shared" si="24"/>
        <v>3/2026</v>
      </c>
      <c r="AN210" s="45">
        <f t="shared" si="25"/>
        <v>4</v>
      </c>
      <c r="AO210" s="45" t="str">
        <f t="shared" si="26"/>
        <v>4/2026</v>
      </c>
      <c r="AP210" s="45">
        <f t="shared" si="27"/>
        <v>5</v>
      </c>
      <c r="AQ210" s="45">
        <f t="shared" si="28"/>
        <v>0</v>
      </c>
      <c r="AR210" s="45">
        <f t="shared" si="29"/>
        <v>42</v>
      </c>
      <c r="AS210" s="45">
        <f t="shared" si="30"/>
        <v>0</v>
      </c>
      <c r="AT210" s="45">
        <f t="shared" si="31"/>
        <v>0</v>
      </c>
      <c r="AU210" s="45" t="str">
        <f>_xlfn.XLOOKUP(U210,'Lista Suspensa'!$AA$20:$AA$23,'Lista Suspensa'!$AB$20:$AB$23,"N/A")</f>
        <v>S</v>
      </c>
    </row>
    <row r="211" spans="1:47" ht="12" customHeight="1" x14ac:dyDescent="0.3">
      <c r="A211" s="87" t="s">
        <v>47</v>
      </c>
      <c r="B211" s="88">
        <v>46104</v>
      </c>
      <c r="C211" s="89" t="s">
        <v>48</v>
      </c>
      <c r="D211" s="89" t="s">
        <v>49</v>
      </c>
      <c r="E211" s="90">
        <v>450103072</v>
      </c>
      <c r="F211" s="184" t="s">
        <v>748</v>
      </c>
      <c r="G211" s="91">
        <v>9103169880</v>
      </c>
      <c r="H211" s="92">
        <v>24444</v>
      </c>
      <c r="I211" s="89">
        <v>59</v>
      </c>
      <c r="J211" s="89" t="s">
        <v>70</v>
      </c>
      <c r="K211" s="89" t="s">
        <v>52</v>
      </c>
      <c r="L211" s="89" t="s">
        <v>749</v>
      </c>
      <c r="M211" s="89" t="s">
        <v>750</v>
      </c>
      <c r="N211" s="89" t="s">
        <v>252</v>
      </c>
      <c r="O211" s="93" t="s">
        <v>751</v>
      </c>
      <c r="P211" s="94" t="s">
        <v>57</v>
      </c>
      <c r="Q211" s="112" t="s">
        <v>58</v>
      </c>
      <c r="R211" s="95">
        <v>46171</v>
      </c>
      <c r="S211" s="96"/>
      <c r="T211" s="96" t="s">
        <v>59</v>
      </c>
      <c r="U211" s="96" t="s">
        <v>60</v>
      </c>
      <c r="V211" s="92">
        <v>46140</v>
      </c>
      <c r="W211" s="92">
        <v>46147</v>
      </c>
      <c r="X211" s="92">
        <v>46154</v>
      </c>
      <c r="Y211" s="97"/>
      <c r="Z211" s="89" t="s">
        <v>62</v>
      </c>
      <c r="AA211" s="96">
        <v>46175</v>
      </c>
      <c r="AB211" s="89" t="s">
        <v>80</v>
      </c>
      <c r="AC211" s="111"/>
      <c r="AD211" s="89"/>
      <c r="AE211" s="89"/>
      <c r="AF211" s="98"/>
      <c r="AG211" s="98"/>
      <c r="AH211" s="98"/>
      <c r="AI211" s="99"/>
      <c r="AJ211" s="99" t="s">
        <v>197</v>
      </c>
      <c r="AK211" s="99" t="s">
        <v>67</v>
      </c>
      <c r="AL211" s="45" t="s">
        <v>68</v>
      </c>
      <c r="AM211" s="162" t="str">
        <f t="shared" si="24"/>
        <v>3/2026</v>
      </c>
      <c r="AN211" s="45">
        <f t="shared" si="25"/>
        <v>4</v>
      </c>
      <c r="AO211" s="45" t="str">
        <f t="shared" si="26"/>
        <v>5/2026</v>
      </c>
      <c r="AP211" s="45">
        <f t="shared" si="27"/>
        <v>5</v>
      </c>
      <c r="AQ211" s="45">
        <f t="shared" si="28"/>
        <v>67</v>
      </c>
      <c r="AR211" s="45">
        <f t="shared" si="29"/>
        <v>0</v>
      </c>
      <c r="AS211" s="45">
        <f t="shared" si="30"/>
        <v>7</v>
      </c>
      <c r="AT211" s="45">
        <f t="shared" si="31"/>
        <v>0</v>
      </c>
      <c r="AU211" s="45" t="str">
        <f>_xlfn.XLOOKUP(U211,'Lista Suspensa'!$AA$20:$AA$23,'Lista Suspensa'!$AB$20:$AB$23,"N/A")</f>
        <v>S</v>
      </c>
    </row>
    <row r="212" spans="1:47" ht="12" customHeight="1" x14ac:dyDescent="0.3">
      <c r="A212" s="87" t="s">
        <v>47</v>
      </c>
      <c r="B212" s="88">
        <v>46104</v>
      </c>
      <c r="C212" s="89" t="s">
        <v>48</v>
      </c>
      <c r="D212" s="89" t="s">
        <v>49</v>
      </c>
      <c r="E212" s="90">
        <v>450199258</v>
      </c>
      <c r="F212" s="184" t="s">
        <v>752</v>
      </c>
      <c r="G212" s="91">
        <v>67227970825</v>
      </c>
      <c r="H212" s="92">
        <v>14555</v>
      </c>
      <c r="I212" s="89">
        <v>86</v>
      </c>
      <c r="J212" s="89" t="s">
        <v>70</v>
      </c>
      <c r="K212" s="89" t="s">
        <v>52</v>
      </c>
      <c r="L212" s="89" t="s">
        <v>53</v>
      </c>
      <c r="M212" s="89" t="s">
        <v>753</v>
      </c>
      <c r="N212" s="89" t="s">
        <v>252</v>
      </c>
      <c r="O212" s="93" t="s">
        <v>754</v>
      </c>
      <c r="P212" s="94" t="s">
        <v>57</v>
      </c>
      <c r="Q212" s="112" t="s">
        <v>58</v>
      </c>
      <c r="R212" s="95">
        <v>46140</v>
      </c>
      <c r="S212" s="96"/>
      <c r="T212" s="96" t="s">
        <v>59</v>
      </c>
      <c r="U212" s="96" t="s">
        <v>60</v>
      </c>
      <c r="V212" s="92">
        <v>46140</v>
      </c>
      <c r="W212" s="92" t="s">
        <v>61</v>
      </c>
      <c r="X212" s="92" t="s">
        <v>61</v>
      </c>
      <c r="Y212" s="97"/>
      <c r="Z212" s="89" t="s">
        <v>62</v>
      </c>
      <c r="AA212" s="96" t="s">
        <v>755</v>
      </c>
      <c r="AB212" s="89" t="s">
        <v>80</v>
      </c>
      <c r="AC212" s="111"/>
      <c r="AD212" s="89"/>
      <c r="AE212" s="89"/>
      <c r="AF212" s="98"/>
      <c r="AG212" s="98"/>
      <c r="AH212" s="98"/>
      <c r="AI212" s="99" t="s">
        <v>67</v>
      </c>
      <c r="AJ212" s="99" t="s">
        <v>67</v>
      </c>
      <c r="AK212" s="99" t="s">
        <v>67</v>
      </c>
      <c r="AL212" s="45" t="s">
        <v>68</v>
      </c>
      <c r="AM212" s="162" t="str">
        <f t="shared" si="24"/>
        <v>3/2026</v>
      </c>
      <c r="AN212" s="45">
        <f t="shared" si="25"/>
        <v>4</v>
      </c>
      <c r="AO212" s="45" t="str">
        <f t="shared" si="26"/>
        <v>4/2026</v>
      </c>
      <c r="AP212" s="45">
        <f t="shared" si="27"/>
        <v>5</v>
      </c>
      <c r="AQ212" s="45">
        <f t="shared" si="28"/>
        <v>36</v>
      </c>
      <c r="AR212" s="45">
        <f t="shared" si="29"/>
        <v>0</v>
      </c>
      <c r="AS212" s="45">
        <f t="shared" si="30"/>
        <v>0</v>
      </c>
      <c r="AT212" s="45">
        <f t="shared" si="31"/>
        <v>0</v>
      </c>
      <c r="AU212" s="45" t="str">
        <f>_xlfn.XLOOKUP(U212,'Lista Suspensa'!$AA$20:$AA$23,'Lista Suspensa'!$AB$20:$AB$23,"N/A")</f>
        <v>S</v>
      </c>
    </row>
    <row r="213" spans="1:47" ht="12" customHeight="1" x14ac:dyDescent="0.3">
      <c r="A213" s="87" t="s">
        <v>47</v>
      </c>
      <c r="B213" s="88">
        <v>46104</v>
      </c>
      <c r="C213" s="89" t="s">
        <v>48</v>
      </c>
      <c r="D213" s="89" t="s">
        <v>49</v>
      </c>
      <c r="E213" s="90">
        <v>450136698</v>
      </c>
      <c r="F213" s="184" t="s">
        <v>756</v>
      </c>
      <c r="G213" s="91">
        <v>27420744815</v>
      </c>
      <c r="H213" s="92">
        <v>17998</v>
      </c>
      <c r="I213" s="89">
        <v>76</v>
      </c>
      <c r="J213" s="89" t="s">
        <v>51</v>
      </c>
      <c r="K213" s="89" t="s">
        <v>52</v>
      </c>
      <c r="L213" s="89" t="s">
        <v>283</v>
      </c>
      <c r="M213" s="89" t="s">
        <v>757</v>
      </c>
      <c r="N213" s="89" t="s">
        <v>252</v>
      </c>
      <c r="O213" s="93" t="s">
        <v>758</v>
      </c>
      <c r="P213" s="94" t="s">
        <v>57</v>
      </c>
      <c r="Q213" s="112" t="s">
        <v>58</v>
      </c>
      <c r="R213" s="95">
        <v>46153</v>
      </c>
      <c r="S213" s="96"/>
      <c r="T213" s="96" t="s">
        <v>59</v>
      </c>
      <c r="U213" s="96" t="s">
        <v>60</v>
      </c>
      <c r="V213" s="92">
        <v>46140</v>
      </c>
      <c r="W213" s="92">
        <v>46147</v>
      </c>
      <c r="X213" s="92">
        <v>46154</v>
      </c>
      <c r="Y213" s="97"/>
      <c r="Z213" s="89" t="s">
        <v>62</v>
      </c>
      <c r="AA213" s="96">
        <v>46167</v>
      </c>
      <c r="AB213" s="89" t="s">
        <v>63</v>
      </c>
      <c r="AC213" s="111"/>
      <c r="AD213" s="89" t="s">
        <v>64</v>
      </c>
      <c r="AE213" s="89">
        <v>63</v>
      </c>
      <c r="AF213" s="98"/>
      <c r="AG213" s="98"/>
      <c r="AH213" s="98" t="s">
        <v>66</v>
      </c>
      <c r="AI213" s="99" t="s">
        <v>197</v>
      </c>
      <c r="AJ213" s="99" t="s">
        <v>197</v>
      </c>
      <c r="AK213" s="99" t="s">
        <v>67</v>
      </c>
      <c r="AL213" s="45" t="s">
        <v>68</v>
      </c>
      <c r="AM213" s="162" t="str">
        <f t="shared" si="24"/>
        <v>3/2026</v>
      </c>
      <c r="AN213" s="45">
        <f t="shared" si="25"/>
        <v>4</v>
      </c>
      <c r="AO213" s="45" t="str">
        <f t="shared" si="26"/>
        <v>5/2026</v>
      </c>
      <c r="AP213" s="45">
        <f t="shared" si="27"/>
        <v>3</v>
      </c>
      <c r="AQ213" s="45">
        <f t="shared" si="28"/>
        <v>49</v>
      </c>
      <c r="AR213" s="45">
        <f t="shared" si="29"/>
        <v>0</v>
      </c>
      <c r="AS213" s="45">
        <f t="shared" si="30"/>
        <v>7</v>
      </c>
      <c r="AT213" s="45">
        <f t="shared" si="31"/>
        <v>14</v>
      </c>
      <c r="AU213" s="45" t="str">
        <f>_xlfn.XLOOKUP(U213,'Lista Suspensa'!$AA$20:$AA$23,'Lista Suspensa'!$AB$20:$AB$23,"N/A")</f>
        <v>S</v>
      </c>
    </row>
    <row r="214" spans="1:47" ht="12" customHeight="1" x14ac:dyDescent="0.3">
      <c r="A214" s="87" t="s">
        <v>47</v>
      </c>
      <c r="B214" s="88">
        <v>46104</v>
      </c>
      <c r="C214" s="89" t="s">
        <v>48</v>
      </c>
      <c r="D214" s="89" t="s">
        <v>49</v>
      </c>
      <c r="E214" s="90">
        <v>809066033</v>
      </c>
      <c r="F214" s="184" t="s">
        <v>759</v>
      </c>
      <c r="G214" s="91">
        <v>89490029815</v>
      </c>
      <c r="H214" s="92">
        <v>20132</v>
      </c>
      <c r="I214" s="89">
        <v>71</v>
      </c>
      <c r="J214" s="89" t="s">
        <v>70</v>
      </c>
      <c r="K214" s="89" t="s">
        <v>52</v>
      </c>
      <c r="L214" s="89" t="s">
        <v>53</v>
      </c>
      <c r="M214" s="89" t="s">
        <v>760</v>
      </c>
      <c r="N214" s="89" t="s">
        <v>252</v>
      </c>
      <c r="O214" s="93" t="s">
        <v>761</v>
      </c>
      <c r="P214" s="94" t="s">
        <v>57</v>
      </c>
      <c r="Q214" s="112" t="s">
        <v>58</v>
      </c>
      <c r="R214" s="95">
        <v>46140</v>
      </c>
      <c r="S214" s="96"/>
      <c r="T214" s="96" t="s">
        <v>59</v>
      </c>
      <c r="U214" s="96" t="s">
        <v>60</v>
      </c>
      <c r="V214" s="92">
        <v>46140</v>
      </c>
      <c r="W214" s="92" t="s">
        <v>61</v>
      </c>
      <c r="X214" s="92" t="s">
        <v>61</v>
      </c>
      <c r="Y214" s="97"/>
      <c r="Z214" s="89" t="s">
        <v>62</v>
      </c>
      <c r="AA214" s="96" t="s">
        <v>762</v>
      </c>
      <c r="AB214" s="89" t="s">
        <v>63</v>
      </c>
      <c r="AC214" s="111"/>
      <c r="AD214" s="89" t="s">
        <v>64</v>
      </c>
      <c r="AE214" s="89">
        <v>54</v>
      </c>
      <c r="AF214" s="98" t="s">
        <v>248</v>
      </c>
      <c r="AG214" s="98"/>
      <c r="AH214" s="98" t="s">
        <v>66</v>
      </c>
      <c r="AI214" s="99" t="s">
        <v>67</v>
      </c>
      <c r="AJ214" s="99" t="s">
        <v>67</v>
      </c>
      <c r="AK214" s="99" t="s">
        <v>67</v>
      </c>
      <c r="AL214" s="45" t="s">
        <v>68</v>
      </c>
      <c r="AM214" s="162" t="str">
        <f t="shared" si="24"/>
        <v>3/2026</v>
      </c>
      <c r="AN214" s="45">
        <f t="shared" si="25"/>
        <v>4</v>
      </c>
      <c r="AO214" s="45" t="str">
        <f t="shared" si="26"/>
        <v>4/2026</v>
      </c>
      <c r="AP214" s="45">
        <f t="shared" si="27"/>
        <v>5</v>
      </c>
      <c r="AQ214" s="45">
        <f t="shared" si="28"/>
        <v>36</v>
      </c>
      <c r="AR214" s="45">
        <f t="shared" si="29"/>
        <v>0</v>
      </c>
      <c r="AS214" s="45">
        <f t="shared" si="30"/>
        <v>0</v>
      </c>
      <c r="AT214" s="45">
        <f t="shared" si="31"/>
        <v>2.625</v>
      </c>
      <c r="AU214" s="45" t="str">
        <f>_xlfn.XLOOKUP(U214,'Lista Suspensa'!$AA$20:$AA$23,'Lista Suspensa'!$AB$20:$AB$23,"N/A")</f>
        <v>S</v>
      </c>
    </row>
    <row r="215" spans="1:47" ht="12" customHeight="1" x14ac:dyDescent="0.3">
      <c r="A215" s="87" t="s">
        <v>47</v>
      </c>
      <c r="B215" s="88">
        <v>46104</v>
      </c>
      <c r="C215" s="89" t="s">
        <v>48</v>
      </c>
      <c r="D215" s="89" t="s">
        <v>49</v>
      </c>
      <c r="E215" s="90">
        <v>755851463</v>
      </c>
      <c r="F215" s="184" t="s">
        <v>763</v>
      </c>
      <c r="G215" s="91">
        <v>582596785</v>
      </c>
      <c r="H215" s="92">
        <v>24654</v>
      </c>
      <c r="I215" s="89">
        <v>58</v>
      </c>
      <c r="J215" s="89" t="s">
        <v>51</v>
      </c>
      <c r="K215" s="89" t="s">
        <v>88</v>
      </c>
      <c r="L215" s="89" t="s">
        <v>231</v>
      </c>
      <c r="M215" s="89" t="s">
        <v>764</v>
      </c>
      <c r="N215" s="89" t="s">
        <v>252</v>
      </c>
      <c r="O215" s="93" t="s">
        <v>765</v>
      </c>
      <c r="P215" s="94" t="s">
        <v>57</v>
      </c>
      <c r="Q215" s="112" t="s">
        <v>58</v>
      </c>
      <c r="R215" s="95">
        <v>46147</v>
      </c>
      <c r="S215" s="96"/>
      <c r="T215" s="96" t="s">
        <v>59</v>
      </c>
      <c r="U215" s="96" t="s">
        <v>60</v>
      </c>
      <c r="V215" s="92">
        <v>46128</v>
      </c>
      <c r="W215" s="92">
        <v>46147</v>
      </c>
      <c r="X215" s="92" t="s">
        <v>61</v>
      </c>
      <c r="Y215" s="97"/>
      <c r="Z215" s="89" t="s">
        <v>62</v>
      </c>
      <c r="AA215" s="96">
        <v>46157</v>
      </c>
      <c r="AB215" s="89" t="s">
        <v>80</v>
      </c>
      <c r="AC215" s="111"/>
      <c r="AD215" s="89"/>
      <c r="AE215" s="89"/>
      <c r="AF215" s="98"/>
      <c r="AG215" s="98"/>
      <c r="AH215" s="98"/>
      <c r="AI215" s="99" t="s">
        <v>197</v>
      </c>
      <c r="AJ215" s="99" t="s">
        <v>197</v>
      </c>
      <c r="AK215" s="99" t="s">
        <v>67</v>
      </c>
      <c r="AL215" s="45" t="s">
        <v>68</v>
      </c>
      <c r="AM215" s="162" t="str">
        <f t="shared" si="24"/>
        <v>3/2026</v>
      </c>
      <c r="AN215" s="45">
        <f t="shared" si="25"/>
        <v>4</v>
      </c>
      <c r="AO215" s="45" t="str">
        <f t="shared" si="26"/>
        <v>5/2026</v>
      </c>
      <c r="AP215" s="45">
        <f t="shared" si="27"/>
        <v>2</v>
      </c>
      <c r="AQ215" s="45">
        <f t="shared" si="28"/>
        <v>43</v>
      </c>
      <c r="AR215" s="45">
        <f t="shared" si="29"/>
        <v>0</v>
      </c>
      <c r="AS215" s="45">
        <f t="shared" si="30"/>
        <v>19</v>
      </c>
      <c r="AT215" s="45">
        <f t="shared" si="31"/>
        <v>0</v>
      </c>
      <c r="AU215" s="45" t="str">
        <f>_xlfn.XLOOKUP(U215,'Lista Suspensa'!$AA$20:$AA$23,'Lista Suspensa'!$AB$20:$AB$23,"N/A")</f>
        <v>S</v>
      </c>
    </row>
    <row r="216" spans="1:47" ht="12" customHeight="1" x14ac:dyDescent="0.3">
      <c r="A216" s="87" t="s">
        <v>47</v>
      </c>
      <c r="B216" s="88">
        <v>46104</v>
      </c>
      <c r="C216" s="89" t="s">
        <v>48</v>
      </c>
      <c r="D216" s="89" t="s">
        <v>49</v>
      </c>
      <c r="E216" s="90">
        <v>450290972</v>
      </c>
      <c r="F216" s="184" t="s">
        <v>766</v>
      </c>
      <c r="G216" s="91">
        <v>66566983872</v>
      </c>
      <c r="H216" s="92">
        <v>18047</v>
      </c>
      <c r="I216" s="89">
        <v>76</v>
      </c>
      <c r="J216" s="89" t="s">
        <v>70</v>
      </c>
      <c r="K216" s="89" t="s">
        <v>52</v>
      </c>
      <c r="L216" s="89" t="s">
        <v>53</v>
      </c>
      <c r="M216" s="89" t="s">
        <v>767</v>
      </c>
      <c r="N216" s="89" t="s">
        <v>252</v>
      </c>
      <c r="O216" s="93" t="s">
        <v>768</v>
      </c>
      <c r="P216" s="94" t="s">
        <v>57</v>
      </c>
      <c r="Q216" s="112" t="s">
        <v>58</v>
      </c>
      <c r="R216" s="95">
        <v>46140</v>
      </c>
      <c r="S216" s="96"/>
      <c r="T216" s="96" t="s">
        <v>59</v>
      </c>
      <c r="U216" s="96" t="s">
        <v>60</v>
      </c>
      <c r="V216" s="92">
        <v>46140</v>
      </c>
      <c r="W216" s="92" t="s">
        <v>61</v>
      </c>
      <c r="X216" s="92" t="s">
        <v>61</v>
      </c>
      <c r="Y216" s="97"/>
      <c r="Z216" s="89" t="s">
        <v>62</v>
      </c>
      <c r="AA216" s="96">
        <v>46141.597222222219</v>
      </c>
      <c r="AB216" s="89" t="s">
        <v>63</v>
      </c>
      <c r="AC216" s="111"/>
      <c r="AD216" s="89"/>
      <c r="AE216" s="89"/>
      <c r="AF216" s="98"/>
      <c r="AG216" s="98"/>
      <c r="AH216" s="98"/>
      <c r="AI216" s="99" t="s">
        <v>67</v>
      </c>
      <c r="AJ216" s="99" t="s">
        <v>67</v>
      </c>
      <c r="AK216" s="99" t="s">
        <v>67</v>
      </c>
      <c r="AL216" s="45" t="s">
        <v>68</v>
      </c>
      <c r="AM216" s="162" t="str">
        <f t="shared" si="24"/>
        <v>3/2026</v>
      </c>
      <c r="AN216" s="45">
        <f t="shared" si="25"/>
        <v>4</v>
      </c>
      <c r="AO216" s="45" t="str">
        <f t="shared" si="26"/>
        <v>4/2026</v>
      </c>
      <c r="AP216" s="45">
        <f t="shared" si="27"/>
        <v>5</v>
      </c>
      <c r="AQ216" s="45">
        <f t="shared" si="28"/>
        <v>36</v>
      </c>
      <c r="AR216" s="45">
        <f t="shared" si="29"/>
        <v>0</v>
      </c>
      <c r="AS216" s="45">
        <f t="shared" si="30"/>
        <v>0</v>
      </c>
      <c r="AT216" s="45">
        <f t="shared" si="31"/>
        <v>1.5972222222189885</v>
      </c>
      <c r="AU216" s="45" t="str">
        <f>_xlfn.XLOOKUP(U216,'Lista Suspensa'!$AA$20:$AA$23,'Lista Suspensa'!$AB$20:$AB$23,"N/A")</f>
        <v>S</v>
      </c>
    </row>
    <row r="217" spans="1:47" ht="12" customHeight="1" x14ac:dyDescent="0.3">
      <c r="A217" s="87" t="s">
        <v>47</v>
      </c>
      <c r="B217" s="88">
        <v>46104</v>
      </c>
      <c r="C217" s="89" t="s">
        <v>48</v>
      </c>
      <c r="D217" s="89" t="s">
        <v>49</v>
      </c>
      <c r="E217" s="90">
        <v>800176618</v>
      </c>
      <c r="F217" s="184" t="s">
        <v>769</v>
      </c>
      <c r="G217" s="91">
        <v>15224265827</v>
      </c>
      <c r="H217" s="92">
        <v>25557</v>
      </c>
      <c r="I217" s="89">
        <v>56</v>
      </c>
      <c r="J217" s="89" t="s">
        <v>70</v>
      </c>
      <c r="K217" s="89" t="s">
        <v>52</v>
      </c>
      <c r="L217" s="89" t="s">
        <v>53</v>
      </c>
      <c r="M217" s="89" t="s">
        <v>770</v>
      </c>
      <c r="N217" s="89" t="s">
        <v>252</v>
      </c>
      <c r="O217" s="93" t="s">
        <v>771</v>
      </c>
      <c r="P217" s="94" t="s">
        <v>57</v>
      </c>
      <c r="Q217" s="112" t="s">
        <v>58</v>
      </c>
      <c r="R217" s="95">
        <v>46141</v>
      </c>
      <c r="S217" s="96"/>
      <c r="T217" s="96" t="s">
        <v>59</v>
      </c>
      <c r="U217" s="96" t="s">
        <v>60</v>
      </c>
      <c r="V217" s="92">
        <v>46140</v>
      </c>
      <c r="W217" s="92">
        <v>46141</v>
      </c>
      <c r="X217" s="92" t="s">
        <v>61</v>
      </c>
      <c r="Y217" s="97"/>
      <c r="Z217" s="89" t="s">
        <v>62</v>
      </c>
      <c r="AA217" s="96">
        <v>46148</v>
      </c>
      <c r="AB217" s="89" t="s">
        <v>63</v>
      </c>
      <c r="AC217" s="111"/>
      <c r="AD217" s="89"/>
      <c r="AE217" s="89"/>
      <c r="AF217" s="98"/>
      <c r="AG217" s="98"/>
      <c r="AH217" s="98"/>
      <c r="AI217" s="99" t="s">
        <v>67</v>
      </c>
      <c r="AJ217" s="99" t="s">
        <v>67</v>
      </c>
      <c r="AK217" s="99" t="s">
        <v>67</v>
      </c>
      <c r="AL217" s="45" t="s">
        <v>68</v>
      </c>
      <c r="AM217" s="162" t="str">
        <f t="shared" si="24"/>
        <v>3/2026</v>
      </c>
      <c r="AN217" s="45">
        <f t="shared" si="25"/>
        <v>4</v>
      </c>
      <c r="AO217" s="45" t="str">
        <f t="shared" si="26"/>
        <v>4/2026</v>
      </c>
      <c r="AP217" s="45">
        <f t="shared" si="27"/>
        <v>5</v>
      </c>
      <c r="AQ217" s="45">
        <f t="shared" si="28"/>
        <v>37</v>
      </c>
      <c r="AR217" s="45">
        <f t="shared" si="29"/>
        <v>0</v>
      </c>
      <c r="AS217" s="45">
        <f t="shared" si="30"/>
        <v>1</v>
      </c>
      <c r="AT217" s="45">
        <f t="shared" si="31"/>
        <v>7</v>
      </c>
      <c r="AU217" s="45" t="str">
        <f>_xlfn.XLOOKUP(U217,'Lista Suspensa'!$AA$20:$AA$23,'Lista Suspensa'!$AB$20:$AB$23,"N/A")</f>
        <v>S</v>
      </c>
    </row>
    <row r="218" spans="1:47" ht="12" customHeight="1" x14ac:dyDescent="0.3">
      <c r="A218" s="87" t="s">
        <v>47</v>
      </c>
      <c r="B218" s="88">
        <v>46104</v>
      </c>
      <c r="C218" s="89" t="s">
        <v>48</v>
      </c>
      <c r="D218" s="89" t="s">
        <v>49</v>
      </c>
      <c r="E218" s="90">
        <v>449250369</v>
      </c>
      <c r="F218" s="184" t="s">
        <v>772</v>
      </c>
      <c r="G218" s="91">
        <v>11696988837</v>
      </c>
      <c r="H218" s="92">
        <v>25065</v>
      </c>
      <c r="I218" s="89">
        <v>57</v>
      </c>
      <c r="J218" s="89" t="s">
        <v>70</v>
      </c>
      <c r="K218" s="89" t="s">
        <v>52</v>
      </c>
      <c r="L218" s="89" t="s">
        <v>53</v>
      </c>
      <c r="M218" s="89" t="s">
        <v>773</v>
      </c>
      <c r="N218" s="89" t="s">
        <v>252</v>
      </c>
      <c r="O218" s="93" t="s">
        <v>774</v>
      </c>
      <c r="P218" s="94" t="s">
        <v>57</v>
      </c>
      <c r="Q218" s="112" t="s">
        <v>58</v>
      </c>
      <c r="R218" s="95">
        <v>46117</v>
      </c>
      <c r="S218" s="96"/>
      <c r="T218" s="96" t="s">
        <v>59</v>
      </c>
      <c r="U218" s="96" t="s">
        <v>60</v>
      </c>
      <c r="V218" s="92">
        <v>46140</v>
      </c>
      <c r="W218" s="92">
        <v>46147</v>
      </c>
      <c r="X218" s="92">
        <v>46150</v>
      </c>
      <c r="Y218" s="97"/>
      <c r="Z218" s="89" t="s">
        <v>62</v>
      </c>
      <c r="AA218" s="96" t="s">
        <v>775</v>
      </c>
      <c r="AB218" s="89" t="s">
        <v>63</v>
      </c>
      <c r="AC218" s="111"/>
      <c r="AD218" s="89" t="s">
        <v>64</v>
      </c>
      <c r="AE218" s="89">
        <v>63</v>
      </c>
      <c r="AF218" s="98"/>
      <c r="AG218" s="98"/>
      <c r="AH218" s="98"/>
      <c r="AI218" s="99" t="s">
        <v>197</v>
      </c>
      <c r="AJ218" s="99" t="s">
        <v>197</v>
      </c>
      <c r="AK218" s="99" t="s">
        <v>67</v>
      </c>
      <c r="AL218" s="45" t="s">
        <v>68</v>
      </c>
      <c r="AM218" s="162" t="str">
        <f t="shared" si="24"/>
        <v>3/2026</v>
      </c>
      <c r="AN218" s="45">
        <f t="shared" si="25"/>
        <v>4</v>
      </c>
      <c r="AO218" s="45" t="str">
        <f t="shared" si="26"/>
        <v>4/2026</v>
      </c>
      <c r="AP218" s="45">
        <f t="shared" si="27"/>
        <v>2</v>
      </c>
      <c r="AQ218" s="45">
        <f t="shared" si="28"/>
        <v>13</v>
      </c>
      <c r="AR218" s="45">
        <f t="shared" si="29"/>
        <v>0</v>
      </c>
      <c r="AS218" s="45">
        <f t="shared" si="30"/>
        <v>5</v>
      </c>
      <c r="AT218" s="45">
        <f t="shared" si="31"/>
        <v>33.597222222218988</v>
      </c>
      <c r="AU218" s="45" t="str">
        <f>_xlfn.XLOOKUP(U218,'Lista Suspensa'!$AA$20:$AA$23,'Lista Suspensa'!$AB$20:$AB$23,"N/A")</f>
        <v>S</v>
      </c>
    </row>
    <row r="219" spans="1:47" ht="12" customHeight="1" x14ac:dyDescent="0.3">
      <c r="A219" s="87" t="s">
        <v>47</v>
      </c>
      <c r="B219" s="88">
        <v>46104</v>
      </c>
      <c r="C219" s="89" t="s">
        <v>48</v>
      </c>
      <c r="D219" s="89" t="s">
        <v>49</v>
      </c>
      <c r="E219" s="90">
        <v>785281487</v>
      </c>
      <c r="F219" s="184" t="s">
        <v>776</v>
      </c>
      <c r="G219" s="91">
        <v>12838543849</v>
      </c>
      <c r="H219" s="92">
        <v>11863</v>
      </c>
      <c r="I219" s="89">
        <v>93</v>
      </c>
      <c r="J219" s="89" t="s">
        <v>51</v>
      </c>
      <c r="K219" s="89" t="s">
        <v>52</v>
      </c>
      <c r="L219" s="89" t="s">
        <v>283</v>
      </c>
      <c r="M219" s="89" t="s">
        <v>777</v>
      </c>
      <c r="N219" s="89" t="s">
        <v>252</v>
      </c>
      <c r="O219" s="93" t="s">
        <v>778</v>
      </c>
      <c r="P219" s="94" t="s">
        <v>57</v>
      </c>
      <c r="Q219" s="112" t="s">
        <v>58</v>
      </c>
      <c r="R219" s="95">
        <v>46140</v>
      </c>
      <c r="S219" s="96"/>
      <c r="T219" s="96" t="s">
        <v>59</v>
      </c>
      <c r="U219" s="96" t="s">
        <v>60</v>
      </c>
      <c r="V219" s="92">
        <v>46140</v>
      </c>
      <c r="W219" s="92" t="s">
        <v>61</v>
      </c>
      <c r="X219" s="92" t="s">
        <v>61</v>
      </c>
      <c r="Y219" s="97"/>
      <c r="Z219" s="89" t="s">
        <v>62</v>
      </c>
      <c r="AA219" s="96">
        <v>46142.5</v>
      </c>
      <c r="AB219" s="89" t="s">
        <v>80</v>
      </c>
      <c r="AC219" s="111">
        <v>46150</v>
      </c>
      <c r="AD219" s="89"/>
      <c r="AE219" s="89"/>
      <c r="AF219" s="98"/>
      <c r="AG219" s="98"/>
      <c r="AH219" s="98"/>
      <c r="AI219" s="99" t="s">
        <v>67</v>
      </c>
      <c r="AJ219" s="99" t="s">
        <v>67</v>
      </c>
      <c r="AK219" s="99" t="s">
        <v>67</v>
      </c>
      <c r="AL219" s="45" t="s">
        <v>68</v>
      </c>
      <c r="AM219" s="162" t="str">
        <f t="shared" si="24"/>
        <v>3/2026</v>
      </c>
      <c r="AN219" s="45">
        <f t="shared" si="25"/>
        <v>4</v>
      </c>
      <c r="AO219" s="45" t="str">
        <f t="shared" si="26"/>
        <v>4/2026</v>
      </c>
      <c r="AP219" s="45">
        <f t="shared" si="27"/>
        <v>5</v>
      </c>
      <c r="AQ219" s="45">
        <f t="shared" si="28"/>
        <v>36</v>
      </c>
      <c r="AR219" s="45">
        <f t="shared" si="29"/>
        <v>0</v>
      </c>
      <c r="AS219" s="45">
        <f t="shared" si="30"/>
        <v>0</v>
      </c>
      <c r="AT219" s="45">
        <f t="shared" si="31"/>
        <v>0</v>
      </c>
      <c r="AU219" s="45" t="str">
        <f>_xlfn.XLOOKUP(U219,'Lista Suspensa'!$AA$20:$AA$23,'Lista Suspensa'!$AB$20:$AB$23,"N/A")</f>
        <v>S</v>
      </c>
    </row>
    <row r="220" spans="1:47" ht="12" customHeight="1" x14ac:dyDescent="0.3">
      <c r="A220" s="87" t="s">
        <v>47</v>
      </c>
      <c r="B220" s="88">
        <v>46104</v>
      </c>
      <c r="C220" s="89" t="s">
        <v>48</v>
      </c>
      <c r="D220" s="89" t="s">
        <v>49</v>
      </c>
      <c r="E220" s="90">
        <v>450103536</v>
      </c>
      <c r="F220" s="184" t="s">
        <v>779</v>
      </c>
      <c r="G220" s="91">
        <v>10114752869</v>
      </c>
      <c r="H220" s="92">
        <v>24038</v>
      </c>
      <c r="I220" s="89">
        <v>60</v>
      </c>
      <c r="J220" s="89" t="s">
        <v>70</v>
      </c>
      <c r="K220" s="89" t="s">
        <v>52</v>
      </c>
      <c r="L220" s="89" t="s">
        <v>780</v>
      </c>
      <c r="M220" s="89" t="s">
        <v>781</v>
      </c>
      <c r="N220" s="89" t="s">
        <v>252</v>
      </c>
      <c r="O220" s="93" t="s">
        <v>782</v>
      </c>
      <c r="P220" s="94" t="s">
        <v>57</v>
      </c>
      <c r="Q220" s="112" t="s">
        <v>58</v>
      </c>
      <c r="R220" s="95">
        <v>46117</v>
      </c>
      <c r="S220" s="96"/>
      <c r="T220" s="96" t="s">
        <v>59</v>
      </c>
      <c r="U220" s="96" t="s">
        <v>60</v>
      </c>
      <c r="V220" s="92">
        <v>46140</v>
      </c>
      <c r="W220" s="92">
        <v>46147</v>
      </c>
      <c r="X220" s="92">
        <v>46150</v>
      </c>
      <c r="Y220" s="97"/>
      <c r="Z220" s="89" t="s">
        <v>62</v>
      </c>
      <c r="AA220" s="96" t="s">
        <v>783</v>
      </c>
      <c r="AB220" s="89" t="s">
        <v>224</v>
      </c>
      <c r="AC220" s="111">
        <v>46153</v>
      </c>
      <c r="AD220" s="89"/>
      <c r="AE220" s="89"/>
      <c r="AF220" s="98"/>
      <c r="AG220" s="98"/>
      <c r="AH220" s="98"/>
      <c r="AI220" s="99" t="s">
        <v>197</v>
      </c>
      <c r="AJ220" s="99" t="s">
        <v>197</v>
      </c>
      <c r="AK220" s="99" t="s">
        <v>67</v>
      </c>
      <c r="AL220" s="45" t="s">
        <v>68</v>
      </c>
      <c r="AM220" s="162" t="str">
        <f t="shared" si="24"/>
        <v>3/2026</v>
      </c>
      <c r="AN220" s="45">
        <f t="shared" si="25"/>
        <v>4</v>
      </c>
      <c r="AO220" s="45" t="str">
        <f t="shared" si="26"/>
        <v>4/2026</v>
      </c>
      <c r="AP220" s="45">
        <f t="shared" si="27"/>
        <v>2</v>
      </c>
      <c r="AQ220" s="45">
        <f t="shared" si="28"/>
        <v>13</v>
      </c>
      <c r="AR220" s="45">
        <f t="shared" si="29"/>
        <v>0</v>
      </c>
      <c r="AS220" s="45">
        <f t="shared" si="30"/>
        <v>5</v>
      </c>
      <c r="AT220" s="45">
        <f t="shared" si="31"/>
        <v>0</v>
      </c>
      <c r="AU220" s="45" t="str">
        <f>_xlfn.XLOOKUP(U220,'Lista Suspensa'!$AA$20:$AA$23,'Lista Suspensa'!$AB$20:$AB$23,"N/A")</f>
        <v>S</v>
      </c>
    </row>
    <row r="221" spans="1:47" ht="12" customHeight="1" x14ac:dyDescent="0.3">
      <c r="A221" s="87" t="s">
        <v>47</v>
      </c>
      <c r="B221" s="88">
        <v>46104</v>
      </c>
      <c r="C221" s="89" t="s">
        <v>48</v>
      </c>
      <c r="D221" s="89" t="s">
        <v>49</v>
      </c>
      <c r="E221" s="90">
        <v>795362102</v>
      </c>
      <c r="F221" s="184" t="s">
        <v>784</v>
      </c>
      <c r="G221" s="91">
        <v>1131381807</v>
      </c>
      <c r="H221" s="92">
        <v>21053</v>
      </c>
      <c r="I221" s="89">
        <v>68</v>
      </c>
      <c r="J221" s="89" t="s">
        <v>51</v>
      </c>
      <c r="K221" s="89" t="s">
        <v>52</v>
      </c>
      <c r="L221" s="89" t="s">
        <v>53</v>
      </c>
      <c r="M221" s="89" t="s">
        <v>551</v>
      </c>
      <c r="N221" s="89" t="s">
        <v>252</v>
      </c>
      <c r="O221" s="93" t="s">
        <v>785</v>
      </c>
      <c r="P221" s="94" t="s">
        <v>57</v>
      </c>
      <c r="Q221" s="112" t="s">
        <v>58</v>
      </c>
      <c r="R221" s="95">
        <v>46117</v>
      </c>
      <c r="S221" s="96"/>
      <c r="T221" s="96" t="s">
        <v>59</v>
      </c>
      <c r="U221" s="96" t="s">
        <v>60</v>
      </c>
      <c r="V221" s="92">
        <v>46122</v>
      </c>
      <c r="W221" s="92">
        <v>46147</v>
      </c>
      <c r="X221" s="92">
        <v>46150</v>
      </c>
      <c r="Y221" s="97"/>
      <c r="Z221" s="89" t="s">
        <v>62</v>
      </c>
      <c r="AA221" s="96" t="s">
        <v>786</v>
      </c>
      <c r="AB221" s="89" t="s">
        <v>224</v>
      </c>
      <c r="AC221" s="111">
        <v>46153</v>
      </c>
      <c r="AD221" s="89"/>
      <c r="AE221" s="89"/>
      <c r="AF221" s="98"/>
      <c r="AG221" s="98"/>
      <c r="AH221" s="98"/>
      <c r="AI221" s="99" t="s">
        <v>197</v>
      </c>
      <c r="AJ221" s="99" t="s">
        <v>197</v>
      </c>
      <c r="AK221" s="99" t="s">
        <v>67</v>
      </c>
      <c r="AL221" s="45" t="s">
        <v>68</v>
      </c>
      <c r="AM221" s="162" t="str">
        <f t="shared" si="24"/>
        <v>3/2026</v>
      </c>
      <c r="AN221" s="45">
        <f t="shared" si="25"/>
        <v>4</v>
      </c>
      <c r="AO221" s="45" t="str">
        <f t="shared" si="26"/>
        <v>4/2026</v>
      </c>
      <c r="AP221" s="45">
        <f t="shared" si="27"/>
        <v>2</v>
      </c>
      <c r="AQ221" s="45">
        <f t="shared" si="28"/>
        <v>13</v>
      </c>
      <c r="AR221" s="45">
        <f t="shared" si="29"/>
        <v>0</v>
      </c>
      <c r="AS221" s="45">
        <f t="shared" si="30"/>
        <v>14</v>
      </c>
      <c r="AT221" s="45">
        <f t="shared" si="31"/>
        <v>0</v>
      </c>
      <c r="AU221" s="45" t="str">
        <f>_xlfn.XLOOKUP(U221,'Lista Suspensa'!$AA$20:$AA$23,'Lista Suspensa'!$AB$20:$AB$23,"N/A")</f>
        <v>S</v>
      </c>
    </row>
    <row r="222" spans="1:47" ht="12" customHeight="1" x14ac:dyDescent="0.3">
      <c r="A222" s="87" t="s">
        <v>47</v>
      </c>
      <c r="B222" s="88">
        <v>46104</v>
      </c>
      <c r="C222" s="89" t="s">
        <v>48</v>
      </c>
      <c r="D222" s="89" t="s">
        <v>49</v>
      </c>
      <c r="E222" s="90">
        <v>759415250</v>
      </c>
      <c r="F222" s="184" t="s">
        <v>787</v>
      </c>
      <c r="G222" s="91">
        <v>2384780760</v>
      </c>
      <c r="H222" s="92">
        <v>14998</v>
      </c>
      <c r="I222" s="89">
        <v>85</v>
      </c>
      <c r="J222" s="89" t="s">
        <v>70</v>
      </c>
      <c r="K222" s="89" t="s">
        <v>88</v>
      </c>
      <c r="L222" s="89" t="s">
        <v>89</v>
      </c>
      <c r="M222" s="89" t="s">
        <v>788</v>
      </c>
      <c r="N222" s="89" t="s">
        <v>252</v>
      </c>
      <c r="O222" s="93" t="s">
        <v>789</v>
      </c>
      <c r="P222" s="94" t="s">
        <v>57</v>
      </c>
      <c r="Q222" s="112" t="s">
        <v>58</v>
      </c>
      <c r="R222" s="95">
        <v>46117</v>
      </c>
      <c r="S222" s="96"/>
      <c r="T222" s="96" t="s">
        <v>59</v>
      </c>
      <c r="U222" s="96" t="s">
        <v>60</v>
      </c>
      <c r="V222" s="92">
        <v>46140</v>
      </c>
      <c r="W222" s="92">
        <v>46147</v>
      </c>
      <c r="X222" s="92">
        <v>46150</v>
      </c>
      <c r="Y222" s="97"/>
      <c r="Z222" s="89" t="s">
        <v>62</v>
      </c>
      <c r="AA222" s="96" t="s">
        <v>790</v>
      </c>
      <c r="AB222" s="89" t="s">
        <v>224</v>
      </c>
      <c r="AC222" s="111">
        <v>46153</v>
      </c>
      <c r="AD222" s="89"/>
      <c r="AE222" s="89"/>
      <c r="AF222" s="98"/>
      <c r="AG222" s="98"/>
      <c r="AH222" s="98"/>
      <c r="AI222" s="99" t="s">
        <v>197</v>
      </c>
      <c r="AJ222" s="99" t="s">
        <v>197</v>
      </c>
      <c r="AK222" s="99" t="s">
        <v>67</v>
      </c>
      <c r="AL222" s="45" t="s">
        <v>68</v>
      </c>
      <c r="AM222" s="162" t="str">
        <f t="shared" si="24"/>
        <v>3/2026</v>
      </c>
      <c r="AN222" s="45">
        <f t="shared" si="25"/>
        <v>4</v>
      </c>
      <c r="AO222" s="45" t="str">
        <f t="shared" si="26"/>
        <v>4/2026</v>
      </c>
      <c r="AP222" s="45">
        <f t="shared" si="27"/>
        <v>2</v>
      </c>
      <c r="AQ222" s="45">
        <f t="shared" si="28"/>
        <v>13</v>
      </c>
      <c r="AR222" s="45">
        <f t="shared" si="29"/>
        <v>0</v>
      </c>
      <c r="AS222" s="45">
        <f t="shared" si="30"/>
        <v>5</v>
      </c>
      <c r="AT222" s="45">
        <f t="shared" si="31"/>
        <v>0</v>
      </c>
      <c r="AU222" s="45" t="str">
        <f>_xlfn.XLOOKUP(U222,'Lista Suspensa'!$AA$20:$AA$23,'Lista Suspensa'!$AB$20:$AB$23,"N/A")</f>
        <v>S</v>
      </c>
    </row>
    <row r="223" spans="1:47" ht="12" customHeight="1" x14ac:dyDescent="0.3">
      <c r="A223" s="87" t="s">
        <v>47</v>
      </c>
      <c r="B223" s="88">
        <v>46104</v>
      </c>
      <c r="C223" s="89" t="s">
        <v>48</v>
      </c>
      <c r="D223" s="89" t="s">
        <v>49</v>
      </c>
      <c r="E223" s="90">
        <v>792377516</v>
      </c>
      <c r="F223" s="184" t="s">
        <v>791</v>
      </c>
      <c r="G223" s="91">
        <v>58472428834</v>
      </c>
      <c r="H223" s="92">
        <v>17354</v>
      </c>
      <c r="I223" s="89">
        <v>78</v>
      </c>
      <c r="J223" s="89" t="s">
        <v>51</v>
      </c>
      <c r="K223" s="89" t="s">
        <v>52</v>
      </c>
      <c r="L223" s="89" t="s">
        <v>283</v>
      </c>
      <c r="M223" s="89" t="s">
        <v>792</v>
      </c>
      <c r="N223" s="89" t="s">
        <v>252</v>
      </c>
      <c r="O223" s="93" t="s">
        <v>793</v>
      </c>
      <c r="P223" s="94" t="s">
        <v>57</v>
      </c>
      <c r="Q223" s="112" t="s">
        <v>58</v>
      </c>
      <c r="R223" s="95">
        <v>46164</v>
      </c>
      <c r="S223" s="96"/>
      <c r="T223" s="96" t="s">
        <v>59</v>
      </c>
      <c r="U223" s="96" t="s">
        <v>60</v>
      </c>
      <c r="V223" s="92">
        <v>46122</v>
      </c>
      <c r="W223" s="92">
        <v>46147</v>
      </c>
      <c r="X223" s="92">
        <v>46154</v>
      </c>
      <c r="Y223" s="97"/>
      <c r="Z223" s="89"/>
      <c r="AA223" s="96"/>
      <c r="AB223" s="89"/>
      <c r="AC223" s="111"/>
      <c r="AD223" s="89"/>
      <c r="AE223" s="89"/>
      <c r="AF223" s="98"/>
      <c r="AG223" s="98"/>
      <c r="AH223" s="98"/>
      <c r="AI223" s="99"/>
      <c r="AJ223" s="99" t="s">
        <v>197</v>
      </c>
      <c r="AK223" s="99" t="s">
        <v>67</v>
      </c>
      <c r="AL223" s="45" t="s">
        <v>68</v>
      </c>
      <c r="AM223" s="162" t="str">
        <f t="shared" si="24"/>
        <v>3/2026</v>
      </c>
      <c r="AN223" s="45">
        <f t="shared" si="25"/>
        <v>4</v>
      </c>
      <c r="AO223" s="45" t="str">
        <f t="shared" si="26"/>
        <v>5/2026</v>
      </c>
      <c r="AP223" s="45">
        <f t="shared" si="27"/>
        <v>4</v>
      </c>
      <c r="AQ223" s="45">
        <f t="shared" si="28"/>
        <v>60</v>
      </c>
      <c r="AR223" s="45">
        <f t="shared" si="29"/>
        <v>0</v>
      </c>
      <c r="AS223" s="45">
        <f t="shared" si="30"/>
        <v>16</v>
      </c>
      <c r="AT223" s="45">
        <f t="shared" si="31"/>
        <v>0</v>
      </c>
      <c r="AU223" s="45" t="str">
        <f>_xlfn.XLOOKUP(U223,'Lista Suspensa'!$AA$20:$AA$23,'Lista Suspensa'!$AB$20:$AB$23,"N/A")</f>
        <v>S</v>
      </c>
    </row>
    <row r="224" spans="1:47" ht="12" customHeight="1" x14ac:dyDescent="0.3">
      <c r="A224" s="87" t="s">
        <v>47</v>
      </c>
      <c r="B224" s="88">
        <v>46104</v>
      </c>
      <c r="C224" s="89" t="s">
        <v>48</v>
      </c>
      <c r="D224" s="89" t="s">
        <v>49</v>
      </c>
      <c r="E224" s="90">
        <v>813105927</v>
      </c>
      <c r="F224" s="184" t="s">
        <v>794</v>
      </c>
      <c r="G224" s="91">
        <v>84130512315</v>
      </c>
      <c r="H224" s="92">
        <v>29467</v>
      </c>
      <c r="I224" s="89">
        <v>45</v>
      </c>
      <c r="J224" s="89" t="s">
        <v>51</v>
      </c>
      <c r="K224" s="89" t="s">
        <v>52</v>
      </c>
      <c r="L224" s="89" t="s">
        <v>53</v>
      </c>
      <c r="M224" s="89" t="s">
        <v>795</v>
      </c>
      <c r="N224" s="89" t="s">
        <v>252</v>
      </c>
      <c r="O224" s="93" t="s">
        <v>796</v>
      </c>
      <c r="P224" s="94" t="s">
        <v>57</v>
      </c>
      <c r="Q224" s="112" t="s">
        <v>58</v>
      </c>
      <c r="R224" s="95">
        <v>46140</v>
      </c>
      <c r="S224" s="96"/>
      <c r="T224" s="96" t="s">
        <v>59</v>
      </c>
      <c r="U224" s="96" t="s">
        <v>60</v>
      </c>
      <c r="V224" s="92">
        <v>46140</v>
      </c>
      <c r="W224" s="92" t="s">
        <v>61</v>
      </c>
      <c r="X224" s="92" t="s">
        <v>61</v>
      </c>
      <c r="Y224" s="97"/>
      <c r="Z224" s="89" t="s">
        <v>62</v>
      </c>
      <c r="AA224" s="96" t="s">
        <v>680</v>
      </c>
      <c r="AB224" s="89" t="s">
        <v>80</v>
      </c>
      <c r="AC224" s="111"/>
      <c r="AD224" s="89"/>
      <c r="AE224" s="89"/>
      <c r="AF224" s="98"/>
      <c r="AG224" s="98"/>
      <c r="AH224" s="98"/>
      <c r="AI224" s="99" t="s">
        <v>67</v>
      </c>
      <c r="AJ224" s="99" t="s">
        <v>67</v>
      </c>
      <c r="AK224" s="99" t="s">
        <v>67</v>
      </c>
      <c r="AL224" s="45" t="s">
        <v>68</v>
      </c>
      <c r="AM224" s="162" t="str">
        <f t="shared" si="24"/>
        <v>3/2026</v>
      </c>
      <c r="AN224" s="45">
        <f t="shared" si="25"/>
        <v>4</v>
      </c>
      <c r="AO224" s="45" t="str">
        <f t="shared" si="26"/>
        <v>4/2026</v>
      </c>
      <c r="AP224" s="45">
        <f t="shared" si="27"/>
        <v>5</v>
      </c>
      <c r="AQ224" s="45">
        <f t="shared" si="28"/>
        <v>36</v>
      </c>
      <c r="AR224" s="45">
        <f t="shared" si="29"/>
        <v>0</v>
      </c>
      <c r="AS224" s="45">
        <f t="shared" si="30"/>
        <v>0</v>
      </c>
      <c r="AT224" s="45">
        <f t="shared" si="31"/>
        <v>0</v>
      </c>
      <c r="AU224" s="45" t="str">
        <f>_xlfn.XLOOKUP(U224,'Lista Suspensa'!$AA$20:$AA$23,'Lista Suspensa'!$AB$20:$AB$23,"N/A")</f>
        <v>S</v>
      </c>
    </row>
    <row r="225" spans="1:47" ht="12" customHeight="1" x14ac:dyDescent="0.3">
      <c r="A225" s="87" t="s">
        <v>47</v>
      </c>
      <c r="B225" s="88">
        <v>46104</v>
      </c>
      <c r="C225" s="89" t="s">
        <v>48</v>
      </c>
      <c r="D225" s="89" t="s">
        <v>49</v>
      </c>
      <c r="E225" s="90">
        <v>746730519</v>
      </c>
      <c r="F225" s="184" t="s">
        <v>797</v>
      </c>
      <c r="G225" s="91">
        <v>1244535702</v>
      </c>
      <c r="H225" s="92">
        <v>26916</v>
      </c>
      <c r="I225" s="89">
        <v>52</v>
      </c>
      <c r="J225" s="89" t="s">
        <v>51</v>
      </c>
      <c r="K225" s="89" t="s">
        <v>88</v>
      </c>
      <c r="L225" s="89" t="s">
        <v>89</v>
      </c>
      <c r="M225" s="89" t="s">
        <v>743</v>
      </c>
      <c r="N225" s="89" t="s">
        <v>252</v>
      </c>
      <c r="O225" s="93" t="s">
        <v>798</v>
      </c>
      <c r="P225" s="94" t="s">
        <v>57</v>
      </c>
      <c r="Q225" s="112" t="s">
        <v>58</v>
      </c>
      <c r="R225" s="95">
        <v>46171</v>
      </c>
      <c r="S225" s="96"/>
      <c r="T225" s="96" t="s">
        <v>59</v>
      </c>
      <c r="U225" s="96" t="s">
        <v>60</v>
      </c>
      <c r="V225" s="92">
        <v>46140</v>
      </c>
      <c r="W225" s="92">
        <v>46147</v>
      </c>
      <c r="X225" s="92">
        <v>46154</v>
      </c>
      <c r="Y225" s="97"/>
      <c r="Z225" s="89" t="s">
        <v>62</v>
      </c>
      <c r="AA225" s="96">
        <v>46171</v>
      </c>
      <c r="AB225" s="89" t="s">
        <v>80</v>
      </c>
      <c r="AC225" s="111"/>
      <c r="AD225" s="89"/>
      <c r="AE225" s="89"/>
      <c r="AF225" s="98"/>
      <c r="AG225" s="98"/>
      <c r="AH225" s="98"/>
      <c r="AI225" s="99"/>
      <c r="AJ225" s="99" t="s">
        <v>197</v>
      </c>
      <c r="AK225" s="99" t="s">
        <v>67</v>
      </c>
      <c r="AL225" s="45" t="s">
        <v>68</v>
      </c>
      <c r="AM225" s="162" t="str">
        <f t="shared" si="24"/>
        <v>3/2026</v>
      </c>
      <c r="AN225" s="45">
        <f t="shared" si="25"/>
        <v>4</v>
      </c>
      <c r="AO225" s="45" t="str">
        <f t="shared" si="26"/>
        <v>5/2026</v>
      </c>
      <c r="AP225" s="45">
        <f t="shared" si="27"/>
        <v>5</v>
      </c>
      <c r="AQ225" s="45">
        <f t="shared" si="28"/>
        <v>67</v>
      </c>
      <c r="AR225" s="45">
        <f t="shared" si="29"/>
        <v>0</v>
      </c>
      <c r="AS225" s="45">
        <f t="shared" si="30"/>
        <v>7</v>
      </c>
      <c r="AT225" s="45">
        <f t="shared" si="31"/>
        <v>0</v>
      </c>
      <c r="AU225" s="45" t="str">
        <f>_xlfn.XLOOKUP(U225,'Lista Suspensa'!$AA$20:$AA$23,'Lista Suspensa'!$AB$20:$AB$23,"N/A")</f>
        <v>S</v>
      </c>
    </row>
    <row r="226" spans="1:47" ht="12" customHeight="1" x14ac:dyDescent="0.3">
      <c r="A226" s="87" t="s">
        <v>47</v>
      </c>
      <c r="B226" s="88">
        <v>46104</v>
      </c>
      <c r="C226" s="89" t="s">
        <v>48</v>
      </c>
      <c r="D226" s="89" t="s">
        <v>49</v>
      </c>
      <c r="E226" s="90">
        <v>639318355</v>
      </c>
      <c r="F226" s="184" t="s">
        <v>799</v>
      </c>
      <c r="G226" s="91">
        <v>359167888</v>
      </c>
      <c r="H226" s="92">
        <v>21857</v>
      </c>
      <c r="I226" s="89">
        <v>66</v>
      </c>
      <c r="J226" s="89" t="s">
        <v>51</v>
      </c>
      <c r="K226" s="89" t="s">
        <v>52</v>
      </c>
      <c r="L226" s="89" t="s">
        <v>283</v>
      </c>
      <c r="M226" s="89" t="s">
        <v>800</v>
      </c>
      <c r="N226" s="89" t="s">
        <v>252</v>
      </c>
      <c r="O226" s="93" t="s">
        <v>801</v>
      </c>
      <c r="P226" s="94" t="s">
        <v>57</v>
      </c>
      <c r="Q226" s="112" t="s">
        <v>58</v>
      </c>
      <c r="R226" s="95">
        <v>46141</v>
      </c>
      <c r="S226" s="96"/>
      <c r="T226" s="96" t="s">
        <v>59</v>
      </c>
      <c r="U226" s="96" t="s">
        <v>60</v>
      </c>
      <c r="V226" s="92">
        <v>46140</v>
      </c>
      <c r="W226" s="92">
        <v>46141</v>
      </c>
      <c r="X226" s="92" t="s">
        <v>61</v>
      </c>
      <c r="Y226" s="97"/>
      <c r="Z226" s="89" t="s">
        <v>62</v>
      </c>
      <c r="AA226" s="96">
        <v>46141</v>
      </c>
      <c r="AB226" s="89" t="s">
        <v>63</v>
      </c>
      <c r="AC226" s="111"/>
      <c r="AD226" s="89" t="s">
        <v>265</v>
      </c>
      <c r="AE226" s="89">
        <v>73</v>
      </c>
      <c r="AF226" s="98" t="s">
        <v>403</v>
      </c>
      <c r="AG226" s="98"/>
      <c r="AH226" s="98"/>
      <c r="AI226" s="99" t="s">
        <v>67</v>
      </c>
      <c r="AJ226" s="99" t="s">
        <v>67</v>
      </c>
      <c r="AK226" s="99" t="s">
        <v>67</v>
      </c>
      <c r="AL226" s="45" t="s">
        <v>68</v>
      </c>
      <c r="AM226" s="162" t="str">
        <f t="shared" si="24"/>
        <v>3/2026</v>
      </c>
      <c r="AN226" s="45">
        <f t="shared" si="25"/>
        <v>4</v>
      </c>
      <c r="AO226" s="45" t="str">
        <f t="shared" si="26"/>
        <v>4/2026</v>
      </c>
      <c r="AP226" s="45">
        <f t="shared" si="27"/>
        <v>5</v>
      </c>
      <c r="AQ226" s="45">
        <f t="shared" si="28"/>
        <v>37</v>
      </c>
      <c r="AR226" s="45">
        <f t="shared" si="29"/>
        <v>0</v>
      </c>
      <c r="AS226" s="45">
        <f t="shared" si="30"/>
        <v>1</v>
      </c>
      <c r="AT226" s="45">
        <f t="shared" si="31"/>
        <v>0</v>
      </c>
      <c r="AU226" s="45" t="str">
        <f>_xlfn.XLOOKUP(U226,'Lista Suspensa'!$AA$20:$AA$23,'Lista Suspensa'!$AB$20:$AB$23,"N/A")</f>
        <v>S</v>
      </c>
    </row>
    <row r="227" spans="1:47" ht="12" customHeight="1" x14ac:dyDescent="0.3">
      <c r="A227" s="87" t="s">
        <v>47</v>
      </c>
      <c r="B227" s="88">
        <v>46104</v>
      </c>
      <c r="C227" s="89" t="s">
        <v>48</v>
      </c>
      <c r="D227" s="89" t="s">
        <v>49</v>
      </c>
      <c r="E227" s="90">
        <v>450184730</v>
      </c>
      <c r="F227" s="184" t="s">
        <v>802</v>
      </c>
      <c r="G227" s="91">
        <v>18697219850</v>
      </c>
      <c r="H227" s="92">
        <v>14993</v>
      </c>
      <c r="I227" s="89">
        <v>85</v>
      </c>
      <c r="J227" s="89" t="s">
        <v>70</v>
      </c>
      <c r="K227" s="89" t="s">
        <v>52</v>
      </c>
      <c r="L227" s="89" t="s">
        <v>53</v>
      </c>
      <c r="M227" s="89" t="s">
        <v>803</v>
      </c>
      <c r="N227" s="89" t="s">
        <v>252</v>
      </c>
      <c r="O227" s="93" t="s">
        <v>804</v>
      </c>
      <c r="P227" s="94" t="s">
        <v>57</v>
      </c>
      <c r="Q227" s="112" t="s">
        <v>58</v>
      </c>
      <c r="R227" s="95">
        <v>46140</v>
      </c>
      <c r="S227" s="96"/>
      <c r="T227" s="96" t="s">
        <v>59</v>
      </c>
      <c r="U227" s="96" t="s">
        <v>60</v>
      </c>
      <c r="V227" s="92">
        <v>46140</v>
      </c>
      <c r="W227" s="92" t="s">
        <v>61</v>
      </c>
      <c r="X227" s="92" t="s">
        <v>61</v>
      </c>
      <c r="Y227" s="97"/>
      <c r="Z227" s="89" t="s">
        <v>62</v>
      </c>
      <c r="AA227" s="96" t="s">
        <v>805</v>
      </c>
      <c r="AB227" s="89" t="s">
        <v>63</v>
      </c>
      <c r="AC227" s="111"/>
      <c r="AD227" s="89" t="s">
        <v>86</v>
      </c>
      <c r="AE227" s="89">
        <v>26</v>
      </c>
      <c r="AF227" s="98" t="s">
        <v>215</v>
      </c>
      <c r="AG227" s="98"/>
      <c r="AH227" s="98" t="s">
        <v>66</v>
      </c>
      <c r="AI227" s="99" t="s">
        <v>67</v>
      </c>
      <c r="AJ227" s="99" t="s">
        <v>67</v>
      </c>
      <c r="AK227" s="99" t="s">
        <v>67</v>
      </c>
      <c r="AL227" s="45" t="s">
        <v>68</v>
      </c>
      <c r="AM227" s="162" t="str">
        <f t="shared" si="24"/>
        <v>3/2026</v>
      </c>
      <c r="AN227" s="45">
        <f t="shared" si="25"/>
        <v>4</v>
      </c>
      <c r="AO227" s="45" t="str">
        <f t="shared" si="26"/>
        <v>4/2026</v>
      </c>
      <c r="AP227" s="45">
        <f t="shared" si="27"/>
        <v>5</v>
      </c>
      <c r="AQ227" s="45">
        <f t="shared" si="28"/>
        <v>36</v>
      </c>
      <c r="AR227" s="45">
        <f t="shared" si="29"/>
        <v>0</v>
      </c>
      <c r="AS227" s="45">
        <f t="shared" si="30"/>
        <v>0</v>
      </c>
      <c r="AT227" s="45">
        <f t="shared" si="31"/>
        <v>1.4027777777810115</v>
      </c>
      <c r="AU227" s="45" t="str">
        <f>_xlfn.XLOOKUP(U227,'Lista Suspensa'!$AA$20:$AA$23,'Lista Suspensa'!$AB$20:$AB$23,"N/A")</f>
        <v>S</v>
      </c>
    </row>
    <row r="228" spans="1:47" ht="12" customHeight="1" x14ac:dyDescent="0.3">
      <c r="A228" s="87" t="s">
        <v>47</v>
      </c>
      <c r="B228" s="88">
        <v>46104</v>
      </c>
      <c r="C228" s="89" t="s">
        <v>48</v>
      </c>
      <c r="D228" s="89" t="s">
        <v>49</v>
      </c>
      <c r="E228" s="90">
        <v>805029591</v>
      </c>
      <c r="F228" s="184" t="s">
        <v>806</v>
      </c>
      <c r="G228" s="91">
        <v>61560340800</v>
      </c>
      <c r="H228" s="92">
        <v>18142</v>
      </c>
      <c r="I228" s="89">
        <v>76</v>
      </c>
      <c r="J228" s="89" t="s">
        <v>70</v>
      </c>
      <c r="K228" s="89" t="s">
        <v>52</v>
      </c>
      <c r="L228" s="89" t="s">
        <v>53</v>
      </c>
      <c r="M228" s="89" t="s">
        <v>807</v>
      </c>
      <c r="N228" s="89" t="s">
        <v>252</v>
      </c>
      <c r="O228" s="93" t="s">
        <v>808</v>
      </c>
      <c r="P228" s="94" t="s">
        <v>57</v>
      </c>
      <c r="Q228" s="112" t="s">
        <v>58</v>
      </c>
      <c r="R228" s="95">
        <v>46140</v>
      </c>
      <c r="S228" s="96"/>
      <c r="T228" s="96" t="s">
        <v>59</v>
      </c>
      <c r="U228" s="96" t="s">
        <v>60</v>
      </c>
      <c r="V228" s="92">
        <v>46140</v>
      </c>
      <c r="W228" s="92" t="s">
        <v>61</v>
      </c>
      <c r="X228" s="92" t="s">
        <v>61</v>
      </c>
      <c r="Y228" s="97"/>
      <c r="Z228" s="89" t="s">
        <v>62</v>
      </c>
      <c r="AA228" s="96">
        <v>46141.583333333336</v>
      </c>
      <c r="AB228" s="89" t="s">
        <v>80</v>
      </c>
      <c r="AC228" s="111"/>
      <c r="AD228" s="89"/>
      <c r="AE228" s="89"/>
      <c r="AF228" s="98"/>
      <c r="AG228" s="98"/>
      <c r="AH228" s="98"/>
      <c r="AI228" s="99" t="s">
        <v>67</v>
      </c>
      <c r="AJ228" s="99" t="s">
        <v>67</v>
      </c>
      <c r="AK228" s="99" t="s">
        <v>67</v>
      </c>
      <c r="AL228" s="45" t="s">
        <v>68</v>
      </c>
      <c r="AM228" s="162" t="str">
        <f t="shared" si="24"/>
        <v>3/2026</v>
      </c>
      <c r="AN228" s="45">
        <f t="shared" si="25"/>
        <v>4</v>
      </c>
      <c r="AO228" s="45" t="str">
        <f t="shared" si="26"/>
        <v>4/2026</v>
      </c>
      <c r="AP228" s="45">
        <f t="shared" si="27"/>
        <v>5</v>
      </c>
      <c r="AQ228" s="45">
        <f t="shared" si="28"/>
        <v>36</v>
      </c>
      <c r="AR228" s="45">
        <f t="shared" si="29"/>
        <v>0</v>
      </c>
      <c r="AS228" s="45">
        <f t="shared" si="30"/>
        <v>0</v>
      </c>
      <c r="AT228" s="45">
        <f t="shared" si="31"/>
        <v>0</v>
      </c>
      <c r="AU228" s="45" t="str">
        <f>_xlfn.XLOOKUP(U228,'Lista Suspensa'!$AA$20:$AA$23,'Lista Suspensa'!$AB$20:$AB$23,"N/A")</f>
        <v>S</v>
      </c>
    </row>
    <row r="229" spans="1:47" ht="12" customHeight="1" x14ac:dyDescent="0.3">
      <c r="A229" s="87" t="s">
        <v>47</v>
      </c>
      <c r="B229" s="88">
        <v>46104</v>
      </c>
      <c r="C229" s="89" t="s">
        <v>48</v>
      </c>
      <c r="D229" s="89" t="s">
        <v>49</v>
      </c>
      <c r="E229" s="90">
        <v>756902223</v>
      </c>
      <c r="F229" s="184" t="s">
        <v>809</v>
      </c>
      <c r="G229" s="91">
        <v>55342000734</v>
      </c>
      <c r="H229" s="92">
        <v>19122</v>
      </c>
      <c r="I229" s="89">
        <v>73</v>
      </c>
      <c r="J229" s="89" t="s">
        <v>70</v>
      </c>
      <c r="K229" s="89" t="s">
        <v>88</v>
      </c>
      <c r="L229" s="89" t="s">
        <v>231</v>
      </c>
      <c r="M229" s="89" t="s">
        <v>810</v>
      </c>
      <c r="N229" s="89" t="s">
        <v>252</v>
      </c>
      <c r="O229" s="93" t="s">
        <v>811</v>
      </c>
      <c r="P229" s="94" t="s">
        <v>57</v>
      </c>
      <c r="Q229" s="112" t="s">
        <v>58</v>
      </c>
      <c r="R229" s="95">
        <v>46140</v>
      </c>
      <c r="S229" s="96"/>
      <c r="T229" s="96" t="s">
        <v>59</v>
      </c>
      <c r="U229" s="96" t="s">
        <v>60</v>
      </c>
      <c r="V229" s="92">
        <v>46140</v>
      </c>
      <c r="W229" s="92" t="s">
        <v>61</v>
      </c>
      <c r="X229" s="92" t="s">
        <v>61</v>
      </c>
      <c r="Y229" s="97"/>
      <c r="Z229" s="89" t="s">
        <v>62</v>
      </c>
      <c r="AA229" s="96">
        <v>46141.430555555555</v>
      </c>
      <c r="AB229" s="89" t="s">
        <v>80</v>
      </c>
      <c r="AC229" s="111"/>
      <c r="AD229" s="89"/>
      <c r="AE229" s="89"/>
      <c r="AF229" s="98"/>
      <c r="AG229" s="98"/>
      <c r="AH229" s="98"/>
      <c r="AI229" s="99" t="s">
        <v>67</v>
      </c>
      <c r="AJ229" s="99" t="s">
        <v>67</v>
      </c>
      <c r="AK229" s="99" t="s">
        <v>67</v>
      </c>
      <c r="AL229" s="45" t="s">
        <v>68</v>
      </c>
      <c r="AM229" s="162" t="str">
        <f t="shared" si="24"/>
        <v>3/2026</v>
      </c>
      <c r="AN229" s="45">
        <f t="shared" si="25"/>
        <v>4</v>
      </c>
      <c r="AO229" s="45" t="str">
        <f t="shared" si="26"/>
        <v>4/2026</v>
      </c>
      <c r="AP229" s="45">
        <f t="shared" si="27"/>
        <v>5</v>
      </c>
      <c r="AQ229" s="45">
        <f t="shared" si="28"/>
        <v>36</v>
      </c>
      <c r="AR229" s="45">
        <f t="shared" si="29"/>
        <v>0</v>
      </c>
      <c r="AS229" s="45">
        <f t="shared" si="30"/>
        <v>0</v>
      </c>
      <c r="AT229" s="45">
        <f t="shared" si="31"/>
        <v>0</v>
      </c>
      <c r="AU229" s="45" t="str">
        <f>_xlfn.XLOOKUP(U229,'Lista Suspensa'!$AA$20:$AA$23,'Lista Suspensa'!$AB$20:$AB$23,"N/A")</f>
        <v>S</v>
      </c>
    </row>
    <row r="230" spans="1:47" ht="12" customHeight="1" x14ac:dyDescent="0.3">
      <c r="A230" s="87" t="s">
        <v>47</v>
      </c>
      <c r="B230" s="88">
        <v>46104</v>
      </c>
      <c r="C230" s="89" t="s">
        <v>48</v>
      </c>
      <c r="D230" s="89" t="s">
        <v>49</v>
      </c>
      <c r="E230" s="90">
        <v>94067450</v>
      </c>
      <c r="F230" s="184" t="s">
        <v>812</v>
      </c>
      <c r="G230" s="91">
        <v>28907321850</v>
      </c>
      <c r="H230" s="92">
        <v>29422</v>
      </c>
      <c r="I230" s="89">
        <v>45</v>
      </c>
      <c r="J230" s="89" t="s">
        <v>51</v>
      </c>
      <c r="K230" s="89" t="s">
        <v>52</v>
      </c>
      <c r="L230" s="89" t="s">
        <v>283</v>
      </c>
      <c r="M230" s="89" t="s">
        <v>813</v>
      </c>
      <c r="N230" s="89" t="s">
        <v>55</v>
      </c>
      <c r="O230" s="93" t="s">
        <v>814</v>
      </c>
      <c r="P230" s="94" t="s">
        <v>57</v>
      </c>
      <c r="Q230" s="112" t="s">
        <v>58</v>
      </c>
      <c r="R230" s="95">
        <v>46140</v>
      </c>
      <c r="S230" s="96"/>
      <c r="T230" s="96" t="s">
        <v>59</v>
      </c>
      <c r="U230" s="96" t="s">
        <v>60</v>
      </c>
      <c r="V230" s="92">
        <v>46140</v>
      </c>
      <c r="W230" s="92" t="s">
        <v>61</v>
      </c>
      <c r="X230" s="92" t="s">
        <v>61</v>
      </c>
      <c r="Y230" s="97"/>
      <c r="Z230" s="89" t="s">
        <v>62</v>
      </c>
      <c r="AA230" s="96">
        <v>46146</v>
      </c>
      <c r="AB230" s="89" t="s">
        <v>63</v>
      </c>
      <c r="AC230" s="111"/>
      <c r="AD230" s="89" t="s">
        <v>64</v>
      </c>
      <c r="AE230" s="89">
        <v>63</v>
      </c>
      <c r="AF230" s="98" t="s">
        <v>65</v>
      </c>
      <c r="AG230" s="98"/>
      <c r="AH230" s="98" t="s">
        <v>66</v>
      </c>
      <c r="AI230" s="99" t="s">
        <v>67</v>
      </c>
      <c r="AJ230" s="99" t="s">
        <v>67</v>
      </c>
      <c r="AK230" s="99" t="s">
        <v>67</v>
      </c>
      <c r="AL230" s="45" t="s">
        <v>68</v>
      </c>
      <c r="AM230" s="162" t="str">
        <f t="shared" si="24"/>
        <v>3/2026</v>
      </c>
      <c r="AN230" s="45">
        <f t="shared" si="25"/>
        <v>4</v>
      </c>
      <c r="AO230" s="45" t="str">
        <f t="shared" si="26"/>
        <v>4/2026</v>
      </c>
      <c r="AP230" s="45">
        <f t="shared" si="27"/>
        <v>5</v>
      </c>
      <c r="AQ230" s="45">
        <f t="shared" si="28"/>
        <v>36</v>
      </c>
      <c r="AR230" s="45">
        <f t="shared" si="29"/>
        <v>0</v>
      </c>
      <c r="AS230" s="45">
        <f t="shared" si="30"/>
        <v>0</v>
      </c>
      <c r="AT230" s="45">
        <f t="shared" si="31"/>
        <v>6</v>
      </c>
      <c r="AU230" s="45" t="str">
        <f>_xlfn.XLOOKUP(U230,'Lista Suspensa'!$AA$20:$AA$23,'Lista Suspensa'!$AB$20:$AB$23,"N/A")</f>
        <v>S</v>
      </c>
    </row>
    <row r="231" spans="1:47" ht="12" customHeight="1" x14ac:dyDescent="0.3">
      <c r="A231" s="87" t="s">
        <v>47</v>
      </c>
      <c r="B231" s="88">
        <v>46104</v>
      </c>
      <c r="C231" s="89" t="s">
        <v>48</v>
      </c>
      <c r="D231" s="89" t="s">
        <v>49</v>
      </c>
      <c r="E231" s="90">
        <v>93021510</v>
      </c>
      <c r="F231" s="184" t="s">
        <v>815</v>
      </c>
      <c r="G231" s="91">
        <v>29882026800</v>
      </c>
      <c r="H231" s="92">
        <v>29811</v>
      </c>
      <c r="I231" s="89">
        <v>44</v>
      </c>
      <c r="J231" s="89" t="s">
        <v>70</v>
      </c>
      <c r="K231" s="89" t="s">
        <v>52</v>
      </c>
      <c r="L231" s="89" t="s">
        <v>53</v>
      </c>
      <c r="M231" s="89" t="s">
        <v>816</v>
      </c>
      <c r="N231" s="89" t="s">
        <v>55</v>
      </c>
      <c r="O231" s="93" t="s">
        <v>817</v>
      </c>
      <c r="P231" s="94" t="s">
        <v>57</v>
      </c>
      <c r="Q231" s="112" t="s">
        <v>58</v>
      </c>
      <c r="R231" s="95">
        <v>46140</v>
      </c>
      <c r="S231" s="96"/>
      <c r="T231" s="96" t="s">
        <v>59</v>
      </c>
      <c r="U231" s="96" t="s">
        <v>60</v>
      </c>
      <c r="V231" s="92">
        <v>46140</v>
      </c>
      <c r="W231" s="92" t="s">
        <v>61</v>
      </c>
      <c r="X231" s="92" t="s">
        <v>61</v>
      </c>
      <c r="Y231" s="97"/>
      <c r="Z231" s="89" t="s">
        <v>62</v>
      </c>
      <c r="AA231" s="96">
        <v>46141.472222222219</v>
      </c>
      <c r="AB231" s="89" t="s">
        <v>63</v>
      </c>
      <c r="AC231" s="111"/>
      <c r="AD231" s="89"/>
      <c r="AE231" s="89"/>
      <c r="AF231" s="98"/>
      <c r="AG231" s="98"/>
      <c r="AH231" s="98"/>
      <c r="AI231" s="99" t="s">
        <v>67</v>
      </c>
      <c r="AJ231" s="99" t="s">
        <v>67</v>
      </c>
      <c r="AK231" s="99" t="s">
        <v>67</v>
      </c>
      <c r="AL231" s="45" t="s">
        <v>68</v>
      </c>
      <c r="AM231" s="162" t="str">
        <f t="shared" si="24"/>
        <v>3/2026</v>
      </c>
      <c r="AN231" s="45">
        <f t="shared" si="25"/>
        <v>4</v>
      </c>
      <c r="AO231" s="45" t="str">
        <f t="shared" si="26"/>
        <v>4/2026</v>
      </c>
      <c r="AP231" s="45">
        <f t="shared" si="27"/>
        <v>5</v>
      </c>
      <c r="AQ231" s="45">
        <f t="shared" si="28"/>
        <v>36</v>
      </c>
      <c r="AR231" s="45">
        <f t="shared" si="29"/>
        <v>0</v>
      </c>
      <c r="AS231" s="45">
        <f t="shared" si="30"/>
        <v>0</v>
      </c>
      <c r="AT231" s="45">
        <f t="shared" si="31"/>
        <v>1.4722222222189885</v>
      </c>
      <c r="AU231" s="45" t="str">
        <f>_xlfn.XLOOKUP(U231,'Lista Suspensa'!$AA$20:$AA$23,'Lista Suspensa'!$AB$20:$AB$23,"N/A")</f>
        <v>S</v>
      </c>
    </row>
    <row r="232" spans="1:47" ht="12" customHeight="1" x14ac:dyDescent="0.3">
      <c r="A232" s="87" t="s">
        <v>47</v>
      </c>
      <c r="B232" s="88">
        <v>46104</v>
      </c>
      <c r="C232" s="89" t="s">
        <v>48</v>
      </c>
      <c r="D232" s="89" t="s">
        <v>49</v>
      </c>
      <c r="E232" s="90">
        <v>87280613</v>
      </c>
      <c r="F232" s="184" t="s">
        <v>818</v>
      </c>
      <c r="G232" s="91">
        <v>84307005872</v>
      </c>
      <c r="H232" s="92">
        <v>19608</v>
      </c>
      <c r="I232" s="89">
        <v>72</v>
      </c>
      <c r="J232" s="89" t="s">
        <v>70</v>
      </c>
      <c r="K232" s="89" t="s">
        <v>52</v>
      </c>
      <c r="L232" s="89" t="s">
        <v>331</v>
      </c>
      <c r="M232" s="89" t="s">
        <v>819</v>
      </c>
      <c r="N232" s="89" t="s">
        <v>55</v>
      </c>
      <c r="O232" s="93" t="s">
        <v>820</v>
      </c>
      <c r="P232" s="94" t="s">
        <v>57</v>
      </c>
      <c r="Q232" s="112" t="s">
        <v>58</v>
      </c>
      <c r="R232" s="95">
        <v>46140</v>
      </c>
      <c r="S232" s="96"/>
      <c r="T232" s="96" t="s">
        <v>59</v>
      </c>
      <c r="U232" s="96" t="s">
        <v>60</v>
      </c>
      <c r="V232" s="92">
        <v>46140</v>
      </c>
      <c r="W232" s="92" t="s">
        <v>61</v>
      </c>
      <c r="X232" s="92" t="s">
        <v>61</v>
      </c>
      <c r="Y232" s="97"/>
      <c r="Z232" s="89" t="s">
        <v>62</v>
      </c>
      <c r="AA232" s="96" t="s">
        <v>821</v>
      </c>
      <c r="AB232" s="89" t="s">
        <v>63</v>
      </c>
      <c r="AC232" s="111"/>
      <c r="AD232" s="89"/>
      <c r="AE232" s="89"/>
      <c r="AF232" s="98"/>
      <c r="AG232" s="98"/>
      <c r="AH232" s="98" t="s">
        <v>139</v>
      </c>
      <c r="AI232" s="99" t="s">
        <v>67</v>
      </c>
      <c r="AJ232" s="99" t="s">
        <v>67</v>
      </c>
      <c r="AK232" s="99" t="s">
        <v>67</v>
      </c>
      <c r="AL232" s="45" t="s">
        <v>68</v>
      </c>
      <c r="AM232" s="162" t="str">
        <f t="shared" si="24"/>
        <v>3/2026</v>
      </c>
      <c r="AN232" s="45">
        <f t="shared" si="25"/>
        <v>4</v>
      </c>
      <c r="AO232" s="45" t="str">
        <f t="shared" si="26"/>
        <v>4/2026</v>
      </c>
      <c r="AP232" s="45">
        <f t="shared" si="27"/>
        <v>5</v>
      </c>
      <c r="AQ232" s="45">
        <f t="shared" si="28"/>
        <v>36</v>
      </c>
      <c r="AR232" s="45">
        <f t="shared" si="29"/>
        <v>0</v>
      </c>
      <c r="AS232" s="45">
        <f t="shared" si="30"/>
        <v>0</v>
      </c>
      <c r="AT232" s="45">
        <f t="shared" si="31"/>
        <v>2.6388888888905058</v>
      </c>
      <c r="AU232" s="45" t="str">
        <f>_xlfn.XLOOKUP(U232,'Lista Suspensa'!$AA$20:$AA$23,'Lista Suspensa'!$AB$20:$AB$23,"N/A")</f>
        <v>S</v>
      </c>
    </row>
    <row r="233" spans="1:47" ht="12" customHeight="1" x14ac:dyDescent="0.3">
      <c r="A233" s="87" t="s">
        <v>47</v>
      </c>
      <c r="B233" s="88">
        <v>46104</v>
      </c>
      <c r="C233" s="89" t="s">
        <v>48</v>
      </c>
      <c r="D233" s="89" t="s">
        <v>49</v>
      </c>
      <c r="E233" s="90">
        <v>790945371</v>
      </c>
      <c r="F233" s="184" t="s">
        <v>822</v>
      </c>
      <c r="G233" s="91">
        <v>44966890810</v>
      </c>
      <c r="H233" s="92">
        <v>18746</v>
      </c>
      <c r="I233" s="89">
        <v>74</v>
      </c>
      <c r="J233" s="89" t="s">
        <v>70</v>
      </c>
      <c r="K233" s="89" t="s">
        <v>52</v>
      </c>
      <c r="L233" s="89" t="s">
        <v>53</v>
      </c>
      <c r="M233" s="89" t="s">
        <v>823</v>
      </c>
      <c r="N233" s="89" t="s">
        <v>252</v>
      </c>
      <c r="O233" s="93" t="s">
        <v>824</v>
      </c>
      <c r="P233" s="94" t="s">
        <v>57</v>
      </c>
      <c r="Q233" s="112" t="s">
        <v>58</v>
      </c>
      <c r="R233" s="95">
        <v>46153</v>
      </c>
      <c r="S233" s="96"/>
      <c r="T233" s="96" t="s">
        <v>59</v>
      </c>
      <c r="U233" s="96" t="s">
        <v>60</v>
      </c>
      <c r="V233" s="92">
        <v>46140</v>
      </c>
      <c r="W233" s="92">
        <v>46147</v>
      </c>
      <c r="X233" s="92">
        <v>46154</v>
      </c>
      <c r="Y233" s="97"/>
      <c r="Z233" s="89" t="s">
        <v>62</v>
      </c>
      <c r="AA233" s="96">
        <v>46162</v>
      </c>
      <c r="AB233" s="89" t="s">
        <v>80</v>
      </c>
      <c r="AC233" s="111"/>
      <c r="AD233" s="89"/>
      <c r="AE233" s="89"/>
      <c r="AF233" s="98"/>
      <c r="AG233" s="98"/>
      <c r="AH233" s="98"/>
      <c r="AI233" s="99" t="s">
        <v>197</v>
      </c>
      <c r="AJ233" s="99" t="s">
        <v>197</v>
      </c>
      <c r="AK233" s="99" t="s">
        <v>67</v>
      </c>
      <c r="AL233" s="45" t="s">
        <v>68</v>
      </c>
      <c r="AM233" s="162" t="str">
        <f t="shared" si="24"/>
        <v>3/2026</v>
      </c>
      <c r="AN233" s="45">
        <f t="shared" si="25"/>
        <v>4</v>
      </c>
      <c r="AO233" s="45" t="str">
        <f t="shared" si="26"/>
        <v>5/2026</v>
      </c>
      <c r="AP233" s="45">
        <f t="shared" si="27"/>
        <v>3</v>
      </c>
      <c r="AQ233" s="45">
        <f t="shared" si="28"/>
        <v>49</v>
      </c>
      <c r="AR233" s="45">
        <f t="shared" si="29"/>
        <v>0</v>
      </c>
      <c r="AS233" s="45">
        <f t="shared" si="30"/>
        <v>7</v>
      </c>
      <c r="AT233" s="45">
        <f t="shared" si="31"/>
        <v>0</v>
      </c>
      <c r="AU233" s="45" t="str">
        <f>_xlfn.XLOOKUP(U233,'Lista Suspensa'!$AA$20:$AA$23,'Lista Suspensa'!$AB$20:$AB$23,"N/A")</f>
        <v>S</v>
      </c>
    </row>
    <row r="234" spans="1:47" ht="12" customHeight="1" x14ac:dyDescent="0.3">
      <c r="A234" s="87" t="s">
        <v>47</v>
      </c>
      <c r="B234" s="88">
        <v>46104</v>
      </c>
      <c r="C234" s="89" t="s">
        <v>48</v>
      </c>
      <c r="D234" s="89" t="s">
        <v>49</v>
      </c>
      <c r="E234" s="90">
        <v>95560503</v>
      </c>
      <c r="F234" s="184" t="s">
        <v>825</v>
      </c>
      <c r="G234" s="91">
        <v>14600495861</v>
      </c>
      <c r="H234" s="92">
        <v>27459</v>
      </c>
      <c r="I234" s="89">
        <v>51</v>
      </c>
      <c r="J234" s="89" t="s">
        <v>51</v>
      </c>
      <c r="K234" s="89" t="s">
        <v>52</v>
      </c>
      <c r="L234" s="89" t="s">
        <v>525</v>
      </c>
      <c r="M234" s="89" t="s">
        <v>826</v>
      </c>
      <c r="N234" s="89" t="s">
        <v>55</v>
      </c>
      <c r="O234" s="93" t="s">
        <v>827</v>
      </c>
      <c r="P234" s="94" t="s">
        <v>57</v>
      </c>
      <c r="Q234" s="112" t="s">
        <v>58</v>
      </c>
      <c r="R234" s="95">
        <v>46140</v>
      </c>
      <c r="S234" s="96"/>
      <c r="T234" s="96" t="s">
        <v>59</v>
      </c>
      <c r="U234" s="96" t="s">
        <v>60</v>
      </c>
      <c r="V234" s="92">
        <v>46140</v>
      </c>
      <c r="W234" s="92" t="s">
        <v>61</v>
      </c>
      <c r="X234" s="92" t="s">
        <v>61</v>
      </c>
      <c r="Y234" s="97"/>
      <c r="Z234" s="89" t="s">
        <v>62</v>
      </c>
      <c r="AA234" s="96" t="s">
        <v>828</v>
      </c>
      <c r="AB234" s="89" t="s">
        <v>63</v>
      </c>
      <c r="AC234" s="111"/>
      <c r="AD234" s="89"/>
      <c r="AE234" s="89"/>
      <c r="AF234" s="98"/>
      <c r="AG234" s="98"/>
      <c r="AH234" s="98"/>
      <c r="AI234" s="99" t="s">
        <v>67</v>
      </c>
      <c r="AJ234" s="99" t="s">
        <v>67</v>
      </c>
      <c r="AK234" s="99" t="s">
        <v>67</v>
      </c>
      <c r="AL234" s="45" t="s">
        <v>68</v>
      </c>
      <c r="AM234" s="162" t="str">
        <f t="shared" si="24"/>
        <v>3/2026</v>
      </c>
      <c r="AN234" s="45">
        <f t="shared" si="25"/>
        <v>4</v>
      </c>
      <c r="AO234" s="45" t="str">
        <f t="shared" si="26"/>
        <v>4/2026</v>
      </c>
      <c r="AP234" s="45">
        <f t="shared" si="27"/>
        <v>5</v>
      </c>
      <c r="AQ234" s="45">
        <f t="shared" si="28"/>
        <v>36</v>
      </c>
      <c r="AR234" s="45">
        <f t="shared" si="29"/>
        <v>0</v>
      </c>
      <c r="AS234" s="45">
        <f t="shared" si="30"/>
        <v>0</v>
      </c>
      <c r="AT234" s="45">
        <f t="shared" si="31"/>
        <v>7.4722222222189885</v>
      </c>
      <c r="AU234" s="45" t="str">
        <f>_xlfn.XLOOKUP(U234,'Lista Suspensa'!$AA$20:$AA$23,'Lista Suspensa'!$AB$20:$AB$23,"N/A")</f>
        <v>S</v>
      </c>
    </row>
    <row r="235" spans="1:47" ht="12" customHeight="1" x14ac:dyDescent="0.3">
      <c r="A235" s="87" t="s">
        <v>47</v>
      </c>
      <c r="B235" s="88">
        <v>46104</v>
      </c>
      <c r="C235" s="89" t="s">
        <v>48</v>
      </c>
      <c r="D235" s="89" t="s">
        <v>49</v>
      </c>
      <c r="E235" s="90">
        <v>95975335</v>
      </c>
      <c r="F235" s="184" t="s">
        <v>829</v>
      </c>
      <c r="G235" s="91">
        <v>12871267820</v>
      </c>
      <c r="H235" s="92">
        <v>25587</v>
      </c>
      <c r="I235" s="89">
        <v>56</v>
      </c>
      <c r="J235" s="89" t="s">
        <v>51</v>
      </c>
      <c r="K235" s="89" t="s">
        <v>52</v>
      </c>
      <c r="L235" s="89" t="s">
        <v>53</v>
      </c>
      <c r="M235" s="89" t="s">
        <v>830</v>
      </c>
      <c r="N235" s="89" t="s">
        <v>55</v>
      </c>
      <c r="O235" s="93" t="s">
        <v>831</v>
      </c>
      <c r="P235" s="94" t="s">
        <v>57</v>
      </c>
      <c r="Q235" s="112" t="s">
        <v>58</v>
      </c>
      <c r="R235" s="95">
        <v>46140</v>
      </c>
      <c r="S235" s="96"/>
      <c r="T235" s="96" t="s">
        <v>59</v>
      </c>
      <c r="U235" s="96" t="s">
        <v>60</v>
      </c>
      <c r="V235" s="92">
        <v>46140</v>
      </c>
      <c r="W235" s="92" t="s">
        <v>61</v>
      </c>
      <c r="X235" s="92" t="s">
        <v>61</v>
      </c>
      <c r="Y235" s="97"/>
      <c r="Z235" s="89" t="s">
        <v>62</v>
      </c>
      <c r="AA235" s="96">
        <v>46141.486111111109</v>
      </c>
      <c r="AB235" s="89" t="s">
        <v>80</v>
      </c>
      <c r="AC235" s="111"/>
      <c r="AD235" s="89"/>
      <c r="AE235" s="89"/>
      <c r="AF235" s="98"/>
      <c r="AG235" s="98"/>
      <c r="AH235" s="98"/>
      <c r="AI235" s="99" t="s">
        <v>67</v>
      </c>
      <c r="AJ235" s="99" t="s">
        <v>67</v>
      </c>
      <c r="AK235" s="99" t="s">
        <v>67</v>
      </c>
      <c r="AL235" s="45" t="s">
        <v>68</v>
      </c>
      <c r="AM235" s="162" t="str">
        <f t="shared" si="24"/>
        <v>3/2026</v>
      </c>
      <c r="AN235" s="45">
        <f t="shared" si="25"/>
        <v>4</v>
      </c>
      <c r="AO235" s="45" t="str">
        <f t="shared" si="26"/>
        <v>4/2026</v>
      </c>
      <c r="AP235" s="45">
        <f t="shared" si="27"/>
        <v>5</v>
      </c>
      <c r="AQ235" s="45">
        <f t="shared" si="28"/>
        <v>36</v>
      </c>
      <c r="AR235" s="45">
        <f t="shared" si="29"/>
        <v>0</v>
      </c>
      <c r="AS235" s="45">
        <f t="shared" si="30"/>
        <v>0</v>
      </c>
      <c r="AT235" s="45">
        <f t="shared" si="31"/>
        <v>0</v>
      </c>
      <c r="AU235" s="45" t="str">
        <f>_xlfn.XLOOKUP(U235,'Lista Suspensa'!$AA$20:$AA$23,'Lista Suspensa'!$AB$20:$AB$23,"N/A")</f>
        <v>S</v>
      </c>
    </row>
    <row r="236" spans="1:47" ht="12" customHeight="1" x14ac:dyDescent="0.3">
      <c r="A236" s="87" t="s">
        <v>47</v>
      </c>
      <c r="B236" s="88">
        <v>46104</v>
      </c>
      <c r="C236" s="89" t="s">
        <v>48</v>
      </c>
      <c r="D236" s="89" t="s">
        <v>49</v>
      </c>
      <c r="E236" s="90">
        <v>94924065</v>
      </c>
      <c r="F236" s="184" t="s">
        <v>832</v>
      </c>
      <c r="G236" s="91">
        <v>3534764803</v>
      </c>
      <c r="H236" s="92">
        <v>22631</v>
      </c>
      <c r="I236" s="89">
        <v>64</v>
      </c>
      <c r="J236" s="89" t="s">
        <v>51</v>
      </c>
      <c r="K236" s="89" t="s">
        <v>52</v>
      </c>
      <c r="L236" s="89" t="s">
        <v>53</v>
      </c>
      <c r="M236" s="89" t="s">
        <v>833</v>
      </c>
      <c r="N236" s="89" t="s">
        <v>55</v>
      </c>
      <c r="O236" s="93" t="s">
        <v>834</v>
      </c>
      <c r="P236" s="94" t="s">
        <v>57</v>
      </c>
      <c r="Q236" s="112" t="s">
        <v>58</v>
      </c>
      <c r="R236" s="95">
        <v>46141</v>
      </c>
      <c r="S236" s="96"/>
      <c r="T236" s="96" t="s">
        <v>59</v>
      </c>
      <c r="U236" s="96" t="s">
        <v>60</v>
      </c>
      <c r="V236" s="92">
        <v>46140</v>
      </c>
      <c r="W236" s="92">
        <v>46141</v>
      </c>
      <c r="X236" s="92" t="s">
        <v>61</v>
      </c>
      <c r="Y236" s="97"/>
      <c r="Z236" s="89" t="s">
        <v>62</v>
      </c>
      <c r="AA236" s="96">
        <v>46141</v>
      </c>
      <c r="AB236" s="89" t="s">
        <v>224</v>
      </c>
      <c r="AC236" s="111"/>
      <c r="AD236" s="89"/>
      <c r="AE236" s="89"/>
      <c r="AF236" s="98"/>
      <c r="AG236" s="98"/>
      <c r="AH236" s="98"/>
      <c r="AI236" s="99" t="s">
        <v>67</v>
      </c>
      <c r="AJ236" s="99" t="s">
        <v>67</v>
      </c>
      <c r="AK236" s="99" t="s">
        <v>67</v>
      </c>
      <c r="AL236" s="45" t="s">
        <v>68</v>
      </c>
      <c r="AM236" s="162" t="str">
        <f t="shared" si="24"/>
        <v>3/2026</v>
      </c>
      <c r="AN236" s="45">
        <f t="shared" si="25"/>
        <v>4</v>
      </c>
      <c r="AO236" s="45" t="str">
        <f t="shared" si="26"/>
        <v>4/2026</v>
      </c>
      <c r="AP236" s="45">
        <f t="shared" si="27"/>
        <v>5</v>
      </c>
      <c r="AQ236" s="45">
        <f t="shared" si="28"/>
        <v>37</v>
      </c>
      <c r="AR236" s="45">
        <f t="shared" si="29"/>
        <v>0</v>
      </c>
      <c r="AS236" s="45">
        <f t="shared" si="30"/>
        <v>1</v>
      </c>
      <c r="AT236" s="45">
        <f t="shared" si="31"/>
        <v>0</v>
      </c>
      <c r="AU236" s="45" t="str">
        <f>_xlfn.XLOOKUP(U236,'Lista Suspensa'!$AA$20:$AA$23,'Lista Suspensa'!$AB$20:$AB$23,"N/A")</f>
        <v>S</v>
      </c>
    </row>
    <row r="237" spans="1:47" ht="12" customHeight="1" x14ac:dyDescent="0.3">
      <c r="A237" s="87" t="s">
        <v>47</v>
      </c>
      <c r="B237" s="88">
        <v>46104</v>
      </c>
      <c r="C237" s="89" t="s">
        <v>48</v>
      </c>
      <c r="D237" s="89" t="s">
        <v>49</v>
      </c>
      <c r="E237" s="90">
        <v>95909672</v>
      </c>
      <c r="F237" s="184" t="s">
        <v>835</v>
      </c>
      <c r="G237" s="91">
        <v>83608567453</v>
      </c>
      <c r="H237" s="92">
        <v>26559</v>
      </c>
      <c r="I237" s="89">
        <v>53</v>
      </c>
      <c r="J237" s="89" t="s">
        <v>51</v>
      </c>
      <c r="K237" s="89" t="s">
        <v>52</v>
      </c>
      <c r="L237" s="89" t="s">
        <v>331</v>
      </c>
      <c r="M237" s="89" t="s">
        <v>836</v>
      </c>
      <c r="N237" s="89" t="s">
        <v>55</v>
      </c>
      <c r="O237" s="93" t="s">
        <v>837</v>
      </c>
      <c r="P237" s="94" t="s">
        <v>57</v>
      </c>
      <c r="Q237" s="112" t="s">
        <v>58</v>
      </c>
      <c r="R237" s="95">
        <v>46140</v>
      </c>
      <c r="S237" s="96"/>
      <c r="T237" s="96" t="s">
        <v>59</v>
      </c>
      <c r="U237" s="96" t="s">
        <v>60</v>
      </c>
      <c r="V237" s="92">
        <v>46140</v>
      </c>
      <c r="W237" s="92" t="s">
        <v>61</v>
      </c>
      <c r="X237" s="92" t="s">
        <v>61</v>
      </c>
      <c r="Y237" s="97"/>
      <c r="Z237" s="89" t="s">
        <v>62</v>
      </c>
      <c r="AA237" s="96" t="s">
        <v>838</v>
      </c>
      <c r="AB237" s="89" t="s">
        <v>80</v>
      </c>
      <c r="AC237" s="111"/>
      <c r="AD237" s="89"/>
      <c r="AE237" s="89"/>
      <c r="AF237" s="98"/>
      <c r="AG237" s="98"/>
      <c r="AH237" s="98"/>
      <c r="AI237" s="99" t="s">
        <v>67</v>
      </c>
      <c r="AJ237" s="99" t="s">
        <v>67</v>
      </c>
      <c r="AK237" s="99" t="s">
        <v>67</v>
      </c>
      <c r="AL237" s="45" t="s">
        <v>68</v>
      </c>
      <c r="AM237" s="162" t="str">
        <f t="shared" si="24"/>
        <v>3/2026</v>
      </c>
      <c r="AN237" s="45">
        <f t="shared" si="25"/>
        <v>4</v>
      </c>
      <c r="AO237" s="45" t="str">
        <f t="shared" si="26"/>
        <v>4/2026</v>
      </c>
      <c r="AP237" s="45">
        <f t="shared" si="27"/>
        <v>5</v>
      </c>
      <c r="AQ237" s="45">
        <f t="shared" si="28"/>
        <v>36</v>
      </c>
      <c r="AR237" s="45">
        <f t="shared" si="29"/>
        <v>0</v>
      </c>
      <c r="AS237" s="45">
        <f t="shared" si="30"/>
        <v>0</v>
      </c>
      <c r="AT237" s="45">
        <f t="shared" si="31"/>
        <v>0</v>
      </c>
      <c r="AU237" s="45" t="str">
        <f>_xlfn.XLOOKUP(U237,'Lista Suspensa'!$AA$20:$AA$23,'Lista Suspensa'!$AB$20:$AB$23,"N/A")</f>
        <v>S</v>
      </c>
    </row>
    <row r="238" spans="1:47" ht="12" customHeight="1" x14ac:dyDescent="0.3">
      <c r="A238" s="87" t="s">
        <v>47</v>
      </c>
      <c r="B238" s="88">
        <v>46104</v>
      </c>
      <c r="C238" s="89" t="s">
        <v>48</v>
      </c>
      <c r="D238" s="89" t="s">
        <v>49</v>
      </c>
      <c r="E238" s="90">
        <v>96106322</v>
      </c>
      <c r="F238" s="184" t="s">
        <v>839</v>
      </c>
      <c r="G238" s="91">
        <v>14400590801</v>
      </c>
      <c r="H238" s="92">
        <v>26108</v>
      </c>
      <c r="I238" s="89">
        <v>54</v>
      </c>
      <c r="J238" s="89" t="s">
        <v>51</v>
      </c>
      <c r="K238" s="89" t="s">
        <v>52</v>
      </c>
      <c r="L238" s="89" t="s">
        <v>53</v>
      </c>
      <c r="M238" s="89" t="s">
        <v>840</v>
      </c>
      <c r="N238" s="89" t="s">
        <v>55</v>
      </c>
      <c r="O238" s="93" t="s">
        <v>841</v>
      </c>
      <c r="P238" s="94" t="s">
        <v>57</v>
      </c>
      <c r="Q238" s="112" t="s">
        <v>58</v>
      </c>
      <c r="R238" s="95">
        <v>46140</v>
      </c>
      <c r="S238" s="96"/>
      <c r="T238" s="96" t="s">
        <v>59</v>
      </c>
      <c r="U238" s="96" t="s">
        <v>60</v>
      </c>
      <c r="V238" s="92">
        <v>46140</v>
      </c>
      <c r="W238" s="92" t="s">
        <v>61</v>
      </c>
      <c r="X238" s="92" t="s">
        <v>61</v>
      </c>
      <c r="Y238" s="97"/>
      <c r="Z238" s="89" t="s">
        <v>62</v>
      </c>
      <c r="AA238" s="96" t="s">
        <v>842</v>
      </c>
      <c r="AB238" s="89" t="s">
        <v>63</v>
      </c>
      <c r="AC238" s="111"/>
      <c r="AD238" s="89"/>
      <c r="AE238" s="89"/>
      <c r="AF238" s="98" t="s">
        <v>843</v>
      </c>
      <c r="AG238" s="98"/>
      <c r="AH238" s="98" t="s">
        <v>66</v>
      </c>
      <c r="AI238" s="99" t="s">
        <v>67</v>
      </c>
      <c r="AJ238" s="99" t="s">
        <v>67</v>
      </c>
      <c r="AK238" s="99" t="s">
        <v>67</v>
      </c>
      <c r="AL238" s="45" t="s">
        <v>68</v>
      </c>
      <c r="AM238" s="162" t="str">
        <f t="shared" si="24"/>
        <v>3/2026</v>
      </c>
      <c r="AN238" s="45">
        <f t="shared" si="25"/>
        <v>4</v>
      </c>
      <c r="AO238" s="45" t="str">
        <f t="shared" si="26"/>
        <v>4/2026</v>
      </c>
      <c r="AP238" s="45">
        <f t="shared" si="27"/>
        <v>5</v>
      </c>
      <c r="AQ238" s="45">
        <f t="shared" si="28"/>
        <v>36</v>
      </c>
      <c r="AR238" s="45">
        <f t="shared" si="29"/>
        <v>0</v>
      </c>
      <c r="AS238" s="45">
        <f t="shared" si="30"/>
        <v>0</v>
      </c>
      <c r="AT238" s="45">
        <f t="shared" si="31"/>
        <v>2.5138888888905058</v>
      </c>
      <c r="AU238" s="45" t="str">
        <f>_xlfn.XLOOKUP(U238,'Lista Suspensa'!$AA$20:$AA$23,'Lista Suspensa'!$AB$20:$AB$23,"N/A")</f>
        <v>S</v>
      </c>
    </row>
    <row r="239" spans="1:47" ht="12" customHeight="1" x14ac:dyDescent="0.3">
      <c r="A239" s="87" t="s">
        <v>47</v>
      </c>
      <c r="B239" s="88">
        <v>46104</v>
      </c>
      <c r="C239" s="89" t="s">
        <v>48</v>
      </c>
      <c r="D239" s="89" t="s">
        <v>49</v>
      </c>
      <c r="E239" s="90">
        <v>95148069</v>
      </c>
      <c r="F239" s="184" t="s">
        <v>844</v>
      </c>
      <c r="G239" s="91">
        <v>53513939809</v>
      </c>
      <c r="H239" s="92">
        <v>40351</v>
      </c>
      <c r="I239" s="89">
        <v>15</v>
      </c>
      <c r="J239" s="89" t="s">
        <v>51</v>
      </c>
      <c r="K239" s="89" t="s">
        <v>52</v>
      </c>
      <c r="L239" s="89" t="s">
        <v>287</v>
      </c>
      <c r="M239" s="89" t="s">
        <v>845</v>
      </c>
      <c r="N239" s="89" t="s">
        <v>55</v>
      </c>
      <c r="O239" s="93" t="s">
        <v>846</v>
      </c>
      <c r="P239" s="94" t="s">
        <v>57</v>
      </c>
      <c r="Q239" s="112" t="s">
        <v>58</v>
      </c>
      <c r="R239" s="95">
        <v>46140</v>
      </c>
      <c r="S239" s="96"/>
      <c r="T239" s="96" t="s">
        <v>59</v>
      </c>
      <c r="U239" s="96" t="s">
        <v>60</v>
      </c>
      <c r="V239" s="92">
        <v>46140</v>
      </c>
      <c r="W239" s="92" t="s">
        <v>61</v>
      </c>
      <c r="X239" s="92" t="s">
        <v>61</v>
      </c>
      <c r="Y239" s="97"/>
      <c r="Z239" s="89" t="s">
        <v>62</v>
      </c>
      <c r="AA239" s="96">
        <v>46182</v>
      </c>
      <c r="AB239" s="89" t="s">
        <v>80</v>
      </c>
      <c r="AC239" s="111">
        <v>46189</v>
      </c>
      <c r="AD239" s="89"/>
      <c r="AE239" s="89"/>
      <c r="AF239" s="98"/>
      <c r="AG239" s="98"/>
      <c r="AH239" s="98"/>
      <c r="AI239" s="99" t="s">
        <v>67</v>
      </c>
      <c r="AJ239" s="99" t="s">
        <v>67</v>
      </c>
      <c r="AK239" s="99" t="s">
        <v>67</v>
      </c>
      <c r="AL239" s="45" t="s">
        <v>68</v>
      </c>
      <c r="AM239" s="162" t="str">
        <f t="shared" si="24"/>
        <v>3/2026</v>
      </c>
      <c r="AN239" s="45">
        <f t="shared" si="25"/>
        <v>4</v>
      </c>
      <c r="AO239" s="45" t="str">
        <f t="shared" si="26"/>
        <v>4/2026</v>
      </c>
      <c r="AP239" s="45">
        <f t="shared" si="27"/>
        <v>5</v>
      </c>
      <c r="AQ239" s="45">
        <f t="shared" si="28"/>
        <v>36</v>
      </c>
      <c r="AR239" s="45">
        <f t="shared" si="29"/>
        <v>0</v>
      </c>
      <c r="AS239" s="45">
        <f t="shared" si="30"/>
        <v>0</v>
      </c>
      <c r="AT239" s="45">
        <f t="shared" si="31"/>
        <v>0</v>
      </c>
      <c r="AU239" s="45" t="str">
        <f>_xlfn.XLOOKUP(U239,'Lista Suspensa'!$AA$20:$AA$23,'Lista Suspensa'!$AB$20:$AB$23,"N/A")</f>
        <v>S</v>
      </c>
    </row>
    <row r="240" spans="1:47" ht="12" customHeight="1" x14ac:dyDescent="0.3">
      <c r="A240" s="87" t="s">
        <v>47</v>
      </c>
      <c r="B240" s="88">
        <v>46104</v>
      </c>
      <c r="C240" s="89" t="s">
        <v>48</v>
      </c>
      <c r="D240" s="89" t="s">
        <v>49</v>
      </c>
      <c r="E240" s="90">
        <v>632964430</v>
      </c>
      <c r="F240" s="184" t="s">
        <v>847</v>
      </c>
      <c r="G240" s="91">
        <v>46267387615</v>
      </c>
      <c r="H240" s="92">
        <v>23137</v>
      </c>
      <c r="I240" s="89">
        <v>62</v>
      </c>
      <c r="J240" s="89" t="s">
        <v>51</v>
      </c>
      <c r="K240" s="89" t="s">
        <v>52</v>
      </c>
      <c r="L240" s="89" t="s">
        <v>53</v>
      </c>
      <c r="M240" s="89" t="s">
        <v>848</v>
      </c>
      <c r="N240" s="89" t="s">
        <v>252</v>
      </c>
      <c r="O240" s="93" t="s">
        <v>849</v>
      </c>
      <c r="P240" s="94" t="s">
        <v>57</v>
      </c>
      <c r="Q240" s="112" t="s">
        <v>58</v>
      </c>
      <c r="R240" s="95">
        <v>46153</v>
      </c>
      <c r="S240" s="96"/>
      <c r="T240" s="96" t="s">
        <v>59</v>
      </c>
      <c r="U240" s="96" t="s">
        <v>60</v>
      </c>
      <c r="V240" s="92">
        <v>46140</v>
      </c>
      <c r="W240" s="92">
        <v>46147</v>
      </c>
      <c r="X240" s="92">
        <v>46154</v>
      </c>
      <c r="Y240" s="97"/>
      <c r="Z240" s="89" t="s">
        <v>62</v>
      </c>
      <c r="AA240" s="96">
        <v>46161</v>
      </c>
      <c r="AB240" s="89" t="s">
        <v>80</v>
      </c>
      <c r="AC240" s="111"/>
      <c r="AD240" s="89"/>
      <c r="AE240" s="89"/>
      <c r="AF240" s="98"/>
      <c r="AG240" s="98"/>
      <c r="AH240" s="98"/>
      <c r="AI240" s="99" t="s">
        <v>197</v>
      </c>
      <c r="AJ240" s="99" t="s">
        <v>197</v>
      </c>
      <c r="AK240" s="99" t="s">
        <v>67</v>
      </c>
      <c r="AL240" s="45" t="s">
        <v>68</v>
      </c>
      <c r="AM240" s="162" t="str">
        <f t="shared" si="24"/>
        <v>3/2026</v>
      </c>
      <c r="AN240" s="45">
        <f t="shared" si="25"/>
        <v>4</v>
      </c>
      <c r="AO240" s="45" t="str">
        <f t="shared" si="26"/>
        <v>5/2026</v>
      </c>
      <c r="AP240" s="45">
        <f t="shared" si="27"/>
        <v>3</v>
      </c>
      <c r="AQ240" s="45">
        <f t="shared" si="28"/>
        <v>49</v>
      </c>
      <c r="AR240" s="45">
        <f t="shared" si="29"/>
        <v>0</v>
      </c>
      <c r="AS240" s="45">
        <f t="shared" si="30"/>
        <v>7</v>
      </c>
      <c r="AT240" s="45">
        <f t="shared" si="31"/>
        <v>0</v>
      </c>
      <c r="AU240" s="45" t="str">
        <f>_xlfn.XLOOKUP(U240,'Lista Suspensa'!$AA$20:$AA$23,'Lista Suspensa'!$AB$20:$AB$23,"N/A")</f>
        <v>S</v>
      </c>
    </row>
    <row r="241" spans="1:47" ht="12" customHeight="1" x14ac:dyDescent="0.3">
      <c r="A241" s="87" t="s">
        <v>47</v>
      </c>
      <c r="B241" s="88">
        <v>46104</v>
      </c>
      <c r="C241" s="89" t="s">
        <v>48</v>
      </c>
      <c r="D241" s="89" t="s">
        <v>49</v>
      </c>
      <c r="E241" s="90">
        <v>89008037</v>
      </c>
      <c r="F241" s="184" t="s">
        <v>850</v>
      </c>
      <c r="G241" s="91">
        <v>7607111867</v>
      </c>
      <c r="H241" s="92">
        <v>23086</v>
      </c>
      <c r="I241" s="89">
        <v>63</v>
      </c>
      <c r="J241" s="89" t="s">
        <v>51</v>
      </c>
      <c r="K241" s="89" t="s">
        <v>52</v>
      </c>
      <c r="L241" s="89" t="s">
        <v>331</v>
      </c>
      <c r="M241" s="89" t="s">
        <v>851</v>
      </c>
      <c r="N241" s="89" t="s">
        <v>55</v>
      </c>
      <c r="O241" s="93" t="s">
        <v>852</v>
      </c>
      <c r="P241" s="94" t="s">
        <v>57</v>
      </c>
      <c r="Q241" s="112" t="s">
        <v>58</v>
      </c>
      <c r="R241" s="95">
        <v>46140</v>
      </c>
      <c r="S241" s="96"/>
      <c r="T241" s="96" t="s">
        <v>59</v>
      </c>
      <c r="U241" s="96" t="s">
        <v>60</v>
      </c>
      <c r="V241" s="92">
        <v>46140</v>
      </c>
      <c r="W241" s="92" t="s">
        <v>61</v>
      </c>
      <c r="X241" s="92" t="s">
        <v>61</v>
      </c>
      <c r="Y241" s="97"/>
      <c r="Z241" s="89" t="s">
        <v>62</v>
      </c>
      <c r="AA241" s="96" t="s">
        <v>705</v>
      </c>
      <c r="AB241" s="89" t="s">
        <v>80</v>
      </c>
      <c r="AC241" s="111"/>
      <c r="AD241" s="89"/>
      <c r="AE241" s="89"/>
      <c r="AF241" s="98"/>
      <c r="AG241" s="98"/>
      <c r="AH241" s="98"/>
      <c r="AI241" s="99" t="s">
        <v>67</v>
      </c>
      <c r="AJ241" s="99" t="s">
        <v>67</v>
      </c>
      <c r="AK241" s="99" t="s">
        <v>67</v>
      </c>
      <c r="AL241" s="45" t="s">
        <v>68</v>
      </c>
      <c r="AM241" s="162" t="str">
        <f t="shared" si="24"/>
        <v>3/2026</v>
      </c>
      <c r="AN241" s="45">
        <f t="shared" si="25"/>
        <v>4</v>
      </c>
      <c r="AO241" s="45" t="str">
        <f t="shared" si="26"/>
        <v>4/2026</v>
      </c>
      <c r="AP241" s="45">
        <f t="shared" si="27"/>
        <v>5</v>
      </c>
      <c r="AQ241" s="45">
        <f t="shared" si="28"/>
        <v>36</v>
      </c>
      <c r="AR241" s="45">
        <f t="shared" si="29"/>
        <v>0</v>
      </c>
      <c r="AS241" s="45">
        <f t="shared" si="30"/>
        <v>0</v>
      </c>
      <c r="AT241" s="45">
        <f t="shared" si="31"/>
        <v>0</v>
      </c>
      <c r="AU241" s="45" t="str">
        <f>_xlfn.XLOOKUP(U241,'Lista Suspensa'!$AA$20:$AA$23,'Lista Suspensa'!$AB$20:$AB$23,"N/A")</f>
        <v>S</v>
      </c>
    </row>
    <row r="242" spans="1:47" ht="12" customHeight="1" x14ac:dyDescent="0.3">
      <c r="A242" s="87" t="s">
        <v>47</v>
      </c>
      <c r="B242" s="88">
        <v>46104</v>
      </c>
      <c r="C242" s="89" t="s">
        <v>48</v>
      </c>
      <c r="D242" s="89" t="s">
        <v>49</v>
      </c>
      <c r="E242" s="90">
        <v>808473590</v>
      </c>
      <c r="F242" s="184" t="s">
        <v>853</v>
      </c>
      <c r="G242" s="91">
        <v>6074951896</v>
      </c>
      <c r="H242" s="92">
        <v>23277</v>
      </c>
      <c r="I242" s="89">
        <v>62</v>
      </c>
      <c r="J242" s="89" t="s">
        <v>70</v>
      </c>
      <c r="K242" s="89" t="s">
        <v>52</v>
      </c>
      <c r="L242" s="89" t="s">
        <v>53</v>
      </c>
      <c r="M242" s="89" t="s">
        <v>854</v>
      </c>
      <c r="N242" s="89" t="s">
        <v>252</v>
      </c>
      <c r="O242" s="93" t="s">
        <v>855</v>
      </c>
      <c r="P242" s="94" t="s">
        <v>57</v>
      </c>
      <c r="Q242" s="112" t="s">
        <v>58</v>
      </c>
      <c r="R242" s="95">
        <v>46147</v>
      </c>
      <c r="S242" s="96"/>
      <c r="T242" s="96" t="s">
        <v>59</v>
      </c>
      <c r="U242" s="96" t="s">
        <v>60</v>
      </c>
      <c r="V242" s="92">
        <v>46140</v>
      </c>
      <c r="W242" s="92">
        <v>46147</v>
      </c>
      <c r="X242" s="92" t="s">
        <v>61</v>
      </c>
      <c r="Y242" s="97"/>
      <c r="Z242" s="89" t="s">
        <v>62</v>
      </c>
      <c r="AA242" s="96" t="s">
        <v>856</v>
      </c>
      <c r="AB242" s="89" t="s">
        <v>80</v>
      </c>
      <c r="AC242" s="111"/>
      <c r="AD242" s="89"/>
      <c r="AE242" s="89"/>
      <c r="AF242" s="98"/>
      <c r="AG242" s="98"/>
      <c r="AH242" s="98"/>
      <c r="AI242" s="99" t="s">
        <v>197</v>
      </c>
      <c r="AJ242" s="99" t="s">
        <v>197</v>
      </c>
      <c r="AK242" s="99" t="s">
        <v>67</v>
      </c>
      <c r="AL242" s="45" t="s">
        <v>68</v>
      </c>
      <c r="AM242" s="162" t="str">
        <f t="shared" si="24"/>
        <v>3/2026</v>
      </c>
      <c r="AN242" s="45">
        <f t="shared" si="25"/>
        <v>4</v>
      </c>
      <c r="AO242" s="45" t="str">
        <f t="shared" si="26"/>
        <v>5/2026</v>
      </c>
      <c r="AP242" s="45">
        <f t="shared" si="27"/>
        <v>2</v>
      </c>
      <c r="AQ242" s="45">
        <f t="shared" si="28"/>
        <v>43</v>
      </c>
      <c r="AR242" s="45">
        <f t="shared" si="29"/>
        <v>0</v>
      </c>
      <c r="AS242" s="45">
        <f t="shared" si="30"/>
        <v>7</v>
      </c>
      <c r="AT242" s="45">
        <f t="shared" si="31"/>
        <v>0</v>
      </c>
      <c r="AU242" s="45" t="str">
        <f>_xlfn.XLOOKUP(U242,'Lista Suspensa'!$AA$20:$AA$23,'Lista Suspensa'!$AB$20:$AB$23,"N/A")</f>
        <v>S</v>
      </c>
    </row>
    <row r="243" spans="1:47" ht="12" customHeight="1" x14ac:dyDescent="0.3">
      <c r="A243" s="87" t="s">
        <v>47</v>
      </c>
      <c r="B243" s="88">
        <v>46104</v>
      </c>
      <c r="C243" s="89" t="s">
        <v>48</v>
      </c>
      <c r="D243" s="89" t="s">
        <v>49</v>
      </c>
      <c r="E243" s="90">
        <v>94089191</v>
      </c>
      <c r="F243" s="184" t="s">
        <v>857</v>
      </c>
      <c r="G243" s="91">
        <v>30279836600</v>
      </c>
      <c r="H243" s="92">
        <v>21290</v>
      </c>
      <c r="I243" s="89">
        <v>67</v>
      </c>
      <c r="J243" s="89" t="s">
        <v>51</v>
      </c>
      <c r="K243" s="89" t="s">
        <v>52</v>
      </c>
      <c r="L243" s="89" t="s">
        <v>53</v>
      </c>
      <c r="M243" s="89" t="s">
        <v>858</v>
      </c>
      <c r="N243" s="89" t="s">
        <v>55</v>
      </c>
      <c r="O243" s="93" t="s">
        <v>859</v>
      </c>
      <c r="P243" s="94" t="s">
        <v>57</v>
      </c>
      <c r="Q243" s="112" t="s">
        <v>58</v>
      </c>
      <c r="R243" s="95">
        <v>46142</v>
      </c>
      <c r="S243" s="96"/>
      <c r="T243" s="96" t="s">
        <v>59</v>
      </c>
      <c r="U243" s="96" t="s">
        <v>60</v>
      </c>
      <c r="V243" s="92">
        <v>46140</v>
      </c>
      <c r="W243" s="92">
        <v>46142</v>
      </c>
      <c r="X243" s="92" t="s">
        <v>61</v>
      </c>
      <c r="Y243" s="97"/>
      <c r="Z243" s="89" t="s">
        <v>62</v>
      </c>
      <c r="AA243" s="96">
        <v>46149.402777777781</v>
      </c>
      <c r="AB243" s="89" t="s">
        <v>63</v>
      </c>
      <c r="AC243" s="111"/>
      <c r="AD243" s="89" t="s">
        <v>265</v>
      </c>
      <c r="AE243" s="89">
        <v>53</v>
      </c>
      <c r="AF243" s="98" t="s">
        <v>138</v>
      </c>
      <c r="AG243" s="98"/>
      <c r="AH243" s="98" t="s">
        <v>66</v>
      </c>
      <c r="AI243" s="99" t="s">
        <v>67</v>
      </c>
      <c r="AJ243" s="99" t="s">
        <v>67</v>
      </c>
      <c r="AK243" s="99" t="s">
        <v>67</v>
      </c>
      <c r="AL243" s="45" t="s">
        <v>68</v>
      </c>
      <c r="AM243" s="162" t="str">
        <f t="shared" si="24"/>
        <v>3/2026</v>
      </c>
      <c r="AN243" s="45">
        <f t="shared" si="25"/>
        <v>4</v>
      </c>
      <c r="AO243" s="45" t="str">
        <f t="shared" si="26"/>
        <v>4/2026</v>
      </c>
      <c r="AP243" s="45">
        <f t="shared" si="27"/>
        <v>5</v>
      </c>
      <c r="AQ243" s="45">
        <f t="shared" si="28"/>
        <v>38</v>
      </c>
      <c r="AR243" s="45">
        <f t="shared" si="29"/>
        <v>0</v>
      </c>
      <c r="AS243" s="45">
        <f t="shared" si="30"/>
        <v>2</v>
      </c>
      <c r="AT243" s="45">
        <f t="shared" si="31"/>
        <v>7.4027777777810115</v>
      </c>
      <c r="AU243" s="45" t="str">
        <f>_xlfn.XLOOKUP(U243,'Lista Suspensa'!$AA$20:$AA$23,'Lista Suspensa'!$AB$20:$AB$23,"N/A")</f>
        <v>S</v>
      </c>
    </row>
    <row r="244" spans="1:47" ht="12" customHeight="1" x14ac:dyDescent="0.3">
      <c r="A244" s="87" t="s">
        <v>47</v>
      </c>
      <c r="B244" s="88">
        <v>46104</v>
      </c>
      <c r="C244" s="89" t="s">
        <v>48</v>
      </c>
      <c r="D244" s="89" t="s">
        <v>49</v>
      </c>
      <c r="E244" s="90">
        <v>94263863</v>
      </c>
      <c r="F244" s="184" t="s">
        <v>860</v>
      </c>
      <c r="G244" s="91">
        <v>2341856780</v>
      </c>
      <c r="H244" s="92">
        <v>24398</v>
      </c>
      <c r="I244" s="89">
        <v>59</v>
      </c>
      <c r="J244" s="89" t="s">
        <v>70</v>
      </c>
      <c r="K244" s="89" t="s">
        <v>88</v>
      </c>
      <c r="L244" s="89" t="s">
        <v>89</v>
      </c>
      <c r="M244" s="89" t="s">
        <v>861</v>
      </c>
      <c r="N244" s="89" t="s">
        <v>233</v>
      </c>
      <c r="O244" s="93" t="s">
        <v>862</v>
      </c>
      <c r="P244" s="94" t="s">
        <v>57</v>
      </c>
      <c r="Q244" s="112" t="s">
        <v>58</v>
      </c>
      <c r="R244" s="95">
        <v>46140</v>
      </c>
      <c r="S244" s="96"/>
      <c r="T244" s="96" t="s">
        <v>59</v>
      </c>
      <c r="U244" s="96" t="s">
        <v>60</v>
      </c>
      <c r="V244" s="92">
        <v>46140</v>
      </c>
      <c r="W244" s="92" t="s">
        <v>61</v>
      </c>
      <c r="X244" s="92" t="s">
        <v>61</v>
      </c>
      <c r="Y244" s="97"/>
      <c r="Z244" s="89" t="s">
        <v>62</v>
      </c>
      <c r="AA244" s="96">
        <v>46146</v>
      </c>
      <c r="AB244" s="89" t="s">
        <v>63</v>
      </c>
      <c r="AC244" s="111"/>
      <c r="AD244" s="89"/>
      <c r="AE244" s="89"/>
      <c r="AF244" s="98"/>
      <c r="AG244" s="98"/>
      <c r="AH244" s="98"/>
      <c r="AI244" s="99" t="s">
        <v>67</v>
      </c>
      <c r="AJ244" s="99" t="s">
        <v>67</v>
      </c>
      <c r="AK244" s="99" t="s">
        <v>67</v>
      </c>
      <c r="AL244" s="45" t="s">
        <v>68</v>
      </c>
      <c r="AM244" s="162" t="str">
        <f t="shared" si="24"/>
        <v>3/2026</v>
      </c>
      <c r="AN244" s="45">
        <f t="shared" si="25"/>
        <v>4</v>
      </c>
      <c r="AO244" s="45" t="str">
        <f t="shared" si="26"/>
        <v>4/2026</v>
      </c>
      <c r="AP244" s="45">
        <f t="shared" si="27"/>
        <v>5</v>
      </c>
      <c r="AQ244" s="45">
        <f t="shared" si="28"/>
        <v>36</v>
      </c>
      <c r="AR244" s="45">
        <f t="shared" si="29"/>
        <v>0</v>
      </c>
      <c r="AS244" s="45">
        <f t="shared" si="30"/>
        <v>0</v>
      </c>
      <c r="AT244" s="45">
        <f t="shared" si="31"/>
        <v>6</v>
      </c>
      <c r="AU244" s="45" t="str">
        <f>_xlfn.XLOOKUP(U244,'Lista Suspensa'!$AA$20:$AA$23,'Lista Suspensa'!$AB$20:$AB$23,"N/A")</f>
        <v>S</v>
      </c>
    </row>
    <row r="245" spans="1:47" ht="12" customHeight="1" x14ac:dyDescent="0.3">
      <c r="A245" s="87" t="s">
        <v>47</v>
      </c>
      <c r="B245" s="88">
        <v>46104</v>
      </c>
      <c r="C245" s="89" t="s">
        <v>48</v>
      </c>
      <c r="D245" s="89" t="s">
        <v>49</v>
      </c>
      <c r="E245" s="90">
        <v>459563939</v>
      </c>
      <c r="F245" s="184" t="s">
        <v>863</v>
      </c>
      <c r="G245" s="91">
        <v>4301560815</v>
      </c>
      <c r="H245" s="92">
        <v>16188</v>
      </c>
      <c r="I245" s="89">
        <v>81</v>
      </c>
      <c r="J245" s="89" t="s">
        <v>51</v>
      </c>
      <c r="K245" s="89" t="s">
        <v>52</v>
      </c>
      <c r="L245" s="89" t="s">
        <v>53</v>
      </c>
      <c r="M245" s="89" t="s">
        <v>864</v>
      </c>
      <c r="N245" s="89" t="s">
        <v>252</v>
      </c>
      <c r="O245" s="93" t="s">
        <v>865</v>
      </c>
      <c r="P245" s="94" t="s">
        <v>57</v>
      </c>
      <c r="Q245" s="112" t="s">
        <v>58</v>
      </c>
      <c r="R245" s="95">
        <v>46164</v>
      </c>
      <c r="S245" s="96"/>
      <c r="T245" s="96" t="s">
        <v>59</v>
      </c>
      <c r="U245" s="96" t="s">
        <v>60</v>
      </c>
      <c r="V245" s="92">
        <v>46122</v>
      </c>
      <c r="W245" s="92">
        <v>46147</v>
      </c>
      <c r="X245" s="92">
        <v>46154</v>
      </c>
      <c r="Y245" s="97"/>
      <c r="Z245" s="89" t="s">
        <v>62</v>
      </c>
      <c r="AA245" s="96">
        <v>46171</v>
      </c>
      <c r="AB245" s="89" t="s">
        <v>80</v>
      </c>
      <c r="AC245" s="111"/>
      <c r="AD245" s="89"/>
      <c r="AE245" s="89"/>
      <c r="AF245" s="98"/>
      <c r="AG245" s="98"/>
      <c r="AH245" s="98"/>
      <c r="AI245" s="99"/>
      <c r="AJ245" s="99" t="s">
        <v>197</v>
      </c>
      <c r="AK245" s="99" t="s">
        <v>67</v>
      </c>
      <c r="AL245" s="45" t="s">
        <v>68</v>
      </c>
      <c r="AM245" s="162" t="str">
        <f t="shared" si="24"/>
        <v>3/2026</v>
      </c>
      <c r="AN245" s="45">
        <f t="shared" si="25"/>
        <v>4</v>
      </c>
      <c r="AO245" s="45" t="str">
        <f t="shared" si="26"/>
        <v>5/2026</v>
      </c>
      <c r="AP245" s="45">
        <f t="shared" si="27"/>
        <v>4</v>
      </c>
      <c r="AQ245" s="45">
        <f t="shared" si="28"/>
        <v>60</v>
      </c>
      <c r="AR245" s="45">
        <f t="shared" si="29"/>
        <v>0</v>
      </c>
      <c r="AS245" s="45">
        <f t="shared" si="30"/>
        <v>16</v>
      </c>
      <c r="AT245" s="45">
        <f t="shared" si="31"/>
        <v>0</v>
      </c>
      <c r="AU245" s="45" t="str">
        <f>_xlfn.XLOOKUP(U245,'Lista Suspensa'!$AA$20:$AA$23,'Lista Suspensa'!$AB$20:$AB$23,"N/A")</f>
        <v>S</v>
      </c>
    </row>
    <row r="246" spans="1:47" ht="12" customHeight="1" x14ac:dyDescent="0.3">
      <c r="A246" s="87" t="s">
        <v>47</v>
      </c>
      <c r="B246" s="88">
        <v>46104</v>
      </c>
      <c r="C246" s="89" t="s">
        <v>48</v>
      </c>
      <c r="D246" s="89" t="s">
        <v>49</v>
      </c>
      <c r="E246" s="90">
        <v>94236363</v>
      </c>
      <c r="F246" s="184" t="s">
        <v>866</v>
      </c>
      <c r="G246" s="91">
        <v>8414691722</v>
      </c>
      <c r="H246" s="92">
        <v>28852</v>
      </c>
      <c r="I246" s="89">
        <v>47</v>
      </c>
      <c r="J246" s="89" t="s">
        <v>51</v>
      </c>
      <c r="K246" s="89" t="s">
        <v>88</v>
      </c>
      <c r="L246" s="89" t="s">
        <v>867</v>
      </c>
      <c r="M246" s="89" t="s">
        <v>240</v>
      </c>
      <c r="N246" s="89" t="s">
        <v>233</v>
      </c>
      <c r="O246" s="93" t="s">
        <v>868</v>
      </c>
      <c r="P246" s="94" t="s">
        <v>57</v>
      </c>
      <c r="Q246" s="112" t="s">
        <v>58</v>
      </c>
      <c r="R246" s="95">
        <v>46140</v>
      </c>
      <c r="S246" s="96"/>
      <c r="T246" s="96" t="s">
        <v>59</v>
      </c>
      <c r="U246" s="96" t="s">
        <v>60</v>
      </c>
      <c r="V246" s="92">
        <v>46140</v>
      </c>
      <c r="W246" s="92" t="s">
        <v>61</v>
      </c>
      <c r="X246" s="92" t="s">
        <v>61</v>
      </c>
      <c r="Y246" s="97"/>
      <c r="Z246" s="89" t="s">
        <v>62</v>
      </c>
      <c r="AA246" s="96" t="s">
        <v>869</v>
      </c>
      <c r="AB246" s="89" t="s">
        <v>63</v>
      </c>
      <c r="AC246" s="111"/>
      <c r="AD246" s="89" t="s">
        <v>265</v>
      </c>
      <c r="AE246" s="89">
        <v>36</v>
      </c>
      <c r="AF246" s="98" t="s">
        <v>126</v>
      </c>
      <c r="AG246" s="98"/>
      <c r="AH246" s="98" t="s">
        <v>66</v>
      </c>
      <c r="AI246" s="99" t="s">
        <v>67</v>
      </c>
      <c r="AJ246" s="99" t="s">
        <v>67</v>
      </c>
      <c r="AK246" s="99" t="s">
        <v>67</v>
      </c>
      <c r="AL246" s="45" t="s">
        <v>68</v>
      </c>
      <c r="AM246" s="162" t="str">
        <f t="shared" si="24"/>
        <v>3/2026</v>
      </c>
      <c r="AN246" s="45">
        <f t="shared" si="25"/>
        <v>4</v>
      </c>
      <c r="AO246" s="45" t="str">
        <f t="shared" si="26"/>
        <v>4/2026</v>
      </c>
      <c r="AP246" s="45">
        <f t="shared" si="27"/>
        <v>5</v>
      </c>
      <c r="AQ246" s="45">
        <f t="shared" si="28"/>
        <v>36</v>
      </c>
      <c r="AR246" s="45">
        <f t="shared" si="29"/>
        <v>0</v>
      </c>
      <c r="AS246" s="45">
        <f t="shared" si="30"/>
        <v>0</v>
      </c>
      <c r="AT246" s="45">
        <f t="shared" si="31"/>
        <v>2.4861111111094942</v>
      </c>
      <c r="AU246" s="45" t="str">
        <f>_xlfn.XLOOKUP(U246,'Lista Suspensa'!$AA$20:$AA$23,'Lista Suspensa'!$AB$20:$AB$23,"N/A")</f>
        <v>S</v>
      </c>
    </row>
    <row r="247" spans="1:47" ht="12" customHeight="1" x14ac:dyDescent="0.3">
      <c r="A247" s="87" t="s">
        <v>47</v>
      </c>
      <c r="B247" s="88">
        <v>46104</v>
      </c>
      <c r="C247" s="89" t="s">
        <v>48</v>
      </c>
      <c r="D247" s="89" t="s">
        <v>49</v>
      </c>
      <c r="E247" s="90">
        <v>93929052</v>
      </c>
      <c r="F247" s="184" t="s">
        <v>870</v>
      </c>
      <c r="G247" s="91">
        <v>2764718306</v>
      </c>
      <c r="H247" s="92">
        <v>30798</v>
      </c>
      <c r="I247" s="89">
        <v>41</v>
      </c>
      <c r="J247" s="89" t="s">
        <v>70</v>
      </c>
      <c r="K247" s="89" t="s">
        <v>88</v>
      </c>
      <c r="L247" s="89" t="s">
        <v>454</v>
      </c>
      <c r="M247" s="89" t="s">
        <v>240</v>
      </c>
      <c r="N247" s="89" t="s">
        <v>233</v>
      </c>
      <c r="O247" s="93" t="s">
        <v>871</v>
      </c>
      <c r="P247" s="94" t="s">
        <v>57</v>
      </c>
      <c r="Q247" s="112" t="s">
        <v>58</v>
      </c>
      <c r="R247" s="95">
        <v>46140</v>
      </c>
      <c r="S247" s="96"/>
      <c r="T247" s="96" t="s">
        <v>59</v>
      </c>
      <c r="U247" s="96" t="s">
        <v>60</v>
      </c>
      <c r="V247" s="92">
        <v>46140</v>
      </c>
      <c r="W247" s="92" t="s">
        <v>61</v>
      </c>
      <c r="X247" s="92" t="s">
        <v>61</v>
      </c>
      <c r="Y247" s="97"/>
      <c r="Z247" s="89" t="s">
        <v>62</v>
      </c>
      <c r="AA247" s="96" t="s">
        <v>674</v>
      </c>
      <c r="AB247" s="89" t="s">
        <v>63</v>
      </c>
      <c r="AC247" s="111"/>
      <c r="AD247" s="89" t="s">
        <v>64</v>
      </c>
      <c r="AE247" s="89">
        <v>53</v>
      </c>
      <c r="AF247" s="98"/>
      <c r="AG247" s="98"/>
      <c r="AH247" s="98" t="s">
        <v>66</v>
      </c>
      <c r="AI247" s="99" t="s">
        <v>67</v>
      </c>
      <c r="AJ247" s="99" t="s">
        <v>67</v>
      </c>
      <c r="AK247" s="99" t="s">
        <v>67</v>
      </c>
      <c r="AL247" s="45" t="s">
        <v>68</v>
      </c>
      <c r="AM247" s="162" t="str">
        <f t="shared" si="24"/>
        <v>3/2026</v>
      </c>
      <c r="AN247" s="45">
        <f t="shared" si="25"/>
        <v>4</v>
      </c>
      <c r="AO247" s="45" t="str">
        <f t="shared" si="26"/>
        <v>4/2026</v>
      </c>
      <c r="AP247" s="45">
        <f t="shared" si="27"/>
        <v>5</v>
      </c>
      <c r="AQ247" s="45">
        <f t="shared" si="28"/>
        <v>36</v>
      </c>
      <c r="AR247" s="45">
        <f t="shared" si="29"/>
        <v>0</v>
      </c>
      <c r="AS247" s="45">
        <f t="shared" si="30"/>
        <v>0</v>
      </c>
      <c r="AT247" s="45">
        <f t="shared" si="31"/>
        <v>1.4583333333357587</v>
      </c>
      <c r="AU247" s="45" t="str">
        <f>_xlfn.XLOOKUP(U247,'Lista Suspensa'!$AA$20:$AA$23,'Lista Suspensa'!$AB$20:$AB$23,"N/A")</f>
        <v>S</v>
      </c>
    </row>
    <row r="248" spans="1:47" ht="12" customHeight="1" x14ac:dyDescent="0.3">
      <c r="A248" s="87" t="s">
        <v>47</v>
      </c>
      <c r="B248" s="88">
        <v>46104</v>
      </c>
      <c r="C248" s="89" t="s">
        <v>48</v>
      </c>
      <c r="D248" s="89" t="s">
        <v>49</v>
      </c>
      <c r="E248" s="90">
        <v>94354186</v>
      </c>
      <c r="F248" s="184" t="s">
        <v>872</v>
      </c>
      <c r="G248" s="91">
        <v>21956752765</v>
      </c>
      <c r="H248" s="92">
        <v>38116</v>
      </c>
      <c r="I248" s="89">
        <v>21</v>
      </c>
      <c r="J248" s="89" t="s">
        <v>51</v>
      </c>
      <c r="K248" s="89" t="s">
        <v>88</v>
      </c>
      <c r="L248" s="89" t="s">
        <v>89</v>
      </c>
      <c r="M248" s="89" t="s">
        <v>240</v>
      </c>
      <c r="N248" s="89" t="s">
        <v>233</v>
      </c>
      <c r="O248" s="93" t="s">
        <v>873</v>
      </c>
      <c r="P248" s="94" t="s">
        <v>57</v>
      </c>
      <c r="Q248" s="112" t="s">
        <v>58</v>
      </c>
      <c r="R248" s="95">
        <v>46140</v>
      </c>
      <c r="S248" s="96"/>
      <c r="T248" s="96" t="s">
        <v>59</v>
      </c>
      <c r="U248" s="96" t="s">
        <v>60</v>
      </c>
      <c r="V248" s="92">
        <v>46140</v>
      </c>
      <c r="W248" s="92" t="s">
        <v>61</v>
      </c>
      <c r="X248" s="92" t="s">
        <v>61</v>
      </c>
      <c r="Y248" s="97"/>
      <c r="Z248" s="89" t="s">
        <v>62</v>
      </c>
      <c r="AA248" s="96">
        <v>46141.5</v>
      </c>
      <c r="AB248" s="89" t="s">
        <v>80</v>
      </c>
      <c r="AC248" s="111"/>
      <c r="AD248" s="89"/>
      <c r="AE248" s="89"/>
      <c r="AF248" s="98"/>
      <c r="AG248" s="98"/>
      <c r="AH248" s="98"/>
      <c r="AI248" s="99" t="s">
        <v>67</v>
      </c>
      <c r="AJ248" s="99" t="s">
        <v>67</v>
      </c>
      <c r="AK248" s="99" t="s">
        <v>67</v>
      </c>
      <c r="AL248" s="45" t="s">
        <v>68</v>
      </c>
      <c r="AM248" s="162" t="str">
        <f t="shared" si="24"/>
        <v>3/2026</v>
      </c>
      <c r="AN248" s="45">
        <f t="shared" si="25"/>
        <v>4</v>
      </c>
      <c r="AO248" s="45" t="str">
        <f t="shared" si="26"/>
        <v>4/2026</v>
      </c>
      <c r="AP248" s="45">
        <f t="shared" si="27"/>
        <v>5</v>
      </c>
      <c r="AQ248" s="45">
        <f t="shared" si="28"/>
        <v>36</v>
      </c>
      <c r="AR248" s="45">
        <f t="shared" si="29"/>
        <v>0</v>
      </c>
      <c r="AS248" s="45">
        <f t="shared" si="30"/>
        <v>0</v>
      </c>
      <c r="AT248" s="45">
        <f t="shared" si="31"/>
        <v>0</v>
      </c>
      <c r="AU248" s="45" t="str">
        <f>_xlfn.XLOOKUP(U248,'Lista Suspensa'!$AA$20:$AA$23,'Lista Suspensa'!$AB$20:$AB$23,"N/A")</f>
        <v>S</v>
      </c>
    </row>
    <row r="249" spans="1:47" ht="12" customHeight="1" x14ac:dyDescent="0.3">
      <c r="A249" s="87" t="s">
        <v>47</v>
      </c>
      <c r="B249" s="88">
        <v>46104</v>
      </c>
      <c r="C249" s="89" t="s">
        <v>48</v>
      </c>
      <c r="D249" s="89" t="s">
        <v>49</v>
      </c>
      <c r="E249" s="90">
        <v>807770892</v>
      </c>
      <c r="F249" s="184" t="s">
        <v>874</v>
      </c>
      <c r="G249" s="91">
        <v>37878794804</v>
      </c>
      <c r="H249" s="92">
        <v>16420</v>
      </c>
      <c r="I249" s="89">
        <v>81</v>
      </c>
      <c r="J249" s="89" t="s">
        <v>51</v>
      </c>
      <c r="K249" s="89" t="s">
        <v>52</v>
      </c>
      <c r="L249" s="89" t="s">
        <v>875</v>
      </c>
      <c r="M249" s="89" t="s">
        <v>876</v>
      </c>
      <c r="N249" s="89" t="s">
        <v>252</v>
      </c>
      <c r="O249" s="93" t="s">
        <v>877</v>
      </c>
      <c r="P249" s="94" t="s">
        <v>57</v>
      </c>
      <c r="Q249" s="112" t="s">
        <v>58</v>
      </c>
      <c r="R249" s="95">
        <v>46117</v>
      </c>
      <c r="S249" s="96"/>
      <c r="T249" s="96" t="s">
        <v>59</v>
      </c>
      <c r="U249" s="96" t="s">
        <v>60</v>
      </c>
      <c r="V249" s="92">
        <v>46140</v>
      </c>
      <c r="W249" s="92">
        <v>46147</v>
      </c>
      <c r="X249" s="92" t="s">
        <v>61</v>
      </c>
      <c r="Y249" s="97"/>
      <c r="Z249" s="89" t="s">
        <v>62</v>
      </c>
      <c r="AA249" s="96">
        <v>46149</v>
      </c>
      <c r="AB249" s="89" t="s">
        <v>63</v>
      </c>
      <c r="AC249" s="111"/>
      <c r="AD249" s="89" t="s">
        <v>265</v>
      </c>
      <c r="AE249" s="89">
        <v>62</v>
      </c>
      <c r="AF249" s="98" t="s">
        <v>138</v>
      </c>
      <c r="AG249" s="98"/>
      <c r="AH249" s="98" t="s">
        <v>66</v>
      </c>
      <c r="AI249" s="99" t="s">
        <v>197</v>
      </c>
      <c r="AJ249" s="99" t="s">
        <v>878</v>
      </c>
      <c r="AK249" s="99" t="s">
        <v>67</v>
      </c>
      <c r="AL249" s="45" t="s">
        <v>68</v>
      </c>
      <c r="AM249" s="162" t="str">
        <f t="shared" si="24"/>
        <v>3/2026</v>
      </c>
      <c r="AN249" s="45">
        <f t="shared" si="25"/>
        <v>4</v>
      </c>
      <c r="AO249" s="45" t="str">
        <f t="shared" si="26"/>
        <v>4/2026</v>
      </c>
      <c r="AP249" s="45">
        <f t="shared" si="27"/>
        <v>2</v>
      </c>
      <c r="AQ249" s="45">
        <f t="shared" si="28"/>
        <v>13</v>
      </c>
      <c r="AR249" s="45">
        <f t="shared" si="29"/>
        <v>0</v>
      </c>
      <c r="AS249" s="45">
        <f t="shared" si="30"/>
        <v>7</v>
      </c>
      <c r="AT249" s="45">
        <f t="shared" si="31"/>
        <v>32</v>
      </c>
      <c r="AU249" s="45" t="str">
        <f>_xlfn.XLOOKUP(U249,'Lista Suspensa'!$AA$20:$AA$23,'Lista Suspensa'!$AB$20:$AB$23,"N/A")</f>
        <v>S</v>
      </c>
    </row>
    <row r="250" spans="1:47" ht="12" customHeight="1" x14ac:dyDescent="0.3">
      <c r="A250" s="87" t="s">
        <v>47</v>
      </c>
      <c r="B250" s="88">
        <v>46104</v>
      </c>
      <c r="C250" s="89" t="s">
        <v>48</v>
      </c>
      <c r="D250" s="89" t="s">
        <v>49</v>
      </c>
      <c r="E250" s="90">
        <v>94188885</v>
      </c>
      <c r="F250" s="184" t="s">
        <v>879</v>
      </c>
      <c r="G250" s="91">
        <v>94920044887</v>
      </c>
      <c r="H250" s="92">
        <v>21627</v>
      </c>
      <c r="I250" s="89">
        <v>67</v>
      </c>
      <c r="J250" s="89" t="s">
        <v>51</v>
      </c>
      <c r="K250" s="89" t="s">
        <v>52</v>
      </c>
      <c r="L250" s="89" t="s">
        <v>53</v>
      </c>
      <c r="M250" s="89" t="s">
        <v>880</v>
      </c>
      <c r="N250" s="89" t="s">
        <v>55</v>
      </c>
      <c r="O250" s="93" t="s">
        <v>881</v>
      </c>
      <c r="P250" s="94" t="s">
        <v>57</v>
      </c>
      <c r="Q250" s="112" t="s">
        <v>58</v>
      </c>
      <c r="R250" s="95">
        <v>46117</v>
      </c>
      <c r="S250" s="96"/>
      <c r="T250" s="96" t="s">
        <v>59</v>
      </c>
      <c r="U250" s="96" t="s">
        <v>60</v>
      </c>
      <c r="V250" s="92">
        <v>46140</v>
      </c>
      <c r="W250" s="92">
        <v>46147</v>
      </c>
      <c r="X250" s="92" t="s">
        <v>61</v>
      </c>
      <c r="Y250" s="97"/>
      <c r="Z250" s="89" t="s">
        <v>62</v>
      </c>
      <c r="AA250" s="96">
        <v>46157</v>
      </c>
      <c r="AB250" s="89" t="s">
        <v>80</v>
      </c>
      <c r="AC250" s="111"/>
      <c r="AD250" s="89"/>
      <c r="AE250" s="89"/>
      <c r="AF250" s="98"/>
      <c r="AG250" s="98"/>
      <c r="AH250" s="98"/>
      <c r="AI250" s="99" t="s">
        <v>197</v>
      </c>
      <c r="AJ250" s="99" t="s">
        <v>197</v>
      </c>
      <c r="AK250" s="99" t="s">
        <v>67</v>
      </c>
      <c r="AL250" s="45" t="s">
        <v>68</v>
      </c>
      <c r="AM250" s="162" t="str">
        <f t="shared" si="24"/>
        <v>3/2026</v>
      </c>
      <c r="AN250" s="45">
        <f t="shared" si="25"/>
        <v>4</v>
      </c>
      <c r="AO250" s="45" t="str">
        <f t="shared" si="26"/>
        <v>4/2026</v>
      </c>
      <c r="AP250" s="45">
        <f t="shared" si="27"/>
        <v>2</v>
      </c>
      <c r="AQ250" s="45">
        <f t="shared" si="28"/>
        <v>13</v>
      </c>
      <c r="AR250" s="45">
        <f t="shared" si="29"/>
        <v>0</v>
      </c>
      <c r="AS250" s="45">
        <f t="shared" si="30"/>
        <v>7</v>
      </c>
      <c r="AT250" s="45">
        <f t="shared" si="31"/>
        <v>0</v>
      </c>
      <c r="AU250" s="45" t="str">
        <f>_xlfn.XLOOKUP(U250,'Lista Suspensa'!$AA$20:$AA$23,'Lista Suspensa'!$AB$20:$AB$23,"N/A")</f>
        <v>S</v>
      </c>
    </row>
    <row r="251" spans="1:47" ht="12" customHeight="1" x14ac:dyDescent="0.3">
      <c r="A251" s="87" t="s">
        <v>47</v>
      </c>
      <c r="B251" s="88">
        <v>46104</v>
      </c>
      <c r="C251" s="89" t="s">
        <v>48</v>
      </c>
      <c r="D251" s="89" t="s">
        <v>49</v>
      </c>
      <c r="E251" s="90">
        <v>93414648</v>
      </c>
      <c r="F251" s="184" t="s">
        <v>882</v>
      </c>
      <c r="G251" s="91">
        <v>54427568734</v>
      </c>
      <c r="H251" s="92">
        <v>21327</v>
      </c>
      <c r="I251" s="89">
        <v>67</v>
      </c>
      <c r="J251" s="89" t="s">
        <v>51</v>
      </c>
      <c r="K251" s="89" t="s">
        <v>88</v>
      </c>
      <c r="L251" s="89" t="s">
        <v>89</v>
      </c>
      <c r="M251" s="89" t="s">
        <v>493</v>
      </c>
      <c r="N251" s="89" t="s">
        <v>233</v>
      </c>
      <c r="O251" s="93" t="s">
        <v>883</v>
      </c>
      <c r="P251" s="94" t="s">
        <v>57</v>
      </c>
      <c r="Q251" s="112" t="s">
        <v>58</v>
      </c>
      <c r="R251" s="95">
        <v>46140</v>
      </c>
      <c r="S251" s="96"/>
      <c r="T251" s="96" t="s">
        <v>59</v>
      </c>
      <c r="U251" s="96" t="s">
        <v>60</v>
      </c>
      <c r="V251" s="92">
        <v>46140</v>
      </c>
      <c r="W251" s="92" t="s">
        <v>61</v>
      </c>
      <c r="X251" s="92" t="s">
        <v>61</v>
      </c>
      <c r="Y251" s="97"/>
      <c r="Z251" s="89" t="s">
        <v>62</v>
      </c>
      <c r="AA251" s="96" t="s">
        <v>884</v>
      </c>
      <c r="AB251" s="89" t="s">
        <v>63</v>
      </c>
      <c r="AC251" s="111"/>
      <c r="AD251" s="89" t="s">
        <v>64</v>
      </c>
      <c r="AE251" s="89">
        <v>63</v>
      </c>
      <c r="AF251" s="98" t="s">
        <v>126</v>
      </c>
      <c r="AG251" s="98"/>
      <c r="AH251" s="98" t="s">
        <v>66</v>
      </c>
      <c r="AI251" s="99" t="s">
        <v>67</v>
      </c>
      <c r="AJ251" s="99" t="s">
        <v>67</v>
      </c>
      <c r="AK251" s="99" t="s">
        <v>67</v>
      </c>
      <c r="AL251" s="45" t="s">
        <v>68</v>
      </c>
      <c r="AM251" s="162" t="str">
        <f t="shared" si="24"/>
        <v>3/2026</v>
      </c>
      <c r="AN251" s="45">
        <f t="shared" si="25"/>
        <v>4</v>
      </c>
      <c r="AO251" s="45" t="str">
        <f t="shared" si="26"/>
        <v>4/2026</v>
      </c>
      <c r="AP251" s="45">
        <f t="shared" si="27"/>
        <v>5</v>
      </c>
      <c r="AQ251" s="45">
        <f t="shared" si="28"/>
        <v>36</v>
      </c>
      <c r="AR251" s="45">
        <f t="shared" si="29"/>
        <v>0</v>
      </c>
      <c r="AS251" s="45">
        <f t="shared" si="30"/>
        <v>0</v>
      </c>
      <c r="AT251" s="45">
        <f t="shared" si="31"/>
        <v>2.4583333333357587</v>
      </c>
      <c r="AU251" s="45" t="str">
        <f>_xlfn.XLOOKUP(U251,'Lista Suspensa'!$AA$20:$AA$23,'Lista Suspensa'!$AB$20:$AB$23,"N/A")</f>
        <v>S</v>
      </c>
    </row>
    <row r="252" spans="1:47" ht="12" customHeight="1" x14ac:dyDescent="0.3">
      <c r="A252" s="87" t="s">
        <v>47</v>
      </c>
      <c r="B252" s="88">
        <v>46104</v>
      </c>
      <c r="C252" s="89" t="s">
        <v>48</v>
      </c>
      <c r="D252" s="89" t="s">
        <v>49</v>
      </c>
      <c r="E252" s="90">
        <v>93673554</v>
      </c>
      <c r="F252" s="184" t="s">
        <v>885</v>
      </c>
      <c r="G252" s="91">
        <v>91376599791</v>
      </c>
      <c r="H252" s="92">
        <v>22984</v>
      </c>
      <c r="I252" s="89">
        <v>63</v>
      </c>
      <c r="J252" s="89" t="s">
        <v>51</v>
      </c>
      <c r="K252" s="89" t="s">
        <v>88</v>
      </c>
      <c r="L252" s="89" t="s">
        <v>454</v>
      </c>
      <c r="M252" s="89" t="s">
        <v>886</v>
      </c>
      <c r="N252" s="89" t="s">
        <v>233</v>
      </c>
      <c r="O252" s="93" t="s">
        <v>887</v>
      </c>
      <c r="P252" s="94" t="s">
        <v>57</v>
      </c>
      <c r="Q252" s="112" t="s">
        <v>58</v>
      </c>
      <c r="R252" s="95">
        <v>46140</v>
      </c>
      <c r="S252" s="96"/>
      <c r="T252" s="96" t="s">
        <v>59</v>
      </c>
      <c r="U252" s="96" t="s">
        <v>60</v>
      </c>
      <c r="V252" s="92">
        <v>46140</v>
      </c>
      <c r="W252" s="92" t="s">
        <v>61</v>
      </c>
      <c r="X252" s="92" t="s">
        <v>61</v>
      </c>
      <c r="Y252" s="97"/>
      <c r="Z252" s="89" t="s">
        <v>62</v>
      </c>
      <c r="AA252" s="96">
        <v>46183</v>
      </c>
      <c r="AB252" s="89" t="s">
        <v>63</v>
      </c>
      <c r="AC252" s="111"/>
      <c r="AD252" s="89" t="s">
        <v>265</v>
      </c>
      <c r="AE252" s="89">
        <v>30</v>
      </c>
      <c r="AF252" s="98"/>
      <c r="AG252" s="98"/>
      <c r="AH252" s="98" t="s">
        <v>66</v>
      </c>
      <c r="AI252" s="99" t="s">
        <v>67</v>
      </c>
      <c r="AJ252" s="99" t="s">
        <v>67</v>
      </c>
      <c r="AK252" s="99" t="s">
        <v>67</v>
      </c>
      <c r="AL252" s="45" t="s">
        <v>68</v>
      </c>
      <c r="AM252" s="162" t="str">
        <f t="shared" si="24"/>
        <v>3/2026</v>
      </c>
      <c r="AN252" s="45">
        <f t="shared" si="25"/>
        <v>4</v>
      </c>
      <c r="AO252" s="45" t="str">
        <f t="shared" si="26"/>
        <v>4/2026</v>
      </c>
      <c r="AP252" s="45">
        <f t="shared" si="27"/>
        <v>5</v>
      </c>
      <c r="AQ252" s="45">
        <f t="shared" si="28"/>
        <v>36</v>
      </c>
      <c r="AR252" s="45">
        <f t="shared" si="29"/>
        <v>0</v>
      </c>
      <c r="AS252" s="45">
        <f t="shared" si="30"/>
        <v>0</v>
      </c>
      <c r="AT252" s="45">
        <f t="shared" si="31"/>
        <v>43</v>
      </c>
      <c r="AU252" s="45" t="str">
        <f>_xlfn.XLOOKUP(U252,'Lista Suspensa'!$AA$20:$AA$23,'Lista Suspensa'!$AB$20:$AB$23,"N/A")</f>
        <v>S</v>
      </c>
    </row>
    <row r="253" spans="1:47" ht="12" customHeight="1" x14ac:dyDescent="0.3">
      <c r="A253" s="87" t="s">
        <v>47</v>
      </c>
      <c r="B253" s="88">
        <v>46104</v>
      </c>
      <c r="C253" s="89" t="s">
        <v>48</v>
      </c>
      <c r="D253" s="89" t="s">
        <v>49</v>
      </c>
      <c r="E253" s="90">
        <v>93735593</v>
      </c>
      <c r="F253" s="184" t="s">
        <v>888</v>
      </c>
      <c r="G253" s="91">
        <v>13579342894</v>
      </c>
      <c r="H253" s="92">
        <v>25948</v>
      </c>
      <c r="I253" s="89">
        <v>55</v>
      </c>
      <c r="J253" s="89" t="s">
        <v>70</v>
      </c>
      <c r="K253" s="89" t="s">
        <v>52</v>
      </c>
      <c r="L253" s="89" t="s">
        <v>160</v>
      </c>
      <c r="M253" s="89" t="s">
        <v>889</v>
      </c>
      <c r="N253" s="89" t="s">
        <v>55</v>
      </c>
      <c r="O253" s="93" t="s">
        <v>890</v>
      </c>
      <c r="P253" s="94" t="s">
        <v>57</v>
      </c>
      <c r="Q253" s="112" t="s">
        <v>58</v>
      </c>
      <c r="R253" s="95">
        <v>46153</v>
      </c>
      <c r="S253" s="96"/>
      <c r="T253" s="96" t="s">
        <v>59</v>
      </c>
      <c r="U253" s="96" t="s">
        <v>60</v>
      </c>
      <c r="V253" s="92">
        <v>46112</v>
      </c>
      <c r="W253" s="92">
        <v>46147</v>
      </c>
      <c r="X253" s="92">
        <v>46154</v>
      </c>
      <c r="Y253" s="97"/>
      <c r="Z253" s="89" t="s">
        <v>62</v>
      </c>
      <c r="AA253" s="96">
        <v>46162</v>
      </c>
      <c r="AB253" s="89" t="s">
        <v>80</v>
      </c>
      <c r="AC253" s="111"/>
      <c r="AD253" s="89"/>
      <c r="AE253" s="89"/>
      <c r="AF253" s="98"/>
      <c r="AG253" s="98"/>
      <c r="AH253" s="98"/>
      <c r="AI253" s="99" t="s">
        <v>197</v>
      </c>
      <c r="AJ253" s="99" t="s">
        <v>197</v>
      </c>
      <c r="AK253" s="99" t="s">
        <v>67</v>
      </c>
      <c r="AL253" s="45" t="s">
        <v>68</v>
      </c>
      <c r="AM253" s="162" t="str">
        <f t="shared" si="24"/>
        <v>3/2026</v>
      </c>
      <c r="AN253" s="45">
        <f t="shared" si="25"/>
        <v>4</v>
      </c>
      <c r="AO253" s="45" t="str">
        <f t="shared" si="26"/>
        <v>5/2026</v>
      </c>
      <c r="AP253" s="45">
        <f t="shared" si="27"/>
        <v>3</v>
      </c>
      <c r="AQ253" s="45">
        <f t="shared" si="28"/>
        <v>49</v>
      </c>
      <c r="AR253" s="45">
        <f t="shared" si="29"/>
        <v>0</v>
      </c>
      <c r="AS253" s="45">
        <f t="shared" si="30"/>
        <v>21</v>
      </c>
      <c r="AT253" s="45">
        <f t="shared" si="31"/>
        <v>0</v>
      </c>
      <c r="AU253" s="45" t="str">
        <f>_xlfn.XLOOKUP(U253,'Lista Suspensa'!$AA$20:$AA$23,'Lista Suspensa'!$AB$20:$AB$23,"N/A")</f>
        <v>S</v>
      </c>
    </row>
    <row r="254" spans="1:47" ht="12" customHeight="1" x14ac:dyDescent="0.3">
      <c r="A254" s="87" t="s">
        <v>47</v>
      </c>
      <c r="B254" s="88">
        <v>46104</v>
      </c>
      <c r="C254" s="89" t="s">
        <v>48</v>
      </c>
      <c r="D254" s="89" t="s">
        <v>49</v>
      </c>
      <c r="E254" s="90">
        <v>94704933</v>
      </c>
      <c r="F254" s="184" t="s">
        <v>891</v>
      </c>
      <c r="G254" s="91">
        <v>2478623714</v>
      </c>
      <c r="H254" s="92">
        <v>26184</v>
      </c>
      <c r="I254" s="89">
        <v>54</v>
      </c>
      <c r="J254" s="89" t="s">
        <v>51</v>
      </c>
      <c r="K254" s="89" t="s">
        <v>88</v>
      </c>
      <c r="L254" s="89" t="s">
        <v>89</v>
      </c>
      <c r="M254" s="89" t="s">
        <v>892</v>
      </c>
      <c r="N254" s="89" t="s">
        <v>233</v>
      </c>
      <c r="O254" s="93" t="s">
        <v>893</v>
      </c>
      <c r="P254" s="94" t="s">
        <v>57</v>
      </c>
      <c r="Q254" s="112" t="s">
        <v>58</v>
      </c>
      <c r="R254" s="95">
        <v>46140</v>
      </c>
      <c r="S254" s="96"/>
      <c r="T254" s="96" t="s">
        <v>59</v>
      </c>
      <c r="U254" s="96" t="s">
        <v>60</v>
      </c>
      <c r="V254" s="92">
        <v>46140</v>
      </c>
      <c r="W254" s="92" t="s">
        <v>61</v>
      </c>
      <c r="X254" s="92" t="s">
        <v>61</v>
      </c>
      <c r="Y254" s="97"/>
      <c r="Z254" s="89" t="s">
        <v>62</v>
      </c>
      <c r="AA254" s="96">
        <v>46142.5</v>
      </c>
      <c r="AB254" s="89" t="s">
        <v>63</v>
      </c>
      <c r="AC254" s="111"/>
      <c r="AD254" s="89" t="s">
        <v>86</v>
      </c>
      <c r="AE254" s="89"/>
      <c r="AF254" s="98" t="s">
        <v>126</v>
      </c>
      <c r="AG254" s="98"/>
      <c r="AH254" s="98" t="s">
        <v>66</v>
      </c>
      <c r="AI254" s="99" t="s">
        <v>67</v>
      </c>
      <c r="AJ254" s="99" t="s">
        <v>67</v>
      </c>
      <c r="AK254" s="99" t="s">
        <v>67</v>
      </c>
      <c r="AL254" s="45" t="s">
        <v>68</v>
      </c>
      <c r="AM254" s="162" t="str">
        <f t="shared" si="24"/>
        <v>3/2026</v>
      </c>
      <c r="AN254" s="45">
        <f t="shared" si="25"/>
        <v>4</v>
      </c>
      <c r="AO254" s="45" t="str">
        <f t="shared" si="26"/>
        <v>4/2026</v>
      </c>
      <c r="AP254" s="45">
        <f t="shared" si="27"/>
        <v>5</v>
      </c>
      <c r="AQ254" s="45">
        <f t="shared" si="28"/>
        <v>36</v>
      </c>
      <c r="AR254" s="45">
        <f t="shared" si="29"/>
        <v>0</v>
      </c>
      <c r="AS254" s="45">
        <f t="shared" si="30"/>
        <v>0</v>
      </c>
      <c r="AT254" s="45">
        <f t="shared" si="31"/>
        <v>2.5</v>
      </c>
      <c r="AU254" s="45" t="str">
        <f>_xlfn.XLOOKUP(U254,'Lista Suspensa'!$AA$20:$AA$23,'Lista Suspensa'!$AB$20:$AB$23,"N/A")</f>
        <v>S</v>
      </c>
    </row>
    <row r="255" spans="1:47" ht="12" customHeight="1" x14ac:dyDescent="0.3">
      <c r="A255" s="87" t="s">
        <v>47</v>
      </c>
      <c r="B255" s="88">
        <v>46104</v>
      </c>
      <c r="C255" s="89" t="s">
        <v>48</v>
      </c>
      <c r="D255" s="89" t="s">
        <v>49</v>
      </c>
      <c r="E255" s="90">
        <v>94573976</v>
      </c>
      <c r="F255" s="184" t="s">
        <v>894</v>
      </c>
      <c r="G255" s="91">
        <v>98792679820</v>
      </c>
      <c r="H255" s="92">
        <v>21042</v>
      </c>
      <c r="I255" s="89">
        <v>68</v>
      </c>
      <c r="J255" s="89" t="s">
        <v>51</v>
      </c>
      <c r="K255" s="89" t="s">
        <v>52</v>
      </c>
      <c r="L255" s="89" t="s">
        <v>53</v>
      </c>
      <c r="M255" s="89" t="s">
        <v>895</v>
      </c>
      <c r="N255" s="89" t="s">
        <v>55</v>
      </c>
      <c r="O255" s="93" t="s">
        <v>896</v>
      </c>
      <c r="P255" s="94" t="s">
        <v>57</v>
      </c>
      <c r="Q255" s="112" t="s">
        <v>58</v>
      </c>
      <c r="R255" s="95">
        <v>46153</v>
      </c>
      <c r="S255" s="96"/>
      <c r="T255" s="96" t="s">
        <v>59</v>
      </c>
      <c r="U255" s="96" t="s">
        <v>60</v>
      </c>
      <c r="V255" s="92">
        <v>46128</v>
      </c>
      <c r="W255" s="92">
        <v>46147</v>
      </c>
      <c r="X255" s="92">
        <v>46154</v>
      </c>
      <c r="Y255" s="97"/>
      <c r="Z255" s="89" t="s">
        <v>62</v>
      </c>
      <c r="AA255" s="96">
        <v>46164</v>
      </c>
      <c r="AB255" s="89" t="s">
        <v>80</v>
      </c>
      <c r="AC255" s="111"/>
      <c r="AD255" s="89"/>
      <c r="AE255" s="89"/>
      <c r="AF255" s="98"/>
      <c r="AG255" s="98"/>
      <c r="AH255" s="98"/>
      <c r="AI255" s="99" t="s">
        <v>197</v>
      </c>
      <c r="AJ255" s="99" t="s">
        <v>197</v>
      </c>
      <c r="AK255" s="99" t="s">
        <v>67</v>
      </c>
      <c r="AL255" s="45" t="s">
        <v>68</v>
      </c>
      <c r="AM255" s="162" t="str">
        <f t="shared" si="24"/>
        <v>3/2026</v>
      </c>
      <c r="AN255" s="45">
        <f t="shared" si="25"/>
        <v>4</v>
      </c>
      <c r="AO255" s="45" t="str">
        <f t="shared" si="26"/>
        <v>5/2026</v>
      </c>
      <c r="AP255" s="45">
        <f t="shared" si="27"/>
        <v>3</v>
      </c>
      <c r="AQ255" s="45">
        <f t="shared" si="28"/>
        <v>49</v>
      </c>
      <c r="AR255" s="45">
        <f t="shared" si="29"/>
        <v>0</v>
      </c>
      <c r="AS255" s="45">
        <f t="shared" si="30"/>
        <v>13</v>
      </c>
      <c r="AT255" s="45">
        <f t="shared" si="31"/>
        <v>0</v>
      </c>
      <c r="AU255" s="45" t="str">
        <f>_xlfn.XLOOKUP(U255,'Lista Suspensa'!$AA$20:$AA$23,'Lista Suspensa'!$AB$20:$AB$23,"N/A")</f>
        <v>S</v>
      </c>
    </row>
    <row r="256" spans="1:47" ht="12" customHeight="1" x14ac:dyDescent="0.3">
      <c r="A256" s="87" t="s">
        <v>47</v>
      </c>
      <c r="B256" s="88">
        <v>46104</v>
      </c>
      <c r="C256" s="89" t="s">
        <v>48</v>
      </c>
      <c r="D256" s="89" t="s">
        <v>49</v>
      </c>
      <c r="E256" s="90">
        <v>77626103</v>
      </c>
      <c r="F256" s="184" t="s">
        <v>897</v>
      </c>
      <c r="G256" s="91">
        <v>44392931749</v>
      </c>
      <c r="H256" s="92">
        <v>20387</v>
      </c>
      <c r="I256" s="89">
        <v>70</v>
      </c>
      <c r="J256" s="89" t="s">
        <v>70</v>
      </c>
      <c r="K256" s="89" t="s">
        <v>88</v>
      </c>
      <c r="L256" s="89" t="s">
        <v>454</v>
      </c>
      <c r="M256" s="89" t="s">
        <v>898</v>
      </c>
      <c r="N256" s="89" t="s">
        <v>91</v>
      </c>
      <c r="O256" s="93" t="s">
        <v>899</v>
      </c>
      <c r="P256" s="94" t="s">
        <v>57</v>
      </c>
      <c r="Q256" s="112" t="s">
        <v>58</v>
      </c>
      <c r="R256" s="95">
        <v>46140</v>
      </c>
      <c r="S256" s="96"/>
      <c r="T256" s="96" t="s">
        <v>59</v>
      </c>
      <c r="U256" s="96" t="s">
        <v>60</v>
      </c>
      <c r="V256" s="92">
        <v>46140</v>
      </c>
      <c r="W256" s="92" t="s">
        <v>61</v>
      </c>
      <c r="X256" s="92" t="s">
        <v>61</v>
      </c>
      <c r="Y256" s="97"/>
      <c r="Z256" s="89" t="s">
        <v>62</v>
      </c>
      <c r="AA256" s="96" t="s">
        <v>361</v>
      </c>
      <c r="AB256" s="89" t="s">
        <v>63</v>
      </c>
      <c r="AC256" s="111"/>
      <c r="AD256" s="89"/>
      <c r="AE256" s="89"/>
      <c r="AF256" s="98"/>
      <c r="AG256" s="98"/>
      <c r="AH256" s="98"/>
      <c r="AI256" s="99" t="s">
        <v>67</v>
      </c>
      <c r="AJ256" s="99" t="s">
        <v>67</v>
      </c>
      <c r="AK256" s="99" t="s">
        <v>67</v>
      </c>
      <c r="AL256" s="45" t="s">
        <v>68</v>
      </c>
      <c r="AM256" s="162" t="str">
        <f t="shared" si="24"/>
        <v>3/2026</v>
      </c>
      <c r="AN256" s="45">
        <f t="shared" si="25"/>
        <v>4</v>
      </c>
      <c r="AO256" s="45" t="str">
        <f t="shared" si="26"/>
        <v>4/2026</v>
      </c>
      <c r="AP256" s="45">
        <f t="shared" si="27"/>
        <v>5</v>
      </c>
      <c r="AQ256" s="45">
        <f t="shared" si="28"/>
        <v>36</v>
      </c>
      <c r="AR256" s="45">
        <f t="shared" si="29"/>
        <v>0</v>
      </c>
      <c r="AS256" s="45">
        <f t="shared" si="30"/>
        <v>0</v>
      </c>
      <c r="AT256" s="45">
        <f t="shared" si="31"/>
        <v>7.4305555555547471</v>
      </c>
      <c r="AU256" s="45" t="str">
        <f>_xlfn.XLOOKUP(U256,'Lista Suspensa'!$AA$20:$AA$23,'Lista Suspensa'!$AB$20:$AB$23,"N/A")</f>
        <v>S</v>
      </c>
    </row>
    <row r="257" spans="1:47" ht="12" customHeight="1" x14ac:dyDescent="0.3">
      <c r="A257" s="87" t="s">
        <v>47</v>
      </c>
      <c r="B257" s="88">
        <v>46104</v>
      </c>
      <c r="C257" s="89" t="s">
        <v>48</v>
      </c>
      <c r="D257" s="89" t="s">
        <v>49</v>
      </c>
      <c r="E257" s="90">
        <v>89251893</v>
      </c>
      <c r="F257" s="184" t="s">
        <v>900</v>
      </c>
      <c r="G257" s="91">
        <v>79022588491</v>
      </c>
      <c r="H257" s="92">
        <v>26098</v>
      </c>
      <c r="I257" s="89">
        <v>54</v>
      </c>
      <c r="J257" s="89" t="s">
        <v>51</v>
      </c>
      <c r="K257" s="89" t="s">
        <v>52</v>
      </c>
      <c r="L257" s="89" t="s">
        <v>53</v>
      </c>
      <c r="M257" s="89" t="s">
        <v>901</v>
      </c>
      <c r="N257" s="89" t="s">
        <v>55</v>
      </c>
      <c r="O257" s="93" t="s">
        <v>902</v>
      </c>
      <c r="P257" s="94" t="s">
        <v>57</v>
      </c>
      <c r="Q257" s="112" t="s">
        <v>58</v>
      </c>
      <c r="R257" s="95">
        <v>46153</v>
      </c>
      <c r="S257" s="96"/>
      <c r="T257" s="96" t="s">
        <v>59</v>
      </c>
      <c r="U257" s="96" t="s">
        <v>60</v>
      </c>
      <c r="V257" s="92">
        <v>46140</v>
      </c>
      <c r="W257" s="92">
        <v>46147</v>
      </c>
      <c r="X257" s="92">
        <v>46154</v>
      </c>
      <c r="Y257" s="97"/>
      <c r="Z257" s="89" t="s">
        <v>62</v>
      </c>
      <c r="AA257" s="96">
        <v>46162</v>
      </c>
      <c r="AB257" s="89" t="s">
        <v>80</v>
      </c>
      <c r="AC257" s="111"/>
      <c r="AD257" s="89"/>
      <c r="AE257" s="89"/>
      <c r="AF257" s="98"/>
      <c r="AG257" s="98"/>
      <c r="AH257" s="98"/>
      <c r="AI257" s="99" t="s">
        <v>197</v>
      </c>
      <c r="AJ257" s="99" t="s">
        <v>197</v>
      </c>
      <c r="AK257" s="99" t="s">
        <v>67</v>
      </c>
      <c r="AL257" s="45" t="s">
        <v>68</v>
      </c>
      <c r="AM257" s="162" t="str">
        <f t="shared" si="24"/>
        <v>3/2026</v>
      </c>
      <c r="AN257" s="45">
        <f t="shared" si="25"/>
        <v>4</v>
      </c>
      <c r="AO257" s="45" t="str">
        <f t="shared" si="26"/>
        <v>5/2026</v>
      </c>
      <c r="AP257" s="45">
        <f t="shared" si="27"/>
        <v>3</v>
      </c>
      <c r="AQ257" s="45">
        <f t="shared" si="28"/>
        <v>49</v>
      </c>
      <c r="AR257" s="45">
        <f t="shared" si="29"/>
        <v>0</v>
      </c>
      <c r="AS257" s="45">
        <f t="shared" si="30"/>
        <v>7</v>
      </c>
      <c r="AT257" s="45">
        <f t="shared" si="31"/>
        <v>0</v>
      </c>
      <c r="AU257" s="45" t="str">
        <f>_xlfn.XLOOKUP(U257,'Lista Suspensa'!$AA$20:$AA$23,'Lista Suspensa'!$AB$20:$AB$23,"N/A")</f>
        <v>S</v>
      </c>
    </row>
    <row r="258" spans="1:47" ht="12" customHeight="1" x14ac:dyDescent="0.3">
      <c r="A258" s="87" t="s">
        <v>47</v>
      </c>
      <c r="B258" s="88">
        <v>46104</v>
      </c>
      <c r="C258" s="89" t="s">
        <v>48</v>
      </c>
      <c r="D258" s="89" t="s">
        <v>49</v>
      </c>
      <c r="E258" s="90">
        <v>87614584</v>
      </c>
      <c r="F258" s="184" t="s">
        <v>903</v>
      </c>
      <c r="G258" s="91">
        <v>15724722860</v>
      </c>
      <c r="H258" s="92">
        <v>26309</v>
      </c>
      <c r="I258" s="89">
        <v>54</v>
      </c>
      <c r="J258" s="89" t="s">
        <v>51</v>
      </c>
      <c r="K258" s="89" t="s">
        <v>52</v>
      </c>
      <c r="L258" s="89" t="s">
        <v>53</v>
      </c>
      <c r="M258" s="89" t="s">
        <v>904</v>
      </c>
      <c r="N258" s="89" t="s">
        <v>55</v>
      </c>
      <c r="O258" s="93" t="s">
        <v>905</v>
      </c>
      <c r="P258" s="94" t="s">
        <v>57</v>
      </c>
      <c r="Q258" s="112" t="s">
        <v>58</v>
      </c>
      <c r="R258" s="95">
        <v>46153</v>
      </c>
      <c r="S258" s="96"/>
      <c r="T258" s="96" t="s">
        <v>59</v>
      </c>
      <c r="U258" s="96" t="s">
        <v>60</v>
      </c>
      <c r="V258" s="92">
        <v>46112</v>
      </c>
      <c r="W258" s="92">
        <v>46147</v>
      </c>
      <c r="X258" s="92">
        <v>46154</v>
      </c>
      <c r="Y258" s="97"/>
      <c r="Z258" s="89" t="s">
        <v>62</v>
      </c>
      <c r="AA258" s="96">
        <v>46156</v>
      </c>
      <c r="AB258" s="89" t="s">
        <v>63</v>
      </c>
      <c r="AC258" s="111"/>
      <c r="AD258" s="89" t="s">
        <v>64</v>
      </c>
      <c r="AE258" s="89">
        <v>60</v>
      </c>
      <c r="AF258" s="98" t="s">
        <v>172</v>
      </c>
      <c r="AG258" s="98"/>
      <c r="AH258" s="98" t="s">
        <v>66</v>
      </c>
      <c r="AI258" s="99" t="s">
        <v>197</v>
      </c>
      <c r="AJ258" s="99" t="s">
        <v>197</v>
      </c>
      <c r="AK258" s="99" t="s">
        <v>67</v>
      </c>
      <c r="AL258" s="45" t="s">
        <v>68</v>
      </c>
      <c r="AM258" s="162" t="str">
        <f t="shared" ref="AM258:AM321" si="32">MONTH(B258)&amp;"/"&amp;YEAR(B258)</f>
        <v>3/2026</v>
      </c>
      <c r="AN258" s="45">
        <f t="shared" ref="AN258:AN321" si="33">WEEKNUM(B258)-WEEKNUM(EOMONTH(B258,-1)+1)+1</f>
        <v>4</v>
      </c>
      <c r="AO258" s="45" t="str">
        <f t="shared" ref="AO258:AO321" si="34">MONTH(R258)&amp;"/"&amp;YEAR(R258)</f>
        <v>5/2026</v>
      </c>
      <c r="AP258" s="45">
        <f t="shared" ref="AP258:AP321" si="35">WEEKNUM(R258)-WEEKNUM(EOMONTH(R258,-1)+1)+1</f>
        <v>3</v>
      </c>
      <c r="AQ258" s="45">
        <f t="shared" ref="AQ258:AQ321" si="36">IF(AU258="S",IF(Q258="1. Aceitou o programa",R258-B258,0),0)</f>
        <v>49</v>
      </c>
      <c r="AR258" s="45">
        <f t="shared" ref="AR258:AR321" si="37">IF(AU258="S",IF(AND(S258&lt;&gt;"",R258&lt;&gt;""),S258-R258,0),0)</f>
        <v>0</v>
      </c>
      <c r="AS258" s="45">
        <f t="shared" ref="AS258:AS321" si="38">IF(AU258="S",IF(Q258="1. Aceitou o programa",IF(OR(X258="Não se Aplica",X258=""),IF(OR(W258="Não se Aplica",W258=""),0,W258-V258),AVERAGE(X258-W258,W258-V258)),0),0)</f>
        <v>21</v>
      </c>
      <c r="AT258" s="45">
        <f t="shared" ref="AT258:AT321" si="39">IF(AU258="S",IF(AND(Q258="1. Aceitou o programa",AB258="Realizada"),IFERROR(IF(AA258="",0,AA258-R258),0),0),0)</f>
        <v>3</v>
      </c>
      <c r="AU258" s="45" t="str">
        <f>_xlfn.XLOOKUP(U258,'Lista Suspensa'!$AA$20:$AA$23,'Lista Suspensa'!$AB$20:$AB$23,"N/A")</f>
        <v>S</v>
      </c>
    </row>
    <row r="259" spans="1:47" ht="12" customHeight="1" x14ac:dyDescent="0.3">
      <c r="A259" s="87" t="s">
        <v>47</v>
      </c>
      <c r="B259" s="88">
        <v>46104</v>
      </c>
      <c r="C259" s="89" t="s">
        <v>48</v>
      </c>
      <c r="D259" s="89" t="s">
        <v>49</v>
      </c>
      <c r="E259" s="90">
        <v>452236428</v>
      </c>
      <c r="F259" s="184" t="s">
        <v>906</v>
      </c>
      <c r="G259" s="91">
        <v>47074183849</v>
      </c>
      <c r="H259" s="92">
        <v>15622</v>
      </c>
      <c r="I259" s="89">
        <v>83</v>
      </c>
      <c r="J259" s="89" t="s">
        <v>51</v>
      </c>
      <c r="K259" s="89" t="s">
        <v>52</v>
      </c>
      <c r="L259" s="89" t="s">
        <v>53</v>
      </c>
      <c r="M259" s="89" t="s">
        <v>401</v>
      </c>
      <c r="N259" s="89" t="s">
        <v>91</v>
      </c>
      <c r="O259" s="93" t="s">
        <v>402</v>
      </c>
      <c r="P259" s="94" t="s">
        <v>57</v>
      </c>
      <c r="Q259" s="112" t="s">
        <v>58</v>
      </c>
      <c r="R259" s="95">
        <v>46140</v>
      </c>
      <c r="S259" s="96"/>
      <c r="T259" s="96" t="s">
        <v>59</v>
      </c>
      <c r="U259" s="96" t="s">
        <v>60</v>
      </c>
      <c r="V259" s="92">
        <v>46140</v>
      </c>
      <c r="W259" s="92" t="s">
        <v>61</v>
      </c>
      <c r="X259" s="92" t="s">
        <v>61</v>
      </c>
      <c r="Y259" s="97"/>
      <c r="Z259" s="89" t="s">
        <v>62</v>
      </c>
      <c r="AA259" s="96">
        <v>46154</v>
      </c>
      <c r="AB259" s="89" t="s">
        <v>63</v>
      </c>
      <c r="AC259" s="111"/>
      <c r="AD259" s="89" t="s">
        <v>64</v>
      </c>
      <c r="AE259" s="89">
        <v>63</v>
      </c>
      <c r="AF259" s="98" t="s">
        <v>403</v>
      </c>
      <c r="AG259" s="98"/>
      <c r="AH259" s="98" t="s">
        <v>66</v>
      </c>
      <c r="AI259" s="99" t="s">
        <v>67</v>
      </c>
      <c r="AJ259" s="99" t="s">
        <v>67</v>
      </c>
      <c r="AK259" s="99" t="s">
        <v>67</v>
      </c>
      <c r="AL259" s="45" t="s">
        <v>68</v>
      </c>
      <c r="AM259" s="162" t="str">
        <f t="shared" si="32"/>
        <v>3/2026</v>
      </c>
      <c r="AN259" s="45">
        <f t="shared" si="33"/>
        <v>4</v>
      </c>
      <c r="AO259" s="45" t="str">
        <f t="shared" si="34"/>
        <v>4/2026</v>
      </c>
      <c r="AP259" s="45">
        <f t="shared" si="35"/>
        <v>5</v>
      </c>
      <c r="AQ259" s="45">
        <f t="shared" si="36"/>
        <v>36</v>
      </c>
      <c r="AR259" s="45">
        <f t="shared" si="37"/>
        <v>0</v>
      </c>
      <c r="AS259" s="45">
        <f t="shared" si="38"/>
        <v>0</v>
      </c>
      <c r="AT259" s="45">
        <f t="shared" si="39"/>
        <v>14</v>
      </c>
      <c r="AU259" s="45" t="str">
        <f>_xlfn.XLOOKUP(U259,'Lista Suspensa'!$AA$20:$AA$23,'Lista Suspensa'!$AB$20:$AB$23,"N/A")</f>
        <v>S</v>
      </c>
    </row>
    <row r="260" spans="1:47" ht="12" customHeight="1" x14ac:dyDescent="0.3">
      <c r="A260" s="87" t="s">
        <v>47</v>
      </c>
      <c r="B260" s="88">
        <v>46104</v>
      </c>
      <c r="C260" s="89" t="s">
        <v>48</v>
      </c>
      <c r="D260" s="89" t="s">
        <v>49</v>
      </c>
      <c r="E260" s="90">
        <v>771313403</v>
      </c>
      <c r="F260" s="184" t="s">
        <v>907</v>
      </c>
      <c r="G260" s="91">
        <v>41826256849</v>
      </c>
      <c r="H260" s="92">
        <v>17063</v>
      </c>
      <c r="I260" s="89">
        <v>79</v>
      </c>
      <c r="J260" s="89" t="s">
        <v>51</v>
      </c>
      <c r="K260" s="89" t="s">
        <v>52</v>
      </c>
      <c r="L260" s="89" t="s">
        <v>53</v>
      </c>
      <c r="M260" s="89" t="s">
        <v>908</v>
      </c>
      <c r="N260" s="89" t="s">
        <v>91</v>
      </c>
      <c r="O260" s="93" t="s">
        <v>909</v>
      </c>
      <c r="P260" s="94" t="s">
        <v>57</v>
      </c>
      <c r="Q260" s="112" t="s">
        <v>58</v>
      </c>
      <c r="R260" s="95">
        <v>46140</v>
      </c>
      <c r="S260" s="96"/>
      <c r="T260" s="96" t="s">
        <v>59</v>
      </c>
      <c r="U260" s="96" t="s">
        <v>60</v>
      </c>
      <c r="V260" s="92">
        <v>46140</v>
      </c>
      <c r="W260" s="92" t="s">
        <v>61</v>
      </c>
      <c r="X260" s="92" t="s">
        <v>61</v>
      </c>
      <c r="Y260" s="97"/>
      <c r="Z260" s="89" t="s">
        <v>62</v>
      </c>
      <c r="AA260" s="96" t="s">
        <v>910</v>
      </c>
      <c r="AB260" s="89" t="s">
        <v>63</v>
      </c>
      <c r="AC260" s="111"/>
      <c r="AD260" s="89"/>
      <c r="AE260" s="89"/>
      <c r="AF260" s="98"/>
      <c r="AG260" s="98"/>
      <c r="AH260" s="98"/>
      <c r="AI260" s="99" t="s">
        <v>67</v>
      </c>
      <c r="AJ260" s="99" t="s">
        <v>67</v>
      </c>
      <c r="AK260" s="99" t="s">
        <v>67</v>
      </c>
      <c r="AL260" s="45" t="s">
        <v>68</v>
      </c>
      <c r="AM260" s="162" t="str">
        <f t="shared" si="32"/>
        <v>3/2026</v>
      </c>
      <c r="AN260" s="45">
        <f t="shared" si="33"/>
        <v>4</v>
      </c>
      <c r="AO260" s="45" t="str">
        <f t="shared" si="34"/>
        <v>4/2026</v>
      </c>
      <c r="AP260" s="45">
        <f t="shared" si="35"/>
        <v>5</v>
      </c>
      <c r="AQ260" s="45">
        <f t="shared" si="36"/>
        <v>36</v>
      </c>
      <c r="AR260" s="45">
        <f t="shared" si="37"/>
        <v>0</v>
      </c>
      <c r="AS260" s="45">
        <f t="shared" si="38"/>
        <v>0</v>
      </c>
      <c r="AT260" s="45">
        <f t="shared" si="39"/>
        <v>2.6527777777810115</v>
      </c>
      <c r="AU260" s="45" t="str">
        <f>_xlfn.XLOOKUP(U260,'Lista Suspensa'!$AA$20:$AA$23,'Lista Suspensa'!$AB$20:$AB$23,"N/A")</f>
        <v>S</v>
      </c>
    </row>
    <row r="261" spans="1:47" ht="12" customHeight="1" x14ac:dyDescent="0.3">
      <c r="A261" s="87" t="s">
        <v>47</v>
      </c>
      <c r="B261" s="88">
        <v>46104</v>
      </c>
      <c r="C261" s="89" t="s">
        <v>48</v>
      </c>
      <c r="D261" s="89" t="s">
        <v>49</v>
      </c>
      <c r="E261" s="90">
        <v>73182867</v>
      </c>
      <c r="F261" s="184" t="s">
        <v>911</v>
      </c>
      <c r="G261" s="91">
        <v>29237886802</v>
      </c>
      <c r="H261" s="92">
        <v>29430</v>
      </c>
      <c r="I261" s="89">
        <v>45</v>
      </c>
      <c r="J261" s="89" t="s">
        <v>51</v>
      </c>
      <c r="K261" s="89" t="s">
        <v>52</v>
      </c>
      <c r="L261" s="89" t="s">
        <v>447</v>
      </c>
      <c r="M261" s="89" t="s">
        <v>912</v>
      </c>
      <c r="N261" s="89" t="s">
        <v>91</v>
      </c>
      <c r="O261" s="93" t="s">
        <v>913</v>
      </c>
      <c r="P261" s="94" t="s">
        <v>57</v>
      </c>
      <c r="Q261" s="112" t="s">
        <v>58</v>
      </c>
      <c r="R261" s="95">
        <v>46140</v>
      </c>
      <c r="S261" s="96"/>
      <c r="T261" s="96" t="s">
        <v>59</v>
      </c>
      <c r="U261" s="96" t="s">
        <v>60</v>
      </c>
      <c r="V261" s="92">
        <v>46140</v>
      </c>
      <c r="W261" s="92" t="s">
        <v>61</v>
      </c>
      <c r="X261" s="92" t="s">
        <v>61</v>
      </c>
      <c r="Y261" s="97"/>
      <c r="Z261" s="89" t="s">
        <v>62</v>
      </c>
      <c r="AA261" s="96">
        <v>46142.652777777781</v>
      </c>
      <c r="AB261" s="89" t="s">
        <v>63</v>
      </c>
      <c r="AC261" s="111"/>
      <c r="AD261" s="89"/>
      <c r="AE261" s="89"/>
      <c r="AF261" s="98"/>
      <c r="AG261" s="98"/>
      <c r="AH261" s="98"/>
      <c r="AI261" s="99" t="s">
        <v>67</v>
      </c>
      <c r="AJ261" s="99" t="s">
        <v>67</v>
      </c>
      <c r="AK261" s="99" t="s">
        <v>67</v>
      </c>
      <c r="AL261" s="45" t="s">
        <v>68</v>
      </c>
      <c r="AM261" s="162" t="str">
        <f t="shared" si="32"/>
        <v>3/2026</v>
      </c>
      <c r="AN261" s="45">
        <f t="shared" si="33"/>
        <v>4</v>
      </c>
      <c r="AO261" s="45" t="str">
        <f t="shared" si="34"/>
        <v>4/2026</v>
      </c>
      <c r="AP261" s="45">
        <f t="shared" si="35"/>
        <v>5</v>
      </c>
      <c r="AQ261" s="45">
        <f t="shared" si="36"/>
        <v>36</v>
      </c>
      <c r="AR261" s="45">
        <f t="shared" si="37"/>
        <v>0</v>
      </c>
      <c r="AS261" s="45">
        <f t="shared" si="38"/>
        <v>0</v>
      </c>
      <c r="AT261" s="45">
        <f t="shared" si="39"/>
        <v>2.6527777777810115</v>
      </c>
      <c r="AU261" s="45" t="str">
        <f>_xlfn.XLOOKUP(U261,'Lista Suspensa'!$AA$20:$AA$23,'Lista Suspensa'!$AB$20:$AB$23,"N/A")</f>
        <v>S</v>
      </c>
    </row>
    <row r="262" spans="1:47" ht="12" customHeight="1" x14ac:dyDescent="0.3">
      <c r="A262" s="87" t="s">
        <v>47</v>
      </c>
      <c r="B262" s="88">
        <v>46104</v>
      </c>
      <c r="C262" s="89" t="s">
        <v>48</v>
      </c>
      <c r="D262" s="89" t="s">
        <v>49</v>
      </c>
      <c r="E262" s="90">
        <v>96391911</v>
      </c>
      <c r="F262" s="184" t="s">
        <v>914</v>
      </c>
      <c r="G262" s="91">
        <v>87730502887</v>
      </c>
      <c r="H262" s="92">
        <v>19858</v>
      </c>
      <c r="I262" s="89">
        <v>71</v>
      </c>
      <c r="J262" s="89" t="s">
        <v>51</v>
      </c>
      <c r="K262" s="89" t="s">
        <v>52</v>
      </c>
      <c r="L262" s="89" t="s">
        <v>53</v>
      </c>
      <c r="M262" s="89" t="s">
        <v>167</v>
      </c>
      <c r="N262" s="89" t="s">
        <v>55</v>
      </c>
      <c r="O262" s="93" t="s">
        <v>915</v>
      </c>
      <c r="P262" s="94" t="s">
        <v>57</v>
      </c>
      <c r="Q262" s="112" t="s">
        <v>58</v>
      </c>
      <c r="R262" s="95">
        <v>46147</v>
      </c>
      <c r="S262" s="96"/>
      <c r="T262" s="96" t="s">
        <v>59</v>
      </c>
      <c r="U262" s="96" t="s">
        <v>60</v>
      </c>
      <c r="V262" s="92">
        <v>46140</v>
      </c>
      <c r="W262" s="92">
        <v>46147</v>
      </c>
      <c r="X262" s="92" t="s">
        <v>61</v>
      </c>
      <c r="Y262" s="97"/>
      <c r="Z262" s="89" t="s">
        <v>62</v>
      </c>
      <c r="AA262" s="96" t="s">
        <v>916</v>
      </c>
      <c r="AB262" s="89" t="s">
        <v>80</v>
      </c>
      <c r="AC262" s="111"/>
      <c r="AD262" s="89"/>
      <c r="AE262" s="89"/>
      <c r="AF262" s="98"/>
      <c r="AG262" s="98"/>
      <c r="AH262" s="98"/>
      <c r="AI262" s="99" t="s">
        <v>197</v>
      </c>
      <c r="AJ262" s="99" t="s">
        <v>197</v>
      </c>
      <c r="AK262" s="99" t="s">
        <v>67</v>
      </c>
      <c r="AL262" s="45" t="s">
        <v>68</v>
      </c>
      <c r="AM262" s="162" t="str">
        <f t="shared" si="32"/>
        <v>3/2026</v>
      </c>
      <c r="AN262" s="45">
        <f t="shared" si="33"/>
        <v>4</v>
      </c>
      <c r="AO262" s="45" t="str">
        <f t="shared" si="34"/>
        <v>5/2026</v>
      </c>
      <c r="AP262" s="45">
        <f t="shared" si="35"/>
        <v>2</v>
      </c>
      <c r="AQ262" s="45">
        <f t="shared" si="36"/>
        <v>43</v>
      </c>
      <c r="AR262" s="45">
        <f t="shared" si="37"/>
        <v>0</v>
      </c>
      <c r="AS262" s="45">
        <f t="shared" si="38"/>
        <v>7</v>
      </c>
      <c r="AT262" s="45">
        <f t="shared" si="39"/>
        <v>0</v>
      </c>
      <c r="AU262" s="45" t="str">
        <f>_xlfn.XLOOKUP(U262,'Lista Suspensa'!$AA$20:$AA$23,'Lista Suspensa'!$AB$20:$AB$23,"N/A")</f>
        <v>S</v>
      </c>
    </row>
    <row r="263" spans="1:47" ht="12" customHeight="1" x14ac:dyDescent="0.3">
      <c r="A263" s="87" t="s">
        <v>47</v>
      </c>
      <c r="B263" s="88">
        <v>46104</v>
      </c>
      <c r="C263" s="89" t="s">
        <v>48</v>
      </c>
      <c r="D263" s="89" t="s">
        <v>49</v>
      </c>
      <c r="E263" s="90">
        <v>452120667</v>
      </c>
      <c r="F263" s="184" t="s">
        <v>917</v>
      </c>
      <c r="G263" s="91">
        <v>70217947891</v>
      </c>
      <c r="H263" s="92">
        <v>18295</v>
      </c>
      <c r="I263" s="89">
        <v>76</v>
      </c>
      <c r="J263" s="89" t="s">
        <v>51</v>
      </c>
      <c r="K263" s="89" t="s">
        <v>52</v>
      </c>
      <c r="L263" s="89" t="s">
        <v>53</v>
      </c>
      <c r="M263" s="89" t="s">
        <v>918</v>
      </c>
      <c r="N263" s="89" t="s">
        <v>91</v>
      </c>
      <c r="O263" s="93" t="s">
        <v>919</v>
      </c>
      <c r="P263" s="94" t="s">
        <v>57</v>
      </c>
      <c r="Q263" s="112" t="s">
        <v>58</v>
      </c>
      <c r="R263" s="95">
        <v>46140</v>
      </c>
      <c r="S263" s="96"/>
      <c r="T263" s="96" t="s">
        <v>59</v>
      </c>
      <c r="U263" s="96" t="s">
        <v>60</v>
      </c>
      <c r="V263" s="92">
        <v>46140</v>
      </c>
      <c r="W263" s="92" t="s">
        <v>61</v>
      </c>
      <c r="X263" s="92" t="s">
        <v>61</v>
      </c>
      <c r="Y263" s="97"/>
      <c r="Z263" s="89" t="s">
        <v>62</v>
      </c>
      <c r="AA263" s="96">
        <v>46182</v>
      </c>
      <c r="AB263" s="89" t="s">
        <v>80</v>
      </c>
      <c r="AC263" s="111">
        <v>46189</v>
      </c>
      <c r="AD263" s="89"/>
      <c r="AE263" s="89"/>
      <c r="AF263" s="98"/>
      <c r="AG263" s="98"/>
      <c r="AH263" s="98"/>
      <c r="AI263" s="99" t="s">
        <v>67</v>
      </c>
      <c r="AJ263" s="99" t="s">
        <v>67</v>
      </c>
      <c r="AK263" s="99" t="s">
        <v>67</v>
      </c>
      <c r="AL263" s="45" t="s">
        <v>68</v>
      </c>
      <c r="AM263" s="162" t="str">
        <f t="shared" si="32"/>
        <v>3/2026</v>
      </c>
      <c r="AN263" s="45">
        <f t="shared" si="33"/>
        <v>4</v>
      </c>
      <c r="AO263" s="45" t="str">
        <f t="shared" si="34"/>
        <v>4/2026</v>
      </c>
      <c r="AP263" s="45">
        <f t="shared" si="35"/>
        <v>5</v>
      </c>
      <c r="AQ263" s="45">
        <f t="shared" si="36"/>
        <v>36</v>
      </c>
      <c r="AR263" s="45">
        <f t="shared" si="37"/>
        <v>0</v>
      </c>
      <c r="AS263" s="45">
        <f t="shared" si="38"/>
        <v>0</v>
      </c>
      <c r="AT263" s="45">
        <f t="shared" si="39"/>
        <v>0</v>
      </c>
      <c r="AU263" s="45" t="str">
        <f>_xlfn.XLOOKUP(U263,'Lista Suspensa'!$AA$20:$AA$23,'Lista Suspensa'!$AB$20:$AB$23,"N/A")</f>
        <v>S</v>
      </c>
    </row>
    <row r="264" spans="1:47" ht="12" customHeight="1" x14ac:dyDescent="0.3">
      <c r="A264" s="87" t="s">
        <v>47</v>
      </c>
      <c r="B264" s="88">
        <v>46104</v>
      </c>
      <c r="C264" s="89" t="s">
        <v>48</v>
      </c>
      <c r="D264" s="89" t="s">
        <v>49</v>
      </c>
      <c r="E264" s="90">
        <v>760301816</v>
      </c>
      <c r="F264" s="184" t="s">
        <v>920</v>
      </c>
      <c r="G264" s="91">
        <v>2599398703</v>
      </c>
      <c r="H264" s="92">
        <v>27155</v>
      </c>
      <c r="I264" s="89">
        <v>51</v>
      </c>
      <c r="J264" s="89" t="s">
        <v>51</v>
      </c>
      <c r="K264" s="89" t="s">
        <v>88</v>
      </c>
      <c r="L264" s="89" t="s">
        <v>921</v>
      </c>
      <c r="M264" s="89" t="s">
        <v>922</v>
      </c>
      <c r="N264" s="89" t="s">
        <v>91</v>
      </c>
      <c r="O264" s="93" t="s">
        <v>923</v>
      </c>
      <c r="P264" s="94" t="s">
        <v>57</v>
      </c>
      <c r="Q264" s="112" t="s">
        <v>58</v>
      </c>
      <c r="R264" s="95">
        <v>46140</v>
      </c>
      <c r="S264" s="96"/>
      <c r="T264" s="96" t="s">
        <v>59</v>
      </c>
      <c r="U264" s="96" t="s">
        <v>60</v>
      </c>
      <c r="V264" s="92">
        <v>46140</v>
      </c>
      <c r="W264" s="92" t="s">
        <v>61</v>
      </c>
      <c r="X264" s="92" t="s">
        <v>61</v>
      </c>
      <c r="Y264" s="97" t="s">
        <v>924</v>
      </c>
      <c r="Z264" s="89" t="s">
        <v>62</v>
      </c>
      <c r="AA264" s="96">
        <v>46182</v>
      </c>
      <c r="AB264" s="89" t="s">
        <v>80</v>
      </c>
      <c r="AC264" s="111"/>
      <c r="AD264" s="89"/>
      <c r="AE264" s="89"/>
      <c r="AF264" s="98"/>
      <c r="AG264" s="98"/>
      <c r="AH264" s="98"/>
      <c r="AI264" s="99" t="s">
        <v>67</v>
      </c>
      <c r="AJ264" s="99" t="s">
        <v>67</v>
      </c>
      <c r="AK264" s="99" t="s">
        <v>67</v>
      </c>
      <c r="AL264" s="45" t="s">
        <v>68</v>
      </c>
      <c r="AM264" s="162" t="str">
        <f t="shared" si="32"/>
        <v>3/2026</v>
      </c>
      <c r="AN264" s="45">
        <f t="shared" si="33"/>
        <v>4</v>
      </c>
      <c r="AO264" s="45" t="str">
        <f t="shared" si="34"/>
        <v>4/2026</v>
      </c>
      <c r="AP264" s="45">
        <f t="shared" si="35"/>
        <v>5</v>
      </c>
      <c r="AQ264" s="45">
        <f t="shared" si="36"/>
        <v>36</v>
      </c>
      <c r="AR264" s="45">
        <f t="shared" si="37"/>
        <v>0</v>
      </c>
      <c r="AS264" s="45">
        <f t="shared" si="38"/>
        <v>0</v>
      </c>
      <c r="AT264" s="45">
        <f t="shared" si="39"/>
        <v>0</v>
      </c>
      <c r="AU264" s="45" t="str">
        <f>_xlfn.XLOOKUP(U264,'Lista Suspensa'!$AA$20:$AA$23,'Lista Suspensa'!$AB$20:$AB$23,"N/A")</f>
        <v>S</v>
      </c>
    </row>
    <row r="265" spans="1:47" ht="12" customHeight="1" x14ac:dyDescent="0.3">
      <c r="A265" s="87" t="s">
        <v>47</v>
      </c>
      <c r="B265" s="88">
        <v>46104</v>
      </c>
      <c r="C265" s="89" t="s">
        <v>48</v>
      </c>
      <c r="D265" s="89" t="s">
        <v>49</v>
      </c>
      <c r="E265" s="90">
        <v>94763282</v>
      </c>
      <c r="F265" s="184" t="s">
        <v>925</v>
      </c>
      <c r="G265" s="91">
        <v>8495100827</v>
      </c>
      <c r="H265" s="92">
        <v>23929</v>
      </c>
      <c r="I265" s="89">
        <v>60</v>
      </c>
      <c r="J265" s="89" t="s">
        <v>51</v>
      </c>
      <c r="K265" s="89" t="s">
        <v>52</v>
      </c>
      <c r="L265" s="89" t="s">
        <v>53</v>
      </c>
      <c r="M265" s="89" t="s">
        <v>507</v>
      </c>
      <c r="N265" s="89" t="s">
        <v>55</v>
      </c>
      <c r="O265" s="93" t="s">
        <v>926</v>
      </c>
      <c r="P265" s="94" t="s">
        <v>57</v>
      </c>
      <c r="Q265" s="112" t="s">
        <v>58</v>
      </c>
      <c r="R265" s="95">
        <v>46147</v>
      </c>
      <c r="S265" s="96"/>
      <c r="T265" s="96" t="s">
        <v>59</v>
      </c>
      <c r="U265" s="96" t="s">
        <v>60</v>
      </c>
      <c r="V265" s="92">
        <v>46112</v>
      </c>
      <c r="W265" s="92">
        <v>46147</v>
      </c>
      <c r="X265" s="92" t="s">
        <v>61</v>
      </c>
      <c r="Y265" s="97"/>
      <c r="Z265" s="89" t="s">
        <v>62</v>
      </c>
      <c r="AA265" s="96" t="s">
        <v>927</v>
      </c>
      <c r="AB265" s="89" t="s">
        <v>80</v>
      </c>
      <c r="AC265" s="111"/>
      <c r="AD265" s="89"/>
      <c r="AE265" s="89"/>
      <c r="AF265" s="98"/>
      <c r="AG265" s="98"/>
      <c r="AH265" s="98"/>
      <c r="AI265" s="99" t="s">
        <v>197</v>
      </c>
      <c r="AJ265" s="99" t="s">
        <v>197</v>
      </c>
      <c r="AK265" s="99" t="s">
        <v>67</v>
      </c>
      <c r="AL265" s="45" t="s">
        <v>68</v>
      </c>
      <c r="AM265" s="162" t="str">
        <f t="shared" si="32"/>
        <v>3/2026</v>
      </c>
      <c r="AN265" s="45">
        <f t="shared" si="33"/>
        <v>4</v>
      </c>
      <c r="AO265" s="45" t="str">
        <f t="shared" si="34"/>
        <v>5/2026</v>
      </c>
      <c r="AP265" s="45">
        <f t="shared" si="35"/>
        <v>2</v>
      </c>
      <c r="AQ265" s="45">
        <f t="shared" si="36"/>
        <v>43</v>
      </c>
      <c r="AR265" s="45">
        <f t="shared" si="37"/>
        <v>0</v>
      </c>
      <c r="AS265" s="45">
        <f t="shared" si="38"/>
        <v>35</v>
      </c>
      <c r="AT265" s="45">
        <f t="shared" si="39"/>
        <v>0</v>
      </c>
      <c r="AU265" s="45" t="str">
        <f>_xlfn.XLOOKUP(U265,'Lista Suspensa'!$AA$20:$AA$23,'Lista Suspensa'!$AB$20:$AB$23,"N/A")</f>
        <v>S</v>
      </c>
    </row>
    <row r="266" spans="1:47" ht="12" customHeight="1" x14ac:dyDescent="0.3">
      <c r="A266" s="87" t="s">
        <v>47</v>
      </c>
      <c r="B266" s="88">
        <v>46104</v>
      </c>
      <c r="C266" s="89" t="s">
        <v>48</v>
      </c>
      <c r="D266" s="89" t="s">
        <v>49</v>
      </c>
      <c r="E266" s="90">
        <v>751404721</v>
      </c>
      <c r="F266" s="184" t="s">
        <v>928</v>
      </c>
      <c r="G266" s="91">
        <v>38848422772</v>
      </c>
      <c r="H266" s="92">
        <v>18815</v>
      </c>
      <c r="I266" s="89">
        <v>74</v>
      </c>
      <c r="J266" s="89" t="s">
        <v>51</v>
      </c>
      <c r="K266" s="89" t="s">
        <v>88</v>
      </c>
      <c r="L266" s="89" t="s">
        <v>89</v>
      </c>
      <c r="M266" s="89" t="s">
        <v>929</v>
      </c>
      <c r="N266" s="89" t="s">
        <v>91</v>
      </c>
      <c r="O266" s="93" t="s">
        <v>930</v>
      </c>
      <c r="P266" s="94" t="s">
        <v>57</v>
      </c>
      <c r="Q266" s="112" t="s">
        <v>58</v>
      </c>
      <c r="R266" s="95">
        <v>46140</v>
      </c>
      <c r="S266" s="96"/>
      <c r="T266" s="96" t="s">
        <v>59</v>
      </c>
      <c r="U266" s="96" t="s">
        <v>60</v>
      </c>
      <c r="V266" s="92">
        <v>46140</v>
      </c>
      <c r="W266" s="92" t="s">
        <v>61</v>
      </c>
      <c r="X266" s="92" t="s">
        <v>61</v>
      </c>
      <c r="Y266" s="97"/>
      <c r="Z266" s="89" t="s">
        <v>62</v>
      </c>
      <c r="AA266" s="96" t="s">
        <v>931</v>
      </c>
      <c r="AB266" s="89" t="s">
        <v>80</v>
      </c>
      <c r="AC266" s="111"/>
      <c r="AD266" s="89"/>
      <c r="AE266" s="89"/>
      <c r="AF266" s="98"/>
      <c r="AG266" s="98"/>
      <c r="AH266" s="98"/>
      <c r="AI266" s="99" t="s">
        <v>67</v>
      </c>
      <c r="AJ266" s="99" t="s">
        <v>67</v>
      </c>
      <c r="AK266" s="99" t="s">
        <v>67</v>
      </c>
      <c r="AL266" s="45" t="s">
        <v>68</v>
      </c>
      <c r="AM266" s="162" t="str">
        <f t="shared" si="32"/>
        <v>3/2026</v>
      </c>
      <c r="AN266" s="45">
        <f t="shared" si="33"/>
        <v>4</v>
      </c>
      <c r="AO266" s="45" t="str">
        <f t="shared" si="34"/>
        <v>4/2026</v>
      </c>
      <c r="AP266" s="45">
        <f t="shared" si="35"/>
        <v>5</v>
      </c>
      <c r="AQ266" s="45">
        <f t="shared" si="36"/>
        <v>36</v>
      </c>
      <c r="AR266" s="45">
        <f t="shared" si="37"/>
        <v>0</v>
      </c>
      <c r="AS266" s="45">
        <f t="shared" si="38"/>
        <v>0</v>
      </c>
      <c r="AT266" s="45">
        <f t="shared" si="39"/>
        <v>0</v>
      </c>
      <c r="AU266" s="45" t="str">
        <f>_xlfn.XLOOKUP(U266,'Lista Suspensa'!$AA$20:$AA$23,'Lista Suspensa'!$AB$20:$AB$23,"N/A")</f>
        <v>S</v>
      </c>
    </row>
    <row r="267" spans="1:47" ht="12" customHeight="1" x14ac:dyDescent="0.3">
      <c r="A267" s="87" t="s">
        <v>47</v>
      </c>
      <c r="B267" s="88">
        <v>46104</v>
      </c>
      <c r="C267" s="89" t="s">
        <v>48</v>
      </c>
      <c r="D267" s="89" t="s">
        <v>49</v>
      </c>
      <c r="E267" s="90">
        <v>481691260</v>
      </c>
      <c r="F267" s="184" t="s">
        <v>932</v>
      </c>
      <c r="G267" s="91">
        <v>24042935753</v>
      </c>
      <c r="H267" s="92">
        <v>17044</v>
      </c>
      <c r="I267" s="89">
        <v>79</v>
      </c>
      <c r="J267" s="89" t="s">
        <v>51</v>
      </c>
      <c r="K267" s="89" t="s">
        <v>88</v>
      </c>
      <c r="L267" s="89" t="s">
        <v>89</v>
      </c>
      <c r="M267" s="89" t="s">
        <v>933</v>
      </c>
      <c r="N267" s="89" t="s">
        <v>91</v>
      </c>
      <c r="O267" s="93" t="s">
        <v>934</v>
      </c>
      <c r="P267" s="94" t="s">
        <v>57</v>
      </c>
      <c r="Q267" s="112" t="s">
        <v>58</v>
      </c>
      <c r="R267" s="95">
        <v>46140</v>
      </c>
      <c r="S267" s="96"/>
      <c r="T267" s="96" t="s">
        <v>59</v>
      </c>
      <c r="U267" s="96" t="s">
        <v>60</v>
      </c>
      <c r="V267" s="92">
        <v>46140</v>
      </c>
      <c r="W267" s="92" t="s">
        <v>61</v>
      </c>
      <c r="X267" s="92" t="s">
        <v>61</v>
      </c>
      <c r="Y267" s="97"/>
      <c r="Z267" s="89" t="s">
        <v>62</v>
      </c>
      <c r="AA267" s="96" t="s">
        <v>935</v>
      </c>
      <c r="AB267" s="89" t="s">
        <v>80</v>
      </c>
      <c r="AC267" s="111"/>
      <c r="AD267" s="89"/>
      <c r="AE267" s="89"/>
      <c r="AF267" s="98"/>
      <c r="AG267" s="98"/>
      <c r="AH267" s="98"/>
      <c r="AI267" s="99" t="s">
        <v>67</v>
      </c>
      <c r="AJ267" s="99" t="s">
        <v>67</v>
      </c>
      <c r="AK267" s="99" t="s">
        <v>67</v>
      </c>
      <c r="AL267" s="45" t="s">
        <v>68</v>
      </c>
      <c r="AM267" s="162" t="str">
        <f t="shared" si="32"/>
        <v>3/2026</v>
      </c>
      <c r="AN267" s="45">
        <f t="shared" si="33"/>
        <v>4</v>
      </c>
      <c r="AO267" s="45" t="str">
        <f t="shared" si="34"/>
        <v>4/2026</v>
      </c>
      <c r="AP267" s="45">
        <f t="shared" si="35"/>
        <v>5</v>
      </c>
      <c r="AQ267" s="45">
        <f t="shared" si="36"/>
        <v>36</v>
      </c>
      <c r="AR267" s="45">
        <f t="shared" si="37"/>
        <v>0</v>
      </c>
      <c r="AS267" s="45">
        <f t="shared" si="38"/>
        <v>0</v>
      </c>
      <c r="AT267" s="45">
        <f t="shared" si="39"/>
        <v>0</v>
      </c>
      <c r="AU267" s="45" t="str">
        <f>_xlfn.XLOOKUP(U267,'Lista Suspensa'!$AA$20:$AA$23,'Lista Suspensa'!$AB$20:$AB$23,"N/A")</f>
        <v>S</v>
      </c>
    </row>
    <row r="268" spans="1:47" ht="12" customHeight="1" x14ac:dyDescent="0.3">
      <c r="A268" s="87" t="s">
        <v>47</v>
      </c>
      <c r="B268" s="88">
        <v>46104</v>
      </c>
      <c r="C268" s="89" t="s">
        <v>48</v>
      </c>
      <c r="D268" s="89" t="s">
        <v>49</v>
      </c>
      <c r="E268" s="90">
        <v>89806036</v>
      </c>
      <c r="F268" s="184" t="s">
        <v>936</v>
      </c>
      <c r="G268" s="91">
        <v>33906050700</v>
      </c>
      <c r="H268" s="92">
        <v>22614</v>
      </c>
      <c r="I268" s="89">
        <v>64</v>
      </c>
      <c r="J268" s="89" t="s">
        <v>70</v>
      </c>
      <c r="K268" s="89" t="s">
        <v>88</v>
      </c>
      <c r="L268" s="89" t="s">
        <v>89</v>
      </c>
      <c r="M268" s="89" t="s">
        <v>112</v>
      </c>
      <c r="N268" s="89" t="s">
        <v>233</v>
      </c>
      <c r="O268" s="93" t="s">
        <v>937</v>
      </c>
      <c r="P268" s="94" t="s">
        <v>57</v>
      </c>
      <c r="Q268" s="112" t="s">
        <v>58</v>
      </c>
      <c r="R268" s="95">
        <v>46147</v>
      </c>
      <c r="S268" s="96"/>
      <c r="T268" s="96" t="s">
        <v>59</v>
      </c>
      <c r="U268" s="96" t="s">
        <v>60</v>
      </c>
      <c r="V268" s="92">
        <v>46140</v>
      </c>
      <c r="W268" s="92">
        <v>46147</v>
      </c>
      <c r="X268" s="92" t="s">
        <v>61</v>
      </c>
      <c r="Y268" s="97"/>
      <c r="Z268" s="89" t="s">
        <v>62</v>
      </c>
      <c r="AA268" s="96" t="s">
        <v>938</v>
      </c>
      <c r="AB268" s="89" t="s">
        <v>63</v>
      </c>
      <c r="AC268" s="111"/>
      <c r="AD268" s="89"/>
      <c r="AE268" s="89"/>
      <c r="AF268" s="98"/>
      <c r="AG268" s="98"/>
      <c r="AH268" s="98"/>
      <c r="AI268" s="99" t="s">
        <v>197</v>
      </c>
      <c r="AJ268" s="99" t="s">
        <v>197</v>
      </c>
      <c r="AK268" s="99" t="s">
        <v>67</v>
      </c>
      <c r="AL268" s="45" t="s">
        <v>68</v>
      </c>
      <c r="AM268" s="162" t="str">
        <f t="shared" si="32"/>
        <v>3/2026</v>
      </c>
      <c r="AN268" s="45">
        <f t="shared" si="33"/>
        <v>4</v>
      </c>
      <c r="AO268" s="45" t="str">
        <f t="shared" si="34"/>
        <v>5/2026</v>
      </c>
      <c r="AP268" s="45">
        <f t="shared" si="35"/>
        <v>2</v>
      </c>
      <c r="AQ268" s="45">
        <f t="shared" si="36"/>
        <v>43</v>
      </c>
      <c r="AR268" s="45">
        <f t="shared" si="37"/>
        <v>0</v>
      </c>
      <c r="AS268" s="45">
        <f t="shared" si="38"/>
        <v>7</v>
      </c>
      <c r="AT268" s="45">
        <f t="shared" si="39"/>
        <v>3.5138888888905058</v>
      </c>
      <c r="AU268" s="45" t="str">
        <f>_xlfn.XLOOKUP(U268,'Lista Suspensa'!$AA$20:$AA$23,'Lista Suspensa'!$AB$20:$AB$23,"N/A")</f>
        <v>S</v>
      </c>
    </row>
    <row r="269" spans="1:47" ht="12" hidden="1" customHeight="1" x14ac:dyDescent="0.3">
      <c r="A269" s="87" t="s">
        <v>47</v>
      </c>
      <c r="B269" s="88">
        <v>46104</v>
      </c>
      <c r="C269" s="89" t="s">
        <v>48</v>
      </c>
      <c r="D269" s="89" t="s">
        <v>49</v>
      </c>
      <c r="E269" s="90">
        <v>93085731</v>
      </c>
      <c r="F269" s="184" t="s">
        <v>939</v>
      </c>
      <c r="G269" s="91">
        <v>2979673714</v>
      </c>
      <c r="H269" s="92">
        <v>24719</v>
      </c>
      <c r="I269" s="89">
        <v>58</v>
      </c>
      <c r="J269" s="89" t="s">
        <v>70</v>
      </c>
      <c r="K269" s="89" t="s">
        <v>88</v>
      </c>
      <c r="L269" s="89" t="s">
        <v>89</v>
      </c>
      <c r="M269" s="89" t="s">
        <v>384</v>
      </c>
      <c r="N269" s="89" t="s">
        <v>233</v>
      </c>
      <c r="O269" s="93" t="s">
        <v>940</v>
      </c>
      <c r="P269" s="94" t="s">
        <v>57</v>
      </c>
      <c r="Q269" s="112" t="s">
        <v>941</v>
      </c>
      <c r="R269" s="95">
        <v>46147</v>
      </c>
      <c r="S269" s="96">
        <v>46181</v>
      </c>
      <c r="T269" s="96" t="s">
        <v>59</v>
      </c>
      <c r="U269" s="96" t="s">
        <v>746</v>
      </c>
      <c r="V269" s="92">
        <v>46122</v>
      </c>
      <c r="W269" s="92">
        <v>46147</v>
      </c>
      <c r="X269" s="92" t="s">
        <v>61</v>
      </c>
      <c r="Y269" s="97"/>
      <c r="Z269" s="89" t="s">
        <v>62</v>
      </c>
      <c r="AA269" s="96">
        <v>46181</v>
      </c>
      <c r="AB269" s="89" t="s">
        <v>63</v>
      </c>
      <c r="AC269" s="111"/>
      <c r="AD269" s="89"/>
      <c r="AE269" s="89"/>
      <c r="AF269" s="98"/>
      <c r="AG269" s="98"/>
      <c r="AH269" s="98"/>
      <c r="AI269" s="99" t="s">
        <v>197</v>
      </c>
      <c r="AJ269" s="99" t="s">
        <v>197</v>
      </c>
      <c r="AK269" s="99" t="s">
        <v>67</v>
      </c>
      <c r="AL269" s="45" t="s">
        <v>68</v>
      </c>
      <c r="AM269" s="162" t="str">
        <f t="shared" si="32"/>
        <v>3/2026</v>
      </c>
      <c r="AN269" s="45">
        <f t="shared" si="33"/>
        <v>4</v>
      </c>
      <c r="AO269" s="45" t="str">
        <f t="shared" si="34"/>
        <v>5/2026</v>
      </c>
      <c r="AP269" s="45">
        <f t="shared" si="35"/>
        <v>2</v>
      </c>
      <c r="AQ269" s="45">
        <f t="shared" si="36"/>
        <v>0</v>
      </c>
      <c r="AR269" s="45">
        <f t="shared" si="37"/>
        <v>34</v>
      </c>
      <c r="AS269" s="45">
        <f t="shared" si="38"/>
        <v>0</v>
      </c>
      <c r="AT269" s="45">
        <f t="shared" si="39"/>
        <v>0</v>
      </c>
      <c r="AU269" s="45" t="str">
        <f>_xlfn.XLOOKUP(U269,'Lista Suspensa'!$AA$20:$AA$23,'Lista Suspensa'!$AB$20:$AB$23,"N/A")</f>
        <v>S</v>
      </c>
    </row>
    <row r="270" spans="1:47" ht="12" customHeight="1" x14ac:dyDescent="0.3">
      <c r="A270" s="87" t="s">
        <v>47</v>
      </c>
      <c r="B270" s="88">
        <v>46104</v>
      </c>
      <c r="C270" s="89" t="s">
        <v>48</v>
      </c>
      <c r="D270" s="89" t="s">
        <v>49</v>
      </c>
      <c r="E270" s="90">
        <v>452272505</v>
      </c>
      <c r="F270" s="184" t="s">
        <v>942</v>
      </c>
      <c r="G270" s="91">
        <v>17623658808</v>
      </c>
      <c r="H270" s="92">
        <v>17074</v>
      </c>
      <c r="I270" s="89">
        <v>79</v>
      </c>
      <c r="J270" s="89" t="s">
        <v>70</v>
      </c>
      <c r="K270" s="89" t="s">
        <v>52</v>
      </c>
      <c r="L270" s="89" t="s">
        <v>53</v>
      </c>
      <c r="M270" s="89" t="s">
        <v>943</v>
      </c>
      <c r="N270" s="89" t="s">
        <v>91</v>
      </c>
      <c r="O270" s="93" t="s">
        <v>944</v>
      </c>
      <c r="P270" s="94" t="s">
        <v>57</v>
      </c>
      <c r="Q270" s="112" t="s">
        <v>58</v>
      </c>
      <c r="R270" s="95">
        <v>46140</v>
      </c>
      <c r="S270" s="96"/>
      <c r="T270" s="96" t="s">
        <v>59</v>
      </c>
      <c r="U270" s="96" t="s">
        <v>60</v>
      </c>
      <c r="V270" s="92">
        <v>46140</v>
      </c>
      <c r="W270" s="92" t="s">
        <v>61</v>
      </c>
      <c r="X270" s="92" t="s">
        <v>61</v>
      </c>
      <c r="Y270" s="97"/>
      <c r="Z270" s="89" t="s">
        <v>62</v>
      </c>
      <c r="AA270" s="96" t="s">
        <v>805</v>
      </c>
      <c r="AB270" s="89" t="s">
        <v>80</v>
      </c>
      <c r="AC270" s="111"/>
      <c r="AD270" s="89"/>
      <c r="AE270" s="89"/>
      <c r="AF270" s="98"/>
      <c r="AG270" s="98"/>
      <c r="AH270" s="98"/>
      <c r="AI270" s="99" t="s">
        <v>67</v>
      </c>
      <c r="AJ270" s="99" t="s">
        <v>67</v>
      </c>
      <c r="AK270" s="99" t="s">
        <v>67</v>
      </c>
      <c r="AL270" s="45" t="s">
        <v>68</v>
      </c>
      <c r="AM270" s="162" t="str">
        <f t="shared" si="32"/>
        <v>3/2026</v>
      </c>
      <c r="AN270" s="45">
        <f t="shared" si="33"/>
        <v>4</v>
      </c>
      <c r="AO270" s="45" t="str">
        <f t="shared" si="34"/>
        <v>4/2026</v>
      </c>
      <c r="AP270" s="45">
        <f t="shared" si="35"/>
        <v>5</v>
      </c>
      <c r="AQ270" s="45">
        <f t="shared" si="36"/>
        <v>36</v>
      </c>
      <c r="AR270" s="45">
        <f t="shared" si="37"/>
        <v>0</v>
      </c>
      <c r="AS270" s="45">
        <f t="shared" si="38"/>
        <v>0</v>
      </c>
      <c r="AT270" s="45">
        <f t="shared" si="39"/>
        <v>0</v>
      </c>
      <c r="AU270" s="45" t="str">
        <f>_xlfn.XLOOKUP(U270,'Lista Suspensa'!$AA$20:$AA$23,'Lista Suspensa'!$AB$20:$AB$23,"N/A")</f>
        <v>S</v>
      </c>
    </row>
    <row r="271" spans="1:47" ht="12" customHeight="1" x14ac:dyDescent="0.3">
      <c r="A271" s="87" t="s">
        <v>47</v>
      </c>
      <c r="B271" s="88">
        <v>46104</v>
      </c>
      <c r="C271" s="89" t="s">
        <v>48</v>
      </c>
      <c r="D271" s="89" t="s">
        <v>49</v>
      </c>
      <c r="E271" s="90">
        <v>450539881</v>
      </c>
      <c r="F271" s="184" t="s">
        <v>945</v>
      </c>
      <c r="G271" s="91">
        <v>8587385895</v>
      </c>
      <c r="H271" s="92">
        <v>23461</v>
      </c>
      <c r="I271" s="89">
        <v>61</v>
      </c>
      <c r="J271" s="89" t="s">
        <v>70</v>
      </c>
      <c r="K271" s="89" t="s">
        <v>52</v>
      </c>
      <c r="L271" s="89" t="s">
        <v>53</v>
      </c>
      <c r="M271" s="89" t="s">
        <v>946</v>
      </c>
      <c r="N271" s="89" t="s">
        <v>91</v>
      </c>
      <c r="O271" s="93" t="s">
        <v>947</v>
      </c>
      <c r="P271" s="94" t="s">
        <v>57</v>
      </c>
      <c r="Q271" s="112" t="s">
        <v>58</v>
      </c>
      <c r="R271" s="95">
        <v>46140</v>
      </c>
      <c r="S271" s="96"/>
      <c r="T271" s="96" t="s">
        <v>59</v>
      </c>
      <c r="U271" s="96" t="s">
        <v>60</v>
      </c>
      <c r="V271" s="92">
        <v>46140</v>
      </c>
      <c r="W271" s="92" t="s">
        <v>61</v>
      </c>
      <c r="X271" s="92" t="s">
        <v>61</v>
      </c>
      <c r="Y271" s="97"/>
      <c r="Z271" s="89" t="s">
        <v>62</v>
      </c>
      <c r="AA271" s="96">
        <v>46141.444444444445</v>
      </c>
      <c r="AB271" s="89" t="s">
        <v>80</v>
      </c>
      <c r="AC271" s="111"/>
      <c r="AD271" s="89"/>
      <c r="AE271" s="89"/>
      <c r="AF271" s="98"/>
      <c r="AG271" s="98"/>
      <c r="AH271" s="98"/>
      <c r="AI271" s="99" t="s">
        <v>67</v>
      </c>
      <c r="AJ271" s="99" t="s">
        <v>67</v>
      </c>
      <c r="AK271" s="99" t="s">
        <v>67</v>
      </c>
      <c r="AL271" s="45" t="s">
        <v>68</v>
      </c>
      <c r="AM271" s="162" t="str">
        <f t="shared" si="32"/>
        <v>3/2026</v>
      </c>
      <c r="AN271" s="45">
        <f t="shared" si="33"/>
        <v>4</v>
      </c>
      <c r="AO271" s="45" t="str">
        <f t="shared" si="34"/>
        <v>4/2026</v>
      </c>
      <c r="AP271" s="45">
        <f t="shared" si="35"/>
        <v>5</v>
      </c>
      <c r="AQ271" s="45">
        <f t="shared" si="36"/>
        <v>36</v>
      </c>
      <c r="AR271" s="45">
        <f t="shared" si="37"/>
        <v>0</v>
      </c>
      <c r="AS271" s="45">
        <f t="shared" si="38"/>
        <v>0</v>
      </c>
      <c r="AT271" s="45">
        <f t="shared" si="39"/>
        <v>0</v>
      </c>
      <c r="AU271" s="45" t="str">
        <f>_xlfn.XLOOKUP(U271,'Lista Suspensa'!$AA$20:$AA$23,'Lista Suspensa'!$AB$20:$AB$23,"N/A")</f>
        <v>S</v>
      </c>
    </row>
    <row r="272" spans="1:47" ht="12" customHeight="1" x14ac:dyDescent="0.3">
      <c r="A272" s="87" t="s">
        <v>47</v>
      </c>
      <c r="B272" s="88">
        <v>46104</v>
      </c>
      <c r="C272" s="89" t="s">
        <v>48</v>
      </c>
      <c r="D272" s="89" t="s">
        <v>49</v>
      </c>
      <c r="E272" s="90">
        <v>95783448</v>
      </c>
      <c r="F272" s="184" t="s">
        <v>948</v>
      </c>
      <c r="G272" s="91">
        <v>12203896760</v>
      </c>
      <c r="H272" s="92">
        <v>31944</v>
      </c>
      <c r="I272" s="89">
        <v>38</v>
      </c>
      <c r="J272" s="89" t="s">
        <v>51</v>
      </c>
      <c r="K272" s="89" t="s">
        <v>88</v>
      </c>
      <c r="L272" s="89" t="s">
        <v>97</v>
      </c>
      <c r="M272" s="89" t="s">
        <v>949</v>
      </c>
      <c r="N272" s="89" t="s">
        <v>233</v>
      </c>
      <c r="O272" s="93" t="s">
        <v>950</v>
      </c>
      <c r="P272" s="94" t="s">
        <v>57</v>
      </c>
      <c r="Q272" s="112" t="s">
        <v>58</v>
      </c>
      <c r="R272" s="95">
        <v>46117</v>
      </c>
      <c r="S272" s="96"/>
      <c r="T272" s="96" t="s">
        <v>59</v>
      </c>
      <c r="U272" s="96" t="s">
        <v>60</v>
      </c>
      <c r="V272" s="92">
        <v>46122</v>
      </c>
      <c r="W272" s="92">
        <v>46147</v>
      </c>
      <c r="X272" s="92" t="s">
        <v>61</v>
      </c>
      <c r="Y272" s="97"/>
      <c r="Z272" s="89" t="s">
        <v>62</v>
      </c>
      <c r="AA272" s="96" t="s">
        <v>951</v>
      </c>
      <c r="AB272" s="89" t="s">
        <v>80</v>
      </c>
      <c r="AC272" s="111"/>
      <c r="AD272" s="89"/>
      <c r="AE272" s="89"/>
      <c r="AF272" s="98"/>
      <c r="AG272" s="98"/>
      <c r="AH272" s="98"/>
      <c r="AI272" s="99" t="s">
        <v>197</v>
      </c>
      <c r="AJ272" s="99" t="s">
        <v>197</v>
      </c>
      <c r="AK272" s="99" t="s">
        <v>67</v>
      </c>
      <c r="AL272" s="45" t="s">
        <v>68</v>
      </c>
      <c r="AM272" s="162" t="str">
        <f t="shared" si="32"/>
        <v>3/2026</v>
      </c>
      <c r="AN272" s="45">
        <f t="shared" si="33"/>
        <v>4</v>
      </c>
      <c r="AO272" s="45" t="str">
        <f t="shared" si="34"/>
        <v>4/2026</v>
      </c>
      <c r="AP272" s="45">
        <f t="shared" si="35"/>
        <v>2</v>
      </c>
      <c r="AQ272" s="45">
        <f t="shared" si="36"/>
        <v>13</v>
      </c>
      <c r="AR272" s="45">
        <f t="shared" si="37"/>
        <v>0</v>
      </c>
      <c r="AS272" s="45">
        <f t="shared" si="38"/>
        <v>25</v>
      </c>
      <c r="AT272" s="45">
        <f t="shared" si="39"/>
        <v>0</v>
      </c>
      <c r="AU272" s="45" t="str">
        <f>_xlfn.XLOOKUP(U272,'Lista Suspensa'!$AA$20:$AA$23,'Lista Suspensa'!$AB$20:$AB$23,"N/A")</f>
        <v>S</v>
      </c>
    </row>
    <row r="273" spans="1:47" ht="12" customHeight="1" x14ac:dyDescent="0.3">
      <c r="A273" s="87" t="s">
        <v>47</v>
      </c>
      <c r="B273" s="88">
        <v>46104</v>
      </c>
      <c r="C273" s="89" t="s">
        <v>48</v>
      </c>
      <c r="D273" s="89" t="s">
        <v>49</v>
      </c>
      <c r="E273" s="90">
        <v>781950465</v>
      </c>
      <c r="F273" s="184" t="s">
        <v>952</v>
      </c>
      <c r="G273" s="91">
        <v>45256365304</v>
      </c>
      <c r="H273" s="92">
        <v>24521</v>
      </c>
      <c r="I273" s="89">
        <v>59</v>
      </c>
      <c r="J273" s="89" t="s">
        <v>70</v>
      </c>
      <c r="K273" s="89" t="s">
        <v>52</v>
      </c>
      <c r="L273" s="89" t="s">
        <v>53</v>
      </c>
      <c r="M273" s="89" t="s">
        <v>953</v>
      </c>
      <c r="N273" s="89" t="s">
        <v>91</v>
      </c>
      <c r="O273" s="93" t="s">
        <v>954</v>
      </c>
      <c r="P273" s="94" t="s">
        <v>57</v>
      </c>
      <c r="Q273" s="112" t="s">
        <v>58</v>
      </c>
      <c r="R273" s="95">
        <v>46140</v>
      </c>
      <c r="S273" s="96"/>
      <c r="T273" s="96" t="s">
        <v>59</v>
      </c>
      <c r="U273" s="96" t="s">
        <v>60</v>
      </c>
      <c r="V273" s="92">
        <v>46140</v>
      </c>
      <c r="W273" s="92" t="s">
        <v>61</v>
      </c>
      <c r="X273" s="92" t="s">
        <v>61</v>
      </c>
      <c r="Y273" s="97"/>
      <c r="Z273" s="89" t="s">
        <v>62</v>
      </c>
      <c r="AA273" s="96" t="s">
        <v>955</v>
      </c>
      <c r="AB273" s="89" t="s">
        <v>63</v>
      </c>
      <c r="AC273" s="111"/>
      <c r="AD273" s="89" t="s">
        <v>64</v>
      </c>
      <c r="AE273" s="89">
        <v>63</v>
      </c>
      <c r="AF273" s="98" t="s">
        <v>65</v>
      </c>
      <c r="AG273" s="98"/>
      <c r="AH273" s="98" t="s">
        <v>66</v>
      </c>
      <c r="AI273" s="99" t="s">
        <v>67</v>
      </c>
      <c r="AJ273" s="99" t="s">
        <v>67</v>
      </c>
      <c r="AK273" s="99" t="s">
        <v>67</v>
      </c>
      <c r="AL273" s="45" t="s">
        <v>68</v>
      </c>
      <c r="AM273" s="162" t="str">
        <f t="shared" si="32"/>
        <v>3/2026</v>
      </c>
      <c r="AN273" s="45">
        <f t="shared" si="33"/>
        <v>4</v>
      </c>
      <c r="AO273" s="45" t="str">
        <f t="shared" si="34"/>
        <v>4/2026</v>
      </c>
      <c r="AP273" s="45">
        <f t="shared" si="35"/>
        <v>5</v>
      </c>
      <c r="AQ273" s="45">
        <f t="shared" si="36"/>
        <v>36</v>
      </c>
      <c r="AR273" s="45">
        <f t="shared" si="37"/>
        <v>0</v>
      </c>
      <c r="AS273" s="45">
        <f t="shared" si="38"/>
        <v>0</v>
      </c>
      <c r="AT273" s="45">
        <f t="shared" si="39"/>
        <v>2.6944444444452529</v>
      </c>
      <c r="AU273" s="45" t="str">
        <f>_xlfn.XLOOKUP(U273,'Lista Suspensa'!$AA$20:$AA$23,'Lista Suspensa'!$AB$20:$AB$23,"N/A")</f>
        <v>S</v>
      </c>
    </row>
    <row r="274" spans="1:47" ht="12" customHeight="1" x14ac:dyDescent="0.3">
      <c r="A274" s="87" t="s">
        <v>47</v>
      </c>
      <c r="B274" s="88">
        <v>46104</v>
      </c>
      <c r="C274" s="89" t="s">
        <v>48</v>
      </c>
      <c r="D274" s="89" t="s">
        <v>49</v>
      </c>
      <c r="E274" s="90">
        <v>96436933</v>
      </c>
      <c r="F274" s="184" t="s">
        <v>956</v>
      </c>
      <c r="G274" s="91">
        <v>1482167735</v>
      </c>
      <c r="H274" s="92">
        <v>26158</v>
      </c>
      <c r="I274" s="89">
        <v>54</v>
      </c>
      <c r="J274" s="89" t="s">
        <v>51</v>
      </c>
      <c r="K274" s="89" t="s">
        <v>88</v>
      </c>
      <c r="L274" s="89" t="s">
        <v>89</v>
      </c>
      <c r="M274" s="89" t="s">
        <v>957</v>
      </c>
      <c r="N274" s="89" t="s">
        <v>233</v>
      </c>
      <c r="O274" s="93" t="s">
        <v>958</v>
      </c>
      <c r="P274" s="94" t="s">
        <v>57</v>
      </c>
      <c r="Q274" s="112" t="s">
        <v>58</v>
      </c>
      <c r="R274" s="95">
        <v>46153</v>
      </c>
      <c r="S274" s="96"/>
      <c r="T274" s="96" t="s">
        <v>59</v>
      </c>
      <c r="U274" s="96" t="s">
        <v>60</v>
      </c>
      <c r="V274" s="92">
        <v>46140</v>
      </c>
      <c r="W274" s="92">
        <v>46147</v>
      </c>
      <c r="X274" s="92">
        <v>46154</v>
      </c>
      <c r="Y274" s="97"/>
      <c r="Z274" s="89" t="s">
        <v>62</v>
      </c>
      <c r="AA274" s="96">
        <v>46163</v>
      </c>
      <c r="AB274" s="89" t="s">
        <v>80</v>
      </c>
      <c r="AC274" s="111"/>
      <c r="AD274" s="89"/>
      <c r="AE274" s="89"/>
      <c r="AF274" s="98"/>
      <c r="AG274" s="98"/>
      <c r="AH274" s="98"/>
      <c r="AI274" s="99" t="s">
        <v>67</v>
      </c>
      <c r="AJ274" s="99" t="s">
        <v>67</v>
      </c>
      <c r="AK274" s="99" t="s">
        <v>67</v>
      </c>
      <c r="AL274" s="45" t="s">
        <v>68</v>
      </c>
      <c r="AM274" s="162" t="str">
        <f t="shared" si="32"/>
        <v>3/2026</v>
      </c>
      <c r="AN274" s="45">
        <f t="shared" si="33"/>
        <v>4</v>
      </c>
      <c r="AO274" s="45" t="str">
        <f t="shared" si="34"/>
        <v>5/2026</v>
      </c>
      <c r="AP274" s="45">
        <f t="shared" si="35"/>
        <v>3</v>
      </c>
      <c r="AQ274" s="45">
        <f t="shared" si="36"/>
        <v>49</v>
      </c>
      <c r="AR274" s="45">
        <f t="shared" si="37"/>
        <v>0</v>
      </c>
      <c r="AS274" s="45">
        <f t="shared" si="38"/>
        <v>7</v>
      </c>
      <c r="AT274" s="45">
        <f t="shared" si="39"/>
        <v>0</v>
      </c>
      <c r="AU274" s="45" t="str">
        <f>_xlfn.XLOOKUP(U274,'Lista Suspensa'!$AA$20:$AA$23,'Lista Suspensa'!$AB$20:$AB$23,"N/A")</f>
        <v>S</v>
      </c>
    </row>
    <row r="275" spans="1:47" ht="12" customHeight="1" x14ac:dyDescent="0.3">
      <c r="A275" s="87" t="s">
        <v>47</v>
      </c>
      <c r="B275" s="88">
        <v>46104</v>
      </c>
      <c r="C275" s="89" t="s">
        <v>48</v>
      </c>
      <c r="D275" s="89" t="s">
        <v>49</v>
      </c>
      <c r="E275" s="90">
        <v>94536734</v>
      </c>
      <c r="F275" s="184" t="s">
        <v>959</v>
      </c>
      <c r="G275" s="91">
        <v>1091633703</v>
      </c>
      <c r="H275" s="92">
        <v>26264</v>
      </c>
      <c r="I275" s="89">
        <v>54</v>
      </c>
      <c r="J275" s="89" t="s">
        <v>51</v>
      </c>
      <c r="K275" s="89" t="s">
        <v>88</v>
      </c>
      <c r="L275" s="89" t="s">
        <v>89</v>
      </c>
      <c r="M275" s="89" t="s">
        <v>960</v>
      </c>
      <c r="N275" s="89" t="s">
        <v>233</v>
      </c>
      <c r="O275" s="93" t="s">
        <v>961</v>
      </c>
      <c r="P275" s="94" t="s">
        <v>57</v>
      </c>
      <c r="Q275" s="112" t="s">
        <v>58</v>
      </c>
      <c r="R275" s="95">
        <v>46117</v>
      </c>
      <c r="S275" s="96"/>
      <c r="T275" s="96" t="s">
        <v>59</v>
      </c>
      <c r="U275" s="96" t="s">
        <v>60</v>
      </c>
      <c r="V275" s="92">
        <v>46140</v>
      </c>
      <c r="W275" s="92">
        <v>46147</v>
      </c>
      <c r="X275" s="92" t="s">
        <v>61</v>
      </c>
      <c r="Y275" s="97"/>
      <c r="Z275" s="89" t="s">
        <v>62</v>
      </c>
      <c r="AA275" s="96">
        <v>46157</v>
      </c>
      <c r="AB275" s="89" t="s">
        <v>80</v>
      </c>
      <c r="AC275" s="111"/>
      <c r="AD275" s="89"/>
      <c r="AE275" s="89"/>
      <c r="AF275" s="98"/>
      <c r="AG275" s="98"/>
      <c r="AH275" s="98"/>
      <c r="AI275" s="99" t="s">
        <v>197</v>
      </c>
      <c r="AJ275" s="99" t="s">
        <v>197</v>
      </c>
      <c r="AK275" s="99" t="s">
        <v>67</v>
      </c>
      <c r="AL275" s="45" t="s">
        <v>68</v>
      </c>
      <c r="AM275" s="162" t="str">
        <f t="shared" si="32"/>
        <v>3/2026</v>
      </c>
      <c r="AN275" s="45">
        <f t="shared" si="33"/>
        <v>4</v>
      </c>
      <c r="AO275" s="45" t="str">
        <f t="shared" si="34"/>
        <v>4/2026</v>
      </c>
      <c r="AP275" s="45">
        <f t="shared" si="35"/>
        <v>2</v>
      </c>
      <c r="AQ275" s="45">
        <f t="shared" si="36"/>
        <v>13</v>
      </c>
      <c r="AR275" s="45">
        <f t="shared" si="37"/>
        <v>0</v>
      </c>
      <c r="AS275" s="45">
        <f t="shared" si="38"/>
        <v>7</v>
      </c>
      <c r="AT275" s="45">
        <f t="shared" si="39"/>
        <v>0</v>
      </c>
      <c r="AU275" s="45" t="str">
        <f>_xlfn.XLOOKUP(U275,'Lista Suspensa'!$AA$20:$AA$23,'Lista Suspensa'!$AB$20:$AB$23,"N/A")</f>
        <v>S</v>
      </c>
    </row>
    <row r="276" spans="1:47" ht="12" customHeight="1" x14ac:dyDescent="0.3">
      <c r="A276" s="87" t="s">
        <v>47</v>
      </c>
      <c r="B276" s="88">
        <v>46104</v>
      </c>
      <c r="C276" s="89" t="s">
        <v>48</v>
      </c>
      <c r="D276" s="89" t="s">
        <v>49</v>
      </c>
      <c r="E276" s="90">
        <v>95592803</v>
      </c>
      <c r="F276" s="184" t="s">
        <v>962</v>
      </c>
      <c r="G276" s="91">
        <v>13148693701</v>
      </c>
      <c r="H276" s="92">
        <v>32707</v>
      </c>
      <c r="I276" s="89">
        <v>36</v>
      </c>
      <c r="J276" s="89" t="s">
        <v>70</v>
      </c>
      <c r="K276" s="89" t="s">
        <v>88</v>
      </c>
      <c r="L276" s="89" t="s">
        <v>89</v>
      </c>
      <c r="M276" s="89" t="s">
        <v>398</v>
      </c>
      <c r="N276" s="89" t="s">
        <v>233</v>
      </c>
      <c r="O276" s="93" t="s">
        <v>963</v>
      </c>
      <c r="P276" s="94" t="s">
        <v>57</v>
      </c>
      <c r="Q276" s="112" t="s">
        <v>58</v>
      </c>
      <c r="R276" s="95">
        <v>46147</v>
      </c>
      <c r="S276" s="96"/>
      <c r="T276" s="96" t="s">
        <v>59</v>
      </c>
      <c r="U276" s="96" t="s">
        <v>60</v>
      </c>
      <c r="V276" s="92">
        <v>46140</v>
      </c>
      <c r="W276" s="92">
        <v>46147</v>
      </c>
      <c r="X276" s="92" t="s">
        <v>61</v>
      </c>
      <c r="Y276" s="97"/>
      <c r="Z276" s="89" t="s">
        <v>62</v>
      </c>
      <c r="AA276" s="96" t="s">
        <v>964</v>
      </c>
      <c r="AB276" s="89" t="s">
        <v>80</v>
      </c>
      <c r="AC276" s="111"/>
      <c r="AD276" s="89"/>
      <c r="AE276" s="89"/>
      <c r="AF276" s="98"/>
      <c r="AG276" s="98"/>
      <c r="AH276" s="98"/>
      <c r="AI276" s="99" t="s">
        <v>197</v>
      </c>
      <c r="AJ276" s="99" t="s">
        <v>197</v>
      </c>
      <c r="AK276" s="99" t="s">
        <v>67</v>
      </c>
      <c r="AL276" s="45" t="s">
        <v>68</v>
      </c>
      <c r="AM276" s="162" t="str">
        <f t="shared" si="32"/>
        <v>3/2026</v>
      </c>
      <c r="AN276" s="45">
        <f t="shared" si="33"/>
        <v>4</v>
      </c>
      <c r="AO276" s="45" t="str">
        <f t="shared" si="34"/>
        <v>5/2026</v>
      </c>
      <c r="AP276" s="45">
        <f t="shared" si="35"/>
        <v>2</v>
      </c>
      <c r="AQ276" s="45">
        <f t="shared" si="36"/>
        <v>43</v>
      </c>
      <c r="AR276" s="45">
        <f t="shared" si="37"/>
        <v>0</v>
      </c>
      <c r="AS276" s="45">
        <f t="shared" si="38"/>
        <v>7</v>
      </c>
      <c r="AT276" s="45">
        <f t="shared" si="39"/>
        <v>0</v>
      </c>
      <c r="AU276" s="45" t="str">
        <f>_xlfn.XLOOKUP(U276,'Lista Suspensa'!$AA$20:$AA$23,'Lista Suspensa'!$AB$20:$AB$23,"N/A")</f>
        <v>S</v>
      </c>
    </row>
    <row r="277" spans="1:47" ht="12" customHeight="1" x14ac:dyDescent="0.3">
      <c r="A277" s="87" t="s">
        <v>47</v>
      </c>
      <c r="B277" s="88">
        <v>46104</v>
      </c>
      <c r="C277" s="89" t="s">
        <v>48</v>
      </c>
      <c r="D277" s="89" t="s">
        <v>49</v>
      </c>
      <c r="E277" s="90">
        <v>819975877</v>
      </c>
      <c r="F277" s="184" t="s">
        <v>965</v>
      </c>
      <c r="G277" s="91">
        <v>3238602497</v>
      </c>
      <c r="H277" s="92">
        <v>28587</v>
      </c>
      <c r="I277" s="89">
        <v>47</v>
      </c>
      <c r="J277" s="89" t="s">
        <v>70</v>
      </c>
      <c r="K277" s="89" t="s">
        <v>52</v>
      </c>
      <c r="L277" s="89" t="s">
        <v>53</v>
      </c>
      <c r="M277" s="89" t="s">
        <v>208</v>
      </c>
      <c r="N277" s="89" t="s">
        <v>91</v>
      </c>
      <c r="O277" s="93" t="s">
        <v>966</v>
      </c>
      <c r="P277" s="94" t="s">
        <v>57</v>
      </c>
      <c r="Q277" s="112" t="s">
        <v>58</v>
      </c>
      <c r="R277" s="95">
        <v>46117</v>
      </c>
      <c r="S277" s="96"/>
      <c r="T277" s="96" t="s">
        <v>59</v>
      </c>
      <c r="U277" s="96" t="s">
        <v>60</v>
      </c>
      <c r="V277" s="92">
        <v>46140</v>
      </c>
      <c r="W277" s="92">
        <v>46147</v>
      </c>
      <c r="X277" s="92" t="s">
        <v>61</v>
      </c>
      <c r="Y277" s="97"/>
      <c r="Z277" s="89" t="s">
        <v>62</v>
      </c>
      <c r="AA277" s="96" t="s">
        <v>967</v>
      </c>
      <c r="AB277" s="89" t="s">
        <v>80</v>
      </c>
      <c r="AC277" s="111"/>
      <c r="AD277" s="89"/>
      <c r="AE277" s="89"/>
      <c r="AF277" s="98"/>
      <c r="AG277" s="98"/>
      <c r="AH277" s="98"/>
      <c r="AI277" s="99" t="s">
        <v>197</v>
      </c>
      <c r="AJ277" s="99" t="s">
        <v>197</v>
      </c>
      <c r="AK277" s="99" t="s">
        <v>67</v>
      </c>
      <c r="AL277" s="45" t="s">
        <v>68</v>
      </c>
      <c r="AM277" s="162" t="str">
        <f t="shared" si="32"/>
        <v>3/2026</v>
      </c>
      <c r="AN277" s="45">
        <f t="shared" si="33"/>
        <v>4</v>
      </c>
      <c r="AO277" s="45" t="str">
        <f t="shared" si="34"/>
        <v>4/2026</v>
      </c>
      <c r="AP277" s="45">
        <f t="shared" si="35"/>
        <v>2</v>
      </c>
      <c r="AQ277" s="45">
        <f t="shared" si="36"/>
        <v>13</v>
      </c>
      <c r="AR277" s="45">
        <f t="shared" si="37"/>
        <v>0</v>
      </c>
      <c r="AS277" s="45">
        <f t="shared" si="38"/>
        <v>7</v>
      </c>
      <c r="AT277" s="45">
        <f t="shared" si="39"/>
        <v>0</v>
      </c>
      <c r="AU277" s="45" t="str">
        <f>_xlfn.XLOOKUP(U277,'Lista Suspensa'!$AA$20:$AA$23,'Lista Suspensa'!$AB$20:$AB$23,"N/A")</f>
        <v>S</v>
      </c>
    </row>
    <row r="278" spans="1:47" ht="12" customHeight="1" x14ac:dyDescent="0.3">
      <c r="A278" s="87" t="s">
        <v>47</v>
      </c>
      <c r="B278" s="88">
        <v>46104</v>
      </c>
      <c r="C278" s="89" t="s">
        <v>48</v>
      </c>
      <c r="D278" s="89" t="s">
        <v>49</v>
      </c>
      <c r="E278" s="90">
        <v>450969410</v>
      </c>
      <c r="F278" s="184" t="s">
        <v>968</v>
      </c>
      <c r="G278" s="91">
        <v>16565880808</v>
      </c>
      <c r="H278" s="92">
        <v>26855</v>
      </c>
      <c r="I278" s="89">
        <v>52</v>
      </c>
      <c r="J278" s="89" t="s">
        <v>70</v>
      </c>
      <c r="K278" s="89" t="s">
        <v>52</v>
      </c>
      <c r="L278" s="89" t="s">
        <v>53</v>
      </c>
      <c r="M278" s="89" t="s">
        <v>969</v>
      </c>
      <c r="N278" s="89" t="s">
        <v>91</v>
      </c>
      <c r="O278" s="93" t="s">
        <v>970</v>
      </c>
      <c r="P278" s="94" t="s">
        <v>57</v>
      </c>
      <c r="Q278" s="112" t="s">
        <v>58</v>
      </c>
      <c r="R278" s="95">
        <v>46140</v>
      </c>
      <c r="S278" s="96"/>
      <c r="T278" s="96" t="s">
        <v>59</v>
      </c>
      <c r="U278" s="96" t="s">
        <v>60</v>
      </c>
      <c r="V278" s="92">
        <v>46140</v>
      </c>
      <c r="W278" s="92" t="s">
        <v>61</v>
      </c>
      <c r="X278" s="92" t="s">
        <v>61</v>
      </c>
      <c r="Y278" s="97"/>
      <c r="Z278" s="89" t="s">
        <v>62</v>
      </c>
      <c r="AA278" s="96" t="s">
        <v>935</v>
      </c>
      <c r="AB278" s="89" t="s">
        <v>118</v>
      </c>
      <c r="AC278" s="111"/>
      <c r="AD278" s="89"/>
      <c r="AE278" s="89"/>
      <c r="AF278" s="98"/>
      <c r="AG278" s="98"/>
      <c r="AH278" s="98"/>
      <c r="AI278" s="99" t="s">
        <v>67</v>
      </c>
      <c r="AJ278" s="99" t="s">
        <v>67</v>
      </c>
      <c r="AK278" s="99" t="s">
        <v>67</v>
      </c>
      <c r="AL278" s="45" t="s">
        <v>68</v>
      </c>
      <c r="AM278" s="162" t="str">
        <f t="shared" si="32"/>
        <v>3/2026</v>
      </c>
      <c r="AN278" s="45">
        <f t="shared" si="33"/>
        <v>4</v>
      </c>
      <c r="AO278" s="45" t="str">
        <f t="shared" si="34"/>
        <v>4/2026</v>
      </c>
      <c r="AP278" s="45">
        <f t="shared" si="35"/>
        <v>5</v>
      </c>
      <c r="AQ278" s="45">
        <f t="shared" si="36"/>
        <v>36</v>
      </c>
      <c r="AR278" s="45">
        <f t="shared" si="37"/>
        <v>0</v>
      </c>
      <c r="AS278" s="45">
        <f t="shared" si="38"/>
        <v>0</v>
      </c>
      <c r="AT278" s="45">
        <f t="shared" si="39"/>
        <v>0</v>
      </c>
      <c r="AU278" s="45" t="str">
        <f>_xlfn.XLOOKUP(U278,'Lista Suspensa'!$AA$20:$AA$23,'Lista Suspensa'!$AB$20:$AB$23,"N/A")</f>
        <v>S</v>
      </c>
    </row>
    <row r="279" spans="1:47" ht="12" customHeight="1" x14ac:dyDescent="0.3">
      <c r="A279" s="87" t="s">
        <v>47</v>
      </c>
      <c r="B279" s="88">
        <v>46104</v>
      </c>
      <c r="C279" s="89" t="s">
        <v>48</v>
      </c>
      <c r="D279" s="89" t="s">
        <v>49</v>
      </c>
      <c r="E279" s="90">
        <v>301443530</v>
      </c>
      <c r="F279" s="184" t="s">
        <v>971</v>
      </c>
      <c r="G279" s="91">
        <v>780998898</v>
      </c>
      <c r="H279" s="92">
        <v>20173</v>
      </c>
      <c r="I279" s="89">
        <v>70</v>
      </c>
      <c r="J279" s="89" t="s">
        <v>51</v>
      </c>
      <c r="K279" s="89" t="s">
        <v>52</v>
      </c>
      <c r="L279" s="89" t="s">
        <v>53</v>
      </c>
      <c r="M279" s="89" t="s">
        <v>972</v>
      </c>
      <c r="N279" s="89" t="s">
        <v>91</v>
      </c>
      <c r="O279" s="93" t="s">
        <v>973</v>
      </c>
      <c r="P279" s="94" t="s">
        <v>57</v>
      </c>
      <c r="Q279" s="112" t="s">
        <v>58</v>
      </c>
      <c r="R279" s="95">
        <v>46147</v>
      </c>
      <c r="S279" s="96"/>
      <c r="T279" s="96" t="s">
        <v>59</v>
      </c>
      <c r="U279" s="96" t="s">
        <v>60</v>
      </c>
      <c r="V279" s="92">
        <v>46140</v>
      </c>
      <c r="W279" s="92">
        <v>46147</v>
      </c>
      <c r="X279" s="92" t="s">
        <v>61</v>
      </c>
      <c r="Y279" s="97"/>
      <c r="Z279" s="89" t="s">
        <v>62</v>
      </c>
      <c r="AA279" s="96">
        <v>46154.597222222219</v>
      </c>
      <c r="AB279" s="89" t="s">
        <v>63</v>
      </c>
      <c r="AC279" s="111"/>
      <c r="AD279" s="89" t="s">
        <v>64</v>
      </c>
      <c r="AE279" s="89">
        <v>63</v>
      </c>
      <c r="AF279" s="98" t="s">
        <v>65</v>
      </c>
      <c r="AG279" s="98"/>
      <c r="AH279" s="98" t="s">
        <v>66</v>
      </c>
      <c r="AI279" s="99" t="s">
        <v>197</v>
      </c>
      <c r="AJ279" s="99" t="s">
        <v>197</v>
      </c>
      <c r="AK279" s="99" t="s">
        <v>67</v>
      </c>
      <c r="AL279" s="45" t="s">
        <v>68</v>
      </c>
      <c r="AM279" s="162" t="str">
        <f t="shared" si="32"/>
        <v>3/2026</v>
      </c>
      <c r="AN279" s="45">
        <f t="shared" si="33"/>
        <v>4</v>
      </c>
      <c r="AO279" s="45" t="str">
        <f t="shared" si="34"/>
        <v>5/2026</v>
      </c>
      <c r="AP279" s="45">
        <f t="shared" si="35"/>
        <v>2</v>
      </c>
      <c r="AQ279" s="45">
        <f t="shared" si="36"/>
        <v>43</v>
      </c>
      <c r="AR279" s="45">
        <f t="shared" si="37"/>
        <v>0</v>
      </c>
      <c r="AS279" s="45">
        <f t="shared" si="38"/>
        <v>7</v>
      </c>
      <c r="AT279" s="45">
        <f t="shared" si="39"/>
        <v>7.5972222222189885</v>
      </c>
      <c r="AU279" s="45" t="str">
        <f>_xlfn.XLOOKUP(U279,'Lista Suspensa'!$AA$20:$AA$23,'Lista Suspensa'!$AB$20:$AB$23,"N/A")</f>
        <v>S</v>
      </c>
    </row>
    <row r="280" spans="1:47" ht="12" customHeight="1" x14ac:dyDescent="0.3">
      <c r="A280" s="87" t="s">
        <v>47</v>
      </c>
      <c r="B280" s="88">
        <v>46104</v>
      </c>
      <c r="C280" s="89" t="s">
        <v>48</v>
      </c>
      <c r="D280" s="89" t="s">
        <v>49</v>
      </c>
      <c r="E280" s="90">
        <v>773157980</v>
      </c>
      <c r="F280" s="184" t="s">
        <v>974</v>
      </c>
      <c r="G280" s="91">
        <v>412981874</v>
      </c>
      <c r="H280" s="92">
        <v>15135</v>
      </c>
      <c r="I280" s="89">
        <v>84</v>
      </c>
      <c r="J280" s="89" t="s">
        <v>70</v>
      </c>
      <c r="K280" s="89" t="s">
        <v>52</v>
      </c>
      <c r="L280" s="89" t="s">
        <v>53</v>
      </c>
      <c r="M280" s="89" t="s">
        <v>71</v>
      </c>
      <c r="N280" s="89" t="s">
        <v>91</v>
      </c>
      <c r="O280" s="93" t="s">
        <v>975</v>
      </c>
      <c r="P280" s="94" t="s">
        <v>57</v>
      </c>
      <c r="Q280" s="112" t="s">
        <v>58</v>
      </c>
      <c r="R280" s="95">
        <v>46171</v>
      </c>
      <c r="S280" s="96"/>
      <c r="T280" s="96" t="s">
        <v>59</v>
      </c>
      <c r="U280" s="96" t="s">
        <v>60</v>
      </c>
      <c r="V280" s="92">
        <v>46140</v>
      </c>
      <c r="W280" s="92">
        <v>46147</v>
      </c>
      <c r="X280" s="92">
        <v>46154</v>
      </c>
      <c r="Y280" s="97"/>
      <c r="Z280" s="89" t="s">
        <v>62</v>
      </c>
      <c r="AA280" s="96">
        <v>46171</v>
      </c>
      <c r="AB280" s="89" t="s">
        <v>80</v>
      </c>
      <c r="AC280" s="111"/>
      <c r="AD280" s="89"/>
      <c r="AE280" s="89"/>
      <c r="AF280" s="98"/>
      <c r="AG280" s="98"/>
      <c r="AH280" s="98"/>
      <c r="AI280" s="99"/>
      <c r="AJ280" s="99" t="s">
        <v>197</v>
      </c>
      <c r="AK280" s="99" t="s">
        <v>67</v>
      </c>
      <c r="AL280" s="45" t="s">
        <v>68</v>
      </c>
      <c r="AM280" s="162" t="str">
        <f t="shared" si="32"/>
        <v>3/2026</v>
      </c>
      <c r="AN280" s="45">
        <f t="shared" si="33"/>
        <v>4</v>
      </c>
      <c r="AO280" s="45" t="str">
        <f t="shared" si="34"/>
        <v>5/2026</v>
      </c>
      <c r="AP280" s="45">
        <f t="shared" si="35"/>
        <v>5</v>
      </c>
      <c r="AQ280" s="45">
        <f t="shared" si="36"/>
        <v>67</v>
      </c>
      <c r="AR280" s="45">
        <f t="shared" si="37"/>
        <v>0</v>
      </c>
      <c r="AS280" s="45">
        <f t="shared" si="38"/>
        <v>7</v>
      </c>
      <c r="AT280" s="45">
        <f t="shared" si="39"/>
        <v>0</v>
      </c>
      <c r="AU280" s="45" t="str">
        <f>_xlfn.XLOOKUP(U280,'Lista Suspensa'!$AA$20:$AA$23,'Lista Suspensa'!$AB$20:$AB$23,"N/A")</f>
        <v>S</v>
      </c>
    </row>
    <row r="281" spans="1:47" ht="12" customHeight="1" x14ac:dyDescent="0.3">
      <c r="A281" s="87" t="s">
        <v>47</v>
      </c>
      <c r="B281" s="88">
        <v>46104</v>
      </c>
      <c r="C281" s="89" t="s">
        <v>48</v>
      </c>
      <c r="D281" s="89" t="s">
        <v>49</v>
      </c>
      <c r="E281" s="90">
        <v>451866924</v>
      </c>
      <c r="F281" s="184" t="s">
        <v>976</v>
      </c>
      <c r="G281" s="91">
        <v>1846465885</v>
      </c>
      <c r="H281" s="92">
        <v>21518</v>
      </c>
      <c r="I281" s="89">
        <v>67</v>
      </c>
      <c r="J281" s="89" t="s">
        <v>51</v>
      </c>
      <c r="K281" s="89" t="s">
        <v>52</v>
      </c>
      <c r="L281" s="89" t="s">
        <v>53</v>
      </c>
      <c r="M281" s="89" t="s">
        <v>977</v>
      </c>
      <c r="N281" s="89" t="s">
        <v>91</v>
      </c>
      <c r="O281" s="93" t="s">
        <v>978</v>
      </c>
      <c r="P281" s="94" t="s">
        <v>57</v>
      </c>
      <c r="Q281" s="112" t="s">
        <v>58</v>
      </c>
      <c r="R281" s="95">
        <v>46147</v>
      </c>
      <c r="S281" s="96"/>
      <c r="T281" s="96" t="s">
        <v>59</v>
      </c>
      <c r="U281" s="96" t="s">
        <v>60</v>
      </c>
      <c r="V281" s="92">
        <v>46140</v>
      </c>
      <c r="W281" s="92">
        <v>46147</v>
      </c>
      <c r="X281" s="92" t="s">
        <v>61</v>
      </c>
      <c r="Y281" s="97"/>
      <c r="Z281" s="89" t="s">
        <v>62</v>
      </c>
      <c r="AA281" s="96" t="s">
        <v>979</v>
      </c>
      <c r="AB281" s="89" t="s">
        <v>63</v>
      </c>
      <c r="AC281" s="111"/>
      <c r="AD281" s="89" t="s">
        <v>265</v>
      </c>
      <c r="AE281" s="89">
        <v>41</v>
      </c>
      <c r="AF281" s="98" t="s">
        <v>178</v>
      </c>
      <c r="AG281" s="98"/>
      <c r="AH281" s="98" t="s">
        <v>66</v>
      </c>
      <c r="AI281" s="99" t="s">
        <v>197</v>
      </c>
      <c r="AJ281" s="99" t="s">
        <v>197</v>
      </c>
      <c r="AK281" s="99" t="s">
        <v>67</v>
      </c>
      <c r="AL281" s="45" t="s">
        <v>68</v>
      </c>
      <c r="AM281" s="162" t="str">
        <f t="shared" si="32"/>
        <v>3/2026</v>
      </c>
      <c r="AN281" s="45">
        <f t="shared" si="33"/>
        <v>4</v>
      </c>
      <c r="AO281" s="45" t="str">
        <f t="shared" si="34"/>
        <v>5/2026</v>
      </c>
      <c r="AP281" s="45">
        <f t="shared" si="35"/>
        <v>2</v>
      </c>
      <c r="AQ281" s="45">
        <f t="shared" si="36"/>
        <v>43</v>
      </c>
      <c r="AR281" s="45">
        <f t="shared" si="37"/>
        <v>0</v>
      </c>
      <c r="AS281" s="45">
        <f t="shared" si="38"/>
        <v>7</v>
      </c>
      <c r="AT281" s="45">
        <f t="shared" si="39"/>
        <v>1.6805555555547471</v>
      </c>
      <c r="AU281" s="45" t="str">
        <f>_xlfn.XLOOKUP(U281,'Lista Suspensa'!$AA$20:$AA$23,'Lista Suspensa'!$AB$20:$AB$23,"N/A")</f>
        <v>S</v>
      </c>
    </row>
    <row r="282" spans="1:47" ht="12" customHeight="1" x14ac:dyDescent="0.3">
      <c r="A282" s="87" t="s">
        <v>47</v>
      </c>
      <c r="B282" s="88">
        <v>46104</v>
      </c>
      <c r="C282" s="89" t="s">
        <v>48</v>
      </c>
      <c r="D282" s="89" t="s">
        <v>49</v>
      </c>
      <c r="E282" s="90">
        <v>796564981</v>
      </c>
      <c r="F282" s="184" t="s">
        <v>980</v>
      </c>
      <c r="G282" s="91">
        <v>32231602806</v>
      </c>
      <c r="H282" s="92">
        <v>19279</v>
      </c>
      <c r="I282" s="89">
        <v>73</v>
      </c>
      <c r="J282" s="89" t="s">
        <v>70</v>
      </c>
      <c r="K282" s="89" t="s">
        <v>52</v>
      </c>
      <c r="L282" s="89" t="s">
        <v>53</v>
      </c>
      <c r="M282" s="89" t="s">
        <v>981</v>
      </c>
      <c r="N282" s="89" t="s">
        <v>91</v>
      </c>
      <c r="O282" s="93" t="s">
        <v>982</v>
      </c>
      <c r="P282" s="94" t="s">
        <v>57</v>
      </c>
      <c r="Q282" s="112" t="s">
        <v>58</v>
      </c>
      <c r="R282" s="95">
        <v>46164</v>
      </c>
      <c r="S282" s="96"/>
      <c r="T282" s="96" t="s">
        <v>59</v>
      </c>
      <c r="U282" s="96" t="s">
        <v>60</v>
      </c>
      <c r="V282" s="92">
        <v>46140</v>
      </c>
      <c r="W282" s="92">
        <v>46147</v>
      </c>
      <c r="X282" s="92">
        <v>46154</v>
      </c>
      <c r="Y282" s="97"/>
      <c r="Z282" s="89" t="s">
        <v>62</v>
      </c>
      <c r="AA282" s="96">
        <v>46176</v>
      </c>
      <c r="AB282" s="89" t="s">
        <v>63</v>
      </c>
      <c r="AC282" s="111"/>
      <c r="AD282" s="89"/>
      <c r="AE282" s="89"/>
      <c r="AF282" s="98"/>
      <c r="AG282" s="98"/>
      <c r="AH282" s="98"/>
      <c r="AI282" s="99"/>
      <c r="AJ282" s="99" t="s">
        <v>197</v>
      </c>
      <c r="AK282" s="99" t="s">
        <v>67</v>
      </c>
      <c r="AL282" s="45" t="s">
        <v>68</v>
      </c>
      <c r="AM282" s="162" t="str">
        <f t="shared" si="32"/>
        <v>3/2026</v>
      </c>
      <c r="AN282" s="45">
        <f t="shared" si="33"/>
        <v>4</v>
      </c>
      <c r="AO282" s="45" t="str">
        <f t="shared" si="34"/>
        <v>5/2026</v>
      </c>
      <c r="AP282" s="45">
        <f t="shared" si="35"/>
        <v>4</v>
      </c>
      <c r="AQ282" s="45">
        <f t="shared" si="36"/>
        <v>60</v>
      </c>
      <c r="AR282" s="45">
        <f t="shared" si="37"/>
        <v>0</v>
      </c>
      <c r="AS282" s="45">
        <f t="shared" si="38"/>
        <v>7</v>
      </c>
      <c r="AT282" s="45">
        <f t="shared" si="39"/>
        <v>12</v>
      </c>
      <c r="AU282" s="45" t="str">
        <f>_xlfn.XLOOKUP(U282,'Lista Suspensa'!$AA$20:$AA$23,'Lista Suspensa'!$AB$20:$AB$23,"N/A")</f>
        <v>S</v>
      </c>
    </row>
    <row r="283" spans="1:47" ht="12" customHeight="1" x14ac:dyDescent="0.3">
      <c r="A283" s="87" t="s">
        <v>47</v>
      </c>
      <c r="B283" s="88">
        <v>46104</v>
      </c>
      <c r="C283" s="89" t="s">
        <v>48</v>
      </c>
      <c r="D283" s="89" t="s">
        <v>49</v>
      </c>
      <c r="E283" s="90">
        <v>775324116</v>
      </c>
      <c r="F283" s="184" t="s">
        <v>983</v>
      </c>
      <c r="G283" s="91">
        <v>3037348844</v>
      </c>
      <c r="H283" s="92">
        <v>18526</v>
      </c>
      <c r="I283" s="89">
        <v>75</v>
      </c>
      <c r="J283" s="89" t="s">
        <v>51</v>
      </c>
      <c r="K283" s="89" t="s">
        <v>52</v>
      </c>
      <c r="L283" s="89" t="s">
        <v>53</v>
      </c>
      <c r="M283" s="89" t="s">
        <v>984</v>
      </c>
      <c r="N283" s="89" t="s">
        <v>91</v>
      </c>
      <c r="O283" s="93" t="s">
        <v>985</v>
      </c>
      <c r="P283" s="94" t="s">
        <v>57</v>
      </c>
      <c r="Q283" s="112" t="s">
        <v>58</v>
      </c>
      <c r="R283" s="95">
        <v>46140</v>
      </c>
      <c r="S283" s="96"/>
      <c r="T283" s="96" t="s">
        <v>59</v>
      </c>
      <c r="U283" s="96" t="s">
        <v>60</v>
      </c>
      <c r="V283" s="92">
        <v>46140</v>
      </c>
      <c r="W283" s="92" t="s">
        <v>61</v>
      </c>
      <c r="X283" s="92" t="s">
        <v>61</v>
      </c>
      <c r="Y283" s="97"/>
      <c r="Z283" s="89" t="s">
        <v>62</v>
      </c>
      <c r="AA283" s="96">
        <v>46142.527777777781</v>
      </c>
      <c r="AB283" s="89" t="s">
        <v>80</v>
      </c>
      <c r="AC283" s="111"/>
      <c r="AD283" s="89"/>
      <c r="AE283" s="89"/>
      <c r="AF283" s="98"/>
      <c r="AG283" s="98"/>
      <c r="AH283" s="98"/>
      <c r="AI283" s="99" t="s">
        <v>67</v>
      </c>
      <c r="AJ283" s="99" t="s">
        <v>67</v>
      </c>
      <c r="AK283" s="99" t="s">
        <v>67</v>
      </c>
      <c r="AL283" s="45" t="s">
        <v>68</v>
      </c>
      <c r="AM283" s="162" t="str">
        <f t="shared" si="32"/>
        <v>3/2026</v>
      </c>
      <c r="AN283" s="45">
        <f t="shared" si="33"/>
        <v>4</v>
      </c>
      <c r="AO283" s="45" t="str">
        <f t="shared" si="34"/>
        <v>4/2026</v>
      </c>
      <c r="AP283" s="45">
        <f t="shared" si="35"/>
        <v>5</v>
      </c>
      <c r="AQ283" s="45">
        <f t="shared" si="36"/>
        <v>36</v>
      </c>
      <c r="AR283" s="45">
        <f t="shared" si="37"/>
        <v>0</v>
      </c>
      <c r="AS283" s="45">
        <f t="shared" si="38"/>
        <v>0</v>
      </c>
      <c r="AT283" s="45">
        <f t="shared" si="39"/>
        <v>0</v>
      </c>
      <c r="AU283" s="45" t="str">
        <f>_xlfn.XLOOKUP(U283,'Lista Suspensa'!$AA$20:$AA$23,'Lista Suspensa'!$AB$20:$AB$23,"N/A")</f>
        <v>S</v>
      </c>
    </row>
    <row r="284" spans="1:47" ht="12" customHeight="1" x14ac:dyDescent="0.3">
      <c r="A284" s="87" t="s">
        <v>47</v>
      </c>
      <c r="B284" s="88">
        <v>46104</v>
      </c>
      <c r="C284" s="89" t="s">
        <v>48</v>
      </c>
      <c r="D284" s="89" t="s">
        <v>49</v>
      </c>
      <c r="E284" s="90">
        <v>771576749</v>
      </c>
      <c r="F284" s="184" t="s">
        <v>986</v>
      </c>
      <c r="G284" s="91">
        <v>76413004800</v>
      </c>
      <c r="H284" s="92">
        <v>20005</v>
      </c>
      <c r="I284" s="89">
        <v>71</v>
      </c>
      <c r="J284" s="89" t="s">
        <v>51</v>
      </c>
      <c r="K284" s="89" t="s">
        <v>52</v>
      </c>
      <c r="L284" s="89" t="s">
        <v>53</v>
      </c>
      <c r="M284" s="89" t="s">
        <v>987</v>
      </c>
      <c r="N284" s="89" t="s">
        <v>91</v>
      </c>
      <c r="O284" s="93" t="s">
        <v>988</v>
      </c>
      <c r="P284" s="94" t="s">
        <v>57</v>
      </c>
      <c r="Q284" s="112" t="s">
        <v>58</v>
      </c>
      <c r="R284" s="95">
        <v>46117</v>
      </c>
      <c r="S284" s="96"/>
      <c r="T284" s="96" t="s">
        <v>59</v>
      </c>
      <c r="U284" s="96" t="s">
        <v>60</v>
      </c>
      <c r="V284" s="92">
        <v>46140</v>
      </c>
      <c r="W284" s="92">
        <v>46147</v>
      </c>
      <c r="X284" s="92">
        <v>46150</v>
      </c>
      <c r="Y284" s="97"/>
      <c r="Z284" s="89" t="s">
        <v>62</v>
      </c>
      <c r="AA284" s="96" t="s">
        <v>938</v>
      </c>
      <c r="AB284" s="89" t="s">
        <v>63</v>
      </c>
      <c r="AC284" s="111"/>
      <c r="AD284" s="89" t="s">
        <v>64</v>
      </c>
      <c r="AE284" s="89">
        <v>63</v>
      </c>
      <c r="AF284" s="98"/>
      <c r="AG284" s="98"/>
      <c r="AH284" s="98"/>
      <c r="AI284" s="99" t="s">
        <v>197</v>
      </c>
      <c r="AJ284" s="99" t="s">
        <v>197</v>
      </c>
      <c r="AK284" s="99" t="s">
        <v>67</v>
      </c>
      <c r="AL284" s="45" t="s">
        <v>68</v>
      </c>
      <c r="AM284" s="162" t="str">
        <f t="shared" si="32"/>
        <v>3/2026</v>
      </c>
      <c r="AN284" s="45">
        <f t="shared" si="33"/>
        <v>4</v>
      </c>
      <c r="AO284" s="45" t="str">
        <f t="shared" si="34"/>
        <v>4/2026</v>
      </c>
      <c r="AP284" s="45">
        <f t="shared" si="35"/>
        <v>2</v>
      </c>
      <c r="AQ284" s="45">
        <f t="shared" si="36"/>
        <v>13</v>
      </c>
      <c r="AR284" s="45">
        <f t="shared" si="37"/>
        <v>0</v>
      </c>
      <c r="AS284" s="45">
        <f t="shared" si="38"/>
        <v>5</v>
      </c>
      <c r="AT284" s="45">
        <f t="shared" si="39"/>
        <v>33.513888888890506</v>
      </c>
      <c r="AU284" s="45" t="str">
        <f>_xlfn.XLOOKUP(U284,'Lista Suspensa'!$AA$20:$AA$23,'Lista Suspensa'!$AB$20:$AB$23,"N/A")</f>
        <v>S</v>
      </c>
    </row>
    <row r="285" spans="1:47" ht="12" customHeight="1" x14ac:dyDescent="0.3">
      <c r="A285" s="87" t="s">
        <v>47</v>
      </c>
      <c r="B285" s="88">
        <v>46104</v>
      </c>
      <c r="C285" s="89" t="s">
        <v>48</v>
      </c>
      <c r="D285" s="89" t="s">
        <v>49</v>
      </c>
      <c r="E285" s="90">
        <v>450632679</v>
      </c>
      <c r="F285" s="184" t="s">
        <v>989</v>
      </c>
      <c r="G285" s="91">
        <v>11397155850</v>
      </c>
      <c r="H285" s="92">
        <v>19026</v>
      </c>
      <c r="I285" s="89">
        <v>74</v>
      </c>
      <c r="J285" s="89" t="s">
        <v>51</v>
      </c>
      <c r="K285" s="89" t="s">
        <v>52</v>
      </c>
      <c r="L285" s="89" t="s">
        <v>53</v>
      </c>
      <c r="M285" s="89" t="s">
        <v>570</v>
      </c>
      <c r="N285" s="89" t="s">
        <v>91</v>
      </c>
      <c r="O285" s="93" t="s">
        <v>990</v>
      </c>
      <c r="P285" s="94" t="s">
        <v>57</v>
      </c>
      <c r="Q285" s="112" t="s">
        <v>58</v>
      </c>
      <c r="R285" s="95">
        <v>46147</v>
      </c>
      <c r="S285" s="96"/>
      <c r="T285" s="96" t="s">
        <v>59</v>
      </c>
      <c r="U285" s="96" t="s">
        <v>60</v>
      </c>
      <c r="V285" s="92">
        <v>46140</v>
      </c>
      <c r="W285" s="92">
        <v>46147</v>
      </c>
      <c r="X285" s="92" t="s">
        <v>61</v>
      </c>
      <c r="Y285" s="97"/>
      <c r="Z285" s="89" t="s">
        <v>62</v>
      </c>
      <c r="AA285" s="96" t="s">
        <v>991</v>
      </c>
      <c r="AB285" s="89" t="s">
        <v>80</v>
      </c>
      <c r="AC285" s="111"/>
      <c r="AD285" s="89"/>
      <c r="AE285" s="89"/>
      <c r="AF285" s="98"/>
      <c r="AG285" s="98"/>
      <c r="AH285" s="98"/>
      <c r="AI285" s="99" t="s">
        <v>197</v>
      </c>
      <c r="AJ285" s="99" t="s">
        <v>197</v>
      </c>
      <c r="AK285" s="99" t="s">
        <v>67</v>
      </c>
      <c r="AL285" s="45" t="s">
        <v>68</v>
      </c>
      <c r="AM285" s="162" t="str">
        <f t="shared" si="32"/>
        <v>3/2026</v>
      </c>
      <c r="AN285" s="45">
        <f t="shared" si="33"/>
        <v>4</v>
      </c>
      <c r="AO285" s="45" t="str">
        <f t="shared" si="34"/>
        <v>5/2026</v>
      </c>
      <c r="AP285" s="45">
        <f t="shared" si="35"/>
        <v>2</v>
      </c>
      <c r="AQ285" s="45">
        <f t="shared" si="36"/>
        <v>43</v>
      </c>
      <c r="AR285" s="45">
        <f t="shared" si="37"/>
        <v>0</v>
      </c>
      <c r="AS285" s="45">
        <f t="shared" si="38"/>
        <v>7</v>
      </c>
      <c r="AT285" s="45">
        <f t="shared" si="39"/>
        <v>0</v>
      </c>
      <c r="AU285" s="45" t="str">
        <f>_xlfn.XLOOKUP(U285,'Lista Suspensa'!$AA$20:$AA$23,'Lista Suspensa'!$AB$20:$AB$23,"N/A")</f>
        <v>S</v>
      </c>
    </row>
    <row r="286" spans="1:47" ht="12" customHeight="1" x14ac:dyDescent="0.3">
      <c r="A286" s="87" t="s">
        <v>47</v>
      </c>
      <c r="B286" s="88">
        <v>46104</v>
      </c>
      <c r="C286" s="89" t="s">
        <v>48</v>
      </c>
      <c r="D286" s="89" t="s">
        <v>49</v>
      </c>
      <c r="E286" s="90">
        <v>760958858</v>
      </c>
      <c r="F286" s="184" t="s">
        <v>992</v>
      </c>
      <c r="G286" s="91">
        <v>2230406736</v>
      </c>
      <c r="H286" s="92">
        <v>26467</v>
      </c>
      <c r="I286" s="89">
        <v>53</v>
      </c>
      <c r="J286" s="89" t="s">
        <v>51</v>
      </c>
      <c r="K286" s="89" t="s">
        <v>88</v>
      </c>
      <c r="L286" s="89" t="s">
        <v>629</v>
      </c>
      <c r="M286" s="89" t="s">
        <v>993</v>
      </c>
      <c r="N286" s="89" t="s">
        <v>91</v>
      </c>
      <c r="O286" s="93" t="s">
        <v>994</v>
      </c>
      <c r="P286" s="94" t="s">
        <v>57</v>
      </c>
      <c r="Q286" s="112" t="s">
        <v>58</v>
      </c>
      <c r="R286" s="95">
        <v>46140</v>
      </c>
      <c r="S286" s="96"/>
      <c r="T286" s="96" t="s">
        <v>59</v>
      </c>
      <c r="U286" s="96" t="s">
        <v>60</v>
      </c>
      <c r="V286" s="92">
        <v>46140</v>
      </c>
      <c r="W286" s="92" t="s">
        <v>61</v>
      </c>
      <c r="X286" s="92" t="s">
        <v>61</v>
      </c>
      <c r="Y286" s="97"/>
      <c r="Z286" s="89" t="s">
        <v>62</v>
      </c>
      <c r="AA286" s="96">
        <v>46119</v>
      </c>
      <c r="AB286" s="89" t="s">
        <v>63</v>
      </c>
      <c r="AC286" s="111"/>
      <c r="AD286" s="89" t="s">
        <v>64</v>
      </c>
      <c r="AE286" s="89">
        <v>62</v>
      </c>
      <c r="AF286" s="98" t="s">
        <v>126</v>
      </c>
      <c r="AG286" s="98"/>
      <c r="AH286" s="98" t="s">
        <v>66</v>
      </c>
      <c r="AI286" s="99" t="s">
        <v>67</v>
      </c>
      <c r="AJ286" s="99" t="s">
        <v>67</v>
      </c>
      <c r="AK286" s="99" t="s">
        <v>67</v>
      </c>
      <c r="AL286" s="45" t="s">
        <v>68</v>
      </c>
      <c r="AM286" s="162" t="str">
        <f t="shared" si="32"/>
        <v>3/2026</v>
      </c>
      <c r="AN286" s="45">
        <f t="shared" si="33"/>
        <v>4</v>
      </c>
      <c r="AO286" s="45" t="str">
        <f t="shared" si="34"/>
        <v>4/2026</v>
      </c>
      <c r="AP286" s="45">
        <f t="shared" si="35"/>
        <v>5</v>
      </c>
      <c r="AQ286" s="45">
        <f t="shared" si="36"/>
        <v>36</v>
      </c>
      <c r="AR286" s="45">
        <f t="shared" si="37"/>
        <v>0</v>
      </c>
      <c r="AS286" s="45">
        <f t="shared" si="38"/>
        <v>0</v>
      </c>
      <c r="AT286" s="45">
        <f t="shared" si="39"/>
        <v>-21</v>
      </c>
      <c r="AU286" s="45" t="str">
        <f>_xlfn.XLOOKUP(U286,'Lista Suspensa'!$AA$20:$AA$23,'Lista Suspensa'!$AB$20:$AB$23,"N/A")</f>
        <v>S</v>
      </c>
    </row>
    <row r="287" spans="1:47" ht="12" customHeight="1" x14ac:dyDescent="0.3">
      <c r="A287" s="87" t="s">
        <v>47</v>
      </c>
      <c r="B287" s="88">
        <v>46104</v>
      </c>
      <c r="C287" s="89" t="s">
        <v>48</v>
      </c>
      <c r="D287" s="89" t="s">
        <v>49</v>
      </c>
      <c r="E287" s="90">
        <v>87525361</v>
      </c>
      <c r="F287" s="184" t="s">
        <v>995</v>
      </c>
      <c r="G287" s="91">
        <v>5537066750</v>
      </c>
      <c r="H287" s="92">
        <v>29000</v>
      </c>
      <c r="I287" s="89">
        <v>46</v>
      </c>
      <c r="J287" s="89" t="s">
        <v>51</v>
      </c>
      <c r="K287" s="89" t="s">
        <v>88</v>
      </c>
      <c r="L287" s="89" t="s">
        <v>89</v>
      </c>
      <c r="M287" s="89" t="s">
        <v>996</v>
      </c>
      <c r="N287" s="89" t="s">
        <v>91</v>
      </c>
      <c r="O287" s="93" t="s">
        <v>997</v>
      </c>
      <c r="P287" s="94" t="s">
        <v>57</v>
      </c>
      <c r="Q287" s="112" t="s">
        <v>58</v>
      </c>
      <c r="R287" s="95">
        <v>46140</v>
      </c>
      <c r="S287" s="96"/>
      <c r="T287" s="96" t="s">
        <v>59</v>
      </c>
      <c r="U287" s="96" t="s">
        <v>60</v>
      </c>
      <c r="V287" s="92">
        <v>46140</v>
      </c>
      <c r="W287" s="92" t="s">
        <v>61</v>
      </c>
      <c r="X287" s="92" t="s">
        <v>61</v>
      </c>
      <c r="Y287" s="97"/>
      <c r="Z287" s="89" t="s">
        <v>62</v>
      </c>
      <c r="AA287" s="96">
        <v>46142.486111111109</v>
      </c>
      <c r="AB287" s="89" t="s">
        <v>63</v>
      </c>
      <c r="AC287" s="111"/>
      <c r="AD287" s="89"/>
      <c r="AE287" s="89"/>
      <c r="AF287" s="98"/>
      <c r="AG287" s="98"/>
      <c r="AH287" s="98"/>
      <c r="AI287" s="99" t="s">
        <v>67</v>
      </c>
      <c r="AJ287" s="99" t="s">
        <v>67</v>
      </c>
      <c r="AK287" s="99" t="s">
        <v>67</v>
      </c>
      <c r="AL287" s="45" t="s">
        <v>68</v>
      </c>
      <c r="AM287" s="162" t="str">
        <f t="shared" si="32"/>
        <v>3/2026</v>
      </c>
      <c r="AN287" s="45">
        <f t="shared" si="33"/>
        <v>4</v>
      </c>
      <c r="AO287" s="45" t="str">
        <f t="shared" si="34"/>
        <v>4/2026</v>
      </c>
      <c r="AP287" s="45">
        <f t="shared" si="35"/>
        <v>5</v>
      </c>
      <c r="AQ287" s="45">
        <f t="shared" si="36"/>
        <v>36</v>
      </c>
      <c r="AR287" s="45">
        <f t="shared" si="37"/>
        <v>0</v>
      </c>
      <c r="AS287" s="45">
        <f t="shared" si="38"/>
        <v>0</v>
      </c>
      <c r="AT287" s="45">
        <f t="shared" si="39"/>
        <v>2.4861111111094942</v>
      </c>
      <c r="AU287" s="45" t="str">
        <f>_xlfn.XLOOKUP(U287,'Lista Suspensa'!$AA$20:$AA$23,'Lista Suspensa'!$AB$20:$AB$23,"N/A")</f>
        <v>S</v>
      </c>
    </row>
    <row r="288" spans="1:47" ht="12" customHeight="1" x14ac:dyDescent="0.3">
      <c r="A288" s="87" t="s">
        <v>47</v>
      </c>
      <c r="B288" s="88">
        <v>46104</v>
      </c>
      <c r="C288" s="89" t="s">
        <v>48</v>
      </c>
      <c r="D288" s="89" t="s">
        <v>49</v>
      </c>
      <c r="E288" s="90">
        <v>451140974</v>
      </c>
      <c r="F288" s="184" t="s">
        <v>998</v>
      </c>
      <c r="G288" s="91">
        <v>25097837851</v>
      </c>
      <c r="H288" s="92">
        <v>21621</v>
      </c>
      <c r="I288" s="89">
        <v>67</v>
      </c>
      <c r="J288" s="89" t="s">
        <v>70</v>
      </c>
      <c r="K288" s="89" t="s">
        <v>52</v>
      </c>
      <c r="L288" s="89" t="s">
        <v>53</v>
      </c>
      <c r="M288" s="89" t="s">
        <v>999</v>
      </c>
      <c r="N288" s="89" t="s">
        <v>91</v>
      </c>
      <c r="O288" s="93" t="s">
        <v>1000</v>
      </c>
      <c r="P288" s="94" t="s">
        <v>57</v>
      </c>
      <c r="Q288" s="112" t="s">
        <v>58</v>
      </c>
      <c r="R288" s="95">
        <v>46147</v>
      </c>
      <c r="S288" s="96"/>
      <c r="T288" s="96" t="s">
        <v>59</v>
      </c>
      <c r="U288" s="96" t="s">
        <v>60</v>
      </c>
      <c r="V288" s="92">
        <v>46140</v>
      </c>
      <c r="W288" s="92">
        <v>46147</v>
      </c>
      <c r="X288" s="92" t="s">
        <v>61</v>
      </c>
      <c r="Y288" s="97"/>
      <c r="Z288" s="89" t="s">
        <v>62</v>
      </c>
      <c r="AA288" s="96">
        <v>46157</v>
      </c>
      <c r="AB288" s="89" t="s">
        <v>80</v>
      </c>
      <c r="AC288" s="111"/>
      <c r="AD288" s="89"/>
      <c r="AE288" s="89"/>
      <c r="AF288" s="98"/>
      <c r="AG288" s="98"/>
      <c r="AH288" s="98"/>
      <c r="AI288" s="99" t="s">
        <v>197</v>
      </c>
      <c r="AJ288" s="99" t="s">
        <v>197</v>
      </c>
      <c r="AK288" s="99" t="s">
        <v>67</v>
      </c>
      <c r="AL288" s="45" t="s">
        <v>68</v>
      </c>
      <c r="AM288" s="162" t="str">
        <f t="shared" si="32"/>
        <v>3/2026</v>
      </c>
      <c r="AN288" s="45">
        <f t="shared" si="33"/>
        <v>4</v>
      </c>
      <c r="AO288" s="45" t="str">
        <f t="shared" si="34"/>
        <v>5/2026</v>
      </c>
      <c r="AP288" s="45">
        <f t="shared" si="35"/>
        <v>2</v>
      </c>
      <c r="AQ288" s="45">
        <f t="shared" si="36"/>
        <v>43</v>
      </c>
      <c r="AR288" s="45">
        <f t="shared" si="37"/>
        <v>0</v>
      </c>
      <c r="AS288" s="45">
        <f t="shared" si="38"/>
        <v>7</v>
      </c>
      <c r="AT288" s="45">
        <f t="shared" si="39"/>
        <v>0</v>
      </c>
      <c r="AU288" s="45" t="str">
        <f>_xlfn.XLOOKUP(U288,'Lista Suspensa'!$AA$20:$AA$23,'Lista Suspensa'!$AB$20:$AB$23,"N/A")</f>
        <v>S</v>
      </c>
    </row>
    <row r="289" spans="1:47" ht="12" hidden="1" customHeight="1" x14ac:dyDescent="0.3">
      <c r="A289" s="87" t="s">
        <v>47</v>
      </c>
      <c r="B289" s="88">
        <v>46104</v>
      </c>
      <c r="C289" s="89" t="s">
        <v>48</v>
      </c>
      <c r="D289" s="89" t="s">
        <v>49</v>
      </c>
      <c r="E289" s="90">
        <v>78867870</v>
      </c>
      <c r="F289" s="184" t="s">
        <v>1001</v>
      </c>
      <c r="G289" s="91">
        <v>11516058836</v>
      </c>
      <c r="H289" s="92">
        <v>24564</v>
      </c>
      <c r="I289" s="89">
        <v>58</v>
      </c>
      <c r="J289" s="89" t="s">
        <v>51</v>
      </c>
      <c r="K289" s="89" t="s">
        <v>52</v>
      </c>
      <c r="L289" s="89" t="s">
        <v>1002</v>
      </c>
      <c r="M289" s="89" t="s">
        <v>76</v>
      </c>
      <c r="N289" s="89" t="s">
        <v>91</v>
      </c>
      <c r="O289" s="93" t="s">
        <v>1003</v>
      </c>
      <c r="P289" s="94" t="s">
        <v>57</v>
      </c>
      <c r="Q289" s="112" t="s">
        <v>745</v>
      </c>
      <c r="R289" s="95">
        <v>46140</v>
      </c>
      <c r="S289" s="96">
        <v>46183</v>
      </c>
      <c r="T289" s="96" t="s">
        <v>59</v>
      </c>
      <c r="U289" s="96" t="s">
        <v>746</v>
      </c>
      <c r="V289" s="92">
        <v>46140</v>
      </c>
      <c r="W289" s="92" t="s">
        <v>61</v>
      </c>
      <c r="X289" s="92" t="s">
        <v>61</v>
      </c>
      <c r="Y289" s="97"/>
      <c r="Z289" s="89" t="s">
        <v>62</v>
      </c>
      <c r="AA289" s="96">
        <v>46183</v>
      </c>
      <c r="AB289" s="89" t="s">
        <v>63</v>
      </c>
      <c r="AC289" s="111"/>
      <c r="AD289" s="89"/>
      <c r="AE289" s="89"/>
      <c r="AF289" s="98"/>
      <c r="AG289" s="98"/>
      <c r="AH289" s="98"/>
      <c r="AI289" s="99" t="s">
        <v>67</v>
      </c>
      <c r="AJ289" s="99" t="s">
        <v>67</v>
      </c>
      <c r="AK289" s="99" t="s">
        <v>67</v>
      </c>
      <c r="AL289" s="45" t="s">
        <v>68</v>
      </c>
      <c r="AM289" s="162" t="str">
        <f t="shared" si="32"/>
        <v>3/2026</v>
      </c>
      <c r="AN289" s="45">
        <f t="shared" si="33"/>
        <v>4</v>
      </c>
      <c r="AO289" s="45" t="str">
        <f t="shared" si="34"/>
        <v>4/2026</v>
      </c>
      <c r="AP289" s="45">
        <f t="shared" si="35"/>
        <v>5</v>
      </c>
      <c r="AQ289" s="45">
        <f t="shared" si="36"/>
        <v>0</v>
      </c>
      <c r="AR289" s="45">
        <f t="shared" si="37"/>
        <v>43</v>
      </c>
      <c r="AS289" s="45">
        <f t="shared" si="38"/>
        <v>0</v>
      </c>
      <c r="AT289" s="45">
        <f t="shared" si="39"/>
        <v>0</v>
      </c>
      <c r="AU289" s="45" t="str">
        <f>_xlfn.XLOOKUP(U289,'Lista Suspensa'!$AA$20:$AA$23,'Lista Suspensa'!$AB$20:$AB$23,"N/A")</f>
        <v>S</v>
      </c>
    </row>
    <row r="290" spans="1:47" ht="12" customHeight="1" x14ac:dyDescent="0.3">
      <c r="A290" s="87" t="s">
        <v>47</v>
      </c>
      <c r="B290" s="88">
        <v>46104</v>
      </c>
      <c r="C290" s="89" t="s">
        <v>48</v>
      </c>
      <c r="D290" s="89" t="s">
        <v>49</v>
      </c>
      <c r="E290" s="90">
        <v>796431426</v>
      </c>
      <c r="F290" s="184" t="s">
        <v>1004</v>
      </c>
      <c r="G290" s="91">
        <v>8874066880</v>
      </c>
      <c r="H290" s="92">
        <v>19000</v>
      </c>
      <c r="I290" s="89">
        <v>74</v>
      </c>
      <c r="J290" s="89" t="s">
        <v>70</v>
      </c>
      <c r="K290" s="89" t="s">
        <v>52</v>
      </c>
      <c r="L290" s="89" t="s">
        <v>53</v>
      </c>
      <c r="M290" s="89" t="s">
        <v>1005</v>
      </c>
      <c r="N290" s="89" t="s">
        <v>91</v>
      </c>
      <c r="O290" s="93" t="s">
        <v>1006</v>
      </c>
      <c r="P290" s="94" t="s">
        <v>57</v>
      </c>
      <c r="Q290" s="112" t="s">
        <v>58</v>
      </c>
      <c r="R290" s="95">
        <v>46153</v>
      </c>
      <c r="S290" s="96"/>
      <c r="T290" s="96" t="s">
        <v>59</v>
      </c>
      <c r="U290" s="96" t="s">
        <v>60</v>
      </c>
      <c r="V290" s="92">
        <v>46140</v>
      </c>
      <c r="W290" s="92">
        <v>46147</v>
      </c>
      <c r="X290" s="92">
        <v>46154</v>
      </c>
      <c r="Y290" s="97"/>
      <c r="Z290" s="89" t="s">
        <v>62</v>
      </c>
      <c r="AA290" s="96">
        <v>46163</v>
      </c>
      <c r="AB290" s="89" t="s">
        <v>63</v>
      </c>
      <c r="AC290" s="111"/>
      <c r="AD290" s="89" t="s">
        <v>64</v>
      </c>
      <c r="AE290" s="89">
        <v>63</v>
      </c>
      <c r="AF290" s="98" t="s">
        <v>248</v>
      </c>
      <c r="AG290" s="98" t="s">
        <v>248</v>
      </c>
      <c r="AH290" s="98" t="s">
        <v>66</v>
      </c>
      <c r="AI290" s="99" t="s">
        <v>197</v>
      </c>
      <c r="AJ290" s="99" t="s">
        <v>197</v>
      </c>
      <c r="AK290" s="99" t="s">
        <v>67</v>
      </c>
      <c r="AL290" s="45" t="s">
        <v>68</v>
      </c>
      <c r="AM290" s="162" t="str">
        <f t="shared" si="32"/>
        <v>3/2026</v>
      </c>
      <c r="AN290" s="45">
        <f t="shared" si="33"/>
        <v>4</v>
      </c>
      <c r="AO290" s="45" t="str">
        <f t="shared" si="34"/>
        <v>5/2026</v>
      </c>
      <c r="AP290" s="45">
        <f t="shared" si="35"/>
        <v>3</v>
      </c>
      <c r="AQ290" s="45">
        <f t="shared" si="36"/>
        <v>49</v>
      </c>
      <c r="AR290" s="45">
        <f t="shared" si="37"/>
        <v>0</v>
      </c>
      <c r="AS290" s="45">
        <f t="shared" si="38"/>
        <v>7</v>
      </c>
      <c r="AT290" s="45">
        <f t="shared" si="39"/>
        <v>10</v>
      </c>
      <c r="AU290" s="45" t="str">
        <f>_xlfn.XLOOKUP(U290,'Lista Suspensa'!$AA$20:$AA$23,'Lista Suspensa'!$AB$20:$AB$23,"N/A")</f>
        <v>S</v>
      </c>
    </row>
    <row r="291" spans="1:47" ht="12" customHeight="1" x14ac:dyDescent="0.3">
      <c r="A291" s="87" t="s">
        <v>47</v>
      </c>
      <c r="B291" s="88">
        <v>46104</v>
      </c>
      <c r="C291" s="89" t="s">
        <v>48</v>
      </c>
      <c r="D291" s="89" t="s">
        <v>49</v>
      </c>
      <c r="E291" s="90">
        <v>452342554</v>
      </c>
      <c r="F291" s="184" t="s">
        <v>1007</v>
      </c>
      <c r="G291" s="91">
        <v>24603758839</v>
      </c>
      <c r="H291" s="92">
        <v>14853</v>
      </c>
      <c r="I291" s="89">
        <v>85</v>
      </c>
      <c r="J291" s="89" t="s">
        <v>70</v>
      </c>
      <c r="K291" s="89" t="s">
        <v>52</v>
      </c>
      <c r="L291" s="89" t="s">
        <v>53</v>
      </c>
      <c r="M291" s="89" t="s">
        <v>1008</v>
      </c>
      <c r="N291" s="89" t="s">
        <v>91</v>
      </c>
      <c r="O291" s="93" t="s">
        <v>1009</v>
      </c>
      <c r="P291" s="94" t="s">
        <v>57</v>
      </c>
      <c r="Q291" s="112" t="s">
        <v>58</v>
      </c>
      <c r="R291" s="95">
        <v>46153</v>
      </c>
      <c r="S291" s="96"/>
      <c r="T291" s="96" t="s">
        <v>59</v>
      </c>
      <c r="U291" s="96" t="s">
        <v>60</v>
      </c>
      <c r="V291" s="92">
        <v>46122</v>
      </c>
      <c r="W291" s="92">
        <v>46147</v>
      </c>
      <c r="X291" s="92">
        <v>46154</v>
      </c>
      <c r="Y291" s="97"/>
      <c r="Z291" s="89" t="s">
        <v>62</v>
      </c>
      <c r="AA291" s="96">
        <v>46164</v>
      </c>
      <c r="AB291" s="89" t="s">
        <v>80</v>
      </c>
      <c r="AC291" s="111"/>
      <c r="AD291" s="89"/>
      <c r="AE291" s="89"/>
      <c r="AF291" s="98"/>
      <c r="AG291" s="98"/>
      <c r="AH291" s="98"/>
      <c r="AI291" s="99" t="s">
        <v>197</v>
      </c>
      <c r="AJ291" s="99" t="s">
        <v>197</v>
      </c>
      <c r="AK291" s="99" t="s">
        <v>67</v>
      </c>
      <c r="AL291" s="45" t="s">
        <v>68</v>
      </c>
      <c r="AM291" s="162" t="str">
        <f t="shared" si="32"/>
        <v>3/2026</v>
      </c>
      <c r="AN291" s="45">
        <f t="shared" si="33"/>
        <v>4</v>
      </c>
      <c r="AO291" s="45" t="str">
        <f t="shared" si="34"/>
        <v>5/2026</v>
      </c>
      <c r="AP291" s="45">
        <f t="shared" si="35"/>
        <v>3</v>
      </c>
      <c r="AQ291" s="45">
        <f t="shared" si="36"/>
        <v>49</v>
      </c>
      <c r="AR291" s="45">
        <f t="shared" si="37"/>
        <v>0</v>
      </c>
      <c r="AS291" s="45">
        <f t="shared" si="38"/>
        <v>16</v>
      </c>
      <c r="AT291" s="45">
        <f t="shared" si="39"/>
        <v>0</v>
      </c>
      <c r="AU291" s="45" t="str">
        <f>_xlfn.XLOOKUP(U291,'Lista Suspensa'!$AA$20:$AA$23,'Lista Suspensa'!$AB$20:$AB$23,"N/A")</f>
        <v>S</v>
      </c>
    </row>
    <row r="292" spans="1:47" ht="12" customHeight="1" x14ac:dyDescent="0.3">
      <c r="A292" s="87" t="s">
        <v>47</v>
      </c>
      <c r="B292" s="88">
        <v>46104</v>
      </c>
      <c r="C292" s="89" t="s">
        <v>48</v>
      </c>
      <c r="D292" s="89" t="s">
        <v>49</v>
      </c>
      <c r="E292" s="90">
        <v>796449635</v>
      </c>
      <c r="F292" s="184" t="s">
        <v>1010</v>
      </c>
      <c r="G292" s="91">
        <v>25873008868</v>
      </c>
      <c r="H292" s="92">
        <v>18169</v>
      </c>
      <c r="I292" s="89">
        <v>76</v>
      </c>
      <c r="J292" s="89" t="s">
        <v>51</v>
      </c>
      <c r="K292" s="89" t="s">
        <v>52</v>
      </c>
      <c r="L292" s="89" t="s">
        <v>53</v>
      </c>
      <c r="M292" s="89" t="s">
        <v>1011</v>
      </c>
      <c r="N292" s="89" t="s">
        <v>91</v>
      </c>
      <c r="O292" s="93" t="s">
        <v>1012</v>
      </c>
      <c r="P292" s="94" t="s">
        <v>57</v>
      </c>
      <c r="Q292" s="112" t="s">
        <v>58</v>
      </c>
      <c r="R292" s="95">
        <v>46140</v>
      </c>
      <c r="S292" s="96"/>
      <c r="T292" s="96" t="s">
        <v>59</v>
      </c>
      <c r="U292" s="96" t="s">
        <v>60</v>
      </c>
      <c r="V292" s="92">
        <v>46140</v>
      </c>
      <c r="W292" s="92" t="s">
        <v>61</v>
      </c>
      <c r="X292" s="92" t="s">
        <v>61</v>
      </c>
      <c r="Y292" s="97"/>
      <c r="Z292" s="89" t="s">
        <v>62</v>
      </c>
      <c r="AA292" s="96">
        <v>46142.416666666664</v>
      </c>
      <c r="AB292" s="89" t="s">
        <v>63</v>
      </c>
      <c r="AC292" s="111"/>
      <c r="AD292" s="89"/>
      <c r="AE292" s="89"/>
      <c r="AF292" s="98"/>
      <c r="AG292" s="98"/>
      <c r="AH292" s="98"/>
      <c r="AI292" s="99" t="s">
        <v>67</v>
      </c>
      <c r="AJ292" s="99" t="s">
        <v>67</v>
      </c>
      <c r="AK292" s="99" t="s">
        <v>67</v>
      </c>
      <c r="AL292" s="45" t="s">
        <v>68</v>
      </c>
      <c r="AM292" s="162" t="str">
        <f t="shared" si="32"/>
        <v>3/2026</v>
      </c>
      <c r="AN292" s="45">
        <f t="shared" si="33"/>
        <v>4</v>
      </c>
      <c r="AO292" s="45" t="str">
        <f t="shared" si="34"/>
        <v>4/2026</v>
      </c>
      <c r="AP292" s="45">
        <f t="shared" si="35"/>
        <v>5</v>
      </c>
      <c r="AQ292" s="45">
        <f t="shared" si="36"/>
        <v>36</v>
      </c>
      <c r="AR292" s="45">
        <f t="shared" si="37"/>
        <v>0</v>
      </c>
      <c r="AS292" s="45">
        <f t="shared" si="38"/>
        <v>0</v>
      </c>
      <c r="AT292" s="45">
        <f t="shared" si="39"/>
        <v>2.4166666666642413</v>
      </c>
      <c r="AU292" s="45" t="str">
        <f>_xlfn.XLOOKUP(U292,'Lista Suspensa'!$AA$20:$AA$23,'Lista Suspensa'!$AB$20:$AB$23,"N/A")</f>
        <v>S</v>
      </c>
    </row>
    <row r="293" spans="1:47" ht="12" customHeight="1" x14ac:dyDescent="0.3">
      <c r="A293" s="87" t="s">
        <v>47</v>
      </c>
      <c r="B293" s="88">
        <v>46104</v>
      </c>
      <c r="C293" s="89" t="s">
        <v>48</v>
      </c>
      <c r="D293" s="89" t="s">
        <v>49</v>
      </c>
      <c r="E293" s="90">
        <v>774013915</v>
      </c>
      <c r="F293" s="184" t="s">
        <v>1013</v>
      </c>
      <c r="G293" s="91">
        <v>29072961838</v>
      </c>
      <c r="H293" s="92">
        <v>28867</v>
      </c>
      <c r="I293" s="89">
        <v>47</v>
      </c>
      <c r="J293" s="89" t="s">
        <v>70</v>
      </c>
      <c r="K293" s="89" t="s">
        <v>52</v>
      </c>
      <c r="L293" s="89" t="s">
        <v>53</v>
      </c>
      <c r="M293" s="89" t="s">
        <v>1014</v>
      </c>
      <c r="N293" s="89" t="s">
        <v>91</v>
      </c>
      <c r="O293" s="93" t="s">
        <v>1015</v>
      </c>
      <c r="P293" s="94" t="s">
        <v>57</v>
      </c>
      <c r="Q293" s="112" t="s">
        <v>58</v>
      </c>
      <c r="R293" s="95">
        <v>46140</v>
      </c>
      <c r="S293" s="96"/>
      <c r="T293" s="96" t="s">
        <v>59</v>
      </c>
      <c r="U293" s="96" t="s">
        <v>60</v>
      </c>
      <c r="V293" s="92">
        <v>46140</v>
      </c>
      <c r="W293" s="92" t="s">
        <v>61</v>
      </c>
      <c r="X293" s="92" t="s">
        <v>61</v>
      </c>
      <c r="Y293" s="97"/>
      <c r="Z293" s="89" t="s">
        <v>62</v>
      </c>
      <c r="AA293" s="96" t="s">
        <v>1016</v>
      </c>
      <c r="AB293" s="89" t="s">
        <v>80</v>
      </c>
      <c r="AC293" s="111"/>
      <c r="AD293" s="89"/>
      <c r="AE293" s="89"/>
      <c r="AF293" s="98"/>
      <c r="AG293" s="98"/>
      <c r="AH293" s="98"/>
      <c r="AI293" s="99" t="s">
        <v>67</v>
      </c>
      <c r="AJ293" s="99" t="s">
        <v>67</v>
      </c>
      <c r="AK293" s="99" t="s">
        <v>67</v>
      </c>
      <c r="AL293" s="45" t="s">
        <v>68</v>
      </c>
      <c r="AM293" s="162" t="str">
        <f t="shared" si="32"/>
        <v>3/2026</v>
      </c>
      <c r="AN293" s="45">
        <f t="shared" si="33"/>
        <v>4</v>
      </c>
      <c r="AO293" s="45" t="str">
        <f t="shared" si="34"/>
        <v>4/2026</v>
      </c>
      <c r="AP293" s="45">
        <f t="shared" si="35"/>
        <v>5</v>
      </c>
      <c r="AQ293" s="45">
        <f t="shared" si="36"/>
        <v>36</v>
      </c>
      <c r="AR293" s="45">
        <f t="shared" si="37"/>
        <v>0</v>
      </c>
      <c r="AS293" s="45">
        <f t="shared" si="38"/>
        <v>0</v>
      </c>
      <c r="AT293" s="45">
        <f t="shared" si="39"/>
        <v>0</v>
      </c>
      <c r="AU293" s="45" t="str">
        <f>_xlfn.XLOOKUP(U293,'Lista Suspensa'!$AA$20:$AA$23,'Lista Suspensa'!$AB$20:$AB$23,"N/A")</f>
        <v>S</v>
      </c>
    </row>
    <row r="294" spans="1:47" ht="12" customHeight="1" x14ac:dyDescent="0.3">
      <c r="A294" s="87" t="s">
        <v>47</v>
      </c>
      <c r="B294" s="88">
        <v>46104</v>
      </c>
      <c r="C294" s="89" t="s">
        <v>48</v>
      </c>
      <c r="D294" s="89" t="s">
        <v>49</v>
      </c>
      <c r="E294" s="90">
        <v>484813498</v>
      </c>
      <c r="F294" s="184" t="s">
        <v>1017</v>
      </c>
      <c r="G294" s="91">
        <v>71174079720</v>
      </c>
      <c r="H294" s="92">
        <v>14795</v>
      </c>
      <c r="I294" s="89">
        <v>85</v>
      </c>
      <c r="J294" s="89" t="s">
        <v>70</v>
      </c>
      <c r="K294" s="89" t="s">
        <v>88</v>
      </c>
      <c r="L294" s="89" t="s">
        <v>97</v>
      </c>
      <c r="M294" s="89" t="s">
        <v>1018</v>
      </c>
      <c r="N294" s="89" t="s">
        <v>91</v>
      </c>
      <c r="O294" s="93" t="s">
        <v>1019</v>
      </c>
      <c r="P294" s="94" t="s">
        <v>57</v>
      </c>
      <c r="Q294" s="112" t="s">
        <v>58</v>
      </c>
      <c r="R294" s="95">
        <v>46140</v>
      </c>
      <c r="S294" s="96"/>
      <c r="T294" s="96" t="s">
        <v>59</v>
      </c>
      <c r="U294" s="96" t="s">
        <v>60</v>
      </c>
      <c r="V294" s="92">
        <v>46140</v>
      </c>
      <c r="W294" s="92" t="s">
        <v>61</v>
      </c>
      <c r="X294" s="92" t="s">
        <v>61</v>
      </c>
      <c r="Y294" s="97"/>
      <c r="Z294" s="89" t="s">
        <v>62</v>
      </c>
      <c r="AA294" s="96">
        <v>46172.666666666664</v>
      </c>
      <c r="AB294" s="89" t="s">
        <v>80</v>
      </c>
      <c r="AC294" s="111"/>
      <c r="AD294" s="89"/>
      <c r="AE294" s="89"/>
      <c r="AF294" s="98"/>
      <c r="AG294" s="98"/>
      <c r="AH294" s="98"/>
      <c r="AI294" s="99" t="s">
        <v>67</v>
      </c>
      <c r="AJ294" s="99" t="s">
        <v>67</v>
      </c>
      <c r="AK294" s="99" t="s">
        <v>67</v>
      </c>
      <c r="AL294" s="45" t="s">
        <v>68</v>
      </c>
      <c r="AM294" s="162" t="str">
        <f t="shared" si="32"/>
        <v>3/2026</v>
      </c>
      <c r="AN294" s="45">
        <f t="shared" si="33"/>
        <v>4</v>
      </c>
      <c r="AO294" s="45" t="str">
        <f t="shared" si="34"/>
        <v>4/2026</v>
      </c>
      <c r="AP294" s="45">
        <f t="shared" si="35"/>
        <v>5</v>
      </c>
      <c r="AQ294" s="45">
        <f t="shared" si="36"/>
        <v>36</v>
      </c>
      <c r="AR294" s="45">
        <f t="shared" si="37"/>
        <v>0</v>
      </c>
      <c r="AS294" s="45">
        <f t="shared" si="38"/>
        <v>0</v>
      </c>
      <c r="AT294" s="45">
        <f t="shared" si="39"/>
        <v>0</v>
      </c>
      <c r="AU294" s="45" t="str">
        <f>_xlfn.XLOOKUP(U294,'Lista Suspensa'!$AA$20:$AA$23,'Lista Suspensa'!$AB$20:$AB$23,"N/A")</f>
        <v>S</v>
      </c>
    </row>
    <row r="295" spans="1:47" ht="12" customHeight="1" x14ac:dyDescent="0.3">
      <c r="A295" s="87" t="s">
        <v>47</v>
      </c>
      <c r="B295" s="88">
        <v>46104</v>
      </c>
      <c r="C295" s="89" t="s">
        <v>48</v>
      </c>
      <c r="D295" s="89" t="s">
        <v>49</v>
      </c>
      <c r="E295" s="90">
        <v>796432236</v>
      </c>
      <c r="F295" s="184" t="s">
        <v>1020</v>
      </c>
      <c r="G295" s="91">
        <v>89789253834</v>
      </c>
      <c r="H295" s="92">
        <v>19551</v>
      </c>
      <c r="I295" s="89">
        <v>72</v>
      </c>
      <c r="J295" s="89" t="s">
        <v>70</v>
      </c>
      <c r="K295" s="89" t="s">
        <v>52</v>
      </c>
      <c r="L295" s="89" t="s">
        <v>53</v>
      </c>
      <c r="M295" s="89" t="s">
        <v>1021</v>
      </c>
      <c r="N295" s="89" t="s">
        <v>91</v>
      </c>
      <c r="O295" s="93" t="s">
        <v>1022</v>
      </c>
      <c r="P295" s="94" t="s">
        <v>57</v>
      </c>
      <c r="Q295" s="112" t="s">
        <v>58</v>
      </c>
      <c r="R295" s="95">
        <v>46117</v>
      </c>
      <c r="S295" s="96"/>
      <c r="T295" s="96" t="s">
        <v>59</v>
      </c>
      <c r="U295" s="96" t="s">
        <v>60</v>
      </c>
      <c r="V295" s="92">
        <v>46140</v>
      </c>
      <c r="W295" s="92">
        <v>46147</v>
      </c>
      <c r="X295" s="92" t="s">
        <v>61</v>
      </c>
      <c r="Y295" s="97"/>
      <c r="Z295" s="89" t="s">
        <v>62</v>
      </c>
      <c r="AA295" s="96">
        <v>46157</v>
      </c>
      <c r="AB295" s="89" t="s">
        <v>80</v>
      </c>
      <c r="AC295" s="111"/>
      <c r="AD295" s="89"/>
      <c r="AE295" s="89"/>
      <c r="AF295" s="98"/>
      <c r="AG295" s="98"/>
      <c r="AH295" s="98"/>
      <c r="AI295" s="99" t="s">
        <v>197</v>
      </c>
      <c r="AJ295" s="99" t="s">
        <v>197</v>
      </c>
      <c r="AK295" s="99" t="s">
        <v>67</v>
      </c>
      <c r="AL295" s="45" t="s">
        <v>68</v>
      </c>
      <c r="AM295" s="162" t="str">
        <f t="shared" si="32"/>
        <v>3/2026</v>
      </c>
      <c r="AN295" s="45">
        <f t="shared" si="33"/>
        <v>4</v>
      </c>
      <c r="AO295" s="45" t="str">
        <f t="shared" si="34"/>
        <v>4/2026</v>
      </c>
      <c r="AP295" s="45">
        <f t="shared" si="35"/>
        <v>2</v>
      </c>
      <c r="AQ295" s="45">
        <f t="shared" si="36"/>
        <v>13</v>
      </c>
      <c r="AR295" s="45">
        <f t="shared" si="37"/>
        <v>0</v>
      </c>
      <c r="AS295" s="45">
        <f t="shared" si="38"/>
        <v>7</v>
      </c>
      <c r="AT295" s="45">
        <f t="shared" si="39"/>
        <v>0</v>
      </c>
      <c r="AU295" s="45" t="str">
        <f>_xlfn.XLOOKUP(U295,'Lista Suspensa'!$AA$20:$AA$23,'Lista Suspensa'!$AB$20:$AB$23,"N/A")</f>
        <v>S</v>
      </c>
    </row>
    <row r="296" spans="1:47" ht="12" customHeight="1" x14ac:dyDescent="0.3">
      <c r="A296" s="87" t="s">
        <v>47</v>
      </c>
      <c r="B296" s="88">
        <v>46104</v>
      </c>
      <c r="C296" s="89" t="s">
        <v>48</v>
      </c>
      <c r="D296" s="89" t="s">
        <v>49</v>
      </c>
      <c r="E296" s="90">
        <v>450438597</v>
      </c>
      <c r="F296" s="184" t="s">
        <v>1023</v>
      </c>
      <c r="G296" s="91">
        <v>93477058887</v>
      </c>
      <c r="H296" s="92">
        <v>18403</v>
      </c>
      <c r="I296" s="89">
        <v>75</v>
      </c>
      <c r="J296" s="89" t="s">
        <v>70</v>
      </c>
      <c r="K296" s="89" t="s">
        <v>52</v>
      </c>
      <c r="L296" s="89" t="s">
        <v>53</v>
      </c>
      <c r="M296" s="89" t="s">
        <v>1024</v>
      </c>
      <c r="N296" s="89" t="s">
        <v>91</v>
      </c>
      <c r="O296" s="93" t="s">
        <v>1025</v>
      </c>
      <c r="P296" s="94" t="s">
        <v>57</v>
      </c>
      <c r="Q296" s="112" t="s">
        <v>58</v>
      </c>
      <c r="R296" s="95">
        <v>46140</v>
      </c>
      <c r="S296" s="96"/>
      <c r="T296" s="96" t="s">
        <v>59</v>
      </c>
      <c r="U296" s="96" t="s">
        <v>60</v>
      </c>
      <c r="V296" s="92">
        <v>46140</v>
      </c>
      <c r="W296" s="92" t="s">
        <v>61</v>
      </c>
      <c r="X296" s="92" t="s">
        <v>61</v>
      </c>
      <c r="Y296" s="97"/>
      <c r="Z296" s="89" t="s">
        <v>62</v>
      </c>
      <c r="AA296" s="96">
        <v>46172.652777777781</v>
      </c>
      <c r="AB296" s="89" t="s">
        <v>63</v>
      </c>
      <c r="AC296" s="111"/>
      <c r="AD296" s="89"/>
      <c r="AE296" s="89"/>
      <c r="AF296" s="98"/>
      <c r="AG296" s="98"/>
      <c r="AH296" s="98"/>
      <c r="AI296" s="99" t="s">
        <v>67</v>
      </c>
      <c r="AJ296" s="99" t="s">
        <v>67</v>
      </c>
      <c r="AK296" s="99" t="s">
        <v>67</v>
      </c>
      <c r="AL296" s="45" t="s">
        <v>68</v>
      </c>
      <c r="AM296" s="162" t="str">
        <f t="shared" si="32"/>
        <v>3/2026</v>
      </c>
      <c r="AN296" s="45">
        <f t="shared" si="33"/>
        <v>4</v>
      </c>
      <c r="AO296" s="45" t="str">
        <f t="shared" si="34"/>
        <v>4/2026</v>
      </c>
      <c r="AP296" s="45">
        <f t="shared" si="35"/>
        <v>5</v>
      </c>
      <c r="AQ296" s="45">
        <f t="shared" si="36"/>
        <v>36</v>
      </c>
      <c r="AR296" s="45">
        <f t="shared" si="37"/>
        <v>0</v>
      </c>
      <c r="AS296" s="45">
        <f t="shared" si="38"/>
        <v>0</v>
      </c>
      <c r="AT296" s="45">
        <f t="shared" si="39"/>
        <v>32.652777777781012</v>
      </c>
      <c r="AU296" s="45" t="str">
        <f>_xlfn.XLOOKUP(U296,'Lista Suspensa'!$AA$20:$AA$23,'Lista Suspensa'!$AB$20:$AB$23,"N/A")</f>
        <v>S</v>
      </c>
    </row>
    <row r="297" spans="1:47" ht="12" customHeight="1" x14ac:dyDescent="0.3">
      <c r="A297" s="87" t="s">
        <v>47</v>
      </c>
      <c r="B297" s="88">
        <v>46104</v>
      </c>
      <c r="C297" s="89" t="s">
        <v>48</v>
      </c>
      <c r="D297" s="89" t="s">
        <v>49</v>
      </c>
      <c r="E297" s="90">
        <v>772673330</v>
      </c>
      <c r="F297" s="184" t="s">
        <v>1026</v>
      </c>
      <c r="G297" s="91">
        <v>1329595858</v>
      </c>
      <c r="H297" s="92">
        <v>19170</v>
      </c>
      <c r="I297" s="89">
        <v>73</v>
      </c>
      <c r="J297" s="89" t="s">
        <v>70</v>
      </c>
      <c r="K297" s="89" t="s">
        <v>52</v>
      </c>
      <c r="L297" s="89" t="s">
        <v>53</v>
      </c>
      <c r="M297" s="89" t="s">
        <v>1027</v>
      </c>
      <c r="N297" s="89" t="s">
        <v>91</v>
      </c>
      <c r="O297" s="93" t="s">
        <v>1028</v>
      </c>
      <c r="P297" s="94" t="s">
        <v>57</v>
      </c>
      <c r="Q297" s="112" t="s">
        <v>58</v>
      </c>
      <c r="R297" s="95">
        <v>46140</v>
      </c>
      <c r="S297" s="96"/>
      <c r="T297" s="96" t="s">
        <v>59</v>
      </c>
      <c r="U297" s="96" t="s">
        <v>60</v>
      </c>
      <c r="V297" s="92">
        <v>46140</v>
      </c>
      <c r="W297" s="92" t="s">
        <v>61</v>
      </c>
      <c r="X297" s="92" t="s">
        <v>61</v>
      </c>
      <c r="Y297" s="97"/>
      <c r="Z297" s="89" t="s">
        <v>62</v>
      </c>
      <c r="AA297" s="96" t="s">
        <v>1029</v>
      </c>
      <c r="AB297" s="89" t="s">
        <v>80</v>
      </c>
      <c r="AC297" s="111"/>
      <c r="AD297" s="89"/>
      <c r="AE297" s="89"/>
      <c r="AF297" s="98"/>
      <c r="AG297" s="98"/>
      <c r="AH297" s="98"/>
      <c r="AI297" s="99" t="s">
        <v>67</v>
      </c>
      <c r="AJ297" s="99" t="s">
        <v>67</v>
      </c>
      <c r="AK297" s="99" t="s">
        <v>67</v>
      </c>
      <c r="AL297" s="45" t="s">
        <v>68</v>
      </c>
      <c r="AM297" s="162" t="str">
        <f t="shared" si="32"/>
        <v>3/2026</v>
      </c>
      <c r="AN297" s="45">
        <f t="shared" si="33"/>
        <v>4</v>
      </c>
      <c r="AO297" s="45" t="str">
        <f t="shared" si="34"/>
        <v>4/2026</v>
      </c>
      <c r="AP297" s="45">
        <f t="shared" si="35"/>
        <v>5</v>
      </c>
      <c r="AQ297" s="45">
        <f t="shared" si="36"/>
        <v>36</v>
      </c>
      <c r="AR297" s="45">
        <f t="shared" si="37"/>
        <v>0</v>
      </c>
      <c r="AS297" s="45">
        <f t="shared" si="38"/>
        <v>0</v>
      </c>
      <c r="AT297" s="45">
        <f t="shared" si="39"/>
        <v>0</v>
      </c>
      <c r="AU297" s="45" t="str">
        <f>_xlfn.XLOOKUP(U297,'Lista Suspensa'!$AA$20:$AA$23,'Lista Suspensa'!$AB$20:$AB$23,"N/A")</f>
        <v>S</v>
      </c>
    </row>
    <row r="298" spans="1:47" ht="12" customHeight="1" x14ac:dyDescent="0.3">
      <c r="A298" s="87" t="s">
        <v>47</v>
      </c>
      <c r="B298" s="88">
        <v>46104</v>
      </c>
      <c r="C298" s="89" t="s">
        <v>48</v>
      </c>
      <c r="D298" s="89" t="s">
        <v>49</v>
      </c>
      <c r="E298" s="90">
        <v>751467790</v>
      </c>
      <c r="F298" s="184" t="s">
        <v>1030</v>
      </c>
      <c r="G298" s="91">
        <v>37198114768</v>
      </c>
      <c r="H298" s="92">
        <v>15579</v>
      </c>
      <c r="I298" s="89">
        <v>83</v>
      </c>
      <c r="J298" s="89" t="s">
        <v>70</v>
      </c>
      <c r="K298" s="89" t="s">
        <v>88</v>
      </c>
      <c r="L298" s="89" t="s">
        <v>89</v>
      </c>
      <c r="M298" s="89" t="s">
        <v>626</v>
      </c>
      <c r="N298" s="89" t="s">
        <v>91</v>
      </c>
      <c r="O298" s="93" t="s">
        <v>1031</v>
      </c>
      <c r="P298" s="94" t="s">
        <v>57</v>
      </c>
      <c r="Q298" s="112" t="s">
        <v>58</v>
      </c>
      <c r="R298" s="95">
        <v>46140</v>
      </c>
      <c r="S298" s="96"/>
      <c r="T298" s="96" t="s">
        <v>59</v>
      </c>
      <c r="U298" s="96" t="s">
        <v>60</v>
      </c>
      <c r="V298" s="92">
        <v>46140</v>
      </c>
      <c r="W298" s="92" t="s">
        <v>61</v>
      </c>
      <c r="X298" s="92" t="s">
        <v>61</v>
      </c>
      <c r="Y298" s="97"/>
      <c r="Z298" s="89" t="s">
        <v>62</v>
      </c>
      <c r="AA298" s="96" t="s">
        <v>1032</v>
      </c>
      <c r="AB298" s="89" t="s">
        <v>63</v>
      </c>
      <c r="AC298" s="111"/>
      <c r="AD298" s="89" t="s">
        <v>86</v>
      </c>
      <c r="AE298" s="89">
        <v>48</v>
      </c>
      <c r="AF298" s="98" t="s">
        <v>126</v>
      </c>
      <c r="AG298" s="98"/>
      <c r="AH298" s="98" t="s">
        <v>66</v>
      </c>
      <c r="AI298" s="99" t="s">
        <v>67</v>
      </c>
      <c r="AJ298" s="99" t="s">
        <v>67</v>
      </c>
      <c r="AK298" s="99" t="s">
        <v>67</v>
      </c>
      <c r="AL298" s="45" t="s">
        <v>68</v>
      </c>
      <c r="AM298" s="162" t="str">
        <f t="shared" si="32"/>
        <v>3/2026</v>
      </c>
      <c r="AN298" s="45">
        <f t="shared" si="33"/>
        <v>4</v>
      </c>
      <c r="AO298" s="45" t="str">
        <f t="shared" si="34"/>
        <v>4/2026</v>
      </c>
      <c r="AP298" s="45">
        <f t="shared" si="35"/>
        <v>5</v>
      </c>
      <c r="AQ298" s="45">
        <f t="shared" si="36"/>
        <v>36</v>
      </c>
      <c r="AR298" s="45">
        <f t="shared" si="37"/>
        <v>0</v>
      </c>
      <c r="AS298" s="45">
        <f t="shared" si="38"/>
        <v>0</v>
      </c>
      <c r="AT298" s="45">
        <f t="shared" si="39"/>
        <v>1.625</v>
      </c>
      <c r="AU298" s="45" t="str">
        <f>_xlfn.XLOOKUP(U298,'Lista Suspensa'!$AA$20:$AA$23,'Lista Suspensa'!$AB$20:$AB$23,"N/A")</f>
        <v>S</v>
      </c>
    </row>
    <row r="299" spans="1:47" ht="12" customHeight="1" x14ac:dyDescent="0.3">
      <c r="A299" s="87" t="s">
        <v>47</v>
      </c>
      <c r="B299" s="88">
        <v>46104</v>
      </c>
      <c r="C299" s="89" t="s">
        <v>48</v>
      </c>
      <c r="D299" s="89" t="s">
        <v>49</v>
      </c>
      <c r="E299" s="90">
        <v>771140053</v>
      </c>
      <c r="F299" s="184" t="s">
        <v>1033</v>
      </c>
      <c r="G299" s="91">
        <v>11479218812</v>
      </c>
      <c r="H299" s="92">
        <v>15913</v>
      </c>
      <c r="I299" s="89">
        <v>82</v>
      </c>
      <c r="J299" s="89" t="s">
        <v>70</v>
      </c>
      <c r="K299" s="89" t="s">
        <v>52</v>
      </c>
      <c r="L299" s="89" t="s">
        <v>1034</v>
      </c>
      <c r="M299" s="89" t="s">
        <v>1035</v>
      </c>
      <c r="N299" s="89" t="s">
        <v>91</v>
      </c>
      <c r="O299" s="93" t="s">
        <v>1036</v>
      </c>
      <c r="P299" s="94" t="s">
        <v>57</v>
      </c>
      <c r="Q299" s="112" t="s">
        <v>58</v>
      </c>
      <c r="R299" s="95">
        <v>46140</v>
      </c>
      <c r="S299" s="96"/>
      <c r="T299" s="96" t="s">
        <v>59</v>
      </c>
      <c r="U299" s="96" t="s">
        <v>60</v>
      </c>
      <c r="V299" s="92">
        <v>46140</v>
      </c>
      <c r="W299" s="92" t="s">
        <v>61</v>
      </c>
      <c r="X299" s="92" t="s">
        <v>61</v>
      </c>
      <c r="Y299" s="97"/>
      <c r="Z299" s="89" t="s">
        <v>62</v>
      </c>
      <c r="AA299" s="96">
        <v>46172.444444444445</v>
      </c>
      <c r="AB299" s="89" t="s">
        <v>63</v>
      </c>
      <c r="AC299" s="111"/>
      <c r="AD299" s="89"/>
      <c r="AE299" s="89"/>
      <c r="AF299" s="98"/>
      <c r="AG299" s="98"/>
      <c r="AH299" s="98"/>
      <c r="AI299" s="99" t="s">
        <v>67</v>
      </c>
      <c r="AJ299" s="99" t="s">
        <v>67</v>
      </c>
      <c r="AK299" s="99" t="s">
        <v>67</v>
      </c>
      <c r="AL299" s="45" t="s">
        <v>68</v>
      </c>
      <c r="AM299" s="162" t="str">
        <f t="shared" si="32"/>
        <v>3/2026</v>
      </c>
      <c r="AN299" s="45">
        <f t="shared" si="33"/>
        <v>4</v>
      </c>
      <c r="AO299" s="45" t="str">
        <f t="shared" si="34"/>
        <v>4/2026</v>
      </c>
      <c r="AP299" s="45">
        <f t="shared" si="35"/>
        <v>5</v>
      </c>
      <c r="AQ299" s="45">
        <f t="shared" si="36"/>
        <v>36</v>
      </c>
      <c r="AR299" s="45">
        <f t="shared" si="37"/>
        <v>0</v>
      </c>
      <c r="AS299" s="45">
        <f t="shared" si="38"/>
        <v>0</v>
      </c>
      <c r="AT299" s="45">
        <f t="shared" si="39"/>
        <v>32.444444444445253</v>
      </c>
      <c r="AU299" s="45" t="str">
        <f>_xlfn.XLOOKUP(U299,'Lista Suspensa'!$AA$20:$AA$23,'Lista Suspensa'!$AB$20:$AB$23,"N/A")</f>
        <v>S</v>
      </c>
    </row>
    <row r="300" spans="1:47" ht="12" customHeight="1" x14ac:dyDescent="0.3">
      <c r="A300" s="87" t="s">
        <v>47</v>
      </c>
      <c r="B300" s="88">
        <v>46104</v>
      </c>
      <c r="C300" s="89" t="s">
        <v>48</v>
      </c>
      <c r="D300" s="89" t="s">
        <v>49</v>
      </c>
      <c r="E300" s="90">
        <v>451857836</v>
      </c>
      <c r="F300" s="184" t="s">
        <v>1037</v>
      </c>
      <c r="G300" s="91">
        <v>29144115881</v>
      </c>
      <c r="H300" s="92">
        <v>20131</v>
      </c>
      <c r="I300" s="89">
        <v>71</v>
      </c>
      <c r="J300" s="89" t="s">
        <v>70</v>
      </c>
      <c r="K300" s="89" t="s">
        <v>52</v>
      </c>
      <c r="L300" s="89" t="s">
        <v>53</v>
      </c>
      <c r="M300" s="89" t="s">
        <v>830</v>
      </c>
      <c r="N300" s="89" t="s">
        <v>91</v>
      </c>
      <c r="O300" s="93" t="s">
        <v>1038</v>
      </c>
      <c r="P300" s="94" t="s">
        <v>57</v>
      </c>
      <c r="Q300" s="112" t="s">
        <v>58</v>
      </c>
      <c r="R300" s="95">
        <v>46164</v>
      </c>
      <c r="S300" s="96"/>
      <c r="T300" s="96" t="s">
        <v>59</v>
      </c>
      <c r="U300" s="96" t="s">
        <v>60</v>
      </c>
      <c r="V300" s="92">
        <v>46140</v>
      </c>
      <c r="W300" s="92">
        <v>46147</v>
      </c>
      <c r="X300" s="92">
        <v>46154</v>
      </c>
      <c r="Y300" s="97"/>
      <c r="Z300" s="89" t="s">
        <v>62</v>
      </c>
      <c r="AA300" s="96">
        <v>46182</v>
      </c>
      <c r="AB300" s="89" t="s">
        <v>63</v>
      </c>
      <c r="AC300" s="111"/>
      <c r="AD300" s="89" t="s">
        <v>86</v>
      </c>
      <c r="AE300" s="89">
        <v>54</v>
      </c>
      <c r="AF300" s="98" t="s">
        <v>296</v>
      </c>
      <c r="AG300" s="98" t="s">
        <v>296</v>
      </c>
      <c r="AH300" s="98" t="s">
        <v>66</v>
      </c>
      <c r="AI300" s="99"/>
      <c r="AJ300" s="99" t="s">
        <v>197</v>
      </c>
      <c r="AK300" s="99" t="s">
        <v>67</v>
      </c>
      <c r="AL300" s="45" t="s">
        <v>68</v>
      </c>
      <c r="AM300" s="162" t="str">
        <f t="shared" si="32"/>
        <v>3/2026</v>
      </c>
      <c r="AN300" s="45">
        <f t="shared" si="33"/>
        <v>4</v>
      </c>
      <c r="AO300" s="45" t="str">
        <f t="shared" si="34"/>
        <v>5/2026</v>
      </c>
      <c r="AP300" s="45">
        <f t="shared" si="35"/>
        <v>4</v>
      </c>
      <c r="AQ300" s="45">
        <f t="shared" si="36"/>
        <v>60</v>
      </c>
      <c r="AR300" s="45">
        <f t="shared" si="37"/>
        <v>0</v>
      </c>
      <c r="AS300" s="45">
        <f t="shared" si="38"/>
        <v>7</v>
      </c>
      <c r="AT300" s="45">
        <f t="shared" si="39"/>
        <v>18</v>
      </c>
      <c r="AU300" s="45" t="str">
        <f>_xlfn.XLOOKUP(U300,'Lista Suspensa'!$AA$20:$AA$23,'Lista Suspensa'!$AB$20:$AB$23,"N/A")</f>
        <v>S</v>
      </c>
    </row>
    <row r="301" spans="1:47" ht="12" customHeight="1" x14ac:dyDescent="0.3">
      <c r="A301" s="87" t="s">
        <v>47</v>
      </c>
      <c r="B301" s="88">
        <v>46104</v>
      </c>
      <c r="C301" s="89" t="s">
        <v>48</v>
      </c>
      <c r="D301" s="89" t="s">
        <v>49</v>
      </c>
      <c r="E301" s="90">
        <v>450611914</v>
      </c>
      <c r="F301" s="184" t="s">
        <v>1039</v>
      </c>
      <c r="G301" s="91">
        <v>12879277850</v>
      </c>
      <c r="H301" s="92">
        <v>25231</v>
      </c>
      <c r="I301" s="89">
        <v>57</v>
      </c>
      <c r="J301" s="89" t="s">
        <v>51</v>
      </c>
      <c r="K301" s="89" t="s">
        <v>52</v>
      </c>
      <c r="L301" s="89" t="s">
        <v>350</v>
      </c>
      <c r="M301" s="89" t="s">
        <v>213</v>
      </c>
      <c r="N301" s="89" t="s">
        <v>91</v>
      </c>
      <c r="O301" s="93" t="s">
        <v>1040</v>
      </c>
      <c r="P301" s="94" t="s">
        <v>57</v>
      </c>
      <c r="Q301" s="112" t="s">
        <v>58</v>
      </c>
      <c r="R301" s="95">
        <v>46147</v>
      </c>
      <c r="S301" s="96"/>
      <c r="T301" s="96" t="s">
        <v>59</v>
      </c>
      <c r="U301" s="96" t="s">
        <v>60</v>
      </c>
      <c r="V301" s="92">
        <v>46140</v>
      </c>
      <c r="W301" s="92">
        <v>46147</v>
      </c>
      <c r="X301" s="92" t="s">
        <v>61</v>
      </c>
      <c r="Y301" s="97"/>
      <c r="Z301" s="89" t="s">
        <v>62</v>
      </c>
      <c r="AA301" s="96" t="s">
        <v>1041</v>
      </c>
      <c r="AB301" s="89" t="s">
        <v>63</v>
      </c>
      <c r="AC301" s="111"/>
      <c r="AD301" s="89" t="s">
        <v>265</v>
      </c>
      <c r="AE301" s="89">
        <v>48</v>
      </c>
      <c r="AF301" s="98" t="s">
        <v>1042</v>
      </c>
      <c r="AG301" s="98"/>
      <c r="AH301" s="98" t="s">
        <v>66</v>
      </c>
      <c r="AI301" s="99" t="s">
        <v>197</v>
      </c>
      <c r="AJ301" s="99" t="s">
        <v>197</v>
      </c>
      <c r="AK301" s="99" t="s">
        <v>67</v>
      </c>
      <c r="AL301" s="45" t="s">
        <v>68</v>
      </c>
      <c r="AM301" s="162" t="str">
        <f t="shared" si="32"/>
        <v>3/2026</v>
      </c>
      <c r="AN301" s="45">
        <f t="shared" si="33"/>
        <v>4</v>
      </c>
      <c r="AO301" s="45" t="str">
        <f t="shared" si="34"/>
        <v>5/2026</v>
      </c>
      <c r="AP301" s="45">
        <f t="shared" si="35"/>
        <v>2</v>
      </c>
      <c r="AQ301" s="45">
        <f t="shared" si="36"/>
        <v>43</v>
      </c>
      <c r="AR301" s="45">
        <f t="shared" si="37"/>
        <v>0</v>
      </c>
      <c r="AS301" s="45">
        <f t="shared" si="38"/>
        <v>7</v>
      </c>
      <c r="AT301" s="45">
        <f t="shared" si="39"/>
        <v>6.4861111111094942</v>
      </c>
      <c r="AU301" s="45" t="str">
        <f>_xlfn.XLOOKUP(U301,'Lista Suspensa'!$AA$20:$AA$23,'Lista Suspensa'!$AB$20:$AB$23,"N/A")</f>
        <v>S</v>
      </c>
    </row>
    <row r="302" spans="1:47" ht="12" customHeight="1" x14ac:dyDescent="0.3">
      <c r="A302" s="87" t="s">
        <v>47</v>
      </c>
      <c r="B302" s="88">
        <v>46104</v>
      </c>
      <c r="C302" s="89" t="s">
        <v>48</v>
      </c>
      <c r="D302" s="89" t="s">
        <v>49</v>
      </c>
      <c r="E302" s="90">
        <v>775712841</v>
      </c>
      <c r="F302" s="184" t="s">
        <v>1043</v>
      </c>
      <c r="G302" s="91">
        <v>69413819815</v>
      </c>
      <c r="H302" s="92">
        <v>20028</v>
      </c>
      <c r="I302" s="89">
        <v>71</v>
      </c>
      <c r="J302" s="89" t="s">
        <v>51</v>
      </c>
      <c r="K302" s="89" t="s">
        <v>52</v>
      </c>
      <c r="L302" s="89" t="s">
        <v>53</v>
      </c>
      <c r="M302" s="89" t="s">
        <v>1044</v>
      </c>
      <c r="N302" s="89" t="s">
        <v>91</v>
      </c>
      <c r="O302" s="93" t="s">
        <v>1045</v>
      </c>
      <c r="P302" s="94" t="s">
        <v>57</v>
      </c>
      <c r="Q302" s="112" t="s">
        <v>58</v>
      </c>
      <c r="R302" s="95">
        <v>46117</v>
      </c>
      <c r="S302" s="96"/>
      <c r="T302" s="96" t="s">
        <v>59</v>
      </c>
      <c r="U302" s="96" t="s">
        <v>60</v>
      </c>
      <c r="V302" s="92">
        <v>46140</v>
      </c>
      <c r="W302" s="92">
        <v>46147</v>
      </c>
      <c r="X302" s="92" t="s">
        <v>61</v>
      </c>
      <c r="Y302" s="97"/>
      <c r="Z302" s="89" t="s">
        <v>62</v>
      </c>
      <c r="AA302" s="96">
        <v>46157</v>
      </c>
      <c r="AB302" s="89" t="s">
        <v>80</v>
      </c>
      <c r="AC302" s="111"/>
      <c r="AD302" s="89"/>
      <c r="AE302" s="89"/>
      <c r="AF302" s="98"/>
      <c r="AG302" s="98"/>
      <c r="AH302" s="98"/>
      <c r="AI302" s="99" t="s">
        <v>197</v>
      </c>
      <c r="AJ302" s="99" t="s">
        <v>197</v>
      </c>
      <c r="AK302" s="99" t="s">
        <v>67</v>
      </c>
      <c r="AL302" s="45" t="s">
        <v>68</v>
      </c>
      <c r="AM302" s="162" t="str">
        <f t="shared" si="32"/>
        <v>3/2026</v>
      </c>
      <c r="AN302" s="45">
        <f t="shared" si="33"/>
        <v>4</v>
      </c>
      <c r="AO302" s="45" t="str">
        <f t="shared" si="34"/>
        <v>4/2026</v>
      </c>
      <c r="AP302" s="45">
        <f t="shared" si="35"/>
        <v>2</v>
      </c>
      <c r="AQ302" s="45">
        <f t="shared" si="36"/>
        <v>13</v>
      </c>
      <c r="AR302" s="45">
        <f t="shared" si="37"/>
        <v>0</v>
      </c>
      <c r="AS302" s="45">
        <f t="shared" si="38"/>
        <v>7</v>
      </c>
      <c r="AT302" s="45">
        <f t="shared" si="39"/>
        <v>0</v>
      </c>
      <c r="AU302" s="45" t="str">
        <f>_xlfn.XLOOKUP(U302,'Lista Suspensa'!$AA$20:$AA$23,'Lista Suspensa'!$AB$20:$AB$23,"N/A")</f>
        <v>S</v>
      </c>
    </row>
    <row r="303" spans="1:47" ht="12" customHeight="1" x14ac:dyDescent="0.3">
      <c r="A303" s="87" t="s">
        <v>47</v>
      </c>
      <c r="B303" s="88">
        <v>46104</v>
      </c>
      <c r="C303" s="89" t="s">
        <v>48</v>
      </c>
      <c r="D303" s="89" t="s">
        <v>49</v>
      </c>
      <c r="E303" s="90">
        <v>800127765</v>
      </c>
      <c r="F303" s="184" t="s">
        <v>1046</v>
      </c>
      <c r="G303" s="91">
        <v>56133820853</v>
      </c>
      <c r="H303" s="92">
        <v>16521</v>
      </c>
      <c r="I303" s="89">
        <v>80</v>
      </c>
      <c r="J303" s="89" t="s">
        <v>70</v>
      </c>
      <c r="K303" s="89" t="s">
        <v>52</v>
      </c>
      <c r="L303" s="89" t="s">
        <v>1047</v>
      </c>
      <c r="M303" s="89" t="s">
        <v>1048</v>
      </c>
      <c r="N303" s="89" t="s">
        <v>91</v>
      </c>
      <c r="O303" s="93" t="s">
        <v>1049</v>
      </c>
      <c r="P303" s="94" t="s">
        <v>57</v>
      </c>
      <c r="Q303" s="112" t="s">
        <v>58</v>
      </c>
      <c r="R303" s="95">
        <v>46147</v>
      </c>
      <c r="S303" s="96"/>
      <c r="T303" s="96" t="s">
        <v>59</v>
      </c>
      <c r="U303" s="96" t="s">
        <v>60</v>
      </c>
      <c r="V303" s="92">
        <v>46140</v>
      </c>
      <c r="W303" s="92">
        <v>46147</v>
      </c>
      <c r="X303" s="92" t="s">
        <v>61</v>
      </c>
      <c r="Y303" s="97"/>
      <c r="Z303" s="89" t="s">
        <v>62</v>
      </c>
      <c r="AA303" s="96" t="s">
        <v>1050</v>
      </c>
      <c r="AB303" s="89" t="s">
        <v>80</v>
      </c>
      <c r="AC303" s="111"/>
      <c r="AD303" s="89"/>
      <c r="AE303" s="89"/>
      <c r="AF303" s="98"/>
      <c r="AG303" s="98"/>
      <c r="AH303" s="98"/>
      <c r="AI303" s="99" t="s">
        <v>197</v>
      </c>
      <c r="AJ303" s="99" t="s">
        <v>197</v>
      </c>
      <c r="AK303" s="99" t="s">
        <v>67</v>
      </c>
      <c r="AL303" s="45" t="s">
        <v>68</v>
      </c>
      <c r="AM303" s="162" t="str">
        <f t="shared" si="32"/>
        <v>3/2026</v>
      </c>
      <c r="AN303" s="45">
        <f t="shared" si="33"/>
        <v>4</v>
      </c>
      <c r="AO303" s="45" t="str">
        <f t="shared" si="34"/>
        <v>5/2026</v>
      </c>
      <c r="AP303" s="45">
        <f t="shared" si="35"/>
        <v>2</v>
      </c>
      <c r="AQ303" s="45">
        <f t="shared" si="36"/>
        <v>43</v>
      </c>
      <c r="AR303" s="45">
        <f t="shared" si="37"/>
        <v>0</v>
      </c>
      <c r="AS303" s="45">
        <f t="shared" si="38"/>
        <v>7</v>
      </c>
      <c r="AT303" s="45">
        <f t="shared" si="39"/>
        <v>0</v>
      </c>
      <c r="AU303" s="45" t="str">
        <f>_xlfn.XLOOKUP(U303,'Lista Suspensa'!$AA$20:$AA$23,'Lista Suspensa'!$AB$20:$AB$23,"N/A")</f>
        <v>S</v>
      </c>
    </row>
    <row r="304" spans="1:47" ht="12" customHeight="1" x14ac:dyDescent="0.3">
      <c r="A304" s="87" t="s">
        <v>47</v>
      </c>
      <c r="B304" s="88">
        <v>46104</v>
      </c>
      <c r="C304" s="89" t="s">
        <v>48</v>
      </c>
      <c r="D304" s="89" t="s">
        <v>49</v>
      </c>
      <c r="E304" s="90">
        <v>772026882</v>
      </c>
      <c r="F304" s="184" t="s">
        <v>1051</v>
      </c>
      <c r="G304" s="91">
        <v>24671456893</v>
      </c>
      <c r="H304" s="92">
        <v>16235</v>
      </c>
      <c r="I304" s="89">
        <v>81</v>
      </c>
      <c r="J304" s="89" t="s">
        <v>70</v>
      </c>
      <c r="K304" s="89" t="s">
        <v>52</v>
      </c>
      <c r="L304" s="89" t="s">
        <v>53</v>
      </c>
      <c r="M304" s="89" t="s">
        <v>1052</v>
      </c>
      <c r="N304" s="89" t="s">
        <v>91</v>
      </c>
      <c r="O304" s="93" t="s">
        <v>1053</v>
      </c>
      <c r="P304" s="94" t="s">
        <v>57</v>
      </c>
      <c r="Q304" s="112" t="s">
        <v>58</v>
      </c>
      <c r="R304" s="95">
        <v>46147</v>
      </c>
      <c r="S304" s="96"/>
      <c r="T304" s="96" t="s">
        <v>59</v>
      </c>
      <c r="U304" s="96" t="s">
        <v>60</v>
      </c>
      <c r="V304" s="92">
        <v>46140</v>
      </c>
      <c r="W304" s="92">
        <v>46147</v>
      </c>
      <c r="X304" s="92" t="s">
        <v>61</v>
      </c>
      <c r="Y304" s="97"/>
      <c r="Z304" s="89" t="s">
        <v>62</v>
      </c>
      <c r="AA304" s="96" t="s">
        <v>1054</v>
      </c>
      <c r="AB304" s="89" t="s">
        <v>63</v>
      </c>
      <c r="AC304" s="111"/>
      <c r="AD304" s="89"/>
      <c r="AE304" s="89"/>
      <c r="AF304" s="98"/>
      <c r="AG304" s="98"/>
      <c r="AH304" s="98"/>
      <c r="AI304" s="99" t="s">
        <v>197</v>
      </c>
      <c r="AJ304" s="99" t="s">
        <v>197</v>
      </c>
      <c r="AK304" s="99" t="s">
        <v>67</v>
      </c>
      <c r="AL304" s="45" t="s">
        <v>68</v>
      </c>
      <c r="AM304" s="162" t="str">
        <f t="shared" si="32"/>
        <v>3/2026</v>
      </c>
      <c r="AN304" s="45">
        <f t="shared" si="33"/>
        <v>4</v>
      </c>
      <c r="AO304" s="45" t="str">
        <f t="shared" si="34"/>
        <v>5/2026</v>
      </c>
      <c r="AP304" s="45">
        <f t="shared" si="35"/>
        <v>2</v>
      </c>
      <c r="AQ304" s="45">
        <f t="shared" si="36"/>
        <v>43</v>
      </c>
      <c r="AR304" s="45">
        <f t="shared" si="37"/>
        <v>0</v>
      </c>
      <c r="AS304" s="45">
        <f t="shared" si="38"/>
        <v>7</v>
      </c>
      <c r="AT304" s="45">
        <f t="shared" si="39"/>
        <v>1.625</v>
      </c>
      <c r="AU304" s="45" t="str">
        <f>_xlfn.XLOOKUP(U304,'Lista Suspensa'!$AA$20:$AA$23,'Lista Suspensa'!$AB$20:$AB$23,"N/A")</f>
        <v>S</v>
      </c>
    </row>
    <row r="305" spans="1:47" ht="12" customHeight="1" x14ac:dyDescent="0.3">
      <c r="A305" s="87" t="s">
        <v>47</v>
      </c>
      <c r="B305" s="88">
        <v>46104</v>
      </c>
      <c r="C305" s="89" t="s">
        <v>48</v>
      </c>
      <c r="D305" s="89" t="s">
        <v>49</v>
      </c>
      <c r="E305" s="90">
        <v>770904750</v>
      </c>
      <c r="F305" s="184" t="s">
        <v>1055</v>
      </c>
      <c r="G305" s="91">
        <v>19445067800</v>
      </c>
      <c r="H305" s="92">
        <v>17353</v>
      </c>
      <c r="I305" s="89">
        <v>78</v>
      </c>
      <c r="J305" s="89" t="s">
        <v>51</v>
      </c>
      <c r="K305" s="89" t="s">
        <v>52</v>
      </c>
      <c r="L305" s="89" t="s">
        <v>53</v>
      </c>
      <c r="M305" s="89" t="s">
        <v>1056</v>
      </c>
      <c r="N305" s="89" t="s">
        <v>91</v>
      </c>
      <c r="O305" s="93" t="s">
        <v>1057</v>
      </c>
      <c r="P305" s="94" t="s">
        <v>57</v>
      </c>
      <c r="Q305" s="112" t="s">
        <v>58</v>
      </c>
      <c r="R305" s="95">
        <v>46140</v>
      </c>
      <c r="S305" s="96"/>
      <c r="T305" s="96" t="s">
        <v>59</v>
      </c>
      <c r="U305" s="96" t="s">
        <v>60</v>
      </c>
      <c r="V305" s="92">
        <v>46140</v>
      </c>
      <c r="W305" s="92" t="s">
        <v>61</v>
      </c>
      <c r="X305" s="92" t="s">
        <v>61</v>
      </c>
      <c r="Y305" s="97"/>
      <c r="Z305" s="89" t="s">
        <v>62</v>
      </c>
      <c r="AA305" s="96">
        <v>46172.458333333336</v>
      </c>
      <c r="AB305" s="89" t="s">
        <v>80</v>
      </c>
      <c r="AC305" s="111"/>
      <c r="AD305" s="89"/>
      <c r="AE305" s="89"/>
      <c r="AF305" s="98"/>
      <c r="AG305" s="98"/>
      <c r="AH305" s="98"/>
      <c r="AI305" s="99" t="s">
        <v>67</v>
      </c>
      <c r="AJ305" s="99" t="s">
        <v>67</v>
      </c>
      <c r="AK305" s="99" t="s">
        <v>67</v>
      </c>
      <c r="AL305" s="45" t="s">
        <v>68</v>
      </c>
      <c r="AM305" s="162" t="str">
        <f t="shared" si="32"/>
        <v>3/2026</v>
      </c>
      <c r="AN305" s="45">
        <f t="shared" si="33"/>
        <v>4</v>
      </c>
      <c r="AO305" s="45" t="str">
        <f t="shared" si="34"/>
        <v>4/2026</v>
      </c>
      <c r="AP305" s="45">
        <f t="shared" si="35"/>
        <v>5</v>
      </c>
      <c r="AQ305" s="45">
        <f t="shared" si="36"/>
        <v>36</v>
      </c>
      <c r="AR305" s="45">
        <f t="shared" si="37"/>
        <v>0</v>
      </c>
      <c r="AS305" s="45">
        <f t="shared" si="38"/>
        <v>0</v>
      </c>
      <c r="AT305" s="45">
        <f t="shared" si="39"/>
        <v>0</v>
      </c>
      <c r="AU305" s="45" t="str">
        <f>_xlfn.XLOOKUP(U305,'Lista Suspensa'!$AA$20:$AA$23,'Lista Suspensa'!$AB$20:$AB$23,"N/A")</f>
        <v>S</v>
      </c>
    </row>
    <row r="306" spans="1:47" ht="12" customHeight="1" x14ac:dyDescent="0.3">
      <c r="A306" s="87" t="s">
        <v>47</v>
      </c>
      <c r="B306" s="88">
        <v>46104</v>
      </c>
      <c r="C306" s="89" t="s">
        <v>48</v>
      </c>
      <c r="D306" s="89" t="s">
        <v>49</v>
      </c>
      <c r="E306" s="90">
        <v>450016676</v>
      </c>
      <c r="F306" s="184" t="s">
        <v>1058</v>
      </c>
      <c r="G306" s="91">
        <v>32577828888</v>
      </c>
      <c r="H306" s="92">
        <v>14374</v>
      </c>
      <c r="I306" s="89">
        <v>86</v>
      </c>
      <c r="J306" s="89" t="s">
        <v>70</v>
      </c>
      <c r="K306" s="89" t="s">
        <v>52</v>
      </c>
      <c r="L306" s="89" t="s">
        <v>53</v>
      </c>
      <c r="M306" s="89" t="s">
        <v>1059</v>
      </c>
      <c r="N306" s="89" t="s">
        <v>91</v>
      </c>
      <c r="O306" s="93" t="s">
        <v>1060</v>
      </c>
      <c r="P306" s="94" t="s">
        <v>57</v>
      </c>
      <c r="Q306" s="112" t="s">
        <v>58</v>
      </c>
      <c r="R306" s="95">
        <v>46140</v>
      </c>
      <c r="S306" s="96"/>
      <c r="T306" s="96" t="s">
        <v>59</v>
      </c>
      <c r="U306" s="96" t="s">
        <v>60</v>
      </c>
      <c r="V306" s="92">
        <v>46140</v>
      </c>
      <c r="W306" s="92" t="s">
        <v>61</v>
      </c>
      <c r="X306" s="92" t="s">
        <v>61</v>
      </c>
      <c r="Y306" s="97"/>
      <c r="Z306" s="89" t="s">
        <v>62</v>
      </c>
      <c r="AA306" s="96">
        <v>46182</v>
      </c>
      <c r="AB306" s="89" t="s">
        <v>80</v>
      </c>
      <c r="AC306" s="111"/>
      <c r="AD306" s="89"/>
      <c r="AE306" s="89"/>
      <c r="AF306" s="98"/>
      <c r="AG306" s="98"/>
      <c r="AH306" s="98"/>
      <c r="AI306" s="99" t="s">
        <v>67</v>
      </c>
      <c r="AJ306" s="99" t="s">
        <v>67</v>
      </c>
      <c r="AK306" s="99" t="s">
        <v>67</v>
      </c>
      <c r="AL306" s="45" t="s">
        <v>68</v>
      </c>
      <c r="AM306" s="162" t="str">
        <f t="shared" si="32"/>
        <v>3/2026</v>
      </c>
      <c r="AN306" s="45">
        <f t="shared" si="33"/>
        <v>4</v>
      </c>
      <c r="AO306" s="45" t="str">
        <f t="shared" si="34"/>
        <v>4/2026</v>
      </c>
      <c r="AP306" s="45">
        <f t="shared" si="35"/>
        <v>5</v>
      </c>
      <c r="AQ306" s="45">
        <f t="shared" si="36"/>
        <v>36</v>
      </c>
      <c r="AR306" s="45">
        <f t="shared" si="37"/>
        <v>0</v>
      </c>
      <c r="AS306" s="45">
        <f t="shared" si="38"/>
        <v>0</v>
      </c>
      <c r="AT306" s="45">
        <f t="shared" si="39"/>
        <v>0</v>
      </c>
      <c r="AU306" s="45" t="str">
        <f>_xlfn.XLOOKUP(U306,'Lista Suspensa'!$AA$20:$AA$23,'Lista Suspensa'!$AB$20:$AB$23,"N/A")</f>
        <v>S</v>
      </c>
    </row>
    <row r="307" spans="1:47" ht="12" customHeight="1" x14ac:dyDescent="0.3">
      <c r="A307" s="87" t="s">
        <v>47</v>
      </c>
      <c r="B307" s="88">
        <v>46104</v>
      </c>
      <c r="C307" s="89" t="s">
        <v>48</v>
      </c>
      <c r="D307" s="89" t="s">
        <v>49</v>
      </c>
      <c r="E307" s="90">
        <v>300485581</v>
      </c>
      <c r="F307" s="184" t="s">
        <v>1061</v>
      </c>
      <c r="G307" s="91">
        <v>21425891896</v>
      </c>
      <c r="H307" s="92">
        <v>17943</v>
      </c>
      <c r="I307" s="89">
        <v>77</v>
      </c>
      <c r="J307" s="89" t="s">
        <v>70</v>
      </c>
      <c r="K307" s="89" t="s">
        <v>52</v>
      </c>
      <c r="L307" s="89" t="s">
        <v>53</v>
      </c>
      <c r="M307" s="89" t="s">
        <v>1062</v>
      </c>
      <c r="N307" s="89" t="s">
        <v>91</v>
      </c>
      <c r="O307" s="93" t="s">
        <v>1063</v>
      </c>
      <c r="P307" s="94" t="s">
        <v>57</v>
      </c>
      <c r="Q307" s="112" t="s">
        <v>58</v>
      </c>
      <c r="R307" s="95">
        <v>46140</v>
      </c>
      <c r="S307" s="96"/>
      <c r="T307" s="96" t="s">
        <v>59</v>
      </c>
      <c r="U307" s="96" t="s">
        <v>60</v>
      </c>
      <c r="V307" s="92">
        <v>46140</v>
      </c>
      <c r="W307" s="92" t="s">
        <v>61</v>
      </c>
      <c r="X307" s="92" t="s">
        <v>61</v>
      </c>
      <c r="Y307" s="97"/>
      <c r="Z307" s="89" t="s">
        <v>62</v>
      </c>
      <c r="AA307" s="96">
        <v>46148.402777777781</v>
      </c>
      <c r="AB307" s="89" t="s">
        <v>80</v>
      </c>
      <c r="AC307" s="111"/>
      <c r="AD307" s="89"/>
      <c r="AE307" s="89"/>
      <c r="AF307" s="98"/>
      <c r="AG307" s="98"/>
      <c r="AH307" s="98"/>
      <c r="AI307" s="99" t="s">
        <v>67</v>
      </c>
      <c r="AJ307" s="99" t="s">
        <v>67</v>
      </c>
      <c r="AK307" s="99" t="s">
        <v>67</v>
      </c>
      <c r="AL307" s="45" t="s">
        <v>68</v>
      </c>
      <c r="AM307" s="162" t="str">
        <f t="shared" si="32"/>
        <v>3/2026</v>
      </c>
      <c r="AN307" s="45">
        <f t="shared" si="33"/>
        <v>4</v>
      </c>
      <c r="AO307" s="45" t="str">
        <f t="shared" si="34"/>
        <v>4/2026</v>
      </c>
      <c r="AP307" s="45">
        <f t="shared" si="35"/>
        <v>5</v>
      </c>
      <c r="AQ307" s="45">
        <f t="shared" si="36"/>
        <v>36</v>
      </c>
      <c r="AR307" s="45">
        <f t="shared" si="37"/>
        <v>0</v>
      </c>
      <c r="AS307" s="45">
        <f t="shared" si="38"/>
        <v>0</v>
      </c>
      <c r="AT307" s="45">
        <f t="shared" si="39"/>
        <v>0</v>
      </c>
      <c r="AU307" s="45" t="str">
        <f>_xlfn.XLOOKUP(U307,'Lista Suspensa'!$AA$20:$AA$23,'Lista Suspensa'!$AB$20:$AB$23,"N/A")</f>
        <v>S</v>
      </c>
    </row>
    <row r="308" spans="1:47" ht="12" customHeight="1" x14ac:dyDescent="0.3">
      <c r="A308" s="87" t="s">
        <v>47</v>
      </c>
      <c r="B308" s="88">
        <v>46104</v>
      </c>
      <c r="C308" s="89" t="s">
        <v>48</v>
      </c>
      <c r="D308" s="89" t="s">
        <v>49</v>
      </c>
      <c r="E308" s="90">
        <v>452034710</v>
      </c>
      <c r="F308" s="184" t="s">
        <v>1064</v>
      </c>
      <c r="G308" s="91">
        <v>65981294868</v>
      </c>
      <c r="H308" s="92">
        <v>17486</v>
      </c>
      <c r="I308" s="89">
        <v>78</v>
      </c>
      <c r="J308" s="89" t="s">
        <v>51</v>
      </c>
      <c r="K308" s="89" t="s">
        <v>52</v>
      </c>
      <c r="L308" s="89" t="s">
        <v>53</v>
      </c>
      <c r="M308" s="89" t="s">
        <v>1024</v>
      </c>
      <c r="N308" s="89" t="s">
        <v>91</v>
      </c>
      <c r="O308" s="93" t="s">
        <v>1065</v>
      </c>
      <c r="P308" s="94" t="s">
        <v>57</v>
      </c>
      <c r="Q308" s="112" t="s">
        <v>58</v>
      </c>
      <c r="R308" s="95">
        <v>46147</v>
      </c>
      <c r="S308" s="96"/>
      <c r="T308" s="96" t="s">
        <v>59</v>
      </c>
      <c r="U308" s="96" t="s">
        <v>60</v>
      </c>
      <c r="V308" s="92">
        <v>46112</v>
      </c>
      <c r="W308" s="92">
        <v>46147</v>
      </c>
      <c r="X308" s="92" t="s">
        <v>61</v>
      </c>
      <c r="Y308" s="97"/>
      <c r="Z308" s="89" t="s">
        <v>62</v>
      </c>
      <c r="AA308" s="96" t="s">
        <v>1066</v>
      </c>
      <c r="AB308" s="89" t="s">
        <v>80</v>
      </c>
      <c r="AC308" s="111"/>
      <c r="AD308" s="89"/>
      <c r="AE308" s="89"/>
      <c r="AF308" s="98"/>
      <c r="AG308" s="98"/>
      <c r="AH308" s="98"/>
      <c r="AI308" s="99" t="s">
        <v>197</v>
      </c>
      <c r="AJ308" s="99" t="s">
        <v>197</v>
      </c>
      <c r="AK308" s="99" t="s">
        <v>67</v>
      </c>
      <c r="AL308" s="45" t="s">
        <v>68</v>
      </c>
      <c r="AM308" s="162" t="str">
        <f t="shared" si="32"/>
        <v>3/2026</v>
      </c>
      <c r="AN308" s="45">
        <f t="shared" si="33"/>
        <v>4</v>
      </c>
      <c r="AO308" s="45" t="str">
        <f t="shared" si="34"/>
        <v>5/2026</v>
      </c>
      <c r="AP308" s="45">
        <f t="shared" si="35"/>
        <v>2</v>
      </c>
      <c r="AQ308" s="45">
        <f t="shared" si="36"/>
        <v>43</v>
      </c>
      <c r="AR308" s="45">
        <f t="shared" si="37"/>
        <v>0</v>
      </c>
      <c r="AS308" s="45">
        <f t="shared" si="38"/>
        <v>35</v>
      </c>
      <c r="AT308" s="45">
        <f t="shared" si="39"/>
        <v>0</v>
      </c>
      <c r="AU308" s="45" t="str">
        <f>_xlfn.XLOOKUP(U308,'Lista Suspensa'!$AA$20:$AA$23,'Lista Suspensa'!$AB$20:$AB$23,"N/A")</f>
        <v>S</v>
      </c>
    </row>
    <row r="309" spans="1:47" ht="12" customHeight="1" x14ac:dyDescent="0.3">
      <c r="A309" s="87" t="s">
        <v>47</v>
      </c>
      <c r="B309" s="88">
        <v>46104</v>
      </c>
      <c r="C309" s="89" t="s">
        <v>48</v>
      </c>
      <c r="D309" s="89" t="s">
        <v>49</v>
      </c>
      <c r="E309" s="90">
        <v>749132876</v>
      </c>
      <c r="F309" s="184" t="s">
        <v>1067</v>
      </c>
      <c r="G309" s="91">
        <v>60147636787</v>
      </c>
      <c r="H309" s="92">
        <v>20399</v>
      </c>
      <c r="I309" s="89">
        <v>70</v>
      </c>
      <c r="J309" s="89" t="s">
        <v>51</v>
      </c>
      <c r="K309" s="89" t="s">
        <v>88</v>
      </c>
      <c r="L309" s="89" t="s">
        <v>89</v>
      </c>
      <c r="M309" s="89" t="s">
        <v>892</v>
      </c>
      <c r="N309" s="89" t="s">
        <v>91</v>
      </c>
      <c r="O309" s="93" t="s">
        <v>1068</v>
      </c>
      <c r="P309" s="94" t="s">
        <v>57</v>
      </c>
      <c r="Q309" s="112" t="s">
        <v>58</v>
      </c>
      <c r="R309" s="95">
        <v>46147</v>
      </c>
      <c r="S309" s="96"/>
      <c r="T309" s="96" t="s">
        <v>59</v>
      </c>
      <c r="U309" s="96" t="s">
        <v>60</v>
      </c>
      <c r="V309" s="92">
        <v>46122</v>
      </c>
      <c r="W309" s="92">
        <v>46147</v>
      </c>
      <c r="X309" s="92" t="s">
        <v>61</v>
      </c>
      <c r="Y309" s="97"/>
      <c r="Z309" s="89" t="s">
        <v>62</v>
      </c>
      <c r="AA309" s="96">
        <v>46157</v>
      </c>
      <c r="AB309" s="89" t="s">
        <v>80</v>
      </c>
      <c r="AC309" s="111"/>
      <c r="AD309" s="89"/>
      <c r="AE309" s="89"/>
      <c r="AF309" s="98"/>
      <c r="AG309" s="98"/>
      <c r="AH309" s="98"/>
      <c r="AI309" s="99" t="s">
        <v>197</v>
      </c>
      <c r="AJ309" s="99" t="s">
        <v>197</v>
      </c>
      <c r="AK309" s="99" t="s">
        <v>67</v>
      </c>
      <c r="AL309" s="45" t="s">
        <v>68</v>
      </c>
      <c r="AM309" s="162" t="str">
        <f t="shared" si="32"/>
        <v>3/2026</v>
      </c>
      <c r="AN309" s="45">
        <f t="shared" si="33"/>
        <v>4</v>
      </c>
      <c r="AO309" s="45" t="str">
        <f t="shared" si="34"/>
        <v>5/2026</v>
      </c>
      <c r="AP309" s="45">
        <f t="shared" si="35"/>
        <v>2</v>
      </c>
      <c r="AQ309" s="45">
        <f t="shared" si="36"/>
        <v>43</v>
      </c>
      <c r="AR309" s="45">
        <f t="shared" si="37"/>
        <v>0</v>
      </c>
      <c r="AS309" s="45">
        <f t="shared" si="38"/>
        <v>25</v>
      </c>
      <c r="AT309" s="45">
        <f t="shared" si="39"/>
        <v>0</v>
      </c>
      <c r="AU309" s="45" t="str">
        <f>_xlfn.XLOOKUP(U309,'Lista Suspensa'!$AA$20:$AA$23,'Lista Suspensa'!$AB$20:$AB$23,"N/A")</f>
        <v>S</v>
      </c>
    </row>
    <row r="310" spans="1:47" ht="12" customHeight="1" x14ac:dyDescent="0.3">
      <c r="A310" s="87" t="s">
        <v>47</v>
      </c>
      <c r="B310" s="88">
        <v>46104</v>
      </c>
      <c r="C310" s="89" t="s">
        <v>48</v>
      </c>
      <c r="D310" s="89" t="s">
        <v>49</v>
      </c>
      <c r="E310" s="90">
        <v>448057549</v>
      </c>
      <c r="F310" s="184" t="s">
        <v>1069</v>
      </c>
      <c r="G310" s="91">
        <v>15792881898</v>
      </c>
      <c r="H310" s="92">
        <v>14501</v>
      </c>
      <c r="I310" s="89">
        <v>86</v>
      </c>
      <c r="J310" s="89" t="s">
        <v>70</v>
      </c>
      <c r="K310" s="89" t="s">
        <v>52</v>
      </c>
      <c r="L310" s="89" t="s">
        <v>1070</v>
      </c>
      <c r="M310" s="89" t="s">
        <v>1071</v>
      </c>
      <c r="N310" s="89" t="s">
        <v>237</v>
      </c>
      <c r="O310" s="93" t="s">
        <v>1072</v>
      </c>
      <c r="P310" s="94" t="s">
        <v>57</v>
      </c>
      <c r="Q310" s="112" t="s">
        <v>58</v>
      </c>
      <c r="R310" s="95">
        <v>46140</v>
      </c>
      <c r="S310" s="96"/>
      <c r="T310" s="96" t="s">
        <v>59</v>
      </c>
      <c r="U310" s="96" t="s">
        <v>60</v>
      </c>
      <c r="V310" s="92">
        <v>46140</v>
      </c>
      <c r="W310" s="92" t="s">
        <v>61</v>
      </c>
      <c r="X310" s="92" t="s">
        <v>61</v>
      </c>
      <c r="Y310" s="97"/>
      <c r="Z310" s="89" t="s">
        <v>62</v>
      </c>
      <c r="AA310" s="96">
        <v>46141.611111111109</v>
      </c>
      <c r="AB310" s="89" t="s">
        <v>63</v>
      </c>
      <c r="AC310" s="111"/>
      <c r="AD310" s="89" t="s">
        <v>265</v>
      </c>
      <c r="AE310" s="89">
        <v>31</v>
      </c>
      <c r="AF310" s="98" t="s">
        <v>138</v>
      </c>
      <c r="AG310" s="98"/>
      <c r="AH310" s="98" t="s">
        <v>139</v>
      </c>
      <c r="AI310" s="99" t="s">
        <v>67</v>
      </c>
      <c r="AJ310" s="99" t="s">
        <v>67</v>
      </c>
      <c r="AK310" s="99" t="s">
        <v>67</v>
      </c>
      <c r="AL310" s="45" t="s">
        <v>68</v>
      </c>
      <c r="AM310" s="162" t="str">
        <f t="shared" si="32"/>
        <v>3/2026</v>
      </c>
      <c r="AN310" s="45">
        <f t="shared" si="33"/>
        <v>4</v>
      </c>
      <c r="AO310" s="45" t="str">
        <f t="shared" si="34"/>
        <v>4/2026</v>
      </c>
      <c r="AP310" s="45">
        <f t="shared" si="35"/>
        <v>5</v>
      </c>
      <c r="AQ310" s="45">
        <f t="shared" si="36"/>
        <v>36</v>
      </c>
      <c r="AR310" s="45">
        <f t="shared" si="37"/>
        <v>0</v>
      </c>
      <c r="AS310" s="45">
        <f t="shared" si="38"/>
        <v>0</v>
      </c>
      <c r="AT310" s="45">
        <f t="shared" si="39"/>
        <v>1.6111111111094942</v>
      </c>
      <c r="AU310" s="45" t="str">
        <f>_xlfn.XLOOKUP(U310,'Lista Suspensa'!$AA$20:$AA$23,'Lista Suspensa'!$AB$20:$AB$23,"N/A")</f>
        <v>S</v>
      </c>
    </row>
    <row r="311" spans="1:47" ht="12" customHeight="1" x14ac:dyDescent="0.3">
      <c r="A311" s="87" t="s">
        <v>47</v>
      </c>
      <c r="B311" s="88">
        <v>46104</v>
      </c>
      <c r="C311" s="89" t="s">
        <v>48</v>
      </c>
      <c r="D311" s="89" t="s">
        <v>49</v>
      </c>
      <c r="E311" s="90">
        <v>742637824</v>
      </c>
      <c r="F311" s="184" t="s">
        <v>1073</v>
      </c>
      <c r="G311" s="91">
        <v>7551885781</v>
      </c>
      <c r="H311" s="92">
        <v>19061</v>
      </c>
      <c r="I311" s="89">
        <v>74</v>
      </c>
      <c r="J311" s="89" t="s">
        <v>70</v>
      </c>
      <c r="K311" s="89" t="s">
        <v>88</v>
      </c>
      <c r="L311" s="89" t="s">
        <v>89</v>
      </c>
      <c r="M311" s="89" t="s">
        <v>1074</v>
      </c>
      <c r="N311" s="89" t="s">
        <v>237</v>
      </c>
      <c r="O311" s="93" t="s">
        <v>1075</v>
      </c>
      <c r="P311" s="94" t="s">
        <v>57</v>
      </c>
      <c r="Q311" s="112" t="s">
        <v>58</v>
      </c>
      <c r="R311" s="95">
        <v>46140</v>
      </c>
      <c r="S311" s="96"/>
      <c r="T311" s="96" t="s">
        <v>59</v>
      </c>
      <c r="U311" s="96" t="s">
        <v>60</v>
      </c>
      <c r="V311" s="92">
        <v>46140</v>
      </c>
      <c r="W311" s="92" t="s">
        <v>61</v>
      </c>
      <c r="X311" s="92" t="s">
        <v>61</v>
      </c>
      <c r="Y311" s="97"/>
      <c r="Z311" s="89" t="s">
        <v>62</v>
      </c>
      <c r="AA311" s="96" t="s">
        <v>716</v>
      </c>
      <c r="AB311" s="89" t="s">
        <v>63</v>
      </c>
      <c r="AC311" s="111"/>
      <c r="AD311" s="89"/>
      <c r="AE311" s="89"/>
      <c r="AF311" s="98"/>
      <c r="AG311" s="98"/>
      <c r="AH311" s="98"/>
      <c r="AI311" s="99" t="s">
        <v>67</v>
      </c>
      <c r="AJ311" s="99" t="s">
        <v>67</v>
      </c>
      <c r="AK311" s="99" t="s">
        <v>67</v>
      </c>
      <c r="AL311" s="45" t="s">
        <v>68</v>
      </c>
      <c r="AM311" s="162" t="str">
        <f t="shared" si="32"/>
        <v>3/2026</v>
      </c>
      <c r="AN311" s="45">
        <f t="shared" si="33"/>
        <v>4</v>
      </c>
      <c r="AO311" s="45" t="str">
        <f t="shared" si="34"/>
        <v>4/2026</v>
      </c>
      <c r="AP311" s="45">
        <f t="shared" si="35"/>
        <v>5</v>
      </c>
      <c r="AQ311" s="45">
        <f t="shared" si="36"/>
        <v>36</v>
      </c>
      <c r="AR311" s="45">
        <f t="shared" si="37"/>
        <v>0</v>
      </c>
      <c r="AS311" s="45">
        <f t="shared" si="38"/>
        <v>0</v>
      </c>
      <c r="AT311" s="45">
        <f t="shared" si="39"/>
        <v>1.6111111111094942</v>
      </c>
      <c r="AU311" s="45" t="str">
        <f>_xlfn.XLOOKUP(U311,'Lista Suspensa'!$AA$20:$AA$23,'Lista Suspensa'!$AB$20:$AB$23,"N/A")</f>
        <v>S</v>
      </c>
    </row>
    <row r="312" spans="1:47" ht="12" customHeight="1" x14ac:dyDescent="0.3">
      <c r="A312" s="87" t="s">
        <v>47</v>
      </c>
      <c r="B312" s="88">
        <v>46104</v>
      </c>
      <c r="C312" s="89" t="s">
        <v>48</v>
      </c>
      <c r="D312" s="89" t="s">
        <v>49</v>
      </c>
      <c r="E312" s="90">
        <v>744996988</v>
      </c>
      <c r="F312" s="184" t="s">
        <v>1076</v>
      </c>
      <c r="G312" s="91">
        <v>40284158704</v>
      </c>
      <c r="H312" s="92">
        <v>12422</v>
      </c>
      <c r="I312" s="89">
        <v>92</v>
      </c>
      <c r="J312" s="89" t="s">
        <v>51</v>
      </c>
      <c r="K312" s="89" t="s">
        <v>88</v>
      </c>
      <c r="L312" s="89" t="s">
        <v>89</v>
      </c>
      <c r="M312" s="89" t="s">
        <v>112</v>
      </c>
      <c r="N312" s="89" t="s">
        <v>237</v>
      </c>
      <c r="O312" s="93" t="s">
        <v>1077</v>
      </c>
      <c r="P312" s="94" t="s">
        <v>57</v>
      </c>
      <c r="Q312" s="112" t="s">
        <v>58</v>
      </c>
      <c r="R312" s="95">
        <v>46140</v>
      </c>
      <c r="S312" s="96"/>
      <c r="T312" s="96" t="s">
        <v>59</v>
      </c>
      <c r="U312" s="96" t="s">
        <v>60</v>
      </c>
      <c r="V312" s="92">
        <v>46140</v>
      </c>
      <c r="W312" s="92" t="s">
        <v>61</v>
      </c>
      <c r="X312" s="92" t="s">
        <v>61</v>
      </c>
      <c r="Y312" s="97"/>
      <c r="Z312" s="89" t="s">
        <v>62</v>
      </c>
      <c r="AA312" s="96" t="s">
        <v>1078</v>
      </c>
      <c r="AB312" s="89" t="s">
        <v>80</v>
      </c>
      <c r="AC312" s="111"/>
      <c r="AD312" s="89"/>
      <c r="AE312" s="89"/>
      <c r="AF312" s="98"/>
      <c r="AG312" s="98"/>
      <c r="AH312" s="98"/>
      <c r="AI312" s="99" t="s">
        <v>67</v>
      </c>
      <c r="AJ312" s="99" t="s">
        <v>67</v>
      </c>
      <c r="AK312" s="99" t="s">
        <v>67</v>
      </c>
      <c r="AL312" s="45" t="s">
        <v>68</v>
      </c>
      <c r="AM312" s="162" t="str">
        <f t="shared" si="32"/>
        <v>3/2026</v>
      </c>
      <c r="AN312" s="45">
        <f t="shared" si="33"/>
        <v>4</v>
      </c>
      <c r="AO312" s="45" t="str">
        <f t="shared" si="34"/>
        <v>4/2026</v>
      </c>
      <c r="AP312" s="45">
        <f t="shared" si="35"/>
        <v>5</v>
      </c>
      <c r="AQ312" s="45">
        <f t="shared" si="36"/>
        <v>36</v>
      </c>
      <c r="AR312" s="45">
        <f t="shared" si="37"/>
        <v>0</v>
      </c>
      <c r="AS312" s="45">
        <f t="shared" si="38"/>
        <v>0</v>
      </c>
      <c r="AT312" s="45">
        <f t="shared" si="39"/>
        <v>0</v>
      </c>
      <c r="AU312" s="45" t="str">
        <f>_xlfn.XLOOKUP(U312,'Lista Suspensa'!$AA$20:$AA$23,'Lista Suspensa'!$AB$20:$AB$23,"N/A")</f>
        <v>S</v>
      </c>
    </row>
    <row r="313" spans="1:47" ht="12" customHeight="1" x14ac:dyDescent="0.3">
      <c r="A313" s="87" t="s">
        <v>47</v>
      </c>
      <c r="B313" s="88">
        <v>46104</v>
      </c>
      <c r="C313" s="89" t="s">
        <v>48</v>
      </c>
      <c r="D313" s="89" t="s">
        <v>49</v>
      </c>
      <c r="E313" s="90">
        <v>742368548</v>
      </c>
      <c r="F313" s="184" t="s">
        <v>1079</v>
      </c>
      <c r="G313" s="91">
        <v>42816181715</v>
      </c>
      <c r="H313" s="92">
        <v>19066</v>
      </c>
      <c r="I313" s="89">
        <v>74</v>
      </c>
      <c r="J313" s="89" t="s">
        <v>70</v>
      </c>
      <c r="K313" s="89" t="s">
        <v>88</v>
      </c>
      <c r="L313" s="89" t="s">
        <v>89</v>
      </c>
      <c r="M313" s="89" t="s">
        <v>384</v>
      </c>
      <c r="N313" s="89" t="s">
        <v>237</v>
      </c>
      <c r="O313" s="93" t="s">
        <v>1080</v>
      </c>
      <c r="P313" s="94" t="s">
        <v>57</v>
      </c>
      <c r="Q313" s="112" t="s">
        <v>58</v>
      </c>
      <c r="R313" s="95">
        <v>46140</v>
      </c>
      <c r="S313" s="96"/>
      <c r="T313" s="96" t="s">
        <v>59</v>
      </c>
      <c r="U313" s="96" t="s">
        <v>60</v>
      </c>
      <c r="V313" s="92">
        <v>46140</v>
      </c>
      <c r="W313" s="92" t="s">
        <v>61</v>
      </c>
      <c r="X313" s="92" t="s">
        <v>61</v>
      </c>
      <c r="Y313" s="97"/>
      <c r="Z313" s="89" t="s">
        <v>62</v>
      </c>
      <c r="AA313" s="96" t="s">
        <v>1081</v>
      </c>
      <c r="AB313" s="89" t="s">
        <v>63</v>
      </c>
      <c r="AC313" s="111"/>
      <c r="AD313" s="89" t="s">
        <v>86</v>
      </c>
      <c r="AE313" s="89">
        <v>59</v>
      </c>
      <c r="AF313" s="98" t="s">
        <v>248</v>
      </c>
      <c r="AG313" s="98"/>
      <c r="AH313" s="98" t="s">
        <v>66</v>
      </c>
      <c r="AI313" s="99" t="s">
        <v>67</v>
      </c>
      <c r="AJ313" s="99" t="s">
        <v>67</v>
      </c>
      <c r="AK313" s="99" t="s">
        <v>67</v>
      </c>
      <c r="AL313" s="45" t="s">
        <v>68</v>
      </c>
      <c r="AM313" s="162" t="str">
        <f t="shared" si="32"/>
        <v>3/2026</v>
      </c>
      <c r="AN313" s="45">
        <f t="shared" si="33"/>
        <v>4</v>
      </c>
      <c r="AO313" s="45" t="str">
        <f t="shared" si="34"/>
        <v>4/2026</v>
      </c>
      <c r="AP313" s="45">
        <f t="shared" si="35"/>
        <v>5</v>
      </c>
      <c r="AQ313" s="45">
        <f t="shared" si="36"/>
        <v>36</v>
      </c>
      <c r="AR313" s="45">
        <f t="shared" si="37"/>
        <v>0</v>
      </c>
      <c r="AS313" s="45">
        <f t="shared" si="38"/>
        <v>0</v>
      </c>
      <c r="AT313" s="45">
        <f t="shared" si="39"/>
        <v>1.5138888888905058</v>
      </c>
      <c r="AU313" s="45" t="str">
        <f>_xlfn.XLOOKUP(U313,'Lista Suspensa'!$AA$20:$AA$23,'Lista Suspensa'!$AB$20:$AB$23,"N/A")</f>
        <v>S</v>
      </c>
    </row>
    <row r="314" spans="1:47" ht="12" customHeight="1" x14ac:dyDescent="0.3">
      <c r="A314" s="87" t="s">
        <v>47</v>
      </c>
      <c r="B314" s="88">
        <v>46104</v>
      </c>
      <c r="C314" s="89" t="s">
        <v>48</v>
      </c>
      <c r="D314" s="89" t="s">
        <v>49</v>
      </c>
      <c r="E314" s="90">
        <v>451170407</v>
      </c>
      <c r="F314" s="184" t="s">
        <v>1082</v>
      </c>
      <c r="G314" s="91">
        <v>33307466887</v>
      </c>
      <c r="H314" s="92">
        <v>18037</v>
      </c>
      <c r="I314" s="89">
        <v>76</v>
      </c>
      <c r="J314" s="89" t="s">
        <v>51</v>
      </c>
      <c r="K314" s="89" t="s">
        <v>52</v>
      </c>
      <c r="L314" s="89" t="s">
        <v>53</v>
      </c>
      <c r="M314" s="89" t="s">
        <v>1083</v>
      </c>
      <c r="N314" s="89" t="s">
        <v>91</v>
      </c>
      <c r="O314" s="93" t="s">
        <v>1084</v>
      </c>
      <c r="P314" s="94" t="s">
        <v>57</v>
      </c>
      <c r="Q314" s="112" t="s">
        <v>58</v>
      </c>
      <c r="R314" s="95">
        <v>46164</v>
      </c>
      <c r="S314" s="96"/>
      <c r="T314" s="96" t="s">
        <v>59</v>
      </c>
      <c r="U314" s="96" t="s">
        <v>60</v>
      </c>
      <c r="V314" s="92">
        <v>46122</v>
      </c>
      <c r="W314" s="92">
        <v>46141</v>
      </c>
      <c r="X314" s="92">
        <v>46142</v>
      </c>
      <c r="Y314" s="97"/>
      <c r="Z314" s="89"/>
      <c r="AA314" s="96"/>
      <c r="AB314" s="89"/>
      <c r="AC314" s="111"/>
      <c r="AD314" s="89"/>
      <c r="AE314" s="89"/>
      <c r="AF314" s="98"/>
      <c r="AG314" s="98"/>
      <c r="AH314" s="98"/>
      <c r="AI314" s="99"/>
      <c r="AJ314" s="99" t="s">
        <v>197</v>
      </c>
      <c r="AK314" s="99" t="s">
        <v>67</v>
      </c>
      <c r="AL314" s="45" t="s">
        <v>68</v>
      </c>
      <c r="AM314" s="162" t="str">
        <f t="shared" si="32"/>
        <v>3/2026</v>
      </c>
      <c r="AN314" s="45">
        <f t="shared" si="33"/>
        <v>4</v>
      </c>
      <c r="AO314" s="45" t="str">
        <f t="shared" si="34"/>
        <v>5/2026</v>
      </c>
      <c r="AP314" s="45">
        <f t="shared" si="35"/>
        <v>4</v>
      </c>
      <c r="AQ314" s="45">
        <f t="shared" si="36"/>
        <v>60</v>
      </c>
      <c r="AR314" s="45">
        <f t="shared" si="37"/>
        <v>0</v>
      </c>
      <c r="AS314" s="45">
        <f t="shared" si="38"/>
        <v>10</v>
      </c>
      <c r="AT314" s="45">
        <f t="shared" si="39"/>
        <v>0</v>
      </c>
      <c r="AU314" s="45" t="str">
        <f>_xlfn.XLOOKUP(U314,'Lista Suspensa'!$AA$20:$AA$23,'Lista Suspensa'!$AB$20:$AB$23,"N/A")</f>
        <v>S</v>
      </c>
    </row>
    <row r="315" spans="1:47" ht="12" customHeight="1" x14ac:dyDescent="0.3">
      <c r="A315" s="87" t="s">
        <v>47</v>
      </c>
      <c r="B315" s="88">
        <v>46104</v>
      </c>
      <c r="C315" s="89" t="s">
        <v>48</v>
      </c>
      <c r="D315" s="89" t="s">
        <v>49</v>
      </c>
      <c r="E315" s="90">
        <v>71366652</v>
      </c>
      <c r="F315" s="184" t="s">
        <v>1085</v>
      </c>
      <c r="G315" s="91">
        <v>7073223758</v>
      </c>
      <c r="H315" s="92">
        <v>27521</v>
      </c>
      <c r="I315" s="89">
        <v>50</v>
      </c>
      <c r="J315" s="89" t="s">
        <v>51</v>
      </c>
      <c r="K315" s="89" t="s">
        <v>88</v>
      </c>
      <c r="L315" s="89" t="s">
        <v>603</v>
      </c>
      <c r="M315" s="89" t="s">
        <v>1086</v>
      </c>
      <c r="N315" s="89" t="s">
        <v>237</v>
      </c>
      <c r="O315" s="93" t="s">
        <v>1087</v>
      </c>
      <c r="P315" s="94" t="s">
        <v>57</v>
      </c>
      <c r="Q315" s="112" t="s">
        <v>58</v>
      </c>
      <c r="R315" s="95">
        <v>46140</v>
      </c>
      <c r="S315" s="96"/>
      <c r="T315" s="96" t="s">
        <v>59</v>
      </c>
      <c r="U315" s="96" t="s">
        <v>60</v>
      </c>
      <c r="V315" s="92">
        <v>46140</v>
      </c>
      <c r="W315" s="92" t="s">
        <v>61</v>
      </c>
      <c r="X315" s="92" t="s">
        <v>61</v>
      </c>
      <c r="Y315" s="97"/>
      <c r="Z315" s="89" t="s">
        <v>62</v>
      </c>
      <c r="AA315" s="96">
        <v>46141.597222222219</v>
      </c>
      <c r="AB315" s="89" t="s">
        <v>80</v>
      </c>
      <c r="AC315" s="111"/>
      <c r="AD315" s="89"/>
      <c r="AE315" s="89"/>
      <c r="AF315" s="98"/>
      <c r="AG315" s="98"/>
      <c r="AH315" s="98"/>
      <c r="AI315" s="99" t="s">
        <v>67</v>
      </c>
      <c r="AJ315" s="99" t="s">
        <v>67</v>
      </c>
      <c r="AK315" s="99" t="s">
        <v>67</v>
      </c>
      <c r="AL315" s="45" t="s">
        <v>68</v>
      </c>
      <c r="AM315" s="162" t="str">
        <f t="shared" si="32"/>
        <v>3/2026</v>
      </c>
      <c r="AN315" s="45">
        <f t="shared" si="33"/>
        <v>4</v>
      </c>
      <c r="AO315" s="45" t="str">
        <f t="shared" si="34"/>
        <v>4/2026</v>
      </c>
      <c r="AP315" s="45">
        <f t="shared" si="35"/>
        <v>5</v>
      </c>
      <c r="AQ315" s="45">
        <f t="shared" si="36"/>
        <v>36</v>
      </c>
      <c r="AR315" s="45">
        <f t="shared" si="37"/>
        <v>0</v>
      </c>
      <c r="AS315" s="45">
        <f t="shared" si="38"/>
        <v>0</v>
      </c>
      <c r="AT315" s="45">
        <f t="shared" si="39"/>
        <v>0</v>
      </c>
      <c r="AU315" s="45" t="str">
        <f>_xlfn.XLOOKUP(U315,'Lista Suspensa'!$AA$20:$AA$23,'Lista Suspensa'!$AB$20:$AB$23,"N/A")</f>
        <v>S</v>
      </c>
    </row>
    <row r="316" spans="1:47" ht="12" customHeight="1" x14ac:dyDescent="0.3">
      <c r="A316" s="87" t="s">
        <v>47</v>
      </c>
      <c r="B316" s="88">
        <v>46104</v>
      </c>
      <c r="C316" s="89" t="s">
        <v>48</v>
      </c>
      <c r="D316" s="89" t="s">
        <v>49</v>
      </c>
      <c r="E316" s="90">
        <v>451167147</v>
      </c>
      <c r="F316" s="184" t="s">
        <v>1088</v>
      </c>
      <c r="G316" s="91">
        <v>9410785820</v>
      </c>
      <c r="H316" s="92">
        <v>24708</v>
      </c>
      <c r="I316" s="89">
        <v>58</v>
      </c>
      <c r="J316" s="89" t="s">
        <v>70</v>
      </c>
      <c r="K316" s="89" t="s">
        <v>52</v>
      </c>
      <c r="L316" s="89" t="s">
        <v>53</v>
      </c>
      <c r="M316" s="89" t="s">
        <v>1089</v>
      </c>
      <c r="N316" s="89" t="s">
        <v>91</v>
      </c>
      <c r="O316" s="93" t="s">
        <v>1090</v>
      </c>
      <c r="P316" s="94" t="s">
        <v>57</v>
      </c>
      <c r="Q316" s="112" t="s">
        <v>58</v>
      </c>
      <c r="R316" s="95">
        <v>46164</v>
      </c>
      <c r="S316" s="96"/>
      <c r="T316" s="96" t="s">
        <v>59</v>
      </c>
      <c r="U316" s="96" t="s">
        <v>60</v>
      </c>
      <c r="V316" s="92">
        <v>46147</v>
      </c>
      <c r="W316" s="92">
        <v>46154</v>
      </c>
      <c r="X316" s="92">
        <v>46160</v>
      </c>
      <c r="Y316" s="97"/>
      <c r="Z316" s="89"/>
      <c r="AA316" s="96"/>
      <c r="AB316" s="89"/>
      <c r="AC316" s="111"/>
      <c r="AD316" s="89"/>
      <c r="AE316" s="89"/>
      <c r="AF316" s="98"/>
      <c r="AG316" s="98"/>
      <c r="AH316" s="98"/>
      <c r="AI316" s="99"/>
      <c r="AJ316" s="99" t="s">
        <v>197</v>
      </c>
      <c r="AK316" s="99" t="s">
        <v>67</v>
      </c>
      <c r="AL316" s="45" t="s">
        <v>68</v>
      </c>
      <c r="AM316" s="162" t="str">
        <f t="shared" si="32"/>
        <v>3/2026</v>
      </c>
      <c r="AN316" s="45">
        <f t="shared" si="33"/>
        <v>4</v>
      </c>
      <c r="AO316" s="45" t="str">
        <f t="shared" si="34"/>
        <v>5/2026</v>
      </c>
      <c r="AP316" s="45">
        <f t="shared" si="35"/>
        <v>4</v>
      </c>
      <c r="AQ316" s="45">
        <f t="shared" si="36"/>
        <v>60</v>
      </c>
      <c r="AR316" s="45">
        <f t="shared" si="37"/>
        <v>0</v>
      </c>
      <c r="AS316" s="45">
        <f t="shared" si="38"/>
        <v>6.5</v>
      </c>
      <c r="AT316" s="45">
        <f t="shared" si="39"/>
        <v>0</v>
      </c>
      <c r="AU316" s="45" t="str">
        <f>_xlfn.XLOOKUP(U316,'Lista Suspensa'!$AA$20:$AA$23,'Lista Suspensa'!$AB$20:$AB$23,"N/A")</f>
        <v>S</v>
      </c>
    </row>
    <row r="317" spans="1:47" ht="12" customHeight="1" x14ac:dyDescent="0.3">
      <c r="A317" s="87" t="s">
        <v>47</v>
      </c>
      <c r="B317" s="88">
        <v>46104</v>
      </c>
      <c r="C317" s="89" t="s">
        <v>48</v>
      </c>
      <c r="D317" s="89" t="s">
        <v>49</v>
      </c>
      <c r="E317" s="90">
        <v>481902139</v>
      </c>
      <c r="F317" s="184" t="s">
        <v>1091</v>
      </c>
      <c r="G317" s="91">
        <v>58678891734</v>
      </c>
      <c r="H317" s="92">
        <v>22059</v>
      </c>
      <c r="I317" s="89">
        <v>65</v>
      </c>
      <c r="J317" s="89" t="s">
        <v>51</v>
      </c>
      <c r="K317" s="89" t="s">
        <v>88</v>
      </c>
      <c r="L317" s="89" t="s">
        <v>89</v>
      </c>
      <c r="M317" s="89" t="s">
        <v>1092</v>
      </c>
      <c r="N317" s="89" t="s">
        <v>237</v>
      </c>
      <c r="O317" s="93" t="s">
        <v>1093</v>
      </c>
      <c r="P317" s="94" t="s">
        <v>57</v>
      </c>
      <c r="Q317" s="112" t="s">
        <v>58</v>
      </c>
      <c r="R317" s="95">
        <v>46140</v>
      </c>
      <c r="S317" s="96"/>
      <c r="T317" s="96" t="s">
        <v>59</v>
      </c>
      <c r="U317" s="96" t="s">
        <v>60</v>
      </c>
      <c r="V317" s="92">
        <v>46140</v>
      </c>
      <c r="W317" s="92" t="s">
        <v>61</v>
      </c>
      <c r="X317" s="92" t="s">
        <v>61</v>
      </c>
      <c r="Y317" s="97"/>
      <c r="Z317" s="89" t="s">
        <v>62</v>
      </c>
      <c r="AA317" s="96">
        <v>46182</v>
      </c>
      <c r="AB317" s="89" t="s">
        <v>80</v>
      </c>
      <c r="AC317" s="111"/>
      <c r="AD317" s="89"/>
      <c r="AE317" s="89"/>
      <c r="AF317" s="98"/>
      <c r="AG317" s="98"/>
      <c r="AH317" s="98"/>
      <c r="AI317" s="99" t="s">
        <v>67</v>
      </c>
      <c r="AJ317" s="99" t="s">
        <v>67</v>
      </c>
      <c r="AK317" s="99" t="s">
        <v>67</v>
      </c>
      <c r="AL317" s="45" t="s">
        <v>68</v>
      </c>
      <c r="AM317" s="162" t="str">
        <f t="shared" si="32"/>
        <v>3/2026</v>
      </c>
      <c r="AN317" s="45">
        <f t="shared" si="33"/>
        <v>4</v>
      </c>
      <c r="AO317" s="45" t="str">
        <f t="shared" si="34"/>
        <v>4/2026</v>
      </c>
      <c r="AP317" s="45">
        <f t="shared" si="35"/>
        <v>5</v>
      </c>
      <c r="AQ317" s="45">
        <f t="shared" si="36"/>
        <v>36</v>
      </c>
      <c r="AR317" s="45">
        <f t="shared" si="37"/>
        <v>0</v>
      </c>
      <c r="AS317" s="45">
        <f t="shared" si="38"/>
        <v>0</v>
      </c>
      <c r="AT317" s="45">
        <f t="shared" si="39"/>
        <v>0</v>
      </c>
      <c r="AU317" s="45" t="str">
        <f>_xlfn.XLOOKUP(U317,'Lista Suspensa'!$AA$20:$AA$23,'Lista Suspensa'!$AB$20:$AB$23,"N/A")</f>
        <v>S</v>
      </c>
    </row>
    <row r="318" spans="1:47" ht="12" customHeight="1" x14ac:dyDescent="0.3">
      <c r="A318" s="87" t="s">
        <v>47</v>
      </c>
      <c r="B318" s="88">
        <v>46104</v>
      </c>
      <c r="C318" s="89" t="s">
        <v>48</v>
      </c>
      <c r="D318" s="89" t="s">
        <v>49</v>
      </c>
      <c r="E318" s="90">
        <v>741364387</v>
      </c>
      <c r="F318" s="184" t="s">
        <v>1094</v>
      </c>
      <c r="G318" s="91">
        <v>37604961720</v>
      </c>
      <c r="H318" s="92">
        <v>18813</v>
      </c>
      <c r="I318" s="89">
        <v>74</v>
      </c>
      <c r="J318" s="89" t="s">
        <v>51</v>
      </c>
      <c r="K318" s="89" t="s">
        <v>88</v>
      </c>
      <c r="L318" s="89" t="s">
        <v>89</v>
      </c>
      <c r="M318" s="89" t="s">
        <v>597</v>
      </c>
      <c r="N318" s="89" t="s">
        <v>237</v>
      </c>
      <c r="O318" s="93" t="s">
        <v>1095</v>
      </c>
      <c r="P318" s="94" t="s">
        <v>57</v>
      </c>
      <c r="Q318" s="112" t="s">
        <v>58</v>
      </c>
      <c r="R318" s="95">
        <v>46140</v>
      </c>
      <c r="S318" s="96"/>
      <c r="T318" s="96" t="s">
        <v>59</v>
      </c>
      <c r="U318" s="96" t="s">
        <v>60</v>
      </c>
      <c r="V318" s="92">
        <v>46140</v>
      </c>
      <c r="W318" s="92" t="s">
        <v>61</v>
      </c>
      <c r="X318" s="92" t="s">
        <v>61</v>
      </c>
      <c r="Y318" s="97"/>
      <c r="Z318" s="89" t="s">
        <v>62</v>
      </c>
      <c r="AA318" s="96" t="s">
        <v>1096</v>
      </c>
      <c r="AB318" s="89" t="s">
        <v>63</v>
      </c>
      <c r="AC318" s="111"/>
      <c r="AD318" s="89" t="s">
        <v>64</v>
      </c>
      <c r="AE318" s="89">
        <v>63</v>
      </c>
      <c r="AF318" s="98"/>
      <c r="AG318" s="98"/>
      <c r="AH318" s="98" t="s">
        <v>66</v>
      </c>
      <c r="AI318" s="99" t="s">
        <v>67</v>
      </c>
      <c r="AJ318" s="99" t="s">
        <v>67</v>
      </c>
      <c r="AK318" s="99" t="s">
        <v>67</v>
      </c>
      <c r="AL318" s="45" t="s">
        <v>68</v>
      </c>
      <c r="AM318" s="162" t="str">
        <f t="shared" si="32"/>
        <v>3/2026</v>
      </c>
      <c r="AN318" s="45">
        <f t="shared" si="33"/>
        <v>4</v>
      </c>
      <c r="AO318" s="45" t="str">
        <f t="shared" si="34"/>
        <v>4/2026</v>
      </c>
      <c r="AP318" s="45">
        <f t="shared" si="35"/>
        <v>5</v>
      </c>
      <c r="AQ318" s="45">
        <f t="shared" si="36"/>
        <v>36</v>
      </c>
      <c r="AR318" s="45">
        <f t="shared" si="37"/>
        <v>0</v>
      </c>
      <c r="AS318" s="45">
        <f t="shared" si="38"/>
        <v>0</v>
      </c>
      <c r="AT318" s="45">
        <f t="shared" si="39"/>
        <v>6.4166666666642413</v>
      </c>
      <c r="AU318" s="45" t="str">
        <f>_xlfn.XLOOKUP(U318,'Lista Suspensa'!$AA$20:$AA$23,'Lista Suspensa'!$AB$20:$AB$23,"N/A")</f>
        <v>S</v>
      </c>
    </row>
    <row r="319" spans="1:47" ht="12" customHeight="1" x14ac:dyDescent="0.3">
      <c r="A319" s="87" t="s">
        <v>47</v>
      </c>
      <c r="B319" s="88">
        <v>46104</v>
      </c>
      <c r="C319" s="89" t="s">
        <v>48</v>
      </c>
      <c r="D319" s="89" t="s">
        <v>49</v>
      </c>
      <c r="E319" s="90">
        <v>751469696</v>
      </c>
      <c r="F319" s="184" t="s">
        <v>1097</v>
      </c>
      <c r="G319" s="91">
        <v>62860828753</v>
      </c>
      <c r="H319" s="92">
        <v>22443</v>
      </c>
      <c r="I319" s="89">
        <v>64</v>
      </c>
      <c r="J319" s="89" t="s">
        <v>51</v>
      </c>
      <c r="K319" s="89" t="s">
        <v>88</v>
      </c>
      <c r="L319" s="89" t="s">
        <v>89</v>
      </c>
      <c r="M319" s="89" t="s">
        <v>1098</v>
      </c>
      <c r="N319" s="89" t="s">
        <v>91</v>
      </c>
      <c r="O319" s="93" t="s">
        <v>1099</v>
      </c>
      <c r="P319" s="94" t="s">
        <v>57</v>
      </c>
      <c r="Q319" s="112" t="s">
        <v>58</v>
      </c>
      <c r="R319" s="95">
        <v>46171</v>
      </c>
      <c r="S319" s="96"/>
      <c r="T319" s="96" t="s">
        <v>59</v>
      </c>
      <c r="U319" s="96" t="s">
        <v>60</v>
      </c>
      <c r="V319" s="92">
        <v>46147</v>
      </c>
      <c r="W319" s="92">
        <v>46154</v>
      </c>
      <c r="X319" s="92">
        <v>46160</v>
      </c>
      <c r="Y319" s="97"/>
      <c r="Z319" s="89" t="s">
        <v>62</v>
      </c>
      <c r="AA319" s="96">
        <v>46178</v>
      </c>
      <c r="AB319" s="89" t="s">
        <v>80</v>
      </c>
      <c r="AC319" s="111"/>
      <c r="AD319" s="89"/>
      <c r="AE319" s="89"/>
      <c r="AF319" s="98"/>
      <c r="AG319" s="98"/>
      <c r="AH319" s="98"/>
      <c r="AI319" s="99"/>
      <c r="AJ319" s="99" t="s">
        <v>197</v>
      </c>
      <c r="AK319" s="99" t="s">
        <v>67</v>
      </c>
      <c r="AL319" s="45" t="s">
        <v>68</v>
      </c>
      <c r="AM319" s="162" t="str">
        <f t="shared" si="32"/>
        <v>3/2026</v>
      </c>
      <c r="AN319" s="45">
        <f t="shared" si="33"/>
        <v>4</v>
      </c>
      <c r="AO319" s="45" t="str">
        <f t="shared" si="34"/>
        <v>5/2026</v>
      </c>
      <c r="AP319" s="45">
        <f t="shared" si="35"/>
        <v>5</v>
      </c>
      <c r="AQ319" s="45">
        <f t="shared" si="36"/>
        <v>67</v>
      </c>
      <c r="AR319" s="45">
        <f t="shared" si="37"/>
        <v>0</v>
      </c>
      <c r="AS319" s="45">
        <f t="shared" si="38"/>
        <v>6.5</v>
      </c>
      <c r="AT319" s="45">
        <f t="shared" si="39"/>
        <v>0</v>
      </c>
      <c r="AU319" s="45" t="str">
        <f>_xlfn.XLOOKUP(U319,'Lista Suspensa'!$AA$20:$AA$23,'Lista Suspensa'!$AB$20:$AB$23,"N/A")</f>
        <v>S</v>
      </c>
    </row>
    <row r="320" spans="1:47" ht="12" customHeight="1" x14ac:dyDescent="0.3">
      <c r="A320" s="87" t="s">
        <v>47</v>
      </c>
      <c r="B320" s="88">
        <v>46104</v>
      </c>
      <c r="C320" s="89" t="s">
        <v>48</v>
      </c>
      <c r="D320" s="89" t="s">
        <v>49</v>
      </c>
      <c r="E320" s="90">
        <v>452309700</v>
      </c>
      <c r="F320" s="184" t="s">
        <v>1100</v>
      </c>
      <c r="G320" s="91">
        <v>76845257868</v>
      </c>
      <c r="H320" s="92">
        <v>18847</v>
      </c>
      <c r="I320" s="89">
        <v>74</v>
      </c>
      <c r="J320" s="89" t="s">
        <v>51</v>
      </c>
      <c r="K320" s="89" t="s">
        <v>52</v>
      </c>
      <c r="L320" s="89" t="s">
        <v>53</v>
      </c>
      <c r="M320" s="89" t="s">
        <v>1101</v>
      </c>
      <c r="N320" s="89" t="s">
        <v>91</v>
      </c>
      <c r="O320" s="93" t="s">
        <v>1102</v>
      </c>
      <c r="P320" s="94" t="s">
        <v>57</v>
      </c>
      <c r="Q320" s="112" t="s">
        <v>58</v>
      </c>
      <c r="R320" s="95">
        <v>46164</v>
      </c>
      <c r="S320" s="96"/>
      <c r="T320" s="96" t="s">
        <v>59</v>
      </c>
      <c r="U320" s="96" t="s">
        <v>60</v>
      </c>
      <c r="V320" s="92">
        <v>46147</v>
      </c>
      <c r="W320" s="92">
        <v>46154</v>
      </c>
      <c r="X320" s="92">
        <v>46160</v>
      </c>
      <c r="Y320" s="97"/>
      <c r="Z320" s="89"/>
      <c r="AA320" s="96"/>
      <c r="AB320" s="89"/>
      <c r="AC320" s="111"/>
      <c r="AD320" s="89"/>
      <c r="AE320" s="89"/>
      <c r="AF320" s="98"/>
      <c r="AG320" s="98"/>
      <c r="AH320" s="98"/>
      <c r="AI320" s="99"/>
      <c r="AJ320" s="99" t="s">
        <v>197</v>
      </c>
      <c r="AK320" s="99" t="s">
        <v>67</v>
      </c>
      <c r="AL320" s="45" t="s">
        <v>68</v>
      </c>
      <c r="AM320" s="162" t="str">
        <f t="shared" si="32"/>
        <v>3/2026</v>
      </c>
      <c r="AN320" s="45">
        <f t="shared" si="33"/>
        <v>4</v>
      </c>
      <c r="AO320" s="45" t="str">
        <f t="shared" si="34"/>
        <v>5/2026</v>
      </c>
      <c r="AP320" s="45">
        <f t="shared" si="35"/>
        <v>4</v>
      </c>
      <c r="AQ320" s="45">
        <f t="shared" si="36"/>
        <v>60</v>
      </c>
      <c r="AR320" s="45">
        <f t="shared" si="37"/>
        <v>0</v>
      </c>
      <c r="AS320" s="45">
        <f t="shared" si="38"/>
        <v>6.5</v>
      </c>
      <c r="AT320" s="45">
        <f t="shared" si="39"/>
        <v>0</v>
      </c>
      <c r="AU320" s="45" t="str">
        <f>_xlfn.XLOOKUP(U320,'Lista Suspensa'!$AA$20:$AA$23,'Lista Suspensa'!$AB$20:$AB$23,"N/A")</f>
        <v>S</v>
      </c>
    </row>
    <row r="321" spans="1:47" ht="12" customHeight="1" x14ac:dyDescent="0.3">
      <c r="A321" s="87" t="s">
        <v>47</v>
      </c>
      <c r="B321" s="88">
        <v>46104</v>
      </c>
      <c r="C321" s="89" t="s">
        <v>48</v>
      </c>
      <c r="D321" s="89" t="s">
        <v>49</v>
      </c>
      <c r="E321" s="90">
        <v>862071852</v>
      </c>
      <c r="F321" s="184" t="s">
        <v>1103</v>
      </c>
      <c r="G321" s="91">
        <v>33224975857</v>
      </c>
      <c r="H321" s="92">
        <v>21054</v>
      </c>
      <c r="I321" s="89">
        <v>68</v>
      </c>
      <c r="J321" s="89" t="s">
        <v>70</v>
      </c>
      <c r="K321" s="89" t="s">
        <v>52</v>
      </c>
      <c r="L321" s="89" t="s">
        <v>53</v>
      </c>
      <c r="M321" s="89" t="s">
        <v>840</v>
      </c>
      <c r="N321" s="89" t="s">
        <v>237</v>
      </c>
      <c r="O321" s="93" t="s">
        <v>1104</v>
      </c>
      <c r="P321" s="94" t="s">
        <v>57</v>
      </c>
      <c r="Q321" s="112" t="s">
        <v>58</v>
      </c>
      <c r="R321" s="95">
        <v>46140</v>
      </c>
      <c r="S321" s="96"/>
      <c r="T321" s="96" t="s">
        <v>59</v>
      </c>
      <c r="U321" s="96" t="s">
        <v>60</v>
      </c>
      <c r="V321" s="92">
        <v>46140</v>
      </c>
      <c r="W321" s="92" t="s">
        <v>61</v>
      </c>
      <c r="X321" s="92" t="s">
        <v>61</v>
      </c>
      <c r="Y321" s="97"/>
      <c r="Z321" s="89" t="s">
        <v>62</v>
      </c>
      <c r="AA321" s="96" t="s">
        <v>698</v>
      </c>
      <c r="AB321" s="89" t="s">
        <v>80</v>
      </c>
      <c r="AC321" s="111"/>
      <c r="AD321" s="89"/>
      <c r="AE321" s="89"/>
      <c r="AF321" s="98"/>
      <c r="AG321" s="98"/>
      <c r="AH321" s="98"/>
      <c r="AI321" s="99" t="s">
        <v>67</v>
      </c>
      <c r="AJ321" s="99" t="s">
        <v>67</v>
      </c>
      <c r="AK321" s="99" t="s">
        <v>67</v>
      </c>
      <c r="AL321" s="45" t="s">
        <v>68</v>
      </c>
      <c r="AM321" s="162" t="str">
        <f t="shared" si="32"/>
        <v>3/2026</v>
      </c>
      <c r="AN321" s="45">
        <f t="shared" si="33"/>
        <v>4</v>
      </c>
      <c r="AO321" s="45" t="str">
        <f t="shared" si="34"/>
        <v>4/2026</v>
      </c>
      <c r="AP321" s="45">
        <f t="shared" si="35"/>
        <v>5</v>
      </c>
      <c r="AQ321" s="45">
        <f t="shared" si="36"/>
        <v>36</v>
      </c>
      <c r="AR321" s="45">
        <f t="shared" si="37"/>
        <v>0</v>
      </c>
      <c r="AS321" s="45">
        <f t="shared" si="38"/>
        <v>0</v>
      </c>
      <c r="AT321" s="45">
        <f t="shared" si="39"/>
        <v>0</v>
      </c>
      <c r="AU321" s="45" t="str">
        <f>_xlfn.XLOOKUP(U321,'Lista Suspensa'!$AA$20:$AA$23,'Lista Suspensa'!$AB$20:$AB$23,"N/A")</f>
        <v>S</v>
      </c>
    </row>
    <row r="322" spans="1:47" ht="12" customHeight="1" x14ac:dyDescent="0.3">
      <c r="A322" s="87" t="s">
        <v>47</v>
      </c>
      <c r="B322" s="88">
        <v>46104</v>
      </c>
      <c r="C322" s="89" t="s">
        <v>48</v>
      </c>
      <c r="D322" s="89" t="s">
        <v>49</v>
      </c>
      <c r="E322" s="90">
        <v>774500352</v>
      </c>
      <c r="F322" s="184" t="s">
        <v>1105</v>
      </c>
      <c r="G322" s="91">
        <v>28819845849</v>
      </c>
      <c r="H322" s="92">
        <v>17543</v>
      </c>
      <c r="I322" s="89">
        <v>78</v>
      </c>
      <c r="J322" s="89" t="s">
        <v>51</v>
      </c>
      <c r="K322" s="89" t="s">
        <v>52</v>
      </c>
      <c r="L322" s="89" t="s">
        <v>53</v>
      </c>
      <c r="M322" s="89" t="s">
        <v>1106</v>
      </c>
      <c r="N322" s="89" t="s">
        <v>91</v>
      </c>
      <c r="O322" s="93" t="s">
        <v>1107</v>
      </c>
      <c r="P322" s="94" t="s">
        <v>57</v>
      </c>
      <c r="Q322" s="112" t="s">
        <v>58</v>
      </c>
      <c r="R322" s="95">
        <v>46147</v>
      </c>
      <c r="S322" s="96"/>
      <c r="T322" s="96" t="s">
        <v>59</v>
      </c>
      <c r="U322" s="96" t="s">
        <v>60</v>
      </c>
      <c r="V322" s="92">
        <v>46147</v>
      </c>
      <c r="W322" s="92" t="s">
        <v>61</v>
      </c>
      <c r="X322" s="92" t="s">
        <v>61</v>
      </c>
      <c r="Y322" s="97"/>
      <c r="Z322" s="89" t="s">
        <v>62</v>
      </c>
      <c r="AA322" s="96" t="s">
        <v>1108</v>
      </c>
      <c r="AB322" s="89" t="s">
        <v>63</v>
      </c>
      <c r="AC322" s="111"/>
      <c r="AD322" s="89" t="s">
        <v>64</v>
      </c>
      <c r="AE322" s="89">
        <v>61</v>
      </c>
      <c r="AF322" s="98"/>
      <c r="AG322" s="98"/>
      <c r="AH322" s="98" t="s">
        <v>66</v>
      </c>
      <c r="AI322" s="99" t="s">
        <v>197</v>
      </c>
      <c r="AJ322" s="99" t="s">
        <v>197</v>
      </c>
      <c r="AK322" s="99" t="s">
        <v>67</v>
      </c>
      <c r="AL322" s="45" t="s">
        <v>68</v>
      </c>
      <c r="AM322" s="162" t="str">
        <f t="shared" ref="AM322:AM385" si="40">MONTH(B322)&amp;"/"&amp;YEAR(B322)</f>
        <v>3/2026</v>
      </c>
      <c r="AN322" s="45">
        <f t="shared" ref="AN322:AN385" si="41">WEEKNUM(B322)-WEEKNUM(EOMONTH(B322,-1)+1)+1</f>
        <v>4</v>
      </c>
      <c r="AO322" s="45" t="str">
        <f t="shared" ref="AO322:AO385" si="42">MONTH(R322)&amp;"/"&amp;YEAR(R322)</f>
        <v>5/2026</v>
      </c>
      <c r="AP322" s="45">
        <f t="shared" ref="AP322:AP385" si="43">WEEKNUM(R322)-WEEKNUM(EOMONTH(R322,-1)+1)+1</f>
        <v>2</v>
      </c>
      <c r="AQ322" s="45">
        <f t="shared" ref="AQ322:AQ385" si="44">IF(AU322="S",IF(Q322="1. Aceitou o programa",R322-B322,0),0)</f>
        <v>43</v>
      </c>
      <c r="AR322" s="45">
        <f t="shared" ref="AR322:AR385" si="45">IF(AU322="S",IF(AND(S322&lt;&gt;"",R322&lt;&gt;""),S322-R322,0),0)</f>
        <v>0</v>
      </c>
      <c r="AS322" s="45">
        <f t="shared" ref="AS322:AS385" si="46">IF(AU322="S",IF(Q322="1. Aceitou o programa",IF(OR(X322="Não se Aplica",X322=""),IF(OR(W322="Não se Aplica",W322=""),0,W322-V322),AVERAGE(X322-W322,W322-V322)),0),0)</f>
        <v>0</v>
      </c>
      <c r="AT322" s="45">
        <f t="shared" ref="AT322:AT385" si="47">IF(AU322="S",IF(AND(Q322="1. Aceitou o programa",AB322="Realizada"),IFERROR(IF(AA322="",0,AA322-R322),0),0),0)</f>
        <v>22.444444444445253</v>
      </c>
      <c r="AU322" s="45" t="str">
        <f>_xlfn.XLOOKUP(U322,'Lista Suspensa'!$AA$20:$AA$23,'Lista Suspensa'!$AB$20:$AB$23,"N/A")</f>
        <v>S</v>
      </c>
    </row>
    <row r="323" spans="1:47" ht="12" customHeight="1" x14ac:dyDescent="0.3">
      <c r="A323" s="87" t="s">
        <v>47</v>
      </c>
      <c r="B323" s="88">
        <v>46104</v>
      </c>
      <c r="C323" s="89" t="s">
        <v>48</v>
      </c>
      <c r="D323" s="89" t="s">
        <v>49</v>
      </c>
      <c r="E323" s="90">
        <v>772713200</v>
      </c>
      <c r="F323" s="184" t="s">
        <v>1109</v>
      </c>
      <c r="G323" s="91">
        <v>31950413837</v>
      </c>
      <c r="H323" s="92">
        <v>17943</v>
      </c>
      <c r="I323" s="89">
        <v>77</v>
      </c>
      <c r="J323" s="89" t="s">
        <v>70</v>
      </c>
      <c r="K323" s="89" t="s">
        <v>52</v>
      </c>
      <c r="L323" s="89" t="s">
        <v>53</v>
      </c>
      <c r="M323" s="89" t="s">
        <v>1110</v>
      </c>
      <c r="N323" s="89" t="s">
        <v>91</v>
      </c>
      <c r="O323" s="93" t="s">
        <v>1111</v>
      </c>
      <c r="P323" s="94" t="s">
        <v>57</v>
      </c>
      <c r="Q323" s="112" t="s">
        <v>58</v>
      </c>
      <c r="R323" s="95">
        <v>46147</v>
      </c>
      <c r="S323" s="96"/>
      <c r="T323" s="96" t="s">
        <v>59</v>
      </c>
      <c r="U323" s="96" t="s">
        <v>60</v>
      </c>
      <c r="V323" s="92">
        <v>46147</v>
      </c>
      <c r="W323" s="92" t="s">
        <v>61</v>
      </c>
      <c r="X323" s="92" t="s">
        <v>61</v>
      </c>
      <c r="Y323" s="97"/>
      <c r="Z323" s="89" t="s">
        <v>62</v>
      </c>
      <c r="AA323" s="96" t="s">
        <v>1112</v>
      </c>
      <c r="AB323" s="89" t="s">
        <v>80</v>
      </c>
      <c r="AC323" s="111"/>
      <c r="AD323" s="89"/>
      <c r="AE323" s="89"/>
      <c r="AF323" s="98"/>
      <c r="AG323" s="98"/>
      <c r="AH323" s="98"/>
      <c r="AI323" s="99" t="s">
        <v>197</v>
      </c>
      <c r="AJ323" s="99" t="s">
        <v>197</v>
      </c>
      <c r="AK323" s="99" t="s">
        <v>67</v>
      </c>
      <c r="AL323" s="45" t="s">
        <v>68</v>
      </c>
      <c r="AM323" s="162" t="str">
        <f t="shared" si="40"/>
        <v>3/2026</v>
      </c>
      <c r="AN323" s="45">
        <f t="shared" si="41"/>
        <v>4</v>
      </c>
      <c r="AO323" s="45" t="str">
        <f t="shared" si="42"/>
        <v>5/2026</v>
      </c>
      <c r="AP323" s="45">
        <f t="shared" si="43"/>
        <v>2</v>
      </c>
      <c r="AQ323" s="45">
        <f t="shared" si="44"/>
        <v>43</v>
      </c>
      <c r="AR323" s="45">
        <f t="shared" si="45"/>
        <v>0</v>
      </c>
      <c r="AS323" s="45">
        <f t="shared" si="46"/>
        <v>0</v>
      </c>
      <c r="AT323" s="45">
        <f t="shared" si="47"/>
        <v>0</v>
      </c>
      <c r="AU323" s="45" t="str">
        <f>_xlfn.XLOOKUP(U323,'Lista Suspensa'!$AA$20:$AA$23,'Lista Suspensa'!$AB$20:$AB$23,"N/A")</f>
        <v>S</v>
      </c>
    </row>
    <row r="324" spans="1:47" ht="12" customHeight="1" x14ac:dyDescent="0.3">
      <c r="A324" s="87" t="s">
        <v>47</v>
      </c>
      <c r="B324" s="88">
        <v>46104</v>
      </c>
      <c r="C324" s="89" t="s">
        <v>48</v>
      </c>
      <c r="D324" s="89" t="s">
        <v>49</v>
      </c>
      <c r="E324" s="90">
        <v>775135267</v>
      </c>
      <c r="F324" s="184" t="s">
        <v>1113</v>
      </c>
      <c r="G324" s="91">
        <v>44501196815</v>
      </c>
      <c r="H324" s="92">
        <v>17315</v>
      </c>
      <c r="I324" s="89">
        <v>78</v>
      </c>
      <c r="J324" s="89" t="s">
        <v>51</v>
      </c>
      <c r="K324" s="89" t="s">
        <v>52</v>
      </c>
      <c r="L324" s="89" t="s">
        <v>53</v>
      </c>
      <c r="M324" s="89" t="s">
        <v>191</v>
      </c>
      <c r="N324" s="89" t="s">
        <v>91</v>
      </c>
      <c r="O324" s="93" t="s">
        <v>1114</v>
      </c>
      <c r="P324" s="94" t="s">
        <v>57</v>
      </c>
      <c r="Q324" s="112" t="s">
        <v>58</v>
      </c>
      <c r="R324" s="95">
        <v>46147</v>
      </c>
      <c r="S324" s="96"/>
      <c r="T324" s="96" t="s">
        <v>59</v>
      </c>
      <c r="U324" s="96" t="s">
        <v>60</v>
      </c>
      <c r="V324" s="92">
        <v>46147</v>
      </c>
      <c r="W324" s="92" t="s">
        <v>61</v>
      </c>
      <c r="X324" s="92" t="s">
        <v>61</v>
      </c>
      <c r="Y324" s="97"/>
      <c r="Z324" s="89" t="s">
        <v>62</v>
      </c>
      <c r="AA324" s="96">
        <v>46157</v>
      </c>
      <c r="AB324" s="89" t="s">
        <v>80</v>
      </c>
      <c r="AC324" s="111"/>
      <c r="AD324" s="89"/>
      <c r="AE324" s="89"/>
      <c r="AF324" s="98"/>
      <c r="AG324" s="98"/>
      <c r="AH324" s="98"/>
      <c r="AI324" s="99" t="s">
        <v>197</v>
      </c>
      <c r="AJ324" s="99" t="s">
        <v>197</v>
      </c>
      <c r="AK324" s="99" t="s">
        <v>67</v>
      </c>
      <c r="AL324" s="45" t="s">
        <v>68</v>
      </c>
      <c r="AM324" s="162" t="str">
        <f t="shared" si="40"/>
        <v>3/2026</v>
      </c>
      <c r="AN324" s="45">
        <f t="shared" si="41"/>
        <v>4</v>
      </c>
      <c r="AO324" s="45" t="str">
        <f t="shared" si="42"/>
        <v>5/2026</v>
      </c>
      <c r="AP324" s="45">
        <f t="shared" si="43"/>
        <v>2</v>
      </c>
      <c r="AQ324" s="45">
        <f t="shared" si="44"/>
        <v>43</v>
      </c>
      <c r="AR324" s="45">
        <f t="shared" si="45"/>
        <v>0</v>
      </c>
      <c r="AS324" s="45">
        <f t="shared" si="46"/>
        <v>0</v>
      </c>
      <c r="AT324" s="45">
        <f t="shared" si="47"/>
        <v>0</v>
      </c>
      <c r="AU324" s="45" t="str">
        <f>_xlfn.XLOOKUP(U324,'Lista Suspensa'!$AA$20:$AA$23,'Lista Suspensa'!$AB$20:$AB$23,"N/A")</f>
        <v>S</v>
      </c>
    </row>
    <row r="325" spans="1:47" ht="12" customHeight="1" x14ac:dyDescent="0.3">
      <c r="A325" s="87" t="s">
        <v>47</v>
      </c>
      <c r="B325" s="88">
        <v>46104</v>
      </c>
      <c r="C325" s="89" t="s">
        <v>48</v>
      </c>
      <c r="D325" s="89" t="s">
        <v>49</v>
      </c>
      <c r="E325" s="90">
        <v>450458547</v>
      </c>
      <c r="F325" s="184" t="s">
        <v>1115</v>
      </c>
      <c r="G325" s="91">
        <v>59148829820</v>
      </c>
      <c r="H325" s="92">
        <v>17631</v>
      </c>
      <c r="I325" s="89">
        <v>77</v>
      </c>
      <c r="J325" s="89" t="s">
        <v>51</v>
      </c>
      <c r="K325" s="89" t="s">
        <v>52</v>
      </c>
      <c r="L325" s="89" t="s">
        <v>53</v>
      </c>
      <c r="M325" s="89" t="s">
        <v>795</v>
      </c>
      <c r="N325" s="89" t="s">
        <v>91</v>
      </c>
      <c r="O325" s="93" t="s">
        <v>1116</v>
      </c>
      <c r="P325" s="94" t="s">
        <v>57</v>
      </c>
      <c r="Q325" s="112" t="s">
        <v>58</v>
      </c>
      <c r="R325" s="95">
        <v>46153</v>
      </c>
      <c r="S325" s="96"/>
      <c r="T325" s="96" t="s">
        <v>59</v>
      </c>
      <c r="U325" s="96" t="s">
        <v>60</v>
      </c>
      <c r="V325" s="92">
        <v>46122</v>
      </c>
      <c r="W325" s="92">
        <v>46140</v>
      </c>
      <c r="X325" s="92">
        <v>46154</v>
      </c>
      <c r="Y325" s="97"/>
      <c r="Z325" s="89" t="s">
        <v>62</v>
      </c>
      <c r="AA325" s="96">
        <v>46163.611111111109</v>
      </c>
      <c r="AB325" s="89" t="s">
        <v>80</v>
      </c>
      <c r="AC325" s="111"/>
      <c r="AD325" s="89"/>
      <c r="AE325" s="89"/>
      <c r="AF325" s="98"/>
      <c r="AG325" s="98"/>
      <c r="AH325" s="98"/>
      <c r="AI325" s="99" t="s">
        <v>197</v>
      </c>
      <c r="AJ325" s="99" t="s">
        <v>197</v>
      </c>
      <c r="AK325" s="99" t="s">
        <v>67</v>
      </c>
      <c r="AL325" s="45" t="s">
        <v>68</v>
      </c>
      <c r="AM325" s="162" t="str">
        <f t="shared" si="40"/>
        <v>3/2026</v>
      </c>
      <c r="AN325" s="45">
        <f t="shared" si="41"/>
        <v>4</v>
      </c>
      <c r="AO325" s="45" t="str">
        <f t="shared" si="42"/>
        <v>5/2026</v>
      </c>
      <c r="AP325" s="45">
        <f t="shared" si="43"/>
        <v>3</v>
      </c>
      <c r="AQ325" s="45">
        <f t="shared" si="44"/>
        <v>49</v>
      </c>
      <c r="AR325" s="45">
        <f t="shared" si="45"/>
        <v>0</v>
      </c>
      <c r="AS325" s="45">
        <f t="shared" si="46"/>
        <v>16</v>
      </c>
      <c r="AT325" s="45">
        <f t="shared" si="47"/>
        <v>0</v>
      </c>
      <c r="AU325" s="45" t="str">
        <f>_xlfn.XLOOKUP(U325,'Lista Suspensa'!$AA$20:$AA$23,'Lista Suspensa'!$AB$20:$AB$23,"N/A")</f>
        <v>S</v>
      </c>
    </row>
    <row r="326" spans="1:47" ht="12" customHeight="1" x14ac:dyDescent="0.3">
      <c r="A326" s="87" t="s">
        <v>47</v>
      </c>
      <c r="B326" s="88">
        <v>46104</v>
      </c>
      <c r="C326" s="89" t="s">
        <v>48</v>
      </c>
      <c r="D326" s="89" t="s">
        <v>49</v>
      </c>
      <c r="E326" s="90">
        <v>773758208</v>
      </c>
      <c r="F326" s="184" t="s">
        <v>1117</v>
      </c>
      <c r="G326" s="91">
        <v>4888447896</v>
      </c>
      <c r="H326" s="92">
        <v>17921</v>
      </c>
      <c r="I326" s="89">
        <v>77</v>
      </c>
      <c r="J326" s="89" t="s">
        <v>70</v>
      </c>
      <c r="K326" s="89" t="s">
        <v>52</v>
      </c>
      <c r="L326" s="89" t="s">
        <v>53</v>
      </c>
      <c r="M326" s="89" t="s">
        <v>1118</v>
      </c>
      <c r="N326" s="89" t="s">
        <v>91</v>
      </c>
      <c r="O326" s="93" t="s">
        <v>1119</v>
      </c>
      <c r="P326" s="94" t="s">
        <v>57</v>
      </c>
      <c r="Q326" s="112" t="s">
        <v>58</v>
      </c>
      <c r="R326" s="95">
        <v>46164</v>
      </c>
      <c r="S326" s="96"/>
      <c r="T326" s="96" t="s">
        <v>59</v>
      </c>
      <c r="U326" s="96" t="s">
        <v>60</v>
      </c>
      <c r="V326" s="92">
        <v>46147</v>
      </c>
      <c r="W326" s="92">
        <v>46154</v>
      </c>
      <c r="X326" s="92">
        <v>46160</v>
      </c>
      <c r="Y326" s="97"/>
      <c r="Z326" s="89" t="s">
        <v>62</v>
      </c>
      <c r="AA326" s="96">
        <v>46176</v>
      </c>
      <c r="AB326" s="89" t="s">
        <v>80</v>
      </c>
      <c r="AC326" s="111"/>
      <c r="AD326" s="89"/>
      <c r="AE326" s="89"/>
      <c r="AF326" s="98"/>
      <c r="AG326" s="98"/>
      <c r="AH326" s="98"/>
      <c r="AI326" s="99"/>
      <c r="AJ326" s="99" t="s">
        <v>197</v>
      </c>
      <c r="AK326" s="99" t="s">
        <v>67</v>
      </c>
      <c r="AL326" s="45" t="s">
        <v>68</v>
      </c>
      <c r="AM326" s="162" t="str">
        <f t="shared" si="40"/>
        <v>3/2026</v>
      </c>
      <c r="AN326" s="45">
        <f t="shared" si="41"/>
        <v>4</v>
      </c>
      <c r="AO326" s="45" t="str">
        <f t="shared" si="42"/>
        <v>5/2026</v>
      </c>
      <c r="AP326" s="45">
        <f t="shared" si="43"/>
        <v>4</v>
      </c>
      <c r="AQ326" s="45">
        <f t="shared" si="44"/>
        <v>60</v>
      </c>
      <c r="AR326" s="45">
        <f t="shared" si="45"/>
        <v>0</v>
      </c>
      <c r="AS326" s="45">
        <f t="shared" si="46"/>
        <v>6.5</v>
      </c>
      <c r="AT326" s="45">
        <f t="shared" si="47"/>
        <v>0</v>
      </c>
      <c r="AU326" s="45" t="str">
        <f>_xlfn.XLOOKUP(U326,'Lista Suspensa'!$AA$20:$AA$23,'Lista Suspensa'!$AB$20:$AB$23,"N/A")</f>
        <v>S</v>
      </c>
    </row>
    <row r="327" spans="1:47" ht="12" customHeight="1" x14ac:dyDescent="0.3">
      <c r="A327" s="87" t="s">
        <v>47</v>
      </c>
      <c r="B327" s="88">
        <v>46104</v>
      </c>
      <c r="C327" s="89" t="s">
        <v>48</v>
      </c>
      <c r="D327" s="89" t="s">
        <v>49</v>
      </c>
      <c r="E327" s="90">
        <v>473438534</v>
      </c>
      <c r="F327" s="184" t="s">
        <v>1120</v>
      </c>
      <c r="G327" s="91">
        <v>61681296853</v>
      </c>
      <c r="H327" s="92">
        <v>19090</v>
      </c>
      <c r="I327" s="89">
        <v>73</v>
      </c>
      <c r="J327" s="89" t="s">
        <v>70</v>
      </c>
      <c r="K327" s="89" t="s">
        <v>52</v>
      </c>
      <c r="L327" s="89" t="s">
        <v>53</v>
      </c>
      <c r="M327" s="89" t="s">
        <v>1121</v>
      </c>
      <c r="N327" s="89" t="s">
        <v>91</v>
      </c>
      <c r="O327" s="93" t="s">
        <v>1122</v>
      </c>
      <c r="P327" s="94" t="s">
        <v>57</v>
      </c>
      <c r="Q327" s="112" t="s">
        <v>58</v>
      </c>
      <c r="R327" s="95">
        <v>46147</v>
      </c>
      <c r="S327" s="96"/>
      <c r="T327" s="96" t="s">
        <v>59</v>
      </c>
      <c r="U327" s="96" t="s">
        <v>60</v>
      </c>
      <c r="V327" s="92">
        <v>46112</v>
      </c>
      <c r="W327" s="92">
        <v>46147</v>
      </c>
      <c r="X327" s="92" t="s">
        <v>61</v>
      </c>
      <c r="Y327" s="97"/>
      <c r="Z327" s="89" t="s">
        <v>62</v>
      </c>
      <c r="AA327" s="96" t="s">
        <v>1123</v>
      </c>
      <c r="AB327" s="89" t="s">
        <v>80</v>
      </c>
      <c r="AC327" s="111"/>
      <c r="AD327" s="89"/>
      <c r="AE327" s="89"/>
      <c r="AF327" s="98"/>
      <c r="AG327" s="98"/>
      <c r="AH327" s="98"/>
      <c r="AI327" s="99" t="s">
        <v>197</v>
      </c>
      <c r="AJ327" s="99" t="s">
        <v>197</v>
      </c>
      <c r="AK327" s="99" t="s">
        <v>67</v>
      </c>
      <c r="AL327" s="45" t="s">
        <v>68</v>
      </c>
      <c r="AM327" s="162" t="str">
        <f t="shared" si="40"/>
        <v>3/2026</v>
      </c>
      <c r="AN327" s="45">
        <f t="shared" si="41"/>
        <v>4</v>
      </c>
      <c r="AO327" s="45" t="str">
        <f t="shared" si="42"/>
        <v>5/2026</v>
      </c>
      <c r="AP327" s="45">
        <f t="shared" si="43"/>
        <v>2</v>
      </c>
      <c r="AQ327" s="45">
        <f t="shared" si="44"/>
        <v>43</v>
      </c>
      <c r="AR327" s="45">
        <f t="shared" si="45"/>
        <v>0</v>
      </c>
      <c r="AS327" s="45">
        <f t="shared" si="46"/>
        <v>35</v>
      </c>
      <c r="AT327" s="45">
        <f t="shared" si="47"/>
        <v>0</v>
      </c>
      <c r="AU327" s="45" t="str">
        <f>_xlfn.XLOOKUP(U327,'Lista Suspensa'!$AA$20:$AA$23,'Lista Suspensa'!$AB$20:$AB$23,"N/A")</f>
        <v>S</v>
      </c>
    </row>
    <row r="328" spans="1:47" ht="12" customHeight="1" x14ac:dyDescent="0.3">
      <c r="A328" s="87" t="s">
        <v>47</v>
      </c>
      <c r="B328" s="88">
        <v>46104</v>
      </c>
      <c r="C328" s="89" t="s">
        <v>48</v>
      </c>
      <c r="D328" s="89" t="s">
        <v>49</v>
      </c>
      <c r="E328" s="90">
        <v>95884819</v>
      </c>
      <c r="F328" s="184" t="s">
        <v>1124</v>
      </c>
      <c r="G328" s="91">
        <v>52800660791</v>
      </c>
      <c r="H328" s="92">
        <v>21398</v>
      </c>
      <c r="I328" s="89">
        <v>67</v>
      </c>
      <c r="J328" s="89" t="s">
        <v>70</v>
      </c>
      <c r="K328" s="89" t="s">
        <v>88</v>
      </c>
      <c r="L328" s="89" t="s">
        <v>97</v>
      </c>
      <c r="M328" s="89" t="s">
        <v>1125</v>
      </c>
      <c r="N328" s="89" t="s">
        <v>237</v>
      </c>
      <c r="O328" s="93" t="s">
        <v>1126</v>
      </c>
      <c r="P328" s="94" t="s">
        <v>57</v>
      </c>
      <c r="Q328" s="112" t="s">
        <v>58</v>
      </c>
      <c r="R328" s="95">
        <v>46140</v>
      </c>
      <c r="S328" s="96"/>
      <c r="T328" s="96" t="s">
        <v>59</v>
      </c>
      <c r="U328" s="96" t="s">
        <v>60</v>
      </c>
      <c r="V328" s="92">
        <v>46140</v>
      </c>
      <c r="W328" s="92" t="s">
        <v>61</v>
      </c>
      <c r="X328" s="92" t="s">
        <v>61</v>
      </c>
      <c r="Y328" s="97"/>
      <c r="Z328" s="89" t="s">
        <v>62</v>
      </c>
      <c r="AA328" s="96" t="s">
        <v>684</v>
      </c>
      <c r="AB328" s="89" t="s">
        <v>63</v>
      </c>
      <c r="AC328" s="111"/>
      <c r="AD328" s="89"/>
      <c r="AE328" s="89"/>
      <c r="AF328" s="98"/>
      <c r="AG328" s="98"/>
      <c r="AH328" s="98"/>
      <c r="AI328" s="99" t="s">
        <v>67</v>
      </c>
      <c r="AJ328" s="99" t="s">
        <v>67</v>
      </c>
      <c r="AK328" s="99" t="s">
        <v>67</v>
      </c>
      <c r="AL328" s="45" t="s">
        <v>68</v>
      </c>
      <c r="AM328" s="162" t="str">
        <f t="shared" si="40"/>
        <v>3/2026</v>
      </c>
      <c r="AN328" s="45">
        <f t="shared" si="41"/>
        <v>4</v>
      </c>
      <c r="AO328" s="45" t="str">
        <f t="shared" si="42"/>
        <v>4/2026</v>
      </c>
      <c r="AP328" s="45">
        <f t="shared" si="43"/>
        <v>5</v>
      </c>
      <c r="AQ328" s="45">
        <f t="shared" si="44"/>
        <v>36</v>
      </c>
      <c r="AR328" s="45">
        <f t="shared" si="45"/>
        <v>0</v>
      </c>
      <c r="AS328" s="45">
        <f t="shared" si="46"/>
        <v>0</v>
      </c>
      <c r="AT328" s="45">
        <f t="shared" si="47"/>
        <v>2.6111111111094942</v>
      </c>
      <c r="AU328" s="45" t="str">
        <f>_xlfn.XLOOKUP(U328,'Lista Suspensa'!$AA$20:$AA$23,'Lista Suspensa'!$AB$20:$AB$23,"N/A")</f>
        <v>S</v>
      </c>
    </row>
    <row r="329" spans="1:47" ht="12" customHeight="1" x14ac:dyDescent="0.3">
      <c r="A329" s="87" t="s">
        <v>47</v>
      </c>
      <c r="B329" s="88">
        <v>46104</v>
      </c>
      <c r="C329" s="89" t="s">
        <v>48</v>
      </c>
      <c r="D329" s="89" t="s">
        <v>49</v>
      </c>
      <c r="E329" s="90">
        <v>89008842</v>
      </c>
      <c r="F329" s="184" t="s">
        <v>1127</v>
      </c>
      <c r="G329" s="91">
        <v>58613021700</v>
      </c>
      <c r="H329" s="92">
        <v>21465</v>
      </c>
      <c r="I329" s="89">
        <v>67</v>
      </c>
      <c r="J329" s="89" t="s">
        <v>70</v>
      </c>
      <c r="K329" s="89" t="s">
        <v>88</v>
      </c>
      <c r="L329" s="89" t="s">
        <v>89</v>
      </c>
      <c r="M329" s="89" t="s">
        <v>1128</v>
      </c>
      <c r="N329" s="89" t="s">
        <v>102</v>
      </c>
      <c r="O329" s="93" t="s">
        <v>1129</v>
      </c>
      <c r="P329" s="94" t="s">
        <v>57</v>
      </c>
      <c r="Q329" s="112" t="s">
        <v>58</v>
      </c>
      <c r="R329" s="95">
        <v>46140</v>
      </c>
      <c r="S329" s="96"/>
      <c r="T329" s="96" t="s">
        <v>59</v>
      </c>
      <c r="U329" s="96" t="s">
        <v>60</v>
      </c>
      <c r="V329" s="92">
        <v>46140</v>
      </c>
      <c r="W329" s="92" t="s">
        <v>61</v>
      </c>
      <c r="X329" s="92" t="s">
        <v>61</v>
      </c>
      <c r="Y329" s="97"/>
      <c r="Z329" s="89" t="s">
        <v>62</v>
      </c>
      <c r="AA329" s="96">
        <v>46183</v>
      </c>
      <c r="AB329" s="89" t="s">
        <v>63</v>
      </c>
      <c r="AC329" s="111"/>
      <c r="AD329" s="89" t="s">
        <v>265</v>
      </c>
      <c r="AE329" s="89">
        <v>32</v>
      </c>
      <c r="AF329" s="98"/>
      <c r="AG329" s="98"/>
      <c r="AH329" s="98" t="s">
        <v>66</v>
      </c>
      <c r="AI329" s="99" t="s">
        <v>67</v>
      </c>
      <c r="AJ329" s="99" t="s">
        <v>67</v>
      </c>
      <c r="AK329" s="99" t="s">
        <v>67</v>
      </c>
      <c r="AL329" s="45" t="s">
        <v>68</v>
      </c>
      <c r="AM329" s="162" t="str">
        <f t="shared" si="40"/>
        <v>3/2026</v>
      </c>
      <c r="AN329" s="45">
        <f t="shared" si="41"/>
        <v>4</v>
      </c>
      <c r="AO329" s="45" t="str">
        <f t="shared" si="42"/>
        <v>4/2026</v>
      </c>
      <c r="AP329" s="45">
        <f t="shared" si="43"/>
        <v>5</v>
      </c>
      <c r="AQ329" s="45">
        <f t="shared" si="44"/>
        <v>36</v>
      </c>
      <c r="AR329" s="45">
        <f t="shared" si="45"/>
        <v>0</v>
      </c>
      <c r="AS329" s="45">
        <f t="shared" si="46"/>
        <v>0</v>
      </c>
      <c r="AT329" s="45">
        <f t="shared" si="47"/>
        <v>43</v>
      </c>
      <c r="AU329" s="45" t="str">
        <f>_xlfn.XLOOKUP(U329,'Lista Suspensa'!$AA$20:$AA$23,'Lista Suspensa'!$AB$20:$AB$23,"N/A")</f>
        <v>S</v>
      </c>
    </row>
    <row r="330" spans="1:47" ht="12" customHeight="1" x14ac:dyDescent="0.3">
      <c r="A330" s="87" t="s">
        <v>47</v>
      </c>
      <c r="B330" s="88">
        <v>46104</v>
      </c>
      <c r="C330" s="89" t="s">
        <v>48</v>
      </c>
      <c r="D330" s="89" t="s">
        <v>49</v>
      </c>
      <c r="E330" s="90">
        <v>86656784</v>
      </c>
      <c r="F330" s="184" t="s">
        <v>1130</v>
      </c>
      <c r="G330" s="91">
        <v>8160071795</v>
      </c>
      <c r="H330" s="92">
        <v>27343</v>
      </c>
      <c r="I330" s="89">
        <v>51</v>
      </c>
      <c r="J330" s="89" t="s">
        <v>51</v>
      </c>
      <c r="K330" s="89" t="s">
        <v>88</v>
      </c>
      <c r="L330" s="89" t="s">
        <v>89</v>
      </c>
      <c r="M330" s="89" t="s">
        <v>1131</v>
      </c>
      <c r="N330" s="89" t="s">
        <v>102</v>
      </c>
      <c r="O330" s="93" t="s">
        <v>1132</v>
      </c>
      <c r="P330" s="94" t="s">
        <v>57</v>
      </c>
      <c r="Q330" s="112" t="s">
        <v>58</v>
      </c>
      <c r="R330" s="95">
        <v>46140</v>
      </c>
      <c r="S330" s="96"/>
      <c r="T330" s="96" t="s">
        <v>59</v>
      </c>
      <c r="U330" s="96" t="s">
        <v>60</v>
      </c>
      <c r="V330" s="92">
        <v>46140</v>
      </c>
      <c r="W330" s="92" t="s">
        <v>61</v>
      </c>
      <c r="X330" s="92" t="s">
        <v>61</v>
      </c>
      <c r="Y330" s="97"/>
      <c r="Z330" s="89" t="s">
        <v>62</v>
      </c>
      <c r="AA330" s="96">
        <v>46154.458333333336</v>
      </c>
      <c r="AB330" s="89" t="s">
        <v>63</v>
      </c>
      <c r="AC330" s="111"/>
      <c r="AD330" s="89" t="s">
        <v>86</v>
      </c>
      <c r="AE330" s="89">
        <v>56</v>
      </c>
      <c r="AF330" s="98" t="s">
        <v>126</v>
      </c>
      <c r="AG330" s="98"/>
      <c r="AH330" s="98" t="s">
        <v>66</v>
      </c>
      <c r="AI330" s="99" t="s">
        <v>67</v>
      </c>
      <c r="AJ330" s="99" t="s">
        <v>67</v>
      </c>
      <c r="AK330" s="99" t="s">
        <v>67</v>
      </c>
      <c r="AL330" s="45" t="s">
        <v>68</v>
      </c>
      <c r="AM330" s="162" t="str">
        <f t="shared" si="40"/>
        <v>3/2026</v>
      </c>
      <c r="AN330" s="45">
        <f t="shared" si="41"/>
        <v>4</v>
      </c>
      <c r="AO330" s="45" t="str">
        <f t="shared" si="42"/>
        <v>4/2026</v>
      </c>
      <c r="AP330" s="45">
        <f t="shared" si="43"/>
        <v>5</v>
      </c>
      <c r="AQ330" s="45">
        <f t="shared" si="44"/>
        <v>36</v>
      </c>
      <c r="AR330" s="45">
        <f t="shared" si="45"/>
        <v>0</v>
      </c>
      <c r="AS330" s="45">
        <f t="shared" si="46"/>
        <v>0</v>
      </c>
      <c r="AT330" s="45">
        <f t="shared" si="47"/>
        <v>14.458333333335759</v>
      </c>
      <c r="AU330" s="45" t="str">
        <f>_xlfn.XLOOKUP(U330,'Lista Suspensa'!$AA$20:$AA$23,'Lista Suspensa'!$AB$20:$AB$23,"N/A")</f>
        <v>S</v>
      </c>
    </row>
    <row r="331" spans="1:47" ht="12" customHeight="1" x14ac:dyDescent="0.3">
      <c r="A331" s="87" t="s">
        <v>47</v>
      </c>
      <c r="B331" s="88">
        <v>46104</v>
      </c>
      <c r="C331" s="89" t="s">
        <v>48</v>
      </c>
      <c r="D331" s="89" t="s">
        <v>49</v>
      </c>
      <c r="E331" s="90">
        <v>107927195</v>
      </c>
      <c r="F331" s="184" t="s">
        <v>1133</v>
      </c>
      <c r="G331" s="91">
        <v>11835581714</v>
      </c>
      <c r="H331" s="92">
        <v>10746</v>
      </c>
      <c r="I331" s="89">
        <v>96</v>
      </c>
      <c r="J331" s="89" t="s">
        <v>70</v>
      </c>
      <c r="K331" s="89" t="s">
        <v>88</v>
      </c>
      <c r="L331" s="89" t="s">
        <v>89</v>
      </c>
      <c r="M331" s="89" t="s">
        <v>1134</v>
      </c>
      <c r="N331" s="89" t="s">
        <v>237</v>
      </c>
      <c r="O331" s="93" t="s">
        <v>1135</v>
      </c>
      <c r="P331" s="94" t="s">
        <v>57</v>
      </c>
      <c r="Q331" s="112" t="s">
        <v>58</v>
      </c>
      <c r="R331" s="95">
        <v>46147</v>
      </c>
      <c r="S331" s="96"/>
      <c r="T331" s="96" t="s">
        <v>59</v>
      </c>
      <c r="U331" s="96" t="s">
        <v>60</v>
      </c>
      <c r="V331" s="92">
        <v>46147</v>
      </c>
      <c r="W331" s="92" t="s">
        <v>61</v>
      </c>
      <c r="X331" s="92" t="s">
        <v>61</v>
      </c>
      <c r="Y331" s="97"/>
      <c r="Z331" s="89" t="s">
        <v>62</v>
      </c>
      <c r="AA331" s="96" t="s">
        <v>1136</v>
      </c>
      <c r="AB331" s="89" t="s">
        <v>80</v>
      </c>
      <c r="AC331" s="111"/>
      <c r="AD331" s="89"/>
      <c r="AE331" s="89"/>
      <c r="AF331" s="98"/>
      <c r="AG331" s="98"/>
      <c r="AH331" s="98"/>
      <c r="AI331" s="99" t="s">
        <v>197</v>
      </c>
      <c r="AJ331" s="99" t="s">
        <v>197</v>
      </c>
      <c r="AK331" s="99" t="s">
        <v>67</v>
      </c>
      <c r="AL331" s="45" t="s">
        <v>68</v>
      </c>
      <c r="AM331" s="162" t="str">
        <f t="shared" si="40"/>
        <v>3/2026</v>
      </c>
      <c r="AN331" s="45">
        <f t="shared" si="41"/>
        <v>4</v>
      </c>
      <c r="AO331" s="45" t="str">
        <f t="shared" si="42"/>
        <v>5/2026</v>
      </c>
      <c r="AP331" s="45">
        <f t="shared" si="43"/>
        <v>2</v>
      </c>
      <c r="AQ331" s="45">
        <f t="shared" si="44"/>
        <v>43</v>
      </c>
      <c r="AR331" s="45">
        <f t="shared" si="45"/>
        <v>0</v>
      </c>
      <c r="AS331" s="45">
        <f t="shared" si="46"/>
        <v>0</v>
      </c>
      <c r="AT331" s="45">
        <f t="shared" si="47"/>
        <v>0</v>
      </c>
      <c r="AU331" s="45" t="str">
        <f>_xlfn.XLOOKUP(U331,'Lista Suspensa'!$AA$20:$AA$23,'Lista Suspensa'!$AB$20:$AB$23,"N/A")</f>
        <v>S</v>
      </c>
    </row>
    <row r="332" spans="1:47" ht="12" customHeight="1" x14ac:dyDescent="0.3">
      <c r="A332" s="87" t="s">
        <v>47</v>
      </c>
      <c r="B332" s="88">
        <v>46104</v>
      </c>
      <c r="C332" s="89" t="s">
        <v>48</v>
      </c>
      <c r="D332" s="89" t="s">
        <v>49</v>
      </c>
      <c r="E332" s="90">
        <v>745001602</v>
      </c>
      <c r="F332" s="184" t="s">
        <v>1137</v>
      </c>
      <c r="G332" s="91">
        <v>3554472743</v>
      </c>
      <c r="H332" s="92">
        <v>19676</v>
      </c>
      <c r="I332" s="89">
        <v>72</v>
      </c>
      <c r="J332" s="89" t="s">
        <v>70</v>
      </c>
      <c r="K332" s="89" t="s">
        <v>88</v>
      </c>
      <c r="L332" s="89" t="s">
        <v>89</v>
      </c>
      <c r="M332" s="89" t="s">
        <v>180</v>
      </c>
      <c r="N332" s="89" t="s">
        <v>237</v>
      </c>
      <c r="O332" s="93" t="s">
        <v>1138</v>
      </c>
      <c r="P332" s="94" t="s">
        <v>57</v>
      </c>
      <c r="Q332" s="112" t="s">
        <v>58</v>
      </c>
      <c r="R332" s="95">
        <v>46117</v>
      </c>
      <c r="S332" s="96"/>
      <c r="T332" s="96" t="s">
        <v>59</v>
      </c>
      <c r="U332" s="96" t="s">
        <v>60</v>
      </c>
      <c r="V332" s="92">
        <v>46147</v>
      </c>
      <c r="W332" s="92" t="s">
        <v>61</v>
      </c>
      <c r="X332" s="92" t="s">
        <v>61</v>
      </c>
      <c r="Y332" s="97"/>
      <c r="Z332" s="89" t="s">
        <v>62</v>
      </c>
      <c r="AA332" s="96">
        <v>46157</v>
      </c>
      <c r="AB332" s="89" t="s">
        <v>80</v>
      </c>
      <c r="AC332" s="111"/>
      <c r="AD332" s="89"/>
      <c r="AE332" s="89"/>
      <c r="AF332" s="98"/>
      <c r="AG332" s="98"/>
      <c r="AH332" s="98"/>
      <c r="AI332" s="99" t="s">
        <v>197</v>
      </c>
      <c r="AJ332" s="99" t="s">
        <v>197</v>
      </c>
      <c r="AK332" s="99" t="s">
        <v>67</v>
      </c>
      <c r="AL332" s="45" t="s">
        <v>68</v>
      </c>
      <c r="AM332" s="162" t="str">
        <f t="shared" si="40"/>
        <v>3/2026</v>
      </c>
      <c r="AN332" s="45">
        <f t="shared" si="41"/>
        <v>4</v>
      </c>
      <c r="AO332" s="45" t="str">
        <f t="shared" si="42"/>
        <v>4/2026</v>
      </c>
      <c r="AP332" s="45">
        <f t="shared" si="43"/>
        <v>2</v>
      </c>
      <c r="AQ332" s="45">
        <f t="shared" si="44"/>
        <v>13</v>
      </c>
      <c r="AR332" s="45">
        <f t="shared" si="45"/>
        <v>0</v>
      </c>
      <c r="AS332" s="45">
        <f t="shared" si="46"/>
        <v>0</v>
      </c>
      <c r="AT332" s="45">
        <f t="shared" si="47"/>
        <v>0</v>
      </c>
      <c r="AU332" s="45" t="str">
        <f>_xlfn.XLOOKUP(U332,'Lista Suspensa'!$AA$20:$AA$23,'Lista Suspensa'!$AB$20:$AB$23,"N/A")</f>
        <v>S</v>
      </c>
    </row>
    <row r="333" spans="1:47" ht="12" customHeight="1" x14ac:dyDescent="0.3">
      <c r="A333" s="87" t="s">
        <v>47</v>
      </c>
      <c r="B333" s="88">
        <v>46104</v>
      </c>
      <c r="C333" s="89" t="s">
        <v>48</v>
      </c>
      <c r="D333" s="89" t="s">
        <v>49</v>
      </c>
      <c r="E333" s="193">
        <v>742049272</v>
      </c>
      <c r="F333" s="184" t="s">
        <v>1139</v>
      </c>
      <c r="G333" s="91">
        <v>34835385772</v>
      </c>
      <c r="H333" s="92">
        <v>17129</v>
      </c>
      <c r="I333" s="89">
        <v>79</v>
      </c>
      <c r="J333" s="89" t="s">
        <v>51</v>
      </c>
      <c r="K333" s="89" t="s">
        <v>88</v>
      </c>
      <c r="L333" s="89" t="s">
        <v>89</v>
      </c>
      <c r="M333" s="89" t="s">
        <v>240</v>
      </c>
      <c r="N333" s="89" t="s">
        <v>237</v>
      </c>
      <c r="O333" s="93" t="s">
        <v>1140</v>
      </c>
      <c r="P333" s="94" t="s">
        <v>57</v>
      </c>
      <c r="Q333" s="112" t="s">
        <v>58</v>
      </c>
      <c r="R333" s="95">
        <v>46163</v>
      </c>
      <c r="S333" s="96"/>
      <c r="T333" s="96" t="s">
        <v>59</v>
      </c>
      <c r="U333" s="96" t="s">
        <v>60</v>
      </c>
      <c r="V333" s="92">
        <v>46147</v>
      </c>
      <c r="W333" s="92">
        <v>46154</v>
      </c>
      <c r="X333" s="92">
        <v>46160</v>
      </c>
      <c r="Y333" s="97"/>
      <c r="Z333" s="89" t="s">
        <v>62</v>
      </c>
      <c r="AA333" s="96">
        <v>46170</v>
      </c>
      <c r="AB333" s="89" t="s">
        <v>80</v>
      </c>
      <c r="AC333" s="111"/>
      <c r="AD333" s="89"/>
      <c r="AE333" s="89"/>
      <c r="AF333" s="98"/>
      <c r="AG333" s="98"/>
      <c r="AH333" s="98"/>
      <c r="AI333" s="99"/>
      <c r="AJ333" s="99" t="s">
        <v>197</v>
      </c>
      <c r="AK333" s="99" t="s">
        <v>67</v>
      </c>
      <c r="AL333" s="45" t="s">
        <v>68</v>
      </c>
      <c r="AM333" s="162" t="str">
        <f t="shared" si="40"/>
        <v>3/2026</v>
      </c>
      <c r="AN333" s="45">
        <f t="shared" si="41"/>
        <v>4</v>
      </c>
      <c r="AO333" s="45" t="str">
        <f t="shared" si="42"/>
        <v>5/2026</v>
      </c>
      <c r="AP333" s="45">
        <f t="shared" si="43"/>
        <v>4</v>
      </c>
      <c r="AQ333" s="45">
        <f t="shared" si="44"/>
        <v>59</v>
      </c>
      <c r="AR333" s="45">
        <f t="shared" si="45"/>
        <v>0</v>
      </c>
      <c r="AS333" s="45">
        <f t="shared" si="46"/>
        <v>6.5</v>
      </c>
      <c r="AT333" s="45">
        <f t="shared" si="47"/>
        <v>0</v>
      </c>
      <c r="AU333" s="45" t="str">
        <f>_xlfn.XLOOKUP(U333,'Lista Suspensa'!$AA$20:$AA$23,'Lista Suspensa'!$AB$20:$AB$23,"N/A")</f>
        <v>S</v>
      </c>
    </row>
    <row r="334" spans="1:47" ht="12" customHeight="1" x14ac:dyDescent="0.3">
      <c r="A334" s="87" t="s">
        <v>47</v>
      </c>
      <c r="B334" s="88">
        <v>46104</v>
      </c>
      <c r="C334" s="89" t="s">
        <v>48</v>
      </c>
      <c r="D334" s="89" t="s">
        <v>49</v>
      </c>
      <c r="E334" s="90">
        <v>86951815</v>
      </c>
      <c r="F334" s="184" t="s">
        <v>1141</v>
      </c>
      <c r="G334" s="91">
        <v>43521185753</v>
      </c>
      <c r="H334" s="92">
        <v>17633</v>
      </c>
      <c r="I334" s="89">
        <v>77</v>
      </c>
      <c r="J334" s="89" t="s">
        <v>70</v>
      </c>
      <c r="K334" s="89" t="s">
        <v>88</v>
      </c>
      <c r="L334" s="89" t="s">
        <v>89</v>
      </c>
      <c r="M334" s="89" t="s">
        <v>120</v>
      </c>
      <c r="N334" s="89" t="s">
        <v>102</v>
      </c>
      <c r="O334" s="93" t="s">
        <v>1142</v>
      </c>
      <c r="P334" s="94" t="s">
        <v>57</v>
      </c>
      <c r="Q334" s="112" t="s">
        <v>58</v>
      </c>
      <c r="R334" s="95">
        <v>46140</v>
      </c>
      <c r="S334" s="96"/>
      <c r="T334" s="96" t="s">
        <v>59</v>
      </c>
      <c r="U334" s="96" t="s">
        <v>60</v>
      </c>
      <c r="V334" s="92">
        <v>46140</v>
      </c>
      <c r="W334" s="92" t="s">
        <v>61</v>
      </c>
      <c r="X334" s="92" t="s">
        <v>61</v>
      </c>
      <c r="Y334" s="97"/>
      <c r="Z334" s="89" t="s">
        <v>62</v>
      </c>
      <c r="AA334" s="96">
        <v>46183</v>
      </c>
      <c r="AB334" s="89" t="s">
        <v>63</v>
      </c>
      <c r="AC334" s="111"/>
      <c r="AD334" s="89" t="s">
        <v>86</v>
      </c>
      <c r="AE334" s="89">
        <v>77</v>
      </c>
      <c r="AF334" s="98"/>
      <c r="AG334" s="98"/>
      <c r="AH334" s="98" t="s">
        <v>66</v>
      </c>
      <c r="AI334" s="99" t="s">
        <v>67</v>
      </c>
      <c r="AJ334" s="99" t="s">
        <v>67</v>
      </c>
      <c r="AK334" s="99" t="s">
        <v>67</v>
      </c>
      <c r="AL334" s="45" t="s">
        <v>68</v>
      </c>
      <c r="AM334" s="162" t="str">
        <f t="shared" si="40"/>
        <v>3/2026</v>
      </c>
      <c r="AN334" s="45">
        <f t="shared" si="41"/>
        <v>4</v>
      </c>
      <c r="AO334" s="45" t="str">
        <f t="shared" si="42"/>
        <v>4/2026</v>
      </c>
      <c r="AP334" s="45">
        <f t="shared" si="43"/>
        <v>5</v>
      </c>
      <c r="AQ334" s="45">
        <f t="shared" si="44"/>
        <v>36</v>
      </c>
      <c r="AR334" s="45">
        <f t="shared" si="45"/>
        <v>0</v>
      </c>
      <c r="AS334" s="45">
        <f t="shared" si="46"/>
        <v>0</v>
      </c>
      <c r="AT334" s="45">
        <f t="shared" si="47"/>
        <v>43</v>
      </c>
      <c r="AU334" s="45" t="str">
        <f>_xlfn.XLOOKUP(U334,'Lista Suspensa'!$AA$20:$AA$23,'Lista Suspensa'!$AB$20:$AB$23,"N/A")</f>
        <v>S</v>
      </c>
    </row>
    <row r="335" spans="1:47" ht="12" customHeight="1" x14ac:dyDescent="0.3">
      <c r="A335" s="87" t="s">
        <v>47</v>
      </c>
      <c r="B335" s="88">
        <v>46104</v>
      </c>
      <c r="C335" s="89" t="s">
        <v>48</v>
      </c>
      <c r="D335" s="89" t="s">
        <v>49</v>
      </c>
      <c r="E335" s="90">
        <v>93202658</v>
      </c>
      <c r="F335" s="184" t="s">
        <v>1143</v>
      </c>
      <c r="G335" s="91">
        <v>72016256753</v>
      </c>
      <c r="H335" s="92">
        <v>22838</v>
      </c>
      <c r="I335" s="89">
        <v>63</v>
      </c>
      <c r="J335" s="89" t="s">
        <v>51</v>
      </c>
      <c r="K335" s="89" t="s">
        <v>88</v>
      </c>
      <c r="L335" s="89" t="s">
        <v>89</v>
      </c>
      <c r="M335" s="89" t="s">
        <v>597</v>
      </c>
      <c r="N335" s="89" t="s">
        <v>102</v>
      </c>
      <c r="O335" s="93" t="s">
        <v>1144</v>
      </c>
      <c r="P335" s="94" t="s">
        <v>57</v>
      </c>
      <c r="Q335" s="112" t="s">
        <v>58</v>
      </c>
      <c r="R335" s="95">
        <v>46140</v>
      </c>
      <c r="S335" s="96"/>
      <c r="T335" s="96" t="s">
        <v>59</v>
      </c>
      <c r="U335" s="96" t="s">
        <v>60</v>
      </c>
      <c r="V335" s="92">
        <v>46140</v>
      </c>
      <c r="W335" s="92" t="s">
        <v>61</v>
      </c>
      <c r="X335" s="92" t="s">
        <v>61</v>
      </c>
      <c r="Y335" s="97"/>
      <c r="Z335" s="89" t="s">
        <v>62</v>
      </c>
      <c r="AA335" s="96">
        <v>46141.680555555555</v>
      </c>
      <c r="AB335" s="89" t="s">
        <v>80</v>
      </c>
      <c r="AC335" s="111"/>
      <c r="AD335" s="89"/>
      <c r="AE335" s="89"/>
      <c r="AF335" s="98"/>
      <c r="AG335" s="98"/>
      <c r="AH335" s="98"/>
      <c r="AI335" s="99" t="s">
        <v>67</v>
      </c>
      <c r="AJ335" s="99" t="s">
        <v>67</v>
      </c>
      <c r="AK335" s="99" t="s">
        <v>67</v>
      </c>
      <c r="AL335" s="45" t="s">
        <v>68</v>
      </c>
      <c r="AM335" s="162" t="str">
        <f t="shared" si="40"/>
        <v>3/2026</v>
      </c>
      <c r="AN335" s="45">
        <f t="shared" si="41"/>
        <v>4</v>
      </c>
      <c r="AO335" s="45" t="str">
        <f t="shared" si="42"/>
        <v>4/2026</v>
      </c>
      <c r="AP335" s="45">
        <f t="shared" si="43"/>
        <v>5</v>
      </c>
      <c r="AQ335" s="45">
        <f t="shared" si="44"/>
        <v>36</v>
      </c>
      <c r="AR335" s="45">
        <f t="shared" si="45"/>
        <v>0</v>
      </c>
      <c r="AS335" s="45">
        <f t="shared" si="46"/>
        <v>0</v>
      </c>
      <c r="AT335" s="45">
        <f t="shared" si="47"/>
        <v>0</v>
      </c>
      <c r="AU335" s="45" t="str">
        <f>_xlfn.XLOOKUP(U335,'Lista Suspensa'!$AA$20:$AA$23,'Lista Suspensa'!$AB$20:$AB$23,"N/A")</f>
        <v>S</v>
      </c>
    </row>
    <row r="336" spans="1:47" ht="12" customHeight="1" x14ac:dyDescent="0.3">
      <c r="A336" s="87" t="s">
        <v>47</v>
      </c>
      <c r="B336" s="88">
        <v>46104</v>
      </c>
      <c r="C336" s="89" t="s">
        <v>48</v>
      </c>
      <c r="D336" s="89" t="s">
        <v>49</v>
      </c>
      <c r="E336" s="90">
        <v>83181756</v>
      </c>
      <c r="F336" s="184" t="s">
        <v>1145</v>
      </c>
      <c r="G336" s="91">
        <v>3857414804</v>
      </c>
      <c r="H336" s="92">
        <v>19424</v>
      </c>
      <c r="I336" s="89">
        <v>73</v>
      </c>
      <c r="J336" s="89" t="s">
        <v>70</v>
      </c>
      <c r="K336" s="89" t="s">
        <v>52</v>
      </c>
      <c r="L336" s="89" t="s">
        <v>331</v>
      </c>
      <c r="M336" s="89" t="s">
        <v>732</v>
      </c>
      <c r="N336" s="89" t="s">
        <v>102</v>
      </c>
      <c r="O336" s="93" t="s">
        <v>1146</v>
      </c>
      <c r="P336" s="94" t="s">
        <v>57</v>
      </c>
      <c r="Q336" s="112" t="s">
        <v>58</v>
      </c>
      <c r="R336" s="95">
        <v>46140</v>
      </c>
      <c r="S336" s="96"/>
      <c r="T336" s="96" t="s">
        <v>59</v>
      </c>
      <c r="U336" s="96" t="s">
        <v>60</v>
      </c>
      <c r="V336" s="92">
        <v>46140</v>
      </c>
      <c r="W336" s="92" t="s">
        <v>61</v>
      </c>
      <c r="X336" s="92" t="s">
        <v>61</v>
      </c>
      <c r="Y336" s="97"/>
      <c r="Z336" s="89" t="s">
        <v>62</v>
      </c>
      <c r="AA336" s="96" t="s">
        <v>821</v>
      </c>
      <c r="AB336" s="89" t="s">
        <v>80</v>
      </c>
      <c r="AC336" s="111"/>
      <c r="AD336" s="89"/>
      <c r="AE336" s="89"/>
      <c r="AF336" s="98"/>
      <c r="AG336" s="98"/>
      <c r="AH336" s="98"/>
      <c r="AI336" s="99" t="s">
        <v>67</v>
      </c>
      <c r="AJ336" s="99" t="s">
        <v>67</v>
      </c>
      <c r="AK336" s="99" t="s">
        <v>67</v>
      </c>
      <c r="AL336" s="45" t="s">
        <v>68</v>
      </c>
      <c r="AM336" s="162" t="str">
        <f t="shared" si="40"/>
        <v>3/2026</v>
      </c>
      <c r="AN336" s="45">
        <f t="shared" si="41"/>
        <v>4</v>
      </c>
      <c r="AO336" s="45" t="str">
        <f t="shared" si="42"/>
        <v>4/2026</v>
      </c>
      <c r="AP336" s="45">
        <f t="shared" si="43"/>
        <v>5</v>
      </c>
      <c r="AQ336" s="45">
        <f t="shared" si="44"/>
        <v>36</v>
      </c>
      <c r="AR336" s="45">
        <f t="shared" si="45"/>
        <v>0</v>
      </c>
      <c r="AS336" s="45">
        <f t="shared" si="46"/>
        <v>0</v>
      </c>
      <c r="AT336" s="45">
        <f t="shared" si="47"/>
        <v>0</v>
      </c>
      <c r="AU336" s="45" t="str">
        <f>_xlfn.XLOOKUP(U336,'Lista Suspensa'!$AA$20:$AA$23,'Lista Suspensa'!$AB$20:$AB$23,"N/A")</f>
        <v>S</v>
      </c>
    </row>
    <row r="337" spans="1:47" ht="12" customHeight="1" x14ac:dyDescent="0.3">
      <c r="A337" s="87" t="s">
        <v>47</v>
      </c>
      <c r="B337" s="88">
        <v>46104</v>
      </c>
      <c r="C337" s="89" t="s">
        <v>48</v>
      </c>
      <c r="D337" s="89" t="s">
        <v>49</v>
      </c>
      <c r="E337" s="90">
        <v>92631941</v>
      </c>
      <c r="F337" s="184" t="s">
        <v>1147</v>
      </c>
      <c r="G337" s="91">
        <v>27363221855</v>
      </c>
      <c r="H337" s="92">
        <v>28600</v>
      </c>
      <c r="I337" s="89">
        <v>47</v>
      </c>
      <c r="J337" s="89" t="s">
        <v>70</v>
      </c>
      <c r="K337" s="89" t="s">
        <v>52</v>
      </c>
      <c r="L337" s="89" t="s">
        <v>53</v>
      </c>
      <c r="M337" s="89" t="s">
        <v>1148</v>
      </c>
      <c r="N337" s="89" t="s">
        <v>102</v>
      </c>
      <c r="O337" s="93" t="s">
        <v>1149</v>
      </c>
      <c r="P337" s="94" t="s">
        <v>57</v>
      </c>
      <c r="Q337" s="112" t="s">
        <v>58</v>
      </c>
      <c r="R337" s="95">
        <v>46140</v>
      </c>
      <c r="S337" s="96"/>
      <c r="T337" s="96" t="s">
        <v>59</v>
      </c>
      <c r="U337" s="96" t="s">
        <v>60</v>
      </c>
      <c r="V337" s="92">
        <v>46140</v>
      </c>
      <c r="W337" s="92" t="s">
        <v>61</v>
      </c>
      <c r="X337" s="92" t="s">
        <v>61</v>
      </c>
      <c r="Y337" s="97"/>
      <c r="Z337" s="89" t="s">
        <v>62</v>
      </c>
      <c r="AA337" s="96" t="s">
        <v>1081</v>
      </c>
      <c r="AB337" s="89" t="s">
        <v>80</v>
      </c>
      <c r="AC337" s="111"/>
      <c r="AD337" s="89"/>
      <c r="AE337" s="89"/>
      <c r="AF337" s="98"/>
      <c r="AG337" s="98"/>
      <c r="AH337" s="98"/>
      <c r="AI337" s="99" t="s">
        <v>67</v>
      </c>
      <c r="AJ337" s="99" t="s">
        <v>67</v>
      </c>
      <c r="AK337" s="99" t="s">
        <v>67</v>
      </c>
      <c r="AL337" s="45" t="s">
        <v>68</v>
      </c>
      <c r="AM337" s="162" t="str">
        <f t="shared" si="40"/>
        <v>3/2026</v>
      </c>
      <c r="AN337" s="45">
        <f t="shared" si="41"/>
        <v>4</v>
      </c>
      <c r="AO337" s="45" t="str">
        <f t="shared" si="42"/>
        <v>4/2026</v>
      </c>
      <c r="AP337" s="45">
        <f t="shared" si="43"/>
        <v>5</v>
      </c>
      <c r="AQ337" s="45">
        <f t="shared" si="44"/>
        <v>36</v>
      </c>
      <c r="AR337" s="45">
        <f t="shared" si="45"/>
        <v>0</v>
      </c>
      <c r="AS337" s="45">
        <f t="shared" si="46"/>
        <v>0</v>
      </c>
      <c r="AT337" s="45">
        <f t="shared" si="47"/>
        <v>0</v>
      </c>
      <c r="AU337" s="45" t="str">
        <f>_xlfn.XLOOKUP(U337,'Lista Suspensa'!$AA$20:$AA$23,'Lista Suspensa'!$AB$20:$AB$23,"N/A")</f>
        <v>S</v>
      </c>
    </row>
    <row r="338" spans="1:47" ht="12" customHeight="1" x14ac:dyDescent="0.3">
      <c r="A338" s="87" t="s">
        <v>47</v>
      </c>
      <c r="B338" s="88">
        <v>46104</v>
      </c>
      <c r="C338" s="89" t="s">
        <v>48</v>
      </c>
      <c r="D338" s="89" t="s">
        <v>49</v>
      </c>
      <c r="E338" s="90">
        <v>87551771</v>
      </c>
      <c r="F338" s="184" t="s">
        <v>1150</v>
      </c>
      <c r="G338" s="91">
        <v>49136771791</v>
      </c>
      <c r="H338" s="92">
        <v>16820</v>
      </c>
      <c r="I338" s="89">
        <v>80</v>
      </c>
      <c r="J338" s="89" t="s">
        <v>70</v>
      </c>
      <c r="K338" s="89" t="s">
        <v>52</v>
      </c>
      <c r="L338" s="89" t="s">
        <v>53</v>
      </c>
      <c r="M338" s="89" t="s">
        <v>1151</v>
      </c>
      <c r="N338" s="89" t="s">
        <v>102</v>
      </c>
      <c r="O338" s="93" t="s">
        <v>1152</v>
      </c>
      <c r="P338" s="94" t="s">
        <v>57</v>
      </c>
      <c r="Q338" s="112" t="s">
        <v>58</v>
      </c>
      <c r="R338" s="95">
        <v>46140</v>
      </c>
      <c r="S338" s="96"/>
      <c r="T338" s="96" t="s">
        <v>59</v>
      </c>
      <c r="U338" s="96" t="s">
        <v>60</v>
      </c>
      <c r="V338" s="92">
        <v>46140</v>
      </c>
      <c r="W338" s="92" t="s">
        <v>61</v>
      </c>
      <c r="X338" s="92" t="s">
        <v>61</v>
      </c>
      <c r="Y338" s="97"/>
      <c r="Z338" s="89" t="s">
        <v>62</v>
      </c>
      <c r="AA338" s="96">
        <v>46148</v>
      </c>
      <c r="AB338" s="89" t="s">
        <v>63</v>
      </c>
      <c r="AC338" s="111"/>
      <c r="AD338" s="89"/>
      <c r="AE338" s="89"/>
      <c r="AF338" s="98"/>
      <c r="AG338" s="98"/>
      <c r="AH338" s="98"/>
      <c r="AI338" s="99" t="s">
        <v>67</v>
      </c>
      <c r="AJ338" s="99" t="s">
        <v>67</v>
      </c>
      <c r="AK338" s="99" t="s">
        <v>67</v>
      </c>
      <c r="AL338" s="45" t="s">
        <v>68</v>
      </c>
      <c r="AM338" s="162" t="str">
        <f t="shared" si="40"/>
        <v>3/2026</v>
      </c>
      <c r="AN338" s="45">
        <f t="shared" si="41"/>
        <v>4</v>
      </c>
      <c r="AO338" s="45" t="str">
        <f t="shared" si="42"/>
        <v>4/2026</v>
      </c>
      <c r="AP338" s="45">
        <f t="shared" si="43"/>
        <v>5</v>
      </c>
      <c r="AQ338" s="45">
        <f t="shared" si="44"/>
        <v>36</v>
      </c>
      <c r="AR338" s="45">
        <f t="shared" si="45"/>
        <v>0</v>
      </c>
      <c r="AS338" s="45">
        <f t="shared" si="46"/>
        <v>0</v>
      </c>
      <c r="AT338" s="45">
        <f t="shared" si="47"/>
        <v>8</v>
      </c>
      <c r="AU338" s="45" t="str">
        <f>_xlfn.XLOOKUP(U338,'Lista Suspensa'!$AA$20:$AA$23,'Lista Suspensa'!$AB$20:$AB$23,"N/A")</f>
        <v>S</v>
      </c>
    </row>
    <row r="339" spans="1:47" ht="12" customHeight="1" x14ac:dyDescent="0.3">
      <c r="A339" s="87" t="s">
        <v>47</v>
      </c>
      <c r="B339" s="88">
        <v>46104</v>
      </c>
      <c r="C339" s="89" t="s">
        <v>48</v>
      </c>
      <c r="D339" s="89" t="s">
        <v>49</v>
      </c>
      <c r="E339" s="90">
        <v>87848287</v>
      </c>
      <c r="F339" s="184" t="s">
        <v>1153</v>
      </c>
      <c r="G339" s="91">
        <v>3788540893</v>
      </c>
      <c r="H339" s="92">
        <v>17718</v>
      </c>
      <c r="I339" s="89">
        <v>77</v>
      </c>
      <c r="J339" s="89" t="s">
        <v>51</v>
      </c>
      <c r="K339" s="89" t="s">
        <v>52</v>
      </c>
      <c r="L339" s="89" t="s">
        <v>53</v>
      </c>
      <c r="M339" s="89" t="s">
        <v>1154</v>
      </c>
      <c r="N339" s="89" t="s">
        <v>102</v>
      </c>
      <c r="O339" s="93" t="s">
        <v>1155</v>
      </c>
      <c r="P339" s="94" t="s">
        <v>57</v>
      </c>
      <c r="Q339" s="112" t="s">
        <v>58</v>
      </c>
      <c r="R339" s="95">
        <v>46140</v>
      </c>
      <c r="S339" s="96"/>
      <c r="T339" s="96" t="s">
        <v>59</v>
      </c>
      <c r="U339" s="96" t="s">
        <v>60</v>
      </c>
      <c r="V339" s="92">
        <v>46140</v>
      </c>
      <c r="W339" s="92" t="s">
        <v>61</v>
      </c>
      <c r="X339" s="92" t="s">
        <v>61</v>
      </c>
      <c r="Y339" s="97"/>
      <c r="Z339" s="89" t="s">
        <v>62</v>
      </c>
      <c r="AA339" s="96">
        <v>46172.5</v>
      </c>
      <c r="AB339" s="89" t="s">
        <v>63</v>
      </c>
      <c r="AC339" s="111">
        <v>46150</v>
      </c>
      <c r="AD339" s="89"/>
      <c r="AE339" s="89"/>
      <c r="AF339" s="98"/>
      <c r="AG339" s="98"/>
      <c r="AH339" s="98"/>
      <c r="AI339" s="99" t="s">
        <v>67</v>
      </c>
      <c r="AJ339" s="99" t="s">
        <v>67</v>
      </c>
      <c r="AK339" s="99" t="s">
        <v>67</v>
      </c>
      <c r="AL339" s="45" t="s">
        <v>68</v>
      </c>
      <c r="AM339" s="162" t="str">
        <f t="shared" si="40"/>
        <v>3/2026</v>
      </c>
      <c r="AN339" s="45">
        <f t="shared" si="41"/>
        <v>4</v>
      </c>
      <c r="AO339" s="45" t="str">
        <f t="shared" si="42"/>
        <v>4/2026</v>
      </c>
      <c r="AP339" s="45">
        <f t="shared" si="43"/>
        <v>5</v>
      </c>
      <c r="AQ339" s="45">
        <f t="shared" si="44"/>
        <v>36</v>
      </c>
      <c r="AR339" s="45">
        <f t="shared" si="45"/>
        <v>0</v>
      </c>
      <c r="AS339" s="45">
        <f t="shared" si="46"/>
        <v>0</v>
      </c>
      <c r="AT339" s="45">
        <f t="shared" si="47"/>
        <v>32.5</v>
      </c>
      <c r="AU339" s="45" t="str">
        <f>_xlfn.XLOOKUP(U339,'Lista Suspensa'!$AA$20:$AA$23,'Lista Suspensa'!$AB$20:$AB$23,"N/A")</f>
        <v>S</v>
      </c>
    </row>
    <row r="340" spans="1:47" ht="12" customHeight="1" x14ac:dyDescent="0.3">
      <c r="A340" s="87" t="s">
        <v>47</v>
      </c>
      <c r="B340" s="88">
        <v>46104</v>
      </c>
      <c r="C340" s="89" t="s">
        <v>48</v>
      </c>
      <c r="D340" s="89" t="s">
        <v>49</v>
      </c>
      <c r="E340" s="90">
        <v>95322600</v>
      </c>
      <c r="F340" s="184" t="s">
        <v>1156</v>
      </c>
      <c r="G340" s="91">
        <v>15976518770</v>
      </c>
      <c r="H340" s="92">
        <v>35721</v>
      </c>
      <c r="I340" s="89">
        <v>28</v>
      </c>
      <c r="J340" s="89" t="s">
        <v>51</v>
      </c>
      <c r="K340" s="89" t="s">
        <v>88</v>
      </c>
      <c r="L340" s="89" t="s">
        <v>97</v>
      </c>
      <c r="M340" s="89" t="s">
        <v>1157</v>
      </c>
      <c r="N340" s="89" t="s">
        <v>102</v>
      </c>
      <c r="O340" s="93" t="s">
        <v>1158</v>
      </c>
      <c r="P340" s="94" t="s">
        <v>57</v>
      </c>
      <c r="Q340" s="112" t="s">
        <v>58</v>
      </c>
      <c r="R340" s="95">
        <v>46140</v>
      </c>
      <c r="S340" s="96"/>
      <c r="T340" s="96" t="s">
        <v>59</v>
      </c>
      <c r="U340" s="96" t="s">
        <v>60</v>
      </c>
      <c r="V340" s="92">
        <v>46140</v>
      </c>
      <c r="W340" s="92" t="s">
        <v>61</v>
      </c>
      <c r="X340" s="92" t="s">
        <v>61</v>
      </c>
      <c r="Y340" s="97"/>
      <c r="Z340" s="89" t="s">
        <v>62</v>
      </c>
      <c r="AA340" s="96" t="s">
        <v>687</v>
      </c>
      <c r="AB340" s="89" t="s">
        <v>80</v>
      </c>
      <c r="AC340" s="111"/>
      <c r="AD340" s="89"/>
      <c r="AE340" s="89"/>
      <c r="AF340" s="98"/>
      <c r="AG340" s="98"/>
      <c r="AH340" s="98"/>
      <c r="AI340" s="99" t="s">
        <v>67</v>
      </c>
      <c r="AJ340" s="99" t="s">
        <v>67</v>
      </c>
      <c r="AK340" s="99" t="s">
        <v>67</v>
      </c>
      <c r="AL340" s="45" t="s">
        <v>68</v>
      </c>
      <c r="AM340" s="162" t="str">
        <f t="shared" si="40"/>
        <v>3/2026</v>
      </c>
      <c r="AN340" s="45">
        <f t="shared" si="41"/>
        <v>4</v>
      </c>
      <c r="AO340" s="45" t="str">
        <f t="shared" si="42"/>
        <v>4/2026</v>
      </c>
      <c r="AP340" s="45">
        <f t="shared" si="43"/>
        <v>5</v>
      </c>
      <c r="AQ340" s="45">
        <f t="shared" si="44"/>
        <v>36</v>
      </c>
      <c r="AR340" s="45">
        <f t="shared" si="45"/>
        <v>0</v>
      </c>
      <c r="AS340" s="45">
        <f t="shared" si="46"/>
        <v>0</v>
      </c>
      <c r="AT340" s="45">
        <f t="shared" si="47"/>
        <v>0</v>
      </c>
      <c r="AU340" s="45" t="str">
        <f>_xlfn.XLOOKUP(U340,'Lista Suspensa'!$AA$20:$AA$23,'Lista Suspensa'!$AB$20:$AB$23,"N/A")</f>
        <v>S</v>
      </c>
    </row>
    <row r="341" spans="1:47" ht="12" customHeight="1" x14ac:dyDescent="0.3">
      <c r="A341" s="87" t="s">
        <v>47</v>
      </c>
      <c r="B341" s="88">
        <v>46104</v>
      </c>
      <c r="C341" s="89" t="s">
        <v>48</v>
      </c>
      <c r="D341" s="89" t="s">
        <v>49</v>
      </c>
      <c r="E341" s="90">
        <v>104805358</v>
      </c>
      <c r="F341" s="184" t="s">
        <v>1159</v>
      </c>
      <c r="G341" s="91">
        <v>40125149700</v>
      </c>
      <c r="H341" s="92">
        <v>18287</v>
      </c>
      <c r="I341" s="89">
        <v>76</v>
      </c>
      <c r="J341" s="89" t="s">
        <v>51</v>
      </c>
      <c r="K341" s="89" t="s">
        <v>1160</v>
      </c>
      <c r="L341" s="89" t="s">
        <v>1161</v>
      </c>
      <c r="M341" s="89" t="s">
        <v>1162</v>
      </c>
      <c r="N341" s="89" t="s">
        <v>237</v>
      </c>
      <c r="O341" s="93" t="s">
        <v>1163</v>
      </c>
      <c r="P341" s="94" t="s">
        <v>57</v>
      </c>
      <c r="Q341" s="112" t="s">
        <v>58</v>
      </c>
      <c r="R341" s="95">
        <v>46171</v>
      </c>
      <c r="S341" s="96"/>
      <c r="T341" s="96" t="s">
        <v>59</v>
      </c>
      <c r="U341" s="96" t="s">
        <v>60</v>
      </c>
      <c r="V341" s="92">
        <v>46128</v>
      </c>
      <c r="W341" s="92">
        <v>46147</v>
      </c>
      <c r="X341" s="92">
        <v>46154</v>
      </c>
      <c r="Y341" s="97"/>
      <c r="Z341" s="89" t="s">
        <v>62</v>
      </c>
      <c r="AA341" s="96">
        <v>46175</v>
      </c>
      <c r="AB341" s="89" t="s">
        <v>80</v>
      </c>
      <c r="AC341" s="111"/>
      <c r="AD341" s="89"/>
      <c r="AE341" s="89"/>
      <c r="AF341" s="98"/>
      <c r="AG341" s="98"/>
      <c r="AH341" s="98"/>
      <c r="AI341" s="99"/>
      <c r="AJ341" s="99" t="s">
        <v>197</v>
      </c>
      <c r="AK341" s="99" t="s">
        <v>67</v>
      </c>
      <c r="AL341" s="45" t="s">
        <v>68</v>
      </c>
      <c r="AM341" s="162" t="str">
        <f t="shared" si="40"/>
        <v>3/2026</v>
      </c>
      <c r="AN341" s="45">
        <f t="shared" si="41"/>
        <v>4</v>
      </c>
      <c r="AO341" s="45" t="str">
        <f t="shared" si="42"/>
        <v>5/2026</v>
      </c>
      <c r="AP341" s="45">
        <f t="shared" si="43"/>
        <v>5</v>
      </c>
      <c r="AQ341" s="45">
        <f t="shared" si="44"/>
        <v>67</v>
      </c>
      <c r="AR341" s="45">
        <f t="shared" si="45"/>
        <v>0</v>
      </c>
      <c r="AS341" s="45">
        <f t="shared" si="46"/>
        <v>13</v>
      </c>
      <c r="AT341" s="45">
        <f t="shared" si="47"/>
        <v>0</v>
      </c>
      <c r="AU341" s="45" t="str">
        <f>_xlfn.XLOOKUP(U341,'Lista Suspensa'!$AA$20:$AA$23,'Lista Suspensa'!$AB$20:$AB$23,"N/A")</f>
        <v>S</v>
      </c>
    </row>
    <row r="342" spans="1:47" ht="12" customHeight="1" x14ac:dyDescent="0.3">
      <c r="A342" s="87" t="s">
        <v>47</v>
      </c>
      <c r="B342" s="88">
        <v>46104</v>
      </c>
      <c r="C342" s="89" t="s">
        <v>48</v>
      </c>
      <c r="D342" s="89" t="s">
        <v>49</v>
      </c>
      <c r="E342" s="90">
        <v>747107769</v>
      </c>
      <c r="F342" s="184" t="s">
        <v>1164</v>
      </c>
      <c r="G342" s="91">
        <v>60583177700</v>
      </c>
      <c r="H342" s="92">
        <v>21835</v>
      </c>
      <c r="I342" s="89">
        <v>66</v>
      </c>
      <c r="J342" s="89" t="s">
        <v>70</v>
      </c>
      <c r="K342" s="89" t="s">
        <v>88</v>
      </c>
      <c r="L342" s="89" t="s">
        <v>89</v>
      </c>
      <c r="M342" s="89" t="s">
        <v>1165</v>
      </c>
      <c r="N342" s="89" t="s">
        <v>237</v>
      </c>
      <c r="O342" s="93" t="s">
        <v>1166</v>
      </c>
      <c r="P342" s="94" t="s">
        <v>57</v>
      </c>
      <c r="Q342" s="112" t="s">
        <v>58</v>
      </c>
      <c r="R342" s="95">
        <v>46153</v>
      </c>
      <c r="S342" s="96"/>
      <c r="T342" s="96" t="s">
        <v>59</v>
      </c>
      <c r="U342" s="96" t="s">
        <v>60</v>
      </c>
      <c r="V342" s="92">
        <v>46147</v>
      </c>
      <c r="W342" s="92">
        <v>46154</v>
      </c>
      <c r="X342" s="92" t="s">
        <v>61</v>
      </c>
      <c r="Y342" s="97"/>
      <c r="Z342" s="89" t="s">
        <v>62</v>
      </c>
      <c r="AA342" s="96" t="s">
        <v>1167</v>
      </c>
      <c r="AB342" s="89" t="s">
        <v>80</v>
      </c>
      <c r="AC342" s="111"/>
      <c r="AD342" s="89"/>
      <c r="AE342" s="89"/>
      <c r="AF342" s="98"/>
      <c r="AG342" s="98"/>
      <c r="AH342" s="98"/>
      <c r="AI342" s="99" t="s">
        <v>197</v>
      </c>
      <c r="AJ342" s="99" t="s">
        <v>197</v>
      </c>
      <c r="AK342" s="99" t="s">
        <v>67</v>
      </c>
      <c r="AL342" s="45" t="s">
        <v>68</v>
      </c>
      <c r="AM342" s="162" t="str">
        <f t="shared" si="40"/>
        <v>3/2026</v>
      </c>
      <c r="AN342" s="45">
        <f t="shared" si="41"/>
        <v>4</v>
      </c>
      <c r="AO342" s="45" t="str">
        <f t="shared" si="42"/>
        <v>5/2026</v>
      </c>
      <c r="AP342" s="45">
        <f t="shared" si="43"/>
        <v>3</v>
      </c>
      <c r="AQ342" s="45">
        <f t="shared" si="44"/>
        <v>49</v>
      </c>
      <c r="AR342" s="45">
        <f t="shared" si="45"/>
        <v>0</v>
      </c>
      <c r="AS342" s="45">
        <f t="shared" si="46"/>
        <v>7</v>
      </c>
      <c r="AT342" s="45">
        <f t="shared" si="47"/>
        <v>0</v>
      </c>
      <c r="AU342" s="45" t="str">
        <f>_xlfn.XLOOKUP(U342,'Lista Suspensa'!$AA$20:$AA$23,'Lista Suspensa'!$AB$20:$AB$23,"N/A")</f>
        <v>S</v>
      </c>
    </row>
    <row r="343" spans="1:47" ht="12" customHeight="1" x14ac:dyDescent="0.3">
      <c r="A343" s="87" t="s">
        <v>47</v>
      </c>
      <c r="B343" s="88">
        <v>46104</v>
      </c>
      <c r="C343" s="89" t="s">
        <v>48</v>
      </c>
      <c r="D343" s="89" t="s">
        <v>49</v>
      </c>
      <c r="E343" s="90">
        <v>319699439</v>
      </c>
      <c r="F343" s="184" t="s">
        <v>1168</v>
      </c>
      <c r="G343" s="91">
        <v>31494820706</v>
      </c>
      <c r="H343" s="92">
        <v>18982</v>
      </c>
      <c r="I343" s="89">
        <v>74</v>
      </c>
      <c r="J343" s="89" t="s">
        <v>51</v>
      </c>
      <c r="K343" s="89" t="s">
        <v>88</v>
      </c>
      <c r="L343" s="89" t="s">
        <v>89</v>
      </c>
      <c r="M343" s="89" t="s">
        <v>1169</v>
      </c>
      <c r="N343" s="89" t="s">
        <v>237</v>
      </c>
      <c r="O343" s="93" t="s">
        <v>1170</v>
      </c>
      <c r="P343" s="94" t="s">
        <v>57</v>
      </c>
      <c r="Q343" s="112" t="s">
        <v>58</v>
      </c>
      <c r="R343" s="95">
        <v>46147</v>
      </c>
      <c r="S343" s="96"/>
      <c r="T343" s="96" t="s">
        <v>59</v>
      </c>
      <c r="U343" s="96" t="s">
        <v>60</v>
      </c>
      <c r="V343" s="92">
        <v>46147</v>
      </c>
      <c r="W343" s="92" t="s">
        <v>61</v>
      </c>
      <c r="X343" s="92" t="s">
        <v>61</v>
      </c>
      <c r="Y343" s="97"/>
      <c r="Z343" s="89" t="s">
        <v>62</v>
      </c>
      <c r="AA343" s="96" t="s">
        <v>1171</v>
      </c>
      <c r="AB343" s="89" t="s">
        <v>80</v>
      </c>
      <c r="AC343" s="111"/>
      <c r="AD343" s="89"/>
      <c r="AE343" s="89"/>
      <c r="AF343" s="98"/>
      <c r="AG343" s="98"/>
      <c r="AH343" s="98"/>
      <c r="AI343" s="99" t="s">
        <v>197</v>
      </c>
      <c r="AJ343" s="99" t="s">
        <v>197</v>
      </c>
      <c r="AK343" s="99" t="s">
        <v>67</v>
      </c>
      <c r="AL343" s="45" t="s">
        <v>68</v>
      </c>
      <c r="AM343" s="162" t="str">
        <f t="shared" si="40"/>
        <v>3/2026</v>
      </c>
      <c r="AN343" s="45">
        <f t="shared" si="41"/>
        <v>4</v>
      </c>
      <c r="AO343" s="45" t="str">
        <f t="shared" si="42"/>
        <v>5/2026</v>
      </c>
      <c r="AP343" s="45">
        <f t="shared" si="43"/>
        <v>2</v>
      </c>
      <c r="AQ343" s="45">
        <f t="shared" si="44"/>
        <v>43</v>
      </c>
      <c r="AR343" s="45">
        <f t="shared" si="45"/>
        <v>0</v>
      </c>
      <c r="AS343" s="45">
        <f t="shared" si="46"/>
        <v>0</v>
      </c>
      <c r="AT343" s="45">
        <f t="shared" si="47"/>
        <v>0</v>
      </c>
      <c r="AU343" s="45" t="str">
        <f>_xlfn.XLOOKUP(U343,'Lista Suspensa'!$AA$20:$AA$23,'Lista Suspensa'!$AB$20:$AB$23,"N/A")</f>
        <v>S</v>
      </c>
    </row>
    <row r="344" spans="1:47" ht="12" customHeight="1" x14ac:dyDescent="0.3">
      <c r="A344" s="87" t="s">
        <v>47</v>
      </c>
      <c r="B344" s="88">
        <v>46104</v>
      </c>
      <c r="C344" s="89" t="s">
        <v>48</v>
      </c>
      <c r="D344" s="89" t="s">
        <v>49</v>
      </c>
      <c r="E344" s="90">
        <v>94000779</v>
      </c>
      <c r="F344" s="184" t="s">
        <v>1172</v>
      </c>
      <c r="G344" s="91">
        <v>83356304704</v>
      </c>
      <c r="H344" s="92">
        <v>24785</v>
      </c>
      <c r="I344" s="89">
        <v>58</v>
      </c>
      <c r="J344" s="89" t="s">
        <v>51</v>
      </c>
      <c r="K344" s="89" t="s">
        <v>88</v>
      </c>
      <c r="L344" s="89" t="s">
        <v>89</v>
      </c>
      <c r="M344" s="89" t="s">
        <v>1173</v>
      </c>
      <c r="N344" s="89" t="s">
        <v>102</v>
      </c>
      <c r="O344" s="93" t="s">
        <v>1174</v>
      </c>
      <c r="P344" s="94" t="s">
        <v>57</v>
      </c>
      <c r="Q344" s="112" t="s">
        <v>58</v>
      </c>
      <c r="R344" s="95">
        <v>46140</v>
      </c>
      <c r="S344" s="96"/>
      <c r="T344" s="96" t="s">
        <v>59</v>
      </c>
      <c r="U344" s="96" t="s">
        <v>60</v>
      </c>
      <c r="V344" s="92">
        <v>46140</v>
      </c>
      <c r="W344" s="92" t="s">
        <v>61</v>
      </c>
      <c r="X344" s="92" t="s">
        <v>61</v>
      </c>
      <c r="Y344" s="97"/>
      <c r="Z344" s="89" t="s">
        <v>62</v>
      </c>
      <c r="AA344" s="96">
        <v>46141.652777777781</v>
      </c>
      <c r="AB344" s="89" t="s">
        <v>80</v>
      </c>
      <c r="AC344" s="111"/>
      <c r="AD344" s="89"/>
      <c r="AE344" s="89"/>
      <c r="AF344" s="98"/>
      <c r="AG344" s="98"/>
      <c r="AH344" s="98"/>
      <c r="AI344" s="99" t="s">
        <v>67</v>
      </c>
      <c r="AJ344" s="99" t="s">
        <v>67</v>
      </c>
      <c r="AK344" s="99" t="s">
        <v>67</v>
      </c>
      <c r="AL344" s="45" t="s">
        <v>68</v>
      </c>
      <c r="AM344" s="162" t="str">
        <f t="shared" si="40"/>
        <v>3/2026</v>
      </c>
      <c r="AN344" s="45">
        <f t="shared" si="41"/>
        <v>4</v>
      </c>
      <c r="AO344" s="45" t="str">
        <f t="shared" si="42"/>
        <v>4/2026</v>
      </c>
      <c r="AP344" s="45">
        <f t="shared" si="43"/>
        <v>5</v>
      </c>
      <c r="AQ344" s="45">
        <f t="shared" si="44"/>
        <v>36</v>
      </c>
      <c r="AR344" s="45">
        <f t="shared" si="45"/>
        <v>0</v>
      </c>
      <c r="AS344" s="45">
        <f t="shared" si="46"/>
        <v>0</v>
      </c>
      <c r="AT344" s="45">
        <f t="shared" si="47"/>
        <v>0</v>
      </c>
      <c r="AU344" s="45" t="str">
        <f>_xlfn.XLOOKUP(U344,'Lista Suspensa'!$AA$20:$AA$23,'Lista Suspensa'!$AB$20:$AB$23,"N/A")</f>
        <v>S</v>
      </c>
    </row>
    <row r="345" spans="1:47" ht="12" customHeight="1" x14ac:dyDescent="0.3">
      <c r="A345" s="87" t="s">
        <v>47</v>
      </c>
      <c r="B345" s="88">
        <v>46104</v>
      </c>
      <c r="C345" s="89" t="s">
        <v>48</v>
      </c>
      <c r="D345" s="89" t="s">
        <v>49</v>
      </c>
      <c r="E345" s="90">
        <v>83477791</v>
      </c>
      <c r="F345" s="184" t="s">
        <v>1175</v>
      </c>
      <c r="G345" s="91">
        <v>86151037804</v>
      </c>
      <c r="H345" s="92">
        <v>20849</v>
      </c>
      <c r="I345" s="89">
        <v>69</v>
      </c>
      <c r="J345" s="89" t="s">
        <v>70</v>
      </c>
      <c r="K345" s="89" t="s">
        <v>52</v>
      </c>
      <c r="L345" s="89" t="s">
        <v>1176</v>
      </c>
      <c r="M345" s="89" t="s">
        <v>1177</v>
      </c>
      <c r="N345" s="89" t="s">
        <v>102</v>
      </c>
      <c r="O345" s="93" t="s">
        <v>1178</v>
      </c>
      <c r="P345" s="94" t="s">
        <v>57</v>
      </c>
      <c r="Q345" s="112" t="s">
        <v>58</v>
      </c>
      <c r="R345" s="95">
        <v>46140</v>
      </c>
      <c r="S345" s="96"/>
      <c r="T345" s="96" t="s">
        <v>59</v>
      </c>
      <c r="U345" s="96" t="s">
        <v>60</v>
      </c>
      <c r="V345" s="92">
        <v>46140</v>
      </c>
      <c r="W345" s="92" t="s">
        <v>61</v>
      </c>
      <c r="X345" s="92" t="s">
        <v>61</v>
      </c>
      <c r="Y345" s="97"/>
      <c r="Z345" s="89" t="s">
        <v>62</v>
      </c>
      <c r="AA345" s="96">
        <v>46141.666666666664</v>
      </c>
      <c r="AB345" s="89" t="s">
        <v>80</v>
      </c>
      <c r="AC345" s="111"/>
      <c r="AD345" s="89"/>
      <c r="AE345" s="89"/>
      <c r="AF345" s="98"/>
      <c r="AG345" s="98"/>
      <c r="AH345" s="98"/>
      <c r="AI345" s="99" t="s">
        <v>67</v>
      </c>
      <c r="AJ345" s="99" t="s">
        <v>67</v>
      </c>
      <c r="AK345" s="99" t="s">
        <v>67</v>
      </c>
      <c r="AL345" s="45" t="s">
        <v>68</v>
      </c>
      <c r="AM345" s="162" t="str">
        <f t="shared" si="40"/>
        <v>3/2026</v>
      </c>
      <c r="AN345" s="45">
        <f t="shared" si="41"/>
        <v>4</v>
      </c>
      <c r="AO345" s="45" t="str">
        <f t="shared" si="42"/>
        <v>4/2026</v>
      </c>
      <c r="AP345" s="45">
        <f t="shared" si="43"/>
        <v>5</v>
      </c>
      <c r="AQ345" s="45">
        <f t="shared" si="44"/>
        <v>36</v>
      </c>
      <c r="AR345" s="45">
        <f t="shared" si="45"/>
        <v>0</v>
      </c>
      <c r="AS345" s="45">
        <f t="shared" si="46"/>
        <v>0</v>
      </c>
      <c r="AT345" s="45">
        <f t="shared" si="47"/>
        <v>0</v>
      </c>
      <c r="AU345" s="45" t="str">
        <f>_xlfn.XLOOKUP(U345,'Lista Suspensa'!$AA$20:$AA$23,'Lista Suspensa'!$AB$20:$AB$23,"N/A")</f>
        <v>S</v>
      </c>
    </row>
    <row r="346" spans="1:47" ht="12" customHeight="1" x14ac:dyDescent="0.3">
      <c r="A346" s="87" t="s">
        <v>47</v>
      </c>
      <c r="B346" s="88">
        <v>46104</v>
      </c>
      <c r="C346" s="89" t="s">
        <v>48</v>
      </c>
      <c r="D346" s="89" t="s">
        <v>49</v>
      </c>
      <c r="E346" s="90">
        <v>794220177</v>
      </c>
      <c r="F346" s="184" t="s">
        <v>1179</v>
      </c>
      <c r="G346" s="91">
        <v>72861410825</v>
      </c>
      <c r="H346" s="92">
        <v>19908</v>
      </c>
      <c r="I346" s="89">
        <v>71</v>
      </c>
      <c r="J346" s="89" t="s">
        <v>51</v>
      </c>
      <c r="K346" s="89" t="s">
        <v>52</v>
      </c>
      <c r="L346" s="89" t="s">
        <v>53</v>
      </c>
      <c r="M346" s="89" t="s">
        <v>1062</v>
      </c>
      <c r="N346" s="89" t="s">
        <v>237</v>
      </c>
      <c r="O346" s="93" t="s">
        <v>1180</v>
      </c>
      <c r="P346" s="94" t="s">
        <v>57</v>
      </c>
      <c r="Q346" s="112" t="s">
        <v>58</v>
      </c>
      <c r="R346" s="95">
        <v>46153</v>
      </c>
      <c r="S346" s="96"/>
      <c r="T346" s="96" t="s">
        <v>59</v>
      </c>
      <c r="U346" s="96" t="s">
        <v>60</v>
      </c>
      <c r="V346" s="92">
        <v>46147</v>
      </c>
      <c r="W346" s="92">
        <v>46154</v>
      </c>
      <c r="X346" s="92" t="s">
        <v>61</v>
      </c>
      <c r="Y346" s="97"/>
      <c r="Z346" s="89" t="s">
        <v>62</v>
      </c>
      <c r="AA346" s="96">
        <v>46162.513888888891</v>
      </c>
      <c r="AB346" s="89" t="s">
        <v>80</v>
      </c>
      <c r="AC346" s="111"/>
      <c r="AD346" s="89"/>
      <c r="AE346" s="89"/>
      <c r="AF346" s="98"/>
      <c r="AG346" s="98"/>
      <c r="AH346" s="98"/>
      <c r="AI346" s="99" t="s">
        <v>197</v>
      </c>
      <c r="AJ346" s="99" t="s">
        <v>197</v>
      </c>
      <c r="AK346" s="99" t="s">
        <v>67</v>
      </c>
      <c r="AL346" s="45" t="s">
        <v>68</v>
      </c>
      <c r="AM346" s="162" t="str">
        <f t="shared" si="40"/>
        <v>3/2026</v>
      </c>
      <c r="AN346" s="45">
        <f t="shared" si="41"/>
        <v>4</v>
      </c>
      <c r="AO346" s="45" t="str">
        <f t="shared" si="42"/>
        <v>5/2026</v>
      </c>
      <c r="AP346" s="45">
        <f t="shared" si="43"/>
        <v>3</v>
      </c>
      <c r="AQ346" s="45">
        <f t="shared" si="44"/>
        <v>49</v>
      </c>
      <c r="AR346" s="45">
        <f t="shared" si="45"/>
        <v>0</v>
      </c>
      <c r="AS346" s="45">
        <f t="shared" si="46"/>
        <v>7</v>
      </c>
      <c r="AT346" s="45">
        <f t="shared" si="47"/>
        <v>0</v>
      </c>
      <c r="AU346" s="45" t="str">
        <f>_xlfn.XLOOKUP(U346,'Lista Suspensa'!$AA$20:$AA$23,'Lista Suspensa'!$AB$20:$AB$23,"N/A")</f>
        <v>S</v>
      </c>
    </row>
    <row r="347" spans="1:47" ht="12" customHeight="1" x14ac:dyDescent="0.3">
      <c r="A347" s="87" t="s">
        <v>47</v>
      </c>
      <c r="B347" s="88">
        <v>46104</v>
      </c>
      <c r="C347" s="89" t="s">
        <v>48</v>
      </c>
      <c r="D347" s="89" t="s">
        <v>49</v>
      </c>
      <c r="E347" s="90">
        <v>87552103</v>
      </c>
      <c r="F347" s="184" t="s">
        <v>1181</v>
      </c>
      <c r="G347" s="91">
        <v>35021683772</v>
      </c>
      <c r="H347" s="92">
        <v>17929</v>
      </c>
      <c r="I347" s="89">
        <v>77</v>
      </c>
      <c r="J347" s="89" t="s">
        <v>70</v>
      </c>
      <c r="K347" s="89" t="s">
        <v>88</v>
      </c>
      <c r="L347" s="89" t="s">
        <v>89</v>
      </c>
      <c r="M347" s="89" t="s">
        <v>384</v>
      </c>
      <c r="N347" s="89" t="s">
        <v>102</v>
      </c>
      <c r="O347" s="93" t="s">
        <v>1182</v>
      </c>
      <c r="P347" s="94" t="s">
        <v>57</v>
      </c>
      <c r="Q347" s="112" t="s">
        <v>58</v>
      </c>
      <c r="R347" s="95">
        <v>46117</v>
      </c>
      <c r="S347" s="96"/>
      <c r="T347" s="96" t="s">
        <v>59</v>
      </c>
      <c r="U347" s="96" t="s">
        <v>60</v>
      </c>
      <c r="V347" s="92">
        <v>46147</v>
      </c>
      <c r="W347" s="92" t="s">
        <v>61</v>
      </c>
      <c r="X347" s="92" t="s">
        <v>61</v>
      </c>
      <c r="Y347" s="97"/>
      <c r="Z347" s="89" t="s">
        <v>62</v>
      </c>
      <c r="AA347" s="96" t="s">
        <v>1183</v>
      </c>
      <c r="AB347" s="89" t="s">
        <v>80</v>
      </c>
      <c r="AC347" s="111"/>
      <c r="AD347" s="89"/>
      <c r="AE347" s="89"/>
      <c r="AF347" s="98"/>
      <c r="AG347" s="98"/>
      <c r="AH347" s="98"/>
      <c r="AI347" s="99" t="s">
        <v>197</v>
      </c>
      <c r="AJ347" s="99" t="s">
        <v>197</v>
      </c>
      <c r="AK347" s="99" t="s">
        <v>67</v>
      </c>
      <c r="AL347" s="45" t="s">
        <v>68</v>
      </c>
      <c r="AM347" s="162" t="str">
        <f t="shared" si="40"/>
        <v>3/2026</v>
      </c>
      <c r="AN347" s="45">
        <f t="shared" si="41"/>
        <v>4</v>
      </c>
      <c r="AO347" s="45" t="str">
        <f t="shared" si="42"/>
        <v>4/2026</v>
      </c>
      <c r="AP347" s="45">
        <f t="shared" si="43"/>
        <v>2</v>
      </c>
      <c r="AQ347" s="45">
        <f t="shared" si="44"/>
        <v>13</v>
      </c>
      <c r="AR347" s="45">
        <f t="shared" si="45"/>
        <v>0</v>
      </c>
      <c r="AS347" s="45">
        <f t="shared" si="46"/>
        <v>0</v>
      </c>
      <c r="AT347" s="45">
        <f t="shared" si="47"/>
        <v>0</v>
      </c>
      <c r="AU347" s="45" t="str">
        <f>_xlfn.XLOOKUP(U347,'Lista Suspensa'!$AA$20:$AA$23,'Lista Suspensa'!$AB$20:$AB$23,"N/A")</f>
        <v>S</v>
      </c>
    </row>
    <row r="348" spans="1:47" ht="12" customHeight="1" x14ac:dyDescent="0.3">
      <c r="A348" s="87" t="s">
        <v>47</v>
      </c>
      <c r="B348" s="88">
        <v>46104</v>
      </c>
      <c r="C348" s="89" t="s">
        <v>48</v>
      </c>
      <c r="D348" s="89" t="s">
        <v>49</v>
      </c>
      <c r="E348" s="90">
        <v>95543489</v>
      </c>
      <c r="F348" s="184" t="s">
        <v>1184</v>
      </c>
      <c r="G348" s="91">
        <v>7986255706</v>
      </c>
      <c r="H348" s="92">
        <v>28968</v>
      </c>
      <c r="I348" s="89">
        <v>46</v>
      </c>
      <c r="J348" s="89" t="s">
        <v>51</v>
      </c>
      <c r="K348" s="89" t="s">
        <v>88</v>
      </c>
      <c r="L348" s="89" t="s">
        <v>97</v>
      </c>
      <c r="M348" s="89" t="s">
        <v>1185</v>
      </c>
      <c r="N348" s="89" t="s">
        <v>102</v>
      </c>
      <c r="O348" s="93" t="s">
        <v>1186</v>
      </c>
      <c r="P348" s="94" t="s">
        <v>57</v>
      </c>
      <c r="Q348" s="112" t="s">
        <v>58</v>
      </c>
      <c r="R348" s="95">
        <v>46140</v>
      </c>
      <c r="S348" s="96"/>
      <c r="T348" s="96" t="s">
        <v>59</v>
      </c>
      <c r="U348" s="96" t="s">
        <v>60</v>
      </c>
      <c r="V348" s="92">
        <v>46140</v>
      </c>
      <c r="W348" s="92" t="s">
        <v>61</v>
      </c>
      <c r="X348" s="92" t="s">
        <v>61</v>
      </c>
      <c r="Y348" s="97"/>
      <c r="Z348" s="89" t="s">
        <v>62</v>
      </c>
      <c r="AA348" s="96">
        <v>46164</v>
      </c>
      <c r="AB348" s="89" t="s">
        <v>63</v>
      </c>
      <c r="AC348" s="111"/>
      <c r="AD348" s="89" t="s">
        <v>64</v>
      </c>
      <c r="AE348" s="89">
        <v>63</v>
      </c>
      <c r="AF348" s="98"/>
      <c r="AG348" s="98"/>
      <c r="AH348" s="98" t="s">
        <v>66</v>
      </c>
      <c r="AI348" s="99" t="s">
        <v>67</v>
      </c>
      <c r="AJ348" s="99" t="s">
        <v>67</v>
      </c>
      <c r="AK348" s="99" t="s">
        <v>67</v>
      </c>
      <c r="AL348" s="45" t="s">
        <v>68</v>
      </c>
      <c r="AM348" s="162" t="str">
        <f t="shared" si="40"/>
        <v>3/2026</v>
      </c>
      <c r="AN348" s="45">
        <f t="shared" si="41"/>
        <v>4</v>
      </c>
      <c r="AO348" s="45" t="str">
        <f t="shared" si="42"/>
        <v>4/2026</v>
      </c>
      <c r="AP348" s="45">
        <f t="shared" si="43"/>
        <v>5</v>
      </c>
      <c r="AQ348" s="45">
        <f t="shared" si="44"/>
        <v>36</v>
      </c>
      <c r="AR348" s="45">
        <f t="shared" si="45"/>
        <v>0</v>
      </c>
      <c r="AS348" s="45">
        <f t="shared" si="46"/>
        <v>0</v>
      </c>
      <c r="AT348" s="45">
        <f t="shared" si="47"/>
        <v>24</v>
      </c>
      <c r="AU348" s="45" t="str">
        <f>_xlfn.XLOOKUP(U348,'Lista Suspensa'!$AA$20:$AA$23,'Lista Suspensa'!$AB$20:$AB$23,"N/A")</f>
        <v>S</v>
      </c>
    </row>
    <row r="349" spans="1:47" ht="12" customHeight="1" x14ac:dyDescent="0.3">
      <c r="A349" s="87" t="s">
        <v>47</v>
      </c>
      <c r="B349" s="88">
        <v>46104</v>
      </c>
      <c r="C349" s="89" t="s">
        <v>48</v>
      </c>
      <c r="D349" s="89" t="s">
        <v>49</v>
      </c>
      <c r="E349" s="90">
        <v>86421377</v>
      </c>
      <c r="F349" s="184" t="s">
        <v>1187</v>
      </c>
      <c r="G349" s="91">
        <v>10748361898</v>
      </c>
      <c r="H349" s="92">
        <v>25036</v>
      </c>
      <c r="I349" s="89">
        <v>57</v>
      </c>
      <c r="J349" s="89" t="s">
        <v>51</v>
      </c>
      <c r="K349" s="89" t="s">
        <v>52</v>
      </c>
      <c r="L349" s="89" t="s">
        <v>53</v>
      </c>
      <c r="M349" s="89" t="s">
        <v>202</v>
      </c>
      <c r="N349" s="89" t="s">
        <v>102</v>
      </c>
      <c r="O349" s="93" t="s">
        <v>1188</v>
      </c>
      <c r="P349" s="94" t="s">
        <v>57</v>
      </c>
      <c r="Q349" s="112" t="s">
        <v>58</v>
      </c>
      <c r="R349" s="95">
        <v>46140</v>
      </c>
      <c r="S349" s="96"/>
      <c r="T349" s="96" t="s">
        <v>59</v>
      </c>
      <c r="U349" s="96" t="s">
        <v>60</v>
      </c>
      <c r="V349" s="92">
        <v>46140</v>
      </c>
      <c r="W349" s="92" t="s">
        <v>61</v>
      </c>
      <c r="X349" s="92" t="s">
        <v>61</v>
      </c>
      <c r="Y349" s="97"/>
      <c r="Z349" s="89" t="s">
        <v>62</v>
      </c>
      <c r="AA349" s="96" t="s">
        <v>1032</v>
      </c>
      <c r="AB349" s="89" t="s">
        <v>80</v>
      </c>
      <c r="AC349" s="111"/>
      <c r="AD349" s="89"/>
      <c r="AE349" s="89"/>
      <c r="AF349" s="98"/>
      <c r="AG349" s="98"/>
      <c r="AH349" s="98"/>
      <c r="AI349" s="99" t="s">
        <v>67</v>
      </c>
      <c r="AJ349" s="99" t="s">
        <v>67</v>
      </c>
      <c r="AK349" s="99" t="s">
        <v>67</v>
      </c>
      <c r="AL349" s="45" t="s">
        <v>68</v>
      </c>
      <c r="AM349" s="162" t="str">
        <f t="shared" si="40"/>
        <v>3/2026</v>
      </c>
      <c r="AN349" s="45">
        <f t="shared" si="41"/>
        <v>4</v>
      </c>
      <c r="AO349" s="45" t="str">
        <f t="shared" si="42"/>
        <v>4/2026</v>
      </c>
      <c r="AP349" s="45">
        <f t="shared" si="43"/>
        <v>5</v>
      </c>
      <c r="AQ349" s="45">
        <f t="shared" si="44"/>
        <v>36</v>
      </c>
      <c r="AR349" s="45">
        <f t="shared" si="45"/>
        <v>0</v>
      </c>
      <c r="AS349" s="45">
        <f t="shared" si="46"/>
        <v>0</v>
      </c>
      <c r="AT349" s="45">
        <f t="shared" si="47"/>
        <v>0</v>
      </c>
      <c r="AU349" s="45" t="str">
        <f>_xlfn.XLOOKUP(U349,'Lista Suspensa'!$AA$20:$AA$23,'Lista Suspensa'!$AB$20:$AB$23,"N/A")</f>
        <v>S</v>
      </c>
    </row>
    <row r="350" spans="1:47" ht="12" customHeight="1" x14ac:dyDescent="0.3">
      <c r="A350" s="87" t="s">
        <v>47</v>
      </c>
      <c r="B350" s="88">
        <v>46104</v>
      </c>
      <c r="C350" s="89" t="s">
        <v>48</v>
      </c>
      <c r="D350" s="89" t="s">
        <v>49</v>
      </c>
      <c r="E350" s="90">
        <v>94541653</v>
      </c>
      <c r="F350" s="184" t="s">
        <v>1189</v>
      </c>
      <c r="G350" s="91">
        <v>77326792704</v>
      </c>
      <c r="H350" s="92">
        <v>23454</v>
      </c>
      <c r="I350" s="89">
        <v>62</v>
      </c>
      <c r="J350" s="89" t="s">
        <v>51</v>
      </c>
      <c r="K350" s="89" t="s">
        <v>88</v>
      </c>
      <c r="L350" s="89" t="s">
        <v>603</v>
      </c>
      <c r="M350" s="89" t="s">
        <v>240</v>
      </c>
      <c r="N350" s="89" t="s">
        <v>102</v>
      </c>
      <c r="O350" s="93" t="s">
        <v>1190</v>
      </c>
      <c r="P350" s="94" t="s">
        <v>57</v>
      </c>
      <c r="Q350" s="112" t="s">
        <v>58</v>
      </c>
      <c r="R350" s="95">
        <v>46171</v>
      </c>
      <c r="S350" s="96"/>
      <c r="T350" s="96" t="s">
        <v>59</v>
      </c>
      <c r="U350" s="96" t="s">
        <v>60</v>
      </c>
      <c r="V350" s="92">
        <v>46147</v>
      </c>
      <c r="W350" s="92">
        <v>46154</v>
      </c>
      <c r="X350" s="92">
        <v>46160</v>
      </c>
      <c r="Y350" s="97"/>
      <c r="Z350" s="89" t="s">
        <v>62</v>
      </c>
      <c r="AA350" s="96">
        <v>46171</v>
      </c>
      <c r="AB350" s="89" t="s">
        <v>80</v>
      </c>
      <c r="AC350" s="111"/>
      <c r="AD350" s="89"/>
      <c r="AE350" s="89"/>
      <c r="AF350" s="98"/>
      <c r="AG350" s="98"/>
      <c r="AH350" s="98"/>
      <c r="AI350" s="99"/>
      <c r="AJ350" s="99" t="s">
        <v>197</v>
      </c>
      <c r="AK350" s="99" t="s">
        <v>67</v>
      </c>
      <c r="AL350" s="45" t="s">
        <v>68</v>
      </c>
      <c r="AM350" s="162" t="str">
        <f t="shared" si="40"/>
        <v>3/2026</v>
      </c>
      <c r="AN350" s="45">
        <f t="shared" si="41"/>
        <v>4</v>
      </c>
      <c r="AO350" s="45" t="str">
        <f t="shared" si="42"/>
        <v>5/2026</v>
      </c>
      <c r="AP350" s="45">
        <f t="shared" si="43"/>
        <v>5</v>
      </c>
      <c r="AQ350" s="45">
        <f t="shared" si="44"/>
        <v>67</v>
      </c>
      <c r="AR350" s="45">
        <f t="shared" si="45"/>
        <v>0</v>
      </c>
      <c r="AS350" s="45">
        <f t="shared" si="46"/>
        <v>6.5</v>
      </c>
      <c r="AT350" s="45">
        <f t="shared" si="47"/>
        <v>0</v>
      </c>
      <c r="AU350" s="45" t="str">
        <f>_xlfn.XLOOKUP(U350,'Lista Suspensa'!$AA$20:$AA$23,'Lista Suspensa'!$AB$20:$AB$23,"N/A")</f>
        <v>S</v>
      </c>
    </row>
    <row r="351" spans="1:47" ht="12" customHeight="1" x14ac:dyDescent="0.3">
      <c r="A351" s="87" t="s">
        <v>47</v>
      </c>
      <c r="B351" s="88">
        <v>46104</v>
      </c>
      <c r="C351" s="89" t="s">
        <v>48</v>
      </c>
      <c r="D351" s="89" t="s">
        <v>49</v>
      </c>
      <c r="E351" s="90">
        <v>82779381</v>
      </c>
      <c r="F351" s="184" t="s">
        <v>1191</v>
      </c>
      <c r="G351" s="91">
        <v>79666000768</v>
      </c>
      <c r="H351" s="92">
        <v>11965.041666666666</v>
      </c>
      <c r="I351" s="89">
        <v>93</v>
      </c>
      <c r="J351" s="89" t="s">
        <v>70</v>
      </c>
      <c r="K351" s="89" t="s">
        <v>88</v>
      </c>
      <c r="L351" s="89" t="s">
        <v>89</v>
      </c>
      <c r="M351" s="89" t="s">
        <v>1192</v>
      </c>
      <c r="N351" s="89" t="s">
        <v>113</v>
      </c>
      <c r="O351" s="93" t="s">
        <v>1193</v>
      </c>
      <c r="P351" s="94" t="s">
        <v>57</v>
      </c>
      <c r="Q351" s="112" t="s">
        <v>58</v>
      </c>
      <c r="R351" s="95">
        <v>46140</v>
      </c>
      <c r="S351" s="96"/>
      <c r="T351" s="96" t="s">
        <v>59</v>
      </c>
      <c r="U351" s="96" t="s">
        <v>60</v>
      </c>
      <c r="V351" s="92">
        <v>46140</v>
      </c>
      <c r="W351" s="92" t="s">
        <v>61</v>
      </c>
      <c r="X351" s="92" t="s">
        <v>61</v>
      </c>
      <c r="Y351" s="97"/>
      <c r="Z351" s="89" t="s">
        <v>62</v>
      </c>
      <c r="AA351" s="96">
        <v>46141.611111111109</v>
      </c>
      <c r="AB351" s="89" t="s">
        <v>63</v>
      </c>
      <c r="AC351" s="111">
        <v>46141</v>
      </c>
      <c r="AD351" s="89" t="s">
        <v>86</v>
      </c>
      <c r="AE351" s="89">
        <v>29</v>
      </c>
      <c r="AF351" s="98"/>
      <c r="AG351" s="98"/>
      <c r="AH351" s="98"/>
      <c r="AI351" s="99" t="s">
        <v>67</v>
      </c>
      <c r="AJ351" s="99" t="s">
        <v>67</v>
      </c>
      <c r="AK351" s="99" t="s">
        <v>67</v>
      </c>
      <c r="AL351" s="45" t="s">
        <v>68</v>
      </c>
      <c r="AM351" s="162" t="str">
        <f t="shared" si="40"/>
        <v>3/2026</v>
      </c>
      <c r="AN351" s="45">
        <f t="shared" si="41"/>
        <v>4</v>
      </c>
      <c r="AO351" s="45" t="str">
        <f t="shared" si="42"/>
        <v>4/2026</v>
      </c>
      <c r="AP351" s="45">
        <f t="shared" si="43"/>
        <v>5</v>
      </c>
      <c r="AQ351" s="45">
        <f t="shared" si="44"/>
        <v>36</v>
      </c>
      <c r="AR351" s="45">
        <f t="shared" si="45"/>
        <v>0</v>
      </c>
      <c r="AS351" s="45">
        <f t="shared" si="46"/>
        <v>0</v>
      </c>
      <c r="AT351" s="45">
        <f t="shared" si="47"/>
        <v>1.6111111111094942</v>
      </c>
      <c r="AU351" s="45" t="str">
        <f>_xlfn.XLOOKUP(U351,'Lista Suspensa'!$AA$20:$AA$23,'Lista Suspensa'!$AB$20:$AB$23,"N/A")</f>
        <v>S</v>
      </c>
    </row>
    <row r="352" spans="1:47" ht="12" customHeight="1" x14ac:dyDescent="0.3">
      <c r="A352" s="87" t="s">
        <v>47</v>
      </c>
      <c r="B352" s="88">
        <v>46104</v>
      </c>
      <c r="C352" s="89" t="s">
        <v>48</v>
      </c>
      <c r="D352" s="89" t="s">
        <v>49</v>
      </c>
      <c r="E352" s="90">
        <v>86699694</v>
      </c>
      <c r="F352" s="184" t="s">
        <v>1194</v>
      </c>
      <c r="G352" s="91">
        <v>35903211801</v>
      </c>
      <c r="H352" s="92">
        <v>31744</v>
      </c>
      <c r="I352" s="89">
        <v>39</v>
      </c>
      <c r="J352" s="89" t="s">
        <v>51</v>
      </c>
      <c r="K352" s="89" t="s">
        <v>52</v>
      </c>
      <c r="L352" s="89" t="s">
        <v>53</v>
      </c>
      <c r="M352" s="89" t="s">
        <v>393</v>
      </c>
      <c r="N352" s="89" t="s">
        <v>102</v>
      </c>
      <c r="O352" s="93" t="s">
        <v>1195</v>
      </c>
      <c r="P352" s="94" t="s">
        <v>57</v>
      </c>
      <c r="Q352" s="112" t="s">
        <v>58</v>
      </c>
      <c r="R352" s="95">
        <v>46171</v>
      </c>
      <c r="S352" s="96"/>
      <c r="T352" s="96" t="s">
        <v>59</v>
      </c>
      <c r="U352" s="96" t="s">
        <v>60</v>
      </c>
      <c r="V352" s="92">
        <v>46122</v>
      </c>
      <c r="W352" s="92">
        <v>46147</v>
      </c>
      <c r="X352" s="92">
        <v>46154</v>
      </c>
      <c r="Y352" s="97"/>
      <c r="Z352" s="89" t="s">
        <v>62</v>
      </c>
      <c r="AA352" s="96">
        <v>46178</v>
      </c>
      <c r="AB352" s="89" t="s">
        <v>80</v>
      </c>
      <c r="AC352" s="111"/>
      <c r="AD352" s="89"/>
      <c r="AE352" s="89"/>
      <c r="AF352" s="98"/>
      <c r="AG352" s="98"/>
      <c r="AH352" s="98"/>
      <c r="AI352" s="99"/>
      <c r="AJ352" s="99" t="s">
        <v>197</v>
      </c>
      <c r="AK352" s="99" t="s">
        <v>67</v>
      </c>
      <c r="AL352" s="45" t="s">
        <v>68</v>
      </c>
      <c r="AM352" s="162" t="str">
        <f t="shared" si="40"/>
        <v>3/2026</v>
      </c>
      <c r="AN352" s="45">
        <f t="shared" si="41"/>
        <v>4</v>
      </c>
      <c r="AO352" s="45" t="str">
        <f t="shared" si="42"/>
        <v>5/2026</v>
      </c>
      <c r="AP352" s="45">
        <f t="shared" si="43"/>
        <v>5</v>
      </c>
      <c r="AQ352" s="45">
        <f t="shared" si="44"/>
        <v>67</v>
      </c>
      <c r="AR352" s="45">
        <f t="shared" si="45"/>
        <v>0</v>
      </c>
      <c r="AS352" s="45">
        <f t="shared" si="46"/>
        <v>16</v>
      </c>
      <c r="AT352" s="45">
        <f t="shared" si="47"/>
        <v>0</v>
      </c>
      <c r="AU352" s="45" t="str">
        <f>_xlfn.XLOOKUP(U352,'Lista Suspensa'!$AA$20:$AA$23,'Lista Suspensa'!$AB$20:$AB$23,"N/A")</f>
        <v>S</v>
      </c>
    </row>
    <row r="353" spans="1:47" ht="12" customHeight="1" x14ac:dyDescent="0.3">
      <c r="A353" s="87" t="s">
        <v>47</v>
      </c>
      <c r="B353" s="88">
        <v>46104</v>
      </c>
      <c r="C353" s="89" t="s">
        <v>48</v>
      </c>
      <c r="D353" s="89" t="s">
        <v>49</v>
      </c>
      <c r="E353" s="90">
        <v>89439392</v>
      </c>
      <c r="F353" s="184" t="s">
        <v>1196</v>
      </c>
      <c r="G353" s="91">
        <v>34645423860</v>
      </c>
      <c r="H353" s="92">
        <v>30469</v>
      </c>
      <c r="I353" s="89">
        <v>42</v>
      </c>
      <c r="J353" s="89" t="s">
        <v>51</v>
      </c>
      <c r="K353" s="89" t="s">
        <v>52</v>
      </c>
      <c r="L353" s="89" t="s">
        <v>53</v>
      </c>
      <c r="M353" s="89" t="s">
        <v>1197</v>
      </c>
      <c r="N353" s="89" t="s">
        <v>113</v>
      </c>
      <c r="O353" s="93" t="s">
        <v>1198</v>
      </c>
      <c r="P353" s="94" t="s">
        <v>57</v>
      </c>
      <c r="Q353" s="112" t="s">
        <v>58</v>
      </c>
      <c r="R353" s="95">
        <v>46140</v>
      </c>
      <c r="S353" s="96"/>
      <c r="T353" s="96" t="s">
        <v>59</v>
      </c>
      <c r="U353" s="96" t="s">
        <v>60</v>
      </c>
      <c r="V353" s="92">
        <v>46140</v>
      </c>
      <c r="W353" s="92" t="s">
        <v>61</v>
      </c>
      <c r="X353" s="92" t="s">
        <v>61</v>
      </c>
      <c r="Y353" s="97"/>
      <c r="Z353" s="89" t="s">
        <v>62</v>
      </c>
      <c r="AA353" s="96">
        <v>46172.430555555555</v>
      </c>
      <c r="AB353" s="89" t="s">
        <v>63</v>
      </c>
      <c r="AC353" s="111"/>
      <c r="AD353" s="89"/>
      <c r="AE353" s="89"/>
      <c r="AF353" s="98"/>
      <c r="AG353" s="98"/>
      <c r="AH353" s="98"/>
      <c r="AI353" s="99" t="s">
        <v>67</v>
      </c>
      <c r="AJ353" s="99" t="s">
        <v>67</v>
      </c>
      <c r="AK353" s="99" t="s">
        <v>67</v>
      </c>
      <c r="AL353" s="45" t="s">
        <v>68</v>
      </c>
      <c r="AM353" s="162" t="str">
        <f t="shared" si="40"/>
        <v>3/2026</v>
      </c>
      <c r="AN353" s="45">
        <f t="shared" si="41"/>
        <v>4</v>
      </c>
      <c r="AO353" s="45" t="str">
        <f t="shared" si="42"/>
        <v>4/2026</v>
      </c>
      <c r="AP353" s="45">
        <f t="shared" si="43"/>
        <v>5</v>
      </c>
      <c r="AQ353" s="45">
        <f t="shared" si="44"/>
        <v>36</v>
      </c>
      <c r="AR353" s="45">
        <f t="shared" si="45"/>
        <v>0</v>
      </c>
      <c r="AS353" s="45">
        <f t="shared" si="46"/>
        <v>0</v>
      </c>
      <c r="AT353" s="45">
        <f t="shared" si="47"/>
        <v>32.430555555554747</v>
      </c>
      <c r="AU353" s="45" t="str">
        <f>_xlfn.XLOOKUP(U353,'Lista Suspensa'!$AA$20:$AA$23,'Lista Suspensa'!$AB$20:$AB$23,"N/A")</f>
        <v>S</v>
      </c>
    </row>
    <row r="354" spans="1:47" ht="12" customHeight="1" x14ac:dyDescent="0.3">
      <c r="A354" s="87" t="s">
        <v>47</v>
      </c>
      <c r="B354" s="88">
        <v>46104</v>
      </c>
      <c r="C354" s="89" t="s">
        <v>48</v>
      </c>
      <c r="D354" s="89" t="s">
        <v>49</v>
      </c>
      <c r="E354" s="90">
        <v>87847107</v>
      </c>
      <c r="F354" s="184" t="s">
        <v>1199</v>
      </c>
      <c r="G354" s="91">
        <v>7076108771</v>
      </c>
      <c r="H354" s="92">
        <v>27886</v>
      </c>
      <c r="I354" s="89">
        <v>49</v>
      </c>
      <c r="J354" s="89" t="s">
        <v>51</v>
      </c>
      <c r="K354" s="89" t="s">
        <v>88</v>
      </c>
      <c r="L354" s="89" t="s">
        <v>89</v>
      </c>
      <c r="M354" s="89" t="s">
        <v>1092</v>
      </c>
      <c r="N354" s="89" t="s">
        <v>113</v>
      </c>
      <c r="O354" s="93" t="s">
        <v>1200</v>
      </c>
      <c r="P354" s="94" t="s">
        <v>57</v>
      </c>
      <c r="Q354" s="112" t="s">
        <v>58</v>
      </c>
      <c r="R354" s="95">
        <v>46140</v>
      </c>
      <c r="S354" s="96"/>
      <c r="T354" s="96" t="s">
        <v>59</v>
      </c>
      <c r="U354" s="96" t="s">
        <v>60</v>
      </c>
      <c r="V354" s="92">
        <v>46140</v>
      </c>
      <c r="W354" s="92" t="s">
        <v>61</v>
      </c>
      <c r="X354" s="92" t="s">
        <v>61</v>
      </c>
      <c r="Y354" s="97"/>
      <c r="Z354" s="89" t="s">
        <v>62</v>
      </c>
      <c r="AA354" s="96" t="s">
        <v>1201</v>
      </c>
      <c r="AB354" s="89" t="s">
        <v>63</v>
      </c>
      <c r="AC354" s="111"/>
      <c r="AD354" s="89"/>
      <c r="AE354" s="89"/>
      <c r="AF354" s="98"/>
      <c r="AG354" s="98"/>
      <c r="AH354" s="98"/>
      <c r="AI354" s="99" t="s">
        <v>67</v>
      </c>
      <c r="AJ354" s="99" t="s">
        <v>67</v>
      </c>
      <c r="AK354" s="99" t="s">
        <v>67</v>
      </c>
      <c r="AL354" s="45" t="s">
        <v>68</v>
      </c>
      <c r="AM354" s="162" t="str">
        <f t="shared" si="40"/>
        <v>3/2026</v>
      </c>
      <c r="AN354" s="45">
        <f t="shared" si="41"/>
        <v>4</v>
      </c>
      <c r="AO354" s="45" t="str">
        <f t="shared" si="42"/>
        <v>4/2026</v>
      </c>
      <c r="AP354" s="45">
        <f t="shared" si="43"/>
        <v>5</v>
      </c>
      <c r="AQ354" s="45">
        <f t="shared" si="44"/>
        <v>36</v>
      </c>
      <c r="AR354" s="45">
        <f t="shared" si="45"/>
        <v>0</v>
      </c>
      <c r="AS354" s="45">
        <f t="shared" si="46"/>
        <v>0</v>
      </c>
      <c r="AT354" s="45">
        <f t="shared" si="47"/>
        <v>1.5833333333357587</v>
      </c>
      <c r="AU354" s="45" t="str">
        <f>_xlfn.XLOOKUP(U354,'Lista Suspensa'!$AA$20:$AA$23,'Lista Suspensa'!$AB$20:$AB$23,"N/A")</f>
        <v>S</v>
      </c>
    </row>
    <row r="355" spans="1:47" ht="12" customHeight="1" x14ac:dyDescent="0.3">
      <c r="A355" s="87" t="s">
        <v>47</v>
      </c>
      <c r="B355" s="88">
        <v>46104</v>
      </c>
      <c r="C355" s="89" t="s">
        <v>48</v>
      </c>
      <c r="D355" s="89" t="s">
        <v>49</v>
      </c>
      <c r="E355" s="90">
        <v>79354900</v>
      </c>
      <c r="F355" s="184" t="s">
        <v>1202</v>
      </c>
      <c r="G355" s="91">
        <v>11094838802</v>
      </c>
      <c r="H355" s="92">
        <v>22248</v>
      </c>
      <c r="I355" s="89">
        <v>65</v>
      </c>
      <c r="J355" s="89" t="s">
        <v>70</v>
      </c>
      <c r="K355" s="89" t="s">
        <v>52</v>
      </c>
      <c r="L355" s="89" t="s">
        <v>53</v>
      </c>
      <c r="M355" s="89" t="s">
        <v>1203</v>
      </c>
      <c r="N355" s="89" t="s">
        <v>113</v>
      </c>
      <c r="O355" s="93" t="s">
        <v>1204</v>
      </c>
      <c r="P355" s="94" t="s">
        <v>57</v>
      </c>
      <c r="Q355" s="112" t="s">
        <v>58</v>
      </c>
      <c r="R355" s="95">
        <v>46140</v>
      </c>
      <c r="S355" s="96"/>
      <c r="T355" s="96" t="s">
        <v>59</v>
      </c>
      <c r="U355" s="96" t="s">
        <v>60</v>
      </c>
      <c r="V355" s="92">
        <v>46140</v>
      </c>
      <c r="W355" s="92" t="s">
        <v>61</v>
      </c>
      <c r="X355" s="92" t="s">
        <v>61</v>
      </c>
      <c r="Y355" s="97"/>
      <c r="Z355" s="89" t="s">
        <v>62</v>
      </c>
      <c r="AA355" s="96">
        <v>46172.638888888891</v>
      </c>
      <c r="AB355" s="89" t="s">
        <v>80</v>
      </c>
      <c r="AC355" s="111"/>
      <c r="AD355" s="89"/>
      <c r="AE355" s="89"/>
      <c r="AF355" s="98"/>
      <c r="AG355" s="98"/>
      <c r="AH355" s="98"/>
      <c r="AI355" s="99" t="s">
        <v>67</v>
      </c>
      <c r="AJ355" s="99" t="s">
        <v>67</v>
      </c>
      <c r="AK355" s="99" t="s">
        <v>67</v>
      </c>
      <c r="AL355" s="45" t="s">
        <v>68</v>
      </c>
      <c r="AM355" s="162" t="str">
        <f t="shared" si="40"/>
        <v>3/2026</v>
      </c>
      <c r="AN355" s="45">
        <f t="shared" si="41"/>
        <v>4</v>
      </c>
      <c r="AO355" s="45" t="str">
        <f t="shared" si="42"/>
        <v>4/2026</v>
      </c>
      <c r="AP355" s="45">
        <f t="shared" si="43"/>
        <v>5</v>
      </c>
      <c r="AQ355" s="45">
        <f t="shared" si="44"/>
        <v>36</v>
      </c>
      <c r="AR355" s="45">
        <f t="shared" si="45"/>
        <v>0</v>
      </c>
      <c r="AS355" s="45">
        <f t="shared" si="46"/>
        <v>0</v>
      </c>
      <c r="AT355" s="45">
        <f t="shared" si="47"/>
        <v>0</v>
      </c>
      <c r="AU355" s="45" t="str">
        <f>_xlfn.XLOOKUP(U355,'Lista Suspensa'!$AA$20:$AA$23,'Lista Suspensa'!$AB$20:$AB$23,"N/A")</f>
        <v>S</v>
      </c>
    </row>
    <row r="356" spans="1:47" ht="12" customHeight="1" x14ac:dyDescent="0.3">
      <c r="A356" s="87" t="s">
        <v>47</v>
      </c>
      <c r="B356" s="88">
        <v>46104</v>
      </c>
      <c r="C356" s="89" t="s">
        <v>48</v>
      </c>
      <c r="D356" s="89" t="s">
        <v>49</v>
      </c>
      <c r="E356" s="90">
        <v>82332409</v>
      </c>
      <c r="F356" s="184" t="s">
        <v>1205</v>
      </c>
      <c r="G356" s="91">
        <v>26340393870</v>
      </c>
      <c r="H356" s="92">
        <v>27527</v>
      </c>
      <c r="I356" s="89">
        <v>50</v>
      </c>
      <c r="J356" s="89" t="s">
        <v>70</v>
      </c>
      <c r="K356" s="89" t="s">
        <v>52</v>
      </c>
      <c r="L356" s="89" t="s">
        <v>525</v>
      </c>
      <c r="M356" s="89" t="s">
        <v>1206</v>
      </c>
      <c r="N356" s="89" t="s">
        <v>113</v>
      </c>
      <c r="O356" s="93" t="s">
        <v>1207</v>
      </c>
      <c r="P356" s="94" t="s">
        <v>57</v>
      </c>
      <c r="Q356" s="112" t="s">
        <v>58</v>
      </c>
      <c r="R356" s="95">
        <v>46140</v>
      </c>
      <c r="S356" s="96"/>
      <c r="T356" s="96" t="s">
        <v>59</v>
      </c>
      <c r="U356" s="96" t="s">
        <v>60</v>
      </c>
      <c r="V356" s="92">
        <v>46140</v>
      </c>
      <c r="W356" s="92">
        <v>46149</v>
      </c>
      <c r="X356" s="92" t="s">
        <v>61</v>
      </c>
      <c r="Y356" s="97"/>
      <c r="Z356" s="89" t="s">
        <v>62</v>
      </c>
      <c r="AA356" s="96">
        <v>46149.486111111109</v>
      </c>
      <c r="AB356" s="89" t="s">
        <v>63</v>
      </c>
      <c r="AC356" s="111"/>
      <c r="AD356" s="89" t="s">
        <v>86</v>
      </c>
      <c r="AE356" s="89">
        <v>55</v>
      </c>
      <c r="AF356" s="98"/>
      <c r="AG356" s="98"/>
      <c r="AH356" s="98"/>
      <c r="AI356" s="99" t="s">
        <v>67</v>
      </c>
      <c r="AJ356" s="99" t="s">
        <v>67</v>
      </c>
      <c r="AK356" s="99" t="s">
        <v>67</v>
      </c>
      <c r="AL356" s="45" t="s">
        <v>68</v>
      </c>
      <c r="AM356" s="162" t="str">
        <f t="shared" si="40"/>
        <v>3/2026</v>
      </c>
      <c r="AN356" s="45">
        <f t="shared" si="41"/>
        <v>4</v>
      </c>
      <c r="AO356" s="45" t="str">
        <f t="shared" si="42"/>
        <v>4/2026</v>
      </c>
      <c r="AP356" s="45">
        <f t="shared" si="43"/>
        <v>5</v>
      </c>
      <c r="AQ356" s="45">
        <f t="shared" si="44"/>
        <v>36</v>
      </c>
      <c r="AR356" s="45">
        <f t="shared" si="45"/>
        <v>0</v>
      </c>
      <c r="AS356" s="45">
        <f t="shared" si="46"/>
        <v>9</v>
      </c>
      <c r="AT356" s="45">
        <f t="shared" si="47"/>
        <v>9.4861111111094942</v>
      </c>
      <c r="AU356" s="45" t="str">
        <f>_xlfn.XLOOKUP(U356,'Lista Suspensa'!$AA$20:$AA$23,'Lista Suspensa'!$AB$20:$AB$23,"N/A")</f>
        <v>S</v>
      </c>
    </row>
    <row r="357" spans="1:47" ht="12" customHeight="1" x14ac:dyDescent="0.3">
      <c r="A357" s="87" t="s">
        <v>47</v>
      </c>
      <c r="B357" s="88">
        <v>46104</v>
      </c>
      <c r="C357" s="89" t="s">
        <v>48</v>
      </c>
      <c r="D357" s="89" t="s">
        <v>49</v>
      </c>
      <c r="E357" s="90">
        <v>87527597</v>
      </c>
      <c r="F357" s="184" t="s">
        <v>1208</v>
      </c>
      <c r="G357" s="91">
        <v>55592490763</v>
      </c>
      <c r="H357" s="92">
        <v>21656</v>
      </c>
      <c r="I357" s="89">
        <v>66</v>
      </c>
      <c r="J357" s="89" t="s">
        <v>51</v>
      </c>
      <c r="K357" s="89" t="s">
        <v>88</v>
      </c>
      <c r="L357" s="89" t="s">
        <v>97</v>
      </c>
      <c r="M357" s="89" t="s">
        <v>1018</v>
      </c>
      <c r="N357" s="89" t="s">
        <v>102</v>
      </c>
      <c r="O357" s="93" t="s">
        <v>1209</v>
      </c>
      <c r="P357" s="94" t="s">
        <v>57</v>
      </c>
      <c r="Q357" s="112" t="s">
        <v>58</v>
      </c>
      <c r="R357" s="95">
        <v>46164</v>
      </c>
      <c r="S357" s="96"/>
      <c r="T357" s="96" t="s">
        <v>59</v>
      </c>
      <c r="U357" s="96" t="s">
        <v>60</v>
      </c>
      <c r="V357" s="92">
        <v>46147</v>
      </c>
      <c r="W357" s="92">
        <v>46154</v>
      </c>
      <c r="X357" s="92">
        <v>46160</v>
      </c>
      <c r="Y357" s="97"/>
      <c r="Z357" s="89" t="s">
        <v>62</v>
      </c>
      <c r="AA357" s="96">
        <v>46171</v>
      </c>
      <c r="AB357" s="89" t="s">
        <v>80</v>
      </c>
      <c r="AC357" s="111"/>
      <c r="AD357" s="89"/>
      <c r="AE357" s="89"/>
      <c r="AF357" s="98"/>
      <c r="AG357" s="98"/>
      <c r="AH357" s="98"/>
      <c r="AI357" s="99"/>
      <c r="AJ357" s="99" t="s">
        <v>197</v>
      </c>
      <c r="AK357" s="99" t="s">
        <v>67</v>
      </c>
      <c r="AL357" s="45" t="s">
        <v>68</v>
      </c>
      <c r="AM357" s="162" t="str">
        <f t="shared" si="40"/>
        <v>3/2026</v>
      </c>
      <c r="AN357" s="45">
        <f t="shared" si="41"/>
        <v>4</v>
      </c>
      <c r="AO357" s="45" t="str">
        <f t="shared" si="42"/>
        <v>5/2026</v>
      </c>
      <c r="AP357" s="45">
        <f t="shared" si="43"/>
        <v>4</v>
      </c>
      <c r="AQ357" s="45">
        <f t="shared" si="44"/>
        <v>60</v>
      </c>
      <c r="AR357" s="45">
        <f t="shared" si="45"/>
        <v>0</v>
      </c>
      <c r="AS357" s="45">
        <f t="shared" si="46"/>
        <v>6.5</v>
      </c>
      <c r="AT357" s="45">
        <f t="shared" si="47"/>
        <v>0</v>
      </c>
      <c r="AU357" s="45" t="str">
        <f>_xlfn.XLOOKUP(U357,'Lista Suspensa'!$AA$20:$AA$23,'Lista Suspensa'!$AB$20:$AB$23,"N/A")</f>
        <v>S</v>
      </c>
    </row>
    <row r="358" spans="1:47" ht="12" customHeight="1" x14ac:dyDescent="0.3">
      <c r="A358" s="87" t="s">
        <v>47</v>
      </c>
      <c r="B358" s="88">
        <v>46104</v>
      </c>
      <c r="C358" s="89" t="s">
        <v>48</v>
      </c>
      <c r="D358" s="89" t="s">
        <v>49</v>
      </c>
      <c r="E358" s="90">
        <v>87552544</v>
      </c>
      <c r="F358" s="184" t="s">
        <v>1210</v>
      </c>
      <c r="G358" s="91">
        <v>42856442749</v>
      </c>
      <c r="H358" s="92">
        <v>20742</v>
      </c>
      <c r="I358" s="89">
        <v>69</v>
      </c>
      <c r="J358" s="89" t="s">
        <v>51</v>
      </c>
      <c r="K358" s="89" t="s">
        <v>88</v>
      </c>
      <c r="L358" s="89" t="s">
        <v>89</v>
      </c>
      <c r="M358" s="89" t="s">
        <v>461</v>
      </c>
      <c r="N358" s="89" t="s">
        <v>102</v>
      </c>
      <c r="O358" s="93" t="s">
        <v>1211</v>
      </c>
      <c r="P358" s="94" t="s">
        <v>57</v>
      </c>
      <c r="Q358" s="112" t="s">
        <v>58</v>
      </c>
      <c r="R358" s="95">
        <v>46117</v>
      </c>
      <c r="S358" s="96"/>
      <c r="T358" s="96" t="s">
        <v>59</v>
      </c>
      <c r="U358" s="96" t="s">
        <v>60</v>
      </c>
      <c r="V358" s="92">
        <v>46147</v>
      </c>
      <c r="W358" s="92" t="s">
        <v>61</v>
      </c>
      <c r="X358" s="92" t="s">
        <v>61</v>
      </c>
      <c r="Y358" s="97"/>
      <c r="Z358" s="89" t="s">
        <v>62</v>
      </c>
      <c r="AA358" s="96" t="s">
        <v>1212</v>
      </c>
      <c r="AB358" s="89" t="s">
        <v>80</v>
      </c>
      <c r="AC358" s="111"/>
      <c r="AD358" s="89"/>
      <c r="AE358" s="89"/>
      <c r="AF358" s="98"/>
      <c r="AG358" s="98"/>
      <c r="AH358" s="98"/>
      <c r="AI358" s="99" t="s">
        <v>197</v>
      </c>
      <c r="AJ358" s="99" t="s">
        <v>197</v>
      </c>
      <c r="AK358" s="99" t="s">
        <v>67</v>
      </c>
      <c r="AL358" s="45" t="s">
        <v>68</v>
      </c>
      <c r="AM358" s="162" t="str">
        <f t="shared" si="40"/>
        <v>3/2026</v>
      </c>
      <c r="AN358" s="45">
        <f t="shared" si="41"/>
        <v>4</v>
      </c>
      <c r="AO358" s="45" t="str">
        <f t="shared" si="42"/>
        <v>4/2026</v>
      </c>
      <c r="AP358" s="45">
        <f t="shared" si="43"/>
        <v>2</v>
      </c>
      <c r="AQ358" s="45">
        <f t="shared" si="44"/>
        <v>13</v>
      </c>
      <c r="AR358" s="45">
        <f t="shared" si="45"/>
        <v>0</v>
      </c>
      <c r="AS358" s="45">
        <f t="shared" si="46"/>
        <v>0</v>
      </c>
      <c r="AT358" s="45">
        <f t="shared" si="47"/>
        <v>0</v>
      </c>
      <c r="AU358" s="45" t="str">
        <f>_xlfn.XLOOKUP(U358,'Lista Suspensa'!$AA$20:$AA$23,'Lista Suspensa'!$AB$20:$AB$23,"N/A")</f>
        <v>S</v>
      </c>
    </row>
    <row r="359" spans="1:47" ht="12" customHeight="1" x14ac:dyDescent="0.3">
      <c r="A359" s="87" t="s">
        <v>47</v>
      </c>
      <c r="B359" s="88">
        <v>46104</v>
      </c>
      <c r="C359" s="89" t="s">
        <v>48</v>
      </c>
      <c r="D359" s="89" t="s">
        <v>49</v>
      </c>
      <c r="E359" s="90">
        <v>87554138</v>
      </c>
      <c r="F359" s="184" t="s">
        <v>1213</v>
      </c>
      <c r="G359" s="91">
        <v>13414206714</v>
      </c>
      <c r="H359" s="92">
        <v>32580</v>
      </c>
      <c r="I359" s="89">
        <v>37</v>
      </c>
      <c r="J359" s="89" t="s">
        <v>51</v>
      </c>
      <c r="K359" s="89" t="s">
        <v>88</v>
      </c>
      <c r="L359" s="89" t="s">
        <v>89</v>
      </c>
      <c r="M359" s="89" t="s">
        <v>398</v>
      </c>
      <c r="N359" s="89" t="s">
        <v>102</v>
      </c>
      <c r="O359" s="93" t="s">
        <v>1214</v>
      </c>
      <c r="P359" s="94" t="s">
        <v>57</v>
      </c>
      <c r="Q359" s="112" t="s">
        <v>58</v>
      </c>
      <c r="R359" s="95">
        <v>46147</v>
      </c>
      <c r="S359" s="96"/>
      <c r="T359" s="96" t="s">
        <v>59</v>
      </c>
      <c r="U359" s="96" t="s">
        <v>60</v>
      </c>
      <c r="V359" s="92">
        <v>46147</v>
      </c>
      <c r="W359" s="92" t="s">
        <v>61</v>
      </c>
      <c r="X359" s="92" t="s">
        <v>61</v>
      </c>
      <c r="Y359" s="97"/>
      <c r="Z359" s="89" t="s">
        <v>62</v>
      </c>
      <c r="AA359" s="96" t="s">
        <v>1215</v>
      </c>
      <c r="AB359" s="89" t="s">
        <v>80</v>
      </c>
      <c r="AC359" s="111"/>
      <c r="AD359" s="89"/>
      <c r="AE359" s="89"/>
      <c r="AF359" s="98"/>
      <c r="AG359" s="98"/>
      <c r="AH359" s="98"/>
      <c r="AI359" s="99" t="s">
        <v>197</v>
      </c>
      <c r="AJ359" s="99" t="s">
        <v>197</v>
      </c>
      <c r="AK359" s="99" t="s">
        <v>67</v>
      </c>
      <c r="AL359" s="45" t="s">
        <v>68</v>
      </c>
      <c r="AM359" s="162" t="str">
        <f t="shared" si="40"/>
        <v>3/2026</v>
      </c>
      <c r="AN359" s="45">
        <f t="shared" si="41"/>
        <v>4</v>
      </c>
      <c r="AO359" s="45" t="str">
        <f t="shared" si="42"/>
        <v>5/2026</v>
      </c>
      <c r="AP359" s="45">
        <f t="shared" si="43"/>
        <v>2</v>
      </c>
      <c r="AQ359" s="45">
        <f t="shared" si="44"/>
        <v>43</v>
      </c>
      <c r="AR359" s="45">
        <f t="shared" si="45"/>
        <v>0</v>
      </c>
      <c r="AS359" s="45">
        <f t="shared" si="46"/>
        <v>0</v>
      </c>
      <c r="AT359" s="45">
        <f t="shared" si="47"/>
        <v>0</v>
      </c>
      <c r="AU359" s="45" t="str">
        <f>_xlfn.XLOOKUP(U359,'Lista Suspensa'!$AA$20:$AA$23,'Lista Suspensa'!$AB$20:$AB$23,"N/A")</f>
        <v>S</v>
      </c>
    </row>
    <row r="360" spans="1:47" ht="12" customHeight="1" x14ac:dyDescent="0.3">
      <c r="A360" s="87" t="s">
        <v>47</v>
      </c>
      <c r="B360" s="88">
        <v>46104</v>
      </c>
      <c r="C360" s="89" t="s">
        <v>48</v>
      </c>
      <c r="D360" s="89" t="s">
        <v>49</v>
      </c>
      <c r="E360" s="90">
        <v>83099550</v>
      </c>
      <c r="F360" s="184" t="s">
        <v>1216</v>
      </c>
      <c r="G360" s="91">
        <v>3594162842</v>
      </c>
      <c r="H360" s="92">
        <v>20952</v>
      </c>
      <c r="I360" s="89">
        <v>68</v>
      </c>
      <c r="J360" s="89" t="s">
        <v>51</v>
      </c>
      <c r="K360" s="89" t="s">
        <v>52</v>
      </c>
      <c r="L360" s="89" t="s">
        <v>53</v>
      </c>
      <c r="M360" s="89" t="s">
        <v>1062</v>
      </c>
      <c r="N360" s="89" t="s">
        <v>113</v>
      </c>
      <c r="O360" s="93" t="s">
        <v>1217</v>
      </c>
      <c r="P360" s="94" t="s">
        <v>57</v>
      </c>
      <c r="Q360" s="112" t="s">
        <v>58</v>
      </c>
      <c r="R360" s="95">
        <v>46142</v>
      </c>
      <c r="S360" s="96"/>
      <c r="T360" s="96" t="s">
        <v>59</v>
      </c>
      <c r="U360" s="96" t="s">
        <v>60</v>
      </c>
      <c r="V360" s="92">
        <v>46128</v>
      </c>
      <c r="W360" s="92">
        <v>46142</v>
      </c>
      <c r="X360" s="92" t="s">
        <v>61</v>
      </c>
      <c r="Y360" s="97"/>
      <c r="Z360" s="89" t="s">
        <v>62</v>
      </c>
      <c r="AA360" s="96">
        <v>46149.416666666664</v>
      </c>
      <c r="AB360" s="89" t="s">
        <v>63</v>
      </c>
      <c r="AC360" s="111"/>
      <c r="AD360" s="89" t="s">
        <v>265</v>
      </c>
      <c r="AE360" s="89">
        <v>50</v>
      </c>
      <c r="AF360" s="98" t="s">
        <v>138</v>
      </c>
      <c r="AG360" s="98"/>
      <c r="AH360" s="98" t="s">
        <v>66</v>
      </c>
      <c r="AI360" s="99" t="s">
        <v>67</v>
      </c>
      <c r="AJ360" s="99" t="s">
        <v>67</v>
      </c>
      <c r="AK360" s="99" t="s">
        <v>67</v>
      </c>
      <c r="AL360" s="45" t="s">
        <v>68</v>
      </c>
      <c r="AM360" s="162" t="str">
        <f t="shared" si="40"/>
        <v>3/2026</v>
      </c>
      <c r="AN360" s="45">
        <f t="shared" si="41"/>
        <v>4</v>
      </c>
      <c r="AO360" s="45" t="str">
        <f t="shared" si="42"/>
        <v>4/2026</v>
      </c>
      <c r="AP360" s="45">
        <f t="shared" si="43"/>
        <v>5</v>
      </c>
      <c r="AQ360" s="45">
        <f t="shared" si="44"/>
        <v>38</v>
      </c>
      <c r="AR360" s="45">
        <f t="shared" si="45"/>
        <v>0</v>
      </c>
      <c r="AS360" s="45">
        <f t="shared" si="46"/>
        <v>14</v>
      </c>
      <c r="AT360" s="45">
        <f t="shared" si="47"/>
        <v>7.4166666666642413</v>
      </c>
      <c r="AU360" s="45" t="str">
        <f>_xlfn.XLOOKUP(U360,'Lista Suspensa'!$AA$20:$AA$23,'Lista Suspensa'!$AB$20:$AB$23,"N/A")</f>
        <v>S</v>
      </c>
    </row>
    <row r="361" spans="1:47" ht="12" customHeight="1" x14ac:dyDescent="0.3">
      <c r="A361" s="87" t="s">
        <v>47</v>
      </c>
      <c r="B361" s="88">
        <v>46104</v>
      </c>
      <c r="C361" s="89" t="s">
        <v>48</v>
      </c>
      <c r="D361" s="89" t="s">
        <v>49</v>
      </c>
      <c r="E361" s="90">
        <v>88891942</v>
      </c>
      <c r="F361" s="184" t="s">
        <v>1218</v>
      </c>
      <c r="G361" s="91">
        <v>84163470778</v>
      </c>
      <c r="H361" s="92">
        <v>23781</v>
      </c>
      <c r="I361" s="89">
        <v>61</v>
      </c>
      <c r="J361" s="89" t="s">
        <v>51</v>
      </c>
      <c r="K361" s="89" t="s">
        <v>88</v>
      </c>
      <c r="L361" s="89" t="s">
        <v>89</v>
      </c>
      <c r="M361" s="89" t="s">
        <v>1098</v>
      </c>
      <c r="N361" s="89" t="s">
        <v>102</v>
      </c>
      <c r="O361" s="93" t="s">
        <v>1219</v>
      </c>
      <c r="P361" s="94" t="s">
        <v>57</v>
      </c>
      <c r="Q361" s="112" t="s">
        <v>58</v>
      </c>
      <c r="R361" s="95">
        <v>46147</v>
      </c>
      <c r="S361" s="96"/>
      <c r="T361" s="96" t="s">
        <v>59</v>
      </c>
      <c r="U361" s="96" t="s">
        <v>60</v>
      </c>
      <c r="V361" s="92">
        <v>46147</v>
      </c>
      <c r="W361" s="92" t="s">
        <v>61</v>
      </c>
      <c r="X361" s="92" t="s">
        <v>61</v>
      </c>
      <c r="Y361" s="97"/>
      <c r="Z361" s="89" t="s">
        <v>62</v>
      </c>
      <c r="AA361" s="96" t="s">
        <v>1220</v>
      </c>
      <c r="AB361" s="89" t="s">
        <v>63</v>
      </c>
      <c r="AC361" s="111"/>
      <c r="AD361" s="89" t="s">
        <v>86</v>
      </c>
      <c r="AE361" s="89">
        <v>59</v>
      </c>
      <c r="AF361" s="98" t="s">
        <v>126</v>
      </c>
      <c r="AG361" s="98"/>
      <c r="AH361" s="98"/>
      <c r="AI361" s="99" t="s">
        <v>197</v>
      </c>
      <c r="AJ361" s="99" t="s">
        <v>197</v>
      </c>
      <c r="AK361" s="99" t="s">
        <v>67</v>
      </c>
      <c r="AL361" s="45" t="s">
        <v>68</v>
      </c>
      <c r="AM361" s="162" t="str">
        <f t="shared" si="40"/>
        <v>3/2026</v>
      </c>
      <c r="AN361" s="45">
        <f t="shared" si="41"/>
        <v>4</v>
      </c>
      <c r="AO361" s="45" t="str">
        <f t="shared" si="42"/>
        <v>5/2026</v>
      </c>
      <c r="AP361" s="45">
        <f t="shared" si="43"/>
        <v>2</v>
      </c>
      <c r="AQ361" s="45">
        <f t="shared" si="44"/>
        <v>43</v>
      </c>
      <c r="AR361" s="45">
        <f t="shared" si="45"/>
        <v>0</v>
      </c>
      <c r="AS361" s="45">
        <f t="shared" si="46"/>
        <v>0</v>
      </c>
      <c r="AT361" s="45">
        <f t="shared" si="47"/>
        <v>7.4861111111094942</v>
      </c>
      <c r="AU361" s="45" t="str">
        <f>_xlfn.XLOOKUP(U361,'Lista Suspensa'!$AA$20:$AA$23,'Lista Suspensa'!$AB$20:$AB$23,"N/A")</f>
        <v>S</v>
      </c>
    </row>
    <row r="362" spans="1:47" ht="12" customHeight="1" x14ac:dyDescent="0.3">
      <c r="A362" s="87" t="s">
        <v>47</v>
      </c>
      <c r="B362" s="88">
        <v>46104</v>
      </c>
      <c r="C362" s="89" t="s">
        <v>48</v>
      </c>
      <c r="D362" s="89" t="s">
        <v>49</v>
      </c>
      <c r="E362" s="90">
        <v>81289654</v>
      </c>
      <c r="F362" s="184" t="s">
        <v>1221</v>
      </c>
      <c r="G362" s="91">
        <v>26348131807</v>
      </c>
      <c r="H362" s="92">
        <v>20730</v>
      </c>
      <c r="I362" s="89">
        <v>69</v>
      </c>
      <c r="J362" s="89" t="s">
        <v>70</v>
      </c>
      <c r="K362" s="89" t="s">
        <v>52</v>
      </c>
      <c r="L362" s="89" t="s">
        <v>331</v>
      </c>
      <c r="M362" s="89" t="s">
        <v>1222</v>
      </c>
      <c r="N362" s="89" t="s">
        <v>113</v>
      </c>
      <c r="O362" s="93" t="s">
        <v>1223</v>
      </c>
      <c r="P362" s="94" t="s">
        <v>57</v>
      </c>
      <c r="Q362" s="112" t="s">
        <v>58</v>
      </c>
      <c r="R362" s="95">
        <v>46141</v>
      </c>
      <c r="S362" s="96"/>
      <c r="T362" s="96" t="s">
        <v>59</v>
      </c>
      <c r="U362" s="96" t="s">
        <v>60</v>
      </c>
      <c r="V362" s="92">
        <v>46141</v>
      </c>
      <c r="W362" s="92" t="s">
        <v>61</v>
      </c>
      <c r="X362" s="92" t="s">
        <v>61</v>
      </c>
      <c r="Y362" s="97"/>
      <c r="Z362" s="89" t="s">
        <v>62</v>
      </c>
      <c r="AA362" s="96">
        <v>46142</v>
      </c>
      <c r="AB362" s="89" t="s">
        <v>80</v>
      </c>
      <c r="AC362" s="111">
        <v>46149</v>
      </c>
      <c r="AD362" s="89"/>
      <c r="AE362" s="89"/>
      <c r="AF362" s="98"/>
      <c r="AG362" s="98"/>
      <c r="AH362" s="98"/>
      <c r="AI362" s="99" t="s">
        <v>67</v>
      </c>
      <c r="AJ362" s="99" t="s">
        <v>67</v>
      </c>
      <c r="AK362" s="99" t="s">
        <v>67</v>
      </c>
      <c r="AL362" s="45" t="s">
        <v>68</v>
      </c>
      <c r="AM362" s="162" t="str">
        <f t="shared" si="40"/>
        <v>3/2026</v>
      </c>
      <c r="AN362" s="45">
        <f t="shared" si="41"/>
        <v>4</v>
      </c>
      <c r="AO362" s="45" t="str">
        <f t="shared" si="42"/>
        <v>4/2026</v>
      </c>
      <c r="AP362" s="45">
        <f t="shared" si="43"/>
        <v>5</v>
      </c>
      <c r="AQ362" s="45">
        <f t="shared" si="44"/>
        <v>37</v>
      </c>
      <c r="AR362" s="45">
        <f t="shared" si="45"/>
        <v>0</v>
      </c>
      <c r="AS362" s="45">
        <f t="shared" si="46"/>
        <v>0</v>
      </c>
      <c r="AT362" s="45">
        <f t="shared" si="47"/>
        <v>0</v>
      </c>
      <c r="AU362" s="45" t="str">
        <f>_xlfn.XLOOKUP(U362,'Lista Suspensa'!$AA$20:$AA$23,'Lista Suspensa'!$AB$20:$AB$23,"N/A")</f>
        <v>S</v>
      </c>
    </row>
    <row r="363" spans="1:47" ht="12" customHeight="1" x14ac:dyDescent="0.3">
      <c r="A363" s="87" t="s">
        <v>47</v>
      </c>
      <c r="B363" s="88">
        <v>46104</v>
      </c>
      <c r="C363" s="89" t="s">
        <v>48</v>
      </c>
      <c r="D363" s="89" t="s">
        <v>49</v>
      </c>
      <c r="E363" s="90">
        <v>84069750</v>
      </c>
      <c r="F363" s="184" t="s">
        <v>1224</v>
      </c>
      <c r="G363" s="91">
        <v>21278221883</v>
      </c>
      <c r="H363" s="92">
        <v>29176</v>
      </c>
      <c r="I363" s="89">
        <v>46</v>
      </c>
      <c r="J363" s="89" t="s">
        <v>51</v>
      </c>
      <c r="K363" s="89" t="s">
        <v>52</v>
      </c>
      <c r="L363" s="89" t="s">
        <v>53</v>
      </c>
      <c r="M363" s="89" t="s">
        <v>729</v>
      </c>
      <c r="N363" s="89" t="s">
        <v>113</v>
      </c>
      <c r="O363" s="93" t="s">
        <v>1225</v>
      </c>
      <c r="P363" s="94" t="s">
        <v>57</v>
      </c>
      <c r="Q363" s="112" t="s">
        <v>58</v>
      </c>
      <c r="R363" s="95">
        <v>46117</v>
      </c>
      <c r="S363" s="96"/>
      <c r="T363" s="96" t="s">
        <v>59</v>
      </c>
      <c r="U363" s="96" t="s">
        <v>60</v>
      </c>
      <c r="V363" s="92">
        <v>46147</v>
      </c>
      <c r="W363" s="92">
        <v>46149</v>
      </c>
      <c r="X363" s="92" t="s">
        <v>61</v>
      </c>
      <c r="Y363" s="97"/>
      <c r="Z363" s="89" t="s">
        <v>62</v>
      </c>
      <c r="AA363" s="96" t="s">
        <v>1226</v>
      </c>
      <c r="AB363" s="89" t="s">
        <v>80</v>
      </c>
      <c r="AC363" s="111">
        <v>46150</v>
      </c>
      <c r="AD363" s="89"/>
      <c r="AE363" s="89"/>
      <c r="AF363" s="98"/>
      <c r="AG363" s="98"/>
      <c r="AH363" s="98"/>
      <c r="AI363" s="99" t="s">
        <v>197</v>
      </c>
      <c r="AJ363" s="99" t="s">
        <v>197</v>
      </c>
      <c r="AK363" s="99" t="s">
        <v>67</v>
      </c>
      <c r="AL363" s="45" t="s">
        <v>68</v>
      </c>
      <c r="AM363" s="162" t="str">
        <f t="shared" si="40"/>
        <v>3/2026</v>
      </c>
      <c r="AN363" s="45">
        <f t="shared" si="41"/>
        <v>4</v>
      </c>
      <c r="AO363" s="45" t="str">
        <f t="shared" si="42"/>
        <v>4/2026</v>
      </c>
      <c r="AP363" s="45">
        <f t="shared" si="43"/>
        <v>2</v>
      </c>
      <c r="AQ363" s="45">
        <f t="shared" si="44"/>
        <v>13</v>
      </c>
      <c r="AR363" s="45">
        <f t="shared" si="45"/>
        <v>0</v>
      </c>
      <c r="AS363" s="45">
        <f t="shared" si="46"/>
        <v>2</v>
      </c>
      <c r="AT363" s="45">
        <f t="shared" si="47"/>
        <v>0</v>
      </c>
      <c r="AU363" s="45" t="str">
        <f>_xlfn.XLOOKUP(U363,'Lista Suspensa'!$AA$20:$AA$23,'Lista Suspensa'!$AB$20:$AB$23,"N/A")</f>
        <v>S</v>
      </c>
    </row>
    <row r="364" spans="1:47" ht="12" customHeight="1" x14ac:dyDescent="0.3">
      <c r="A364" s="87" t="s">
        <v>47</v>
      </c>
      <c r="B364" s="88">
        <v>46104</v>
      </c>
      <c r="C364" s="89" t="s">
        <v>48</v>
      </c>
      <c r="D364" s="89" t="s">
        <v>49</v>
      </c>
      <c r="E364" s="90">
        <v>88949310</v>
      </c>
      <c r="F364" s="184" t="s">
        <v>1227</v>
      </c>
      <c r="G364" s="91">
        <v>11463649894</v>
      </c>
      <c r="H364" s="92">
        <v>25098</v>
      </c>
      <c r="I364" s="89">
        <v>57</v>
      </c>
      <c r="J364" s="89" t="s">
        <v>70</v>
      </c>
      <c r="K364" s="89" t="s">
        <v>52</v>
      </c>
      <c r="L364" s="89" t="s">
        <v>53</v>
      </c>
      <c r="M364" s="89" t="s">
        <v>1228</v>
      </c>
      <c r="N364" s="89" t="s">
        <v>113</v>
      </c>
      <c r="O364" s="93" t="s">
        <v>1229</v>
      </c>
      <c r="P364" s="94" t="s">
        <v>57</v>
      </c>
      <c r="Q364" s="112" t="s">
        <v>58</v>
      </c>
      <c r="R364" s="95">
        <v>46147</v>
      </c>
      <c r="S364" s="96"/>
      <c r="T364" s="96" t="s">
        <v>59</v>
      </c>
      <c r="U364" s="96" t="s">
        <v>60</v>
      </c>
      <c r="V364" s="92">
        <v>46147</v>
      </c>
      <c r="W364" s="92" t="s">
        <v>61</v>
      </c>
      <c r="X364" s="92" t="s">
        <v>61</v>
      </c>
      <c r="Y364" s="97"/>
      <c r="Z364" s="89" t="s">
        <v>62</v>
      </c>
      <c r="AA364" s="96" t="s">
        <v>1230</v>
      </c>
      <c r="AB364" s="89" t="s">
        <v>80</v>
      </c>
      <c r="AC364" s="111"/>
      <c r="AD364" s="89"/>
      <c r="AE364" s="89"/>
      <c r="AF364" s="98"/>
      <c r="AG364" s="98"/>
      <c r="AH364" s="98"/>
      <c r="AI364" s="99" t="s">
        <v>197</v>
      </c>
      <c r="AJ364" s="99" t="s">
        <v>197</v>
      </c>
      <c r="AK364" s="99" t="s">
        <v>67</v>
      </c>
      <c r="AL364" s="45" t="s">
        <v>68</v>
      </c>
      <c r="AM364" s="162" t="str">
        <f t="shared" si="40"/>
        <v>3/2026</v>
      </c>
      <c r="AN364" s="45">
        <f t="shared" si="41"/>
        <v>4</v>
      </c>
      <c r="AO364" s="45" t="str">
        <f t="shared" si="42"/>
        <v>5/2026</v>
      </c>
      <c r="AP364" s="45">
        <f t="shared" si="43"/>
        <v>2</v>
      </c>
      <c r="AQ364" s="45">
        <f t="shared" si="44"/>
        <v>43</v>
      </c>
      <c r="AR364" s="45">
        <f t="shared" si="45"/>
        <v>0</v>
      </c>
      <c r="AS364" s="45">
        <f t="shared" si="46"/>
        <v>0</v>
      </c>
      <c r="AT364" s="45">
        <f t="shared" si="47"/>
        <v>0</v>
      </c>
      <c r="AU364" s="45" t="str">
        <f>_xlfn.XLOOKUP(U364,'Lista Suspensa'!$AA$20:$AA$23,'Lista Suspensa'!$AB$20:$AB$23,"N/A")</f>
        <v>S</v>
      </c>
    </row>
    <row r="365" spans="1:47" ht="12" customHeight="1" x14ac:dyDescent="0.3">
      <c r="A365" s="87" t="s">
        <v>47</v>
      </c>
      <c r="B365" s="88">
        <v>46104</v>
      </c>
      <c r="C365" s="89" t="s">
        <v>48</v>
      </c>
      <c r="D365" s="89" t="s">
        <v>49</v>
      </c>
      <c r="E365" s="90">
        <v>450051609</v>
      </c>
      <c r="F365" s="184" t="s">
        <v>1231</v>
      </c>
      <c r="G365" s="91">
        <v>53616499887</v>
      </c>
      <c r="H365" s="92">
        <v>18707</v>
      </c>
      <c r="I365" s="89">
        <v>75</v>
      </c>
      <c r="J365" s="89" t="s">
        <v>51</v>
      </c>
      <c r="K365" s="89" t="s">
        <v>52</v>
      </c>
      <c r="L365" s="89" t="s">
        <v>1232</v>
      </c>
      <c r="M365" s="89" t="s">
        <v>1233</v>
      </c>
      <c r="N365" s="89" t="s">
        <v>72</v>
      </c>
      <c r="O365" s="93" t="s">
        <v>1234</v>
      </c>
      <c r="P365" s="94" t="s">
        <v>57</v>
      </c>
      <c r="Q365" s="112" t="s">
        <v>58</v>
      </c>
      <c r="R365" s="95">
        <v>46142</v>
      </c>
      <c r="S365" s="96"/>
      <c r="T365" s="96" t="s">
        <v>59</v>
      </c>
      <c r="U365" s="96" t="s">
        <v>60</v>
      </c>
      <c r="V365" s="92">
        <v>46142</v>
      </c>
      <c r="W365" s="92" t="s">
        <v>61</v>
      </c>
      <c r="X365" s="92" t="s">
        <v>61</v>
      </c>
      <c r="Y365" s="97"/>
      <c r="Z365" s="89" t="s">
        <v>62</v>
      </c>
      <c r="AA365" s="96" t="s">
        <v>1235</v>
      </c>
      <c r="AB365" s="89" t="s">
        <v>80</v>
      </c>
      <c r="AC365" s="111"/>
      <c r="AD365" s="89"/>
      <c r="AE365" s="89"/>
      <c r="AF365" s="98"/>
      <c r="AG365" s="98"/>
      <c r="AH365" s="98"/>
      <c r="AI365" s="99" t="s">
        <v>67</v>
      </c>
      <c r="AJ365" s="99" t="s">
        <v>67</v>
      </c>
      <c r="AK365" s="99" t="s">
        <v>67</v>
      </c>
      <c r="AL365" s="45" t="s">
        <v>68</v>
      </c>
      <c r="AM365" s="162" t="str">
        <f t="shared" si="40"/>
        <v>3/2026</v>
      </c>
      <c r="AN365" s="45">
        <f t="shared" si="41"/>
        <v>4</v>
      </c>
      <c r="AO365" s="45" t="str">
        <f t="shared" si="42"/>
        <v>4/2026</v>
      </c>
      <c r="AP365" s="45">
        <f t="shared" si="43"/>
        <v>5</v>
      </c>
      <c r="AQ365" s="45">
        <f t="shared" si="44"/>
        <v>38</v>
      </c>
      <c r="AR365" s="45">
        <f t="shared" si="45"/>
        <v>0</v>
      </c>
      <c r="AS365" s="45">
        <f t="shared" si="46"/>
        <v>0</v>
      </c>
      <c r="AT365" s="45">
        <f t="shared" si="47"/>
        <v>0</v>
      </c>
      <c r="AU365" s="45" t="str">
        <f>_xlfn.XLOOKUP(U365,'Lista Suspensa'!$AA$20:$AA$23,'Lista Suspensa'!$AB$20:$AB$23,"N/A")</f>
        <v>S</v>
      </c>
    </row>
    <row r="366" spans="1:47" ht="12" customHeight="1" x14ac:dyDescent="0.3">
      <c r="A366" s="87" t="s">
        <v>47</v>
      </c>
      <c r="B366" s="88">
        <v>46104</v>
      </c>
      <c r="C366" s="89" t="s">
        <v>48</v>
      </c>
      <c r="D366" s="89" t="s">
        <v>49</v>
      </c>
      <c r="E366" s="90">
        <v>451853245</v>
      </c>
      <c r="F366" s="184" t="s">
        <v>1236</v>
      </c>
      <c r="G366" s="91">
        <v>57756198549</v>
      </c>
      <c r="H366" s="92">
        <v>26744</v>
      </c>
      <c r="I366" s="89">
        <v>53</v>
      </c>
      <c r="J366" s="89" t="s">
        <v>70</v>
      </c>
      <c r="K366" s="89" t="s">
        <v>52</v>
      </c>
      <c r="L366" s="89" t="s">
        <v>53</v>
      </c>
      <c r="M366" s="89" t="s">
        <v>1237</v>
      </c>
      <c r="N366" s="89" t="s">
        <v>72</v>
      </c>
      <c r="O366" s="93" t="s">
        <v>1238</v>
      </c>
      <c r="P366" s="94" t="s">
        <v>57</v>
      </c>
      <c r="Q366" s="112" t="s">
        <v>58</v>
      </c>
      <c r="R366" s="95">
        <v>46140</v>
      </c>
      <c r="S366" s="96"/>
      <c r="T366" s="96" t="s">
        <v>59</v>
      </c>
      <c r="U366" s="96" t="s">
        <v>60</v>
      </c>
      <c r="V366" s="92">
        <v>46140</v>
      </c>
      <c r="W366" s="92" t="s">
        <v>61</v>
      </c>
      <c r="X366" s="92" t="s">
        <v>61</v>
      </c>
      <c r="Y366" s="97"/>
      <c r="Z366" s="89" t="s">
        <v>62</v>
      </c>
      <c r="AA366" s="96">
        <v>46172.680555555555</v>
      </c>
      <c r="AB366" s="89" t="s">
        <v>80</v>
      </c>
      <c r="AC366" s="111"/>
      <c r="AD366" s="89"/>
      <c r="AE366" s="89"/>
      <c r="AF366" s="98"/>
      <c r="AG366" s="98"/>
      <c r="AH366" s="98"/>
      <c r="AI366" s="99" t="s">
        <v>67</v>
      </c>
      <c r="AJ366" s="99" t="s">
        <v>67</v>
      </c>
      <c r="AK366" s="99" t="s">
        <v>67</v>
      </c>
      <c r="AL366" s="45" t="s">
        <v>68</v>
      </c>
      <c r="AM366" s="162" t="str">
        <f t="shared" si="40"/>
        <v>3/2026</v>
      </c>
      <c r="AN366" s="45">
        <f t="shared" si="41"/>
        <v>4</v>
      </c>
      <c r="AO366" s="45" t="str">
        <f t="shared" si="42"/>
        <v>4/2026</v>
      </c>
      <c r="AP366" s="45">
        <f t="shared" si="43"/>
        <v>5</v>
      </c>
      <c r="AQ366" s="45">
        <f t="shared" si="44"/>
        <v>36</v>
      </c>
      <c r="AR366" s="45">
        <f t="shared" si="45"/>
        <v>0</v>
      </c>
      <c r="AS366" s="45">
        <f t="shared" si="46"/>
        <v>0</v>
      </c>
      <c r="AT366" s="45">
        <f t="shared" si="47"/>
        <v>0</v>
      </c>
      <c r="AU366" s="45" t="str">
        <f>_xlfn.XLOOKUP(U366,'Lista Suspensa'!$AA$20:$AA$23,'Lista Suspensa'!$AB$20:$AB$23,"N/A")</f>
        <v>S</v>
      </c>
    </row>
    <row r="367" spans="1:47" ht="12" customHeight="1" x14ac:dyDescent="0.3">
      <c r="A367" s="87" t="s">
        <v>47</v>
      </c>
      <c r="B367" s="88">
        <v>46104</v>
      </c>
      <c r="C367" s="89" t="s">
        <v>48</v>
      </c>
      <c r="D367" s="89" t="s">
        <v>49</v>
      </c>
      <c r="E367" s="90">
        <v>88011516</v>
      </c>
      <c r="F367" s="184" t="s">
        <v>1239</v>
      </c>
      <c r="G367" s="91">
        <v>98913948753</v>
      </c>
      <c r="H367" s="92">
        <v>24939</v>
      </c>
      <c r="I367" s="89">
        <v>57</v>
      </c>
      <c r="J367" s="89" t="s">
        <v>51</v>
      </c>
      <c r="K367" s="89" t="s">
        <v>52</v>
      </c>
      <c r="L367" s="89" t="s">
        <v>53</v>
      </c>
      <c r="M367" s="89" t="s">
        <v>1240</v>
      </c>
      <c r="N367" s="89" t="s">
        <v>72</v>
      </c>
      <c r="O367" s="93" t="s">
        <v>1241</v>
      </c>
      <c r="P367" s="94" t="s">
        <v>57</v>
      </c>
      <c r="Q367" s="112" t="s">
        <v>58</v>
      </c>
      <c r="R367" s="95">
        <v>46140</v>
      </c>
      <c r="S367" s="96"/>
      <c r="T367" s="96" t="s">
        <v>59</v>
      </c>
      <c r="U367" s="96" t="s">
        <v>60</v>
      </c>
      <c r="V367" s="92">
        <v>46140</v>
      </c>
      <c r="W367" s="92" t="s">
        <v>61</v>
      </c>
      <c r="X367" s="92" t="s">
        <v>61</v>
      </c>
      <c r="Y367" s="97"/>
      <c r="Z367" s="89" t="s">
        <v>62</v>
      </c>
      <c r="AA367" s="96" t="s">
        <v>1242</v>
      </c>
      <c r="AB367" s="89" t="s">
        <v>80</v>
      </c>
      <c r="AC367" s="111"/>
      <c r="AD367" s="89"/>
      <c r="AE367" s="89"/>
      <c r="AF367" s="98"/>
      <c r="AG367" s="98"/>
      <c r="AH367" s="98"/>
      <c r="AI367" s="99" t="s">
        <v>67</v>
      </c>
      <c r="AJ367" s="99" t="s">
        <v>67</v>
      </c>
      <c r="AK367" s="99" t="s">
        <v>67</v>
      </c>
      <c r="AL367" s="45" t="s">
        <v>68</v>
      </c>
      <c r="AM367" s="162" t="str">
        <f t="shared" si="40"/>
        <v>3/2026</v>
      </c>
      <c r="AN367" s="45">
        <f t="shared" si="41"/>
        <v>4</v>
      </c>
      <c r="AO367" s="45" t="str">
        <f t="shared" si="42"/>
        <v>4/2026</v>
      </c>
      <c r="AP367" s="45">
        <f t="shared" si="43"/>
        <v>5</v>
      </c>
      <c r="AQ367" s="45">
        <f t="shared" si="44"/>
        <v>36</v>
      </c>
      <c r="AR367" s="45">
        <f t="shared" si="45"/>
        <v>0</v>
      </c>
      <c r="AS367" s="45">
        <f t="shared" si="46"/>
        <v>0</v>
      </c>
      <c r="AT367" s="45">
        <f t="shared" si="47"/>
        <v>0</v>
      </c>
      <c r="AU367" s="45" t="str">
        <f>_xlfn.XLOOKUP(U367,'Lista Suspensa'!$AA$20:$AA$23,'Lista Suspensa'!$AB$20:$AB$23,"N/A")</f>
        <v>S</v>
      </c>
    </row>
    <row r="368" spans="1:47" ht="12" customHeight="1" x14ac:dyDescent="0.3">
      <c r="A368" s="87" t="s">
        <v>47</v>
      </c>
      <c r="B368" s="88">
        <v>46104</v>
      </c>
      <c r="C368" s="89" t="s">
        <v>48</v>
      </c>
      <c r="D368" s="89" t="s">
        <v>49</v>
      </c>
      <c r="E368" s="90">
        <v>452270324</v>
      </c>
      <c r="F368" s="184" t="s">
        <v>1243</v>
      </c>
      <c r="G368" s="91">
        <v>18867293877</v>
      </c>
      <c r="H368" s="92">
        <v>28518</v>
      </c>
      <c r="I368" s="89">
        <v>48</v>
      </c>
      <c r="J368" s="89" t="s">
        <v>51</v>
      </c>
      <c r="K368" s="89" t="s">
        <v>52</v>
      </c>
      <c r="L368" s="89" t="s">
        <v>53</v>
      </c>
      <c r="M368" s="89" t="s">
        <v>401</v>
      </c>
      <c r="N368" s="89" t="s">
        <v>72</v>
      </c>
      <c r="O368" s="93" t="s">
        <v>1244</v>
      </c>
      <c r="P368" s="94" t="s">
        <v>57</v>
      </c>
      <c r="Q368" s="112" t="s">
        <v>58</v>
      </c>
      <c r="R368" s="95">
        <v>46142</v>
      </c>
      <c r="S368" s="96"/>
      <c r="T368" s="96" t="s">
        <v>59</v>
      </c>
      <c r="U368" s="96" t="s">
        <v>60</v>
      </c>
      <c r="V368" s="92">
        <v>46142</v>
      </c>
      <c r="W368" s="92" t="s">
        <v>61</v>
      </c>
      <c r="X368" s="92" t="s">
        <v>61</v>
      </c>
      <c r="Y368" s="97"/>
      <c r="Z368" s="89" t="s">
        <v>62</v>
      </c>
      <c r="AA368" s="96" t="s">
        <v>1245</v>
      </c>
      <c r="AB368" s="89" t="s">
        <v>80</v>
      </c>
      <c r="AC368" s="111"/>
      <c r="AD368" s="89"/>
      <c r="AE368" s="89"/>
      <c r="AF368" s="98"/>
      <c r="AG368" s="98"/>
      <c r="AH368" s="98"/>
      <c r="AI368" s="99" t="s">
        <v>67</v>
      </c>
      <c r="AJ368" s="99" t="s">
        <v>67</v>
      </c>
      <c r="AK368" s="99" t="s">
        <v>67</v>
      </c>
      <c r="AL368" s="45" t="s">
        <v>68</v>
      </c>
      <c r="AM368" s="162" t="str">
        <f t="shared" si="40"/>
        <v>3/2026</v>
      </c>
      <c r="AN368" s="45">
        <f t="shared" si="41"/>
        <v>4</v>
      </c>
      <c r="AO368" s="45" t="str">
        <f t="shared" si="42"/>
        <v>4/2026</v>
      </c>
      <c r="AP368" s="45">
        <f t="shared" si="43"/>
        <v>5</v>
      </c>
      <c r="AQ368" s="45">
        <f t="shared" si="44"/>
        <v>38</v>
      </c>
      <c r="AR368" s="45">
        <f t="shared" si="45"/>
        <v>0</v>
      </c>
      <c r="AS368" s="45">
        <f t="shared" si="46"/>
        <v>0</v>
      </c>
      <c r="AT368" s="45">
        <f t="shared" si="47"/>
        <v>0</v>
      </c>
      <c r="AU368" s="45" t="str">
        <f>_xlfn.XLOOKUP(U368,'Lista Suspensa'!$AA$20:$AA$23,'Lista Suspensa'!$AB$20:$AB$23,"N/A")</f>
        <v>S</v>
      </c>
    </row>
    <row r="369" spans="1:47" ht="12" customHeight="1" x14ac:dyDescent="0.3">
      <c r="A369" s="87" t="s">
        <v>47</v>
      </c>
      <c r="B369" s="88">
        <v>46104</v>
      </c>
      <c r="C369" s="89" t="s">
        <v>48</v>
      </c>
      <c r="D369" s="89" t="s">
        <v>49</v>
      </c>
      <c r="E369" s="90">
        <v>81654896</v>
      </c>
      <c r="F369" s="184" t="s">
        <v>1246</v>
      </c>
      <c r="G369" s="91">
        <v>37721861810</v>
      </c>
      <c r="H369" s="92">
        <v>32211</v>
      </c>
      <c r="I369" s="89">
        <v>38</v>
      </c>
      <c r="J369" s="89" t="s">
        <v>51</v>
      </c>
      <c r="K369" s="89" t="s">
        <v>52</v>
      </c>
      <c r="L369" s="89" t="s">
        <v>53</v>
      </c>
      <c r="M369" s="89" t="s">
        <v>1247</v>
      </c>
      <c r="N369" s="89" t="s">
        <v>113</v>
      </c>
      <c r="O369" s="93" t="s">
        <v>1248</v>
      </c>
      <c r="P369" s="94" t="s">
        <v>57</v>
      </c>
      <c r="Q369" s="112" t="s">
        <v>58</v>
      </c>
      <c r="R369" s="95">
        <v>46147</v>
      </c>
      <c r="S369" s="96"/>
      <c r="T369" s="96" t="s">
        <v>59</v>
      </c>
      <c r="U369" s="96" t="s">
        <v>60</v>
      </c>
      <c r="V369" s="92">
        <v>46147</v>
      </c>
      <c r="W369" s="92" t="s">
        <v>61</v>
      </c>
      <c r="X369" s="92" t="s">
        <v>61</v>
      </c>
      <c r="Y369" s="97"/>
      <c r="Z369" s="89" t="s">
        <v>62</v>
      </c>
      <c r="AA369" s="96" t="s">
        <v>1249</v>
      </c>
      <c r="AB369" s="89" t="s">
        <v>80</v>
      </c>
      <c r="AC369" s="111"/>
      <c r="AD369" s="89"/>
      <c r="AE369" s="89"/>
      <c r="AF369" s="98"/>
      <c r="AG369" s="98"/>
      <c r="AH369" s="98"/>
      <c r="AI369" s="99" t="s">
        <v>197</v>
      </c>
      <c r="AJ369" s="99" t="s">
        <v>197</v>
      </c>
      <c r="AK369" s="99" t="s">
        <v>67</v>
      </c>
      <c r="AL369" s="45" t="s">
        <v>68</v>
      </c>
      <c r="AM369" s="162" t="str">
        <f t="shared" si="40"/>
        <v>3/2026</v>
      </c>
      <c r="AN369" s="45">
        <f t="shared" si="41"/>
        <v>4</v>
      </c>
      <c r="AO369" s="45" t="str">
        <f t="shared" si="42"/>
        <v>5/2026</v>
      </c>
      <c r="AP369" s="45">
        <f t="shared" si="43"/>
        <v>2</v>
      </c>
      <c r="AQ369" s="45">
        <f t="shared" si="44"/>
        <v>43</v>
      </c>
      <c r="AR369" s="45">
        <f t="shared" si="45"/>
        <v>0</v>
      </c>
      <c r="AS369" s="45">
        <f t="shared" si="46"/>
        <v>0</v>
      </c>
      <c r="AT369" s="45">
        <f t="shared" si="47"/>
        <v>0</v>
      </c>
      <c r="AU369" s="45" t="str">
        <f>_xlfn.XLOOKUP(U369,'Lista Suspensa'!$AA$20:$AA$23,'Lista Suspensa'!$AB$20:$AB$23,"N/A")</f>
        <v>S</v>
      </c>
    </row>
    <row r="370" spans="1:47" ht="12" customHeight="1" x14ac:dyDescent="0.3">
      <c r="A370" s="87" t="s">
        <v>47</v>
      </c>
      <c r="B370" s="88">
        <v>46104</v>
      </c>
      <c r="C370" s="89" t="s">
        <v>48</v>
      </c>
      <c r="D370" s="89" t="s">
        <v>49</v>
      </c>
      <c r="E370" s="90">
        <v>93883580</v>
      </c>
      <c r="F370" s="184" t="s">
        <v>1250</v>
      </c>
      <c r="G370" s="91">
        <v>6477818833</v>
      </c>
      <c r="H370" s="92">
        <v>23635</v>
      </c>
      <c r="I370" s="89">
        <v>61</v>
      </c>
      <c r="J370" s="89" t="s">
        <v>51</v>
      </c>
      <c r="K370" s="89" t="s">
        <v>52</v>
      </c>
      <c r="L370" s="89" t="s">
        <v>331</v>
      </c>
      <c r="M370" s="89" t="s">
        <v>332</v>
      </c>
      <c r="N370" s="89" t="s">
        <v>113</v>
      </c>
      <c r="O370" s="93" t="s">
        <v>1251</v>
      </c>
      <c r="P370" s="94" t="s">
        <v>57</v>
      </c>
      <c r="Q370" s="112" t="s">
        <v>58</v>
      </c>
      <c r="R370" s="95">
        <v>46171</v>
      </c>
      <c r="S370" s="96"/>
      <c r="T370" s="96" t="s">
        <v>59</v>
      </c>
      <c r="U370" s="96" t="s">
        <v>60</v>
      </c>
      <c r="V370" s="92">
        <v>46147</v>
      </c>
      <c r="W370" s="92">
        <v>46154</v>
      </c>
      <c r="X370" s="92">
        <v>46160</v>
      </c>
      <c r="Y370" s="97"/>
      <c r="Z370" s="89" t="s">
        <v>62</v>
      </c>
      <c r="AA370" s="96">
        <v>46181</v>
      </c>
      <c r="AB370" s="89" t="s">
        <v>80</v>
      </c>
      <c r="AC370" s="111">
        <v>46188</v>
      </c>
      <c r="AD370" s="89"/>
      <c r="AE370" s="89"/>
      <c r="AF370" s="98"/>
      <c r="AG370" s="98"/>
      <c r="AH370" s="98"/>
      <c r="AI370" s="99"/>
      <c r="AJ370" s="99" t="s">
        <v>197</v>
      </c>
      <c r="AK370" s="99" t="s">
        <v>67</v>
      </c>
      <c r="AL370" s="45" t="s">
        <v>68</v>
      </c>
      <c r="AM370" s="162" t="str">
        <f t="shared" si="40"/>
        <v>3/2026</v>
      </c>
      <c r="AN370" s="45">
        <f t="shared" si="41"/>
        <v>4</v>
      </c>
      <c r="AO370" s="45" t="str">
        <f t="shared" si="42"/>
        <v>5/2026</v>
      </c>
      <c r="AP370" s="45">
        <f t="shared" si="43"/>
        <v>5</v>
      </c>
      <c r="AQ370" s="45">
        <f t="shared" si="44"/>
        <v>67</v>
      </c>
      <c r="AR370" s="45">
        <f t="shared" si="45"/>
        <v>0</v>
      </c>
      <c r="AS370" s="45">
        <f t="shared" si="46"/>
        <v>6.5</v>
      </c>
      <c r="AT370" s="45">
        <f t="shared" si="47"/>
        <v>0</v>
      </c>
      <c r="AU370" s="45" t="str">
        <f>_xlfn.XLOOKUP(U370,'Lista Suspensa'!$AA$20:$AA$23,'Lista Suspensa'!$AB$20:$AB$23,"N/A")</f>
        <v>S</v>
      </c>
    </row>
    <row r="371" spans="1:47" ht="12" customHeight="1" x14ac:dyDescent="0.3">
      <c r="A371" s="87" t="s">
        <v>47</v>
      </c>
      <c r="B371" s="88">
        <v>46104</v>
      </c>
      <c r="C371" s="89" t="s">
        <v>48</v>
      </c>
      <c r="D371" s="89" t="s">
        <v>49</v>
      </c>
      <c r="E371" s="90">
        <v>451592999</v>
      </c>
      <c r="F371" s="184" t="s">
        <v>1252</v>
      </c>
      <c r="G371" s="91">
        <v>28586522104</v>
      </c>
      <c r="H371" s="92">
        <v>22400</v>
      </c>
      <c r="I371" s="89">
        <v>64</v>
      </c>
      <c r="J371" s="89" t="s">
        <v>51</v>
      </c>
      <c r="K371" s="89" t="s">
        <v>52</v>
      </c>
      <c r="L371" s="89" t="s">
        <v>53</v>
      </c>
      <c r="M371" s="89" t="s">
        <v>243</v>
      </c>
      <c r="N371" s="89" t="s">
        <v>72</v>
      </c>
      <c r="O371" s="93" t="s">
        <v>1253</v>
      </c>
      <c r="P371" s="94" t="s">
        <v>57</v>
      </c>
      <c r="Q371" s="112" t="s">
        <v>58</v>
      </c>
      <c r="R371" s="95">
        <v>46142</v>
      </c>
      <c r="S371" s="96"/>
      <c r="T371" s="96" t="s">
        <v>59</v>
      </c>
      <c r="U371" s="96" t="s">
        <v>60</v>
      </c>
      <c r="V371" s="92">
        <v>46142</v>
      </c>
      <c r="W371" s="92" t="s">
        <v>61</v>
      </c>
      <c r="X371" s="92" t="s">
        <v>61</v>
      </c>
      <c r="Y371" s="97"/>
      <c r="Z371" s="89" t="s">
        <v>62</v>
      </c>
      <c r="AA371" s="96" t="s">
        <v>1254</v>
      </c>
      <c r="AB371" s="89" t="s">
        <v>63</v>
      </c>
      <c r="AC371" s="111"/>
      <c r="AD371" s="89" t="s">
        <v>86</v>
      </c>
      <c r="AE371" s="89">
        <v>59</v>
      </c>
      <c r="AF371" s="98" t="s">
        <v>65</v>
      </c>
      <c r="AG371" s="98"/>
      <c r="AH371" s="98" t="s">
        <v>66</v>
      </c>
      <c r="AI371" s="99" t="s">
        <v>67</v>
      </c>
      <c r="AJ371" s="99" t="s">
        <v>67</v>
      </c>
      <c r="AK371" s="99" t="s">
        <v>67</v>
      </c>
      <c r="AL371" s="45" t="s">
        <v>68</v>
      </c>
      <c r="AM371" s="162" t="str">
        <f t="shared" si="40"/>
        <v>3/2026</v>
      </c>
      <c r="AN371" s="45">
        <f t="shared" si="41"/>
        <v>4</v>
      </c>
      <c r="AO371" s="45" t="str">
        <f t="shared" si="42"/>
        <v>4/2026</v>
      </c>
      <c r="AP371" s="45">
        <f t="shared" si="43"/>
        <v>5</v>
      </c>
      <c r="AQ371" s="45">
        <f t="shared" si="44"/>
        <v>38</v>
      </c>
      <c r="AR371" s="45">
        <f t="shared" si="45"/>
        <v>0</v>
      </c>
      <c r="AS371" s="45">
        <f t="shared" si="46"/>
        <v>0</v>
      </c>
      <c r="AT371" s="45">
        <f t="shared" si="47"/>
        <v>6.5</v>
      </c>
      <c r="AU371" s="45" t="str">
        <f>_xlfn.XLOOKUP(U371,'Lista Suspensa'!$AA$20:$AA$23,'Lista Suspensa'!$AB$20:$AB$23,"N/A")</f>
        <v>S</v>
      </c>
    </row>
    <row r="372" spans="1:47" ht="12" customHeight="1" x14ac:dyDescent="0.3">
      <c r="A372" s="87" t="s">
        <v>47</v>
      </c>
      <c r="B372" s="88">
        <v>46104</v>
      </c>
      <c r="C372" s="89" t="s">
        <v>48</v>
      </c>
      <c r="D372" s="89" t="s">
        <v>49</v>
      </c>
      <c r="E372" s="90">
        <v>81415600</v>
      </c>
      <c r="F372" s="184" t="s">
        <v>1255</v>
      </c>
      <c r="G372" s="91">
        <v>28077307876</v>
      </c>
      <c r="H372" s="92">
        <v>25603</v>
      </c>
      <c r="I372" s="89">
        <v>56</v>
      </c>
      <c r="J372" s="89" t="s">
        <v>70</v>
      </c>
      <c r="K372" s="89" t="s">
        <v>52</v>
      </c>
      <c r="L372" s="89" t="s">
        <v>331</v>
      </c>
      <c r="M372" s="89" t="s">
        <v>1256</v>
      </c>
      <c r="N372" s="89" t="s">
        <v>113</v>
      </c>
      <c r="O372" s="93" t="s">
        <v>1257</v>
      </c>
      <c r="P372" s="94" t="s">
        <v>57</v>
      </c>
      <c r="Q372" s="112" t="s">
        <v>58</v>
      </c>
      <c r="R372" s="95">
        <v>46117</v>
      </c>
      <c r="S372" s="96"/>
      <c r="T372" s="96" t="s">
        <v>59</v>
      </c>
      <c r="U372" s="96" t="s">
        <v>60</v>
      </c>
      <c r="V372" s="92">
        <v>46142</v>
      </c>
      <c r="W372" s="92">
        <v>46147</v>
      </c>
      <c r="X372" s="92" t="s">
        <v>61</v>
      </c>
      <c r="Y372" s="97"/>
      <c r="Z372" s="89" t="s">
        <v>62</v>
      </c>
      <c r="AA372" s="96" t="s">
        <v>1258</v>
      </c>
      <c r="AB372" s="89" t="s">
        <v>80</v>
      </c>
      <c r="AC372" s="111"/>
      <c r="AD372" s="89"/>
      <c r="AE372" s="89"/>
      <c r="AF372" s="98"/>
      <c r="AG372" s="98"/>
      <c r="AH372" s="98"/>
      <c r="AI372" s="99" t="s">
        <v>197</v>
      </c>
      <c r="AJ372" s="99" t="s">
        <v>197</v>
      </c>
      <c r="AK372" s="99" t="s">
        <v>67</v>
      </c>
      <c r="AL372" s="45" t="s">
        <v>68</v>
      </c>
      <c r="AM372" s="162" t="str">
        <f t="shared" si="40"/>
        <v>3/2026</v>
      </c>
      <c r="AN372" s="45">
        <f t="shared" si="41"/>
        <v>4</v>
      </c>
      <c r="AO372" s="45" t="str">
        <f t="shared" si="42"/>
        <v>4/2026</v>
      </c>
      <c r="AP372" s="45">
        <f t="shared" si="43"/>
        <v>2</v>
      </c>
      <c r="AQ372" s="45">
        <f t="shared" si="44"/>
        <v>13</v>
      </c>
      <c r="AR372" s="45">
        <f t="shared" si="45"/>
        <v>0</v>
      </c>
      <c r="AS372" s="45">
        <f t="shared" si="46"/>
        <v>5</v>
      </c>
      <c r="AT372" s="45">
        <f t="shared" si="47"/>
        <v>0</v>
      </c>
      <c r="AU372" s="45" t="str">
        <f>_xlfn.XLOOKUP(U372,'Lista Suspensa'!$AA$20:$AA$23,'Lista Suspensa'!$AB$20:$AB$23,"N/A")</f>
        <v>S</v>
      </c>
    </row>
    <row r="373" spans="1:47" ht="12" customHeight="1" x14ac:dyDescent="0.3">
      <c r="A373" s="87" t="s">
        <v>47</v>
      </c>
      <c r="B373" s="88">
        <v>46104</v>
      </c>
      <c r="C373" s="89" t="s">
        <v>48</v>
      </c>
      <c r="D373" s="89" t="s">
        <v>49</v>
      </c>
      <c r="E373" s="90">
        <v>80997190</v>
      </c>
      <c r="F373" s="184" t="s">
        <v>1259</v>
      </c>
      <c r="G373" s="91">
        <v>18183016871</v>
      </c>
      <c r="H373" s="92">
        <v>28115</v>
      </c>
      <c r="I373" s="89">
        <v>49</v>
      </c>
      <c r="J373" s="89" t="s">
        <v>51</v>
      </c>
      <c r="K373" s="89" t="s">
        <v>52</v>
      </c>
      <c r="L373" s="89" t="s">
        <v>160</v>
      </c>
      <c r="M373" s="89" t="s">
        <v>1260</v>
      </c>
      <c r="N373" s="89" t="s">
        <v>113</v>
      </c>
      <c r="O373" s="93" t="s">
        <v>1261</v>
      </c>
      <c r="P373" s="94" t="s">
        <v>57</v>
      </c>
      <c r="Q373" s="112" t="s">
        <v>58</v>
      </c>
      <c r="R373" s="95">
        <v>46164</v>
      </c>
      <c r="S373" s="96"/>
      <c r="T373" s="96" t="s">
        <v>59</v>
      </c>
      <c r="U373" s="96" t="s">
        <v>60</v>
      </c>
      <c r="V373" s="92">
        <v>46142</v>
      </c>
      <c r="W373" s="92">
        <v>46147</v>
      </c>
      <c r="X373" s="92">
        <v>46154</v>
      </c>
      <c r="Y373" s="97"/>
      <c r="Z373" s="89"/>
      <c r="AA373" s="96"/>
      <c r="AB373" s="89"/>
      <c r="AC373" s="111"/>
      <c r="AD373" s="89"/>
      <c r="AE373" s="89"/>
      <c r="AF373" s="98"/>
      <c r="AG373" s="98"/>
      <c r="AH373" s="98"/>
      <c r="AI373" s="99"/>
      <c r="AJ373" s="99" t="s">
        <v>197</v>
      </c>
      <c r="AK373" s="99" t="s">
        <v>67</v>
      </c>
      <c r="AL373" s="45" t="s">
        <v>68</v>
      </c>
      <c r="AM373" s="162" t="str">
        <f t="shared" si="40"/>
        <v>3/2026</v>
      </c>
      <c r="AN373" s="45">
        <f t="shared" si="41"/>
        <v>4</v>
      </c>
      <c r="AO373" s="45" t="str">
        <f t="shared" si="42"/>
        <v>5/2026</v>
      </c>
      <c r="AP373" s="45">
        <f t="shared" si="43"/>
        <v>4</v>
      </c>
      <c r="AQ373" s="45">
        <f t="shared" si="44"/>
        <v>60</v>
      </c>
      <c r="AR373" s="45">
        <f t="shared" si="45"/>
        <v>0</v>
      </c>
      <c r="AS373" s="45">
        <f t="shared" si="46"/>
        <v>6</v>
      </c>
      <c r="AT373" s="45">
        <f t="shared" si="47"/>
        <v>0</v>
      </c>
      <c r="AU373" s="45" t="str">
        <f>_xlfn.XLOOKUP(U373,'Lista Suspensa'!$AA$20:$AA$23,'Lista Suspensa'!$AB$20:$AB$23,"N/A")</f>
        <v>S</v>
      </c>
    </row>
    <row r="374" spans="1:47" ht="12" customHeight="1" x14ac:dyDescent="0.3">
      <c r="A374" s="87" t="s">
        <v>47</v>
      </c>
      <c r="B374" s="88">
        <v>46104</v>
      </c>
      <c r="C374" s="89" t="s">
        <v>48</v>
      </c>
      <c r="D374" s="89" t="s">
        <v>49</v>
      </c>
      <c r="E374" s="90">
        <v>81252628</v>
      </c>
      <c r="F374" s="184" t="s">
        <v>1262</v>
      </c>
      <c r="G374" s="91">
        <v>5796756702</v>
      </c>
      <c r="H374" s="92">
        <v>27176</v>
      </c>
      <c r="I374" s="89">
        <v>51</v>
      </c>
      <c r="J374" s="89" t="s">
        <v>51</v>
      </c>
      <c r="K374" s="89" t="s">
        <v>88</v>
      </c>
      <c r="L374" s="89" t="s">
        <v>97</v>
      </c>
      <c r="M374" s="89" t="s">
        <v>1263</v>
      </c>
      <c r="N374" s="89" t="s">
        <v>113</v>
      </c>
      <c r="O374" s="93" t="s">
        <v>1264</v>
      </c>
      <c r="P374" s="94" t="s">
        <v>57</v>
      </c>
      <c r="Q374" s="112" t="s">
        <v>58</v>
      </c>
      <c r="R374" s="95">
        <v>46164</v>
      </c>
      <c r="S374" s="96"/>
      <c r="T374" s="96" t="s">
        <v>59</v>
      </c>
      <c r="U374" s="96" t="s">
        <v>60</v>
      </c>
      <c r="V374" s="92">
        <v>46142</v>
      </c>
      <c r="W374" s="92">
        <v>46147</v>
      </c>
      <c r="X374" s="92">
        <v>46154</v>
      </c>
      <c r="Y374" s="97"/>
      <c r="Z374" s="89"/>
      <c r="AA374" s="96"/>
      <c r="AB374" s="89"/>
      <c r="AC374" s="111"/>
      <c r="AD374" s="89"/>
      <c r="AE374" s="89"/>
      <c r="AF374" s="98"/>
      <c r="AG374" s="98"/>
      <c r="AH374" s="98"/>
      <c r="AI374" s="99"/>
      <c r="AJ374" s="99" t="s">
        <v>197</v>
      </c>
      <c r="AK374" s="99" t="s">
        <v>67</v>
      </c>
      <c r="AL374" s="45" t="s">
        <v>68</v>
      </c>
      <c r="AM374" s="162" t="str">
        <f t="shared" si="40"/>
        <v>3/2026</v>
      </c>
      <c r="AN374" s="45">
        <f t="shared" si="41"/>
        <v>4</v>
      </c>
      <c r="AO374" s="45" t="str">
        <f t="shared" si="42"/>
        <v>5/2026</v>
      </c>
      <c r="AP374" s="45">
        <f t="shared" si="43"/>
        <v>4</v>
      </c>
      <c r="AQ374" s="45">
        <f t="shared" si="44"/>
        <v>60</v>
      </c>
      <c r="AR374" s="45">
        <f t="shared" si="45"/>
        <v>0</v>
      </c>
      <c r="AS374" s="45">
        <f t="shared" si="46"/>
        <v>6</v>
      </c>
      <c r="AT374" s="45">
        <f t="shared" si="47"/>
        <v>0</v>
      </c>
      <c r="AU374" s="45" t="str">
        <f>_xlfn.XLOOKUP(U374,'Lista Suspensa'!$AA$20:$AA$23,'Lista Suspensa'!$AB$20:$AB$23,"N/A")</f>
        <v>S</v>
      </c>
    </row>
    <row r="375" spans="1:47" ht="12" customHeight="1" x14ac:dyDescent="0.3">
      <c r="A375" s="87" t="s">
        <v>47</v>
      </c>
      <c r="B375" s="88">
        <v>46104</v>
      </c>
      <c r="C375" s="89" t="s">
        <v>48</v>
      </c>
      <c r="D375" s="89" t="s">
        <v>49</v>
      </c>
      <c r="E375" s="90">
        <v>451673280</v>
      </c>
      <c r="F375" s="184" t="s">
        <v>1265</v>
      </c>
      <c r="G375" s="91">
        <v>7254558883</v>
      </c>
      <c r="H375" s="92">
        <v>14914</v>
      </c>
      <c r="I375" s="89">
        <v>85</v>
      </c>
      <c r="J375" s="89" t="s">
        <v>70</v>
      </c>
      <c r="K375" s="89" t="s">
        <v>52</v>
      </c>
      <c r="L375" s="89" t="s">
        <v>53</v>
      </c>
      <c r="M375" s="89" t="s">
        <v>1266</v>
      </c>
      <c r="N375" s="89" t="s">
        <v>72</v>
      </c>
      <c r="O375" s="93" t="s">
        <v>1267</v>
      </c>
      <c r="P375" s="94" t="s">
        <v>57</v>
      </c>
      <c r="Q375" s="112" t="s">
        <v>58</v>
      </c>
      <c r="R375" s="95">
        <v>46142</v>
      </c>
      <c r="S375" s="96"/>
      <c r="T375" s="96" t="s">
        <v>59</v>
      </c>
      <c r="U375" s="96" t="s">
        <v>60</v>
      </c>
      <c r="V375" s="92">
        <v>46142</v>
      </c>
      <c r="W375" s="92" t="s">
        <v>61</v>
      </c>
      <c r="X375" s="92" t="s">
        <v>61</v>
      </c>
      <c r="Y375" s="97"/>
      <c r="Z375" s="89" t="s">
        <v>62</v>
      </c>
      <c r="AA375" s="96" t="s">
        <v>1268</v>
      </c>
      <c r="AB375" s="89" t="s">
        <v>63</v>
      </c>
      <c r="AC375" s="111"/>
      <c r="AD375" s="89"/>
      <c r="AE375" s="89"/>
      <c r="AF375" s="98"/>
      <c r="AG375" s="98"/>
      <c r="AH375" s="98"/>
      <c r="AI375" s="99" t="s">
        <v>67</v>
      </c>
      <c r="AJ375" s="99" t="s">
        <v>67</v>
      </c>
      <c r="AK375" s="99" t="s">
        <v>67</v>
      </c>
      <c r="AL375" s="45" t="s">
        <v>68</v>
      </c>
      <c r="AM375" s="162" t="str">
        <f t="shared" si="40"/>
        <v>3/2026</v>
      </c>
      <c r="AN375" s="45">
        <f t="shared" si="41"/>
        <v>4</v>
      </c>
      <c r="AO375" s="45" t="str">
        <f t="shared" si="42"/>
        <v>4/2026</v>
      </c>
      <c r="AP375" s="45">
        <f t="shared" si="43"/>
        <v>5</v>
      </c>
      <c r="AQ375" s="45">
        <f t="shared" si="44"/>
        <v>38</v>
      </c>
      <c r="AR375" s="45">
        <f t="shared" si="45"/>
        <v>0</v>
      </c>
      <c r="AS375" s="45">
        <f t="shared" si="46"/>
        <v>0</v>
      </c>
      <c r="AT375" s="45">
        <f t="shared" si="47"/>
        <v>6.5833333333357587</v>
      </c>
      <c r="AU375" s="45" t="str">
        <f>_xlfn.XLOOKUP(U375,'Lista Suspensa'!$AA$20:$AA$23,'Lista Suspensa'!$AB$20:$AB$23,"N/A")</f>
        <v>S</v>
      </c>
    </row>
    <row r="376" spans="1:47" ht="12" customHeight="1" x14ac:dyDescent="0.3">
      <c r="A376" s="87" t="s">
        <v>47</v>
      </c>
      <c r="B376" s="88">
        <v>46104</v>
      </c>
      <c r="C376" s="89" t="s">
        <v>48</v>
      </c>
      <c r="D376" s="89" t="s">
        <v>49</v>
      </c>
      <c r="E376" s="90">
        <v>79769965</v>
      </c>
      <c r="F376" s="184" t="s">
        <v>1269</v>
      </c>
      <c r="G376" s="91">
        <v>2193614873</v>
      </c>
      <c r="H376" s="92">
        <v>22407</v>
      </c>
      <c r="I376" s="89">
        <v>64</v>
      </c>
      <c r="J376" s="89" t="s">
        <v>51</v>
      </c>
      <c r="K376" s="89" t="s">
        <v>52</v>
      </c>
      <c r="L376" s="89" t="s">
        <v>53</v>
      </c>
      <c r="M376" s="89" t="s">
        <v>1270</v>
      </c>
      <c r="N376" s="89" t="s">
        <v>113</v>
      </c>
      <c r="O376" s="93" t="s">
        <v>1271</v>
      </c>
      <c r="P376" s="94" t="s">
        <v>57</v>
      </c>
      <c r="Q376" s="112" t="s">
        <v>58</v>
      </c>
      <c r="R376" s="95">
        <v>46117</v>
      </c>
      <c r="S376" s="96"/>
      <c r="T376" s="96" t="s">
        <v>59</v>
      </c>
      <c r="U376" s="96" t="s">
        <v>60</v>
      </c>
      <c r="V376" s="92">
        <v>46142</v>
      </c>
      <c r="W376" s="92">
        <v>46147</v>
      </c>
      <c r="X376" s="92">
        <v>46211</v>
      </c>
      <c r="Y376" s="97"/>
      <c r="Z376" s="89" t="s">
        <v>62</v>
      </c>
      <c r="AA376" s="96" t="s">
        <v>1272</v>
      </c>
      <c r="AB376" s="89" t="s">
        <v>224</v>
      </c>
      <c r="AC376" s="111">
        <v>46153</v>
      </c>
      <c r="AD376" s="89"/>
      <c r="AE376" s="89"/>
      <c r="AF376" s="98"/>
      <c r="AG376" s="98"/>
      <c r="AH376" s="98"/>
      <c r="AI376" s="99" t="s">
        <v>197</v>
      </c>
      <c r="AJ376" s="99" t="s">
        <v>197</v>
      </c>
      <c r="AK376" s="99" t="s">
        <v>67</v>
      </c>
      <c r="AL376" s="45" t="s">
        <v>68</v>
      </c>
      <c r="AM376" s="162" t="str">
        <f t="shared" si="40"/>
        <v>3/2026</v>
      </c>
      <c r="AN376" s="45">
        <f t="shared" si="41"/>
        <v>4</v>
      </c>
      <c r="AO376" s="45" t="str">
        <f t="shared" si="42"/>
        <v>4/2026</v>
      </c>
      <c r="AP376" s="45">
        <f t="shared" si="43"/>
        <v>2</v>
      </c>
      <c r="AQ376" s="45">
        <f t="shared" si="44"/>
        <v>13</v>
      </c>
      <c r="AR376" s="45">
        <f t="shared" si="45"/>
        <v>0</v>
      </c>
      <c r="AS376" s="45">
        <f t="shared" si="46"/>
        <v>34.5</v>
      </c>
      <c r="AT376" s="45">
        <f t="shared" si="47"/>
        <v>0</v>
      </c>
      <c r="AU376" s="45" t="str">
        <f>_xlfn.XLOOKUP(U376,'Lista Suspensa'!$AA$20:$AA$23,'Lista Suspensa'!$AB$20:$AB$23,"N/A")</f>
        <v>S</v>
      </c>
    </row>
    <row r="377" spans="1:47" ht="12" customHeight="1" x14ac:dyDescent="0.3">
      <c r="A377" s="87" t="s">
        <v>47</v>
      </c>
      <c r="B377" s="88">
        <v>46104</v>
      </c>
      <c r="C377" s="89" t="s">
        <v>48</v>
      </c>
      <c r="D377" s="89" t="s">
        <v>49</v>
      </c>
      <c r="E377" s="90">
        <v>451675142</v>
      </c>
      <c r="F377" s="184" t="s">
        <v>1273</v>
      </c>
      <c r="G377" s="91">
        <v>50606050868</v>
      </c>
      <c r="H377" s="92">
        <v>16923</v>
      </c>
      <c r="I377" s="89">
        <v>79</v>
      </c>
      <c r="J377" s="89" t="s">
        <v>51</v>
      </c>
      <c r="K377" s="89" t="s">
        <v>52</v>
      </c>
      <c r="L377" s="89" t="s">
        <v>53</v>
      </c>
      <c r="M377" s="89" t="s">
        <v>918</v>
      </c>
      <c r="N377" s="89" t="s">
        <v>72</v>
      </c>
      <c r="O377" s="93" t="s">
        <v>1274</v>
      </c>
      <c r="P377" s="94" t="s">
        <v>57</v>
      </c>
      <c r="Q377" s="112" t="s">
        <v>58</v>
      </c>
      <c r="R377" s="95">
        <v>46140</v>
      </c>
      <c r="S377" s="96"/>
      <c r="T377" s="96" t="s">
        <v>59</v>
      </c>
      <c r="U377" s="96" t="s">
        <v>60</v>
      </c>
      <c r="V377" s="92">
        <v>46140</v>
      </c>
      <c r="W377" s="92" t="s">
        <v>61</v>
      </c>
      <c r="X377" s="92" t="s">
        <v>61</v>
      </c>
      <c r="Y377" s="97"/>
      <c r="Z377" s="89" t="s">
        <v>62</v>
      </c>
      <c r="AA377" s="96">
        <v>46141.625</v>
      </c>
      <c r="AB377" s="89" t="s">
        <v>80</v>
      </c>
      <c r="AC377" s="111"/>
      <c r="AD377" s="89"/>
      <c r="AE377" s="89"/>
      <c r="AF377" s="98"/>
      <c r="AG377" s="98"/>
      <c r="AH377" s="98"/>
      <c r="AI377" s="99" t="s">
        <v>67</v>
      </c>
      <c r="AJ377" s="99" t="s">
        <v>67</v>
      </c>
      <c r="AK377" s="99" t="s">
        <v>67</v>
      </c>
      <c r="AL377" s="45" t="s">
        <v>68</v>
      </c>
      <c r="AM377" s="162" t="str">
        <f t="shared" si="40"/>
        <v>3/2026</v>
      </c>
      <c r="AN377" s="45">
        <f t="shared" si="41"/>
        <v>4</v>
      </c>
      <c r="AO377" s="45" t="str">
        <f t="shared" si="42"/>
        <v>4/2026</v>
      </c>
      <c r="AP377" s="45">
        <f t="shared" si="43"/>
        <v>5</v>
      </c>
      <c r="AQ377" s="45">
        <f t="shared" si="44"/>
        <v>36</v>
      </c>
      <c r="AR377" s="45">
        <f t="shared" si="45"/>
        <v>0</v>
      </c>
      <c r="AS377" s="45">
        <f t="shared" si="46"/>
        <v>0</v>
      </c>
      <c r="AT377" s="45">
        <f t="shared" si="47"/>
        <v>0</v>
      </c>
      <c r="AU377" s="45" t="str">
        <f>_xlfn.XLOOKUP(U377,'Lista Suspensa'!$AA$20:$AA$23,'Lista Suspensa'!$AB$20:$AB$23,"N/A")</f>
        <v>S</v>
      </c>
    </row>
    <row r="378" spans="1:47" ht="12" customHeight="1" x14ac:dyDescent="0.3">
      <c r="A378" s="87" t="s">
        <v>47</v>
      </c>
      <c r="B378" s="88">
        <v>46104</v>
      </c>
      <c r="C378" s="89" t="s">
        <v>48</v>
      </c>
      <c r="D378" s="89" t="s">
        <v>49</v>
      </c>
      <c r="E378" s="90">
        <v>451666348</v>
      </c>
      <c r="F378" s="184" t="s">
        <v>1275</v>
      </c>
      <c r="G378" s="91">
        <v>17803598889</v>
      </c>
      <c r="H378" s="92">
        <v>16591</v>
      </c>
      <c r="I378" s="89">
        <v>80</v>
      </c>
      <c r="J378" s="89" t="s">
        <v>70</v>
      </c>
      <c r="K378" s="89" t="s">
        <v>52</v>
      </c>
      <c r="L378" s="89" t="s">
        <v>53</v>
      </c>
      <c r="M378" s="89" t="s">
        <v>1276</v>
      </c>
      <c r="N378" s="89" t="s">
        <v>72</v>
      </c>
      <c r="O378" s="93" t="s">
        <v>1277</v>
      </c>
      <c r="P378" s="94" t="s">
        <v>57</v>
      </c>
      <c r="Q378" s="112" t="s">
        <v>58</v>
      </c>
      <c r="R378" s="95">
        <v>46140</v>
      </c>
      <c r="S378" s="96"/>
      <c r="T378" s="96" t="s">
        <v>59</v>
      </c>
      <c r="U378" s="96" t="s">
        <v>60</v>
      </c>
      <c r="V378" s="92">
        <v>46140</v>
      </c>
      <c r="W378" s="92" t="s">
        <v>61</v>
      </c>
      <c r="X378" s="92" t="s">
        <v>61</v>
      </c>
      <c r="Y378" s="97"/>
      <c r="Z378" s="89" t="s">
        <v>62</v>
      </c>
      <c r="AA378" s="96" t="s">
        <v>1278</v>
      </c>
      <c r="AB378" s="89" t="s">
        <v>63</v>
      </c>
      <c r="AC378" s="111"/>
      <c r="AD378" s="89"/>
      <c r="AE378" s="89"/>
      <c r="AF378" s="98"/>
      <c r="AG378" s="98"/>
      <c r="AH378" s="98"/>
      <c r="AI378" s="99" t="s">
        <v>67</v>
      </c>
      <c r="AJ378" s="99" t="s">
        <v>67</v>
      </c>
      <c r="AK378" s="99" t="s">
        <v>67</v>
      </c>
      <c r="AL378" s="45" t="s">
        <v>68</v>
      </c>
      <c r="AM378" s="162" t="str">
        <f t="shared" si="40"/>
        <v>3/2026</v>
      </c>
      <c r="AN378" s="45">
        <f t="shared" si="41"/>
        <v>4</v>
      </c>
      <c r="AO378" s="45" t="str">
        <f t="shared" si="42"/>
        <v>4/2026</v>
      </c>
      <c r="AP378" s="45">
        <f t="shared" si="43"/>
        <v>5</v>
      </c>
      <c r="AQ378" s="45">
        <f t="shared" si="44"/>
        <v>36</v>
      </c>
      <c r="AR378" s="45">
        <f t="shared" si="45"/>
        <v>0</v>
      </c>
      <c r="AS378" s="45">
        <f t="shared" si="46"/>
        <v>0</v>
      </c>
      <c r="AT378" s="45">
        <f t="shared" si="47"/>
        <v>6.5972222222189885</v>
      </c>
      <c r="AU378" s="45" t="str">
        <f>_xlfn.XLOOKUP(U378,'Lista Suspensa'!$AA$20:$AA$23,'Lista Suspensa'!$AB$20:$AB$23,"N/A")</f>
        <v>S</v>
      </c>
    </row>
    <row r="379" spans="1:47" ht="12" customHeight="1" x14ac:dyDescent="0.3">
      <c r="A379" s="87" t="s">
        <v>47</v>
      </c>
      <c r="B379" s="88">
        <v>46104</v>
      </c>
      <c r="C379" s="89" t="s">
        <v>48</v>
      </c>
      <c r="D379" s="89" t="s">
        <v>49</v>
      </c>
      <c r="E379" s="90">
        <v>451765079</v>
      </c>
      <c r="F379" s="184" t="s">
        <v>1279</v>
      </c>
      <c r="G379" s="91">
        <v>16494038875</v>
      </c>
      <c r="H379" s="92">
        <v>17664</v>
      </c>
      <c r="I379" s="89">
        <v>77</v>
      </c>
      <c r="J379" s="89" t="s">
        <v>70</v>
      </c>
      <c r="K379" s="89" t="s">
        <v>52</v>
      </c>
      <c r="L379" s="89" t="s">
        <v>53</v>
      </c>
      <c r="M379" s="89" t="s">
        <v>1276</v>
      </c>
      <c r="N379" s="89" t="s">
        <v>72</v>
      </c>
      <c r="O379" s="93" t="s">
        <v>1280</v>
      </c>
      <c r="P379" s="94" t="s">
        <v>57</v>
      </c>
      <c r="Q379" s="112" t="s">
        <v>58</v>
      </c>
      <c r="R379" s="95">
        <v>46140</v>
      </c>
      <c r="S379" s="96"/>
      <c r="T379" s="96" t="s">
        <v>59</v>
      </c>
      <c r="U379" s="96" t="s">
        <v>60</v>
      </c>
      <c r="V379" s="92">
        <v>46140</v>
      </c>
      <c r="W379" s="92" t="s">
        <v>61</v>
      </c>
      <c r="X379" s="92" t="s">
        <v>61</v>
      </c>
      <c r="Y379" s="97"/>
      <c r="Z379" s="89" t="s">
        <v>62</v>
      </c>
      <c r="AA379" s="96">
        <v>46142.680555555555</v>
      </c>
      <c r="AB379" s="89" t="s">
        <v>80</v>
      </c>
      <c r="AC379" s="111"/>
      <c r="AD379" s="89"/>
      <c r="AE379" s="89"/>
      <c r="AF379" s="98"/>
      <c r="AG379" s="98"/>
      <c r="AH379" s="98"/>
      <c r="AI379" s="99" t="s">
        <v>67</v>
      </c>
      <c r="AJ379" s="99" t="s">
        <v>67</v>
      </c>
      <c r="AK379" s="99" t="s">
        <v>67</v>
      </c>
      <c r="AL379" s="45" t="s">
        <v>68</v>
      </c>
      <c r="AM379" s="162" t="str">
        <f t="shared" si="40"/>
        <v>3/2026</v>
      </c>
      <c r="AN379" s="45">
        <f t="shared" si="41"/>
        <v>4</v>
      </c>
      <c r="AO379" s="45" t="str">
        <f t="shared" si="42"/>
        <v>4/2026</v>
      </c>
      <c r="AP379" s="45">
        <f t="shared" si="43"/>
        <v>5</v>
      </c>
      <c r="AQ379" s="45">
        <f t="shared" si="44"/>
        <v>36</v>
      </c>
      <c r="AR379" s="45">
        <f t="shared" si="45"/>
        <v>0</v>
      </c>
      <c r="AS379" s="45">
        <f t="shared" si="46"/>
        <v>0</v>
      </c>
      <c r="AT379" s="45">
        <f t="shared" si="47"/>
        <v>0</v>
      </c>
      <c r="AU379" s="45" t="str">
        <f>_xlfn.XLOOKUP(U379,'Lista Suspensa'!$AA$20:$AA$23,'Lista Suspensa'!$AB$20:$AB$23,"N/A")</f>
        <v>S</v>
      </c>
    </row>
    <row r="380" spans="1:47" ht="12" customHeight="1" x14ac:dyDescent="0.3">
      <c r="A380" s="87" t="s">
        <v>47</v>
      </c>
      <c r="B380" s="88">
        <v>46104</v>
      </c>
      <c r="C380" s="89" t="s">
        <v>48</v>
      </c>
      <c r="D380" s="89" t="s">
        <v>49</v>
      </c>
      <c r="E380" s="90">
        <v>115639349</v>
      </c>
      <c r="F380" s="184" t="s">
        <v>1281</v>
      </c>
      <c r="G380" s="91">
        <v>28932773815</v>
      </c>
      <c r="H380" s="92">
        <v>17125</v>
      </c>
      <c r="I380" s="89">
        <v>79</v>
      </c>
      <c r="J380" s="89" t="s">
        <v>51</v>
      </c>
      <c r="K380" s="89" t="s">
        <v>88</v>
      </c>
      <c r="L380" s="89" t="s">
        <v>89</v>
      </c>
      <c r="M380" s="89" t="s">
        <v>1282</v>
      </c>
      <c r="N380" s="89" t="s">
        <v>72</v>
      </c>
      <c r="O380" s="93" t="s">
        <v>1283</v>
      </c>
      <c r="P380" s="94" t="s">
        <v>57</v>
      </c>
      <c r="Q380" s="112" t="s">
        <v>58</v>
      </c>
      <c r="R380" s="95">
        <v>46142</v>
      </c>
      <c r="S380" s="96"/>
      <c r="T380" s="96" t="s">
        <v>59</v>
      </c>
      <c r="U380" s="96" t="s">
        <v>60</v>
      </c>
      <c r="V380" s="92">
        <v>46142</v>
      </c>
      <c r="W380" s="92" t="s">
        <v>61</v>
      </c>
      <c r="X380" s="92" t="s">
        <v>61</v>
      </c>
      <c r="Y380" s="97"/>
      <c r="Z380" s="89" t="s">
        <v>62</v>
      </c>
      <c r="AA380" s="96" t="s">
        <v>1284</v>
      </c>
      <c r="AB380" s="89" t="s">
        <v>63</v>
      </c>
      <c r="AC380" s="111"/>
      <c r="AD380" s="89" t="s">
        <v>265</v>
      </c>
      <c r="AE380" s="89">
        <v>79</v>
      </c>
      <c r="AF380" s="98" t="s">
        <v>138</v>
      </c>
      <c r="AG380" s="98"/>
      <c r="AH380" s="98" t="s">
        <v>66</v>
      </c>
      <c r="AI380" s="99" t="s">
        <v>67</v>
      </c>
      <c r="AJ380" s="99" t="s">
        <v>67</v>
      </c>
      <c r="AK380" s="99" t="s">
        <v>67</v>
      </c>
      <c r="AL380" s="45" t="s">
        <v>68</v>
      </c>
      <c r="AM380" s="162" t="str">
        <f t="shared" si="40"/>
        <v>3/2026</v>
      </c>
      <c r="AN380" s="45">
        <f t="shared" si="41"/>
        <v>4</v>
      </c>
      <c r="AO380" s="45" t="str">
        <f t="shared" si="42"/>
        <v>4/2026</v>
      </c>
      <c r="AP380" s="45">
        <f t="shared" si="43"/>
        <v>5</v>
      </c>
      <c r="AQ380" s="45">
        <f t="shared" si="44"/>
        <v>38</v>
      </c>
      <c r="AR380" s="45">
        <f t="shared" si="45"/>
        <v>0</v>
      </c>
      <c r="AS380" s="45">
        <f t="shared" si="46"/>
        <v>0</v>
      </c>
      <c r="AT380" s="45">
        <f t="shared" si="47"/>
        <v>5.6805555555547471</v>
      </c>
      <c r="AU380" s="45" t="str">
        <f>_xlfn.XLOOKUP(U380,'Lista Suspensa'!$AA$20:$AA$23,'Lista Suspensa'!$AB$20:$AB$23,"N/A")</f>
        <v>S</v>
      </c>
    </row>
    <row r="381" spans="1:47" ht="12" customHeight="1" x14ac:dyDescent="0.3">
      <c r="A381" s="87" t="s">
        <v>47</v>
      </c>
      <c r="B381" s="88">
        <v>46104</v>
      </c>
      <c r="C381" s="89" t="s">
        <v>48</v>
      </c>
      <c r="D381" s="89" t="s">
        <v>49</v>
      </c>
      <c r="E381" s="90">
        <v>82907954</v>
      </c>
      <c r="F381" s="184" t="s">
        <v>1285</v>
      </c>
      <c r="G381" s="91">
        <v>8458741873</v>
      </c>
      <c r="H381" s="92">
        <v>21805</v>
      </c>
      <c r="I381" s="89">
        <v>66</v>
      </c>
      <c r="J381" s="89" t="s">
        <v>70</v>
      </c>
      <c r="K381" s="89" t="s">
        <v>52</v>
      </c>
      <c r="L381" s="89" t="s">
        <v>53</v>
      </c>
      <c r="M381" s="89" t="s">
        <v>1286</v>
      </c>
      <c r="N381" s="89" t="s">
        <v>113</v>
      </c>
      <c r="O381" s="93" t="s">
        <v>1287</v>
      </c>
      <c r="P381" s="94" t="s">
        <v>57</v>
      </c>
      <c r="Q381" s="112" t="s">
        <v>58</v>
      </c>
      <c r="R381" s="95">
        <v>46153</v>
      </c>
      <c r="S381" s="96"/>
      <c r="T381" s="96" t="s">
        <v>59</v>
      </c>
      <c r="U381" s="96" t="s">
        <v>60</v>
      </c>
      <c r="V381" s="92">
        <v>46142</v>
      </c>
      <c r="W381" s="92">
        <v>46147</v>
      </c>
      <c r="X381" s="92">
        <v>46154</v>
      </c>
      <c r="Y381" s="97"/>
      <c r="Z381" s="89" t="s">
        <v>62</v>
      </c>
      <c r="AA381" s="96" t="s">
        <v>1288</v>
      </c>
      <c r="AB381" s="89" t="s">
        <v>80</v>
      </c>
      <c r="AC381" s="111"/>
      <c r="AD381" s="89"/>
      <c r="AE381" s="89"/>
      <c r="AF381" s="98"/>
      <c r="AG381" s="98"/>
      <c r="AH381" s="98"/>
      <c r="AI381" s="99" t="s">
        <v>197</v>
      </c>
      <c r="AJ381" s="99" t="s">
        <v>197</v>
      </c>
      <c r="AK381" s="99" t="s">
        <v>67</v>
      </c>
      <c r="AL381" s="45" t="s">
        <v>68</v>
      </c>
      <c r="AM381" s="162" t="str">
        <f t="shared" si="40"/>
        <v>3/2026</v>
      </c>
      <c r="AN381" s="45">
        <f t="shared" si="41"/>
        <v>4</v>
      </c>
      <c r="AO381" s="45" t="str">
        <f t="shared" si="42"/>
        <v>5/2026</v>
      </c>
      <c r="AP381" s="45">
        <f t="shared" si="43"/>
        <v>3</v>
      </c>
      <c r="AQ381" s="45">
        <f t="shared" si="44"/>
        <v>49</v>
      </c>
      <c r="AR381" s="45">
        <f t="shared" si="45"/>
        <v>0</v>
      </c>
      <c r="AS381" s="45">
        <f t="shared" si="46"/>
        <v>6</v>
      </c>
      <c r="AT381" s="45">
        <f t="shared" si="47"/>
        <v>0</v>
      </c>
      <c r="AU381" s="45" t="str">
        <f>_xlfn.XLOOKUP(U381,'Lista Suspensa'!$AA$20:$AA$23,'Lista Suspensa'!$AB$20:$AB$23,"N/A")</f>
        <v>S</v>
      </c>
    </row>
    <row r="382" spans="1:47" ht="12" customHeight="1" x14ac:dyDescent="0.3">
      <c r="A382" s="87" t="s">
        <v>47</v>
      </c>
      <c r="B382" s="88">
        <v>46104</v>
      </c>
      <c r="C382" s="89" t="s">
        <v>48</v>
      </c>
      <c r="D382" s="89" t="s">
        <v>49</v>
      </c>
      <c r="E382" s="90">
        <v>450015823</v>
      </c>
      <c r="F382" s="184" t="s">
        <v>1289</v>
      </c>
      <c r="G382" s="91">
        <v>23118086807</v>
      </c>
      <c r="H382" s="92">
        <v>15574</v>
      </c>
      <c r="I382" s="89">
        <v>83</v>
      </c>
      <c r="J382" s="89" t="s">
        <v>70</v>
      </c>
      <c r="K382" s="89" t="s">
        <v>52</v>
      </c>
      <c r="L382" s="89" t="s">
        <v>283</v>
      </c>
      <c r="M382" s="89" t="s">
        <v>151</v>
      </c>
      <c r="N382" s="89" t="s">
        <v>72</v>
      </c>
      <c r="O382" s="93" t="s">
        <v>1290</v>
      </c>
      <c r="P382" s="94" t="s">
        <v>57</v>
      </c>
      <c r="Q382" s="112" t="s">
        <v>58</v>
      </c>
      <c r="R382" s="95">
        <v>46153</v>
      </c>
      <c r="S382" s="96"/>
      <c r="T382" s="96" t="s">
        <v>59</v>
      </c>
      <c r="U382" s="96" t="s">
        <v>60</v>
      </c>
      <c r="V382" s="92">
        <v>46142</v>
      </c>
      <c r="W382" s="92">
        <v>46147</v>
      </c>
      <c r="X382" s="92">
        <v>46154</v>
      </c>
      <c r="Y382" s="97"/>
      <c r="Z382" s="89" t="s">
        <v>62</v>
      </c>
      <c r="AA382" s="96" t="s">
        <v>1291</v>
      </c>
      <c r="AB382" s="89" t="s">
        <v>80</v>
      </c>
      <c r="AC382" s="111"/>
      <c r="AD382" s="89"/>
      <c r="AE382" s="89"/>
      <c r="AF382" s="98"/>
      <c r="AG382" s="98"/>
      <c r="AH382" s="98"/>
      <c r="AI382" s="99" t="s">
        <v>197</v>
      </c>
      <c r="AJ382" s="99" t="s">
        <v>197</v>
      </c>
      <c r="AK382" s="99" t="s">
        <v>67</v>
      </c>
      <c r="AL382" s="45" t="s">
        <v>68</v>
      </c>
      <c r="AM382" s="162" t="str">
        <f t="shared" si="40"/>
        <v>3/2026</v>
      </c>
      <c r="AN382" s="45">
        <f t="shared" si="41"/>
        <v>4</v>
      </c>
      <c r="AO382" s="45" t="str">
        <f t="shared" si="42"/>
        <v>5/2026</v>
      </c>
      <c r="AP382" s="45">
        <f t="shared" si="43"/>
        <v>3</v>
      </c>
      <c r="AQ382" s="45">
        <f t="shared" si="44"/>
        <v>49</v>
      </c>
      <c r="AR382" s="45">
        <f t="shared" si="45"/>
        <v>0</v>
      </c>
      <c r="AS382" s="45">
        <f t="shared" si="46"/>
        <v>6</v>
      </c>
      <c r="AT382" s="45">
        <f t="shared" si="47"/>
        <v>0</v>
      </c>
      <c r="AU382" s="45" t="str">
        <f>_xlfn.XLOOKUP(U382,'Lista Suspensa'!$AA$20:$AA$23,'Lista Suspensa'!$AB$20:$AB$23,"N/A")</f>
        <v>S</v>
      </c>
    </row>
    <row r="383" spans="1:47" ht="12" customHeight="1" x14ac:dyDescent="0.3">
      <c r="A383" s="87" t="s">
        <v>47</v>
      </c>
      <c r="B383" s="88">
        <v>46104</v>
      </c>
      <c r="C383" s="89" t="s">
        <v>48</v>
      </c>
      <c r="D383" s="89" t="s">
        <v>49</v>
      </c>
      <c r="E383" s="90">
        <v>451703456</v>
      </c>
      <c r="F383" s="184" t="s">
        <v>1292</v>
      </c>
      <c r="G383" s="91">
        <v>8445560840</v>
      </c>
      <c r="H383" s="92">
        <v>18545</v>
      </c>
      <c r="I383" s="89">
        <v>75</v>
      </c>
      <c r="J383" s="89" t="s">
        <v>70</v>
      </c>
      <c r="K383" s="89" t="s">
        <v>52</v>
      </c>
      <c r="L383" s="89" t="s">
        <v>53</v>
      </c>
      <c r="M383" s="89" t="s">
        <v>1293</v>
      </c>
      <c r="N383" s="89" t="s">
        <v>72</v>
      </c>
      <c r="O383" s="93" t="s">
        <v>1294</v>
      </c>
      <c r="P383" s="94" t="s">
        <v>57</v>
      </c>
      <c r="Q383" s="112" t="s">
        <v>58</v>
      </c>
      <c r="R383" s="95">
        <v>46142</v>
      </c>
      <c r="S383" s="96"/>
      <c r="T383" s="96" t="s">
        <v>59</v>
      </c>
      <c r="U383" s="96" t="s">
        <v>60</v>
      </c>
      <c r="V383" s="92">
        <v>46142</v>
      </c>
      <c r="W383" s="92" t="s">
        <v>61</v>
      </c>
      <c r="X383" s="92" t="s">
        <v>61</v>
      </c>
      <c r="Y383" s="97"/>
      <c r="Z383" s="89" t="s">
        <v>62</v>
      </c>
      <c r="AA383" s="96" t="s">
        <v>1295</v>
      </c>
      <c r="AB383" s="89" t="s">
        <v>118</v>
      </c>
      <c r="AC383" s="111"/>
      <c r="AD383" s="89"/>
      <c r="AE383" s="89"/>
      <c r="AF383" s="98"/>
      <c r="AG383" s="98"/>
      <c r="AH383" s="98"/>
      <c r="AI383" s="99" t="s">
        <v>67</v>
      </c>
      <c r="AJ383" s="99" t="s">
        <v>67</v>
      </c>
      <c r="AK383" s="99" t="s">
        <v>67</v>
      </c>
      <c r="AL383" s="45" t="s">
        <v>68</v>
      </c>
      <c r="AM383" s="162" t="str">
        <f t="shared" si="40"/>
        <v>3/2026</v>
      </c>
      <c r="AN383" s="45">
        <f t="shared" si="41"/>
        <v>4</v>
      </c>
      <c r="AO383" s="45" t="str">
        <f t="shared" si="42"/>
        <v>4/2026</v>
      </c>
      <c r="AP383" s="45">
        <f t="shared" si="43"/>
        <v>5</v>
      </c>
      <c r="AQ383" s="45">
        <f t="shared" si="44"/>
        <v>38</v>
      </c>
      <c r="AR383" s="45">
        <f t="shared" si="45"/>
        <v>0</v>
      </c>
      <c r="AS383" s="45">
        <f t="shared" si="46"/>
        <v>0</v>
      </c>
      <c r="AT383" s="45">
        <f t="shared" si="47"/>
        <v>0</v>
      </c>
      <c r="AU383" s="45" t="str">
        <f>_xlfn.XLOOKUP(U383,'Lista Suspensa'!$AA$20:$AA$23,'Lista Suspensa'!$AB$20:$AB$23,"N/A")</f>
        <v>S</v>
      </c>
    </row>
    <row r="384" spans="1:47" ht="12" customHeight="1" x14ac:dyDescent="0.3">
      <c r="A384" s="87" t="s">
        <v>47</v>
      </c>
      <c r="B384" s="88">
        <v>46104</v>
      </c>
      <c r="C384" s="89" t="s">
        <v>48</v>
      </c>
      <c r="D384" s="89" t="s">
        <v>49</v>
      </c>
      <c r="E384" s="90">
        <v>451807596</v>
      </c>
      <c r="F384" s="184" t="s">
        <v>1296</v>
      </c>
      <c r="G384" s="91">
        <v>7527414898</v>
      </c>
      <c r="H384" s="92">
        <v>18576</v>
      </c>
      <c r="I384" s="89">
        <v>75</v>
      </c>
      <c r="J384" s="89" t="s">
        <v>51</v>
      </c>
      <c r="K384" s="89" t="s">
        <v>52</v>
      </c>
      <c r="L384" s="89" t="s">
        <v>53</v>
      </c>
      <c r="M384" s="89" t="s">
        <v>1297</v>
      </c>
      <c r="N384" s="89" t="s">
        <v>72</v>
      </c>
      <c r="O384" s="93" t="s">
        <v>1298</v>
      </c>
      <c r="P384" s="94" t="s">
        <v>57</v>
      </c>
      <c r="Q384" s="112" t="s">
        <v>58</v>
      </c>
      <c r="R384" s="95">
        <v>46140</v>
      </c>
      <c r="S384" s="96"/>
      <c r="T384" s="96" t="s">
        <v>59</v>
      </c>
      <c r="U384" s="96" t="s">
        <v>60</v>
      </c>
      <c r="V384" s="92">
        <v>46140</v>
      </c>
      <c r="W384" s="92" t="s">
        <v>61</v>
      </c>
      <c r="X384" s="92" t="s">
        <v>61</v>
      </c>
      <c r="Y384" s="97"/>
      <c r="Z384" s="89" t="s">
        <v>62</v>
      </c>
      <c r="AA384" s="96">
        <v>46172.416666666664</v>
      </c>
      <c r="AB384" s="89" t="s">
        <v>80</v>
      </c>
      <c r="AC384" s="111"/>
      <c r="AD384" s="89"/>
      <c r="AE384" s="89"/>
      <c r="AF384" s="98"/>
      <c r="AG384" s="98"/>
      <c r="AH384" s="98"/>
      <c r="AI384" s="99" t="s">
        <v>67</v>
      </c>
      <c r="AJ384" s="99" t="s">
        <v>67</v>
      </c>
      <c r="AK384" s="99" t="s">
        <v>67</v>
      </c>
      <c r="AL384" s="45" t="s">
        <v>68</v>
      </c>
      <c r="AM384" s="162" t="str">
        <f t="shared" si="40"/>
        <v>3/2026</v>
      </c>
      <c r="AN384" s="45">
        <f t="shared" si="41"/>
        <v>4</v>
      </c>
      <c r="AO384" s="45" t="str">
        <f t="shared" si="42"/>
        <v>4/2026</v>
      </c>
      <c r="AP384" s="45">
        <f t="shared" si="43"/>
        <v>5</v>
      </c>
      <c r="AQ384" s="45">
        <f t="shared" si="44"/>
        <v>36</v>
      </c>
      <c r="AR384" s="45">
        <f t="shared" si="45"/>
        <v>0</v>
      </c>
      <c r="AS384" s="45">
        <f t="shared" si="46"/>
        <v>0</v>
      </c>
      <c r="AT384" s="45">
        <f t="shared" si="47"/>
        <v>0</v>
      </c>
      <c r="AU384" s="45" t="str">
        <f>_xlfn.XLOOKUP(U384,'Lista Suspensa'!$AA$20:$AA$23,'Lista Suspensa'!$AB$20:$AB$23,"N/A")</f>
        <v>S</v>
      </c>
    </row>
    <row r="385" spans="1:47" ht="12" customHeight="1" x14ac:dyDescent="0.3">
      <c r="A385" s="87" t="s">
        <v>47</v>
      </c>
      <c r="B385" s="88">
        <v>46104</v>
      </c>
      <c r="C385" s="89" t="s">
        <v>48</v>
      </c>
      <c r="D385" s="89" t="s">
        <v>49</v>
      </c>
      <c r="E385" s="90">
        <v>213606747</v>
      </c>
      <c r="F385" s="184" t="s">
        <v>1299</v>
      </c>
      <c r="G385" s="91">
        <v>37316575700</v>
      </c>
      <c r="H385" s="92">
        <v>17691</v>
      </c>
      <c r="I385" s="89">
        <v>77</v>
      </c>
      <c r="J385" s="89" t="s">
        <v>51</v>
      </c>
      <c r="K385" s="89" t="s">
        <v>88</v>
      </c>
      <c r="L385" s="89" t="s">
        <v>603</v>
      </c>
      <c r="M385" s="89" t="s">
        <v>240</v>
      </c>
      <c r="N385" s="89" t="s">
        <v>72</v>
      </c>
      <c r="O385" s="93" t="s">
        <v>1300</v>
      </c>
      <c r="P385" s="94" t="s">
        <v>57</v>
      </c>
      <c r="Q385" s="112" t="s">
        <v>58</v>
      </c>
      <c r="R385" s="95">
        <v>46164</v>
      </c>
      <c r="S385" s="96"/>
      <c r="T385" s="96" t="s">
        <v>59</v>
      </c>
      <c r="U385" s="96" t="s">
        <v>60</v>
      </c>
      <c r="V385" s="92">
        <v>46142</v>
      </c>
      <c r="W385" s="92">
        <v>46147</v>
      </c>
      <c r="X385" s="92">
        <v>46154</v>
      </c>
      <c r="Y385" s="97"/>
      <c r="Z385" s="89"/>
      <c r="AA385" s="96"/>
      <c r="AB385" s="89"/>
      <c r="AC385" s="111"/>
      <c r="AD385" s="89"/>
      <c r="AE385" s="89"/>
      <c r="AF385" s="98"/>
      <c r="AG385" s="98"/>
      <c r="AH385" s="98"/>
      <c r="AI385" s="99"/>
      <c r="AJ385" s="99" t="s">
        <v>197</v>
      </c>
      <c r="AK385" s="99" t="s">
        <v>67</v>
      </c>
      <c r="AL385" s="45" t="s">
        <v>68</v>
      </c>
      <c r="AM385" s="162" t="str">
        <f t="shared" si="40"/>
        <v>3/2026</v>
      </c>
      <c r="AN385" s="45">
        <f t="shared" si="41"/>
        <v>4</v>
      </c>
      <c r="AO385" s="45" t="str">
        <f t="shared" si="42"/>
        <v>5/2026</v>
      </c>
      <c r="AP385" s="45">
        <f t="shared" si="43"/>
        <v>4</v>
      </c>
      <c r="AQ385" s="45">
        <f t="shared" si="44"/>
        <v>60</v>
      </c>
      <c r="AR385" s="45">
        <f t="shared" si="45"/>
        <v>0</v>
      </c>
      <c r="AS385" s="45">
        <f t="shared" si="46"/>
        <v>6</v>
      </c>
      <c r="AT385" s="45">
        <f t="shared" si="47"/>
        <v>0</v>
      </c>
      <c r="AU385" s="45" t="str">
        <f>_xlfn.XLOOKUP(U385,'Lista Suspensa'!$AA$20:$AA$23,'Lista Suspensa'!$AB$20:$AB$23,"N/A")</f>
        <v>S</v>
      </c>
    </row>
    <row r="386" spans="1:47" ht="12" customHeight="1" x14ac:dyDescent="0.3">
      <c r="A386" s="87" t="s">
        <v>47</v>
      </c>
      <c r="B386" s="88">
        <v>46104</v>
      </c>
      <c r="C386" s="89" t="s">
        <v>48</v>
      </c>
      <c r="D386" s="89" t="s">
        <v>49</v>
      </c>
      <c r="E386" s="90">
        <v>782779832</v>
      </c>
      <c r="F386" s="184" t="s">
        <v>1301</v>
      </c>
      <c r="G386" s="91">
        <v>25567443838</v>
      </c>
      <c r="H386" s="92">
        <v>28646</v>
      </c>
      <c r="I386" s="89">
        <v>47</v>
      </c>
      <c r="J386" s="89" t="s">
        <v>70</v>
      </c>
      <c r="K386" s="89" t="s">
        <v>52</v>
      </c>
      <c r="L386" s="89" t="s">
        <v>53</v>
      </c>
      <c r="M386" s="89" t="s">
        <v>1302</v>
      </c>
      <c r="N386" s="89" t="s">
        <v>72</v>
      </c>
      <c r="O386" s="93" t="s">
        <v>1303</v>
      </c>
      <c r="P386" s="94" t="s">
        <v>57</v>
      </c>
      <c r="Q386" s="112" t="s">
        <v>58</v>
      </c>
      <c r="R386" s="95">
        <v>46140</v>
      </c>
      <c r="S386" s="96"/>
      <c r="T386" s="96" t="s">
        <v>59</v>
      </c>
      <c r="U386" s="96" t="s">
        <v>60</v>
      </c>
      <c r="V386" s="92">
        <v>46140</v>
      </c>
      <c r="W386" s="92" t="s">
        <v>61</v>
      </c>
      <c r="X386" s="92" t="s">
        <v>61</v>
      </c>
      <c r="Y386" s="97"/>
      <c r="Z386" s="89" t="s">
        <v>62</v>
      </c>
      <c r="AA386" s="96">
        <v>46153.638888888891</v>
      </c>
      <c r="AB386" s="89" t="s">
        <v>63</v>
      </c>
      <c r="AC386" s="111"/>
      <c r="AD386" s="89" t="s">
        <v>64</v>
      </c>
      <c r="AE386" s="89">
        <v>62</v>
      </c>
      <c r="AF386" s="98" t="s">
        <v>248</v>
      </c>
      <c r="AG386" s="98"/>
      <c r="AH386" s="98" t="s">
        <v>66</v>
      </c>
      <c r="AI386" s="99" t="s">
        <v>67</v>
      </c>
      <c r="AJ386" s="99" t="s">
        <v>67</v>
      </c>
      <c r="AK386" s="99" t="s">
        <v>67</v>
      </c>
      <c r="AL386" s="45" t="s">
        <v>68</v>
      </c>
      <c r="AM386" s="162" t="str">
        <f t="shared" ref="AM386:AM449" si="48">MONTH(B386)&amp;"/"&amp;YEAR(B386)</f>
        <v>3/2026</v>
      </c>
      <c r="AN386" s="45">
        <f t="shared" ref="AN386:AN449" si="49">WEEKNUM(B386)-WEEKNUM(EOMONTH(B386,-1)+1)+1</f>
        <v>4</v>
      </c>
      <c r="AO386" s="45" t="str">
        <f t="shared" ref="AO386:AO449" si="50">MONTH(R386)&amp;"/"&amp;YEAR(R386)</f>
        <v>4/2026</v>
      </c>
      <c r="AP386" s="45">
        <f t="shared" ref="AP386:AP449" si="51">WEEKNUM(R386)-WEEKNUM(EOMONTH(R386,-1)+1)+1</f>
        <v>5</v>
      </c>
      <c r="AQ386" s="45">
        <f t="shared" ref="AQ386:AQ449" si="52">IF(AU386="S",IF(Q386="1. Aceitou o programa",R386-B386,0),0)</f>
        <v>36</v>
      </c>
      <c r="AR386" s="45">
        <f t="shared" ref="AR386:AR449" si="53">IF(AU386="S",IF(AND(S386&lt;&gt;"",R386&lt;&gt;""),S386-R386,0),0)</f>
        <v>0</v>
      </c>
      <c r="AS386" s="45">
        <f t="shared" ref="AS386:AS449" si="54">IF(AU386="S",IF(Q386="1. Aceitou o programa",IF(OR(X386="Não se Aplica",X386=""),IF(OR(W386="Não se Aplica",W386=""),0,W386-V386),AVERAGE(X386-W386,W386-V386)),0),0)</f>
        <v>0</v>
      </c>
      <c r="AT386" s="45">
        <f t="shared" ref="AT386:AT449" si="55">IF(AU386="S",IF(AND(Q386="1. Aceitou o programa",AB386="Realizada"),IFERROR(IF(AA386="",0,AA386-R386),0),0),0)</f>
        <v>13.638888888890506</v>
      </c>
      <c r="AU386" s="45" t="str">
        <f>_xlfn.XLOOKUP(U386,'Lista Suspensa'!$AA$20:$AA$23,'Lista Suspensa'!$AB$20:$AB$23,"N/A")</f>
        <v>S</v>
      </c>
    </row>
    <row r="387" spans="1:47" ht="12" customHeight="1" x14ac:dyDescent="0.3">
      <c r="A387" s="87" t="s">
        <v>47</v>
      </c>
      <c r="B387" s="88">
        <v>46104</v>
      </c>
      <c r="C387" s="89" t="s">
        <v>48</v>
      </c>
      <c r="D387" s="89" t="s">
        <v>49</v>
      </c>
      <c r="E387" s="90">
        <v>451701828</v>
      </c>
      <c r="F387" s="184" t="s">
        <v>1304</v>
      </c>
      <c r="G387" s="91">
        <v>15180647878</v>
      </c>
      <c r="H387" s="92">
        <v>16174</v>
      </c>
      <c r="I387" s="89">
        <v>81</v>
      </c>
      <c r="J387" s="89" t="s">
        <v>70</v>
      </c>
      <c r="K387" s="89" t="s">
        <v>52</v>
      </c>
      <c r="L387" s="89" t="s">
        <v>53</v>
      </c>
      <c r="M387" s="89" t="s">
        <v>1305</v>
      </c>
      <c r="N387" s="89" t="s">
        <v>72</v>
      </c>
      <c r="O387" s="93" t="s">
        <v>1306</v>
      </c>
      <c r="P387" s="94" t="s">
        <v>57</v>
      </c>
      <c r="Q387" s="112" t="s">
        <v>58</v>
      </c>
      <c r="R387" s="95">
        <v>46140</v>
      </c>
      <c r="S387" s="96"/>
      <c r="T387" s="96" t="s">
        <v>59</v>
      </c>
      <c r="U387" s="96" t="s">
        <v>60</v>
      </c>
      <c r="V387" s="92">
        <v>46140</v>
      </c>
      <c r="W387" s="92" t="s">
        <v>61</v>
      </c>
      <c r="X387" s="92" t="s">
        <v>61</v>
      </c>
      <c r="Y387" s="97"/>
      <c r="Z387" s="89" t="s">
        <v>62</v>
      </c>
      <c r="AA387" s="96">
        <v>46141.638888888891</v>
      </c>
      <c r="AB387" s="89" t="s">
        <v>80</v>
      </c>
      <c r="AC387" s="111"/>
      <c r="AD387" s="89"/>
      <c r="AE387" s="89"/>
      <c r="AF387" s="98"/>
      <c r="AG387" s="98"/>
      <c r="AH387" s="98"/>
      <c r="AI387" s="99" t="s">
        <v>67</v>
      </c>
      <c r="AJ387" s="99" t="s">
        <v>67</v>
      </c>
      <c r="AK387" s="99" t="s">
        <v>67</v>
      </c>
      <c r="AL387" s="45" t="s">
        <v>68</v>
      </c>
      <c r="AM387" s="162" t="str">
        <f t="shared" si="48"/>
        <v>3/2026</v>
      </c>
      <c r="AN387" s="45">
        <f t="shared" si="49"/>
        <v>4</v>
      </c>
      <c r="AO387" s="45" t="str">
        <f t="shared" si="50"/>
        <v>4/2026</v>
      </c>
      <c r="AP387" s="45">
        <f t="shared" si="51"/>
        <v>5</v>
      </c>
      <c r="AQ387" s="45">
        <f t="shared" si="52"/>
        <v>36</v>
      </c>
      <c r="AR387" s="45">
        <f t="shared" si="53"/>
        <v>0</v>
      </c>
      <c r="AS387" s="45">
        <f t="shared" si="54"/>
        <v>0</v>
      </c>
      <c r="AT387" s="45">
        <f t="shared" si="55"/>
        <v>0</v>
      </c>
      <c r="AU387" s="45" t="str">
        <f>_xlfn.XLOOKUP(U387,'Lista Suspensa'!$AA$20:$AA$23,'Lista Suspensa'!$AB$20:$AB$23,"N/A")</f>
        <v>S</v>
      </c>
    </row>
    <row r="388" spans="1:47" ht="12" customHeight="1" x14ac:dyDescent="0.3">
      <c r="A388" s="87" t="s">
        <v>47</v>
      </c>
      <c r="B388" s="88">
        <v>46104</v>
      </c>
      <c r="C388" s="89" t="s">
        <v>48</v>
      </c>
      <c r="D388" s="89" t="s">
        <v>49</v>
      </c>
      <c r="E388" s="90">
        <v>429630611</v>
      </c>
      <c r="F388" s="184" t="s">
        <v>1307</v>
      </c>
      <c r="G388" s="91">
        <v>49451049800</v>
      </c>
      <c r="H388" s="92">
        <v>17867</v>
      </c>
      <c r="I388" s="89">
        <v>77</v>
      </c>
      <c r="J388" s="89" t="s">
        <v>51</v>
      </c>
      <c r="K388" s="89" t="s">
        <v>52</v>
      </c>
      <c r="L388" s="89" t="s">
        <v>53</v>
      </c>
      <c r="M388" s="89" t="s">
        <v>1308</v>
      </c>
      <c r="N388" s="89" t="s">
        <v>72</v>
      </c>
      <c r="O388" s="93" t="s">
        <v>1309</v>
      </c>
      <c r="P388" s="94" t="s">
        <v>57</v>
      </c>
      <c r="Q388" s="112" t="s">
        <v>58</v>
      </c>
      <c r="R388" s="95">
        <v>46147</v>
      </c>
      <c r="S388" s="96"/>
      <c r="T388" s="96" t="s">
        <v>59</v>
      </c>
      <c r="U388" s="96" t="s">
        <v>60</v>
      </c>
      <c r="V388" s="92">
        <v>46112</v>
      </c>
      <c r="W388" s="92">
        <v>46142</v>
      </c>
      <c r="X388" s="92">
        <v>46147</v>
      </c>
      <c r="Y388" s="97"/>
      <c r="Z388" s="89" t="s">
        <v>62</v>
      </c>
      <c r="AA388" s="96" t="s">
        <v>1310</v>
      </c>
      <c r="AB388" s="89" t="s">
        <v>80</v>
      </c>
      <c r="AC388" s="111"/>
      <c r="AD388" s="89"/>
      <c r="AE388" s="89"/>
      <c r="AF388" s="98"/>
      <c r="AG388" s="98"/>
      <c r="AH388" s="98"/>
      <c r="AI388" s="99" t="s">
        <v>197</v>
      </c>
      <c r="AJ388" s="99" t="s">
        <v>197</v>
      </c>
      <c r="AK388" s="99" t="s">
        <v>67</v>
      </c>
      <c r="AL388" s="45" t="s">
        <v>68</v>
      </c>
      <c r="AM388" s="162" t="str">
        <f t="shared" si="48"/>
        <v>3/2026</v>
      </c>
      <c r="AN388" s="45">
        <f t="shared" si="49"/>
        <v>4</v>
      </c>
      <c r="AO388" s="45" t="str">
        <f t="shared" si="50"/>
        <v>5/2026</v>
      </c>
      <c r="AP388" s="45">
        <f t="shared" si="51"/>
        <v>2</v>
      </c>
      <c r="AQ388" s="45">
        <f t="shared" si="52"/>
        <v>43</v>
      </c>
      <c r="AR388" s="45">
        <f t="shared" si="53"/>
        <v>0</v>
      </c>
      <c r="AS388" s="45">
        <f t="shared" si="54"/>
        <v>17.5</v>
      </c>
      <c r="AT388" s="45">
        <f t="shared" si="55"/>
        <v>0</v>
      </c>
      <c r="AU388" s="45" t="str">
        <f>_xlfn.XLOOKUP(U388,'Lista Suspensa'!$AA$20:$AA$23,'Lista Suspensa'!$AB$20:$AB$23,"N/A")</f>
        <v>S</v>
      </c>
    </row>
    <row r="389" spans="1:47" ht="12" customHeight="1" x14ac:dyDescent="0.3">
      <c r="A389" s="87" t="s">
        <v>47</v>
      </c>
      <c r="B389" s="88">
        <v>46104</v>
      </c>
      <c r="C389" s="89" t="s">
        <v>48</v>
      </c>
      <c r="D389" s="89" t="s">
        <v>49</v>
      </c>
      <c r="E389" s="90">
        <v>210806206</v>
      </c>
      <c r="F389" s="184" t="s">
        <v>1311</v>
      </c>
      <c r="G389" s="91">
        <v>43442781787</v>
      </c>
      <c r="H389" s="92">
        <v>17746</v>
      </c>
      <c r="I389" s="89">
        <v>77</v>
      </c>
      <c r="J389" s="89" t="s">
        <v>70</v>
      </c>
      <c r="K389" s="89" t="s">
        <v>88</v>
      </c>
      <c r="L389" s="89" t="s">
        <v>89</v>
      </c>
      <c r="M389" s="89" t="s">
        <v>120</v>
      </c>
      <c r="N389" s="89" t="s">
        <v>72</v>
      </c>
      <c r="O389" s="93" t="s">
        <v>1312</v>
      </c>
      <c r="P389" s="94" t="s">
        <v>57</v>
      </c>
      <c r="Q389" s="112" t="s">
        <v>58</v>
      </c>
      <c r="R389" s="95">
        <v>46147</v>
      </c>
      <c r="S389" s="96"/>
      <c r="T389" s="96" t="s">
        <v>59</v>
      </c>
      <c r="U389" s="96" t="s">
        <v>60</v>
      </c>
      <c r="V389" s="92">
        <v>46142</v>
      </c>
      <c r="W389" s="92">
        <v>46147</v>
      </c>
      <c r="X389" s="92" t="s">
        <v>61</v>
      </c>
      <c r="Y389" s="97"/>
      <c r="Z389" s="89" t="s">
        <v>62</v>
      </c>
      <c r="AA389" s="96" t="s">
        <v>1313</v>
      </c>
      <c r="AB389" s="89" t="s">
        <v>80</v>
      </c>
      <c r="AC389" s="111"/>
      <c r="AD389" s="89"/>
      <c r="AE389" s="89"/>
      <c r="AF389" s="98"/>
      <c r="AG389" s="98"/>
      <c r="AH389" s="98"/>
      <c r="AI389" s="99" t="s">
        <v>197</v>
      </c>
      <c r="AJ389" s="99" t="s">
        <v>197</v>
      </c>
      <c r="AK389" s="99" t="s">
        <v>67</v>
      </c>
      <c r="AL389" s="45" t="s">
        <v>68</v>
      </c>
      <c r="AM389" s="162" t="str">
        <f t="shared" si="48"/>
        <v>3/2026</v>
      </c>
      <c r="AN389" s="45">
        <f t="shared" si="49"/>
        <v>4</v>
      </c>
      <c r="AO389" s="45" t="str">
        <f t="shared" si="50"/>
        <v>5/2026</v>
      </c>
      <c r="AP389" s="45">
        <f t="shared" si="51"/>
        <v>2</v>
      </c>
      <c r="AQ389" s="45">
        <f t="shared" si="52"/>
        <v>43</v>
      </c>
      <c r="AR389" s="45">
        <f t="shared" si="53"/>
        <v>0</v>
      </c>
      <c r="AS389" s="45">
        <f t="shared" si="54"/>
        <v>5</v>
      </c>
      <c r="AT389" s="45">
        <f t="shared" si="55"/>
        <v>0</v>
      </c>
      <c r="AU389" s="45" t="str">
        <f>_xlfn.XLOOKUP(U389,'Lista Suspensa'!$AA$20:$AA$23,'Lista Suspensa'!$AB$20:$AB$23,"N/A")</f>
        <v>S</v>
      </c>
    </row>
    <row r="390" spans="1:47" ht="12" customHeight="1" x14ac:dyDescent="0.3">
      <c r="A390" s="87" t="s">
        <v>47</v>
      </c>
      <c r="B390" s="88">
        <v>46104</v>
      </c>
      <c r="C390" s="89" t="s">
        <v>48</v>
      </c>
      <c r="D390" s="89" t="s">
        <v>49</v>
      </c>
      <c r="E390" s="90">
        <v>452392861</v>
      </c>
      <c r="F390" s="184" t="s">
        <v>1314</v>
      </c>
      <c r="G390" s="91">
        <v>21346503893</v>
      </c>
      <c r="H390" s="92">
        <v>20137</v>
      </c>
      <c r="I390" s="89">
        <v>71</v>
      </c>
      <c r="J390" s="89" t="s">
        <v>70</v>
      </c>
      <c r="K390" s="89" t="s">
        <v>88</v>
      </c>
      <c r="L390" s="89" t="s">
        <v>89</v>
      </c>
      <c r="M390" s="89" t="s">
        <v>120</v>
      </c>
      <c r="N390" s="89" t="s">
        <v>72</v>
      </c>
      <c r="O390" s="93" t="s">
        <v>1315</v>
      </c>
      <c r="P390" s="94" t="s">
        <v>57</v>
      </c>
      <c r="Q390" s="112" t="s">
        <v>58</v>
      </c>
      <c r="R390" s="95">
        <v>46153</v>
      </c>
      <c r="S390" s="96"/>
      <c r="T390" s="96" t="s">
        <v>59</v>
      </c>
      <c r="U390" s="96" t="s">
        <v>60</v>
      </c>
      <c r="V390" s="92">
        <v>46142</v>
      </c>
      <c r="W390" s="92">
        <v>46147</v>
      </c>
      <c r="X390" s="92">
        <v>46154</v>
      </c>
      <c r="Y390" s="97"/>
      <c r="Z390" s="89" t="s">
        <v>62</v>
      </c>
      <c r="AA390" s="96" t="s">
        <v>1316</v>
      </c>
      <c r="AB390" s="89" t="s">
        <v>63</v>
      </c>
      <c r="AC390" s="111"/>
      <c r="AD390" s="89" t="s">
        <v>86</v>
      </c>
      <c r="AE390" s="89">
        <v>51</v>
      </c>
      <c r="AF390" s="98"/>
      <c r="AG390" s="98"/>
      <c r="AH390" s="98" t="s">
        <v>66</v>
      </c>
      <c r="AI390" s="99" t="s">
        <v>197</v>
      </c>
      <c r="AJ390" s="99" t="s">
        <v>197</v>
      </c>
      <c r="AK390" s="99" t="s">
        <v>67</v>
      </c>
      <c r="AL390" s="45" t="s">
        <v>68</v>
      </c>
      <c r="AM390" s="162" t="str">
        <f t="shared" si="48"/>
        <v>3/2026</v>
      </c>
      <c r="AN390" s="45">
        <f t="shared" si="49"/>
        <v>4</v>
      </c>
      <c r="AO390" s="45" t="str">
        <f t="shared" si="50"/>
        <v>5/2026</v>
      </c>
      <c r="AP390" s="45">
        <f t="shared" si="51"/>
        <v>3</v>
      </c>
      <c r="AQ390" s="45">
        <f t="shared" si="52"/>
        <v>49</v>
      </c>
      <c r="AR390" s="45">
        <f t="shared" si="53"/>
        <v>0</v>
      </c>
      <c r="AS390" s="45">
        <f t="shared" si="54"/>
        <v>6</v>
      </c>
      <c r="AT390" s="45">
        <f t="shared" si="55"/>
        <v>9.6805555555547471</v>
      </c>
      <c r="AU390" s="45" t="str">
        <f>_xlfn.XLOOKUP(U390,'Lista Suspensa'!$AA$20:$AA$23,'Lista Suspensa'!$AB$20:$AB$23,"N/A")</f>
        <v>S</v>
      </c>
    </row>
    <row r="391" spans="1:47" ht="12" customHeight="1" x14ac:dyDescent="0.3">
      <c r="A391" s="87" t="s">
        <v>47</v>
      </c>
      <c r="B391" s="88">
        <v>46104</v>
      </c>
      <c r="C391" s="89" t="s">
        <v>48</v>
      </c>
      <c r="D391" s="89" t="s">
        <v>49</v>
      </c>
      <c r="E391" s="90">
        <v>451665040</v>
      </c>
      <c r="F391" s="184" t="s">
        <v>1317</v>
      </c>
      <c r="G391" s="91">
        <v>63923246820</v>
      </c>
      <c r="H391" s="92">
        <v>19644</v>
      </c>
      <c r="I391" s="89">
        <v>72</v>
      </c>
      <c r="J391" s="89" t="s">
        <v>51</v>
      </c>
      <c r="K391" s="89" t="s">
        <v>52</v>
      </c>
      <c r="L391" s="89" t="s">
        <v>780</v>
      </c>
      <c r="M391" s="89" t="s">
        <v>1318</v>
      </c>
      <c r="N391" s="89" t="s">
        <v>72</v>
      </c>
      <c r="O391" s="93" t="s">
        <v>1319</v>
      </c>
      <c r="P391" s="94" t="s">
        <v>57</v>
      </c>
      <c r="Q391" s="112" t="s">
        <v>58</v>
      </c>
      <c r="R391" s="95">
        <v>46171</v>
      </c>
      <c r="S391" s="96"/>
      <c r="T391" s="96" t="s">
        <v>59</v>
      </c>
      <c r="U391" s="96" t="s">
        <v>60</v>
      </c>
      <c r="V391" s="92">
        <v>46142</v>
      </c>
      <c r="W391" s="92">
        <v>46147</v>
      </c>
      <c r="X391" s="92">
        <v>46154</v>
      </c>
      <c r="Y391" s="97"/>
      <c r="Z391" s="89" t="s">
        <v>62</v>
      </c>
      <c r="AA391" s="96">
        <v>46176</v>
      </c>
      <c r="AB391" s="89" t="s">
        <v>80</v>
      </c>
      <c r="AC391" s="111"/>
      <c r="AD391" s="89"/>
      <c r="AE391" s="89"/>
      <c r="AF391" s="98"/>
      <c r="AG391" s="98"/>
      <c r="AH391" s="98"/>
      <c r="AI391" s="99"/>
      <c r="AJ391" s="99" t="s">
        <v>197</v>
      </c>
      <c r="AK391" s="99" t="s">
        <v>67</v>
      </c>
      <c r="AL391" s="45" t="s">
        <v>68</v>
      </c>
      <c r="AM391" s="162" t="str">
        <f t="shared" si="48"/>
        <v>3/2026</v>
      </c>
      <c r="AN391" s="45">
        <f t="shared" si="49"/>
        <v>4</v>
      </c>
      <c r="AO391" s="45" t="str">
        <f t="shared" si="50"/>
        <v>5/2026</v>
      </c>
      <c r="AP391" s="45">
        <f t="shared" si="51"/>
        <v>5</v>
      </c>
      <c r="AQ391" s="45">
        <f t="shared" si="52"/>
        <v>67</v>
      </c>
      <c r="AR391" s="45">
        <f t="shared" si="53"/>
        <v>0</v>
      </c>
      <c r="AS391" s="45">
        <f t="shared" si="54"/>
        <v>6</v>
      </c>
      <c r="AT391" s="45">
        <f t="shared" si="55"/>
        <v>0</v>
      </c>
      <c r="AU391" s="45" t="str">
        <f>_xlfn.XLOOKUP(U391,'Lista Suspensa'!$AA$20:$AA$23,'Lista Suspensa'!$AB$20:$AB$23,"N/A")</f>
        <v>S</v>
      </c>
    </row>
    <row r="392" spans="1:47" ht="12" customHeight="1" x14ac:dyDescent="0.3">
      <c r="A392" s="87" t="s">
        <v>47</v>
      </c>
      <c r="B392" s="88">
        <v>46104</v>
      </c>
      <c r="C392" s="89" t="s">
        <v>48</v>
      </c>
      <c r="D392" s="89" t="s">
        <v>49</v>
      </c>
      <c r="E392" s="90">
        <v>451710975</v>
      </c>
      <c r="F392" s="184" t="s">
        <v>1320</v>
      </c>
      <c r="G392" s="91">
        <v>6566906827</v>
      </c>
      <c r="H392" s="92">
        <v>24032</v>
      </c>
      <c r="I392" s="89">
        <v>60</v>
      </c>
      <c r="J392" s="89" t="s">
        <v>70</v>
      </c>
      <c r="K392" s="89" t="s">
        <v>52</v>
      </c>
      <c r="L392" s="89" t="s">
        <v>53</v>
      </c>
      <c r="M392" s="89" t="s">
        <v>570</v>
      </c>
      <c r="N392" s="89" t="s">
        <v>72</v>
      </c>
      <c r="O392" s="93" t="s">
        <v>1321</v>
      </c>
      <c r="P392" s="94" t="s">
        <v>57</v>
      </c>
      <c r="Q392" s="112" t="s">
        <v>58</v>
      </c>
      <c r="R392" s="95">
        <v>46140</v>
      </c>
      <c r="S392" s="96"/>
      <c r="T392" s="96" t="s">
        <v>59</v>
      </c>
      <c r="U392" s="96" t="s">
        <v>60</v>
      </c>
      <c r="V392" s="92">
        <v>46140</v>
      </c>
      <c r="W392" s="92" t="s">
        <v>61</v>
      </c>
      <c r="X392" s="92" t="s">
        <v>61</v>
      </c>
      <c r="Y392" s="97"/>
      <c r="Z392" s="89" t="s">
        <v>62</v>
      </c>
      <c r="AA392" s="96" t="s">
        <v>1322</v>
      </c>
      <c r="AB392" s="89" t="s">
        <v>63</v>
      </c>
      <c r="AC392" s="111"/>
      <c r="AD392" s="89" t="s">
        <v>86</v>
      </c>
      <c r="AE392" s="89">
        <v>55</v>
      </c>
      <c r="AF392" s="98"/>
      <c r="AG392" s="98"/>
      <c r="AH392" s="98"/>
      <c r="AI392" s="99" t="s">
        <v>67</v>
      </c>
      <c r="AJ392" s="99" t="s">
        <v>67</v>
      </c>
      <c r="AK392" s="99" t="s">
        <v>67</v>
      </c>
      <c r="AL392" s="45" t="s">
        <v>68</v>
      </c>
      <c r="AM392" s="162" t="str">
        <f t="shared" si="48"/>
        <v>3/2026</v>
      </c>
      <c r="AN392" s="45">
        <f t="shared" si="49"/>
        <v>4</v>
      </c>
      <c r="AO392" s="45" t="str">
        <f t="shared" si="50"/>
        <v>4/2026</v>
      </c>
      <c r="AP392" s="45">
        <f t="shared" si="51"/>
        <v>5</v>
      </c>
      <c r="AQ392" s="45">
        <f t="shared" si="52"/>
        <v>36</v>
      </c>
      <c r="AR392" s="45">
        <f t="shared" si="53"/>
        <v>0</v>
      </c>
      <c r="AS392" s="45">
        <f t="shared" si="54"/>
        <v>0</v>
      </c>
      <c r="AT392" s="45">
        <f t="shared" si="55"/>
        <v>6.6944444444452529</v>
      </c>
      <c r="AU392" s="45" t="str">
        <f>_xlfn.XLOOKUP(U392,'Lista Suspensa'!$AA$20:$AA$23,'Lista Suspensa'!$AB$20:$AB$23,"N/A")</f>
        <v>S</v>
      </c>
    </row>
    <row r="393" spans="1:47" ht="12" customHeight="1" x14ac:dyDescent="0.3">
      <c r="A393" s="87" t="s">
        <v>47</v>
      </c>
      <c r="B393" s="88">
        <v>46104</v>
      </c>
      <c r="C393" s="89" t="s">
        <v>48</v>
      </c>
      <c r="D393" s="89" t="s">
        <v>49</v>
      </c>
      <c r="E393" s="90">
        <v>451581644</v>
      </c>
      <c r="F393" s="184" t="s">
        <v>1323</v>
      </c>
      <c r="G393" s="91">
        <v>7726684852</v>
      </c>
      <c r="H393" s="92">
        <v>15830</v>
      </c>
      <c r="I393" s="89">
        <v>82</v>
      </c>
      <c r="J393" s="89" t="s">
        <v>70</v>
      </c>
      <c r="K393" s="89" t="s">
        <v>52</v>
      </c>
      <c r="L393" s="89" t="s">
        <v>53</v>
      </c>
      <c r="M393" s="89" t="s">
        <v>1324</v>
      </c>
      <c r="N393" s="89" t="s">
        <v>72</v>
      </c>
      <c r="O393" s="93" t="s">
        <v>1325</v>
      </c>
      <c r="P393" s="94" t="s">
        <v>57</v>
      </c>
      <c r="Q393" s="112" t="s">
        <v>58</v>
      </c>
      <c r="R393" s="95">
        <v>46140</v>
      </c>
      <c r="S393" s="96"/>
      <c r="T393" s="96" t="s">
        <v>59</v>
      </c>
      <c r="U393" s="96" t="s">
        <v>60</v>
      </c>
      <c r="V393" s="92">
        <v>46140</v>
      </c>
      <c r="W393" s="92" t="s">
        <v>61</v>
      </c>
      <c r="X393" s="92" t="s">
        <v>61</v>
      </c>
      <c r="Y393" s="97"/>
      <c r="Z393" s="89" t="s">
        <v>62</v>
      </c>
      <c r="AA393" s="96" t="s">
        <v>1326</v>
      </c>
      <c r="AB393" s="89" t="s">
        <v>80</v>
      </c>
      <c r="AC393" s="111"/>
      <c r="AD393" s="89"/>
      <c r="AE393" s="89"/>
      <c r="AF393" s="98"/>
      <c r="AG393" s="98"/>
      <c r="AH393" s="98"/>
      <c r="AI393" s="99" t="s">
        <v>67</v>
      </c>
      <c r="AJ393" s="99" t="s">
        <v>67</v>
      </c>
      <c r="AK393" s="99" t="s">
        <v>67</v>
      </c>
      <c r="AL393" s="45" t="s">
        <v>68</v>
      </c>
      <c r="AM393" s="162" t="str">
        <f t="shared" si="48"/>
        <v>3/2026</v>
      </c>
      <c r="AN393" s="45">
        <f t="shared" si="49"/>
        <v>4</v>
      </c>
      <c r="AO393" s="45" t="str">
        <f t="shared" si="50"/>
        <v>4/2026</v>
      </c>
      <c r="AP393" s="45">
        <f t="shared" si="51"/>
        <v>5</v>
      </c>
      <c r="AQ393" s="45">
        <f t="shared" si="52"/>
        <v>36</v>
      </c>
      <c r="AR393" s="45">
        <f t="shared" si="53"/>
        <v>0</v>
      </c>
      <c r="AS393" s="45">
        <f t="shared" si="54"/>
        <v>0</v>
      </c>
      <c r="AT393" s="45">
        <f t="shared" si="55"/>
        <v>0</v>
      </c>
      <c r="AU393" s="45" t="str">
        <f>_xlfn.XLOOKUP(U393,'Lista Suspensa'!$AA$20:$AA$23,'Lista Suspensa'!$AB$20:$AB$23,"N/A")</f>
        <v>S</v>
      </c>
    </row>
    <row r="394" spans="1:47" ht="12" customHeight="1" x14ac:dyDescent="0.3">
      <c r="A394" s="87" t="s">
        <v>47</v>
      </c>
      <c r="B394" s="88">
        <v>46104</v>
      </c>
      <c r="C394" s="89" t="s">
        <v>48</v>
      </c>
      <c r="D394" s="89" t="s">
        <v>49</v>
      </c>
      <c r="E394" s="90">
        <v>451973429</v>
      </c>
      <c r="F394" s="184" t="s">
        <v>1327</v>
      </c>
      <c r="G394" s="91">
        <v>64797520825</v>
      </c>
      <c r="H394" s="92">
        <v>17264</v>
      </c>
      <c r="I394" s="89">
        <v>78</v>
      </c>
      <c r="J394" s="89" t="s">
        <v>51</v>
      </c>
      <c r="K394" s="89" t="s">
        <v>52</v>
      </c>
      <c r="L394" s="89" t="s">
        <v>53</v>
      </c>
      <c r="M394" s="89" t="s">
        <v>1328</v>
      </c>
      <c r="N394" s="89" t="s">
        <v>72</v>
      </c>
      <c r="O394" s="93" t="s">
        <v>1329</v>
      </c>
      <c r="P394" s="94" t="s">
        <v>57</v>
      </c>
      <c r="Q394" s="112" t="s">
        <v>58</v>
      </c>
      <c r="R394" s="95">
        <v>46140</v>
      </c>
      <c r="S394" s="96"/>
      <c r="T394" s="96" t="s">
        <v>59</v>
      </c>
      <c r="U394" s="96" t="s">
        <v>60</v>
      </c>
      <c r="V394" s="92">
        <v>46140</v>
      </c>
      <c r="W394" s="92" t="s">
        <v>61</v>
      </c>
      <c r="X394" s="92" t="s">
        <v>61</v>
      </c>
      <c r="Y394" s="97"/>
      <c r="Z394" s="89" t="s">
        <v>62</v>
      </c>
      <c r="AA394" s="96">
        <v>46183</v>
      </c>
      <c r="AB394" s="89" t="s">
        <v>63</v>
      </c>
      <c r="AC394" s="111"/>
      <c r="AD394" s="89" t="s">
        <v>265</v>
      </c>
      <c r="AE394" s="89">
        <v>20</v>
      </c>
      <c r="AF394" s="98" t="s">
        <v>403</v>
      </c>
      <c r="AG394" s="98" t="s">
        <v>403</v>
      </c>
      <c r="AH394" s="98" t="s">
        <v>66</v>
      </c>
      <c r="AI394" s="99" t="s">
        <v>67</v>
      </c>
      <c r="AJ394" s="99" t="s">
        <v>67</v>
      </c>
      <c r="AK394" s="99" t="s">
        <v>67</v>
      </c>
      <c r="AL394" s="45" t="s">
        <v>68</v>
      </c>
      <c r="AM394" s="162" t="str">
        <f t="shared" si="48"/>
        <v>3/2026</v>
      </c>
      <c r="AN394" s="45">
        <f t="shared" si="49"/>
        <v>4</v>
      </c>
      <c r="AO394" s="45" t="str">
        <f t="shared" si="50"/>
        <v>4/2026</v>
      </c>
      <c r="AP394" s="45">
        <f t="shared" si="51"/>
        <v>5</v>
      </c>
      <c r="AQ394" s="45">
        <f t="shared" si="52"/>
        <v>36</v>
      </c>
      <c r="AR394" s="45">
        <f t="shared" si="53"/>
        <v>0</v>
      </c>
      <c r="AS394" s="45">
        <f t="shared" si="54"/>
        <v>0</v>
      </c>
      <c r="AT394" s="45">
        <f t="shared" si="55"/>
        <v>43</v>
      </c>
      <c r="AU394" s="45" t="str">
        <f>_xlfn.XLOOKUP(U394,'Lista Suspensa'!$AA$20:$AA$23,'Lista Suspensa'!$AB$20:$AB$23,"N/A")</f>
        <v>S</v>
      </c>
    </row>
    <row r="395" spans="1:47" ht="12" customHeight="1" x14ac:dyDescent="0.3">
      <c r="A395" s="87" t="s">
        <v>47</v>
      </c>
      <c r="B395" s="88">
        <v>46104</v>
      </c>
      <c r="C395" s="89" t="s">
        <v>48</v>
      </c>
      <c r="D395" s="89" t="s">
        <v>49</v>
      </c>
      <c r="E395" s="90">
        <v>451725875</v>
      </c>
      <c r="F395" s="184" t="s">
        <v>1330</v>
      </c>
      <c r="G395" s="91">
        <v>15716774881</v>
      </c>
      <c r="H395" s="92">
        <v>17794</v>
      </c>
      <c r="I395" s="89">
        <v>77</v>
      </c>
      <c r="J395" s="89" t="s">
        <v>70</v>
      </c>
      <c r="K395" s="89" t="s">
        <v>52</v>
      </c>
      <c r="L395" s="89" t="s">
        <v>53</v>
      </c>
      <c r="M395" s="89" t="s">
        <v>1331</v>
      </c>
      <c r="N395" s="89" t="s">
        <v>72</v>
      </c>
      <c r="O395" s="93" t="s">
        <v>1332</v>
      </c>
      <c r="P395" s="94" t="s">
        <v>57</v>
      </c>
      <c r="Q395" s="112" t="s">
        <v>58</v>
      </c>
      <c r="R395" s="95">
        <v>46164</v>
      </c>
      <c r="S395" s="96"/>
      <c r="T395" s="96" t="s">
        <v>59</v>
      </c>
      <c r="U395" s="96" t="s">
        <v>60</v>
      </c>
      <c r="V395" s="92">
        <v>46142</v>
      </c>
      <c r="W395" s="92">
        <v>46147</v>
      </c>
      <c r="X395" s="92">
        <v>46154</v>
      </c>
      <c r="Y395" s="97"/>
      <c r="Z395" s="89" t="s">
        <v>62</v>
      </c>
      <c r="AA395" s="96">
        <v>46175</v>
      </c>
      <c r="AB395" s="89" t="s">
        <v>80</v>
      </c>
      <c r="AC395" s="111"/>
      <c r="AD395" s="89"/>
      <c r="AE395" s="89"/>
      <c r="AF395" s="98"/>
      <c r="AG395" s="98"/>
      <c r="AH395" s="98"/>
      <c r="AI395" s="99"/>
      <c r="AJ395" s="99" t="s">
        <v>197</v>
      </c>
      <c r="AK395" s="99" t="s">
        <v>67</v>
      </c>
      <c r="AL395" s="45" t="s">
        <v>68</v>
      </c>
      <c r="AM395" s="162" t="str">
        <f t="shared" si="48"/>
        <v>3/2026</v>
      </c>
      <c r="AN395" s="45">
        <f t="shared" si="49"/>
        <v>4</v>
      </c>
      <c r="AO395" s="45" t="str">
        <f t="shared" si="50"/>
        <v>5/2026</v>
      </c>
      <c r="AP395" s="45">
        <f t="shared" si="51"/>
        <v>4</v>
      </c>
      <c r="AQ395" s="45">
        <f t="shared" si="52"/>
        <v>60</v>
      </c>
      <c r="AR395" s="45">
        <f t="shared" si="53"/>
        <v>0</v>
      </c>
      <c r="AS395" s="45">
        <f t="shared" si="54"/>
        <v>6</v>
      </c>
      <c r="AT395" s="45">
        <f t="shared" si="55"/>
        <v>0</v>
      </c>
      <c r="AU395" s="45" t="str">
        <f>_xlfn.XLOOKUP(U395,'Lista Suspensa'!$AA$20:$AA$23,'Lista Suspensa'!$AB$20:$AB$23,"N/A")</f>
        <v>S</v>
      </c>
    </row>
    <row r="396" spans="1:47" ht="12" hidden="1" customHeight="1" x14ac:dyDescent="0.3">
      <c r="A396" s="87" t="s">
        <v>47</v>
      </c>
      <c r="B396" s="88">
        <v>46104</v>
      </c>
      <c r="C396" s="89" t="s">
        <v>48</v>
      </c>
      <c r="D396" s="89" t="s">
        <v>49</v>
      </c>
      <c r="E396" s="90">
        <v>451848594</v>
      </c>
      <c r="F396" s="184" t="s">
        <v>1333</v>
      </c>
      <c r="G396" s="91">
        <v>10046514813</v>
      </c>
      <c r="H396" s="92">
        <v>20360</v>
      </c>
      <c r="I396" s="89">
        <v>70</v>
      </c>
      <c r="J396" s="89" t="s">
        <v>70</v>
      </c>
      <c r="K396" s="89" t="s">
        <v>52</v>
      </c>
      <c r="L396" s="89" t="s">
        <v>53</v>
      </c>
      <c r="M396" s="89" t="s">
        <v>1334</v>
      </c>
      <c r="N396" s="89" t="s">
        <v>72</v>
      </c>
      <c r="O396" s="93" t="s">
        <v>1335</v>
      </c>
      <c r="P396" s="94" t="s">
        <v>57</v>
      </c>
      <c r="Q396" s="112" t="s">
        <v>745</v>
      </c>
      <c r="R396" s="95">
        <v>46164</v>
      </c>
      <c r="S396" s="96">
        <v>46176</v>
      </c>
      <c r="T396" s="96" t="s">
        <v>59</v>
      </c>
      <c r="U396" s="96" t="s">
        <v>60</v>
      </c>
      <c r="V396" s="92">
        <v>46142</v>
      </c>
      <c r="W396" s="92">
        <v>46147</v>
      </c>
      <c r="X396" s="92">
        <v>46154</v>
      </c>
      <c r="Y396" s="97"/>
      <c r="Z396" s="89" t="s">
        <v>62</v>
      </c>
      <c r="AA396" s="96">
        <v>46176</v>
      </c>
      <c r="AB396" s="89" t="s">
        <v>63</v>
      </c>
      <c r="AC396" s="111"/>
      <c r="AD396" s="89"/>
      <c r="AE396" s="89"/>
      <c r="AF396" s="98" t="s">
        <v>248</v>
      </c>
      <c r="AG396" s="98" t="s">
        <v>248</v>
      </c>
      <c r="AH396" s="98" t="s">
        <v>139</v>
      </c>
      <c r="AI396" s="99"/>
      <c r="AJ396" s="99" t="s">
        <v>197</v>
      </c>
      <c r="AK396" s="99" t="s">
        <v>67</v>
      </c>
      <c r="AL396" s="45" t="s">
        <v>68</v>
      </c>
      <c r="AM396" s="162" t="str">
        <f t="shared" si="48"/>
        <v>3/2026</v>
      </c>
      <c r="AN396" s="45">
        <f t="shared" si="49"/>
        <v>4</v>
      </c>
      <c r="AO396" s="45" t="str">
        <f t="shared" si="50"/>
        <v>5/2026</v>
      </c>
      <c r="AP396" s="45">
        <f t="shared" si="51"/>
        <v>4</v>
      </c>
      <c r="AQ396" s="45">
        <f t="shared" si="52"/>
        <v>0</v>
      </c>
      <c r="AR396" s="45">
        <f t="shared" si="53"/>
        <v>12</v>
      </c>
      <c r="AS396" s="45">
        <f t="shared" si="54"/>
        <v>0</v>
      </c>
      <c r="AT396" s="45">
        <f t="shared" si="55"/>
        <v>0</v>
      </c>
      <c r="AU396" s="45" t="str">
        <f>_xlfn.XLOOKUP(U396,'Lista Suspensa'!$AA$20:$AA$23,'Lista Suspensa'!$AB$20:$AB$23,"N/A")</f>
        <v>S</v>
      </c>
    </row>
    <row r="397" spans="1:47" ht="12" customHeight="1" x14ac:dyDescent="0.3">
      <c r="A397" s="87" t="s">
        <v>47</v>
      </c>
      <c r="B397" s="88">
        <v>46104</v>
      </c>
      <c r="C397" s="89" t="s">
        <v>48</v>
      </c>
      <c r="D397" s="89" t="s">
        <v>49</v>
      </c>
      <c r="E397" s="90">
        <v>451698452</v>
      </c>
      <c r="F397" s="184" t="s">
        <v>1336</v>
      </c>
      <c r="G397" s="91">
        <v>90300424868</v>
      </c>
      <c r="H397" s="92">
        <v>21026</v>
      </c>
      <c r="I397" s="89">
        <v>68</v>
      </c>
      <c r="J397" s="89" t="s">
        <v>70</v>
      </c>
      <c r="K397" s="89" t="s">
        <v>52</v>
      </c>
      <c r="L397" s="89" t="s">
        <v>53</v>
      </c>
      <c r="M397" s="89" t="s">
        <v>1337</v>
      </c>
      <c r="N397" s="89" t="s">
        <v>72</v>
      </c>
      <c r="O397" s="93" t="s">
        <v>1338</v>
      </c>
      <c r="P397" s="94" t="s">
        <v>57</v>
      </c>
      <c r="Q397" s="112" t="s">
        <v>58</v>
      </c>
      <c r="R397" s="95">
        <v>46142</v>
      </c>
      <c r="S397" s="96"/>
      <c r="T397" s="96" t="s">
        <v>59</v>
      </c>
      <c r="U397" s="96" t="s">
        <v>60</v>
      </c>
      <c r="V397" s="92">
        <v>46142</v>
      </c>
      <c r="W397" s="92" t="s">
        <v>61</v>
      </c>
      <c r="X397" s="92" t="s">
        <v>61</v>
      </c>
      <c r="Y397" s="97"/>
      <c r="Z397" s="89" t="s">
        <v>62</v>
      </c>
      <c r="AA397" s="96" t="s">
        <v>1339</v>
      </c>
      <c r="AB397" s="89" t="s">
        <v>63</v>
      </c>
      <c r="AC397" s="111"/>
      <c r="AD397" s="89"/>
      <c r="AE397" s="89"/>
      <c r="AF397" s="98"/>
      <c r="AG397" s="98"/>
      <c r="AH397" s="98"/>
      <c r="AI397" s="99" t="s">
        <v>67</v>
      </c>
      <c r="AJ397" s="99" t="s">
        <v>67</v>
      </c>
      <c r="AK397" s="99" t="s">
        <v>67</v>
      </c>
      <c r="AL397" s="45" t="s">
        <v>68</v>
      </c>
      <c r="AM397" s="162" t="str">
        <f t="shared" si="48"/>
        <v>3/2026</v>
      </c>
      <c r="AN397" s="45">
        <f t="shared" si="49"/>
        <v>4</v>
      </c>
      <c r="AO397" s="45" t="str">
        <f t="shared" si="50"/>
        <v>4/2026</v>
      </c>
      <c r="AP397" s="45">
        <f t="shared" si="51"/>
        <v>5</v>
      </c>
      <c r="AQ397" s="45">
        <f t="shared" si="52"/>
        <v>38</v>
      </c>
      <c r="AR397" s="45">
        <f t="shared" si="53"/>
        <v>0</v>
      </c>
      <c r="AS397" s="45">
        <f t="shared" si="54"/>
        <v>0</v>
      </c>
      <c r="AT397" s="45">
        <f t="shared" si="55"/>
        <v>6.5277777777810115</v>
      </c>
      <c r="AU397" s="45" t="str">
        <f>_xlfn.XLOOKUP(U397,'Lista Suspensa'!$AA$20:$AA$23,'Lista Suspensa'!$AB$20:$AB$23,"N/A")</f>
        <v>S</v>
      </c>
    </row>
    <row r="398" spans="1:47" ht="12" customHeight="1" x14ac:dyDescent="0.3">
      <c r="A398" s="87" t="s">
        <v>47</v>
      </c>
      <c r="B398" s="88">
        <v>46104</v>
      </c>
      <c r="C398" s="89" t="s">
        <v>48</v>
      </c>
      <c r="D398" s="89" t="s">
        <v>49</v>
      </c>
      <c r="E398" s="90">
        <v>451830067</v>
      </c>
      <c r="F398" s="184" t="s">
        <v>1340</v>
      </c>
      <c r="G398" s="91">
        <v>36819794487</v>
      </c>
      <c r="H398" s="92">
        <v>18327</v>
      </c>
      <c r="I398" s="89">
        <v>76</v>
      </c>
      <c r="J398" s="89" t="s">
        <v>51</v>
      </c>
      <c r="K398" s="89" t="s">
        <v>52</v>
      </c>
      <c r="L398" s="89" t="s">
        <v>53</v>
      </c>
      <c r="M398" s="89" t="s">
        <v>1293</v>
      </c>
      <c r="N398" s="89" t="s">
        <v>72</v>
      </c>
      <c r="O398" s="93" t="s">
        <v>1341</v>
      </c>
      <c r="P398" s="94" t="s">
        <v>57</v>
      </c>
      <c r="Q398" s="112" t="s">
        <v>58</v>
      </c>
      <c r="R398" s="95">
        <v>46147</v>
      </c>
      <c r="S398" s="96"/>
      <c r="T398" s="96" t="s">
        <v>59</v>
      </c>
      <c r="U398" s="96" t="s">
        <v>60</v>
      </c>
      <c r="V398" s="92">
        <v>46142</v>
      </c>
      <c r="W398" s="92">
        <v>46147</v>
      </c>
      <c r="X398" s="92" t="s">
        <v>61</v>
      </c>
      <c r="Y398" s="97"/>
      <c r="Z398" s="89" t="s">
        <v>62</v>
      </c>
      <c r="AA398" s="96" t="s">
        <v>1342</v>
      </c>
      <c r="AB398" s="89" t="s">
        <v>80</v>
      </c>
      <c r="AC398" s="111"/>
      <c r="AD398" s="89"/>
      <c r="AE398" s="89"/>
      <c r="AF398" s="98"/>
      <c r="AG398" s="98"/>
      <c r="AH398" s="98"/>
      <c r="AI398" s="99" t="s">
        <v>197</v>
      </c>
      <c r="AJ398" s="99" t="s">
        <v>197</v>
      </c>
      <c r="AK398" s="99" t="s">
        <v>67</v>
      </c>
      <c r="AL398" s="45" t="s">
        <v>68</v>
      </c>
      <c r="AM398" s="162" t="str">
        <f t="shared" si="48"/>
        <v>3/2026</v>
      </c>
      <c r="AN398" s="45">
        <f t="shared" si="49"/>
        <v>4</v>
      </c>
      <c r="AO398" s="45" t="str">
        <f t="shared" si="50"/>
        <v>5/2026</v>
      </c>
      <c r="AP398" s="45">
        <f t="shared" si="51"/>
        <v>2</v>
      </c>
      <c r="AQ398" s="45">
        <f t="shared" si="52"/>
        <v>43</v>
      </c>
      <c r="AR398" s="45">
        <f t="shared" si="53"/>
        <v>0</v>
      </c>
      <c r="AS398" s="45">
        <f t="shared" si="54"/>
        <v>5</v>
      </c>
      <c r="AT398" s="45">
        <f t="shared" si="55"/>
        <v>0</v>
      </c>
      <c r="AU398" s="45" t="str">
        <f>_xlfn.XLOOKUP(U398,'Lista Suspensa'!$AA$20:$AA$23,'Lista Suspensa'!$AB$20:$AB$23,"N/A")</f>
        <v>S</v>
      </c>
    </row>
    <row r="399" spans="1:47" ht="12" customHeight="1" x14ac:dyDescent="0.3">
      <c r="A399" s="87" t="s">
        <v>47</v>
      </c>
      <c r="B399" s="88">
        <v>46104</v>
      </c>
      <c r="C399" s="89" t="s">
        <v>48</v>
      </c>
      <c r="D399" s="89" t="s">
        <v>49</v>
      </c>
      <c r="E399" s="90">
        <v>451607457</v>
      </c>
      <c r="F399" s="184" t="s">
        <v>1343</v>
      </c>
      <c r="G399" s="91">
        <v>10702813877</v>
      </c>
      <c r="H399" s="92">
        <v>19361</v>
      </c>
      <c r="I399" s="89">
        <v>73</v>
      </c>
      <c r="J399" s="89" t="s">
        <v>70</v>
      </c>
      <c r="K399" s="89" t="s">
        <v>52</v>
      </c>
      <c r="L399" s="89" t="s">
        <v>53</v>
      </c>
      <c r="M399" s="89" t="s">
        <v>1344</v>
      </c>
      <c r="N399" s="89" t="s">
        <v>72</v>
      </c>
      <c r="O399" s="93" t="s">
        <v>1345</v>
      </c>
      <c r="P399" s="94" t="s">
        <v>57</v>
      </c>
      <c r="Q399" s="112" t="s">
        <v>58</v>
      </c>
      <c r="R399" s="95">
        <v>46140</v>
      </c>
      <c r="S399" s="96"/>
      <c r="T399" s="96" t="s">
        <v>59</v>
      </c>
      <c r="U399" s="96" t="s">
        <v>60</v>
      </c>
      <c r="V399" s="92">
        <v>46140</v>
      </c>
      <c r="W399" s="92" t="s">
        <v>61</v>
      </c>
      <c r="X399" s="92" t="s">
        <v>61</v>
      </c>
      <c r="Y399" s="97"/>
      <c r="Z399" s="89" t="s">
        <v>62</v>
      </c>
      <c r="AA399" s="96" t="s">
        <v>1078</v>
      </c>
      <c r="AB399" s="89" t="s">
        <v>224</v>
      </c>
      <c r="AC399" s="111"/>
      <c r="AD399" s="89"/>
      <c r="AE399" s="89"/>
      <c r="AF399" s="98"/>
      <c r="AG399" s="98"/>
      <c r="AH399" s="98"/>
      <c r="AI399" s="99" t="s">
        <v>67</v>
      </c>
      <c r="AJ399" s="99" t="s">
        <v>67</v>
      </c>
      <c r="AK399" s="99" t="s">
        <v>67</v>
      </c>
      <c r="AL399" s="45" t="s">
        <v>68</v>
      </c>
      <c r="AM399" s="162" t="str">
        <f t="shared" si="48"/>
        <v>3/2026</v>
      </c>
      <c r="AN399" s="45">
        <f t="shared" si="49"/>
        <v>4</v>
      </c>
      <c r="AO399" s="45" t="str">
        <f t="shared" si="50"/>
        <v>4/2026</v>
      </c>
      <c r="AP399" s="45">
        <f t="shared" si="51"/>
        <v>5</v>
      </c>
      <c r="AQ399" s="45">
        <f t="shared" si="52"/>
        <v>36</v>
      </c>
      <c r="AR399" s="45">
        <f t="shared" si="53"/>
        <v>0</v>
      </c>
      <c r="AS399" s="45">
        <f t="shared" si="54"/>
        <v>0</v>
      </c>
      <c r="AT399" s="45">
        <f t="shared" si="55"/>
        <v>0</v>
      </c>
      <c r="AU399" s="45" t="str">
        <f>_xlfn.XLOOKUP(U399,'Lista Suspensa'!$AA$20:$AA$23,'Lista Suspensa'!$AB$20:$AB$23,"N/A")</f>
        <v>S</v>
      </c>
    </row>
    <row r="400" spans="1:47" ht="12" customHeight="1" x14ac:dyDescent="0.3">
      <c r="A400" s="87" t="s">
        <v>47</v>
      </c>
      <c r="B400" s="88">
        <v>46104</v>
      </c>
      <c r="C400" s="89" t="s">
        <v>48</v>
      </c>
      <c r="D400" s="89" t="s">
        <v>49</v>
      </c>
      <c r="E400" s="90">
        <v>451623517</v>
      </c>
      <c r="F400" s="184" t="s">
        <v>1346</v>
      </c>
      <c r="G400" s="91">
        <v>42079713868</v>
      </c>
      <c r="H400" s="92">
        <v>13489</v>
      </c>
      <c r="I400" s="89">
        <v>89</v>
      </c>
      <c r="J400" s="89" t="s">
        <v>51</v>
      </c>
      <c r="K400" s="89" t="s">
        <v>52</v>
      </c>
      <c r="L400" s="89" t="s">
        <v>53</v>
      </c>
      <c r="M400" s="89" t="s">
        <v>946</v>
      </c>
      <c r="N400" s="89" t="s">
        <v>72</v>
      </c>
      <c r="O400" s="93" t="s">
        <v>1347</v>
      </c>
      <c r="P400" s="94" t="s">
        <v>57</v>
      </c>
      <c r="Q400" s="112" t="s">
        <v>58</v>
      </c>
      <c r="R400" s="95">
        <v>46164</v>
      </c>
      <c r="S400" s="96"/>
      <c r="T400" s="96" t="s">
        <v>59</v>
      </c>
      <c r="U400" s="96" t="s">
        <v>60</v>
      </c>
      <c r="V400" s="92">
        <v>46142</v>
      </c>
      <c r="W400" s="92">
        <v>46147</v>
      </c>
      <c r="X400" s="92">
        <v>46154</v>
      </c>
      <c r="Y400" s="97"/>
      <c r="Z400" s="89"/>
      <c r="AA400" s="96"/>
      <c r="AB400" s="89"/>
      <c r="AC400" s="111"/>
      <c r="AD400" s="89"/>
      <c r="AE400" s="89"/>
      <c r="AF400" s="98"/>
      <c r="AG400" s="98"/>
      <c r="AH400" s="98"/>
      <c r="AI400" s="99"/>
      <c r="AJ400" s="99" t="s">
        <v>197</v>
      </c>
      <c r="AK400" s="99" t="s">
        <v>67</v>
      </c>
      <c r="AL400" s="45" t="s">
        <v>68</v>
      </c>
      <c r="AM400" s="162" t="str">
        <f t="shared" si="48"/>
        <v>3/2026</v>
      </c>
      <c r="AN400" s="45">
        <f t="shared" si="49"/>
        <v>4</v>
      </c>
      <c r="AO400" s="45" t="str">
        <f t="shared" si="50"/>
        <v>5/2026</v>
      </c>
      <c r="AP400" s="45">
        <f t="shared" si="51"/>
        <v>4</v>
      </c>
      <c r="AQ400" s="45">
        <f t="shared" si="52"/>
        <v>60</v>
      </c>
      <c r="AR400" s="45">
        <f t="shared" si="53"/>
        <v>0</v>
      </c>
      <c r="AS400" s="45">
        <f t="shared" si="54"/>
        <v>6</v>
      </c>
      <c r="AT400" s="45">
        <f t="shared" si="55"/>
        <v>0</v>
      </c>
      <c r="AU400" s="45" t="str">
        <f>_xlfn.XLOOKUP(U400,'Lista Suspensa'!$AA$20:$AA$23,'Lista Suspensa'!$AB$20:$AB$23,"N/A")</f>
        <v>S</v>
      </c>
    </row>
    <row r="401" spans="1:47" ht="12" customHeight="1" x14ac:dyDescent="0.3">
      <c r="A401" s="87" t="s">
        <v>47</v>
      </c>
      <c r="B401" s="88">
        <v>46104</v>
      </c>
      <c r="C401" s="89" t="s">
        <v>48</v>
      </c>
      <c r="D401" s="89" t="s">
        <v>49</v>
      </c>
      <c r="E401" s="193">
        <v>451849175</v>
      </c>
      <c r="F401" s="184" t="s">
        <v>1348</v>
      </c>
      <c r="G401" s="91">
        <v>52224910800</v>
      </c>
      <c r="H401" s="92">
        <v>18035</v>
      </c>
      <c r="I401" s="89">
        <v>76</v>
      </c>
      <c r="J401" s="89" t="s">
        <v>51</v>
      </c>
      <c r="K401" s="89" t="s">
        <v>52</v>
      </c>
      <c r="L401" s="89" t="s">
        <v>53</v>
      </c>
      <c r="M401" s="89" t="s">
        <v>1349</v>
      </c>
      <c r="N401" s="89" t="s">
        <v>72</v>
      </c>
      <c r="O401" s="93" t="s">
        <v>1350</v>
      </c>
      <c r="P401" s="94" t="s">
        <v>57</v>
      </c>
      <c r="Q401" s="112" t="s">
        <v>58</v>
      </c>
      <c r="R401" s="95">
        <v>46163</v>
      </c>
      <c r="S401" s="96"/>
      <c r="T401" s="96" t="s">
        <v>59</v>
      </c>
      <c r="U401" s="96" t="s">
        <v>60</v>
      </c>
      <c r="V401" s="92">
        <v>46142</v>
      </c>
      <c r="W401" s="92">
        <v>46147</v>
      </c>
      <c r="X401" s="92">
        <v>46154</v>
      </c>
      <c r="Y401" s="97"/>
      <c r="Z401" s="89" t="s">
        <v>62</v>
      </c>
      <c r="AA401" s="96">
        <v>46171</v>
      </c>
      <c r="AB401" s="89" t="s">
        <v>80</v>
      </c>
      <c r="AC401" s="111"/>
      <c r="AD401" s="89"/>
      <c r="AE401" s="89"/>
      <c r="AF401" s="98"/>
      <c r="AG401" s="98"/>
      <c r="AH401" s="98"/>
      <c r="AI401" s="99"/>
      <c r="AJ401" s="99" t="s">
        <v>197</v>
      </c>
      <c r="AK401" s="99" t="s">
        <v>67</v>
      </c>
      <c r="AL401" s="45" t="s">
        <v>68</v>
      </c>
      <c r="AM401" s="162" t="str">
        <f t="shared" si="48"/>
        <v>3/2026</v>
      </c>
      <c r="AN401" s="45">
        <f t="shared" si="49"/>
        <v>4</v>
      </c>
      <c r="AO401" s="45" t="str">
        <f t="shared" si="50"/>
        <v>5/2026</v>
      </c>
      <c r="AP401" s="45">
        <f t="shared" si="51"/>
        <v>4</v>
      </c>
      <c r="AQ401" s="45">
        <f t="shared" si="52"/>
        <v>59</v>
      </c>
      <c r="AR401" s="45">
        <f t="shared" si="53"/>
        <v>0</v>
      </c>
      <c r="AS401" s="45">
        <f t="shared" si="54"/>
        <v>6</v>
      </c>
      <c r="AT401" s="45">
        <f t="shared" si="55"/>
        <v>0</v>
      </c>
      <c r="AU401" s="45" t="str">
        <f>_xlfn.XLOOKUP(U401,'Lista Suspensa'!$AA$20:$AA$23,'Lista Suspensa'!$AB$20:$AB$23,"N/A")</f>
        <v>S</v>
      </c>
    </row>
    <row r="402" spans="1:47" ht="12" customHeight="1" x14ac:dyDescent="0.3">
      <c r="A402" s="87" t="s">
        <v>47</v>
      </c>
      <c r="B402" s="88">
        <v>46104</v>
      </c>
      <c r="C402" s="89" t="s">
        <v>48</v>
      </c>
      <c r="D402" s="89" t="s">
        <v>49</v>
      </c>
      <c r="E402" s="90">
        <v>451737539</v>
      </c>
      <c r="F402" s="184" t="s">
        <v>1351</v>
      </c>
      <c r="G402" s="91">
        <v>27118512818</v>
      </c>
      <c r="H402" s="92">
        <v>16034</v>
      </c>
      <c r="I402" s="89">
        <v>82</v>
      </c>
      <c r="J402" s="89" t="s">
        <v>70</v>
      </c>
      <c r="K402" s="89" t="s">
        <v>52</v>
      </c>
      <c r="L402" s="89" t="s">
        <v>53</v>
      </c>
      <c r="M402" s="89" t="s">
        <v>1154</v>
      </c>
      <c r="N402" s="89" t="s">
        <v>72</v>
      </c>
      <c r="O402" s="93" t="s">
        <v>1352</v>
      </c>
      <c r="P402" s="94" t="s">
        <v>57</v>
      </c>
      <c r="Q402" s="112" t="s">
        <v>58</v>
      </c>
      <c r="R402" s="95">
        <v>46140</v>
      </c>
      <c r="S402" s="96"/>
      <c r="T402" s="96" t="s">
        <v>59</v>
      </c>
      <c r="U402" s="96" t="s">
        <v>60</v>
      </c>
      <c r="V402" s="92">
        <v>46140</v>
      </c>
      <c r="W402" s="92" t="s">
        <v>61</v>
      </c>
      <c r="X402" s="92" t="s">
        <v>61</v>
      </c>
      <c r="Y402" s="97"/>
      <c r="Z402" s="89" t="s">
        <v>62</v>
      </c>
      <c r="AA402" s="96" t="s">
        <v>1353</v>
      </c>
      <c r="AB402" s="89" t="s">
        <v>80</v>
      </c>
      <c r="AC402" s="111"/>
      <c r="AD402" s="89"/>
      <c r="AE402" s="89"/>
      <c r="AF402" s="98"/>
      <c r="AG402" s="98"/>
      <c r="AH402" s="98"/>
      <c r="AI402" s="99" t="s">
        <v>67</v>
      </c>
      <c r="AJ402" s="99" t="s">
        <v>67</v>
      </c>
      <c r="AK402" s="99" t="s">
        <v>67</v>
      </c>
      <c r="AL402" s="45" t="s">
        <v>68</v>
      </c>
      <c r="AM402" s="162" t="str">
        <f t="shared" si="48"/>
        <v>3/2026</v>
      </c>
      <c r="AN402" s="45">
        <f t="shared" si="49"/>
        <v>4</v>
      </c>
      <c r="AO402" s="45" t="str">
        <f t="shared" si="50"/>
        <v>4/2026</v>
      </c>
      <c r="AP402" s="45">
        <f t="shared" si="51"/>
        <v>5</v>
      </c>
      <c r="AQ402" s="45">
        <f t="shared" si="52"/>
        <v>36</v>
      </c>
      <c r="AR402" s="45">
        <f t="shared" si="53"/>
        <v>0</v>
      </c>
      <c r="AS402" s="45">
        <f t="shared" si="54"/>
        <v>0</v>
      </c>
      <c r="AT402" s="45">
        <f t="shared" si="55"/>
        <v>0</v>
      </c>
      <c r="AU402" s="45" t="str">
        <f>_xlfn.XLOOKUP(U402,'Lista Suspensa'!$AA$20:$AA$23,'Lista Suspensa'!$AB$20:$AB$23,"N/A")</f>
        <v>S</v>
      </c>
    </row>
    <row r="403" spans="1:47" ht="12" customHeight="1" x14ac:dyDescent="0.3">
      <c r="A403" s="87" t="s">
        <v>47</v>
      </c>
      <c r="B403" s="88">
        <v>46104</v>
      </c>
      <c r="C403" s="89" t="s">
        <v>48</v>
      </c>
      <c r="D403" s="89" t="s">
        <v>49</v>
      </c>
      <c r="E403" s="90">
        <v>451581121</v>
      </c>
      <c r="F403" s="184" t="s">
        <v>1354</v>
      </c>
      <c r="G403" s="91">
        <v>60639288804</v>
      </c>
      <c r="H403" s="92">
        <v>12521</v>
      </c>
      <c r="I403" s="89">
        <v>91</v>
      </c>
      <c r="J403" s="89" t="s">
        <v>70</v>
      </c>
      <c r="K403" s="89" t="s">
        <v>52</v>
      </c>
      <c r="L403" s="89" t="s">
        <v>53</v>
      </c>
      <c r="M403" s="89" t="s">
        <v>1355</v>
      </c>
      <c r="N403" s="89" t="s">
        <v>72</v>
      </c>
      <c r="O403" s="93" t="s">
        <v>1356</v>
      </c>
      <c r="P403" s="94" t="s">
        <v>57</v>
      </c>
      <c r="Q403" s="112" t="s">
        <v>58</v>
      </c>
      <c r="R403" s="95">
        <v>46153</v>
      </c>
      <c r="S403" s="96"/>
      <c r="T403" s="96" t="s">
        <v>59</v>
      </c>
      <c r="U403" s="96" t="s">
        <v>60</v>
      </c>
      <c r="V403" s="92">
        <v>46142</v>
      </c>
      <c r="W403" s="92">
        <v>46154</v>
      </c>
      <c r="X403" s="92" t="s">
        <v>61</v>
      </c>
      <c r="Y403" s="97"/>
      <c r="Z403" s="89" t="s">
        <v>62</v>
      </c>
      <c r="AA403" s="96">
        <v>46163.666666666664</v>
      </c>
      <c r="AB403" s="89" t="s">
        <v>80</v>
      </c>
      <c r="AC403" s="111"/>
      <c r="AD403" s="89"/>
      <c r="AE403" s="89"/>
      <c r="AF403" s="98"/>
      <c r="AG403" s="98"/>
      <c r="AH403" s="98"/>
      <c r="AI403" s="99" t="s">
        <v>197</v>
      </c>
      <c r="AJ403" s="99" t="s">
        <v>197</v>
      </c>
      <c r="AK403" s="99" t="s">
        <v>67</v>
      </c>
      <c r="AL403" s="45" t="s">
        <v>68</v>
      </c>
      <c r="AM403" s="162" t="str">
        <f t="shared" si="48"/>
        <v>3/2026</v>
      </c>
      <c r="AN403" s="45">
        <f t="shared" si="49"/>
        <v>4</v>
      </c>
      <c r="AO403" s="45" t="str">
        <f t="shared" si="50"/>
        <v>5/2026</v>
      </c>
      <c r="AP403" s="45">
        <f t="shared" si="51"/>
        <v>3</v>
      </c>
      <c r="AQ403" s="45">
        <f t="shared" si="52"/>
        <v>49</v>
      </c>
      <c r="AR403" s="45">
        <f t="shared" si="53"/>
        <v>0</v>
      </c>
      <c r="AS403" s="45">
        <f t="shared" si="54"/>
        <v>12</v>
      </c>
      <c r="AT403" s="45">
        <f t="shared" si="55"/>
        <v>0</v>
      </c>
      <c r="AU403" s="45" t="str">
        <f>_xlfn.XLOOKUP(U403,'Lista Suspensa'!$AA$20:$AA$23,'Lista Suspensa'!$AB$20:$AB$23,"N/A")</f>
        <v>S</v>
      </c>
    </row>
    <row r="404" spans="1:47" ht="12" customHeight="1" x14ac:dyDescent="0.3">
      <c r="A404" s="87" t="s">
        <v>47</v>
      </c>
      <c r="B404" s="88">
        <v>46104</v>
      </c>
      <c r="C404" s="89" t="s">
        <v>48</v>
      </c>
      <c r="D404" s="89" t="s">
        <v>49</v>
      </c>
      <c r="E404" s="90">
        <v>452024404</v>
      </c>
      <c r="F404" s="184" t="s">
        <v>1357</v>
      </c>
      <c r="G404" s="91">
        <v>60802162800</v>
      </c>
      <c r="H404" s="92">
        <v>18917</v>
      </c>
      <c r="I404" s="89">
        <v>74</v>
      </c>
      <c r="J404" s="89" t="s">
        <v>51</v>
      </c>
      <c r="K404" s="89" t="s">
        <v>52</v>
      </c>
      <c r="L404" s="89" t="s">
        <v>53</v>
      </c>
      <c r="M404" s="89" t="s">
        <v>1358</v>
      </c>
      <c r="N404" s="89" t="s">
        <v>72</v>
      </c>
      <c r="O404" s="93" t="s">
        <v>1359</v>
      </c>
      <c r="P404" s="94" t="s">
        <v>57</v>
      </c>
      <c r="Q404" s="112" t="s">
        <v>58</v>
      </c>
      <c r="R404" s="95">
        <v>46164</v>
      </c>
      <c r="S404" s="96"/>
      <c r="T404" s="96" t="s">
        <v>59</v>
      </c>
      <c r="U404" s="96" t="s">
        <v>60</v>
      </c>
      <c r="V404" s="92">
        <v>46142</v>
      </c>
      <c r="W404" s="92">
        <v>46154</v>
      </c>
      <c r="X404" s="92">
        <v>46160</v>
      </c>
      <c r="Y404" s="97"/>
      <c r="Z404" s="89"/>
      <c r="AA404" s="96"/>
      <c r="AB404" s="89"/>
      <c r="AC404" s="111"/>
      <c r="AD404" s="89"/>
      <c r="AE404" s="89"/>
      <c r="AF404" s="98"/>
      <c r="AG404" s="98"/>
      <c r="AH404" s="98"/>
      <c r="AI404" s="99"/>
      <c r="AJ404" s="99" t="s">
        <v>197</v>
      </c>
      <c r="AK404" s="99" t="s">
        <v>67</v>
      </c>
      <c r="AL404" s="45" t="s">
        <v>68</v>
      </c>
      <c r="AM404" s="162" t="str">
        <f t="shared" si="48"/>
        <v>3/2026</v>
      </c>
      <c r="AN404" s="45">
        <f t="shared" si="49"/>
        <v>4</v>
      </c>
      <c r="AO404" s="45" t="str">
        <f t="shared" si="50"/>
        <v>5/2026</v>
      </c>
      <c r="AP404" s="45">
        <f t="shared" si="51"/>
        <v>4</v>
      </c>
      <c r="AQ404" s="45">
        <f t="shared" si="52"/>
        <v>60</v>
      </c>
      <c r="AR404" s="45">
        <f t="shared" si="53"/>
        <v>0</v>
      </c>
      <c r="AS404" s="45">
        <f t="shared" si="54"/>
        <v>9</v>
      </c>
      <c r="AT404" s="45">
        <f t="shared" si="55"/>
        <v>0</v>
      </c>
      <c r="AU404" s="45" t="str">
        <f>_xlfn.XLOOKUP(U404,'Lista Suspensa'!$AA$20:$AA$23,'Lista Suspensa'!$AB$20:$AB$23,"N/A")</f>
        <v>S</v>
      </c>
    </row>
    <row r="405" spans="1:47" ht="12" customHeight="1" x14ac:dyDescent="0.3">
      <c r="A405" s="87" t="s">
        <v>47</v>
      </c>
      <c r="B405" s="88">
        <v>46104</v>
      </c>
      <c r="C405" s="89" t="s">
        <v>48</v>
      </c>
      <c r="D405" s="89" t="s">
        <v>49</v>
      </c>
      <c r="E405" s="90">
        <v>452008204</v>
      </c>
      <c r="F405" s="184" t="s">
        <v>1360</v>
      </c>
      <c r="G405" s="91">
        <v>89992229853</v>
      </c>
      <c r="H405" s="92">
        <v>20876</v>
      </c>
      <c r="I405" s="89">
        <v>69</v>
      </c>
      <c r="J405" s="89" t="s">
        <v>70</v>
      </c>
      <c r="K405" s="89" t="s">
        <v>52</v>
      </c>
      <c r="L405" s="89" t="s">
        <v>53</v>
      </c>
      <c r="M405" s="89" t="s">
        <v>1011</v>
      </c>
      <c r="N405" s="89" t="s">
        <v>72</v>
      </c>
      <c r="O405" s="93" t="s">
        <v>1361</v>
      </c>
      <c r="P405" s="94" t="s">
        <v>57</v>
      </c>
      <c r="Q405" s="112" t="s">
        <v>58</v>
      </c>
      <c r="R405" s="95">
        <v>46140</v>
      </c>
      <c r="S405" s="96"/>
      <c r="T405" s="96" t="s">
        <v>59</v>
      </c>
      <c r="U405" s="96" t="s">
        <v>60</v>
      </c>
      <c r="V405" s="92">
        <v>46140</v>
      </c>
      <c r="W405" s="92" t="s">
        <v>61</v>
      </c>
      <c r="X405" s="92" t="s">
        <v>61</v>
      </c>
      <c r="Y405" s="97"/>
      <c r="Z405" s="89" t="s">
        <v>62</v>
      </c>
      <c r="AA405" s="96" t="s">
        <v>842</v>
      </c>
      <c r="AB405" s="89" t="s">
        <v>80</v>
      </c>
      <c r="AC405" s="111"/>
      <c r="AD405" s="89"/>
      <c r="AE405" s="89"/>
      <c r="AF405" s="98"/>
      <c r="AG405" s="98"/>
      <c r="AH405" s="98"/>
      <c r="AI405" s="99" t="s">
        <v>67</v>
      </c>
      <c r="AJ405" s="99" t="s">
        <v>67</v>
      </c>
      <c r="AK405" s="99" t="s">
        <v>67</v>
      </c>
      <c r="AL405" s="45" t="s">
        <v>68</v>
      </c>
      <c r="AM405" s="162" t="str">
        <f t="shared" si="48"/>
        <v>3/2026</v>
      </c>
      <c r="AN405" s="45">
        <f t="shared" si="49"/>
        <v>4</v>
      </c>
      <c r="AO405" s="45" t="str">
        <f t="shared" si="50"/>
        <v>4/2026</v>
      </c>
      <c r="AP405" s="45">
        <f t="shared" si="51"/>
        <v>5</v>
      </c>
      <c r="AQ405" s="45">
        <f t="shared" si="52"/>
        <v>36</v>
      </c>
      <c r="AR405" s="45">
        <f t="shared" si="53"/>
        <v>0</v>
      </c>
      <c r="AS405" s="45">
        <f t="shared" si="54"/>
        <v>0</v>
      </c>
      <c r="AT405" s="45">
        <f t="shared" si="55"/>
        <v>0</v>
      </c>
      <c r="AU405" s="45" t="str">
        <f>_xlfn.XLOOKUP(U405,'Lista Suspensa'!$AA$20:$AA$23,'Lista Suspensa'!$AB$20:$AB$23,"N/A")</f>
        <v>S</v>
      </c>
    </row>
    <row r="406" spans="1:47" ht="12" customHeight="1" x14ac:dyDescent="0.3">
      <c r="A406" s="87" t="s">
        <v>47</v>
      </c>
      <c r="B406" s="88">
        <v>46104</v>
      </c>
      <c r="C406" s="89" t="s">
        <v>48</v>
      </c>
      <c r="D406" s="89" t="s">
        <v>49</v>
      </c>
      <c r="E406" s="90">
        <v>451838130</v>
      </c>
      <c r="F406" s="184" t="s">
        <v>1362</v>
      </c>
      <c r="G406" s="91">
        <v>29117262860</v>
      </c>
      <c r="H406" s="92">
        <v>16809</v>
      </c>
      <c r="I406" s="89">
        <v>80</v>
      </c>
      <c r="J406" s="89" t="s">
        <v>70</v>
      </c>
      <c r="K406" s="89" t="s">
        <v>52</v>
      </c>
      <c r="L406" s="89" t="s">
        <v>53</v>
      </c>
      <c r="M406" s="89" t="s">
        <v>1363</v>
      </c>
      <c r="N406" s="89" t="s">
        <v>72</v>
      </c>
      <c r="O406" s="93" t="s">
        <v>1364</v>
      </c>
      <c r="P406" s="94" t="s">
        <v>57</v>
      </c>
      <c r="Q406" s="112" t="s">
        <v>58</v>
      </c>
      <c r="R406" s="95">
        <v>46140</v>
      </c>
      <c r="S406" s="96"/>
      <c r="T406" s="96" t="s">
        <v>59</v>
      </c>
      <c r="U406" s="96" t="s">
        <v>60</v>
      </c>
      <c r="V406" s="92">
        <v>46140</v>
      </c>
      <c r="W406" s="92" t="s">
        <v>61</v>
      </c>
      <c r="X406" s="92" t="s">
        <v>61</v>
      </c>
      <c r="Y406" s="97"/>
      <c r="Z406" s="89" t="s">
        <v>62</v>
      </c>
      <c r="AA406" s="96">
        <v>46141.625</v>
      </c>
      <c r="AB406" s="89" t="s">
        <v>80</v>
      </c>
      <c r="AC406" s="111"/>
      <c r="AD406" s="89"/>
      <c r="AE406" s="89"/>
      <c r="AF406" s="98"/>
      <c r="AG406" s="98"/>
      <c r="AH406" s="98"/>
      <c r="AI406" s="99" t="s">
        <v>67</v>
      </c>
      <c r="AJ406" s="99" t="s">
        <v>67</v>
      </c>
      <c r="AK406" s="99" t="s">
        <v>67</v>
      </c>
      <c r="AL406" s="45" t="s">
        <v>68</v>
      </c>
      <c r="AM406" s="162" t="str">
        <f t="shared" si="48"/>
        <v>3/2026</v>
      </c>
      <c r="AN406" s="45">
        <f t="shared" si="49"/>
        <v>4</v>
      </c>
      <c r="AO406" s="45" t="str">
        <f t="shared" si="50"/>
        <v>4/2026</v>
      </c>
      <c r="AP406" s="45">
        <f t="shared" si="51"/>
        <v>5</v>
      </c>
      <c r="AQ406" s="45">
        <f t="shared" si="52"/>
        <v>36</v>
      </c>
      <c r="AR406" s="45">
        <f t="shared" si="53"/>
        <v>0</v>
      </c>
      <c r="AS406" s="45">
        <f t="shared" si="54"/>
        <v>0</v>
      </c>
      <c r="AT406" s="45">
        <f t="shared" si="55"/>
        <v>0</v>
      </c>
      <c r="AU406" s="45" t="str">
        <f>_xlfn.XLOOKUP(U406,'Lista Suspensa'!$AA$20:$AA$23,'Lista Suspensa'!$AB$20:$AB$23,"N/A")</f>
        <v>S</v>
      </c>
    </row>
    <row r="407" spans="1:47" ht="12" customHeight="1" x14ac:dyDescent="0.3">
      <c r="A407" s="87" t="s">
        <v>47</v>
      </c>
      <c r="B407" s="88">
        <v>46104</v>
      </c>
      <c r="C407" s="89" t="s">
        <v>48</v>
      </c>
      <c r="D407" s="89" t="s">
        <v>49</v>
      </c>
      <c r="E407" s="90">
        <v>451754751</v>
      </c>
      <c r="F407" s="184" t="s">
        <v>1365</v>
      </c>
      <c r="G407" s="91">
        <v>17623276867</v>
      </c>
      <c r="H407" s="92">
        <v>12363</v>
      </c>
      <c r="I407" s="89">
        <v>92</v>
      </c>
      <c r="J407" s="89" t="s">
        <v>70</v>
      </c>
      <c r="K407" s="89" t="s">
        <v>52</v>
      </c>
      <c r="L407" s="89" t="s">
        <v>53</v>
      </c>
      <c r="M407" s="89" t="s">
        <v>1366</v>
      </c>
      <c r="N407" s="89" t="s">
        <v>72</v>
      </c>
      <c r="O407" s="93" t="s">
        <v>1367</v>
      </c>
      <c r="P407" s="94" t="s">
        <v>57</v>
      </c>
      <c r="Q407" s="112" t="s">
        <v>58</v>
      </c>
      <c r="R407" s="95">
        <v>46153</v>
      </c>
      <c r="S407" s="96"/>
      <c r="T407" s="96" t="s">
        <v>59</v>
      </c>
      <c r="U407" s="96" t="s">
        <v>60</v>
      </c>
      <c r="V407" s="92">
        <v>46142</v>
      </c>
      <c r="W407" s="92">
        <v>46154</v>
      </c>
      <c r="X407" s="92" t="s">
        <v>61</v>
      </c>
      <c r="Y407" s="97"/>
      <c r="Z407" s="89" t="s">
        <v>62</v>
      </c>
      <c r="AA407" s="96" t="s">
        <v>1368</v>
      </c>
      <c r="AB407" s="89" t="s">
        <v>80</v>
      </c>
      <c r="AC407" s="111"/>
      <c r="AD407" s="89"/>
      <c r="AE407" s="89"/>
      <c r="AF407" s="98"/>
      <c r="AG407" s="98"/>
      <c r="AH407" s="98"/>
      <c r="AI407" s="99" t="s">
        <v>197</v>
      </c>
      <c r="AJ407" s="99" t="s">
        <v>197</v>
      </c>
      <c r="AK407" s="99" t="s">
        <v>67</v>
      </c>
      <c r="AL407" s="45" t="s">
        <v>68</v>
      </c>
      <c r="AM407" s="162" t="str">
        <f t="shared" si="48"/>
        <v>3/2026</v>
      </c>
      <c r="AN407" s="45">
        <f t="shared" si="49"/>
        <v>4</v>
      </c>
      <c r="AO407" s="45" t="str">
        <f t="shared" si="50"/>
        <v>5/2026</v>
      </c>
      <c r="AP407" s="45">
        <f t="shared" si="51"/>
        <v>3</v>
      </c>
      <c r="AQ407" s="45">
        <f t="shared" si="52"/>
        <v>49</v>
      </c>
      <c r="AR407" s="45">
        <f t="shared" si="53"/>
        <v>0</v>
      </c>
      <c r="AS407" s="45">
        <f t="shared" si="54"/>
        <v>12</v>
      </c>
      <c r="AT407" s="45">
        <f t="shared" si="55"/>
        <v>0</v>
      </c>
      <c r="AU407" s="45" t="str">
        <f>_xlfn.XLOOKUP(U407,'Lista Suspensa'!$AA$20:$AA$23,'Lista Suspensa'!$AB$20:$AB$23,"N/A")</f>
        <v>S</v>
      </c>
    </row>
    <row r="408" spans="1:47" ht="12" customHeight="1" x14ac:dyDescent="0.3">
      <c r="A408" s="87" t="s">
        <v>47</v>
      </c>
      <c r="B408" s="88">
        <v>46104</v>
      </c>
      <c r="C408" s="89" t="s">
        <v>48</v>
      </c>
      <c r="D408" s="89" t="s">
        <v>49</v>
      </c>
      <c r="E408" s="90">
        <v>451646509</v>
      </c>
      <c r="F408" s="184" t="s">
        <v>1369</v>
      </c>
      <c r="G408" s="91">
        <v>12818130875</v>
      </c>
      <c r="H408" s="92">
        <v>24217</v>
      </c>
      <c r="I408" s="89">
        <v>59</v>
      </c>
      <c r="J408" s="89" t="s">
        <v>70</v>
      </c>
      <c r="K408" s="89" t="s">
        <v>52</v>
      </c>
      <c r="L408" s="89" t="s">
        <v>53</v>
      </c>
      <c r="M408" s="89" t="s">
        <v>1370</v>
      </c>
      <c r="N408" s="89" t="s">
        <v>72</v>
      </c>
      <c r="O408" s="93" t="s">
        <v>1371</v>
      </c>
      <c r="P408" s="94" t="s">
        <v>57</v>
      </c>
      <c r="Q408" s="112" t="s">
        <v>58</v>
      </c>
      <c r="R408" s="95">
        <v>46140</v>
      </c>
      <c r="S408" s="96"/>
      <c r="T408" s="96" t="s">
        <v>59</v>
      </c>
      <c r="U408" s="96" t="s">
        <v>60</v>
      </c>
      <c r="V408" s="92">
        <v>46140</v>
      </c>
      <c r="W408" s="92" t="s">
        <v>61</v>
      </c>
      <c r="X408" s="92" t="s">
        <v>61</v>
      </c>
      <c r="Y408" s="97"/>
      <c r="Z408" s="89" t="s">
        <v>62</v>
      </c>
      <c r="AA408" s="96" t="s">
        <v>1372</v>
      </c>
      <c r="AB408" s="89" t="s">
        <v>80</v>
      </c>
      <c r="AC408" s="111"/>
      <c r="AD408" s="89"/>
      <c r="AE408" s="89"/>
      <c r="AF408" s="98"/>
      <c r="AG408" s="98"/>
      <c r="AH408" s="98"/>
      <c r="AI408" s="99" t="s">
        <v>67</v>
      </c>
      <c r="AJ408" s="99" t="s">
        <v>67</v>
      </c>
      <c r="AK408" s="99" t="s">
        <v>67</v>
      </c>
      <c r="AL408" s="45" t="s">
        <v>68</v>
      </c>
      <c r="AM408" s="162" t="str">
        <f t="shared" si="48"/>
        <v>3/2026</v>
      </c>
      <c r="AN408" s="45">
        <f t="shared" si="49"/>
        <v>4</v>
      </c>
      <c r="AO408" s="45" t="str">
        <f t="shared" si="50"/>
        <v>4/2026</v>
      </c>
      <c r="AP408" s="45">
        <f t="shared" si="51"/>
        <v>5</v>
      </c>
      <c r="AQ408" s="45">
        <f t="shared" si="52"/>
        <v>36</v>
      </c>
      <c r="AR408" s="45">
        <f t="shared" si="53"/>
        <v>0</v>
      </c>
      <c r="AS408" s="45">
        <f t="shared" si="54"/>
        <v>0</v>
      </c>
      <c r="AT408" s="45">
        <f t="shared" si="55"/>
        <v>0</v>
      </c>
      <c r="AU408" s="45" t="str">
        <f>_xlfn.XLOOKUP(U408,'Lista Suspensa'!$AA$20:$AA$23,'Lista Suspensa'!$AB$20:$AB$23,"N/A")</f>
        <v>S</v>
      </c>
    </row>
    <row r="409" spans="1:47" ht="12" customHeight="1" x14ac:dyDescent="0.3">
      <c r="A409" s="87" t="s">
        <v>47</v>
      </c>
      <c r="B409" s="88">
        <v>46104</v>
      </c>
      <c r="C409" s="89" t="s">
        <v>48</v>
      </c>
      <c r="D409" s="89" t="s">
        <v>49</v>
      </c>
      <c r="E409" s="90">
        <v>451666127</v>
      </c>
      <c r="F409" s="184" t="s">
        <v>1373</v>
      </c>
      <c r="G409" s="91">
        <v>4060574864</v>
      </c>
      <c r="H409" s="92">
        <v>19393</v>
      </c>
      <c r="I409" s="89">
        <v>73</v>
      </c>
      <c r="J409" s="89" t="s">
        <v>70</v>
      </c>
      <c r="K409" s="89" t="s">
        <v>52</v>
      </c>
      <c r="L409" s="89" t="s">
        <v>53</v>
      </c>
      <c r="M409" s="89" t="s">
        <v>1374</v>
      </c>
      <c r="N409" s="89" t="s">
        <v>72</v>
      </c>
      <c r="O409" s="93" t="s">
        <v>1375</v>
      </c>
      <c r="P409" s="94" t="s">
        <v>57</v>
      </c>
      <c r="Q409" s="112" t="s">
        <v>58</v>
      </c>
      <c r="R409" s="95">
        <v>46140</v>
      </c>
      <c r="S409" s="96"/>
      <c r="T409" s="96" t="s">
        <v>59</v>
      </c>
      <c r="U409" s="96" t="s">
        <v>60</v>
      </c>
      <c r="V409" s="92">
        <v>46140</v>
      </c>
      <c r="W409" s="92" t="s">
        <v>61</v>
      </c>
      <c r="X409" s="92" t="s">
        <v>61</v>
      </c>
      <c r="Y409" s="97"/>
      <c r="Z409" s="89" t="s">
        <v>62</v>
      </c>
      <c r="AA409" s="96">
        <v>46172.513888888891</v>
      </c>
      <c r="AB409" s="89" t="s">
        <v>63</v>
      </c>
      <c r="AC409" s="111"/>
      <c r="AD409" s="89"/>
      <c r="AE409" s="89"/>
      <c r="AF409" s="98"/>
      <c r="AG409" s="98"/>
      <c r="AH409" s="98"/>
      <c r="AI409" s="99" t="s">
        <v>67</v>
      </c>
      <c r="AJ409" s="99" t="s">
        <v>67</v>
      </c>
      <c r="AK409" s="99" t="s">
        <v>67</v>
      </c>
      <c r="AL409" s="45" t="s">
        <v>68</v>
      </c>
      <c r="AM409" s="162" t="str">
        <f t="shared" si="48"/>
        <v>3/2026</v>
      </c>
      <c r="AN409" s="45">
        <f t="shared" si="49"/>
        <v>4</v>
      </c>
      <c r="AO409" s="45" t="str">
        <f t="shared" si="50"/>
        <v>4/2026</v>
      </c>
      <c r="AP409" s="45">
        <f t="shared" si="51"/>
        <v>5</v>
      </c>
      <c r="AQ409" s="45">
        <f t="shared" si="52"/>
        <v>36</v>
      </c>
      <c r="AR409" s="45">
        <f t="shared" si="53"/>
        <v>0</v>
      </c>
      <c r="AS409" s="45">
        <f t="shared" si="54"/>
        <v>0</v>
      </c>
      <c r="AT409" s="45">
        <f t="shared" si="55"/>
        <v>32.513888888890506</v>
      </c>
      <c r="AU409" s="45" t="str">
        <f>_xlfn.XLOOKUP(U409,'Lista Suspensa'!$AA$20:$AA$23,'Lista Suspensa'!$AB$20:$AB$23,"N/A")</f>
        <v>S</v>
      </c>
    </row>
    <row r="410" spans="1:47" ht="12" customHeight="1" x14ac:dyDescent="0.3">
      <c r="A410" s="87" t="s">
        <v>47</v>
      </c>
      <c r="B410" s="88">
        <v>46104</v>
      </c>
      <c r="C410" s="89" t="s">
        <v>48</v>
      </c>
      <c r="D410" s="89" t="s">
        <v>49</v>
      </c>
      <c r="E410" s="90">
        <v>484997580</v>
      </c>
      <c r="F410" s="184" t="s">
        <v>1376</v>
      </c>
      <c r="G410" s="91">
        <v>40837807700</v>
      </c>
      <c r="H410" s="92">
        <v>19204</v>
      </c>
      <c r="I410" s="89">
        <v>73</v>
      </c>
      <c r="J410" s="89" t="s">
        <v>51</v>
      </c>
      <c r="K410" s="89" t="s">
        <v>88</v>
      </c>
      <c r="L410" s="89" t="s">
        <v>89</v>
      </c>
      <c r="M410" s="89" t="s">
        <v>892</v>
      </c>
      <c r="N410" s="89" t="s">
        <v>72</v>
      </c>
      <c r="O410" s="93" t="s">
        <v>1377</v>
      </c>
      <c r="P410" s="94" t="s">
        <v>57</v>
      </c>
      <c r="Q410" s="112" t="s">
        <v>58</v>
      </c>
      <c r="R410" s="95">
        <v>46140</v>
      </c>
      <c r="S410" s="96"/>
      <c r="T410" s="96" t="s">
        <v>59</v>
      </c>
      <c r="U410" s="96" t="s">
        <v>60</v>
      </c>
      <c r="V410" s="92">
        <v>46140</v>
      </c>
      <c r="W410" s="92">
        <v>46146</v>
      </c>
      <c r="X410" s="92" t="s">
        <v>61</v>
      </c>
      <c r="Y410" s="97"/>
      <c r="Z410" s="89" t="s">
        <v>62</v>
      </c>
      <c r="AA410" s="96" t="s">
        <v>1378</v>
      </c>
      <c r="AB410" s="89" t="s">
        <v>63</v>
      </c>
      <c r="AC410" s="111">
        <v>46164.652777777781</v>
      </c>
      <c r="AD410" s="89"/>
      <c r="AE410" s="89"/>
      <c r="AF410" s="98"/>
      <c r="AG410" s="98"/>
      <c r="AH410" s="98"/>
      <c r="AI410" s="99" t="s">
        <v>67</v>
      </c>
      <c r="AJ410" s="99" t="s">
        <v>67</v>
      </c>
      <c r="AK410" s="99" t="s">
        <v>67</v>
      </c>
      <c r="AL410" s="45" t="s">
        <v>68</v>
      </c>
      <c r="AM410" s="162" t="str">
        <f t="shared" si="48"/>
        <v>3/2026</v>
      </c>
      <c r="AN410" s="45">
        <f t="shared" si="49"/>
        <v>4</v>
      </c>
      <c r="AO410" s="45" t="str">
        <f t="shared" si="50"/>
        <v>4/2026</v>
      </c>
      <c r="AP410" s="45">
        <f t="shared" si="51"/>
        <v>5</v>
      </c>
      <c r="AQ410" s="45">
        <f t="shared" si="52"/>
        <v>36</v>
      </c>
      <c r="AR410" s="45">
        <f t="shared" si="53"/>
        <v>0</v>
      </c>
      <c r="AS410" s="45">
        <f t="shared" si="54"/>
        <v>6</v>
      </c>
      <c r="AT410" s="45">
        <f t="shared" si="55"/>
        <v>6.5</v>
      </c>
      <c r="AU410" s="45" t="str">
        <f>_xlfn.XLOOKUP(U410,'Lista Suspensa'!$AA$20:$AA$23,'Lista Suspensa'!$AB$20:$AB$23,"N/A")</f>
        <v>S</v>
      </c>
    </row>
    <row r="411" spans="1:47" ht="12" customHeight="1" x14ac:dyDescent="0.3">
      <c r="A411" s="87" t="s">
        <v>47</v>
      </c>
      <c r="B411" s="88">
        <v>46104</v>
      </c>
      <c r="C411" s="89" t="s">
        <v>48</v>
      </c>
      <c r="D411" s="89" t="s">
        <v>49</v>
      </c>
      <c r="E411" s="90">
        <v>451719956</v>
      </c>
      <c r="F411" s="184" t="s">
        <v>1379</v>
      </c>
      <c r="G411" s="91">
        <v>17633527811</v>
      </c>
      <c r="H411" s="92">
        <v>20525</v>
      </c>
      <c r="I411" s="89">
        <v>70</v>
      </c>
      <c r="J411" s="89" t="s">
        <v>70</v>
      </c>
      <c r="K411" s="89" t="s">
        <v>52</v>
      </c>
      <c r="L411" s="89" t="s">
        <v>53</v>
      </c>
      <c r="M411" s="89" t="s">
        <v>1380</v>
      </c>
      <c r="N411" s="89" t="s">
        <v>72</v>
      </c>
      <c r="O411" s="93" t="s">
        <v>1381</v>
      </c>
      <c r="P411" s="94" t="s">
        <v>57</v>
      </c>
      <c r="Q411" s="112" t="s">
        <v>58</v>
      </c>
      <c r="R411" s="95">
        <v>46142</v>
      </c>
      <c r="S411" s="96"/>
      <c r="T411" s="96" t="s">
        <v>59</v>
      </c>
      <c r="U411" s="96" t="s">
        <v>60</v>
      </c>
      <c r="V411" s="92">
        <v>46142</v>
      </c>
      <c r="W411" s="92" t="s">
        <v>61</v>
      </c>
      <c r="X411" s="92" t="s">
        <v>61</v>
      </c>
      <c r="Y411" s="97"/>
      <c r="Z411" s="89" t="s">
        <v>62</v>
      </c>
      <c r="AA411" s="96" t="s">
        <v>1382</v>
      </c>
      <c r="AB411" s="89" t="s">
        <v>80</v>
      </c>
      <c r="AC411" s="111"/>
      <c r="AD411" s="89"/>
      <c r="AE411" s="89"/>
      <c r="AF411" s="98"/>
      <c r="AG411" s="98"/>
      <c r="AH411" s="98"/>
      <c r="AI411" s="99" t="s">
        <v>67</v>
      </c>
      <c r="AJ411" s="99" t="s">
        <v>67</v>
      </c>
      <c r="AK411" s="99" t="s">
        <v>67</v>
      </c>
      <c r="AL411" s="45" t="s">
        <v>68</v>
      </c>
      <c r="AM411" s="162" t="str">
        <f t="shared" si="48"/>
        <v>3/2026</v>
      </c>
      <c r="AN411" s="45">
        <f t="shared" si="49"/>
        <v>4</v>
      </c>
      <c r="AO411" s="45" t="str">
        <f t="shared" si="50"/>
        <v>4/2026</v>
      </c>
      <c r="AP411" s="45">
        <f t="shared" si="51"/>
        <v>5</v>
      </c>
      <c r="AQ411" s="45">
        <f t="shared" si="52"/>
        <v>38</v>
      </c>
      <c r="AR411" s="45">
        <f t="shared" si="53"/>
        <v>0</v>
      </c>
      <c r="AS411" s="45">
        <f t="shared" si="54"/>
        <v>0</v>
      </c>
      <c r="AT411" s="45">
        <f t="shared" si="55"/>
        <v>0</v>
      </c>
      <c r="AU411" s="45" t="str">
        <f>_xlfn.XLOOKUP(U411,'Lista Suspensa'!$AA$20:$AA$23,'Lista Suspensa'!$AB$20:$AB$23,"N/A")</f>
        <v>S</v>
      </c>
    </row>
    <row r="412" spans="1:47" ht="12" customHeight="1" x14ac:dyDescent="0.3">
      <c r="A412" s="87" t="s">
        <v>47</v>
      </c>
      <c r="B412" s="88">
        <v>46104</v>
      </c>
      <c r="C412" s="89" t="s">
        <v>48</v>
      </c>
      <c r="D412" s="89" t="s">
        <v>49</v>
      </c>
      <c r="E412" s="90">
        <v>439773083</v>
      </c>
      <c r="F412" s="184" t="s">
        <v>1383</v>
      </c>
      <c r="G412" s="91">
        <v>54697662768</v>
      </c>
      <c r="H412" s="92">
        <v>21286</v>
      </c>
      <c r="I412" s="89">
        <v>67</v>
      </c>
      <c r="J412" s="89" t="s">
        <v>51</v>
      </c>
      <c r="K412" s="89" t="s">
        <v>88</v>
      </c>
      <c r="L412" s="89" t="s">
        <v>89</v>
      </c>
      <c r="M412" s="89" t="s">
        <v>426</v>
      </c>
      <c r="N412" s="89" t="s">
        <v>72</v>
      </c>
      <c r="O412" s="93" t="s">
        <v>1384</v>
      </c>
      <c r="P412" s="94" t="s">
        <v>57</v>
      </c>
      <c r="Q412" s="112" t="s">
        <v>58</v>
      </c>
      <c r="R412" s="95">
        <v>46140</v>
      </c>
      <c r="S412" s="96"/>
      <c r="T412" s="96" t="s">
        <v>59</v>
      </c>
      <c r="U412" s="96" t="s">
        <v>60</v>
      </c>
      <c r="V412" s="92">
        <v>46140</v>
      </c>
      <c r="W412" s="92" t="s">
        <v>61</v>
      </c>
      <c r="X412" s="92" t="s">
        <v>61</v>
      </c>
      <c r="Y412" s="97"/>
      <c r="Z412" s="89" t="s">
        <v>62</v>
      </c>
      <c r="AA412" s="96" t="s">
        <v>1385</v>
      </c>
      <c r="AB412" s="89" t="s">
        <v>63</v>
      </c>
      <c r="AC412" s="111"/>
      <c r="AD412" s="89"/>
      <c r="AE412" s="89"/>
      <c r="AF412" s="98"/>
      <c r="AG412" s="98"/>
      <c r="AH412" s="98"/>
      <c r="AI412" s="99" t="s">
        <v>67</v>
      </c>
      <c r="AJ412" s="99" t="s">
        <v>67</v>
      </c>
      <c r="AK412" s="99" t="s">
        <v>67</v>
      </c>
      <c r="AL412" s="45" t="s">
        <v>68</v>
      </c>
      <c r="AM412" s="162" t="str">
        <f t="shared" si="48"/>
        <v>3/2026</v>
      </c>
      <c r="AN412" s="45">
        <f t="shared" si="49"/>
        <v>4</v>
      </c>
      <c r="AO412" s="45" t="str">
        <f t="shared" si="50"/>
        <v>4/2026</v>
      </c>
      <c r="AP412" s="45">
        <f t="shared" si="51"/>
        <v>5</v>
      </c>
      <c r="AQ412" s="45">
        <f t="shared" si="52"/>
        <v>36</v>
      </c>
      <c r="AR412" s="45">
        <f t="shared" si="53"/>
        <v>0</v>
      </c>
      <c r="AS412" s="45">
        <f t="shared" si="54"/>
        <v>0</v>
      </c>
      <c r="AT412" s="45">
        <f t="shared" si="55"/>
        <v>2.5833333333357587</v>
      </c>
      <c r="AU412" s="45" t="str">
        <f>_xlfn.XLOOKUP(U412,'Lista Suspensa'!$AA$20:$AA$23,'Lista Suspensa'!$AB$20:$AB$23,"N/A")</f>
        <v>S</v>
      </c>
    </row>
    <row r="413" spans="1:47" ht="12" customHeight="1" x14ac:dyDescent="0.3">
      <c r="A413" s="87" t="s">
        <v>47</v>
      </c>
      <c r="B413" s="88">
        <v>46104</v>
      </c>
      <c r="C413" s="89" t="s">
        <v>48</v>
      </c>
      <c r="D413" s="89" t="s">
        <v>49</v>
      </c>
      <c r="E413" s="90">
        <v>451634675</v>
      </c>
      <c r="F413" s="184" t="s">
        <v>1386</v>
      </c>
      <c r="G413" s="91">
        <v>1298315816</v>
      </c>
      <c r="H413" s="92">
        <v>22026</v>
      </c>
      <c r="I413" s="89">
        <v>65</v>
      </c>
      <c r="J413" s="89" t="s">
        <v>51</v>
      </c>
      <c r="K413" s="89" t="s">
        <v>52</v>
      </c>
      <c r="L413" s="89" t="s">
        <v>53</v>
      </c>
      <c r="M413" s="89" t="s">
        <v>1083</v>
      </c>
      <c r="N413" s="89" t="s">
        <v>72</v>
      </c>
      <c r="O413" s="93" t="s">
        <v>1387</v>
      </c>
      <c r="P413" s="94" t="s">
        <v>57</v>
      </c>
      <c r="Q413" s="112" t="s">
        <v>58</v>
      </c>
      <c r="R413" s="95">
        <v>46140</v>
      </c>
      <c r="S413" s="96"/>
      <c r="T413" s="96" t="s">
        <v>59</v>
      </c>
      <c r="U413" s="96" t="s">
        <v>60</v>
      </c>
      <c r="V413" s="92">
        <v>46140</v>
      </c>
      <c r="W413" s="92" t="s">
        <v>61</v>
      </c>
      <c r="X413" s="92" t="s">
        <v>61</v>
      </c>
      <c r="Y413" s="97"/>
      <c r="Z413" s="89" t="s">
        <v>62</v>
      </c>
      <c r="AA413" s="96">
        <v>46141.666666666664</v>
      </c>
      <c r="AB413" s="89" t="s">
        <v>63</v>
      </c>
      <c r="AC413" s="111"/>
      <c r="AD413" s="89" t="s">
        <v>86</v>
      </c>
      <c r="AE413" s="89">
        <v>49</v>
      </c>
      <c r="AF413" s="98" t="s">
        <v>138</v>
      </c>
      <c r="AG413" s="98"/>
      <c r="AH413" s="98" t="s">
        <v>66</v>
      </c>
      <c r="AI413" s="99" t="s">
        <v>67</v>
      </c>
      <c r="AJ413" s="99" t="s">
        <v>67</v>
      </c>
      <c r="AK413" s="99" t="s">
        <v>67</v>
      </c>
      <c r="AL413" s="45" t="s">
        <v>68</v>
      </c>
      <c r="AM413" s="162" t="str">
        <f t="shared" si="48"/>
        <v>3/2026</v>
      </c>
      <c r="AN413" s="45">
        <f t="shared" si="49"/>
        <v>4</v>
      </c>
      <c r="AO413" s="45" t="str">
        <f t="shared" si="50"/>
        <v>4/2026</v>
      </c>
      <c r="AP413" s="45">
        <f t="shared" si="51"/>
        <v>5</v>
      </c>
      <c r="AQ413" s="45">
        <f t="shared" si="52"/>
        <v>36</v>
      </c>
      <c r="AR413" s="45">
        <f t="shared" si="53"/>
        <v>0</v>
      </c>
      <c r="AS413" s="45">
        <f t="shared" si="54"/>
        <v>0</v>
      </c>
      <c r="AT413" s="45">
        <f t="shared" si="55"/>
        <v>1.6666666666642413</v>
      </c>
      <c r="AU413" s="45" t="str">
        <f>_xlfn.XLOOKUP(U413,'Lista Suspensa'!$AA$20:$AA$23,'Lista Suspensa'!$AB$20:$AB$23,"N/A")</f>
        <v>S</v>
      </c>
    </row>
    <row r="414" spans="1:47" ht="12" customHeight="1" x14ac:dyDescent="0.3">
      <c r="A414" s="87" t="s">
        <v>47</v>
      </c>
      <c r="B414" s="88">
        <v>46104</v>
      </c>
      <c r="C414" s="89" t="s">
        <v>48</v>
      </c>
      <c r="D414" s="89" t="s">
        <v>49</v>
      </c>
      <c r="E414" s="90">
        <v>451629639</v>
      </c>
      <c r="F414" s="184" t="s">
        <v>1388</v>
      </c>
      <c r="G414" s="91">
        <v>17086722812</v>
      </c>
      <c r="H414" s="92">
        <v>15077</v>
      </c>
      <c r="I414" s="89">
        <v>84</v>
      </c>
      <c r="J414" s="89" t="s">
        <v>70</v>
      </c>
      <c r="K414" s="89" t="s">
        <v>52</v>
      </c>
      <c r="L414" s="89" t="s">
        <v>53</v>
      </c>
      <c r="M414" s="89" t="s">
        <v>1389</v>
      </c>
      <c r="N414" s="89" t="s">
        <v>72</v>
      </c>
      <c r="O414" s="93" t="s">
        <v>1390</v>
      </c>
      <c r="P414" s="94" t="s">
        <v>57</v>
      </c>
      <c r="Q414" s="112" t="s">
        <v>58</v>
      </c>
      <c r="R414" s="95">
        <v>46164</v>
      </c>
      <c r="S414" s="96"/>
      <c r="T414" s="96" t="s">
        <v>59</v>
      </c>
      <c r="U414" s="96" t="s">
        <v>60</v>
      </c>
      <c r="V414" s="92">
        <v>46142</v>
      </c>
      <c r="W414" s="92">
        <v>46154</v>
      </c>
      <c r="X414" s="92">
        <v>46160</v>
      </c>
      <c r="Y414" s="97"/>
      <c r="Z414" s="89"/>
      <c r="AA414" s="96"/>
      <c r="AB414" s="89"/>
      <c r="AC414" s="111"/>
      <c r="AD414" s="89"/>
      <c r="AE414" s="89"/>
      <c r="AF414" s="98"/>
      <c r="AG414" s="98"/>
      <c r="AH414" s="98"/>
      <c r="AI414" s="99"/>
      <c r="AJ414" s="99" t="s">
        <v>197</v>
      </c>
      <c r="AK414" s="99" t="s">
        <v>67</v>
      </c>
      <c r="AL414" s="45" t="s">
        <v>68</v>
      </c>
      <c r="AM414" s="162" t="str">
        <f t="shared" si="48"/>
        <v>3/2026</v>
      </c>
      <c r="AN414" s="45">
        <f t="shared" si="49"/>
        <v>4</v>
      </c>
      <c r="AO414" s="45" t="str">
        <f t="shared" si="50"/>
        <v>5/2026</v>
      </c>
      <c r="AP414" s="45">
        <f t="shared" si="51"/>
        <v>4</v>
      </c>
      <c r="AQ414" s="45">
        <f t="shared" si="52"/>
        <v>60</v>
      </c>
      <c r="AR414" s="45">
        <f t="shared" si="53"/>
        <v>0</v>
      </c>
      <c r="AS414" s="45">
        <f t="shared" si="54"/>
        <v>9</v>
      </c>
      <c r="AT414" s="45">
        <f t="shared" si="55"/>
        <v>0</v>
      </c>
      <c r="AU414" s="45" t="str">
        <f>_xlfn.XLOOKUP(U414,'Lista Suspensa'!$AA$20:$AA$23,'Lista Suspensa'!$AB$20:$AB$23,"N/A")</f>
        <v>S</v>
      </c>
    </row>
    <row r="415" spans="1:47" ht="12" hidden="1" customHeight="1" x14ac:dyDescent="0.3">
      <c r="A415" s="87" t="s">
        <v>47</v>
      </c>
      <c r="B415" s="88">
        <v>46104</v>
      </c>
      <c r="C415" s="89" t="s">
        <v>48</v>
      </c>
      <c r="D415" s="89" t="s">
        <v>49</v>
      </c>
      <c r="E415" s="90">
        <v>451718585</v>
      </c>
      <c r="F415" s="184" t="s">
        <v>1391</v>
      </c>
      <c r="G415" s="91">
        <v>27110400891</v>
      </c>
      <c r="H415" s="92">
        <v>14262</v>
      </c>
      <c r="I415" s="89">
        <v>87</v>
      </c>
      <c r="J415" s="89" t="s">
        <v>70</v>
      </c>
      <c r="K415" s="89" t="s">
        <v>52</v>
      </c>
      <c r="L415" s="89" t="s">
        <v>53</v>
      </c>
      <c r="M415" s="89" t="s">
        <v>854</v>
      </c>
      <c r="N415" s="89" t="s">
        <v>72</v>
      </c>
      <c r="O415" s="93" t="s">
        <v>1392</v>
      </c>
      <c r="P415" s="94" t="s">
        <v>57</v>
      </c>
      <c r="Q415" s="112" t="s">
        <v>1393</v>
      </c>
      <c r="R415" s="95">
        <v>46140</v>
      </c>
      <c r="S415" s="96">
        <v>46182</v>
      </c>
      <c r="T415" s="96" t="s">
        <v>59</v>
      </c>
      <c r="U415" s="96" t="s">
        <v>746</v>
      </c>
      <c r="V415" s="92">
        <v>46140</v>
      </c>
      <c r="W415" s="92" t="s">
        <v>61</v>
      </c>
      <c r="X415" s="92" t="s">
        <v>61</v>
      </c>
      <c r="Y415" s="97"/>
      <c r="Z415" s="89" t="s">
        <v>62</v>
      </c>
      <c r="AA415" s="96">
        <v>46172.694444444445</v>
      </c>
      <c r="AB415" s="89" t="s">
        <v>63</v>
      </c>
      <c r="AC415" s="111"/>
      <c r="AD415" s="89"/>
      <c r="AE415" s="89"/>
      <c r="AF415" s="98"/>
      <c r="AG415" s="98"/>
      <c r="AH415" s="98" t="s">
        <v>139</v>
      </c>
      <c r="AI415" s="99" t="s">
        <v>67</v>
      </c>
      <c r="AJ415" s="99" t="s">
        <v>67</v>
      </c>
      <c r="AK415" s="99" t="s">
        <v>67</v>
      </c>
      <c r="AL415" s="45" t="s">
        <v>68</v>
      </c>
      <c r="AM415" s="162" t="str">
        <f t="shared" si="48"/>
        <v>3/2026</v>
      </c>
      <c r="AN415" s="45">
        <f t="shared" si="49"/>
        <v>4</v>
      </c>
      <c r="AO415" s="45" t="str">
        <f t="shared" si="50"/>
        <v>4/2026</v>
      </c>
      <c r="AP415" s="45">
        <f t="shared" si="51"/>
        <v>5</v>
      </c>
      <c r="AQ415" s="45">
        <f t="shared" si="52"/>
        <v>0</v>
      </c>
      <c r="AR415" s="45">
        <f t="shared" si="53"/>
        <v>42</v>
      </c>
      <c r="AS415" s="45">
        <f t="shared" si="54"/>
        <v>0</v>
      </c>
      <c r="AT415" s="45">
        <f t="shared" si="55"/>
        <v>0</v>
      </c>
      <c r="AU415" s="45" t="str">
        <f>_xlfn.XLOOKUP(U415,'Lista Suspensa'!$AA$20:$AA$23,'Lista Suspensa'!$AB$20:$AB$23,"N/A")</f>
        <v>S</v>
      </c>
    </row>
    <row r="416" spans="1:47" ht="12" customHeight="1" x14ac:dyDescent="0.3">
      <c r="A416" s="87" t="s">
        <v>47</v>
      </c>
      <c r="B416" s="88">
        <v>46104</v>
      </c>
      <c r="C416" s="89" t="s">
        <v>48</v>
      </c>
      <c r="D416" s="89" t="s">
        <v>49</v>
      </c>
      <c r="E416" s="90">
        <v>23545321</v>
      </c>
      <c r="F416" s="184" t="s">
        <v>1394</v>
      </c>
      <c r="G416" s="91">
        <v>33474074822</v>
      </c>
      <c r="H416" s="92">
        <v>13902</v>
      </c>
      <c r="I416" s="89">
        <v>88</v>
      </c>
      <c r="J416" s="89" t="s">
        <v>70</v>
      </c>
      <c r="K416" s="89" t="s">
        <v>52</v>
      </c>
      <c r="L416" s="89" t="s">
        <v>331</v>
      </c>
      <c r="M416" s="89" t="s">
        <v>1395</v>
      </c>
      <c r="N416" s="89" t="s">
        <v>72</v>
      </c>
      <c r="O416" s="93" t="s">
        <v>1396</v>
      </c>
      <c r="P416" s="94" t="s">
        <v>57</v>
      </c>
      <c r="Q416" s="112" t="s">
        <v>58</v>
      </c>
      <c r="R416" s="95">
        <v>46140</v>
      </c>
      <c r="S416" s="96"/>
      <c r="T416" s="96" t="s">
        <v>59</v>
      </c>
      <c r="U416" s="96" t="s">
        <v>60</v>
      </c>
      <c r="V416" s="92">
        <v>46140</v>
      </c>
      <c r="W416" s="92" t="s">
        <v>61</v>
      </c>
      <c r="X416" s="92" t="s">
        <v>61</v>
      </c>
      <c r="Y416" s="97"/>
      <c r="Z416" s="89" t="s">
        <v>62</v>
      </c>
      <c r="AA416" s="96">
        <v>46155</v>
      </c>
      <c r="AB416" s="89" t="s">
        <v>63</v>
      </c>
      <c r="AC416" s="111"/>
      <c r="AD416" s="89" t="s">
        <v>64</v>
      </c>
      <c r="AE416" s="89">
        <v>52</v>
      </c>
      <c r="AF416" s="98" t="s">
        <v>65</v>
      </c>
      <c r="AG416" s="98"/>
      <c r="AH416" s="98" t="s">
        <v>66</v>
      </c>
      <c r="AI416" s="99" t="s">
        <v>67</v>
      </c>
      <c r="AJ416" s="99" t="s">
        <v>67</v>
      </c>
      <c r="AK416" s="99" t="s">
        <v>67</v>
      </c>
      <c r="AL416" s="45" t="s">
        <v>68</v>
      </c>
      <c r="AM416" s="162" t="str">
        <f t="shared" si="48"/>
        <v>3/2026</v>
      </c>
      <c r="AN416" s="45">
        <f t="shared" si="49"/>
        <v>4</v>
      </c>
      <c r="AO416" s="45" t="str">
        <f t="shared" si="50"/>
        <v>4/2026</v>
      </c>
      <c r="AP416" s="45">
        <f t="shared" si="51"/>
        <v>5</v>
      </c>
      <c r="AQ416" s="45">
        <f t="shared" si="52"/>
        <v>36</v>
      </c>
      <c r="AR416" s="45">
        <f t="shared" si="53"/>
        <v>0</v>
      </c>
      <c r="AS416" s="45">
        <f t="shared" si="54"/>
        <v>0</v>
      </c>
      <c r="AT416" s="45">
        <f t="shared" si="55"/>
        <v>15</v>
      </c>
      <c r="AU416" s="45" t="str">
        <f>_xlfn.XLOOKUP(U416,'Lista Suspensa'!$AA$20:$AA$23,'Lista Suspensa'!$AB$20:$AB$23,"N/A")</f>
        <v>S</v>
      </c>
    </row>
    <row r="417" spans="1:47" ht="12" customHeight="1" x14ac:dyDescent="0.3">
      <c r="A417" s="87" t="s">
        <v>47</v>
      </c>
      <c r="B417" s="88">
        <v>46104</v>
      </c>
      <c r="C417" s="89" t="s">
        <v>48</v>
      </c>
      <c r="D417" s="89" t="s">
        <v>49</v>
      </c>
      <c r="E417" s="90">
        <v>452310377</v>
      </c>
      <c r="F417" s="184" t="s">
        <v>1397</v>
      </c>
      <c r="G417" s="91">
        <v>8677671897</v>
      </c>
      <c r="H417" s="92">
        <v>13045</v>
      </c>
      <c r="I417" s="89">
        <v>90</v>
      </c>
      <c r="J417" s="89" t="s">
        <v>70</v>
      </c>
      <c r="K417" s="89" t="s">
        <v>52</v>
      </c>
      <c r="L417" s="89" t="s">
        <v>53</v>
      </c>
      <c r="M417" s="89" t="s">
        <v>1398</v>
      </c>
      <c r="N417" s="89" t="s">
        <v>72</v>
      </c>
      <c r="O417" s="93" t="s">
        <v>1399</v>
      </c>
      <c r="P417" s="94" t="s">
        <v>57</v>
      </c>
      <c r="Q417" s="112" t="s">
        <v>58</v>
      </c>
      <c r="R417" s="95">
        <v>46140</v>
      </c>
      <c r="S417" s="96"/>
      <c r="T417" s="96" t="s">
        <v>59</v>
      </c>
      <c r="U417" s="96" t="s">
        <v>60</v>
      </c>
      <c r="V417" s="92">
        <v>46140</v>
      </c>
      <c r="W417" s="92" t="s">
        <v>61</v>
      </c>
      <c r="X417" s="92" t="s">
        <v>61</v>
      </c>
      <c r="Y417" s="97"/>
      <c r="Z417" s="89" t="s">
        <v>62</v>
      </c>
      <c r="AA417" s="96" t="s">
        <v>1400</v>
      </c>
      <c r="AB417" s="89" t="s">
        <v>63</v>
      </c>
      <c r="AC417" s="111"/>
      <c r="AD417" s="89"/>
      <c r="AE417" s="89"/>
      <c r="AF417" s="98"/>
      <c r="AG417" s="98"/>
      <c r="AH417" s="98"/>
      <c r="AI417" s="99" t="s">
        <v>67</v>
      </c>
      <c r="AJ417" s="99" t="s">
        <v>67</v>
      </c>
      <c r="AK417" s="99" t="s">
        <v>67</v>
      </c>
      <c r="AL417" s="45" t="s">
        <v>68</v>
      </c>
      <c r="AM417" s="162" t="str">
        <f t="shared" si="48"/>
        <v>3/2026</v>
      </c>
      <c r="AN417" s="45">
        <f t="shared" si="49"/>
        <v>4</v>
      </c>
      <c r="AO417" s="45" t="str">
        <f t="shared" si="50"/>
        <v>4/2026</v>
      </c>
      <c r="AP417" s="45">
        <f t="shared" si="51"/>
        <v>5</v>
      </c>
      <c r="AQ417" s="45">
        <f t="shared" si="52"/>
        <v>36</v>
      </c>
      <c r="AR417" s="45">
        <f t="shared" si="53"/>
        <v>0</v>
      </c>
      <c r="AS417" s="45">
        <f t="shared" si="54"/>
        <v>0</v>
      </c>
      <c r="AT417" s="45">
        <f t="shared" si="55"/>
        <v>6.4444444444452529</v>
      </c>
      <c r="AU417" s="45" t="str">
        <f>_xlfn.XLOOKUP(U417,'Lista Suspensa'!$AA$20:$AA$23,'Lista Suspensa'!$AB$20:$AB$23,"N/A")</f>
        <v>S</v>
      </c>
    </row>
    <row r="418" spans="1:47" ht="12" customHeight="1" x14ac:dyDescent="0.3">
      <c r="A418" s="87" t="s">
        <v>47</v>
      </c>
      <c r="B418" s="88">
        <v>46104</v>
      </c>
      <c r="C418" s="89" t="s">
        <v>48</v>
      </c>
      <c r="D418" s="89" t="s">
        <v>49</v>
      </c>
      <c r="E418" s="90">
        <v>451585984</v>
      </c>
      <c r="F418" s="184" t="s">
        <v>1401</v>
      </c>
      <c r="G418" s="91">
        <v>68923481815</v>
      </c>
      <c r="H418" s="92">
        <v>16339</v>
      </c>
      <c r="I418" s="89">
        <v>81</v>
      </c>
      <c r="J418" s="89" t="s">
        <v>70</v>
      </c>
      <c r="K418" s="89" t="s">
        <v>52</v>
      </c>
      <c r="L418" s="89" t="s">
        <v>53</v>
      </c>
      <c r="M418" s="89" t="s">
        <v>1402</v>
      </c>
      <c r="N418" s="89" t="s">
        <v>72</v>
      </c>
      <c r="O418" s="93" t="s">
        <v>1403</v>
      </c>
      <c r="P418" s="94" t="s">
        <v>57</v>
      </c>
      <c r="Q418" s="112" t="s">
        <v>58</v>
      </c>
      <c r="R418" s="95">
        <v>46140</v>
      </c>
      <c r="S418" s="96"/>
      <c r="T418" s="96" t="s">
        <v>59</v>
      </c>
      <c r="U418" s="96" t="s">
        <v>60</v>
      </c>
      <c r="V418" s="92">
        <v>46140</v>
      </c>
      <c r="W418" s="92" t="s">
        <v>61</v>
      </c>
      <c r="X418" s="92" t="s">
        <v>61</v>
      </c>
      <c r="Y418" s="97"/>
      <c r="Z418" s="89" t="s">
        <v>62</v>
      </c>
      <c r="AA418" s="96">
        <v>46142.638888888891</v>
      </c>
      <c r="AB418" s="89" t="s">
        <v>63</v>
      </c>
      <c r="AC418" s="111"/>
      <c r="AD418" s="89"/>
      <c r="AE418" s="89"/>
      <c r="AF418" s="98"/>
      <c r="AG418" s="98"/>
      <c r="AH418" s="98"/>
      <c r="AI418" s="99" t="s">
        <v>67</v>
      </c>
      <c r="AJ418" s="99" t="s">
        <v>67</v>
      </c>
      <c r="AK418" s="99" t="s">
        <v>67</v>
      </c>
      <c r="AL418" s="45" t="s">
        <v>68</v>
      </c>
      <c r="AM418" s="162" t="str">
        <f t="shared" si="48"/>
        <v>3/2026</v>
      </c>
      <c r="AN418" s="45">
        <f t="shared" si="49"/>
        <v>4</v>
      </c>
      <c r="AO418" s="45" t="str">
        <f t="shared" si="50"/>
        <v>4/2026</v>
      </c>
      <c r="AP418" s="45">
        <f t="shared" si="51"/>
        <v>5</v>
      </c>
      <c r="AQ418" s="45">
        <f t="shared" si="52"/>
        <v>36</v>
      </c>
      <c r="AR418" s="45">
        <f t="shared" si="53"/>
        <v>0</v>
      </c>
      <c r="AS418" s="45">
        <f t="shared" si="54"/>
        <v>0</v>
      </c>
      <c r="AT418" s="45">
        <f t="shared" si="55"/>
        <v>2.6388888888905058</v>
      </c>
      <c r="AU418" s="45" t="str">
        <f>_xlfn.XLOOKUP(U418,'Lista Suspensa'!$AA$20:$AA$23,'Lista Suspensa'!$AB$20:$AB$23,"N/A")</f>
        <v>S</v>
      </c>
    </row>
    <row r="419" spans="1:47" ht="12" customHeight="1" x14ac:dyDescent="0.3">
      <c r="A419" s="87" t="s">
        <v>47</v>
      </c>
      <c r="B419" s="88">
        <v>46104</v>
      </c>
      <c r="C419" s="89" t="s">
        <v>48</v>
      </c>
      <c r="D419" s="89" t="s">
        <v>49</v>
      </c>
      <c r="E419" s="90">
        <v>451584503</v>
      </c>
      <c r="F419" s="184" t="s">
        <v>1404</v>
      </c>
      <c r="G419" s="91">
        <v>4406187898</v>
      </c>
      <c r="H419" s="92">
        <v>16251</v>
      </c>
      <c r="I419" s="89">
        <v>81</v>
      </c>
      <c r="J419" s="89" t="s">
        <v>70</v>
      </c>
      <c r="K419" s="89" t="s">
        <v>52</v>
      </c>
      <c r="L419" s="89" t="s">
        <v>53</v>
      </c>
      <c r="M419" s="89" t="s">
        <v>301</v>
      </c>
      <c r="N419" s="89" t="s">
        <v>72</v>
      </c>
      <c r="O419" s="93" t="s">
        <v>1405</v>
      </c>
      <c r="P419" s="94" t="s">
        <v>57</v>
      </c>
      <c r="Q419" s="112" t="s">
        <v>58</v>
      </c>
      <c r="R419" s="95">
        <v>46171</v>
      </c>
      <c r="S419" s="96"/>
      <c r="T419" s="96" t="s">
        <v>59</v>
      </c>
      <c r="U419" s="96" t="s">
        <v>60</v>
      </c>
      <c r="V419" s="92">
        <v>46112</v>
      </c>
      <c r="W419" s="92">
        <v>46142</v>
      </c>
      <c r="X419" s="92">
        <v>46154</v>
      </c>
      <c r="Y419" s="97"/>
      <c r="Z419" s="89" t="s">
        <v>62</v>
      </c>
      <c r="AA419" s="96">
        <v>46178</v>
      </c>
      <c r="AB419" s="89" t="s">
        <v>80</v>
      </c>
      <c r="AC419" s="111"/>
      <c r="AD419" s="89"/>
      <c r="AE419" s="89"/>
      <c r="AF419" s="98"/>
      <c r="AG419" s="98"/>
      <c r="AH419" s="98"/>
      <c r="AI419" s="99"/>
      <c r="AJ419" s="99" t="s">
        <v>197</v>
      </c>
      <c r="AK419" s="99" t="s">
        <v>67</v>
      </c>
      <c r="AL419" s="45" t="s">
        <v>68</v>
      </c>
      <c r="AM419" s="162" t="str">
        <f t="shared" si="48"/>
        <v>3/2026</v>
      </c>
      <c r="AN419" s="45">
        <f t="shared" si="49"/>
        <v>4</v>
      </c>
      <c r="AO419" s="45" t="str">
        <f t="shared" si="50"/>
        <v>5/2026</v>
      </c>
      <c r="AP419" s="45">
        <f t="shared" si="51"/>
        <v>5</v>
      </c>
      <c r="AQ419" s="45">
        <f t="shared" si="52"/>
        <v>67</v>
      </c>
      <c r="AR419" s="45">
        <f t="shared" si="53"/>
        <v>0</v>
      </c>
      <c r="AS419" s="45">
        <f t="shared" si="54"/>
        <v>21</v>
      </c>
      <c r="AT419" s="45">
        <f t="shared" si="55"/>
        <v>0</v>
      </c>
      <c r="AU419" s="45" t="str">
        <f>_xlfn.XLOOKUP(U419,'Lista Suspensa'!$AA$20:$AA$23,'Lista Suspensa'!$AB$20:$AB$23,"N/A")</f>
        <v>S</v>
      </c>
    </row>
    <row r="420" spans="1:47" ht="12" customHeight="1" x14ac:dyDescent="0.3">
      <c r="A420" s="87" t="s">
        <v>47</v>
      </c>
      <c r="B420" s="88">
        <v>46104</v>
      </c>
      <c r="C420" s="89" t="s">
        <v>48</v>
      </c>
      <c r="D420" s="89" t="s">
        <v>49</v>
      </c>
      <c r="E420" s="90">
        <v>451990897</v>
      </c>
      <c r="F420" s="184" t="s">
        <v>1406</v>
      </c>
      <c r="G420" s="91">
        <v>28845347842</v>
      </c>
      <c r="H420" s="92">
        <v>17358</v>
      </c>
      <c r="I420" s="89">
        <v>78</v>
      </c>
      <c r="J420" s="89" t="s">
        <v>70</v>
      </c>
      <c r="K420" s="89" t="s">
        <v>52</v>
      </c>
      <c r="L420" s="89" t="s">
        <v>780</v>
      </c>
      <c r="M420" s="89" t="s">
        <v>1407</v>
      </c>
      <c r="N420" s="89" t="s">
        <v>72</v>
      </c>
      <c r="O420" s="93" t="s">
        <v>1408</v>
      </c>
      <c r="P420" s="94" t="s">
        <v>57</v>
      </c>
      <c r="Q420" s="112" t="s">
        <v>58</v>
      </c>
      <c r="R420" s="95">
        <v>46117</v>
      </c>
      <c r="S420" s="96"/>
      <c r="T420" s="96" t="s">
        <v>59</v>
      </c>
      <c r="U420" s="96" t="s">
        <v>60</v>
      </c>
      <c r="V420" s="92">
        <v>46142</v>
      </c>
      <c r="W420" s="92" t="s">
        <v>61</v>
      </c>
      <c r="X420" s="92" t="s">
        <v>61</v>
      </c>
      <c r="Y420" s="97"/>
      <c r="Z420" s="89" t="s">
        <v>62</v>
      </c>
      <c r="AA420" s="96">
        <v>46157</v>
      </c>
      <c r="AB420" s="89" t="s">
        <v>224</v>
      </c>
      <c r="AC420" s="111">
        <v>46160</v>
      </c>
      <c r="AD420" s="89"/>
      <c r="AE420" s="89"/>
      <c r="AF420" s="98"/>
      <c r="AG420" s="98"/>
      <c r="AH420" s="98"/>
      <c r="AI420" s="99" t="s">
        <v>197</v>
      </c>
      <c r="AJ420" s="99" t="s">
        <v>197</v>
      </c>
      <c r="AK420" s="99" t="s">
        <v>67</v>
      </c>
      <c r="AL420" s="45" t="s">
        <v>68</v>
      </c>
      <c r="AM420" s="162" t="str">
        <f t="shared" si="48"/>
        <v>3/2026</v>
      </c>
      <c r="AN420" s="45">
        <f t="shared" si="49"/>
        <v>4</v>
      </c>
      <c r="AO420" s="45" t="str">
        <f t="shared" si="50"/>
        <v>4/2026</v>
      </c>
      <c r="AP420" s="45">
        <f t="shared" si="51"/>
        <v>2</v>
      </c>
      <c r="AQ420" s="45">
        <f t="shared" si="52"/>
        <v>13</v>
      </c>
      <c r="AR420" s="45">
        <f t="shared" si="53"/>
        <v>0</v>
      </c>
      <c r="AS420" s="45">
        <f t="shared" si="54"/>
        <v>0</v>
      </c>
      <c r="AT420" s="45">
        <f t="shared" si="55"/>
        <v>0</v>
      </c>
      <c r="AU420" s="45" t="str">
        <f>_xlfn.XLOOKUP(U420,'Lista Suspensa'!$AA$20:$AA$23,'Lista Suspensa'!$AB$20:$AB$23,"N/A")</f>
        <v>S</v>
      </c>
    </row>
    <row r="421" spans="1:47" ht="12" customHeight="1" x14ac:dyDescent="0.3">
      <c r="A421" s="87" t="s">
        <v>47</v>
      </c>
      <c r="B421" s="88">
        <v>46104</v>
      </c>
      <c r="C421" s="89" t="s">
        <v>48</v>
      </c>
      <c r="D421" s="89" t="s">
        <v>49</v>
      </c>
      <c r="E421" s="90">
        <v>440475015</v>
      </c>
      <c r="F421" s="184" t="s">
        <v>1409</v>
      </c>
      <c r="G421" s="91">
        <v>6629739841</v>
      </c>
      <c r="H421" s="92">
        <v>21417</v>
      </c>
      <c r="I421" s="89">
        <v>67</v>
      </c>
      <c r="J421" s="89" t="s">
        <v>70</v>
      </c>
      <c r="K421" s="89" t="s">
        <v>52</v>
      </c>
      <c r="L421" s="89" t="s">
        <v>331</v>
      </c>
      <c r="M421" s="89" t="s">
        <v>1410</v>
      </c>
      <c r="N421" s="89" t="s">
        <v>72</v>
      </c>
      <c r="O421" s="93" t="s">
        <v>1411</v>
      </c>
      <c r="P421" s="94" t="s">
        <v>57</v>
      </c>
      <c r="Q421" s="112" t="s">
        <v>58</v>
      </c>
      <c r="R421" s="95">
        <v>46153</v>
      </c>
      <c r="S421" s="96"/>
      <c r="T421" s="96" t="s">
        <v>59</v>
      </c>
      <c r="U421" s="96" t="s">
        <v>60</v>
      </c>
      <c r="V421" s="92">
        <v>46142</v>
      </c>
      <c r="W421" s="92">
        <v>46154</v>
      </c>
      <c r="X421" s="92">
        <v>46161</v>
      </c>
      <c r="Y421" s="97"/>
      <c r="Z421" s="89" t="s">
        <v>62</v>
      </c>
      <c r="AA421" s="96">
        <v>46161.416666666664</v>
      </c>
      <c r="AB421" s="89" t="s">
        <v>63</v>
      </c>
      <c r="AC421" s="111"/>
      <c r="AD421" s="89" t="s">
        <v>86</v>
      </c>
      <c r="AE421" s="89">
        <v>63</v>
      </c>
      <c r="AF421" s="98"/>
      <c r="AG421" s="98"/>
      <c r="AH421" s="98" t="s">
        <v>66</v>
      </c>
      <c r="AI421" s="99" t="s">
        <v>197</v>
      </c>
      <c r="AJ421" s="99" t="s">
        <v>197</v>
      </c>
      <c r="AK421" s="99" t="s">
        <v>67</v>
      </c>
      <c r="AL421" s="45" t="s">
        <v>68</v>
      </c>
      <c r="AM421" s="162" t="str">
        <f t="shared" si="48"/>
        <v>3/2026</v>
      </c>
      <c r="AN421" s="45">
        <f t="shared" si="49"/>
        <v>4</v>
      </c>
      <c r="AO421" s="45" t="str">
        <f t="shared" si="50"/>
        <v>5/2026</v>
      </c>
      <c r="AP421" s="45">
        <f t="shared" si="51"/>
        <v>3</v>
      </c>
      <c r="AQ421" s="45">
        <f t="shared" si="52"/>
        <v>49</v>
      </c>
      <c r="AR421" s="45">
        <f t="shared" si="53"/>
        <v>0</v>
      </c>
      <c r="AS421" s="45">
        <f t="shared" si="54"/>
        <v>9.5</v>
      </c>
      <c r="AT421" s="45">
        <f t="shared" si="55"/>
        <v>8.4166666666642413</v>
      </c>
      <c r="AU421" s="45" t="str">
        <f>_xlfn.XLOOKUP(U421,'Lista Suspensa'!$AA$20:$AA$23,'Lista Suspensa'!$AB$20:$AB$23,"N/A")</f>
        <v>S</v>
      </c>
    </row>
    <row r="422" spans="1:47" ht="12" customHeight="1" x14ac:dyDescent="0.3">
      <c r="A422" s="87" t="s">
        <v>47</v>
      </c>
      <c r="B422" s="88">
        <v>46104</v>
      </c>
      <c r="C422" s="89" t="s">
        <v>48</v>
      </c>
      <c r="D422" s="89" t="s">
        <v>49</v>
      </c>
      <c r="E422" s="90">
        <v>89805846</v>
      </c>
      <c r="F422" s="184" t="s">
        <v>1412</v>
      </c>
      <c r="G422" s="91">
        <v>47174498000</v>
      </c>
      <c r="H422" s="92">
        <v>23515</v>
      </c>
      <c r="I422" s="89">
        <v>61</v>
      </c>
      <c r="J422" s="89" t="s">
        <v>51</v>
      </c>
      <c r="K422" s="89" t="s">
        <v>88</v>
      </c>
      <c r="L422" s="89" t="s">
        <v>89</v>
      </c>
      <c r="M422" s="89" t="s">
        <v>147</v>
      </c>
      <c r="N422" s="89" t="s">
        <v>121</v>
      </c>
      <c r="O422" s="93" t="s">
        <v>1413</v>
      </c>
      <c r="P422" s="94" t="s">
        <v>57</v>
      </c>
      <c r="Q422" s="112" t="s">
        <v>58</v>
      </c>
      <c r="R422" s="95">
        <v>46142</v>
      </c>
      <c r="S422" s="96"/>
      <c r="T422" s="96" t="s">
        <v>59</v>
      </c>
      <c r="U422" s="96" t="s">
        <v>60</v>
      </c>
      <c r="V422" s="92">
        <v>46122</v>
      </c>
      <c r="W422" s="92">
        <v>46142</v>
      </c>
      <c r="X422" s="92" t="s">
        <v>61</v>
      </c>
      <c r="Y422" s="97"/>
      <c r="Z422" s="89" t="s">
        <v>62</v>
      </c>
      <c r="AA422" s="96">
        <v>46157</v>
      </c>
      <c r="AB422" s="89" t="s">
        <v>80</v>
      </c>
      <c r="AC422" s="111"/>
      <c r="AD422" s="89"/>
      <c r="AE422" s="89"/>
      <c r="AF422" s="98"/>
      <c r="AG422" s="98"/>
      <c r="AH422" s="98"/>
      <c r="AI422" s="99" t="s">
        <v>67</v>
      </c>
      <c r="AJ422" s="99" t="s">
        <v>67</v>
      </c>
      <c r="AK422" s="99" t="s">
        <v>67</v>
      </c>
      <c r="AL422" s="45" t="s">
        <v>68</v>
      </c>
      <c r="AM422" s="162" t="str">
        <f t="shared" si="48"/>
        <v>3/2026</v>
      </c>
      <c r="AN422" s="45">
        <f t="shared" si="49"/>
        <v>4</v>
      </c>
      <c r="AO422" s="45" t="str">
        <f t="shared" si="50"/>
        <v>4/2026</v>
      </c>
      <c r="AP422" s="45">
        <f t="shared" si="51"/>
        <v>5</v>
      </c>
      <c r="AQ422" s="45">
        <f t="shared" si="52"/>
        <v>38</v>
      </c>
      <c r="AR422" s="45">
        <f t="shared" si="53"/>
        <v>0</v>
      </c>
      <c r="AS422" s="45">
        <f t="shared" si="54"/>
        <v>20</v>
      </c>
      <c r="AT422" s="45">
        <f t="shared" si="55"/>
        <v>0</v>
      </c>
      <c r="AU422" s="45" t="str">
        <f>_xlfn.XLOOKUP(U422,'Lista Suspensa'!$AA$20:$AA$23,'Lista Suspensa'!$AB$20:$AB$23,"N/A")</f>
        <v>S</v>
      </c>
    </row>
    <row r="423" spans="1:47" ht="12" customHeight="1" x14ac:dyDescent="0.3">
      <c r="A423" s="87" t="s">
        <v>47</v>
      </c>
      <c r="B423" s="88">
        <v>46104</v>
      </c>
      <c r="C423" s="89" t="s">
        <v>48</v>
      </c>
      <c r="D423" s="89" t="s">
        <v>49</v>
      </c>
      <c r="E423" s="90">
        <v>423030981</v>
      </c>
      <c r="F423" s="184" t="s">
        <v>1414</v>
      </c>
      <c r="G423" s="91">
        <v>9967441852</v>
      </c>
      <c r="H423" s="92">
        <v>24511</v>
      </c>
      <c r="I423" s="89">
        <v>59</v>
      </c>
      <c r="J423" s="89" t="s">
        <v>70</v>
      </c>
      <c r="K423" s="89" t="s">
        <v>52</v>
      </c>
      <c r="L423" s="89" t="s">
        <v>53</v>
      </c>
      <c r="M423" s="89" t="s">
        <v>1415</v>
      </c>
      <c r="N423" s="89" t="s">
        <v>72</v>
      </c>
      <c r="O423" s="93" t="s">
        <v>1416</v>
      </c>
      <c r="P423" s="94" t="s">
        <v>57</v>
      </c>
      <c r="Q423" s="112" t="s">
        <v>58</v>
      </c>
      <c r="R423" s="95">
        <v>46117</v>
      </c>
      <c r="S423" s="96"/>
      <c r="T423" s="96" t="s">
        <v>59</v>
      </c>
      <c r="U423" s="96" t="s">
        <v>60</v>
      </c>
      <c r="V423" s="92">
        <v>46142</v>
      </c>
      <c r="W423" s="92" t="s">
        <v>61</v>
      </c>
      <c r="X423" s="92" t="s">
        <v>61</v>
      </c>
      <c r="Y423" s="97" t="s">
        <v>1417</v>
      </c>
      <c r="Z423" s="89" t="s">
        <v>62</v>
      </c>
      <c r="AA423" s="96">
        <v>46160</v>
      </c>
      <c r="AB423" s="89" t="s">
        <v>63</v>
      </c>
      <c r="AC423" s="111"/>
      <c r="AD423" s="89"/>
      <c r="AE423" s="89"/>
      <c r="AF423" s="98"/>
      <c r="AG423" s="98"/>
      <c r="AH423" s="98"/>
      <c r="AI423" s="99" t="s">
        <v>197</v>
      </c>
      <c r="AJ423" s="99" t="s">
        <v>197</v>
      </c>
      <c r="AK423" s="99" t="s">
        <v>67</v>
      </c>
      <c r="AL423" s="45" t="s">
        <v>68</v>
      </c>
      <c r="AM423" s="162" t="str">
        <f t="shared" si="48"/>
        <v>3/2026</v>
      </c>
      <c r="AN423" s="45">
        <f t="shared" si="49"/>
        <v>4</v>
      </c>
      <c r="AO423" s="45" t="str">
        <f t="shared" si="50"/>
        <v>4/2026</v>
      </c>
      <c r="AP423" s="45">
        <f t="shared" si="51"/>
        <v>2</v>
      </c>
      <c r="AQ423" s="45">
        <f t="shared" si="52"/>
        <v>13</v>
      </c>
      <c r="AR423" s="45">
        <f t="shared" si="53"/>
        <v>0</v>
      </c>
      <c r="AS423" s="45">
        <f t="shared" si="54"/>
        <v>0</v>
      </c>
      <c r="AT423" s="45">
        <f t="shared" si="55"/>
        <v>43</v>
      </c>
      <c r="AU423" s="45" t="str">
        <f>_xlfn.XLOOKUP(U423,'Lista Suspensa'!$AA$20:$AA$23,'Lista Suspensa'!$AB$20:$AB$23,"N/A")</f>
        <v>S</v>
      </c>
    </row>
    <row r="424" spans="1:47" ht="12" customHeight="1" x14ac:dyDescent="0.3">
      <c r="A424" s="87" t="s">
        <v>47</v>
      </c>
      <c r="B424" s="88">
        <v>46104</v>
      </c>
      <c r="C424" s="89" t="s">
        <v>48</v>
      </c>
      <c r="D424" s="89" t="s">
        <v>49</v>
      </c>
      <c r="E424" s="90">
        <v>84929279</v>
      </c>
      <c r="F424" s="184" t="s">
        <v>1418</v>
      </c>
      <c r="G424" s="91">
        <v>5441069899</v>
      </c>
      <c r="H424" s="92">
        <v>20895</v>
      </c>
      <c r="I424" s="89">
        <v>69</v>
      </c>
      <c r="J424" s="89" t="s">
        <v>70</v>
      </c>
      <c r="K424" s="89" t="s">
        <v>52</v>
      </c>
      <c r="L424" s="89" t="s">
        <v>53</v>
      </c>
      <c r="M424" s="89" t="s">
        <v>1419</v>
      </c>
      <c r="N424" s="89" t="s">
        <v>121</v>
      </c>
      <c r="O424" s="93" t="s">
        <v>1420</v>
      </c>
      <c r="P424" s="94" t="s">
        <v>57</v>
      </c>
      <c r="Q424" s="112" t="s">
        <v>58</v>
      </c>
      <c r="R424" s="95">
        <v>46140</v>
      </c>
      <c r="S424" s="96"/>
      <c r="T424" s="96" t="s">
        <v>59</v>
      </c>
      <c r="U424" s="96" t="s">
        <v>60</v>
      </c>
      <c r="V424" s="92">
        <v>46140</v>
      </c>
      <c r="W424" s="92" t="s">
        <v>61</v>
      </c>
      <c r="X424" s="92" t="s">
        <v>61</v>
      </c>
      <c r="Y424" s="97"/>
      <c r="Z424" s="89" t="s">
        <v>62</v>
      </c>
      <c r="AA424" s="96" t="s">
        <v>1421</v>
      </c>
      <c r="AB424" s="89" t="s">
        <v>80</v>
      </c>
      <c r="AC424" s="111"/>
      <c r="AD424" s="89"/>
      <c r="AE424" s="89"/>
      <c r="AF424" s="98"/>
      <c r="AG424" s="98"/>
      <c r="AH424" s="98"/>
      <c r="AI424" s="99" t="s">
        <v>67</v>
      </c>
      <c r="AJ424" s="99" t="s">
        <v>67</v>
      </c>
      <c r="AK424" s="99" t="s">
        <v>67</v>
      </c>
      <c r="AL424" s="45" t="s">
        <v>68</v>
      </c>
      <c r="AM424" s="162" t="str">
        <f t="shared" si="48"/>
        <v>3/2026</v>
      </c>
      <c r="AN424" s="45">
        <f t="shared" si="49"/>
        <v>4</v>
      </c>
      <c r="AO424" s="45" t="str">
        <f t="shared" si="50"/>
        <v>4/2026</v>
      </c>
      <c r="AP424" s="45">
        <f t="shared" si="51"/>
        <v>5</v>
      </c>
      <c r="AQ424" s="45">
        <f t="shared" si="52"/>
        <v>36</v>
      </c>
      <c r="AR424" s="45">
        <f t="shared" si="53"/>
        <v>0</v>
      </c>
      <c r="AS424" s="45">
        <f t="shared" si="54"/>
        <v>0</v>
      </c>
      <c r="AT424" s="45">
        <f t="shared" si="55"/>
        <v>0</v>
      </c>
      <c r="AU424" s="45" t="str">
        <f>_xlfn.XLOOKUP(U424,'Lista Suspensa'!$AA$20:$AA$23,'Lista Suspensa'!$AB$20:$AB$23,"N/A")</f>
        <v>S</v>
      </c>
    </row>
    <row r="425" spans="1:47" ht="12" customHeight="1" x14ac:dyDescent="0.3">
      <c r="A425" s="87" t="s">
        <v>47</v>
      </c>
      <c r="B425" s="88">
        <v>46104</v>
      </c>
      <c r="C425" s="89" t="s">
        <v>48</v>
      </c>
      <c r="D425" s="89" t="s">
        <v>49</v>
      </c>
      <c r="E425" s="90">
        <v>94278672</v>
      </c>
      <c r="F425" s="184" t="s">
        <v>1422</v>
      </c>
      <c r="G425" s="91">
        <v>13172390756</v>
      </c>
      <c r="H425" s="92">
        <v>33437</v>
      </c>
      <c r="I425" s="89">
        <v>34</v>
      </c>
      <c r="J425" s="89" t="s">
        <v>70</v>
      </c>
      <c r="K425" s="89" t="s">
        <v>88</v>
      </c>
      <c r="L425" s="89" t="s">
        <v>89</v>
      </c>
      <c r="M425" s="89" t="s">
        <v>188</v>
      </c>
      <c r="N425" s="89" t="s">
        <v>121</v>
      </c>
      <c r="O425" s="93" t="s">
        <v>1423</v>
      </c>
      <c r="P425" s="94" t="s">
        <v>57</v>
      </c>
      <c r="Q425" s="112" t="s">
        <v>58</v>
      </c>
      <c r="R425" s="95">
        <v>46140</v>
      </c>
      <c r="S425" s="96"/>
      <c r="T425" s="96" t="s">
        <v>59</v>
      </c>
      <c r="U425" s="96" t="s">
        <v>60</v>
      </c>
      <c r="V425" s="92">
        <v>46140</v>
      </c>
      <c r="W425" s="92" t="s">
        <v>61</v>
      </c>
      <c r="X425" s="92" t="s">
        <v>61</v>
      </c>
      <c r="Y425" s="97"/>
      <c r="Z425" s="89" t="s">
        <v>62</v>
      </c>
      <c r="AA425" s="96" t="s">
        <v>1424</v>
      </c>
      <c r="AB425" s="89" t="s">
        <v>80</v>
      </c>
      <c r="AC425" s="111"/>
      <c r="AD425" s="89"/>
      <c r="AE425" s="89"/>
      <c r="AF425" s="98"/>
      <c r="AG425" s="98"/>
      <c r="AH425" s="98"/>
      <c r="AI425" s="99" t="s">
        <v>67</v>
      </c>
      <c r="AJ425" s="99" t="s">
        <v>67</v>
      </c>
      <c r="AK425" s="99" t="s">
        <v>67</v>
      </c>
      <c r="AL425" s="45" t="s">
        <v>68</v>
      </c>
      <c r="AM425" s="162" t="str">
        <f t="shared" si="48"/>
        <v>3/2026</v>
      </c>
      <c r="AN425" s="45">
        <f t="shared" si="49"/>
        <v>4</v>
      </c>
      <c r="AO425" s="45" t="str">
        <f t="shared" si="50"/>
        <v>4/2026</v>
      </c>
      <c r="AP425" s="45">
        <f t="shared" si="51"/>
        <v>5</v>
      </c>
      <c r="AQ425" s="45">
        <f t="shared" si="52"/>
        <v>36</v>
      </c>
      <c r="AR425" s="45">
        <f t="shared" si="53"/>
        <v>0</v>
      </c>
      <c r="AS425" s="45">
        <f t="shared" si="54"/>
        <v>0</v>
      </c>
      <c r="AT425" s="45">
        <f t="shared" si="55"/>
        <v>0</v>
      </c>
      <c r="AU425" s="45" t="str">
        <f>_xlfn.XLOOKUP(U425,'Lista Suspensa'!$AA$20:$AA$23,'Lista Suspensa'!$AB$20:$AB$23,"N/A")</f>
        <v>S</v>
      </c>
    </row>
    <row r="426" spans="1:47" ht="12" customHeight="1" x14ac:dyDescent="0.3">
      <c r="A426" s="87" t="s">
        <v>47</v>
      </c>
      <c r="B426" s="88">
        <v>46104</v>
      </c>
      <c r="C426" s="89" t="s">
        <v>48</v>
      </c>
      <c r="D426" s="89" t="s">
        <v>49</v>
      </c>
      <c r="E426" s="90">
        <v>451967879</v>
      </c>
      <c r="F426" s="184" t="s">
        <v>1425</v>
      </c>
      <c r="G426" s="91">
        <v>52414426853</v>
      </c>
      <c r="H426" s="92">
        <v>17083</v>
      </c>
      <c r="I426" s="89">
        <v>79</v>
      </c>
      <c r="J426" s="89" t="s">
        <v>51</v>
      </c>
      <c r="K426" s="89" t="s">
        <v>52</v>
      </c>
      <c r="L426" s="89" t="s">
        <v>53</v>
      </c>
      <c r="M426" s="89" t="s">
        <v>1426</v>
      </c>
      <c r="N426" s="89" t="s">
        <v>72</v>
      </c>
      <c r="O426" s="93" t="s">
        <v>1427</v>
      </c>
      <c r="P426" s="94" t="s">
        <v>57</v>
      </c>
      <c r="Q426" s="112" t="s">
        <v>58</v>
      </c>
      <c r="R426" s="95">
        <v>46153</v>
      </c>
      <c r="S426" s="96"/>
      <c r="T426" s="96" t="s">
        <v>59</v>
      </c>
      <c r="U426" s="96" t="s">
        <v>60</v>
      </c>
      <c r="V426" s="92">
        <v>46142</v>
      </c>
      <c r="W426" s="92">
        <v>46154</v>
      </c>
      <c r="X426" s="92" t="s">
        <v>61</v>
      </c>
      <c r="Y426" s="97"/>
      <c r="Z426" s="89" t="s">
        <v>62</v>
      </c>
      <c r="AA426" s="96">
        <v>46163.625</v>
      </c>
      <c r="AB426" s="89" t="s">
        <v>80</v>
      </c>
      <c r="AC426" s="111"/>
      <c r="AD426" s="89"/>
      <c r="AE426" s="89"/>
      <c r="AF426" s="98"/>
      <c r="AG426" s="98"/>
      <c r="AH426" s="98"/>
      <c r="AI426" s="99" t="s">
        <v>197</v>
      </c>
      <c r="AJ426" s="99" t="s">
        <v>197</v>
      </c>
      <c r="AK426" s="99" t="s">
        <v>67</v>
      </c>
      <c r="AL426" s="45" t="s">
        <v>68</v>
      </c>
      <c r="AM426" s="162" t="str">
        <f t="shared" si="48"/>
        <v>3/2026</v>
      </c>
      <c r="AN426" s="45">
        <f t="shared" si="49"/>
        <v>4</v>
      </c>
      <c r="AO426" s="45" t="str">
        <f t="shared" si="50"/>
        <v>5/2026</v>
      </c>
      <c r="AP426" s="45">
        <f t="shared" si="51"/>
        <v>3</v>
      </c>
      <c r="AQ426" s="45">
        <f t="shared" si="52"/>
        <v>49</v>
      </c>
      <c r="AR426" s="45">
        <f t="shared" si="53"/>
        <v>0</v>
      </c>
      <c r="AS426" s="45">
        <f t="shared" si="54"/>
        <v>12</v>
      </c>
      <c r="AT426" s="45">
        <f t="shared" si="55"/>
        <v>0</v>
      </c>
      <c r="AU426" s="45" t="str">
        <f>_xlfn.XLOOKUP(U426,'Lista Suspensa'!$AA$20:$AA$23,'Lista Suspensa'!$AB$20:$AB$23,"N/A")</f>
        <v>S</v>
      </c>
    </row>
    <row r="427" spans="1:47" ht="12" customHeight="1" x14ac:dyDescent="0.3">
      <c r="A427" s="87" t="s">
        <v>47</v>
      </c>
      <c r="B427" s="88">
        <v>46104</v>
      </c>
      <c r="C427" s="89" t="s">
        <v>48</v>
      </c>
      <c r="D427" s="89" t="s">
        <v>49</v>
      </c>
      <c r="E427" s="90">
        <v>451776232</v>
      </c>
      <c r="F427" s="184" t="s">
        <v>1428</v>
      </c>
      <c r="G427" s="91">
        <v>22568712821</v>
      </c>
      <c r="H427" s="92">
        <v>13581</v>
      </c>
      <c r="I427" s="89">
        <v>89</v>
      </c>
      <c r="J427" s="89" t="s">
        <v>70</v>
      </c>
      <c r="K427" s="89" t="s">
        <v>52</v>
      </c>
      <c r="L427" s="89" t="s">
        <v>53</v>
      </c>
      <c r="M427" s="89" t="s">
        <v>1429</v>
      </c>
      <c r="N427" s="89" t="s">
        <v>72</v>
      </c>
      <c r="O427" s="93" t="s">
        <v>1430</v>
      </c>
      <c r="P427" s="94" t="s">
        <v>57</v>
      </c>
      <c r="Q427" s="112" t="s">
        <v>58</v>
      </c>
      <c r="R427" s="95">
        <v>46153</v>
      </c>
      <c r="S427" s="96"/>
      <c r="T427" s="96" t="s">
        <v>59</v>
      </c>
      <c r="U427" s="96" t="s">
        <v>60</v>
      </c>
      <c r="V427" s="92">
        <v>46147</v>
      </c>
      <c r="W427" s="92">
        <v>46154</v>
      </c>
      <c r="X427" s="92" t="s">
        <v>61</v>
      </c>
      <c r="Y427" s="97"/>
      <c r="Z427" s="89" t="s">
        <v>62</v>
      </c>
      <c r="AA427" s="96" t="s">
        <v>1431</v>
      </c>
      <c r="AB427" s="89" t="s">
        <v>63</v>
      </c>
      <c r="AC427" s="111"/>
      <c r="AD427" s="89" t="s">
        <v>86</v>
      </c>
      <c r="AE427" s="89">
        <v>48</v>
      </c>
      <c r="AF427" s="98"/>
      <c r="AG427" s="98"/>
      <c r="AH427" s="98" t="s">
        <v>66</v>
      </c>
      <c r="AI427" s="99" t="s">
        <v>197</v>
      </c>
      <c r="AJ427" s="99" t="s">
        <v>197</v>
      </c>
      <c r="AK427" s="99" t="s">
        <v>67</v>
      </c>
      <c r="AL427" s="45" t="s">
        <v>68</v>
      </c>
      <c r="AM427" s="162" t="str">
        <f t="shared" si="48"/>
        <v>3/2026</v>
      </c>
      <c r="AN427" s="45">
        <f t="shared" si="49"/>
        <v>4</v>
      </c>
      <c r="AO427" s="45" t="str">
        <f t="shared" si="50"/>
        <v>5/2026</v>
      </c>
      <c r="AP427" s="45">
        <f t="shared" si="51"/>
        <v>3</v>
      </c>
      <c r="AQ427" s="45">
        <f t="shared" si="52"/>
        <v>49</v>
      </c>
      <c r="AR427" s="45">
        <f t="shared" si="53"/>
        <v>0</v>
      </c>
      <c r="AS427" s="45">
        <f t="shared" si="54"/>
        <v>7</v>
      </c>
      <c r="AT427" s="45">
        <f t="shared" si="55"/>
        <v>10.486111111109494</v>
      </c>
      <c r="AU427" s="45" t="str">
        <f>_xlfn.XLOOKUP(U427,'Lista Suspensa'!$AA$20:$AA$23,'Lista Suspensa'!$AB$20:$AB$23,"N/A")</f>
        <v>S</v>
      </c>
    </row>
    <row r="428" spans="1:47" ht="12" customHeight="1" x14ac:dyDescent="0.3">
      <c r="A428" s="87" t="s">
        <v>47</v>
      </c>
      <c r="B428" s="88">
        <v>46104</v>
      </c>
      <c r="C428" s="89" t="s">
        <v>48</v>
      </c>
      <c r="D428" s="89" t="s">
        <v>49</v>
      </c>
      <c r="E428" s="90">
        <v>450020797</v>
      </c>
      <c r="F428" s="184" t="s">
        <v>1432</v>
      </c>
      <c r="G428" s="91">
        <v>10448105802</v>
      </c>
      <c r="H428" s="92">
        <v>25679</v>
      </c>
      <c r="I428" s="89">
        <v>55</v>
      </c>
      <c r="J428" s="89" t="s">
        <v>70</v>
      </c>
      <c r="K428" s="89" t="s">
        <v>52</v>
      </c>
      <c r="L428" s="89" t="s">
        <v>53</v>
      </c>
      <c r="M428" s="89" t="s">
        <v>1433</v>
      </c>
      <c r="N428" s="89" t="s">
        <v>72</v>
      </c>
      <c r="O428" s="93" t="s">
        <v>1434</v>
      </c>
      <c r="P428" s="94" t="s">
        <v>57</v>
      </c>
      <c r="Q428" s="112" t="s">
        <v>58</v>
      </c>
      <c r="R428" s="95">
        <v>46164</v>
      </c>
      <c r="S428" s="96"/>
      <c r="T428" s="96" t="s">
        <v>59</v>
      </c>
      <c r="U428" s="96" t="s">
        <v>60</v>
      </c>
      <c r="V428" s="92">
        <v>46147</v>
      </c>
      <c r="W428" s="92">
        <v>46154</v>
      </c>
      <c r="X428" s="92">
        <v>46160</v>
      </c>
      <c r="Y428" s="97"/>
      <c r="Z428" s="89" t="s">
        <v>62</v>
      </c>
      <c r="AA428" s="96">
        <v>46175</v>
      </c>
      <c r="AB428" s="89" t="s">
        <v>80</v>
      </c>
      <c r="AC428" s="111"/>
      <c r="AD428" s="89"/>
      <c r="AE428" s="89"/>
      <c r="AF428" s="98"/>
      <c r="AG428" s="98"/>
      <c r="AH428" s="98"/>
      <c r="AI428" s="99"/>
      <c r="AJ428" s="99" t="s">
        <v>197</v>
      </c>
      <c r="AK428" s="99" t="s">
        <v>67</v>
      </c>
      <c r="AL428" s="45" t="s">
        <v>68</v>
      </c>
      <c r="AM428" s="162" t="str">
        <f t="shared" si="48"/>
        <v>3/2026</v>
      </c>
      <c r="AN428" s="45">
        <f t="shared" si="49"/>
        <v>4</v>
      </c>
      <c r="AO428" s="45" t="str">
        <f t="shared" si="50"/>
        <v>5/2026</v>
      </c>
      <c r="AP428" s="45">
        <f t="shared" si="51"/>
        <v>4</v>
      </c>
      <c r="AQ428" s="45">
        <f t="shared" si="52"/>
        <v>60</v>
      </c>
      <c r="AR428" s="45">
        <f t="shared" si="53"/>
        <v>0</v>
      </c>
      <c r="AS428" s="45">
        <f t="shared" si="54"/>
        <v>6.5</v>
      </c>
      <c r="AT428" s="45">
        <f t="shared" si="55"/>
        <v>0</v>
      </c>
      <c r="AU428" s="45" t="str">
        <f>_xlfn.XLOOKUP(U428,'Lista Suspensa'!$AA$20:$AA$23,'Lista Suspensa'!$AB$20:$AB$23,"N/A")</f>
        <v>S</v>
      </c>
    </row>
    <row r="429" spans="1:47" ht="12" customHeight="1" x14ac:dyDescent="0.3">
      <c r="A429" s="87" t="s">
        <v>47</v>
      </c>
      <c r="B429" s="88">
        <v>46104</v>
      </c>
      <c r="C429" s="89" t="s">
        <v>48</v>
      </c>
      <c r="D429" s="89" t="s">
        <v>49</v>
      </c>
      <c r="E429" s="90">
        <v>82597089</v>
      </c>
      <c r="F429" s="184" t="s">
        <v>1435</v>
      </c>
      <c r="G429" s="91">
        <v>5292154709</v>
      </c>
      <c r="H429" s="92">
        <v>29642</v>
      </c>
      <c r="I429" s="89">
        <v>45</v>
      </c>
      <c r="J429" s="89" t="s">
        <v>51</v>
      </c>
      <c r="K429" s="89" t="s">
        <v>88</v>
      </c>
      <c r="L429" s="89" t="s">
        <v>89</v>
      </c>
      <c r="M429" s="89" t="s">
        <v>590</v>
      </c>
      <c r="N429" s="89" t="s">
        <v>121</v>
      </c>
      <c r="O429" s="93" t="s">
        <v>1436</v>
      </c>
      <c r="P429" s="94" t="s">
        <v>57</v>
      </c>
      <c r="Q429" s="112" t="s">
        <v>58</v>
      </c>
      <c r="R429" s="95">
        <v>46140</v>
      </c>
      <c r="S429" s="96"/>
      <c r="T429" s="96" t="s">
        <v>59</v>
      </c>
      <c r="U429" s="96" t="s">
        <v>60</v>
      </c>
      <c r="V429" s="92">
        <v>46140</v>
      </c>
      <c r="W429" s="92" t="s">
        <v>61</v>
      </c>
      <c r="X429" s="92" t="s">
        <v>61</v>
      </c>
      <c r="Y429" s="97"/>
      <c r="Z429" s="89" t="s">
        <v>62</v>
      </c>
      <c r="AA429" s="96">
        <v>46142.625</v>
      </c>
      <c r="AB429" s="89" t="s">
        <v>80</v>
      </c>
      <c r="AC429" s="111"/>
      <c r="AD429" s="89"/>
      <c r="AE429" s="89"/>
      <c r="AF429" s="98"/>
      <c r="AG429" s="98"/>
      <c r="AH429" s="98"/>
      <c r="AI429" s="99" t="s">
        <v>67</v>
      </c>
      <c r="AJ429" s="99" t="s">
        <v>67</v>
      </c>
      <c r="AK429" s="99" t="s">
        <v>67</v>
      </c>
      <c r="AL429" s="45" t="s">
        <v>68</v>
      </c>
      <c r="AM429" s="162" t="str">
        <f t="shared" si="48"/>
        <v>3/2026</v>
      </c>
      <c r="AN429" s="45">
        <f t="shared" si="49"/>
        <v>4</v>
      </c>
      <c r="AO429" s="45" t="str">
        <f t="shared" si="50"/>
        <v>4/2026</v>
      </c>
      <c r="AP429" s="45">
        <f t="shared" si="51"/>
        <v>5</v>
      </c>
      <c r="AQ429" s="45">
        <f t="shared" si="52"/>
        <v>36</v>
      </c>
      <c r="AR429" s="45">
        <f t="shared" si="53"/>
        <v>0</v>
      </c>
      <c r="AS429" s="45">
        <f t="shared" si="54"/>
        <v>0</v>
      </c>
      <c r="AT429" s="45">
        <f t="shared" si="55"/>
        <v>0</v>
      </c>
      <c r="AU429" s="45" t="str">
        <f>_xlfn.XLOOKUP(U429,'Lista Suspensa'!$AA$20:$AA$23,'Lista Suspensa'!$AB$20:$AB$23,"N/A")</f>
        <v>S</v>
      </c>
    </row>
    <row r="430" spans="1:47" ht="12" customHeight="1" x14ac:dyDescent="0.3">
      <c r="A430" s="87" t="s">
        <v>47</v>
      </c>
      <c r="B430" s="88">
        <v>46104</v>
      </c>
      <c r="C430" s="89" t="s">
        <v>48</v>
      </c>
      <c r="D430" s="89" t="s">
        <v>49</v>
      </c>
      <c r="E430" s="90">
        <v>82595152</v>
      </c>
      <c r="F430" s="184" t="s">
        <v>1437</v>
      </c>
      <c r="G430" s="91">
        <v>46015876700</v>
      </c>
      <c r="H430" s="92">
        <v>20663</v>
      </c>
      <c r="I430" s="89">
        <v>69</v>
      </c>
      <c r="J430" s="89" t="s">
        <v>51</v>
      </c>
      <c r="K430" s="89" t="s">
        <v>88</v>
      </c>
      <c r="L430" s="89" t="s">
        <v>89</v>
      </c>
      <c r="M430" s="89" t="s">
        <v>384</v>
      </c>
      <c r="N430" s="89" t="s">
        <v>121</v>
      </c>
      <c r="O430" s="93" t="s">
        <v>1438</v>
      </c>
      <c r="P430" s="94" t="s">
        <v>57</v>
      </c>
      <c r="Q430" s="112" t="s">
        <v>58</v>
      </c>
      <c r="R430" s="95">
        <v>46164</v>
      </c>
      <c r="S430" s="96"/>
      <c r="T430" s="96" t="s">
        <v>59</v>
      </c>
      <c r="U430" s="96" t="s">
        <v>60</v>
      </c>
      <c r="V430" s="92">
        <v>46147</v>
      </c>
      <c r="W430" s="92">
        <v>46154</v>
      </c>
      <c r="X430" s="92">
        <v>46160</v>
      </c>
      <c r="Y430" s="97"/>
      <c r="Z430" s="89" t="s">
        <v>62</v>
      </c>
      <c r="AA430" s="96">
        <v>46175</v>
      </c>
      <c r="AB430" s="89" t="s">
        <v>80</v>
      </c>
      <c r="AC430" s="111"/>
      <c r="AD430" s="89"/>
      <c r="AE430" s="89"/>
      <c r="AF430" s="98"/>
      <c r="AG430" s="98"/>
      <c r="AH430" s="98"/>
      <c r="AI430" s="99"/>
      <c r="AJ430" s="99" t="s">
        <v>197</v>
      </c>
      <c r="AK430" s="99" t="s">
        <v>67</v>
      </c>
      <c r="AL430" s="45" t="s">
        <v>68</v>
      </c>
      <c r="AM430" s="162" t="str">
        <f t="shared" si="48"/>
        <v>3/2026</v>
      </c>
      <c r="AN430" s="45">
        <f t="shared" si="49"/>
        <v>4</v>
      </c>
      <c r="AO430" s="45" t="str">
        <f t="shared" si="50"/>
        <v>5/2026</v>
      </c>
      <c r="AP430" s="45">
        <f t="shared" si="51"/>
        <v>4</v>
      </c>
      <c r="AQ430" s="45">
        <f t="shared" si="52"/>
        <v>60</v>
      </c>
      <c r="AR430" s="45">
        <f t="shared" si="53"/>
        <v>0</v>
      </c>
      <c r="AS430" s="45">
        <f t="shared" si="54"/>
        <v>6.5</v>
      </c>
      <c r="AT430" s="45">
        <f t="shared" si="55"/>
        <v>0</v>
      </c>
      <c r="AU430" s="45" t="str">
        <f>_xlfn.XLOOKUP(U430,'Lista Suspensa'!$AA$20:$AA$23,'Lista Suspensa'!$AB$20:$AB$23,"N/A")</f>
        <v>S</v>
      </c>
    </row>
    <row r="431" spans="1:47" ht="12" customHeight="1" x14ac:dyDescent="0.3">
      <c r="A431" s="87" t="s">
        <v>47</v>
      </c>
      <c r="B431" s="88">
        <v>46104</v>
      </c>
      <c r="C431" s="89" t="s">
        <v>48</v>
      </c>
      <c r="D431" s="89" t="s">
        <v>49</v>
      </c>
      <c r="E431" s="90">
        <v>84572808</v>
      </c>
      <c r="F431" s="184" t="s">
        <v>1439</v>
      </c>
      <c r="G431" s="91">
        <v>315764783</v>
      </c>
      <c r="H431" s="92">
        <v>25093</v>
      </c>
      <c r="I431" s="89">
        <v>57</v>
      </c>
      <c r="J431" s="89" t="s">
        <v>51</v>
      </c>
      <c r="K431" s="89" t="s">
        <v>88</v>
      </c>
      <c r="L431" s="89" t="s">
        <v>97</v>
      </c>
      <c r="M431" s="89" t="s">
        <v>1440</v>
      </c>
      <c r="N431" s="89" t="s">
        <v>121</v>
      </c>
      <c r="O431" s="93" t="s">
        <v>1441</v>
      </c>
      <c r="P431" s="94" t="s">
        <v>57</v>
      </c>
      <c r="Q431" s="112" t="s">
        <v>58</v>
      </c>
      <c r="R431" s="95">
        <v>46117</v>
      </c>
      <c r="S431" s="96"/>
      <c r="T431" s="96" t="s">
        <v>59</v>
      </c>
      <c r="U431" s="96" t="s">
        <v>60</v>
      </c>
      <c r="V431" s="92">
        <v>46128</v>
      </c>
      <c r="W431" s="92" t="s">
        <v>61</v>
      </c>
      <c r="X431" s="92" t="s">
        <v>61</v>
      </c>
      <c r="Y431" s="97"/>
      <c r="Z431" s="89" t="s">
        <v>62</v>
      </c>
      <c r="AA431" s="96">
        <v>46160</v>
      </c>
      <c r="AB431" s="89" t="s">
        <v>224</v>
      </c>
      <c r="AC431" s="111">
        <v>46163</v>
      </c>
      <c r="AD431" s="89"/>
      <c r="AE431" s="89"/>
      <c r="AF431" s="98"/>
      <c r="AG431" s="98"/>
      <c r="AH431" s="98"/>
      <c r="AI431" s="99" t="s">
        <v>197</v>
      </c>
      <c r="AJ431" s="99" t="s">
        <v>197</v>
      </c>
      <c r="AK431" s="99" t="s">
        <v>67</v>
      </c>
      <c r="AL431" s="45" t="s">
        <v>68</v>
      </c>
      <c r="AM431" s="162" t="str">
        <f t="shared" si="48"/>
        <v>3/2026</v>
      </c>
      <c r="AN431" s="45">
        <f t="shared" si="49"/>
        <v>4</v>
      </c>
      <c r="AO431" s="45" t="str">
        <f t="shared" si="50"/>
        <v>4/2026</v>
      </c>
      <c r="AP431" s="45">
        <f t="shared" si="51"/>
        <v>2</v>
      </c>
      <c r="AQ431" s="45">
        <f t="shared" si="52"/>
        <v>13</v>
      </c>
      <c r="AR431" s="45">
        <f t="shared" si="53"/>
        <v>0</v>
      </c>
      <c r="AS431" s="45">
        <f t="shared" si="54"/>
        <v>0</v>
      </c>
      <c r="AT431" s="45">
        <f t="shared" si="55"/>
        <v>0</v>
      </c>
      <c r="AU431" s="45" t="str">
        <f>_xlfn.XLOOKUP(U431,'Lista Suspensa'!$AA$20:$AA$23,'Lista Suspensa'!$AB$20:$AB$23,"N/A")</f>
        <v>S</v>
      </c>
    </row>
    <row r="432" spans="1:47" ht="12" customHeight="1" x14ac:dyDescent="0.3">
      <c r="A432" s="87" t="s">
        <v>47</v>
      </c>
      <c r="B432" s="88">
        <v>46104</v>
      </c>
      <c r="C432" s="89" t="s">
        <v>48</v>
      </c>
      <c r="D432" s="89" t="s">
        <v>49</v>
      </c>
      <c r="E432" s="90">
        <v>76168475</v>
      </c>
      <c r="F432" s="184" t="s">
        <v>1442</v>
      </c>
      <c r="G432" s="91">
        <v>99328410720</v>
      </c>
      <c r="H432" s="92">
        <v>25035</v>
      </c>
      <c r="I432" s="89">
        <v>57</v>
      </c>
      <c r="J432" s="89" t="s">
        <v>51</v>
      </c>
      <c r="K432" s="89" t="s">
        <v>88</v>
      </c>
      <c r="L432" s="89" t="s">
        <v>89</v>
      </c>
      <c r="M432" s="89" t="s">
        <v>1074</v>
      </c>
      <c r="N432" s="89" t="s">
        <v>130</v>
      </c>
      <c r="O432" s="93" t="s">
        <v>1443</v>
      </c>
      <c r="P432" s="94" t="s">
        <v>57</v>
      </c>
      <c r="Q432" s="112" t="s">
        <v>58</v>
      </c>
      <c r="R432" s="95">
        <v>46140</v>
      </c>
      <c r="S432" s="96"/>
      <c r="T432" s="96" t="s">
        <v>59</v>
      </c>
      <c r="U432" s="96" t="s">
        <v>60</v>
      </c>
      <c r="V432" s="92">
        <v>46140</v>
      </c>
      <c r="W432" s="92" t="s">
        <v>61</v>
      </c>
      <c r="X432" s="92" t="s">
        <v>61</v>
      </c>
      <c r="Y432" s="97"/>
      <c r="Z432" s="89" t="s">
        <v>62</v>
      </c>
      <c r="AA432" s="96">
        <v>46141.680555555555</v>
      </c>
      <c r="AB432" s="89" t="s">
        <v>80</v>
      </c>
      <c r="AC432" s="111"/>
      <c r="AD432" s="89"/>
      <c r="AE432" s="89"/>
      <c r="AF432" s="98"/>
      <c r="AG432" s="98"/>
      <c r="AH432" s="98"/>
      <c r="AI432" s="99" t="s">
        <v>67</v>
      </c>
      <c r="AJ432" s="99" t="s">
        <v>67</v>
      </c>
      <c r="AK432" s="99" t="s">
        <v>67</v>
      </c>
      <c r="AL432" s="45" t="s">
        <v>68</v>
      </c>
      <c r="AM432" s="162" t="str">
        <f t="shared" si="48"/>
        <v>3/2026</v>
      </c>
      <c r="AN432" s="45">
        <f t="shared" si="49"/>
        <v>4</v>
      </c>
      <c r="AO432" s="45" t="str">
        <f t="shared" si="50"/>
        <v>4/2026</v>
      </c>
      <c r="AP432" s="45">
        <f t="shared" si="51"/>
        <v>5</v>
      </c>
      <c r="AQ432" s="45">
        <f t="shared" si="52"/>
        <v>36</v>
      </c>
      <c r="AR432" s="45">
        <f t="shared" si="53"/>
        <v>0</v>
      </c>
      <c r="AS432" s="45">
        <f t="shared" si="54"/>
        <v>0</v>
      </c>
      <c r="AT432" s="45">
        <f t="shared" si="55"/>
        <v>0</v>
      </c>
      <c r="AU432" s="45" t="str">
        <f>_xlfn.XLOOKUP(U432,'Lista Suspensa'!$AA$20:$AA$23,'Lista Suspensa'!$AB$20:$AB$23,"N/A")</f>
        <v>S</v>
      </c>
    </row>
    <row r="433" spans="1:47" ht="12" customHeight="1" x14ac:dyDescent="0.3">
      <c r="A433" s="87" t="s">
        <v>47</v>
      </c>
      <c r="B433" s="88">
        <v>46104</v>
      </c>
      <c r="C433" s="89" t="s">
        <v>48</v>
      </c>
      <c r="D433" s="89" t="s">
        <v>49</v>
      </c>
      <c r="E433" s="90">
        <v>75104869</v>
      </c>
      <c r="F433" s="184" t="s">
        <v>1444</v>
      </c>
      <c r="G433" s="91">
        <v>37940007491</v>
      </c>
      <c r="H433" s="92">
        <v>22840</v>
      </c>
      <c r="I433" s="89">
        <v>63</v>
      </c>
      <c r="J433" s="89" t="s">
        <v>70</v>
      </c>
      <c r="K433" s="89" t="s">
        <v>88</v>
      </c>
      <c r="L433" s="89" t="s">
        <v>97</v>
      </c>
      <c r="M433" s="89" t="s">
        <v>240</v>
      </c>
      <c r="N433" s="89" t="s">
        <v>130</v>
      </c>
      <c r="O433" s="93" t="s">
        <v>1445</v>
      </c>
      <c r="P433" s="94" t="s">
        <v>57</v>
      </c>
      <c r="Q433" s="112" t="s">
        <v>58</v>
      </c>
      <c r="R433" s="95">
        <v>46140</v>
      </c>
      <c r="S433" s="96"/>
      <c r="T433" s="96" t="s">
        <v>59</v>
      </c>
      <c r="U433" s="96" t="s">
        <v>60</v>
      </c>
      <c r="V433" s="92">
        <v>46140</v>
      </c>
      <c r="W433" s="92" t="s">
        <v>61</v>
      </c>
      <c r="X433" s="92" t="s">
        <v>61</v>
      </c>
      <c r="Y433" s="97"/>
      <c r="Z433" s="89" t="s">
        <v>62</v>
      </c>
      <c r="AA433" s="96" t="s">
        <v>1446</v>
      </c>
      <c r="AB433" s="89" t="s">
        <v>80</v>
      </c>
      <c r="AC433" s="111"/>
      <c r="AD433" s="89"/>
      <c r="AE433" s="89"/>
      <c r="AF433" s="98"/>
      <c r="AG433" s="98"/>
      <c r="AH433" s="98"/>
      <c r="AI433" s="99" t="s">
        <v>67</v>
      </c>
      <c r="AJ433" s="99" t="s">
        <v>67</v>
      </c>
      <c r="AK433" s="99" t="s">
        <v>67</v>
      </c>
      <c r="AL433" s="45" t="s">
        <v>68</v>
      </c>
      <c r="AM433" s="162" t="str">
        <f t="shared" si="48"/>
        <v>3/2026</v>
      </c>
      <c r="AN433" s="45">
        <f t="shared" si="49"/>
        <v>4</v>
      </c>
      <c r="AO433" s="45" t="str">
        <f t="shared" si="50"/>
        <v>4/2026</v>
      </c>
      <c r="AP433" s="45">
        <f t="shared" si="51"/>
        <v>5</v>
      </c>
      <c r="AQ433" s="45">
        <f t="shared" si="52"/>
        <v>36</v>
      </c>
      <c r="AR433" s="45">
        <f t="shared" si="53"/>
        <v>0</v>
      </c>
      <c r="AS433" s="45">
        <f t="shared" si="54"/>
        <v>0</v>
      </c>
      <c r="AT433" s="45">
        <f t="shared" si="55"/>
        <v>0</v>
      </c>
      <c r="AU433" s="45" t="str">
        <f>_xlfn.XLOOKUP(U433,'Lista Suspensa'!$AA$20:$AA$23,'Lista Suspensa'!$AB$20:$AB$23,"N/A")</f>
        <v>S</v>
      </c>
    </row>
    <row r="434" spans="1:47" ht="12" customHeight="1" x14ac:dyDescent="0.3">
      <c r="A434" s="87" t="s">
        <v>47</v>
      </c>
      <c r="B434" s="88">
        <v>46104</v>
      </c>
      <c r="C434" s="89" t="s">
        <v>48</v>
      </c>
      <c r="D434" s="89" t="s">
        <v>49</v>
      </c>
      <c r="E434" s="90">
        <v>76347404</v>
      </c>
      <c r="F434" s="184" t="s">
        <v>1447</v>
      </c>
      <c r="G434" s="91">
        <v>2597546764</v>
      </c>
      <c r="H434" s="92">
        <v>25330</v>
      </c>
      <c r="I434" s="89">
        <v>56</v>
      </c>
      <c r="J434" s="89" t="s">
        <v>70</v>
      </c>
      <c r="K434" s="89" t="s">
        <v>88</v>
      </c>
      <c r="L434" s="89" t="s">
        <v>89</v>
      </c>
      <c r="M434" s="89" t="s">
        <v>1448</v>
      </c>
      <c r="N434" s="89" t="s">
        <v>130</v>
      </c>
      <c r="O434" s="93" t="s">
        <v>1449</v>
      </c>
      <c r="P434" s="94" t="s">
        <v>57</v>
      </c>
      <c r="Q434" s="112" t="s">
        <v>58</v>
      </c>
      <c r="R434" s="95">
        <v>46140</v>
      </c>
      <c r="S434" s="96"/>
      <c r="T434" s="96" t="s">
        <v>59</v>
      </c>
      <c r="U434" s="96" t="s">
        <v>60</v>
      </c>
      <c r="V434" s="92">
        <v>46140</v>
      </c>
      <c r="W434" s="92">
        <v>46146</v>
      </c>
      <c r="X434" s="92" t="s">
        <v>61</v>
      </c>
      <c r="Y434" s="97"/>
      <c r="Z434" s="89" t="s">
        <v>62</v>
      </c>
      <c r="AA434" s="96" t="s">
        <v>1450</v>
      </c>
      <c r="AB434" s="89" t="s">
        <v>63</v>
      </c>
      <c r="AC434" s="111"/>
      <c r="AD434" s="89" t="s">
        <v>86</v>
      </c>
      <c r="AE434" s="89">
        <v>63</v>
      </c>
      <c r="AF434" s="98"/>
      <c r="AG434" s="98"/>
      <c r="AH434" s="98" t="s">
        <v>66</v>
      </c>
      <c r="AI434" s="99" t="s">
        <v>67</v>
      </c>
      <c r="AJ434" s="99" t="s">
        <v>67</v>
      </c>
      <c r="AK434" s="99" t="s">
        <v>67</v>
      </c>
      <c r="AL434" s="45" t="s">
        <v>68</v>
      </c>
      <c r="AM434" s="162" t="str">
        <f t="shared" si="48"/>
        <v>3/2026</v>
      </c>
      <c r="AN434" s="45">
        <f t="shared" si="49"/>
        <v>4</v>
      </c>
      <c r="AO434" s="45" t="str">
        <f t="shared" si="50"/>
        <v>4/2026</v>
      </c>
      <c r="AP434" s="45">
        <f t="shared" si="51"/>
        <v>5</v>
      </c>
      <c r="AQ434" s="45">
        <f t="shared" si="52"/>
        <v>36</v>
      </c>
      <c r="AR434" s="45">
        <f t="shared" si="53"/>
        <v>0</v>
      </c>
      <c r="AS434" s="45">
        <f t="shared" si="54"/>
        <v>6</v>
      </c>
      <c r="AT434" s="45">
        <f t="shared" si="55"/>
        <v>6.6388888888905058</v>
      </c>
      <c r="AU434" s="45" t="str">
        <f>_xlfn.XLOOKUP(U434,'Lista Suspensa'!$AA$20:$AA$23,'Lista Suspensa'!$AB$20:$AB$23,"N/A")</f>
        <v>S</v>
      </c>
    </row>
    <row r="435" spans="1:47" ht="12" customHeight="1" x14ac:dyDescent="0.3">
      <c r="A435" s="87" t="s">
        <v>47</v>
      </c>
      <c r="B435" s="88">
        <v>46104</v>
      </c>
      <c r="C435" s="89" t="s">
        <v>48</v>
      </c>
      <c r="D435" s="89" t="s">
        <v>49</v>
      </c>
      <c r="E435" s="90">
        <v>86126454</v>
      </c>
      <c r="F435" s="184" t="s">
        <v>1451</v>
      </c>
      <c r="G435" s="91">
        <v>427409756</v>
      </c>
      <c r="H435" s="92">
        <v>24939</v>
      </c>
      <c r="I435" s="89">
        <v>57</v>
      </c>
      <c r="J435" s="89" t="s">
        <v>51</v>
      </c>
      <c r="K435" s="89" t="s">
        <v>88</v>
      </c>
      <c r="L435" s="89" t="s">
        <v>97</v>
      </c>
      <c r="M435" s="89" t="s">
        <v>1452</v>
      </c>
      <c r="N435" s="89" t="s">
        <v>121</v>
      </c>
      <c r="O435" s="93" t="s">
        <v>1453</v>
      </c>
      <c r="P435" s="94" t="s">
        <v>57</v>
      </c>
      <c r="Q435" s="112" t="s">
        <v>58</v>
      </c>
      <c r="R435" s="95">
        <v>46153</v>
      </c>
      <c r="S435" s="96"/>
      <c r="T435" s="96" t="s">
        <v>59</v>
      </c>
      <c r="U435" s="96" t="s">
        <v>60</v>
      </c>
      <c r="V435" s="92">
        <v>46112</v>
      </c>
      <c r="W435" s="92">
        <v>46154</v>
      </c>
      <c r="X435" s="92" t="s">
        <v>61</v>
      </c>
      <c r="Y435" s="97"/>
      <c r="Z435" s="89" t="s">
        <v>62</v>
      </c>
      <c r="AA435" s="96">
        <v>46161.625</v>
      </c>
      <c r="AB435" s="89" t="s">
        <v>80</v>
      </c>
      <c r="AC435" s="111"/>
      <c r="AD435" s="89"/>
      <c r="AE435" s="89"/>
      <c r="AF435" s="98"/>
      <c r="AG435" s="98"/>
      <c r="AH435" s="98"/>
      <c r="AI435" s="99" t="s">
        <v>197</v>
      </c>
      <c r="AJ435" s="99" t="s">
        <v>197</v>
      </c>
      <c r="AK435" s="99" t="s">
        <v>67</v>
      </c>
      <c r="AL435" s="45" t="s">
        <v>68</v>
      </c>
      <c r="AM435" s="162" t="str">
        <f t="shared" si="48"/>
        <v>3/2026</v>
      </c>
      <c r="AN435" s="45">
        <f t="shared" si="49"/>
        <v>4</v>
      </c>
      <c r="AO435" s="45" t="str">
        <f t="shared" si="50"/>
        <v>5/2026</v>
      </c>
      <c r="AP435" s="45">
        <f t="shared" si="51"/>
        <v>3</v>
      </c>
      <c r="AQ435" s="45">
        <f t="shared" si="52"/>
        <v>49</v>
      </c>
      <c r="AR435" s="45">
        <f t="shared" si="53"/>
        <v>0</v>
      </c>
      <c r="AS435" s="45">
        <f t="shared" si="54"/>
        <v>42</v>
      </c>
      <c r="AT435" s="45">
        <f t="shared" si="55"/>
        <v>0</v>
      </c>
      <c r="AU435" s="45" t="str">
        <f>_xlfn.XLOOKUP(U435,'Lista Suspensa'!$AA$20:$AA$23,'Lista Suspensa'!$AB$20:$AB$23,"N/A")</f>
        <v>S</v>
      </c>
    </row>
    <row r="436" spans="1:47" ht="12" customHeight="1" x14ac:dyDescent="0.3">
      <c r="A436" s="87" t="s">
        <v>47</v>
      </c>
      <c r="B436" s="88">
        <v>46104</v>
      </c>
      <c r="C436" s="89" t="s">
        <v>48</v>
      </c>
      <c r="D436" s="89" t="s">
        <v>49</v>
      </c>
      <c r="E436" s="90">
        <v>93367101</v>
      </c>
      <c r="F436" s="184" t="s">
        <v>1454</v>
      </c>
      <c r="G436" s="91">
        <v>30810671700</v>
      </c>
      <c r="H436" s="92">
        <v>19885</v>
      </c>
      <c r="I436" s="89">
        <v>71</v>
      </c>
      <c r="J436" s="89" t="s">
        <v>51</v>
      </c>
      <c r="K436" s="89" t="s">
        <v>88</v>
      </c>
      <c r="L436" s="89" t="s">
        <v>89</v>
      </c>
      <c r="M436" s="89" t="s">
        <v>1169</v>
      </c>
      <c r="N436" s="89" t="s">
        <v>121</v>
      </c>
      <c r="O436" s="93" t="s">
        <v>1455</v>
      </c>
      <c r="P436" s="94" t="s">
        <v>57</v>
      </c>
      <c r="Q436" s="112" t="s">
        <v>58</v>
      </c>
      <c r="R436" s="95">
        <v>46164</v>
      </c>
      <c r="S436" s="96"/>
      <c r="T436" s="96" t="s">
        <v>59</v>
      </c>
      <c r="U436" s="96" t="s">
        <v>60</v>
      </c>
      <c r="V436" s="92">
        <v>46147</v>
      </c>
      <c r="W436" s="92">
        <v>46154</v>
      </c>
      <c r="X436" s="92">
        <v>46160</v>
      </c>
      <c r="Y436" s="97"/>
      <c r="Z436" s="89" t="s">
        <v>62</v>
      </c>
      <c r="AA436" s="96">
        <v>46175</v>
      </c>
      <c r="AB436" s="89" t="s">
        <v>80</v>
      </c>
      <c r="AC436" s="111"/>
      <c r="AD436" s="89"/>
      <c r="AE436" s="89"/>
      <c r="AF436" s="98"/>
      <c r="AG436" s="98"/>
      <c r="AH436" s="98"/>
      <c r="AI436" s="99"/>
      <c r="AJ436" s="99" t="s">
        <v>197</v>
      </c>
      <c r="AK436" s="99" t="s">
        <v>67</v>
      </c>
      <c r="AL436" s="45" t="s">
        <v>68</v>
      </c>
      <c r="AM436" s="162" t="str">
        <f t="shared" si="48"/>
        <v>3/2026</v>
      </c>
      <c r="AN436" s="45">
        <f t="shared" si="49"/>
        <v>4</v>
      </c>
      <c r="AO436" s="45" t="str">
        <f t="shared" si="50"/>
        <v>5/2026</v>
      </c>
      <c r="AP436" s="45">
        <f t="shared" si="51"/>
        <v>4</v>
      </c>
      <c r="AQ436" s="45">
        <f t="shared" si="52"/>
        <v>60</v>
      </c>
      <c r="AR436" s="45">
        <f t="shared" si="53"/>
        <v>0</v>
      </c>
      <c r="AS436" s="45">
        <f t="shared" si="54"/>
        <v>6.5</v>
      </c>
      <c r="AT436" s="45">
        <f t="shared" si="55"/>
        <v>0</v>
      </c>
      <c r="AU436" s="45" t="str">
        <f>_xlfn.XLOOKUP(U436,'Lista Suspensa'!$AA$20:$AA$23,'Lista Suspensa'!$AB$20:$AB$23,"N/A")</f>
        <v>S</v>
      </c>
    </row>
    <row r="437" spans="1:47" ht="12" customHeight="1" x14ac:dyDescent="0.3">
      <c r="A437" s="87" t="s">
        <v>47</v>
      </c>
      <c r="B437" s="88">
        <v>46104</v>
      </c>
      <c r="C437" s="89" t="s">
        <v>48</v>
      </c>
      <c r="D437" s="89" t="s">
        <v>49</v>
      </c>
      <c r="E437" s="90">
        <v>76600322</v>
      </c>
      <c r="F437" s="184" t="s">
        <v>1456</v>
      </c>
      <c r="G437" s="91">
        <v>42572142791</v>
      </c>
      <c r="H437" s="92">
        <v>21152</v>
      </c>
      <c r="I437" s="89">
        <v>68</v>
      </c>
      <c r="J437" s="89" t="s">
        <v>51</v>
      </c>
      <c r="K437" s="89" t="s">
        <v>88</v>
      </c>
      <c r="L437" s="89" t="s">
        <v>89</v>
      </c>
      <c r="M437" s="89" t="s">
        <v>861</v>
      </c>
      <c r="N437" s="89" t="s">
        <v>130</v>
      </c>
      <c r="O437" s="93" t="s">
        <v>1457</v>
      </c>
      <c r="P437" s="94" t="s">
        <v>57</v>
      </c>
      <c r="Q437" s="112" t="s">
        <v>58</v>
      </c>
      <c r="R437" s="95">
        <v>46171</v>
      </c>
      <c r="S437" s="96"/>
      <c r="T437" s="96" t="s">
        <v>59</v>
      </c>
      <c r="U437" s="96" t="s">
        <v>60</v>
      </c>
      <c r="V437" s="92">
        <v>46122</v>
      </c>
      <c r="W437" s="92">
        <v>46154</v>
      </c>
      <c r="X437" s="92">
        <v>46160</v>
      </c>
      <c r="Y437" s="97"/>
      <c r="Z437" s="89" t="s">
        <v>62</v>
      </c>
      <c r="AA437" s="96">
        <v>46176</v>
      </c>
      <c r="AB437" s="89" t="s">
        <v>80</v>
      </c>
      <c r="AC437" s="111"/>
      <c r="AD437" s="89"/>
      <c r="AE437" s="89"/>
      <c r="AF437" s="98"/>
      <c r="AG437" s="98"/>
      <c r="AH437" s="98"/>
      <c r="AI437" s="99"/>
      <c r="AJ437" s="99" t="s">
        <v>197</v>
      </c>
      <c r="AK437" s="99" t="s">
        <v>67</v>
      </c>
      <c r="AL437" s="45" t="s">
        <v>68</v>
      </c>
      <c r="AM437" s="162" t="str">
        <f t="shared" si="48"/>
        <v>3/2026</v>
      </c>
      <c r="AN437" s="45">
        <f t="shared" si="49"/>
        <v>4</v>
      </c>
      <c r="AO437" s="45" t="str">
        <f t="shared" si="50"/>
        <v>5/2026</v>
      </c>
      <c r="AP437" s="45">
        <f t="shared" si="51"/>
        <v>5</v>
      </c>
      <c r="AQ437" s="45">
        <f t="shared" si="52"/>
        <v>67</v>
      </c>
      <c r="AR437" s="45">
        <f t="shared" si="53"/>
        <v>0</v>
      </c>
      <c r="AS437" s="45">
        <f t="shared" si="54"/>
        <v>19</v>
      </c>
      <c r="AT437" s="45">
        <f t="shared" si="55"/>
        <v>0</v>
      </c>
      <c r="AU437" s="45" t="str">
        <f>_xlfn.XLOOKUP(U437,'Lista Suspensa'!$AA$20:$AA$23,'Lista Suspensa'!$AB$20:$AB$23,"N/A")</f>
        <v>S</v>
      </c>
    </row>
    <row r="438" spans="1:47" ht="12" customHeight="1" x14ac:dyDescent="0.3">
      <c r="A438" s="87" t="s">
        <v>47</v>
      </c>
      <c r="B438" s="88">
        <v>46104</v>
      </c>
      <c r="C438" s="89" t="s">
        <v>48</v>
      </c>
      <c r="D438" s="89" t="s">
        <v>49</v>
      </c>
      <c r="E438" s="90">
        <v>73092756</v>
      </c>
      <c r="F438" s="184" t="s">
        <v>1458</v>
      </c>
      <c r="G438" s="91">
        <v>40904733734</v>
      </c>
      <c r="H438" s="92">
        <v>19925</v>
      </c>
      <c r="I438" s="89">
        <v>71</v>
      </c>
      <c r="J438" s="89" t="s">
        <v>51</v>
      </c>
      <c r="K438" s="89" t="s">
        <v>88</v>
      </c>
      <c r="L438" s="89" t="s">
        <v>89</v>
      </c>
      <c r="M438" s="89" t="s">
        <v>1459</v>
      </c>
      <c r="N438" s="89" t="s">
        <v>130</v>
      </c>
      <c r="O438" s="93" t="s">
        <v>1460</v>
      </c>
      <c r="P438" s="94" t="s">
        <v>57</v>
      </c>
      <c r="Q438" s="112" t="s">
        <v>58</v>
      </c>
      <c r="R438" s="95">
        <v>46140</v>
      </c>
      <c r="S438" s="96"/>
      <c r="T438" s="96" t="s">
        <v>59</v>
      </c>
      <c r="U438" s="96" t="s">
        <v>60</v>
      </c>
      <c r="V438" s="92">
        <v>46140</v>
      </c>
      <c r="W438" s="92" t="s">
        <v>61</v>
      </c>
      <c r="X438" s="92" t="s">
        <v>61</v>
      </c>
      <c r="Y438" s="97"/>
      <c r="Z438" s="89" t="s">
        <v>62</v>
      </c>
      <c r="AA438" s="96">
        <v>46182</v>
      </c>
      <c r="AB438" s="89" t="s">
        <v>80</v>
      </c>
      <c r="AC438" s="111">
        <v>46158</v>
      </c>
      <c r="AD438" s="89"/>
      <c r="AE438" s="89"/>
      <c r="AF438" s="98"/>
      <c r="AG438" s="98"/>
      <c r="AH438" s="98"/>
      <c r="AI438" s="99" t="s">
        <v>67</v>
      </c>
      <c r="AJ438" s="99" t="s">
        <v>67</v>
      </c>
      <c r="AK438" s="99" t="s">
        <v>67</v>
      </c>
      <c r="AL438" s="45" t="s">
        <v>68</v>
      </c>
      <c r="AM438" s="162" t="str">
        <f t="shared" si="48"/>
        <v>3/2026</v>
      </c>
      <c r="AN438" s="45">
        <f t="shared" si="49"/>
        <v>4</v>
      </c>
      <c r="AO438" s="45" t="str">
        <f t="shared" si="50"/>
        <v>4/2026</v>
      </c>
      <c r="AP438" s="45">
        <f t="shared" si="51"/>
        <v>5</v>
      </c>
      <c r="AQ438" s="45">
        <f t="shared" si="52"/>
        <v>36</v>
      </c>
      <c r="AR438" s="45">
        <f t="shared" si="53"/>
        <v>0</v>
      </c>
      <c r="AS438" s="45">
        <f t="shared" si="54"/>
        <v>0</v>
      </c>
      <c r="AT438" s="45">
        <f t="shared" si="55"/>
        <v>0</v>
      </c>
      <c r="AU438" s="45" t="str">
        <f>_xlfn.XLOOKUP(U438,'Lista Suspensa'!$AA$20:$AA$23,'Lista Suspensa'!$AB$20:$AB$23,"N/A")</f>
        <v>S</v>
      </c>
    </row>
    <row r="439" spans="1:47" ht="12" customHeight="1" x14ac:dyDescent="0.3">
      <c r="A439" s="87" t="s">
        <v>47</v>
      </c>
      <c r="B439" s="88">
        <v>46104</v>
      </c>
      <c r="C439" s="89" t="s">
        <v>48</v>
      </c>
      <c r="D439" s="89" t="s">
        <v>49</v>
      </c>
      <c r="E439" s="90">
        <v>596660634</v>
      </c>
      <c r="F439" s="184" t="s">
        <v>1461</v>
      </c>
      <c r="G439" s="91">
        <v>2155717890</v>
      </c>
      <c r="H439" s="92">
        <v>22639</v>
      </c>
      <c r="I439" s="89">
        <v>64</v>
      </c>
      <c r="J439" s="89" t="s">
        <v>51</v>
      </c>
      <c r="K439" s="89" t="s">
        <v>52</v>
      </c>
      <c r="L439" s="89" t="s">
        <v>53</v>
      </c>
      <c r="M439" s="89" t="s">
        <v>1462</v>
      </c>
      <c r="N439" s="89" t="s">
        <v>130</v>
      </c>
      <c r="O439" s="93" t="s">
        <v>1463</v>
      </c>
      <c r="P439" s="94" t="s">
        <v>57</v>
      </c>
      <c r="Q439" s="112" t="s">
        <v>58</v>
      </c>
      <c r="R439" s="95">
        <v>46140</v>
      </c>
      <c r="S439" s="96"/>
      <c r="T439" s="96" t="s">
        <v>59</v>
      </c>
      <c r="U439" s="96" t="s">
        <v>60</v>
      </c>
      <c r="V439" s="92">
        <v>46140</v>
      </c>
      <c r="W439" s="92" t="s">
        <v>61</v>
      </c>
      <c r="X439" s="92" t="s">
        <v>61</v>
      </c>
      <c r="Y439" s="97"/>
      <c r="Z439" s="89" t="s">
        <v>62</v>
      </c>
      <c r="AA439" s="96">
        <v>46146</v>
      </c>
      <c r="AB439" s="89" t="s">
        <v>63</v>
      </c>
      <c r="AC439" s="111"/>
      <c r="AD439" s="89"/>
      <c r="AE439" s="89"/>
      <c r="AF439" s="98" t="s">
        <v>175</v>
      </c>
      <c r="AG439" s="98"/>
      <c r="AH439" s="98" t="s">
        <v>66</v>
      </c>
      <c r="AI439" s="99" t="s">
        <v>67</v>
      </c>
      <c r="AJ439" s="99" t="s">
        <v>67</v>
      </c>
      <c r="AK439" s="99" t="s">
        <v>67</v>
      </c>
      <c r="AL439" s="45" t="s">
        <v>68</v>
      </c>
      <c r="AM439" s="162" t="str">
        <f t="shared" si="48"/>
        <v>3/2026</v>
      </c>
      <c r="AN439" s="45">
        <f t="shared" si="49"/>
        <v>4</v>
      </c>
      <c r="AO439" s="45" t="str">
        <f t="shared" si="50"/>
        <v>4/2026</v>
      </c>
      <c r="AP439" s="45">
        <f t="shared" si="51"/>
        <v>5</v>
      </c>
      <c r="AQ439" s="45">
        <f t="shared" si="52"/>
        <v>36</v>
      </c>
      <c r="AR439" s="45">
        <f t="shared" si="53"/>
        <v>0</v>
      </c>
      <c r="AS439" s="45">
        <f t="shared" si="54"/>
        <v>0</v>
      </c>
      <c r="AT439" s="45">
        <f t="shared" si="55"/>
        <v>6</v>
      </c>
      <c r="AU439" s="45" t="str">
        <f>_xlfn.XLOOKUP(U439,'Lista Suspensa'!$AA$20:$AA$23,'Lista Suspensa'!$AB$20:$AB$23,"N/A")</f>
        <v>S</v>
      </c>
    </row>
    <row r="440" spans="1:47" ht="12" customHeight="1" x14ac:dyDescent="0.3">
      <c r="A440" s="87" t="s">
        <v>47</v>
      </c>
      <c r="B440" s="88">
        <v>46104</v>
      </c>
      <c r="C440" s="89" t="s">
        <v>48</v>
      </c>
      <c r="D440" s="89" t="s">
        <v>49</v>
      </c>
      <c r="E440" s="90">
        <v>75094876</v>
      </c>
      <c r="F440" s="184" t="s">
        <v>1464</v>
      </c>
      <c r="G440" s="91">
        <v>269863702</v>
      </c>
      <c r="H440" s="92">
        <v>24374</v>
      </c>
      <c r="I440" s="89">
        <v>59</v>
      </c>
      <c r="J440" s="89" t="s">
        <v>70</v>
      </c>
      <c r="K440" s="89" t="s">
        <v>88</v>
      </c>
      <c r="L440" s="89" t="s">
        <v>89</v>
      </c>
      <c r="M440" s="89" t="s">
        <v>1465</v>
      </c>
      <c r="N440" s="89" t="s">
        <v>130</v>
      </c>
      <c r="O440" s="93" t="s">
        <v>1466</v>
      </c>
      <c r="P440" s="94" t="s">
        <v>57</v>
      </c>
      <c r="Q440" s="112" t="s">
        <v>58</v>
      </c>
      <c r="R440" s="95">
        <v>46147</v>
      </c>
      <c r="S440" s="96"/>
      <c r="T440" s="96" t="s">
        <v>59</v>
      </c>
      <c r="U440" s="96" t="s">
        <v>60</v>
      </c>
      <c r="V440" s="92">
        <v>46147</v>
      </c>
      <c r="W440" s="92" t="s">
        <v>61</v>
      </c>
      <c r="X440" s="92" t="s">
        <v>61</v>
      </c>
      <c r="Y440" s="97"/>
      <c r="Z440" s="89" t="s">
        <v>62</v>
      </c>
      <c r="AA440" s="96" t="s">
        <v>1467</v>
      </c>
      <c r="AB440" s="89" t="s">
        <v>80</v>
      </c>
      <c r="AC440" s="111"/>
      <c r="AD440" s="89"/>
      <c r="AE440" s="89"/>
      <c r="AF440" s="98"/>
      <c r="AG440" s="98"/>
      <c r="AH440" s="98"/>
      <c r="AI440" s="99" t="s">
        <v>197</v>
      </c>
      <c r="AJ440" s="99" t="s">
        <v>197</v>
      </c>
      <c r="AK440" s="99" t="s">
        <v>67</v>
      </c>
      <c r="AL440" s="45" t="s">
        <v>68</v>
      </c>
      <c r="AM440" s="162" t="str">
        <f t="shared" si="48"/>
        <v>3/2026</v>
      </c>
      <c r="AN440" s="45">
        <f t="shared" si="49"/>
        <v>4</v>
      </c>
      <c r="AO440" s="45" t="str">
        <f t="shared" si="50"/>
        <v>5/2026</v>
      </c>
      <c r="AP440" s="45">
        <f t="shared" si="51"/>
        <v>2</v>
      </c>
      <c r="AQ440" s="45">
        <f t="shared" si="52"/>
        <v>43</v>
      </c>
      <c r="AR440" s="45">
        <f t="shared" si="53"/>
        <v>0</v>
      </c>
      <c r="AS440" s="45">
        <f t="shared" si="54"/>
        <v>0</v>
      </c>
      <c r="AT440" s="45">
        <f t="shared" si="55"/>
        <v>0</v>
      </c>
      <c r="AU440" s="45" t="str">
        <f>_xlfn.XLOOKUP(U440,'Lista Suspensa'!$AA$20:$AA$23,'Lista Suspensa'!$AB$20:$AB$23,"N/A")</f>
        <v>S</v>
      </c>
    </row>
    <row r="441" spans="1:47" ht="12" customHeight="1" x14ac:dyDescent="0.3">
      <c r="A441" s="87" t="s">
        <v>47</v>
      </c>
      <c r="B441" s="88">
        <v>46104</v>
      </c>
      <c r="C441" s="89" t="s">
        <v>48</v>
      </c>
      <c r="D441" s="89" t="s">
        <v>49</v>
      </c>
      <c r="E441" s="90">
        <v>73066840</v>
      </c>
      <c r="F441" s="184" t="s">
        <v>1468</v>
      </c>
      <c r="G441" s="91">
        <v>69250979720</v>
      </c>
      <c r="H441" s="92">
        <v>22711</v>
      </c>
      <c r="I441" s="89">
        <v>64</v>
      </c>
      <c r="J441" s="89" t="s">
        <v>51</v>
      </c>
      <c r="K441" s="89" t="s">
        <v>88</v>
      </c>
      <c r="L441" s="89" t="s">
        <v>231</v>
      </c>
      <c r="M441" s="89" t="s">
        <v>240</v>
      </c>
      <c r="N441" s="89" t="s">
        <v>130</v>
      </c>
      <c r="O441" s="93" t="s">
        <v>1469</v>
      </c>
      <c r="P441" s="94" t="s">
        <v>57</v>
      </c>
      <c r="Q441" s="112" t="s">
        <v>58</v>
      </c>
      <c r="R441" s="95">
        <v>46147</v>
      </c>
      <c r="S441" s="96"/>
      <c r="T441" s="96" t="s">
        <v>59</v>
      </c>
      <c r="U441" s="96" t="s">
        <v>60</v>
      </c>
      <c r="V441" s="92">
        <v>46147</v>
      </c>
      <c r="W441" s="92" t="s">
        <v>61</v>
      </c>
      <c r="X441" s="92" t="s">
        <v>61</v>
      </c>
      <c r="Y441" s="97"/>
      <c r="Z441" s="89" t="s">
        <v>62</v>
      </c>
      <c r="AA441" s="96" t="s">
        <v>1470</v>
      </c>
      <c r="AB441" s="89" t="s">
        <v>80</v>
      </c>
      <c r="AC441" s="111"/>
      <c r="AD441" s="89"/>
      <c r="AE441" s="89"/>
      <c r="AF441" s="98"/>
      <c r="AG441" s="98"/>
      <c r="AH441" s="98"/>
      <c r="AI441" s="99" t="s">
        <v>197</v>
      </c>
      <c r="AJ441" s="99" t="s">
        <v>197</v>
      </c>
      <c r="AK441" s="99" t="s">
        <v>67</v>
      </c>
      <c r="AL441" s="45" t="s">
        <v>68</v>
      </c>
      <c r="AM441" s="162" t="str">
        <f t="shared" si="48"/>
        <v>3/2026</v>
      </c>
      <c r="AN441" s="45">
        <f t="shared" si="49"/>
        <v>4</v>
      </c>
      <c r="AO441" s="45" t="str">
        <f t="shared" si="50"/>
        <v>5/2026</v>
      </c>
      <c r="AP441" s="45">
        <f t="shared" si="51"/>
        <v>2</v>
      </c>
      <c r="AQ441" s="45">
        <f t="shared" si="52"/>
        <v>43</v>
      </c>
      <c r="AR441" s="45">
        <f t="shared" si="53"/>
        <v>0</v>
      </c>
      <c r="AS441" s="45">
        <f t="shared" si="54"/>
        <v>0</v>
      </c>
      <c r="AT441" s="45">
        <f t="shared" si="55"/>
        <v>0</v>
      </c>
      <c r="AU441" s="45" t="str">
        <f>_xlfn.XLOOKUP(U441,'Lista Suspensa'!$AA$20:$AA$23,'Lista Suspensa'!$AB$20:$AB$23,"N/A")</f>
        <v>S</v>
      </c>
    </row>
    <row r="442" spans="1:47" ht="12" customHeight="1" x14ac:dyDescent="0.3">
      <c r="A442" s="87" t="s">
        <v>47</v>
      </c>
      <c r="B442" s="88">
        <v>46104</v>
      </c>
      <c r="C442" s="89" t="s">
        <v>48</v>
      </c>
      <c r="D442" s="89" t="s">
        <v>49</v>
      </c>
      <c r="E442" s="90">
        <v>593998014</v>
      </c>
      <c r="F442" s="184" t="s">
        <v>1471</v>
      </c>
      <c r="G442" s="91">
        <v>12305878885</v>
      </c>
      <c r="H442" s="92">
        <v>24316</v>
      </c>
      <c r="I442" s="89">
        <v>59</v>
      </c>
      <c r="J442" s="89" t="s">
        <v>51</v>
      </c>
      <c r="K442" s="89" t="s">
        <v>52</v>
      </c>
      <c r="L442" s="89" t="s">
        <v>331</v>
      </c>
      <c r="M442" s="89" t="s">
        <v>732</v>
      </c>
      <c r="N442" s="89" t="s">
        <v>130</v>
      </c>
      <c r="O442" s="93" t="s">
        <v>1472</v>
      </c>
      <c r="P442" s="94" t="s">
        <v>57</v>
      </c>
      <c r="Q442" s="112" t="s">
        <v>58</v>
      </c>
      <c r="R442" s="95">
        <v>46140</v>
      </c>
      <c r="S442" s="96"/>
      <c r="T442" s="96" t="s">
        <v>59</v>
      </c>
      <c r="U442" s="96" t="s">
        <v>60</v>
      </c>
      <c r="V442" s="92">
        <v>46140</v>
      </c>
      <c r="W442" s="92" t="s">
        <v>61</v>
      </c>
      <c r="X442" s="92" t="s">
        <v>61</v>
      </c>
      <c r="Y442" s="97"/>
      <c r="Z442" s="89" t="s">
        <v>62</v>
      </c>
      <c r="AA442" s="96">
        <v>46169</v>
      </c>
      <c r="AB442" s="89" t="s">
        <v>63</v>
      </c>
      <c r="AC442" s="111"/>
      <c r="AD442" s="89" t="s">
        <v>265</v>
      </c>
      <c r="AE442" s="89">
        <v>31</v>
      </c>
      <c r="AF442" s="98"/>
      <c r="AG442" s="98"/>
      <c r="AH442" s="98" t="s">
        <v>66</v>
      </c>
      <c r="AI442" s="99" t="s">
        <v>67</v>
      </c>
      <c r="AJ442" s="99" t="s">
        <v>67</v>
      </c>
      <c r="AK442" s="99" t="s">
        <v>67</v>
      </c>
      <c r="AL442" s="45" t="s">
        <v>68</v>
      </c>
      <c r="AM442" s="162" t="str">
        <f t="shared" si="48"/>
        <v>3/2026</v>
      </c>
      <c r="AN442" s="45">
        <f t="shared" si="49"/>
        <v>4</v>
      </c>
      <c r="AO442" s="45" t="str">
        <f t="shared" si="50"/>
        <v>4/2026</v>
      </c>
      <c r="AP442" s="45">
        <f t="shared" si="51"/>
        <v>5</v>
      </c>
      <c r="AQ442" s="45">
        <f t="shared" si="52"/>
        <v>36</v>
      </c>
      <c r="AR442" s="45">
        <f t="shared" si="53"/>
        <v>0</v>
      </c>
      <c r="AS442" s="45">
        <f t="shared" si="54"/>
        <v>0</v>
      </c>
      <c r="AT442" s="45">
        <f t="shared" si="55"/>
        <v>29</v>
      </c>
      <c r="AU442" s="45" t="str">
        <f>_xlfn.XLOOKUP(U442,'Lista Suspensa'!$AA$20:$AA$23,'Lista Suspensa'!$AB$20:$AB$23,"N/A")</f>
        <v>S</v>
      </c>
    </row>
    <row r="443" spans="1:47" ht="12" customHeight="1" x14ac:dyDescent="0.3">
      <c r="A443" s="87" t="s">
        <v>47</v>
      </c>
      <c r="B443" s="88">
        <v>46104</v>
      </c>
      <c r="C443" s="89" t="s">
        <v>48</v>
      </c>
      <c r="D443" s="89" t="s">
        <v>49</v>
      </c>
      <c r="E443" s="193">
        <v>87405344</v>
      </c>
      <c r="F443" s="184" t="s">
        <v>1473</v>
      </c>
      <c r="G443" s="91">
        <v>3831266816</v>
      </c>
      <c r="H443" s="92">
        <v>22802</v>
      </c>
      <c r="I443" s="89">
        <v>63</v>
      </c>
      <c r="J443" s="89" t="s">
        <v>70</v>
      </c>
      <c r="K443" s="89" t="s">
        <v>52</v>
      </c>
      <c r="L443" s="89" t="s">
        <v>53</v>
      </c>
      <c r="M443" s="89" t="s">
        <v>1197</v>
      </c>
      <c r="N443" s="89" t="s">
        <v>130</v>
      </c>
      <c r="O443" s="93" t="s">
        <v>1474</v>
      </c>
      <c r="P443" s="94" t="s">
        <v>57</v>
      </c>
      <c r="Q443" s="112" t="s">
        <v>58</v>
      </c>
      <c r="R443" s="95">
        <v>46163</v>
      </c>
      <c r="S443" s="96"/>
      <c r="T443" s="96" t="s">
        <v>59</v>
      </c>
      <c r="U443" s="96" t="s">
        <v>60</v>
      </c>
      <c r="V443" s="92">
        <v>46128</v>
      </c>
      <c r="W443" s="92">
        <v>46154</v>
      </c>
      <c r="X443" s="92">
        <v>46160</v>
      </c>
      <c r="Y443" s="97"/>
      <c r="Z443" s="89" t="s">
        <v>62</v>
      </c>
      <c r="AA443" s="96">
        <v>46171</v>
      </c>
      <c r="AB443" s="89" t="s">
        <v>80</v>
      </c>
      <c r="AC443" s="111"/>
      <c r="AD443" s="89"/>
      <c r="AE443" s="89"/>
      <c r="AF443" s="98"/>
      <c r="AG443" s="98"/>
      <c r="AH443" s="98"/>
      <c r="AI443" s="99"/>
      <c r="AJ443" s="99" t="s">
        <v>197</v>
      </c>
      <c r="AK443" s="99" t="s">
        <v>67</v>
      </c>
      <c r="AL443" s="45" t="s">
        <v>68</v>
      </c>
      <c r="AM443" s="162" t="str">
        <f t="shared" si="48"/>
        <v>3/2026</v>
      </c>
      <c r="AN443" s="45">
        <f t="shared" si="49"/>
        <v>4</v>
      </c>
      <c r="AO443" s="45" t="str">
        <f t="shared" si="50"/>
        <v>5/2026</v>
      </c>
      <c r="AP443" s="45">
        <f t="shared" si="51"/>
        <v>4</v>
      </c>
      <c r="AQ443" s="45">
        <f t="shared" si="52"/>
        <v>59</v>
      </c>
      <c r="AR443" s="45">
        <f t="shared" si="53"/>
        <v>0</v>
      </c>
      <c r="AS443" s="45">
        <f t="shared" si="54"/>
        <v>16</v>
      </c>
      <c r="AT443" s="45">
        <f t="shared" si="55"/>
        <v>0</v>
      </c>
      <c r="AU443" s="45" t="str">
        <f>_xlfn.XLOOKUP(U443,'Lista Suspensa'!$AA$20:$AA$23,'Lista Suspensa'!$AB$20:$AB$23,"N/A")</f>
        <v>S</v>
      </c>
    </row>
    <row r="444" spans="1:47" ht="12" customHeight="1" x14ac:dyDescent="0.3">
      <c r="A444" s="87" t="s">
        <v>47</v>
      </c>
      <c r="B444" s="88">
        <v>46104</v>
      </c>
      <c r="C444" s="89" t="s">
        <v>48</v>
      </c>
      <c r="D444" s="89" t="s">
        <v>49</v>
      </c>
      <c r="E444" s="90">
        <v>597242607</v>
      </c>
      <c r="F444" s="184" t="s">
        <v>1475</v>
      </c>
      <c r="G444" s="91">
        <v>93267150868</v>
      </c>
      <c r="H444" s="92">
        <v>21250</v>
      </c>
      <c r="I444" s="89">
        <v>68</v>
      </c>
      <c r="J444" s="89" t="s">
        <v>70</v>
      </c>
      <c r="K444" s="89" t="s">
        <v>52</v>
      </c>
      <c r="L444" s="89" t="s">
        <v>53</v>
      </c>
      <c r="M444" s="89" t="s">
        <v>1331</v>
      </c>
      <c r="N444" s="89" t="s">
        <v>130</v>
      </c>
      <c r="O444" s="93" t="s">
        <v>1476</v>
      </c>
      <c r="P444" s="94" t="s">
        <v>57</v>
      </c>
      <c r="Q444" s="112" t="s">
        <v>58</v>
      </c>
      <c r="R444" s="95">
        <v>46141</v>
      </c>
      <c r="S444" s="96"/>
      <c r="T444" s="96" t="s">
        <v>59</v>
      </c>
      <c r="U444" s="96" t="s">
        <v>60</v>
      </c>
      <c r="V444" s="92">
        <v>46140</v>
      </c>
      <c r="W444" s="92" t="s">
        <v>61</v>
      </c>
      <c r="X444" s="92" t="s">
        <v>61</v>
      </c>
      <c r="Y444" s="97"/>
      <c r="Z444" s="89" t="s">
        <v>62</v>
      </c>
      <c r="AA444" s="96">
        <v>46141.694444444445</v>
      </c>
      <c r="AB444" s="89" t="s">
        <v>80</v>
      </c>
      <c r="AC444" s="111"/>
      <c r="AD444" s="89"/>
      <c r="AE444" s="89"/>
      <c r="AF444" s="98"/>
      <c r="AG444" s="98"/>
      <c r="AH444" s="98"/>
      <c r="AI444" s="99" t="s">
        <v>67</v>
      </c>
      <c r="AJ444" s="99" t="s">
        <v>67</v>
      </c>
      <c r="AK444" s="99" t="s">
        <v>67</v>
      </c>
      <c r="AL444" s="45" t="s">
        <v>68</v>
      </c>
      <c r="AM444" s="162" t="str">
        <f t="shared" si="48"/>
        <v>3/2026</v>
      </c>
      <c r="AN444" s="45">
        <f t="shared" si="49"/>
        <v>4</v>
      </c>
      <c r="AO444" s="45" t="str">
        <f t="shared" si="50"/>
        <v>4/2026</v>
      </c>
      <c r="AP444" s="45">
        <f t="shared" si="51"/>
        <v>5</v>
      </c>
      <c r="AQ444" s="45">
        <f t="shared" si="52"/>
        <v>37</v>
      </c>
      <c r="AR444" s="45">
        <f t="shared" si="53"/>
        <v>0</v>
      </c>
      <c r="AS444" s="45">
        <f t="shared" si="54"/>
        <v>0</v>
      </c>
      <c r="AT444" s="45">
        <f t="shared" si="55"/>
        <v>0</v>
      </c>
      <c r="AU444" s="45" t="str">
        <f>_xlfn.XLOOKUP(U444,'Lista Suspensa'!$AA$20:$AA$23,'Lista Suspensa'!$AB$20:$AB$23,"N/A")</f>
        <v>S</v>
      </c>
    </row>
    <row r="445" spans="1:47" ht="12" customHeight="1" x14ac:dyDescent="0.3">
      <c r="A445" s="87" t="s">
        <v>47</v>
      </c>
      <c r="B445" s="88">
        <v>46104</v>
      </c>
      <c r="C445" s="89" t="s">
        <v>48</v>
      </c>
      <c r="D445" s="89" t="s">
        <v>49</v>
      </c>
      <c r="E445" s="90">
        <v>593975774</v>
      </c>
      <c r="F445" s="184" t="s">
        <v>1477</v>
      </c>
      <c r="G445" s="91">
        <v>43111421880</v>
      </c>
      <c r="H445" s="92">
        <v>36755</v>
      </c>
      <c r="I445" s="89">
        <v>25</v>
      </c>
      <c r="J445" s="89" t="s">
        <v>70</v>
      </c>
      <c r="K445" s="89" t="s">
        <v>52</v>
      </c>
      <c r="L445" s="89" t="s">
        <v>331</v>
      </c>
      <c r="M445" s="89" t="s">
        <v>1478</v>
      </c>
      <c r="N445" s="89" t="s">
        <v>130</v>
      </c>
      <c r="O445" s="93" t="s">
        <v>1479</v>
      </c>
      <c r="P445" s="94" t="s">
        <v>57</v>
      </c>
      <c r="Q445" s="112" t="s">
        <v>58</v>
      </c>
      <c r="R445" s="95">
        <v>46153</v>
      </c>
      <c r="S445" s="96"/>
      <c r="T445" s="96" t="s">
        <v>59</v>
      </c>
      <c r="U445" s="96" t="s">
        <v>60</v>
      </c>
      <c r="V445" s="92">
        <v>46112</v>
      </c>
      <c r="W445" s="92">
        <v>46154</v>
      </c>
      <c r="X445" s="92" t="s">
        <v>61</v>
      </c>
      <c r="Y445" s="97"/>
      <c r="Z445" s="89" t="s">
        <v>62</v>
      </c>
      <c r="AA445" s="96">
        <v>46164.666666666664</v>
      </c>
      <c r="AB445" s="89" t="s">
        <v>80</v>
      </c>
      <c r="AC445" s="111"/>
      <c r="AD445" s="89"/>
      <c r="AE445" s="89"/>
      <c r="AF445" s="98"/>
      <c r="AG445" s="98"/>
      <c r="AH445" s="98"/>
      <c r="AI445" s="99" t="s">
        <v>197</v>
      </c>
      <c r="AJ445" s="99" t="s">
        <v>197</v>
      </c>
      <c r="AK445" s="99" t="s">
        <v>67</v>
      </c>
      <c r="AL445" s="45" t="s">
        <v>68</v>
      </c>
      <c r="AM445" s="162" t="str">
        <f t="shared" si="48"/>
        <v>3/2026</v>
      </c>
      <c r="AN445" s="45">
        <f t="shared" si="49"/>
        <v>4</v>
      </c>
      <c r="AO445" s="45" t="str">
        <f t="shared" si="50"/>
        <v>5/2026</v>
      </c>
      <c r="AP445" s="45">
        <f t="shared" si="51"/>
        <v>3</v>
      </c>
      <c r="AQ445" s="45">
        <f t="shared" si="52"/>
        <v>49</v>
      </c>
      <c r="AR445" s="45">
        <f t="shared" si="53"/>
        <v>0</v>
      </c>
      <c r="AS445" s="45">
        <f t="shared" si="54"/>
        <v>42</v>
      </c>
      <c r="AT445" s="45">
        <f t="shared" si="55"/>
        <v>0</v>
      </c>
      <c r="AU445" s="45" t="str">
        <f>_xlfn.XLOOKUP(U445,'Lista Suspensa'!$AA$20:$AA$23,'Lista Suspensa'!$AB$20:$AB$23,"N/A")</f>
        <v>S</v>
      </c>
    </row>
    <row r="446" spans="1:47" ht="12" customHeight="1" x14ac:dyDescent="0.3">
      <c r="A446" s="87" t="s">
        <v>47</v>
      </c>
      <c r="B446" s="88">
        <v>46104</v>
      </c>
      <c r="C446" s="89" t="s">
        <v>48</v>
      </c>
      <c r="D446" s="89" t="s">
        <v>49</v>
      </c>
      <c r="E446" s="90">
        <v>76280152</v>
      </c>
      <c r="F446" s="184" t="s">
        <v>1480</v>
      </c>
      <c r="G446" s="91">
        <v>50440268400</v>
      </c>
      <c r="H446" s="92">
        <v>23948</v>
      </c>
      <c r="I446" s="89">
        <v>60</v>
      </c>
      <c r="J446" s="89" t="s">
        <v>51</v>
      </c>
      <c r="K446" s="89" t="s">
        <v>88</v>
      </c>
      <c r="L446" s="89" t="s">
        <v>89</v>
      </c>
      <c r="M446" s="89" t="s">
        <v>1481</v>
      </c>
      <c r="N446" s="89" t="s">
        <v>130</v>
      </c>
      <c r="O446" s="93" t="s">
        <v>1482</v>
      </c>
      <c r="P446" s="94" t="s">
        <v>57</v>
      </c>
      <c r="Q446" s="112" t="s">
        <v>58</v>
      </c>
      <c r="R446" s="95">
        <v>46140</v>
      </c>
      <c r="S446" s="96"/>
      <c r="T446" s="96" t="s">
        <v>59</v>
      </c>
      <c r="U446" s="96" t="s">
        <v>60</v>
      </c>
      <c r="V446" s="92">
        <v>46140</v>
      </c>
      <c r="W446" s="92" t="s">
        <v>61</v>
      </c>
      <c r="X446" s="92" t="s">
        <v>61</v>
      </c>
      <c r="Y446" s="97"/>
      <c r="Z446" s="89" t="s">
        <v>62</v>
      </c>
      <c r="AA446" s="96" t="s">
        <v>931</v>
      </c>
      <c r="AB446" s="89" t="s">
        <v>80</v>
      </c>
      <c r="AC446" s="111"/>
      <c r="AD446" s="89"/>
      <c r="AE446" s="89"/>
      <c r="AF446" s="98"/>
      <c r="AG446" s="98"/>
      <c r="AH446" s="98"/>
      <c r="AI446" s="99" t="s">
        <v>67</v>
      </c>
      <c r="AJ446" s="99" t="s">
        <v>67</v>
      </c>
      <c r="AK446" s="99" t="s">
        <v>67</v>
      </c>
      <c r="AL446" s="45" t="s">
        <v>68</v>
      </c>
      <c r="AM446" s="162" t="str">
        <f t="shared" si="48"/>
        <v>3/2026</v>
      </c>
      <c r="AN446" s="45">
        <f t="shared" si="49"/>
        <v>4</v>
      </c>
      <c r="AO446" s="45" t="str">
        <f t="shared" si="50"/>
        <v>4/2026</v>
      </c>
      <c r="AP446" s="45">
        <f t="shared" si="51"/>
        <v>5</v>
      </c>
      <c r="AQ446" s="45">
        <f t="shared" si="52"/>
        <v>36</v>
      </c>
      <c r="AR446" s="45">
        <f t="shared" si="53"/>
        <v>0</v>
      </c>
      <c r="AS446" s="45">
        <f t="shared" si="54"/>
        <v>0</v>
      </c>
      <c r="AT446" s="45">
        <f t="shared" si="55"/>
        <v>0</v>
      </c>
      <c r="AU446" s="45" t="str">
        <f>_xlfn.XLOOKUP(U446,'Lista Suspensa'!$AA$20:$AA$23,'Lista Suspensa'!$AB$20:$AB$23,"N/A")</f>
        <v>S</v>
      </c>
    </row>
    <row r="447" spans="1:47" ht="12" customHeight="1" x14ac:dyDescent="0.3">
      <c r="A447" s="87" t="s">
        <v>47</v>
      </c>
      <c r="B447" s="88">
        <v>46104</v>
      </c>
      <c r="C447" s="89" t="s">
        <v>48</v>
      </c>
      <c r="D447" s="89" t="s">
        <v>49</v>
      </c>
      <c r="E447" s="90">
        <v>72214834</v>
      </c>
      <c r="F447" s="184" t="s">
        <v>1483</v>
      </c>
      <c r="G447" s="91">
        <v>130891886</v>
      </c>
      <c r="H447" s="92">
        <v>21014</v>
      </c>
      <c r="I447" s="89">
        <v>68</v>
      </c>
      <c r="J447" s="89" t="s">
        <v>51</v>
      </c>
      <c r="K447" s="89" t="s">
        <v>52</v>
      </c>
      <c r="L447" s="89" t="s">
        <v>53</v>
      </c>
      <c r="M447" s="89" t="s">
        <v>1484</v>
      </c>
      <c r="N447" s="89" t="s">
        <v>130</v>
      </c>
      <c r="O447" s="93" t="s">
        <v>1485</v>
      </c>
      <c r="P447" s="94" t="s">
        <v>57</v>
      </c>
      <c r="Q447" s="112" t="s">
        <v>58</v>
      </c>
      <c r="R447" s="95">
        <v>46164</v>
      </c>
      <c r="S447" s="96"/>
      <c r="T447" s="96" t="s">
        <v>59</v>
      </c>
      <c r="U447" s="96" t="s">
        <v>60</v>
      </c>
      <c r="V447" s="92">
        <v>46147</v>
      </c>
      <c r="W447" s="92">
        <v>46154</v>
      </c>
      <c r="X447" s="92">
        <v>46160</v>
      </c>
      <c r="Y447" s="97"/>
      <c r="Z447" s="89"/>
      <c r="AA447" s="96"/>
      <c r="AB447" s="89"/>
      <c r="AC447" s="111"/>
      <c r="AD447" s="89"/>
      <c r="AE447" s="89"/>
      <c r="AF447" s="98"/>
      <c r="AG447" s="98"/>
      <c r="AH447" s="98"/>
      <c r="AI447" s="99"/>
      <c r="AJ447" s="99" t="s">
        <v>197</v>
      </c>
      <c r="AK447" s="99" t="s">
        <v>67</v>
      </c>
      <c r="AL447" s="45" t="s">
        <v>68</v>
      </c>
      <c r="AM447" s="162" t="str">
        <f t="shared" si="48"/>
        <v>3/2026</v>
      </c>
      <c r="AN447" s="45">
        <f t="shared" si="49"/>
        <v>4</v>
      </c>
      <c r="AO447" s="45" t="str">
        <f t="shared" si="50"/>
        <v>5/2026</v>
      </c>
      <c r="AP447" s="45">
        <f t="shared" si="51"/>
        <v>4</v>
      </c>
      <c r="AQ447" s="45">
        <f t="shared" si="52"/>
        <v>60</v>
      </c>
      <c r="AR447" s="45">
        <f t="shared" si="53"/>
        <v>0</v>
      </c>
      <c r="AS447" s="45">
        <f t="shared" si="54"/>
        <v>6.5</v>
      </c>
      <c r="AT447" s="45">
        <f t="shared" si="55"/>
        <v>0</v>
      </c>
      <c r="AU447" s="45" t="str">
        <f>_xlfn.XLOOKUP(U447,'Lista Suspensa'!$AA$20:$AA$23,'Lista Suspensa'!$AB$20:$AB$23,"N/A")</f>
        <v>S</v>
      </c>
    </row>
    <row r="448" spans="1:47" ht="12" customHeight="1" x14ac:dyDescent="0.3">
      <c r="A448" s="87" t="s">
        <v>47</v>
      </c>
      <c r="B448" s="88">
        <v>46104</v>
      </c>
      <c r="C448" s="89" t="s">
        <v>48</v>
      </c>
      <c r="D448" s="89" t="s">
        <v>49</v>
      </c>
      <c r="E448" s="90">
        <v>74219839</v>
      </c>
      <c r="F448" s="184" t="s">
        <v>1486</v>
      </c>
      <c r="G448" s="91">
        <v>36912859704</v>
      </c>
      <c r="H448" s="92">
        <v>19688</v>
      </c>
      <c r="I448" s="89">
        <v>72</v>
      </c>
      <c r="J448" s="89" t="s">
        <v>51</v>
      </c>
      <c r="K448" s="89" t="s">
        <v>88</v>
      </c>
      <c r="L448" s="89" t="s">
        <v>89</v>
      </c>
      <c r="M448" s="89" t="s">
        <v>195</v>
      </c>
      <c r="N448" s="89" t="s">
        <v>130</v>
      </c>
      <c r="O448" s="93" t="s">
        <v>1487</v>
      </c>
      <c r="P448" s="94" t="s">
        <v>57</v>
      </c>
      <c r="Q448" s="112" t="s">
        <v>58</v>
      </c>
      <c r="R448" s="95">
        <v>46140</v>
      </c>
      <c r="S448" s="96"/>
      <c r="T448" s="96" t="s">
        <v>59</v>
      </c>
      <c r="U448" s="96" t="s">
        <v>60</v>
      </c>
      <c r="V448" s="92">
        <v>46140</v>
      </c>
      <c r="W448" s="92" t="s">
        <v>61</v>
      </c>
      <c r="X448" s="92" t="s">
        <v>61</v>
      </c>
      <c r="Y448" s="97"/>
      <c r="Z448" s="89" t="s">
        <v>62</v>
      </c>
      <c r="AA448" s="96" t="s">
        <v>193</v>
      </c>
      <c r="AB448" s="89" t="s">
        <v>80</v>
      </c>
      <c r="AC448" s="111"/>
      <c r="AD448" s="89"/>
      <c r="AE448" s="89"/>
      <c r="AF448" s="98"/>
      <c r="AG448" s="98"/>
      <c r="AH448" s="98"/>
      <c r="AI448" s="99" t="s">
        <v>67</v>
      </c>
      <c r="AJ448" s="99" t="s">
        <v>67</v>
      </c>
      <c r="AK448" s="99" t="s">
        <v>67</v>
      </c>
      <c r="AL448" s="45" t="s">
        <v>68</v>
      </c>
      <c r="AM448" s="162" t="str">
        <f t="shared" si="48"/>
        <v>3/2026</v>
      </c>
      <c r="AN448" s="45">
        <f t="shared" si="49"/>
        <v>4</v>
      </c>
      <c r="AO448" s="45" t="str">
        <f t="shared" si="50"/>
        <v>4/2026</v>
      </c>
      <c r="AP448" s="45">
        <f t="shared" si="51"/>
        <v>5</v>
      </c>
      <c r="AQ448" s="45">
        <f t="shared" si="52"/>
        <v>36</v>
      </c>
      <c r="AR448" s="45">
        <f t="shared" si="53"/>
        <v>0</v>
      </c>
      <c r="AS448" s="45">
        <f t="shared" si="54"/>
        <v>0</v>
      </c>
      <c r="AT448" s="45">
        <f t="shared" si="55"/>
        <v>0</v>
      </c>
      <c r="AU448" s="45" t="str">
        <f>_xlfn.XLOOKUP(U448,'Lista Suspensa'!$AA$20:$AA$23,'Lista Suspensa'!$AB$20:$AB$23,"N/A")</f>
        <v>S</v>
      </c>
    </row>
    <row r="449" spans="1:47" ht="12" customHeight="1" x14ac:dyDescent="0.3">
      <c r="A449" s="87" t="s">
        <v>47</v>
      </c>
      <c r="B449" s="88">
        <v>46104</v>
      </c>
      <c r="C449" s="89" t="s">
        <v>48</v>
      </c>
      <c r="D449" s="89" t="s">
        <v>49</v>
      </c>
      <c r="E449" s="90">
        <v>94449773</v>
      </c>
      <c r="F449" s="184" t="s">
        <v>1488</v>
      </c>
      <c r="G449" s="91">
        <v>85190160734</v>
      </c>
      <c r="H449" s="92">
        <v>24188</v>
      </c>
      <c r="I449" s="89">
        <v>60</v>
      </c>
      <c r="J449" s="89" t="s">
        <v>51</v>
      </c>
      <c r="K449" s="89" t="s">
        <v>88</v>
      </c>
      <c r="L449" s="89" t="s">
        <v>89</v>
      </c>
      <c r="M449" s="89" t="s">
        <v>469</v>
      </c>
      <c r="N449" s="89" t="s">
        <v>130</v>
      </c>
      <c r="O449" s="93" t="s">
        <v>1489</v>
      </c>
      <c r="P449" s="94" t="s">
        <v>57</v>
      </c>
      <c r="Q449" s="112" t="s">
        <v>58</v>
      </c>
      <c r="R449" s="95">
        <v>46153</v>
      </c>
      <c r="S449" s="96"/>
      <c r="T449" s="96" t="s">
        <v>59</v>
      </c>
      <c r="U449" s="96" t="s">
        <v>60</v>
      </c>
      <c r="V449" s="92">
        <v>46147</v>
      </c>
      <c r="W449" s="92">
        <v>46154</v>
      </c>
      <c r="X449" s="92" t="s">
        <v>61</v>
      </c>
      <c r="Y449" s="97" t="s">
        <v>1490</v>
      </c>
      <c r="Z449" s="89" t="s">
        <v>62</v>
      </c>
      <c r="AA449" s="96">
        <v>46161.513888888891</v>
      </c>
      <c r="AB449" s="89" t="s">
        <v>63</v>
      </c>
      <c r="AC449" s="111"/>
      <c r="AD449" s="89" t="s">
        <v>86</v>
      </c>
      <c r="AE449" s="89">
        <v>54</v>
      </c>
      <c r="AF449" s="98"/>
      <c r="AG449" s="98"/>
      <c r="AH449" s="98" t="s">
        <v>1491</v>
      </c>
      <c r="AI449" s="99" t="s">
        <v>197</v>
      </c>
      <c r="AJ449" s="99" t="s">
        <v>197</v>
      </c>
      <c r="AK449" s="99" t="s">
        <v>67</v>
      </c>
      <c r="AL449" s="45" t="s">
        <v>68</v>
      </c>
      <c r="AM449" s="162" t="str">
        <f t="shared" si="48"/>
        <v>3/2026</v>
      </c>
      <c r="AN449" s="45">
        <f t="shared" si="49"/>
        <v>4</v>
      </c>
      <c r="AO449" s="45" t="str">
        <f t="shared" si="50"/>
        <v>5/2026</v>
      </c>
      <c r="AP449" s="45">
        <f t="shared" si="51"/>
        <v>3</v>
      </c>
      <c r="AQ449" s="45">
        <f t="shared" si="52"/>
        <v>49</v>
      </c>
      <c r="AR449" s="45">
        <f t="shared" si="53"/>
        <v>0</v>
      </c>
      <c r="AS449" s="45">
        <f t="shared" si="54"/>
        <v>7</v>
      </c>
      <c r="AT449" s="45">
        <f t="shared" si="55"/>
        <v>8.5138888888905058</v>
      </c>
      <c r="AU449" s="45" t="str">
        <f>_xlfn.XLOOKUP(U449,'Lista Suspensa'!$AA$20:$AA$23,'Lista Suspensa'!$AB$20:$AB$23,"N/A")</f>
        <v>S</v>
      </c>
    </row>
    <row r="450" spans="1:47" ht="12" customHeight="1" x14ac:dyDescent="0.3">
      <c r="A450" s="87" t="s">
        <v>47</v>
      </c>
      <c r="B450" s="88">
        <v>46104</v>
      </c>
      <c r="C450" s="89" t="s">
        <v>48</v>
      </c>
      <c r="D450" s="89" t="s">
        <v>49</v>
      </c>
      <c r="E450" s="90">
        <v>76503446</v>
      </c>
      <c r="F450" s="184" t="s">
        <v>1492</v>
      </c>
      <c r="G450" s="91">
        <v>73812315734</v>
      </c>
      <c r="H450" s="92">
        <v>23721</v>
      </c>
      <c r="I450" s="89">
        <v>61</v>
      </c>
      <c r="J450" s="89" t="s">
        <v>51</v>
      </c>
      <c r="K450" s="89" t="s">
        <v>88</v>
      </c>
      <c r="L450" s="89" t="s">
        <v>89</v>
      </c>
      <c r="M450" s="89" t="s">
        <v>600</v>
      </c>
      <c r="N450" s="89" t="s">
        <v>130</v>
      </c>
      <c r="O450" s="93" t="s">
        <v>1493</v>
      </c>
      <c r="P450" s="94" t="s">
        <v>57</v>
      </c>
      <c r="Q450" s="112" t="s">
        <v>58</v>
      </c>
      <c r="R450" s="95">
        <v>46153</v>
      </c>
      <c r="S450" s="96"/>
      <c r="T450" s="96" t="s">
        <v>59</v>
      </c>
      <c r="U450" s="96" t="s">
        <v>60</v>
      </c>
      <c r="V450" s="92">
        <v>46128</v>
      </c>
      <c r="W450" s="92">
        <v>46154</v>
      </c>
      <c r="X450" s="92" t="s">
        <v>61</v>
      </c>
      <c r="Y450" s="97"/>
      <c r="Z450" s="89" t="s">
        <v>62</v>
      </c>
      <c r="AA450" s="96">
        <v>46164.472222222219</v>
      </c>
      <c r="AB450" s="89" t="s">
        <v>80</v>
      </c>
      <c r="AC450" s="111"/>
      <c r="AD450" s="89"/>
      <c r="AE450" s="89"/>
      <c r="AF450" s="98"/>
      <c r="AG450" s="98"/>
      <c r="AH450" s="98"/>
      <c r="AI450" s="99" t="s">
        <v>197</v>
      </c>
      <c r="AJ450" s="99" t="s">
        <v>197</v>
      </c>
      <c r="AK450" s="99" t="s">
        <v>67</v>
      </c>
      <c r="AL450" s="45" t="s">
        <v>68</v>
      </c>
      <c r="AM450" s="162" t="str">
        <f t="shared" ref="AM450:AM513" si="56">MONTH(B450)&amp;"/"&amp;YEAR(B450)</f>
        <v>3/2026</v>
      </c>
      <c r="AN450" s="45">
        <f t="shared" ref="AN450:AN513" si="57">WEEKNUM(B450)-WEEKNUM(EOMONTH(B450,-1)+1)+1</f>
        <v>4</v>
      </c>
      <c r="AO450" s="45" t="str">
        <f t="shared" ref="AO450:AO513" si="58">MONTH(R450)&amp;"/"&amp;YEAR(R450)</f>
        <v>5/2026</v>
      </c>
      <c r="AP450" s="45">
        <f t="shared" ref="AP450:AP513" si="59">WEEKNUM(R450)-WEEKNUM(EOMONTH(R450,-1)+1)+1</f>
        <v>3</v>
      </c>
      <c r="AQ450" s="45">
        <f t="shared" ref="AQ450:AQ513" si="60">IF(AU450="S",IF(Q450="1. Aceitou o programa",R450-B450,0),0)</f>
        <v>49</v>
      </c>
      <c r="AR450" s="45">
        <f t="shared" ref="AR450:AR513" si="61">IF(AU450="S",IF(AND(S450&lt;&gt;"",R450&lt;&gt;""),S450-R450,0),0)</f>
        <v>0</v>
      </c>
      <c r="AS450" s="45">
        <f t="shared" ref="AS450:AS513" si="62">IF(AU450="S",IF(Q450="1. Aceitou o programa",IF(OR(X450="Não se Aplica",X450=""),IF(OR(W450="Não se Aplica",W450=""),0,W450-V450),AVERAGE(X450-W450,W450-V450)),0),0)</f>
        <v>26</v>
      </c>
      <c r="AT450" s="45">
        <f t="shared" ref="AT450:AT513" si="63">IF(AU450="S",IF(AND(Q450="1. Aceitou o programa",AB450="Realizada"),IFERROR(IF(AA450="",0,AA450-R450),0),0),0)</f>
        <v>0</v>
      </c>
      <c r="AU450" s="45" t="str">
        <f>_xlfn.XLOOKUP(U450,'Lista Suspensa'!$AA$20:$AA$23,'Lista Suspensa'!$AB$20:$AB$23,"N/A")</f>
        <v>S</v>
      </c>
    </row>
    <row r="451" spans="1:47" ht="12" customHeight="1" x14ac:dyDescent="0.3">
      <c r="A451" s="87" t="s">
        <v>47</v>
      </c>
      <c r="B451" s="88">
        <v>46104</v>
      </c>
      <c r="C451" s="89" t="s">
        <v>48</v>
      </c>
      <c r="D451" s="89" t="s">
        <v>49</v>
      </c>
      <c r="E451" s="90">
        <v>89919484</v>
      </c>
      <c r="F451" s="184" t="s">
        <v>1494</v>
      </c>
      <c r="G451" s="91">
        <v>33856931791</v>
      </c>
      <c r="H451" s="92">
        <v>18094</v>
      </c>
      <c r="I451" s="89">
        <v>76</v>
      </c>
      <c r="J451" s="89" t="s">
        <v>51</v>
      </c>
      <c r="K451" s="89" t="s">
        <v>88</v>
      </c>
      <c r="L451" s="89" t="s">
        <v>89</v>
      </c>
      <c r="M451" s="89" t="s">
        <v>1495</v>
      </c>
      <c r="N451" s="89" t="s">
        <v>130</v>
      </c>
      <c r="O451" s="93" t="s">
        <v>1496</v>
      </c>
      <c r="P451" s="94" t="s">
        <v>57</v>
      </c>
      <c r="Q451" s="112" t="s">
        <v>58</v>
      </c>
      <c r="R451" s="95">
        <v>46117</v>
      </c>
      <c r="S451" s="96"/>
      <c r="T451" s="96" t="s">
        <v>59</v>
      </c>
      <c r="U451" s="96" t="s">
        <v>60</v>
      </c>
      <c r="V451" s="92">
        <v>46147</v>
      </c>
      <c r="W451" s="92" t="s">
        <v>61</v>
      </c>
      <c r="X451" s="92" t="s">
        <v>61</v>
      </c>
      <c r="Y451" s="97"/>
      <c r="Z451" s="89" t="s">
        <v>62</v>
      </c>
      <c r="AA451" s="96">
        <v>46160</v>
      </c>
      <c r="AB451" s="89" t="s">
        <v>224</v>
      </c>
      <c r="AC451" s="111">
        <v>46163</v>
      </c>
      <c r="AD451" s="89"/>
      <c r="AE451" s="89"/>
      <c r="AF451" s="98"/>
      <c r="AG451" s="98"/>
      <c r="AH451" s="98"/>
      <c r="AI451" s="99" t="s">
        <v>197</v>
      </c>
      <c r="AJ451" s="99" t="s">
        <v>197</v>
      </c>
      <c r="AK451" s="99" t="s">
        <v>67</v>
      </c>
      <c r="AL451" s="45" t="s">
        <v>68</v>
      </c>
      <c r="AM451" s="162" t="str">
        <f t="shared" si="56"/>
        <v>3/2026</v>
      </c>
      <c r="AN451" s="45">
        <f t="shared" si="57"/>
        <v>4</v>
      </c>
      <c r="AO451" s="45" t="str">
        <f t="shared" si="58"/>
        <v>4/2026</v>
      </c>
      <c r="AP451" s="45">
        <f t="shared" si="59"/>
        <v>2</v>
      </c>
      <c r="AQ451" s="45">
        <f t="shared" si="60"/>
        <v>13</v>
      </c>
      <c r="AR451" s="45">
        <f t="shared" si="61"/>
        <v>0</v>
      </c>
      <c r="AS451" s="45">
        <f t="shared" si="62"/>
        <v>0</v>
      </c>
      <c r="AT451" s="45">
        <f t="shared" si="63"/>
        <v>0</v>
      </c>
      <c r="AU451" s="45" t="str">
        <f>_xlfn.XLOOKUP(U451,'Lista Suspensa'!$AA$20:$AA$23,'Lista Suspensa'!$AB$20:$AB$23,"N/A")</f>
        <v>S</v>
      </c>
    </row>
    <row r="452" spans="1:47" ht="12" customHeight="1" x14ac:dyDescent="0.3">
      <c r="A452" s="87" t="s">
        <v>47</v>
      </c>
      <c r="B452" s="88">
        <v>46104</v>
      </c>
      <c r="C452" s="89" t="s">
        <v>48</v>
      </c>
      <c r="D452" s="89" t="s">
        <v>49</v>
      </c>
      <c r="E452" s="90">
        <v>596272693</v>
      </c>
      <c r="F452" s="184" t="s">
        <v>1497</v>
      </c>
      <c r="G452" s="91">
        <v>73121460315</v>
      </c>
      <c r="H452" s="92">
        <v>24915</v>
      </c>
      <c r="I452" s="89">
        <v>58</v>
      </c>
      <c r="J452" s="89" t="s">
        <v>70</v>
      </c>
      <c r="K452" s="89" t="s">
        <v>52</v>
      </c>
      <c r="L452" s="89" t="s">
        <v>331</v>
      </c>
      <c r="M452" s="89" t="s">
        <v>1498</v>
      </c>
      <c r="N452" s="89" t="s">
        <v>130</v>
      </c>
      <c r="O452" s="93" t="s">
        <v>1499</v>
      </c>
      <c r="P452" s="94" t="s">
        <v>57</v>
      </c>
      <c r="Q452" s="112" t="s">
        <v>58</v>
      </c>
      <c r="R452" s="95">
        <v>46140</v>
      </c>
      <c r="S452" s="96"/>
      <c r="T452" s="96" t="s">
        <v>59</v>
      </c>
      <c r="U452" s="96" t="s">
        <v>60</v>
      </c>
      <c r="V452" s="92">
        <v>46140</v>
      </c>
      <c r="W452" s="92" t="s">
        <v>61</v>
      </c>
      <c r="X452" s="92" t="s">
        <v>61</v>
      </c>
      <c r="Y452" s="97"/>
      <c r="Z452" s="89" t="s">
        <v>62</v>
      </c>
      <c r="AA452" s="96">
        <v>46141.652777777781</v>
      </c>
      <c r="AB452" s="89" t="s">
        <v>80</v>
      </c>
      <c r="AC452" s="111"/>
      <c r="AD452" s="89"/>
      <c r="AE452" s="89"/>
      <c r="AF452" s="98"/>
      <c r="AG452" s="98"/>
      <c r="AH452" s="98"/>
      <c r="AI452" s="99" t="s">
        <v>67</v>
      </c>
      <c r="AJ452" s="99" t="s">
        <v>67</v>
      </c>
      <c r="AK452" s="99" t="s">
        <v>67</v>
      </c>
      <c r="AL452" s="45" t="s">
        <v>68</v>
      </c>
      <c r="AM452" s="162" t="str">
        <f t="shared" si="56"/>
        <v>3/2026</v>
      </c>
      <c r="AN452" s="45">
        <f t="shared" si="57"/>
        <v>4</v>
      </c>
      <c r="AO452" s="45" t="str">
        <f t="shared" si="58"/>
        <v>4/2026</v>
      </c>
      <c r="AP452" s="45">
        <f t="shared" si="59"/>
        <v>5</v>
      </c>
      <c r="AQ452" s="45">
        <f t="shared" si="60"/>
        <v>36</v>
      </c>
      <c r="AR452" s="45">
        <f t="shared" si="61"/>
        <v>0</v>
      </c>
      <c r="AS452" s="45">
        <f t="shared" si="62"/>
        <v>0</v>
      </c>
      <c r="AT452" s="45">
        <f t="shared" si="63"/>
        <v>0</v>
      </c>
      <c r="AU452" s="45" t="str">
        <f>_xlfn.XLOOKUP(U452,'Lista Suspensa'!$AA$20:$AA$23,'Lista Suspensa'!$AB$20:$AB$23,"N/A")</f>
        <v>S</v>
      </c>
    </row>
    <row r="453" spans="1:47" ht="12" customHeight="1" x14ac:dyDescent="0.3">
      <c r="A453" s="87" t="s">
        <v>47</v>
      </c>
      <c r="B453" s="88">
        <v>46104</v>
      </c>
      <c r="C453" s="89" t="s">
        <v>48</v>
      </c>
      <c r="D453" s="89" t="s">
        <v>49</v>
      </c>
      <c r="E453" s="90">
        <v>594031001</v>
      </c>
      <c r="F453" s="184" t="s">
        <v>1500</v>
      </c>
      <c r="G453" s="91">
        <v>3852667828</v>
      </c>
      <c r="H453" s="92">
        <v>22688</v>
      </c>
      <c r="I453" s="89">
        <v>64</v>
      </c>
      <c r="J453" s="89" t="s">
        <v>70</v>
      </c>
      <c r="K453" s="89" t="s">
        <v>52</v>
      </c>
      <c r="L453" s="89" t="s">
        <v>331</v>
      </c>
      <c r="M453" s="89" t="s">
        <v>1501</v>
      </c>
      <c r="N453" s="89" t="s">
        <v>130</v>
      </c>
      <c r="O453" s="93" t="s">
        <v>1502</v>
      </c>
      <c r="P453" s="94" t="s">
        <v>57</v>
      </c>
      <c r="Q453" s="112" t="s">
        <v>58</v>
      </c>
      <c r="R453" s="95">
        <v>46171</v>
      </c>
      <c r="S453" s="96"/>
      <c r="T453" s="96" t="s">
        <v>59</v>
      </c>
      <c r="U453" s="96" t="s">
        <v>60</v>
      </c>
      <c r="V453" s="92">
        <v>46128</v>
      </c>
      <c r="W453" s="92">
        <v>46154</v>
      </c>
      <c r="X453" s="92">
        <v>46160</v>
      </c>
      <c r="Y453" s="97"/>
      <c r="Z453" s="89" t="s">
        <v>62</v>
      </c>
      <c r="AA453" s="96">
        <v>46178</v>
      </c>
      <c r="AB453" s="89" t="s">
        <v>80</v>
      </c>
      <c r="AC453" s="111"/>
      <c r="AD453" s="89"/>
      <c r="AE453" s="89"/>
      <c r="AF453" s="98"/>
      <c r="AG453" s="98"/>
      <c r="AH453" s="98"/>
      <c r="AI453" s="99"/>
      <c r="AJ453" s="99" t="s">
        <v>197</v>
      </c>
      <c r="AK453" s="99" t="s">
        <v>67</v>
      </c>
      <c r="AL453" s="45" t="s">
        <v>68</v>
      </c>
      <c r="AM453" s="162" t="str">
        <f t="shared" si="56"/>
        <v>3/2026</v>
      </c>
      <c r="AN453" s="45">
        <f t="shared" si="57"/>
        <v>4</v>
      </c>
      <c r="AO453" s="45" t="str">
        <f t="shared" si="58"/>
        <v>5/2026</v>
      </c>
      <c r="AP453" s="45">
        <f t="shared" si="59"/>
        <v>5</v>
      </c>
      <c r="AQ453" s="45">
        <f t="shared" si="60"/>
        <v>67</v>
      </c>
      <c r="AR453" s="45">
        <f t="shared" si="61"/>
        <v>0</v>
      </c>
      <c r="AS453" s="45">
        <f t="shared" si="62"/>
        <v>16</v>
      </c>
      <c r="AT453" s="45">
        <f t="shared" si="63"/>
        <v>0</v>
      </c>
      <c r="AU453" s="45" t="str">
        <f>_xlfn.XLOOKUP(U453,'Lista Suspensa'!$AA$20:$AA$23,'Lista Suspensa'!$AB$20:$AB$23,"N/A")</f>
        <v>S</v>
      </c>
    </row>
    <row r="454" spans="1:47" ht="12" customHeight="1" x14ac:dyDescent="0.3">
      <c r="A454" s="87" t="s">
        <v>47</v>
      </c>
      <c r="B454" s="88">
        <v>46104</v>
      </c>
      <c r="C454" s="89" t="s">
        <v>48</v>
      </c>
      <c r="D454" s="89" t="s">
        <v>49</v>
      </c>
      <c r="E454" s="90">
        <v>593907140</v>
      </c>
      <c r="F454" s="184" t="s">
        <v>1503</v>
      </c>
      <c r="G454" s="91">
        <v>6646088845</v>
      </c>
      <c r="H454" s="92">
        <v>23843</v>
      </c>
      <c r="I454" s="89">
        <v>60</v>
      </c>
      <c r="J454" s="89" t="s">
        <v>51</v>
      </c>
      <c r="K454" s="89" t="s">
        <v>52</v>
      </c>
      <c r="L454" s="89" t="s">
        <v>331</v>
      </c>
      <c r="M454" s="89" t="s">
        <v>1504</v>
      </c>
      <c r="N454" s="89" t="s">
        <v>130</v>
      </c>
      <c r="O454" s="93" t="s">
        <v>1505</v>
      </c>
      <c r="P454" s="94" t="s">
        <v>57</v>
      </c>
      <c r="Q454" s="112" t="s">
        <v>58</v>
      </c>
      <c r="R454" s="95">
        <v>46153</v>
      </c>
      <c r="S454" s="96"/>
      <c r="T454" s="96" t="s">
        <v>59</v>
      </c>
      <c r="U454" s="96" t="s">
        <v>60</v>
      </c>
      <c r="V454" s="92">
        <v>46147</v>
      </c>
      <c r="W454" s="92">
        <v>46154</v>
      </c>
      <c r="X454" s="92" t="s">
        <v>61</v>
      </c>
      <c r="Y454" s="97"/>
      <c r="Z454" s="89" t="s">
        <v>62</v>
      </c>
      <c r="AA454" s="96">
        <v>46163.5</v>
      </c>
      <c r="AB454" s="89" t="s">
        <v>80</v>
      </c>
      <c r="AC454" s="111"/>
      <c r="AD454" s="89"/>
      <c r="AE454" s="89"/>
      <c r="AF454" s="98"/>
      <c r="AG454" s="98"/>
      <c r="AH454" s="98"/>
      <c r="AI454" s="99" t="s">
        <v>197</v>
      </c>
      <c r="AJ454" s="99" t="s">
        <v>197</v>
      </c>
      <c r="AK454" s="99" t="s">
        <v>67</v>
      </c>
      <c r="AL454" s="45" t="s">
        <v>68</v>
      </c>
      <c r="AM454" s="162" t="str">
        <f t="shared" si="56"/>
        <v>3/2026</v>
      </c>
      <c r="AN454" s="45">
        <f t="shared" si="57"/>
        <v>4</v>
      </c>
      <c r="AO454" s="45" t="str">
        <f t="shared" si="58"/>
        <v>5/2026</v>
      </c>
      <c r="AP454" s="45">
        <f t="shared" si="59"/>
        <v>3</v>
      </c>
      <c r="AQ454" s="45">
        <f t="shared" si="60"/>
        <v>49</v>
      </c>
      <c r="AR454" s="45">
        <f t="shared" si="61"/>
        <v>0</v>
      </c>
      <c r="AS454" s="45">
        <f t="shared" si="62"/>
        <v>7</v>
      </c>
      <c r="AT454" s="45">
        <f t="shared" si="63"/>
        <v>0</v>
      </c>
      <c r="AU454" s="45" t="str">
        <f>_xlfn.XLOOKUP(U454,'Lista Suspensa'!$AA$20:$AA$23,'Lista Suspensa'!$AB$20:$AB$23,"N/A")</f>
        <v>S</v>
      </c>
    </row>
    <row r="455" spans="1:47" ht="12" customHeight="1" x14ac:dyDescent="0.3">
      <c r="A455" s="87" t="s">
        <v>47</v>
      </c>
      <c r="B455" s="88">
        <v>46104</v>
      </c>
      <c r="C455" s="89" t="s">
        <v>48</v>
      </c>
      <c r="D455" s="89" t="s">
        <v>49</v>
      </c>
      <c r="E455" s="90">
        <v>72194400</v>
      </c>
      <c r="F455" s="184" t="s">
        <v>1506</v>
      </c>
      <c r="G455" s="91">
        <v>25826159863</v>
      </c>
      <c r="H455" s="92">
        <v>27890</v>
      </c>
      <c r="I455" s="89">
        <v>49</v>
      </c>
      <c r="J455" s="89" t="s">
        <v>51</v>
      </c>
      <c r="K455" s="89" t="s">
        <v>52</v>
      </c>
      <c r="L455" s="89" t="s">
        <v>53</v>
      </c>
      <c r="M455" s="89" t="s">
        <v>1507</v>
      </c>
      <c r="N455" s="89" t="s">
        <v>130</v>
      </c>
      <c r="O455" s="93" t="s">
        <v>1508</v>
      </c>
      <c r="P455" s="94" t="s">
        <v>57</v>
      </c>
      <c r="Q455" s="112" t="s">
        <v>58</v>
      </c>
      <c r="R455" s="95">
        <v>46147</v>
      </c>
      <c r="S455" s="96"/>
      <c r="T455" s="96" t="s">
        <v>59</v>
      </c>
      <c r="U455" s="96" t="s">
        <v>60</v>
      </c>
      <c r="V455" s="92">
        <v>46147</v>
      </c>
      <c r="W455" s="92" t="s">
        <v>61</v>
      </c>
      <c r="X455" s="92" t="s">
        <v>61</v>
      </c>
      <c r="Y455" s="97"/>
      <c r="Z455" s="89" t="s">
        <v>62</v>
      </c>
      <c r="AA455" s="96" t="s">
        <v>1310</v>
      </c>
      <c r="AB455" s="89" t="s">
        <v>80</v>
      </c>
      <c r="AC455" s="111"/>
      <c r="AD455" s="89"/>
      <c r="AE455" s="89"/>
      <c r="AF455" s="98"/>
      <c r="AG455" s="98"/>
      <c r="AH455" s="98"/>
      <c r="AI455" s="99" t="s">
        <v>197</v>
      </c>
      <c r="AJ455" s="99" t="s">
        <v>197</v>
      </c>
      <c r="AK455" s="99" t="s">
        <v>67</v>
      </c>
      <c r="AL455" s="45" t="s">
        <v>68</v>
      </c>
      <c r="AM455" s="162" t="str">
        <f t="shared" si="56"/>
        <v>3/2026</v>
      </c>
      <c r="AN455" s="45">
        <f t="shared" si="57"/>
        <v>4</v>
      </c>
      <c r="AO455" s="45" t="str">
        <f t="shared" si="58"/>
        <v>5/2026</v>
      </c>
      <c r="AP455" s="45">
        <f t="shared" si="59"/>
        <v>2</v>
      </c>
      <c r="AQ455" s="45">
        <f t="shared" si="60"/>
        <v>43</v>
      </c>
      <c r="AR455" s="45">
        <f t="shared" si="61"/>
        <v>0</v>
      </c>
      <c r="AS455" s="45">
        <f t="shared" si="62"/>
        <v>0</v>
      </c>
      <c r="AT455" s="45">
        <f t="shared" si="63"/>
        <v>0</v>
      </c>
      <c r="AU455" s="45" t="str">
        <f>_xlfn.XLOOKUP(U455,'Lista Suspensa'!$AA$20:$AA$23,'Lista Suspensa'!$AB$20:$AB$23,"N/A")</f>
        <v>S</v>
      </c>
    </row>
    <row r="456" spans="1:47" ht="12" customHeight="1" x14ac:dyDescent="0.3">
      <c r="A456" s="87" t="s">
        <v>47</v>
      </c>
      <c r="B456" s="88">
        <v>46104</v>
      </c>
      <c r="C456" s="89" t="s">
        <v>48</v>
      </c>
      <c r="D456" s="89" t="s">
        <v>49</v>
      </c>
      <c r="E456" s="90">
        <v>73395931</v>
      </c>
      <c r="F456" s="184" t="s">
        <v>1509</v>
      </c>
      <c r="G456" s="91">
        <v>14889998802</v>
      </c>
      <c r="H456" s="92">
        <v>25663</v>
      </c>
      <c r="I456" s="89">
        <v>55</v>
      </c>
      <c r="J456" s="89" t="s">
        <v>51</v>
      </c>
      <c r="K456" s="89" t="s">
        <v>52</v>
      </c>
      <c r="L456" s="89" t="s">
        <v>53</v>
      </c>
      <c r="M456" s="89" t="s">
        <v>1510</v>
      </c>
      <c r="N456" s="89" t="s">
        <v>130</v>
      </c>
      <c r="O456" s="93" t="s">
        <v>1511</v>
      </c>
      <c r="P456" s="94" t="s">
        <v>57</v>
      </c>
      <c r="Q456" s="112" t="s">
        <v>58</v>
      </c>
      <c r="R456" s="95">
        <v>46147</v>
      </c>
      <c r="S456" s="96"/>
      <c r="T456" s="96" t="s">
        <v>59</v>
      </c>
      <c r="U456" s="96" t="s">
        <v>60</v>
      </c>
      <c r="V456" s="92">
        <v>46147</v>
      </c>
      <c r="W456" s="92" t="s">
        <v>61</v>
      </c>
      <c r="X456" s="92" t="s">
        <v>61</v>
      </c>
      <c r="Y456" s="97"/>
      <c r="Z456" s="89" t="s">
        <v>62</v>
      </c>
      <c r="AA456" s="96" t="s">
        <v>1512</v>
      </c>
      <c r="AB456" s="89" t="s">
        <v>80</v>
      </c>
      <c r="AC456" s="111"/>
      <c r="AD456" s="89"/>
      <c r="AE456" s="89"/>
      <c r="AF456" s="98"/>
      <c r="AG456" s="98"/>
      <c r="AH456" s="98"/>
      <c r="AI456" s="99" t="s">
        <v>197</v>
      </c>
      <c r="AJ456" s="99" t="s">
        <v>197</v>
      </c>
      <c r="AK456" s="99" t="s">
        <v>67</v>
      </c>
      <c r="AL456" s="45" t="s">
        <v>68</v>
      </c>
      <c r="AM456" s="162" t="str">
        <f t="shared" si="56"/>
        <v>3/2026</v>
      </c>
      <c r="AN456" s="45">
        <f t="shared" si="57"/>
        <v>4</v>
      </c>
      <c r="AO456" s="45" t="str">
        <f t="shared" si="58"/>
        <v>5/2026</v>
      </c>
      <c r="AP456" s="45">
        <f t="shared" si="59"/>
        <v>2</v>
      </c>
      <c r="AQ456" s="45">
        <f t="shared" si="60"/>
        <v>43</v>
      </c>
      <c r="AR456" s="45">
        <f t="shared" si="61"/>
        <v>0</v>
      </c>
      <c r="AS456" s="45">
        <f t="shared" si="62"/>
        <v>0</v>
      </c>
      <c r="AT456" s="45">
        <f t="shared" si="63"/>
        <v>0</v>
      </c>
      <c r="AU456" s="45" t="str">
        <f>_xlfn.XLOOKUP(U456,'Lista Suspensa'!$AA$20:$AA$23,'Lista Suspensa'!$AB$20:$AB$23,"N/A")</f>
        <v>S</v>
      </c>
    </row>
    <row r="457" spans="1:47" ht="12" customHeight="1" x14ac:dyDescent="0.3">
      <c r="A457" s="87" t="s">
        <v>47</v>
      </c>
      <c r="B457" s="88">
        <v>46104</v>
      </c>
      <c r="C457" s="89" t="s">
        <v>48</v>
      </c>
      <c r="D457" s="89" t="s">
        <v>49</v>
      </c>
      <c r="E457" s="90">
        <v>594102308</v>
      </c>
      <c r="F457" s="184" t="s">
        <v>1513</v>
      </c>
      <c r="G457" s="91">
        <v>32100336843</v>
      </c>
      <c r="H457" s="92">
        <v>22105</v>
      </c>
      <c r="I457" s="89">
        <v>65</v>
      </c>
      <c r="J457" s="89" t="s">
        <v>70</v>
      </c>
      <c r="K457" s="89" t="s">
        <v>52</v>
      </c>
      <c r="L457" s="89" t="s">
        <v>331</v>
      </c>
      <c r="M457" s="89" t="s">
        <v>1514</v>
      </c>
      <c r="N457" s="89" t="s">
        <v>130</v>
      </c>
      <c r="O457" s="93" t="s">
        <v>1515</v>
      </c>
      <c r="P457" s="94" t="s">
        <v>57</v>
      </c>
      <c r="Q457" s="112" t="s">
        <v>58</v>
      </c>
      <c r="R457" s="95">
        <v>46153</v>
      </c>
      <c r="S457" s="96"/>
      <c r="T457" s="96" t="s">
        <v>59</v>
      </c>
      <c r="U457" s="96" t="s">
        <v>60</v>
      </c>
      <c r="V457" s="92">
        <v>46147</v>
      </c>
      <c r="W457" s="92">
        <v>46154</v>
      </c>
      <c r="X457" s="92" t="s">
        <v>61</v>
      </c>
      <c r="Y457" s="97"/>
      <c r="Z457" s="89" t="s">
        <v>62</v>
      </c>
      <c r="AA457" s="96" t="s">
        <v>1516</v>
      </c>
      <c r="AB457" s="89" t="s">
        <v>80</v>
      </c>
      <c r="AC457" s="111"/>
      <c r="AD457" s="89"/>
      <c r="AE457" s="89"/>
      <c r="AF457" s="98"/>
      <c r="AG457" s="98"/>
      <c r="AH457" s="98"/>
      <c r="AI457" s="99" t="s">
        <v>197</v>
      </c>
      <c r="AJ457" s="99" t="s">
        <v>197</v>
      </c>
      <c r="AK457" s="99" t="s">
        <v>67</v>
      </c>
      <c r="AL457" s="45" t="s">
        <v>68</v>
      </c>
      <c r="AM457" s="162" t="str">
        <f t="shared" si="56"/>
        <v>3/2026</v>
      </c>
      <c r="AN457" s="45">
        <f t="shared" si="57"/>
        <v>4</v>
      </c>
      <c r="AO457" s="45" t="str">
        <f t="shared" si="58"/>
        <v>5/2026</v>
      </c>
      <c r="AP457" s="45">
        <f t="shared" si="59"/>
        <v>3</v>
      </c>
      <c r="AQ457" s="45">
        <f t="shared" si="60"/>
        <v>49</v>
      </c>
      <c r="AR457" s="45">
        <f t="shared" si="61"/>
        <v>0</v>
      </c>
      <c r="AS457" s="45">
        <f t="shared" si="62"/>
        <v>7</v>
      </c>
      <c r="AT457" s="45">
        <f t="shared" si="63"/>
        <v>0</v>
      </c>
      <c r="AU457" s="45" t="str">
        <f>_xlfn.XLOOKUP(U457,'Lista Suspensa'!$AA$20:$AA$23,'Lista Suspensa'!$AB$20:$AB$23,"N/A")</f>
        <v>S</v>
      </c>
    </row>
    <row r="458" spans="1:47" ht="12" customHeight="1" x14ac:dyDescent="0.3">
      <c r="A458" s="87" t="s">
        <v>47</v>
      </c>
      <c r="B458" s="88">
        <v>46104</v>
      </c>
      <c r="C458" s="89" t="s">
        <v>48</v>
      </c>
      <c r="D458" s="89" t="s">
        <v>49</v>
      </c>
      <c r="E458" s="90">
        <v>593892771</v>
      </c>
      <c r="F458" s="184" t="s">
        <v>1517</v>
      </c>
      <c r="G458" s="91">
        <v>6712889898</v>
      </c>
      <c r="H458" s="92">
        <v>12578</v>
      </c>
      <c r="I458" s="89">
        <v>91</v>
      </c>
      <c r="J458" s="89" t="s">
        <v>70</v>
      </c>
      <c r="K458" s="89" t="s">
        <v>52</v>
      </c>
      <c r="L458" s="89" t="s">
        <v>331</v>
      </c>
      <c r="M458" s="89" t="s">
        <v>1518</v>
      </c>
      <c r="N458" s="89" t="s">
        <v>130</v>
      </c>
      <c r="O458" s="93" t="s">
        <v>1519</v>
      </c>
      <c r="P458" s="94" t="s">
        <v>57</v>
      </c>
      <c r="Q458" s="112" t="s">
        <v>58</v>
      </c>
      <c r="R458" s="95">
        <v>46153</v>
      </c>
      <c r="S458" s="96"/>
      <c r="T458" s="96" t="s">
        <v>59</v>
      </c>
      <c r="U458" s="96" t="s">
        <v>60</v>
      </c>
      <c r="V458" s="92">
        <v>46122</v>
      </c>
      <c r="W458" s="92">
        <v>46154</v>
      </c>
      <c r="X458" s="92" t="s">
        <v>61</v>
      </c>
      <c r="Y458" s="97"/>
      <c r="Z458" s="89" t="s">
        <v>62</v>
      </c>
      <c r="AA458" s="96" t="s">
        <v>1520</v>
      </c>
      <c r="AB458" s="89" t="s">
        <v>63</v>
      </c>
      <c r="AC458" s="111"/>
      <c r="AD458" s="89" t="s">
        <v>86</v>
      </c>
      <c r="AE458" s="89">
        <v>51</v>
      </c>
      <c r="AF458" s="98" t="s">
        <v>1521</v>
      </c>
      <c r="AG458" s="98" t="s">
        <v>1521</v>
      </c>
      <c r="AH458" s="98" t="s">
        <v>66</v>
      </c>
      <c r="AI458" s="99" t="s">
        <v>197</v>
      </c>
      <c r="AJ458" s="99" t="s">
        <v>197</v>
      </c>
      <c r="AK458" s="99" t="s">
        <v>67</v>
      </c>
      <c r="AL458" s="45" t="s">
        <v>68</v>
      </c>
      <c r="AM458" s="162" t="str">
        <f t="shared" si="56"/>
        <v>3/2026</v>
      </c>
      <c r="AN458" s="45">
        <f t="shared" si="57"/>
        <v>4</v>
      </c>
      <c r="AO458" s="45" t="str">
        <f t="shared" si="58"/>
        <v>5/2026</v>
      </c>
      <c r="AP458" s="45">
        <f t="shared" si="59"/>
        <v>3</v>
      </c>
      <c r="AQ458" s="45">
        <f t="shared" si="60"/>
        <v>49</v>
      </c>
      <c r="AR458" s="45">
        <f t="shared" si="61"/>
        <v>0</v>
      </c>
      <c r="AS458" s="45">
        <f t="shared" si="62"/>
        <v>32</v>
      </c>
      <c r="AT458" s="45">
        <f t="shared" si="63"/>
        <v>9.5138888888905058</v>
      </c>
      <c r="AU458" s="45" t="str">
        <f>_xlfn.XLOOKUP(U458,'Lista Suspensa'!$AA$20:$AA$23,'Lista Suspensa'!$AB$20:$AB$23,"N/A")</f>
        <v>S</v>
      </c>
    </row>
    <row r="459" spans="1:47" ht="12" customHeight="1" x14ac:dyDescent="0.3">
      <c r="A459" s="87" t="s">
        <v>47</v>
      </c>
      <c r="B459" s="88">
        <v>46104</v>
      </c>
      <c r="C459" s="89" t="s">
        <v>48</v>
      </c>
      <c r="D459" s="89" t="s">
        <v>49</v>
      </c>
      <c r="E459" s="90">
        <v>593934350</v>
      </c>
      <c r="F459" s="184" t="s">
        <v>1522</v>
      </c>
      <c r="G459" s="91">
        <v>50146653491</v>
      </c>
      <c r="H459" s="92">
        <v>16546</v>
      </c>
      <c r="I459" s="89">
        <v>80</v>
      </c>
      <c r="J459" s="89" t="s">
        <v>70</v>
      </c>
      <c r="K459" s="89" t="s">
        <v>52</v>
      </c>
      <c r="L459" s="89" t="s">
        <v>331</v>
      </c>
      <c r="M459" s="89" t="s">
        <v>617</v>
      </c>
      <c r="N459" s="89" t="s">
        <v>130</v>
      </c>
      <c r="O459" s="93" t="s">
        <v>1523</v>
      </c>
      <c r="P459" s="94" t="s">
        <v>57</v>
      </c>
      <c r="Q459" s="112" t="s">
        <v>58</v>
      </c>
      <c r="R459" s="95">
        <v>46153</v>
      </c>
      <c r="S459" s="96"/>
      <c r="T459" s="96" t="s">
        <v>59</v>
      </c>
      <c r="U459" s="96" t="s">
        <v>60</v>
      </c>
      <c r="V459" s="92">
        <v>46147</v>
      </c>
      <c r="W459" s="92">
        <v>46154</v>
      </c>
      <c r="X459" s="92" t="s">
        <v>61</v>
      </c>
      <c r="Y459" s="97"/>
      <c r="Z459" s="89" t="s">
        <v>62</v>
      </c>
      <c r="AA459" s="96">
        <v>46161.652777777781</v>
      </c>
      <c r="AB459" s="89" t="s">
        <v>80</v>
      </c>
      <c r="AC459" s="111"/>
      <c r="AD459" s="89"/>
      <c r="AE459" s="89"/>
      <c r="AF459" s="98"/>
      <c r="AG459" s="98"/>
      <c r="AH459" s="98"/>
      <c r="AI459" s="99" t="s">
        <v>197</v>
      </c>
      <c r="AJ459" s="99" t="s">
        <v>197</v>
      </c>
      <c r="AK459" s="99" t="s">
        <v>67</v>
      </c>
      <c r="AL459" s="45" t="s">
        <v>68</v>
      </c>
      <c r="AM459" s="162" t="str">
        <f t="shared" si="56"/>
        <v>3/2026</v>
      </c>
      <c r="AN459" s="45">
        <f t="shared" si="57"/>
        <v>4</v>
      </c>
      <c r="AO459" s="45" t="str">
        <f t="shared" si="58"/>
        <v>5/2026</v>
      </c>
      <c r="AP459" s="45">
        <f t="shared" si="59"/>
        <v>3</v>
      </c>
      <c r="AQ459" s="45">
        <f t="shared" si="60"/>
        <v>49</v>
      </c>
      <c r="AR459" s="45">
        <f t="shared" si="61"/>
        <v>0</v>
      </c>
      <c r="AS459" s="45">
        <f t="shared" si="62"/>
        <v>7</v>
      </c>
      <c r="AT459" s="45">
        <f t="shared" si="63"/>
        <v>0</v>
      </c>
      <c r="AU459" s="45" t="str">
        <f>_xlfn.XLOOKUP(U459,'Lista Suspensa'!$AA$20:$AA$23,'Lista Suspensa'!$AB$20:$AB$23,"N/A")</f>
        <v>S</v>
      </c>
    </row>
    <row r="460" spans="1:47" ht="12" customHeight="1" x14ac:dyDescent="0.3">
      <c r="A460" s="87" t="s">
        <v>47</v>
      </c>
      <c r="B460" s="88">
        <v>46104</v>
      </c>
      <c r="C460" s="89" t="s">
        <v>48</v>
      </c>
      <c r="D460" s="89" t="s">
        <v>49</v>
      </c>
      <c r="E460" s="90">
        <v>592733106</v>
      </c>
      <c r="F460" s="184" t="s">
        <v>1524</v>
      </c>
      <c r="G460" s="91">
        <v>37949594187</v>
      </c>
      <c r="H460" s="92">
        <v>20125</v>
      </c>
      <c r="I460" s="89">
        <v>71</v>
      </c>
      <c r="J460" s="89" t="s">
        <v>70</v>
      </c>
      <c r="K460" s="89" t="s">
        <v>52</v>
      </c>
      <c r="L460" s="89" t="s">
        <v>331</v>
      </c>
      <c r="M460" s="89" t="s">
        <v>1525</v>
      </c>
      <c r="N460" s="89" t="s">
        <v>130</v>
      </c>
      <c r="O460" s="93" t="s">
        <v>1526</v>
      </c>
      <c r="P460" s="94" t="s">
        <v>57</v>
      </c>
      <c r="Q460" s="112" t="s">
        <v>58</v>
      </c>
      <c r="R460" s="95">
        <v>46171</v>
      </c>
      <c r="S460" s="96"/>
      <c r="T460" s="96" t="s">
        <v>59</v>
      </c>
      <c r="U460" s="96" t="s">
        <v>60</v>
      </c>
      <c r="V460" s="92">
        <v>46128</v>
      </c>
      <c r="W460" s="92">
        <v>46154</v>
      </c>
      <c r="X460" s="92">
        <v>46160</v>
      </c>
      <c r="Y460" s="97"/>
      <c r="Z460" s="89" t="s">
        <v>62</v>
      </c>
      <c r="AA460" s="96">
        <v>46176</v>
      </c>
      <c r="AB460" s="89" t="s">
        <v>80</v>
      </c>
      <c r="AC460" s="111"/>
      <c r="AD460" s="89"/>
      <c r="AE460" s="89"/>
      <c r="AF460" s="98"/>
      <c r="AG460" s="98"/>
      <c r="AH460" s="98"/>
      <c r="AI460" s="99"/>
      <c r="AJ460" s="99" t="s">
        <v>197</v>
      </c>
      <c r="AK460" s="99" t="s">
        <v>67</v>
      </c>
      <c r="AL460" s="45" t="s">
        <v>68</v>
      </c>
      <c r="AM460" s="162" t="str">
        <f t="shared" si="56"/>
        <v>3/2026</v>
      </c>
      <c r="AN460" s="45">
        <f t="shared" si="57"/>
        <v>4</v>
      </c>
      <c r="AO460" s="45" t="str">
        <f t="shared" si="58"/>
        <v>5/2026</v>
      </c>
      <c r="AP460" s="45">
        <f t="shared" si="59"/>
        <v>5</v>
      </c>
      <c r="AQ460" s="45">
        <f t="shared" si="60"/>
        <v>67</v>
      </c>
      <c r="AR460" s="45">
        <f t="shared" si="61"/>
        <v>0</v>
      </c>
      <c r="AS460" s="45">
        <f t="shared" si="62"/>
        <v>16</v>
      </c>
      <c r="AT460" s="45">
        <f t="shared" si="63"/>
        <v>0</v>
      </c>
      <c r="AU460" s="45" t="str">
        <f>_xlfn.XLOOKUP(U460,'Lista Suspensa'!$AA$20:$AA$23,'Lista Suspensa'!$AB$20:$AB$23,"N/A")</f>
        <v>S</v>
      </c>
    </row>
    <row r="461" spans="1:47" ht="12" customHeight="1" x14ac:dyDescent="0.3">
      <c r="A461" s="87" t="s">
        <v>47</v>
      </c>
      <c r="B461" s="88">
        <v>46104</v>
      </c>
      <c r="C461" s="89" t="s">
        <v>48</v>
      </c>
      <c r="D461" s="89" t="s">
        <v>49</v>
      </c>
      <c r="E461" s="193">
        <v>74512950</v>
      </c>
      <c r="F461" s="184" t="s">
        <v>1527</v>
      </c>
      <c r="G461" s="91">
        <v>16491715876</v>
      </c>
      <c r="H461" s="92">
        <v>27343</v>
      </c>
      <c r="I461" s="89">
        <v>51</v>
      </c>
      <c r="J461" s="89" t="s">
        <v>70</v>
      </c>
      <c r="K461" s="89" t="s">
        <v>52</v>
      </c>
      <c r="L461" s="89" t="s">
        <v>53</v>
      </c>
      <c r="M461" s="89" t="s">
        <v>1528</v>
      </c>
      <c r="N461" s="89" t="s">
        <v>130</v>
      </c>
      <c r="O461" s="93" t="s">
        <v>1529</v>
      </c>
      <c r="P461" s="94" t="s">
        <v>57</v>
      </c>
      <c r="Q461" s="112" t="s">
        <v>58</v>
      </c>
      <c r="R461" s="95">
        <v>46163</v>
      </c>
      <c r="S461" s="96"/>
      <c r="T461" s="96" t="s">
        <v>59</v>
      </c>
      <c r="U461" s="96" t="s">
        <v>60</v>
      </c>
      <c r="V461" s="92">
        <v>46122</v>
      </c>
      <c r="W461" s="92">
        <v>46154</v>
      </c>
      <c r="X461" s="92">
        <v>46160</v>
      </c>
      <c r="Y461" s="97"/>
      <c r="Z461" s="89"/>
      <c r="AA461" s="96"/>
      <c r="AB461" s="89"/>
      <c r="AC461" s="111"/>
      <c r="AD461" s="89"/>
      <c r="AE461" s="89"/>
      <c r="AF461" s="98"/>
      <c r="AG461" s="98"/>
      <c r="AH461" s="98"/>
      <c r="AI461" s="99"/>
      <c r="AJ461" s="99" t="s">
        <v>197</v>
      </c>
      <c r="AK461" s="99" t="s">
        <v>67</v>
      </c>
      <c r="AL461" s="45" t="s">
        <v>68</v>
      </c>
      <c r="AM461" s="162" t="str">
        <f t="shared" si="56"/>
        <v>3/2026</v>
      </c>
      <c r="AN461" s="45">
        <f t="shared" si="57"/>
        <v>4</v>
      </c>
      <c r="AO461" s="45" t="str">
        <f t="shared" si="58"/>
        <v>5/2026</v>
      </c>
      <c r="AP461" s="45">
        <f t="shared" si="59"/>
        <v>4</v>
      </c>
      <c r="AQ461" s="45">
        <f t="shared" si="60"/>
        <v>59</v>
      </c>
      <c r="AR461" s="45">
        <f t="shared" si="61"/>
        <v>0</v>
      </c>
      <c r="AS461" s="45">
        <f t="shared" si="62"/>
        <v>19</v>
      </c>
      <c r="AT461" s="45">
        <f t="shared" si="63"/>
        <v>0</v>
      </c>
      <c r="AU461" s="45" t="str">
        <f>_xlfn.XLOOKUP(U461,'Lista Suspensa'!$AA$20:$AA$23,'Lista Suspensa'!$AB$20:$AB$23,"N/A")</f>
        <v>S</v>
      </c>
    </row>
    <row r="462" spans="1:47" ht="12" customHeight="1" x14ac:dyDescent="0.3">
      <c r="A462" s="87" t="s">
        <v>47</v>
      </c>
      <c r="B462" s="88">
        <v>46104</v>
      </c>
      <c r="C462" s="89" t="s">
        <v>48</v>
      </c>
      <c r="D462" s="89" t="s">
        <v>49</v>
      </c>
      <c r="E462" s="90">
        <v>596894848</v>
      </c>
      <c r="F462" s="184" t="s">
        <v>1530</v>
      </c>
      <c r="G462" s="91">
        <v>4025141817</v>
      </c>
      <c r="H462" s="92">
        <v>22514</v>
      </c>
      <c r="I462" s="89">
        <v>64</v>
      </c>
      <c r="J462" s="89" t="s">
        <v>51</v>
      </c>
      <c r="K462" s="89" t="s">
        <v>52</v>
      </c>
      <c r="L462" s="89" t="s">
        <v>331</v>
      </c>
      <c r="M462" s="89" t="s">
        <v>1531</v>
      </c>
      <c r="N462" s="89" t="s">
        <v>130</v>
      </c>
      <c r="O462" s="93" t="s">
        <v>1532</v>
      </c>
      <c r="P462" s="94" t="s">
        <v>57</v>
      </c>
      <c r="Q462" s="112" t="s">
        <v>58</v>
      </c>
      <c r="R462" s="95">
        <v>46147</v>
      </c>
      <c r="S462" s="96"/>
      <c r="T462" s="96" t="s">
        <v>59</v>
      </c>
      <c r="U462" s="96" t="s">
        <v>60</v>
      </c>
      <c r="V462" s="92">
        <v>46147</v>
      </c>
      <c r="W462" s="92" t="s">
        <v>61</v>
      </c>
      <c r="X462" s="92" t="s">
        <v>61</v>
      </c>
      <c r="Y462" s="97"/>
      <c r="Z462" s="89" t="s">
        <v>62</v>
      </c>
      <c r="AA462" s="96" t="s">
        <v>1533</v>
      </c>
      <c r="AB462" s="89" t="s">
        <v>63</v>
      </c>
      <c r="AC462" s="111"/>
      <c r="AD462" s="89" t="s">
        <v>86</v>
      </c>
      <c r="AE462" s="89">
        <v>58</v>
      </c>
      <c r="AF462" s="98" t="s">
        <v>1534</v>
      </c>
      <c r="AG462" s="98"/>
      <c r="AH462" s="98"/>
      <c r="AI462" s="99" t="s">
        <v>197</v>
      </c>
      <c r="AJ462" s="99" t="s">
        <v>197</v>
      </c>
      <c r="AK462" s="99" t="s">
        <v>67</v>
      </c>
      <c r="AL462" s="45" t="s">
        <v>68</v>
      </c>
      <c r="AM462" s="162" t="str">
        <f t="shared" si="56"/>
        <v>3/2026</v>
      </c>
      <c r="AN462" s="45">
        <f t="shared" si="57"/>
        <v>4</v>
      </c>
      <c r="AO462" s="45" t="str">
        <f t="shared" si="58"/>
        <v>5/2026</v>
      </c>
      <c r="AP462" s="45">
        <f t="shared" si="59"/>
        <v>2</v>
      </c>
      <c r="AQ462" s="45">
        <f t="shared" si="60"/>
        <v>43</v>
      </c>
      <c r="AR462" s="45">
        <f t="shared" si="61"/>
        <v>0</v>
      </c>
      <c r="AS462" s="45">
        <f t="shared" si="62"/>
        <v>0</v>
      </c>
      <c r="AT462" s="45">
        <f t="shared" si="63"/>
        <v>8.5277777777810115</v>
      </c>
      <c r="AU462" s="45" t="str">
        <f>_xlfn.XLOOKUP(U462,'Lista Suspensa'!$AA$20:$AA$23,'Lista Suspensa'!$AB$20:$AB$23,"N/A")</f>
        <v>S</v>
      </c>
    </row>
    <row r="463" spans="1:47" ht="12" customHeight="1" x14ac:dyDescent="0.3">
      <c r="A463" s="87" t="s">
        <v>47</v>
      </c>
      <c r="B463" s="88">
        <v>46104</v>
      </c>
      <c r="C463" s="89" t="s">
        <v>48</v>
      </c>
      <c r="D463" s="89" t="s">
        <v>49</v>
      </c>
      <c r="E463" s="193">
        <v>593881516</v>
      </c>
      <c r="F463" s="184" t="s">
        <v>1535</v>
      </c>
      <c r="G463" s="91">
        <v>2729798803</v>
      </c>
      <c r="H463" s="92">
        <v>21751</v>
      </c>
      <c r="I463" s="89">
        <v>66</v>
      </c>
      <c r="J463" s="89" t="s">
        <v>51</v>
      </c>
      <c r="K463" s="89" t="s">
        <v>52</v>
      </c>
      <c r="L463" s="89" t="s">
        <v>331</v>
      </c>
      <c r="M463" s="89" t="s">
        <v>291</v>
      </c>
      <c r="N463" s="89" t="s">
        <v>130</v>
      </c>
      <c r="O463" s="93" t="s">
        <v>1536</v>
      </c>
      <c r="P463" s="94" t="s">
        <v>57</v>
      </c>
      <c r="Q463" s="112" t="s">
        <v>58</v>
      </c>
      <c r="R463" s="95">
        <v>46163</v>
      </c>
      <c r="S463" s="96"/>
      <c r="T463" s="96" t="s">
        <v>59</v>
      </c>
      <c r="U463" s="96" t="s">
        <v>60</v>
      </c>
      <c r="V463" s="92">
        <v>46147</v>
      </c>
      <c r="W463" s="92">
        <v>46154</v>
      </c>
      <c r="X463" s="92">
        <v>46160</v>
      </c>
      <c r="Y463" s="97"/>
      <c r="Z463" s="89"/>
      <c r="AA463" s="96"/>
      <c r="AB463" s="89"/>
      <c r="AC463" s="111"/>
      <c r="AD463" s="89"/>
      <c r="AE463" s="89"/>
      <c r="AF463" s="98"/>
      <c r="AG463" s="98"/>
      <c r="AH463" s="98"/>
      <c r="AI463" s="99"/>
      <c r="AJ463" s="99" t="s">
        <v>197</v>
      </c>
      <c r="AK463" s="99" t="s">
        <v>67</v>
      </c>
      <c r="AL463" s="45" t="s">
        <v>68</v>
      </c>
      <c r="AM463" s="162" t="str">
        <f t="shared" si="56"/>
        <v>3/2026</v>
      </c>
      <c r="AN463" s="45">
        <f t="shared" si="57"/>
        <v>4</v>
      </c>
      <c r="AO463" s="45" t="str">
        <f t="shared" si="58"/>
        <v>5/2026</v>
      </c>
      <c r="AP463" s="45">
        <f t="shared" si="59"/>
        <v>4</v>
      </c>
      <c r="AQ463" s="45">
        <f t="shared" si="60"/>
        <v>59</v>
      </c>
      <c r="AR463" s="45">
        <f t="shared" si="61"/>
        <v>0</v>
      </c>
      <c r="AS463" s="45">
        <f t="shared" si="62"/>
        <v>6.5</v>
      </c>
      <c r="AT463" s="45">
        <f t="shared" si="63"/>
        <v>0</v>
      </c>
      <c r="AU463" s="45" t="str">
        <f>_xlfn.XLOOKUP(U463,'Lista Suspensa'!$AA$20:$AA$23,'Lista Suspensa'!$AB$20:$AB$23,"N/A")</f>
        <v>S</v>
      </c>
    </row>
    <row r="464" spans="1:47" ht="12" customHeight="1" x14ac:dyDescent="0.3">
      <c r="A464" s="87" t="s">
        <v>47</v>
      </c>
      <c r="B464" s="88">
        <v>46104</v>
      </c>
      <c r="C464" s="89" t="s">
        <v>48</v>
      </c>
      <c r="D464" s="89" t="s">
        <v>49</v>
      </c>
      <c r="E464" s="193">
        <v>594081726</v>
      </c>
      <c r="F464" s="184" t="s">
        <v>1537</v>
      </c>
      <c r="G464" s="91">
        <v>61155055853</v>
      </c>
      <c r="H464" s="92">
        <v>16742</v>
      </c>
      <c r="I464" s="89">
        <v>80</v>
      </c>
      <c r="J464" s="89" t="s">
        <v>70</v>
      </c>
      <c r="K464" s="89" t="s">
        <v>52</v>
      </c>
      <c r="L464" s="89" t="s">
        <v>331</v>
      </c>
      <c r="M464" s="89" t="s">
        <v>1538</v>
      </c>
      <c r="N464" s="89" t="s">
        <v>130</v>
      </c>
      <c r="O464" s="93" t="s">
        <v>1539</v>
      </c>
      <c r="P464" s="94" t="s">
        <v>57</v>
      </c>
      <c r="Q464" s="112" t="s">
        <v>58</v>
      </c>
      <c r="R464" s="95">
        <v>46163</v>
      </c>
      <c r="S464" s="96"/>
      <c r="T464" s="96" t="s">
        <v>59</v>
      </c>
      <c r="U464" s="96" t="s">
        <v>60</v>
      </c>
      <c r="V464" s="92">
        <v>46147</v>
      </c>
      <c r="W464" s="92">
        <v>46154</v>
      </c>
      <c r="X464" s="92">
        <v>46160</v>
      </c>
      <c r="Y464" s="97"/>
      <c r="Z464" s="89"/>
      <c r="AA464" s="96"/>
      <c r="AB464" s="89"/>
      <c r="AC464" s="111"/>
      <c r="AD464" s="89"/>
      <c r="AE464" s="89"/>
      <c r="AF464" s="98"/>
      <c r="AG464" s="98"/>
      <c r="AH464" s="98"/>
      <c r="AI464" s="99"/>
      <c r="AJ464" s="99" t="s">
        <v>197</v>
      </c>
      <c r="AK464" s="99" t="s">
        <v>67</v>
      </c>
      <c r="AL464" s="45" t="s">
        <v>68</v>
      </c>
      <c r="AM464" s="162" t="str">
        <f t="shared" si="56"/>
        <v>3/2026</v>
      </c>
      <c r="AN464" s="45">
        <f t="shared" si="57"/>
        <v>4</v>
      </c>
      <c r="AO464" s="45" t="str">
        <f t="shared" si="58"/>
        <v>5/2026</v>
      </c>
      <c r="AP464" s="45">
        <f t="shared" si="59"/>
        <v>4</v>
      </c>
      <c r="AQ464" s="45">
        <f t="shared" si="60"/>
        <v>59</v>
      </c>
      <c r="AR464" s="45">
        <f t="shared" si="61"/>
        <v>0</v>
      </c>
      <c r="AS464" s="45">
        <f t="shared" si="62"/>
        <v>6.5</v>
      </c>
      <c r="AT464" s="45">
        <f t="shared" si="63"/>
        <v>0</v>
      </c>
      <c r="AU464" s="45" t="str">
        <f>_xlfn.XLOOKUP(U464,'Lista Suspensa'!$AA$20:$AA$23,'Lista Suspensa'!$AB$20:$AB$23,"N/A")</f>
        <v>S</v>
      </c>
    </row>
    <row r="465" spans="1:47" ht="12" customHeight="1" x14ac:dyDescent="0.3">
      <c r="A465" s="87" t="s">
        <v>47</v>
      </c>
      <c r="B465" s="88">
        <v>46104</v>
      </c>
      <c r="C465" s="89" t="s">
        <v>48</v>
      </c>
      <c r="D465" s="89" t="s">
        <v>49</v>
      </c>
      <c r="E465" s="90">
        <v>74748853</v>
      </c>
      <c r="F465" s="184" t="s">
        <v>1540</v>
      </c>
      <c r="G465" s="91">
        <v>26307016892</v>
      </c>
      <c r="H465" s="92">
        <v>25868</v>
      </c>
      <c r="I465" s="89">
        <v>55</v>
      </c>
      <c r="J465" s="89" t="s">
        <v>70</v>
      </c>
      <c r="K465" s="89" t="s">
        <v>52</v>
      </c>
      <c r="L465" s="89" t="s">
        <v>53</v>
      </c>
      <c r="M465" s="89" t="s">
        <v>1541</v>
      </c>
      <c r="N465" s="89" t="s">
        <v>130</v>
      </c>
      <c r="O465" s="93" t="s">
        <v>1542</v>
      </c>
      <c r="P465" s="94" t="s">
        <v>57</v>
      </c>
      <c r="Q465" s="112" t="s">
        <v>58</v>
      </c>
      <c r="R465" s="95">
        <v>46153</v>
      </c>
      <c r="S465" s="96"/>
      <c r="T465" s="96" t="s">
        <v>59</v>
      </c>
      <c r="U465" s="96" t="s">
        <v>60</v>
      </c>
      <c r="V465" s="92">
        <v>46147</v>
      </c>
      <c r="W465" s="92" t="s">
        <v>61</v>
      </c>
      <c r="X465" s="92" t="s">
        <v>61</v>
      </c>
      <c r="Y465" s="97"/>
      <c r="Z465" s="89" t="s">
        <v>62</v>
      </c>
      <c r="AA465" s="96" t="s">
        <v>1543</v>
      </c>
      <c r="AB465" s="89" t="s">
        <v>80</v>
      </c>
      <c r="AC465" s="111"/>
      <c r="AD465" s="89"/>
      <c r="AE465" s="89"/>
      <c r="AF465" s="98"/>
      <c r="AG465" s="98"/>
      <c r="AH465" s="98"/>
      <c r="AI465" s="99" t="s">
        <v>197</v>
      </c>
      <c r="AJ465" s="99" t="s">
        <v>197</v>
      </c>
      <c r="AK465" s="99" t="s">
        <v>67</v>
      </c>
      <c r="AL465" s="45" t="s">
        <v>68</v>
      </c>
      <c r="AM465" s="162" t="str">
        <f t="shared" si="56"/>
        <v>3/2026</v>
      </c>
      <c r="AN465" s="45">
        <f t="shared" si="57"/>
        <v>4</v>
      </c>
      <c r="AO465" s="45" t="str">
        <f t="shared" si="58"/>
        <v>5/2026</v>
      </c>
      <c r="AP465" s="45">
        <f t="shared" si="59"/>
        <v>3</v>
      </c>
      <c r="AQ465" s="45">
        <f t="shared" si="60"/>
        <v>49</v>
      </c>
      <c r="AR465" s="45">
        <f t="shared" si="61"/>
        <v>0</v>
      </c>
      <c r="AS465" s="45">
        <f t="shared" si="62"/>
        <v>0</v>
      </c>
      <c r="AT465" s="45">
        <f t="shared" si="63"/>
        <v>0</v>
      </c>
      <c r="AU465" s="45" t="str">
        <f>_xlfn.XLOOKUP(U465,'Lista Suspensa'!$AA$20:$AA$23,'Lista Suspensa'!$AB$20:$AB$23,"N/A")</f>
        <v>S</v>
      </c>
    </row>
    <row r="466" spans="1:47" ht="12" customHeight="1" x14ac:dyDescent="0.3">
      <c r="A466" s="87" t="s">
        <v>47</v>
      </c>
      <c r="B466" s="88">
        <v>46104</v>
      </c>
      <c r="C466" s="89" t="s">
        <v>48</v>
      </c>
      <c r="D466" s="89" t="s">
        <v>49</v>
      </c>
      <c r="E466" s="90">
        <v>594117984</v>
      </c>
      <c r="F466" s="184" t="s">
        <v>1544</v>
      </c>
      <c r="G466" s="91">
        <v>985427884</v>
      </c>
      <c r="H466" s="92">
        <v>13665</v>
      </c>
      <c r="I466" s="89">
        <v>88</v>
      </c>
      <c r="J466" s="89" t="s">
        <v>70</v>
      </c>
      <c r="K466" s="89" t="s">
        <v>52</v>
      </c>
      <c r="L466" s="89" t="s">
        <v>331</v>
      </c>
      <c r="M466" s="89" t="s">
        <v>1545</v>
      </c>
      <c r="N466" s="89" t="s">
        <v>130</v>
      </c>
      <c r="O466" s="93" t="s">
        <v>1546</v>
      </c>
      <c r="P466" s="94" t="s">
        <v>57</v>
      </c>
      <c r="Q466" s="112" t="s">
        <v>58</v>
      </c>
      <c r="R466" s="95">
        <v>46117</v>
      </c>
      <c r="S466" s="96"/>
      <c r="T466" s="96" t="s">
        <v>59</v>
      </c>
      <c r="U466" s="96" t="s">
        <v>60</v>
      </c>
      <c r="V466" s="92">
        <v>46147</v>
      </c>
      <c r="W466" s="92" t="s">
        <v>61</v>
      </c>
      <c r="X466" s="92" t="s">
        <v>61</v>
      </c>
      <c r="Y466" s="97"/>
      <c r="Z466" s="89" t="s">
        <v>62</v>
      </c>
      <c r="AA466" s="96" t="s">
        <v>1547</v>
      </c>
      <c r="AB466" s="89" t="s">
        <v>80</v>
      </c>
      <c r="AC466" s="111"/>
      <c r="AD466" s="89"/>
      <c r="AE466" s="89"/>
      <c r="AF466" s="98"/>
      <c r="AG466" s="98"/>
      <c r="AH466" s="98"/>
      <c r="AI466" s="99" t="s">
        <v>197</v>
      </c>
      <c r="AJ466" s="99" t="s">
        <v>197</v>
      </c>
      <c r="AK466" s="99" t="s">
        <v>67</v>
      </c>
      <c r="AL466" s="45" t="s">
        <v>68</v>
      </c>
      <c r="AM466" s="162" t="str">
        <f t="shared" si="56"/>
        <v>3/2026</v>
      </c>
      <c r="AN466" s="45">
        <f t="shared" si="57"/>
        <v>4</v>
      </c>
      <c r="AO466" s="45" t="str">
        <f t="shared" si="58"/>
        <v>4/2026</v>
      </c>
      <c r="AP466" s="45">
        <f t="shared" si="59"/>
        <v>2</v>
      </c>
      <c r="AQ466" s="45">
        <f t="shared" si="60"/>
        <v>13</v>
      </c>
      <c r="AR466" s="45">
        <f t="shared" si="61"/>
        <v>0</v>
      </c>
      <c r="AS466" s="45">
        <f t="shared" si="62"/>
        <v>0</v>
      </c>
      <c r="AT466" s="45">
        <f t="shared" si="63"/>
        <v>0</v>
      </c>
      <c r="AU466" s="45" t="str">
        <f>_xlfn.XLOOKUP(U466,'Lista Suspensa'!$AA$20:$AA$23,'Lista Suspensa'!$AB$20:$AB$23,"N/A")</f>
        <v>S</v>
      </c>
    </row>
    <row r="467" spans="1:47" ht="12" customHeight="1" x14ac:dyDescent="0.3">
      <c r="A467" s="87" t="s">
        <v>47</v>
      </c>
      <c r="B467" s="88">
        <v>46104</v>
      </c>
      <c r="C467" s="89" t="s">
        <v>48</v>
      </c>
      <c r="D467" s="89" t="s">
        <v>49</v>
      </c>
      <c r="E467" s="90">
        <v>594029503</v>
      </c>
      <c r="F467" s="184" t="s">
        <v>1548</v>
      </c>
      <c r="G467" s="91">
        <v>68161859868</v>
      </c>
      <c r="H467" s="92">
        <v>21624</v>
      </c>
      <c r="I467" s="89">
        <v>67</v>
      </c>
      <c r="J467" s="89" t="s">
        <v>51</v>
      </c>
      <c r="K467" s="89" t="s">
        <v>52</v>
      </c>
      <c r="L467" s="89" t="s">
        <v>331</v>
      </c>
      <c r="M467" s="89" t="s">
        <v>1545</v>
      </c>
      <c r="N467" s="89" t="s">
        <v>130</v>
      </c>
      <c r="O467" s="93" t="s">
        <v>1549</v>
      </c>
      <c r="P467" s="94" t="s">
        <v>57</v>
      </c>
      <c r="Q467" s="112" t="s">
        <v>58</v>
      </c>
      <c r="R467" s="95">
        <v>46171</v>
      </c>
      <c r="S467" s="96"/>
      <c r="T467" s="96" t="s">
        <v>59</v>
      </c>
      <c r="U467" s="96" t="s">
        <v>60</v>
      </c>
      <c r="V467" s="92">
        <v>46147</v>
      </c>
      <c r="W467" s="92">
        <v>46154</v>
      </c>
      <c r="X467" s="92">
        <v>46160</v>
      </c>
      <c r="Y467" s="97"/>
      <c r="Z467" s="89" t="s">
        <v>62</v>
      </c>
      <c r="AA467" s="96">
        <v>46174</v>
      </c>
      <c r="AB467" s="89" t="s">
        <v>80</v>
      </c>
      <c r="AC467" s="111">
        <v>46188</v>
      </c>
      <c r="AD467" s="89"/>
      <c r="AE467" s="89"/>
      <c r="AF467" s="98"/>
      <c r="AG467" s="98"/>
      <c r="AH467" s="98"/>
      <c r="AI467" s="99"/>
      <c r="AJ467" s="99" t="s">
        <v>197</v>
      </c>
      <c r="AK467" s="99" t="s">
        <v>67</v>
      </c>
      <c r="AL467" s="45" t="s">
        <v>68</v>
      </c>
      <c r="AM467" s="162" t="str">
        <f t="shared" si="56"/>
        <v>3/2026</v>
      </c>
      <c r="AN467" s="45">
        <f t="shared" si="57"/>
        <v>4</v>
      </c>
      <c r="AO467" s="45" t="str">
        <f t="shared" si="58"/>
        <v>5/2026</v>
      </c>
      <c r="AP467" s="45">
        <f t="shared" si="59"/>
        <v>5</v>
      </c>
      <c r="AQ467" s="45">
        <f t="shared" si="60"/>
        <v>67</v>
      </c>
      <c r="AR467" s="45">
        <f t="shared" si="61"/>
        <v>0</v>
      </c>
      <c r="AS467" s="45">
        <f t="shared" si="62"/>
        <v>6.5</v>
      </c>
      <c r="AT467" s="45">
        <f t="shared" si="63"/>
        <v>0</v>
      </c>
      <c r="AU467" s="45" t="str">
        <f>_xlfn.XLOOKUP(U467,'Lista Suspensa'!$AA$20:$AA$23,'Lista Suspensa'!$AB$20:$AB$23,"N/A")</f>
        <v>S</v>
      </c>
    </row>
    <row r="468" spans="1:47" ht="12" customHeight="1" x14ac:dyDescent="0.3">
      <c r="A468" s="87" t="s">
        <v>47</v>
      </c>
      <c r="B468" s="88">
        <v>46104</v>
      </c>
      <c r="C468" s="89" t="s">
        <v>48</v>
      </c>
      <c r="D468" s="89" t="s">
        <v>49</v>
      </c>
      <c r="E468" s="90">
        <v>594025753</v>
      </c>
      <c r="F468" s="184" t="s">
        <v>1550</v>
      </c>
      <c r="G468" s="91">
        <v>81887744800</v>
      </c>
      <c r="H468" s="92">
        <v>20860</v>
      </c>
      <c r="I468" s="89">
        <v>69</v>
      </c>
      <c r="J468" s="89" t="s">
        <v>70</v>
      </c>
      <c r="K468" s="89" t="s">
        <v>52</v>
      </c>
      <c r="L468" s="89" t="s">
        <v>331</v>
      </c>
      <c r="M468" s="89" t="s">
        <v>1551</v>
      </c>
      <c r="N468" s="89" t="s">
        <v>130</v>
      </c>
      <c r="O468" s="93" t="s">
        <v>1552</v>
      </c>
      <c r="P468" s="94" t="s">
        <v>57</v>
      </c>
      <c r="Q468" s="112" t="s">
        <v>58</v>
      </c>
      <c r="R468" s="95">
        <v>46153</v>
      </c>
      <c r="S468" s="96"/>
      <c r="T468" s="96" t="s">
        <v>59</v>
      </c>
      <c r="U468" s="96" t="s">
        <v>60</v>
      </c>
      <c r="V468" s="92">
        <v>46147</v>
      </c>
      <c r="W468" s="92">
        <v>46154</v>
      </c>
      <c r="X468" s="92" t="s">
        <v>61</v>
      </c>
      <c r="Y468" s="97"/>
      <c r="Z468" s="89" t="s">
        <v>62</v>
      </c>
      <c r="AA468" s="96">
        <v>46162.527777777781</v>
      </c>
      <c r="AB468" s="89" t="s">
        <v>80</v>
      </c>
      <c r="AC468" s="111"/>
      <c r="AD468" s="89"/>
      <c r="AE468" s="89"/>
      <c r="AF468" s="98"/>
      <c r="AG468" s="98"/>
      <c r="AH468" s="98"/>
      <c r="AI468" s="99" t="s">
        <v>197</v>
      </c>
      <c r="AJ468" s="99" t="s">
        <v>197</v>
      </c>
      <c r="AK468" s="99" t="s">
        <v>67</v>
      </c>
      <c r="AL468" s="45" t="s">
        <v>68</v>
      </c>
      <c r="AM468" s="162" t="str">
        <f t="shared" si="56"/>
        <v>3/2026</v>
      </c>
      <c r="AN468" s="45">
        <f t="shared" si="57"/>
        <v>4</v>
      </c>
      <c r="AO468" s="45" t="str">
        <f t="shared" si="58"/>
        <v>5/2026</v>
      </c>
      <c r="AP468" s="45">
        <f t="shared" si="59"/>
        <v>3</v>
      </c>
      <c r="AQ468" s="45">
        <f t="shared" si="60"/>
        <v>49</v>
      </c>
      <c r="AR468" s="45">
        <f t="shared" si="61"/>
        <v>0</v>
      </c>
      <c r="AS468" s="45">
        <f t="shared" si="62"/>
        <v>7</v>
      </c>
      <c r="AT468" s="45">
        <f t="shared" si="63"/>
        <v>0</v>
      </c>
      <c r="AU468" s="45" t="str">
        <f>_xlfn.XLOOKUP(U468,'Lista Suspensa'!$AA$20:$AA$23,'Lista Suspensa'!$AB$20:$AB$23,"N/A")</f>
        <v>S</v>
      </c>
    </row>
    <row r="469" spans="1:47" ht="12" customHeight="1" x14ac:dyDescent="0.3">
      <c r="A469" s="87" t="s">
        <v>47</v>
      </c>
      <c r="B469" s="88">
        <v>46104</v>
      </c>
      <c r="C469" s="89" t="s">
        <v>48</v>
      </c>
      <c r="D469" s="89" t="s">
        <v>49</v>
      </c>
      <c r="E469" s="90">
        <v>594025761</v>
      </c>
      <c r="F469" s="184" t="s">
        <v>1553</v>
      </c>
      <c r="G469" s="91">
        <v>69483450853</v>
      </c>
      <c r="H469" s="92">
        <v>19137</v>
      </c>
      <c r="I469" s="89">
        <v>73</v>
      </c>
      <c r="J469" s="89" t="s">
        <v>51</v>
      </c>
      <c r="K469" s="89" t="s">
        <v>52</v>
      </c>
      <c r="L469" s="89" t="s">
        <v>331</v>
      </c>
      <c r="M469" s="89" t="s">
        <v>1551</v>
      </c>
      <c r="N469" s="89" t="s">
        <v>130</v>
      </c>
      <c r="O469" s="93" t="s">
        <v>1554</v>
      </c>
      <c r="P469" s="94" t="s">
        <v>57</v>
      </c>
      <c r="Q469" s="112" t="s">
        <v>58</v>
      </c>
      <c r="R469" s="95">
        <v>46171</v>
      </c>
      <c r="S469" s="96"/>
      <c r="T469" s="96" t="s">
        <v>59</v>
      </c>
      <c r="U469" s="96" t="s">
        <v>60</v>
      </c>
      <c r="V469" s="92">
        <v>46128</v>
      </c>
      <c r="W469" s="92">
        <v>46154</v>
      </c>
      <c r="X469" s="92">
        <v>46160</v>
      </c>
      <c r="Y469" s="97"/>
      <c r="Z469" s="89" t="s">
        <v>62</v>
      </c>
      <c r="AA469" s="96">
        <v>46181</v>
      </c>
      <c r="AB469" s="89" t="s">
        <v>80</v>
      </c>
      <c r="AC469" s="111">
        <v>46188</v>
      </c>
      <c r="AD469" s="89"/>
      <c r="AE469" s="89"/>
      <c r="AF469" s="98"/>
      <c r="AG469" s="98"/>
      <c r="AH469" s="98"/>
      <c r="AI469" s="99"/>
      <c r="AJ469" s="99" t="s">
        <v>197</v>
      </c>
      <c r="AK469" s="99" t="s">
        <v>67</v>
      </c>
      <c r="AL469" s="45" t="s">
        <v>68</v>
      </c>
      <c r="AM469" s="162" t="str">
        <f t="shared" si="56"/>
        <v>3/2026</v>
      </c>
      <c r="AN469" s="45">
        <f t="shared" si="57"/>
        <v>4</v>
      </c>
      <c r="AO469" s="45" t="str">
        <f t="shared" si="58"/>
        <v>5/2026</v>
      </c>
      <c r="AP469" s="45">
        <f t="shared" si="59"/>
        <v>5</v>
      </c>
      <c r="AQ469" s="45">
        <f t="shared" si="60"/>
        <v>67</v>
      </c>
      <c r="AR469" s="45">
        <f t="shared" si="61"/>
        <v>0</v>
      </c>
      <c r="AS469" s="45">
        <f t="shared" si="62"/>
        <v>16</v>
      </c>
      <c r="AT469" s="45">
        <f t="shared" si="63"/>
        <v>0</v>
      </c>
      <c r="AU469" s="45" t="str">
        <f>_xlfn.XLOOKUP(U469,'Lista Suspensa'!$AA$20:$AA$23,'Lista Suspensa'!$AB$20:$AB$23,"N/A")</f>
        <v>S</v>
      </c>
    </row>
    <row r="470" spans="1:47" ht="12" hidden="1" customHeight="1" x14ac:dyDescent="0.3">
      <c r="A470" s="87" t="s">
        <v>47</v>
      </c>
      <c r="B470" s="88">
        <v>46104</v>
      </c>
      <c r="C470" s="89" t="s">
        <v>48</v>
      </c>
      <c r="D470" s="89" t="s">
        <v>49</v>
      </c>
      <c r="E470" s="90">
        <v>593806590</v>
      </c>
      <c r="F470" s="184" t="s">
        <v>1555</v>
      </c>
      <c r="G470" s="91">
        <v>40380904853</v>
      </c>
      <c r="H470" s="92">
        <v>18619</v>
      </c>
      <c r="I470" s="89">
        <v>75</v>
      </c>
      <c r="J470" s="89" t="s">
        <v>51</v>
      </c>
      <c r="K470" s="89" t="s">
        <v>52</v>
      </c>
      <c r="L470" s="89" t="s">
        <v>331</v>
      </c>
      <c r="M470" s="89" t="s">
        <v>490</v>
      </c>
      <c r="N470" s="89" t="s">
        <v>130</v>
      </c>
      <c r="O470" s="93" t="s">
        <v>1556</v>
      </c>
      <c r="P470" s="94" t="s">
        <v>57</v>
      </c>
      <c r="Q470" s="112" t="s">
        <v>745</v>
      </c>
      <c r="R470" s="95">
        <v>46153</v>
      </c>
      <c r="S470" s="96">
        <v>46183</v>
      </c>
      <c r="T470" s="96" t="s">
        <v>59</v>
      </c>
      <c r="U470" s="96" t="s">
        <v>746</v>
      </c>
      <c r="V470" s="92">
        <v>46147</v>
      </c>
      <c r="W470" s="92">
        <v>46154</v>
      </c>
      <c r="X470" s="92" t="s">
        <v>61</v>
      </c>
      <c r="Y470" s="97"/>
      <c r="Z470" s="89" t="s">
        <v>62</v>
      </c>
      <c r="AA470" s="96">
        <v>46183</v>
      </c>
      <c r="AB470" s="89" t="s">
        <v>63</v>
      </c>
      <c r="AC470" s="111"/>
      <c r="AD470" s="89"/>
      <c r="AE470" s="89"/>
      <c r="AF470" s="98"/>
      <c r="AG470" s="98"/>
      <c r="AH470" s="98"/>
      <c r="AI470" s="99" t="s">
        <v>197</v>
      </c>
      <c r="AJ470" s="99" t="s">
        <v>197</v>
      </c>
      <c r="AK470" s="99" t="s">
        <v>67</v>
      </c>
      <c r="AL470" s="45" t="s">
        <v>68</v>
      </c>
      <c r="AM470" s="162" t="str">
        <f t="shared" si="56"/>
        <v>3/2026</v>
      </c>
      <c r="AN470" s="45">
        <f t="shared" si="57"/>
        <v>4</v>
      </c>
      <c r="AO470" s="45" t="str">
        <f t="shared" si="58"/>
        <v>5/2026</v>
      </c>
      <c r="AP470" s="45">
        <f t="shared" si="59"/>
        <v>3</v>
      </c>
      <c r="AQ470" s="45">
        <f t="shared" si="60"/>
        <v>0</v>
      </c>
      <c r="AR470" s="45">
        <f t="shared" si="61"/>
        <v>30</v>
      </c>
      <c r="AS470" s="45">
        <f t="shared" si="62"/>
        <v>0</v>
      </c>
      <c r="AT470" s="45">
        <f t="shared" si="63"/>
        <v>0</v>
      </c>
      <c r="AU470" s="45" t="str">
        <f>_xlfn.XLOOKUP(U470,'Lista Suspensa'!$AA$20:$AA$23,'Lista Suspensa'!$AB$20:$AB$23,"N/A")</f>
        <v>S</v>
      </c>
    </row>
    <row r="471" spans="1:47" ht="12" customHeight="1" x14ac:dyDescent="0.3">
      <c r="A471" s="87" t="s">
        <v>47</v>
      </c>
      <c r="B471" s="88">
        <v>46104</v>
      </c>
      <c r="C471" s="89" t="s">
        <v>48</v>
      </c>
      <c r="D471" s="89" t="s">
        <v>49</v>
      </c>
      <c r="E471" s="90">
        <v>593806620</v>
      </c>
      <c r="F471" s="184" t="s">
        <v>1557</v>
      </c>
      <c r="G471" s="91">
        <v>85802247649</v>
      </c>
      <c r="H471" s="92">
        <v>26115</v>
      </c>
      <c r="I471" s="89">
        <v>54</v>
      </c>
      <c r="J471" s="89" t="s">
        <v>70</v>
      </c>
      <c r="K471" s="89" t="s">
        <v>52</v>
      </c>
      <c r="L471" s="89" t="s">
        <v>331</v>
      </c>
      <c r="M471" s="89" t="s">
        <v>490</v>
      </c>
      <c r="N471" s="89" t="s">
        <v>130</v>
      </c>
      <c r="O471" s="93" t="s">
        <v>1558</v>
      </c>
      <c r="P471" s="94" t="s">
        <v>57</v>
      </c>
      <c r="Q471" s="112" t="s">
        <v>58</v>
      </c>
      <c r="R471" s="95">
        <v>46147</v>
      </c>
      <c r="S471" s="96"/>
      <c r="T471" s="96" t="s">
        <v>59</v>
      </c>
      <c r="U471" s="96" t="s">
        <v>60</v>
      </c>
      <c r="V471" s="92">
        <v>46147</v>
      </c>
      <c r="W471" s="92" t="s">
        <v>61</v>
      </c>
      <c r="X471" s="92" t="s">
        <v>61</v>
      </c>
      <c r="Y471" s="97"/>
      <c r="Z471" s="89" t="s">
        <v>62</v>
      </c>
      <c r="AA471" s="96" t="s">
        <v>790</v>
      </c>
      <c r="AB471" s="89" t="s">
        <v>63</v>
      </c>
      <c r="AC471" s="111"/>
      <c r="AD471" s="89" t="s">
        <v>64</v>
      </c>
      <c r="AE471" s="89">
        <v>63</v>
      </c>
      <c r="AF471" s="98"/>
      <c r="AG471" s="98"/>
      <c r="AH471" s="98" t="s">
        <v>139</v>
      </c>
      <c r="AI471" s="99" t="s">
        <v>197</v>
      </c>
      <c r="AJ471" s="99" t="s">
        <v>197</v>
      </c>
      <c r="AK471" s="99" t="s">
        <v>67</v>
      </c>
      <c r="AL471" s="45" t="s">
        <v>68</v>
      </c>
      <c r="AM471" s="162" t="str">
        <f t="shared" si="56"/>
        <v>3/2026</v>
      </c>
      <c r="AN471" s="45">
        <f t="shared" si="57"/>
        <v>4</v>
      </c>
      <c r="AO471" s="45" t="str">
        <f t="shared" si="58"/>
        <v>5/2026</v>
      </c>
      <c r="AP471" s="45">
        <f t="shared" si="59"/>
        <v>2</v>
      </c>
      <c r="AQ471" s="45">
        <f t="shared" si="60"/>
        <v>43</v>
      </c>
      <c r="AR471" s="45">
        <f t="shared" si="61"/>
        <v>0</v>
      </c>
      <c r="AS471" s="45">
        <f t="shared" si="62"/>
        <v>0</v>
      </c>
      <c r="AT471" s="45">
        <f t="shared" si="63"/>
        <v>3.4305555555547471</v>
      </c>
      <c r="AU471" s="45" t="str">
        <f>_xlfn.XLOOKUP(U471,'Lista Suspensa'!$AA$20:$AA$23,'Lista Suspensa'!$AB$20:$AB$23,"N/A")</f>
        <v>S</v>
      </c>
    </row>
    <row r="472" spans="1:47" ht="12" customHeight="1" x14ac:dyDescent="0.3">
      <c r="A472" s="87" t="s">
        <v>47</v>
      </c>
      <c r="B472" s="88">
        <v>46104</v>
      </c>
      <c r="C472" s="89" t="s">
        <v>48</v>
      </c>
      <c r="D472" s="89" t="s">
        <v>49</v>
      </c>
      <c r="E472" s="90">
        <v>594064732</v>
      </c>
      <c r="F472" s="184" t="s">
        <v>1559</v>
      </c>
      <c r="G472" s="91">
        <v>31855764890</v>
      </c>
      <c r="H472" s="92">
        <v>21146</v>
      </c>
      <c r="I472" s="89">
        <v>68</v>
      </c>
      <c r="J472" s="89" t="s">
        <v>70</v>
      </c>
      <c r="K472" s="89" t="s">
        <v>52</v>
      </c>
      <c r="L472" s="89" t="s">
        <v>331</v>
      </c>
      <c r="M472" s="89" t="s">
        <v>1560</v>
      </c>
      <c r="N472" s="89" t="s">
        <v>130</v>
      </c>
      <c r="O472" s="93" t="s">
        <v>1561</v>
      </c>
      <c r="P472" s="94" t="s">
        <v>57</v>
      </c>
      <c r="Q472" s="112" t="s">
        <v>58</v>
      </c>
      <c r="R472" s="95">
        <v>46147</v>
      </c>
      <c r="S472" s="96"/>
      <c r="T472" s="96" t="s">
        <v>59</v>
      </c>
      <c r="U472" s="96" t="s">
        <v>60</v>
      </c>
      <c r="V472" s="92">
        <v>46147</v>
      </c>
      <c r="W472" s="92" t="s">
        <v>61</v>
      </c>
      <c r="X472" s="92" t="s">
        <v>61</v>
      </c>
      <c r="Y472" s="97"/>
      <c r="Z472" s="89" t="s">
        <v>62</v>
      </c>
      <c r="AA472" s="96" t="s">
        <v>783</v>
      </c>
      <c r="AB472" s="89" t="s">
        <v>63</v>
      </c>
      <c r="AC472" s="111"/>
      <c r="AD472" s="89" t="s">
        <v>265</v>
      </c>
      <c r="AE472" s="89">
        <v>35</v>
      </c>
      <c r="AF472" s="98" t="s">
        <v>215</v>
      </c>
      <c r="AG472" s="98"/>
      <c r="AH472" s="98" t="s">
        <v>66</v>
      </c>
      <c r="AI472" s="99" t="s">
        <v>197</v>
      </c>
      <c r="AJ472" s="99" t="s">
        <v>197</v>
      </c>
      <c r="AK472" s="99" t="s">
        <v>67</v>
      </c>
      <c r="AL472" s="45" t="s">
        <v>68</v>
      </c>
      <c r="AM472" s="162" t="str">
        <f t="shared" si="56"/>
        <v>3/2026</v>
      </c>
      <c r="AN472" s="45">
        <f t="shared" si="57"/>
        <v>4</v>
      </c>
      <c r="AO472" s="45" t="str">
        <f t="shared" si="58"/>
        <v>5/2026</v>
      </c>
      <c r="AP472" s="45">
        <f t="shared" si="59"/>
        <v>2</v>
      </c>
      <c r="AQ472" s="45">
        <f t="shared" si="60"/>
        <v>43</v>
      </c>
      <c r="AR472" s="45">
        <f t="shared" si="61"/>
        <v>0</v>
      </c>
      <c r="AS472" s="45">
        <f t="shared" si="62"/>
        <v>0</v>
      </c>
      <c r="AT472" s="45">
        <f t="shared" si="63"/>
        <v>3.5</v>
      </c>
      <c r="AU472" s="45" t="str">
        <f>_xlfn.XLOOKUP(U472,'Lista Suspensa'!$AA$20:$AA$23,'Lista Suspensa'!$AB$20:$AB$23,"N/A")</f>
        <v>S</v>
      </c>
    </row>
    <row r="473" spans="1:47" ht="12" customHeight="1" x14ac:dyDescent="0.3">
      <c r="A473" s="87" t="s">
        <v>47</v>
      </c>
      <c r="B473" s="88">
        <v>46104</v>
      </c>
      <c r="C473" s="89" t="s">
        <v>48</v>
      </c>
      <c r="D473" s="89" t="s">
        <v>49</v>
      </c>
      <c r="E473" s="90">
        <v>74718467</v>
      </c>
      <c r="F473" s="184" t="s">
        <v>1562</v>
      </c>
      <c r="G473" s="91">
        <v>3392357804</v>
      </c>
      <c r="H473" s="92">
        <v>20252</v>
      </c>
      <c r="I473" s="89">
        <v>70</v>
      </c>
      <c r="J473" s="89" t="s">
        <v>70</v>
      </c>
      <c r="K473" s="89" t="s">
        <v>52</v>
      </c>
      <c r="L473" s="89" t="s">
        <v>53</v>
      </c>
      <c r="M473" s="89" t="s">
        <v>1154</v>
      </c>
      <c r="N473" s="89" t="s">
        <v>130</v>
      </c>
      <c r="O473" s="93" t="s">
        <v>1563</v>
      </c>
      <c r="P473" s="94" t="s">
        <v>57</v>
      </c>
      <c r="Q473" s="112" t="s">
        <v>58</v>
      </c>
      <c r="R473" s="95">
        <v>46147</v>
      </c>
      <c r="S473" s="96"/>
      <c r="T473" s="96" t="s">
        <v>59</v>
      </c>
      <c r="U473" s="96" t="s">
        <v>60</v>
      </c>
      <c r="V473" s="92">
        <v>46147</v>
      </c>
      <c r="W473" s="92" t="s">
        <v>61</v>
      </c>
      <c r="X473" s="92" t="s">
        <v>61</v>
      </c>
      <c r="Y473" s="97"/>
      <c r="Z473" s="89" t="s">
        <v>62</v>
      </c>
      <c r="AA473" s="96" t="s">
        <v>223</v>
      </c>
      <c r="AB473" s="89" t="s">
        <v>80</v>
      </c>
      <c r="AC473" s="111"/>
      <c r="AD473" s="89"/>
      <c r="AE473" s="89"/>
      <c r="AF473" s="98"/>
      <c r="AG473" s="98"/>
      <c r="AH473" s="98"/>
      <c r="AI473" s="99" t="s">
        <v>197</v>
      </c>
      <c r="AJ473" s="99" t="s">
        <v>197</v>
      </c>
      <c r="AK473" s="99" t="s">
        <v>67</v>
      </c>
      <c r="AL473" s="45" t="s">
        <v>68</v>
      </c>
      <c r="AM473" s="162" t="str">
        <f t="shared" si="56"/>
        <v>3/2026</v>
      </c>
      <c r="AN473" s="45">
        <f t="shared" si="57"/>
        <v>4</v>
      </c>
      <c r="AO473" s="45" t="str">
        <f t="shared" si="58"/>
        <v>5/2026</v>
      </c>
      <c r="AP473" s="45">
        <f t="shared" si="59"/>
        <v>2</v>
      </c>
      <c r="AQ473" s="45">
        <f t="shared" si="60"/>
        <v>43</v>
      </c>
      <c r="AR473" s="45">
        <f t="shared" si="61"/>
        <v>0</v>
      </c>
      <c r="AS473" s="45">
        <f t="shared" si="62"/>
        <v>0</v>
      </c>
      <c r="AT473" s="45">
        <f t="shared" si="63"/>
        <v>0</v>
      </c>
      <c r="AU473" s="45" t="str">
        <f>_xlfn.XLOOKUP(U473,'Lista Suspensa'!$AA$20:$AA$23,'Lista Suspensa'!$AB$20:$AB$23,"N/A")</f>
        <v>S</v>
      </c>
    </row>
    <row r="474" spans="1:47" ht="12" customHeight="1" x14ac:dyDescent="0.3">
      <c r="A474" s="87" t="s">
        <v>47</v>
      </c>
      <c r="B474" s="88">
        <v>46104</v>
      </c>
      <c r="C474" s="89" t="s">
        <v>48</v>
      </c>
      <c r="D474" s="89" t="s">
        <v>49</v>
      </c>
      <c r="E474" s="90">
        <v>596930658</v>
      </c>
      <c r="F474" s="184" t="s">
        <v>1564</v>
      </c>
      <c r="G474" s="91">
        <v>32633880886</v>
      </c>
      <c r="H474" s="92">
        <v>29540</v>
      </c>
      <c r="I474" s="89">
        <v>45</v>
      </c>
      <c r="J474" s="89" t="s">
        <v>70</v>
      </c>
      <c r="K474" s="89" t="s">
        <v>52</v>
      </c>
      <c r="L474" s="89" t="s">
        <v>53</v>
      </c>
      <c r="M474" s="89" t="s">
        <v>1154</v>
      </c>
      <c r="N474" s="89" t="s">
        <v>130</v>
      </c>
      <c r="O474" s="93" t="s">
        <v>1565</v>
      </c>
      <c r="P474" s="94" t="s">
        <v>57</v>
      </c>
      <c r="Q474" s="112" t="s">
        <v>58</v>
      </c>
      <c r="R474" s="95">
        <v>46153</v>
      </c>
      <c r="S474" s="96"/>
      <c r="T474" s="96" t="s">
        <v>59</v>
      </c>
      <c r="U474" s="96" t="s">
        <v>60</v>
      </c>
      <c r="V474" s="92">
        <v>46147</v>
      </c>
      <c r="W474" s="92">
        <v>46154</v>
      </c>
      <c r="X474" s="92" t="s">
        <v>61</v>
      </c>
      <c r="Y474" s="97"/>
      <c r="Z474" s="89" t="s">
        <v>62</v>
      </c>
      <c r="AA474" s="96" t="s">
        <v>1566</v>
      </c>
      <c r="AB474" s="89" t="s">
        <v>63</v>
      </c>
      <c r="AC474" s="111"/>
      <c r="AD474" s="89"/>
      <c r="AE474" s="89"/>
      <c r="AF474" s="98"/>
      <c r="AG474" s="98"/>
      <c r="AH474" s="98"/>
      <c r="AI474" s="99" t="s">
        <v>197</v>
      </c>
      <c r="AJ474" s="99" t="s">
        <v>197</v>
      </c>
      <c r="AK474" s="99" t="s">
        <v>67</v>
      </c>
      <c r="AL474" s="45" t="s">
        <v>68</v>
      </c>
      <c r="AM474" s="162" t="str">
        <f t="shared" si="56"/>
        <v>3/2026</v>
      </c>
      <c r="AN474" s="45">
        <f t="shared" si="57"/>
        <v>4</v>
      </c>
      <c r="AO474" s="45" t="str">
        <f t="shared" si="58"/>
        <v>5/2026</v>
      </c>
      <c r="AP474" s="45">
        <f t="shared" si="59"/>
        <v>3</v>
      </c>
      <c r="AQ474" s="45">
        <f t="shared" si="60"/>
        <v>49</v>
      </c>
      <c r="AR474" s="45">
        <f t="shared" si="61"/>
        <v>0</v>
      </c>
      <c r="AS474" s="45">
        <f t="shared" si="62"/>
        <v>7</v>
      </c>
      <c r="AT474" s="45">
        <f t="shared" si="63"/>
        <v>9.6527777777810115</v>
      </c>
      <c r="AU474" s="45" t="str">
        <f>_xlfn.XLOOKUP(U474,'Lista Suspensa'!$AA$20:$AA$23,'Lista Suspensa'!$AB$20:$AB$23,"N/A")</f>
        <v>S</v>
      </c>
    </row>
    <row r="475" spans="1:47" ht="12" customHeight="1" x14ac:dyDescent="0.3">
      <c r="A475" s="87" t="s">
        <v>47</v>
      </c>
      <c r="B475" s="88">
        <v>46104</v>
      </c>
      <c r="C475" s="89" t="s">
        <v>48</v>
      </c>
      <c r="D475" s="89" t="s">
        <v>49</v>
      </c>
      <c r="E475" s="90">
        <v>72245312</v>
      </c>
      <c r="F475" s="184" t="s">
        <v>1567</v>
      </c>
      <c r="G475" s="91">
        <v>11859828841</v>
      </c>
      <c r="H475" s="92">
        <v>24734</v>
      </c>
      <c r="I475" s="89">
        <v>58</v>
      </c>
      <c r="J475" s="89" t="s">
        <v>70</v>
      </c>
      <c r="K475" s="89" t="s">
        <v>52</v>
      </c>
      <c r="L475" s="89" t="s">
        <v>53</v>
      </c>
      <c r="M475" s="89" t="s">
        <v>551</v>
      </c>
      <c r="N475" s="89" t="s">
        <v>130</v>
      </c>
      <c r="O475" s="93" t="s">
        <v>1568</v>
      </c>
      <c r="P475" s="94" t="s">
        <v>57</v>
      </c>
      <c r="Q475" s="112" t="s">
        <v>58</v>
      </c>
      <c r="R475" s="95">
        <v>46147</v>
      </c>
      <c r="S475" s="96"/>
      <c r="T475" s="96" t="s">
        <v>59</v>
      </c>
      <c r="U475" s="96" t="s">
        <v>60</v>
      </c>
      <c r="V475" s="92">
        <v>46147</v>
      </c>
      <c r="W475" s="92" t="s">
        <v>61</v>
      </c>
      <c r="X475" s="92" t="s">
        <v>61</v>
      </c>
      <c r="Y475" s="97"/>
      <c r="Z475" s="89" t="s">
        <v>62</v>
      </c>
      <c r="AA475" s="96" t="s">
        <v>1569</v>
      </c>
      <c r="AB475" s="89" t="s">
        <v>80</v>
      </c>
      <c r="AC475" s="111"/>
      <c r="AD475" s="89"/>
      <c r="AE475" s="89"/>
      <c r="AF475" s="98"/>
      <c r="AG475" s="98"/>
      <c r="AH475" s="98"/>
      <c r="AI475" s="99" t="s">
        <v>197</v>
      </c>
      <c r="AJ475" s="99" t="s">
        <v>197</v>
      </c>
      <c r="AK475" s="99" t="s">
        <v>67</v>
      </c>
      <c r="AL475" s="45" t="s">
        <v>68</v>
      </c>
      <c r="AM475" s="162" t="str">
        <f t="shared" si="56"/>
        <v>3/2026</v>
      </c>
      <c r="AN475" s="45">
        <f t="shared" si="57"/>
        <v>4</v>
      </c>
      <c r="AO475" s="45" t="str">
        <f t="shared" si="58"/>
        <v>5/2026</v>
      </c>
      <c r="AP475" s="45">
        <f t="shared" si="59"/>
        <v>2</v>
      </c>
      <c r="AQ475" s="45">
        <f t="shared" si="60"/>
        <v>43</v>
      </c>
      <c r="AR475" s="45">
        <f t="shared" si="61"/>
        <v>0</v>
      </c>
      <c r="AS475" s="45">
        <f t="shared" si="62"/>
        <v>0</v>
      </c>
      <c r="AT475" s="45">
        <f t="shared" si="63"/>
        <v>0</v>
      </c>
      <c r="AU475" s="45" t="str">
        <f>_xlfn.XLOOKUP(U475,'Lista Suspensa'!$AA$20:$AA$23,'Lista Suspensa'!$AB$20:$AB$23,"N/A")</f>
        <v>S</v>
      </c>
    </row>
    <row r="476" spans="1:47" ht="12" customHeight="1" x14ac:dyDescent="0.3">
      <c r="A476" s="87" t="s">
        <v>47</v>
      </c>
      <c r="B476" s="88">
        <v>46104</v>
      </c>
      <c r="C476" s="89" t="s">
        <v>48</v>
      </c>
      <c r="D476" s="89" t="s">
        <v>49</v>
      </c>
      <c r="E476" s="90">
        <v>74710347</v>
      </c>
      <c r="F476" s="184" t="s">
        <v>1570</v>
      </c>
      <c r="G476" s="91">
        <v>43724230397</v>
      </c>
      <c r="H476" s="92">
        <v>25703</v>
      </c>
      <c r="I476" s="89">
        <v>55</v>
      </c>
      <c r="J476" s="89" t="s">
        <v>51</v>
      </c>
      <c r="K476" s="89" t="s">
        <v>52</v>
      </c>
      <c r="L476" s="89" t="s">
        <v>53</v>
      </c>
      <c r="M476" s="89" t="s">
        <v>1571</v>
      </c>
      <c r="N476" s="89" t="s">
        <v>130</v>
      </c>
      <c r="O476" s="93" t="s">
        <v>1572</v>
      </c>
      <c r="P476" s="94" t="s">
        <v>57</v>
      </c>
      <c r="Q476" s="112" t="s">
        <v>58</v>
      </c>
      <c r="R476" s="95">
        <v>46147</v>
      </c>
      <c r="S476" s="96"/>
      <c r="T476" s="96" t="s">
        <v>59</v>
      </c>
      <c r="U476" s="96" t="s">
        <v>60</v>
      </c>
      <c r="V476" s="92">
        <v>46128</v>
      </c>
      <c r="W476" s="92" t="s">
        <v>61</v>
      </c>
      <c r="X476" s="92" t="s">
        <v>61</v>
      </c>
      <c r="Y476" s="97"/>
      <c r="Z476" s="89" t="s">
        <v>62</v>
      </c>
      <c r="AA476" s="96">
        <v>46160</v>
      </c>
      <c r="AB476" s="89" t="s">
        <v>224</v>
      </c>
      <c r="AC476" s="111">
        <v>46161</v>
      </c>
      <c r="AD476" s="89"/>
      <c r="AE476" s="89"/>
      <c r="AF476" s="98"/>
      <c r="AG476" s="98"/>
      <c r="AH476" s="98"/>
      <c r="AI476" s="99" t="s">
        <v>197</v>
      </c>
      <c r="AJ476" s="99" t="s">
        <v>197</v>
      </c>
      <c r="AK476" s="99" t="s">
        <v>67</v>
      </c>
      <c r="AL476" s="45" t="s">
        <v>68</v>
      </c>
      <c r="AM476" s="162" t="str">
        <f t="shared" si="56"/>
        <v>3/2026</v>
      </c>
      <c r="AN476" s="45">
        <f t="shared" si="57"/>
        <v>4</v>
      </c>
      <c r="AO476" s="45" t="str">
        <f t="shared" si="58"/>
        <v>5/2026</v>
      </c>
      <c r="AP476" s="45">
        <f t="shared" si="59"/>
        <v>2</v>
      </c>
      <c r="AQ476" s="45">
        <f t="shared" si="60"/>
        <v>43</v>
      </c>
      <c r="AR476" s="45">
        <f t="shared" si="61"/>
        <v>0</v>
      </c>
      <c r="AS476" s="45">
        <f t="shared" si="62"/>
        <v>0</v>
      </c>
      <c r="AT476" s="45">
        <f t="shared" si="63"/>
        <v>0</v>
      </c>
      <c r="AU476" s="45" t="str">
        <f>_xlfn.XLOOKUP(U476,'Lista Suspensa'!$AA$20:$AA$23,'Lista Suspensa'!$AB$20:$AB$23,"N/A")</f>
        <v>S</v>
      </c>
    </row>
    <row r="477" spans="1:47" ht="12" customHeight="1" x14ac:dyDescent="0.3">
      <c r="A477" s="87" t="s">
        <v>47</v>
      </c>
      <c r="B477" s="88">
        <v>46104</v>
      </c>
      <c r="C477" s="89" t="s">
        <v>48</v>
      </c>
      <c r="D477" s="89" t="s">
        <v>49</v>
      </c>
      <c r="E477" s="90">
        <v>594058287</v>
      </c>
      <c r="F477" s="184" t="s">
        <v>1573</v>
      </c>
      <c r="G477" s="91">
        <v>31865380849</v>
      </c>
      <c r="H477" s="92">
        <v>17368</v>
      </c>
      <c r="I477" s="89">
        <v>78</v>
      </c>
      <c r="J477" s="89" t="s">
        <v>51</v>
      </c>
      <c r="K477" s="89" t="s">
        <v>52</v>
      </c>
      <c r="L477" s="89" t="s">
        <v>331</v>
      </c>
      <c r="M477" s="89" t="s">
        <v>836</v>
      </c>
      <c r="N477" s="89" t="s">
        <v>130</v>
      </c>
      <c r="O477" s="93" t="s">
        <v>1574</v>
      </c>
      <c r="P477" s="94" t="s">
        <v>57</v>
      </c>
      <c r="Q477" s="112" t="s">
        <v>58</v>
      </c>
      <c r="R477" s="95">
        <v>46117</v>
      </c>
      <c r="S477" s="96"/>
      <c r="T477" s="96" t="s">
        <v>59</v>
      </c>
      <c r="U477" s="96" t="s">
        <v>60</v>
      </c>
      <c r="V477" s="92">
        <v>46147</v>
      </c>
      <c r="W477" s="92" t="s">
        <v>61</v>
      </c>
      <c r="X477" s="92" t="s">
        <v>61</v>
      </c>
      <c r="Y477" s="97"/>
      <c r="Z477" s="89" t="s">
        <v>62</v>
      </c>
      <c r="AA477" s="96" t="s">
        <v>1575</v>
      </c>
      <c r="AB477" s="89" t="s">
        <v>80</v>
      </c>
      <c r="AC477" s="111"/>
      <c r="AD477" s="89"/>
      <c r="AE477" s="89"/>
      <c r="AF477" s="98"/>
      <c r="AG477" s="98"/>
      <c r="AH477" s="98"/>
      <c r="AI477" s="99" t="s">
        <v>197</v>
      </c>
      <c r="AJ477" s="99" t="s">
        <v>197</v>
      </c>
      <c r="AK477" s="99" t="s">
        <v>67</v>
      </c>
      <c r="AL477" s="45" t="s">
        <v>68</v>
      </c>
      <c r="AM477" s="162" t="str">
        <f t="shared" si="56"/>
        <v>3/2026</v>
      </c>
      <c r="AN477" s="45">
        <f t="shared" si="57"/>
        <v>4</v>
      </c>
      <c r="AO477" s="45" t="str">
        <f t="shared" si="58"/>
        <v>4/2026</v>
      </c>
      <c r="AP477" s="45">
        <f t="shared" si="59"/>
        <v>2</v>
      </c>
      <c r="AQ477" s="45">
        <f t="shared" si="60"/>
        <v>13</v>
      </c>
      <c r="AR477" s="45">
        <f t="shared" si="61"/>
        <v>0</v>
      </c>
      <c r="AS477" s="45">
        <f t="shared" si="62"/>
        <v>0</v>
      </c>
      <c r="AT477" s="45">
        <f t="shared" si="63"/>
        <v>0</v>
      </c>
      <c r="AU477" s="45" t="str">
        <f>_xlfn.XLOOKUP(U477,'Lista Suspensa'!$AA$20:$AA$23,'Lista Suspensa'!$AB$20:$AB$23,"N/A")</f>
        <v>S</v>
      </c>
    </row>
    <row r="478" spans="1:47" ht="12" customHeight="1" x14ac:dyDescent="0.3">
      <c r="A478" s="87" t="s">
        <v>47</v>
      </c>
      <c r="B478" s="88">
        <v>46104</v>
      </c>
      <c r="C478" s="89" t="s">
        <v>48</v>
      </c>
      <c r="D478" s="89" t="s">
        <v>49</v>
      </c>
      <c r="E478" s="90">
        <v>78236212</v>
      </c>
      <c r="F478" s="184" t="s">
        <v>1576</v>
      </c>
      <c r="G478" s="91">
        <v>7659036874</v>
      </c>
      <c r="H478" s="92">
        <v>22618</v>
      </c>
      <c r="I478" s="89">
        <v>64</v>
      </c>
      <c r="J478" s="89" t="s">
        <v>70</v>
      </c>
      <c r="K478" s="89" t="s">
        <v>52</v>
      </c>
      <c r="L478" s="89" t="s">
        <v>53</v>
      </c>
      <c r="M478" s="89" t="s">
        <v>76</v>
      </c>
      <c r="N478" s="89" t="s">
        <v>130</v>
      </c>
      <c r="O478" s="93" t="s">
        <v>1577</v>
      </c>
      <c r="P478" s="94" t="s">
        <v>57</v>
      </c>
      <c r="Q478" s="112" t="s">
        <v>58</v>
      </c>
      <c r="R478" s="95">
        <v>46147</v>
      </c>
      <c r="S478" s="96"/>
      <c r="T478" s="96" t="s">
        <v>59</v>
      </c>
      <c r="U478" s="96" t="s">
        <v>60</v>
      </c>
      <c r="V478" s="92">
        <v>46147</v>
      </c>
      <c r="W478" s="92" t="s">
        <v>61</v>
      </c>
      <c r="X478" s="92" t="s">
        <v>61</v>
      </c>
      <c r="Y478" s="97"/>
      <c r="Z478" s="89" t="s">
        <v>62</v>
      </c>
      <c r="AA478" s="96" t="s">
        <v>1578</v>
      </c>
      <c r="AB478" s="89" t="s">
        <v>80</v>
      </c>
      <c r="AC478" s="111"/>
      <c r="AD478" s="89"/>
      <c r="AE478" s="89"/>
      <c r="AF478" s="98"/>
      <c r="AG478" s="98"/>
      <c r="AH478" s="98"/>
      <c r="AI478" s="99" t="s">
        <v>197</v>
      </c>
      <c r="AJ478" s="99" t="s">
        <v>197</v>
      </c>
      <c r="AK478" s="99" t="s">
        <v>67</v>
      </c>
      <c r="AL478" s="45" t="s">
        <v>68</v>
      </c>
      <c r="AM478" s="162" t="str">
        <f t="shared" si="56"/>
        <v>3/2026</v>
      </c>
      <c r="AN478" s="45">
        <f t="shared" si="57"/>
        <v>4</v>
      </c>
      <c r="AO478" s="45" t="str">
        <f t="shared" si="58"/>
        <v>5/2026</v>
      </c>
      <c r="AP478" s="45">
        <f t="shared" si="59"/>
        <v>2</v>
      </c>
      <c r="AQ478" s="45">
        <f t="shared" si="60"/>
        <v>43</v>
      </c>
      <c r="AR478" s="45">
        <f t="shared" si="61"/>
        <v>0</v>
      </c>
      <c r="AS478" s="45">
        <f t="shared" si="62"/>
        <v>0</v>
      </c>
      <c r="AT478" s="45">
        <f t="shared" si="63"/>
        <v>0</v>
      </c>
      <c r="AU478" s="45" t="str">
        <f>_xlfn.XLOOKUP(U478,'Lista Suspensa'!$AA$20:$AA$23,'Lista Suspensa'!$AB$20:$AB$23,"N/A")</f>
        <v>S</v>
      </c>
    </row>
    <row r="479" spans="1:47" ht="12" customHeight="1" x14ac:dyDescent="0.3">
      <c r="A479" s="87" t="s">
        <v>47</v>
      </c>
      <c r="B479" s="88">
        <v>46104</v>
      </c>
      <c r="C479" s="89" t="s">
        <v>48</v>
      </c>
      <c r="D479" s="89" t="s">
        <v>49</v>
      </c>
      <c r="E479" s="90">
        <v>593920597</v>
      </c>
      <c r="F479" s="184" t="s">
        <v>1579</v>
      </c>
      <c r="G479" s="91">
        <v>23213943827</v>
      </c>
      <c r="H479" s="92">
        <v>30858</v>
      </c>
      <c r="I479" s="89">
        <v>41</v>
      </c>
      <c r="J479" s="89" t="s">
        <v>70</v>
      </c>
      <c r="K479" s="89" t="s">
        <v>52</v>
      </c>
      <c r="L479" s="89" t="s">
        <v>331</v>
      </c>
      <c r="M479" s="89" t="s">
        <v>532</v>
      </c>
      <c r="N479" s="89" t="s">
        <v>130</v>
      </c>
      <c r="O479" s="93" t="s">
        <v>1580</v>
      </c>
      <c r="P479" s="94" t="s">
        <v>57</v>
      </c>
      <c r="Q479" s="112" t="s">
        <v>58</v>
      </c>
      <c r="R479" s="95">
        <v>46147</v>
      </c>
      <c r="S479" s="96"/>
      <c r="T479" s="96" t="s">
        <v>59</v>
      </c>
      <c r="U479" s="96" t="s">
        <v>60</v>
      </c>
      <c r="V479" s="92">
        <v>46147</v>
      </c>
      <c r="W479" s="92" t="s">
        <v>61</v>
      </c>
      <c r="X479" s="92" t="s">
        <v>61</v>
      </c>
      <c r="Y479" s="97"/>
      <c r="Z479" s="89" t="s">
        <v>62</v>
      </c>
      <c r="AA479" s="96" t="s">
        <v>1581</v>
      </c>
      <c r="AB479" s="89" t="s">
        <v>63</v>
      </c>
      <c r="AC479" s="111"/>
      <c r="AD479" s="89"/>
      <c r="AE479" s="89"/>
      <c r="AF479" s="98"/>
      <c r="AG479" s="98"/>
      <c r="AH479" s="98"/>
      <c r="AI479" s="99" t="s">
        <v>197</v>
      </c>
      <c r="AJ479" s="99" t="s">
        <v>197</v>
      </c>
      <c r="AK479" s="99" t="s">
        <v>67</v>
      </c>
      <c r="AL479" s="45" t="s">
        <v>68</v>
      </c>
      <c r="AM479" s="162" t="str">
        <f t="shared" si="56"/>
        <v>3/2026</v>
      </c>
      <c r="AN479" s="45">
        <f t="shared" si="57"/>
        <v>4</v>
      </c>
      <c r="AO479" s="45" t="str">
        <f t="shared" si="58"/>
        <v>5/2026</v>
      </c>
      <c r="AP479" s="45">
        <f t="shared" si="59"/>
        <v>2</v>
      </c>
      <c r="AQ479" s="45">
        <f t="shared" si="60"/>
        <v>43</v>
      </c>
      <c r="AR479" s="45">
        <f t="shared" si="61"/>
        <v>0</v>
      </c>
      <c r="AS479" s="45">
        <f t="shared" si="62"/>
        <v>0</v>
      </c>
      <c r="AT479" s="45">
        <f t="shared" si="63"/>
        <v>6.6111111111094942</v>
      </c>
      <c r="AU479" s="45" t="str">
        <f>_xlfn.XLOOKUP(U479,'Lista Suspensa'!$AA$20:$AA$23,'Lista Suspensa'!$AB$20:$AB$23,"N/A")</f>
        <v>S</v>
      </c>
    </row>
    <row r="480" spans="1:47" ht="12" customHeight="1" x14ac:dyDescent="0.3">
      <c r="A480" s="87" t="s">
        <v>47</v>
      </c>
      <c r="B480" s="88">
        <v>46104</v>
      </c>
      <c r="C480" s="89" t="s">
        <v>48</v>
      </c>
      <c r="D480" s="89" t="s">
        <v>49</v>
      </c>
      <c r="E480" s="90">
        <v>594034418</v>
      </c>
      <c r="F480" s="184" t="s">
        <v>1582</v>
      </c>
      <c r="G480" s="91">
        <v>10868555827</v>
      </c>
      <c r="H480" s="92">
        <v>18198</v>
      </c>
      <c r="I480" s="89">
        <v>76</v>
      </c>
      <c r="J480" s="89" t="s">
        <v>70</v>
      </c>
      <c r="K480" s="89" t="s">
        <v>52</v>
      </c>
      <c r="L480" s="89" t="s">
        <v>331</v>
      </c>
      <c r="M480" s="89" t="s">
        <v>1583</v>
      </c>
      <c r="N480" s="89" t="s">
        <v>130</v>
      </c>
      <c r="O480" s="93" t="s">
        <v>1584</v>
      </c>
      <c r="P480" s="94" t="s">
        <v>57</v>
      </c>
      <c r="Q480" s="112" t="s">
        <v>58</v>
      </c>
      <c r="R480" s="95">
        <v>46171</v>
      </c>
      <c r="S480" s="96"/>
      <c r="T480" s="96" t="s">
        <v>59</v>
      </c>
      <c r="U480" s="96" t="s">
        <v>60</v>
      </c>
      <c r="V480" s="92">
        <v>46122</v>
      </c>
      <c r="W480" s="92">
        <v>46154</v>
      </c>
      <c r="X480" s="92">
        <v>46160</v>
      </c>
      <c r="Y480" s="97"/>
      <c r="Z480" s="89" t="s">
        <v>62</v>
      </c>
      <c r="AA480" s="96">
        <v>46178</v>
      </c>
      <c r="AB480" s="89" t="s">
        <v>80</v>
      </c>
      <c r="AC480" s="111"/>
      <c r="AD480" s="89"/>
      <c r="AE480" s="89"/>
      <c r="AF480" s="98"/>
      <c r="AG480" s="98"/>
      <c r="AH480" s="98"/>
      <c r="AI480" s="99"/>
      <c r="AJ480" s="99" t="s">
        <v>197</v>
      </c>
      <c r="AK480" s="99" t="s">
        <v>67</v>
      </c>
      <c r="AL480" s="45" t="s">
        <v>68</v>
      </c>
      <c r="AM480" s="162" t="str">
        <f t="shared" si="56"/>
        <v>3/2026</v>
      </c>
      <c r="AN480" s="45">
        <f t="shared" si="57"/>
        <v>4</v>
      </c>
      <c r="AO480" s="45" t="str">
        <f t="shared" si="58"/>
        <v>5/2026</v>
      </c>
      <c r="AP480" s="45">
        <f t="shared" si="59"/>
        <v>5</v>
      </c>
      <c r="AQ480" s="45">
        <f t="shared" si="60"/>
        <v>67</v>
      </c>
      <c r="AR480" s="45">
        <f t="shared" si="61"/>
        <v>0</v>
      </c>
      <c r="AS480" s="45">
        <f t="shared" si="62"/>
        <v>19</v>
      </c>
      <c r="AT480" s="45">
        <f t="shared" si="63"/>
        <v>0</v>
      </c>
      <c r="AU480" s="45" t="str">
        <f>_xlfn.XLOOKUP(U480,'Lista Suspensa'!$AA$20:$AA$23,'Lista Suspensa'!$AB$20:$AB$23,"N/A")</f>
        <v>S</v>
      </c>
    </row>
    <row r="481" spans="1:47" ht="12" customHeight="1" x14ac:dyDescent="0.3">
      <c r="A481" s="87" t="s">
        <v>47</v>
      </c>
      <c r="B481" s="88">
        <v>46104</v>
      </c>
      <c r="C481" s="89" t="s">
        <v>48</v>
      </c>
      <c r="D481" s="89" t="s">
        <v>49</v>
      </c>
      <c r="E481" s="193">
        <v>594135435</v>
      </c>
      <c r="F481" s="184" t="s">
        <v>1585</v>
      </c>
      <c r="G481" s="91">
        <v>29115693856</v>
      </c>
      <c r="H481" s="92">
        <v>19430</v>
      </c>
      <c r="I481" s="89">
        <v>73</v>
      </c>
      <c r="J481" s="89" t="s">
        <v>70</v>
      </c>
      <c r="K481" s="89" t="s">
        <v>52</v>
      </c>
      <c r="L481" s="89" t="s">
        <v>331</v>
      </c>
      <c r="M481" s="89" t="s">
        <v>1586</v>
      </c>
      <c r="N481" s="89" t="s">
        <v>130</v>
      </c>
      <c r="O481" s="93" t="s">
        <v>1587</v>
      </c>
      <c r="P481" s="94" t="s">
        <v>57</v>
      </c>
      <c r="Q481" s="112" t="s">
        <v>58</v>
      </c>
      <c r="R481" s="95">
        <v>46163</v>
      </c>
      <c r="S481" s="96"/>
      <c r="T481" s="96" t="s">
        <v>59</v>
      </c>
      <c r="U481" s="96" t="s">
        <v>60</v>
      </c>
      <c r="V481" s="92">
        <v>46147</v>
      </c>
      <c r="W481" s="92">
        <v>46154</v>
      </c>
      <c r="X481" s="92">
        <v>46160</v>
      </c>
      <c r="Y481" s="97"/>
      <c r="Z481" s="89"/>
      <c r="AA481" s="96"/>
      <c r="AB481" s="89"/>
      <c r="AC481" s="111"/>
      <c r="AD481" s="89"/>
      <c r="AE481" s="89"/>
      <c r="AF481" s="98"/>
      <c r="AG481" s="98"/>
      <c r="AH481" s="98"/>
      <c r="AI481" s="99"/>
      <c r="AJ481" s="99" t="s">
        <v>197</v>
      </c>
      <c r="AK481" s="99" t="s">
        <v>67</v>
      </c>
      <c r="AL481" s="45" t="s">
        <v>68</v>
      </c>
      <c r="AM481" s="162" t="str">
        <f t="shared" si="56"/>
        <v>3/2026</v>
      </c>
      <c r="AN481" s="45">
        <f t="shared" si="57"/>
        <v>4</v>
      </c>
      <c r="AO481" s="45" t="str">
        <f t="shared" si="58"/>
        <v>5/2026</v>
      </c>
      <c r="AP481" s="45">
        <f t="shared" si="59"/>
        <v>4</v>
      </c>
      <c r="AQ481" s="45">
        <f t="shared" si="60"/>
        <v>59</v>
      </c>
      <c r="AR481" s="45">
        <f t="shared" si="61"/>
        <v>0</v>
      </c>
      <c r="AS481" s="45">
        <f t="shared" si="62"/>
        <v>6.5</v>
      </c>
      <c r="AT481" s="45">
        <f t="shared" si="63"/>
        <v>0</v>
      </c>
      <c r="AU481" s="45" t="str">
        <f>_xlfn.XLOOKUP(U481,'Lista Suspensa'!$AA$20:$AA$23,'Lista Suspensa'!$AB$20:$AB$23,"N/A")</f>
        <v>S</v>
      </c>
    </row>
    <row r="482" spans="1:47" ht="12" customHeight="1" x14ac:dyDescent="0.3">
      <c r="A482" s="87" t="s">
        <v>47</v>
      </c>
      <c r="B482" s="88">
        <v>46104</v>
      </c>
      <c r="C482" s="89" t="s">
        <v>48</v>
      </c>
      <c r="D482" s="89" t="s">
        <v>49</v>
      </c>
      <c r="E482" s="90">
        <v>76535428</v>
      </c>
      <c r="F482" s="184" t="s">
        <v>1588</v>
      </c>
      <c r="G482" s="91">
        <v>36196126768</v>
      </c>
      <c r="H482" s="92">
        <v>19127</v>
      </c>
      <c r="I482" s="89">
        <v>73</v>
      </c>
      <c r="J482" s="89" t="s">
        <v>51</v>
      </c>
      <c r="K482" s="89" t="s">
        <v>88</v>
      </c>
      <c r="L482" s="89" t="s">
        <v>89</v>
      </c>
      <c r="M482" s="89" t="s">
        <v>623</v>
      </c>
      <c r="N482" s="89" t="s">
        <v>130</v>
      </c>
      <c r="O482" s="93" t="s">
        <v>1589</v>
      </c>
      <c r="P482" s="94" t="s">
        <v>57</v>
      </c>
      <c r="Q482" s="112" t="s">
        <v>58</v>
      </c>
      <c r="R482" s="95">
        <v>46153</v>
      </c>
      <c r="S482" s="96"/>
      <c r="T482" s="96" t="s">
        <v>59</v>
      </c>
      <c r="U482" s="96" t="s">
        <v>60</v>
      </c>
      <c r="V482" s="92">
        <v>46147</v>
      </c>
      <c r="W482" s="92">
        <v>46154</v>
      </c>
      <c r="X482" s="92" t="s">
        <v>61</v>
      </c>
      <c r="Y482" s="97"/>
      <c r="Z482" s="89" t="s">
        <v>62</v>
      </c>
      <c r="AA482" s="96">
        <v>46163.472222222219</v>
      </c>
      <c r="AB482" s="89" t="s">
        <v>80</v>
      </c>
      <c r="AC482" s="111"/>
      <c r="AD482" s="89"/>
      <c r="AE482" s="89"/>
      <c r="AF482" s="98"/>
      <c r="AG482" s="98"/>
      <c r="AH482" s="98"/>
      <c r="AI482" s="99" t="s">
        <v>197</v>
      </c>
      <c r="AJ482" s="99" t="s">
        <v>197</v>
      </c>
      <c r="AK482" s="99" t="s">
        <v>67</v>
      </c>
      <c r="AL482" s="45" t="s">
        <v>68</v>
      </c>
      <c r="AM482" s="162" t="str">
        <f t="shared" si="56"/>
        <v>3/2026</v>
      </c>
      <c r="AN482" s="45">
        <f t="shared" si="57"/>
        <v>4</v>
      </c>
      <c r="AO482" s="45" t="str">
        <f t="shared" si="58"/>
        <v>5/2026</v>
      </c>
      <c r="AP482" s="45">
        <f t="shared" si="59"/>
        <v>3</v>
      </c>
      <c r="AQ482" s="45">
        <f t="shared" si="60"/>
        <v>49</v>
      </c>
      <c r="AR482" s="45">
        <f t="shared" si="61"/>
        <v>0</v>
      </c>
      <c r="AS482" s="45">
        <f t="shared" si="62"/>
        <v>7</v>
      </c>
      <c r="AT482" s="45">
        <f t="shared" si="63"/>
        <v>0</v>
      </c>
      <c r="AU482" s="45" t="str">
        <f>_xlfn.XLOOKUP(U482,'Lista Suspensa'!$AA$20:$AA$23,'Lista Suspensa'!$AB$20:$AB$23,"N/A")</f>
        <v>S</v>
      </c>
    </row>
    <row r="483" spans="1:47" ht="12" customHeight="1" x14ac:dyDescent="0.3">
      <c r="A483" s="87" t="s">
        <v>47</v>
      </c>
      <c r="B483" s="88">
        <v>46104</v>
      </c>
      <c r="C483" s="89" t="s">
        <v>48</v>
      </c>
      <c r="D483" s="89" t="s">
        <v>49</v>
      </c>
      <c r="E483" s="90">
        <v>73751743</v>
      </c>
      <c r="F483" s="184" t="s">
        <v>1590</v>
      </c>
      <c r="G483" s="91">
        <v>53993004787</v>
      </c>
      <c r="H483" s="92">
        <v>20957</v>
      </c>
      <c r="I483" s="89">
        <v>68</v>
      </c>
      <c r="J483" s="89" t="s">
        <v>51</v>
      </c>
      <c r="K483" s="89" t="s">
        <v>88</v>
      </c>
      <c r="L483" s="89" t="s">
        <v>89</v>
      </c>
      <c r="M483" s="89" t="s">
        <v>398</v>
      </c>
      <c r="N483" s="89" t="s">
        <v>130</v>
      </c>
      <c r="O483" s="93" t="s">
        <v>1591</v>
      </c>
      <c r="P483" s="94" t="s">
        <v>57</v>
      </c>
      <c r="Q483" s="112" t="s">
        <v>58</v>
      </c>
      <c r="R483" s="95">
        <v>46117</v>
      </c>
      <c r="S483" s="96"/>
      <c r="T483" s="96" t="s">
        <v>59</v>
      </c>
      <c r="U483" s="96" t="s">
        <v>60</v>
      </c>
      <c r="V483" s="92">
        <v>46147</v>
      </c>
      <c r="W483" s="92">
        <v>46150</v>
      </c>
      <c r="X483" s="92" t="s">
        <v>61</v>
      </c>
      <c r="Y483" s="97"/>
      <c r="Z483" s="89" t="s">
        <v>62</v>
      </c>
      <c r="AA483" s="96" t="s">
        <v>1592</v>
      </c>
      <c r="AB483" s="89" t="s">
        <v>224</v>
      </c>
      <c r="AC483" s="111">
        <v>46153</v>
      </c>
      <c r="AD483" s="89"/>
      <c r="AE483" s="89"/>
      <c r="AF483" s="98"/>
      <c r="AG483" s="98"/>
      <c r="AH483" s="98"/>
      <c r="AI483" s="99" t="s">
        <v>197</v>
      </c>
      <c r="AJ483" s="99" t="s">
        <v>197</v>
      </c>
      <c r="AK483" s="99" t="s">
        <v>67</v>
      </c>
      <c r="AL483" s="45" t="s">
        <v>68</v>
      </c>
      <c r="AM483" s="162" t="str">
        <f t="shared" si="56"/>
        <v>3/2026</v>
      </c>
      <c r="AN483" s="45">
        <f t="shared" si="57"/>
        <v>4</v>
      </c>
      <c r="AO483" s="45" t="str">
        <f t="shared" si="58"/>
        <v>4/2026</v>
      </c>
      <c r="AP483" s="45">
        <f t="shared" si="59"/>
        <v>2</v>
      </c>
      <c r="AQ483" s="45">
        <f t="shared" si="60"/>
        <v>13</v>
      </c>
      <c r="AR483" s="45">
        <f t="shared" si="61"/>
        <v>0</v>
      </c>
      <c r="AS483" s="45">
        <f t="shared" si="62"/>
        <v>3</v>
      </c>
      <c r="AT483" s="45">
        <f t="shared" si="63"/>
        <v>0</v>
      </c>
      <c r="AU483" s="45" t="str">
        <f>_xlfn.XLOOKUP(U483,'Lista Suspensa'!$AA$20:$AA$23,'Lista Suspensa'!$AB$20:$AB$23,"N/A")</f>
        <v>S</v>
      </c>
    </row>
    <row r="484" spans="1:47" ht="12" customHeight="1" x14ac:dyDescent="0.3">
      <c r="A484" s="87" t="s">
        <v>47</v>
      </c>
      <c r="B484" s="88">
        <v>46104</v>
      </c>
      <c r="C484" s="89" t="s">
        <v>48</v>
      </c>
      <c r="D484" s="89" t="s">
        <v>49</v>
      </c>
      <c r="E484" s="90">
        <v>75970447</v>
      </c>
      <c r="F484" s="184" t="s">
        <v>1593</v>
      </c>
      <c r="G484" s="91">
        <v>74313460772</v>
      </c>
      <c r="H484" s="92">
        <v>22388</v>
      </c>
      <c r="I484" s="89">
        <v>64</v>
      </c>
      <c r="J484" s="89" t="s">
        <v>70</v>
      </c>
      <c r="K484" s="89" t="s">
        <v>88</v>
      </c>
      <c r="L484" s="89" t="s">
        <v>89</v>
      </c>
      <c r="M484" s="89" t="s">
        <v>1594</v>
      </c>
      <c r="N484" s="89" t="s">
        <v>130</v>
      </c>
      <c r="O484" s="93" t="s">
        <v>1595</v>
      </c>
      <c r="P484" s="94" t="s">
        <v>57</v>
      </c>
      <c r="Q484" s="112" t="s">
        <v>58</v>
      </c>
      <c r="R484" s="95">
        <v>46147</v>
      </c>
      <c r="S484" s="96"/>
      <c r="T484" s="96" t="s">
        <v>59</v>
      </c>
      <c r="U484" s="96" t="s">
        <v>60</v>
      </c>
      <c r="V484" s="92">
        <v>46147</v>
      </c>
      <c r="W484" s="92" t="s">
        <v>61</v>
      </c>
      <c r="X484" s="92" t="s">
        <v>61</v>
      </c>
      <c r="Y484" s="97"/>
      <c r="Z484" s="89" t="s">
        <v>62</v>
      </c>
      <c r="AA484" s="96" t="s">
        <v>1596</v>
      </c>
      <c r="AB484" s="89" t="s">
        <v>63</v>
      </c>
      <c r="AC484" s="111"/>
      <c r="AD484" s="89"/>
      <c r="AE484" s="89"/>
      <c r="AF484" s="98"/>
      <c r="AG484" s="98"/>
      <c r="AH484" s="98"/>
      <c r="AI484" s="99" t="s">
        <v>197</v>
      </c>
      <c r="AJ484" s="99" t="s">
        <v>197</v>
      </c>
      <c r="AK484" s="99" t="s">
        <v>67</v>
      </c>
      <c r="AL484" s="45" t="s">
        <v>68</v>
      </c>
      <c r="AM484" s="162" t="str">
        <f t="shared" si="56"/>
        <v>3/2026</v>
      </c>
      <c r="AN484" s="45">
        <f t="shared" si="57"/>
        <v>4</v>
      </c>
      <c r="AO484" s="45" t="str">
        <f t="shared" si="58"/>
        <v>5/2026</v>
      </c>
      <c r="AP484" s="45">
        <f t="shared" si="59"/>
        <v>2</v>
      </c>
      <c r="AQ484" s="45">
        <f t="shared" si="60"/>
        <v>43</v>
      </c>
      <c r="AR484" s="45">
        <f t="shared" si="61"/>
        <v>0</v>
      </c>
      <c r="AS484" s="45">
        <f t="shared" si="62"/>
        <v>0</v>
      </c>
      <c r="AT484" s="45">
        <f t="shared" si="63"/>
        <v>2.4166666666642413</v>
      </c>
      <c r="AU484" s="45" t="str">
        <f>_xlfn.XLOOKUP(U484,'Lista Suspensa'!$AA$20:$AA$23,'Lista Suspensa'!$AB$20:$AB$23,"N/A")</f>
        <v>S</v>
      </c>
    </row>
    <row r="485" spans="1:47" ht="12" customHeight="1" x14ac:dyDescent="0.3">
      <c r="A485" s="87" t="s">
        <v>47</v>
      </c>
      <c r="B485" s="88">
        <v>46104</v>
      </c>
      <c r="C485" s="89" t="s">
        <v>48</v>
      </c>
      <c r="D485" s="89" t="s">
        <v>49</v>
      </c>
      <c r="E485" s="193">
        <v>76445472</v>
      </c>
      <c r="F485" s="184" t="s">
        <v>1597</v>
      </c>
      <c r="G485" s="91">
        <v>90717988791</v>
      </c>
      <c r="H485" s="92">
        <v>24537</v>
      </c>
      <c r="I485" s="89">
        <v>59</v>
      </c>
      <c r="J485" s="89" t="s">
        <v>70</v>
      </c>
      <c r="K485" s="89" t="s">
        <v>88</v>
      </c>
      <c r="L485" s="89" t="s">
        <v>89</v>
      </c>
      <c r="M485" s="89" t="s">
        <v>1594</v>
      </c>
      <c r="N485" s="89" t="s">
        <v>130</v>
      </c>
      <c r="O485" s="93" t="s">
        <v>1598</v>
      </c>
      <c r="P485" s="94" t="s">
        <v>57</v>
      </c>
      <c r="Q485" s="112" t="s">
        <v>58</v>
      </c>
      <c r="R485" s="95">
        <v>46163</v>
      </c>
      <c r="S485" s="96"/>
      <c r="T485" s="96" t="s">
        <v>59</v>
      </c>
      <c r="U485" s="96" t="s">
        <v>60</v>
      </c>
      <c r="V485" s="92">
        <v>46147</v>
      </c>
      <c r="W485" s="92">
        <v>46154</v>
      </c>
      <c r="X485" s="92">
        <v>46160</v>
      </c>
      <c r="Y485" s="97"/>
      <c r="Z485" s="89" t="s">
        <v>62</v>
      </c>
      <c r="AA485" s="96">
        <v>46170</v>
      </c>
      <c r="AB485" s="89" t="s">
        <v>63</v>
      </c>
      <c r="AC485" s="111"/>
      <c r="AD485" s="89" t="s">
        <v>265</v>
      </c>
      <c r="AE485" s="89">
        <v>37</v>
      </c>
      <c r="AF485" s="98"/>
      <c r="AG485" s="98"/>
      <c r="AH485" s="98" t="s">
        <v>66</v>
      </c>
      <c r="AI485" s="99"/>
      <c r="AJ485" s="99" t="s">
        <v>197</v>
      </c>
      <c r="AK485" s="99" t="s">
        <v>67</v>
      </c>
      <c r="AL485" s="45" t="s">
        <v>68</v>
      </c>
      <c r="AM485" s="162" t="str">
        <f t="shared" si="56"/>
        <v>3/2026</v>
      </c>
      <c r="AN485" s="45">
        <f t="shared" si="57"/>
        <v>4</v>
      </c>
      <c r="AO485" s="45" t="str">
        <f t="shared" si="58"/>
        <v>5/2026</v>
      </c>
      <c r="AP485" s="45">
        <f t="shared" si="59"/>
        <v>4</v>
      </c>
      <c r="AQ485" s="45">
        <f t="shared" si="60"/>
        <v>59</v>
      </c>
      <c r="AR485" s="45">
        <f t="shared" si="61"/>
        <v>0</v>
      </c>
      <c r="AS485" s="45">
        <f t="shared" si="62"/>
        <v>6.5</v>
      </c>
      <c r="AT485" s="45">
        <f t="shared" si="63"/>
        <v>7</v>
      </c>
      <c r="AU485" s="45" t="str">
        <f>_xlfn.XLOOKUP(U485,'Lista Suspensa'!$AA$20:$AA$23,'Lista Suspensa'!$AB$20:$AB$23,"N/A")</f>
        <v>S</v>
      </c>
    </row>
    <row r="486" spans="1:47" ht="12" customHeight="1" x14ac:dyDescent="0.3">
      <c r="A486" s="87" t="s">
        <v>47</v>
      </c>
      <c r="B486" s="88">
        <v>46104</v>
      </c>
      <c r="C486" s="89" t="s">
        <v>48</v>
      </c>
      <c r="D486" s="89" t="s">
        <v>49</v>
      </c>
      <c r="E486" s="90">
        <v>76263241</v>
      </c>
      <c r="F486" s="184" t="s">
        <v>1599</v>
      </c>
      <c r="G486" s="91">
        <v>24707830706</v>
      </c>
      <c r="H486" s="92">
        <v>17221</v>
      </c>
      <c r="I486" s="89">
        <v>79</v>
      </c>
      <c r="J486" s="89" t="s">
        <v>51</v>
      </c>
      <c r="K486" s="89" t="s">
        <v>88</v>
      </c>
      <c r="L486" s="89" t="s">
        <v>89</v>
      </c>
      <c r="M486" s="89" t="s">
        <v>1098</v>
      </c>
      <c r="N486" s="89" t="s">
        <v>130</v>
      </c>
      <c r="O486" s="93" t="s">
        <v>1600</v>
      </c>
      <c r="P486" s="94" t="s">
        <v>57</v>
      </c>
      <c r="Q486" s="112" t="s">
        <v>58</v>
      </c>
      <c r="R486" s="95">
        <v>46147</v>
      </c>
      <c r="S486" s="96"/>
      <c r="T486" s="96" t="s">
        <v>59</v>
      </c>
      <c r="U486" s="96" t="s">
        <v>60</v>
      </c>
      <c r="V486" s="92">
        <v>46147</v>
      </c>
      <c r="W486" s="92" t="s">
        <v>61</v>
      </c>
      <c r="X486" s="92" t="s">
        <v>61</v>
      </c>
      <c r="Y486" s="97"/>
      <c r="Z486" s="89" t="s">
        <v>62</v>
      </c>
      <c r="AA486" s="96" t="s">
        <v>1601</v>
      </c>
      <c r="AB486" s="89" t="s">
        <v>80</v>
      </c>
      <c r="AC486" s="111"/>
      <c r="AD486" s="89"/>
      <c r="AE486" s="89"/>
      <c r="AF486" s="98"/>
      <c r="AG486" s="98"/>
      <c r="AH486" s="98"/>
      <c r="AI486" s="99" t="s">
        <v>197</v>
      </c>
      <c r="AJ486" s="99" t="s">
        <v>197</v>
      </c>
      <c r="AK486" s="99" t="s">
        <v>67</v>
      </c>
      <c r="AL486" s="45" t="s">
        <v>68</v>
      </c>
      <c r="AM486" s="162" t="str">
        <f t="shared" si="56"/>
        <v>3/2026</v>
      </c>
      <c r="AN486" s="45">
        <f t="shared" si="57"/>
        <v>4</v>
      </c>
      <c r="AO486" s="45" t="str">
        <f t="shared" si="58"/>
        <v>5/2026</v>
      </c>
      <c r="AP486" s="45">
        <f t="shared" si="59"/>
        <v>2</v>
      </c>
      <c r="AQ486" s="45">
        <f t="shared" si="60"/>
        <v>43</v>
      </c>
      <c r="AR486" s="45">
        <f t="shared" si="61"/>
        <v>0</v>
      </c>
      <c r="AS486" s="45">
        <f t="shared" si="62"/>
        <v>0</v>
      </c>
      <c r="AT486" s="45">
        <f t="shared" si="63"/>
        <v>0</v>
      </c>
      <c r="AU486" s="45" t="str">
        <f>_xlfn.XLOOKUP(U486,'Lista Suspensa'!$AA$20:$AA$23,'Lista Suspensa'!$AB$20:$AB$23,"N/A")</f>
        <v>S</v>
      </c>
    </row>
    <row r="487" spans="1:47" ht="12" customHeight="1" x14ac:dyDescent="0.3">
      <c r="A487" s="87" t="s">
        <v>47</v>
      </c>
      <c r="B487" s="88">
        <v>46104</v>
      </c>
      <c r="C487" s="89" t="s">
        <v>48</v>
      </c>
      <c r="D487" s="89" t="s">
        <v>49</v>
      </c>
      <c r="E487" s="90">
        <v>76999270</v>
      </c>
      <c r="F487" s="184" t="s">
        <v>1602</v>
      </c>
      <c r="G487" s="91">
        <v>3637652714</v>
      </c>
      <c r="H487" s="92">
        <v>27376</v>
      </c>
      <c r="I487" s="89">
        <v>51</v>
      </c>
      <c r="J487" s="89" t="s">
        <v>51</v>
      </c>
      <c r="K487" s="89" t="s">
        <v>88</v>
      </c>
      <c r="L487" s="89" t="s">
        <v>231</v>
      </c>
      <c r="M487" s="89" t="s">
        <v>1603</v>
      </c>
      <c r="N487" s="89" t="s">
        <v>130</v>
      </c>
      <c r="O487" s="93" t="s">
        <v>1604</v>
      </c>
      <c r="P487" s="94" t="s">
        <v>57</v>
      </c>
      <c r="Q487" s="112" t="s">
        <v>58</v>
      </c>
      <c r="R487" s="95">
        <v>46171</v>
      </c>
      <c r="S487" s="96"/>
      <c r="T487" s="96" t="s">
        <v>59</v>
      </c>
      <c r="U487" s="96" t="s">
        <v>60</v>
      </c>
      <c r="V487" s="92">
        <v>46112</v>
      </c>
      <c r="W487" s="92">
        <v>46154</v>
      </c>
      <c r="X487" s="92">
        <v>46160</v>
      </c>
      <c r="Y487" s="97"/>
      <c r="Z487" s="89" t="s">
        <v>62</v>
      </c>
      <c r="AA487" s="96">
        <v>46174</v>
      </c>
      <c r="AB487" s="89" t="s">
        <v>80</v>
      </c>
      <c r="AC487" s="111"/>
      <c r="AD487" s="89"/>
      <c r="AE487" s="89"/>
      <c r="AF487" s="98"/>
      <c r="AG487" s="98"/>
      <c r="AH487" s="98"/>
      <c r="AI487" s="99"/>
      <c r="AJ487" s="99" t="s">
        <v>197</v>
      </c>
      <c r="AK487" s="99" t="s">
        <v>67</v>
      </c>
      <c r="AL487" s="45" t="s">
        <v>68</v>
      </c>
      <c r="AM487" s="162" t="str">
        <f t="shared" si="56"/>
        <v>3/2026</v>
      </c>
      <c r="AN487" s="45">
        <f t="shared" si="57"/>
        <v>4</v>
      </c>
      <c r="AO487" s="45" t="str">
        <f t="shared" si="58"/>
        <v>5/2026</v>
      </c>
      <c r="AP487" s="45">
        <f t="shared" si="59"/>
        <v>5</v>
      </c>
      <c r="AQ487" s="45">
        <f t="shared" si="60"/>
        <v>67</v>
      </c>
      <c r="AR487" s="45">
        <f t="shared" si="61"/>
        <v>0</v>
      </c>
      <c r="AS487" s="45">
        <f t="shared" si="62"/>
        <v>24</v>
      </c>
      <c r="AT487" s="45">
        <f t="shared" si="63"/>
        <v>0</v>
      </c>
      <c r="AU487" s="45" t="str">
        <f>_xlfn.XLOOKUP(U487,'Lista Suspensa'!$AA$20:$AA$23,'Lista Suspensa'!$AB$20:$AB$23,"N/A")</f>
        <v>S</v>
      </c>
    </row>
    <row r="488" spans="1:47" ht="12" customHeight="1" x14ac:dyDescent="0.3">
      <c r="A488" s="87" t="s">
        <v>47</v>
      </c>
      <c r="B488" s="88">
        <v>46104</v>
      </c>
      <c r="C488" s="89" t="s">
        <v>48</v>
      </c>
      <c r="D488" s="89" t="s">
        <v>49</v>
      </c>
      <c r="E488" s="90">
        <v>77074352</v>
      </c>
      <c r="F488" s="184" t="s">
        <v>1605</v>
      </c>
      <c r="G488" s="91">
        <v>2953742840</v>
      </c>
      <c r="H488" s="92">
        <v>19095</v>
      </c>
      <c r="I488" s="89">
        <v>73</v>
      </c>
      <c r="J488" s="89" t="s">
        <v>70</v>
      </c>
      <c r="K488" s="89" t="s">
        <v>52</v>
      </c>
      <c r="L488" s="89" t="s">
        <v>53</v>
      </c>
      <c r="M488" s="89" t="s">
        <v>1059</v>
      </c>
      <c r="N488" s="89" t="s">
        <v>130</v>
      </c>
      <c r="O488" s="93" t="s">
        <v>1606</v>
      </c>
      <c r="P488" s="94" t="s">
        <v>57</v>
      </c>
      <c r="Q488" s="112" t="s">
        <v>58</v>
      </c>
      <c r="R488" s="95">
        <v>46164</v>
      </c>
      <c r="S488" s="96"/>
      <c r="T488" s="96" t="s">
        <v>59</v>
      </c>
      <c r="U488" s="96" t="s">
        <v>60</v>
      </c>
      <c r="V488" s="92">
        <v>46128</v>
      </c>
      <c r="W488" s="92">
        <v>46154</v>
      </c>
      <c r="X488" s="92">
        <v>46160</v>
      </c>
      <c r="Y488" s="97"/>
      <c r="Z488" s="89" t="s">
        <v>62</v>
      </c>
      <c r="AA488" s="96">
        <v>46176</v>
      </c>
      <c r="AB488" s="89" t="s">
        <v>63</v>
      </c>
      <c r="AC488" s="111"/>
      <c r="AD488" s="89" t="s">
        <v>265</v>
      </c>
      <c r="AE488" s="89"/>
      <c r="AF488" s="98" t="s">
        <v>403</v>
      </c>
      <c r="AG488" s="98" t="s">
        <v>403</v>
      </c>
      <c r="AH488" s="98" t="s">
        <v>1491</v>
      </c>
      <c r="AI488" s="99"/>
      <c r="AJ488" s="99" t="s">
        <v>197</v>
      </c>
      <c r="AK488" s="99" t="s">
        <v>67</v>
      </c>
      <c r="AL488" s="45" t="s">
        <v>68</v>
      </c>
      <c r="AM488" s="162" t="str">
        <f t="shared" si="56"/>
        <v>3/2026</v>
      </c>
      <c r="AN488" s="45">
        <f t="shared" si="57"/>
        <v>4</v>
      </c>
      <c r="AO488" s="45" t="str">
        <f t="shared" si="58"/>
        <v>5/2026</v>
      </c>
      <c r="AP488" s="45">
        <f t="shared" si="59"/>
        <v>4</v>
      </c>
      <c r="AQ488" s="45">
        <f t="shared" si="60"/>
        <v>60</v>
      </c>
      <c r="AR488" s="45">
        <f t="shared" si="61"/>
        <v>0</v>
      </c>
      <c r="AS488" s="45">
        <f t="shared" si="62"/>
        <v>16</v>
      </c>
      <c r="AT488" s="45">
        <f t="shared" si="63"/>
        <v>12</v>
      </c>
      <c r="AU488" s="45" t="str">
        <f>_xlfn.XLOOKUP(U488,'Lista Suspensa'!$AA$20:$AA$23,'Lista Suspensa'!$AB$20:$AB$23,"N/A")</f>
        <v>S</v>
      </c>
    </row>
    <row r="489" spans="1:47" ht="12" customHeight="1" x14ac:dyDescent="0.3">
      <c r="A489" s="87" t="s">
        <v>47</v>
      </c>
      <c r="B489" s="88">
        <v>46104</v>
      </c>
      <c r="C489" s="89" t="s">
        <v>48</v>
      </c>
      <c r="D489" s="89" t="s">
        <v>49</v>
      </c>
      <c r="E489" s="90">
        <v>73573622</v>
      </c>
      <c r="F489" s="184" t="s">
        <v>1607</v>
      </c>
      <c r="G489" s="91">
        <v>3224659823</v>
      </c>
      <c r="H489" s="92">
        <v>22718</v>
      </c>
      <c r="I489" s="89">
        <v>64</v>
      </c>
      <c r="J489" s="89" t="s">
        <v>51</v>
      </c>
      <c r="K489" s="89" t="s">
        <v>52</v>
      </c>
      <c r="L489" s="89" t="s">
        <v>53</v>
      </c>
      <c r="M489" s="89" t="s">
        <v>1608</v>
      </c>
      <c r="N489" s="89" t="s">
        <v>130</v>
      </c>
      <c r="O489" s="93" t="s">
        <v>1609</v>
      </c>
      <c r="P489" s="94" t="s">
        <v>57</v>
      </c>
      <c r="Q489" s="112" t="s">
        <v>58</v>
      </c>
      <c r="R489" s="95">
        <v>46153</v>
      </c>
      <c r="S489" s="96"/>
      <c r="T489" s="96" t="s">
        <v>59</v>
      </c>
      <c r="U489" s="96" t="s">
        <v>60</v>
      </c>
      <c r="V489" s="92">
        <v>46147</v>
      </c>
      <c r="W489" s="92">
        <v>46154</v>
      </c>
      <c r="X489" s="92" t="s">
        <v>61</v>
      </c>
      <c r="Y489" s="97"/>
      <c r="Z489" s="89" t="s">
        <v>62</v>
      </c>
      <c r="AA489" s="96" t="s">
        <v>1610</v>
      </c>
      <c r="AB489" s="89" t="s">
        <v>80</v>
      </c>
      <c r="AC489" s="111"/>
      <c r="AD489" s="89"/>
      <c r="AE489" s="89"/>
      <c r="AF489" s="98"/>
      <c r="AG489" s="98"/>
      <c r="AH489" s="98"/>
      <c r="AI489" s="99" t="s">
        <v>197</v>
      </c>
      <c r="AJ489" s="99" t="s">
        <v>197</v>
      </c>
      <c r="AK489" s="99" t="s">
        <v>67</v>
      </c>
      <c r="AL489" s="45" t="s">
        <v>68</v>
      </c>
      <c r="AM489" s="162" t="str">
        <f t="shared" si="56"/>
        <v>3/2026</v>
      </c>
      <c r="AN489" s="45">
        <f t="shared" si="57"/>
        <v>4</v>
      </c>
      <c r="AO489" s="45" t="str">
        <f t="shared" si="58"/>
        <v>5/2026</v>
      </c>
      <c r="AP489" s="45">
        <f t="shared" si="59"/>
        <v>3</v>
      </c>
      <c r="AQ489" s="45">
        <f t="shared" si="60"/>
        <v>49</v>
      </c>
      <c r="AR489" s="45">
        <f t="shared" si="61"/>
        <v>0</v>
      </c>
      <c r="AS489" s="45">
        <f t="shared" si="62"/>
        <v>7</v>
      </c>
      <c r="AT489" s="45">
        <f t="shared" si="63"/>
        <v>0</v>
      </c>
      <c r="AU489" s="45" t="str">
        <f>_xlfn.XLOOKUP(U489,'Lista Suspensa'!$AA$20:$AA$23,'Lista Suspensa'!$AB$20:$AB$23,"N/A")</f>
        <v>S</v>
      </c>
    </row>
    <row r="490" spans="1:47" ht="12" customHeight="1" x14ac:dyDescent="0.3">
      <c r="A490" s="87" t="s">
        <v>47</v>
      </c>
      <c r="B490" s="88">
        <v>46104</v>
      </c>
      <c r="C490" s="89" t="s">
        <v>48</v>
      </c>
      <c r="D490" s="89" t="s">
        <v>49</v>
      </c>
      <c r="E490" s="90">
        <v>72939671</v>
      </c>
      <c r="F490" s="184" t="s">
        <v>1611</v>
      </c>
      <c r="G490" s="91">
        <v>26293352831</v>
      </c>
      <c r="H490" s="92">
        <v>28059</v>
      </c>
      <c r="I490" s="89">
        <v>49</v>
      </c>
      <c r="J490" s="89" t="s">
        <v>51</v>
      </c>
      <c r="K490" s="89" t="s">
        <v>52</v>
      </c>
      <c r="L490" s="89" t="s">
        <v>53</v>
      </c>
      <c r="M490" s="89" t="s">
        <v>270</v>
      </c>
      <c r="N490" s="89" t="s">
        <v>130</v>
      </c>
      <c r="O490" s="93" t="s">
        <v>1612</v>
      </c>
      <c r="P490" s="94" t="s">
        <v>57</v>
      </c>
      <c r="Q490" s="112" t="s">
        <v>58</v>
      </c>
      <c r="R490" s="95">
        <v>46147</v>
      </c>
      <c r="S490" s="96"/>
      <c r="T490" s="96" t="s">
        <v>59</v>
      </c>
      <c r="U490" s="96" t="s">
        <v>60</v>
      </c>
      <c r="V490" s="92">
        <v>46147</v>
      </c>
      <c r="W490" s="92" t="s">
        <v>61</v>
      </c>
      <c r="X490" s="92" t="s">
        <v>61</v>
      </c>
      <c r="Y490" s="97"/>
      <c r="Z490" s="89" t="s">
        <v>62</v>
      </c>
      <c r="AA490" s="96" t="s">
        <v>1613</v>
      </c>
      <c r="AB490" s="89" t="s">
        <v>63</v>
      </c>
      <c r="AC490" s="111"/>
      <c r="AD490" s="89"/>
      <c r="AE490" s="89"/>
      <c r="AF490" s="98"/>
      <c r="AG490" s="98"/>
      <c r="AH490" s="98"/>
      <c r="AI490" s="99" t="s">
        <v>197</v>
      </c>
      <c r="AJ490" s="99" t="s">
        <v>197</v>
      </c>
      <c r="AK490" s="99" t="s">
        <v>67</v>
      </c>
      <c r="AL490" s="45" t="s">
        <v>68</v>
      </c>
      <c r="AM490" s="162" t="str">
        <f t="shared" si="56"/>
        <v>3/2026</v>
      </c>
      <c r="AN490" s="45">
        <f t="shared" si="57"/>
        <v>4</v>
      </c>
      <c r="AO490" s="45" t="str">
        <f t="shared" si="58"/>
        <v>5/2026</v>
      </c>
      <c r="AP490" s="45">
        <f t="shared" si="59"/>
        <v>2</v>
      </c>
      <c r="AQ490" s="45">
        <f t="shared" si="60"/>
        <v>43</v>
      </c>
      <c r="AR490" s="45">
        <f t="shared" si="61"/>
        <v>0</v>
      </c>
      <c r="AS490" s="45">
        <f t="shared" si="62"/>
        <v>0</v>
      </c>
      <c r="AT490" s="45">
        <f t="shared" si="63"/>
        <v>2.5138888888905058</v>
      </c>
      <c r="AU490" s="45" t="str">
        <f>_xlfn.XLOOKUP(U490,'Lista Suspensa'!$AA$20:$AA$23,'Lista Suspensa'!$AB$20:$AB$23,"N/A")</f>
        <v>S</v>
      </c>
    </row>
    <row r="491" spans="1:47" ht="12" customHeight="1" x14ac:dyDescent="0.3">
      <c r="A491" s="87" t="s">
        <v>47</v>
      </c>
      <c r="B491" s="88">
        <v>46104</v>
      </c>
      <c r="C491" s="89" t="s">
        <v>48</v>
      </c>
      <c r="D491" s="89" t="s">
        <v>49</v>
      </c>
      <c r="E491" s="90">
        <v>74340619</v>
      </c>
      <c r="F491" s="184" t="s">
        <v>1614</v>
      </c>
      <c r="G491" s="91">
        <v>61202975704</v>
      </c>
      <c r="H491" s="92">
        <v>21350</v>
      </c>
      <c r="I491" s="89">
        <v>67</v>
      </c>
      <c r="J491" s="89" t="s">
        <v>51</v>
      </c>
      <c r="K491" s="89" t="s">
        <v>88</v>
      </c>
      <c r="L491" s="89" t="s">
        <v>89</v>
      </c>
      <c r="M491" s="89" t="s">
        <v>1615</v>
      </c>
      <c r="N491" s="89" t="s">
        <v>130</v>
      </c>
      <c r="O491" s="93" t="s">
        <v>1616</v>
      </c>
      <c r="P491" s="94" t="s">
        <v>57</v>
      </c>
      <c r="Q491" s="112" t="s">
        <v>58</v>
      </c>
      <c r="R491" s="95">
        <v>46147</v>
      </c>
      <c r="S491" s="96"/>
      <c r="T491" s="96" t="s">
        <v>59</v>
      </c>
      <c r="U491" s="96" t="s">
        <v>60</v>
      </c>
      <c r="V491" s="92">
        <v>46147</v>
      </c>
      <c r="W491" s="92" t="s">
        <v>61</v>
      </c>
      <c r="X491" s="92" t="s">
        <v>61</v>
      </c>
      <c r="Y491" s="97"/>
      <c r="Z491" s="89" t="s">
        <v>62</v>
      </c>
      <c r="AA491" s="96" t="s">
        <v>1617</v>
      </c>
      <c r="AB491" s="89" t="s">
        <v>80</v>
      </c>
      <c r="AC491" s="111"/>
      <c r="AD491" s="89"/>
      <c r="AE491" s="89"/>
      <c r="AF491" s="98"/>
      <c r="AG491" s="98"/>
      <c r="AH491" s="98"/>
      <c r="AI491" s="99" t="s">
        <v>197</v>
      </c>
      <c r="AJ491" s="99" t="s">
        <v>197</v>
      </c>
      <c r="AK491" s="99" t="s">
        <v>67</v>
      </c>
      <c r="AL491" s="45" t="s">
        <v>68</v>
      </c>
      <c r="AM491" s="162" t="str">
        <f t="shared" si="56"/>
        <v>3/2026</v>
      </c>
      <c r="AN491" s="45">
        <f t="shared" si="57"/>
        <v>4</v>
      </c>
      <c r="AO491" s="45" t="str">
        <f t="shared" si="58"/>
        <v>5/2026</v>
      </c>
      <c r="AP491" s="45">
        <f t="shared" si="59"/>
        <v>2</v>
      </c>
      <c r="AQ491" s="45">
        <f t="shared" si="60"/>
        <v>43</v>
      </c>
      <c r="AR491" s="45">
        <f t="shared" si="61"/>
        <v>0</v>
      </c>
      <c r="AS491" s="45">
        <f t="shared" si="62"/>
        <v>0</v>
      </c>
      <c r="AT491" s="45">
        <f t="shared" si="63"/>
        <v>0</v>
      </c>
      <c r="AU491" s="45" t="str">
        <f>_xlfn.XLOOKUP(U491,'Lista Suspensa'!$AA$20:$AA$23,'Lista Suspensa'!$AB$20:$AB$23,"N/A")</f>
        <v>S</v>
      </c>
    </row>
    <row r="492" spans="1:47" ht="12" customHeight="1" x14ac:dyDescent="0.3">
      <c r="A492" s="87" t="s">
        <v>47</v>
      </c>
      <c r="B492" s="88">
        <v>46104</v>
      </c>
      <c r="C492" s="89" t="s">
        <v>48</v>
      </c>
      <c r="D492" s="89" t="s">
        <v>49</v>
      </c>
      <c r="E492" s="90">
        <v>72987146</v>
      </c>
      <c r="F492" s="184" t="s">
        <v>1618</v>
      </c>
      <c r="G492" s="91">
        <v>11787468798</v>
      </c>
      <c r="H492" s="92">
        <v>32904</v>
      </c>
      <c r="I492" s="89">
        <v>36</v>
      </c>
      <c r="J492" s="89" t="s">
        <v>70</v>
      </c>
      <c r="K492" s="89" t="s">
        <v>88</v>
      </c>
      <c r="L492" s="89" t="s">
        <v>97</v>
      </c>
      <c r="M492" s="89" t="s">
        <v>1619</v>
      </c>
      <c r="N492" s="89" t="s">
        <v>130</v>
      </c>
      <c r="O492" s="93" t="s">
        <v>1620</v>
      </c>
      <c r="P492" s="94" t="s">
        <v>57</v>
      </c>
      <c r="Q492" s="112" t="s">
        <v>58</v>
      </c>
      <c r="R492" s="95">
        <v>46117</v>
      </c>
      <c r="S492" s="96"/>
      <c r="T492" s="96" t="s">
        <v>59</v>
      </c>
      <c r="U492" s="96" t="s">
        <v>60</v>
      </c>
      <c r="V492" s="92">
        <v>46147</v>
      </c>
      <c r="W492" s="92">
        <v>46150</v>
      </c>
      <c r="X492" s="92" t="s">
        <v>61</v>
      </c>
      <c r="Y492" s="97" t="s">
        <v>1621</v>
      </c>
      <c r="Z492" s="89" t="s">
        <v>62</v>
      </c>
      <c r="AA492" s="96" t="s">
        <v>1622</v>
      </c>
      <c r="AB492" s="89" t="s">
        <v>63</v>
      </c>
      <c r="AC492" s="111"/>
      <c r="AD492" s="89" t="s">
        <v>265</v>
      </c>
      <c r="AE492" s="89">
        <v>42</v>
      </c>
      <c r="AF492" s="98"/>
      <c r="AG492" s="98"/>
      <c r="AH492" s="98"/>
      <c r="AI492" s="99" t="s">
        <v>197</v>
      </c>
      <c r="AJ492" s="99" t="s">
        <v>197</v>
      </c>
      <c r="AK492" s="99" t="s">
        <v>67</v>
      </c>
      <c r="AL492" s="45" t="s">
        <v>68</v>
      </c>
      <c r="AM492" s="162" t="str">
        <f t="shared" si="56"/>
        <v>3/2026</v>
      </c>
      <c r="AN492" s="45">
        <f t="shared" si="57"/>
        <v>4</v>
      </c>
      <c r="AO492" s="45" t="str">
        <f t="shared" si="58"/>
        <v>4/2026</v>
      </c>
      <c r="AP492" s="45">
        <f t="shared" si="59"/>
        <v>2</v>
      </c>
      <c r="AQ492" s="45">
        <f t="shared" si="60"/>
        <v>13</v>
      </c>
      <c r="AR492" s="45">
        <f t="shared" si="61"/>
        <v>0</v>
      </c>
      <c r="AS492" s="45">
        <f t="shared" si="62"/>
        <v>3</v>
      </c>
      <c r="AT492" s="45">
        <f t="shared" si="63"/>
        <v>33.611111111109494</v>
      </c>
      <c r="AU492" s="45" t="str">
        <f>_xlfn.XLOOKUP(U492,'Lista Suspensa'!$AA$20:$AA$23,'Lista Suspensa'!$AB$20:$AB$23,"N/A")</f>
        <v>S</v>
      </c>
    </row>
    <row r="493" spans="1:47" ht="12" customHeight="1" x14ac:dyDescent="0.3">
      <c r="A493" s="87" t="s">
        <v>47</v>
      </c>
      <c r="B493" s="88">
        <v>46104</v>
      </c>
      <c r="C493" s="89" t="s">
        <v>48</v>
      </c>
      <c r="D493" s="89" t="s">
        <v>49</v>
      </c>
      <c r="E493" s="90">
        <v>594090423</v>
      </c>
      <c r="F493" s="184" t="s">
        <v>1623</v>
      </c>
      <c r="G493" s="91">
        <v>47555530830</v>
      </c>
      <c r="H493" s="92">
        <v>15722</v>
      </c>
      <c r="I493" s="89">
        <v>83</v>
      </c>
      <c r="J493" s="89" t="s">
        <v>51</v>
      </c>
      <c r="K493" s="89" t="s">
        <v>52</v>
      </c>
      <c r="L493" s="89" t="s">
        <v>331</v>
      </c>
      <c r="M493" s="89" t="s">
        <v>1624</v>
      </c>
      <c r="N493" s="89" t="s">
        <v>130</v>
      </c>
      <c r="O493" s="93" t="s">
        <v>1625</v>
      </c>
      <c r="P493" s="94" t="s">
        <v>57</v>
      </c>
      <c r="Q493" s="112" t="s">
        <v>58</v>
      </c>
      <c r="R493" s="95">
        <v>46147</v>
      </c>
      <c r="S493" s="96"/>
      <c r="T493" s="96" t="s">
        <v>59</v>
      </c>
      <c r="U493" s="96" t="s">
        <v>60</v>
      </c>
      <c r="V493" s="92">
        <v>46147</v>
      </c>
      <c r="W493" s="92" t="s">
        <v>61</v>
      </c>
      <c r="X493" s="92" t="s">
        <v>61</v>
      </c>
      <c r="Y493" s="97"/>
      <c r="Z493" s="89" t="s">
        <v>62</v>
      </c>
      <c r="AA493" s="96" t="s">
        <v>1626</v>
      </c>
      <c r="AB493" s="89" t="s">
        <v>80</v>
      </c>
      <c r="AC493" s="111"/>
      <c r="AD493" s="89"/>
      <c r="AE493" s="89"/>
      <c r="AF493" s="98"/>
      <c r="AG493" s="98"/>
      <c r="AH493" s="98"/>
      <c r="AI493" s="99" t="s">
        <v>197</v>
      </c>
      <c r="AJ493" s="99" t="s">
        <v>197</v>
      </c>
      <c r="AK493" s="99" t="s">
        <v>67</v>
      </c>
      <c r="AL493" s="45" t="s">
        <v>68</v>
      </c>
      <c r="AM493" s="162" t="str">
        <f t="shared" si="56"/>
        <v>3/2026</v>
      </c>
      <c r="AN493" s="45">
        <f t="shared" si="57"/>
        <v>4</v>
      </c>
      <c r="AO493" s="45" t="str">
        <f t="shared" si="58"/>
        <v>5/2026</v>
      </c>
      <c r="AP493" s="45">
        <f t="shared" si="59"/>
        <v>2</v>
      </c>
      <c r="AQ493" s="45">
        <f t="shared" si="60"/>
        <v>43</v>
      </c>
      <c r="AR493" s="45">
        <f t="shared" si="61"/>
        <v>0</v>
      </c>
      <c r="AS493" s="45">
        <f t="shared" si="62"/>
        <v>0</v>
      </c>
      <c r="AT493" s="45">
        <f t="shared" si="63"/>
        <v>0</v>
      </c>
      <c r="AU493" s="45" t="str">
        <f>_xlfn.XLOOKUP(U493,'Lista Suspensa'!$AA$20:$AA$23,'Lista Suspensa'!$AB$20:$AB$23,"N/A")</f>
        <v>S</v>
      </c>
    </row>
    <row r="494" spans="1:47" ht="12" customHeight="1" x14ac:dyDescent="0.3">
      <c r="A494" s="87" t="s">
        <v>47</v>
      </c>
      <c r="B494" s="88">
        <v>46104</v>
      </c>
      <c r="C494" s="89" t="s">
        <v>48</v>
      </c>
      <c r="D494" s="89" t="s">
        <v>49</v>
      </c>
      <c r="E494" s="90">
        <v>594090431</v>
      </c>
      <c r="F494" s="184" t="s">
        <v>1627</v>
      </c>
      <c r="G494" s="91">
        <v>52263576800</v>
      </c>
      <c r="H494" s="92">
        <v>17348</v>
      </c>
      <c r="I494" s="89">
        <v>78</v>
      </c>
      <c r="J494" s="89" t="s">
        <v>70</v>
      </c>
      <c r="K494" s="89" t="s">
        <v>52</v>
      </c>
      <c r="L494" s="89" t="s">
        <v>331</v>
      </c>
      <c r="M494" s="89" t="s">
        <v>1624</v>
      </c>
      <c r="N494" s="89" t="s">
        <v>130</v>
      </c>
      <c r="O494" s="93" t="s">
        <v>1625</v>
      </c>
      <c r="P494" s="94" t="s">
        <v>57</v>
      </c>
      <c r="Q494" s="112" t="s">
        <v>58</v>
      </c>
      <c r="R494" s="95">
        <v>46171</v>
      </c>
      <c r="S494" s="96"/>
      <c r="T494" s="96" t="s">
        <v>59</v>
      </c>
      <c r="U494" s="96" t="s">
        <v>60</v>
      </c>
      <c r="V494" s="92">
        <v>46147</v>
      </c>
      <c r="W494" s="92">
        <v>46154</v>
      </c>
      <c r="X494" s="92">
        <v>46160</v>
      </c>
      <c r="Y494" s="97"/>
      <c r="Z494" s="89" t="s">
        <v>62</v>
      </c>
      <c r="AA494" s="96">
        <v>46175</v>
      </c>
      <c r="AB494" s="89" t="s">
        <v>80</v>
      </c>
      <c r="AC494" s="111"/>
      <c r="AD494" s="89"/>
      <c r="AE494" s="89"/>
      <c r="AF494" s="98"/>
      <c r="AG494" s="98"/>
      <c r="AH494" s="98"/>
      <c r="AI494" s="99"/>
      <c r="AJ494" s="99" t="s">
        <v>197</v>
      </c>
      <c r="AK494" s="99" t="s">
        <v>67</v>
      </c>
      <c r="AL494" s="45" t="s">
        <v>68</v>
      </c>
      <c r="AM494" s="162" t="str">
        <f t="shared" si="56"/>
        <v>3/2026</v>
      </c>
      <c r="AN494" s="45">
        <f t="shared" si="57"/>
        <v>4</v>
      </c>
      <c r="AO494" s="45" t="str">
        <f t="shared" si="58"/>
        <v>5/2026</v>
      </c>
      <c r="AP494" s="45">
        <f t="shared" si="59"/>
        <v>5</v>
      </c>
      <c r="AQ494" s="45">
        <f t="shared" si="60"/>
        <v>67</v>
      </c>
      <c r="AR494" s="45">
        <f t="shared" si="61"/>
        <v>0</v>
      </c>
      <c r="AS494" s="45">
        <f t="shared" si="62"/>
        <v>6.5</v>
      </c>
      <c r="AT494" s="45">
        <f t="shared" si="63"/>
        <v>0</v>
      </c>
      <c r="AU494" s="45" t="str">
        <f>_xlfn.XLOOKUP(U494,'Lista Suspensa'!$AA$20:$AA$23,'Lista Suspensa'!$AB$20:$AB$23,"N/A")</f>
        <v>S</v>
      </c>
    </row>
    <row r="495" spans="1:47" ht="12" customHeight="1" x14ac:dyDescent="0.3">
      <c r="A495" s="87" t="s">
        <v>47</v>
      </c>
      <c r="B495" s="88">
        <v>46104</v>
      </c>
      <c r="C495" s="89" t="s">
        <v>48</v>
      </c>
      <c r="D495" s="89" t="s">
        <v>49</v>
      </c>
      <c r="E495" s="90">
        <v>593921828</v>
      </c>
      <c r="F495" s="184" t="s">
        <v>1628</v>
      </c>
      <c r="G495" s="91">
        <v>99138417804</v>
      </c>
      <c r="H495" s="92">
        <v>18955</v>
      </c>
      <c r="I495" s="89">
        <v>74</v>
      </c>
      <c r="J495" s="89" t="s">
        <v>70</v>
      </c>
      <c r="K495" s="89" t="s">
        <v>52</v>
      </c>
      <c r="L495" s="89" t="s">
        <v>331</v>
      </c>
      <c r="M495" s="89" t="s">
        <v>1222</v>
      </c>
      <c r="N495" s="89" t="s">
        <v>130</v>
      </c>
      <c r="O495" s="93" t="s">
        <v>1629</v>
      </c>
      <c r="P495" s="94" t="s">
        <v>57</v>
      </c>
      <c r="Q495" s="112" t="s">
        <v>58</v>
      </c>
      <c r="R495" s="95">
        <v>46164</v>
      </c>
      <c r="S495" s="96"/>
      <c r="T495" s="96" t="s">
        <v>59</v>
      </c>
      <c r="U495" s="96" t="s">
        <v>60</v>
      </c>
      <c r="V495" s="92">
        <v>46147</v>
      </c>
      <c r="W495" s="92">
        <v>46154</v>
      </c>
      <c r="X495" s="92">
        <v>46160</v>
      </c>
      <c r="Y495" s="97"/>
      <c r="Z495" s="89"/>
      <c r="AA495" s="96"/>
      <c r="AB495" s="89"/>
      <c r="AC495" s="111"/>
      <c r="AD495" s="89"/>
      <c r="AE495" s="89"/>
      <c r="AF495" s="98"/>
      <c r="AG495" s="98"/>
      <c r="AH495" s="98"/>
      <c r="AI495" s="99"/>
      <c r="AJ495" s="99" t="s">
        <v>197</v>
      </c>
      <c r="AK495" s="99" t="s">
        <v>67</v>
      </c>
      <c r="AL495" s="45" t="s">
        <v>68</v>
      </c>
      <c r="AM495" s="162" t="str">
        <f t="shared" si="56"/>
        <v>3/2026</v>
      </c>
      <c r="AN495" s="45">
        <f t="shared" si="57"/>
        <v>4</v>
      </c>
      <c r="AO495" s="45" t="str">
        <f t="shared" si="58"/>
        <v>5/2026</v>
      </c>
      <c r="AP495" s="45">
        <f t="shared" si="59"/>
        <v>4</v>
      </c>
      <c r="AQ495" s="45">
        <f t="shared" si="60"/>
        <v>60</v>
      </c>
      <c r="AR495" s="45">
        <f t="shared" si="61"/>
        <v>0</v>
      </c>
      <c r="AS495" s="45">
        <f t="shared" si="62"/>
        <v>6.5</v>
      </c>
      <c r="AT495" s="45">
        <f t="shared" si="63"/>
        <v>0</v>
      </c>
      <c r="AU495" s="45" t="str">
        <f>_xlfn.XLOOKUP(U495,'Lista Suspensa'!$AA$20:$AA$23,'Lista Suspensa'!$AB$20:$AB$23,"N/A")</f>
        <v>S</v>
      </c>
    </row>
    <row r="496" spans="1:47" ht="12" customHeight="1" x14ac:dyDescent="0.3">
      <c r="A496" s="87" t="s">
        <v>47</v>
      </c>
      <c r="B496" s="88">
        <v>46104</v>
      </c>
      <c r="C496" s="89" t="s">
        <v>48</v>
      </c>
      <c r="D496" s="89" t="s">
        <v>49</v>
      </c>
      <c r="E496" s="90">
        <v>72437383</v>
      </c>
      <c r="F496" s="184" t="s">
        <v>1630</v>
      </c>
      <c r="G496" s="91">
        <v>76875105853</v>
      </c>
      <c r="H496" s="92">
        <v>20405</v>
      </c>
      <c r="I496" s="89">
        <v>70</v>
      </c>
      <c r="J496" s="89" t="s">
        <v>70</v>
      </c>
      <c r="K496" s="89" t="s">
        <v>52</v>
      </c>
      <c r="L496" s="89" t="s">
        <v>53</v>
      </c>
      <c r="M496" s="89" t="s">
        <v>273</v>
      </c>
      <c r="N496" s="89" t="s">
        <v>130</v>
      </c>
      <c r="O496" s="93" t="s">
        <v>1631</v>
      </c>
      <c r="P496" s="94" t="s">
        <v>57</v>
      </c>
      <c r="Q496" s="112" t="s">
        <v>58</v>
      </c>
      <c r="R496" s="95">
        <v>46117</v>
      </c>
      <c r="S496" s="96"/>
      <c r="T496" s="96" t="s">
        <v>59</v>
      </c>
      <c r="U496" s="96" t="s">
        <v>60</v>
      </c>
      <c r="V496" s="92">
        <v>46128</v>
      </c>
      <c r="W496" s="92" t="s">
        <v>61</v>
      </c>
      <c r="X496" s="92" t="s">
        <v>61</v>
      </c>
      <c r="Y496" s="97"/>
      <c r="Z496" s="89" t="s">
        <v>62</v>
      </c>
      <c r="AA496" s="96">
        <v>46160</v>
      </c>
      <c r="AB496" s="89" t="s">
        <v>63</v>
      </c>
      <c r="AC496" s="111"/>
      <c r="AD496" s="89" t="s">
        <v>265</v>
      </c>
      <c r="AE496" s="89">
        <v>47</v>
      </c>
      <c r="AF496" s="98" t="s">
        <v>65</v>
      </c>
      <c r="AG496" s="98" t="s">
        <v>1632</v>
      </c>
      <c r="AH496" s="98"/>
      <c r="AI496" s="99" t="s">
        <v>197</v>
      </c>
      <c r="AJ496" s="99" t="s">
        <v>197</v>
      </c>
      <c r="AK496" s="99" t="s">
        <v>67</v>
      </c>
      <c r="AL496" s="45" t="s">
        <v>68</v>
      </c>
      <c r="AM496" s="162" t="str">
        <f t="shared" si="56"/>
        <v>3/2026</v>
      </c>
      <c r="AN496" s="45">
        <f t="shared" si="57"/>
        <v>4</v>
      </c>
      <c r="AO496" s="45" t="str">
        <f t="shared" si="58"/>
        <v>4/2026</v>
      </c>
      <c r="AP496" s="45">
        <f t="shared" si="59"/>
        <v>2</v>
      </c>
      <c r="AQ496" s="45">
        <f t="shared" si="60"/>
        <v>13</v>
      </c>
      <c r="AR496" s="45">
        <f t="shared" si="61"/>
        <v>0</v>
      </c>
      <c r="AS496" s="45">
        <f t="shared" si="62"/>
        <v>0</v>
      </c>
      <c r="AT496" s="45">
        <f t="shared" si="63"/>
        <v>43</v>
      </c>
      <c r="AU496" s="45" t="str">
        <f>_xlfn.XLOOKUP(U496,'Lista Suspensa'!$AA$20:$AA$23,'Lista Suspensa'!$AB$20:$AB$23,"N/A")</f>
        <v>S</v>
      </c>
    </row>
    <row r="497" spans="1:47" ht="12" customHeight="1" x14ac:dyDescent="0.3">
      <c r="A497" s="87" t="s">
        <v>47</v>
      </c>
      <c r="B497" s="88">
        <v>46104</v>
      </c>
      <c r="C497" s="89" t="s">
        <v>48</v>
      </c>
      <c r="D497" s="89" t="s">
        <v>49</v>
      </c>
      <c r="E497" s="90">
        <v>75180529</v>
      </c>
      <c r="F497" s="184" t="s">
        <v>1633</v>
      </c>
      <c r="G497" s="91">
        <v>15322159835</v>
      </c>
      <c r="H497" s="92">
        <v>17351</v>
      </c>
      <c r="I497" s="89">
        <v>78</v>
      </c>
      <c r="J497" s="89" t="s">
        <v>70</v>
      </c>
      <c r="K497" s="89" t="s">
        <v>52</v>
      </c>
      <c r="L497" s="89" t="s">
        <v>53</v>
      </c>
      <c r="M497" s="89" t="s">
        <v>803</v>
      </c>
      <c r="N497" s="89" t="s">
        <v>130</v>
      </c>
      <c r="O497" s="93" t="s">
        <v>1634</v>
      </c>
      <c r="P497" s="94" t="s">
        <v>57</v>
      </c>
      <c r="Q497" s="112" t="s">
        <v>58</v>
      </c>
      <c r="R497" s="95">
        <v>46117</v>
      </c>
      <c r="S497" s="96"/>
      <c r="T497" s="96" t="s">
        <v>59</v>
      </c>
      <c r="U497" s="96" t="s">
        <v>60</v>
      </c>
      <c r="V497" s="92">
        <v>46112</v>
      </c>
      <c r="W497" s="92" t="s">
        <v>61</v>
      </c>
      <c r="X497" s="92" t="s">
        <v>61</v>
      </c>
      <c r="Y497" s="97" t="s">
        <v>1635</v>
      </c>
      <c r="Z497" s="89" t="s">
        <v>62</v>
      </c>
      <c r="AA497" s="96">
        <v>46160</v>
      </c>
      <c r="AB497" s="89" t="s">
        <v>80</v>
      </c>
      <c r="AC497" s="111"/>
      <c r="AD497" s="89"/>
      <c r="AE497" s="89"/>
      <c r="AF497" s="98"/>
      <c r="AG497" s="98"/>
      <c r="AH497" s="98"/>
      <c r="AI497" s="99" t="s">
        <v>197</v>
      </c>
      <c r="AJ497" s="99" t="s">
        <v>197</v>
      </c>
      <c r="AK497" s="99" t="s">
        <v>67</v>
      </c>
      <c r="AL497" s="45" t="s">
        <v>68</v>
      </c>
      <c r="AM497" s="162" t="str">
        <f t="shared" si="56"/>
        <v>3/2026</v>
      </c>
      <c r="AN497" s="45">
        <f t="shared" si="57"/>
        <v>4</v>
      </c>
      <c r="AO497" s="45" t="str">
        <f t="shared" si="58"/>
        <v>4/2026</v>
      </c>
      <c r="AP497" s="45">
        <f t="shared" si="59"/>
        <v>2</v>
      </c>
      <c r="AQ497" s="45">
        <f t="shared" si="60"/>
        <v>13</v>
      </c>
      <c r="AR497" s="45">
        <f t="shared" si="61"/>
        <v>0</v>
      </c>
      <c r="AS497" s="45">
        <f t="shared" si="62"/>
        <v>0</v>
      </c>
      <c r="AT497" s="45">
        <f t="shared" si="63"/>
        <v>0</v>
      </c>
      <c r="AU497" s="45" t="str">
        <f>_xlfn.XLOOKUP(U497,'Lista Suspensa'!$AA$20:$AA$23,'Lista Suspensa'!$AB$20:$AB$23,"N/A")</f>
        <v>S</v>
      </c>
    </row>
    <row r="498" spans="1:47" ht="12" customHeight="1" x14ac:dyDescent="0.3">
      <c r="A498" s="87" t="s">
        <v>47</v>
      </c>
      <c r="B498" s="88">
        <v>46104</v>
      </c>
      <c r="C498" s="89" t="s">
        <v>48</v>
      </c>
      <c r="D498" s="89" t="s">
        <v>49</v>
      </c>
      <c r="E498" s="90">
        <v>81040313</v>
      </c>
      <c r="F498" s="184" t="s">
        <v>1636</v>
      </c>
      <c r="G498" s="91">
        <v>13480240895</v>
      </c>
      <c r="H498" s="92">
        <v>26281</v>
      </c>
      <c r="I498" s="89">
        <v>54</v>
      </c>
      <c r="J498" s="89" t="s">
        <v>51</v>
      </c>
      <c r="K498" s="89" t="s">
        <v>52</v>
      </c>
      <c r="L498" s="89" t="s">
        <v>53</v>
      </c>
      <c r="M498" s="89" t="s">
        <v>1637</v>
      </c>
      <c r="N498" s="89" t="s">
        <v>148</v>
      </c>
      <c r="O498" s="93" t="s">
        <v>1638</v>
      </c>
      <c r="P498" s="94" t="s">
        <v>57</v>
      </c>
      <c r="Q498" s="112" t="s">
        <v>58</v>
      </c>
      <c r="R498" s="95">
        <v>46142</v>
      </c>
      <c r="S498" s="96"/>
      <c r="T498" s="96" t="s">
        <v>59</v>
      </c>
      <c r="U498" s="96" t="s">
        <v>60</v>
      </c>
      <c r="V498" s="92">
        <v>46128</v>
      </c>
      <c r="W498" s="92">
        <v>46142</v>
      </c>
      <c r="X498" s="92" t="s">
        <v>61</v>
      </c>
      <c r="Y498" s="97"/>
      <c r="Z498" s="89" t="s">
        <v>62</v>
      </c>
      <c r="AA498" s="96" t="s">
        <v>1639</v>
      </c>
      <c r="AB498" s="89" t="s">
        <v>63</v>
      </c>
      <c r="AC498" s="111"/>
      <c r="AD498" s="89" t="s">
        <v>265</v>
      </c>
      <c r="AE498" s="89">
        <v>61</v>
      </c>
      <c r="AF498" s="98" t="s">
        <v>65</v>
      </c>
      <c r="AG498" s="98"/>
      <c r="AH498" s="98" t="s">
        <v>66</v>
      </c>
      <c r="AI498" s="99" t="s">
        <v>67</v>
      </c>
      <c r="AJ498" s="99" t="s">
        <v>67</v>
      </c>
      <c r="AK498" s="99" t="s">
        <v>67</v>
      </c>
      <c r="AL498" s="45" t="s">
        <v>68</v>
      </c>
      <c r="AM498" s="162" t="str">
        <f t="shared" si="56"/>
        <v>3/2026</v>
      </c>
      <c r="AN498" s="45">
        <f t="shared" si="57"/>
        <v>4</v>
      </c>
      <c r="AO498" s="45" t="str">
        <f t="shared" si="58"/>
        <v>4/2026</v>
      </c>
      <c r="AP498" s="45">
        <f t="shared" si="59"/>
        <v>5</v>
      </c>
      <c r="AQ498" s="45">
        <f t="shared" si="60"/>
        <v>38</v>
      </c>
      <c r="AR498" s="45">
        <f t="shared" si="61"/>
        <v>0</v>
      </c>
      <c r="AS498" s="45">
        <f t="shared" si="62"/>
        <v>14</v>
      </c>
      <c r="AT498" s="45">
        <f t="shared" si="63"/>
        <v>6.5138888888905058</v>
      </c>
      <c r="AU498" s="45" t="str">
        <f>_xlfn.XLOOKUP(U498,'Lista Suspensa'!$AA$20:$AA$23,'Lista Suspensa'!$AB$20:$AB$23,"N/A")</f>
        <v>S</v>
      </c>
    </row>
    <row r="499" spans="1:47" ht="12" customHeight="1" x14ac:dyDescent="0.3">
      <c r="A499" s="87" t="s">
        <v>47</v>
      </c>
      <c r="B499" s="88">
        <v>46104</v>
      </c>
      <c r="C499" s="89" t="s">
        <v>48</v>
      </c>
      <c r="D499" s="89" t="s">
        <v>49</v>
      </c>
      <c r="E499" s="90">
        <v>82089490</v>
      </c>
      <c r="F499" s="184" t="s">
        <v>1640</v>
      </c>
      <c r="G499" s="91">
        <v>12916453814</v>
      </c>
      <c r="H499" s="92">
        <v>23314</v>
      </c>
      <c r="I499" s="89">
        <v>62</v>
      </c>
      <c r="J499" s="89" t="s">
        <v>70</v>
      </c>
      <c r="K499" s="89" t="s">
        <v>52</v>
      </c>
      <c r="L499" s="89" t="s">
        <v>331</v>
      </c>
      <c r="M499" s="89" t="s">
        <v>1641</v>
      </c>
      <c r="N499" s="89" t="s">
        <v>130</v>
      </c>
      <c r="O499" s="93" t="s">
        <v>1642</v>
      </c>
      <c r="P499" s="94" t="s">
        <v>57</v>
      </c>
      <c r="Q499" s="112" t="s">
        <v>58</v>
      </c>
      <c r="R499" s="95">
        <v>46147</v>
      </c>
      <c r="S499" s="96"/>
      <c r="T499" s="96" t="s">
        <v>59</v>
      </c>
      <c r="U499" s="96" t="s">
        <v>60</v>
      </c>
      <c r="V499" s="92">
        <v>46147</v>
      </c>
      <c r="W499" s="92" t="s">
        <v>61</v>
      </c>
      <c r="X499" s="92" t="s">
        <v>61</v>
      </c>
      <c r="Y499" s="97"/>
      <c r="Z499" s="89" t="s">
        <v>62</v>
      </c>
      <c r="AA499" s="96" t="s">
        <v>1643</v>
      </c>
      <c r="AB499" s="89" t="s">
        <v>80</v>
      </c>
      <c r="AC499" s="111"/>
      <c r="AD499" s="89"/>
      <c r="AE499" s="89"/>
      <c r="AF499" s="98"/>
      <c r="AG499" s="98"/>
      <c r="AH499" s="98"/>
      <c r="AI499" s="99" t="s">
        <v>197</v>
      </c>
      <c r="AJ499" s="99" t="s">
        <v>197</v>
      </c>
      <c r="AK499" s="99" t="s">
        <v>67</v>
      </c>
      <c r="AL499" s="45" t="s">
        <v>68</v>
      </c>
      <c r="AM499" s="162" t="str">
        <f t="shared" si="56"/>
        <v>3/2026</v>
      </c>
      <c r="AN499" s="45">
        <f t="shared" si="57"/>
        <v>4</v>
      </c>
      <c r="AO499" s="45" t="str">
        <f t="shared" si="58"/>
        <v>5/2026</v>
      </c>
      <c r="AP499" s="45">
        <f t="shared" si="59"/>
        <v>2</v>
      </c>
      <c r="AQ499" s="45">
        <f t="shared" si="60"/>
        <v>43</v>
      </c>
      <c r="AR499" s="45">
        <f t="shared" si="61"/>
        <v>0</v>
      </c>
      <c r="AS499" s="45">
        <f t="shared" si="62"/>
        <v>0</v>
      </c>
      <c r="AT499" s="45">
        <f t="shared" si="63"/>
        <v>0</v>
      </c>
      <c r="AU499" s="45" t="str">
        <f>_xlfn.XLOOKUP(U499,'Lista Suspensa'!$AA$20:$AA$23,'Lista Suspensa'!$AB$20:$AB$23,"N/A")</f>
        <v>S</v>
      </c>
    </row>
    <row r="500" spans="1:47" ht="12" customHeight="1" x14ac:dyDescent="0.3">
      <c r="A500" s="87" t="s">
        <v>47</v>
      </c>
      <c r="B500" s="88">
        <v>46104</v>
      </c>
      <c r="C500" s="89" t="s">
        <v>48</v>
      </c>
      <c r="D500" s="89" t="s">
        <v>49</v>
      </c>
      <c r="E500" s="90">
        <v>917846370</v>
      </c>
      <c r="F500" s="184" t="s">
        <v>1644</v>
      </c>
      <c r="G500" s="91">
        <v>77159527704</v>
      </c>
      <c r="H500" s="92">
        <v>17317</v>
      </c>
      <c r="I500" s="89">
        <v>78</v>
      </c>
      <c r="J500" s="89" t="s">
        <v>70</v>
      </c>
      <c r="K500" s="89" t="s">
        <v>88</v>
      </c>
      <c r="L500" s="89" t="s">
        <v>89</v>
      </c>
      <c r="M500" s="89" t="s">
        <v>1645</v>
      </c>
      <c r="N500" s="89" t="s">
        <v>277</v>
      </c>
      <c r="O500" s="93" t="s">
        <v>1646</v>
      </c>
      <c r="P500" s="94" t="s">
        <v>57</v>
      </c>
      <c r="Q500" s="112" t="s">
        <v>58</v>
      </c>
      <c r="R500" s="95">
        <v>46147</v>
      </c>
      <c r="S500" s="96"/>
      <c r="T500" s="96" t="s">
        <v>59</v>
      </c>
      <c r="U500" s="96" t="s">
        <v>60</v>
      </c>
      <c r="V500" s="92">
        <v>46147</v>
      </c>
      <c r="W500" s="92" t="s">
        <v>61</v>
      </c>
      <c r="X500" s="92" t="s">
        <v>61</v>
      </c>
      <c r="Y500" s="97"/>
      <c r="Z500" s="89" t="s">
        <v>62</v>
      </c>
      <c r="AA500" s="96" t="s">
        <v>723</v>
      </c>
      <c r="AB500" s="89" t="s">
        <v>80</v>
      </c>
      <c r="AC500" s="111"/>
      <c r="AD500" s="89"/>
      <c r="AE500" s="89"/>
      <c r="AF500" s="98"/>
      <c r="AG500" s="98"/>
      <c r="AH500" s="98"/>
      <c r="AI500" s="99" t="s">
        <v>197</v>
      </c>
      <c r="AJ500" s="99" t="s">
        <v>197</v>
      </c>
      <c r="AK500" s="99" t="s">
        <v>67</v>
      </c>
      <c r="AL500" s="45" t="s">
        <v>68</v>
      </c>
      <c r="AM500" s="162" t="str">
        <f t="shared" si="56"/>
        <v>3/2026</v>
      </c>
      <c r="AN500" s="45">
        <f t="shared" si="57"/>
        <v>4</v>
      </c>
      <c r="AO500" s="45" t="str">
        <f t="shared" si="58"/>
        <v>5/2026</v>
      </c>
      <c r="AP500" s="45">
        <f t="shared" si="59"/>
        <v>2</v>
      </c>
      <c r="AQ500" s="45">
        <f t="shared" si="60"/>
        <v>43</v>
      </c>
      <c r="AR500" s="45">
        <f t="shared" si="61"/>
        <v>0</v>
      </c>
      <c r="AS500" s="45">
        <f t="shared" si="62"/>
        <v>0</v>
      </c>
      <c r="AT500" s="45">
        <f t="shared" si="63"/>
        <v>0</v>
      </c>
      <c r="AU500" s="45" t="str">
        <f>_xlfn.XLOOKUP(U500,'Lista Suspensa'!$AA$20:$AA$23,'Lista Suspensa'!$AB$20:$AB$23,"N/A")</f>
        <v>S</v>
      </c>
    </row>
    <row r="501" spans="1:47" ht="12" customHeight="1" x14ac:dyDescent="0.3">
      <c r="A501" s="87" t="s">
        <v>47</v>
      </c>
      <c r="B501" s="88">
        <v>46104</v>
      </c>
      <c r="C501" s="89" t="s">
        <v>48</v>
      </c>
      <c r="D501" s="89" t="s">
        <v>49</v>
      </c>
      <c r="E501" s="90">
        <v>83887976</v>
      </c>
      <c r="F501" s="184" t="s">
        <v>1647</v>
      </c>
      <c r="G501" s="91">
        <v>55200559715</v>
      </c>
      <c r="H501" s="92">
        <v>21723</v>
      </c>
      <c r="I501" s="89">
        <v>66</v>
      </c>
      <c r="J501" s="89" t="s">
        <v>70</v>
      </c>
      <c r="K501" s="89" t="s">
        <v>88</v>
      </c>
      <c r="L501" s="89" t="s">
        <v>89</v>
      </c>
      <c r="M501" s="89" t="s">
        <v>1648</v>
      </c>
      <c r="N501" s="89" t="s">
        <v>148</v>
      </c>
      <c r="O501" s="93" t="s">
        <v>1649</v>
      </c>
      <c r="P501" s="94" t="s">
        <v>57</v>
      </c>
      <c r="Q501" s="112" t="s">
        <v>58</v>
      </c>
      <c r="R501" s="95">
        <v>46153</v>
      </c>
      <c r="S501" s="96"/>
      <c r="T501" s="96" t="s">
        <v>59</v>
      </c>
      <c r="U501" s="96" t="s">
        <v>60</v>
      </c>
      <c r="V501" s="92">
        <v>46147</v>
      </c>
      <c r="W501" s="92">
        <v>46154</v>
      </c>
      <c r="X501" s="92" t="s">
        <v>61</v>
      </c>
      <c r="Y501" s="97"/>
      <c r="Z501" s="89" t="s">
        <v>62</v>
      </c>
      <c r="AA501" s="96" t="s">
        <v>1650</v>
      </c>
      <c r="AB501" s="89" t="s">
        <v>80</v>
      </c>
      <c r="AC501" s="111"/>
      <c r="AD501" s="89"/>
      <c r="AE501" s="89"/>
      <c r="AF501" s="98"/>
      <c r="AG501" s="98"/>
      <c r="AH501" s="98"/>
      <c r="AI501" s="99" t="s">
        <v>197</v>
      </c>
      <c r="AJ501" s="99" t="s">
        <v>197</v>
      </c>
      <c r="AK501" s="99" t="s">
        <v>67</v>
      </c>
      <c r="AL501" s="45" t="s">
        <v>68</v>
      </c>
      <c r="AM501" s="162" t="str">
        <f t="shared" si="56"/>
        <v>3/2026</v>
      </c>
      <c r="AN501" s="45">
        <f t="shared" si="57"/>
        <v>4</v>
      </c>
      <c r="AO501" s="45" t="str">
        <f t="shared" si="58"/>
        <v>5/2026</v>
      </c>
      <c r="AP501" s="45">
        <f t="shared" si="59"/>
        <v>3</v>
      </c>
      <c r="AQ501" s="45">
        <f t="shared" si="60"/>
        <v>49</v>
      </c>
      <c r="AR501" s="45">
        <f t="shared" si="61"/>
        <v>0</v>
      </c>
      <c r="AS501" s="45">
        <f t="shared" si="62"/>
        <v>7</v>
      </c>
      <c r="AT501" s="45">
        <f t="shared" si="63"/>
        <v>0</v>
      </c>
      <c r="AU501" s="45" t="str">
        <f>_xlfn.XLOOKUP(U501,'Lista Suspensa'!$AA$20:$AA$23,'Lista Suspensa'!$AB$20:$AB$23,"N/A")</f>
        <v>S</v>
      </c>
    </row>
    <row r="502" spans="1:47" ht="12" customHeight="1" x14ac:dyDescent="0.3">
      <c r="A502" s="87" t="s">
        <v>47</v>
      </c>
      <c r="B502" s="88">
        <v>46104</v>
      </c>
      <c r="C502" s="89" t="s">
        <v>48</v>
      </c>
      <c r="D502" s="89" t="s">
        <v>49</v>
      </c>
      <c r="E502" s="90">
        <v>89114238</v>
      </c>
      <c r="F502" s="184" t="s">
        <v>1651</v>
      </c>
      <c r="G502" s="91">
        <v>50252089553</v>
      </c>
      <c r="H502" s="92">
        <v>24953</v>
      </c>
      <c r="I502" s="89">
        <v>57</v>
      </c>
      <c r="J502" s="89" t="s">
        <v>70</v>
      </c>
      <c r="K502" s="89" t="s">
        <v>52</v>
      </c>
      <c r="L502" s="89" t="s">
        <v>53</v>
      </c>
      <c r="M502" s="89" t="s">
        <v>1652</v>
      </c>
      <c r="N502" s="89" t="s">
        <v>148</v>
      </c>
      <c r="O502" s="93" t="s">
        <v>1653</v>
      </c>
      <c r="P502" s="94" t="s">
        <v>57</v>
      </c>
      <c r="Q502" s="112" t="s">
        <v>58</v>
      </c>
      <c r="R502" s="95">
        <v>46142</v>
      </c>
      <c r="S502" s="96"/>
      <c r="T502" s="96" t="s">
        <v>59</v>
      </c>
      <c r="U502" s="96" t="s">
        <v>60</v>
      </c>
      <c r="V502" s="92">
        <v>46112</v>
      </c>
      <c r="W502" s="92" t="s">
        <v>61</v>
      </c>
      <c r="X502" s="92" t="s">
        <v>61</v>
      </c>
      <c r="Y502" s="97"/>
      <c r="Z502" s="89" t="s">
        <v>62</v>
      </c>
      <c r="AA502" s="96" t="s">
        <v>1654</v>
      </c>
      <c r="AB502" s="89" t="s">
        <v>63</v>
      </c>
      <c r="AC502" s="111"/>
      <c r="AD502" s="89" t="s">
        <v>64</v>
      </c>
      <c r="AE502" s="89">
        <v>63</v>
      </c>
      <c r="AF502" s="98" t="s">
        <v>215</v>
      </c>
      <c r="AG502" s="98"/>
      <c r="AH502" s="98" t="s">
        <v>66</v>
      </c>
      <c r="AI502" s="99" t="s">
        <v>67</v>
      </c>
      <c r="AJ502" s="99" t="s">
        <v>67</v>
      </c>
      <c r="AK502" s="99" t="s">
        <v>67</v>
      </c>
      <c r="AL502" s="45" t="s">
        <v>68</v>
      </c>
      <c r="AM502" s="162" t="str">
        <f t="shared" si="56"/>
        <v>3/2026</v>
      </c>
      <c r="AN502" s="45">
        <f t="shared" si="57"/>
        <v>4</v>
      </c>
      <c r="AO502" s="45" t="str">
        <f t="shared" si="58"/>
        <v>4/2026</v>
      </c>
      <c r="AP502" s="45">
        <f t="shared" si="59"/>
        <v>5</v>
      </c>
      <c r="AQ502" s="45">
        <f t="shared" si="60"/>
        <v>38</v>
      </c>
      <c r="AR502" s="45">
        <f t="shared" si="61"/>
        <v>0</v>
      </c>
      <c r="AS502" s="45">
        <f t="shared" si="62"/>
        <v>0</v>
      </c>
      <c r="AT502" s="45">
        <f t="shared" si="63"/>
        <v>5.5277777777810115</v>
      </c>
      <c r="AU502" s="45" t="str">
        <f>_xlfn.XLOOKUP(U502,'Lista Suspensa'!$AA$20:$AA$23,'Lista Suspensa'!$AB$20:$AB$23,"N/A")</f>
        <v>S</v>
      </c>
    </row>
    <row r="503" spans="1:47" ht="12" customHeight="1" x14ac:dyDescent="0.3">
      <c r="A503" s="87" t="s">
        <v>47</v>
      </c>
      <c r="B503" s="88">
        <v>46104</v>
      </c>
      <c r="C503" s="89" t="s">
        <v>48</v>
      </c>
      <c r="D503" s="89" t="s">
        <v>49</v>
      </c>
      <c r="E503" s="90">
        <v>83588785</v>
      </c>
      <c r="F503" s="184" t="s">
        <v>1655</v>
      </c>
      <c r="G503" s="91">
        <v>7775080795</v>
      </c>
      <c r="H503" s="92">
        <v>27654</v>
      </c>
      <c r="I503" s="89">
        <v>50</v>
      </c>
      <c r="J503" s="89" t="s">
        <v>70</v>
      </c>
      <c r="K503" s="89" t="s">
        <v>88</v>
      </c>
      <c r="L503" s="89" t="s">
        <v>89</v>
      </c>
      <c r="M503" s="89" t="s">
        <v>120</v>
      </c>
      <c r="N503" s="89" t="s">
        <v>148</v>
      </c>
      <c r="O503" s="93" t="s">
        <v>1656</v>
      </c>
      <c r="P503" s="94" t="s">
        <v>57</v>
      </c>
      <c r="Q503" s="112" t="s">
        <v>58</v>
      </c>
      <c r="R503" s="95">
        <v>46142</v>
      </c>
      <c r="S503" s="96"/>
      <c r="T503" s="96" t="s">
        <v>59</v>
      </c>
      <c r="U503" s="96" t="s">
        <v>60</v>
      </c>
      <c r="V503" s="92">
        <v>46147</v>
      </c>
      <c r="W503" s="92">
        <v>46154</v>
      </c>
      <c r="X503" s="92" t="s">
        <v>61</v>
      </c>
      <c r="Y503" s="97"/>
      <c r="Z503" s="89" t="s">
        <v>62</v>
      </c>
      <c r="AA503" s="96" t="s">
        <v>1657</v>
      </c>
      <c r="AB503" s="89" t="s">
        <v>80</v>
      </c>
      <c r="AC503" s="111"/>
      <c r="AD503" s="89"/>
      <c r="AE503" s="89"/>
      <c r="AF503" s="98"/>
      <c r="AG503" s="98"/>
      <c r="AH503" s="98"/>
      <c r="AI503" s="99" t="s">
        <v>67</v>
      </c>
      <c r="AJ503" s="99" t="s">
        <v>67</v>
      </c>
      <c r="AK503" s="99" t="s">
        <v>67</v>
      </c>
      <c r="AL503" s="45" t="s">
        <v>68</v>
      </c>
      <c r="AM503" s="162" t="str">
        <f t="shared" si="56"/>
        <v>3/2026</v>
      </c>
      <c r="AN503" s="45">
        <f t="shared" si="57"/>
        <v>4</v>
      </c>
      <c r="AO503" s="45" t="str">
        <f t="shared" si="58"/>
        <v>4/2026</v>
      </c>
      <c r="AP503" s="45">
        <f t="shared" si="59"/>
        <v>5</v>
      </c>
      <c r="AQ503" s="45">
        <f t="shared" si="60"/>
        <v>38</v>
      </c>
      <c r="AR503" s="45">
        <f t="shared" si="61"/>
        <v>0</v>
      </c>
      <c r="AS503" s="45">
        <f t="shared" si="62"/>
        <v>7</v>
      </c>
      <c r="AT503" s="45">
        <f t="shared" si="63"/>
        <v>0</v>
      </c>
      <c r="AU503" s="45" t="str">
        <f>_xlfn.XLOOKUP(U503,'Lista Suspensa'!$AA$20:$AA$23,'Lista Suspensa'!$AB$20:$AB$23,"N/A")</f>
        <v>S</v>
      </c>
    </row>
    <row r="504" spans="1:47" ht="12" customHeight="1" x14ac:dyDescent="0.3">
      <c r="A504" s="87" t="s">
        <v>47</v>
      </c>
      <c r="B504" s="88">
        <v>46104</v>
      </c>
      <c r="C504" s="89" t="s">
        <v>48</v>
      </c>
      <c r="D504" s="89" t="s">
        <v>49</v>
      </c>
      <c r="E504" s="90">
        <v>81009012</v>
      </c>
      <c r="F504" s="184" t="s">
        <v>1658</v>
      </c>
      <c r="G504" s="91">
        <v>955461707</v>
      </c>
      <c r="H504" s="92">
        <v>25408</v>
      </c>
      <c r="I504" s="89">
        <v>56</v>
      </c>
      <c r="J504" s="89" t="s">
        <v>51</v>
      </c>
      <c r="K504" s="89" t="s">
        <v>88</v>
      </c>
      <c r="L504" s="89" t="s">
        <v>89</v>
      </c>
      <c r="M504" s="89" t="s">
        <v>1659</v>
      </c>
      <c r="N504" s="89" t="s">
        <v>148</v>
      </c>
      <c r="O504" s="93" t="s">
        <v>1660</v>
      </c>
      <c r="P504" s="94" t="s">
        <v>57</v>
      </c>
      <c r="Q504" s="112" t="s">
        <v>58</v>
      </c>
      <c r="R504" s="95">
        <v>46142</v>
      </c>
      <c r="S504" s="96"/>
      <c r="T504" s="96" t="s">
        <v>59</v>
      </c>
      <c r="U504" s="96" t="s">
        <v>60</v>
      </c>
      <c r="V504" s="92">
        <v>46142</v>
      </c>
      <c r="W504" s="92" t="s">
        <v>61</v>
      </c>
      <c r="X504" s="92" t="s">
        <v>61</v>
      </c>
      <c r="Y504" s="97"/>
      <c r="Z504" s="89" t="s">
        <v>62</v>
      </c>
      <c r="AA504" s="96" t="s">
        <v>1661</v>
      </c>
      <c r="AB504" s="89" t="s">
        <v>63</v>
      </c>
      <c r="AC504" s="111"/>
      <c r="AD504" s="89" t="s">
        <v>86</v>
      </c>
      <c r="AE504" s="89">
        <v>53</v>
      </c>
      <c r="AF504" s="98" t="s">
        <v>138</v>
      </c>
      <c r="AG504" s="98"/>
      <c r="AH504" s="98" t="s">
        <v>66</v>
      </c>
      <c r="AI504" s="99" t="s">
        <v>67</v>
      </c>
      <c r="AJ504" s="99" t="s">
        <v>67</v>
      </c>
      <c r="AK504" s="99" t="s">
        <v>67</v>
      </c>
      <c r="AL504" s="45" t="s">
        <v>68</v>
      </c>
      <c r="AM504" s="162" t="str">
        <f t="shared" si="56"/>
        <v>3/2026</v>
      </c>
      <c r="AN504" s="45">
        <f t="shared" si="57"/>
        <v>4</v>
      </c>
      <c r="AO504" s="45" t="str">
        <f t="shared" si="58"/>
        <v>4/2026</v>
      </c>
      <c r="AP504" s="45">
        <f t="shared" si="59"/>
        <v>5</v>
      </c>
      <c r="AQ504" s="45">
        <f t="shared" si="60"/>
        <v>38</v>
      </c>
      <c r="AR504" s="45">
        <f t="shared" si="61"/>
        <v>0</v>
      </c>
      <c r="AS504" s="45">
        <f t="shared" si="62"/>
        <v>0</v>
      </c>
      <c r="AT504" s="45">
        <f t="shared" si="63"/>
        <v>5.5833333333357587</v>
      </c>
      <c r="AU504" s="45" t="str">
        <f>_xlfn.XLOOKUP(U504,'Lista Suspensa'!$AA$20:$AA$23,'Lista Suspensa'!$AB$20:$AB$23,"N/A")</f>
        <v>S</v>
      </c>
    </row>
    <row r="505" spans="1:47" ht="12" customHeight="1" x14ac:dyDescent="0.3">
      <c r="A505" s="87" t="s">
        <v>47</v>
      </c>
      <c r="B505" s="88">
        <v>46104</v>
      </c>
      <c r="C505" s="89" t="s">
        <v>48</v>
      </c>
      <c r="D505" s="89" t="s">
        <v>49</v>
      </c>
      <c r="E505" s="90">
        <v>81522577</v>
      </c>
      <c r="F505" s="184" t="s">
        <v>1662</v>
      </c>
      <c r="G505" s="91">
        <v>5434869745</v>
      </c>
      <c r="H505" s="92">
        <v>28738</v>
      </c>
      <c r="I505" s="89">
        <v>47</v>
      </c>
      <c r="J505" s="89" t="s">
        <v>70</v>
      </c>
      <c r="K505" s="89" t="s">
        <v>88</v>
      </c>
      <c r="L505" s="89" t="s">
        <v>89</v>
      </c>
      <c r="M505" s="89" t="s">
        <v>597</v>
      </c>
      <c r="N505" s="89" t="s">
        <v>148</v>
      </c>
      <c r="O505" s="93" t="s">
        <v>1663</v>
      </c>
      <c r="P505" s="94" t="s">
        <v>57</v>
      </c>
      <c r="Q505" s="112" t="s">
        <v>58</v>
      </c>
      <c r="R505" s="95">
        <v>46142</v>
      </c>
      <c r="S505" s="96"/>
      <c r="T505" s="96" t="s">
        <v>59</v>
      </c>
      <c r="U505" s="96" t="s">
        <v>60</v>
      </c>
      <c r="V505" s="92">
        <v>46142</v>
      </c>
      <c r="W505" s="92">
        <v>46147</v>
      </c>
      <c r="X505" s="92" t="s">
        <v>61</v>
      </c>
      <c r="Y505" s="97"/>
      <c r="Z505" s="89" t="s">
        <v>62</v>
      </c>
      <c r="AA505" s="96" t="s">
        <v>1664</v>
      </c>
      <c r="AB505" s="89" t="s">
        <v>118</v>
      </c>
      <c r="AC505" s="111"/>
      <c r="AD505" s="89"/>
      <c r="AE505" s="89"/>
      <c r="AF505" s="98"/>
      <c r="AG505" s="98"/>
      <c r="AH505" s="98"/>
      <c r="AI505" s="99" t="s">
        <v>67</v>
      </c>
      <c r="AJ505" s="99" t="s">
        <v>67</v>
      </c>
      <c r="AK505" s="99" t="s">
        <v>67</v>
      </c>
      <c r="AL505" s="45" t="s">
        <v>68</v>
      </c>
      <c r="AM505" s="162" t="str">
        <f t="shared" si="56"/>
        <v>3/2026</v>
      </c>
      <c r="AN505" s="45">
        <f t="shared" si="57"/>
        <v>4</v>
      </c>
      <c r="AO505" s="45" t="str">
        <f t="shared" si="58"/>
        <v>4/2026</v>
      </c>
      <c r="AP505" s="45">
        <f t="shared" si="59"/>
        <v>5</v>
      </c>
      <c r="AQ505" s="45">
        <f t="shared" si="60"/>
        <v>38</v>
      </c>
      <c r="AR505" s="45">
        <f t="shared" si="61"/>
        <v>0</v>
      </c>
      <c r="AS505" s="45">
        <f t="shared" si="62"/>
        <v>5</v>
      </c>
      <c r="AT505" s="45">
        <f t="shared" si="63"/>
        <v>0</v>
      </c>
      <c r="AU505" s="45" t="str">
        <f>_xlfn.XLOOKUP(U505,'Lista Suspensa'!$AA$20:$AA$23,'Lista Suspensa'!$AB$20:$AB$23,"N/A")</f>
        <v>S</v>
      </c>
    </row>
    <row r="506" spans="1:47" ht="12" customHeight="1" x14ac:dyDescent="0.3">
      <c r="A506" s="87" t="s">
        <v>47</v>
      </c>
      <c r="B506" s="88">
        <v>46104</v>
      </c>
      <c r="C506" s="89" t="s">
        <v>48</v>
      </c>
      <c r="D506" s="89" t="s">
        <v>49</v>
      </c>
      <c r="E506" s="90">
        <v>79115473</v>
      </c>
      <c r="F506" s="184" t="s">
        <v>1665</v>
      </c>
      <c r="G506" s="91">
        <v>5457903796</v>
      </c>
      <c r="H506" s="92">
        <v>15323</v>
      </c>
      <c r="I506" s="89">
        <v>84</v>
      </c>
      <c r="J506" s="89" t="s">
        <v>70</v>
      </c>
      <c r="K506" s="89" t="s">
        <v>88</v>
      </c>
      <c r="L506" s="89" t="s">
        <v>89</v>
      </c>
      <c r="M506" s="89" t="s">
        <v>1666</v>
      </c>
      <c r="N506" s="89" t="s">
        <v>148</v>
      </c>
      <c r="O506" s="93" t="s">
        <v>1667</v>
      </c>
      <c r="P506" s="94" t="s">
        <v>57</v>
      </c>
      <c r="Q506" s="112" t="s">
        <v>58</v>
      </c>
      <c r="R506" s="95">
        <v>46117</v>
      </c>
      <c r="S506" s="96"/>
      <c r="T506" s="96" t="s">
        <v>59</v>
      </c>
      <c r="U506" s="96" t="s">
        <v>60</v>
      </c>
      <c r="V506" s="92">
        <v>46147</v>
      </c>
      <c r="W506" s="92">
        <v>46149</v>
      </c>
      <c r="X506" s="92" t="s">
        <v>61</v>
      </c>
      <c r="Y506" s="97"/>
      <c r="Z506" s="89" t="s">
        <v>62</v>
      </c>
      <c r="AA506" s="96" t="s">
        <v>1668</v>
      </c>
      <c r="AB506" s="89" t="s">
        <v>63</v>
      </c>
      <c r="AC506" s="111"/>
      <c r="AD506" s="89" t="s">
        <v>64</v>
      </c>
      <c r="AE506" s="89">
        <v>66</v>
      </c>
      <c r="AF506" s="98"/>
      <c r="AG506" s="98"/>
      <c r="AH506" s="98"/>
      <c r="AI506" s="99" t="s">
        <v>197</v>
      </c>
      <c r="AJ506" s="99" t="s">
        <v>197</v>
      </c>
      <c r="AK506" s="99" t="s">
        <v>67</v>
      </c>
      <c r="AL506" s="45" t="s">
        <v>68</v>
      </c>
      <c r="AM506" s="162" t="str">
        <f t="shared" si="56"/>
        <v>3/2026</v>
      </c>
      <c r="AN506" s="45">
        <f t="shared" si="57"/>
        <v>4</v>
      </c>
      <c r="AO506" s="45" t="str">
        <f t="shared" si="58"/>
        <v>4/2026</v>
      </c>
      <c r="AP506" s="45">
        <f t="shared" si="59"/>
        <v>2</v>
      </c>
      <c r="AQ506" s="45">
        <f t="shared" si="60"/>
        <v>13</v>
      </c>
      <c r="AR506" s="45">
        <f t="shared" si="61"/>
        <v>0</v>
      </c>
      <c r="AS506" s="45">
        <f t="shared" si="62"/>
        <v>2</v>
      </c>
      <c r="AT506" s="45">
        <f t="shared" si="63"/>
        <v>32.680555555554747</v>
      </c>
      <c r="AU506" s="45" t="str">
        <f>_xlfn.XLOOKUP(U506,'Lista Suspensa'!$AA$20:$AA$23,'Lista Suspensa'!$AB$20:$AB$23,"N/A")</f>
        <v>S</v>
      </c>
    </row>
    <row r="507" spans="1:47" ht="12" customHeight="1" x14ac:dyDescent="0.3">
      <c r="A507" s="87" t="s">
        <v>47</v>
      </c>
      <c r="B507" s="88">
        <v>46104</v>
      </c>
      <c r="C507" s="89" t="s">
        <v>48</v>
      </c>
      <c r="D507" s="89" t="s">
        <v>49</v>
      </c>
      <c r="E507" s="90">
        <v>89187739</v>
      </c>
      <c r="F507" s="184" t="s">
        <v>1669</v>
      </c>
      <c r="G507" s="91">
        <v>83725458804</v>
      </c>
      <c r="H507" s="92">
        <v>21064</v>
      </c>
      <c r="I507" s="89">
        <v>68</v>
      </c>
      <c r="J507" s="89" t="s">
        <v>51</v>
      </c>
      <c r="K507" s="89" t="s">
        <v>52</v>
      </c>
      <c r="L507" s="89" t="s">
        <v>53</v>
      </c>
      <c r="M507" s="89" t="s">
        <v>280</v>
      </c>
      <c r="N507" s="89" t="s">
        <v>148</v>
      </c>
      <c r="O507" s="93" t="s">
        <v>1670</v>
      </c>
      <c r="P507" s="94" t="s">
        <v>57</v>
      </c>
      <c r="Q507" s="112" t="s">
        <v>58</v>
      </c>
      <c r="R507" s="95">
        <v>46147</v>
      </c>
      <c r="S507" s="96"/>
      <c r="T507" s="96" t="s">
        <v>59</v>
      </c>
      <c r="U507" s="96" t="s">
        <v>60</v>
      </c>
      <c r="V507" s="92">
        <v>46147</v>
      </c>
      <c r="W507" s="92" t="s">
        <v>61</v>
      </c>
      <c r="X507" s="92" t="s">
        <v>61</v>
      </c>
      <c r="Y507" s="97"/>
      <c r="Z507" s="89" t="s">
        <v>62</v>
      </c>
      <c r="AA507" s="96" t="s">
        <v>1249</v>
      </c>
      <c r="AB507" s="89" t="s">
        <v>80</v>
      </c>
      <c r="AC507" s="111"/>
      <c r="AD507" s="89"/>
      <c r="AE507" s="89"/>
      <c r="AF507" s="98"/>
      <c r="AG507" s="98"/>
      <c r="AH507" s="98"/>
      <c r="AI507" s="99" t="s">
        <v>197</v>
      </c>
      <c r="AJ507" s="99" t="s">
        <v>197</v>
      </c>
      <c r="AK507" s="99" t="s">
        <v>67</v>
      </c>
      <c r="AL507" s="45" t="s">
        <v>68</v>
      </c>
      <c r="AM507" s="162" t="str">
        <f t="shared" si="56"/>
        <v>3/2026</v>
      </c>
      <c r="AN507" s="45">
        <f t="shared" si="57"/>
        <v>4</v>
      </c>
      <c r="AO507" s="45" t="str">
        <f t="shared" si="58"/>
        <v>5/2026</v>
      </c>
      <c r="AP507" s="45">
        <f t="shared" si="59"/>
        <v>2</v>
      </c>
      <c r="AQ507" s="45">
        <f t="shared" si="60"/>
        <v>43</v>
      </c>
      <c r="AR507" s="45">
        <f t="shared" si="61"/>
        <v>0</v>
      </c>
      <c r="AS507" s="45">
        <f t="shared" si="62"/>
        <v>0</v>
      </c>
      <c r="AT507" s="45">
        <f t="shared" si="63"/>
        <v>0</v>
      </c>
      <c r="AU507" s="45" t="str">
        <f>_xlfn.XLOOKUP(U507,'Lista Suspensa'!$AA$20:$AA$23,'Lista Suspensa'!$AB$20:$AB$23,"N/A")</f>
        <v>S</v>
      </c>
    </row>
    <row r="508" spans="1:47" ht="12" customHeight="1" x14ac:dyDescent="0.3">
      <c r="A508" s="87" t="s">
        <v>47</v>
      </c>
      <c r="B508" s="88">
        <v>46104</v>
      </c>
      <c r="C508" s="89" t="s">
        <v>48</v>
      </c>
      <c r="D508" s="89" t="s">
        <v>49</v>
      </c>
      <c r="E508" s="90">
        <v>84246270</v>
      </c>
      <c r="F508" s="184" t="s">
        <v>1671</v>
      </c>
      <c r="G508" s="91">
        <v>54874807704</v>
      </c>
      <c r="H508" s="92">
        <v>21904</v>
      </c>
      <c r="I508" s="89">
        <v>66</v>
      </c>
      <c r="J508" s="89" t="s">
        <v>51</v>
      </c>
      <c r="K508" s="89" t="s">
        <v>52</v>
      </c>
      <c r="L508" s="89" t="s">
        <v>53</v>
      </c>
      <c r="M508" s="89" t="s">
        <v>151</v>
      </c>
      <c r="N508" s="89" t="s">
        <v>148</v>
      </c>
      <c r="O508" s="93" t="s">
        <v>1672</v>
      </c>
      <c r="P508" s="94" t="s">
        <v>57</v>
      </c>
      <c r="Q508" s="112" t="s">
        <v>58</v>
      </c>
      <c r="R508" s="95">
        <v>46147</v>
      </c>
      <c r="S508" s="96"/>
      <c r="T508" s="96" t="s">
        <v>59</v>
      </c>
      <c r="U508" s="96" t="s">
        <v>60</v>
      </c>
      <c r="V508" s="92">
        <v>46147</v>
      </c>
      <c r="W508" s="92" t="s">
        <v>61</v>
      </c>
      <c r="X508" s="92" t="s">
        <v>61</v>
      </c>
      <c r="Y508" s="97"/>
      <c r="Z508" s="89" t="s">
        <v>62</v>
      </c>
      <c r="AA508" s="96" t="s">
        <v>1673</v>
      </c>
      <c r="AB508" s="89" t="s">
        <v>80</v>
      </c>
      <c r="AC508" s="111"/>
      <c r="AD508" s="89"/>
      <c r="AE508" s="89"/>
      <c r="AF508" s="98"/>
      <c r="AG508" s="98"/>
      <c r="AH508" s="98"/>
      <c r="AI508" s="99" t="s">
        <v>197</v>
      </c>
      <c r="AJ508" s="99" t="s">
        <v>197</v>
      </c>
      <c r="AK508" s="99" t="s">
        <v>67</v>
      </c>
      <c r="AL508" s="45" t="s">
        <v>68</v>
      </c>
      <c r="AM508" s="162" t="str">
        <f t="shared" si="56"/>
        <v>3/2026</v>
      </c>
      <c r="AN508" s="45">
        <f t="shared" si="57"/>
        <v>4</v>
      </c>
      <c r="AO508" s="45" t="str">
        <f t="shared" si="58"/>
        <v>5/2026</v>
      </c>
      <c r="AP508" s="45">
        <f t="shared" si="59"/>
        <v>2</v>
      </c>
      <c r="AQ508" s="45">
        <f t="shared" si="60"/>
        <v>43</v>
      </c>
      <c r="AR508" s="45">
        <f t="shared" si="61"/>
        <v>0</v>
      </c>
      <c r="AS508" s="45">
        <f t="shared" si="62"/>
        <v>0</v>
      </c>
      <c r="AT508" s="45">
        <f t="shared" si="63"/>
        <v>0</v>
      </c>
      <c r="AU508" s="45" t="str">
        <f>_xlfn.XLOOKUP(U508,'Lista Suspensa'!$AA$20:$AA$23,'Lista Suspensa'!$AB$20:$AB$23,"N/A")</f>
        <v>S</v>
      </c>
    </row>
    <row r="509" spans="1:47" ht="12" customHeight="1" x14ac:dyDescent="0.3">
      <c r="A509" s="87" t="s">
        <v>47</v>
      </c>
      <c r="B509" s="88">
        <v>46104</v>
      </c>
      <c r="C509" s="89" t="s">
        <v>48</v>
      </c>
      <c r="D509" s="89" t="s">
        <v>49</v>
      </c>
      <c r="E509" s="90">
        <v>92930663</v>
      </c>
      <c r="F509" s="184" t="s">
        <v>1674</v>
      </c>
      <c r="G509" s="91">
        <v>31872076858</v>
      </c>
      <c r="H509" s="92">
        <v>28211</v>
      </c>
      <c r="I509" s="89">
        <v>48</v>
      </c>
      <c r="J509" s="89" t="s">
        <v>70</v>
      </c>
      <c r="K509" s="89" t="s">
        <v>52</v>
      </c>
      <c r="L509" s="89" t="s">
        <v>53</v>
      </c>
      <c r="M509" s="89" t="s">
        <v>1675</v>
      </c>
      <c r="N509" s="89" t="s">
        <v>148</v>
      </c>
      <c r="O509" s="93" t="s">
        <v>1676</v>
      </c>
      <c r="P509" s="94" t="s">
        <v>57</v>
      </c>
      <c r="Q509" s="112" t="s">
        <v>58</v>
      </c>
      <c r="R509" s="95">
        <v>46117</v>
      </c>
      <c r="S509" s="96"/>
      <c r="T509" s="96" t="s">
        <v>59</v>
      </c>
      <c r="U509" s="96" t="s">
        <v>60</v>
      </c>
      <c r="V509" s="92">
        <v>46142</v>
      </c>
      <c r="W509" s="92" t="s">
        <v>61</v>
      </c>
      <c r="X509" s="92" t="s">
        <v>61</v>
      </c>
      <c r="Y509" s="97"/>
      <c r="Z509" s="89" t="s">
        <v>62</v>
      </c>
      <c r="AA509" s="96">
        <v>46160</v>
      </c>
      <c r="AB509" s="89" t="s">
        <v>80</v>
      </c>
      <c r="AC509" s="111"/>
      <c r="AD509" s="89"/>
      <c r="AE509" s="89"/>
      <c r="AF509" s="98"/>
      <c r="AG509" s="98"/>
      <c r="AH509" s="98"/>
      <c r="AI509" s="99" t="s">
        <v>197</v>
      </c>
      <c r="AJ509" s="99" t="s">
        <v>197</v>
      </c>
      <c r="AK509" s="99" t="s">
        <v>67</v>
      </c>
      <c r="AL509" s="45" t="s">
        <v>68</v>
      </c>
      <c r="AM509" s="162" t="str">
        <f t="shared" si="56"/>
        <v>3/2026</v>
      </c>
      <c r="AN509" s="45">
        <f t="shared" si="57"/>
        <v>4</v>
      </c>
      <c r="AO509" s="45" t="str">
        <f t="shared" si="58"/>
        <v>4/2026</v>
      </c>
      <c r="AP509" s="45">
        <f t="shared" si="59"/>
        <v>2</v>
      </c>
      <c r="AQ509" s="45">
        <f t="shared" si="60"/>
        <v>13</v>
      </c>
      <c r="AR509" s="45">
        <f t="shared" si="61"/>
        <v>0</v>
      </c>
      <c r="AS509" s="45">
        <f t="shared" si="62"/>
        <v>0</v>
      </c>
      <c r="AT509" s="45">
        <f t="shared" si="63"/>
        <v>0</v>
      </c>
      <c r="AU509" s="45" t="str">
        <f>_xlfn.XLOOKUP(U509,'Lista Suspensa'!$AA$20:$AA$23,'Lista Suspensa'!$AB$20:$AB$23,"N/A")</f>
        <v>S</v>
      </c>
    </row>
    <row r="510" spans="1:47" ht="12" customHeight="1" x14ac:dyDescent="0.3">
      <c r="A510" s="87" t="s">
        <v>47</v>
      </c>
      <c r="B510" s="88">
        <v>46104</v>
      </c>
      <c r="C510" s="89" t="s">
        <v>48</v>
      </c>
      <c r="D510" s="89" t="s">
        <v>49</v>
      </c>
      <c r="E510" s="90">
        <v>79882239</v>
      </c>
      <c r="F510" s="184" t="s">
        <v>1677</v>
      </c>
      <c r="G510" s="91">
        <v>24660833534</v>
      </c>
      <c r="H510" s="92">
        <v>21567</v>
      </c>
      <c r="I510" s="89">
        <v>67</v>
      </c>
      <c r="J510" s="89" t="s">
        <v>70</v>
      </c>
      <c r="K510" s="89" t="s">
        <v>52</v>
      </c>
      <c r="L510" s="89" t="s">
        <v>53</v>
      </c>
      <c r="M510" s="89" t="s">
        <v>908</v>
      </c>
      <c r="N510" s="89" t="s">
        <v>148</v>
      </c>
      <c r="O510" s="93" t="s">
        <v>1678</v>
      </c>
      <c r="P510" s="94" t="s">
        <v>57</v>
      </c>
      <c r="Q510" s="112" t="s">
        <v>58</v>
      </c>
      <c r="R510" s="95">
        <v>46153</v>
      </c>
      <c r="S510" s="96"/>
      <c r="T510" s="96" t="s">
        <v>59</v>
      </c>
      <c r="U510" s="96" t="s">
        <v>60</v>
      </c>
      <c r="V510" s="92">
        <v>46142</v>
      </c>
      <c r="W510" s="92">
        <v>46154</v>
      </c>
      <c r="X510" s="92" t="s">
        <v>61</v>
      </c>
      <c r="Y510" s="97"/>
      <c r="Z510" s="89" t="s">
        <v>62</v>
      </c>
      <c r="AA510" s="96">
        <v>46161.694444444445</v>
      </c>
      <c r="AB510" s="89" t="s">
        <v>80</v>
      </c>
      <c r="AC510" s="111"/>
      <c r="AD510" s="89"/>
      <c r="AE510" s="89"/>
      <c r="AF510" s="98"/>
      <c r="AG510" s="98"/>
      <c r="AH510" s="98"/>
      <c r="AI510" s="99" t="s">
        <v>197</v>
      </c>
      <c r="AJ510" s="99" t="s">
        <v>197</v>
      </c>
      <c r="AK510" s="99" t="s">
        <v>67</v>
      </c>
      <c r="AL510" s="45" t="s">
        <v>68</v>
      </c>
      <c r="AM510" s="162" t="str">
        <f t="shared" si="56"/>
        <v>3/2026</v>
      </c>
      <c r="AN510" s="45">
        <f t="shared" si="57"/>
        <v>4</v>
      </c>
      <c r="AO510" s="45" t="str">
        <f t="shared" si="58"/>
        <v>5/2026</v>
      </c>
      <c r="AP510" s="45">
        <f t="shared" si="59"/>
        <v>3</v>
      </c>
      <c r="AQ510" s="45">
        <f t="shared" si="60"/>
        <v>49</v>
      </c>
      <c r="AR510" s="45">
        <f t="shared" si="61"/>
        <v>0</v>
      </c>
      <c r="AS510" s="45">
        <f t="shared" si="62"/>
        <v>12</v>
      </c>
      <c r="AT510" s="45">
        <f t="shared" si="63"/>
        <v>0</v>
      </c>
      <c r="AU510" s="45" t="str">
        <f>_xlfn.XLOOKUP(U510,'Lista Suspensa'!$AA$20:$AA$23,'Lista Suspensa'!$AB$20:$AB$23,"N/A")</f>
        <v>S</v>
      </c>
    </row>
    <row r="511" spans="1:47" ht="12" customHeight="1" x14ac:dyDescent="0.3">
      <c r="A511" s="87" t="s">
        <v>47</v>
      </c>
      <c r="B511" s="88">
        <v>46104</v>
      </c>
      <c r="C511" s="89" t="s">
        <v>48</v>
      </c>
      <c r="D511" s="89" t="s">
        <v>49</v>
      </c>
      <c r="E511" s="90">
        <v>84994038</v>
      </c>
      <c r="F511" s="184" t="s">
        <v>1679</v>
      </c>
      <c r="G511" s="91">
        <v>8332011744</v>
      </c>
      <c r="H511" s="92">
        <v>28734</v>
      </c>
      <c r="I511" s="89">
        <v>47</v>
      </c>
      <c r="J511" s="89" t="s">
        <v>51</v>
      </c>
      <c r="K511" s="89" t="s">
        <v>88</v>
      </c>
      <c r="L511" s="89" t="s">
        <v>89</v>
      </c>
      <c r="M511" s="89" t="s">
        <v>1282</v>
      </c>
      <c r="N511" s="89" t="s">
        <v>148</v>
      </c>
      <c r="O511" s="93" t="s">
        <v>1680</v>
      </c>
      <c r="P511" s="94" t="s">
        <v>57</v>
      </c>
      <c r="Q511" s="112" t="s">
        <v>58</v>
      </c>
      <c r="R511" s="95">
        <v>46142</v>
      </c>
      <c r="S511" s="96"/>
      <c r="T511" s="96" t="s">
        <v>59</v>
      </c>
      <c r="U511" s="96" t="s">
        <v>60</v>
      </c>
      <c r="V511" s="92">
        <v>46142</v>
      </c>
      <c r="W511" s="92" t="s">
        <v>61</v>
      </c>
      <c r="X511" s="92" t="s">
        <v>61</v>
      </c>
      <c r="Y511" s="97"/>
      <c r="Z511" s="89" t="s">
        <v>62</v>
      </c>
      <c r="AA511" s="96" t="s">
        <v>1421</v>
      </c>
      <c r="AB511" s="89" t="s">
        <v>80</v>
      </c>
      <c r="AC511" s="111"/>
      <c r="AD511" s="89"/>
      <c r="AE511" s="89"/>
      <c r="AF511" s="98"/>
      <c r="AG511" s="98"/>
      <c r="AH511" s="98"/>
      <c r="AI511" s="99" t="s">
        <v>67</v>
      </c>
      <c r="AJ511" s="99" t="s">
        <v>67</v>
      </c>
      <c r="AK511" s="99" t="s">
        <v>67</v>
      </c>
      <c r="AL511" s="45" t="s">
        <v>68</v>
      </c>
      <c r="AM511" s="162" t="str">
        <f t="shared" si="56"/>
        <v>3/2026</v>
      </c>
      <c r="AN511" s="45">
        <f t="shared" si="57"/>
        <v>4</v>
      </c>
      <c r="AO511" s="45" t="str">
        <f t="shared" si="58"/>
        <v>4/2026</v>
      </c>
      <c r="AP511" s="45">
        <f t="shared" si="59"/>
        <v>5</v>
      </c>
      <c r="AQ511" s="45">
        <f t="shared" si="60"/>
        <v>38</v>
      </c>
      <c r="AR511" s="45">
        <f t="shared" si="61"/>
        <v>0</v>
      </c>
      <c r="AS511" s="45">
        <f t="shared" si="62"/>
        <v>0</v>
      </c>
      <c r="AT511" s="45">
        <f t="shared" si="63"/>
        <v>0</v>
      </c>
      <c r="AU511" s="45" t="str">
        <f>_xlfn.XLOOKUP(U511,'Lista Suspensa'!$AA$20:$AA$23,'Lista Suspensa'!$AB$20:$AB$23,"N/A")</f>
        <v>S</v>
      </c>
    </row>
    <row r="512" spans="1:47" ht="12" customHeight="1" x14ac:dyDescent="0.3">
      <c r="A512" s="87" t="s">
        <v>47</v>
      </c>
      <c r="B512" s="88">
        <v>46104</v>
      </c>
      <c r="C512" s="89" t="s">
        <v>48</v>
      </c>
      <c r="D512" s="89" t="s">
        <v>49</v>
      </c>
      <c r="E512" s="90">
        <v>82870996</v>
      </c>
      <c r="F512" s="184" t="s">
        <v>1681</v>
      </c>
      <c r="G512" s="91">
        <v>4841786791</v>
      </c>
      <c r="H512" s="92">
        <v>15805</v>
      </c>
      <c r="I512" s="89">
        <v>82</v>
      </c>
      <c r="J512" s="89" t="s">
        <v>51</v>
      </c>
      <c r="K512" s="89" t="s">
        <v>88</v>
      </c>
      <c r="L512" s="89" t="s">
        <v>454</v>
      </c>
      <c r="M512" s="89" t="s">
        <v>1682</v>
      </c>
      <c r="N512" s="89" t="s">
        <v>148</v>
      </c>
      <c r="O512" s="93" t="s">
        <v>1683</v>
      </c>
      <c r="P512" s="94" t="s">
        <v>57</v>
      </c>
      <c r="Q512" s="112" t="s">
        <v>58</v>
      </c>
      <c r="R512" s="95">
        <v>46142</v>
      </c>
      <c r="S512" s="96"/>
      <c r="T512" s="96" t="s">
        <v>59</v>
      </c>
      <c r="U512" s="96" t="s">
        <v>60</v>
      </c>
      <c r="V512" s="92">
        <v>46142</v>
      </c>
      <c r="W512" s="92">
        <v>46149</v>
      </c>
      <c r="X512" s="92" t="s">
        <v>61</v>
      </c>
      <c r="Y512" s="97"/>
      <c r="Z512" s="89" t="s">
        <v>62</v>
      </c>
      <c r="AA512" s="96" t="s">
        <v>828</v>
      </c>
      <c r="AB512" s="89" t="s">
        <v>63</v>
      </c>
      <c r="AC512" s="111">
        <v>46149</v>
      </c>
      <c r="AD512" s="89"/>
      <c r="AE512" s="89"/>
      <c r="AF512" s="98"/>
      <c r="AG512" s="98"/>
      <c r="AH512" s="98"/>
      <c r="AI512" s="99" t="s">
        <v>67</v>
      </c>
      <c r="AJ512" s="99" t="s">
        <v>67</v>
      </c>
      <c r="AK512" s="99" t="s">
        <v>67</v>
      </c>
      <c r="AL512" s="45" t="s">
        <v>68</v>
      </c>
      <c r="AM512" s="162" t="str">
        <f t="shared" si="56"/>
        <v>3/2026</v>
      </c>
      <c r="AN512" s="45">
        <f t="shared" si="57"/>
        <v>4</v>
      </c>
      <c r="AO512" s="45" t="str">
        <f t="shared" si="58"/>
        <v>4/2026</v>
      </c>
      <c r="AP512" s="45">
        <f t="shared" si="59"/>
        <v>5</v>
      </c>
      <c r="AQ512" s="45">
        <f t="shared" si="60"/>
        <v>38</v>
      </c>
      <c r="AR512" s="45">
        <f t="shared" si="61"/>
        <v>0</v>
      </c>
      <c r="AS512" s="45">
        <f t="shared" si="62"/>
        <v>7</v>
      </c>
      <c r="AT512" s="45">
        <f t="shared" si="63"/>
        <v>5.4722222222189885</v>
      </c>
      <c r="AU512" s="45" t="str">
        <f>_xlfn.XLOOKUP(U512,'Lista Suspensa'!$AA$20:$AA$23,'Lista Suspensa'!$AB$20:$AB$23,"N/A")</f>
        <v>S</v>
      </c>
    </row>
    <row r="513" spans="1:47" ht="12" customHeight="1" x14ac:dyDescent="0.3">
      <c r="A513" s="87" t="s">
        <v>47</v>
      </c>
      <c r="B513" s="88">
        <v>46104</v>
      </c>
      <c r="C513" s="89" t="s">
        <v>48</v>
      </c>
      <c r="D513" s="89" t="s">
        <v>49</v>
      </c>
      <c r="E513" s="90">
        <v>84940610</v>
      </c>
      <c r="F513" s="184" t="s">
        <v>1684</v>
      </c>
      <c r="G513" s="91">
        <v>12431962709</v>
      </c>
      <c r="H513" s="92">
        <v>31482</v>
      </c>
      <c r="I513" s="89">
        <v>40</v>
      </c>
      <c r="J513" s="89" t="s">
        <v>51</v>
      </c>
      <c r="K513" s="89" t="s">
        <v>88</v>
      </c>
      <c r="L513" s="89" t="s">
        <v>867</v>
      </c>
      <c r="M513" s="89" t="s">
        <v>240</v>
      </c>
      <c r="N513" s="89" t="s">
        <v>148</v>
      </c>
      <c r="O513" s="93" t="s">
        <v>1685</v>
      </c>
      <c r="P513" s="94" t="s">
        <v>57</v>
      </c>
      <c r="Q513" s="112" t="s">
        <v>58</v>
      </c>
      <c r="R513" s="95">
        <v>46171</v>
      </c>
      <c r="S513" s="96"/>
      <c r="T513" s="96" t="s">
        <v>59</v>
      </c>
      <c r="U513" s="96" t="s">
        <v>60</v>
      </c>
      <c r="V513" s="92">
        <v>46112</v>
      </c>
      <c r="W513" s="92">
        <v>46142</v>
      </c>
      <c r="X513" s="92">
        <v>46154</v>
      </c>
      <c r="Y513" s="97"/>
      <c r="Z513" s="89" t="s">
        <v>62</v>
      </c>
      <c r="AA513" s="96">
        <v>46175</v>
      </c>
      <c r="AB513" s="89" t="s">
        <v>80</v>
      </c>
      <c r="AC513" s="111"/>
      <c r="AD513" s="89"/>
      <c r="AE513" s="89"/>
      <c r="AF513" s="98"/>
      <c r="AG513" s="98"/>
      <c r="AH513" s="98"/>
      <c r="AI513" s="99"/>
      <c r="AJ513" s="99" t="s">
        <v>197</v>
      </c>
      <c r="AK513" s="99" t="s">
        <v>67</v>
      </c>
      <c r="AL513" s="45" t="s">
        <v>68</v>
      </c>
      <c r="AM513" s="162" t="str">
        <f t="shared" si="56"/>
        <v>3/2026</v>
      </c>
      <c r="AN513" s="45">
        <f t="shared" si="57"/>
        <v>4</v>
      </c>
      <c r="AO513" s="45" t="str">
        <f t="shared" si="58"/>
        <v>5/2026</v>
      </c>
      <c r="AP513" s="45">
        <f t="shared" si="59"/>
        <v>5</v>
      </c>
      <c r="AQ513" s="45">
        <f t="shared" si="60"/>
        <v>67</v>
      </c>
      <c r="AR513" s="45">
        <f t="shared" si="61"/>
        <v>0</v>
      </c>
      <c r="AS513" s="45">
        <f t="shared" si="62"/>
        <v>21</v>
      </c>
      <c r="AT513" s="45">
        <f t="shared" si="63"/>
        <v>0</v>
      </c>
      <c r="AU513" s="45" t="str">
        <f>_xlfn.XLOOKUP(U513,'Lista Suspensa'!$AA$20:$AA$23,'Lista Suspensa'!$AB$20:$AB$23,"N/A")</f>
        <v>S</v>
      </c>
    </row>
    <row r="514" spans="1:47" ht="12" customHeight="1" x14ac:dyDescent="0.3">
      <c r="A514" s="87" t="s">
        <v>47</v>
      </c>
      <c r="B514" s="88">
        <v>46104</v>
      </c>
      <c r="C514" s="89" t="s">
        <v>48</v>
      </c>
      <c r="D514" s="89" t="s">
        <v>49</v>
      </c>
      <c r="E514" s="90">
        <v>82067018</v>
      </c>
      <c r="F514" s="184" t="s">
        <v>1686</v>
      </c>
      <c r="G514" s="91">
        <v>10452972833</v>
      </c>
      <c r="H514" s="92">
        <v>23505</v>
      </c>
      <c r="I514" s="89">
        <v>61</v>
      </c>
      <c r="J514" s="89" t="s">
        <v>70</v>
      </c>
      <c r="K514" s="89" t="s">
        <v>52</v>
      </c>
      <c r="L514" s="89" t="s">
        <v>53</v>
      </c>
      <c r="M514" s="89" t="s">
        <v>1687</v>
      </c>
      <c r="N514" s="89" t="s">
        <v>148</v>
      </c>
      <c r="O514" s="93" t="s">
        <v>1688</v>
      </c>
      <c r="P514" s="94" t="s">
        <v>57</v>
      </c>
      <c r="Q514" s="112" t="s">
        <v>58</v>
      </c>
      <c r="R514" s="95">
        <v>46171</v>
      </c>
      <c r="S514" s="96"/>
      <c r="T514" s="96" t="s">
        <v>59</v>
      </c>
      <c r="U514" s="96" t="s">
        <v>60</v>
      </c>
      <c r="V514" s="92">
        <v>46142</v>
      </c>
      <c r="W514" s="92">
        <v>46154</v>
      </c>
      <c r="X514" s="92">
        <v>46160</v>
      </c>
      <c r="Y514" s="97"/>
      <c r="Z514" s="89" t="s">
        <v>62</v>
      </c>
      <c r="AA514" s="96">
        <v>46174</v>
      </c>
      <c r="AB514" s="89" t="s">
        <v>80</v>
      </c>
      <c r="AC514" s="111">
        <v>46188</v>
      </c>
      <c r="AD514" s="89"/>
      <c r="AE514" s="89"/>
      <c r="AF514" s="98"/>
      <c r="AG514" s="98"/>
      <c r="AH514" s="98"/>
      <c r="AI514" s="99"/>
      <c r="AJ514" s="99" t="s">
        <v>197</v>
      </c>
      <c r="AK514" s="99" t="s">
        <v>67</v>
      </c>
      <c r="AL514" s="45" t="s">
        <v>68</v>
      </c>
      <c r="AM514" s="162" t="str">
        <f t="shared" ref="AM514:AM577" si="64">MONTH(B514)&amp;"/"&amp;YEAR(B514)</f>
        <v>3/2026</v>
      </c>
      <c r="AN514" s="45">
        <f t="shared" ref="AN514:AN577" si="65">WEEKNUM(B514)-WEEKNUM(EOMONTH(B514,-1)+1)+1</f>
        <v>4</v>
      </c>
      <c r="AO514" s="45" t="str">
        <f t="shared" ref="AO514:AO577" si="66">MONTH(R514)&amp;"/"&amp;YEAR(R514)</f>
        <v>5/2026</v>
      </c>
      <c r="AP514" s="45">
        <f t="shared" ref="AP514:AP577" si="67">WEEKNUM(R514)-WEEKNUM(EOMONTH(R514,-1)+1)+1</f>
        <v>5</v>
      </c>
      <c r="AQ514" s="45">
        <f t="shared" ref="AQ514:AQ577" si="68">IF(AU514="S",IF(Q514="1. Aceitou o programa",R514-B514,0),0)</f>
        <v>67</v>
      </c>
      <c r="AR514" s="45">
        <f t="shared" ref="AR514:AR577" si="69">IF(AU514="S",IF(AND(S514&lt;&gt;"",R514&lt;&gt;""),S514-R514,0),0)</f>
        <v>0</v>
      </c>
      <c r="AS514" s="45">
        <f t="shared" ref="AS514:AS577" si="70">IF(AU514="S",IF(Q514="1. Aceitou o programa",IF(OR(X514="Não se Aplica",X514=""),IF(OR(W514="Não se Aplica",W514=""),0,W514-V514),AVERAGE(X514-W514,W514-V514)),0),0)</f>
        <v>9</v>
      </c>
      <c r="AT514" s="45">
        <f t="shared" ref="AT514:AT577" si="71">IF(AU514="S",IF(AND(Q514="1. Aceitou o programa",AB514="Realizada"),IFERROR(IF(AA514="",0,AA514-R514),0),0),0)</f>
        <v>0</v>
      </c>
      <c r="AU514" s="45" t="str">
        <f>_xlfn.XLOOKUP(U514,'Lista Suspensa'!$AA$20:$AA$23,'Lista Suspensa'!$AB$20:$AB$23,"N/A")</f>
        <v>S</v>
      </c>
    </row>
    <row r="515" spans="1:47" ht="12" customHeight="1" x14ac:dyDescent="0.3">
      <c r="A515" s="87" t="s">
        <v>47</v>
      </c>
      <c r="B515" s="88">
        <v>46104</v>
      </c>
      <c r="C515" s="89" t="s">
        <v>48</v>
      </c>
      <c r="D515" s="89" t="s">
        <v>49</v>
      </c>
      <c r="E515" s="90">
        <v>92627605</v>
      </c>
      <c r="F515" s="184" t="s">
        <v>1689</v>
      </c>
      <c r="G515" s="91">
        <v>2313275876</v>
      </c>
      <c r="H515" s="92">
        <v>22315</v>
      </c>
      <c r="I515" s="89">
        <v>65</v>
      </c>
      <c r="J515" s="89" t="s">
        <v>51</v>
      </c>
      <c r="K515" s="89" t="s">
        <v>52</v>
      </c>
      <c r="L515" s="89" t="s">
        <v>53</v>
      </c>
      <c r="M515" s="89" t="s">
        <v>1276</v>
      </c>
      <c r="N515" s="89" t="s">
        <v>148</v>
      </c>
      <c r="O515" s="93" t="s">
        <v>1690</v>
      </c>
      <c r="P515" s="94" t="s">
        <v>57</v>
      </c>
      <c r="Q515" s="112" t="s">
        <v>58</v>
      </c>
      <c r="R515" s="95">
        <v>46171</v>
      </c>
      <c r="S515" s="96"/>
      <c r="T515" s="96" t="s">
        <v>59</v>
      </c>
      <c r="U515" s="96" t="s">
        <v>60</v>
      </c>
      <c r="V515" s="92">
        <v>46142</v>
      </c>
      <c r="W515" s="92">
        <v>46154</v>
      </c>
      <c r="X515" s="92">
        <v>46160</v>
      </c>
      <c r="Y515" s="97"/>
      <c r="Z515" s="89" t="s">
        <v>62</v>
      </c>
      <c r="AA515" s="96">
        <v>46171</v>
      </c>
      <c r="AB515" s="89" t="s">
        <v>80</v>
      </c>
      <c r="AC515" s="111"/>
      <c r="AD515" s="89"/>
      <c r="AE515" s="89"/>
      <c r="AF515" s="98"/>
      <c r="AG515" s="98"/>
      <c r="AH515" s="98"/>
      <c r="AI515" s="99"/>
      <c r="AJ515" s="99" t="s">
        <v>197</v>
      </c>
      <c r="AK515" s="99" t="s">
        <v>67</v>
      </c>
      <c r="AL515" s="45" t="s">
        <v>68</v>
      </c>
      <c r="AM515" s="162" t="str">
        <f t="shared" si="64"/>
        <v>3/2026</v>
      </c>
      <c r="AN515" s="45">
        <f t="shared" si="65"/>
        <v>4</v>
      </c>
      <c r="AO515" s="45" t="str">
        <f t="shared" si="66"/>
        <v>5/2026</v>
      </c>
      <c r="AP515" s="45">
        <f t="shared" si="67"/>
        <v>5</v>
      </c>
      <c r="AQ515" s="45">
        <f t="shared" si="68"/>
        <v>67</v>
      </c>
      <c r="AR515" s="45">
        <f t="shared" si="69"/>
        <v>0</v>
      </c>
      <c r="AS515" s="45">
        <f t="shared" si="70"/>
        <v>9</v>
      </c>
      <c r="AT515" s="45">
        <f t="shared" si="71"/>
        <v>0</v>
      </c>
      <c r="AU515" s="45" t="str">
        <f>_xlfn.XLOOKUP(U515,'Lista Suspensa'!$AA$20:$AA$23,'Lista Suspensa'!$AB$20:$AB$23,"N/A")</f>
        <v>S</v>
      </c>
    </row>
    <row r="516" spans="1:47" ht="12" customHeight="1" x14ac:dyDescent="0.3">
      <c r="A516" s="87" t="s">
        <v>47</v>
      </c>
      <c r="B516" s="88">
        <v>46104</v>
      </c>
      <c r="C516" s="89" t="s">
        <v>48</v>
      </c>
      <c r="D516" s="89" t="s">
        <v>49</v>
      </c>
      <c r="E516" s="90">
        <v>86177365</v>
      </c>
      <c r="F516" s="184" t="s">
        <v>1691</v>
      </c>
      <c r="G516" s="91">
        <v>5319814879</v>
      </c>
      <c r="H516" s="92">
        <v>23108</v>
      </c>
      <c r="I516" s="89">
        <v>62</v>
      </c>
      <c r="J516" s="89" t="s">
        <v>70</v>
      </c>
      <c r="K516" s="89" t="s">
        <v>52</v>
      </c>
      <c r="L516" s="89" t="s">
        <v>331</v>
      </c>
      <c r="M516" s="89" t="s">
        <v>1692</v>
      </c>
      <c r="N516" s="89" t="s">
        <v>148</v>
      </c>
      <c r="O516" s="93" t="s">
        <v>1693</v>
      </c>
      <c r="P516" s="94" t="s">
        <v>57</v>
      </c>
      <c r="Q516" s="112" t="s">
        <v>58</v>
      </c>
      <c r="R516" s="95">
        <v>46153</v>
      </c>
      <c r="S516" s="96"/>
      <c r="T516" s="96" t="s">
        <v>59</v>
      </c>
      <c r="U516" s="96" t="s">
        <v>60</v>
      </c>
      <c r="V516" s="92">
        <v>46142</v>
      </c>
      <c r="W516" s="92">
        <v>46154</v>
      </c>
      <c r="X516" s="92" t="s">
        <v>61</v>
      </c>
      <c r="Y516" s="97"/>
      <c r="Z516" s="89" t="s">
        <v>62</v>
      </c>
      <c r="AA516" s="96" t="s">
        <v>1694</v>
      </c>
      <c r="AB516" s="89" t="s">
        <v>80</v>
      </c>
      <c r="AC516" s="111"/>
      <c r="AD516" s="89"/>
      <c r="AE516" s="89"/>
      <c r="AF516" s="98"/>
      <c r="AG516" s="98"/>
      <c r="AH516" s="98"/>
      <c r="AI516" s="99" t="s">
        <v>197</v>
      </c>
      <c r="AJ516" s="99" t="s">
        <v>197</v>
      </c>
      <c r="AK516" s="99" t="s">
        <v>67</v>
      </c>
      <c r="AL516" s="45" t="s">
        <v>68</v>
      </c>
      <c r="AM516" s="162" t="str">
        <f t="shared" si="64"/>
        <v>3/2026</v>
      </c>
      <c r="AN516" s="45">
        <f t="shared" si="65"/>
        <v>4</v>
      </c>
      <c r="AO516" s="45" t="str">
        <f t="shared" si="66"/>
        <v>5/2026</v>
      </c>
      <c r="AP516" s="45">
        <f t="shared" si="67"/>
        <v>3</v>
      </c>
      <c r="AQ516" s="45">
        <f t="shared" si="68"/>
        <v>49</v>
      </c>
      <c r="AR516" s="45">
        <f t="shared" si="69"/>
        <v>0</v>
      </c>
      <c r="AS516" s="45">
        <f t="shared" si="70"/>
        <v>12</v>
      </c>
      <c r="AT516" s="45">
        <f t="shared" si="71"/>
        <v>0</v>
      </c>
      <c r="AU516" s="45" t="str">
        <f>_xlfn.XLOOKUP(U516,'Lista Suspensa'!$AA$20:$AA$23,'Lista Suspensa'!$AB$20:$AB$23,"N/A")</f>
        <v>S</v>
      </c>
    </row>
    <row r="517" spans="1:47" ht="12" customHeight="1" x14ac:dyDescent="0.3">
      <c r="A517" s="87" t="s">
        <v>47</v>
      </c>
      <c r="B517" s="88">
        <v>46104</v>
      </c>
      <c r="C517" s="89" t="s">
        <v>48</v>
      </c>
      <c r="D517" s="89" t="s">
        <v>49</v>
      </c>
      <c r="E517" s="90">
        <v>79205763</v>
      </c>
      <c r="F517" s="184" t="s">
        <v>1695</v>
      </c>
      <c r="G517" s="91">
        <v>2763215882</v>
      </c>
      <c r="H517" s="92">
        <v>23264</v>
      </c>
      <c r="I517" s="89">
        <v>62</v>
      </c>
      <c r="J517" s="89" t="s">
        <v>51</v>
      </c>
      <c r="K517" s="89" t="s">
        <v>52</v>
      </c>
      <c r="L517" s="89" t="s">
        <v>331</v>
      </c>
      <c r="M517" s="89" t="s">
        <v>1478</v>
      </c>
      <c r="N517" s="89" t="s">
        <v>148</v>
      </c>
      <c r="O517" s="93" t="s">
        <v>1696</v>
      </c>
      <c r="P517" s="94" t="s">
        <v>57</v>
      </c>
      <c r="Q517" s="112" t="s">
        <v>58</v>
      </c>
      <c r="R517" s="95">
        <v>46164</v>
      </c>
      <c r="S517" s="96"/>
      <c r="T517" s="96" t="s">
        <v>59</v>
      </c>
      <c r="U517" s="96" t="s">
        <v>60</v>
      </c>
      <c r="V517" s="92">
        <v>46122</v>
      </c>
      <c r="W517" s="92">
        <v>46142</v>
      </c>
      <c r="X517" s="92">
        <v>46154</v>
      </c>
      <c r="Y517" s="97"/>
      <c r="Z517" s="89" t="s">
        <v>62</v>
      </c>
      <c r="AA517" s="96">
        <v>46183</v>
      </c>
      <c r="AB517" s="89" t="s">
        <v>63</v>
      </c>
      <c r="AC517" s="111"/>
      <c r="AD517" s="89" t="s">
        <v>86</v>
      </c>
      <c r="AE517" s="89">
        <v>63</v>
      </c>
      <c r="AF517" s="98" t="s">
        <v>3855</v>
      </c>
      <c r="AG517" s="98" t="s">
        <v>3855</v>
      </c>
      <c r="AH517" s="98" t="s">
        <v>66</v>
      </c>
      <c r="AI517" s="99"/>
      <c r="AJ517" s="99" t="s">
        <v>197</v>
      </c>
      <c r="AK517" s="99" t="s">
        <v>67</v>
      </c>
      <c r="AL517" s="45" t="s">
        <v>68</v>
      </c>
      <c r="AM517" s="162" t="str">
        <f t="shared" si="64"/>
        <v>3/2026</v>
      </c>
      <c r="AN517" s="45">
        <f t="shared" si="65"/>
        <v>4</v>
      </c>
      <c r="AO517" s="45" t="str">
        <f t="shared" si="66"/>
        <v>5/2026</v>
      </c>
      <c r="AP517" s="45">
        <f t="shared" si="67"/>
        <v>4</v>
      </c>
      <c r="AQ517" s="45">
        <f t="shared" si="68"/>
        <v>60</v>
      </c>
      <c r="AR517" s="45">
        <f t="shared" si="69"/>
        <v>0</v>
      </c>
      <c r="AS517" s="45">
        <f t="shared" si="70"/>
        <v>16</v>
      </c>
      <c r="AT517" s="45">
        <f t="shared" si="71"/>
        <v>19</v>
      </c>
      <c r="AU517" s="45" t="str">
        <f>_xlfn.XLOOKUP(U517,'Lista Suspensa'!$AA$20:$AA$23,'Lista Suspensa'!$AB$20:$AB$23,"N/A")</f>
        <v>S</v>
      </c>
    </row>
    <row r="518" spans="1:47" ht="12" customHeight="1" x14ac:dyDescent="0.3">
      <c r="A518" s="87" t="s">
        <v>47</v>
      </c>
      <c r="B518" s="88">
        <v>46104</v>
      </c>
      <c r="C518" s="89" t="s">
        <v>48</v>
      </c>
      <c r="D518" s="89" t="s">
        <v>49</v>
      </c>
      <c r="E518" s="90">
        <v>95724683</v>
      </c>
      <c r="F518" s="184" t="s">
        <v>1697</v>
      </c>
      <c r="G518" s="91">
        <v>12842425448</v>
      </c>
      <c r="H518" s="92">
        <v>35524</v>
      </c>
      <c r="I518" s="89">
        <v>28</v>
      </c>
      <c r="J518" s="89" t="s">
        <v>51</v>
      </c>
      <c r="K518" s="89" t="s">
        <v>52</v>
      </c>
      <c r="L518" s="89" t="s">
        <v>53</v>
      </c>
      <c r="M518" s="89" t="s">
        <v>1698</v>
      </c>
      <c r="N518" s="89" t="s">
        <v>148</v>
      </c>
      <c r="O518" s="93" t="s">
        <v>1699</v>
      </c>
      <c r="P518" s="94" t="s">
        <v>57</v>
      </c>
      <c r="Q518" s="112" t="s">
        <v>58</v>
      </c>
      <c r="R518" s="95">
        <v>46153</v>
      </c>
      <c r="S518" s="96"/>
      <c r="T518" s="96" t="s">
        <v>59</v>
      </c>
      <c r="U518" s="96" t="s">
        <v>60</v>
      </c>
      <c r="V518" s="92">
        <v>46142</v>
      </c>
      <c r="W518" s="92">
        <v>46154</v>
      </c>
      <c r="X518" s="92" t="s">
        <v>61</v>
      </c>
      <c r="Y518" s="97"/>
      <c r="Z518" s="89" t="s">
        <v>62</v>
      </c>
      <c r="AA518" s="96" t="s">
        <v>1700</v>
      </c>
      <c r="AB518" s="89" t="s">
        <v>80</v>
      </c>
      <c r="AC518" s="111"/>
      <c r="AD518" s="89"/>
      <c r="AE518" s="89"/>
      <c r="AF518" s="98"/>
      <c r="AG518" s="98"/>
      <c r="AH518" s="98"/>
      <c r="AI518" s="99" t="s">
        <v>197</v>
      </c>
      <c r="AJ518" s="99" t="s">
        <v>197</v>
      </c>
      <c r="AK518" s="99" t="s">
        <v>67</v>
      </c>
      <c r="AL518" s="45" t="s">
        <v>68</v>
      </c>
      <c r="AM518" s="162" t="str">
        <f t="shared" si="64"/>
        <v>3/2026</v>
      </c>
      <c r="AN518" s="45">
        <f t="shared" si="65"/>
        <v>4</v>
      </c>
      <c r="AO518" s="45" t="str">
        <f t="shared" si="66"/>
        <v>5/2026</v>
      </c>
      <c r="AP518" s="45">
        <f t="shared" si="67"/>
        <v>3</v>
      </c>
      <c r="AQ518" s="45">
        <f t="shared" si="68"/>
        <v>49</v>
      </c>
      <c r="AR518" s="45">
        <f t="shared" si="69"/>
        <v>0</v>
      </c>
      <c r="AS518" s="45">
        <f t="shared" si="70"/>
        <v>12</v>
      </c>
      <c r="AT518" s="45">
        <f t="shared" si="71"/>
        <v>0</v>
      </c>
      <c r="AU518" s="45" t="str">
        <f>_xlfn.XLOOKUP(U518,'Lista Suspensa'!$AA$20:$AA$23,'Lista Suspensa'!$AB$20:$AB$23,"N/A")</f>
        <v>S</v>
      </c>
    </row>
    <row r="519" spans="1:47" ht="12" customHeight="1" x14ac:dyDescent="0.3">
      <c r="A519" s="87" t="s">
        <v>47</v>
      </c>
      <c r="B519" s="88">
        <v>46104</v>
      </c>
      <c r="C519" s="89" t="s">
        <v>48</v>
      </c>
      <c r="D519" s="89" t="s">
        <v>49</v>
      </c>
      <c r="E519" s="90">
        <v>85126695</v>
      </c>
      <c r="F519" s="184" t="s">
        <v>1701</v>
      </c>
      <c r="G519" s="91">
        <v>37244914415</v>
      </c>
      <c r="H519" s="92">
        <v>24867</v>
      </c>
      <c r="I519" s="89">
        <v>58</v>
      </c>
      <c r="J519" s="89" t="s">
        <v>70</v>
      </c>
      <c r="K519" s="89" t="s">
        <v>52</v>
      </c>
      <c r="L519" s="89" t="s">
        <v>53</v>
      </c>
      <c r="M519" s="89" t="s">
        <v>1702</v>
      </c>
      <c r="N519" s="89" t="s">
        <v>148</v>
      </c>
      <c r="O519" s="93" t="s">
        <v>1703</v>
      </c>
      <c r="P519" s="94" t="s">
        <v>57</v>
      </c>
      <c r="Q519" s="112" t="s">
        <v>58</v>
      </c>
      <c r="R519" s="95">
        <v>46142</v>
      </c>
      <c r="S519" s="96"/>
      <c r="T519" s="96" t="s">
        <v>59</v>
      </c>
      <c r="U519" s="96" t="s">
        <v>60</v>
      </c>
      <c r="V519" s="92">
        <v>46142</v>
      </c>
      <c r="W519" s="92" t="s">
        <v>61</v>
      </c>
      <c r="X519" s="92" t="s">
        <v>61</v>
      </c>
      <c r="Y519" s="97"/>
      <c r="Z519" s="89" t="s">
        <v>62</v>
      </c>
      <c r="AA519" s="96" t="s">
        <v>1704</v>
      </c>
      <c r="AB519" s="89" t="s">
        <v>118</v>
      </c>
      <c r="AC519" s="111"/>
      <c r="AD519" s="89"/>
      <c r="AE519" s="89"/>
      <c r="AF519" s="98"/>
      <c r="AG519" s="98"/>
      <c r="AH519" s="98"/>
      <c r="AI519" s="99" t="s">
        <v>67</v>
      </c>
      <c r="AJ519" s="99" t="s">
        <v>67</v>
      </c>
      <c r="AK519" s="99" t="s">
        <v>67</v>
      </c>
      <c r="AL519" s="45" t="s">
        <v>68</v>
      </c>
      <c r="AM519" s="162" t="str">
        <f t="shared" si="64"/>
        <v>3/2026</v>
      </c>
      <c r="AN519" s="45">
        <f t="shared" si="65"/>
        <v>4</v>
      </c>
      <c r="AO519" s="45" t="str">
        <f t="shared" si="66"/>
        <v>4/2026</v>
      </c>
      <c r="AP519" s="45">
        <f t="shared" si="67"/>
        <v>5</v>
      </c>
      <c r="AQ519" s="45">
        <f t="shared" si="68"/>
        <v>38</v>
      </c>
      <c r="AR519" s="45">
        <f t="shared" si="69"/>
        <v>0</v>
      </c>
      <c r="AS519" s="45">
        <f t="shared" si="70"/>
        <v>0</v>
      </c>
      <c r="AT519" s="45">
        <f t="shared" si="71"/>
        <v>0</v>
      </c>
      <c r="AU519" s="45" t="str">
        <f>_xlfn.XLOOKUP(U519,'Lista Suspensa'!$AA$20:$AA$23,'Lista Suspensa'!$AB$20:$AB$23,"N/A")</f>
        <v>S</v>
      </c>
    </row>
    <row r="520" spans="1:47" ht="12" customHeight="1" x14ac:dyDescent="0.3">
      <c r="A520" s="87" t="s">
        <v>47</v>
      </c>
      <c r="B520" s="88">
        <v>46104</v>
      </c>
      <c r="C520" s="89" t="s">
        <v>48</v>
      </c>
      <c r="D520" s="89" t="s">
        <v>49</v>
      </c>
      <c r="E520" s="90">
        <v>79292529</v>
      </c>
      <c r="F520" s="184" t="s">
        <v>1705</v>
      </c>
      <c r="G520" s="91">
        <v>43171990768</v>
      </c>
      <c r="H520" s="92">
        <v>20386</v>
      </c>
      <c r="I520" s="89">
        <v>70</v>
      </c>
      <c r="J520" s="89" t="s">
        <v>51</v>
      </c>
      <c r="K520" s="89" t="s">
        <v>88</v>
      </c>
      <c r="L520" s="89" t="s">
        <v>89</v>
      </c>
      <c r="M520" s="89" t="s">
        <v>1706</v>
      </c>
      <c r="N520" s="89" t="s">
        <v>148</v>
      </c>
      <c r="O520" s="93" t="s">
        <v>1707</v>
      </c>
      <c r="P520" s="94" t="s">
        <v>57</v>
      </c>
      <c r="Q520" s="112" t="s">
        <v>58</v>
      </c>
      <c r="R520" s="95">
        <v>46153</v>
      </c>
      <c r="S520" s="96"/>
      <c r="T520" s="96" t="s">
        <v>59</v>
      </c>
      <c r="U520" s="96" t="s">
        <v>60</v>
      </c>
      <c r="V520" s="92">
        <v>46142</v>
      </c>
      <c r="W520" s="92">
        <v>46154</v>
      </c>
      <c r="X520" s="92" t="s">
        <v>61</v>
      </c>
      <c r="Y520" s="97"/>
      <c r="Z520" s="89" t="s">
        <v>62</v>
      </c>
      <c r="AA520" s="96" t="s">
        <v>1708</v>
      </c>
      <c r="AB520" s="89" t="s">
        <v>63</v>
      </c>
      <c r="AC520" s="111"/>
      <c r="AD520" s="89" t="s">
        <v>64</v>
      </c>
      <c r="AE520" s="89">
        <v>57</v>
      </c>
      <c r="AF520" s="98" t="s">
        <v>126</v>
      </c>
      <c r="AG520" s="98"/>
      <c r="AH520" s="98"/>
      <c r="AI520" s="99" t="s">
        <v>197</v>
      </c>
      <c r="AJ520" s="99" t="s">
        <v>197</v>
      </c>
      <c r="AK520" s="99" t="s">
        <v>67</v>
      </c>
      <c r="AL520" s="45" t="s">
        <v>68</v>
      </c>
      <c r="AM520" s="162" t="str">
        <f t="shared" si="64"/>
        <v>3/2026</v>
      </c>
      <c r="AN520" s="45">
        <f t="shared" si="65"/>
        <v>4</v>
      </c>
      <c r="AO520" s="45" t="str">
        <f t="shared" si="66"/>
        <v>5/2026</v>
      </c>
      <c r="AP520" s="45">
        <f t="shared" si="67"/>
        <v>3</v>
      </c>
      <c r="AQ520" s="45">
        <f t="shared" si="68"/>
        <v>49</v>
      </c>
      <c r="AR520" s="45">
        <f t="shared" si="69"/>
        <v>0</v>
      </c>
      <c r="AS520" s="45">
        <f t="shared" si="70"/>
        <v>12</v>
      </c>
      <c r="AT520" s="45">
        <f t="shared" si="71"/>
        <v>8.4444444444452529</v>
      </c>
      <c r="AU520" s="45" t="str">
        <f>_xlfn.XLOOKUP(U520,'Lista Suspensa'!$AA$20:$AA$23,'Lista Suspensa'!$AB$20:$AB$23,"N/A")</f>
        <v>S</v>
      </c>
    </row>
    <row r="521" spans="1:47" ht="12" customHeight="1" x14ac:dyDescent="0.3">
      <c r="A521" s="87" t="s">
        <v>47</v>
      </c>
      <c r="B521" s="88">
        <v>46104</v>
      </c>
      <c r="C521" s="89" t="s">
        <v>48</v>
      </c>
      <c r="D521" s="89" t="s">
        <v>49</v>
      </c>
      <c r="E521" s="90">
        <v>79303287</v>
      </c>
      <c r="F521" s="184" t="s">
        <v>1709</v>
      </c>
      <c r="G521" s="91">
        <v>60709545720</v>
      </c>
      <c r="H521" s="92">
        <v>21932</v>
      </c>
      <c r="I521" s="89">
        <v>66</v>
      </c>
      <c r="J521" s="89" t="s">
        <v>51</v>
      </c>
      <c r="K521" s="89" t="s">
        <v>88</v>
      </c>
      <c r="L521" s="89" t="s">
        <v>89</v>
      </c>
      <c r="M521" s="89" t="s">
        <v>469</v>
      </c>
      <c r="N521" s="89" t="s">
        <v>148</v>
      </c>
      <c r="O521" s="93" t="s">
        <v>1710</v>
      </c>
      <c r="P521" s="94" t="s">
        <v>57</v>
      </c>
      <c r="Q521" s="112" t="s">
        <v>58</v>
      </c>
      <c r="R521" s="95">
        <v>46153</v>
      </c>
      <c r="S521" s="96"/>
      <c r="T521" s="96" t="s">
        <v>59</v>
      </c>
      <c r="U521" s="96" t="s">
        <v>60</v>
      </c>
      <c r="V521" s="92">
        <v>46112</v>
      </c>
      <c r="W521" s="92">
        <v>46142</v>
      </c>
      <c r="X521" s="92">
        <v>46154</v>
      </c>
      <c r="Y521" s="97"/>
      <c r="Z521" s="89" t="s">
        <v>62</v>
      </c>
      <c r="AA521" s="96">
        <v>46162.625</v>
      </c>
      <c r="AB521" s="89" t="s">
        <v>80</v>
      </c>
      <c r="AC521" s="111"/>
      <c r="AD521" s="89"/>
      <c r="AE521" s="89"/>
      <c r="AF521" s="98"/>
      <c r="AG521" s="98"/>
      <c r="AH521" s="98"/>
      <c r="AI521" s="99" t="s">
        <v>197</v>
      </c>
      <c r="AJ521" s="99" t="s">
        <v>197</v>
      </c>
      <c r="AK521" s="99" t="s">
        <v>67</v>
      </c>
      <c r="AL521" s="45" t="s">
        <v>68</v>
      </c>
      <c r="AM521" s="162" t="str">
        <f t="shared" si="64"/>
        <v>3/2026</v>
      </c>
      <c r="AN521" s="45">
        <f t="shared" si="65"/>
        <v>4</v>
      </c>
      <c r="AO521" s="45" t="str">
        <f t="shared" si="66"/>
        <v>5/2026</v>
      </c>
      <c r="AP521" s="45">
        <f t="shared" si="67"/>
        <v>3</v>
      </c>
      <c r="AQ521" s="45">
        <f t="shared" si="68"/>
        <v>49</v>
      </c>
      <c r="AR521" s="45">
        <f t="shared" si="69"/>
        <v>0</v>
      </c>
      <c r="AS521" s="45">
        <f t="shared" si="70"/>
        <v>21</v>
      </c>
      <c r="AT521" s="45">
        <f t="shared" si="71"/>
        <v>0</v>
      </c>
      <c r="AU521" s="45" t="str">
        <f>_xlfn.XLOOKUP(U521,'Lista Suspensa'!$AA$20:$AA$23,'Lista Suspensa'!$AB$20:$AB$23,"N/A")</f>
        <v>S</v>
      </c>
    </row>
    <row r="522" spans="1:47" ht="12" customHeight="1" x14ac:dyDescent="0.3">
      <c r="A522" s="87" t="s">
        <v>47</v>
      </c>
      <c r="B522" s="88">
        <v>46104</v>
      </c>
      <c r="C522" s="89" t="s">
        <v>48</v>
      </c>
      <c r="D522" s="89" t="s">
        <v>49</v>
      </c>
      <c r="E522" s="90">
        <v>78902853</v>
      </c>
      <c r="F522" s="184" t="s">
        <v>1711</v>
      </c>
      <c r="G522" s="91">
        <v>66166217820</v>
      </c>
      <c r="H522" s="92">
        <v>19162</v>
      </c>
      <c r="I522" s="89">
        <v>73</v>
      </c>
      <c r="J522" s="89" t="s">
        <v>70</v>
      </c>
      <c r="K522" s="89" t="s">
        <v>52</v>
      </c>
      <c r="L522" s="89" t="s">
        <v>331</v>
      </c>
      <c r="M522" s="89" t="s">
        <v>732</v>
      </c>
      <c r="N522" s="89" t="s">
        <v>148</v>
      </c>
      <c r="O522" s="93" t="s">
        <v>1712</v>
      </c>
      <c r="P522" s="94" t="s">
        <v>57</v>
      </c>
      <c r="Q522" s="112" t="s">
        <v>58</v>
      </c>
      <c r="R522" s="95">
        <v>46117</v>
      </c>
      <c r="S522" s="96"/>
      <c r="T522" s="96" t="s">
        <v>59</v>
      </c>
      <c r="U522" s="96" t="s">
        <v>60</v>
      </c>
      <c r="V522" s="92">
        <v>46142</v>
      </c>
      <c r="W522" s="92" t="s">
        <v>61</v>
      </c>
      <c r="X522" s="92" t="s">
        <v>61</v>
      </c>
      <c r="Y522" s="97"/>
      <c r="Z522" s="89" t="s">
        <v>62</v>
      </c>
      <c r="AA522" s="96">
        <v>46160</v>
      </c>
      <c r="AB522" s="89" t="s">
        <v>80</v>
      </c>
      <c r="AC522" s="111"/>
      <c r="AD522" s="89"/>
      <c r="AE522" s="89"/>
      <c r="AF522" s="98"/>
      <c r="AG522" s="98"/>
      <c r="AH522" s="98"/>
      <c r="AI522" s="99" t="s">
        <v>197</v>
      </c>
      <c r="AJ522" s="99" t="s">
        <v>197</v>
      </c>
      <c r="AK522" s="99" t="s">
        <v>67</v>
      </c>
      <c r="AL522" s="45" t="s">
        <v>68</v>
      </c>
      <c r="AM522" s="162" t="str">
        <f t="shared" si="64"/>
        <v>3/2026</v>
      </c>
      <c r="AN522" s="45">
        <f t="shared" si="65"/>
        <v>4</v>
      </c>
      <c r="AO522" s="45" t="str">
        <f t="shared" si="66"/>
        <v>4/2026</v>
      </c>
      <c r="AP522" s="45">
        <f t="shared" si="67"/>
        <v>2</v>
      </c>
      <c r="AQ522" s="45">
        <f t="shared" si="68"/>
        <v>13</v>
      </c>
      <c r="AR522" s="45">
        <f t="shared" si="69"/>
        <v>0</v>
      </c>
      <c r="AS522" s="45">
        <f t="shared" si="70"/>
        <v>0</v>
      </c>
      <c r="AT522" s="45">
        <f t="shared" si="71"/>
        <v>0</v>
      </c>
      <c r="AU522" s="45" t="str">
        <f>_xlfn.XLOOKUP(U522,'Lista Suspensa'!$AA$20:$AA$23,'Lista Suspensa'!$AB$20:$AB$23,"N/A")</f>
        <v>S</v>
      </c>
    </row>
    <row r="523" spans="1:47" ht="12" customHeight="1" x14ac:dyDescent="0.3">
      <c r="A523" s="87" t="s">
        <v>47</v>
      </c>
      <c r="B523" s="88">
        <v>46104</v>
      </c>
      <c r="C523" s="89" t="s">
        <v>48</v>
      </c>
      <c r="D523" s="89" t="s">
        <v>49</v>
      </c>
      <c r="E523" s="193">
        <v>80994518</v>
      </c>
      <c r="F523" s="184" t="s">
        <v>1713</v>
      </c>
      <c r="G523" s="91">
        <v>26556918814</v>
      </c>
      <c r="H523" s="92">
        <v>21887</v>
      </c>
      <c r="I523" s="89">
        <v>66</v>
      </c>
      <c r="J523" s="89" t="s">
        <v>70</v>
      </c>
      <c r="K523" s="89" t="s">
        <v>52</v>
      </c>
      <c r="L523" s="89" t="s">
        <v>331</v>
      </c>
      <c r="M523" s="89" t="s">
        <v>732</v>
      </c>
      <c r="N523" s="89" t="s">
        <v>148</v>
      </c>
      <c r="O523" s="93" t="s">
        <v>1714</v>
      </c>
      <c r="P523" s="94" t="s">
        <v>57</v>
      </c>
      <c r="Q523" s="112" t="s">
        <v>58</v>
      </c>
      <c r="R523" s="95">
        <v>46163</v>
      </c>
      <c r="S523" s="96"/>
      <c r="T523" s="96" t="s">
        <v>59</v>
      </c>
      <c r="U523" s="96" t="s">
        <v>60</v>
      </c>
      <c r="V523" s="92">
        <v>46122</v>
      </c>
      <c r="W523" s="92">
        <v>46142</v>
      </c>
      <c r="X523" s="92">
        <v>46154</v>
      </c>
      <c r="Y523" s="97"/>
      <c r="Z523" s="89" t="s">
        <v>62</v>
      </c>
      <c r="AA523" s="96">
        <v>46170</v>
      </c>
      <c r="AB523" s="89" t="s">
        <v>80</v>
      </c>
      <c r="AC523" s="111"/>
      <c r="AD523" s="89"/>
      <c r="AE523" s="89"/>
      <c r="AF523" s="98"/>
      <c r="AG523" s="98"/>
      <c r="AH523" s="98"/>
      <c r="AI523" s="99"/>
      <c r="AJ523" s="99" t="s">
        <v>197</v>
      </c>
      <c r="AK523" s="99" t="s">
        <v>67</v>
      </c>
      <c r="AL523" s="45" t="s">
        <v>68</v>
      </c>
      <c r="AM523" s="162" t="str">
        <f t="shared" si="64"/>
        <v>3/2026</v>
      </c>
      <c r="AN523" s="45">
        <f t="shared" si="65"/>
        <v>4</v>
      </c>
      <c r="AO523" s="45" t="str">
        <f t="shared" si="66"/>
        <v>5/2026</v>
      </c>
      <c r="AP523" s="45">
        <f t="shared" si="67"/>
        <v>4</v>
      </c>
      <c r="AQ523" s="45">
        <f t="shared" si="68"/>
        <v>59</v>
      </c>
      <c r="AR523" s="45">
        <f t="shared" si="69"/>
        <v>0</v>
      </c>
      <c r="AS523" s="45">
        <f t="shared" si="70"/>
        <v>16</v>
      </c>
      <c r="AT523" s="45">
        <f t="shared" si="71"/>
        <v>0</v>
      </c>
      <c r="AU523" s="45" t="str">
        <f>_xlfn.XLOOKUP(U523,'Lista Suspensa'!$AA$20:$AA$23,'Lista Suspensa'!$AB$20:$AB$23,"N/A")</f>
        <v>S</v>
      </c>
    </row>
    <row r="524" spans="1:47" ht="12" customHeight="1" x14ac:dyDescent="0.3">
      <c r="A524" s="87" t="s">
        <v>47</v>
      </c>
      <c r="B524" s="88">
        <v>46104</v>
      </c>
      <c r="C524" s="89" t="s">
        <v>48</v>
      </c>
      <c r="D524" s="89" t="s">
        <v>49</v>
      </c>
      <c r="E524" s="90">
        <v>84720704</v>
      </c>
      <c r="F524" s="184" t="s">
        <v>1715</v>
      </c>
      <c r="G524" s="91">
        <v>72860618791</v>
      </c>
      <c r="H524" s="92">
        <v>23022</v>
      </c>
      <c r="I524" s="89">
        <v>63</v>
      </c>
      <c r="J524" s="89" t="s">
        <v>51</v>
      </c>
      <c r="K524" s="89" t="s">
        <v>88</v>
      </c>
      <c r="L524" s="89" t="s">
        <v>89</v>
      </c>
      <c r="M524" s="89" t="s">
        <v>1282</v>
      </c>
      <c r="N524" s="89" t="s">
        <v>148</v>
      </c>
      <c r="O524" s="93" t="s">
        <v>1716</v>
      </c>
      <c r="P524" s="94" t="s">
        <v>57</v>
      </c>
      <c r="Q524" s="112" t="s">
        <v>58</v>
      </c>
      <c r="R524" s="95">
        <v>46153</v>
      </c>
      <c r="S524" s="96"/>
      <c r="T524" s="96" t="s">
        <v>59</v>
      </c>
      <c r="U524" s="96" t="s">
        <v>60</v>
      </c>
      <c r="V524" s="92">
        <v>46112</v>
      </c>
      <c r="W524" s="92">
        <v>46142</v>
      </c>
      <c r="X524" s="92">
        <v>46154</v>
      </c>
      <c r="Y524" s="97"/>
      <c r="Z524" s="89" t="s">
        <v>62</v>
      </c>
      <c r="AA524" s="96" t="s">
        <v>1717</v>
      </c>
      <c r="AB524" s="89" t="s">
        <v>80</v>
      </c>
      <c r="AC524" s="111"/>
      <c r="AD524" s="89"/>
      <c r="AE524" s="89"/>
      <c r="AF524" s="98"/>
      <c r="AG524" s="98"/>
      <c r="AH524" s="98"/>
      <c r="AI524" s="99" t="s">
        <v>197</v>
      </c>
      <c r="AJ524" s="99" t="s">
        <v>197</v>
      </c>
      <c r="AK524" s="99" t="s">
        <v>67</v>
      </c>
      <c r="AL524" s="45" t="s">
        <v>68</v>
      </c>
      <c r="AM524" s="162" t="str">
        <f t="shared" si="64"/>
        <v>3/2026</v>
      </c>
      <c r="AN524" s="45">
        <f t="shared" si="65"/>
        <v>4</v>
      </c>
      <c r="AO524" s="45" t="str">
        <f t="shared" si="66"/>
        <v>5/2026</v>
      </c>
      <c r="AP524" s="45">
        <f t="shared" si="67"/>
        <v>3</v>
      </c>
      <c r="AQ524" s="45">
        <f t="shared" si="68"/>
        <v>49</v>
      </c>
      <c r="AR524" s="45">
        <f t="shared" si="69"/>
        <v>0</v>
      </c>
      <c r="AS524" s="45">
        <f t="shared" si="70"/>
        <v>21</v>
      </c>
      <c r="AT524" s="45">
        <f t="shared" si="71"/>
        <v>0</v>
      </c>
      <c r="AU524" s="45" t="str">
        <f>_xlfn.XLOOKUP(U524,'Lista Suspensa'!$AA$20:$AA$23,'Lista Suspensa'!$AB$20:$AB$23,"N/A")</f>
        <v>S</v>
      </c>
    </row>
    <row r="525" spans="1:47" ht="12" customHeight="1" x14ac:dyDescent="0.3">
      <c r="A525" s="87" t="s">
        <v>47</v>
      </c>
      <c r="B525" s="88">
        <v>46104</v>
      </c>
      <c r="C525" s="89" t="s">
        <v>48</v>
      </c>
      <c r="D525" s="89" t="s">
        <v>49</v>
      </c>
      <c r="E525" s="90">
        <v>85225756</v>
      </c>
      <c r="F525" s="184" t="s">
        <v>1718</v>
      </c>
      <c r="G525" s="91">
        <v>14516598817</v>
      </c>
      <c r="H525" s="92">
        <v>25820</v>
      </c>
      <c r="I525" s="89">
        <v>55</v>
      </c>
      <c r="J525" s="89" t="s">
        <v>51</v>
      </c>
      <c r="K525" s="89" t="s">
        <v>52</v>
      </c>
      <c r="L525" s="89" t="s">
        <v>128</v>
      </c>
      <c r="M525" s="89" t="s">
        <v>1719</v>
      </c>
      <c r="N525" s="89" t="s">
        <v>148</v>
      </c>
      <c r="O525" s="93" t="s">
        <v>1720</v>
      </c>
      <c r="P525" s="94" t="s">
        <v>57</v>
      </c>
      <c r="Q525" s="112" t="s">
        <v>58</v>
      </c>
      <c r="R525" s="95">
        <v>46147</v>
      </c>
      <c r="S525" s="96"/>
      <c r="T525" s="96" t="s">
        <v>59</v>
      </c>
      <c r="U525" s="96" t="s">
        <v>60</v>
      </c>
      <c r="V525" s="92">
        <v>46141</v>
      </c>
      <c r="W525" s="92" t="s">
        <v>61</v>
      </c>
      <c r="X525" s="92" t="s">
        <v>61</v>
      </c>
      <c r="Y525" s="97"/>
      <c r="Z525" s="89" t="s">
        <v>62</v>
      </c>
      <c r="AA525" s="96" t="s">
        <v>1470</v>
      </c>
      <c r="AB525" s="89" t="s">
        <v>63</v>
      </c>
      <c r="AC525" s="111"/>
      <c r="AD525" s="89" t="s">
        <v>86</v>
      </c>
      <c r="AE525" s="89">
        <v>49</v>
      </c>
      <c r="AF525" s="98" t="s">
        <v>843</v>
      </c>
      <c r="AG525" s="98"/>
      <c r="AH525" s="98" t="s">
        <v>139</v>
      </c>
      <c r="AI525" s="99" t="s">
        <v>197</v>
      </c>
      <c r="AJ525" s="99" t="s">
        <v>197</v>
      </c>
      <c r="AK525" s="99" t="s">
        <v>67</v>
      </c>
      <c r="AL525" s="45" t="s">
        <v>68</v>
      </c>
      <c r="AM525" s="162" t="str">
        <f t="shared" si="64"/>
        <v>3/2026</v>
      </c>
      <c r="AN525" s="45">
        <f t="shared" si="65"/>
        <v>4</v>
      </c>
      <c r="AO525" s="45" t="str">
        <f t="shared" si="66"/>
        <v>5/2026</v>
      </c>
      <c r="AP525" s="45">
        <f t="shared" si="67"/>
        <v>2</v>
      </c>
      <c r="AQ525" s="45">
        <f t="shared" si="68"/>
        <v>43</v>
      </c>
      <c r="AR525" s="45">
        <f t="shared" si="69"/>
        <v>0</v>
      </c>
      <c r="AS525" s="45">
        <f t="shared" si="70"/>
        <v>0</v>
      </c>
      <c r="AT525" s="45">
        <f t="shared" si="71"/>
        <v>8.4583333333357587</v>
      </c>
      <c r="AU525" s="45" t="str">
        <f>_xlfn.XLOOKUP(U525,'Lista Suspensa'!$AA$20:$AA$23,'Lista Suspensa'!$AB$20:$AB$23,"N/A")</f>
        <v>S</v>
      </c>
    </row>
    <row r="526" spans="1:47" ht="12" customHeight="1" x14ac:dyDescent="0.3">
      <c r="A526" s="87" t="s">
        <v>47</v>
      </c>
      <c r="B526" s="88">
        <v>46104</v>
      </c>
      <c r="C526" s="89" t="s">
        <v>48</v>
      </c>
      <c r="D526" s="89" t="s">
        <v>49</v>
      </c>
      <c r="E526" s="90">
        <v>82870598</v>
      </c>
      <c r="F526" s="184" t="s">
        <v>1721</v>
      </c>
      <c r="G526" s="91">
        <v>4221317841</v>
      </c>
      <c r="H526" s="92">
        <v>23808</v>
      </c>
      <c r="I526" s="89">
        <v>61</v>
      </c>
      <c r="J526" s="89" t="s">
        <v>51</v>
      </c>
      <c r="K526" s="89" t="s">
        <v>52</v>
      </c>
      <c r="L526" s="89" t="s">
        <v>53</v>
      </c>
      <c r="M526" s="89" t="s">
        <v>1722</v>
      </c>
      <c r="N526" s="89" t="s">
        <v>148</v>
      </c>
      <c r="O526" s="93" t="s">
        <v>1723</v>
      </c>
      <c r="P526" s="94" t="s">
        <v>57</v>
      </c>
      <c r="Q526" s="112" t="s">
        <v>58</v>
      </c>
      <c r="R526" s="95">
        <v>46141</v>
      </c>
      <c r="S526" s="96"/>
      <c r="T526" s="96" t="s">
        <v>59</v>
      </c>
      <c r="U526" s="96" t="s">
        <v>60</v>
      </c>
      <c r="V526" s="92">
        <v>46128</v>
      </c>
      <c r="W526" s="92">
        <v>46141</v>
      </c>
      <c r="X526" s="92" t="s">
        <v>61</v>
      </c>
      <c r="Y526" s="97"/>
      <c r="Z526" s="89" t="s">
        <v>62</v>
      </c>
      <c r="AA526" s="96">
        <v>46146</v>
      </c>
      <c r="AB526" s="89" t="s">
        <v>63</v>
      </c>
      <c r="AC526" s="111"/>
      <c r="AD526" s="89" t="s">
        <v>64</v>
      </c>
      <c r="AE526" s="89">
        <v>63</v>
      </c>
      <c r="AF526" s="98" t="s">
        <v>296</v>
      </c>
      <c r="AG526" s="98"/>
      <c r="AH526" s="98" t="s">
        <v>66</v>
      </c>
      <c r="AI526" s="99" t="s">
        <v>67</v>
      </c>
      <c r="AJ526" s="99" t="s">
        <v>67</v>
      </c>
      <c r="AK526" s="99" t="s">
        <v>67</v>
      </c>
      <c r="AL526" s="45" t="s">
        <v>68</v>
      </c>
      <c r="AM526" s="162" t="str">
        <f t="shared" si="64"/>
        <v>3/2026</v>
      </c>
      <c r="AN526" s="45">
        <f t="shared" si="65"/>
        <v>4</v>
      </c>
      <c r="AO526" s="45" t="str">
        <f t="shared" si="66"/>
        <v>4/2026</v>
      </c>
      <c r="AP526" s="45">
        <f t="shared" si="67"/>
        <v>5</v>
      </c>
      <c r="AQ526" s="45">
        <f t="shared" si="68"/>
        <v>37</v>
      </c>
      <c r="AR526" s="45">
        <f t="shared" si="69"/>
        <v>0</v>
      </c>
      <c r="AS526" s="45">
        <f t="shared" si="70"/>
        <v>13</v>
      </c>
      <c r="AT526" s="45">
        <f t="shared" si="71"/>
        <v>5</v>
      </c>
      <c r="AU526" s="45" t="str">
        <f>_xlfn.XLOOKUP(U526,'Lista Suspensa'!$AA$20:$AA$23,'Lista Suspensa'!$AB$20:$AB$23,"N/A")</f>
        <v>S</v>
      </c>
    </row>
    <row r="527" spans="1:47" ht="12" customHeight="1" x14ac:dyDescent="0.3">
      <c r="A527" s="87" t="s">
        <v>47</v>
      </c>
      <c r="B527" s="88">
        <v>46104</v>
      </c>
      <c r="C527" s="89" t="s">
        <v>48</v>
      </c>
      <c r="D527" s="89" t="s">
        <v>49</v>
      </c>
      <c r="E527" s="90">
        <v>82998770</v>
      </c>
      <c r="F527" s="184" t="s">
        <v>1724</v>
      </c>
      <c r="G527" s="91">
        <v>5370971471</v>
      </c>
      <c r="H527" s="92">
        <v>31516</v>
      </c>
      <c r="I527" s="89">
        <v>39</v>
      </c>
      <c r="J527" s="89" t="s">
        <v>51</v>
      </c>
      <c r="K527" s="89" t="s">
        <v>52</v>
      </c>
      <c r="L527" s="89" t="s">
        <v>53</v>
      </c>
      <c r="M527" s="89" t="s">
        <v>757</v>
      </c>
      <c r="N527" s="89" t="s">
        <v>148</v>
      </c>
      <c r="O527" s="93" t="s">
        <v>1725</v>
      </c>
      <c r="P527" s="94" t="s">
        <v>57</v>
      </c>
      <c r="Q527" s="112" t="s">
        <v>58</v>
      </c>
      <c r="R527" s="95">
        <v>46141</v>
      </c>
      <c r="S527" s="96"/>
      <c r="T527" s="96" t="s">
        <v>59</v>
      </c>
      <c r="U527" s="96" t="s">
        <v>60</v>
      </c>
      <c r="V527" s="92">
        <v>46141</v>
      </c>
      <c r="W527" s="92" t="s">
        <v>61</v>
      </c>
      <c r="X527" s="92" t="s">
        <v>61</v>
      </c>
      <c r="Y527" s="97"/>
      <c r="Z527" s="89" t="s">
        <v>62</v>
      </c>
      <c r="AA527" s="96">
        <v>46149.430555439816</v>
      </c>
      <c r="AB527" s="89" t="s">
        <v>80</v>
      </c>
      <c r="AC527" s="111"/>
      <c r="AD527" s="89"/>
      <c r="AE527" s="89"/>
      <c r="AF527" s="98"/>
      <c r="AG527" s="98"/>
      <c r="AH527" s="98"/>
      <c r="AI527" s="99" t="s">
        <v>67</v>
      </c>
      <c r="AJ527" s="99" t="s">
        <v>67</v>
      </c>
      <c r="AK527" s="99" t="s">
        <v>67</v>
      </c>
      <c r="AL527" s="45" t="s">
        <v>68</v>
      </c>
      <c r="AM527" s="162" t="str">
        <f t="shared" si="64"/>
        <v>3/2026</v>
      </c>
      <c r="AN527" s="45">
        <f t="shared" si="65"/>
        <v>4</v>
      </c>
      <c r="AO527" s="45" t="str">
        <f t="shared" si="66"/>
        <v>4/2026</v>
      </c>
      <c r="AP527" s="45">
        <f t="shared" si="67"/>
        <v>5</v>
      </c>
      <c r="AQ527" s="45">
        <f t="shared" si="68"/>
        <v>37</v>
      </c>
      <c r="AR527" s="45">
        <f t="shared" si="69"/>
        <v>0</v>
      </c>
      <c r="AS527" s="45">
        <f t="shared" si="70"/>
        <v>0</v>
      </c>
      <c r="AT527" s="45">
        <f t="shared" si="71"/>
        <v>0</v>
      </c>
      <c r="AU527" s="45" t="str">
        <f>_xlfn.XLOOKUP(U527,'Lista Suspensa'!$AA$20:$AA$23,'Lista Suspensa'!$AB$20:$AB$23,"N/A")</f>
        <v>S</v>
      </c>
    </row>
    <row r="528" spans="1:47" ht="12" customHeight="1" x14ac:dyDescent="0.3">
      <c r="A528" s="87" t="s">
        <v>47</v>
      </c>
      <c r="B528" s="88">
        <v>46104</v>
      </c>
      <c r="C528" s="89" t="s">
        <v>48</v>
      </c>
      <c r="D528" s="89" t="s">
        <v>49</v>
      </c>
      <c r="E528" s="90">
        <v>87355189</v>
      </c>
      <c r="F528" s="184" t="s">
        <v>1726</v>
      </c>
      <c r="G528" s="91">
        <v>7744479823</v>
      </c>
      <c r="H528" s="92">
        <v>24166</v>
      </c>
      <c r="I528" s="89">
        <v>60</v>
      </c>
      <c r="J528" s="89" t="s">
        <v>70</v>
      </c>
      <c r="K528" s="89" t="s">
        <v>52</v>
      </c>
      <c r="L528" s="89" t="s">
        <v>1727</v>
      </c>
      <c r="M528" s="89" t="s">
        <v>1728</v>
      </c>
      <c r="N528" s="89" t="s">
        <v>148</v>
      </c>
      <c r="O528" s="93" t="s">
        <v>1729</v>
      </c>
      <c r="P528" s="94" t="s">
        <v>57</v>
      </c>
      <c r="Q528" s="112" t="s">
        <v>58</v>
      </c>
      <c r="R528" s="95">
        <v>46141</v>
      </c>
      <c r="S528" s="96"/>
      <c r="T528" s="96" t="s">
        <v>59</v>
      </c>
      <c r="U528" s="96" t="s">
        <v>60</v>
      </c>
      <c r="V528" s="92">
        <v>46141</v>
      </c>
      <c r="W528" s="92" t="s">
        <v>61</v>
      </c>
      <c r="X528" s="92" t="s">
        <v>61</v>
      </c>
      <c r="Y528" s="97"/>
      <c r="Z528" s="89" t="s">
        <v>62</v>
      </c>
      <c r="AA528" s="96">
        <v>46142</v>
      </c>
      <c r="AB528" s="89" t="s">
        <v>80</v>
      </c>
      <c r="AC528" s="111">
        <v>46149</v>
      </c>
      <c r="AD528" s="89"/>
      <c r="AE528" s="89"/>
      <c r="AF528" s="98"/>
      <c r="AG528" s="98"/>
      <c r="AH528" s="98"/>
      <c r="AI528" s="99" t="s">
        <v>67</v>
      </c>
      <c r="AJ528" s="99" t="s">
        <v>67</v>
      </c>
      <c r="AK528" s="99" t="s">
        <v>67</v>
      </c>
      <c r="AL528" s="45" t="s">
        <v>68</v>
      </c>
      <c r="AM528" s="162" t="str">
        <f t="shared" si="64"/>
        <v>3/2026</v>
      </c>
      <c r="AN528" s="45">
        <f t="shared" si="65"/>
        <v>4</v>
      </c>
      <c r="AO528" s="45" t="str">
        <f t="shared" si="66"/>
        <v>4/2026</v>
      </c>
      <c r="AP528" s="45">
        <f t="shared" si="67"/>
        <v>5</v>
      </c>
      <c r="AQ528" s="45">
        <f t="shared" si="68"/>
        <v>37</v>
      </c>
      <c r="AR528" s="45">
        <f t="shared" si="69"/>
        <v>0</v>
      </c>
      <c r="AS528" s="45">
        <f t="shared" si="70"/>
        <v>0</v>
      </c>
      <c r="AT528" s="45">
        <f t="shared" si="71"/>
        <v>0</v>
      </c>
      <c r="AU528" s="45" t="str">
        <f>_xlfn.XLOOKUP(U528,'Lista Suspensa'!$AA$20:$AA$23,'Lista Suspensa'!$AB$20:$AB$23,"N/A")</f>
        <v>S</v>
      </c>
    </row>
    <row r="529" spans="1:47" ht="12" customHeight="1" x14ac:dyDescent="0.3">
      <c r="A529" s="87" t="s">
        <v>47</v>
      </c>
      <c r="B529" s="88">
        <v>46104</v>
      </c>
      <c r="C529" s="89" t="s">
        <v>48</v>
      </c>
      <c r="D529" s="89" t="s">
        <v>49</v>
      </c>
      <c r="E529" s="90">
        <v>78100424</v>
      </c>
      <c r="F529" s="184" t="s">
        <v>1730</v>
      </c>
      <c r="G529" s="91">
        <v>68655746800</v>
      </c>
      <c r="H529" s="92">
        <v>19399</v>
      </c>
      <c r="I529" s="89">
        <v>73</v>
      </c>
      <c r="J529" s="89" t="s">
        <v>70</v>
      </c>
      <c r="K529" s="89" t="s">
        <v>52</v>
      </c>
      <c r="L529" s="89" t="s">
        <v>331</v>
      </c>
      <c r="M529" s="89" t="s">
        <v>1731</v>
      </c>
      <c r="N529" s="89" t="s">
        <v>148</v>
      </c>
      <c r="O529" s="93" t="s">
        <v>1732</v>
      </c>
      <c r="P529" s="94" t="s">
        <v>57</v>
      </c>
      <c r="Q529" s="112" t="s">
        <v>58</v>
      </c>
      <c r="R529" s="95">
        <v>46141</v>
      </c>
      <c r="S529" s="96"/>
      <c r="T529" s="96" t="s">
        <v>59</v>
      </c>
      <c r="U529" s="96" t="s">
        <v>60</v>
      </c>
      <c r="V529" s="92">
        <v>46141</v>
      </c>
      <c r="W529" s="92" t="s">
        <v>61</v>
      </c>
      <c r="X529" s="92" t="s">
        <v>61</v>
      </c>
      <c r="Y529" s="97"/>
      <c r="Z529" s="89" t="s">
        <v>62</v>
      </c>
      <c r="AA529" s="96">
        <v>46146</v>
      </c>
      <c r="AB529" s="89" t="s">
        <v>63</v>
      </c>
      <c r="AC529" s="111"/>
      <c r="AD529" s="89" t="s">
        <v>265</v>
      </c>
      <c r="AE529" s="89">
        <v>32</v>
      </c>
      <c r="AF529" s="98" t="s">
        <v>296</v>
      </c>
      <c r="AG529" s="98"/>
      <c r="AH529" s="98" t="s">
        <v>66</v>
      </c>
      <c r="AI529" s="99" t="s">
        <v>67</v>
      </c>
      <c r="AJ529" s="99" t="s">
        <v>67</v>
      </c>
      <c r="AK529" s="99" t="s">
        <v>67</v>
      </c>
      <c r="AL529" s="45" t="s">
        <v>68</v>
      </c>
      <c r="AM529" s="162" t="str">
        <f t="shared" si="64"/>
        <v>3/2026</v>
      </c>
      <c r="AN529" s="45">
        <f t="shared" si="65"/>
        <v>4</v>
      </c>
      <c r="AO529" s="45" t="str">
        <f t="shared" si="66"/>
        <v>4/2026</v>
      </c>
      <c r="AP529" s="45">
        <f t="shared" si="67"/>
        <v>5</v>
      </c>
      <c r="AQ529" s="45">
        <f t="shared" si="68"/>
        <v>37</v>
      </c>
      <c r="AR529" s="45">
        <f t="shared" si="69"/>
        <v>0</v>
      </c>
      <c r="AS529" s="45">
        <f t="shared" si="70"/>
        <v>0</v>
      </c>
      <c r="AT529" s="45">
        <f t="shared" si="71"/>
        <v>5</v>
      </c>
      <c r="AU529" s="45" t="str">
        <f>_xlfn.XLOOKUP(U529,'Lista Suspensa'!$AA$20:$AA$23,'Lista Suspensa'!$AB$20:$AB$23,"N/A")</f>
        <v>S</v>
      </c>
    </row>
    <row r="530" spans="1:47" ht="12" customHeight="1" x14ac:dyDescent="0.3">
      <c r="A530" s="87" t="s">
        <v>47</v>
      </c>
      <c r="B530" s="88">
        <v>46104</v>
      </c>
      <c r="C530" s="89" t="s">
        <v>48</v>
      </c>
      <c r="D530" s="89" t="s">
        <v>49</v>
      </c>
      <c r="E530" s="90">
        <v>82101237</v>
      </c>
      <c r="F530" s="184" t="s">
        <v>1733</v>
      </c>
      <c r="G530" s="91">
        <v>13458547819</v>
      </c>
      <c r="H530" s="92">
        <v>19184</v>
      </c>
      <c r="I530" s="89">
        <v>73</v>
      </c>
      <c r="J530" s="89" t="s">
        <v>70</v>
      </c>
      <c r="K530" s="89" t="s">
        <v>52</v>
      </c>
      <c r="L530" s="89" t="s">
        <v>53</v>
      </c>
      <c r="M530" s="89" t="s">
        <v>1293</v>
      </c>
      <c r="N530" s="89" t="s">
        <v>148</v>
      </c>
      <c r="O530" s="93" t="s">
        <v>1734</v>
      </c>
      <c r="P530" s="94" t="s">
        <v>57</v>
      </c>
      <c r="Q530" s="112" t="s">
        <v>58</v>
      </c>
      <c r="R530" s="95">
        <v>46153</v>
      </c>
      <c r="S530" s="96"/>
      <c r="T530" s="96" t="s">
        <v>59</v>
      </c>
      <c r="U530" s="96" t="s">
        <v>60</v>
      </c>
      <c r="V530" s="92">
        <v>46141</v>
      </c>
      <c r="W530" s="92">
        <v>46154</v>
      </c>
      <c r="X530" s="92" t="s">
        <v>61</v>
      </c>
      <c r="Y530" s="97"/>
      <c r="Z530" s="89" t="s">
        <v>62</v>
      </c>
      <c r="AA530" s="96" t="s">
        <v>1735</v>
      </c>
      <c r="AB530" s="89" t="s">
        <v>80</v>
      </c>
      <c r="AC530" s="111"/>
      <c r="AD530" s="89"/>
      <c r="AE530" s="89"/>
      <c r="AF530" s="98"/>
      <c r="AG530" s="98"/>
      <c r="AH530" s="98"/>
      <c r="AI530" s="99" t="s">
        <v>197</v>
      </c>
      <c r="AJ530" s="99" t="s">
        <v>197</v>
      </c>
      <c r="AK530" s="99" t="s">
        <v>67</v>
      </c>
      <c r="AL530" s="45" t="s">
        <v>68</v>
      </c>
      <c r="AM530" s="162" t="str">
        <f t="shared" si="64"/>
        <v>3/2026</v>
      </c>
      <c r="AN530" s="45">
        <f t="shared" si="65"/>
        <v>4</v>
      </c>
      <c r="AO530" s="45" t="str">
        <f t="shared" si="66"/>
        <v>5/2026</v>
      </c>
      <c r="AP530" s="45">
        <f t="shared" si="67"/>
        <v>3</v>
      </c>
      <c r="AQ530" s="45">
        <f t="shared" si="68"/>
        <v>49</v>
      </c>
      <c r="AR530" s="45">
        <f t="shared" si="69"/>
        <v>0</v>
      </c>
      <c r="AS530" s="45">
        <f t="shared" si="70"/>
        <v>13</v>
      </c>
      <c r="AT530" s="45">
        <f t="shared" si="71"/>
        <v>0</v>
      </c>
      <c r="AU530" s="45" t="str">
        <f>_xlfn.XLOOKUP(U530,'Lista Suspensa'!$AA$20:$AA$23,'Lista Suspensa'!$AB$20:$AB$23,"N/A")</f>
        <v>S</v>
      </c>
    </row>
    <row r="531" spans="1:47" ht="12" customHeight="1" x14ac:dyDescent="0.3">
      <c r="A531" s="87" t="s">
        <v>47</v>
      </c>
      <c r="B531" s="88">
        <v>46104</v>
      </c>
      <c r="C531" s="89" t="s">
        <v>48</v>
      </c>
      <c r="D531" s="89" t="s">
        <v>49</v>
      </c>
      <c r="E531" s="90">
        <v>82870672</v>
      </c>
      <c r="F531" s="184" t="s">
        <v>1736</v>
      </c>
      <c r="G531" s="91">
        <v>28486699851</v>
      </c>
      <c r="H531" s="92">
        <v>28271</v>
      </c>
      <c r="I531" s="89">
        <v>48</v>
      </c>
      <c r="J531" s="89" t="s">
        <v>51</v>
      </c>
      <c r="K531" s="89" t="s">
        <v>52</v>
      </c>
      <c r="L531" s="89" t="s">
        <v>53</v>
      </c>
      <c r="M531" s="89" t="s">
        <v>1293</v>
      </c>
      <c r="N531" s="89" t="s">
        <v>148</v>
      </c>
      <c r="O531" s="93" t="s">
        <v>1737</v>
      </c>
      <c r="P531" s="94" t="s">
        <v>57</v>
      </c>
      <c r="Q531" s="112" t="s">
        <v>58</v>
      </c>
      <c r="R531" s="95">
        <v>46153</v>
      </c>
      <c r="S531" s="96"/>
      <c r="T531" s="96" t="s">
        <v>59</v>
      </c>
      <c r="U531" s="96" t="s">
        <v>60</v>
      </c>
      <c r="V531" s="92">
        <v>46141</v>
      </c>
      <c r="W531" s="92">
        <v>46154</v>
      </c>
      <c r="X531" s="92" t="s">
        <v>61</v>
      </c>
      <c r="Y531" s="97"/>
      <c r="Z531" s="89" t="s">
        <v>62</v>
      </c>
      <c r="AA531" s="96">
        <v>46164.527777777781</v>
      </c>
      <c r="AB531" s="89" t="s">
        <v>80</v>
      </c>
      <c r="AC531" s="111"/>
      <c r="AD531" s="89"/>
      <c r="AE531" s="89"/>
      <c r="AF531" s="98"/>
      <c r="AG531" s="98"/>
      <c r="AH531" s="98"/>
      <c r="AI531" s="99" t="s">
        <v>197</v>
      </c>
      <c r="AJ531" s="99" t="s">
        <v>197</v>
      </c>
      <c r="AK531" s="99" t="s">
        <v>67</v>
      </c>
      <c r="AL531" s="45" t="s">
        <v>68</v>
      </c>
      <c r="AM531" s="162" t="str">
        <f t="shared" si="64"/>
        <v>3/2026</v>
      </c>
      <c r="AN531" s="45">
        <f t="shared" si="65"/>
        <v>4</v>
      </c>
      <c r="AO531" s="45" t="str">
        <f t="shared" si="66"/>
        <v>5/2026</v>
      </c>
      <c r="AP531" s="45">
        <f t="shared" si="67"/>
        <v>3</v>
      </c>
      <c r="AQ531" s="45">
        <f t="shared" si="68"/>
        <v>49</v>
      </c>
      <c r="AR531" s="45">
        <f t="shared" si="69"/>
        <v>0</v>
      </c>
      <c r="AS531" s="45">
        <f t="shared" si="70"/>
        <v>13</v>
      </c>
      <c r="AT531" s="45">
        <f t="shared" si="71"/>
        <v>0</v>
      </c>
      <c r="AU531" s="45" t="str">
        <f>_xlfn.XLOOKUP(U531,'Lista Suspensa'!$AA$20:$AA$23,'Lista Suspensa'!$AB$20:$AB$23,"N/A")</f>
        <v>S</v>
      </c>
    </row>
    <row r="532" spans="1:47" ht="12" customHeight="1" x14ac:dyDescent="0.3">
      <c r="A532" s="87" t="s">
        <v>47</v>
      </c>
      <c r="B532" s="88">
        <v>46104</v>
      </c>
      <c r="C532" s="89" t="s">
        <v>48</v>
      </c>
      <c r="D532" s="89" t="s">
        <v>49</v>
      </c>
      <c r="E532" s="90">
        <v>89237184</v>
      </c>
      <c r="F532" s="184" t="s">
        <v>1738</v>
      </c>
      <c r="G532" s="91">
        <v>410372510</v>
      </c>
      <c r="H532" s="92">
        <v>29252</v>
      </c>
      <c r="I532" s="89">
        <v>46</v>
      </c>
      <c r="J532" s="89" t="s">
        <v>51</v>
      </c>
      <c r="K532" s="89" t="s">
        <v>52</v>
      </c>
      <c r="L532" s="89" t="s">
        <v>160</v>
      </c>
      <c r="M532" s="89" t="s">
        <v>1739</v>
      </c>
      <c r="N532" s="89" t="s">
        <v>148</v>
      </c>
      <c r="O532" s="93" t="s">
        <v>1740</v>
      </c>
      <c r="P532" s="94" t="s">
        <v>57</v>
      </c>
      <c r="Q532" s="112" t="s">
        <v>58</v>
      </c>
      <c r="R532" s="95">
        <v>46171</v>
      </c>
      <c r="S532" s="96"/>
      <c r="T532" s="96" t="s">
        <v>59</v>
      </c>
      <c r="U532" s="96" t="s">
        <v>60</v>
      </c>
      <c r="V532" s="92">
        <v>46141</v>
      </c>
      <c r="W532" s="92">
        <v>46154</v>
      </c>
      <c r="X532" s="92">
        <v>46160</v>
      </c>
      <c r="Y532" s="97"/>
      <c r="Z532" s="89" t="s">
        <v>62</v>
      </c>
      <c r="AA532" s="96">
        <v>46178</v>
      </c>
      <c r="AB532" s="89" t="s">
        <v>80</v>
      </c>
      <c r="AC532" s="111"/>
      <c r="AD532" s="89"/>
      <c r="AE532" s="89"/>
      <c r="AF532" s="98"/>
      <c r="AG532" s="98"/>
      <c r="AH532" s="98"/>
      <c r="AI532" s="99"/>
      <c r="AJ532" s="99" t="s">
        <v>197</v>
      </c>
      <c r="AK532" s="99" t="s">
        <v>67</v>
      </c>
      <c r="AL532" s="45" t="s">
        <v>68</v>
      </c>
      <c r="AM532" s="162" t="str">
        <f t="shared" si="64"/>
        <v>3/2026</v>
      </c>
      <c r="AN532" s="45">
        <f t="shared" si="65"/>
        <v>4</v>
      </c>
      <c r="AO532" s="45" t="str">
        <f t="shared" si="66"/>
        <v>5/2026</v>
      </c>
      <c r="AP532" s="45">
        <f t="shared" si="67"/>
        <v>5</v>
      </c>
      <c r="AQ532" s="45">
        <f t="shared" si="68"/>
        <v>67</v>
      </c>
      <c r="AR532" s="45">
        <f t="shared" si="69"/>
        <v>0</v>
      </c>
      <c r="AS532" s="45">
        <f t="shared" si="70"/>
        <v>9.5</v>
      </c>
      <c r="AT532" s="45">
        <f t="shared" si="71"/>
        <v>0</v>
      </c>
      <c r="AU532" s="45" t="str">
        <f>_xlfn.XLOOKUP(U532,'Lista Suspensa'!$AA$20:$AA$23,'Lista Suspensa'!$AB$20:$AB$23,"N/A")</f>
        <v>S</v>
      </c>
    </row>
    <row r="533" spans="1:47" ht="12" customHeight="1" x14ac:dyDescent="0.3">
      <c r="A533" s="87" t="s">
        <v>47</v>
      </c>
      <c r="B533" s="88">
        <v>46104</v>
      </c>
      <c r="C533" s="89" t="s">
        <v>48</v>
      </c>
      <c r="D533" s="89" t="s">
        <v>49</v>
      </c>
      <c r="E533" s="90">
        <v>95529164</v>
      </c>
      <c r="F533" s="184" t="s">
        <v>1741</v>
      </c>
      <c r="G533" s="91">
        <v>14607216836</v>
      </c>
      <c r="H533" s="92">
        <v>26887</v>
      </c>
      <c r="I533" s="89">
        <v>52</v>
      </c>
      <c r="J533" s="89" t="s">
        <v>51</v>
      </c>
      <c r="K533" s="89" t="s">
        <v>52</v>
      </c>
      <c r="L533" s="89" t="s">
        <v>128</v>
      </c>
      <c r="M533" s="89" t="s">
        <v>1742</v>
      </c>
      <c r="N533" s="89" t="s">
        <v>148</v>
      </c>
      <c r="O533" s="93" t="s">
        <v>1743</v>
      </c>
      <c r="P533" s="94" t="s">
        <v>57</v>
      </c>
      <c r="Q533" s="112" t="s">
        <v>58</v>
      </c>
      <c r="R533" s="95">
        <v>46153</v>
      </c>
      <c r="S533" s="96"/>
      <c r="T533" s="96" t="s">
        <v>59</v>
      </c>
      <c r="U533" s="96" t="s">
        <v>60</v>
      </c>
      <c r="V533" s="92">
        <v>46141</v>
      </c>
      <c r="W533" s="92">
        <v>46154</v>
      </c>
      <c r="X533" s="92" t="s">
        <v>61</v>
      </c>
      <c r="Y533" s="97"/>
      <c r="Z533" s="89" t="s">
        <v>62</v>
      </c>
      <c r="AA533" s="96">
        <v>46162.666666666664</v>
      </c>
      <c r="AB533" s="89" t="s">
        <v>80</v>
      </c>
      <c r="AC533" s="111"/>
      <c r="AD533" s="89"/>
      <c r="AE533" s="89"/>
      <c r="AF533" s="98"/>
      <c r="AG533" s="98"/>
      <c r="AH533" s="98"/>
      <c r="AI533" s="99" t="s">
        <v>197</v>
      </c>
      <c r="AJ533" s="99" t="s">
        <v>197</v>
      </c>
      <c r="AK533" s="99" t="s">
        <v>67</v>
      </c>
      <c r="AL533" s="45" t="s">
        <v>68</v>
      </c>
      <c r="AM533" s="162" t="str">
        <f t="shared" si="64"/>
        <v>3/2026</v>
      </c>
      <c r="AN533" s="45">
        <f t="shared" si="65"/>
        <v>4</v>
      </c>
      <c r="AO533" s="45" t="str">
        <f t="shared" si="66"/>
        <v>5/2026</v>
      </c>
      <c r="AP533" s="45">
        <f t="shared" si="67"/>
        <v>3</v>
      </c>
      <c r="AQ533" s="45">
        <f t="shared" si="68"/>
        <v>49</v>
      </c>
      <c r="AR533" s="45">
        <f t="shared" si="69"/>
        <v>0</v>
      </c>
      <c r="AS533" s="45">
        <f t="shared" si="70"/>
        <v>13</v>
      </c>
      <c r="AT533" s="45">
        <f t="shared" si="71"/>
        <v>0</v>
      </c>
      <c r="AU533" s="45" t="str">
        <f>_xlfn.XLOOKUP(U533,'Lista Suspensa'!$AA$20:$AA$23,'Lista Suspensa'!$AB$20:$AB$23,"N/A")</f>
        <v>S</v>
      </c>
    </row>
    <row r="534" spans="1:47" ht="12" customHeight="1" x14ac:dyDescent="0.3">
      <c r="A534" s="87" t="s">
        <v>47</v>
      </c>
      <c r="B534" s="88">
        <v>46104</v>
      </c>
      <c r="C534" s="89" t="s">
        <v>48</v>
      </c>
      <c r="D534" s="89" t="s">
        <v>49</v>
      </c>
      <c r="E534" s="90">
        <v>94582521</v>
      </c>
      <c r="F534" s="184" t="s">
        <v>1744</v>
      </c>
      <c r="G534" s="91">
        <v>18412345835</v>
      </c>
      <c r="H534" s="92">
        <v>21329</v>
      </c>
      <c r="I534" s="89">
        <v>67</v>
      </c>
      <c r="J534" s="89" t="s">
        <v>70</v>
      </c>
      <c r="K534" s="89" t="s">
        <v>52</v>
      </c>
      <c r="L534" s="89" t="s">
        <v>53</v>
      </c>
      <c r="M534" s="89" t="s">
        <v>1745</v>
      </c>
      <c r="N534" s="89" t="s">
        <v>148</v>
      </c>
      <c r="O534" s="93" t="s">
        <v>1746</v>
      </c>
      <c r="P534" s="94" t="s">
        <v>57</v>
      </c>
      <c r="Q534" s="112" t="s">
        <v>58</v>
      </c>
      <c r="R534" s="95">
        <v>46153</v>
      </c>
      <c r="S534" s="96"/>
      <c r="T534" s="96" t="s">
        <v>59</v>
      </c>
      <c r="U534" s="96" t="s">
        <v>60</v>
      </c>
      <c r="V534" s="92">
        <v>46141</v>
      </c>
      <c r="W534" s="92">
        <v>46154</v>
      </c>
      <c r="X534" s="92">
        <v>46161</v>
      </c>
      <c r="Y534" s="97" t="s">
        <v>1747</v>
      </c>
      <c r="Z534" s="89" t="s">
        <v>62</v>
      </c>
      <c r="AA534" s="96">
        <v>46161.430555555555</v>
      </c>
      <c r="AB534" s="89" t="s">
        <v>63</v>
      </c>
      <c r="AC534" s="111"/>
      <c r="AD534" s="89" t="s">
        <v>86</v>
      </c>
      <c r="AE534" s="89">
        <v>63</v>
      </c>
      <c r="AF534" s="98"/>
      <c r="AG534" s="98"/>
      <c r="AH534" s="98" t="s">
        <v>66</v>
      </c>
      <c r="AI534" s="99" t="s">
        <v>197</v>
      </c>
      <c r="AJ534" s="99" t="s">
        <v>197</v>
      </c>
      <c r="AK534" s="99" t="s">
        <v>67</v>
      </c>
      <c r="AL534" s="45" t="s">
        <v>68</v>
      </c>
      <c r="AM534" s="162" t="str">
        <f t="shared" si="64"/>
        <v>3/2026</v>
      </c>
      <c r="AN534" s="45">
        <f t="shared" si="65"/>
        <v>4</v>
      </c>
      <c r="AO534" s="45" t="str">
        <f t="shared" si="66"/>
        <v>5/2026</v>
      </c>
      <c r="AP534" s="45">
        <f t="shared" si="67"/>
        <v>3</v>
      </c>
      <c r="AQ534" s="45">
        <f t="shared" si="68"/>
        <v>49</v>
      </c>
      <c r="AR534" s="45">
        <f t="shared" si="69"/>
        <v>0</v>
      </c>
      <c r="AS534" s="45">
        <f t="shared" si="70"/>
        <v>10</v>
      </c>
      <c r="AT534" s="45">
        <f t="shared" si="71"/>
        <v>8.4305555555547471</v>
      </c>
      <c r="AU534" s="45" t="str">
        <f>_xlfn.XLOOKUP(U534,'Lista Suspensa'!$AA$20:$AA$23,'Lista Suspensa'!$AB$20:$AB$23,"N/A")</f>
        <v>S</v>
      </c>
    </row>
    <row r="535" spans="1:47" ht="12" customHeight="1" x14ac:dyDescent="0.3">
      <c r="A535" s="87" t="s">
        <v>47</v>
      </c>
      <c r="B535" s="88">
        <v>46104</v>
      </c>
      <c r="C535" s="89" t="s">
        <v>48</v>
      </c>
      <c r="D535" s="89" t="s">
        <v>49</v>
      </c>
      <c r="E535" s="193">
        <v>79779733</v>
      </c>
      <c r="F535" s="184" t="s">
        <v>1748</v>
      </c>
      <c r="G535" s="91">
        <v>28744897863</v>
      </c>
      <c r="H535" s="92">
        <v>28129</v>
      </c>
      <c r="I535" s="89">
        <v>49</v>
      </c>
      <c r="J535" s="89" t="s">
        <v>51</v>
      </c>
      <c r="K535" s="89" t="s">
        <v>52</v>
      </c>
      <c r="L535" s="89" t="s">
        <v>53</v>
      </c>
      <c r="M535" s="89" t="s">
        <v>1749</v>
      </c>
      <c r="N535" s="89" t="s">
        <v>148</v>
      </c>
      <c r="O535" s="93" t="s">
        <v>1750</v>
      </c>
      <c r="P535" s="94" t="s">
        <v>57</v>
      </c>
      <c r="Q535" s="112" t="s">
        <v>58</v>
      </c>
      <c r="R535" s="95">
        <v>46163</v>
      </c>
      <c r="S535" s="96"/>
      <c r="T535" s="96" t="s">
        <v>59</v>
      </c>
      <c r="U535" s="96" t="s">
        <v>60</v>
      </c>
      <c r="V535" s="92">
        <v>46141</v>
      </c>
      <c r="W535" s="92">
        <v>46154</v>
      </c>
      <c r="X535" s="92">
        <v>46160</v>
      </c>
      <c r="Y535" s="97"/>
      <c r="Z535" s="89" t="s">
        <v>62</v>
      </c>
      <c r="AA535" s="96">
        <v>46171</v>
      </c>
      <c r="AB535" s="89" t="s">
        <v>80</v>
      </c>
      <c r="AC535" s="111"/>
      <c r="AD535" s="89"/>
      <c r="AE535" s="89"/>
      <c r="AF535" s="98"/>
      <c r="AG535" s="98"/>
      <c r="AH535" s="98"/>
      <c r="AI535" s="99"/>
      <c r="AJ535" s="99" t="s">
        <v>197</v>
      </c>
      <c r="AK535" s="99" t="s">
        <v>67</v>
      </c>
      <c r="AL535" s="45" t="s">
        <v>68</v>
      </c>
      <c r="AM535" s="162" t="str">
        <f t="shared" si="64"/>
        <v>3/2026</v>
      </c>
      <c r="AN535" s="45">
        <f t="shared" si="65"/>
        <v>4</v>
      </c>
      <c r="AO535" s="45" t="str">
        <f t="shared" si="66"/>
        <v>5/2026</v>
      </c>
      <c r="AP535" s="45">
        <f t="shared" si="67"/>
        <v>4</v>
      </c>
      <c r="AQ535" s="45">
        <f t="shared" si="68"/>
        <v>59</v>
      </c>
      <c r="AR535" s="45">
        <f t="shared" si="69"/>
        <v>0</v>
      </c>
      <c r="AS535" s="45">
        <f t="shared" si="70"/>
        <v>9.5</v>
      </c>
      <c r="AT535" s="45">
        <f t="shared" si="71"/>
        <v>0</v>
      </c>
      <c r="AU535" s="45" t="str">
        <f>_xlfn.XLOOKUP(U535,'Lista Suspensa'!$AA$20:$AA$23,'Lista Suspensa'!$AB$20:$AB$23,"N/A")</f>
        <v>S</v>
      </c>
    </row>
    <row r="536" spans="1:47" ht="12" customHeight="1" x14ac:dyDescent="0.3">
      <c r="A536" s="87" t="s">
        <v>47</v>
      </c>
      <c r="B536" s="88">
        <v>46104</v>
      </c>
      <c r="C536" s="89" t="s">
        <v>48</v>
      </c>
      <c r="D536" s="89" t="s">
        <v>49</v>
      </c>
      <c r="E536" s="90">
        <v>87190938</v>
      </c>
      <c r="F536" s="184" t="s">
        <v>1751</v>
      </c>
      <c r="G536" s="91">
        <v>26598880866</v>
      </c>
      <c r="H536" s="92">
        <v>28173</v>
      </c>
      <c r="I536" s="89">
        <v>49</v>
      </c>
      <c r="J536" s="89" t="s">
        <v>51</v>
      </c>
      <c r="K536" s="89" t="s">
        <v>52</v>
      </c>
      <c r="L536" s="89" t="s">
        <v>331</v>
      </c>
      <c r="M536" s="89" t="s">
        <v>614</v>
      </c>
      <c r="N536" s="89" t="s">
        <v>148</v>
      </c>
      <c r="O536" s="93" t="s">
        <v>1752</v>
      </c>
      <c r="P536" s="94" t="s">
        <v>57</v>
      </c>
      <c r="Q536" s="112" t="s">
        <v>58</v>
      </c>
      <c r="R536" s="95">
        <v>46153</v>
      </c>
      <c r="S536" s="96"/>
      <c r="T536" s="96" t="s">
        <v>59</v>
      </c>
      <c r="U536" s="96" t="s">
        <v>60</v>
      </c>
      <c r="V536" s="92">
        <v>46141</v>
      </c>
      <c r="W536" s="92">
        <v>46154</v>
      </c>
      <c r="X536" s="92" t="s">
        <v>61</v>
      </c>
      <c r="Y536" s="97"/>
      <c r="Z536" s="89" t="s">
        <v>62</v>
      </c>
      <c r="AA536" s="96">
        <v>46161.444444444445</v>
      </c>
      <c r="AB536" s="89" t="s">
        <v>80</v>
      </c>
      <c r="AC536" s="111"/>
      <c r="AD536" s="89"/>
      <c r="AE536" s="89"/>
      <c r="AF536" s="98"/>
      <c r="AG536" s="98"/>
      <c r="AH536" s="98"/>
      <c r="AI536" s="99" t="s">
        <v>197</v>
      </c>
      <c r="AJ536" s="99" t="s">
        <v>197</v>
      </c>
      <c r="AK536" s="99" t="s">
        <v>67</v>
      </c>
      <c r="AL536" s="45" t="s">
        <v>68</v>
      </c>
      <c r="AM536" s="162" t="str">
        <f t="shared" si="64"/>
        <v>3/2026</v>
      </c>
      <c r="AN536" s="45">
        <f t="shared" si="65"/>
        <v>4</v>
      </c>
      <c r="AO536" s="45" t="str">
        <f t="shared" si="66"/>
        <v>5/2026</v>
      </c>
      <c r="AP536" s="45">
        <f t="shared" si="67"/>
        <v>3</v>
      </c>
      <c r="AQ536" s="45">
        <f t="shared" si="68"/>
        <v>49</v>
      </c>
      <c r="AR536" s="45">
        <f t="shared" si="69"/>
        <v>0</v>
      </c>
      <c r="AS536" s="45">
        <f t="shared" si="70"/>
        <v>13</v>
      </c>
      <c r="AT536" s="45">
        <f t="shared" si="71"/>
        <v>0</v>
      </c>
      <c r="AU536" s="45" t="str">
        <f>_xlfn.XLOOKUP(U536,'Lista Suspensa'!$AA$20:$AA$23,'Lista Suspensa'!$AB$20:$AB$23,"N/A")</f>
        <v>S</v>
      </c>
    </row>
    <row r="537" spans="1:47" ht="12" customHeight="1" x14ac:dyDescent="0.3">
      <c r="A537" s="87" t="s">
        <v>47</v>
      </c>
      <c r="B537" s="88">
        <v>46104</v>
      </c>
      <c r="C537" s="89" t="s">
        <v>48</v>
      </c>
      <c r="D537" s="89" t="s">
        <v>49</v>
      </c>
      <c r="E537" s="193">
        <v>94156510</v>
      </c>
      <c r="F537" s="184" t="s">
        <v>1753</v>
      </c>
      <c r="G537" s="91">
        <v>1445991802</v>
      </c>
      <c r="H537" s="92">
        <v>22021</v>
      </c>
      <c r="I537" s="89">
        <v>65</v>
      </c>
      <c r="J537" s="89" t="s">
        <v>51</v>
      </c>
      <c r="K537" s="89" t="s">
        <v>52</v>
      </c>
      <c r="L537" s="89" t="s">
        <v>53</v>
      </c>
      <c r="M537" s="89" t="s">
        <v>1754</v>
      </c>
      <c r="N537" s="89" t="s">
        <v>148</v>
      </c>
      <c r="O537" s="93" t="s">
        <v>1755</v>
      </c>
      <c r="P537" s="94" t="s">
        <v>57</v>
      </c>
      <c r="Q537" s="112" t="s">
        <v>58</v>
      </c>
      <c r="R537" s="95">
        <v>46163</v>
      </c>
      <c r="S537" s="96"/>
      <c r="T537" s="96" t="s">
        <v>59</v>
      </c>
      <c r="U537" s="96" t="s">
        <v>60</v>
      </c>
      <c r="V537" s="92">
        <v>46141</v>
      </c>
      <c r="W537" s="92">
        <v>46154</v>
      </c>
      <c r="X537" s="92">
        <v>46160</v>
      </c>
      <c r="Y537" s="97"/>
      <c r="Z537" s="89"/>
      <c r="AA537" s="96"/>
      <c r="AB537" s="89"/>
      <c r="AC537" s="111"/>
      <c r="AD537" s="89"/>
      <c r="AE537" s="89"/>
      <c r="AF537" s="98"/>
      <c r="AG537" s="98"/>
      <c r="AH537" s="98"/>
      <c r="AI537" s="99"/>
      <c r="AJ537" s="99" t="s">
        <v>197</v>
      </c>
      <c r="AK537" s="99" t="s">
        <v>67</v>
      </c>
      <c r="AL537" s="45" t="s">
        <v>68</v>
      </c>
      <c r="AM537" s="162" t="str">
        <f t="shared" si="64"/>
        <v>3/2026</v>
      </c>
      <c r="AN537" s="45">
        <f t="shared" si="65"/>
        <v>4</v>
      </c>
      <c r="AO537" s="45" t="str">
        <f t="shared" si="66"/>
        <v>5/2026</v>
      </c>
      <c r="AP537" s="45">
        <f t="shared" si="67"/>
        <v>4</v>
      </c>
      <c r="AQ537" s="45">
        <f t="shared" si="68"/>
        <v>59</v>
      </c>
      <c r="AR537" s="45">
        <f t="shared" si="69"/>
        <v>0</v>
      </c>
      <c r="AS537" s="45">
        <f t="shared" si="70"/>
        <v>9.5</v>
      </c>
      <c r="AT537" s="45">
        <f t="shared" si="71"/>
        <v>0</v>
      </c>
      <c r="AU537" s="45" t="str">
        <f>_xlfn.XLOOKUP(U537,'Lista Suspensa'!$AA$20:$AA$23,'Lista Suspensa'!$AB$20:$AB$23,"N/A")</f>
        <v>S</v>
      </c>
    </row>
    <row r="538" spans="1:47" ht="12" customHeight="1" x14ac:dyDescent="0.3">
      <c r="A538" s="87" t="s">
        <v>47</v>
      </c>
      <c r="B538" s="88">
        <v>46104</v>
      </c>
      <c r="C538" s="89" t="s">
        <v>48</v>
      </c>
      <c r="D538" s="89" t="s">
        <v>49</v>
      </c>
      <c r="E538" s="90">
        <v>81438445</v>
      </c>
      <c r="F538" s="184" t="s">
        <v>1756</v>
      </c>
      <c r="G538" s="91">
        <v>450183831</v>
      </c>
      <c r="H538" s="92">
        <v>20529</v>
      </c>
      <c r="I538" s="89">
        <v>70</v>
      </c>
      <c r="J538" s="89" t="s">
        <v>70</v>
      </c>
      <c r="K538" s="89" t="s">
        <v>52</v>
      </c>
      <c r="L538" s="89" t="s">
        <v>331</v>
      </c>
      <c r="M538" s="89" t="s">
        <v>1757</v>
      </c>
      <c r="N538" s="89" t="s">
        <v>148</v>
      </c>
      <c r="O538" s="93" t="s">
        <v>1758</v>
      </c>
      <c r="P538" s="94" t="s">
        <v>57</v>
      </c>
      <c r="Q538" s="112" t="s">
        <v>58</v>
      </c>
      <c r="R538" s="95">
        <v>46153</v>
      </c>
      <c r="S538" s="96"/>
      <c r="T538" s="96" t="s">
        <v>59</v>
      </c>
      <c r="U538" s="96" t="s">
        <v>60</v>
      </c>
      <c r="V538" s="92">
        <v>46141</v>
      </c>
      <c r="W538" s="92">
        <v>46154</v>
      </c>
      <c r="X538" s="92" t="s">
        <v>61</v>
      </c>
      <c r="Y538" s="97"/>
      <c r="Z538" s="89" t="s">
        <v>62</v>
      </c>
      <c r="AA538" s="96">
        <v>46161.458333333336</v>
      </c>
      <c r="AB538" s="89" t="s">
        <v>80</v>
      </c>
      <c r="AC538" s="111"/>
      <c r="AD538" s="89"/>
      <c r="AE538" s="89"/>
      <c r="AF538" s="98"/>
      <c r="AG538" s="98"/>
      <c r="AH538" s="98"/>
      <c r="AI538" s="99" t="s">
        <v>197</v>
      </c>
      <c r="AJ538" s="99" t="s">
        <v>197</v>
      </c>
      <c r="AK538" s="99" t="s">
        <v>67</v>
      </c>
      <c r="AL538" s="45" t="s">
        <v>68</v>
      </c>
      <c r="AM538" s="162" t="str">
        <f t="shared" si="64"/>
        <v>3/2026</v>
      </c>
      <c r="AN538" s="45">
        <f t="shared" si="65"/>
        <v>4</v>
      </c>
      <c r="AO538" s="45" t="str">
        <f t="shared" si="66"/>
        <v>5/2026</v>
      </c>
      <c r="AP538" s="45">
        <f t="shared" si="67"/>
        <v>3</v>
      </c>
      <c r="AQ538" s="45">
        <f t="shared" si="68"/>
        <v>49</v>
      </c>
      <c r="AR538" s="45">
        <f t="shared" si="69"/>
        <v>0</v>
      </c>
      <c r="AS538" s="45">
        <f t="shared" si="70"/>
        <v>13</v>
      </c>
      <c r="AT538" s="45">
        <f t="shared" si="71"/>
        <v>0</v>
      </c>
      <c r="AU538" s="45" t="str">
        <f>_xlfn.XLOOKUP(U538,'Lista Suspensa'!$AA$20:$AA$23,'Lista Suspensa'!$AB$20:$AB$23,"N/A")</f>
        <v>S</v>
      </c>
    </row>
    <row r="539" spans="1:47" ht="12" customHeight="1" x14ac:dyDescent="0.3">
      <c r="A539" s="87" t="s">
        <v>47</v>
      </c>
      <c r="B539" s="88">
        <v>46104</v>
      </c>
      <c r="C539" s="89" t="s">
        <v>48</v>
      </c>
      <c r="D539" s="89" t="s">
        <v>49</v>
      </c>
      <c r="E539" s="90">
        <v>86323005</v>
      </c>
      <c r="F539" s="184" t="s">
        <v>1759</v>
      </c>
      <c r="G539" s="91">
        <v>10874063825</v>
      </c>
      <c r="H539" s="92">
        <v>22681</v>
      </c>
      <c r="I539" s="89">
        <v>64</v>
      </c>
      <c r="J539" s="89" t="s">
        <v>70</v>
      </c>
      <c r="K539" s="89" t="s">
        <v>52</v>
      </c>
      <c r="L539" s="89" t="s">
        <v>331</v>
      </c>
      <c r="M539" s="89" t="s">
        <v>1760</v>
      </c>
      <c r="N539" s="89" t="s">
        <v>148</v>
      </c>
      <c r="O539" s="93" t="s">
        <v>1761</v>
      </c>
      <c r="P539" s="94" t="s">
        <v>57</v>
      </c>
      <c r="Q539" s="112" t="s">
        <v>58</v>
      </c>
      <c r="R539" s="95">
        <v>46164</v>
      </c>
      <c r="S539" s="96"/>
      <c r="T539" s="96" t="s">
        <v>59</v>
      </c>
      <c r="U539" s="96" t="s">
        <v>60</v>
      </c>
      <c r="V539" s="92">
        <v>46141</v>
      </c>
      <c r="W539" s="92">
        <v>46154</v>
      </c>
      <c r="X539" s="92">
        <v>46160</v>
      </c>
      <c r="Y539" s="97"/>
      <c r="Z539" s="89" t="s">
        <v>62</v>
      </c>
      <c r="AA539" s="96">
        <v>46176</v>
      </c>
      <c r="AB539" s="89" t="s">
        <v>80</v>
      </c>
      <c r="AC539" s="111"/>
      <c r="AD539" s="89"/>
      <c r="AE539" s="89"/>
      <c r="AF539" s="98"/>
      <c r="AG539" s="98"/>
      <c r="AH539" s="98"/>
      <c r="AI539" s="99"/>
      <c r="AJ539" s="99" t="s">
        <v>197</v>
      </c>
      <c r="AK539" s="99" t="s">
        <v>67</v>
      </c>
      <c r="AL539" s="45" t="s">
        <v>68</v>
      </c>
      <c r="AM539" s="162" t="str">
        <f t="shared" si="64"/>
        <v>3/2026</v>
      </c>
      <c r="AN539" s="45">
        <f t="shared" si="65"/>
        <v>4</v>
      </c>
      <c r="AO539" s="45" t="str">
        <f t="shared" si="66"/>
        <v>5/2026</v>
      </c>
      <c r="AP539" s="45">
        <f t="shared" si="67"/>
        <v>4</v>
      </c>
      <c r="AQ539" s="45">
        <f t="shared" si="68"/>
        <v>60</v>
      </c>
      <c r="AR539" s="45">
        <f t="shared" si="69"/>
        <v>0</v>
      </c>
      <c r="AS539" s="45">
        <f t="shared" si="70"/>
        <v>9.5</v>
      </c>
      <c r="AT539" s="45">
        <f t="shared" si="71"/>
        <v>0</v>
      </c>
      <c r="AU539" s="45" t="str">
        <f>_xlfn.XLOOKUP(U539,'Lista Suspensa'!$AA$20:$AA$23,'Lista Suspensa'!$AB$20:$AB$23,"N/A")</f>
        <v>S</v>
      </c>
    </row>
    <row r="540" spans="1:47" ht="12" customHeight="1" x14ac:dyDescent="0.3">
      <c r="A540" s="87" t="s">
        <v>47</v>
      </c>
      <c r="B540" s="88">
        <v>46104</v>
      </c>
      <c r="C540" s="89" t="s">
        <v>48</v>
      </c>
      <c r="D540" s="89" t="s">
        <v>49</v>
      </c>
      <c r="E540" s="90">
        <v>95092964</v>
      </c>
      <c r="F540" s="184" t="s">
        <v>1762</v>
      </c>
      <c r="G540" s="91">
        <v>31804372862</v>
      </c>
      <c r="H540" s="92">
        <v>28562</v>
      </c>
      <c r="I540" s="89">
        <v>48</v>
      </c>
      <c r="J540" s="89" t="s">
        <v>70</v>
      </c>
      <c r="K540" s="89" t="s">
        <v>52</v>
      </c>
      <c r="L540" s="89" t="s">
        <v>53</v>
      </c>
      <c r="M540" s="89" t="s">
        <v>1763</v>
      </c>
      <c r="N540" s="89" t="s">
        <v>148</v>
      </c>
      <c r="O540" s="93" t="s">
        <v>1764</v>
      </c>
      <c r="P540" s="94" t="s">
        <v>57</v>
      </c>
      <c r="Q540" s="112" t="s">
        <v>58</v>
      </c>
      <c r="R540" s="95">
        <v>46141</v>
      </c>
      <c r="S540" s="96"/>
      <c r="T540" s="96" t="s">
        <v>59</v>
      </c>
      <c r="U540" s="96" t="s">
        <v>60</v>
      </c>
      <c r="V540" s="92">
        <v>46141</v>
      </c>
      <c r="W540" s="92" t="s">
        <v>61</v>
      </c>
      <c r="X540" s="92" t="s">
        <v>61</v>
      </c>
      <c r="Y540" s="97"/>
      <c r="Z540" s="89" t="s">
        <v>62</v>
      </c>
      <c r="AA540" s="96" t="s">
        <v>1096</v>
      </c>
      <c r="AB540" s="89" t="s">
        <v>80</v>
      </c>
      <c r="AC540" s="111"/>
      <c r="AD540" s="89"/>
      <c r="AE540" s="89"/>
      <c r="AF540" s="98"/>
      <c r="AG540" s="98"/>
      <c r="AH540" s="98"/>
      <c r="AI540" s="99" t="s">
        <v>67</v>
      </c>
      <c r="AJ540" s="99" t="s">
        <v>67</v>
      </c>
      <c r="AK540" s="99" t="s">
        <v>67</v>
      </c>
      <c r="AL540" s="45" t="s">
        <v>68</v>
      </c>
      <c r="AM540" s="162" t="str">
        <f t="shared" si="64"/>
        <v>3/2026</v>
      </c>
      <c r="AN540" s="45">
        <f t="shared" si="65"/>
        <v>4</v>
      </c>
      <c r="AO540" s="45" t="str">
        <f t="shared" si="66"/>
        <v>4/2026</v>
      </c>
      <c r="AP540" s="45">
        <f t="shared" si="67"/>
        <v>5</v>
      </c>
      <c r="AQ540" s="45">
        <f t="shared" si="68"/>
        <v>37</v>
      </c>
      <c r="AR540" s="45">
        <f t="shared" si="69"/>
        <v>0</v>
      </c>
      <c r="AS540" s="45">
        <f t="shared" si="70"/>
        <v>0</v>
      </c>
      <c r="AT540" s="45">
        <f t="shared" si="71"/>
        <v>0</v>
      </c>
      <c r="AU540" s="45" t="str">
        <f>_xlfn.XLOOKUP(U540,'Lista Suspensa'!$AA$20:$AA$23,'Lista Suspensa'!$AB$20:$AB$23,"N/A")</f>
        <v>S</v>
      </c>
    </row>
    <row r="541" spans="1:47" ht="12" customHeight="1" x14ac:dyDescent="0.3">
      <c r="A541" s="87" t="s">
        <v>47</v>
      </c>
      <c r="B541" s="88">
        <v>46104</v>
      </c>
      <c r="C541" s="89" t="s">
        <v>48</v>
      </c>
      <c r="D541" s="89" t="s">
        <v>49</v>
      </c>
      <c r="E541" s="90">
        <v>83462522</v>
      </c>
      <c r="F541" s="184" t="s">
        <v>1765</v>
      </c>
      <c r="G541" s="91">
        <v>64584038872</v>
      </c>
      <c r="H541" s="92">
        <v>18303</v>
      </c>
      <c r="I541" s="89">
        <v>76</v>
      </c>
      <c r="J541" s="89" t="s">
        <v>51</v>
      </c>
      <c r="K541" s="89" t="s">
        <v>52</v>
      </c>
      <c r="L541" s="89" t="s">
        <v>53</v>
      </c>
      <c r="M541" s="89" t="s">
        <v>1766</v>
      </c>
      <c r="N541" s="89" t="s">
        <v>148</v>
      </c>
      <c r="O541" s="93" t="s">
        <v>1767</v>
      </c>
      <c r="P541" s="94" t="s">
        <v>57</v>
      </c>
      <c r="Q541" s="112" t="s">
        <v>58</v>
      </c>
      <c r="R541" s="95">
        <v>46147</v>
      </c>
      <c r="S541" s="96"/>
      <c r="T541" s="96" t="s">
        <v>59</v>
      </c>
      <c r="U541" s="96" t="s">
        <v>60</v>
      </c>
      <c r="V541" s="92">
        <v>46141</v>
      </c>
      <c r="W541" s="92">
        <v>46150</v>
      </c>
      <c r="X541" s="92" t="s">
        <v>61</v>
      </c>
      <c r="Y541" s="97"/>
      <c r="Z541" s="89" t="s">
        <v>62</v>
      </c>
      <c r="AA541" s="96">
        <v>46160</v>
      </c>
      <c r="AB541" s="89" t="s">
        <v>63</v>
      </c>
      <c r="AC541" s="111"/>
      <c r="AD541" s="89"/>
      <c r="AE541" s="89"/>
      <c r="AF541" s="98"/>
      <c r="AG541" s="98"/>
      <c r="AH541" s="98"/>
      <c r="AI541" s="99" t="s">
        <v>197</v>
      </c>
      <c r="AJ541" s="99" t="s">
        <v>197</v>
      </c>
      <c r="AK541" s="99" t="s">
        <v>67</v>
      </c>
      <c r="AL541" s="45" t="s">
        <v>68</v>
      </c>
      <c r="AM541" s="162" t="str">
        <f t="shared" si="64"/>
        <v>3/2026</v>
      </c>
      <c r="AN541" s="45">
        <f t="shared" si="65"/>
        <v>4</v>
      </c>
      <c r="AO541" s="45" t="str">
        <f t="shared" si="66"/>
        <v>5/2026</v>
      </c>
      <c r="AP541" s="45">
        <f t="shared" si="67"/>
        <v>2</v>
      </c>
      <c r="AQ541" s="45">
        <f t="shared" si="68"/>
        <v>43</v>
      </c>
      <c r="AR541" s="45">
        <f t="shared" si="69"/>
        <v>0</v>
      </c>
      <c r="AS541" s="45">
        <f t="shared" si="70"/>
        <v>9</v>
      </c>
      <c r="AT541" s="45">
        <f t="shared" si="71"/>
        <v>13</v>
      </c>
      <c r="AU541" s="45" t="str">
        <f>_xlfn.XLOOKUP(U541,'Lista Suspensa'!$AA$20:$AA$23,'Lista Suspensa'!$AB$20:$AB$23,"N/A")</f>
        <v>S</v>
      </c>
    </row>
    <row r="542" spans="1:47" ht="12" customHeight="1" x14ac:dyDescent="0.3">
      <c r="A542" s="87" t="s">
        <v>47</v>
      </c>
      <c r="B542" s="88">
        <v>46104</v>
      </c>
      <c r="C542" s="89" t="s">
        <v>48</v>
      </c>
      <c r="D542" s="89" t="s">
        <v>49</v>
      </c>
      <c r="E542" s="90">
        <v>89445079</v>
      </c>
      <c r="F542" s="184" t="s">
        <v>1768</v>
      </c>
      <c r="G542" s="91">
        <v>17013651893</v>
      </c>
      <c r="H542" s="92">
        <v>27457</v>
      </c>
      <c r="I542" s="89">
        <v>51</v>
      </c>
      <c r="J542" s="89" t="s">
        <v>51</v>
      </c>
      <c r="K542" s="89" t="s">
        <v>52</v>
      </c>
      <c r="L542" s="89" t="s">
        <v>53</v>
      </c>
      <c r="M542" s="89" t="s">
        <v>1551</v>
      </c>
      <c r="N542" s="89" t="s">
        <v>148</v>
      </c>
      <c r="O542" s="93" t="s">
        <v>1769</v>
      </c>
      <c r="P542" s="94" t="s">
        <v>57</v>
      </c>
      <c r="Q542" s="112" t="s">
        <v>58</v>
      </c>
      <c r="R542" s="95">
        <v>46171</v>
      </c>
      <c r="S542" s="96"/>
      <c r="T542" s="96" t="s">
        <v>59</v>
      </c>
      <c r="U542" s="96" t="s">
        <v>60</v>
      </c>
      <c r="V542" s="92">
        <v>46112</v>
      </c>
      <c r="W542" s="92">
        <v>46141</v>
      </c>
      <c r="X542" s="92">
        <v>46142</v>
      </c>
      <c r="Y542" s="97"/>
      <c r="Z542" s="89" t="s">
        <v>62</v>
      </c>
      <c r="AA542" s="96">
        <v>46178</v>
      </c>
      <c r="AB542" s="89" t="s">
        <v>63</v>
      </c>
      <c r="AC542" s="111"/>
      <c r="AD542" s="89" t="s">
        <v>86</v>
      </c>
      <c r="AE542" s="89">
        <v>52</v>
      </c>
      <c r="AF542" s="98"/>
      <c r="AG542" s="98" t="s">
        <v>296</v>
      </c>
      <c r="AH542" s="98" t="s">
        <v>66</v>
      </c>
      <c r="AI542" s="99"/>
      <c r="AJ542" s="99" t="s">
        <v>197</v>
      </c>
      <c r="AK542" s="99" t="s">
        <v>67</v>
      </c>
      <c r="AL542" s="45" t="s">
        <v>68</v>
      </c>
      <c r="AM542" s="162" t="str">
        <f t="shared" si="64"/>
        <v>3/2026</v>
      </c>
      <c r="AN542" s="45">
        <f t="shared" si="65"/>
        <v>4</v>
      </c>
      <c r="AO542" s="45" t="str">
        <f t="shared" si="66"/>
        <v>5/2026</v>
      </c>
      <c r="AP542" s="45">
        <f t="shared" si="67"/>
        <v>5</v>
      </c>
      <c r="AQ542" s="45">
        <f t="shared" si="68"/>
        <v>67</v>
      </c>
      <c r="AR542" s="45">
        <f t="shared" si="69"/>
        <v>0</v>
      </c>
      <c r="AS542" s="45">
        <f t="shared" si="70"/>
        <v>15</v>
      </c>
      <c r="AT542" s="45">
        <f t="shared" si="71"/>
        <v>7</v>
      </c>
      <c r="AU542" s="45" t="str">
        <f>_xlfn.XLOOKUP(U542,'Lista Suspensa'!$AA$20:$AA$23,'Lista Suspensa'!$AB$20:$AB$23,"N/A")</f>
        <v>S</v>
      </c>
    </row>
    <row r="543" spans="1:47" ht="12" customHeight="1" x14ac:dyDescent="0.3">
      <c r="A543" s="87" t="s">
        <v>47</v>
      </c>
      <c r="B543" s="88">
        <v>46104</v>
      </c>
      <c r="C543" s="89" t="s">
        <v>48</v>
      </c>
      <c r="D543" s="89" t="s">
        <v>49</v>
      </c>
      <c r="E543" s="90">
        <v>85888241</v>
      </c>
      <c r="F543" s="184" t="s">
        <v>1770</v>
      </c>
      <c r="G543" s="91">
        <v>36400784896</v>
      </c>
      <c r="H543" s="92">
        <v>31995</v>
      </c>
      <c r="I543" s="89">
        <v>38</v>
      </c>
      <c r="J543" s="89" t="s">
        <v>70</v>
      </c>
      <c r="K543" s="89" t="s">
        <v>52</v>
      </c>
      <c r="L543" s="89" t="s">
        <v>331</v>
      </c>
      <c r="M543" s="89" t="s">
        <v>1771</v>
      </c>
      <c r="N543" s="89" t="s">
        <v>148</v>
      </c>
      <c r="O543" s="93" t="s">
        <v>1772</v>
      </c>
      <c r="P543" s="94" t="s">
        <v>57</v>
      </c>
      <c r="Q543" s="112" t="s">
        <v>58</v>
      </c>
      <c r="R543" s="95">
        <v>46141</v>
      </c>
      <c r="S543" s="96"/>
      <c r="T543" s="96" t="s">
        <v>59</v>
      </c>
      <c r="U543" s="96" t="s">
        <v>60</v>
      </c>
      <c r="V543" s="92">
        <v>46141</v>
      </c>
      <c r="W543" s="92" t="s">
        <v>61</v>
      </c>
      <c r="X543" s="92" t="s">
        <v>61</v>
      </c>
      <c r="Y543" s="97"/>
      <c r="Z543" s="89" t="s">
        <v>62</v>
      </c>
      <c r="AA543" s="96">
        <v>46160</v>
      </c>
      <c r="AB543" s="89" t="s">
        <v>80</v>
      </c>
      <c r="AC543" s="111"/>
      <c r="AD543" s="89"/>
      <c r="AE543" s="89"/>
      <c r="AF543" s="98"/>
      <c r="AG543" s="98"/>
      <c r="AH543" s="98"/>
      <c r="AI543" s="99" t="s">
        <v>67</v>
      </c>
      <c r="AJ543" s="99" t="s">
        <v>67</v>
      </c>
      <c r="AK543" s="99" t="s">
        <v>67</v>
      </c>
      <c r="AL543" s="45" t="s">
        <v>68</v>
      </c>
      <c r="AM543" s="162" t="str">
        <f t="shared" si="64"/>
        <v>3/2026</v>
      </c>
      <c r="AN543" s="45">
        <f t="shared" si="65"/>
        <v>4</v>
      </c>
      <c r="AO543" s="45" t="str">
        <f t="shared" si="66"/>
        <v>4/2026</v>
      </c>
      <c r="AP543" s="45">
        <f t="shared" si="67"/>
        <v>5</v>
      </c>
      <c r="AQ543" s="45">
        <f t="shared" si="68"/>
        <v>37</v>
      </c>
      <c r="AR543" s="45">
        <f t="shared" si="69"/>
        <v>0</v>
      </c>
      <c r="AS543" s="45">
        <f t="shared" si="70"/>
        <v>0</v>
      </c>
      <c r="AT543" s="45">
        <f t="shared" si="71"/>
        <v>0</v>
      </c>
      <c r="AU543" s="45" t="str">
        <f>_xlfn.XLOOKUP(U543,'Lista Suspensa'!$AA$20:$AA$23,'Lista Suspensa'!$AB$20:$AB$23,"N/A")</f>
        <v>S</v>
      </c>
    </row>
    <row r="544" spans="1:47" ht="12" customHeight="1" x14ac:dyDescent="0.3">
      <c r="A544" s="87" t="s">
        <v>47</v>
      </c>
      <c r="B544" s="88">
        <v>46104</v>
      </c>
      <c r="C544" s="89" t="s">
        <v>48</v>
      </c>
      <c r="D544" s="89" t="s">
        <v>49</v>
      </c>
      <c r="E544" s="90">
        <v>86385433</v>
      </c>
      <c r="F544" s="184" t="s">
        <v>1773</v>
      </c>
      <c r="G544" s="91">
        <v>447341820</v>
      </c>
      <c r="H544" s="92">
        <v>20095</v>
      </c>
      <c r="I544" s="89">
        <v>71</v>
      </c>
      <c r="J544" s="89" t="s">
        <v>70</v>
      </c>
      <c r="K544" s="89" t="s">
        <v>52</v>
      </c>
      <c r="L544" s="89" t="s">
        <v>331</v>
      </c>
      <c r="M544" s="89" t="s">
        <v>1256</v>
      </c>
      <c r="N544" s="89" t="s">
        <v>148</v>
      </c>
      <c r="O544" s="93" t="s">
        <v>1774</v>
      </c>
      <c r="P544" s="94" t="s">
        <v>57</v>
      </c>
      <c r="Q544" s="112" t="s">
        <v>58</v>
      </c>
      <c r="R544" s="95">
        <v>46171</v>
      </c>
      <c r="S544" s="96"/>
      <c r="T544" s="96" t="s">
        <v>59</v>
      </c>
      <c r="U544" s="96" t="s">
        <v>60</v>
      </c>
      <c r="V544" s="92">
        <v>46128</v>
      </c>
      <c r="W544" s="92">
        <v>46141</v>
      </c>
      <c r="X544" s="92">
        <v>46142</v>
      </c>
      <c r="Y544" s="97"/>
      <c r="Z544" s="89" t="s">
        <v>62</v>
      </c>
      <c r="AA544" s="96">
        <v>46178</v>
      </c>
      <c r="AB544" s="89" t="s">
        <v>80</v>
      </c>
      <c r="AC544" s="111"/>
      <c r="AD544" s="89"/>
      <c r="AE544" s="89"/>
      <c r="AF544" s="98"/>
      <c r="AG544" s="98"/>
      <c r="AH544" s="98"/>
      <c r="AI544" s="99"/>
      <c r="AJ544" s="99" t="s">
        <v>197</v>
      </c>
      <c r="AK544" s="99" t="s">
        <v>67</v>
      </c>
      <c r="AL544" s="45" t="s">
        <v>68</v>
      </c>
      <c r="AM544" s="162" t="str">
        <f t="shared" si="64"/>
        <v>3/2026</v>
      </c>
      <c r="AN544" s="45">
        <f t="shared" si="65"/>
        <v>4</v>
      </c>
      <c r="AO544" s="45" t="str">
        <f t="shared" si="66"/>
        <v>5/2026</v>
      </c>
      <c r="AP544" s="45">
        <f t="shared" si="67"/>
        <v>5</v>
      </c>
      <c r="AQ544" s="45">
        <f t="shared" si="68"/>
        <v>67</v>
      </c>
      <c r="AR544" s="45">
        <f t="shared" si="69"/>
        <v>0</v>
      </c>
      <c r="AS544" s="45">
        <f t="shared" si="70"/>
        <v>7</v>
      </c>
      <c r="AT544" s="45">
        <f t="shared" si="71"/>
        <v>0</v>
      </c>
      <c r="AU544" s="45" t="str">
        <f>_xlfn.XLOOKUP(U544,'Lista Suspensa'!$AA$20:$AA$23,'Lista Suspensa'!$AB$20:$AB$23,"N/A")</f>
        <v>S</v>
      </c>
    </row>
    <row r="545" spans="1:47" ht="12" customHeight="1" x14ac:dyDescent="0.3">
      <c r="A545" s="87" t="s">
        <v>47</v>
      </c>
      <c r="B545" s="88">
        <v>46104</v>
      </c>
      <c r="C545" s="89" t="s">
        <v>48</v>
      </c>
      <c r="D545" s="89" t="s">
        <v>49</v>
      </c>
      <c r="E545" s="90">
        <v>79412289</v>
      </c>
      <c r="F545" s="184" t="s">
        <v>1775</v>
      </c>
      <c r="G545" s="91">
        <v>53411463791</v>
      </c>
      <c r="H545" s="92">
        <v>20745</v>
      </c>
      <c r="I545" s="89">
        <v>69</v>
      </c>
      <c r="J545" s="89" t="s">
        <v>51</v>
      </c>
      <c r="K545" s="89" t="s">
        <v>88</v>
      </c>
      <c r="L545" s="89" t="s">
        <v>89</v>
      </c>
      <c r="M545" s="89" t="s">
        <v>1645</v>
      </c>
      <c r="N545" s="89" t="s">
        <v>148</v>
      </c>
      <c r="O545" s="93" t="s">
        <v>1776</v>
      </c>
      <c r="P545" s="94" t="s">
        <v>57</v>
      </c>
      <c r="Q545" s="112" t="s">
        <v>58</v>
      </c>
      <c r="R545" s="95">
        <v>46141</v>
      </c>
      <c r="S545" s="96"/>
      <c r="T545" s="96" t="s">
        <v>59</v>
      </c>
      <c r="U545" s="96" t="s">
        <v>60</v>
      </c>
      <c r="V545" s="92">
        <v>46141</v>
      </c>
      <c r="W545" s="92" t="s">
        <v>61</v>
      </c>
      <c r="X545" s="92" t="s">
        <v>61</v>
      </c>
      <c r="Y545" s="97"/>
      <c r="Z545" s="89" t="s">
        <v>62</v>
      </c>
      <c r="AA545" s="96">
        <v>46146</v>
      </c>
      <c r="AB545" s="89" t="s">
        <v>80</v>
      </c>
      <c r="AC545" s="111">
        <v>46149</v>
      </c>
      <c r="AD545" s="89"/>
      <c r="AE545" s="89"/>
      <c r="AF545" s="98"/>
      <c r="AG545" s="98"/>
      <c r="AH545" s="98"/>
      <c r="AI545" s="99" t="s">
        <v>67</v>
      </c>
      <c r="AJ545" s="99" t="s">
        <v>67</v>
      </c>
      <c r="AK545" s="99" t="s">
        <v>67</v>
      </c>
      <c r="AL545" s="45" t="s">
        <v>68</v>
      </c>
      <c r="AM545" s="162" t="str">
        <f t="shared" si="64"/>
        <v>3/2026</v>
      </c>
      <c r="AN545" s="45">
        <f t="shared" si="65"/>
        <v>4</v>
      </c>
      <c r="AO545" s="45" t="str">
        <f t="shared" si="66"/>
        <v>4/2026</v>
      </c>
      <c r="AP545" s="45">
        <f t="shared" si="67"/>
        <v>5</v>
      </c>
      <c r="AQ545" s="45">
        <f t="shared" si="68"/>
        <v>37</v>
      </c>
      <c r="AR545" s="45">
        <f t="shared" si="69"/>
        <v>0</v>
      </c>
      <c r="AS545" s="45">
        <f t="shared" si="70"/>
        <v>0</v>
      </c>
      <c r="AT545" s="45">
        <f t="shared" si="71"/>
        <v>0</v>
      </c>
      <c r="AU545" s="45" t="str">
        <f>_xlfn.XLOOKUP(U545,'Lista Suspensa'!$AA$20:$AA$23,'Lista Suspensa'!$AB$20:$AB$23,"N/A")</f>
        <v>S</v>
      </c>
    </row>
    <row r="546" spans="1:47" ht="12" customHeight="1" x14ac:dyDescent="0.3">
      <c r="A546" s="87" t="s">
        <v>47</v>
      </c>
      <c r="B546" s="88">
        <v>46104</v>
      </c>
      <c r="C546" s="89" t="s">
        <v>48</v>
      </c>
      <c r="D546" s="89" t="s">
        <v>49</v>
      </c>
      <c r="E546" s="90">
        <v>83182535</v>
      </c>
      <c r="F546" s="184" t="s">
        <v>1777</v>
      </c>
      <c r="G546" s="91">
        <v>23655690720</v>
      </c>
      <c r="H546" s="92">
        <v>19093</v>
      </c>
      <c r="I546" s="89">
        <v>73</v>
      </c>
      <c r="J546" s="89" t="s">
        <v>51</v>
      </c>
      <c r="K546" s="89" t="s">
        <v>88</v>
      </c>
      <c r="L546" s="89" t="s">
        <v>89</v>
      </c>
      <c r="M546" s="89" t="s">
        <v>124</v>
      </c>
      <c r="N546" s="89" t="s">
        <v>148</v>
      </c>
      <c r="O546" s="93" t="s">
        <v>1778</v>
      </c>
      <c r="P546" s="94" t="s">
        <v>57</v>
      </c>
      <c r="Q546" s="112" t="s">
        <v>58</v>
      </c>
      <c r="R546" s="95">
        <v>46141</v>
      </c>
      <c r="S546" s="96"/>
      <c r="T546" s="96" t="s">
        <v>59</v>
      </c>
      <c r="U546" s="96" t="s">
        <v>60</v>
      </c>
      <c r="V546" s="92">
        <v>46141</v>
      </c>
      <c r="W546" s="92" t="s">
        <v>61</v>
      </c>
      <c r="X546" s="92" t="s">
        <v>61</v>
      </c>
      <c r="Y546" s="97"/>
      <c r="Z546" s="89" t="s">
        <v>62</v>
      </c>
      <c r="AA546" s="96">
        <v>46149</v>
      </c>
      <c r="AB546" s="89" t="s">
        <v>80</v>
      </c>
      <c r="AC546" s="111"/>
      <c r="AD546" s="89"/>
      <c r="AE546" s="89"/>
      <c r="AF546" s="98"/>
      <c r="AG546" s="98"/>
      <c r="AH546" s="98"/>
      <c r="AI546" s="99" t="s">
        <v>67</v>
      </c>
      <c r="AJ546" s="99" t="s">
        <v>67</v>
      </c>
      <c r="AK546" s="99" t="s">
        <v>67</v>
      </c>
      <c r="AL546" s="45" t="s">
        <v>68</v>
      </c>
      <c r="AM546" s="162" t="str">
        <f t="shared" si="64"/>
        <v>3/2026</v>
      </c>
      <c r="AN546" s="45">
        <f t="shared" si="65"/>
        <v>4</v>
      </c>
      <c r="AO546" s="45" t="str">
        <f t="shared" si="66"/>
        <v>4/2026</v>
      </c>
      <c r="AP546" s="45">
        <f t="shared" si="67"/>
        <v>5</v>
      </c>
      <c r="AQ546" s="45">
        <f t="shared" si="68"/>
        <v>37</v>
      </c>
      <c r="AR546" s="45">
        <f t="shared" si="69"/>
        <v>0</v>
      </c>
      <c r="AS546" s="45">
        <f t="shared" si="70"/>
        <v>0</v>
      </c>
      <c r="AT546" s="45">
        <f t="shared" si="71"/>
        <v>0</v>
      </c>
      <c r="AU546" s="45" t="str">
        <f>_xlfn.XLOOKUP(U546,'Lista Suspensa'!$AA$20:$AA$23,'Lista Suspensa'!$AB$20:$AB$23,"N/A")</f>
        <v>S</v>
      </c>
    </row>
    <row r="547" spans="1:47" ht="12" customHeight="1" x14ac:dyDescent="0.3">
      <c r="A547" s="87" t="s">
        <v>47</v>
      </c>
      <c r="B547" s="88">
        <v>46104</v>
      </c>
      <c r="C547" s="89" t="s">
        <v>48</v>
      </c>
      <c r="D547" s="89" t="s">
        <v>49</v>
      </c>
      <c r="E547" s="90">
        <v>94872420</v>
      </c>
      <c r="F547" s="184" t="s">
        <v>1779</v>
      </c>
      <c r="G547" s="91">
        <v>8789072898</v>
      </c>
      <c r="H547" s="92">
        <v>23327</v>
      </c>
      <c r="I547" s="89">
        <v>62</v>
      </c>
      <c r="J547" s="89" t="s">
        <v>51</v>
      </c>
      <c r="K547" s="89" t="s">
        <v>52</v>
      </c>
      <c r="L547" s="89" t="s">
        <v>53</v>
      </c>
      <c r="M547" s="89" t="s">
        <v>554</v>
      </c>
      <c r="N547" s="89" t="s">
        <v>148</v>
      </c>
      <c r="O547" s="93" t="s">
        <v>1780</v>
      </c>
      <c r="P547" s="94" t="s">
        <v>57</v>
      </c>
      <c r="Q547" s="112" t="s">
        <v>58</v>
      </c>
      <c r="R547" s="95">
        <v>46141</v>
      </c>
      <c r="S547" s="96"/>
      <c r="T547" s="96" t="s">
        <v>59</v>
      </c>
      <c r="U547" s="96" t="s">
        <v>60</v>
      </c>
      <c r="V547" s="92">
        <v>46141</v>
      </c>
      <c r="W547" s="92" t="s">
        <v>61</v>
      </c>
      <c r="X547" s="92" t="s">
        <v>61</v>
      </c>
      <c r="Y547" s="97"/>
      <c r="Z547" s="89" t="s">
        <v>62</v>
      </c>
      <c r="AA547" s="96">
        <v>46146</v>
      </c>
      <c r="AB547" s="89" t="s">
        <v>63</v>
      </c>
      <c r="AC547" s="111"/>
      <c r="AD547" s="89" t="s">
        <v>64</v>
      </c>
      <c r="AE547" s="89">
        <v>57</v>
      </c>
      <c r="AF547" s="98" t="s">
        <v>296</v>
      </c>
      <c r="AG547" s="98"/>
      <c r="AH547" s="98" t="s">
        <v>66</v>
      </c>
      <c r="AI547" s="99" t="s">
        <v>67</v>
      </c>
      <c r="AJ547" s="99" t="s">
        <v>67</v>
      </c>
      <c r="AK547" s="99" t="s">
        <v>67</v>
      </c>
      <c r="AL547" s="45" t="s">
        <v>68</v>
      </c>
      <c r="AM547" s="162" t="str">
        <f t="shared" si="64"/>
        <v>3/2026</v>
      </c>
      <c r="AN547" s="45">
        <f t="shared" si="65"/>
        <v>4</v>
      </c>
      <c r="AO547" s="45" t="str">
        <f t="shared" si="66"/>
        <v>4/2026</v>
      </c>
      <c r="AP547" s="45">
        <f t="shared" si="67"/>
        <v>5</v>
      </c>
      <c r="AQ547" s="45">
        <f t="shared" si="68"/>
        <v>37</v>
      </c>
      <c r="AR547" s="45">
        <f t="shared" si="69"/>
        <v>0</v>
      </c>
      <c r="AS547" s="45">
        <f t="shared" si="70"/>
        <v>0</v>
      </c>
      <c r="AT547" s="45">
        <f t="shared" si="71"/>
        <v>5</v>
      </c>
      <c r="AU547" s="45" t="str">
        <f>_xlfn.XLOOKUP(U547,'Lista Suspensa'!$AA$20:$AA$23,'Lista Suspensa'!$AB$20:$AB$23,"N/A")</f>
        <v>S</v>
      </c>
    </row>
    <row r="548" spans="1:47" ht="12" customHeight="1" x14ac:dyDescent="0.3">
      <c r="A548" s="87" t="s">
        <v>47</v>
      </c>
      <c r="B548" s="88">
        <v>46104</v>
      </c>
      <c r="C548" s="89" t="s">
        <v>48</v>
      </c>
      <c r="D548" s="89" t="s">
        <v>49</v>
      </c>
      <c r="E548" s="90">
        <v>79050506</v>
      </c>
      <c r="F548" s="184" t="s">
        <v>1781</v>
      </c>
      <c r="G548" s="91">
        <v>26945045749</v>
      </c>
      <c r="H548" s="92">
        <v>17648</v>
      </c>
      <c r="I548" s="89">
        <v>77</v>
      </c>
      <c r="J548" s="89" t="s">
        <v>51</v>
      </c>
      <c r="K548" s="89" t="s">
        <v>88</v>
      </c>
      <c r="L548" s="89" t="s">
        <v>1782</v>
      </c>
      <c r="M548" s="89" t="s">
        <v>76</v>
      </c>
      <c r="N548" s="89" t="s">
        <v>148</v>
      </c>
      <c r="O548" s="93" t="s">
        <v>1783</v>
      </c>
      <c r="P548" s="94" t="s">
        <v>57</v>
      </c>
      <c r="Q548" s="112" t="s">
        <v>58</v>
      </c>
      <c r="R548" s="95">
        <v>46153</v>
      </c>
      <c r="S548" s="96"/>
      <c r="T548" s="96" t="s">
        <v>59</v>
      </c>
      <c r="U548" s="96" t="s">
        <v>60</v>
      </c>
      <c r="V548" s="92">
        <v>46141</v>
      </c>
      <c r="W548" s="92">
        <v>46154</v>
      </c>
      <c r="X548" s="92" t="s">
        <v>61</v>
      </c>
      <c r="Y548" s="97"/>
      <c r="Z548" s="89" t="s">
        <v>62</v>
      </c>
      <c r="AA548" s="96">
        <v>46163.694444444445</v>
      </c>
      <c r="AB548" s="89" t="s">
        <v>80</v>
      </c>
      <c r="AC548" s="111"/>
      <c r="AD548" s="89"/>
      <c r="AE548" s="89"/>
      <c r="AF548" s="98"/>
      <c r="AG548" s="98"/>
      <c r="AH548" s="98"/>
      <c r="AI548" s="99" t="s">
        <v>197</v>
      </c>
      <c r="AJ548" s="99" t="s">
        <v>197</v>
      </c>
      <c r="AK548" s="99" t="s">
        <v>67</v>
      </c>
      <c r="AL548" s="45" t="s">
        <v>68</v>
      </c>
      <c r="AM548" s="162" t="str">
        <f t="shared" si="64"/>
        <v>3/2026</v>
      </c>
      <c r="AN548" s="45">
        <f t="shared" si="65"/>
        <v>4</v>
      </c>
      <c r="AO548" s="45" t="str">
        <f t="shared" si="66"/>
        <v>5/2026</v>
      </c>
      <c r="AP548" s="45">
        <f t="shared" si="67"/>
        <v>3</v>
      </c>
      <c r="AQ548" s="45">
        <f t="shared" si="68"/>
        <v>49</v>
      </c>
      <c r="AR548" s="45">
        <f t="shared" si="69"/>
        <v>0</v>
      </c>
      <c r="AS548" s="45">
        <f t="shared" si="70"/>
        <v>13</v>
      </c>
      <c r="AT548" s="45">
        <f t="shared" si="71"/>
        <v>0</v>
      </c>
      <c r="AU548" s="45" t="str">
        <f>_xlfn.XLOOKUP(U548,'Lista Suspensa'!$AA$20:$AA$23,'Lista Suspensa'!$AB$20:$AB$23,"N/A")</f>
        <v>S</v>
      </c>
    </row>
    <row r="549" spans="1:47" ht="12" customHeight="1" x14ac:dyDescent="0.3">
      <c r="A549" s="87" t="s">
        <v>47</v>
      </c>
      <c r="B549" s="88">
        <v>46104</v>
      </c>
      <c r="C549" s="89" t="s">
        <v>48</v>
      </c>
      <c r="D549" s="89" t="s">
        <v>49</v>
      </c>
      <c r="E549" s="90">
        <v>83399297</v>
      </c>
      <c r="F549" s="184" t="s">
        <v>1784</v>
      </c>
      <c r="G549" s="91">
        <v>38694450763</v>
      </c>
      <c r="H549" s="92">
        <v>20547</v>
      </c>
      <c r="I549" s="89">
        <v>69</v>
      </c>
      <c r="J549" s="89" t="s">
        <v>51</v>
      </c>
      <c r="K549" s="89" t="s">
        <v>88</v>
      </c>
      <c r="L549" s="89" t="s">
        <v>89</v>
      </c>
      <c r="M549" s="89" t="s">
        <v>76</v>
      </c>
      <c r="N549" s="89" t="s">
        <v>148</v>
      </c>
      <c r="O549" s="93" t="s">
        <v>1785</v>
      </c>
      <c r="P549" s="94" t="s">
        <v>57</v>
      </c>
      <c r="Q549" s="112" t="s">
        <v>58</v>
      </c>
      <c r="R549" s="95">
        <v>46153</v>
      </c>
      <c r="S549" s="96"/>
      <c r="T549" s="96" t="s">
        <v>59</v>
      </c>
      <c r="U549" s="96" t="s">
        <v>60</v>
      </c>
      <c r="V549" s="92">
        <v>46141</v>
      </c>
      <c r="W549" s="92">
        <v>46154</v>
      </c>
      <c r="X549" s="92" t="s">
        <v>61</v>
      </c>
      <c r="Y549" s="97"/>
      <c r="Z549" s="89" t="s">
        <v>62</v>
      </c>
      <c r="AA549" s="96" t="s">
        <v>1786</v>
      </c>
      <c r="AB549" s="89" t="s">
        <v>80</v>
      </c>
      <c r="AC549" s="111"/>
      <c r="AD549" s="89"/>
      <c r="AE549" s="89"/>
      <c r="AF549" s="98"/>
      <c r="AG549" s="98"/>
      <c r="AH549" s="98"/>
      <c r="AI549" s="99" t="s">
        <v>197</v>
      </c>
      <c r="AJ549" s="99" t="s">
        <v>197</v>
      </c>
      <c r="AK549" s="99" t="s">
        <v>67</v>
      </c>
      <c r="AL549" s="45" t="s">
        <v>68</v>
      </c>
      <c r="AM549" s="162" t="str">
        <f t="shared" si="64"/>
        <v>3/2026</v>
      </c>
      <c r="AN549" s="45">
        <f t="shared" si="65"/>
        <v>4</v>
      </c>
      <c r="AO549" s="45" t="str">
        <f t="shared" si="66"/>
        <v>5/2026</v>
      </c>
      <c r="AP549" s="45">
        <f t="shared" si="67"/>
        <v>3</v>
      </c>
      <c r="AQ549" s="45">
        <f t="shared" si="68"/>
        <v>49</v>
      </c>
      <c r="AR549" s="45">
        <f t="shared" si="69"/>
        <v>0</v>
      </c>
      <c r="AS549" s="45">
        <f t="shared" si="70"/>
        <v>13</v>
      </c>
      <c r="AT549" s="45">
        <f t="shared" si="71"/>
        <v>0</v>
      </c>
      <c r="AU549" s="45" t="str">
        <f>_xlfn.XLOOKUP(U549,'Lista Suspensa'!$AA$20:$AA$23,'Lista Suspensa'!$AB$20:$AB$23,"N/A")</f>
        <v>S</v>
      </c>
    </row>
    <row r="550" spans="1:47" ht="12" customHeight="1" x14ac:dyDescent="0.3">
      <c r="A550" s="87" t="s">
        <v>47</v>
      </c>
      <c r="B550" s="88">
        <v>46104</v>
      </c>
      <c r="C550" s="89" t="s">
        <v>48</v>
      </c>
      <c r="D550" s="89" t="s">
        <v>49</v>
      </c>
      <c r="E550" s="90">
        <v>86298356</v>
      </c>
      <c r="F550" s="184" t="s">
        <v>1787</v>
      </c>
      <c r="G550" s="91">
        <v>135972809</v>
      </c>
      <c r="H550" s="92">
        <v>20907</v>
      </c>
      <c r="I550" s="89">
        <v>68</v>
      </c>
      <c r="J550" s="89" t="s">
        <v>51</v>
      </c>
      <c r="K550" s="89" t="s">
        <v>52</v>
      </c>
      <c r="L550" s="89" t="s">
        <v>1788</v>
      </c>
      <c r="M550" s="89" t="s">
        <v>1789</v>
      </c>
      <c r="N550" s="89" t="s">
        <v>148</v>
      </c>
      <c r="O550" s="93" t="s">
        <v>1790</v>
      </c>
      <c r="P550" s="94" t="s">
        <v>57</v>
      </c>
      <c r="Q550" s="112" t="s">
        <v>58</v>
      </c>
      <c r="R550" s="95">
        <v>46141</v>
      </c>
      <c r="S550" s="96"/>
      <c r="T550" s="96" t="s">
        <v>59</v>
      </c>
      <c r="U550" s="96" t="s">
        <v>60</v>
      </c>
      <c r="V550" s="92">
        <v>46141</v>
      </c>
      <c r="W550" s="92" t="s">
        <v>61</v>
      </c>
      <c r="X550" s="92" t="s">
        <v>61</v>
      </c>
      <c r="Y550" s="97"/>
      <c r="Z550" s="89" t="s">
        <v>62</v>
      </c>
      <c r="AA550" s="96">
        <v>46142.458333275463</v>
      </c>
      <c r="AB550" s="89" t="s">
        <v>63</v>
      </c>
      <c r="AC550" s="111"/>
      <c r="AD550" s="89" t="s">
        <v>64</v>
      </c>
      <c r="AE550" s="89">
        <v>63</v>
      </c>
      <c r="AF550" s="98" t="s">
        <v>65</v>
      </c>
      <c r="AG550" s="98"/>
      <c r="AH550" s="98" t="s">
        <v>66</v>
      </c>
      <c r="AI550" s="99" t="s">
        <v>67</v>
      </c>
      <c r="AJ550" s="99" t="s">
        <v>67</v>
      </c>
      <c r="AK550" s="99" t="s">
        <v>67</v>
      </c>
      <c r="AL550" s="45" t="s">
        <v>68</v>
      </c>
      <c r="AM550" s="162" t="str">
        <f t="shared" si="64"/>
        <v>3/2026</v>
      </c>
      <c r="AN550" s="45">
        <f t="shared" si="65"/>
        <v>4</v>
      </c>
      <c r="AO550" s="45" t="str">
        <f t="shared" si="66"/>
        <v>4/2026</v>
      </c>
      <c r="AP550" s="45">
        <f t="shared" si="67"/>
        <v>5</v>
      </c>
      <c r="AQ550" s="45">
        <f t="shared" si="68"/>
        <v>37</v>
      </c>
      <c r="AR550" s="45">
        <f t="shared" si="69"/>
        <v>0</v>
      </c>
      <c r="AS550" s="45">
        <f t="shared" si="70"/>
        <v>0</v>
      </c>
      <c r="AT550" s="45">
        <f t="shared" si="71"/>
        <v>1.4583332754627918</v>
      </c>
      <c r="AU550" s="45" t="str">
        <f>_xlfn.XLOOKUP(U550,'Lista Suspensa'!$AA$20:$AA$23,'Lista Suspensa'!$AB$20:$AB$23,"N/A")</f>
        <v>S</v>
      </c>
    </row>
    <row r="551" spans="1:47" ht="12" customHeight="1" x14ac:dyDescent="0.3">
      <c r="A551" s="87" t="s">
        <v>47</v>
      </c>
      <c r="B551" s="88">
        <v>46104</v>
      </c>
      <c r="C551" s="89" t="s">
        <v>48</v>
      </c>
      <c r="D551" s="89" t="s">
        <v>49</v>
      </c>
      <c r="E551" s="90">
        <v>81865119</v>
      </c>
      <c r="F551" s="184" t="s">
        <v>1791</v>
      </c>
      <c r="G551" s="91">
        <v>1297688805</v>
      </c>
      <c r="H551" s="92">
        <v>21843</v>
      </c>
      <c r="I551" s="89">
        <v>66</v>
      </c>
      <c r="J551" s="89" t="s">
        <v>51</v>
      </c>
      <c r="K551" s="89" t="s">
        <v>52</v>
      </c>
      <c r="L551" s="89" t="s">
        <v>53</v>
      </c>
      <c r="M551" s="89" t="s">
        <v>1792</v>
      </c>
      <c r="N551" s="89" t="s">
        <v>148</v>
      </c>
      <c r="O551" s="93" t="s">
        <v>1793</v>
      </c>
      <c r="P551" s="94" t="s">
        <v>57</v>
      </c>
      <c r="Q551" s="112" t="s">
        <v>58</v>
      </c>
      <c r="R551" s="95">
        <v>46142</v>
      </c>
      <c r="S551" s="96"/>
      <c r="T551" s="96" t="s">
        <v>59</v>
      </c>
      <c r="U551" s="96" t="s">
        <v>60</v>
      </c>
      <c r="V551" s="92">
        <v>46122</v>
      </c>
      <c r="W551" s="92">
        <v>46141</v>
      </c>
      <c r="X551" s="92">
        <v>46142</v>
      </c>
      <c r="Y551" s="97"/>
      <c r="Z551" s="89" t="s">
        <v>62</v>
      </c>
      <c r="AA551" s="96" t="s">
        <v>1326</v>
      </c>
      <c r="AB551" s="89" t="s">
        <v>80</v>
      </c>
      <c r="AC551" s="111"/>
      <c r="AD551" s="89"/>
      <c r="AE551" s="89"/>
      <c r="AF551" s="98"/>
      <c r="AG551" s="98"/>
      <c r="AH551" s="98"/>
      <c r="AI551" s="99" t="s">
        <v>67</v>
      </c>
      <c r="AJ551" s="99" t="s">
        <v>67</v>
      </c>
      <c r="AK551" s="99" t="s">
        <v>67</v>
      </c>
      <c r="AL551" s="45" t="s">
        <v>68</v>
      </c>
      <c r="AM551" s="162" t="str">
        <f t="shared" si="64"/>
        <v>3/2026</v>
      </c>
      <c r="AN551" s="45">
        <f t="shared" si="65"/>
        <v>4</v>
      </c>
      <c r="AO551" s="45" t="str">
        <f t="shared" si="66"/>
        <v>4/2026</v>
      </c>
      <c r="AP551" s="45">
        <f t="shared" si="67"/>
        <v>5</v>
      </c>
      <c r="AQ551" s="45">
        <f t="shared" si="68"/>
        <v>38</v>
      </c>
      <c r="AR551" s="45">
        <f t="shared" si="69"/>
        <v>0</v>
      </c>
      <c r="AS551" s="45">
        <f t="shared" si="70"/>
        <v>10</v>
      </c>
      <c r="AT551" s="45">
        <f t="shared" si="71"/>
        <v>0</v>
      </c>
      <c r="AU551" s="45" t="str">
        <f>_xlfn.XLOOKUP(U551,'Lista Suspensa'!$AA$20:$AA$23,'Lista Suspensa'!$AB$20:$AB$23,"N/A")</f>
        <v>S</v>
      </c>
    </row>
    <row r="552" spans="1:47" ht="12" hidden="1" customHeight="1" x14ac:dyDescent="0.3">
      <c r="A552" s="87" t="s">
        <v>47</v>
      </c>
      <c r="B552" s="88">
        <v>46104</v>
      </c>
      <c r="C552" s="89" t="s">
        <v>48</v>
      </c>
      <c r="D552" s="89" t="s">
        <v>49</v>
      </c>
      <c r="E552" s="90">
        <v>89768039</v>
      </c>
      <c r="F552" s="184" t="s">
        <v>1794</v>
      </c>
      <c r="G552" s="91">
        <v>12763288774</v>
      </c>
      <c r="H552" s="92">
        <v>34226</v>
      </c>
      <c r="I552" s="89">
        <v>32</v>
      </c>
      <c r="J552" s="89" t="s">
        <v>51</v>
      </c>
      <c r="K552" s="89" t="s">
        <v>88</v>
      </c>
      <c r="L552" s="89" t="s">
        <v>97</v>
      </c>
      <c r="M552" s="89" t="s">
        <v>1795</v>
      </c>
      <c r="N552" s="89" t="s">
        <v>148</v>
      </c>
      <c r="O552" s="93" t="s">
        <v>1796</v>
      </c>
      <c r="P552" s="94" t="s">
        <v>57</v>
      </c>
      <c r="Q552" s="112" t="s">
        <v>78</v>
      </c>
      <c r="R552" s="95">
        <v>46141</v>
      </c>
      <c r="S552" s="96">
        <v>46174</v>
      </c>
      <c r="T552" s="96" t="s">
        <v>59</v>
      </c>
      <c r="U552" s="96" t="s">
        <v>79</v>
      </c>
      <c r="V552" s="92">
        <v>46141</v>
      </c>
      <c r="W552" s="92" t="s">
        <v>61</v>
      </c>
      <c r="X552" s="92" t="s">
        <v>61</v>
      </c>
      <c r="Y552" s="97"/>
      <c r="Z552" s="89" t="s">
        <v>62</v>
      </c>
      <c r="AA552" s="96">
        <v>46147.583332581016</v>
      </c>
      <c r="AB552" s="89" t="s">
        <v>80</v>
      </c>
      <c r="AC552" s="111"/>
      <c r="AD552" s="89"/>
      <c r="AE552" s="89"/>
      <c r="AF552" s="98"/>
      <c r="AG552" s="98"/>
      <c r="AH552" s="98"/>
      <c r="AI552" s="99" t="s">
        <v>67</v>
      </c>
      <c r="AJ552" s="99" t="s">
        <v>81</v>
      </c>
      <c r="AK552" s="99" t="s">
        <v>67</v>
      </c>
      <c r="AL552" s="45" t="s">
        <v>68</v>
      </c>
      <c r="AM552" s="162" t="str">
        <f t="shared" si="64"/>
        <v>3/2026</v>
      </c>
      <c r="AN552" s="45">
        <f t="shared" si="65"/>
        <v>4</v>
      </c>
      <c r="AO552" s="45" t="str">
        <f t="shared" si="66"/>
        <v>4/2026</v>
      </c>
      <c r="AP552" s="45">
        <f t="shared" si="67"/>
        <v>5</v>
      </c>
      <c r="AQ552" s="45">
        <f t="shared" si="68"/>
        <v>0</v>
      </c>
      <c r="AR552" s="45">
        <f t="shared" si="69"/>
        <v>33</v>
      </c>
      <c r="AS552" s="45">
        <f t="shared" si="70"/>
        <v>0</v>
      </c>
      <c r="AT552" s="45">
        <f t="shared" si="71"/>
        <v>0</v>
      </c>
      <c r="AU552" s="45" t="str">
        <f>_xlfn.XLOOKUP(U552,'Lista Suspensa'!$AA$20:$AA$23,'Lista Suspensa'!$AB$20:$AB$23,"N/A")</f>
        <v>S</v>
      </c>
    </row>
    <row r="553" spans="1:47" ht="12" hidden="1" customHeight="1" x14ac:dyDescent="0.3">
      <c r="A553" s="87" t="s">
        <v>47</v>
      </c>
      <c r="B553" s="88">
        <v>46104</v>
      </c>
      <c r="C553" s="89" t="s">
        <v>48</v>
      </c>
      <c r="D553" s="89" t="s">
        <v>49</v>
      </c>
      <c r="E553" s="90">
        <v>93775644</v>
      </c>
      <c r="F553" s="184" t="s">
        <v>1797</v>
      </c>
      <c r="G553" s="91">
        <v>35960616874</v>
      </c>
      <c r="H553" s="92">
        <v>32665</v>
      </c>
      <c r="I553" s="89">
        <v>36</v>
      </c>
      <c r="J553" s="89" t="s">
        <v>70</v>
      </c>
      <c r="K553" s="89" t="s">
        <v>52</v>
      </c>
      <c r="L553" s="89" t="s">
        <v>331</v>
      </c>
      <c r="M553" s="89" t="s">
        <v>1798</v>
      </c>
      <c r="N553" s="89" t="s">
        <v>148</v>
      </c>
      <c r="O553" s="93" t="s">
        <v>1799</v>
      </c>
      <c r="P553" s="94" t="s">
        <v>57</v>
      </c>
      <c r="Q553" s="112" t="s">
        <v>78</v>
      </c>
      <c r="R553" s="95">
        <v>46141</v>
      </c>
      <c r="S553" s="96">
        <v>46174</v>
      </c>
      <c r="T553" s="96" t="s">
        <v>59</v>
      </c>
      <c r="U553" s="96" t="s">
        <v>79</v>
      </c>
      <c r="V553" s="92">
        <v>46141</v>
      </c>
      <c r="W553" s="92" t="s">
        <v>61</v>
      </c>
      <c r="X553" s="92" t="s">
        <v>61</v>
      </c>
      <c r="Y553" s="97"/>
      <c r="Z553" s="89" t="s">
        <v>62</v>
      </c>
      <c r="AA553" s="96">
        <v>46174</v>
      </c>
      <c r="AB553" s="89" t="s">
        <v>80</v>
      </c>
      <c r="AC553" s="111"/>
      <c r="AD553" s="89"/>
      <c r="AE553" s="89"/>
      <c r="AF553" s="98"/>
      <c r="AG553" s="98"/>
      <c r="AH553" s="98"/>
      <c r="AI553" s="99" t="s">
        <v>67</v>
      </c>
      <c r="AJ553" s="99" t="s">
        <v>81</v>
      </c>
      <c r="AK553" s="99" t="s">
        <v>67</v>
      </c>
      <c r="AL553" s="45" t="s">
        <v>68</v>
      </c>
      <c r="AM553" s="162" t="str">
        <f t="shared" si="64"/>
        <v>3/2026</v>
      </c>
      <c r="AN553" s="45">
        <f t="shared" si="65"/>
        <v>4</v>
      </c>
      <c r="AO553" s="45" t="str">
        <f t="shared" si="66"/>
        <v>4/2026</v>
      </c>
      <c r="AP553" s="45">
        <f t="shared" si="67"/>
        <v>5</v>
      </c>
      <c r="AQ553" s="45">
        <f t="shared" si="68"/>
        <v>0</v>
      </c>
      <c r="AR553" s="45">
        <f t="shared" si="69"/>
        <v>33</v>
      </c>
      <c r="AS553" s="45">
        <f t="shared" si="70"/>
        <v>0</v>
      </c>
      <c r="AT553" s="45">
        <f t="shared" si="71"/>
        <v>0</v>
      </c>
      <c r="AU553" s="45" t="str">
        <f>_xlfn.XLOOKUP(U553,'Lista Suspensa'!$AA$20:$AA$23,'Lista Suspensa'!$AB$20:$AB$23,"N/A")</f>
        <v>S</v>
      </c>
    </row>
    <row r="554" spans="1:47" ht="12" customHeight="1" x14ac:dyDescent="0.3">
      <c r="A554" s="87" t="s">
        <v>47</v>
      </c>
      <c r="B554" s="88">
        <v>46104</v>
      </c>
      <c r="C554" s="89" t="s">
        <v>48</v>
      </c>
      <c r="D554" s="89" t="s">
        <v>49</v>
      </c>
      <c r="E554" s="90">
        <v>95993342</v>
      </c>
      <c r="F554" s="184" t="s">
        <v>1800</v>
      </c>
      <c r="G554" s="91">
        <v>69770263591</v>
      </c>
      <c r="H554" s="92">
        <v>24043</v>
      </c>
      <c r="I554" s="89">
        <v>60</v>
      </c>
      <c r="J554" s="89" t="s">
        <v>70</v>
      </c>
      <c r="K554" s="89" t="s">
        <v>52</v>
      </c>
      <c r="L554" s="89" t="s">
        <v>525</v>
      </c>
      <c r="M554" s="89" t="s">
        <v>1801</v>
      </c>
      <c r="N554" s="89" t="s">
        <v>148</v>
      </c>
      <c r="O554" s="93" t="s">
        <v>1802</v>
      </c>
      <c r="P554" s="94" t="s">
        <v>57</v>
      </c>
      <c r="Q554" s="112" t="s">
        <v>58</v>
      </c>
      <c r="R554" s="95">
        <v>46141</v>
      </c>
      <c r="S554" s="96"/>
      <c r="T554" s="96" t="s">
        <v>59</v>
      </c>
      <c r="U554" s="96" t="s">
        <v>60</v>
      </c>
      <c r="V554" s="92">
        <v>46141</v>
      </c>
      <c r="W554" s="92">
        <v>46150</v>
      </c>
      <c r="X554" s="92" t="s">
        <v>61</v>
      </c>
      <c r="Y554" s="97"/>
      <c r="Z554" s="89" t="s">
        <v>62</v>
      </c>
      <c r="AA554" s="96">
        <v>46148.569443749999</v>
      </c>
      <c r="AB554" s="89" t="s">
        <v>80</v>
      </c>
      <c r="AC554" s="111"/>
      <c r="AD554" s="89"/>
      <c r="AE554" s="89"/>
      <c r="AF554" s="98"/>
      <c r="AG554" s="98"/>
      <c r="AH554" s="98"/>
      <c r="AI554" s="99" t="s">
        <v>67</v>
      </c>
      <c r="AJ554" s="99" t="s">
        <v>67</v>
      </c>
      <c r="AK554" s="99" t="s">
        <v>67</v>
      </c>
      <c r="AL554" s="45" t="s">
        <v>68</v>
      </c>
      <c r="AM554" s="162" t="str">
        <f t="shared" si="64"/>
        <v>3/2026</v>
      </c>
      <c r="AN554" s="45">
        <f t="shared" si="65"/>
        <v>4</v>
      </c>
      <c r="AO554" s="45" t="str">
        <f t="shared" si="66"/>
        <v>4/2026</v>
      </c>
      <c r="AP554" s="45">
        <f t="shared" si="67"/>
        <v>5</v>
      </c>
      <c r="AQ554" s="45">
        <f t="shared" si="68"/>
        <v>37</v>
      </c>
      <c r="AR554" s="45">
        <f t="shared" si="69"/>
        <v>0</v>
      </c>
      <c r="AS554" s="45">
        <f t="shared" si="70"/>
        <v>9</v>
      </c>
      <c r="AT554" s="45">
        <f t="shared" si="71"/>
        <v>0</v>
      </c>
      <c r="AU554" s="45" t="str">
        <f>_xlfn.XLOOKUP(U554,'Lista Suspensa'!$AA$20:$AA$23,'Lista Suspensa'!$AB$20:$AB$23,"N/A")</f>
        <v>S</v>
      </c>
    </row>
    <row r="555" spans="1:47" ht="12" customHeight="1" x14ac:dyDescent="0.3">
      <c r="A555" s="87" t="s">
        <v>47</v>
      </c>
      <c r="B555" s="88">
        <v>46104</v>
      </c>
      <c r="C555" s="89" t="s">
        <v>48</v>
      </c>
      <c r="D555" s="89" t="s">
        <v>49</v>
      </c>
      <c r="E555" s="90">
        <v>85290110</v>
      </c>
      <c r="F555" s="184" t="s">
        <v>1803</v>
      </c>
      <c r="G555" s="91">
        <v>46167447772</v>
      </c>
      <c r="H555" s="92">
        <v>17697</v>
      </c>
      <c r="I555" s="89">
        <v>77</v>
      </c>
      <c r="J555" s="89" t="s">
        <v>70</v>
      </c>
      <c r="K555" s="89" t="s">
        <v>88</v>
      </c>
      <c r="L555" s="89" t="s">
        <v>89</v>
      </c>
      <c r="M555" s="89" t="s">
        <v>1804</v>
      </c>
      <c r="N555" s="89" t="s">
        <v>148</v>
      </c>
      <c r="O555" s="93" t="s">
        <v>1805</v>
      </c>
      <c r="P555" s="94" t="s">
        <v>57</v>
      </c>
      <c r="Q555" s="112" t="s">
        <v>58</v>
      </c>
      <c r="R555" s="95">
        <v>46141</v>
      </c>
      <c r="S555" s="96"/>
      <c r="T555" s="96" t="s">
        <v>59</v>
      </c>
      <c r="U555" s="96" t="s">
        <v>60</v>
      </c>
      <c r="V555" s="92">
        <v>46141</v>
      </c>
      <c r="W555" s="92">
        <v>46149</v>
      </c>
      <c r="X555" s="92" t="s">
        <v>61</v>
      </c>
      <c r="Y555" s="97"/>
      <c r="Z555" s="89" t="s">
        <v>62</v>
      </c>
      <c r="AA555" s="96">
        <v>46146</v>
      </c>
      <c r="AB555" s="89" t="s">
        <v>63</v>
      </c>
      <c r="AC555" s="111">
        <v>46150</v>
      </c>
      <c r="AD555" s="89" t="s">
        <v>86</v>
      </c>
      <c r="AE555" s="89">
        <v>47</v>
      </c>
      <c r="AF555" s="98" t="s">
        <v>126</v>
      </c>
      <c r="AG555" s="98"/>
      <c r="AH555" s="98" t="s">
        <v>66</v>
      </c>
      <c r="AI555" s="99" t="s">
        <v>67</v>
      </c>
      <c r="AJ555" s="99" t="s">
        <v>67</v>
      </c>
      <c r="AK555" s="99" t="s">
        <v>67</v>
      </c>
      <c r="AL555" s="45" t="s">
        <v>68</v>
      </c>
      <c r="AM555" s="162" t="str">
        <f t="shared" si="64"/>
        <v>3/2026</v>
      </c>
      <c r="AN555" s="45">
        <f t="shared" si="65"/>
        <v>4</v>
      </c>
      <c r="AO555" s="45" t="str">
        <f t="shared" si="66"/>
        <v>4/2026</v>
      </c>
      <c r="AP555" s="45">
        <f t="shared" si="67"/>
        <v>5</v>
      </c>
      <c r="AQ555" s="45">
        <f t="shared" si="68"/>
        <v>37</v>
      </c>
      <c r="AR555" s="45">
        <f t="shared" si="69"/>
        <v>0</v>
      </c>
      <c r="AS555" s="45">
        <f t="shared" si="70"/>
        <v>8</v>
      </c>
      <c r="AT555" s="45">
        <f t="shared" si="71"/>
        <v>5</v>
      </c>
      <c r="AU555" s="45" t="str">
        <f>_xlfn.XLOOKUP(U555,'Lista Suspensa'!$AA$20:$AA$23,'Lista Suspensa'!$AB$20:$AB$23,"N/A")</f>
        <v>S</v>
      </c>
    </row>
    <row r="556" spans="1:47" ht="12" customHeight="1" x14ac:dyDescent="0.3">
      <c r="A556" s="87" t="s">
        <v>47</v>
      </c>
      <c r="B556" s="88">
        <v>46104</v>
      </c>
      <c r="C556" s="89" t="s">
        <v>48</v>
      </c>
      <c r="D556" s="89" t="s">
        <v>49</v>
      </c>
      <c r="E556" s="90">
        <v>83287725</v>
      </c>
      <c r="F556" s="184" t="s">
        <v>1806</v>
      </c>
      <c r="G556" s="91">
        <v>9687199709</v>
      </c>
      <c r="H556" s="92">
        <v>29166</v>
      </c>
      <c r="I556" s="89">
        <v>46</v>
      </c>
      <c r="J556" s="89" t="s">
        <v>51</v>
      </c>
      <c r="K556" s="89" t="s">
        <v>88</v>
      </c>
      <c r="L556" s="89" t="s">
        <v>89</v>
      </c>
      <c r="M556" s="89" t="s">
        <v>1807</v>
      </c>
      <c r="N556" s="89" t="s">
        <v>148</v>
      </c>
      <c r="O556" s="93" t="s">
        <v>1808</v>
      </c>
      <c r="P556" s="94" t="s">
        <v>57</v>
      </c>
      <c r="Q556" s="112" t="s">
        <v>58</v>
      </c>
      <c r="R556" s="95">
        <v>46141</v>
      </c>
      <c r="S556" s="96"/>
      <c r="T556" s="96" t="s">
        <v>59</v>
      </c>
      <c r="U556" s="96" t="s">
        <v>60</v>
      </c>
      <c r="V556" s="92">
        <v>46141</v>
      </c>
      <c r="W556" s="92" t="s">
        <v>61</v>
      </c>
      <c r="X556" s="92" t="s">
        <v>61</v>
      </c>
      <c r="Y556" s="97"/>
      <c r="Z556" s="89" t="s">
        <v>62</v>
      </c>
      <c r="AA556" s="96">
        <v>46160</v>
      </c>
      <c r="AB556" s="89" t="s">
        <v>80</v>
      </c>
      <c r="AC556" s="111"/>
      <c r="AD556" s="89"/>
      <c r="AE556" s="89"/>
      <c r="AF556" s="98"/>
      <c r="AG556" s="98"/>
      <c r="AH556" s="98"/>
      <c r="AI556" s="99" t="s">
        <v>67</v>
      </c>
      <c r="AJ556" s="99" t="s">
        <v>67</v>
      </c>
      <c r="AK556" s="99" t="s">
        <v>67</v>
      </c>
      <c r="AL556" s="45" t="s">
        <v>68</v>
      </c>
      <c r="AM556" s="162" t="str">
        <f t="shared" si="64"/>
        <v>3/2026</v>
      </c>
      <c r="AN556" s="45">
        <f t="shared" si="65"/>
        <v>4</v>
      </c>
      <c r="AO556" s="45" t="str">
        <f t="shared" si="66"/>
        <v>4/2026</v>
      </c>
      <c r="AP556" s="45">
        <f t="shared" si="67"/>
        <v>5</v>
      </c>
      <c r="AQ556" s="45">
        <f t="shared" si="68"/>
        <v>37</v>
      </c>
      <c r="AR556" s="45">
        <f t="shared" si="69"/>
        <v>0</v>
      </c>
      <c r="AS556" s="45">
        <f t="shared" si="70"/>
        <v>0</v>
      </c>
      <c r="AT556" s="45">
        <f t="shared" si="71"/>
        <v>0</v>
      </c>
      <c r="AU556" s="45" t="str">
        <f>_xlfn.XLOOKUP(U556,'Lista Suspensa'!$AA$20:$AA$23,'Lista Suspensa'!$AB$20:$AB$23,"N/A")</f>
        <v>S</v>
      </c>
    </row>
    <row r="557" spans="1:47" ht="12" customHeight="1" x14ac:dyDescent="0.3">
      <c r="A557" s="87" t="s">
        <v>47</v>
      </c>
      <c r="B557" s="88">
        <v>46104</v>
      </c>
      <c r="C557" s="89" t="s">
        <v>48</v>
      </c>
      <c r="D557" s="89" t="s">
        <v>49</v>
      </c>
      <c r="E557" s="193">
        <v>81997711</v>
      </c>
      <c r="F557" s="184" t="s">
        <v>1809</v>
      </c>
      <c r="G557" s="91">
        <v>8258036831</v>
      </c>
      <c r="H557" s="92">
        <v>24174</v>
      </c>
      <c r="I557" s="89">
        <v>60</v>
      </c>
      <c r="J557" s="89" t="s">
        <v>51</v>
      </c>
      <c r="K557" s="89" t="s">
        <v>52</v>
      </c>
      <c r="L557" s="89" t="s">
        <v>331</v>
      </c>
      <c r="M557" s="89" t="s">
        <v>1810</v>
      </c>
      <c r="N557" s="89" t="s">
        <v>148</v>
      </c>
      <c r="O557" s="93" t="s">
        <v>1811</v>
      </c>
      <c r="P557" s="94" t="s">
        <v>57</v>
      </c>
      <c r="Q557" s="112" t="s">
        <v>58</v>
      </c>
      <c r="R557" s="95">
        <v>46163</v>
      </c>
      <c r="S557" s="96"/>
      <c r="T557" s="96" t="s">
        <v>59</v>
      </c>
      <c r="U557" s="96" t="s">
        <v>60</v>
      </c>
      <c r="V557" s="92">
        <v>46141</v>
      </c>
      <c r="W557" s="92">
        <v>46154</v>
      </c>
      <c r="X557" s="92">
        <v>46160</v>
      </c>
      <c r="Y557" s="97"/>
      <c r="Z557" s="89" t="s">
        <v>62</v>
      </c>
      <c r="AA557" s="96">
        <v>46170</v>
      </c>
      <c r="AB557" s="89" t="s">
        <v>80</v>
      </c>
      <c r="AC557" s="111"/>
      <c r="AD557" s="89"/>
      <c r="AE557" s="89"/>
      <c r="AF557" s="98"/>
      <c r="AG557" s="98"/>
      <c r="AH557" s="98"/>
      <c r="AI557" s="99"/>
      <c r="AJ557" s="99" t="s">
        <v>197</v>
      </c>
      <c r="AK557" s="99" t="s">
        <v>67</v>
      </c>
      <c r="AL557" s="45" t="s">
        <v>68</v>
      </c>
      <c r="AM557" s="162" t="str">
        <f t="shared" si="64"/>
        <v>3/2026</v>
      </c>
      <c r="AN557" s="45">
        <f t="shared" si="65"/>
        <v>4</v>
      </c>
      <c r="AO557" s="45" t="str">
        <f t="shared" si="66"/>
        <v>5/2026</v>
      </c>
      <c r="AP557" s="45">
        <f t="shared" si="67"/>
        <v>4</v>
      </c>
      <c r="AQ557" s="45">
        <f t="shared" si="68"/>
        <v>59</v>
      </c>
      <c r="AR557" s="45">
        <f t="shared" si="69"/>
        <v>0</v>
      </c>
      <c r="AS557" s="45">
        <f t="shared" si="70"/>
        <v>9.5</v>
      </c>
      <c r="AT557" s="45">
        <f t="shared" si="71"/>
        <v>0</v>
      </c>
      <c r="AU557" s="45" t="str">
        <f>_xlfn.XLOOKUP(U557,'Lista Suspensa'!$AA$20:$AA$23,'Lista Suspensa'!$AB$20:$AB$23,"N/A")</f>
        <v>S</v>
      </c>
    </row>
    <row r="558" spans="1:47" ht="12" customHeight="1" x14ac:dyDescent="0.3">
      <c r="A558" s="87" t="s">
        <v>47</v>
      </c>
      <c r="B558" s="88">
        <v>46104</v>
      </c>
      <c r="C558" s="89" t="s">
        <v>48</v>
      </c>
      <c r="D558" s="89" t="s">
        <v>49</v>
      </c>
      <c r="E558" s="90">
        <v>82784818</v>
      </c>
      <c r="F558" s="184" t="s">
        <v>1812</v>
      </c>
      <c r="G558" s="91">
        <v>11406032808</v>
      </c>
      <c r="H558" s="92">
        <v>25144</v>
      </c>
      <c r="I558" s="89">
        <v>57</v>
      </c>
      <c r="J558" s="89" t="s">
        <v>70</v>
      </c>
      <c r="K558" s="89" t="s">
        <v>52</v>
      </c>
      <c r="L558" s="89" t="s">
        <v>53</v>
      </c>
      <c r="M558" s="89" t="s">
        <v>1813</v>
      </c>
      <c r="N558" s="89" t="s">
        <v>148</v>
      </c>
      <c r="O558" s="93" t="s">
        <v>1814</v>
      </c>
      <c r="P558" s="94" t="s">
        <v>57</v>
      </c>
      <c r="Q558" s="112" t="s">
        <v>58</v>
      </c>
      <c r="R558" s="95">
        <v>46164</v>
      </c>
      <c r="S558" s="96"/>
      <c r="T558" s="96" t="s">
        <v>59</v>
      </c>
      <c r="U558" s="96" t="s">
        <v>60</v>
      </c>
      <c r="V558" s="92">
        <v>46141</v>
      </c>
      <c r="W558" s="92">
        <v>46154</v>
      </c>
      <c r="X558" s="92">
        <v>46160</v>
      </c>
      <c r="Y558" s="97"/>
      <c r="Z558" s="89"/>
      <c r="AA558" s="96"/>
      <c r="AB558" s="89"/>
      <c r="AC558" s="111"/>
      <c r="AD558" s="89"/>
      <c r="AE558" s="89"/>
      <c r="AF558" s="98"/>
      <c r="AG558" s="98"/>
      <c r="AH558" s="98"/>
      <c r="AI558" s="99"/>
      <c r="AJ558" s="99" t="s">
        <v>197</v>
      </c>
      <c r="AK558" s="99" t="s">
        <v>67</v>
      </c>
      <c r="AL558" s="45" t="s">
        <v>68</v>
      </c>
      <c r="AM558" s="162" t="str">
        <f t="shared" si="64"/>
        <v>3/2026</v>
      </c>
      <c r="AN558" s="45">
        <f t="shared" si="65"/>
        <v>4</v>
      </c>
      <c r="AO558" s="45" t="str">
        <f t="shared" si="66"/>
        <v>5/2026</v>
      </c>
      <c r="AP558" s="45">
        <f t="shared" si="67"/>
        <v>4</v>
      </c>
      <c r="AQ558" s="45">
        <f t="shared" si="68"/>
        <v>60</v>
      </c>
      <c r="AR558" s="45">
        <f t="shared" si="69"/>
        <v>0</v>
      </c>
      <c r="AS558" s="45">
        <f t="shared" si="70"/>
        <v>9.5</v>
      </c>
      <c r="AT558" s="45">
        <f t="shared" si="71"/>
        <v>0</v>
      </c>
      <c r="AU558" s="45" t="str">
        <f>_xlfn.XLOOKUP(U558,'Lista Suspensa'!$AA$20:$AA$23,'Lista Suspensa'!$AB$20:$AB$23,"N/A")</f>
        <v>S</v>
      </c>
    </row>
    <row r="559" spans="1:47" ht="12" customHeight="1" x14ac:dyDescent="0.3">
      <c r="A559" s="87" t="s">
        <v>47</v>
      </c>
      <c r="B559" s="88">
        <v>46104</v>
      </c>
      <c r="C559" s="89" t="s">
        <v>48</v>
      </c>
      <c r="D559" s="89" t="s">
        <v>49</v>
      </c>
      <c r="E559" s="90">
        <v>79460945</v>
      </c>
      <c r="F559" s="184" t="s">
        <v>1815</v>
      </c>
      <c r="G559" s="91">
        <v>27436269844</v>
      </c>
      <c r="H559" s="92">
        <v>22600</v>
      </c>
      <c r="I559" s="89">
        <v>64</v>
      </c>
      <c r="J559" s="89" t="s">
        <v>70</v>
      </c>
      <c r="K559" s="89" t="s">
        <v>52</v>
      </c>
      <c r="L559" s="89" t="s">
        <v>331</v>
      </c>
      <c r="M559" s="89" t="s">
        <v>1816</v>
      </c>
      <c r="N559" s="89" t="s">
        <v>148</v>
      </c>
      <c r="O559" s="93" t="s">
        <v>1817</v>
      </c>
      <c r="P559" s="94" t="s">
        <v>57</v>
      </c>
      <c r="Q559" s="112" t="s">
        <v>58</v>
      </c>
      <c r="R559" s="95">
        <v>46141</v>
      </c>
      <c r="S559" s="96"/>
      <c r="T559" s="96" t="s">
        <v>59</v>
      </c>
      <c r="U559" s="96" t="s">
        <v>60</v>
      </c>
      <c r="V559" s="92">
        <v>46141</v>
      </c>
      <c r="W559" s="92" t="s">
        <v>61</v>
      </c>
      <c r="X559" s="92" t="s">
        <v>61</v>
      </c>
      <c r="Y559" s="97"/>
      <c r="Z559" s="89" t="s">
        <v>62</v>
      </c>
      <c r="AA559" s="96">
        <v>46148.444444270834</v>
      </c>
      <c r="AB559" s="89" t="s">
        <v>80</v>
      </c>
      <c r="AC559" s="111"/>
      <c r="AD559" s="89"/>
      <c r="AE559" s="89"/>
      <c r="AF559" s="98"/>
      <c r="AG559" s="98"/>
      <c r="AH559" s="98"/>
      <c r="AI559" s="99" t="s">
        <v>67</v>
      </c>
      <c r="AJ559" s="99" t="s">
        <v>67</v>
      </c>
      <c r="AK559" s="99" t="s">
        <v>67</v>
      </c>
      <c r="AL559" s="45" t="s">
        <v>68</v>
      </c>
      <c r="AM559" s="162" t="str">
        <f t="shared" si="64"/>
        <v>3/2026</v>
      </c>
      <c r="AN559" s="45">
        <f t="shared" si="65"/>
        <v>4</v>
      </c>
      <c r="AO559" s="45" t="str">
        <f t="shared" si="66"/>
        <v>4/2026</v>
      </c>
      <c r="AP559" s="45">
        <f t="shared" si="67"/>
        <v>5</v>
      </c>
      <c r="AQ559" s="45">
        <f t="shared" si="68"/>
        <v>37</v>
      </c>
      <c r="AR559" s="45">
        <f t="shared" si="69"/>
        <v>0</v>
      </c>
      <c r="AS559" s="45">
        <f t="shared" si="70"/>
        <v>0</v>
      </c>
      <c r="AT559" s="45">
        <f t="shared" si="71"/>
        <v>0</v>
      </c>
      <c r="AU559" s="45" t="str">
        <f>_xlfn.XLOOKUP(U559,'Lista Suspensa'!$AA$20:$AA$23,'Lista Suspensa'!$AB$20:$AB$23,"N/A")</f>
        <v>S</v>
      </c>
    </row>
    <row r="560" spans="1:47" ht="12" customHeight="1" x14ac:dyDescent="0.3">
      <c r="A560" s="87" t="s">
        <v>47</v>
      </c>
      <c r="B560" s="88">
        <v>46104</v>
      </c>
      <c r="C560" s="89" t="s">
        <v>48</v>
      </c>
      <c r="D560" s="89" t="s">
        <v>49</v>
      </c>
      <c r="E560" s="90">
        <v>84434406</v>
      </c>
      <c r="F560" s="184" t="s">
        <v>1818</v>
      </c>
      <c r="G560" s="91">
        <v>69883602715</v>
      </c>
      <c r="H560" s="92">
        <v>22093</v>
      </c>
      <c r="I560" s="89">
        <v>65</v>
      </c>
      <c r="J560" s="89" t="s">
        <v>51</v>
      </c>
      <c r="K560" s="89" t="s">
        <v>88</v>
      </c>
      <c r="L560" s="89" t="s">
        <v>89</v>
      </c>
      <c r="M560" s="89" t="s">
        <v>1819</v>
      </c>
      <c r="N560" s="89" t="s">
        <v>148</v>
      </c>
      <c r="O560" s="93" t="s">
        <v>1820</v>
      </c>
      <c r="P560" s="94" t="s">
        <v>57</v>
      </c>
      <c r="Q560" s="112" t="s">
        <v>58</v>
      </c>
      <c r="R560" s="95">
        <v>46171</v>
      </c>
      <c r="S560" s="96"/>
      <c r="T560" s="96" t="s">
        <v>59</v>
      </c>
      <c r="U560" s="96" t="s">
        <v>60</v>
      </c>
      <c r="V560" s="92">
        <v>46112</v>
      </c>
      <c r="W560" s="92">
        <v>46141</v>
      </c>
      <c r="X560" s="92">
        <v>46142</v>
      </c>
      <c r="Y560" s="97"/>
      <c r="Z560" s="89" t="s">
        <v>62</v>
      </c>
      <c r="AA560" s="96">
        <v>46175</v>
      </c>
      <c r="AB560" s="89" t="s">
        <v>80</v>
      </c>
      <c r="AC560" s="111"/>
      <c r="AD560" s="89"/>
      <c r="AE560" s="89"/>
      <c r="AF560" s="98"/>
      <c r="AG560" s="98"/>
      <c r="AH560" s="98"/>
      <c r="AI560" s="99"/>
      <c r="AJ560" s="99" t="s">
        <v>197</v>
      </c>
      <c r="AK560" s="99" t="s">
        <v>67</v>
      </c>
      <c r="AL560" s="45" t="s">
        <v>68</v>
      </c>
      <c r="AM560" s="162" t="str">
        <f t="shared" si="64"/>
        <v>3/2026</v>
      </c>
      <c r="AN560" s="45">
        <f t="shared" si="65"/>
        <v>4</v>
      </c>
      <c r="AO560" s="45" t="str">
        <f t="shared" si="66"/>
        <v>5/2026</v>
      </c>
      <c r="AP560" s="45">
        <f t="shared" si="67"/>
        <v>5</v>
      </c>
      <c r="AQ560" s="45">
        <f t="shared" si="68"/>
        <v>67</v>
      </c>
      <c r="AR560" s="45">
        <f t="shared" si="69"/>
        <v>0</v>
      </c>
      <c r="AS560" s="45">
        <f t="shared" si="70"/>
        <v>15</v>
      </c>
      <c r="AT560" s="45">
        <f t="shared" si="71"/>
        <v>0</v>
      </c>
      <c r="AU560" s="45" t="str">
        <f>_xlfn.XLOOKUP(U560,'Lista Suspensa'!$AA$20:$AA$23,'Lista Suspensa'!$AB$20:$AB$23,"N/A")</f>
        <v>S</v>
      </c>
    </row>
    <row r="561" spans="1:47" ht="12" customHeight="1" x14ac:dyDescent="0.3">
      <c r="A561" s="87" t="s">
        <v>47</v>
      </c>
      <c r="B561" s="88">
        <v>46104</v>
      </c>
      <c r="C561" s="89" t="s">
        <v>48</v>
      </c>
      <c r="D561" s="89" t="s">
        <v>49</v>
      </c>
      <c r="E561" s="193">
        <v>86559857</v>
      </c>
      <c r="F561" s="184" t="s">
        <v>1821</v>
      </c>
      <c r="G561" s="91">
        <v>2120641420</v>
      </c>
      <c r="H561" s="92">
        <v>27815</v>
      </c>
      <c r="I561" s="89">
        <v>50</v>
      </c>
      <c r="J561" s="89" t="s">
        <v>51</v>
      </c>
      <c r="K561" s="89" t="s">
        <v>88</v>
      </c>
      <c r="L561" s="89" t="s">
        <v>89</v>
      </c>
      <c r="M561" s="89" t="s">
        <v>1822</v>
      </c>
      <c r="N561" s="89" t="s">
        <v>148</v>
      </c>
      <c r="O561" s="93" t="s">
        <v>1823</v>
      </c>
      <c r="P561" s="94" t="s">
        <v>57</v>
      </c>
      <c r="Q561" s="112" t="s">
        <v>58</v>
      </c>
      <c r="R561" s="95">
        <v>46163</v>
      </c>
      <c r="S561" s="96"/>
      <c r="T561" s="96" t="s">
        <v>59</v>
      </c>
      <c r="U561" s="96" t="s">
        <v>60</v>
      </c>
      <c r="V561" s="92">
        <v>46141</v>
      </c>
      <c r="W561" s="92">
        <v>46154</v>
      </c>
      <c r="X561" s="92">
        <v>46160</v>
      </c>
      <c r="Y561" s="97"/>
      <c r="Z561" s="89" t="s">
        <v>62</v>
      </c>
      <c r="AA561" s="96">
        <v>46170</v>
      </c>
      <c r="AB561" s="89" t="s">
        <v>80</v>
      </c>
      <c r="AC561" s="111"/>
      <c r="AD561" s="89"/>
      <c r="AE561" s="89"/>
      <c r="AF561" s="98"/>
      <c r="AG561" s="98"/>
      <c r="AH561" s="98"/>
      <c r="AI561" s="99"/>
      <c r="AJ561" s="99" t="s">
        <v>197</v>
      </c>
      <c r="AK561" s="99" t="s">
        <v>67</v>
      </c>
      <c r="AL561" s="45" t="s">
        <v>68</v>
      </c>
      <c r="AM561" s="162" t="str">
        <f t="shared" si="64"/>
        <v>3/2026</v>
      </c>
      <c r="AN561" s="45">
        <f t="shared" si="65"/>
        <v>4</v>
      </c>
      <c r="AO561" s="45" t="str">
        <f t="shared" si="66"/>
        <v>5/2026</v>
      </c>
      <c r="AP561" s="45">
        <f t="shared" si="67"/>
        <v>4</v>
      </c>
      <c r="AQ561" s="45">
        <f t="shared" si="68"/>
        <v>59</v>
      </c>
      <c r="AR561" s="45">
        <f t="shared" si="69"/>
        <v>0</v>
      </c>
      <c r="AS561" s="45">
        <f t="shared" si="70"/>
        <v>9.5</v>
      </c>
      <c r="AT561" s="45">
        <f t="shared" si="71"/>
        <v>0</v>
      </c>
      <c r="AU561" s="45" t="str">
        <f>_xlfn.XLOOKUP(U561,'Lista Suspensa'!$AA$20:$AA$23,'Lista Suspensa'!$AB$20:$AB$23,"N/A")</f>
        <v>S</v>
      </c>
    </row>
    <row r="562" spans="1:47" ht="12" customHeight="1" x14ac:dyDescent="0.3">
      <c r="A562" s="87" t="s">
        <v>47</v>
      </c>
      <c r="B562" s="88">
        <v>46104</v>
      </c>
      <c r="C562" s="89" t="s">
        <v>48</v>
      </c>
      <c r="D562" s="89" t="s">
        <v>49</v>
      </c>
      <c r="E562" s="90">
        <v>92719155</v>
      </c>
      <c r="F562" s="184" t="s">
        <v>1824</v>
      </c>
      <c r="G562" s="91">
        <v>14335421885</v>
      </c>
      <c r="H562" s="92">
        <v>26731</v>
      </c>
      <c r="I562" s="89">
        <v>53</v>
      </c>
      <c r="J562" s="89" t="s">
        <v>51</v>
      </c>
      <c r="K562" s="89" t="s">
        <v>52</v>
      </c>
      <c r="L562" s="89" t="s">
        <v>331</v>
      </c>
      <c r="M562" s="89" t="s">
        <v>1825</v>
      </c>
      <c r="N562" s="89" t="s">
        <v>148</v>
      </c>
      <c r="O562" s="93" t="s">
        <v>1826</v>
      </c>
      <c r="P562" s="94" t="s">
        <v>57</v>
      </c>
      <c r="Q562" s="112" t="s">
        <v>58</v>
      </c>
      <c r="R562" s="95">
        <v>46141</v>
      </c>
      <c r="S562" s="96"/>
      <c r="T562" s="96" t="s">
        <v>59</v>
      </c>
      <c r="U562" s="96" t="s">
        <v>60</v>
      </c>
      <c r="V562" s="92">
        <v>46141</v>
      </c>
      <c r="W562" s="92" t="s">
        <v>61</v>
      </c>
      <c r="X562" s="92" t="s">
        <v>61</v>
      </c>
      <c r="Y562" s="97"/>
      <c r="Z562" s="89" t="s">
        <v>62</v>
      </c>
      <c r="AA562" s="96" t="s">
        <v>1278</v>
      </c>
      <c r="AB562" s="89" t="s">
        <v>80</v>
      </c>
      <c r="AC562" s="111"/>
      <c r="AD562" s="89"/>
      <c r="AE562" s="89"/>
      <c r="AF562" s="98"/>
      <c r="AG562" s="98"/>
      <c r="AH562" s="98"/>
      <c r="AI562" s="99" t="s">
        <v>67</v>
      </c>
      <c r="AJ562" s="99" t="s">
        <v>67</v>
      </c>
      <c r="AK562" s="99" t="s">
        <v>67</v>
      </c>
      <c r="AL562" s="45" t="s">
        <v>68</v>
      </c>
      <c r="AM562" s="162" t="str">
        <f t="shared" si="64"/>
        <v>3/2026</v>
      </c>
      <c r="AN562" s="45">
        <f t="shared" si="65"/>
        <v>4</v>
      </c>
      <c r="AO562" s="45" t="str">
        <f t="shared" si="66"/>
        <v>4/2026</v>
      </c>
      <c r="AP562" s="45">
        <f t="shared" si="67"/>
        <v>5</v>
      </c>
      <c r="AQ562" s="45">
        <f t="shared" si="68"/>
        <v>37</v>
      </c>
      <c r="AR562" s="45">
        <f t="shared" si="69"/>
        <v>0</v>
      </c>
      <c r="AS562" s="45">
        <f t="shared" si="70"/>
        <v>0</v>
      </c>
      <c r="AT562" s="45">
        <f t="shared" si="71"/>
        <v>0</v>
      </c>
      <c r="AU562" s="45" t="str">
        <f>_xlfn.XLOOKUP(U562,'Lista Suspensa'!$AA$20:$AA$23,'Lista Suspensa'!$AB$20:$AB$23,"N/A")</f>
        <v>S</v>
      </c>
    </row>
    <row r="563" spans="1:47" ht="12" customHeight="1" x14ac:dyDescent="0.3">
      <c r="A563" s="87" t="s">
        <v>47</v>
      </c>
      <c r="B563" s="88">
        <v>46104</v>
      </c>
      <c r="C563" s="89" t="s">
        <v>48</v>
      </c>
      <c r="D563" s="89" t="s">
        <v>49</v>
      </c>
      <c r="E563" s="90">
        <v>83535972</v>
      </c>
      <c r="F563" s="184" t="s">
        <v>1827</v>
      </c>
      <c r="G563" s="91">
        <v>85285005434</v>
      </c>
      <c r="H563" s="92">
        <v>25879</v>
      </c>
      <c r="I563" s="89">
        <v>55</v>
      </c>
      <c r="J563" s="89" t="s">
        <v>51</v>
      </c>
      <c r="K563" s="89" t="s">
        <v>52</v>
      </c>
      <c r="L563" s="89" t="s">
        <v>53</v>
      </c>
      <c r="M563" s="89" t="s">
        <v>1828</v>
      </c>
      <c r="N563" s="89" t="s">
        <v>148</v>
      </c>
      <c r="O563" s="93" t="s">
        <v>1829</v>
      </c>
      <c r="P563" s="94" t="s">
        <v>57</v>
      </c>
      <c r="Q563" s="112" t="s">
        <v>58</v>
      </c>
      <c r="R563" s="95">
        <v>46153</v>
      </c>
      <c r="S563" s="96"/>
      <c r="T563" s="96" t="s">
        <v>59</v>
      </c>
      <c r="U563" s="96" t="s">
        <v>60</v>
      </c>
      <c r="V563" s="92">
        <v>46141</v>
      </c>
      <c r="W563" s="92">
        <v>46154</v>
      </c>
      <c r="X563" s="92" t="s">
        <v>61</v>
      </c>
      <c r="Y563" s="97"/>
      <c r="Z563" s="89" t="s">
        <v>62</v>
      </c>
      <c r="AA563" s="96" t="s">
        <v>1830</v>
      </c>
      <c r="AB563" s="89" t="s">
        <v>80</v>
      </c>
      <c r="AC563" s="111"/>
      <c r="AD563" s="89"/>
      <c r="AE563" s="89"/>
      <c r="AF563" s="98"/>
      <c r="AG563" s="98"/>
      <c r="AH563" s="98"/>
      <c r="AI563" s="99" t="s">
        <v>197</v>
      </c>
      <c r="AJ563" s="99" t="s">
        <v>197</v>
      </c>
      <c r="AK563" s="99" t="s">
        <v>67</v>
      </c>
      <c r="AL563" s="45" t="s">
        <v>68</v>
      </c>
      <c r="AM563" s="162" t="str">
        <f t="shared" si="64"/>
        <v>3/2026</v>
      </c>
      <c r="AN563" s="45">
        <f t="shared" si="65"/>
        <v>4</v>
      </c>
      <c r="AO563" s="45" t="str">
        <f t="shared" si="66"/>
        <v>5/2026</v>
      </c>
      <c r="AP563" s="45">
        <f t="shared" si="67"/>
        <v>3</v>
      </c>
      <c r="AQ563" s="45">
        <f t="shared" si="68"/>
        <v>49</v>
      </c>
      <c r="AR563" s="45">
        <f t="shared" si="69"/>
        <v>0</v>
      </c>
      <c r="AS563" s="45">
        <f t="shared" si="70"/>
        <v>13</v>
      </c>
      <c r="AT563" s="45">
        <f t="shared" si="71"/>
        <v>0</v>
      </c>
      <c r="AU563" s="45" t="str">
        <f>_xlfn.XLOOKUP(U563,'Lista Suspensa'!$AA$20:$AA$23,'Lista Suspensa'!$AB$20:$AB$23,"N/A")</f>
        <v>S</v>
      </c>
    </row>
    <row r="564" spans="1:47" ht="12" customHeight="1" x14ac:dyDescent="0.3">
      <c r="A564" s="87" t="s">
        <v>47</v>
      </c>
      <c r="B564" s="88">
        <v>46104</v>
      </c>
      <c r="C564" s="89" t="s">
        <v>48</v>
      </c>
      <c r="D564" s="89" t="s">
        <v>49</v>
      </c>
      <c r="E564" s="90">
        <v>94445686</v>
      </c>
      <c r="F564" s="184" t="s">
        <v>1831</v>
      </c>
      <c r="G564" s="91">
        <v>13556354896</v>
      </c>
      <c r="H564" s="92">
        <v>26307</v>
      </c>
      <c r="I564" s="89">
        <v>54</v>
      </c>
      <c r="J564" s="89" t="s">
        <v>51</v>
      </c>
      <c r="K564" s="89" t="s">
        <v>52</v>
      </c>
      <c r="L564" s="89" t="s">
        <v>53</v>
      </c>
      <c r="M564" s="89" t="s">
        <v>1832</v>
      </c>
      <c r="N564" s="89" t="s">
        <v>148</v>
      </c>
      <c r="O564" s="93" t="s">
        <v>1833</v>
      </c>
      <c r="P564" s="94" t="s">
        <v>57</v>
      </c>
      <c r="Q564" s="112" t="s">
        <v>58</v>
      </c>
      <c r="R564" s="95">
        <v>46141</v>
      </c>
      <c r="S564" s="96"/>
      <c r="T564" s="96" t="s">
        <v>59</v>
      </c>
      <c r="U564" s="96" t="s">
        <v>60</v>
      </c>
      <c r="V564" s="92">
        <v>46141</v>
      </c>
      <c r="W564" s="92" t="s">
        <v>61</v>
      </c>
      <c r="X564" s="92" t="s">
        <v>61</v>
      </c>
      <c r="Y564" s="97"/>
      <c r="Z564" s="89" t="s">
        <v>62</v>
      </c>
      <c r="AA564" s="96">
        <v>46142</v>
      </c>
      <c r="AB564" s="89" t="s">
        <v>63</v>
      </c>
      <c r="AC564" s="111"/>
      <c r="AD564" s="89" t="s">
        <v>265</v>
      </c>
      <c r="AE564" s="89">
        <v>42</v>
      </c>
      <c r="AF564" s="98" t="s">
        <v>296</v>
      </c>
      <c r="AG564" s="98"/>
      <c r="AH564" s="98" t="s">
        <v>66</v>
      </c>
      <c r="AI564" s="99" t="s">
        <v>67</v>
      </c>
      <c r="AJ564" s="99" t="s">
        <v>67</v>
      </c>
      <c r="AK564" s="99" t="s">
        <v>67</v>
      </c>
      <c r="AL564" s="45" t="s">
        <v>68</v>
      </c>
      <c r="AM564" s="162" t="str">
        <f t="shared" si="64"/>
        <v>3/2026</v>
      </c>
      <c r="AN564" s="45">
        <f t="shared" si="65"/>
        <v>4</v>
      </c>
      <c r="AO564" s="45" t="str">
        <f t="shared" si="66"/>
        <v>4/2026</v>
      </c>
      <c r="AP564" s="45">
        <f t="shared" si="67"/>
        <v>5</v>
      </c>
      <c r="AQ564" s="45">
        <f t="shared" si="68"/>
        <v>37</v>
      </c>
      <c r="AR564" s="45">
        <f t="shared" si="69"/>
        <v>0</v>
      </c>
      <c r="AS564" s="45">
        <f t="shared" si="70"/>
        <v>0</v>
      </c>
      <c r="AT564" s="45">
        <f t="shared" si="71"/>
        <v>1</v>
      </c>
      <c r="AU564" s="45" t="str">
        <f>_xlfn.XLOOKUP(U564,'Lista Suspensa'!$AA$20:$AA$23,'Lista Suspensa'!$AB$20:$AB$23,"N/A")</f>
        <v>S</v>
      </c>
    </row>
    <row r="565" spans="1:47" ht="12" customHeight="1" x14ac:dyDescent="0.3">
      <c r="A565" s="87" t="s">
        <v>47</v>
      </c>
      <c r="B565" s="88">
        <v>46104</v>
      </c>
      <c r="C565" s="89" t="s">
        <v>48</v>
      </c>
      <c r="D565" s="89" t="s">
        <v>49</v>
      </c>
      <c r="E565" s="90">
        <v>86577400</v>
      </c>
      <c r="F565" s="184" t="s">
        <v>1834</v>
      </c>
      <c r="G565" s="91">
        <v>58474889715</v>
      </c>
      <c r="H565" s="92">
        <v>21259</v>
      </c>
      <c r="I565" s="89">
        <v>68</v>
      </c>
      <c r="J565" s="89" t="s">
        <v>51</v>
      </c>
      <c r="K565" s="89" t="s">
        <v>88</v>
      </c>
      <c r="L565" s="89" t="s">
        <v>867</v>
      </c>
      <c r="M565" s="89" t="s">
        <v>240</v>
      </c>
      <c r="N565" s="89" t="s">
        <v>170</v>
      </c>
      <c r="O565" s="93" t="s">
        <v>1835</v>
      </c>
      <c r="P565" s="94" t="s">
        <v>57</v>
      </c>
      <c r="Q565" s="112" t="s">
        <v>58</v>
      </c>
      <c r="R565" s="95">
        <v>46142</v>
      </c>
      <c r="S565" s="96"/>
      <c r="T565" s="96" t="s">
        <v>59</v>
      </c>
      <c r="U565" s="96" t="s">
        <v>60</v>
      </c>
      <c r="V565" s="92">
        <v>46122</v>
      </c>
      <c r="W565" s="92">
        <v>46141</v>
      </c>
      <c r="X565" s="92">
        <v>46142</v>
      </c>
      <c r="Y565" s="97"/>
      <c r="Z565" s="89" t="s">
        <v>62</v>
      </c>
      <c r="AA565" s="96" t="s">
        <v>1836</v>
      </c>
      <c r="AB565" s="89" t="s">
        <v>63</v>
      </c>
      <c r="AC565" s="111"/>
      <c r="AD565" s="89"/>
      <c r="AE565" s="89"/>
      <c r="AF565" s="98"/>
      <c r="AG565" s="98"/>
      <c r="AH565" s="98"/>
      <c r="AI565" s="99" t="s">
        <v>67</v>
      </c>
      <c r="AJ565" s="99" t="s">
        <v>67</v>
      </c>
      <c r="AK565" s="99" t="s">
        <v>67</v>
      </c>
      <c r="AL565" s="45" t="s">
        <v>68</v>
      </c>
      <c r="AM565" s="162" t="str">
        <f t="shared" si="64"/>
        <v>3/2026</v>
      </c>
      <c r="AN565" s="45">
        <f t="shared" si="65"/>
        <v>4</v>
      </c>
      <c r="AO565" s="45" t="str">
        <f t="shared" si="66"/>
        <v>4/2026</v>
      </c>
      <c r="AP565" s="45">
        <f t="shared" si="67"/>
        <v>5</v>
      </c>
      <c r="AQ565" s="45">
        <f t="shared" si="68"/>
        <v>38</v>
      </c>
      <c r="AR565" s="45">
        <f t="shared" si="69"/>
        <v>0</v>
      </c>
      <c r="AS565" s="45">
        <f t="shared" si="70"/>
        <v>10</v>
      </c>
      <c r="AT565" s="45">
        <f t="shared" si="71"/>
        <v>5.4166666666642413</v>
      </c>
      <c r="AU565" s="45" t="str">
        <f>_xlfn.XLOOKUP(U565,'Lista Suspensa'!$AA$20:$AA$23,'Lista Suspensa'!$AB$20:$AB$23,"N/A")</f>
        <v>S</v>
      </c>
    </row>
    <row r="566" spans="1:47" ht="12" customHeight="1" x14ac:dyDescent="0.3">
      <c r="A566" s="87" t="s">
        <v>47</v>
      </c>
      <c r="B566" s="88">
        <v>46104</v>
      </c>
      <c r="C566" s="89" t="s">
        <v>48</v>
      </c>
      <c r="D566" s="89" t="s">
        <v>49</v>
      </c>
      <c r="E566" s="90">
        <v>82737373</v>
      </c>
      <c r="F566" s="184" t="s">
        <v>1837</v>
      </c>
      <c r="G566" s="91">
        <v>4159579744</v>
      </c>
      <c r="H566" s="92">
        <v>22637</v>
      </c>
      <c r="I566" s="89">
        <v>64</v>
      </c>
      <c r="J566" s="89" t="s">
        <v>70</v>
      </c>
      <c r="K566" s="89" t="s">
        <v>88</v>
      </c>
      <c r="L566" s="89" t="s">
        <v>97</v>
      </c>
      <c r="M566" s="89" t="s">
        <v>1838</v>
      </c>
      <c r="N566" s="89" t="s">
        <v>148</v>
      </c>
      <c r="O566" s="93" t="s">
        <v>1839</v>
      </c>
      <c r="P566" s="94" t="s">
        <v>57</v>
      </c>
      <c r="Q566" s="112" t="s">
        <v>58</v>
      </c>
      <c r="R566" s="95">
        <v>46141</v>
      </c>
      <c r="S566" s="96"/>
      <c r="T566" s="96" t="s">
        <v>59</v>
      </c>
      <c r="U566" s="96" t="s">
        <v>60</v>
      </c>
      <c r="V566" s="92">
        <v>46128</v>
      </c>
      <c r="W566" s="92">
        <v>46141</v>
      </c>
      <c r="X566" s="92" t="s">
        <v>61</v>
      </c>
      <c r="Y566" s="97"/>
      <c r="Z566" s="89" t="s">
        <v>62</v>
      </c>
      <c r="AA566" s="96">
        <v>46169</v>
      </c>
      <c r="AB566" s="89" t="s">
        <v>63</v>
      </c>
      <c r="AC566" s="111"/>
      <c r="AD566" s="89" t="s">
        <v>86</v>
      </c>
      <c r="AE566" s="89">
        <v>53</v>
      </c>
      <c r="AF566" s="98" t="s">
        <v>126</v>
      </c>
      <c r="AG566" s="98" t="s">
        <v>126</v>
      </c>
      <c r="AH566" s="98" t="s">
        <v>66</v>
      </c>
      <c r="AI566" s="99" t="s">
        <v>67</v>
      </c>
      <c r="AJ566" s="99" t="s">
        <v>67</v>
      </c>
      <c r="AK566" s="99" t="s">
        <v>67</v>
      </c>
      <c r="AL566" s="45" t="s">
        <v>68</v>
      </c>
      <c r="AM566" s="162" t="str">
        <f t="shared" si="64"/>
        <v>3/2026</v>
      </c>
      <c r="AN566" s="45">
        <f t="shared" si="65"/>
        <v>4</v>
      </c>
      <c r="AO566" s="45" t="str">
        <f t="shared" si="66"/>
        <v>4/2026</v>
      </c>
      <c r="AP566" s="45">
        <f t="shared" si="67"/>
        <v>5</v>
      </c>
      <c r="AQ566" s="45">
        <f t="shared" si="68"/>
        <v>37</v>
      </c>
      <c r="AR566" s="45">
        <f t="shared" si="69"/>
        <v>0</v>
      </c>
      <c r="AS566" s="45">
        <f t="shared" si="70"/>
        <v>13</v>
      </c>
      <c r="AT566" s="45">
        <f t="shared" si="71"/>
        <v>28</v>
      </c>
      <c r="AU566" s="45" t="str">
        <f>_xlfn.XLOOKUP(U566,'Lista Suspensa'!$AA$20:$AA$23,'Lista Suspensa'!$AB$20:$AB$23,"N/A")</f>
        <v>S</v>
      </c>
    </row>
    <row r="567" spans="1:47" ht="12" customHeight="1" x14ac:dyDescent="0.3">
      <c r="A567" s="87" t="s">
        <v>47</v>
      </c>
      <c r="B567" s="88">
        <v>46104</v>
      </c>
      <c r="C567" s="89" t="s">
        <v>48</v>
      </c>
      <c r="D567" s="89" t="s">
        <v>49</v>
      </c>
      <c r="E567" s="90">
        <v>89916014</v>
      </c>
      <c r="F567" s="184" t="s">
        <v>1840</v>
      </c>
      <c r="G567" s="91">
        <v>9021891824</v>
      </c>
      <c r="H567" s="92">
        <v>24199</v>
      </c>
      <c r="I567" s="89">
        <v>59</v>
      </c>
      <c r="J567" s="89" t="s">
        <v>51</v>
      </c>
      <c r="K567" s="89" t="s">
        <v>52</v>
      </c>
      <c r="L567" s="89" t="s">
        <v>53</v>
      </c>
      <c r="M567" s="89" t="s">
        <v>1841</v>
      </c>
      <c r="N567" s="89" t="s">
        <v>148</v>
      </c>
      <c r="O567" s="93" t="s">
        <v>1842</v>
      </c>
      <c r="P567" s="94" t="s">
        <v>57</v>
      </c>
      <c r="Q567" s="112" t="s">
        <v>58</v>
      </c>
      <c r="R567" s="95">
        <v>46141</v>
      </c>
      <c r="S567" s="96"/>
      <c r="T567" s="96" t="s">
        <v>59</v>
      </c>
      <c r="U567" s="96" t="s">
        <v>60</v>
      </c>
      <c r="V567" s="92">
        <v>46141</v>
      </c>
      <c r="W567" s="92" t="s">
        <v>61</v>
      </c>
      <c r="X567" s="92" t="s">
        <v>61</v>
      </c>
      <c r="Y567" s="97"/>
      <c r="Z567" s="89" t="s">
        <v>62</v>
      </c>
      <c r="AA567" s="96" t="s">
        <v>747</v>
      </c>
      <c r="AB567" s="89" t="s">
        <v>63</v>
      </c>
      <c r="AC567" s="111"/>
      <c r="AD567" s="89" t="s">
        <v>86</v>
      </c>
      <c r="AE567" s="89">
        <v>43</v>
      </c>
      <c r="AF567" s="98" t="s">
        <v>138</v>
      </c>
      <c r="AG567" s="98"/>
      <c r="AH567" s="98" t="s">
        <v>66</v>
      </c>
      <c r="AI567" s="99" t="s">
        <v>67</v>
      </c>
      <c r="AJ567" s="99" t="s">
        <v>67</v>
      </c>
      <c r="AK567" s="99" t="s">
        <v>67</v>
      </c>
      <c r="AL567" s="45" t="s">
        <v>68</v>
      </c>
      <c r="AM567" s="162" t="str">
        <f t="shared" si="64"/>
        <v>3/2026</v>
      </c>
      <c r="AN567" s="45">
        <f t="shared" si="65"/>
        <v>4</v>
      </c>
      <c r="AO567" s="45" t="str">
        <f t="shared" si="66"/>
        <v>4/2026</v>
      </c>
      <c r="AP567" s="45">
        <f t="shared" si="67"/>
        <v>5</v>
      </c>
      <c r="AQ567" s="45">
        <f t="shared" si="68"/>
        <v>37</v>
      </c>
      <c r="AR567" s="45">
        <f t="shared" si="69"/>
        <v>0</v>
      </c>
      <c r="AS567" s="45">
        <f t="shared" si="70"/>
        <v>0</v>
      </c>
      <c r="AT567" s="45">
        <f t="shared" si="71"/>
        <v>5.5138888888905058</v>
      </c>
      <c r="AU567" s="45" t="str">
        <f>_xlfn.XLOOKUP(U567,'Lista Suspensa'!$AA$20:$AA$23,'Lista Suspensa'!$AB$20:$AB$23,"N/A")</f>
        <v>S</v>
      </c>
    </row>
    <row r="568" spans="1:47" ht="12" customHeight="1" x14ac:dyDescent="0.3">
      <c r="A568" s="87" t="s">
        <v>47</v>
      </c>
      <c r="B568" s="88">
        <v>46104</v>
      </c>
      <c r="C568" s="89" t="s">
        <v>48</v>
      </c>
      <c r="D568" s="89" t="s">
        <v>49</v>
      </c>
      <c r="E568" s="90">
        <v>796403848</v>
      </c>
      <c r="F568" s="184" t="s">
        <v>1843</v>
      </c>
      <c r="G568" s="91">
        <v>17087383809</v>
      </c>
      <c r="H568" s="92">
        <v>15731</v>
      </c>
      <c r="I568" s="89">
        <v>83</v>
      </c>
      <c r="J568" s="89" t="s">
        <v>70</v>
      </c>
      <c r="K568" s="89" t="s">
        <v>52</v>
      </c>
      <c r="L568" s="89" t="s">
        <v>53</v>
      </c>
      <c r="M568" s="89" t="s">
        <v>1844</v>
      </c>
      <c r="N568" s="89" t="s">
        <v>170</v>
      </c>
      <c r="O568" s="93" t="s">
        <v>1845</v>
      </c>
      <c r="P568" s="94" t="s">
        <v>57</v>
      </c>
      <c r="Q568" s="112" t="s">
        <v>58</v>
      </c>
      <c r="R568" s="95">
        <v>46142</v>
      </c>
      <c r="S568" s="96"/>
      <c r="T568" s="96" t="s">
        <v>59</v>
      </c>
      <c r="U568" s="96" t="s">
        <v>60</v>
      </c>
      <c r="V568" s="92">
        <v>46128</v>
      </c>
      <c r="W568" s="92">
        <v>46141</v>
      </c>
      <c r="X568" s="92">
        <v>46142</v>
      </c>
      <c r="Y568" s="97"/>
      <c r="Z568" s="89" t="s">
        <v>62</v>
      </c>
      <c r="AA568" s="96" t="s">
        <v>1846</v>
      </c>
      <c r="AB568" s="89" t="s">
        <v>63</v>
      </c>
      <c r="AC568" s="111"/>
      <c r="AD568" s="89"/>
      <c r="AE568" s="89"/>
      <c r="AF568" s="98"/>
      <c r="AG568" s="98"/>
      <c r="AH568" s="98"/>
      <c r="AI568" s="99" t="s">
        <v>67</v>
      </c>
      <c r="AJ568" s="99" t="s">
        <v>67</v>
      </c>
      <c r="AK568" s="99" t="s">
        <v>67</v>
      </c>
      <c r="AL568" s="45" t="s">
        <v>68</v>
      </c>
      <c r="AM568" s="162" t="str">
        <f t="shared" si="64"/>
        <v>3/2026</v>
      </c>
      <c r="AN568" s="45">
        <f t="shared" si="65"/>
        <v>4</v>
      </c>
      <c r="AO568" s="45" t="str">
        <f t="shared" si="66"/>
        <v>4/2026</v>
      </c>
      <c r="AP568" s="45">
        <f t="shared" si="67"/>
        <v>5</v>
      </c>
      <c r="AQ568" s="45">
        <f t="shared" si="68"/>
        <v>38</v>
      </c>
      <c r="AR568" s="45">
        <f t="shared" si="69"/>
        <v>0</v>
      </c>
      <c r="AS568" s="45">
        <f t="shared" si="70"/>
        <v>7</v>
      </c>
      <c r="AT568" s="45">
        <f t="shared" si="71"/>
        <v>5.4444444444452529</v>
      </c>
      <c r="AU568" s="45" t="str">
        <f>_xlfn.XLOOKUP(U568,'Lista Suspensa'!$AA$20:$AA$23,'Lista Suspensa'!$AB$20:$AB$23,"N/A")</f>
        <v>S</v>
      </c>
    </row>
    <row r="569" spans="1:47" ht="12" customHeight="1" x14ac:dyDescent="0.3">
      <c r="A569" s="87" t="s">
        <v>47</v>
      </c>
      <c r="B569" s="88">
        <v>46104</v>
      </c>
      <c r="C569" s="89" t="s">
        <v>48</v>
      </c>
      <c r="D569" s="89" t="s">
        <v>49</v>
      </c>
      <c r="E569" s="90">
        <v>82175295</v>
      </c>
      <c r="F569" s="184" t="s">
        <v>1847</v>
      </c>
      <c r="G569" s="91">
        <v>70471479853</v>
      </c>
      <c r="H569" s="92">
        <v>18708</v>
      </c>
      <c r="I569" s="89">
        <v>75</v>
      </c>
      <c r="J569" s="89" t="s">
        <v>70</v>
      </c>
      <c r="K569" s="89" t="s">
        <v>52</v>
      </c>
      <c r="L569" s="89" t="s">
        <v>331</v>
      </c>
      <c r="M569" s="89" t="s">
        <v>1395</v>
      </c>
      <c r="N569" s="89" t="s">
        <v>148</v>
      </c>
      <c r="O569" s="93" t="s">
        <v>1848</v>
      </c>
      <c r="P569" s="94" t="s">
        <v>57</v>
      </c>
      <c r="Q569" s="112" t="s">
        <v>58</v>
      </c>
      <c r="R569" s="95">
        <v>46153</v>
      </c>
      <c r="S569" s="96"/>
      <c r="T569" s="96" t="s">
        <v>59</v>
      </c>
      <c r="U569" s="96" t="s">
        <v>60</v>
      </c>
      <c r="V569" s="92">
        <v>46141</v>
      </c>
      <c r="W569" s="92">
        <v>46154</v>
      </c>
      <c r="X569" s="92" t="s">
        <v>61</v>
      </c>
      <c r="Y569" s="97"/>
      <c r="Z569" s="89" t="s">
        <v>62</v>
      </c>
      <c r="AA569" s="96" t="s">
        <v>1849</v>
      </c>
      <c r="AB569" s="89" t="s">
        <v>80</v>
      </c>
      <c r="AC569" s="111"/>
      <c r="AD569" s="89"/>
      <c r="AE569" s="89"/>
      <c r="AF569" s="98"/>
      <c r="AG569" s="98"/>
      <c r="AH569" s="98"/>
      <c r="AI569" s="99" t="s">
        <v>197</v>
      </c>
      <c r="AJ569" s="99" t="s">
        <v>197</v>
      </c>
      <c r="AK569" s="99" t="s">
        <v>67</v>
      </c>
      <c r="AL569" s="45" t="s">
        <v>68</v>
      </c>
      <c r="AM569" s="162" t="str">
        <f t="shared" si="64"/>
        <v>3/2026</v>
      </c>
      <c r="AN569" s="45">
        <f t="shared" si="65"/>
        <v>4</v>
      </c>
      <c r="AO569" s="45" t="str">
        <f t="shared" si="66"/>
        <v>5/2026</v>
      </c>
      <c r="AP569" s="45">
        <f t="shared" si="67"/>
        <v>3</v>
      </c>
      <c r="AQ569" s="45">
        <f t="shared" si="68"/>
        <v>49</v>
      </c>
      <c r="AR569" s="45">
        <f t="shared" si="69"/>
        <v>0</v>
      </c>
      <c r="AS569" s="45">
        <f t="shared" si="70"/>
        <v>13</v>
      </c>
      <c r="AT569" s="45">
        <f t="shared" si="71"/>
        <v>0</v>
      </c>
      <c r="AU569" s="45" t="str">
        <f>_xlfn.XLOOKUP(U569,'Lista Suspensa'!$AA$20:$AA$23,'Lista Suspensa'!$AB$20:$AB$23,"N/A")</f>
        <v>S</v>
      </c>
    </row>
    <row r="570" spans="1:47" ht="12" customHeight="1" x14ac:dyDescent="0.3">
      <c r="A570" s="87" t="s">
        <v>47</v>
      </c>
      <c r="B570" s="88">
        <v>46104</v>
      </c>
      <c r="C570" s="89" t="s">
        <v>48</v>
      </c>
      <c r="D570" s="89" t="s">
        <v>49</v>
      </c>
      <c r="E570" s="90">
        <v>95046859</v>
      </c>
      <c r="F570" s="184" t="s">
        <v>1850</v>
      </c>
      <c r="G570" s="91">
        <v>14046356880</v>
      </c>
      <c r="H570" s="92">
        <v>24632</v>
      </c>
      <c r="I570" s="89">
        <v>58</v>
      </c>
      <c r="J570" s="89" t="s">
        <v>70</v>
      </c>
      <c r="K570" s="89" t="s">
        <v>52</v>
      </c>
      <c r="L570" s="89" t="s">
        <v>447</v>
      </c>
      <c r="M570" s="89" t="s">
        <v>1851</v>
      </c>
      <c r="N570" s="89" t="s">
        <v>148</v>
      </c>
      <c r="O570" s="93" t="s">
        <v>1852</v>
      </c>
      <c r="P570" s="94" t="s">
        <v>57</v>
      </c>
      <c r="Q570" s="112" t="s">
        <v>58</v>
      </c>
      <c r="R570" s="95">
        <v>46141</v>
      </c>
      <c r="S570" s="96"/>
      <c r="T570" s="96" t="s">
        <v>59</v>
      </c>
      <c r="U570" s="96" t="s">
        <v>60</v>
      </c>
      <c r="V570" s="92">
        <v>46112</v>
      </c>
      <c r="W570" s="92">
        <v>46141</v>
      </c>
      <c r="X570" s="92" t="s">
        <v>61</v>
      </c>
      <c r="Y570" s="97"/>
      <c r="Z570" s="89" t="s">
        <v>62</v>
      </c>
      <c r="AA570" s="96" t="s">
        <v>1853</v>
      </c>
      <c r="AB570" s="89" t="s">
        <v>63</v>
      </c>
      <c r="AC570" s="111"/>
      <c r="AD570" s="89" t="s">
        <v>64</v>
      </c>
      <c r="AE570" s="89">
        <v>63</v>
      </c>
      <c r="AF570" s="98" t="s">
        <v>178</v>
      </c>
      <c r="AG570" s="98"/>
      <c r="AH570" s="98" t="s">
        <v>66</v>
      </c>
      <c r="AI570" s="99" t="s">
        <v>67</v>
      </c>
      <c r="AJ570" s="99" t="s">
        <v>67</v>
      </c>
      <c r="AK570" s="99" t="s">
        <v>67</v>
      </c>
      <c r="AL570" s="45" t="s">
        <v>68</v>
      </c>
      <c r="AM570" s="162" t="str">
        <f t="shared" si="64"/>
        <v>3/2026</v>
      </c>
      <c r="AN570" s="45">
        <f t="shared" si="65"/>
        <v>4</v>
      </c>
      <c r="AO570" s="45" t="str">
        <f t="shared" si="66"/>
        <v>4/2026</v>
      </c>
      <c r="AP570" s="45">
        <f t="shared" si="67"/>
        <v>5</v>
      </c>
      <c r="AQ570" s="45">
        <f t="shared" si="68"/>
        <v>37</v>
      </c>
      <c r="AR570" s="45">
        <f t="shared" si="69"/>
        <v>0</v>
      </c>
      <c r="AS570" s="45">
        <f t="shared" si="70"/>
        <v>29</v>
      </c>
      <c r="AT570" s="45">
        <f t="shared" si="71"/>
        <v>0</v>
      </c>
      <c r="AU570" s="45" t="str">
        <f>_xlfn.XLOOKUP(U570,'Lista Suspensa'!$AA$20:$AA$23,'Lista Suspensa'!$AB$20:$AB$23,"N/A")</f>
        <v>S</v>
      </c>
    </row>
    <row r="571" spans="1:47" ht="12" customHeight="1" x14ac:dyDescent="0.3">
      <c r="A571" s="87" t="s">
        <v>47</v>
      </c>
      <c r="B571" s="88">
        <v>46104</v>
      </c>
      <c r="C571" s="89" t="s">
        <v>48</v>
      </c>
      <c r="D571" s="89" t="s">
        <v>49</v>
      </c>
      <c r="E571" s="90">
        <v>96101360</v>
      </c>
      <c r="F571" s="184" t="s">
        <v>1854</v>
      </c>
      <c r="G571" s="91">
        <v>31977831826</v>
      </c>
      <c r="H571" s="92">
        <v>30473</v>
      </c>
      <c r="I571" s="89">
        <v>42</v>
      </c>
      <c r="J571" s="89" t="s">
        <v>51</v>
      </c>
      <c r="K571" s="89" t="s">
        <v>52</v>
      </c>
      <c r="L571" s="89" t="s">
        <v>1727</v>
      </c>
      <c r="M571" s="89" t="s">
        <v>1855</v>
      </c>
      <c r="N571" s="89" t="s">
        <v>148</v>
      </c>
      <c r="O571" s="93" t="s">
        <v>1856</v>
      </c>
      <c r="P571" s="94" t="s">
        <v>57</v>
      </c>
      <c r="Q571" s="112" t="s">
        <v>58</v>
      </c>
      <c r="R571" s="95">
        <v>46141</v>
      </c>
      <c r="S571" s="96"/>
      <c r="T571" s="96" t="s">
        <v>59</v>
      </c>
      <c r="U571" s="96" t="s">
        <v>60</v>
      </c>
      <c r="V571" s="92">
        <v>46141</v>
      </c>
      <c r="W571" s="92">
        <v>46150</v>
      </c>
      <c r="X571" s="92" t="s">
        <v>61</v>
      </c>
      <c r="Y571" s="97"/>
      <c r="Z571" s="89" t="s">
        <v>62</v>
      </c>
      <c r="AA571" s="96">
        <v>46148.597221412034</v>
      </c>
      <c r="AB571" s="89" t="s">
        <v>80</v>
      </c>
      <c r="AC571" s="111"/>
      <c r="AD571" s="89"/>
      <c r="AE571" s="89"/>
      <c r="AF571" s="98"/>
      <c r="AG571" s="98"/>
      <c r="AH571" s="98"/>
      <c r="AI571" s="99" t="s">
        <v>67</v>
      </c>
      <c r="AJ571" s="99" t="s">
        <v>67</v>
      </c>
      <c r="AK571" s="99" t="s">
        <v>67</v>
      </c>
      <c r="AL571" s="45" t="s">
        <v>68</v>
      </c>
      <c r="AM571" s="162" t="str">
        <f t="shared" si="64"/>
        <v>3/2026</v>
      </c>
      <c r="AN571" s="45">
        <f t="shared" si="65"/>
        <v>4</v>
      </c>
      <c r="AO571" s="45" t="str">
        <f t="shared" si="66"/>
        <v>4/2026</v>
      </c>
      <c r="AP571" s="45">
        <f t="shared" si="67"/>
        <v>5</v>
      </c>
      <c r="AQ571" s="45">
        <f t="shared" si="68"/>
        <v>37</v>
      </c>
      <c r="AR571" s="45">
        <f t="shared" si="69"/>
        <v>0</v>
      </c>
      <c r="AS571" s="45">
        <f t="shared" si="70"/>
        <v>9</v>
      </c>
      <c r="AT571" s="45">
        <f t="shared" si="71"/>
        <v>0</v>
      </c>
      <c r="AU571" s="45" t="str">
        <f>_xlfn.XLOOKUP(U571,'Lista Suspensa'!$AA$20:$AA$23,'Lista Suspensa'!$AB$20:$AB$23,"N/A")</f>
        <v>S</v>
      </c>
    </row>
    <row r="572" spans="1:47" ht="12" customHeight="1" x14ac:dyDescent="0.3">
      <c r="A572" s="87" t="s">
        <v>47</v>
      </c>
      <c r="B572" s="88">
        <v>46104</v>
      </c>
      <c r="C572" s="89" t="s">
        <v>48</v>
      </c>
      <c r="D572" s="89" t="s">
        <v>49</v>
      </c>
      <c r="E572" s="90">
        <v>451089251</v>
      </c>
      <c r="F572" s="184" t="s">
        <v>1857</v>
      </c>
      <c r="G572" s="91">
        <v>53319524887</v>
      </c>
      <c r="H572" s="92">
        <v>15397</v>
      </c>
      <c r="I572" s="89">
        <v>84</v>
      </c>
      <c r="J572" s="89" t="s">
        <v>70</v>
      </c>
      <c r="K572" s="89" t="s">
        <v>52</v>
      </c>
      <c r="L572" s="89" t="s">
        <v>53</v>
      </c>
      <c r="M572" s="89" t="s">
        <v>263</v>
      </c>
      <c r="N572" s="89" t="s">
        <v>170</v>
      </c>
      <c r="O572" s="93" t="s">
        <v>1858</v>
      </c>
      <c r="P572" s="94" t="s">
        <v>57</v>
      </c>
      <c r="Q572" s="112" t="s">
        <v>58</v>
      </c>
      <c r="R572" s="95">
        <v>46141</v>
      </c>
      <c r="S572" s="96"/>
      <c r="T572" s="96" t="s">
        <v>59</v>
      </c>
      <c r="U572" s="96" t="s">
        <v>60</v>
      </c>
      <c r="V572" s="92">
        <v>46122</v>
      </c>
      <c r="W572" s="92">
        <v>46141</v>
      </c>
      <c r="X572" s="92" t="s">
        <v>61</v>
      </c>
      <c r="Y572" s="97"/>
      <c r="Z572" s="89" t="s">
        <v>62</v>
      </c>
      <c r="AA572" s="96">
        <v>46150</v>
      </c>
      <c r="AB572" s="89" t="s">
        <v>80</v>
      </c>
      <c r="AC572" s="111"/>
      <c r="AD572" s="89"/>
      <c r="AE572" s="89"/>
      <c r="AF572" s="98"/>
      <c r="AG572" s="98"/>
      <c r="AH572" s="98"/>
      <c r="AI572" s="99" t="s">
        <v>67</v>
      </c>
      <c r="AJ572" s="99" t="s">
        <v>67</v>
      </c>
      <c r="AK572" s="99" t="s">
        <v>67</v>
      </c>
      <c r="AL572" s="45" t="s">
        <v>68</v>
      </c>
      <c r="AM572" s="162" t="str">
        <f t="shared" si="64"/>
        <v>3/2026</v>
      </c>
      <c r="AN572" s="45">
        <f t="shared" si="65"/>
        <v>4</v>
      </c>
      <c r="AO572" s="45" t="str">
        <f t="shared" si="66"/>
        <v>4/2026</v>
      </c>
      <c r="AP572" s="45">
        <f t="shared" si="67"/>
        <v>5</v>
      </c>
      <c r="AQ572" s="45">
        <f t="shared" si="68"/>
        <v>37</v>
      </c>
      <c r="AR572" s="45">
        <f t="shared" si="69"/>
        <v>0</v>
      </c>
      <c r="AS572" s="45">
        <f t="shared" si="70"/>
        <v>19</v>
      </c>
      <c r="AT572" s="45">
        <f t="shared" si="71"/>
        <v>0</v>
      </c>
      <c r="AU572" s="45" t="str">
        <f>_xlfn.XLOOKUP(U572,'Lista Suspensa'!$AA$20:$AA$23,'Lista Suspensa'!$AB$20:$AB$23,"N/A")</f>
        <v>S</v>
      </c>
    </row>
    <row r="573" spans="1:47" ht="12" customHeight="1" x14ac:dyDescent="0.3">
      <c r="A573" s="87" t="s">
        <v>47</v>
      </c>
      <c r="B573" s="88">
        <v>46104</v>
      </c>
      <c r="C573" s="89" t="s">
        <v>48</v>
      </c>
      <c r="D573" s="89" t="s">
        <v>49</v>
      </c>
      <c r="E573" s="90">
        <v>83526045</v>
      </c>
      <c r="F573" s="184" t="s">
        <v>1859</v>
      </c>
      <c r="G573" s="91">
        <v>93933061849</v>
      </c>
      <c r="H573" s="92">
        <v>20405</v>
      </c>
      <c r="I573" s="89">
        <v>70</v>
      </c>
      <c r="J573" s="89" t="s">
        <v>51</v>
      </c>
      <c r="K573" s="89" t="s">
        <v>52</v>
      </c>
      <c r="L573" s="89" t="s">
        <v>283</v>
      </c>
      <c r="M573" s="89" t="s">
        <v>1860</v>
      </c>
      <c r="N573" s="89" t="s">
        <v>148</v>
      </c>
      <c r="O573" s="93" t="s">
        <v>1861</v>
      </c>
      <c r="P573" s="94" t="s">
        <v>57</v>
      </c>
      <c r="Q573" s="112" t="s">
        <v>58</v>
      </c>
      <c r="R573" s="95">
        <v>46142</v>
      </c>
      <c r="S573" s="96"/>
      <c r="T573" s="96" t="s">
        <v>59</v>
      </c>
      <c r="U573" s="96" t="s">
        <v>60</v>
      </c>
      <c r="V573" s="92">
        <v>46141</v>
      </c>
      <c r="W573" s="92" t="s">
        <v>61</v>
      </c>
      <c r="X573" s="92" t="s">
        <v>61</v>
      </c>
      <c r="Y573" s="97" t="s">
        <v>1635</v>
      </c>
      <c r="Z573" s="89" t="s">
        <v>62</v>
      </c>
      <c r="AA573" s="96">
        <v>46160</v>
      </c>
      <c r="AB573" s="89" t="s">
        <v>80</v>
      </c>
      <c r="AC573" s="111"/>
      <c r="AD573" s="89"/>
      <c r="AE573" s="89"/>
      <c r="AF573" s="98"/>
      <c r="AG573" s="98"/>
      <c r="AH573" s="98"/>
      <c r="AI573" s="99" t="s">
        <v>197</v>
      </c>
      <c r="AJ573" s="99" t="s">
        <v>197</v>
      </c>
      <c r="AK573" s="99" t="s">
        <v>67</v>
      </c>
      <c r="AL573" s="45" t="s">
        <v>68</v>
      </c>
      <c r="AM573" s="162" t="str">
        <f t="shared" si="64"/>
        <v>3/2026</v>
      </c>
      <c r="AN573" s="45">
        <f t="shared" si="65"/>
        <v>4</v>
      </c>
      <c r="AO573" s="45" t="str">
        <f t="shared" si="66"/>
        <v>4/2026</v>
      </c>
      <c r="AP573" s="45">
        <f t="shared" si="67"/>
        <v>5</v>
      </c>
      <c r="AQ573" s="45">
        <f t="shared" si="68"/>
        <v>38</v>
      </c>
      <c r="AR573" s="45">
        <f t="shared" si="69"/>
        <v>0</v>
      </c>
      <c r="AS573" s="45">
        <f t="shared" si="70"/>
        <v>0</v>
      </c>
      <c r="AT573" s="45">
        <f t="shared" si="71"/>
        <v>0</v>
      </c>
      <c r="AU573" s="45" t="str">
        <f>_xlfn.XLOOKUP(U573,'Lista Suspensa'!$AA$20:$AA$23,'Lista Suspensa'!$AB$20:$AB$23,"N/A")</f>
        <v>S</v>
      </c>
    </row>
    <row r="574" spans="1:47" ht="12" customHeight="1" x14ac:dyDescent="0.3">
      <c r="A574" s="87" t="s">
        <v>47</v>
      </c>
      <c r="B574" s="88">
        <v>46104</v>
      </c>
      <c r="C574" s="89" t="s">
        <v>48</v>
      </c>
      <c r="D574" s="89" t="s">
        <v>49</v>
      </c>
      <c r="E574" s="90">
        <v>87084790</v>
      </c>
      <c r="F574" s="184" t="s">
        <v>1862</v>
      </c>
      <c r="G574" s="91">
        <v>11224710843</v>
      </c>
      <c r="H574" s="92">
        <v>26453</v>
      </c>
      <c r="I574" s="89">
        <v>53</v>
      </c>
      <c r="J574" s="89" t="s">
        <v>51</v>
      </c>
      <c r="K574" s="89" t="s">
        <v>52</v>
      </c>
      <c r="L574" s="89" t="s">
        <v>53</v>
      </c>
      <c r="M574" s="89" t="s">
        <v>1863</v>
      </c>
      <c r="N574" s="89" t="s">
        <v>148</v>
      </c>
      <c r="O574" s="93" t="s">
        <v>1864</v>
      </c>
      <c r="P574" s="94" t="s">
        <v>57</v>
      </c>
      <c r="Q574" s="112" t="s">
        <v>58</v>
      </c>
      <c r="R574" s="95">
        <v>46153</v>
      </c>
      <c r="S574" s="96"/>
      <c r="T574" s="96" t="s">
        <v>59</v>
      </c>
      <c r="U574" s="96" t="s">
        <v>60</v>
      </c>
      <c r="V574" s="92">
        <v>46141</v>
      </c>
      <c r="W574" s="92">
        <v>46154</v>
      </c>
      <c r="X574" s="92" t="s">
        <v>61</v>
      </c>
      <c r="Y574" s="97"/>
      <c r="Z574" s="89" t="s">
        <v>62</v>
      </c>
      <c r="AA574" s="96" t="s">
        <v>1865</v>
      </c>
      <c r="AB574" s="89" t="s">
        <v>63</v>
      </c>
      <c r="AC574" s="111"/>
      <c r="AD574" s="89"/>
      <c r="AE574" s="89"/>
      <c r="AF574" s="98"/>
      <c r="AG574" s="98"/>
      <c r="AH574" s="98"/>
      <c r="AI574" s="99" t="s">
        <v>197</v>
      </c>
      <c r="AJ574" s="99" t="s">
        <v>197</v>
      </c>
      <c r="AK574" s="99" t="s">
        <v>67</v>
      </c>
      <c r="AL574" s="45" t="s">
        <v>68</v>
      </c>
      <c r="AM574" s="162" t="str">
        <f t="shared" si="64"/>
        <v>3/2026</v>
      </c>
      <c r="AN574" s="45">
        <f t="shared" si="65"/>
        <v>4</v>
      </c>
      <c r="AO574" s="45" t="str">
        <f t="shared" si="66"/>
        <v>5/2026</v>
      </c>
      <c r="AP574" s="45">
        <f t="shared" si="67"/>
        <v>3</v>
      </c>
      <c r="AQ574" s="45">
        <f t="shared" si="68"/>
        <v>49</v>
      </c>
      <c r="AR574" s="45">
        <f t="shared" si="69"/>
        <v>0</v>
      </c>
      <c r="AS574" s="45">
        <f t="shared" si="70"/>
        <v>13</v>
      </c>
      <c r="AT574" s="45">
        <f t="shared" si="71"/>
        <v>10.430555555554747</v>
      </c>
      <c r="AU574" s="45" t="str">
        <f>_xlfn.XLOOKUP(U574,'Lista Suspensa'!$AA$20:$AA$23,'Lista Suspensa'!$AB$20:$AB$23,"N/A")</f>
        <v>S</v>
      </c>
    </row>
    <row r="575" spans="1:47" ht="12" customHeight="1" x14ac:dyDescent="0.3">
      <c r="A575" s="87" t="s">
        <v>47</v>
      </c>
      <c r="B575" s="88">
        <v>46104</v>
      </c>
      <c r="C575" s="89" t="s">
        <v>48</v>
      </c>
      <c r="D575" s="89" t="s">
        <v>49</v>
      </c>
      <c r="E575" s="193">
        <v>300980329</v>
      </c>
      <c r="F575" s="184" t="s">
        <v>1866</v>
      </c>
      <c r="G575" s="91">
        <v>41269594834</v>
      </c>
      <c r="H575" s="92">
        <v>14853</v>
      </c>
      <c r="I575" s="89">
        <v>85</v>
      </c>
      <c r="J575" s="89" t="s">
        <v>51</v>
      </c>
      <c r="K575" s="89" t="s">
        <v>52</v>
      </c>
      <c r="L575" s="89" t="s">
        <v>53</v>
      </c>
      <c r="M575" s="89" t="s">
        <v>1867</v>
      </c>
      <c r="N575" s="89" t="s">
        <v>170</v>
      </c>
      <c r="O575" s="93" t="s">
        <v>1868</v>
      </c>
      <c r="P575" s="94" t="s">
        <v>57</v>
      </c>
      <c r="Q575" s="112" t="s">
        <v>58</v>
      </c>
      <c r="R575" s="95">
        <v>46163</v>
      </c>
      <c r="S575" s="96"/>
      <c r="T575" s="96" t="s">
        <v>59</v>
      </c>
      <c r="U575" s="96" t="s">
        <v>60</v>
      </c>
      <c r="V575" s="92">
        <v>46141</v>
      </c>
      <c r="W575" s="92">
        <v>46154</v>
      </c>
      <c r="X575" s="92">
        <v>46160</v>
      </c>
      <c r="Y575" s="97"/>
      <c r="Z575" s="89" t="s">
        <v>62</v>
      </c>
      <c r="AA575" s="96">
        <v>46170</v>
      </c>
      <c r="AB575" s="89" t="s">
        <v>80</v>
      </c>
      <c r="AC575" s="111"/>
      <c r="AD575" s="89"/>
      <c r="AE575" s="89"/>
      <c r="AF575" s="98"/>
      <c r="AG575" s="98"/>
      <c r="AH575" s="98"/>
      <c r="AI575" s="99"/>
      <c r="AJ575" s="99" t="s">
        <v>197</v>
      </c>
      <c r="AK575" s="99" t="s">
        <v>67</v>
      </c>
      <c r="AL575" s="45" t="s">
        <v>68</v>
      </c>
      <c r="AM575" s="162" t="str">
        <f t="shared" si="64"/>
        <v>3/2026</v>
      </c>
      <c r="AN575" s="45">
        <f t="shared" si="65"/>
        <v>4</v>
      </c>
      <c r="AO575" s="45" t="str">
        <f t="shared" si="66"/>
        <v>5/2026</v>
      </c>
      <c r="AP575" s="45">
        <f t="shared" si="67"/>
        <v>4</v>
      </c>
      <c r="AQ575" s="45">
        <f t="shared" si="68"/>
        <v>59</v>
      </c>
      <c r="AR575" s="45">
        <f t="shared" si="69"/>
        <v>0</v>
      </c>
      <c r="AS575" s="45">
        <f t="shared" si="70"/>
        <v>9.5</v>
      </c>
      <c r="AT575" s="45">
        <f t="shared" si="71"/>
        <v>0</v>
      </c>
      <c r="AU575" s="45" t="str">
        <f>_xlfn.XLOOKUP(U575,'Lista Suspensa'!$AA$20:$AA$23,'Lista Suspensa'!$AB$20:$AB$23,"N/A")</f>
        <v>S</v>
      </c>
    </row>
    <row r="576" spans="1:47" ht="12" customHeight="1" x14ac:dyDescent="0.3">
      <c r="A576" s="87" t="s">
        <v>47</v>
      </c>
      <c r="B576" s="88">
        <v>46104</v>
      </c>
      <c r="C576" s="89" t="s">
        <v>48</v>
      </c>
      <c r="D576" s="89" t="s">
        <v>49</v>
      </c>
      <c r="E576" s="90">
        <v>10404198</v>
      </c>
      <c r="F576" s="184" t="s">
        <v>1869</v>
      </c>
      <c r="G576" s="91">
        <v>18076416787</v>
      </c>
      <c r="H576" s="92">
        <v>15962</v>
      </c>
      <c r="I576" s="89">
        <v>82</v>
      </c>
      <c r="J576" s="89" t="s">
        <v>51</v>
      </c>
      <c r="K576" s="89" t="s">
        <v>88</v>
      </c>
      <c r="L576" s="89" t="s">
        <v>89</v>
      </c>
      <c r="M576" s="89" t="s">
        <v>1098</v>
      </c>
      <c r="N576" s="89" t="s">
        <v>170</v>
      </c>
      <c r="O576" s="93" t="s">
        <v>1870</v>
      </c>
      <c r="P576" s="94" t="s">
        <v>57</v>
      </c>
      <c r="Q576" s="112" t="s">
        <v>58</v>
      </c>
      <c r="R576" s="95">
        <v>46142</v>
      </c>
      <c r="S576" s="96"/>
      <c r="T576" s="96" t="s">
        <v>59</v>
      </c>
      <c r="U576" s="96" t="s">
        <v>60</v>
      </c>
      <c r="V576" s="92">
        <v>46141</v>
      </c>
      <c r="W576" s="92">
        <v>46142</v>
      </c>
      <c r="X576" s="92" t="s">
        <v>61</v>
      </c>
      <c r="Y576" s="97"/>
      <c r="Z576" s="89" t="s">
        <v>62</v>
      </c>
      <c r="AA576" s="96" t="s">
        <v>1322</v>
      </c>
      <c r="AB576" s="89" t="s">
        <v>80</v>
      </c>
      <c r="AC576" s="111"/>
      <c r="AD576" s="89"/>
      <c r="AE576" s="89"/>
      <c r="AF576" s="98"/>
      <c r="AG576" s="98"/>
      <c r="AH576" s="98"/>
      <c r="AI576" s="99" t="s">
        <v>67</v>
      </c>
      <c r="AJ576" s="99" t="s">
        <v>67</v>
      </c>
      <c r="AK576" s="99" t="s">
        <v>67</v>
      </c>
      <c r="AL576" s="45" t="s">
        <v>68</v>
      </c>
      <c r="AM576" s="162" t="str">
        <f t="shared" si="64"/>
        <v>3/2026</v>
      </c>
      <c r="AN576" s="45">
        <f t="shared" si="65"/>
        <v>4</v>
      </c>
      <c r="AO576" s="45" t="str">
        <f t="shared" si="66"/>
        <v>4/2026</v>
      </c>
      <c r="AP576" s="45">
        <f t="shared" si="67"/>
        <v>5</v>
      </c>
      <c r="AQ576" s="45">
        <f t="shared" si="68"/>
        <v>38</v>
      </c>
      <c r="AR576" s="45">
        <f t="shared" si="69"/>
        <v>0</v>
      </c>
      <c r="AS576" s="45">
        <f t="shared" si="70"/>
        <v>1</v>
      </c>
      <c r="AT576" s="45">
        <f t="shared" si="71"/>
        <v>0</v>
      </c>
      <c r="AU576" s="45" t="str">
        <f>_xlfn.XLOOKUP(U576,'Lista Suspensa'!$AA$20:$AA$23,'Lista Suspensa'!$AB$20:$AB$23,"N/A")</f>
        <v>S</v>
      </c>
    </row>
    <row r="577" spans="1:47" ht="12" customHeight="1" x14ac:dyDescent="0.3">
      <c r="A577" s="87" t="s">
        <v>47</v>
      </c>
      <c r="B577" s="88">
        <v>46104</v>
      </c>
      <c r="C577" s="89" t="s">
        <v>48</v>
      </c>
      <c r="D577" s="89" t="s">
        <v>49</v>
      </c>
      <c r="E577" s="90">
        <v>125225547</v>
      </c>
      <c r="F577" s="184" t="s">
        <v>1871</v>
      </c>
      <c r="G577" s="91">
        <v>34210806820</v>
      </c>
      <c r="H577" s="92">
        <v>15798</v>
      </c>
      <c r="I577" s="89">
        <v>82</v>
      </c>
      <c r="J577" s="89" t="s">
        <v>51</v>
      </c>
      <c r="K577" s="89" t="s">
        <v>52</v>
      </c>
      <c r="L577" s="89" t="s">
        <v>53</v>
      </c>
      <c r="M577" s="89" t="s">
        <v>1276</v>
      </c>
      <c r="N577" s="89" t="s">
        <v>170</v>
      </c>
      <c r="O577" s="93" t="s">
        <v>1872</v>
      </c>
      <c r="P577" s="94" t="s">
        <v>57</v>
      </c>
      <c r="Q577" s="112" t="s">
        <v>58</v>
      </c>
      <c r="R577" s="95">
        <v>46141</v>
      </c>
      <c r="S577" s="96"/>
      <c r="T577" s="96" t="s">
        <v>59</v>
      </c>
      <c r="U577" s="96" t="s">
        <v>60</v>
      </c>
      <c r="V577" s="92">
        <v>46141</v>
      </c>
      <c r="W577" s="92" t="s">
        <v>61</v>
      </c>
      <c r="X577" s="92" t="s">
        <v>61</v>
      </c>
      <c r="Y577" s="97"/>
      <c r="Z577" s="89" t="s">
        <v>62</v>
      </c>
      <c r="AA577" s="96">
        <v>46142.652777719908</v>
      </c>
      <c r="AB577" s="89" t="s">
        <v>80</v>
      </c>
      <c r="AC577" s="111">
        <v>46149</v>
      </c>
      <c r="AD577" s="89"/>
      <c r="AE577" s="89"/>
      <c r="AF577" s="98"/>
      <c r="AG577" s="98"/>
      <c r="AH577" s="98"/>
      <c r="AI577" s="99" t="s">
        <v>67</v>
      </c>
      <c r="AJ577" s="99" t="s">
        <v>67</v>
      </c>
      <c r="AK577" s="99" t="s">
        <v>67</v>
      </c>
      <c r="AL577" s="45" t="s">
        <v>68</v>
      </c>
      <c r="AM577" s="162" t="str">
        <f t="shared" si="64"/>
        <v>3/2026</v>
      </c>
      <c r="AN577" s="45">
        <f t="shared" si="65"/>
        <v>4</v>
      </c>
      <c r="AO577" s="45" t="str">
        <f t="shared" si="66"/>
        <v>4/2026</v>
      </c>
      <c r="AP577" s="45">
        <f t="shared" si="67"/>
        <v>5</v>
      </c>
      <c r="AQ577" s="45">
        <f t="shared" si="68"/>
        <v>37</v>
      </c>
      <c r="AR577" s="45">
        <f t="shared" si="69"/>
        <v>0</v>
      </c>
      <c r="AS577" s="45">
        <f t="shared" si="70"/>
        <v>0</v>
      </c>
      <c r="AT577" s="45">
        <f t="shared" si="71"/>
        <v>0</v>
      </c>
      <c r="AU577" s="45" t="str">
        <f>_xlfn.XLOOKUP(U577,'Lista Suspensa'!$AA$20:$AA$23,'Lista Suspensa'!$AB$20:$AB$23,"N/A")</f>
        <v>S</v>
      </c>
    </row>
    <row r="578" spans="1:47" ht="12" customHeight="1" x14ac:dyDescent="0.3">
      <c r="A578" s="87" t="s">
        <v>47</v>
      </c>
      <c r="B578" s="88">
        <v>46104</v>
      </c>
      <c r="C578" s="89" t="s">
        <v>48</v>
      </c>
      <c r="D578" s="89" t="s">
        <v>49</v>
      </c>
      <c r="E578" s="90">
        <v>212274910</v>
      </c>
      <c r="F578" s="184" t="s">
        <v>1873</v>
      </c>
      <c r="G578" s="91">
        <v>93599749787</v>
      </c>
      <c r="H578" s="92">
        <v>24012</v>
      </c>
      <c r="I578" s="89">
        <v>60</v>
      </c>
      <c r="J578" s="89" t="s">
        <v>51</v>
      </c>
      <c r="K578" s="89" t="s">
        <v>88</v>
      </c>
      <c r="L578" s="89" t="s">
        <v>89</v>
      </c>
      <c r="M578" s="89" t="s">
        <v>120</v>
      </c>
      <c r="N578" s="89" t="s">
        <v>170</v>
      </c>
      <c r="O578" s="93" t="s">
        <v>1874</v>
      </c>
      <c r="P578" s="94" t="s">
        <v>57</v>
      </c>
      <c r="Q578" s="112" t="s">
        <v>58</v>
      </c>
      <c r="R578" s="95">
        <v>46141</v>
      </c>
      <c r="S578" s="96"/>
      <c r="T578" s="96" t="s">
        <v>59</v>
      </c>
      <c r="U578" s="96" t="s">
        <v>60</v>
      </c>
      <c r="V578" s="92">
        <v>46141</v>
      </c>
      <c r="W578" s="92" t="s">
        <v>61</v>
      </c>
      <c r="X578" s="92" t="s">
        <v>61</v>
      </c>
      <c r="Y578" s="97"/>
      <c r="Z578" s="89" t="s">
        <v>62</v>
      </c>
      <c r="AA578" s="96">
        <v>46148.402777777781</v>
      </c>
      <c r="AB578" s="89" t="s">
        <v>63</v>
      </c>
      <c r="AC578" s="111"/>
      <c r="AD578" s="89"/>
      <c r="AE578" s="89"/>
      <c r="AF578" s="98"/>
      <c r="AG578" s="98"/>
      <c r="AH578" s="98"/>
      <c r="AI578" s="99" t="s">
        <v>67</v>
      </c>
      <c r="AJ578" s="99" t="s">
        <v>67</v>
      </c>
      <c r="AK578" s="99" t="s">
        <v>67</v>
      </c>
      <c r="AL578" s="45" t="s">
        <v>68</v>
      </c>
      <c r="AM578" s="162" t="str">
        <f t="shared" ref="AM578:AM641" si="72">MONTH(B578)&amp;"/"&amp;YEAR(B578)</f>
        <v>3/2026</v>
      </c>
      <c r="AN578" s="45">
        <f t="shared" ref="AN578:AN641" si="73">WEEKNUM(B578)-WEEKNUM(EOMONTH(B578,-1)+1)+1</f>
        <v>4</v>
      </c>
      <c r="AO578" s="45" t="str">
        <f t="shared" ref="AO578:AO641" si="74">MONTH(R578)&amp;"/"&amp;YEAR(R578)</f>
        <v>4/2026</v>
      </c>
      <c r="AP578" s="45">
        <f t="shared" ref="AP578:AP641" si="75">WEEKNUM(R578)-WEEKNUM(EOMONTH(R578,-1)+1)+1</f>
        <v>5</v>
      </c>
      <c r="AQ578" s="45">
        <f t="shared" ref="AQ578:AQ641" si="76">IF(AU578="S",IF(Q578="1. Aceitou o programa",R578-B578,0),0)</f>
        <v>37</v>
      </c>
      <c r="AR578" s="45">
        <f t="shared" ref="AR578:AR641" si="77">IF(AU578="S",IF(AND(S578&lt;&gt;"",R578&lt;&gt;""),S578-R578,0),0)</f>
        <v>0</v>
      </c>
      <c r="AS578" s="45">
        <f t="shared" ref="AS578:AS641" si="78">IF(AU578="S",IF(Q578="1. Aceitou o programa",IF(OR(X578="Não se Aplica",X578=""),IF(OR(W578="Não se Aplica",W578=""),0,W578-V578),AVERAGE(X578-W578,W578-V578)),0),0)</f>
        <v>0</v>
      </c>
      <c r="AT578" s="45">
        <f t="shared" ref="AT578:AT641" si="79">IF(AU578="S",IF(AND(Q578="1. Aceitou o programa",AB578="Realizada"),IFERROR(IF(AA578="",0,AA578-R578),0),0),0)</f>
        <v>7.4027777777810115</v>
      </c>
      <c r="AU578" s="45" t="str">
        <f>_xlfn.XLOOKUP(U578,'Lista Suspensa'!$AA$20:$AA$23,'Lista Suspensa'!$AB$20:$AB$23,"N/A")</f>
        <v>S</v>
      </c>
    </row>
    <row r="579" spans="1:47" ht="12" customHeight="1" x14ac:dyDescent="0.3">
      <c r="A579" s="87" t="s">
        <v>47</v>
      </c>
      <c r="B579" s="88">
        <v>46104</v>
      </c>
      <c r="C579" s="89" t="s">
        <v>48</v>
      </c>
      <c r="D579" s="89" t="s">
        <v>49</v>
      </c>
      <c r="E579" s="90">
        <v>969041535</v>
      </c>
      <c r="F579" s="184" t="s">
        <v>1875</v>
      </c>
      <c r="G579" s="91">
        <v>69918414804</v>
      </c>
      <c r="H579" s="92">
        <v>19091</v>
      </c>
      <c r="I579" s="89">
        <v>73</v>
      </c>
      <c r="J579" s="89" t="s">
        <v>51</v>
      </c>
      <c r="K579" s="89" t="s">
        <v>52</v>
      </c>
      <c r="L579" s="89" t="s">
        <v>53</v>
      </c>
      <c r="M579" s="89" t="s">
        <v>1266</v>
      </c>
      <c r="N579" s="89" t="s">
        <v>170</v>
      </c>
      <c r="O579" s="93" t="s">
        <v>1876</v>
      </c>
      <c r="P579" s="94" t="s">
        <v>57</v>
      </c>
      <c r="Q579" s="112" t="s">
        <v>58</v>
      </c>
      <c r="R579" s="95">
        <v>46153</v>
      </c>
      <c r="S579" s="96"/>
      <c r="T579" s="96" t="s">
        <v>59</v>
      </c>
      <c r="U579" s="96" t="s">
        <v>60</v>
      </c>
      <c r="V579" s="92">
        <v>46141</v>
      </c>
      <c r="W579" s="92">
        <v>46154</v>
      </c>
      <c r="X579" s="92" t="s">
        <v>61</v>
      </c>
      <c r="Y579" s="97"/>
      <c r="Z579" s="89" t="s">
        <v>62</v>
      </c>
      <c r="AA579" s="96" t="s">
        <v>1877</v>
      </c>
      <c r="AB579" s="89" t="s">
        <v>80</v>
      </c>
      <c r="AC579" s="111"/>
      <c r="AD579" s="89"/>
      <c r="AE579" s="89"/>
      <c r="AF579" s="98"/>
      <c r="AG579" s="98"/>
      <c r="AH579" s="98"/>
      <c r="AI579" s="99" t="s">
        <v>197</v>
      </c>
      <c r="AJ579" s="99" t="s">
        <v>197</v>
      </c>
      <c r="AK579" s="99" t="s">
        <v>67</v>
      </c>
      <c r="AL579" s="45" t="s">
        <v>68</v>
      </c>
      <c r="AM579" s="162" t="str">
        <f t="shared" si="72"/>
        <v>3/2026</v>
      </c>
      <c r="AN579" s="45">
        <f t="shared" si="73"/>
        <v>4</v>
      </c>
      <c r="AO579" s="45" t="str">
        <f t="shared" si="74"/>
        <v>5/2026</v>
      </c>
      <c r="AP579" s="45">
        <f t="shared" si="75"/>
        <v>3</v>
      </c>
      <c r="AQ579" s="45">
        <f t="shared" si="76"/>
        <v>49</v>
      </c>
      <c r="AR579" s="45">
        <f t="shared" si="77"/>
        <v>0</v>
      </c>
      <c r="AS579" s="45">
        <f t="shared" si="78"/>
        <v>13</v>
      </c>
      <c r="AT579" s="45">
        <f t="shared" si="79"/>
        <v>0</v>
      </c>
      <c r="AU579" s="45" t="str">
        <f>_xlfn.XLOOKUP(U579,'Lista Suspensa'!$AA$20:$AA$23,'Lista Suspensa'!$AB$20:$AB$23,"N/A")</f>
        <v>S</v>
      </c>
    </row>
    <row r="580" spans="1:47" ht="12" customHeight="1" x14ac:dyDescent="0.3">
      <c r="A580" s="87" t="s">
        <v>47</v>
      </c>
      <c r="B580" s="88">
        <v>46104</v>
      </c>
      <c r="C580" s="89" t="s">
        <v>48</v>
      </c>
      <c r="D580" s="89" t="s">
        <v>49</v>
      </c>
      <c r="E580" s="90">
        <v>21205191</v>
      </c>
      <c r="F580" s="184" t="s">
        <v>1878</v>
      </c>
      <c r="G580" s="91">
        <v>47830662800</v>
      </c>
      <c r="H580" s="92">
        <v>18457</v>
      </c>
      <c r="I580" s="89">
        <v>75</v>
      </c>
      <c r="J580" s="89" t="s">
        <v>70</v>
      </c>
      <c r="K580" s="89" t="s">
        <v>52</v>
      </c>
      <c r="L580" s="89" t="s">
        <v>227</v>
      </c>
      <c r="M580" s="89" t="s">
        <v>1879</v>
      </c>
      <c r="N580" s="89" t="s">
        <v>170</v>
      </c>
      <c r="O580" s="93" t="s">
        <v>1880</v>
      </c>
      <c r="P580" s="94" t="s">
        <v>57</v>
      </c>
      <c r="Q580" s="112" t="s">
        <v>58</v>
      </c>
      <c r="R580" s="95">
        <v>46142</v>
      </c>
      <c r="S580" s="96"/>
      <c r="T580" s="96" t="s">
        <v>59</v>
      </c>
      <c r="U580" s="96" t="s">
        <v>60</v>
      </c>
      <c r="V580" s="92">
        <v>46122</v>
      </c>
      <c r="W580" s="92">
        <v>46141</v>
      </c>
      <c r="X580" s="92">
        <v>46142</v>
      </c>
      <c r="Y580" s="97"/>
      <c r="Z580" s="89" t="s">
        <v>62</v>
      </c>
      <c r="AA580" s="96" t="s">
        <v>1881</v>
      </c>
      <c r="AB580" s="89" t="s">
        <v>80</v>
      </c>
      <c r="AC580" s="111"/>
      <c r="AD580" s="89"/>
      <c r="AE580" s="89"/>
      <c r="AF580" s="98"/>
      <c r="AG580" s="98"/>
      <c r="AH580" s="98"/>
      <c r="AI580" s="99" t="s">
        <v>67</v>
      </c>
      <c r="AJ580" s="99" t="s">
        <v>67</v>
      </c>
      <c r="AK580" s="99" t="s">
        <v>67</v>
      </c>
      <c r="AL580" s="45" t="s">
        <v>68</v>
      </c>
      <c r="AM580" s="162" t="str">
        <f t="shared" si="72"/>
        <v>3/2026</v>
      </c>
      <c r="AN580" s="45">
        <f t="shared" si="73"/>
        <v>4</v>
      </c>
      <c r="AO580" s="45" t="str">
        <f t="shared" si="74"/>
        <v>4/2026</v>
      </c>
      <c r="AP580" s="45">
        <f t="shared" si="75"/>
        <v>5</v>
      </c>
      <c r="AQ580" s="45">
        <f t="shared" si="76"/>
        <v>38</v>
      </c>
      <c r="AR580" s="45">
        <f t="shared" si="77"/>
        <v>0</v>
      </c>
      <c r="AS580" s="45">
        <f t="shared" si="78"/>
        <v>10</v>
      </c>
      <c r="AT580" s="45">
        <f t="shared" si="79"/>
        <v>0</v>
      </c>
      <c r="AU580" s="45" t="str">
        <f>_xlfn.XLOOKUP(U580,'Lista Suspensa'!$AA$20:$AA$23,'Lista Suspensa'!$AB$20:$AB$23,"N/A")</f>
        <v>S</v>
      </c>
    </row>
    <row r="581" spans="1:47" ht="12" customHeight="1" x14ac:dyDescent="0.3">
      <c r="A581" s="87" t="s">
        <v>47</v>
      </c>
      <c r="B581" s="88">
        <v>46104</v>
      </c>
      <c r="C581" s="89" t="s">
        <v>48</v>
      </c>
      <c r="D581" s="89" t="s">
        <v>49</v>
      </c>
      <c r="E581" s="90">
        <v>451729722</v>
      </c>
      <c r="F581" s="184" t="s">
        <v>1882</v>
      </c>
      <c r="G581" s="91">
        <v>1867873834</v>
      </c>
      <c r="H581" s="92">
        <v>13291</v>
      </c>
      <c r="I581" s="89">
        <v>89</v>
      </c>
      <c r="J581" s="89" t="s">
        <v>51</v>
      </c>
      <c r="K581" s="89" t="s">
        <v>52</v>
      </c>
      <c r="L581" s="89" t="s">
        <v>53</v>
      </c>
      <c r="M581" s="89" t="s">
        <v>310</v>
      </c>
      <c r="N581" s="89" t="s">
        <v>170</v>
      </c>
      <c r="O581" s="93" t="s">
        <v>1883</v>
      </c>
      <c r="P581" s="94" t="s">
        <v>57</v>
      </c>
      <c r="Q581" s="112" t="s">
        <v>58</v>
      </c>
      <c r="R581" s="95">
        <v>46171</v>
      </c>
      <c r="S581" s="96"/>
      <c r="T581" s="96" t="s">
        <v>59</v>
      </c>
      <c r="U581" s="96" t="s">
        <v>60</v>
      </c>
      <c r="V581" s="92">
        <v>46141</v>
      </c>
      <c r="W581" s="92">
        <v>46154</v>
      </c>
      <c r="X581" s="92">
        <v>46160</v>
      </c>
      <c r="Y581" s="97"/>
      <c r="Z581" s="89" t="s">
        <v>62</v>
      </c>
      <c r="AA581" s="96">
        <v>46178</v>
      </c>
      <c r="AB581" s="89" t="s">
        <v>80</v>
      </c>
      <c r="AC581" s="111"/>
      <c r="AD581" s="89"/>
      <c r="AE581" s="89"/>
      <c r="AF581" s="98"/>
      <c r="AG581" s="98"/>
      <c r="AH581" s="98"/>
      <c r="AI581" s="99"/>
      <c r="AJ581" s="99" t="s">
        <v>197</v>
      </c>
      <c r="AK581" s="99" t="s">
        <v>67</v>
      </c>
      <c r="AL581" s="45" t="s">
        <v>68</v>
      </c>
      <c r="AM581" s="162" t="str">
        <f t="shared" si="72"/>
        <v>3/2026</v>
      </c>
      <c r="AN581" s="45">
        <f t="shared" si="73"/>
        <v>4</v>
      </c>
      <c r="AO581" s="45" t="str">
        <f t="shared" si="74"/>
        <v>5/2026</v>
      </c>
      <c r="AP581" s="45">
        <f t="shared" si="75"/>
        <v>5</v>
      </c>
      <c r="AQ581" s="45">
        <f t="shared" si="76"/>
        <v>67</v>
      </c>
      <c r="AR581" s="45">
        <f t="shared" si="77"/>
        <v>0</v>
      </c>
      <c r="AS581" s="45">
        <f t="shared" si="78"/>
        <v>9.5</v>
      </c>
      <c r="AT581" s="45">
        <f t="shared" si="79"/>
        <v>0</v>
      </c>
      <c r="AU581" s="45" t="str">
        <f>_xlfn.XLOOKUP(U581,'Lista Suspensa'!$AA$20:$AA$23,'Lista Suspensa'!$AB$20:$AB$23,"N/A")</f>
        <v>S</v>
      </c>
    </row>
    <row r="582" spans="1:47" ht="12" customHeight="1" x14ac:dyDescent="0.3">
      <c r="A582" s="87" t="s">
        <v>47</v>
      </c>
      <c r="B582" s="88">
        <v>46104</v>
      </c>
      <c r="C582" s="89" t="s">
        <v>48</v>
      </c>
      <c r="D582" s="89" t="s">
        <v>49</v>
      </c>
      <c r="E582" s="90">
        <v>20128770</v>
      </c>
      <c r="F582" s="184" t="s">
        <v>1884</v>
      </c>
      <c r="G582" s="91">
        <v>5597431811</v>
      </c>
      <c r="H582" s="92">
        <v>22122</v>
      </c>
      <c r="I582" s="89">
        <v>65</v>
      </c>
      <c r="J582" s="89" t="s">
        <v>70</v>
      </c>
      <c r="K582" s="89" t="s">
        <v>52</v>
      </c>
      <c r="L582" s="89" t="s">
        <v>53</v>
      </c>
      <c r="M582" s="89" t="s">
        <v>1885</v>
      </c>
      <c r="N582" s="89" t="s">
        <v>170</v>
      </c>
      <c r="O582" s="93" t="s">
        <v>1886</v>
      </c>
      <c r="P582" s="94" t="s">
        <v>57</v>
      </c>
      <c r="Q582" s="112" t="s">
        <v>58</v>
      </c>
      <c r="R582" s="95">
        <v>46164</v>
      </c>
      <c r="S582" s="96"/>
      <c r="T582" s="96" t="s">
        <v>59</v>
      </c>
      <c r="U582" s="96" t="s">
        <v>60</v>
      </c>
      <c r="V582" s="92">
        <v>46141</v>
      </c>
      <c r="W582" s="92">
        <v>46154</v>
      </c>
      <c r="X582" s="92">
        <v>46160</v>
      </c>
      <c r="Y582" s="97"/>
      <c r="Z582" s="89"/>
      <c r="AA582" s="96"/>
      <c r="AB582" s="89"/>
      <c r="AC582" s="111"/>
      <c r="AD582" s="89"/>
      <c r="AE582" s="89"/>
      <c r="AF582" s="98"/>
      <c r="AG582" s="98"/>
      <c r="AH582" s="98"/>
      <c r="AI582" s="99"/>
      <c r="AJ582" s="99" t="s">
        <v>197</v>
      </c>
      <c r="AK582" s="99" t="s">
        <v>67</v>
      </c>
      <c r="AL582" s="45" t="s">
        <v>68</v>
      </c>
      <c r="AM582" s="162" t="str">
        <f t="shared" si="72"/>
        <v>3/2026</v>
      </c>
      <c r="AN582" s="45">
        <f t="shared" si="73"/>
        <v>4</v>
      </c>
      <c r="AO582" s="45" t="str">
        <f t="shared" si="74"/>
        <v>5/2026</v>
      </c>
      <c r="AP582" s="45">
        <f t="shared" si="75"/>
        <v>4</v>
      </c>
      <c r="AQ582" s="45">
        <f t="shared" si="76"/>
        <v>60</v>
      </c>
      <c r="AR582" s="45">
        <f t="shared" si="77"/>
        <v>0</v>
      </c>
      <c r="AS582" s="45">
        <f t="shared" si="78"/>
        <v>9.5</v>
      </c>
      <c r="AT582" s="45">
        <f t="shared" si="79"/>
        <v>0</v>
      </c>
      <c r="AU582" s="45" t="str">
        <f>_xlfn.XLOOKUP(U582,'Lista Suspensa'!$AA$20:$AA$23,'Lista Suspensa'!$AB$20:$AB$23,"N/A")</f>
        <v>S</v>
      </c>
    </row>
    <row r="583" spans="1:47" ht="12" customHeight="1" x14ac:dyDescent="0.3">
      <c r="A583" s="87" t="s">
        <v>47</v>
      </c>
      <c r="B583" s="88">
        <v>46104</v>
      </c>
      <c r="C583" s="89" t="s">
        <v>48</v>
      </c>
      <c r="D583" s="89" t="s">
        <v>49</v>
      </c>
      <c r="E583" s="90">
        <v>224439618</v>
      </c>
      <c r="F583" s="184" t="s">
        <v>1887</v>
      </c>
      <c r="G583" s="91">
        <v>6383637304</v>
      </c>
      <c r="H583" s="92">
        <v>18381</v>
      </c>
      <c r="I583" s="89">
        <v>75</v>
      </c>
      <c r="J583" s="89" t="s">
        <v>51</v>
      </c>
      <c r="K583" s="89" t="s">
        <v>52</v>
      </c>
      <c r="L583" s="89" t="s">
        <v>53</v>
      </c>
      <c r="M583" s="89" t="s">
        <v>1888</v>
      </c>
      <c r="N583" s="89" t="s">
        <v>170</v>
      </c>
      <c r="O583" s="93" t="s">
        <v>1889</v>
      </c>
      <c r="P583" s="94" t="s">
        <v>57</v>
      </c>
      <c r="Q583" s="112" t="s">
        <v>58</v>
      </c>
      <c r="R583" s="95">
        <v>46142</v>
      </c>
      <c r="S583" s="96"/>
      <c r="T583" s="96" t="s">
        <v>59</v>
      </c>
      <c r="U583" s="96" t="s">
        <v>60</v>
      </c>
      <c r="V583" s="92">
        <v>46141</v>
      </c>
      <c r="W583" s="92" t="s">
        <v>61</v>
      </c>
      <c r="X583" s="92" t="s">
        <v>61</v>
      </c>
      <c r="Y583" s="97"/>
      <c r="Z583" s="89" t="s">
        <v>62</v>
      </c>
      <c r="AA583" s="96">
        <v>46160</v>
      </c>
      <c r="AB583" s="89" t="s">
        <v>80</v>
      </c>
      <c r="AC583" s="111"/>
      <c r="AD583" s="89"/>
      <c r="AE583" s="89"/>
      <c r="AF583" s="98"/>
      <c r="AG583" s="98"/>
      <c r="AH583" s="98"/>
      <c r="AI583" s="99" t="s">
        <v>197</v>
      </c>
      <c r="AJ583" s="99" t="s">
        <v>197</v>
      </c>
      <c r="AK583" s="99" t="s">
        <v>67</v>
      </c>
      <c r="AL583" s="45" t="s">
        <v>68</v>
      </c>
      <c r="AM583" s="162" t="str">
        <f t="shared" si="72"/>
        <v>3/2026</v>
      </c>
      <c r="AN583" s="45">
        <f t="shared" si="73"/>
        <v>4</v>
      </c>
      <c r="AO583" s="45" t="str">
        <f t="shared" si="74"/>
        <v>4/2026</v>
      </c>
      <c r="AP583" s="45">
        <f t="shared" si="75"/>
        <v>5</v>
      </c>
      <c r="AQ583" s="45">
        <f t="shared" si="76"/>
        <v>38</v>
      </c>
      <c r="AR583" s="45">
        <f t="shared" si="77"/>
        <v>0</v>
      </c>
      <c r="AS583" s="45">
        <f t="shared" si="78"/>
        <v>0</v>
      </c>
      <c r="AT583" s="45">
        <f t="shared" si="79"/>
        <v>0</v>
      </c>
      <c r="AU583" s="45" t="str">
        <f>_xlfn.XLOOKUP(U583,'Lista Suspensa'!$AA$20:$AA$23,'Lista Suspensa'!$AB$20:$AB$23,"N/A")</f>
        <v>S</v>
      </c>
    </row>
    <row r="584" spans="1:47" ht="12" customHeight="1" x14ac:dyDescent="0.3">
      <c r="A584" s="87" t="s">
        <v>47</v>
      </c>
      <c r="B584" s="88">
        <v>46104</v>
      </c>
      <c r="C584" s="89" t="s">
        <v>48</v>
      </c>
      <c r="D584" s="89" t="s">
        <v>49</v>
      </c>
      <c r="E584" s="90">
        <v>227984978</v>
      </c>
      <c r="F584" s="184" t="s">
        <v>1890</v>
      </c>
      <c r="G584" s="91">
        <v>736351892</v>
      </c>
      <c r="H584" s="92">
        <v>16117</v>
      </c>
      <c r="I584" s="89">
        <v>82</v>
      </c>
      <c r="J584" s="89" t="s">
        <v>51</v>
      </c>
      <c r="K584" s="89" t="s">
        <v>52</v>
      </c>
      <c r="L584" s="89" t="s">
        <v>53</v>
      </c>
      <c r="M584" s="89" t="s">
        <v>1891</v>
      </c>
      <c r="N584" s="89" t="s">
        <v>170</v>
      </c>
      <c r="O584" s="93" t="s">
        <v>1892</v>
      </c>
      <c r="P584" s="94" t="s">
        <v>57</v>
      </c>
      <c r="Q584" s="112" t="s">
        <v>58</v>
      </c>
      <c r="R584" s="95">
        <v>46164</v>
      </c>
      <c r="S584" s="96"/>
      <c r="T584" s="96" t="s">
        <v>59</v>
      </c>
      <c r="U584" s="96" t="s">
        <v>60</v>
      </c>
      <c r="V584" s="92">
        <v>46141</v>
      </c>
      <c r="W584" s="92">
        <v>46154</v>
      </c>
      <c r="X584" s="92">
        <v>46160</v>
      </c>
      <c r="Y584" s="97"/>
      <c r="Z584" s="89"/>
      <c r="AA584" s="96"/>
      <c r="AB584" s="89"/>
      <c r="AC584" s="111"/>
      <c r="AD584" s="89"/>
      <c r="AE584" s="89"/>
      <c r="AF584" s="98"/>
      <c r="AG584" s="98"/>
      <c r="AH584" s="98"/>
      <c r="AI584" s="99"/>
      <c r="AJ584" s="99" t="s">
        <v>197</v>
      </c>
      <c r="AK584" s="99" t="s">
        <v>67</v>
      </c>
      <c r="AL584" s="45" t="s">
        <v>68</v>
      </c>
      <c r="AM584" s="162" t="str">
        <f t="shared" si="72"/>
        <v>3/2026</v>
      </c>
      <c r="AN584" s="45">
        <f t="shared" si="73"/>
        <v>4</v>
      </c>
      <c r="AO584" s="45" t="str">
        <f t="shared" si="74"/>
        <v>5/2026</v>
      </c>
      <c r="AP584" s="45">
        <f t="shared" si="75"/>
        <v>4</v>
      </c>
      <c r="AQ584" s="45">
        <f t="shared" si="76"/>
        <v>60</v>
      </c>
      <c r="AR584" s="45">
        <f t="shared" si="77"/>
        <v>0</v>
      </c>
      <c r="AS584" s="45">
        <f t="shared" si="78"/>
        <v>9.5</v>
      </c>
      <c r="AT584" s="45">
        <f t="shared" si="79"/>
        <v>0</v>
      </c>
      <c r="AU584" s="45" t="str">
        <f>_xlfn.XLOOKUP(U584,'Lista Suspensa'!$AA$20:$AA$23,'Lista Suspensa'!$AB$20:$AB$23,"N/A")</f>
        <v>S</v>
      </c>
    </row>
    <row r="585" spans="1:47" ht="12" customHeight="1" x14ac:dyDescent="0.3">
      <c r="A585" s="87" t="s">
        <v>47</v>
      </c>
      <c r="B585" s="88">
        <v>46104</v>
      </c>
      <c r="C585" s="89" t="s">
        <v>48</v>
      </c>
      <c r="D585" s="89" t="s">
        <v>49</v>
      </c>
      <c r="E585" s="90">
        <v>125098944</v>
      </c>
      <c r="F585" s="184" t="s">
        <v>1893</v>
      </c>
      <c r="G585" s="91">
        <v>5531390882</v>
      </c>
      <c r="H585" s="92">
        <v>16502</v>
      </c>
      <c r="I585" s="89">
        <v>81</v>
      </c>
      <c r="J585" s="89" t="s">
        <v>51</v>
      </c>
      <c r="K585" s="89" t="s">
        <v>52</v>
      </c>
      <c r="L585" s="89" t="s">
        <v>53</v>
      </c>
      <c r="M585" s="89" t="s">
        <v>1894</v>
      </c>
      <c r="N585" s="89" t="s">
        <v>170</v>
      </c>
      <c r="O585" s="93" t="s">
        <v>1895</v>
      </c>
      <c r="P585" s="94" t="s">
        <v>57</v>
      </c>
      <c r="Q585" s="112" t="s">
        <v>58</v>
      </c>
      <c r="R585" s="95">
        <v>46164</v>
      </c>
      <c r="S585" s="96"/>
      <c r="T585" s="96" t="s">
        <v>59</v>
      </c>
      <c r="U585" s="96" t="s">
        <v>60</v>
      </c>
      <c r="V585" s="92">
        <v>46141</v>
      </c>
      <c r="W585" s="92">
        <v>46154</v>
      </c>
      <c r="X585" s="92">
        <v>46160</v>
      </c>
      <c r="Y585" s="97"/>
      <c r="Z585" s="89"/>
      <c r="AA585" s="96"/>
      <c r="AB585" s="89"/>
      <c r="AC585" s="111"/>
      <c r="AD585" s="89"/>
      <c r="AE585" s="89"/>
      <c r="AF585" s="98"/>
      <c r="AG585" s="98"/>
      <c r="AH585" s="98"/>
      <c r="AI585" s="99"/>
      <c r="AJ585" s="99" t="s">
        <v>197</v>
      </c>
      <c r="AK585" s="99" t="s">
        <v>67</v>
      </c>
      <c r="AL585" s="45" t="s">
        <v>68</v>
      </c>
      <c r="AM585" s="162" t="str">
        <f t="shared" si="72"/>
        <v>3/2026</v>
      </c>
      <c r="AN585" s="45">
        <f t="shared" si="73"/>
        <v>4</v>
      </c>
      <c r="AO585" s="45" t="str">
        <f t="shared" si="74"/>
        <v>5/2026</v>
      </c>
      <c r="AP585" s="45">
        <f t="shared" si="75"/>
        <v>4</v>
      </c>
      <c r="AQ585" s="45">
        <f t="shared" si="76"/>
        <v>60</v>
      </c>
      <c r="AR585" s="45">
        <f t="shared" si="77"/>
        <v>0</v>
      </c>
      <c r="AS585" s="45">
        <f t="shared" si="78"/>
        <v>9.5</v>
      </c>
      <c r="AT585" s="45">
        <f t="shared" si="79"/>
        <v>0</v>
      </c>
      <c r="AU585" s="45" t="str">
        <f>_xlfn.XLOOKUP(U585,'Lista Suspensa'!$AA$20:$AA$23,'Lista Suspensa'!$AB$20:$AB$23,"N/A")</f>
        <v>S</v>
      </c>
    </row>
    <row r="586" spans="1:47" ht="12" customHeight="1" x14ac:dyDescent="0.3">
      <c r="A586" s="87" t="s">
        <v>47</v>
      </c>
      <c r="B586" s="88">
        <v>46104</v>
      </c>
      <c r="C586" s="89" t="s">
        <v>48</v>
      </c>
      <c r="D586" s="89" t="s">
        <v>49</v>
      </c>
      <c r="E586" s="90">
        <v>805094229</v>
      </c>
      <c r="F586" s="184" t="s">
        <v>1896</v>
      </c>
      <c r="G586" s="91">
        <v>98924192868</v>
      </c>
      <c r="H586" s="92">
        <v>19778</v>
      </c>
      <c r="I586" s="89">
        <v>72</v>
      </c>
      <c r="J586" s="89" t="s">
        <v>51</v>
      </c>
      <c r="K586" s="89" t="s">
        <v>52</v>
      </c>
      <c r="L586" s="89" t="s">
        <v>53</v>
      </c>
      <c r="M586" s="89" t="s">
        <v>1897</v>
      </c>
      <c r="N586" s="89" t="s">
        <v>170</v>
      </c>
      <c r="O586" s="93" t="s">
        <v>1898</v>
      </c>
      <c r="P586" s="94" t="s">
        <v>57</v>
      </c>
      <c r="Q586" s="112" t="s">
        <v>58</v>
      </c>
      <c r="R586" s="95">
        <v>46147</v>
      </c>
      <c r="S586" s="96"/>
      <c r="T586" s="96" t="s">
        <v>59</v>
      </c>
      <c r="U586" s="96" t="s">
        <v>60</v>
      </c>
      <c r="V586" s="92">
        <v>46122</v>
      </c>
      <c r="W586" s="92">
        <v>46141</v>
      </c>
      <c r="X586" s="92">
        <v>46142</v>
      </c>
      <c r="Y586" s="97"/>
      <c r="Z586" s="89" t="s">
        <v>62</v>
      </c>
      <c r="AA586" s="96" t="s">
        <v>1220</v>
      </c>
      <c r="AB586" s="89" t="s">
        <v>80</v>
      </c>
      <c r="AC586" s="111"/>
      <c r="AD586" s="89"/>
      <c r="AE586" s="89"/>
      <c r="AF586" s="98"/>
      <c r="AG586" s="98"/>
      <c r="AH586" s="98"/>
      <c r="AI586" s="99" t="s">
        <v>197</v>
      </c>
      <c r="AJ586" s="99" t="s">
        <v>197</v>
      </c>
      <c r="AK586" s="99" t="s">
        <v>67</v>
      </c>
      <c r="AL586" s="45" t="s">
        <v>68</v>
      </c>
      <c r="AM586" s="162" t="str">
        <f t="shared" si="72"/>
        <v>3/2026</v>
      </c>
      <c r="AN586" s="45">
        <f t="shared" si="73"/>
        <v>4</v>
      </c>
      <c r="AO586" s="45" t="str">
        <f t="shared" si="74"/>
        <v>5/2026</v>
      </c>
      <c r="AP586" s="45">
        <f t="shared" si="75"/>
        <v>2</v>
      </c>
      <c r="AQ586" s="45">
        <f t="shared" si="76"/>
        <v>43</v>
      </c>
      <c r="AR586" s="45">
        <f t="shared" si="77"/>
        <v>0</v>
      </c>
      <c r="AS586" s="45">
        <f t="shared" si="78"/>
        <v>10</v>
      </c>
      <c r="AT586" s="45">
        <f t="shared" si="79"/>
        <v>0</v>
      </c>
      <c r="AU586" s="45" t="str">
        <f>_xlfn.XLOOKUP(U586,'Lista Suspensa'!$AA$20:$AA$23,'Lista Suspensa'!$AB$20:$AB$23,"N/A")</f>
        <v>S</v>
      </c>
    </row>
    <row r="587" spans="1:47" ht="12" customHeight="1" x14ac:dyDescent="0.3">
      <c r="A587" s="87" t="s">
        <v>47</v>
      </c>
      <c r="B587" s="88">
        <v>46104</v>
      </c>
      <c r="C587" s="89" t="s">
        <v>48</v>
      </c>
      <c r="D587" s="89" t="s">
        <v>49</v>
      </c>
      <c r="E587" s="90">
        <v>222343338</v>
      </c>
      <c r="F587" s="184" t="s">
        <v>1899</v>
      </c>
      <c r="G587" s="91">
        <v>14525978805</v>
      </c>
      <c r="H587" s="92">
        <v>15899</v>
      </c>
      <c r="I587" s="89">
        <v>82</v>
      </c>
      <c r="J587" s="89" t="s">
        <v>70</v>
      </c>
      <c r="K587" s="89" t="s">
        <v>52</v>
      </c>
      <c r="L587" s="89" t="s">
        <v>350</v>
      </c>
      <c r="M587" s="89" t="s">
        <v>76</v>
      </c>
      <c r="N587" s="89" t="s">
        <v>170</v>
      </c>
      <c r="O587" s="93" t="s">
        <v>1900</v>
      </c>
      <c r="P587" s="94" t="s">
        <v>57</v>
      </c>
      <c r="Q587" s="112" t="s">
        <v>58</v>
      </c>
      <c r="R587" s="95">
        <v>46141</v>
      </c>
      <c r="S587" s="96"/>
      <c r="T587" s="96" t="s">
        <v>59</v>
      </c>
      <c r="U587" s="96" t="s">
        <v>60</v>
      </c>
      <c r="V587" s="92">
        <v>46122</v>
      </c>
      <c r="W587" s="92">
        <v>46141</v>
      </c>
      <c r="X587" s="92" t="s">
        <v>61</v>
      </c>
      <c r="Y587" s="97"/>
      <c r="Z587" s="89" t="s">
        <v>62</v>
      </c>
      <c r="AA587" s="96">
        <v>46147</v>
      </c>
      <c r="AB587" s="89" t="s">
        <v>63</v>
      </c>
      <c r="AC587" s="111"/>
      <c r="AD587" s="89" t="s">
        <v>86</v>
      </c>
      <c r="AE587" s="89">
        <v>50</v>
      </c>
      <c r="AF587" s="98" t="s">
        <v>341</v>
      </c>
      <c r="AG587" s="98"/>
      <c r="AH587" s="98" t="s">
        <v>66</v>
      </c>
      <c r="AI587" s="99" t="s">
        <v>67</v>
      </c>
      <c r="AJ587" s="99" t="s">
        <v>67</v>
      </c>
      <c r="AK587" s="99" t="s">
        <v>67</v>
      </c>
      <c r="AL587" s="45" t="s">
        <v>68</v>
      </c>
      <c r="AM587" s="162" t="str">
        <f t="shared" si="72"/>
        <v>3/2026</v>
      </c>
      <c r="AN587" s="45">
        <f t="shared" si="73"/>
        <v>4</v>
      </c>
      <c r="AO587" s="45" t="str">
        <f t="shared" si="74"/>
        <v>4/2026</v>
      </c>
      <c r="AP587" s="45">
        <f t="shared" si="75"/>
        <v>5</v>
      </c>
      <c r="AQ587" s="45">
        <f t="shared" si="76"/>
        <v>37</v>
      </c>
      <c r="AR587" s="45">
        <f t="shared" si="77"/>
        <v>0</v>
      </c>
      <c r="AS587" s="45">
        <f t="shared" si="78"/>
        <v>19</v>
      </c>
      <c r="AT587" s="45">
        <f t="shared" si="79"/>
        <v>6</v>
      </c>
      <c r="AU587" s="45" t="str">
        <f>_xlfn.XLOOKUP(U587,'Lista Suspensa'!$AA$20:$AA$23,'Lista Suspensa'!$AB$20:$AB$23,"N/A")</f>
        <v>S</v>
      </c>
    </row>
    <row r="588" spans="1:47" ht="12" customHeight="1" x14ac:dyDescent="0.3">
      <c r="A588" s="87" t="s">
        <v>47</v>
      </c>
      <c r="B588" s="88">
        <v>46104</v>
      </c>
      <c r="C588" s="89" t="s">
        <v>48</v>
      </c>
      <c r="D588" s="89" t="s">
        <v>49</v>
      </c>
      <c r="E588" s="90">
        <v>213300567</v>
      </c>
      <c r="F588" s="184" t="s">
        <v>1901</v>
      </c>
      <c r="G588" s="91">
        <v>83226044753</v>
      </c>
      <c r="H588" s="92">
        <v>18398</v>
      </c>
      <c r="I588" s="89">
        <v>75</v>
      </c>
      <c r="J588" s="89" t="s">
        <v>70</v>
      </c>
      <c r="K588" s="89" t="s">
        <v>88</v>
      </c>
      <c r="L588" s="89" t="s">
        <v>89</v>
      </c>
      <c r="M588" s="89" t="s">
        <v>892</v>
      </c>
      <c r="N588" s="89" t="s">
        <v>170</v>
      </c>
      <c r="O588" s="93" t="s">
        <v>1902</v>
      </c>
      <c r="P588" s="94" t="s">
        <v>57</v>
      </c>
      <c r="Q588" s="112" t="s">
        <v>58</v>
      </c>
      <c r="R588" s="95">
        <v>46164</v>
      </c>
      <c r="S588" s="96"/>
      <c r="T588" s="96" t="s">
        <v>59</v>
      </c>
      <c r="U588" s="96" t="s">
        <v>60</v>
      </c>
      <c r="V588" s="92">
        <v>46141</v>
      </c>
      <c r="W588" s="92">
        <v>46154</v>
      </c>
      <c r="X588" s="92">
        <v>46160</v>
      </c>
      <c r="Y588" s="97"/>
      <c r="Z588" s="89"/>
      <c r="AA588" s="96"/>
      <c r="AB588" s="89"/>
      <c r="AC588" s="111"/>
      <c r="AD588" s="89"/>
      <c r="AE588" s="89"/>
      <c r="AF588" s="98"/>
      <c r="AG588" s="98"/>
      <c r="AH588" s="98"/>
      <c r="AI588" s="99"/>
      <c r="AJ588" s="99" t="s">
        <v>197</v>
      </c>
      <c r="AK588" s="99" t="s">
        <v>67</v>
      </c>
      <c r="AL588" s="45" t="s">
        <v>68</v>
      </c>
      <c r="AM588" s="162" t="str">
        <f t="shared" si="72"/>
        <v>3/2026</v>
      </c>
      <c r="AN588" s="45">
        <f t="shared" si="73"/>
        <v>4</v>
      </c>
      <c r="AO588" s="45" t="str">
        <f t="shared" si="74"/>
        <v>5/2026</v>
      </c>
      <c r="AP588" s="45">
        <f t="shared" si="75"/>
        <v>4</v>
      </c>
      <c r="AQ588" s="45">
        <f t="shared" si="76"/>
        <v>60</v>
      </c>
      <c r="AR588" s="45">
        <f t="shared" si="77"/>
        <v>0</v>
      </c>
      <c r="AS588" s="45">
        <f t="shared" si="78"/>
        <v>9.5</v>
      </c>
      <c r="AT588" s="45">
        <f t="shared" si="79"/>
        <v>0</v>
      </c>
      <c r="AU588" s="45" t="str">
        <f>_xlfn.XLOOKUP(U588,'Lista Suspensa'!$AA$20:$AA$23,'Lista Suspensa'!$AB$20:$AB$23,"N/A")</f>
        <v>S</v>
      </c>
    </row>
    <row r="589" spans="1:47" ht="12" customHeight="1" x14ac:dyDescent="0.3">
      <c r="A589" s="87" t="s">
        <v>47</v>
      </c>
      <c r="B589" s="88">
        <v>46104</v>
      </c>
      <c r="C589" s="89" t="s">
        <v>48</v>
      </c>
      <c r="D589" s="89" t="s">
        <v>49</v>
      </c>
      <c r="E589" s="90">
        <v>417112300</v>
      </c>
      <c r="F589" s="184" t="s">
        <v>1903</v>
      </c>
      <c r="G589" s="91">
        <v>32957424720</v>
      </c>
      <c r="H589" s="92">
        <v>20235</v>
      </c>
      <c r="I589" s="89">
        <v>70</v>
      </c>
      <c r="J589" s="89" t="s">
        <v>51</v>
      </c>
      <c r="K589" s="89" t="s">
        <v>88</v>
      </c>
      <c r="L589" s="89" t="s">
        <v>89</v>
      </c>
      <c r="M589" s="89" t="s">
        <v>1098</v>
      </c>
      <c r="N589" s="89" t="s">
        <v>170</v>
      </c>
      <c r="O589" s="93" t="s">
        <v>1904</v>
      </c>
      <c r="P589" s="94" t="s">
        <v>57</v>
      </c>
      <c r="Q589" s="112" t="s">
        <v>58</v>
      </c>
      <c r="R589" s="95">
        <v>46153</v>
      </c>
      <c r="S589" s="96"/>
      <c r="T589" s="96" t="s">
        <v>59</v>
      </c>
      <c r="U589" s="96" t="s">
        <v>60</v>
      </c>
      <c r="V589" s="92">
        <v>46141</v>
      </c>
      <c r="W589" s="92">
        <v>46154</v>
      </c>
      <c r="X589" s="92" t="s">
        <v>61</v>
      </c>
      <c r="Y589" s="97"/>
      <c r="Z589" s="89" t="s">
        <v>62</v>
      </c>
      <c r="AA589" s="96">
        <v>46164.625</v>
      </c>
      <c r="AB589" s="89" t="s">
        <v>80</v>
      </c>
      <c r="AC589" s="111"/>
      <c r="AD589" s="89"/>
      <c r="AE589" s="89"/>
      <c r="AF589" s="98"/>
      <c r="AG589" s="98"/>
      <c r="AH589" s="98"/>
      <c r="AI589" s="99" t="s">
        <v>197</v>
      </c>
      <c r="AJ589" s="99" t="s">
        <v>197</v>
      </c>
      <c r="AK589" s="99" t="s">
        <v>67</v>
      </c>
      <c r="AL589" s="45" t="s">
        <v>68</v>
      </c>
      <c r="AM589" s="162" t="str">
        <f t="shared" si="72"/>
        <v>3/2026</v>
      </c>
      <c r="AN589" s="45">
        <f t="shared" si="73"/>
        <v>4</v>
      </c>
      <c r="AO589" s="45" t="str">
        <f t="shared" si="74"/>
        <v>5/2026</v>
      </c>
      <c r="AP589" s="45">
        <f t="shared" si="75"/>
        <v>3</v>
      </c>
      <c r="AQ589" s="45">
        <f t="shared" si="76"/>
        <v>49</v>
      </c>
      <c r="AR589" s="45">
        <f t="shared" si="77"/>
        <v>0</v>
      </c>
      <c r="AS589" s="45">
        <f t="shared" si="78"/>
        <v>13</v>
      </c>
      <c r="AT589" s="45">
        <f t="shared" si="79"/>
        <v>0</v>
      </c>
      <c r="AU589" s="45" t="str">
        <f>_xlfn.XLOOKUP(U589,'Lista Suspensa'!$AA$20:$AA$23,'Lista Suspensa'!$AB$20:$AB$23,"N/A")</f>
        <v>S</v>
      </c>
    </row>
    <row r="590" spans="1:47" ht="12" customHeight="1" x14ac:dyDescent="0.3">
      <c r="A590" s="87" t="s">
        <v>47</v>
      </c>
      <c r="B590" s="88">
        <v>46104</v>
      </c>
      <c r="C590" s="89" t="s">
        <v>48</v>
      </c>
      <c r="D590" s="89" t="s">
        <v>49</v>
      </c>
      <c r="E590" s="90">
        <v>451360494</v>
      </c>
      <c r="F590" s="184" t="s">
        <v>1905</v>
      </c>
      <c r="G590" s="91">
        <v>89601394834</v>
      </c>
      <c r="H590" s="92">
        <v>18307</v>
      </c>
      <c r="I590" s="89">
        <v>76</v>
      </c>
      <c r="J590" s="89" t="s">
        <v>51</v>
      </c>
      <c r="K590" s="89" t="s">
        <v>52</v>
      </c>
      <c r="L590" s="89" t="s">
        <v>53</v>
      </c>
      <c r="M590" s="89" t="s">
        <v>1906</v>
      </c>
      <c r="N590" s="89" t="s">
        <v>170</v>
      </c>
      <c r="O590" s="93" t="s">
        <v>1907</v>
      </c>
      <c r="P590" s="94" t="s">
        <v>57</v>
      </c>
      <c r="Q590" s="112" t="s">
        <v>58</v>
      </c>
      <c r="R590" s="95">
        <v>46153</v>
      </c>
      <c r="S590" s="96"/>
      <c r="T590" s="96" t="s">
        <v>59</v>
      </c>
      <c r="U590" s="96" t="s">
        <v>60</v>
      </c>
      <c r="V590" s="92">
        <v>46141</v>
      </c>
      <c r="W590" s="92">
        <v>46154</v>
      </c>
      <c r="X590" s="92" t="s">
        <v>61</v>
      </c>
      <c r="Y590" s="97"/>
      <c r="Z590" s="89" t="s">
        <v>62</v>
      </c>
      <c r="AA590" s="96" t="s">
        <v>1908</v>
      </c>
      <c r="AB590" s="89" t="s">
        <v>63</v>
      </c>
      <c r="AC590" s="111"/>
      <c r="AD590" s="89" t="s">
        <v>64</v>
      </c>
      <c r="AE590" s="89">
        <v>63</v>
      </c>
      <c r="AF590" s="98" t="s">
        <v>138</v>
      </c>
      <c r="AG590" s="98" t="s">
        <v>138</v>
      </c>
      <c r="AH590" s="98" t="s">
        <v>66</v>
      </c>
      <c r="AI590" s="99" t="s">
        <v>197</v>
      </c>
      <c r="AJ590" s="99" t="s">
        <v>197</v>
      </c>
      <c r="AK590" s="99" t="s">
        <v>67</v>
      </c>
      <c r="AL590" s="45" t="s">
        <v>68</v>
      </c>
      <c r="AM590" s="162" t="str">
        <f t="shared" si="72"/>
        <v>3/2026</v>
      </c>
      <c r="AN590" s="45">
        <f t="shared" si="73"/>
        <v>4</v>
      </c>
      <c r="AO590" s="45" t="str">
        <f t="shared" si="74"/>
        <v>5/2026</v>
      </c>
      <c r="AP590" s="45">
        <f t="shared" si="75"/>
        <v>3</v>
      </c>
      <c r="AQ590" s="45">
        <f t="shared" si="76"/>
        <v>49</v>
      </c>
      <c r="AR590" s="45">
        <f t="shared" si="77"/>
        <v>0</v>
      </c>
      <c r="AS590" s="45">
        <f t="shared" si="78"/>
        <v>13</v>
      </c>
      <c r="AT590" s="45">
        <f t="shared" si="79"/>
        <v>10.458333333335759</v>
      </c>
      <c r="AU590" s="45" t="str">
        <f>_xlfn.XLOOKUP(U590,'Lista Suspensa'!$AA$20:$AA$23,'Lista Suspensa'!$AB$20:$AB$23,"N/A")</f>
        <v>S</v>
      </c>
    </row>
    <row r="591" spans="1:47" ht="12" customHeight="1" x14ac:dyDescent="0.3">
      <c r="A591" s="87" t="s">
        <v>47</v>
      </c>
      <c r="B591" s="88">
        <v>46104</v>
      </c>
      <c r="C591" s="89" t="s">
        <v>48</v>
      </c>
      <c r="D591" s="89" t="s">
        <v>49</v>
      </c>
      <c r="E591" s="90">
        <v>85969103</v>
      </c>
      <c r="F591" s="184" t="s">
        <v>1909</v>
      </c>
      <c r="G591" s="91">
        <v>6785096898</v>
      </c>
      <c r="H591" s="92">
        <v>23665</v>
      </c>
      <c r="I591" s="89">
        <v>61</v>
      </c>
      <c r="J591" s="89" t="s">
        <v>70</v>
      </c>
      <c r="K591" s="89" t="s">
        <v>52</v>
      </c>
      <c r="L591" s="89" t="s">
        <v>53</v>
      </c>
      <c r="M591" s="89" t="s">
        <v>1910</v>
      </c>
      <c r="N591" s="89" t="s">
        <v>170</v>
      </c>
      <c r="O591" s="93" t="s">
        <v>1911</v>
      </c>
      <c r="P591" s="94" t="s">
        <v>57</v>
      </c>
      <c r="Q591" s="112" t="s">
        <v>58</v>
      </c>
      <c r="R591" s="95">
        <v>46164</v>
      </c>
      <c r="S591" s="96"/>
      <c r="T591" s="96" t="s">
        <v>59</v>
      </c>
      <c r="U591" s="96" t="s">
        <v>60</v>
      </c>
      <c r="V591" s="92">
        <v>46141</v>
      </c>
      <c r="W591" s="92">
        <v>46154</v>
      </c>
      <c r="X591" s="92">
        <v>46160</v>
      </c>
      <c r="Y591" s="97"/>
      <c r="Z591" s="89" t="s">
        <v>62</v>
      </c>
      <c r="AA591" s="96">
        <v>46178</v>
      </c>
      <c r="AB591" s="89" t="s">
        <v>63</v>
      </c>
      <c r="AC591" s="111"/>
      <c r="AD591" s="89" t="s">
        <v>64</v>
      </c>
      <c r="AE591" s="89">
        <v>63</v>
      </c>
      <c r="AF591" s="98" t="s">
        <v>1912</v>
      </c>
      <c r="AG591" s="98" t="s">
        <v>1912</v>
      </c>
      <c r="AH591" s="98" t="s">
        <v>66</v>
      </c>
      <c r="AI591" s="99"/>
      <c r="AJ591" s="99" t="s">
        <v>197</v>
      </c>
      <c r="AK591" s="99" t="s">
        <v>67</v>
      </c>
      <c r="AL591" s="45" t="s">
        <v>68</v>
      </c>
      <c r="AM591" s="162" t="str">
        <f t="shared" si="72"/>
        <v>3/2026</v>
      </c>
      <c r="AN591" s="45">
        <f t="shared" si="73"/>
        <v>4</v>
      </c>
      <c r="AO591" s="45" t="str">
        <f t="shared" si="74"/>
        <v>5/2026</v>
      </c>
      <c r="AP591" s="45">
        <f t="shared" si="75"/>
        <v>4</v>
      </c>
      <c r="AQ591" s="45">
        <f t="shared" si="76"/>
        <v>60</v>
      </c>
      <c r="AR591" s="45">
        <f t="shared" si="77"/>
        <v>0</v>
      </c>
      <c r="AS591" s="45">
        <f t="shared" si="78"/>
        <v>9.5</v>
      </c>
      <c r="AT591" s="45">
        <f t="shared" si="79"/>
        <v>14</v>
      </c>
      <c r="AU591" s="45" t="str">
        <f>_xlfn.XLOOKUP(U591,'Lista Suspensa'!$AA$20:$AA$23,'Lista Suspensa'!$AB$20:$AB$23,"N/A")</f>
        <v>S</v>
      </c>
    </row>
    <row r="592" spans="1:47" ht="12" customHeight="1" x14ac:dyDescent="0.3">
      <c r="A592" s="87" t="s">
        <v>47</v>
      </c>
      <c r="B592" s="88">
        <v>46104</v>
      </c>
      <c r="C592" s="89" t="s">
        <v>48</v>
      </c>
      <c r="D592" s="89" t="s">
        <v>49</v>
      </c>
      <c r="E592" s="90">
        <v>451861612</v>
      </c>
      <c r="F592" s="184" t="s">
        <v>1913</v>
      </c>
      <c r="G592" s="91">
        <v>21380846803</v>
      </c>
      <c r="H592" s="92">
        <v>13407</v>
      </c>
      <c r="I592" s="89">
        <v>89</v>
      </c>
      <c r="J592" s="89" t="s">
        <v>70</v>
      </c>
      <c r="K592" s="89" t="s">
        <v>52</v>
      </c>
      <c r="L592" s="89" t="s">
        <v>53</v>
      </c>
      <c r="M592" s="89" t="s">
        <v>1914</v>
      </c>
      <c r="N592" s="89" t="s">
        <v>170</v>
      </c>
      <c r="O592" s="93" t="s">
        <v>1915</v>
      </c>
      <c r="P592" s="94" t="s">
        <v>57</v>
      </c>
      <c r="Q592" s="112" t="s">
        <v>58</v>
      </c>
      <c r="R592" s="95">
        <v>46141</v>
      </c>
      <c r="S592" s="96"/>
      <c r="T592" s="96" t="s">
        <v>59</v>
      </c>
      <c r="U592" s="96" t="s">
        <v>60</v>
      </c>
      <c r="V592" s="92">
        <v>46141</v>
      </c>
      <c r="W592" s="92" t="s">
        <v>61</v>
      </c>
      <c r="X592" s="92" t="s">
        <v>61</v>
      </c>
      <c r="Y592" s="97"/>
      <c r="Z592" s="89" t="s">
        <v>62</v>
      </c>
      <c r="AA592" s="96">
        <v>46142</v>
      </c>
      <c r="AB592" s="89" t="s">
        <v>63</v>
      </c>
      <c r="AC592" s="111"/>
      <c r="AD592" s="89" t="s">
        <v>64</v>
      </c>
      <c r="AE592" s="89">
        <v>62</v>
      </c>
      <c r="AF592" s="98" t="s">
        <v>65</v>
      </c>
      <c r="AG592" s="98"/>
      <c r="AH592" s="98" t="s">
        <v>66</v>
      </c>
      <c r="AI592" s="99" t="s">
        <v>67</v>
      </c>
      <c r="AJ592" s="99" t="s">
        <v>67</v>
      </c>
      <c r="AK592" s="99" t="s">
        <v>67</v>
      </c>
      <c r="AL592" s="45" t="s">
        <v>68</v>
      </c>
      <c r="AM592" s="162" t="str">
        <f t="shared" si="72"/>
        <v>3/2026</v>
      </c>
      <c r="AN592" s="45">
        <f t="shared" si="73"/>
        <v>4</v>
      </c>
      <c r="AO592" s="45" t="str">
        <f t="shared" si="74"/>
        <v>4/2026</v>
      </c>
      <c r="AP592" s="45">
        <f t="shared" si="75"/>
        <v>5</v>
      </c>
      <c r="AQ592" s="45">
        <f t="shared" si="76"/>
        <v>37</v>
      </c>
      <c r="AR592" s="45">
        <f t="shared" si="77"/>
        <v>0</v>
      </c>
      <c r="AS592" s="45">
        <f t="shared" si="78"/>
        <v>0</v>
      </c>
      <c r="AT592" s="45">
        <f t="shared" si="79"/>
        <v>1</v>
      </c>
      <c r="AU592" s="45" t="str">
        <f>_xlfn.XLOOKUP(U592,'Lista Suspensa'!$AA$20:$AA$23,'Lista Suspensa'!$AB$20:$AB$23,"N/A")</f>
        <v>S</v>
      </c>
    </row>
    <row r="593" spans="1:47" ht="12" customHeight="1" x14ac:dyDescent="0.3">
      <c r="A593" s="87" t="s">
        <v>47</v>
      </c>
      <c r="B593" s="88">
        <v>46104</v>
      </c>
      <c r="C593" s="89" t="s">
        <v>48</v>
      </c>
      <c r="D593" s="89" t="s">
        <v>49</v>
      </c>
      <c r="E593" s="193">
        <v>444902848</v>
      </c>
      <c r="F593" s="184" t="s">
        <v>1916</v>
      </c>
      <c r="G593" s="91">
        <v>4186796653</v>
      </c>
      <c r="H593" s="92">
        <v>16968</v>
      </c>
      <c r="I593" s="89">
        <v>79</v>
      </c>
      <c r="J593" s="89" t="s">
        <v>51</v>
      </c>
      <c r="K593" s="89" t="s">
        <v>52</v>
      </c>
      <c r="L593" s="89" t="s">
        <v>53</v>
      </c>
      <c r="M593" s="89" t="s">
        <v>1917</v>
      </c>
      <c r="N593" s="89" t="s">
        <v>170</v>
      </c>
      <c r="O593" s="93" t="s">
        <v>1918</v>
      </c>
      <c r="P593" s="94" t="s">
        <v>57</v>
      </c>
      <c r="Q593" s="112" t="s">
        <v>58</v>
      </c>
      <c r="R593" s="95">
        <v>46163</v>
      </c>
      <c r="S593" s="96"/>
      <c r="T593" s="96" t="s">
        <v>59</v>
      </c>
      <c r="U593" s="96" t="s">
        <v>60</v>
      </c>
      <c r="V593" s="92">
        <v>46141</v>
      </c>
      <c r="W593" s="92">
        <v>46154</v>
      </c>
      <c r="X593" s="92">
        <v>46160</v>
      </c>
      <c r="Y593" s="97"/>
      <c r="Z593" s="89" t="s">
        <v>62</v>
      </c>
      <c r="AA593" s="96">
        <v>46171</v>
      </c>
      <c r="AB593" s="89" t="s">
        <v>63</v>
      </c>
      <c r="AC593" s="111"/>
      <c r="AD593" s="89" t="s">
        <v>265</v>
      </c>
      <c r="AE593" s="89">
        <v>21</v>
      </c>
      <c r="AF593" s="98"/>
      <c r="AG593" s="98"/>
      <c r="AH593" s="98" t="s">
        <v>66</v>
      </c>
      <c r="AI593" s="99"/>
      <c r="AJ593" s="99" t="s">
        <v>197</v>
      </c>
      <c r="AK593" s="99" t="s">
        <v>67</v>
      </c>
      <c r="AL593" s="45" t="s">
        <v>68</v>
      </c>
      <c r="AM593" s="162" t="str">
        <f t="shared" si="72"/>
        <v>3/2026</v>
      </c>
      <c r="AN593" s="45">
        <f t="shared" si="73"/>
        <v>4</v>
      </c>
      <c r="AO593" s="45" t="str">
        <f t="shared" si="74"/>
        <v>5/2026</v>
      </c>
      <c r="AP593" s="45">
        <f t="shared" si="75"/>
        <v>4</v>
      </c>
      <c r="AQ593" s="45">
        <f t="shared" si="76"/>
        <v>59</v>
      </c>
      <c r="AR593" s="45">
        <f t="shared" si="77"/>
        <v>0</v>
      </c>
      <c r="AS593" s="45">
        <f t="shared" si="78"/>
        <v>9.5</v>
      </c>
      <c r="AT593" s="45">
        <f t="shared" si="79"/>
        <v>8</v>
      </c>
      <c r="AU593" s="45" t="str">
        <f>_xlfn.XLOOKUP(U593,'Lista Suspensa'!$AA$20:$AA$23,'Lista Suspensa'!$AB$20:$AB$23,"N/A")</f>
        <v>S</v>
      </c>
    </row>
    <row r="594" spans="1:47" ht="12" customHeight="1" x14ac:dyDescent="0.3">
      <c r="A594" s="87" t="s">
        <v>47</v>
      </c>
      <c r="B594" s="88">
        <v>46104</v>
      </c>
      <c r="C594" s="89" t="s">
        <v>48</v>
      </c>
      <c r="D594" s="89" t="s">
        <v>49</v>
      </c>
      <c r="E594" s="90">
        <v>94726068</v>
      </c>
      <c r="F594" s="184" t="s">
        <v>1919</v>
      </c>
      <c r="G594" s="91">
        <v>47540923768</v>
      </c>
      <c r="H594" s="92">
        <v>20686</v>
      </c>
      <c r="I594" s="89">
        <v>69</v>
      </c>
      <c r="J594" s="89" t="s">
        <v>51</v>
      </c>
      <c r="K594" s="89" t="s">
        <v>88</v>
      </c>
      <c r="L594" s="89" t="s">
        <v>629</v>
      </c>
      <c r="M594" s="89" t="s">
        <v>1920</v>
      </c>
      <c r="N594" s="89" t="s">
        <v>181</v>
      </c>
      <c r="O594" s="93" t="s">
        <v>1921</v>
      </c>
      <c r="P594" s="94" t="s">
        <v>57</v>
      </c>
      <c r="Q594" s="112" t="s">
        <v>58</v>
      </c>
      <c r="R594" s="95">
        <v>46153</v>
      </c>
      <c r="S594" s="96"/>
      <c r="T594" s="96" t="s">
        <v>59</v>
      </c>
      <c r="U594" s="96" t="s">
        <v>60</v>
      </c>
      <c r="V594" s="92">
        <v>46141</v>
      </c>
      <c r="W594" s="92">
        <v>46154</v>
      </c>
      <c r="X594" s="92" t="s">
        <v>61</v>
      </c>
      <c r="Y594" s="97"/>
      <c r="Z594" s="89" t="s">
        <v>62</v>
      </c>
      <c r="AA594" s="96" t="s">
        <v>1922</v>
      </c>
      <c r="AB594" s="89" t="s">
        <v>80</v>
      </c>
      <c r="AC594" s="111"/>
      <c r="AD594" s="89"/>
      <c r="AE594" s="89"/>
      <c r="AF594" s="98"/>
      <c r="AG594" s="98"/>
      <c r="AH594" s="98"/>
      <c r="AI594" s="99" t="s">
        <v>197</v>
      </c>
      <c r="AJ594" s="99" t="s">
        <v>197</v>
      </c>
      <c r="AK594" s="99" t="s">
        <v>67</v>
      </c>
      <c r="AL594" s="45" t="s">
        <v>68</v>
      </c>
      <c r="AM594" s="162" t="str">
        <f t="shared" si="72"/>
        <v>3/2026</v>
      </c>
      <c r="AN594" s="45">
        <f t="shared" si="73"/>
        <v>4</v>
      </c>
      <c r="AO594" s="45" t="str">
        <f t="shared" si="74"/>
        <v>5/2026</v>
      </c>
      <c r="AP594" s="45">
        <f t="shared" si="75"/>
        <v>3</v>
      </c>
      <c r="AQ594" s="45">
        <f t="shared" si="76"/>
        <v>49</v>
      </c>
      <c r="AR594" s="45">
        <f t="shared" si="77"/>
        <v>0</v>
      </c>
      <c r="AS594" s="45">
        <f t="shared" si="78"/>
        <v>13</v>
      </c>
      <c r="AT594" s="45">
        <f t="shared" si="79"/>
        <v>0</v>
      </c>
      <c r="AU594" s="45" t="str">
        <f>_xlfn.XLOOKUP(U594,'Lista Suspensa'!$AA$20:$AA$23,'Lista Suspensa'!$AB$20:$AB$23,"N/A")</f>
        <v>S</v>
      </c>
    </row>
    <row r="595" spans="1:47" ht="12" customHeight="1" x14ac:dyDescent="0.3">
      <c r="A595" s="87" t="s">
        <v>47</v>
      </c>
      <c r="B595" s="88">
        <v>46104</v>
      </c>
      <c r="C595" s="89" t="s">
        <v>48</v>
      </c>
      <c r="D595" s="89" t="s">
        <v>49</v>
      </c>
      <c r="E595" s="90">
        <v>222459670</v>
      </c>
      <c r="F595" s="184" t="s">
        <v>1923</v>
      </c>
      <c r="G595" s="91">
        <v>26699680820</v>
      </c>
      <c r="H595" s="92">
        <v>18508</v>
      </c>
      <c r="I595" s="89">
        <v>75</v>
      </c>
      <c r="J595" s="89" t="s">
        <v>51</v>
      </c>
      <c r="K595" s="89" t="s">
        <v>52</v>
      </c>
      <c r="L595" s="89" t="s">
        <v>53</v>
      </c>
      <c r="M595" s="89" t="s">
        <v>1924</v>
      </c>
      <c r="N595" s="89" t="s">
        <v>170</v>
      </c>
      <c r="O595" s="93" t="s">
        <v>1925</v>
      </c>
      <c r="P595" s="94" t="s">
        <v>57</v>
      </c>
      <c r="Q595" s="112" t="s">
        <v>58</v>
      </c>
      <c r="R595" s="95">
        <v>46141</v>
      </c>
      <c r="S595" s="96"/>
      <c r="T595" s="96" t="s">
        <v>59</v>
      </c>
      <c r="U595" s="96" t="s">
        <v>60</v>
      </c>
      <c r="V595" s="92">
        <v>46141</v>
      </c>
      <c r="W595" s="92" t="s">
        <v>61</v>
      </c>
      <c r="X595" s="92" t="s">
        <v>61</v>
      </c>
      <c r="Y595" s="97"/>
      <c r="Z595" s="89" t="s">
        <v>62</v>
      </c>
      <c r="AA595" s="96">
        <v>46147</v>
      </c>
      <c r="AB595" s="89" t="s">
        <v>80</v>
      </c>
      <c r="AC595" s="111">
        <v>46154</v>
      </c>
      <c r="AD595" s="89"/>
      <c r="AE595" s="89"/>
      <c r="AF595" s="98"/>
      <c r="AG595" s="98"/>
      <c r="AH595" s="98"/>
      <c r="AI595" s="99" t="s">
        <v>67</v>
      </c>
      <c r="AJ595" s="99" t="s">
        <v>67</v>
      </c>
      <c r="AK595" s="99" t="s">
        <v>67</v>
      </c>
      <c r="AL595" s="45" t="s">
        <v>68</v>
      </c>
      <c r="AM595" s="162" t="str">
        <f t="shared" si="72"/>
        <v>3/2026</v>
      </c>
      <c r="AN595" s="45">
        <f t="shared" si="73"/>
        <v>4</v>
      </c>
      <c r="AO595" s="45" t="str">
        <f t="shared" si="74"/>
        <v>4/2026</v>
      </c>
      <c r="AP595" s="45">
        <f t="shared" si="75"/>
        <v>5</v>
      </c>
      <c r="AQ595" s="45">
        <f t="shared" si="76"/>
        <v>37</v>
      </c>
      <c r="AR595" s="45">
        <f t="shared" si="77"/>
        <v>0</v>
      </c>
      <c r="AS595" s="45">
        <f t="shared" si="78"/>
        <v>0</v>
      </c>
      <c r="AT595" s="45">
        <f t="shared" si="79"/>
        <v>0</v>
      </c>
      <c r="AU595" s="45" t="str">
        <f>_xlfn.XLOOKUP(U595,'Lista Suspensa'!$AA$20:$AA$23,'Lista Suspensa'!$AB$20:$AB$23,"N/A")</f>
        <v>S</v>
      </c>
    </row>
    <row r="596" spans="1:47" ht="12" customHeight="1" x14ac:dyDescent="0.3">
      <c r="A596" s="87" t="s">
        <v>47</v>
      </c>
      <c r="B596" s="88">
        <v>46104</v>
      </c>
      <c r="C596" s="89" t="s">
        <v>48</v>
      </c>
      <c r="D596" s="89" t="s">
        <v>49</v>
      </c>
      <c r="E596" s="90">
        <v>85430970</v>
      </c>
      <c r="F596" s="184" t="s">
        <v>1926</v>
      </c>
      <c r="G596" s="91">
        <v>49216848715</v>
      </c>
      <c r="H596" s="92">
        <v>21329</v>
      </c>
      <c r="I596" s="89">
        <v>67</v>
      </c>
      <c r="J596" s="89" t="s">
        <v>70</v>
      </c>
      <c r="K596" s="89" t="s">
        <v>88</v>
      </c>
      <c r="L596" s="89" t="s">
        <v>89</v>
      </c>
      <c r="M596" s="89" t="s">
        <v>240</v>
      </c>
      <c r="N596" s="89" t="s">
        <v>181</v>
      </c>
      <c r="O596" s="93" t="s">
        <v>1927</v>
      </c>
      <c r="P596" s="94" t="s">
        <v>57</v>
      </c>
      <c r="Q596" s="112" t="s">
        <v>58</v>
      </c>
      <c r="R596" s="95">
        <v>46164</v>
      </c>
      <c r="S596" s="96"/>
      <c r="T596" s="96" t="s">
        <v>59</v>
      </c>
      <c r="U596" s="96" t="s">
        <v>60</v>
      </c>
      <c r="V596" s="92">
        <v>46141</v>
      </c>
      <c r="W596" s="92">
        <v>46154</v>
      </c>
      <c r="X596" s="92">
        <v>46160</v>
      </c>
      <c r="Y596" s="97"/>
      <c r="Z596" s="89"/>
      <c r="AA596" s="96"/>
      <c r="AB596" s="89"/>
      <c r="AC596" s="111"/>
      <c r="AD596" s="89"/>
      <c r="AE596" s="89"/>
      <c r="AF596" s="98"/>
      <c r="AG596" s="98"/>
      <c r="AH596" s="98"/>
      <c r="AI596" s="99"/>
      <c r="AJ596" s="99" t="s">
        <v>197</v>
      </c>
      <c r="AK596" s="99" t="s">
        <v>67</v>
      </c>
      <c r="AL596" s="45" t="s">
        <v>68</v>
      </c>
      <c r="AM596" s="162" t="str">
        <f t="shared" si="72"/>
        <v>3/2026</v>
      </c>
      <c r="AN596" s="45">
        <f t="shared" si="73"/>
        <v>4</v>
      </c>
      <c r="AO596" s="45" t="str">
        <f t="shared" si="74"/>
        <v>5/2026</v>
      </c>
      <c r="AP596" s="45">
        <f t="shared" si="75"/>
        <v>4</v>
      </c>
      <c r="AQ596" s="45">
        <f t="shared" si="76"/>
        <v>60</v>
      </c>
      <c r="AR596" s="45">
        <f t="shared" si="77"/>
        <v>0</v>
      </c>
      <c r="AS596" s="45">
        <f t="shared" si="78"/>
        <v>9.5</v>
      </c>
      <c r="AT596" s="45">
        <f t="shared" si="79"/>
        <v>0</v>
      </c>
      <c r="AU596" s="45" t="str">
        <f>_xlfn.XLOOKUP(U596,'Lista Suspensa'!$AA$20:$AA$23,'Lista Suspensa'!$AB$20:$AB$23,"N/A")</f>
        <v>S</v>
      </c>
    </row>
    <row r="597" spans="1:47" ht="12" customHeight="1" x14ac:dyDescent="0.3">
      <c r="A597" s="87" t="s">
        <v>47</v>
      </c>
      <c r="B597" s="88">
        <v>46104</v>
      </c>
      <c r="C597" s="89" t="s">
        <v>48</v>
      </c>
      <c r="D597" s="89" t="s">
        <v>49</v>
      </c>
      <c r="E597" s="90">
        <v>127495797</v>
      </c>
      <c r="F597" s="184" t="s">
        <v>1928</v>
      </c>
      <c r="G597" s="91">
        <v>3970232864</v>
      </c>
      <c r="H597" s="92">
        <v>21613</v>
      </c>
      <c r="I597" s="89">
        <v>67</v>
      </c>
      <c r="J597" s="89" t="s">
        <v>51</v>
      </c>
      <c r="K597" s="89" t="s">
        <v>52</v>
      </c>
      <c r="L597" s="89" t="s">
        <v>53</v>
      </c>
      <c r="M597" s="89" t="s">
        <v>273</v>
      </c>
      <c r="N597" s="89" t="s">
        <v>170</v>
      </c>
      <c r="O597" s="93" t="s">
        <v>1929</v>
      </c>
      <c r="P597" s="94" t="s">
        <v>57</v>
      </c>
      <c r="Q597" s="112" t="s">
        <v>58</v>
      </c>
      <c r="R597" s="95">
        <v>46141</v>
      </c>
      <c r="S597" s="96"/>
      <c r="T597" s="96" t="s">
        <v>59</v>
      </c>
      <c r="U597" s="96" t="s">
        <v>60</v>
      </c>
      <c r="V597" s="92">
        <v>46141</v>
      </c>
      <c r="W597" s="92" t="s">
        <v>61</v>
      </c>
      <c r="X597" s="92" t="s">
        <v>61</v>
      </c>
      <c r="Y597" s="97"/>
      <c r="Z597" s="89" t="s">
        <v>62</v>
      </c>
      <c r="AA597" s="96">
        <v>46147</v>
      </c>
      <c r="AB597" s="89" t="s">
        <v>63</v>
      </c>
      <c r="AC597" s="111"/>
      <c r="AD597" s="89" t="s">
        <v>64</v>
      </c>
      <c r="AE597" s="89">
        <v>52</v>
      </c>
      <c r="AF597" s="98" t="s">
        <v>296</v>
      </c>
      <c r="AG597" s="98"/>
      <c r="AH597" s="98" t="s">
        <v>66</v>
      </c>
      <c r="AI597" s="99" t="s">
        <v>67</v>
      </c>
      <c r="AJ597" s="99" t="s">
        <v>67</v>
      </c>
      <c r="AK597" s="99" t="s">
        <v>67</v>
      </c>
      <c r="AL597" s="45" t="s">
        <v>68</v>
      </c>
      <c r="AM597" s="162" t="str">
        <f t="shared" si="72"/>
        <v>3/2026</v>
      </c>
      <c r="AN597" s="45">
        <f t="shared" si="73"/>
        <v>4</v>
      </c>
      <c r="AO597" s="45" t="str">
        <f t="shared" si="74"/>
        <v>4/2026</v>
      </c>
      <c r="AP597" s="45">
        <f t="shared" si="75"/>
        <v>5</v>
      </c>
      <c r="AQ597" s="45">
        <f t="shared" si="76"/>
        <v>37</v>
      </c>
      <c r="AR597" s="45">
        <f t="shared" si="77"/>
        <v>0</v>
      </c>
      <c r="AS597" s="45">
        <f t="shared" si="78"/>
        <v>0</v>
      </c>
      <c r="AT597" s="45">
        <f t="shared" si="79"/>
        <v>6</v>
      </c>
      <c r="AU597" s="45" t="str">
        <f>_xlfn.XLOOKUP(U597,'Lista Suspensa'!$AA$20:$AA$23,'Lista Suspensa'!$AB$20:$AB$23,"N/A")</f>
        <v>S</v>
      </c>
    </row>
    <row r="598" spans="1:47" ht="12" customHeight="1" x14ac:dyDescent="0.3">
      <c r="A598" s="87" t="s">
        <v>47</v>
      </c>
      <c r="B598" s="88">
        <v>46104</v>
      </c>
      <c r="C598" s="89" t="s">
        <v>48</v>
      </c>
      <c r="D598" s="89" t="s">
        <v>49</v>
      </c>
      <c r="E598" s="90">
        <v>95619957</v>
      </c>
      <c r="F598" s="184" t="s">
        <v>1930</v>
      </c>
      <c r="G598" s="91">
        <v>90704436787</v>
      </c>
      <c r="H598" s="92">
        <v>23934</v>
      </c>
      <c r="I598" s="89">
        <v>60</v>
      </c>
      <c r="J598" s="89" t="s">
        <v>70</v>
      </c>
      <c r="K598" s="89" t="s">
        <v>88</v>
      </c>
      <c r="L598" s="89" t="s">
        <v>89</v>
      </c>
      <c r="M598" s="89" t="s">
        <v>960</v>
      </c>
      <c r="N598" s="89" t="s">
        <v>181</v>
      </c>
      <c r="O598" s="93" t="s">
        <v>1931</v>
      </c>
      <c r="P598" s="94" t="s">
        <v>57</v>
      </c>
      <c r="Q598" s="112" t="s">
        <v>58</v>
      </c>
      <c r="R598" s="95">
        <v>46164</v>
      </c>
      <c r="S598" s="96"/>
      <c r="T598" s="96" t="s">
        <v>59</v>
      </c>
      <c r="U598" s="96" t="s">
        <v>60</v>
      </c>
      <c r="V598" s="92">
        <v>46141</v>
      </c>
      <c r="W598" s="92">
        <v>46154</v>
      </c>
      <c r="X598" s="92">
        <v>46160</v>
      </c>
      <c r="Y598" s="97"/>
      <c r="Z598" s="89" t="s">
        <v>62</v>
      </c>
      <c r="AA598" s="96">
        <v>46171</v>
      </c>
      <c r="AB598" s="89" t="s">
        <v>80</v>
      </c>
      <c r="AC598" s="111"/>
      <c r="AD598" s="89"/>
      <c r="AE598" s="89"/>
      <c r="AF598" s="98"/>
      <c r="AG598" s="98"/>
      <c r="AH598" s="98"/>
      <c r="AI598" s="99"/>
      <c r="AJ598" s="99" t="s">
        <v>197</v>
      </c>
      <c r="AK598" s="99" t="s">
        <v>67</v>
      </c>
      <c r="AL598" s="45" t="s">
        <v>68</v>
      </c>
      <c r="AM598" s="162" t="str">
        <f t="shared" si="72"/>
        <v>3/2026</v>
      </c>
      <c r="AN598" s="45">
        <f t="shared" si="73"/>
        <v>4</v>
      </c>
      <c r="AO598" s="45" t="str">
        <f t="shared" si="74"/>
        <v>5/2026</v>
      </c>
      <c r="AP598" s="45">
        <f t="shared" si="75"/>
        <v>4</v>
      </c>
      <c r="AQ598" s="45">
        <f t="shared" si="76"/>
        <v>60</v>
      </c>
      <c r="AR598" s="45">
        <f t="shared" si="77"/>
        <v>0</v>
      </c>
      <c r="AS598" s="45">
        <f t="shared" si="78"/>
        <v>9.5</v>
      </c>
      <c r="AT598" s="45">
        <f t="shared" si="79"/>
        <v>0</v>
      </c>
      <c r="AU598" s="45" t="str">
        <f>_xlfn.XLOOKUP(U598,'Lista Suspensa'!$AA$20:$AA$23,'Lista Suspensa'!$AB$20:$AB$23,"N/A")</f>
        <v>S</v>
      </c>
    </row>
    <row r="599" spans="1:47" ht="12" customHeight="1" x14ac:dyDescent="0.3">
      <c r="A599" s="87" t="s">
        <v>47</v>
      </c>
      <c r="B599" s="88">
        <v>46104</v>
      </c>
      <c r="C599" s="89" t="s">
        <v>48</v>
      </c>
      <c r="D599" s="89" t="s">
        <v>49</v>
      </c>
      <c r="E599" s="90">
        <v>94026266</v>
      </c>
      <c r="F599" s="184" t="s">
        <v>1932</v>
      </c>
      <c r="G599" s="91">
        <v>54296552791</v>
      </c>
      <c r="H599" s="92">
        <v>21425</v>
      </c>
      <c r="I599" s="89">
        <v>67</v>
      </c>
      <c r="J599" s="89" t="s">
        <v>51</v>
      </c>
      <c r="K599" s="89" t="s">
        <v>88</v>
      </c>
      <c r="L599" s="89" t="s">
        <v>89</v>
      </c>
      <c r="M599" s="89" t="s">
        <v>1933</v>
      </c>
      <c r="N599" s="89" t="s">
        <v>181</v>
      </c>
      <c r="O599" s="93" t="s">
        <v>1934</v>
      </c>
      <c r="P599" s="94" t="s">
        <v>57</v>
      </c>
      <c r="Q599" s="112" t="s">
        <v>58</v>
      </c>
      <c r="R599" s="95">
        <v>46164</v>
      </c>
      <c r="S599" s="96"/>
      <c r="T599" s="96" t="s">
        <v>59</v>
      </c>
      <c r="U599" s="96" t="s">
        <v>60</v>
      </c>
      <c r="V599" s="92">
        <v>46141</v>
      </c>
      <c r="W599" s="92">
        <v>46154</v>
      </c>
      <c r="X599" s="92">
        <v>46160</v>
      </c>
      <c r="Y599" s="97"/>
      <c r="Z599" s="89"/>
      <c r="AA599" s="96"/>
      <c r="AB599" s="89"/>
      <c r="AC599" s="111"/>
      <c r="AD599" s="89"/>
      <c r="AE599" s="89"/>
      <c r="AF599" s="98"/>
      <c r="AG599" s="98"/>
      <c r="AH599" s="98"/>
      <c r="AI599" s="99"/>
      <c r="AJ599" s="99" t="s">
        <v>197</v>
      </c>
      <c r="AK599" s="99" t="s">
        <v>67</v>
      </c>
      <c r="AL599" s="45" t="s">
        <v>68</v>
      </c>
      <c r="AM599" s="162" t="str">
        <f t="shared" si="72"/>
        <v>3/2026</v>
      </c>
      <c r="AN599" s="45">
        <f t="shared" si="73"/>
        <v>4</v>
      </c>
      <c r="AO599" s="45" t="str">
        <f t="shared" si="74"/>
        <v>5/2026</v>
      </c>
      <c r="AP599" s="45">
        <f t="shared" si="75"/>
        <v>4</v>
      </c>
      <c r="AQ599" s="45">
        <f t="shared" si="76"/>
        <v>60</v>
      </c>
      <c r="AR599" s="45">
        <f t="shared" si="77"/>
        <v>0</v>
      </c>
      <c r="AS599" s="45">
        <f t="shared" si="78"/>
        <v>9.5</v>
      </c>
      <c r="AT599" s="45">
        <f t="shared" si="79"/>
        <v>0</v>
      </c>
      <c r="AU599" s="45" t="str">
        <f>_xlfn.XLOOKUP(U599,'Lista Suspensa'!$AA$20:$AA$23,'Lista Suspensa'!$AB$20:$AB$23,"N/A")</f>
        <v>S</v>
      </c>
    </row>
    <row r="600" spans="1:47" ht="12" customHeight="1" x14ac:dyDescent="0.3">
      <c r="A600" s="87" t="s">
        <v>47</v>
      </c>
      <c r="B600" s="88">
        <v>46104</v>
      </c>
      <c r="C600" s="89" t="s">
        <v>48</v>
      </c>
      <c r="D600" s="89" t="s">
        <v>49</v>
      </c>
      <c r="E600" s="90">
        <v>87584666</v>
      </c>
      <c r="F600" s="184" t="s">
        <v>1935</v>
      </c>
      <c r="G600" s="91">
        <v>80624502791</v>
      </c>
      <c r="H600" s="92">
        <v>23518</v>
      </c>
      <c r="I600" s="89">
        <v>61</v>
      </c>
      <c r="J600" s="89" t="s">
        <v>70</v>
      </c>
      <c r="K600" s="89" t="s">
        <v>88</v>
      </c>
      <c r="L600" s="89" t="s">
        <v>408</v>
      </c>
      <c r="M600" s="89" t="s">
        <v>1936</v>
      </c>
      <c r="N600" s="89" t="s">
        <v>181</v>
      </c>
      <c r="O600" s="93" t="s">
        <v>1937</v>
      </c>
      <c r="P600" s="94" t="s">
        <v>57</v>
      </c>
      <c r="Q600" s="112" t="s">
        <v>58</v>
      </c>
      <c r="R600" s="95">
        <v>46164</v>
      </c>
      <c r="S600" s="96"/>
      <c r="T600" s="96" t="s">
        <v>59</v>
      </c>
      <c r="U600" s="96" t="s">
        <v>60</v>
      </c>
      <c r="V600" s="92">
        <v>46141</v>
      </c>
      <c r="W600" s="92">
        <v>46154</v>
      </c>
      <c r="X600" s="92">
        <v>46160</v>
      </c>
      <c r="Y600" s="97"/>
      <c r="Z600" s="89"/>
      <c r="AA600" s="96"/>
      <c r="AB600" s="89"/>
      <c r="AC600" s="111"/>
      <c r="AD600" s="89"/>
      <c r="AE600" s="89"/>
      <c r="AF600" s="98"/>
      <c r="AG600" s="98"/>
      <c r="AH600" s="98"/>
      <c r="AI600" s="99"/>
      <c r="AJ600" s="99" t="s">
        <v>197</v>
      </c>
      <c r="AK600" s="99" t="s">
        <v>67</v>
      </c>
      <c r="AL600" s="45" t="s">
        <v>68</v>
      </c>
      <c r="AM600" s="162" t="str">
        <f t="shared" si="72"/>
        <v>3/2026</v>
      </c>
      <c r="AN600" s="45">
        <f t="shared" si="73"/>
        <v>4</v>
      </c>
      <c r="AO600" s="45" t="str">
        <f t="shared" si="74"/>
        <v>5/2026</v>
      </c>
      <c r="AP600" s="45">
        <f t="shared" si="75"/>
        <v>4</v>
      </c>
      <c r="AQ600" s="45">
        <f t="shared" si="76"/>
        <v>60</v>
      </c>
      <c r="AR600" s="45">
        <f t="shared" si="77"/>
        <v>0</v>
      </c>
      <c r="AS600" s="45">
        <f t="shared" si="78"/>
        <v>9.5</v>
      </c>
      <c r="AT600" s="45">
        <f t="shared" si="79"/>
        <v>0</v>
      </c>
      <c r="AU600" s="45" t="str">
        <f>_xlfn.XLOOKUP(U600,'Lista Suspensa'!$AA$20:$AA$23,'Lista Suspensa'!$AB$20:$AB$23,"N/A")</f>
        <v>S</v>
      </c>
    </row>
    <row r="601" spans="1:47" ht="12" customHeight="1" x14ac:dyDescent="0.3">
      <c r="A601" s="87" t="s">
        <v>47</v>
      </c>
      <c r="B601" s="88">
        <v>46104</v>
      </c>
      <c r="C601" s="89" t="s">
        <v>48</v>
      </c>
      <c r="D601" s="89" t="s">
        <v>49</v>
      </c>
      <c r="E601" s="90">
        <v>92629738</v>
      </c>
      <c r="F601" s="184" t="s">
        <v>1938</v>
      </c>
      <c r="G601" s="91">
        <v>3568149710</v>
      </c>
      <c r="H601" s="92">
        <v>27614</v>
      </c>
      <c r="I601" s="89">
        <v>50</v>
      </c>
      <c r="J601" s="89" t="s">
        <v>70</v>
      </c>
      <c r="K601" s="89" t="s">
        <v>88</v>
      </c>
      <c r="L601" s="89" t="s">
        <v>1939</v>
      </c>
      <c r="M601" s="89" t="s">
        <v>1940</v>
      </c>
      <c r="N601" s="89" t="s">
        <v>181</v>
      </c>
      <c r="O601" s="93" t="s">
        <v>1941</v>
      </c>
      <c r="P601" s="94" t="s">
        <v>57</v>
      </c>
      <c r="Q601" s="112" t="s">
        <v>58</v>
      </c>
      <c r="R601" s="95">
        <v>46141</v>
      </c>
      <c r="S601" s="96"/>
      <c r="T601" s="96" t="s">
        <v>59</v>
      </c>
      <c r="U601" s="96" t="s">
        <v>60</v>
      </c>
      <c r="V601" s="92">
        <v>46141</v>
      </c>
      <c r="W601" s="92" t="s">
        <v>61</v>
      </c>
      <c r="X601" s="92" t="s">
        <v>61</v>
      </c>
      <c r="Y601" s="97"/>
      <c r="Z601" s="89" t="s">
        <v>62</v>
      </c>
      <c r="AA601" s="96">
        <v>46160</v>
      </c>
      <c r="AB601" s="89" t="s">
        <v>80</v>
      </c>
      <c r="AC601" s="111"/>
      <c r="AD601" s="89"/>
      <c r="AE601" s="89"/>
      <c r="AF601" s="98"/>
      <c r="AG601" s="98"/>
      <c r="AH601" s="98"/>
      <c r="AI601" s="99" t="s">
        <v>67</v>
      </c>
      <c r="AJ601" s="99" t="s">
        <v>67</v>
      </c>
      <c r="AK601" s="99" t="s">
        <v>67</v>
      </c>
      <c r="AL601" s="45" t="s">
        <v>68</v>
      </c>
      <c r="AM601" s="162" t="str">
        <f t="shared" si="72"/>
        <v>3/2026</v>
      </c>
      <c r="AN601" s="45">
        <f t="shared" si="73"/>
        <v>4</v>
      </c>
      <c r="AO601" s="45" t="str">
        <f t="shared" si="74"/>
        <v>4/2026</v>
      </c>
      <c r="AP601" s="45">
        <f t="shared" si="75"/>
        <v>5</v>
      </c>
      <c r="AQ601" s="45">
        <f t="shared" si="76"/>
        <v>37</v>
      </c>
      <c r="AR601" s="45">
        <f t="shared" si="77"/>
        <v>0</v>
      </c>
      <c r="AS601" s="45">
        <f t="shared" si="78"/>
        <v>0</v>
      </c>
      <c r="AT601" s="45">
        <f t="shared" si="79"/>
        <v>0</v>
      </c>
      <c r="AU601" s="45" t="str">
        <f>_xlfn.XLOOKUP(U601,'Lista Suspensa'!$AA$20:$AA$23,'Lista Suspensa'!$AB$20:$AB$23,"N/A")</f>
        <v>S</v>
      </c>
    </row>
    <row r="602" spans="1:47" ht="12" customHeight="1" x14ac:dyDescent="0.3">
      <c r="A602" s="87" t="s">
        <v>47</v>
      </c>
      <c r="B602" s="88">
        <v>46104</v>
      </c>
      <c r="C602" s="89" t="s">
        <v>48</v>
      </c>
      <c r="D602" s="89" t="s">
        <v>49</v>
      </c>
      <c r="E602" s="90">
        <v>89378249</v>
      </c>
      <c r="F602" s="184" t="s">
        <v>1942</v>
      </c>
      <c r="G602" s="91">
        <v>4531974778</v>
      </c>
      <c r="H602" s="92">
        <v>27818</v>
      </c>
      <c r="I602" s="89">
        <v>50</v>
      </c>
      <c r="J602" s="89" t="s">
        <v>51</v>
      </c>
      <c r="K602" s="89" t="s">
        <v>88</v>
      </c>
      <c r="L602" s="89" t="s">
        <v>89</v>
      </c>
      <c r="M602" s="89" t="s">
        <v>933</v>
      </c>
      <c r="N602" s="89" t="s">
        <v>181</v>
      </c>
      <c r="O602" s="93" t="s">
        <v>1943</v>
      </c>
      <c r="P602" s="94" t="s">
        <v>57</v>
      </c>
      <c r="Q602" s="112" t="s">
        <v>58</v>
      </c>
      <c r="R602" s="95">
        <v>46141</v>
      </c>
      <c r="S602" s="96"/>
      <c r="T602" s="96" t="s">
        <v>59</v>
      </c>
      <c r="U602" s="96" t="s">
        <v>60</v>
      </c>
      <c r="V602" s="92">
        <v>46141</v>
      </c>
      <c r="W602" s="92" t="s">
        <v>61</v>
      </c>
      <c r="X602" s="92" t="s">
        <v>61</v>
      </c>
      <c r="Y602" s="97"/>
      <c r="Z602" s="89" t="s">
        <v>62</v>
      </c>
      <c r="AA602" s="96" t="s">
        <v>1853</v>
      </c>
      <c r="AB602" s="89" t="s">
        <v>63</v>
      </c>
      <c r="AC602" s="111"/>
      <c r="AD602" s="89" t="s">
        <v>64</v>
      </c>
      <c r="AE602" s="89">
        <v>62</v>
      </c>
      <c r="AF602" s="98" t="s">
        <v>126</v>
      </c>
      <c r="AG602" s="98"/>
      <c r="AH602" s="98" t="s">
        <v>66</v>
      </c>
      <c r="AI602" s="99" t="s">
        <v>67</v>
      </c>
      <c r="AJ602" s="99" t="s">
        <v>67</v>
      </c>
      <c r="AK602" s="99" t="s">
        <v>67</v>
      </c>
      <c r="AL602" s="45" t="s">
        <v>68</v>
      </c>
      <c r="AM602" s="162" t="str">
        <f t="shared" si="72"/>
        <v>3/2026</v>
      </c>
      <c r="AN602" s="45">
        <f t="shared" si="73"/>
        <v>4</v>
      </c>
      <c r="AO602" s="45" t="str">
        <f t="shared" si="74"/>
        <v>4/2026</v>
      </c>
      <c r="AP602" s="45">
        <f t="shared" si="75"/>
        <v>5</v>
      </c>
      <c r="AQ602" s="45">
        <f t="shared" si="76"/>
        <v>37</v>
      </c>
      <c r="AR602" s="45">
        <f t="shared" si="77"/>
        <v>0</v>
      </c>
      <c r="AS602" s="45">
        <f t="shared" si="78"/>
        <v>0</v>
      </c>
      <c r="AT602" s="45">
        <f t="shared" si="79"/>
        <v>0</v>
      </c>
      <c r="AU602" s="45" t="str">
        <f>_xlfn.XLOOKUP(U602,'Lista Suspensa'!$AA$20:$AA$23,'Lista Suspensa'!$AB$20:$AB$23,"N/A")</f>
        <v>S</v>
      </c>
    </row>
    <row r="603" spans="1:47" ht="12" customHeight="1" x14ac:dyDescent="0.3">
      <c r="A603" s="87" t="s">
        <v>47</v>
      </c>
      <c r="B603" s="88">
        <v>46104</v>
      </c>
      <c r="C603" s="89" t="s">
        <v>48</v>
      </c>
      <c r="D603" s="89" t="s">
        <v>49</v>
      </c>
      <c r="E603" s="90">
        <v>94632032</v>
      </c>
      <c r="F603" s="184" t="s">
        <v>1944</v>
      </c>
      <c r="G603" s="91">
        <v>21186047771</v>
      </c>
      <c r="H603" s="92">
        <v>38128</v>
      </c>
      <c r="I603" s="89">
        <v>21</v>
      </c>
      <c r="J603" s="89" t="s">
        <v>51</v>
      </c>
      <c r="K603" s="89" t="s">
        <v>88</v>
      </c>
      <c r="L603" s="89" t="s">
        <v>89</v>
      </c>
      <c r="M603" s="89" t="s">
        <v>597</v>
      </c>
      <c r="N603" s="89" t="s">
        <v>181</v>
      </c>
      <c r="O603" s="93" t="s">
        <v>1945</v>
      </c>
      <c r="P603" s="94" t="s">
        <v>57</v>
      </c>
      <c r="Q603" s="112" t="s">
        <v>58</v>
      </c>
      <c r="R603" s="95">
        <v>46141</v>
      </c>
      <c r="S603" s="96"/>
      <c r="T603" s="96" t="s">
        <v>59</v>
      </c>
      <c r="U603" s="96" t="s">
        <v>60</v>
      </c>
      <c r="V603" s="92">
        <v>46141</v>
      </c>
      <c r="W603" s="92" t="s">
        <v>61</v>
      </c>
      <c r="X603" s="92" t="s">
        <v>61</v>
      </c>
      <c r="Y603" s="97"/>
      <c r="Z603" s="89" t="s">
        <v>62</v>
      </c>
      <c r="AA603" s="96">
        <v>46148</v>
      </c>
      <c r="AB603" s="89" t="s">
        <v>63</v>
      </c>
      <c r="AC603" s="111">
        <v>46118</v>
      </c>
      <c r="AD603" s="89" t="s">
        <v>86</v>
      </c>
      <c r="AE603" s="89">
        <v>61</v>
      </c>
      <c r="AF603" s="98" t="s">
        <v>843</v>
      </c>
      <c r="AG603" s="98"/>
      <c r="AH603" s="98"/>
      <c r="AI603" s="99" t="s">
        <v>67</v>
      </c>
      <c r="AJ603" s="99" t="s">
        <v>67</v>
      </c>
      <c r="AK603" s="99" t="s">
        <v>67</v>
      </c>
      <c r="AL603" s="45" t="s">
        <v>68</v>
      </c>
      <c r="AM603" s="162" t="str">
        <f t="shared" si="72"/>
        <v>3/2026</v>
      </c>
      <c r="AN603" s="45">
        <f t="shared" si="73"/>
        <v>4</v>
      </c>
      <c r="AO603" s="45" t="str">
        <f t="shared" si="74"/>
        <v>4/2026</v>
      </c>
      <c r="AP603" s="45">
        <f t="shared" si="75"/>
        <v>5</v>
      </c>
      <c r="AQ603" s="45">
        <f t="shared" si="76"/>
        <v>37</v>
      </c>
      <c r="AR603" s="45">
        <f t="shared" si="77"/>
        <v>0</v>
      </c>
      <c r="AS603" s="45">
        <f t="shared" si="78"/>
        <v>0</v>
      </c>
      <c r="AT603" s="45">
        <f t="shared" si="79"/>
        <v>7</v>
      </c>
      <c r="AU603" s="45" t="str">
        <f>_xlfn.XLOOKUP(U603,'Lista Suspensa'!$AA$20:$AA$23,'Lista Suspensa'!$AB$20:$AB$23,"N/A")</f>
        <v>S</v>
      </c>
    </row>
    <row r="604" spans="1:47" ht="12" customHeight="1" x14ac:dyDescent="0.3">
      <c r="A604" s="87" t="s">
        <v>47</v>
      </c>
      <c r="B604" s="88">
        <v>46104</v>
      </c>
      <c r="C604" s="89" t="s">
        <v>48</v>
      </c>
      <c r="D604" s="89" t="s">
        <v>49</v>
      </c>
      <c r="E604" s="90">
        <v>93847961</v>
      </c>
      <c r="F604" s="184" t="s">
        <v>1946</v>
      </c>
      <c r="G604" s="91">
        <v>3652822781</v>
      </c>
      <c r="H604" s="92">
        <v>27876</v>
      </c>
      <c r="I604" s="89">
        <v>49</v>
      </c>
      <c r="J604" s="89" t="s">
        <v>70</v>
      </c>
      <c r="K604" s="89" t="s">
        <v>88</v>
      </c>
      <c r="L604" s="89" t="s">
        <v>97</v>
      </c>
      <c r="M604" s="89" t="s">
        <v>1157</v>
      </c>
      <c r="N604" s="89" t="s">
        <v>181</v>
      </c>
      <c r="O604" s="93" t="s">
        <v>1947</v>
      </c>
      <c r="P604" s="94" t="s">
        <v>57</v>
      </c>
      <c r="Q604" s="112" t="s">
        <v>58</v>
      </c>
      <c r="R604" s="95">
        <v>46141</v>
      </c>
      <c r="S604" s="96"/>
      <c r="T604" s="96" t="s">
        <v>59</v>
      </c>
      <c r="U604" s="96" t="s">
        <v>60</v>
      </c>
      <c r="V604" s="92">
        <v>46141</v>
      </c>
      <c r="W604" s="92" t="s">
        <v>61</v>
      </c>
      <c r="X604" s="92" t="s">
        <v>61</v>
      </c>
      <c r="Y604" s="97"/>
      <c r="Z604" s="89" t="s">
        <v>62</v>
      </c>
      <c r="AA604" s="96">
        <v>46146</v>
      </c>
      <c r="AB604" s="89" t="s">
        <v>63</v>
      </c>
      <c r="AC604" s="111"/>
      <c r="AD604" s="89" t="s">
        <v>64</v>
      </c>
      <c r="AE604" s="89">
        <v>63</v>
      </c>
      <c r="AF604" s="98" t="s">
        <v>126</v>
      </c>
      <c r="AG604" s="98"/>
      <c r="AH604" s="98" t="s">
        <v>66</v>
      </c>
      <c r="AI604" s="99" t="s">
        <v>67</v>
      </c>
      <c r="AJ604" s="99" t="s">
        <v>67</v>
      </c>
      <c r="AK604" s="99" t="s">
        <v>67</v>
      </c>
      <c r="AL604" s="45" t="s">
        <v>68</v>
      </c>
      <c r="AM604" s="162" t="str">
        <f t="shared" si="72"/>
        <v>3/2026</v>
      </c>
      <c r="AN604" s="45">
        <f t="shared" si="73"/>
        <v>4</v>
      </c>
      <c r="AO604" s="45" t="str">
        <f t="shared" si="74"/>
        <v>4/2026</v>
      </c>
      <c r="AP604" s="45">
        <f t="shared" si="75"/>
        <v>5</v>
      </c>
      <c r="AQ604" s="45">
        <f t="shared" si="76"/>
        <v>37</v>
      </c>
      <c r="AR604" s="45">
        <f t="shared" si="77"/>
        <v>0</v>
      </c>
      <c r="AS604" s="45">
        <f t="shared" si="78"/>
        <v>0</v>
      </c>
      <c r="AT604" s="45">
        <f t="shared" si="79"/>
        <v>5</v>
      </c>
      <c r="AU604" s="45" t="str">
        <f>_xlfn.XLOOKUP(U604,'Lista Suspensa'!$AA$20:$AA$23,'Lista Suspensa'!$AB$20:$AB$23,"N/A")</f>
        <v>S</v>
      </c>
    </row>
    <row r="605" spans="1:47" ht="12" customHeight="1" x14ac:dyDescent="0.3">
      <c r="A605" s="87" t="s">
        <v>47</v>
      </c>
      <c r="B605" s="88">
        <v>46104</v>
      </c>
      <c r="C605" s="89" t="s">
        <v>48</v>
      </c>
      <c r="D605" s="89" t="s">
        <v>49</v>
      </c>
      <c r="E605" s="90">
        <v>93152871</v>
      </c>
      <c r="F605" s="184" t="s">
        <v>1948</v>
      </c>
      <c r="G605" s="91">
        <v>76357449768</v>
      </c>
      <c r="H605" s="92">
        <v>21144</v>
      </c>
      <c r="I605" s="89">
        <v>68</v>
      </c>
      <c r="J605" s="89" t="s">
        <v>51</v>
      </c>
      <c r="K605" s="89" t="s">
        <v>88</v>
      </c>
      <c r="L605" s="89" t="s">
        <v>89</v>
      </c>
      <c r="M605" s="89" t="s">
        <v>426</v>
      </c>
      <c r="N605" s="89" t="s">
        <v>181</v>
      </c>
      <c r="O605" s="93" t="s">
        <v>1949</v>
      </c>
      <c r="P605" s="94" t="s">
        <v>57</v>
      </c>
      <c r="Q605" s="112" t="s">
        <v>58</v>
      </c>
      <c r="R605" s="95">
        <v>46141</v>
      </c>
      <c r="S605" s="96"/>
      <c r="T605" s="96" t="s">
        <v>59</v>
      </c>
      <c r="U605" s="96" t="s">
        <v>60</v>
      </c>
      <c r="V605" s="92">
        <v>46141</v>
      </c>
      <c r="W605" s="92" t="s">
        <v>61</v>
      </c>
      <c r="X605" s="92" t="s">
        <v>61</v>
      </c>
      <c r="Y605" s="97"/>
      <c r="Z605" s="89" t="s">
        <v>62</v>
      </c>
      <c r="AA605" s="96">
        <v>46175</v>
      </c>
      <c r="AB605" s="89" t="s">
        <v>80</v>
      </c>
      <c r="AC605" s="111">
        <v>46181</v>
      </c>
      <c r="AD605" s="89"/>
      <c r="AE605" s="89"/>
      <c r="AF605" s="98"/>
      <c r="AG605" s="98"/>
      <c r="AH605" s="98"/>
      <c r="AI605" s="99" t="s">
        <v>67</v>
      </c>
      <c r="AJ605" s="99" t="s">
        <v>67</v>
      </c>
      <c r="AK605" s="99" t="s">
        <v>67</v>
      </c>
      <c r="AL605" s="45" t="s">
        <v>68</v>
      </c>
      <c r="AM605" s="162" t="str">
        <f t="shared" si="72"/>
        <v>3/2026</v>
      </c>
      <c r="AN605" s="45">
        <f t="shared" si="73"/>
        <v>4</v>
      </c>
      <c r="AO605" s="45" t="str">
        <f t="shared" si="74"/>
        <v>4/2026</v>
      </c>
      <c r="AP605" s="45">
        <f t="shared" si="75"/>
        <v>5</v>
      </c>
      <c r="AQ605" s="45">
        <f t="shared" si="76"/>
        <v>37</v>
      </c>
      <c r="AR605" s="45">
        <f t="shared" si="77"/>
        <v>0</v>
      </c>
      <c r="AS605" s="45">
        <f t="shared" si="78"/>
        <v>0</v>
      </c>
      <c r="AT605" s="45">
        <f t="shared" si="79"/>
        <v>0</v>
      </c>
      <c r="AU605" s="45" t="str">
        <f>_xlfn.XLOOKUP(U605,'Lista Suspensa'!$AA$20:$AA$23,'Lista Suspensa'!$AB$20:$AB$23,"N/A")</f>
        <v>S</v>
      </c>
    </row>
    <row r="606" spans="1:47" ht="12" customHeight="1" x14ac:dyDescent="0.3">
      <c r="A606" s="87" t="s">
        <v>47</v>
      </c>
      <c r="B606" s="88">
        <v>46104</v>
      </c>
      <c r="C606" s="89" t="s">
        <v>48</v>
      </c>
      <c r="D606" s="89" t="s">
        <v>49</v>
      </c>
      <c r="E606" s="90">
        <v>87404409</v>
      </c>
      <c r="F606" s="184" t="s">
        <v>1950</v>
      </c>
      <c r="G606" s="91">
        <v>49065785</v>
      </c>
      <c r="H606" s="92">
        <v>24625</v>
      </c>
      <c r="I606" s="89">
        <v>58</v>
      </c>
      <c r="J606" s="89" t="s">
        <v>51</v>
      </c>
      <c r="K606" s="89" t="s">
        <v>88</v>
      </c>
      <c r="L606" s="89" t="s">
        <v>89</v>
      </c>
      <c r="M606" s="89" t="s">
        <v>1951</v>
      </c>
      <c r="N606" s="89" t="s">
        <v>181</v>
      </c>
      <c r="O606" s="93" t="s">
        <v>1952</v>
      </c>
      <c r="P606" s="94" t="s">
        <v>57</v>
      </c>
      <c r="Q606" s="112" t="s">
        <v>58</v>
      </c>
      <c r="R606" s="95">
        <v>46141</v>
      </c>
      <c r="S606" s="96"/>
      <c r="T606" s="96" t="s">
        <v>59</v>
      </c>
      <c r="U606" s="96" t="s">
        <v>60</v>
      </c>
      <c r="V606" s="92">
        <v>46141</v>
      </c>
      <c r="W606" s="92" t="s">
        <v>61</v>
      </c>
      <c r="X606" s="92" t="s">
        <v>61</v>
      </c>
      <c r="Y606" s="97"/>
      <c r="Z606" s="89" t="s">
        <v>62</v>
      </c>
      <c r="AA606" s="96">
        <v>46150</v>
      </c>
      <c r="AB606" s="89" t="s">
        <v>80</v>
      </c>
      <c r="AC606" s="111"/>
      <c r="AD606" s="89"/>
      <c r="AE606" s="89"/>
      <c r="AF606" s="98"/>
      <c r="AG606" s="98"/>
      <c r="AH606" s="98"/>
      <c r="AI606" s="99" t="s">
        <v>67</v>
      </c>
      <c r="AJ606" s="99" t="s">
        <v>67</v>
      </c>
      <c r="AK606" s="99" t="s">
        <v>67</v>
      </c>
      <c r="AL606" s="45" t="s">
        <v>68</v>
      </c>
      <c r="AM606" s="162" t="str">
        <f t="shared" si="72"/>
        <v>3/2026</v>
      </c>
      <c r="AN606" s="45">
        <f t="shared" si="73"/>
        <v>4</v>
      </c>
      <c r="AO606" s="45" t="str">
        <f t="shared" si="74"/>
        <v>4/2026</v>
      </c>
      <c r="AP606" s="45">
        <f t="shared" si="75"/>
        <v>5</v>
      </c>
      <c r="AQ606" s="45">
        <f t="shared" si="76"/>
        <v>37</v>
      </c>
      <c r="AR606" s="45">
        <f t="shared" si="77"/>
        <v>0</v>
      </c>
      <c r="AS606" s="45">
        <f t="shared" si="78"/>
        <v>0</v>
      </c>
      <c r="AT606" s="45">
        <f t="shared" si="79"/>
        <v>0</v>
      </c>
      <c r="AU606" s="45" t="str">
        <f>_xlfn.XLOOKUP(U606,'Lista Suspensa'!$AA$20:$AA$23,'Lista Suspensa'!$AB$20:$AB$23,"N/A")</f>
        <v>S</v>
      </c>
    </row>
    <row r="607" spans="1:47" ht="12" customHeight="1" x14ac:dyDescent="0.3">
      <c r="A607" s="87" t="s">
        <v>47</v>
      </c>
      <c r="B607" s="88">
        <v>46104</v>
      </c>
      <c r="C607" s="89" t="s">
        <v>48</v>
      </c>
      <c r="D607" s="89" t="s">
        <v>49</v>
      </c>
      <c r="E607" s="90">
        <v>89260430</v>
      </c>
      <c r="F607" s="184" t="s">
        <v>1953</v>
      </c>
      <c r="G607" s="91">
        <v>1220728713</v>
      </c>
      <c r="H607" s="92">
        <v>26766</v>
      </c>
      <c r="I607" s="89">
        <v>52</v>
      </c>
      <c r="J607" s="89" t="s">
        <v>70</v>
      </c>
      <c r="K607" s="89" t="s">
        <v>88</v>
      </c>
      <c r="L607" s="89" t="s">
        <v>408</v>
      </c>
      <c r="M607" s="89" t="s">
        <v>1954</v>
      </c>
      <c r="N607" s="89" t="s">
        <v>181</v>
      </c>
      <c r="O607" s="93" t="s">
        <v>1955</v>
      </c>
      <c r="P607" s="94" t="s">
        <v>57</v>
      </c>
      <c r="Q607" s="112" t="s">
        <v>58</v>
      </c>
      <c r="R607" s="95">
        <v>46141</v>
      </c>
      <c r="S607" s="96"/>
      <c r="T607" s="96" t="s">
        <v>59</v>
      </c>
      <c r="U607" s="96" t="s">
        <v>60</v>
      </c>
      <c r="V607" s="92">
        <v>46141</v>
      </c>
      <c r="W607" s="92" t="s">
        <v>61</v>
      </c>
      <c r="X607" s="92" t="s">
        <v>61</v>
      </c>
      <c r="Y607" s="97"/>
      <c r="Z607" s="89" t="s">
        <v>62</v>
      </c>
      <c r="AA607" s="96">
        <v>46147</v>
      </c>
      <c r="AB607" s="89" t="s">
        <v>63</v>
      </c>
      <c r="AC607" s="111"/>
      <c r="AD607" s="89" t="s">
        <v>86</v>
      </c>
      <c r="AE607" s="89">
        <v>46</v>
      </c>
      <c r="AF607" s="98" t="s">
        <v>126</v>
      </c>
      <c r="AG607" s="98"/>
      <c r="AH607" s="98" t="s">
        <v>66</v>
      </c>
      <c r="AI607" s="99" t="s">
        <v>67</v>
      </c>
      <c r="AJ607" s="99" t="s">
        <v>67</v>
      </c>
      <c r="AK607" s="99" t="s">
        <v>67</v>
      </c>
      <c r="AL607" s="45" t="s">
        <v>68</v>
      </c>
      <c r="AM607" s="162" t="str">
        <f t="shared" si="72"/>
        <v>3/2026</v>
      </c>
      <c r="AN607" s="45">
        <f t="shared" si="73"/>
        <v>4</v>
      </c>
      <c r="AO607" s="45" t="str">
        <f t="shared" si="74"/>
        <v>4/2026</v>
      </c>
      <c r="AP607" s="45">
        <f t="shared" si="75"/>
        <v>5</v>
      </c>
      <c r="AQ607" s="45">
        <f t="shared" si="76"/>
        <v>37</v>
      </c>
      <c r="AR607" s="45">
        <f t="shared" si="77"/>
        <v>0</v>
      </c>
      <c r="AS607" s="45">
        <f t="shared" si="78"/>
        <v>0</v>
      </c>
      <c r="AT607" s="45">
        <f t="shared" si="79"/>
        <v>6</v>
      </c>
      <c r="AU607" s="45" t="str">
        <f>_xlfn.XLOOKUP(U607,'Lista Suspensa'!$AA$20:$AA$23,'Lista Suspensa'!$AB$20:$AB$23,"N/A")</f>
        <v>S</v>
      </c>
    </row>
    <row r="608" spans="1:47" ht="12" customHeight="1" x14ac:dyDescent="0.3">
      <c r="A608" s="87" t="s">
        <v>47</v>
      </c>
      <c r="B608" s="88">
        <v>46104</v>
      </c>
      <c r="C608" s="89" t="s">
        <v>48</v>
      </c>
      <c r="D608" s="89" t="s">
        <v>49</v>
      </c>
      <c r="E608" s="90">
        <v>79213570</v>
      </c>
      <c r="F608" s="184" t="s">
        <v>1956</v>
      </c>
      <c r="G608" s="91">
        <v>98960113891</v>
      </c>
      <c r="H608" s="92">
        <v>21113</v>
      </c>
      <c r="I608" s="89">
        <v>68</v>
      </c>
      <c r="J608" s="89" t="s">
        <v>51</v>
      </c>
      <c r="K608" s="89" t="s">
        <v>52</v>
      </c>
      <c r="L608" s="89" t="s">
        <v>53</v>
      </c>
      <c r="M608" s="89" t="s">
        <v>1308</v>
      </c>
      <c r="N608" s="89" t="s">
        <v>185</v>
      </c>
      <c r="O608" s="93" t="s">
        <v>1957</v>
      </c>
      <c r="P608" s="94" t="s">
        <v>57</v>
      </c>
      <c r="Q608" s="112" t="s">
        <v>58</v>
      </c>
      <c r="R608" s="95">
        <v>46141</v>
      </c>
      <c r="S608" s="96"/>
      <c r="T608" s="96" t="s">
        <v>59</v>
      </c>
      <c r="U608" s="96" t="s">
        <v>60</v>
      </c>
      <c r="V608" s="92">
        <v>46141</v>
      </c>
      <c r="W608" s="92" t="s">
        <v>61</v>
      </c>
      <c r="X608" s="92" t="s">
        <v>61</v>
      </c>
      <c r="Y608" s="97"/>
      <c r="Z608" s="89" t="s">
        <v>62</v>
      </c>
      <c r="AA608" s="96">
        <v>46147.472221932869</v>
      </c>
      <c r="AB608" s="89" t="s">
        <v>80</v>
      </c>
      <c r="AC608" s="111"/>
      <c r="AD608" s="89"/>
      <c r="AE608" s="89"/>
      <c r="AF608" s="98"/>
      <c r="AG608" s="98"/>
      <c r="AH608" s="98"/>
      <c r="AI608" s="99" t="s">
        <v>67</v>
      </c>
      <c r="AJ608" s="99" t="s">
        <v>67</v>
      </c>
      <c r="AK608" s="99" t="s">
        <v>67</v>
      </c>
      <c r="AL608" s="45" t="s">
        <v>68</v>
      </c>
      <c r="AM608" s="162" t="str">
        <f t="shared" si="72"/>
        <v>3/2026</v>
      </c>
      <c r="AN608" s="45">
        <f t="shared" si="73"/>
        <v>4</v>
      </c>
      <c r="AO608" s="45" t="str">
        <f t="shared" si="74"/>
        <v>4/2026</v>
      </c>
      <c r="AP608" s="45">
        <f t="shared" si="75"/>
        <v>5</v>
      </c>
      <c r="AQ608" s="45">
        <f t="shared" si="76"/>
        <v>37</v>
      </c>
      <c r="AR608" s="45">
        <f t="shared" si="77"/>
        <v>0</v>
      </c>
      <c r="AS608" s="45">
        <f t="shared" si="78"/>
        <v>0</v>
      </c>
      <c r="AT608" s="45">
        <f t="shared" si="79"/>
        <v>0</v>
      </c>
      <c r="AU608" s="45" t="str">
        <f>_xlfn.XLOOKUP(U608,'Lista Suspensa'!$AA$20:$AA$23,'Lista Suspensa'!$AB$20:$AB$23,"N/A")</f>
        <v>S</v>
      </c>
    </row>
    <row r="609" spans="1:47" ht="12" customHeight="1" x14ac:dyDescent="0.3">
      <c r="A609" s="87" t="s">
        <v>47</v>
      </c>
      <c r="B609" s="88">
        <v>46104</v>
      </c>
      <c r="C609" s="89" t="s">
        <v>48</v>
      </c>
      <c r="D609" s="89" t="s">
        <v>49</v>
      </c>
      <c r="E609" s="90">
        <v>79154926</v>
      </c>
      <c r="F609" s="184" t="s">
        <v>1958</v>
      </c>
      <c r="G609" s="91">
        <v>26080172828</v>
      </c>
      <c r="H609" s="92">
        <v>19289</v>
      </c>
      <c r="I609" s="89">
        <v>73</v>
      </c>
      <c r="J609" s="89" t="s">
        <v>70</v>
      </c>
      <c r="K609" s="89" t="s">
        <v>52</v>
      </c>
      <c r="L609" s="89" t="s">
        <v>53</v>
      </c>
      <c r="M609" s="89" t="s">
        <v>1959</v>
      </c>
      <c r="N609" s="89" t="s">
        <v>185</v>
      </c>
      <c r="O609" s="93" t="s">
        <v>1960</v>
      </c>
      <c r="P609" s="94" t="s">
        <v>57</v>
      </c>
      <c r="Q609" s="112" t="s">
        <v>58</v>
      </c>
      <c r="R609" s="95">
        <v>46141</v>
      </c>
      <c r="S609" s="96"/>
      <c r="T609" s="96" t="s">
        <v>59</v>
      </c>
      <c r="U609" s="96" t="s">
        <v>60</v>
      </c>
      <c r="V609" s="92">
        <v>46141</v>
      </c>
      <c r="W609" s="92" t="s">
        <v>61</v>
      </c>
      <c r="X609" s="92" t="s">
        <v>61</v>
      </c>
      <c r="Y609" s="97"/>
      <c r="Z609" s="89" t="s">
        <v>62</v>
      </c>
      <c r="AA609" s="96" t="s">
        <v>1853</v>
      </c>
      <c r="AB609" s="89" t="s">
        <v>63</v>
      </c>
      <c r="AC609" s="111"/>
      <c r="AD609" s="89" t="s">
        <v>64</v>
      </c>
      <c r="AE609" s="89">
        <v>62</v>
      </c>
      <c r="AF609" s="98" t="s">
        <v>1912</v>
      </c>
      <c r="AG609" s="98"/>
      <c r="AH609" s="98" t="s">
        <v>66</v>
      </c>
      <c r="AI609" s="99" t="s">
        <v>67</v>
      </c>
      <c r="AJ609" s="99" t="s">
        <v>67</v>
      </c>
      <c r="AK609" s="99" t="s">
        <v>67</v>
      </c>
      <c r="AL609" s="45" t="s">
        <v>68</v>
      </c>
      <c r="AM609" s="162" t="str">
        <f t="shared" si="72"/>
        <v>3/2026</v>
      </c>
      <c r="AN609" s="45">
        <f t="shared" si="73"/>
        <v>4</v>
      </c>
      <c r="AO609" s="45" t="str">
        <f t="shared" si="74"/>
        <v>4/2026</v>
      </c>
      <c r="AP609" s="45">
        <f t="shared" si="75"/>
        <v>5</v>
      </c>
      <c r="AQ609" s="45">
        <f t="shared" si="76"/>
        <v>37</v>
      </c>
      <c r="AR609" s="45">
        <f t="shared" si="77"/>
        <v>0</v>
      </c>
      <c r="AS609" s="45">
        <f t="shared" si="78"/>
        <v>0</v>
      </c>
      <c r="AT609" s="45">
        <f t="shared" si="79"/>
        <v>0</v>
      </c>
      <c r="AU609" s="45" t="str">
        <f>_xlfn.XLOOKUP(U609,'Lista Suspensa'!$AA$20:$AA$23,'Lista Suspensa'!$AB$20:$AB$23,"N/A")</f>
        <v>S</v>
      </c>
    </row>
    <row r="610" spans="1:47" ht="12" customHeight="1" x14ac:dyDescent="0.3">
      <c r="A610" s="87" t="s">
        <v>47</v>
      </c>
      <c r="B610" s="88">
        <v>46104</v>
      </c>
      <c r="C610" s="89" t="s">
        <v>48</v>
      </c>
      <c r="D610" s="89" t="s">
        <v>49</v>
      </c>
      <c r="E610" s="90">
        <v>79644855</v>
      </c>
      <c r="F610" s="184" t="s">
        <v>1961</v>
      </c>
      <c r="G610" s="91">
        <v>26252299855</v>
      </c>
      <c r="H610" s="92">
        <v>27998</v>
      </c>
      <c r="I610" s="89">
        <v>49</v>
      </c>
      <c r="J610" s="89" t="s">
        <v>70</v>
      </c>
      <c r="K610" s="89" t="s">
        <v>52</v>
      </c>
      <c r="L610" s="89" t="s">
        <v>53</v>
      </c>
      <c r="M610" s="89" t="s">
        <v>1962</v>
      </c>
      <c r="N610" s="89" t="s">
        <v>185</v>
      </c>
      <c r="O610" s="93" t="s">
        <v>1963</v>
      </c>
      <c r="P610" s="94" t="s">
        <v>57</v>
      </c>
      <c r="Q610" s="112" t="s">
        <v>58</v>
      </c>
      <c r="R610" s="95">
        <v>46141</v>
      </c>
      <c r="S610" s="96"/>
      <c r="T610" s="96" t="s">
        <v>59</v>
      </c>
      <c r="U610" s="96" t="s">
        <v>60</v>
      </c>
      <c r="V610" s="92">
        <v>46141</v>
      </c>
      <c r="W610" s="92" t="s">
        <v>61</v>
      </c>
      <c r="X610" s="92" t="s">
        <v>61</v>
      </c>
      <c r="Y610" s="97"/>
      <c r="Z610" s="89" t="s">
        <v>62</v>
      </c>
      <c r="AA610" s="96">
        <v>46147</v>
      </c>
      <c r="AB610" s="89" t="s">
        <v>63</v>
      </c>
      <c r="AC610" s="111"/>
      <c r="AD610" s="89" t="s">
        <v>64</v>
      </c>
      <c r="AE610" s="89">
        <v>58</v>
      </c>
      <c r="AF610" s="98" t="s">
        <v>65</v>
      </c>
      <c r="AG610" s="98"/>
      <c r="AH610" s="98" t="s">
        <v>66</v>
      </c>
      <c r="AI610" s="99" t="s">
        <v>67</v>
      </c>
      <c r="AJ610" s="99" t="s">
        <v>67</v>
      </c>
      <c r="AK610" s="99" t="s">
        <v>67</v>
      </c>
      <c r="AL610" s="45" t="s">
        <v>68</v>
      </c>
      <c r="AM610" s="162" t="str">
        <f t="shared" si="72"/>
        <v>3/2026</v>
      </c>
      <c r="AN610" s="45">
        <f t="shared" si="73"/>
        <v>4</v>
      </c>
      <c r="AO610" s="45" t="str">
        <f t="shared" si="74"/>
        <v>4/2026</v>
      </c>
      <c r="AP610" s="45">
        <f t="shared" si="75"/>
        <v>5</v>
      </c>
      <c r="AQ610" s="45">
        <f t="shared" si="76"/>
        <v>37</v>
      </c>
      <c r="AR610" s="45">
        <f t="shared" si="77"/>
        <v>0</v>
      </c>
      <c r="AS610" s="45">
        <f t="shared" si="78"/>
        <v>0</v>
      </c>
      <c r="AT610" s="45">
        <f t="shared" si="79"/>
        <v>6</v>
      </c>
      <c r="AU610" s="45" t="str">
        <f>_xlfn.XLOOKUP(U610,'Lista Suspensa'!$AA$20:$AA$23,'Lista Suspensa'!$AB$20:$AB$23,"N/A")</f>
        <v>S</v>
      </c>
    </row>
    <row r="611" spans="1:47" ht="12" customHeight="1" x14ac:dyDescent="0.3">
      <c r="A611" s="87" t="s">
        <v>47</v>
      </c>
      <c r="B611" s="88">
        <v>46104</v>
      </c>
      <c r="C611" s="89" t="s">
        <v>48</v>
      </c>
      <c r="D611" s="89" t="s">
        <v>49</v>
      </c>
      <c r="E611" s="90">
        <v>83399306</v>
      </c>
      <c r="F611" s="184" t="s">
        <v>1964</v>
      </c>
      <c r="G611" s="91">
        <v>50523686749</v>
      </c>
      <c r="H611" s="92">
        <v>21440</v>
      </c>
      <c r="I611" s="89">
        <v>67</v>
      </c>
      <c r="J611" s="89" t="s">
        <v>51</v>
      </c>
      <c r="K611" s="89" t="s">
        <v>88</v>
      </c>
      <c r="L611" s="89" t="s">
        <v>97</v>
      </c>
      <c r="M611" s="89" t="s">
        <v>1018</v>
      </c>
      <c r="N611" s="89" t="s">
        <v>185</v>
      </c>
      <c r="O611" s="93" t="s">
        <v>1965</v>
      </c>
      <c r="P611" s="94" t="s">
        <v>57</v>
      </c>
      <c r="Q611" s="112" t="s">
        <v>58</v>
      </c>
      <c r="R611" s="95">
        <v>46141</v>
      </c>
      <c r="S611" s="96"/>
      <c r="T611" s="96" t="s">
        <v>59</v>
      </c>
      <c r="U611" s="96" t="s">
        <v>60</v>
      </c>
      <c r="V611" s="92">
        <v>46141</v>
      </c>
      <c r="W611" s="92" t="s">
        <v>61</v>
      </c>
      <c r="X611" s="92" t="s">
        <v>61</v>
      </c>
      <c r="Y611" s="97"/>
      <c r="Z611" s="89" t="s">
        <v>62</v>
      </c>
      <c r="AA611" s="96">
        <v>46147</v>
      </c>
      <c r="AB611" s="89" t="s">
        <v>63</v>
      </c>
      <c r="AC611" s="111"/>
      <c r="AD611" s="89" t="s">
        <v>86</v>
      </c>
      <c r="AE611" s="89">
        <v>53</v>
      </c>
      <c r="AF611" s="98" t="s">
        <v>126</v>
      </c>
      <c r="AG611" s="98"/>
      <c r="AH611" s="98" t="s">
        <v>66</v>
      </c>
      <c r="AI611" s="99" t="s">
        <v>67</v>
      </c>
      <c r="AJ611" s="99" t="s">
        <v>67</v>
      </c>
      <c r="AK611" s="99" t="s">
        <v>67</v>
      </c>
      <c r="AL611" s="45" t="s">
        <v>68</v>
      </c>
      <c r="AM611" s="162" t="str">
        <f t="shared" si="72"/>
        <v>3/2026</v>
      </c>
      <c r="AN611" s="45">
        <f t="shared" si="73"/>
        <v>4</v>
      </c>
      <c r="AO611" s="45" t="str">
        <f t="shared" si="74"/>
        <v>4/2026</v>
      </c>
      <c r="AP611" s="45">
        <f t="shared" si="75"/>
        <v>5</v>
      </c>
      <c r="AQ611" s="45">
        <f t="shared" si="76"/>
        <v>37</v>
      </c>
      <c r="AR611" s="45">
        <f t="shared" si="77"/>
        <v>0</v>
      </c>
      <c r="AS611" s="45">
        <f t="shared" si="78"/>
        <v>0</v>
      </c>
      <c r="AT611" s="45">
        <f t="shared" si="79"/>
        <v>6</v>
      </c>
      <c r="AU611" s="45" t="str">
        <f>_xlfn.XLOOKUP(U611,'Lista Suspensa'!$AA$20:$AA$23,'Lista Suspensa'!$AB$20:$AB$23,"N/A")</f>
        <v>S</v>
      </c>
    </row>
    <row r="612" spans="1:47" ht="12" hidden="1" customHeight="1" x14ac:dyDescent="0.3">
      <c r="A612" s="87" t="s">
        <v>47</v>
      </c>
      <c r="B612" s="88">
        <v>46104</v>
      </c>
      <c r="C612" s="89" t="s">
        <v>48</v>
      </c>
      <c r="D612" s="89" t="s">
        <v>49</v>
      </c>
      <c r="E612" s="90">
        <v>82031998</v>
      </c>
      <c r="F612" s="184" t="s">
        <v>1966</v>
      </c>
      <c r="G612" s="91">
        <v>1633485706</v>
      </c>
      <c r="H612" s="92">
        <v>24685</v>
      </c>
      <c r="I612" s="89">
        <v>58</v>
      </c>
      <c r="J612" s="89" t="s">
        <v>70</v>
      </c>
      <c r="K612" s="89" t="s">
        <v>88</v>
      </c>
      <c r="L612" s="89" t="s">
        <v>629</v>
      </c>
      <c r="M612" s="89" t="s">
        <v>1967</v>
      </c>
      <c r="N612" s="89" t="s">
        <v>185</v>
      </c>
      <c r="O612" s="93" t="s">
        <v>1968</v>
      </c>
      <c r="P612" s="94" t="s">
        <v>57</v>
      </c>
      <c r="Q612" s="112" t="s">
        <v>78</v>
      </c>
      <c r="R612" s="95">
        <v>46141</v>
      </c>
      <c r="S612" s="96">
        <v>46174</v>
      </c>
      <c r="T612" s="96" t="s">
        <v>59</v>
      </c>
      <c r="U612" s="96" t="s">
        <v>79</v>
      </c>
      <c r="V612" s="92">
        <v>46128</v>
      </c>
      <c r="W612" s="92">
        <v>46141</v>
      </c>
      <c r="X612" s="92" t="s">
        <v>61</v>
      </c>
      <c r="Y612" s="97"/>
      <c r="Z612" s="89" t="s">
        <v>62</v>
      </c>
      <c r="AA612" s="96">
        <v>46174</v>
      </c>
      <c r="AB612" s="89" t="s">
        <v>80</v>
      </c>
      <c r="AC612" s="111">
        <v>46174</v>
      </c>
      <c r="AD612" s="89"/>
      <c r="AE612" s="89"/>
      <c r="AF612" s="98"/>
      <c r="AG612" s="98"/>
      <c r="AH612" s="98"/>
      <c r="AI612" s="99" t="s">
        <v>67</v>
      </c>
      <c r="AJ612" s="99" t="s">
        <v>81</v>
      </c>
      <c r="AK612" s="99" t="s">
        <v>67</v>
      </c>
      <c r="AL612" s="45" t="s">
        <v>68</v>
      </c>
      <c r="AM612" s="162" t="str">
        <f t="shared" si="72"/>
        <v>3/2026</v>
      </c>
      <c r="AN612" s="45">
        <f t="shared" si="73"/>
        <v>4</v>
      </c>
      <c r="AO612" s="45" t="str">
        <f t="shared" si="74"/>
        <v>4/2026</v>
      </c>
      <c r="AP612" s="45">
        <f t="shared" si="75"/>
        <v>5</v>
      </c>
      <c r="AQ612" s="45">
        <f t="shared" si="76"/>
        <v>0</v>
      </c>
      <c r="AR612" s="45">
        <f t="shared" si="77"/>
        <v>33</v>
      </c>
      <c r="AS612" s="45">
        <f t="shared" si="78"/>
        <v>0</v>
      </c>
      <c r="AT612" s="45">
        <f t="shared" si="79"/>
        <v>0</v>
      </c>
      <c r="AU612" s="45" t="str">
        <f>_xlfn.XLOOKUP(U612,'Lista Suspensa'!$AA$20:$AA$23,'Lista Suspensa'!$AB$20:$AB$23,"N/A")</f>
        <v>S</v>
      </c>
    </row>
    <row r="613" spans="1:47" ht="12" customHeight="1" x14ac:dyDescent="0.3">
      <c r="A613" s="87" t="s">
        <v>47</v>
      </c>
      <c r="B613" s="88">
        <v>46104</v>
      </c>
      <c r="C613" s="89" t="s">
        <v>48</v>
      </c>
      <c r="D613" s="89" t="s">
        <v>49</v>
      </c>
      <c r="E613" s="90">
        <v>72801154</v>
      </c>
      <c r="F613" s="184" t="s">
        <v>1969</v>
      </c>
      <c r="G613" s="91">
        <v>8309607830</v>
      </c>
      <c r="H613" s="92">
        <v>24167</v>
      </c>
      <c r="I613" s="89">
        <v>60</v>
      </c>
      <c r="J613" s="89" t="s">
        <v>51</v>
      </c>
      <c r="K613" s="89" t="s">
        <v>52</v>
      </c>
      <c r="L613" s="89" t="s">
        <v>53</v>
      </c>
      <c r="M613" s="89" t="s">
        <v>1970</v>
      </c>
      <c r="N613" s="89" t="s">
        <v>130</v>
      </c>
      <c r="O613" s="93" t="s">
        <v>1971</v>
      </c>
      <c r="P613" s="94" t="s">
        <v>57</v>
      </c>
      <c r="Q613" s="112" t="s">
        <v>58</v>
      </c>
      <c r="R613" s="95">
        <v>46128</v>
      </c>
      <c r="S613" s="96"/>
      <c r="T613" s="96" t="s">
        <v>59</v>
      </c>
      <c r="U613" s="96" t="s">
        <v>60</v>
      </c>
      <c r="V613" s="92">
        <v>46122</v>
      </c>
      <c r="W613" s="92">
        <v>46128</v>
      </c>
      <c r="X613" s="92" t="s">
        <v>61</v>
      </c>
      <c r="Y613" s="97"/>
      <c r="Z613" s="89" t="s">
        <v>62</v>
      </c>
      <c r="AA613" s="96">
        <v>46128</v>
      </c>
      <c r="AB613" s="89" t="s">
        <v>63</v>
      </c>
      <c r="AC613" s="111"/>
      <c r="AD613" s="89" t="s">
        <v>64</v>
      </c>
      <c r="AE613" s="89">
        <v>60</v>
      </c>
      <c r="AF613" s="98" t="s">
        <v>215</v>
      </c>
      <c r="AG613" s="98"/>
      <c r="AH613" s="98" t="s">
        <v>66</v>
      </c>
      <c r="AI613" s="99" t="s">
        <v>67</v>
      </c>
      <c r="AJ613" s="99" t="s">
        <v>67</v>
      </c>
      <c r="AK613" s="99" t="s">
        <v>67</v>
      </c>
      <c r="AL613" s="45" t="s">
        <v>68</v>
      </c>
      <c r="AM613" s="162" t="str">
        <f t="shared" si="72"/>
        <v>3/2026</v>
      </c>
      <c r="AN613" s="45">
        <f t="shared" si="73"/>
        <v>4</v>
      </c>
      <c r="AO613" s="45" t="str">
        <f t="shared" si="74"/>
        <v>4/2026</v>
      </c>
      <c r="AP613" s="45">
        <f t="shared" si="75"/>
        <v>3</v>
      </c>
      <c r="AQ613" s="45">
        <f t="shared" si="76"/>
        <v>24</v>
      </c>
      <c r="AR613" s="45">
        <f t="shared" si="77"/>
        <v>0</v>
      </c>
      <c r="AS613" s="45">
        <f t="shared" si="78"/>
        <v>6</v>
      </c>
      <c r="AT613" s="45">
        <f t="shared" si="79"/>
        <v>0</v>
      </c>
      <c r="AU613" s="45" t="str">
        <f>_xlfn.XLOOKUP(U613,'Lista Suspensa'!$AA$20:$AA$23,'Lista Suspensa'!$AB$20:$AB$23,"N/A")</f>
        <v>S</v>
      </c>
    </row>
    <row r="614" spans="1:47" ht="12" customHeight="1" x14ac:dyDescent="0.3">
      <c r="A614" s="87" t="s">
        <v>47</v>
      </c>
      <c r="B614" s="88">
        <v>46104</v>
      </c>
      <c r="C614" s="89" t="s">
        <v>48</v>
      </c>
      <c r="D614" s="89" t="s">
        <v>49</v>
      </c>
      <c r="E614" s="90">
        <v>88185556</v>
      </c>
      <c r="F614" s="184" t="s">
        <v>1972</v>
      </c>
      <c r="G614" s="91">
        <v>14501174811</v>
      </c>
      <c r="H614" s="92">
        <v>25849</v>
      </c>
      <c r="I614" s="89">
        <v>55</v>
      </c>
      <c r="J614" s="89" t="s">
        <v>51</v>
      </c>
      <c r="K614" s="89" t="s">
        <v>52</v>
      </c>
      <c r="L614" s="89" t="s">
        <v>1973</v>
      </c>
      <c r="M614" s="89" t="s">
        <v>1974</v>
      </c>
      <c r="N614" s="89" t="s">
        <v>209</v>
      </c>
      <c r="O614" s="93" t="s">
        <v>1975</v>
      </c>
      <c r="P614" s="94" t="s">
        <v>57</v>
      </c>
      <c r="Q614" s="112" t="s">
        <v>58</v>
      </c>
      <c r="R614" s="95">
        <v>46142</v>
      </c>
      <c r="S614" s="96"/>
      <c r="T614" s="96" t="s">
        <v>59</v>
      </c>
      <c r="U614" s="96" t="s">
        <v>60</v>
      </c>
      <c r="V614" s="92">
        <v>46141</v>
      </c>
      <c r="W614" s="92" t="s">
        <v>61</v>
      </c>
      <c r="X614" s="92" t="s">
        <v>61</v>
      </c>
      <c r="Y614" s="97"/>
      <c r="Z614" s="89" t="s">
        <v>62</v>
      </c>
      <c r="AA614" s="96">
        <v>46161</v>
      </c>
      <c r="AB614" s="89" t="s">
        <v>80</v>
      </c>
      <c r="AC614" s="111"/>
      <c r="AD614" s="89"/>
      <c r="AE614" s="89"/>
      <c r="AF614" s="98"/>
      <c r="AG614" s="98"/>
      <c r="AH614" s="98"/>
      <c r="AI614" s="99" t="s">
        <v>197</v>
      </c>
      <c r="AJ614" s="99" t="s">
        <v>197</v>
      </c>
      <c r="AK614" s="99" t="s">
        <v>67</v>
      </c>
      <c r="AL614" s="45" t="s">
        <v>68</v>
      </c>
      <c r="AM614" s="162" t="str">
        <f t="shared" si="72"/>
        <v>3/2026</v>
      </c>
      <c r="AN614" s="45">
        <f t="shared" si="73"/>
        <v>4</v>
      </c>
      <c r="AO614" s="45" t="str">
        <f t="shared" si="74"/>
        <v>4/2026</v>
      </c>
      <c r="AP614" s="45">
        <f t="shared" si="75"/>
        <v>5</v>
      </c>
      <c r="AQ614" s="45">
        <f t="shared" si="76"/>
        <v>38</v>
      </c>
      <c r="AR614" s="45">
        <f t="shared" si="77"/>
        <v>0</v>
      </c>
      <c r="AS614" s="45">
        <f t="shared" si="78"/>
        <v>0</v>
      </c>
      <c r="AT614" s="45">
        <f t="shared" si="79"/>
        <v>0</v>
      </c>
      <c r="AU614" s="45" t="str">
        <f>_xlfn.XLOOKUP(U614,'Lista Suspensa'!$AA$20:$AA$23,'Lista Suspensa'!$AB$20:$AB$23,"N/A")</f>
        <v>S</v>
      </c>
    </row>
    <row r="615" spans="1:47" ht="12" customHeight="1" x14ac:dyDescent="0.3">
      <c r="A615" s="87" t="s">
        <v>47</v>
      </c>
      <c r="B615" s="88">
        <v>46104</v>
      </c>
      <c r="C615" s="89" t="s">
        <v>48</v>
      </c>
      <c r="D615" s="89" t="s">
        <v>49</v>
      </c>
      <c r="E615" s="90">
        <v>81665276</v>
      </c>
      <c r="F615" s="184" t="s">
        <v>1976</v>
      </c>
      <c r="G615" s="91">
        <v>2545903817</v>
      </c>
      <c r="H615" s="92">
        <v>22680</v>
      </c>
      <c r="I615" s="89">
        <v>64</v>
      </c>
      <c r="J615" s="89" t="s">
        <v>51</v>
      </c>
      <c r="K615" s="89" t="s">
        <v>52</v>
      </c>
      <c r="L615" s="89" t="s">
        <v>53</v>
      </c>
      <c r="M615" s="89" t="s">
        <v>1977</v>
      </c>
      <c r="N615" s="89" t="s">
        <v>209</v>
      </c>
      <c r="O615" s="93" t="s">
        <v>1978</v>
      </c>
      <c r="P615" s="94" t="s">
        <v>57</v>
      </c>
      <c r="Q615" s="112" t="s">
        <v>58</v>
      </c>
      <c r="R615" s="95">
        <v>46142</v>
      </c>
      <c r="S615" s="96"/>
      <c r="T615" s="96" t="s">
        <v>59</v>
      </c>
      <c r="U615" s="96" t="s">
        <v>60</v>
      </c>
      <c r="V615" s="92">
        <v>46122</v>
      </c>
      <c r="W615" s="92">
        <v>46141</v>
      </c>
      <c r="X615" s="92">
        <v>46142</v>
      </c>
      <c r="Y615" s="97"/>
      <c r="Z615" s="89" t="s">
        <v>62</v>
      </c>
      <c r="AA615" s="96">
        <v>46161</v>
      </c>
      <c r="AB615" s="89" t="s">
        <v>80</v>
      </c>
      <c r="AC615" s="111"/>
      <c r="AD615" s="89"/>
      <c r="AE615" s="89"/>
      <c r="AF615" s="98"/>
      <c r="AG615" s="98"/>
      <c r="AH615" s="98"/>
      <c r="AI615" s="99" t="s">
        <v>197</v>
      </c>
      <c r="AJ615" s="99" t="s">
        <v>197</v>
      </c>
      <c r="AK615" s="99" t="s">
        <v>67</v>
      </c>
      <c r="AL615" s="45" t="s">
        <v>68</v>
      </c>
      <c r="AM615" s="162" t="str">
        <f t="shared" si="72"/>
        <v>3/2026</v>
      </c>
      <c r="AN615" s="45">
        <f t="shared" si="73"/>
        <v>4</v>
      </c>
      <c r="AO615" s="45" t="str">
        <f t="shared" si="74"/>
        <v>4/2026</v>
      </c>
      <c r="AP615" s="45">
        <f t="shared" si="75"/>
        <v>5</v>
      </c>
      <c r="AQ615" s="45">
        <f t="shared" si="76"/>
        <v>38</v>
      </c>
      <c r="AR615" s="45">
        <f t="shared" si="77"/>
        <v>0</v>
      </c>
      <c r="AS615" s="45">
        <f t="shared" si="78"/>
        <v>10</v>
      </c>
      <c r="AT615" s="45">
        <f t="shared" si="79"/>
        <v>0</v>
      </c>
      <c r="AU615" s="45" t="str">
        <f>_xlfn.XLOOKUP(U615,'Lista Suspensa'!$AA$20:$AA$23,'Lista Suspensa'!$AB$20:$AB$23,"N/A")</f>
        <v>S</v>
      </c>
    </row>
    <row r="616" spans="1:47" ht="12" customHeight="1" x14ac:dyDescent="0.3">
      <c r="A616" s="87" t="s">
        <v>47</v>
      </c>
      <c r="B616" s="88">
        <v>46104</v>
      </c>
      <c r="C616" s="89" t="s">
        <v>48</v>
      </c>
      <c r="D616" s="89" t="s">
        <v>49</v>
      </c>
      <c r="E616" s="90">
        <v>87685477</v>
      </c>
      <c r="F616" s="184" t="s">
        <v>1979</v>
      </c>
      <c r="G616" s="91">
        <v>1832901785</v>
      </c>
      <c r="H616" s="92">
        <v>26706</v>
      </c>
      <c r="I616" s="89">
        <v>53</v>
      </c>
      <c r="J616" s="89" t="s">
        <v>51</v>
      </c>
      <c r="K616" s="89" t="s">
        <v>88</v>
      </c>
      <c r="L616" s="89" t="s">
        <v>89</v>
      </c>
      <c r="M616" s="89" t="s">
        <v>660</v>
      </c>
      <c r="N616" s="89" t="s">
        <v>185</v>
      </c>
      <c r="O616" s="93" t="s">
        <v>1980</v>
      </c>
      <c r="P616" s="94" t="s">
        <v>57</v>
      </c>
      <c r="Q616" s="112" t="s">
        <v>58</v>
      </c>
      <c r="R616" s="95">
        <v>46153</v>
      </c>
      <c r="S616" s="96"/>
      <c r="T616" s="96" t="s">
        <v>59</v>
      </c>
      <c r="U616" s="96" t="s">
        <v>60</v>
      </c>
      <c r="V616" s="92">
        <v>46141</v>
      </c>
      <c r="W616" s="92">
        <v>46154</v>
      </c>
      <c r="X616" s="92" t="s">
        <v>61</v>
      </c>
      <c r="Y616" s="97"/>
      <c r="Z616" s="89" t="s">
        <v>62</v>
      </c>
      <c r="AA616" s="96" t="s">
        <v>1981</v>
      </c>
      <c r="AB616" s="89" t="s">
        <v>80</v>
      </c>
      <c r="AC616" s="111"/>
      <c r="AD616" s="89"/>
      <c r="AE616" s="89"/>
      <c r="AF616" s="98"/>
      <c r="AG616" s="98"/>
      <c r="AH616" s="98"/>
      <c r="AI616" s="99" t="s">
        <v>197</v>
      </c>
      <c r="AJ616" s="99" t="s">
        <v>197</v>
      </c>
      <c r="AK616" s="99" t="s">
        <v>67</v>
      </c>
      <c r="AL616" s="45" t="s">
        <v>68</v>
      </c>
      <c r="AM616" s="162" t="str">
        <f t="shared" si="72"/>
        <v>3/2026</v>
      </c>
      <c r="AN616" s="45">
        <f t="shared" si="73"/>
        <v>4</v>
      </c>
      <c r="AO616" s="45" t="str">
        <f t="shared" si="74"/>
        <v>5/2026</v>
      </c>
      <c r="AP616" s="45">
        <f t="shared" si="75"/>
        <v>3</v>
      </c>
      <c r="AQ616" s="45">
        <f t="shared" si="76"/>
        <v>49</v>
      </c>
      <c r="AR616" s="45">
        <f t="shared" si="77"/>
        <v>0</v>
      </c>
      <c r="AS616" s="45">
        <f t="shared" si="78"/>
        <v>13</v>
      </c>
      <c r="AT616" s="45">
        <f t="shared" si="79"/>
        <v>0</v>
      </c>
      <c r="AU616" s="45" t="str">
        <f>_xlfn.XLOOKUP(U616,'Lista Suspensa'!$AA$20:$AA$23,'Lista Suspensa'!$AB$20:$AB$23,"N/A")</f>
        <v>S</v>
      </c>
    </row>
    <row r="617" spans="1:47" ht="12" customHeight="1" x14ac:dyDescent="0.3">
      <c r="A617" s="87" t="s">
        <v>47</v>
      </c>
      <c r="B617" s="88">
        <v>46104</v>
      </c>
      <c r="C617" s="89" t="s">
        <v>48</v>
      </c>
      <c r="D617" s="89" t="s">
        <v>49</v>
      </c>
      <c r="E617" s="90">
        <v>81960543</v>
      </c>
      <c r="F617" s="184" t="s">
        <v>1982</v>
      </c>
      <c r="G617" s="91">
        <v>1113340711</v>
      </c>
      <c r="H617" s="92">
        <v>25166</v>
      </c>
      <c r="I617" s="89">
        <v>57</v>
      </c>
      <c r="J617" s="89" t="s">
        <v>51</v>
      </c>
      <c r="K617" s="89" t="s">
        <v>88</v>
      </c>
      <c r="L617" s="89" t="s">
        <v>97</v>
      </c>
      <c r="M617" s="89" t="s">
        <v>665</v>
      </c>
      <c r="N617" s="89" t="s">
        <v>185</v>
      </c>
      <c r="O617" s="93" t="s">
        <v>1983</v>
      </c>
      <c r="P617" s="94" t="s">
        <v>57</v>
      </c>
      <c r="Q617" s="112" t="s">
        <v>58</v>
      </c>
      <c r="R617" s="95">
        <v>46142</v>
      </c>
      <c r="S617" s="96"/>
      <c r="T617" s="96" t="s">
        <v>59</v>
      </c>
      <c r="U617" s="96" t="s">
        <v>60</v>
      </c>
      <c r="V617" s="92">
        <v>46141</v>
      </c>
      <c r="W617" s="92" t="s">
        <v>61</v>
      </c>
      <c r="X617" s="92" t="s">
        <v>61</v>
      </c>
      <c r="Y617" s="97"/>
      <c r="Z617" s="89" t="s">
        <v>62</v>
      </c>
      <c r="AA617" s="96">
        <v>46161</v>
      </c>
      <c r="AB617" s="89" t="s">
        <v>80</v>
      </c>
      <c r="AC617" s="111"/>
      <c r="AD617" s="89"/>
      <c r="AE617" s="89"/>
      <c r="AF617" s="98"/>
      <c r="AG617" s="98"/>
      <c r="AH617" s="98"/>
      <c r="AI617" s="99" t="s">
        <v>197</v>
      </c>
      <c r="AJ617" s="99" t="s">
        <v>197</v>
      </c>
      <c r="AK617" s="99" t="s">
        <v>67</v>
      </c>
      <c r="AL617" s="45" t="s">
        <v>68</v>
      </c>
      <c r="AM617" s="162" t="str">
        <f t="shared" si="72"/>
        <v>3/2026</v>
      </c>
      <c r="AN617" s="45">
        <f t="shared" si="73"/>
        <v>4</v>
      </c>
      <c r="AO617" s="45" t="str">
        <f t="shared" si="74"/>
        <v>4/2026</v>
      </c>
      <c r="AP617" s="45">
        <f t="shared" si="75"/>
        <v>5</v>
      </c>
      <c r="AQ617" s="45">
        <f t="shared" si="76"/>
        <v>38</v>
      </c>
      <c r="AR617" s="45">
        <f t="shared" si="77"/>
        <v>0</v>
      </c>
      <c r="AS617" s="45">
        <f t="shared" si="78"/>
        <v>0</v>
      </c>
      <c r="AT617" s="45">
        <f t="shared" si="79"/>
        <v>0</v>
      </c>
      <c r="AU617" s="45" t="str">
        <f>_xlfn.XLOOKUP(U617,'Lista Suspensa'!$AA$20:$AA$23,'Lista Suspensa'!$AB$20:$AB$23,"N/A")</f>
        <v>S</v>
      </c>
    </row>
    <row r="618" spans="1:47" ht="12" customHeight="1" x14ac:dyDescent="0.3">
      <c r="A618" s="87" t="s">
        <v>47</v>
      </c>
      <c r="B618" s="88">
        <v>46104</v>
      </c>
      <c r="C618" s="89" t="s">
        <v>48</v>
      </c>
      <c r="D618" s="89" t="s">
        <v>49</v>
      </c>
      <c r="E618" s="90">
        <v>96080395</v>
      </c>
      <c r="F618" s="184" t="s">
        <v>1984</v>
      </c>
      <c r="G618" s="91">
        <v>9077028803</v>
      </c>
      <c r="H618" s="92">
        <v>22377</v>
      </c>
      <c r="I618" s="89">
        <v>64</v>
      </c>
      <c r="J618" s="89" t="s">
        <v>51</v>
      </c>
      <c r="K618" s="89" t="s">
        <v>52</v>
      </c>
      <c r="L618" s="89" t="s">
        <v>1727</v>
      </c>
      <c r="M618" s="89" t="s">
        <v>1985</v>
      </c>
      <c r="N618" s="89" t="s">
        <v>185</v>
      </c>
      <c r="O618" s="93" t="s">
        <v>1986</v>
      </c>
      <c r="P618" s="94" t="s">
        <v>57</v>
      </c>
      <c r="Q618" s="112" t="s">
        <v>58</v>
      </c>
      <c r="R618" s="95">
        <v>46164</v>
      </c>
      <c r="S618" s="96"/>
      <c r="T618" s="96" t="s">
        <v>59</v>
      </c>
      <c r="U618" s="96" t="s">
        <v>60</v>
      </c>
      <c r="V618" s="92">
        <v>46141</v>
      </c>
      <c r="W618" s="92">
        <v>46154</v>
      </c>
      <c r="X618" s="92">
        <v>46160</v>
      </c>
      <c r="Y618" s="97"/>
      <c r="Z618" s="89"/>
      <c r="AA618" s="96"/>
      <c r="AB618" s="89"/>
      <c r="AC618" s="111"/>
      <c r="AD618" s="89"/>
      <c r="AE618" s="89"/>
      <c r="AF618" s="98"/>
      <c r="AG618" s="98"/>
      <c r="AH618" s="98"/>
      <c r="AI618" s="99"/>
      <c r="AJ618" s="99" t="s">
        <v>197</v>
      </c>
      <c r="AK618" s="99" t="s">
        <v>67</v>
      </c>
      <c r="AL618" s="45" t="s">
        <v>68</v>
      </c>
      <c r="AM618" s="162" t="str">
        <f t="shared" si="72"/>
        <v>3/2026</v>
      </c>
      <c r="AN618" s="45">
        <f t="shared" si="73"/>
        <v>4</v>
      </c>
      <c r="AO618" s="45" t="str">
        <f t="shared" si="74"/>
        <v>5/2026</v>
      </c>
      <c r="AP618" s="45">
        <f t="shared" si="75"/>
        <v>4</v>
      </c>
      <c r="AQ618" s="45">
        <f t="shared" si="76"/>
        <v>60</v>
      </c>
      <c r="AR618" s="45">
        <f t="shared" si="77"/>
        <v>0</v>
      </c>
      <c r="AS618" s="45">
        <f t="shared" si="78"/>
        <v>9.5</v>
      </c>
      <c r="AT618" s="45">
        <f t="shared" si="79"/>
        <v>0</v>
      </c>
      <c r="AU618" s="45" t="str">
        <f>_xlfn.XLOOKUP(U618,'Lista Suspensa'!$AA$20:$AA$23,'Lista Suspensa'!$AB$20:$AB$23,"N/A")</f>
        <v>S</v>
      </c>
    </row>
    <row r="619" spans="1:47" ht="12" customHeight="1" x14ac:dyDescent="0.3">
      <c r="A619" s="87" t="s">
        <v>47</v>
      </c>
      <c r="B619" s="88">
        <v>46104</v>
      </c>
      <c r="C619" s="89" t="s">
        <v>48</v>
      </c>
      <c r="D619" s="89" t="s">
        <v>49</v>
      </c>
      <c r="E619" s="90">
        <v>87095094</v>
      </c>
      <c r="F619" s="184" t="s">
        <v>1987</v>
      </c>
      <c r="G619" s="91">
        <v>44923422572</v>
      </c>
      <c r="H619" s="92">
        <v>23737</v>
      </c>
      <c r="I619" s="89">
        <v>61</v>
      </c>
      <c r="J619" s="89" t="s">
        <v>51</v>
      </c>
      <c r="K619" s="89" t="s">
        <v>52</v>
      </c>
      <c r="L619" s="89" t="s">
        <v>53</v>
      </c>
      <c r="M619" s="89" t="s">
        <v>1988</v>
      </c>
      <c r="N619" s="89" t="s">
        <v>185</v>
      </c>
      <c r="O619" s="93" t="s">
        <v>1989</v>
      </c>
      <c r="P619" s="94" t="s">
        <v>57</v>
      </c>
      <c r="Q619" s="112" t="s">
        <v>58</v>
      </c>
      <c r="R619" s="95">
        <v>46142</v>
      </c>
      <c r="S619" s="96"/>
      <c r="T619" s="96" t="s">
        <v>59</v>
      </c>
      <c r="U619" s="96" t="s">
        <v>60</v>
      </c>
      <c r="V619" s="92">
        <v>46128</v>
      </c>
      <c r="W619" s="92">
        <v>46141</v>
      </c>
      <c r="X619" s="92">
        <v>46142</v>
      </c>
      <c r="Y619" s="97"/>
      <c r="Z619" s="89" t="s">
        <v>62</v>
      </c>
      <c r="AA619" s="96">
        <v>46161</v>
      </c>
      <c r="AB619" s="89" t="s">
        <v>80</v>
      </c>
      <c r="AC619" s="111"/>
      <c r="AD619" s="89"/>
      <c r="AE619" s="89"/>
      <c r="AF619" s="98"/>
      <c r="AG619" s="98"/>
      <c r="AH619" s="98"/>
      <c r="AI619" s="99" t="s">
        <v>197</v>
      </c>
      <c r="AJ619" s="99" t="s">
        <v>197</v>
      </c>
      <c r="AK619" s="99" t="s">
        <v>67</v>
      </c>
      <c r="AL619" s="45" t="s">
        <v>68</v>
      </c>
      <c r="AM619" s="162" t="str">
        <f t="shared" si="72"/>
        <v>3/2026</v>
      </c>
      <c r="AN619" s="45">
        <f t="shared" si="73"/>
        <v>4</v>
      </c>
      <c r="AO619" s="45" t="str">
        <f t="shared" si="74"/>
        <v>4/2026</v>
      </c>
      <c r="AP619" s="45">
        <f t="shared" si="75"/>
        <v>5</v>
      </c>
      <c r="AQ619" s="45">
        <f t="shared" si="76"/>
        <v>38</v>
      </c>
      <c r="AR619" s="45">
        <f t="shared" si="77"/>
        <v>0</v>
      </c>
      <c r="AS619" s="45">
        <f t="shared" si="78"/>
        <v>7</v>
      </c>
      <c r="AT619" s="45">
        <f t="shared" si="79"/>
        <v>0</v>
      </c>
      <c r="AU619" s="45" t="str">
        <f>_xlfn.XLOOKUP(U619,'Lista Suspensa'!$AA$20:$AA$23,'Lista Suspensa'!$AB$20:$AB$23,"N/A")</f>
        <v>S</v>
      </c>
    </row>
    <row r="620" spans="1:47" ht="12" customHeight="1" x14ac:dyDescent="0.3">
      <c r="A620" s="87" t="s">
        <v>47</v>
      </c>
      <c r="B620" s="88">
        <v>46104</v>
      </c>
      <c r="C620" s="89" t="s">
        <v>48</v>
      </c>
      <c r="D620" s="89" t="s">
        <v>49</v>
      </c>
      <c r="E620" s="90">
        <v>83399304</v>
      </c>
      <c r="F620" s="184" t="s">
        <v>1990</v>
      </c>
      <c r="G620" s="91">
        <v>273231707</v>
      </c>
      <c r="H620" s="92">
        <v>22780</v>
      </c>
      <c r="I620" s="89">
        <v>63</v>
      </c>
      <c r="J620" s="89" t="s">
        <v>51</v>
      </c>
      <c r="K620" s="89" t="s">
        <v>88</v>
      </c>
      <c r="L620" s="89" t="s">
        <v>603</v>
      </c>
      <c r="M620" s="89" t="s">
        <v>1991</v>
      </c>
      <c r="N620" s="89" t="s">
        <v>185</v>
      </c>
      <c r="O620" s="93" t="s">
        <v>1992</v>
      </c>
      <c r="P620" s="94" t="s">
        <v>57</v>
      </c>
      <c r="Q620" s="112" t="s">
        <v>58</v>
      </c>
      <c r="R620" s="95">
        <v>46153</v>
      </c>
      <c r="S620" s="96"/>
      <c r="T620" s="96" t="s">
        <v>59</v>
      </c>
      <c r="U620" s="96" t="s">
        <v>60</v>
      </c>
      <c r="V620" s="92">
        <v>46141</v>
      </c>
      <c r="W620" s="92">
        <v>46154</v>
      </c>
      <c r="X620" s="92" t="s">
        <v>61</v>
      </c>
      <c r="Y620" s="97"/>
      <c r="Z620" s="89" t="s">
        <v>62</v>
      </c>
      <c r="AA620" s="96" t="s">
        <v>1993</v>
      </c>
      <c r="AB620" s="89" t="s">
        <v>63</v>
      </c>
      <c r="AC620" s="111"/>
      <c r="AD620" s="89" t="s">
        <v>64</v>
      </c>
      <c r="AE620" s="89">
        <v>63</v>
      </c>
      <c r="AF620" s="98" t="s">
        <v>126</v>
      </c>
      <c r="AG620" s="98" t="s">
        <v>126</v>
      </c>
      <c r="AH620" s="98" t="s">
        <v>66</v>
      </c>
      <c r="AI620" s="99" t="s">
        <v>197</v>
      </c>
      <c r="AJ620" s="99" t="s">
        <v>197</v>
      </c>
      <c r="AK620" s="99" t="s">
        <v>67</v>
      </c>
      <c r="AL620" s="45" t="s">
        <v>68</v>
      </c>
      <c r="AM620" s="162" t="str">
        <f t="shared" si="72"/>
        <v>3/2026</v>
      </c>
      <c r="AN620" s="45">
        <f t="shared" si="73"/>
        <v>4</v>
      </c>
      <c r="AO620" s="45" t="str">
        <f t="shared" si="74"/>
        <v>5/2026</v>
      </c>
      <c r="AP620" s="45">
        <f t="shared" si="75"/>
        <v>3</v>
      </c>
      <c r="AQ620" s="45">
        <f t="shared" si="76"/>
        <v>49</v>
      </c>
      <c r="AR620" s="45">
        <f t="shared" si="77"/>
        <v>0</v>
      </c>
      <c r="AS620" s="45">
        <f t="shared" si="78"/>
        <v>13</v>
      </c>
      <c r="AT620" s="45">
        <f t="shared" si="79"/>
        <v>11.458333333335759</v>
      </c>
      <c r="AU620" s="45" t="str">
        <f>_xlfn.XLOOKUP(U620,'Lista Suspensa'!$AA$20:$AA$23,'Lista Suspensa'!$AB$20:$AB$23,"N/A")</f>
        <v>S</v>
      </c>
    </row>
    <row r="621" spans="1:47" ht="12" customHeight="1" x14ac:dyDescent="0.3">
      <c r="A621" s="87" t="s">
        <v>47</v>
      </c>
      <c r="B621" s="88">
        <v>46104</v>
      </c>
      <c r="C621" s="89" t="s">
        <v>48</v>
      </c>
      <c r="D621" s="89" t="s">
        <v>49</v>
      </c>
      <c r="E621" s="90">
        <v>87689237</v>
      </c>
      <c r="F621" s="184" t="s">
        <v>1994</v>
      </c>
      <c r="G621" s="91">
        <v>28443542896</v>
      </c>
      <c r="H621" s="92">
        <v>26304</v>
      </c>
      <c r="I621" s="89">
        <v>54</v>
      </c>
      <c r="J621" s="89" t="s">
        <v>51</v>
      </c>
      <c r="K621" s="89" t="s">
        <v>52</v>
      </c>
      <c r="L621" s="89" t="s">
        <v>53</v>
      </c>
      <c r="M621" s="89" t="s">
        <v>199</v>
      </c>
      <c r="N621" s="89" t="s">
        <v>185</v>
      </c>
      <c r="O621" s="93" t="s">
        <v>1995</v>
      </c>
      <c r="P621" s="94" t="s">
        <v>57</v>
      </c>
      <c r="Q621" s="112" t="s">
        <v>58</v>
      </c>
      <c r="R621" s="95">
        <v>46142</v>
      </c>
      <c r="S621" s="96"/>
      <c r="T621" s="96" t="s">
        <v>59</v>
      </c>
      <c r="U621" s="96" t="s">
        <v>60</v>
      </c>
      <c r="V621" s="92">
        <v>46141</v>
      </c>
      <c r="W621" s="92" t="s">
        <v>61</v>
      </c>
      <c r="X621" s="92" t="s">
        <v>61</v>
      </c>
      <c r="Y621" s="97"/>
      <c r="Z621" s="89" t="s">
        <v>62</v>
      </c>
      <c r="AA621" s="96">
        <v>46161</v>
      </c>
      <c r="AB621" s="89" t="s">
        <v>80</v>
      </c>
      <c r="AC621" s="111"/>
      <c r="AD621" s="89"/>
      <c r="AE621" s="89"/>
      <c r="AF621" s="98"/>
      <c r="AG621" s="98"/>
      <c r="AH621" s="98"/>
      <c r="AI621" s="99" t="s">
        <v>197</v>
      </c>
      <c r="AJ621" s="99" t="s">
        <v>197</v>
      </c>
      <c r="AK621" s="99" t="s">
        <v>67</v>
      </c>
      <c r="AL621" s="45" t="s">
        <v>68</v>
      </c>
      <c r="AM621" s="162" t="str">
        <f t="shared" si="72"/>
        <v>3/2026</v>
      </c>
      <c r="AN621" s="45">
        <f t="shared" si="73"/>
        <v>4</v>
      </c>
      <c r="AO621" s="45" t="str">
        <f t="shared" si="74"/>
        <v>4/2026</v>
      </c>
      <c r="AP621" s="45">
        <f t="shared" si="75"/>
        <v>5</v>
      </c>
      <c r="AQ621" s="45">
        <f t="shared" si="76"/>
        <v>38</v>
      </c>
      <c r="AR621" s="45">
        <f t="shared" si="77"/>
        <v>0</v>
      </c>
      <c r="AS621" s="45">
        <f t="shared" si="78"/>
        <v>0</v>
      </c>
      <c r="AT621" s="45">
        <f t="shared" si="79"/>
        <v>0</v>
      </c>
      <c r="AU621" s="45" t="str">
        <f>_xlfn.XLOOKUP(U621,'Lista Suspensa'!$AA$20:$AA$23,'Lista Suspensa'!$AB$20:$AB$23,"N/A")</f>
        <v>S</v>
      </c>
    </row>
    <row r="622" spans="1:47" ht="12" customHeight="1" x14ac:dyDescent="0.3">
      <c r="A622" s="87" t="s">
        <v>47</v>
      </c>
      <c r="B622" s="88">
        <v>46104</v>
      </c>
      <c r="C622" s="89" t="s">
        <v>48</v>
      </c>
      <c r="D622" s="89" t="s">
        <v>49</v>
      </c>
      <c r="E622" s="90">
        <v>88520233</v>
      </c>
      <c r="F622" s="184" t="s">
        <v>1996</v>
      </c>
      <c r="G622" s="91" t="s">
        <v>1997</v>
      </c>
      <c r="H622" s="92">
        <v>30364</v>
      </c>
      <c r="I622" s="89">
        <v>43</v>
      </c>
      <c r="J622" s="89" t="s">
        <v>51</v>
      </c>
      <c r="K622" s="89" t="s">
        <v>52</v>
      </c>
      <c r="L622" s="89"/>
      <c r="M622" s="89"/>
      <c r="N622" s="89"/>
      <c r="O622" s="93" t="s">
        <v>1998</v>
      </c>
      <c r="P622" s="94" t="s">
        <v>57</v>
      </c>
      <c r="Q622" s="112" t="s">
        <v>58</v>
      </c>
      <c r="R622" s="95">
        <v>46132</v>
      </c>
      <c r="S622" s="96"/>
      <c r="T622" s="96" t="s">
        <v>59</v>
      </c>
      <c r="U622" s="96" t="s">
        <v>60</v>
      </c>
      <c r="V622" s="92">
        <v>46132</v>
      </c>
      <c r="W622" s="92" t="s">
        <v>61</v>
      </c>
      <c r="X622" s="92" t="s">
        <v>61</v>
      </c>
      <c r="Y622" s="97"/>
      <c r="Z622" s="89" t="s">
        <v>62</v>
      </c>
      <c r="AA622" s="96">
        <v>46134</v>
      </c>
      <c r="AB622" s="89" t="s">
        <v>63</v>
      </c>
      <c r="AC622" s="111"/>
      <c r="AD622" s="89" t="s">
        <v>265</v>
      </c>
      <c r="AE622" s="89">
        <v>36</v>
      </c>
      <c r="AF622" s="98" t="s">
        <v>1999</v>
      </c>
      <c r="AG622" s="98"/>
      <c r="AH622" s="98" t="s">
        <v>66</v>
      </c>
      <c r="AI622" s="99" t="s">
        <v>197</v>
      </c>
      <c r="AJ622" s="99" t="s">
        <v>197</v>
      </c>
      <c r="AK622" s="99" t="s">
        <v>67</v>
      </c>
      <c r="AL622" s="45" t="s">
        <v>68</v>
      </c>
      <c r="AM622" s="162" t="str">
        <f t="shared" si="72"/>
        <v>3/2026</v>
      </c>
      <c r="AN622" s="45">
        <f t="shared" si="73"/>
        <v>4</v>
      </c>
      <c r="AO622" s="45" t="str">
        <f t="shared" si="74"/>
        <v>4/2026</v>
      </c>
      <c r="AP622" s="45">
        <f t="shared" si="75"/>
        <v>4</v>
      </c>
      <c r="AQ622" s="45">
        <f t="shared" si="76"/>
        <v>28</v>
      </c>
      <c r="AR622" s="45">
        <f t="shared" si="77"/>
        <v>0</v>
      </c>
      <c r="AS622" s="45">
        <f t="shared" si="78"/>
        <v>0</v>
      </c>
      <c r="AT622" s="45">
        <f t="shared" si="79"/>
        <v>2</v>
      </c>
      <c r="AU622" s="45" t="str">
        <f>_xlfn.XLOOKUP(U622,'Lista Suspensa'!$AA$20:$AA$23,'Lista Suspensa'!$AB$20:$AB$23,"N/A")</f>
        <v>S</v>
      </c>
    </row>
    <row r="623" spans="1:47" ht="12" customHeight="1" x14ac:dyDescent="0.3">
      <c r="A623" s="87" t="s">
        <v>47</v>
      </c>
      <c r="B623" s="88">
        <v>46105</v>
      </c>
      <c r="C623" s="89" t="s">
        <v>211</v>
      </c>
      <c r="D623" s="89" t="s">
        <v>2000</v>
      </c>
      <c r="E623" s="90">
        <v>89078525</v>
      </c>
      <c r="F623" s="184" t="s">
        <v>2001</v>
      </c>
      <c r="G623" s="91" t="s">
        <v>2002</v>
      </c>
      <c r="H623" s="92">
        <v>21700</v>
      </c>
      <c r="I623" s="89">
        <v>66</v>
      </c>
      <c r="J623" s="89" t="s">
        <v>70</v>
      </c>
      <c r="K623" s="89" t="s">
        <v>52</v>
      </c>
      <c r="L623" s="89" t="s">
        <v>2003</v>
      </c>
      <c r="M623" s="89" t="s">
        <v>2004</v>
      </c>
      <c r="N623" s="89"/>
      <c r="O623" s="93">
        <v>11931493794</v>
      </c>
      <c r="P623" s="94" t="s">
        <v>57</v>
      </c>
      <c r="Q623" s="112" t="s">
        <v>58</v>
      </c>
      <c r="R623" s="95">
        <v>46128</v>
      </c>
      <c r="S623" s="96"/>
      <c r="T623" s="96" t="s">
        <v>59</v>
      </c>
      <c r="U623" s="96" t="s">
        <v>60</v>
      </c>
      <c r="V623" s="92">
        <v>46128</v>
      </c>
      <c r="W623" s="92" t="s">
        <v>61</v>
      </c>
      <c r="X623" s="92" t="s">
        <v>61</v>
      </c>
      <c r="Y623" s="97"/>
      <c r="Z623" s="89" t="s">
        <v>62</v>
      </c>
      <c r="AA623" s="96">
        <v>46139</v>
      </c>
      <c r="AB623" s="89" t="s">
        <v>80</v>
      </c>
      <c r="AC623" s="111"/>
      <c r="AD623" s="89"/>
      <c r="AE623" s="89"/>
      <c r="AF623" s="98"/>
      <c r="AG623" s="98"/>
      <c r="AH623" s="98"/>
      <c r="AI623" s="99" t="s">
        <v>67</v>
      </c>
      <c r="AJ623" s="99" t="s">
        <v>67</v>
      </c>
      <c r="AK623" s="99" t="s">
        <v>67</v>
      </c>
      <c r="AL623" s="45" t="s">
        <v>68</v>
      </c>
      <c r="AM623" s="162" t="str">
        <f t="shared" si="72"/>
        <v>3/2026</v>
      </c>
      <c r="AN623" s="45">
        <f t="shared" si="73"/>
        <v>4</v>
      </c>
      <c r="AO623" s="45" t="str">
        <f t="shared" si="74"/>
        <v>4/2026</v>
      </c>
      <c r="AP623" s="45">
        <f t="shared" si="75"/>
        <v>3</v>
      </c>
      <c r="AQ623" s="45">
        <f t="shared" si="76"/>
        <v>23</v>
      </c>
      <c r="AR623" s="45">
        <f t="shared" si="77"/>
        <v>0</v>
      </c>
      <c r="AS623" s="45">
        <f t="shared" si="78"/>
        <v>0</v>
      </c>
      <c r="AT623" s="45">
        <f t="shared" si="79"/>
        <v>0</v>
      </c>
      <c r="AU623" s="45" t="str">
        <f>_xlfn.XLOOKUP(U623,'Lista Suspensa'!$AA$20:$AA$23,'Lista Suspensa'!$AB$20:$AB$23,"N/A")</f>
        <v>S</v>
      </c>
    </row>
    <row r="624" spans="1:47" ht="12" customHeight="1" x14ac:dyDescent="0.3">
      <c r="A624" s="87" t="s">
        <v>67</v>
      </c>
      <c r="B624" s="88">
        <v>46107</v>
      </c>
      <c r="C624" s="89" t="s">
        <v>211</v>
      </c>
      <c r="D624" s="89" t="s">
        <v>49</v>
      </c>
      <c r="E624" s="90">
        <v>447055453</v>
      </c>
      <c r="F624" s="184" t="s">
        <v>2005</v>
      </c>
      <c r="G624" s="91">
        <v>67326404887</v>
      </c>
      <c r="H624" s="92">
        <v>20596</v>
      </c>
      <c r="I624" s="89">
        <v>69</v>
      </c>
      <c r="J624" s="89" t="s">
        <v>51</v>
      </c>
      <c r="K624" s="89" t="s">
        <v>52</v>
      </c>
      <c r="L624" s="89" t="s">
        <v>2006</v>
      </c>
      <c r="M624" s="89" t="s">
        <v>2007</v>
      </c>
      <c r="N624" s="89" t="s">
        <v>277</v>
      </c>
      <c r="O624" s="93" t="s">
        <v>2008</v>
      </c>
      <c r="P624" s="94" t="s">
        <v>57</v>
      </c>
      <c r="Q624" s="112" t="s">
        <v>58</v>
      </c>
      <c r="R624" s="95">
        <v>46073</v>
      </c>
      <c r="S624" s="96"/>
      <c r="T624" s="96" t="s">
        <v>59</v>
      </c>
      <c r="U624" s="96" t="s">
        <v>60</v>
      </c>
      <c r="V624" s="92">
        <v>46098</v>
      </c>
      <c r="W624" s="92" t="s">
        <v>61</v>
      </c>
      <c r="X624" s="92" t="s">
        <v>61</v>
      </c>
      <c r="Y624" s="97"/>
      <c r="Z624" s="89" t="s">
        <v>62</v>
      </c>
      <c r="AA624" s="96">
        <v>46107.611111111109</v>
      </c>
      <c r="AB624" s="89" t="s">
        <v>63</v>
      </c>
      <c r="AC624" s="111"/>
      <c r="AD624" s="89" t="s">
        <v>86</v>
      </c>
      <c r="AE624" s="89">
        <v>33</v>
      </c>
      <c r="AF624" s="98" t="s">
        <v>138</v>
      </c>
      <c r="AG624" s="98"/>
      <c r="AH624" s="98" t="s">
        <v>66</v>
      </c>
      <c r="AI624" s="99" t="s">
        <v>67</v>
      </c>
      <c r="AJ624" s="99" t="s">
        <v>67</v>
      </c>
      <c r="AK624" s="99" t="s">
        <v>67</v>
      </c>
      <c r="AL624" s="45" t="s">
        <v>68</v>
      </c>
      <c r="AM624" s="162" t="str">
        <f t="shared" si="72"/>
        <v>3/2026</v>
      </c>
      <c r="AN624" s="45">
        <f t="shared" si="73"/>
        <v>4</v>
      </c>
      <c r="AO624" s="45" t="str">
        <f t="shared" si="74"/>
        <v>2/2026</v>
      </c>
      <c r="AP624" s="45">
        <f t="shared" si="75"/>
        <v>3</v>
      </c>
      <c r="AQ624" s="45">
        <f t="shared" si="76"/>
        <v>-34</v>
      </c>
      <c r="AR624" s="45">
        <f t="shared" si="77"/>
        <v>0</v>
      </c>
      <c r="AS624" s="45">
        <f t="shared" si="78"/>
        <v>0</v>
      </c>
      <c r="AT624" s="45">
        <f t="shared" si="79"/>
        <v>34.611111111109494</v>
      </c>
      <c r="AU624" s="45" t="str">
        <f>_xlfn.XLOOKUP(U624,'Lista Suspensa'!$AA$20:$AA$23,'Lista Suspensa'!$AB$20:$AB$23,"N/A")</f>
        <v>S</v>
      </c>
    </row>
    <row r="625" spans="1:47" ht="12" customHeight="1" x14ac:dyDescent="0.3">
      <c r="A625" s="87" t="s">
        <v>67</v>
      </c>
      <c r="B625" s="88">
        <v>46107</v>
      </c>
      <c r="C625" s="89" t="s">
        <v>211</v>
      </c>
      <c r="D625" s="89" t="s">
        <v>49</v>
      </c>
      <c r="E625" s="90">
        <v>85964876</v>
      </c>
      <c r="F625" s="184" t="s">
        <v>2009</v>
      </c>
      <c r="G625" s="91" t="s">
        <v>2010</v>
      </c>
      <c r="H625" s="92">
        <v>32087</v>
      </c>
      <c r="I625" s="89">
        <v>38</v>
      </c>
      <c r="J625" s="89" t="s">
        <v>2011</v>
      </c>
      <c r="K625" s="89" t="s">
        <v>52</v>
      </c>
      <c r="L625" s="89" t="s">
        <v>2012</v>
      </c>
      <c r="M625" s="89" t="s">
        <v>2013</v>
      </c>
      <c r="N625" s="89" t="s">
        <v>148</v>
      </c>
      <c r="O625" s="93">
        <v>11941162175</v>
      </c>
      <c r="P625" s="94" t="s">
        <v>57</v>
      </c>
      <c r="Q625" s="112" t="s">
        <v>58</v>
      </c>
      <c r="R625" s="95">
        <v>46128</v>
      </c>
      <c r="S625" s="96"/>
      <c r="T625" s="96" t="s">
        <v>59</v>
      </c>
      <c r="U625" s="96" t="s">
        <v>60</v>
      </c>
      <c r="V625" s="92">
        <v>46122</v>
      </c>
      <c r="W625" s="92">
        <v>46128</v>
      </c>
      <c r="X625" s="92" t="s">
        <v>61</v>
      </c>
      <c r="Y625" s="97"/>
      <c r="Z625" s="89" t="s">
        <v>62</v>
      </c>
      <c r="AA625" s="96">
        <v>46128</v>
      </c>
      <c r="AB625" s="89" t="s">
        <v>2014</v>
      </c>
      <c r="AC625" s="111"/>
      <c r="AD625" s="89" t="s">
        <v>2015</v>
      </c>
      <c r="AE625" s="89">
        <v>60</v>
      </c>
      <c r="AF625" s="98" t="s">
        <v>843</v>
      </c>
      <c r="AG625" s="98"/>
      <c r="AH625" s="98" t="s">
        <v>139</v>
      </c>
      <c r="AI625" s="99" t="s">
        <v>67</v>
      </c>
      <c r="AJ625" s="99" t="s">
        <v>67</v>
      </c>
      <c r="AK625" s="99" t="s">
        <v>67</v>
      </c>
      <c r="AL625" s="45" t="s">
        <v>68</v>
      </c>
      <c r="AM625" s="162" t="str">
        <f t="shared" si="72"/>
        <v>3/2026</v>
      </c>
      <c r="AN625" s="45">
        <f t="shared" si="73"/>
        <v>4</v>
      </c>
      <c r="AO625" s="45" t="str">
        <f t="shared" si="74"/>
        <v>4/2026</v>
      </c>
      <c r="AP625" s="45">
        <f t="shared" si="75"/>
        <v>3</v>
      </c>
      <c r="AQ625" s="45">
        <f t="shared" si="76"/>
        <v>21</v>
      </c>
      <c r="AR625" s="45">
        <f t="shared" si="77"/>
        <v>0</v>
      </c>
      <c r="AS625" s="45">
        <f t="shared" si="78"/>
        <v>6</v>
      </c>
      <c r="AT625" s="45">
        <f t="shared" si="79"/>
        <v>0</v>
      </c>
      <c r="AU625" s="45" t="str">
        <f>_xlfn.XLOOKUP(U625,'Lista Suspensa'!$AA$20:$AA$23,'Lista Suspensa'!$AB$20:$AB$23,"N/A")</f>
        <v>S</v>
      </c>
    </row>
    <row r="626" spans="1:47" ht="12" customHeight="1" x14ac:dyDescent="0.3">
      <c r="A626" s="87" t="s">
        <v>67</v>
      </c>
      <c r="B626" s="88">
        <v>46107</v>
      </c>
      <c r="C626" s="89" t="s">
        <v>211</v>
      </c>
      <c r="D626" s="89" t="s">
        <v>49</v>
      </c>
      <c r="E626" s="90">
        <v>95121147</v>
      </c>
      <c r="F626" s="184" t="s">
        <v>2016</v>
      </c>
      <c r="G626" s="91">
        <v>13513292864</v>
      </c>
      <c r="H626" s="92">
        <v>25793</v>
      </c>
      <c r="I626" s="89">
        <v>55</v>
      </c>
      <c r="J626" s="89" t="s">
        <v>51</v>
      </c>
      <c r="K626" s="89" t="s">
        <v>52</v>
      </c>
      <c r="L626" s="89" t="s">
        <v>53</v>
      </c>
      <c r="M626" s="89" t="s">
        <v>167</v>
      </c>
      <c r="N626" s="89" t="s">
        <v>102</v>
      </c>
      <c r="O626" s="93" t="s">
        <v>2017</v>
      </c>
      <c r="P626" s="94" t="s">
        <v>57</v>
      </c>
      <c r="Q626" s="112" t="s">
        <v>58</v>
      </c>
      <c r="R626" s="95">
        <v>46128</v>
      </c>
      <c r="S626" s="96"/>
      <c r="T626" s="96" t="s">
        <v>59</v>
      </c>
      <c r="U626" s="96" t="s">
        <v>60</v>
      </c>
      <c r="V626" s="92">
        <v>46122</v>
      </c>
      <c r="W626" s="92">
        <v>46128</v>
      </c>
      <c r="X626" s="92" t="s">
        <v>61</v>
      </c>
      <c r="Y626" s="97"/>
      <c r="Z626" s="89" t="s">
        <v>62</v>
      </c>
      <c r="AA626" s="96">
        <v>46128</v>
      </c>
      <c r="AB626" s="89" t="s">
        <v>2014</v>
      </c>
      <c r="AC626" s="111"/>
      <c r="AD626" s="89" t="s">
        <v>2018</v>
      </c>
      <c r="AE626" s="89">
        <v>51</v>
      </c>
      <c r="AF626" s="98" t="s">
        <v>172</v>
      </c>
      <c r="AG626" s="98"/>
      <c r="AH626" s="98" t="s">
        <v>139</v>
      </c>
      <c r="AI626" s="99" t="s">
        <v>67</v>
      </c>
      <c r="AJ626" s="99" t="s">
        <v>67</v>
      </c>
      <c r="AK626" s="99" t="s">
        <v>67</v>
      </c>
      <c r="AL626" s="45" t="s">
        <v>68</v>
      </c>
      <c r="AM626" s="162" t="str">
        <f t="shared" si="72"/>
        <v>3/2026</v>
      </c>
      <c r="AN626" s="45">
        <f t="shared" si="73"/>
        <v>4</v>
      </c>
      <c r="AO626" s="45" t="str">
        <f t="shared" si="74"/>
        <v>4/2026</v>
      </c>
      <c r="AP626" s="45">
        <f t="shared" si="75"/>
        <v>3</v>
      </c>
      <c r="AQ626" s="45">
        <f t="shared" si="76"/>
        <v>21</v>
      </c>
      <c r="AR626" s="45">
        <f t="shared" si="77"/>
        <v>0</v>
      </c>
      <c r="AS626" s="45">
        <f t="shared" si="78"/>
        <v>6</v>
      </c>
      <c r="AT626" s="45">
        <f t="shared" si="79"/>
        <v>0</v>
      </c>
      <c r="AU626" s="45" t="str">
        <f>_xlfn.XLOOKUP(U626,'Lista Suspensa'!$AA$20:$AA$23,'Lista Suspensa'!$AB$20:$AB$23,"N/A")</f>
        <v>S</v>
      </c>
    </row>
    <row r="627" spans="1:47" ht="12" customHeight="1" x14ac:dyDescent="0.3">
      <c r="A627" s="87" t="s">
        <v>67</v>
      </c>
      <c r="B627" s="88">
        <v>46107</v>
      </c>
      <c r="C627" s="89" t="s">
        <v>211</v>
      </c>
      <c r="D627" s="89" t="s">
        <v>49</v>
      </c>
      <c r="E627" s="90">
        <v>70293473</v>
      </c>
      <c r="F627" s="184" t="s">
        <v>2019</v>
      </c>
      <c r="G627" s="91">
        <v>40197794734</v>
      </c>
      <c r="H627" s="92">
        <v>19982</v>
      </c>
      <c r="I627" s="89">
        <v>71</v>
      </c>
      <c r="J627" s="89" t="s">
        <v>51</v>
      </c>
      <c r="K627" s="89" t="s">
        <v>88</v>
      </c>
      <c r="L627" s="89" t="s">
        <v>89</v>
      </c>
      <c r="M627" s="89"/>
      <c r="N627" s="89"/>
      <c r="O627" s="93" t="s">
        <v>2020</v>
      </c>
      <c r="P627" s="94" t="s">
        <v>57</v>
      </c>
      <c r="Q627" s="112" t="s">
        <v>58</v>
      </c>
      <c r="R627" s="95">
        <v>46171</v>
      </c>
      <c r="S627" s="96"/>
      <c r="T627" s="96" t="s">
        <v>59</v>
      </c>
      <c r="U627" s="96" t="s">
        <v>60</v>
      </c>
      <c r="V627" s="92">
        <v>46122</v>
      </c>
      <c r="W627" s="92">
        <v>46095</v>
      </c>
      <c r="X627" s="92">
        <v>46147</v>
      </c>
      <c r="Y627" s="97"/>
      <c r="Z627" s="89" t="s">
        <v>62</v>
      </c>
      <c r="AA627" s="96">
        <v>46175</v>
      </c>
      <c r="AB627" s="89" t="s">
        <v>80</v>
      </c>
      <c r="AC627" s="111"/>
      <c r="AD627" s="89"/>
      <c r="AE627" s="89"/>
      <c r="AF627" s="98"/>
      <c r="AG627" s="98"/>
      <c r="AH627" s="98"/>
      <c r="AI627" s="99" t="s">
        <v>67</v>
      </c>
      <c r="AJ627" s="99" t="s">
        <v>67</v>
      </c>
      <c r="AK627" s="99" t="s">
        <v>67</v>
      </c>
      <c r="AL627" s="45" t="s">
        <v>68</v>
      </c>
      <c r="AM627" s="162" t="str">
        <f t="shared" si="72"/>
        <v>3/2026</v>
      </c>
      <c r="AN627" s="45">
        <f t="shared" si="73"/>
        <v>4</v>
      </c>
      <c r="AO627" s="45" t="str">
        <f t="shared" si="74"/>
        <v>5/2026</v>
      </c>
      <c r="AP627" s="45">
        <f t="shared" si="75"/>
        <v>5</v>
      </c>
      <c r="AQ627" s="45">
        <f t="shared" si="76"/>
        <v>64</v>
      </c>
      <c r="AR627" s="45">
        <f t="shared" si="77"/>
        <v>0</v>
      </c>
      <c r="AS627" s="45">
        <f t="shared" si="78"/>
        <v>12.5</v>
      </c>
      <c r="AT627" s="45">
        <f t="shared" si="79"/>
        <v>0</v>
      </c>
      <c r="AU627" s="45" t="str">
        <f>_xlfn.XLOOKUP(U627,'Lista Suspensa'!$AA$20:$AA$23,'Lista Suspensa'!$AB$20:$AB$23,"N/A")</f>
        <v>S</v>
      </c>
    </row>
    <row r="628" spans="1:47" ht="12" customHeight="1" x14ac:dyDescent="0.3">
      <c r="A628" s="87" t="s">
        <v>47</v>
      </c>
      <c r="B628" s="88">
        <v>46108</v>
      </c>
      <c r="C628" s="89" t="s">
        <v>211</v>
      </c>
      <c r="D628" s="89" t="s">
        <v>2021</v>
      </c>
      <c r="E628" s="90">
        <v>81315735</v>
      </c>
      <c r="F628" s="184" t="s">
        <v>2022</v>
      </c>
      <c r="G628" s="91"/>
      <c r="H628" s="92">
        <v>22957</v>
      </c>
      <c r="I628" s="89">
        <v>63</v>
      </c>
      <c r="J628" s="89" t="s">
        <v>51</v>
      </c>
      <c r="K628" s="89" t="s">
        <v>52</v>
      </c>
      <c r="L628" s="89" t="s">
        <v>53</v>
      </c>
      <c r="M628" s="89" t="s">
        <v>2023</v>
      </c>
      <c r="N628" s="89" t="s">
        <v>148</v>
      </c>
      <c r="O628" s="93" t="s">
        <v>2024</v>
      </c>
      <c r="P628" s="94" t="s">
        <v>57</v>
      </c>
      <c r="Q628" s="112" t="s">
        <v>58</v>
      </c>
      <c r="R628" s="95">
        <v>46108</v>
      </c>
      <c r="S628" s="96"/>
      <c r="T628" s="96" t="s">
        <v>59</v>
      </c>
      <c r="U628" s="96" t="s">
        <v>60</v>
      </c>
      <c r="V628" s="92">
        <v>46073</v>
      </c>
      <c r="W628" s="92" t="s">
        <v>61</v>
      </c>
      <c r="X628" s="92" t="s">
        <v>61</v>
      </c>
      <c r="Y628" s="97"/>
      <c r="Z628" s="89" t="s">
        <v>62</v>
      </c>
      <c r="AA628" s="96">
        <v>46122.430555555555</v>
      </c>
      <c r="AB628" s="89" t="s">
        <v>80</v>
      </c>
      <c r="AC628" s="111"/>
      <c r="AD628" s="89"/>
      <c r="AE628" s="89"/>
      <c r="AF628" s="98" t="s">
        <v>843</v>
      </c>
      <c r="AG628" s="98"/>
      <c r="AH628" s="98" t="s">
        <v>139</v>
      </c>
      <c r="AI628" s="99" t="s">
        <v>67</v>
      </c>
      <c r="AJ628" s="99" t="s">
        <v>197</v>
      </c>
      <c r="AK628" s="99" t="s">
        <v>67</v>
      </c>
      <c r="AL628" s="45" t="s">
        <v>68</v>
      </c>
      <c r="AM628" s="162" t="str">
        <f t="shared" si="72"/>
        <v>3/2026</v>
      </c>
      <c r="AN628" s="45">
        <f t="shared" si="73"/>
        <v>4</v>
      </c>
      <c r="AO628" s="45" t="str">
        <f t="shared" si="74"/>
        <v>3/2026</v>
      </c>
      <c r="AP628" s="45">
        <f t="shared" si="75"/>
        <v>4</v>
      </c>
      <c r="AQ628" s="45">
        <f t="shared" si="76"/>
        <v>0</v>
      </c>
      <c r="AR628" s="45">
        <f t="shared" si="77"/>
        <v>0</v>
      </c>
      <c r="AS628" s="45">
        <f t="shared" si="78"/>
        <v>0</v>
      </c>
      <c r="AT628" s="45">
        <f t="shared" si="79"/>
        <v>0</v>
      </c>
      <c r="AU628" s="45" t="str">
        <f>_xlfn.XLOOKUP(U628,'Lista Suspensa'!$AA$20:$AA$23,'Lista Suspensa'!$AB$20:$AB$23,"N/A")</f>
        <v>S</v>
      </c>
    </row>
    <row r="629" spans="1:47" ht="12" customHeight="1" x14ac:dyDescent="0.3">
      <c r="A629" s="87" t="s">
        <v>67</v>
      </c>
      <c r="B629" s="88">
        <v>46120</v>
      </c>
      <c r="C629" s="89" t="s">
        <v>211</v>
      </c>
      <c r="D629" s="89" t="s">
        <v>2000</v>
      </c>
      <c r="E629" s="90">
        <v>450097919</v>
      </c>
      <c r="F629" s="184" t="s">
        <v>2025</v>
      </c>
      <c r="G629" s="91" t="s">
        <v>2026</v>
      </c>
      <c r="H629" s="92">
        <v>21626</v>
      </c>
      <c r="I629" s="89">
        <v>67</v>
      </c>
      <c r="J629" s="89" t="s">
        <v>70</v>
      </c>
      <c r="K629" s="89" t="s">
        <v>52</v>
      </c>
      <c r="L629" s="89" t="s">
        <v>283</v>
      </c>
      <c r="M629" s="89" t="s">
        <v>711</v>
      </c>
      <c r="N629" s="89" t="s">
        <v>252</v>
      </c>
      <c r="O629" s="93">
        <v>11977821538</v>
      </c>
      <c r="P629" s="94" t="s">
        <v>57</v>
      </c>
      <c r="Q629" s="112" t="s">
        <v>58</v>
      </c>
      <c r="R629" s="95">
        <v>46128</v>
      </c>
      <c r="S629" s="96"/>
      <c r="T629" s="96" t="s">
        <v>59</v>
      </c>
      <c r="U629" s="96" t="s">
        <v>60</v>
      </c>
      <c r="V629" s="92">
        <v>46122</v>
      </c>
      <c r="W629" s="92">
        <v>46128</v>
      </c>
      <c r="X629" s="92" t="s">
        <v>61</v>
      </c>
      <c r="Y629" s="97"/>
      <c r="Z629" s="89" t="s">
        <v>62</v>
      </c>
      <c r="AA629" s="96">
        <v>46128</v>
      </c>
      <c r="AB629" s="89" t="s">
        <v>63</v>
      </c>
      <c r="AC629" s="111"/>
      <c r="AD629" s="89" t="s">
        <v>2018</v>
      </c>
      <c r="AE629" s="89">
        <v>35</v>
      </c>
      <c r="AF629" s="98"/>
      <c r="AG629" s="98"/>
      <c r="AH629" s="98" t="s">
        <v>66</v>
      </c>
      <c r="AI629" s="99" t="s">
        <v>197</v>
      </c>
      <c r="AJ629" s="99" t="s">
        <v>67</v>
      </c>
      <c r="AK629" s="99" t="s">
        <v>67</v>
      </c>
      <c r="AL629" s="45" t="s">
        <v>68</v>
      </c>
      <c r="AM629" s="162" t="str">
        <f t="shared" si="72"/>
        <v>4/2026</v>
      </c>
      <c r="AN629" s="45">
        <f t="shared" si="73"/>
        <v>2</v>
      </c>
      <c r="AO629" s="45" t="str">
        <f t="shared" si="74"/>
        <v>4/2026</v>
      </c>
      <c r="AP629" s="45">
        <f t="shared" si="75"/>
        <v>3</v>
      </c>
      <c r="AQ629" s="45">
        <f t="shared" si="76"/>
        <v>8</v>
      </c>
      <c r="AR629" s="45">
        <f t="shared" si="77"/>
        <v>0</v>
      </c>
      <c r="AS629" s="45">
        <f t="shared" si="78"/>
        <v>6</v>
      </c>
      <c r="AT629" s="45">
        <f t="shared" si="79"/>
        <v>0</v>
      </c>
      <c r="AU629" s="45" t="str">
        <f>_xlfn.XLOOKUP(U629,'Lista Suspensa'!$AA$20:$AA$23,'Lista Suspensa'!$AB$20:$AB$23,"N/A")</f>
        <v>S</v>
      </c>
    </row>
    <row r="630" spans="1:47" ht="12" customHeight="1" x14ac:dyDescent="0.3">
      <c r="A630" s="87" t="s">
        <v>67</v>
      </c>
      <c r="B630" s="88">
        <v>46122</v>
      </c>
      <c r="C630" s="89" t="s">
        <v>211</v>
      </c>
      <c r="D630" s="89" t="s">
        <v>49</v>
      </c>
      <c r="E630" s="90">
        <v>87871998</v>
      </c>
      <c r="F630" s="184" t="s">
        <v>2027</v>
      </c>
      <c r="G630" s="91">
        <v>28104792830</v>
      </c>
      <c r="H630" s="92">
        <v>28087</v>
      </c>
      <c r="I630" s="89">
        <v>49</v>
      </c>
      <c r="J630" s="89" t="s">
        <v>51</v>
      </c>
      <c r="K630" s="89" t="s">
        <v>52</v>
      </c>
      <c r="L630" s="89" t="s">
        <v>53</v>
      </c>
      <c r="M630" s="89" t="s">
        <v>2028</v>
      </c>
      <c r="N630" s="89" t="s">
        <v>148</v>
      </c>
      <c r="O630" s="93">
        <v>11946273459</v>
      </c>
      <c r="P630" s="94" t="s">
        <v>57</v>
      </c>
      <c r="Q630" s="112" t="s">
        <v>58</v>
      </c>
      <c r="R630" s="95">
        <v>46128</v>
      </c>
      <c r="S630" s="96"/>
      <c r="T630" s="96" t="s">
        <v>59</v>
      </c>
      <c r="U630" s="96" t="s">
        <v>60</v>
      </c>
      <c r="V630" s="92">
        <v>46095</v>
      </c>
      <c r="W630" s="92">
        <v>46128</v>
      </c>
      <c r="X630" s="92" t="s">
        <v>61</v>
      </c>
      <c r="Y630" s="97"/>
      <c r="Z630" s="89" t="s">
        <v>62</v>
      </c>
      <c r="AA630" s="96">
        <v>46135.486111111109</v>
      </c>
      <c r="AB630" s="89" t="s">
        <v>80</v>
      </c>
      <c r="AC630" s="111"/>
      <c r="AD630" s="89"/>
      <c r="AE630" s="89"/>
      <c r="AF630" s="98"/>
      <c r="AG630" s="98"/>
      <c r="AH630" s="98"/>
      <c r="AI630" s="99" t="s">
        <v>67</v>
      </c>
      <c r="AJ630" s="99" t="s">
        <v>67</v>
      </c>
      <c r="AK630" s="99" t="s">
        <v>67</v>
      </c>
      <c r="AL630" s="45" t="s">
        <v>68</v>
      </c>
      <c r="AM630" s="162" t="str">
        <f t="shared" si="72"/>
        <v>4/2026</v>
      </c>
      <c r="AN630" s="45">
        <f t="shared" si="73"/>
        <v>2</v>
      </c>
      <c r="AO630" s="45" t="str">
        <f t="shared" si="74"/>
        <v>4/2026</v>
      </c>
      <c r="AP630" s="45">
        <f t="shared" si="75"/>
        <v>3</v>
      </c>
      <c r="AQ630" s="45">
        <f t="shared" si="76"/>
        <v>6</v>
      </c>
      <c r="AR630" s="45">
        <f t="shared" si="77"/>
        <v>0</v>
      </c>
      <c r="AS630" s="45">
        <f t="shared" si="78"/>
        <v>33</v>
      </c>
      <c r="AT630" s="45">
        <f t="shared" si="79"/>
        <v>0</v>
      </c>
      <c r="AU630" s="45" t="str">
        <f>_xlfn.XLOOKUP(U630,'Lista Suspensa'!$AA$20:$AA$23,'Lista Suspensa'!$AB$20:$AB$23,"N/A")</f>
        <v>S</v>
      </c>
    </row>
    <row r="631" spans="1:47" ht="12" customHeight="1" x14ac:dyDescent="0.3">
      <c r="A631" s="87" t="s">
        <v>67</v>
      </c>
      <c r="B631" s="88">
        <v>46122</v>
      </c>
      <c r="C631" s="89" t="s">
        <v>211</v>
      </c>
      <c r="D631" s="89" t="s">
        <v>2000</v>
      </c>
      <c r="E631" s="90">
        <v>223671240</v>
      </c>
      <c r="F631" s="184" t="s">
        <v>2029</v>
      </c>
      <c r="G631" s="91">
        <v>84026332853</v>
      </c>
      <c r="H631" s="92">
        <v>15553</v>
      </c>
      <c r="I631" s="89">
        <v>83</v>
      </c>
      <c r="J631" s="89" t="s">
        <v>51</v>
      </c>
      <c r="K631" s="89" t="s">
        <v>52</v>
      </c>
      <c r="L631" s="89" t="s">
        <v>53</v>
      </c>
      <c r="M631" s="89" t="s">
        <v>2030</v>
      </c>
      <c r="N631" s="89" t="s">
        <v>170</v>
      </c>
      <c r="O631" s="93">
        <v>11976888175</v>
      </c>
      <c r="P631" s="94" t="s">
        <v>57</v>
      </c>
      <c r="Q631" s="112" t="s">
        <v>58</v>
      </c>
      <c r="R631" s="95">
        <v>46128</v>
      </c>
      <c r="S631" s="96"/>
      <c r="T631" s="96" t="s">
        <v>59</v>
      </c>
      <c r="U631" s="96" t="s">
        <v>60</v>
      </c>
      <c r="V631" s="92">
        <v>46122</v>
      </c>
      <c r="W631" s="92">
        <v>46128</v>
      </c>
      <c r="X631" s="92" t="s">
        <v>61</v>
      </c>
      <c r="Y631" s="97"/>
      <c r="Z631" s="89" t="s">
        <v>62</v>
      </c>
      <c r="AA631" s="96">
        <v>46128</v>
      </c>
      <c r="AB631" s="89" t="s">
        <v>80</v>
      </c>
      <c r="AC631" s="111"/>
      <c r="AD631" s="89"/>
      <c r="AE631" s="89"/>
      <c r="AF631" s="98"/>
      <c r="AG631" s="98"/>
      <c r="AH631" s="98"/>
      <c r="AI631" s="99" t="s">
        <v>197</v>
      </c>
      <c r="AJ631" s="99" t="s">
        <v>67</v>
      </c>
      <c r="AK631" s="99" t="s">
        <v>67</v>
      </c>
      <c r="AL631" s="45" t="s">
        <v>68</v>
      </c>
      <c r="AM631" s="162" t="str">
        <f t="shared" si="72"/>
        <v>4/2026</v>
      </c>
      <c r="AN631" s="45">
        <f t="shared" si="73"/>
        <v>2</v>
      </c>
      <c r="AO631" s="45" t="str">
        <f t="shared" si="74"/>
        <v>4/2026</v>
      </c>
      <c r="AP631" s="45">
        <f t="shared" si="75"/>
        <v>3</v>
      </c>
      <c r="AQ631" s="45">
        <f t="shared" si="76"/>
        <v>6</v>
      </c>
      <c r="AR631" s="45">
        <f t="shared" si="77"/>
        <v>0</v>
      </c>
      <c r="AS631" s="45">
        <f t="shared" si="78"/>
        <v>6</v>
      </c>
      <c r="AT631" s="45">
        <f t="shared" si="79"/>
        <v>0</v>
      </c>
      <c r="AU631" s="45" t="str">
        <f>_xlfn.XLOOKUP(U631,'Lista Suspensa'!$AA$20:$AA$23,'Lista Suspensa'!$AB$20:$AB$23,"N/A")</f>
        <v>S</v>
      </c>
    </row>
    <row r="632" spans="1:47" ht="12" customHeight="1" x14ac:dyDescent="0.3">
      <c r="A632" s="87" t="s">
        <v>67</v>
      </c>
      <c r="B632" s="88">
        <v>46122</v>
      </c>
      <c r="C632" s="89" t="s">
        <v>211</v>
      </c>
      <c r="D632" s="89" t="s">
        <v>49</v>
      </c>
      <c r="E632" s="90">
        <v>95570163</v>
      </c>
      <c r="F632" s="184" t="s">
        <v>2031</v>
      </c>
      <c r="G632" s="91">
        <v>17698272770</v>
      </c>
      <c r="H632" s="92">
        <v>30438</v>
      </c>
      <c r="I632" s="89">
        <v>42</v>
      </c>
      <c r="J632" s="89" t="s">
        <v>70</v>
      </c>
      <c r="K632" s="89" t="s">
        <v>88</v>
      </c>
      <c r="L632" s="89" t="s">
        <v>525</v>
      </c>
      <c r="M632" s="89" t="s">
        <v>2004</v>
      </c>
      <c r="N632" s="89" t="s">
        <v>233</v>
      </c>
      <c r="O632" s="93">
        <v>21980590513</v>
      </c>
      <c r="P632" s="94" t="s">
        <v>57</v>
      </c>
      <c r="Q632" s="112" t="s">
        <v>58</v>
      </c>
      <c r="R632" s="95">
        <v>46142</v>
      </c>
      <c r="S632" s="96"/>
      <c r="T632" s="96" t="s">
        <v>59</v>
      </c>
      <c r="U632" s="96" t="s">
        <v>60</v>
      </c>
      <c r="V632" s="92">
        <v>46095</v>
      </c>
      <c r="W632" s="92">
        <v>46141</v>
      </c>
      <c r="X632" s="92" t="s">
        <v>61</v>
      </c>
      <c r="Y632" s="97"/>
      <c r="Z632" s="89" t="s">
        <v>62</v>
      </c>
      <c r="AA632" s="96" t="s">
        <v>691</v>
      </c>
      <c r="AB632" s="89" t="s">
        <v>63</v>
      </c>
      <c r="AC632" s="111"/>
      <c r="AD632" s="89" t="s">
        <v>86</v>
      </c>
      <c r="AE632" s="89">
        <v>53</v>
      </c>
      <c r="AF632" s="98" t="s">
        <v>65</v>
      </c>
      <c r="AG632" s="98"/>
      <c r="AH632" s="98" t="s">
        <v>66</v>
      </c>
      <c r="AI632" s="99" t="s">
        <v>67</v>
      </c>
      <c r="AJ632" s="99" t="s">
        <v>67</v>
      </c>
      <c r="AK632" s="99" t="s">
        <v>67</v>
      </c>
      <c r="AL632" s="45" t="s">
        <v>68</v>
      </c>
      <c r="AM632" s="162" t="str">
        <f t="shared" si="72"/>
        <v>4/2026</v>
      </c>
      <c r="AN632" s="45">
        <f t="shared" si="73"/>
        <v>2</v>
      </c>
      <c r="AO632" s="45" t="str">
        <f t="shared" si="74"/>
        <v>4/2026</v>
      </c>
      <c r="AP632" s="45">
        <f t="shared" si="75"/>
        <v>5</v>
      </c>
      <c r="AQ632" s="45">
        <f t="shared" si="76"/>
        <v>20</v>
      </c>
      <c r="AR632" s="45">
        <f t="shared" si="77"/>
        <v>0</v>
      </c>
      <c r="AS632" s="45">
        <f t="shared" si="78"/>
        <v>46</v>
      </c>
      <c r="AT632" s="45">
        <f t="shared" si="79"/>
        <v>6.4583333333357587</v>
      </c>
      <c r="AU632" s="45" t="str">
        <f>_xlfn.XLOOKUP(U632,'Lista Suspensa'!$AA$20:$AA$23,'Lista Suspensa'!$AB$20:$AB$23,"N/A")</f>
        <v>S</v>
      </c>
    </row>
    <row r="633" spans="1:47" ht="12" customHeight="1" x14ac:dyDescent="0.3">
      <c r="A633" s="87" t="s">
        <v>67</v>
      </c>
      <c r="B633" s="88">
        <v>46122</v>
      </c>
      <c r="C633" s="89" t="s">
        <v>211</v>
      </c>
      <c r="D633" s="89" t="s">
        <v>49</v>
      </c>
      <c r="E633" s="90">
        <v>778340481</v>
      </c>
      <c r="F633" s="184" t="s">
        <v>2032</v>
      </c>
      <c r="G633" s="91">
        <v>70402922891</v>
      </c>
      <c r="H633" s="92">
        <v>19872</v>
      </c>
      <c r="I633" s="89">
        <v>71</v>
      </c>
      <c r="J633" s="89" t="s">
        <v>51</v>
      </c>
      <c r="K633" s="89" t="s">
        <v>52</v>
      </c>
      <c r="L633" s="89" t="s">
        <v>53</v>
      </c>
      <c r="M633" s="89" t="s">
        <v>2033</v>
      </c>
      <c r="N633" s="89" t="s">
        <v>237</v>
      </c>
      <c r="O633" s="93">
        <v>11996491993</v>
      </c>
      <c r="P633" s="94" t="s">
        <v>57</v>
      </c>
      <c r="Q633" s="112" t="s">
        <v>58</v>
      </c>
      <c r="R633" s="95">
        <v>46147</v>
      </c>
      <c r="S633" s="96"/>
      <c r="T633" s="96" t="s">
        <v>59</v>
      </c>
      <c r="U633" s="96" t="s">
        <v>60</v>
      </c>
      <c r="V633" s="92">
        <v>46095</v>
      </c>
      <c r="W633" s="92">
        <v>46140</v>
      </c>
      <c r="X633" s="92">
        <v>46147</v>
      </c>
      <c r="Y633" s="97"/>
      <c r="Z633" s="89" t="s">
        <v>62</v>
      </c>
      <c r="AA633" s="96">
        <v>46154.597222222219</v>
      </c>
      <c r="AB633" s="89" t="s">
        <v>63</v>
      </c>
      <c r="AC633" s="111"/>
      <c r="AD633" s="89" t="s">
        <v>86</v>
      </c>
      <c r="AE633" s="89">
        <v>62</v>
      </c>
      <c r="AF633" s="98" t="s">
        <v>215</v>
      </c>
      <c r="AG633" s="98"/>
      <c r="AH633" s="98"/>
      <c r="AI633" s="99" t="s">
        <v>67</v>
      </c>
      <c r="AJ633" s="99" t="s">
        <v>67</v>
      </c>
      <c r="AK633" s="99" t="s">
        <v>67</v>
      </c>
      <c r="AL633" s="45" t="s">
        <v>68</v>
      </c>
      <c r="AM633" s="162" t="str">
        <f t="shared" si="72"/>
        <v>4/2026</v>
      </c>
      <c r="AN633" s="45">
        <f t="shared" si="73"/>
        <v>2</v>
      </c>
      <c r="AO633" s="45" t="str">
        <f t="shared" si="74"/>
        <v>5/2026</v>
      </c>
      <c r="AP633" s="45">
        <f t="shared" si="75"/>
        <v>2</v>
      </c>
      <c r="AQ633" s="45">
        <f t="shared" si="76"/>
        <v>25</v>
      </c>
      <c r="AR633" s="45">
        <f t="shared" si="77"/>
        <v>0</v>
      </c>
      <c r="AS633" s="45">
        <f t="shared" si="78"/>
        <v>26</v>
      </c>
      <c r="AT633" s="45">
        <f t="shared" si="79"/>
        <v>7.5972222222189885</v>
      </c>
      <c r="AU633" s="45" t="str">
        <f>_xlfn.XLOOKUP(U633,'Lista Suspensa'!$AA$20:$AA$23,'Lista Suspensa'!$AB$20:$AB$23,"N/A")</f>
        <v>S</v>
      </c>
    </row>
    <row r="634" spans="1:47" ht="12" customHeight="1" x14ac:dyDescent="0.3">
      <c r="A634" s="87" t="s">
        <v>67</v>
      </c>
      <c r="B634" s="88">
        <v>46125</v>
      </c>
      <c r="C634" s="89" t="s">
        <v>211</v>
      </c>
      <c r="D634" s="89" t="s">
        <v>49</v>
      </c>
      <c r="E634" s="90">
        <v>87499871</v>
      </c>
      <c r="F634" s="184" t="s">
        <v>2034</v>
      </c>
      <c r="G634" s="91">
        <v>41769111824</v>
      </c>
      <c r="H634" s="92">
        <v>34094</v>
      </c>
      <c r="I634" s="89">
        <v>32</v>
      </c>
      <c r="J634" s="89" t="s">
        <v>70</v>
      </c>
      <c r="K634" s="89" t="s">
        <v>52</v>
      </c>
      <c r="L634" s="89" t="s">
        <v>53</v>
      </c>
      <c r="M634" s="89" t="s">
        <v>2035</v>
      </c>
      <c r="N634" s="89">
        <v>60</v>
      </c>
      <c r="O634" s="93">
        <v>11977047383</v>
      </c>
      <c r="P634" s="94" t="s">
        <v>57</v>
      </c>
      <c r="Q634" s="112" t="s">
        <v>58</v>
      </c>
      <c r="R634" s="95">
        <v>46128</v>
      </c>
      <c r="S634" s="96"/>
      <c r="T634" s="96" t="s">
        <v>59</v>
      </c>
      <c r="U634" s="96" t="s">
        <v>60</v>
      </c>
      <c r="V634" s="92">
        <v>46095</v>
      </c>
      <c r="W634" s="92">
        <v>46128</v>
      </c>
      <c r="X634" s="92" t="s">
        <v>61</v>
      </c>
      <c r="Y634" s="97"/>
      <c r="Z634" s="89" t="s">
        <v>62</v>
      </c>
      <c r="AA634" s="96">
        <v>46164</v>
      </c>
      <c r="AB634" s="89" t="s">
        <v>63</v>
      </c>
      <c r="AC634" s="111"/>
      <c r="AD634" s="89" t="s">
        <v>64</v>
      </c>
      <c r="AE634" s="89">
        <v>62</v>
      </c>
      <c r="AF634" s="98" t="s">
        <v>326</v>
      </c>
      <c r="AG634" s="98" t="s">
        <v>326</v>
      </c>
      <c r="AH634" s="98" t="s">
        <v>66</v>
      </c>
      <c r="AI634" s="99" t="s">
        <v>67</v>
      </c>
      <c r="AJ634" s="99" t="s">
        <v>67</v>
      </c>
      <c r="AK634" s="99" t="s">
        <v>67</v>
      </c>
      <c r="AL634" s="45" t="s">
        <v>68</v>
      </c>
      <c r="AM634" s="162" t="str">
        <f t="shared" si="72"/>
        <v>4/2026</v>
      </c>
      <c r="AN634" s="45">
        <f t="shared" si="73"/>
        <v>3</v>
      </c>
      <c r="AO634" s="45" t="str">
        <f t="shared" si="74"/>
        <v>4/2026</v>
      </c>
      <c r="AP634" s="45">
        <f t="shared" si="75"/>
        <v>3</v>
      </c>
      <c r="AQ634" s="45">
        <f t="shared" si="76"/>
        <v>3</v>
      </c>
      <c r="AR634" s="45">
        <f t="shared" si="77"/>
        <v>0</v>
      </c>
      <c r="AS634" s="45">
        <f t="shared" si="78"/>
        <v>33</v>
      </c>
      <c r="AT634" s="45">
        <f t="shared" si="79"/>
        <v>36</v>
      </c>
      <c r="AU634" s="45" t="str">
        <f>_xlfn.XLOOKUP(U634,'Lista Suspensa'!$AA$20:$AA$23,'Lista Suspensa'!$AB$20:$AB$23,"N/A")</f>
        <v>S</v>
      </c>
    </row>
    <row r="635" spans="1:47" ht="12" customHeight="1" x14ac:dyDescent="0.3">
      <c r="A635" s="87" t="s">
        <v>67</v>
      </c>
      <c r="B635" s="88">
        <v>46125</v>
      </c>
      <c r="C635" s="89" t="s">
        <v>211</v>
      </c>
      <c r="D635" s="89" t="s">
        <v>49</v>
      </c>
      <c r="E635" s="90">
        <v>78127257</v>
      </c>
      <c r="F635" s="184"/>
      <c r="G635" s="91">
        <v>66903076891</v>
      </c>
      <c r="H635" s="92">
        <v>19907</v>
      </c>
      <c r="I635" s="89">
        <v>71</v>
      </c>
      <c r="J635" s="89" t="s">
        <v>70</v>
      </c>
      <c r="K635" s="89" t="s">
        <v>52</v>
      </c>
      <c r="L635" s="89" t="s">
        <v>53</v>
      </c>
      <c r="M635" s="89" t="s">
        <v>2036</v>
      </c>
      <c r="N635" s="89">
        <v>60</v>
      </c>
      <c r="O635" s="93" t="s">
        <v>2037</v>
      </c>
      <c r="P635" s="94" t="s">
        <v>57</v>
      </c>
      <c r="Q635" s="112" t="s">
        <v>58</v>
      </c>
      <c r="R635" s="95">
        <v>46141</v>
      </c>
      <c r="S635" s="96"/>
      <c r="T635" s="96" t="s">
        <v>59</v>
      </c>
      <c r="U635" s="96" t="s">
        <v>60</v>
      </c>
      <c r="V635" s="92">
        <v>46095</v>
      </c>
      <c r="W635" s="92">
        <v>46128</v>
      </c>
      <c r="X635" s="92">
        <v>46141</v>
      </c>
      <c r="Y635" s="97"/>
      <c r="Z635" s="89" t="s">
        <v>62</v>
      </c>
      <c r="AA635" s="96">
        <v>46132.486111111109</v>
      </c>
      <c r="AB635" s="89" t="s">
        <v>63</v>
      </c>
      <c r="AC635" s="111" t="s">
        <v>2038</v>
      </c>
      <c r="AD635" s="89"/>
      <c r="AE635" s="89"/>
      <c r="AF635" s="98"/>
      <c r="AG635" s="98"/>
      <c r="AH635" s="98"/>
      <c r="AI635" s="99" t="s">
        <v>67</v>
      </c>
      <c r="AJ635" s="99" t="s">
        <v>67</v>
      </c>
      <c r="AK635" s="99" t="s">
        <v>67</v>
      </c>
      <c r="AL635" s="45" t="s">
        <v>68</v>
      </c>
      <c r="AM635" s="162" t="str">
        <f t="shared" si="72"/>
        <v>4/2026</v>
      </c>
      <c r="AN635" s="45">
        <f t="shared" si="73"/>
        <v>3</v>
      </c>
      <c r="AO635" s="45" t="str">
        <f t="shared" si="74"/>
        <v>4/2026</v>
      </c>
      <c r="AP635" s="45">
        <f t="shared" si="75"/>
        <v>5</v>
      </c>
      <c r="AQ635" s="45">
        <f t="shared" si="76"/>
        <v>16</v>
      </c>
      <c r="AR635" s="45">
        <f t="shared" si="77"/>
        <v>0</v>
      </c>
      <c r="AS635" s="45">
        <f t="shared" si="78"/>
        <v>23</v>
      </c>
      <c r="AT635" s="45">
        <f t="shared" si="79"/>
        <v>-8.5138888888905058</v>
      </c>
      <c r="AU635" s="45" t="str">
        <f>_xlfn.XLOOKUP(U635,'Lista Suspensa'!$AA$20:$AA$23,'Lista Suspensa'!$AB$20:$AB$23,"N/A")</f>
        <v>S</v>
      </c>
    </row>
    <row r="636" spans="1:47" ht="12" customHeight="1" x14ac:dyDescent="0.3">
      <c r="A636" s="87" t="s">
        <v>67</v>
      </c>
      <c r="B636" s="88">
        <v>46127</v>
      </c>
      <c r="C636" s="89" t="s">
        <v>211</v>
      </c>
      <c r="D636" s="89" t="s">
        <v>49</v>
      </c>
      <c r="E636" s="90">
        <v>449891674</v>
      </c>
      <c r="F636" s="184" t="s">
        <v>2039</v>
      </c>
      <c r="G636" s="91" t="s">
        <v>2040</v>
      </c>
      <c r="H636" s="92">
        <v>17300</v>
      </c>
      <c r="I636" s="89">
        <v>78</v>
      </c>
      <c r="J636" s="89" t="s">
        <v>51</v>
      </c>
      <c r="K636" s="89" t="s">
        <v>52</v>
      </c>
      <c r="L636" s="89" t="s">
        <v>53</v>
      </c>
      <c r="M636" s="89"/>
      <c r="N636" s="89">
        <v>100</v>
      </c>
      <c r="O636" s="93">
        <v>11963888963</v>
      </c>
      <c r="P636" s="94" t="s">
        <v>57</v>
      </c>
      <c r="Q636" s="112" t="s">
        <v>58</v>
      </c>
      <c r="R636" s="95">
        <v>46128</v>
      </c>
      <c r="S636" s="96"/>
      <c r="T636" s="96" t="s">
        <v>59</v>
      </c>
      <c r="U636" s="96" t="s">
        <v>60</v>
      </c>
      <c r="V636" s="92">
        <v>46128</v>
      </c>
      <c r="W636" s="92" t="s">
        <v>61</v>
      </c>
      <c r="X636" s="92" t="s">
        <v>61</v>
      </c>
      <c r="Y636" s="97"/>
      <c r="Z636" s="89" t="s">
        <v>62</v>
      </c>
      <c r="AA636" s="96">
        <v>46136</v>
      </c>
      <c r="AB636" s="89" t="s">
        <v>80</v>
      </c>
      <c r="AC636" s="111"/>
      <c r="AD636" s="89"/>
      <c r="AE636" s="89"/>
      <c r="AF636" s="98"/>
      <c r="AG636" s="98"/>
      <c r="AH636" s="98"/>
      <c r="AI636" s="99" t="s">
        <v>67</v>
      </c>
      <c r="AJ636" s="99" t="s">
        <v>67</v>
      </c>
      <c r="AK636" s="99" t="s">
        <v>67</v>
      </c>
      <c r="AL636" s="45" t="s">
        <v>68</v>
      </c>
      <c r="AM636" s="162" t="str">
        <f t="shared" si="72"/>
        <v>4/2026</v>
      </c>
      <c r="AN636" s="45">
        <f t="shared" si="73"/>
        <v>3</v>
      </c>
      <c r="AO636" s="45" t="str">
        <f t="shared" si="74"/>
        <v>4/2026</v>
      </c>
      <c r="AP636" s="45">
        <f t="shared" si="75"/>
        <v>3</v>
      </c>
      <c r="AQ636" s="45">
        <f t="shared" si="76"/>
        <v>1</v>
      </c>
      <c r="AR636" s="45">
        <f t="shared" si="77"/>
        <v>0</v>
      </c>
      <c r="AS636" s="45">
        <f t="shared" si="78"/>
        <v>0</v>
      </c>
      <c r="AT636" s="45">
        <f t="shared" si="79"/>
        <v>0</v>
      </c>
      <c r="AU636" s="45" t="str">
        <f>_xlfn.XLOOKUP(U636,'Lista Suspensa'!$AA$20:$AA$23,'Lista Suspensa'!$AB$20:$AB$23,"N/A")</f>
        <v>S</v>
      </c>
    </row>
    <row r="637" spans="1:47" ht="12" customHeight="1" x14ac:dyDescent="0.3">
      <c r="A637" s="87" t="s">
        <v>67</v>
      </c>
      <c r="B637" s="88">
        <v>46128</v>
      </c>
      <c r="C637" s="89" t="s">
        <v>211</v>
      </c>
      <c r="D637" s="89" t="s">
        <v>2000</v>
      </c>
      <c r="E637" s="90">
        <v>84634498</v>
      </c>
      <c r="F637" s="184" t="s">
        <v>2041</v>
      </c>
      <c r="G637" s="91" t="s">
        <v>2042</v>
      </c>
      <c r="H637" s="92">
        <v>21849</v>
      </c>
      <c r="I637" s="89">
        <v>66</v>
      </c>
      <c r="J637" s="89" t="s">
        <v>70</v>
      </c>
      <c r="K637" s="89" t="s">
        <v>52</v>
      </c>
      <c r="L637" s="89" t="s">
        <v>53</v>
      </c>
      <c r="M637" s="89"/>
      <c r="N637" s="89">
        <v>60</v>
      </c>
      <c r="O637" s="93">
        <v>11982224026</v>
      </c>
      <c r="P637" s="94" t="s">
        <v>57</v>
      </c>
      <c r="Q637" s="112" t="s">
        <v>58</v>
      </c>
      <c r="R637" s="95">
        <v>46127</v>
      </c>
      <c r="S637" s="96"/>
      <c r="T637" s="96" t="s">
        <v>59</v>
      </c>
      <c r="U637" s="96" t="s">
        <v>60</v>
      </c>
      <c r="V637" s="92">
        <v>46128</v>
      </c>
      <c r="W637" s="92" t="s">
        <v>61</v>
      </c>
      <c r="X637" s="92" t="s">
        <v>61</v>
      </c>
      <c r="Y637" s="97"/>
      <c r="Z637" s="89" t="s">
        <v>62</v>
      </c>
      <c r="AA637" s="96">
        <v>46157</v>
      </c>
      <c r="AB637" s="89" t="s">
        <v>80</v>
      </c>
      <c r="AC637" s="111"/>
      <c r="AD637" s="89"/>
      <c r="AE637" s="89"/>
      <c r="AF637" s="98"/>
      <c r="AG637" s="98"/>
      <c r="AH637" s="98"/>
      <c r="AI637" s="99" t="s">
        <v>67</v>
      </c>
      <c r="AJ637" s="99" t="s">
        <v>67</v>
      </c>
      <c r="AK637" s="99" t="s">
        <v>67</v>
      </c>
      <c r="AL637" s="45" t="s">
        <v>68</v>
      </c>
      <c r="AM637" s="162" t="str">
        <f t="shared" si="72"/>
        <v>4/2026</v>
      </c>
      <c r="AN637" s="45">
        <f t="shared" si="73"/>
        <v>3</v>
      </c>
      <c r="AO637" s="45" t="str">
        <f t="shared" si="74"/>
        <v>4/2026</v>
      </c>
      <c r="AP637" s="45">
        <f t="shared" si="75"/>
        <v>3</v>
      </c>
      <c r="AQ637" s="45">
        <f t="shared" si="76"/>
        <v>-1</v>
      </c>
      <c r="AR637" s="45">
        <f t="shared" si="77"/>
        <v>0</v>
      </c>
      <c r="AS637" s="45">
        <f t="shared" si="78"/>
        <v>0</v>
      </c>
      <c r="AT637" s="45">
        <f t="shared" si="79"/>
        <v>0</v>
      </c>
      <c r="AU637" s="45" t="str">
        <f>_xlfn.XLOOKUP(U637,'Lista Suspensa'!$AA$20:$AA$23,'Lista Suspensa'!$AB$20:$AB$23,"N/A")</f>
        <v>S</v>
      </c>
    </row>
    <row r="638" spans="1:47" ht="12" customHeight="1" x14ac:dyDescent="0.3">
      <c r="A638" s="87" t="s">
        <v>67</v>
      </c>
      <c r="B638" s="88">
        <v>46128</v>
      </c>
      <c r="C638" s="89" t="s">
        <v>211</v>
      </c>
      <c r="D638" s="89" t="s">
        <v>2000</v>
      </c>
      <c r="E638" s="90">
        <v>89846614</v>
      </c>
      <c r="F638" s="184" t="s">
        <v>2043</v>
      </c>
      <c r="G638" s="91" t="s">
        <v>2044</v>
      </c>
      <c r="H638" s="92">
        <v>22702</v>
      </c>
      <c r="I638" s="89">
        <v>64</v>
      </c>
      <c r="J638" s="89" t="s">
        <v>51</v>
      </c>
      <c r="K638" s="89" t="s">
        <v>88</v>
      </c>
      <c r="L638" s="89" t="s">
        <v>2045</v>
      </c>
      <c r="M638" s="89"/>
      <c r="N638" s="89">
        <v>75</v>
      </c>
      <c r="O638" s="93" t="s">
        <v>2046</v>
      </c>
      <c r="P638" s="94" t="s">
        <v>57</v>
      </c>
      <c r="Q638" s="112" t="s">
        <v>58</v>
      </c>
      <c r="R638" s="95">
        <v>46113</v>
      </c>
      <c r="S638" s="96"/>
      <c r="T638" s="96" t="s">
        <v>59</v>
      </c>
      <c r="U638" s="96" t="s">
        <v>60</v>
      </c>
      <c r="V638" s="92">
        <v>46128</v>
      </c>
      <c r="W638" s="92" t="s">
        <v>61</v>
      </c>
      <c r="X638" s="92" t="s">
        <v>61</v>
      </c>
      <c r="Y638" s="97"/>
      <c r="Z638" s="89" t="s">
        <v>62</v>
      </c>
      <c r="AA638" s="96">
        <v>46157</v>
      </c>
      <c r="AB638" s="89" t="s">
        <v>80</v>
      </c>
      <c r="AC638" s="111"/>
      <c r="AD638" s="89"/>
      <c r="AE638" s="89"/>
      <c r="AF638" s="98"/>
      <c r="AG638" s="98"/>
      <c r="AH638" s="98"/>
      <c r="AI638" s="99" t="s">
        <v>67</v>
      </c>
      <c r="AJ638" s="99" t="s">
        <v>67</v>
      </c>
      <c r="AK638" s="99" t="s">
        <v>67</v>
      </c>
      <c r="AL638" s="45" t="s">
        <v>68</v>
      </c>
      <c r="AM638" s="162" t="str">
        <f t="shared" si="72"/>
        <v>4/2026</v>
      </c>
      <c r="AN638" s="45">
        <f t="shared" si="73"/>
        <v>3</v>
      </c>
      <c r="AO638" s="45" t="str">
        <f t="shared" si="74"/>
        <v>4/2026</v>
      </c>
      <c r="AP638" s="45">
        <f t="shared" si="75"/>
        <v>1</v>
      </c>
      <c r="AQ638" s="45">
        <f t="shared" si="76"/>
        <v>-15</v>
      </c>
      <c r="AR638" s="45">
        <f t="shared" si="77"/>
        <v>0</v>
      </c>
      <c r="AS638" s="45">
        <f t="shared" si="78"/>
        <v>0</v>
      </c>
      <c r="AT638" s="45">
        <f t="shared" si="79"/>
        <v>0</v>
      </c>
      <c r="AU638" s="45" t="str">
        <f>_xlfn.XLOOKUP(U638,'Lista Suspensa'!$AA$20:$AA$23,'Lista Suspensa'!$AB$20:$AB$23,"N/A")</f>
        <v>S</v>
      </c>
    </row>
    <row r="639" spans="1:47" ht="12" customHeight="1" x14ac:dyDescent="0.3">
      <c r="A639" s="87" t="s">
        <v>67</v>
      </c>
      <c r="B639" s="88">
        <v>46128</v>
      </c>
      <c r="C639" s="89" t="s">
        <v>211</v>
      </c>
      <c r="D639" s="89" t="s">
        <v>2000</v>
      </c>
      <c r="E639" s="90">
        <v>773241590</v>
      </c>
      <c r="F639" s="184" t="s">
        <v>2047</v>
      </c>
      <c r="G639" s="91" t="s">
        <v>2048</v>
      </c>
      <c r="H639" s="92">
        <v>18087</v>
      </c>
      <c r="I639" s="89">
        <v>76</v>
      </c>
      <c r="J639" s="89" t="s">
        <v>51</v>
      </c>
      <c r="K639" s="89" t="s">
        <v>52</v>
      </c>
      <c r="L639" s="89" t="s">
        <v>53</v>
      </c>
      <c r="M639" s="89"/>
      <c r="N639" s="89">
        <v>100</v>
      </c>
      <c r="O639" s="93">
        <v>11992400652</v>
      </c>
      <c r="P639" s="94" t="s">
        <v>57</v>
      </c>
      <c r="Q639" s="112" t="s">
        <v>58</v>
      </c>
      <c r="R639" s="95">
        <v>46114</v>
      </c>
      <c r="S639" s="96"/>
      <c r="T639" s="96" t="s">
        <v>59</v>
      </c>
      <c r="U639" s="96" t="s">
        <v>60</v>
      </c>
      <c r="V639" s="92">
        <v>46128</v>
      </c>
      <c r="W639" s="92" t="s">
        <v>61</v>
      </c>
      <c r="X639" s="92" t="s">
        <v>61</v>
      </c>
      <c r="Y639" s="97"/>
      <c r="Z639" s="89" t="s">
        <v>62</v>
      </c>
      <c r="AA639" s="96">
        <v>46157</v>
      </c>
      <c r="AB639" s="89" t="s">
        <v>80</v>
      </c>
      <c r="AC639" s="111"/>
      <c r="AD639" s="89"/>
      <c r="AE639" s="89"/>
      <c r="AF639" s="98"/>
      <c r="AG639" s="98"/>
      <c r="AH639" s="98"/>
      <c r="AI639" s="99" t="s">
        <v>67</v>
      </c>
      <c r="AJ639" s="99" t="s">
        <v>67</v>
      </c>
      <c r="AK639" s="99" t="s">
        <v>67</v>
      </c>
      <c r="AL639" s="45" t="s">
        <v>68</v>
      </c>
      <c r="AM639" s="162" t="str">
        <f t="shared" si="72"/>
        <v>4/2026</v>
      </c>
      <c r="AN639" s="45">
        <f t="shared" si="73"/>
        <v>3</v>
      </c>
      <c r="AO639" s="45" t="str">
        <f t="shared" si="74"/>
        <v>4/2026</v>
      </c>
      <c r="AP639" s="45">
        <f t="shared" si="75"/>
        <v>1</v>
      </c>
      <c r="AQ639" s="45">
        <f t="shared" si="76"/>
        <v>-14</v>
      </c>
      <c r="AR639" s="45">
        <f t="shared" si="77"/>
        <v>0</v>
      </c>
      <c r="AS639" s="45">
        <f t="shared" si="78"/>
        <v>0</v>
      </c>
      <c r="AT639" s="45">
        <f t="shared" si="79"/>
        <v>0</v>
      </c>
      <c r="AU639" s="45" t="str">
        <f>_xlfn.XLOOKUP(U639,'Lista Suspensa'!$AA$20:$AA$23,'Lista Suspensa'!$AB$20:$AB$23,"N/A")</f>
        <v>S</v>
      </c>
    </row>
    <row r="640" spans="1:47" ht="12" customHeight="1" x14ac:dyDescent="0.3">
      <c r="A640" s="87" t="s">
        <v>67</v>
      </c>
      <c r="B640" s="88">
        <v>46134</v>
      </c>
      <c r="C640" s="89" t="s">
        <v>211</v>
      </c>
      <c r="D640" s="89" t="s">
        <v>49</v>
      </c>
      <c r="E640" s="90">
        <v>85076986</v>
      </c>
      <c r="F640" s="184" t="s">
        <v>2049</v>
      </c>
      <c r="G640" s="91" t="s">
        <v>2050</v>
      </c>
      <c r="H640" s="92">
        <v>21616</v>
      </c>
      <c r="I640" s="89">
        <v>67</v>
      </c>
      <c r="J640" s="89" t="s">
        <v>51</v>
      </c>
      <c r="K640" s="89" t="s">
        <v>52</v>
      </c>
      <c r="L640" s="89" t="s">
        <v>227</v>
      </c>
      <c r="M640" s="89" t="s">
        <v>2051</v>
      </c>
      <c r="N640" s="89">
        <v>80</v>
      </c>
      <c r="O640" s="93">
        <v>11915254500</v>
      </c>
      <c r="P640" s="94" t="s">
        <v>57</v>
      </c>
      <c r="Q640" s="112" t="s">
        <v>58</v>
      </c>
      <c r="R640" s="95">
        <v>46164</v>
      </c>
      <c r="S640" s="96"/>
      <c r="T640" s="96" t="s">
        <v>59</v>
      </c>
      <c r="U640" s="96" t="s">
        <v>60</v>
      </c>
      <c r="V640" s="92">
        <v>46140</v>
      </c>
      <c r="W640" s="92">
        <v>46141</v>
      </c>
      <c r="X640" s="92">
        <v>46147</v>
      </c>
      <c r="Y640" s="97"/>
      <c r="Z640" s="89"/>
      <c r="AA640" s="96"/>
      <c r="AB640" s="89" t="s">
        <v>80</v>
      </c>
      <c r="AC640" s="111"/>
      <c r="AD640" s="89"/>
      <c r="AE640" s="89"/>
      <c r="AF640" s="98"/>
      <c r="AG640" s="98"/>
      <c r="AH640" s="98"/>
      <c r="AI640" s="99" t="s">
        <v>67</v>
      </c>
      <c r="AJ640" s="99" t="s">
        <v>67</v>
      </c>
      <c r="AK640" s="99" t="s">
        <v>67</v>
      </c>
      <c r="AL640" s="45" t="s">
        <v>68</v>
      </c>
      <c r="AM640" s="162" t="str">
        <f t="shared" si="72"/>
        <v>4/2026</v>
      </c>
      <c r="AN640" s="45">
        <f t="shared" si="73"/>
        <v>4</v>
      </c>
      <c r="AO640" s="45" t="str">
        <f t="shared" si="74"/>
        <v>5/2026</v>
      </c>
      <c r="AP640" s="45">
        <f t="shared" si="75"/>
        <v>4</v>
      </c>
      <c r="AQ640" s="45">
        <f t="shared" si="76"/>
        <v>30</v>
      </c>
      <c r="AR640" s="45">
        <f t="shared" si="77"/>
        <v>0</v>
      </c>
      <c r="AS640" s="45">
        <f t="shared" si="78"/>
        <v>3.5</v>
      </c>
      <c r="AT640" s="45">
        <f t="shared" si="79"/>
        <v>0</v>
      </c>
      <c r="AU640" s="45" t="str">
        <f>_xlfn.XLOOKUP(U640,'Lista Suspensa'!$AA$20:$AA$23,'Lista Suspensa'!$AB$20:$AB$23,"N/A")</f>
        <v>S</v>
      </c>
    </row>
    <row r="641" spans="1:47" ht="12" customHeight="1" x14ac:dyDescent="0.3">
      <c r="A641" s="87" t="s">
        <v>67</v>
      </c>
      <c r="B641" s="88">
        <v>46139</v>
      </c>
      <c r="C641" s="89" t="s">
        <v>211</v>
      </c>
      <c r="D641" s="89" t="s">
        <v>49</v>
      </c>
      <c r="E641" s="90">
        <v>92728780</v>
      </c>
      <c r="F641" s="184" t="s">
        <v>2052</v>
      </c>
      <c r="G641" s="91" t="s">
        <v>2053</v>
      </c>
      <c r="H641" s="92">
        <v>26902</v>
      </c>
      <c r="I641" s="89">
        <v>52</v>
      </c>
      <c r="J641" s="89" t="s">
        <v>51</v>
      </c>
      <c r="K641" s="89" t="s">
        <v>52</v>
      </c>
      <c r="L641" s="89"/>
      <c r="M641" s="89"/>
      <c r="N641" s="89">
        <v>60</v>
      </c>
      <c r="O641" s="93">
        <v>11953299864</v>
      </c>
      <c r="P641" s="94" t="s">
        <v>57</v>
      </c>
      <c r="Q641" s="112" t="s">
        <v>58</v>
      </c>
      <c r="R641" s="95">
        <v>46141</v>
      </c>
      <c r="S641" s="96"/>
      <c r="T641" s="96" t="s">
        <v>59</v>
      </c>
      <c r="U641" s="96" t="s">
        <v>60</v>
      </c>
      <c r="V641" s="92">
        <v>46140</v>
      </c>
      <c r="W641" s="92">
        <v>46141</v>
      </c>
      <c r="X641" s="92" t="s">
        <v>61</v>
      </c>
      <c r="Y641" s="97"/>
      <c r="Z641" s="89" t="s">
        <v>62</v>
      </c>
      <c r="AA641" s="96">
        <v>46146</v>
      </c>
      <c r="AB641" s="89" t="s">
        <v>63</v>
      </c>
      <c r="AC641" s="111"/>
      <c r="AD641" s="89" t="s">
        <v>64</v>
      </c>
      <c r="AE641" s="89">
        <v>63</v>
      </c>
      <c r="AF641" s="98" t="s">
        <v>65</v>
      </c>
      <c r="AG641" s="98"/>
      <c r="AH641" s="98"/>
      <c r="AI641" s="99" t="s">
        <v>67</v>
      </c>
      <c r="AJ641" s="99" t="s">
        <v>67</v>
      </c>
      <c r="AK641" s="99" t="s">
        <v>67</v>
      </c>
      <c r="AL641" s="45" t="s">
        <v>68</v>
      </c>
      <c r="AM641" s="162" t="str">
        <f t="shared" si="72"/>
        <v>4/2026</v>
      </c>
      <c r="AN641" s="45">
        <f t="shared" si="73"/>
        <v>5</v>
      </c>
      <c r="AO641" s="45" t="str">
        <f t="shared" si="74"/>
        <v>4/2026</v>
      </c>
      <c r="AP641" s="45">
        <f t="shared" si="75"/>
        <v>5</v>
      </c>
      <c r="AQ641" s="45">
        <f t="shared" si="76"/>
        <v>2</v>
      </c>
      <c r="AR641" s="45">
        <f t="shared" si="77"/>
        <v>0</v>
      </c>
      <c r="AS641" s="45">
        <f t="shared" si="78"/>
        <v>1</v>
      </c>
      <c r="AT641" s="45">
        <f t="shared" si="79"/>
        <v>5</v>
      </c>
      <c r="AU641" s="45" t="str">
        <f>_xlfn.XLOOKUP(U641,'Lista Suspensa'!$AA$20:$AA$23,'Lista Suspensa'!$AB$20:$AB$23,"N/A")</f>
        <v>S</v>
      </c>
    </row>
    <row r="642" spans="1:47" ht="12" customHeight="1" x14ac:dyDescent="0.3">
      <c r="A642" s="87" t="s">
        <v>67</v>
      </c>
      <c r="B642" s="88">
        <v>46140</v>
      </c>
      <c r="C642" s="89" t="s">
        <v>211</v>
      </c>
      <c r="D642" s="89" t="s">
        <v>49</v>
      </c>
      <c r="E642" s="90">
        <v>746428723</v>
      </c>
      <c r="F642" s="184" t="s">
        <v>2054</v>
      </c>
      <c r="G642" s="91" t="s">
        <v>2055</v>
      </c>
      <c r="H642" s="92">
        <v>21131</v>
      </c>
      <c r="I642" s="89">
        <v>68</v>
      </c>
      <c r="J642" s="89" t="s">
        <v>51</v>
      </c>
      <c r="K642" s="89" t="s">
        <v>88</v>
      </c>
      <c r="L642" s="89"/>
      <c r="M642" s="89"/>
      <c r="N642" s="89">
        <v>100</v>
      </c>
      <c r="O642" s="93" t="s">
        <v>2056</v>
      </c>
      <c r="P642" s="94" t="s">
        <v>57</v>
      </c>
      <c r="Q642" s="112" t="s">
        <v>58</v>
      </c>
      <c r="R642" s="95">
        <v>46117</v>
      </c>
      <c r="S642" s="96"/>
      <c r="T642" s="96" t="s">
        <v>59</v>
      </c>
      <c r="U642" s="96" t="s">
        <v>60</v>
      </c>
      <c r="V642" s="92">
        <v>46140</v>
      </c>
      <c r="W642" s="92">
        <v>46141</v>
      </c>
      <c r="X642" s="92">
        <v>46147</v>
      </c>
      <c r="Y642" s="97"/>
      <c r="Z642" s="89" t="s">
        <v>62</v>
      </c>
      <c r="AA642" s="96">
        <v>46157</v>
      </c>
      <c r="AB642" s="89" t="s">
        <v>80</v>
      </c>
      <c r="AC642" s="111"/>
      <c r="AD642" s="89"/>
      <c r="AE642" s="89"/>
      <c r="AF642" s="98"/>
      <c r="AG642" s="98"/>
      <c r="AH642" s="98"/>
      <c r="AI642" s="99" t="s">
        <v>67</v>
      </c>
      <c r="AJ642" s="99" t="s">
        <v>67</v>
      </c>
      <c r="AK642" s="99" t="s">
        <v>67</v>
      </c>
      <c r="AL642" s="45" t="s">
        <v>68</v>
      </c>
      <c r="AM642" s="162" t="str">
        <f t="shared" ref="AM642:AM705" si="80">MONTH(B642)&amp;"/"&amp;YEAR(B642)</f>
        <v>4/2026</v>
      </c>
      <c r="AN642" s="45">
        <f t="shared" ref="AN642:AN705" si="81">WEEKNUM(B642)-WEEKNUM(EOMONTH(B642,-1)+1)+1</f>
        <v>5</v>
      </c>
      <c r="AO642" s="45" t="str">
        <f t="shared" ref="AO642:AO705" si="82">MONTH(R642)&amp;"/"&amp;YEAR(R642)</f>
        <v>4/2026</v>
      </c>
      <c r="AP642" s="45">
        <f t="shared" ref="AP642:AP705" si="83">WEEKNUM(R642)-WEEKNUM(EOMONTH(R642,-1)+1)+1</f>
        <v>2</v>
      </c>
      <c r="AQ642" s="45">
        <f t="shared" ref="AQ642:AQ705" si="84">IF(AU642="S",IF(Q642="1. Aceitou o programa",R642-B642,0),0)</f>
        <v>-23</v>
      </c>
      <c r="AR642" s="45">
        <f t="shared" ref="AR642:AR705" si="85">IF(AU642="S",IF(AND(S642&lt;&gt;"",R642&lt;&gt;""),S642-R642,0),0)</f>
        <v>0</v>
      </c>
      <c r="AS642" s="45">
        <f t="shared" ref="AS642:AS705" si="86">IF(AU642="S",IF(Q642="1. Aceitou o programa",IF(OR(X642="Não se Aplica",X642=""),IF(OR(W642="Não se Aplica",W642=""),0,W642-V642),AVERAGE(X642-W642,W642-V642)),0),0)</f>
        <v>3.5</v>
      </c>
      <c r="AT642" s="45">
        <f t="shared" ref="AT642:AT705" si="87">IF(AU642="S",IF(AND(Q642="1. Aceitou o programa",AB642="Realizada"),IFERROR(IF(AA642="",0,AA642-R642),0),0),0)</f>
        <v>0</v>
      </c>
      <c r="AU642" s="45" t="str">
        <f>_xlfn.XLOOKUP(U642,'Lista Suspensa'!$AA$20:$AA$23,'Lista Suspensa'!$AB$20:$AB$23,"N/A")</f>
        <v>S</v>
      </c>
    </row>
    <row r="643" spans="1:47" ht="12" hidden="1" customHeight="1" x14ac:dyDescent="0.3">
      <c r="A643" s="87" t="s">
        <v>67</v>
      </c>
      <c r="B643" s="88">
        <v>46141</v>
      </c>
      <c r="C643" s="89" t="s">
        <v>211</v>
      </c>
      <c r="D643" s="89" t="s">
        <v>49</v>
      </c>
      <c r="E643" s="90">
        <v>81253073</v>
      </c>
      <c r="F643" s="184" t="s">
        <v>2057</v>
      </c>
      <c r="G643" s="91">
        <v>735830819</v>
      </c>
      <c r="H643" s="92">
        <v>22051</v>
      </c>
      <c r="I643" s="89">
        <v>65</v>
      </c>
      <c r="J643" s="89" t="s">
        <v>51</v>
      </c>
      <c r="K643" s="89" t="s">
        <v>52</v>
      </c>
      <c r="L643" s="89" t="s">
        <v>53</v>
      </c>
      <c r="M643" s="89" t="s">
        <v>2058</v>
      </c>
      <c r="N643" s="89">
        <v>60</v>
      </c>
      <c r="O643" s="93">
        <v>11947877554</v>
      </c>
      <c r="P643" s="94" t="s">
        <v>57</v>
      </c>
      <c r="Q643" s="112" t="s">
        <v>745</v>
      </c>
      <c r="R643" s="95">
        <v>46171</v>
      </c>
      <c r="S643" s="96">
        <v>46181</v>
      </c>
      <c r="T643" s="96" t="s">
        <v>59</v>
      </c>
      <c r="U643" s="96" t="s">
        <v>746</v>
      </c>
      <c r="V643" s="92">
        <v>46142</v>
      </c>
      <c r="W643" s="92">
        <v>46147</v>
      </c>
      <c r="X643" s="92">
        <v>46154</v>
      </c>
      <c r="Y643" s="97" t="s">
        <v>2059</v>
      </c>
      <c r="Z643" s="89" t="s">
        <v>62</v>
      </c>
      <c r="AA643" s="96">
        <v>46181</v>
      </c>
      <c r="AB643" s="89" t="s">
        <v>63</v>
      </c>
      <c r="AC643" s="111"/>
      <c r="AD643" s="89"/>
      <c r="AE643" s="89"/>
      <c r="AF643" s="98"/>
      <c r="AG643" s="98"/>
      <c r="AH643" s="98" t="s">
        <v>139</v>
      </c>
      <c r="AI643" s="99" t="s">
        <v>67</v>
      </c>
      <c r="AJ643" s="99" t="s">
        <v>67</v>
      </c>
      <c r="AK643" s="99" t="s">
        <v>67</v>
      </c>
      <c r="AL643" s="45" t="s">
        <v>68</v>
      </c>
      <c r="AM643" s="162" t="str">
        <f t="shared" si="80"/>
        <v>4/2026</v>
      </c>
      <c r="AN643" s="45">
        <f t="shared" si="81"/>
        <v>5</v>
      </c>
      <c r="AO643" s="45" t="str">
        <f t="shared" si="82"/>
        <v>5/2026</v>
      </c>
      <c r="AP643" s="45">
        <f t="shared" si="83"/>
        <v>5</v>
      </c>
      <c r="AQ643" s="45">
        <f t="shared" si="84"/>
        <v>0</v>
      </c>
      <c r="AR643" s="45">
        <f t="shared" si="85"/>
        <v>10</v>
      </c>
      <c r="AS643" s="45">
        <f t="shared" si="86"/>
        <v>0</v>
      </c>
      <c r="AT643" s="45">
        <f t="shared" si="87"/>
        <v>0</v>
      </c>
      <c r="AU643" s="45" t="str">
        <f>_xlfn.XLOOKUP(U643,'Lista Suspensa'!$AA$20:$AA$23,'Lista Suspensa'!$AB$20:$AB$23,"N/A")</f>
        <v>S</v>
      </c>
    </row>
    <row r="644" spans="1:47" ht="12" customHeight="1" x14ac:dyDescent="0.3">
      <c r="A644" s="87" t="s">
        <v>67</v>
      </c>
      <c r="B644" s="88">
        <v>46146</v>
      </c>
      <c r="C644" s="89" t="s">
        <v>211</v>
      </c>
      <c r="D644" s="89" t="s">
        <v>49</v>
      </c>
      <c r="E644" s="90">
        <v>301224129</v>
      </c>
      <c r="F644" s="184" t="s">
        <v>2060</v>
      </c>
      <c r="G644" s="91">
        <v>52234290872</v>
      </c>
      <c r="H644" s="92">
        <v>17952</v>
      </c>
      <c r="I644" s="89">
        <v>77</v>
      </c>
      <c r="J644" s="89" t="s">
        <v>51</v>
      </c>
      <c r="K644" s="89" t="s">
        <v>52</v>
      </c>
      <c r="L644" s="89" t="s">
        <v>53</v>
      </c>
      <c r="M644" s="89" t="s">
        <v>401</v>
      </c>
      <c r="N644" s="89">
        <v>500</v>
      </c>
      <c r="O644" s="93">
        <v>11993139995</v>
      </c>
      <c r="P644" s="94" t="s">
        <v>57</v>
      </c>
      <c r="Q644" s="112" t="s">
        <v>58</v>
      </c>
      <c r="R644" s="95">
        <v>46147</v>
      </c>
      <c r="S644" s="96"/>
      <c r="T644" s="96" t="s">
        <v>59</v>
      </c>
      <c r="U644" s="96" t="s">
        <v>60</v>
      </c>
      <c r="V644" s="92">
        <v>46147</v>
      </c>
      <c r="W644" s="92" t="s">
        <v>61</v>
      </c>
      <c r="X644" s="92" t="s">
        <v>61</v>
      </c>
      <c r="Y644" s="97"/>
      <c r="Z644" s="89" t="s">
        <v>62</v>
      </c>
      <c r="AA644" s="96" t="s">
        <v>2061</v>
      </c>
      <c r="AB644" s="89" t="s">
        <v>80</v>
      </c>
      <c r="AC644" s="111"/>
      <c r="AD644" s="89"/>
      <c r="AE644" s="89"/>
      <c r="AF644" s="98"/>
      <c r="AG644" s="98"/>
      <c r="AH644" s="98"/>
      <c r="AI644" s="99" t="s">
        <v>197</v>
      </c>
      <c r="AJ644" s="99" t="s">
        <v>67</v>
      </c>
      <c r="AK644" s="99" t="s">
        <v>197</v>
      </c>
      <c r="AL644" s="45" t="s">
        <v>68</v>
      </c>
      <c r="AM644" s="162" t="str">
        <f t="shared" si="80"/>
        <v>5/2026</v>
      </c>
      <c r="AN644" s="45">
        <f t="shared" si="81"/>
        <v>2</v>
      </c>
      <c r="AO644" s="45" t="str">
        <f t="shared" si="82"/>
        <v>5/2026</v>
      </c>
      <c r="AP644" s="45">
        <f t="shared" si="83"/>
        <v>2</v>
      </c>
      <c r="AQ644" s="45">
        <f t="shared" si="84"/>
        <v>1</v>
      </c>
      <c r="AR644" s="45">
        <f t="shared" si="85"/>
        <v>0</v>
      </c>
      <c r="AS644" s="45">
        <f t="shared" si="86"/>
        <v>0</v>
      </c>
      <c r="AT644" s="45">
        <f t="shared" si="87"/>
        <v>0</v>
      </c>
      <c r="AU644" s="45" t="str">
        <f>_xlfn.XLOOKUP(U644,'Lista Suspensa'!$AA$20:$AA$23,'Lista Suspensa'!$AB$20:$AB$23,"N/A")</f>
        <v>S</v>
      </c>
    </row>
    <row r="645" spans="1:47" ht="12" customHeight="1" x14ac:dyDescent="0.3">
      <c r="A645" s="87" t="s">
        <v>67</v>
      </c>
      <c r="B645" s="88">
        <v>46146</v>
      </c>
      <c r="C645" s="89" t="s">
        <v>211</v>
      </c>
      <c r="D645" s="89" t="s">
        <v>49</v>
      </c>
      <c r="E645" s="90">
        <v>450128075</v>
      </c>
      <c r="F645" s="184" t="s">
        <v>2062</v>
      </c>
      <c r="G645" s="91">
        <v>4272999850</v>
      </c>
      <c r="H645" s="92">
        <v>17857</v>
      </c>
      <c r="I645" s="89">
        <v>77</v>
      </c>
      <c r="J645" s="89" t="s">
        <v>70</v>
      </c>
      <c r="K645" s="89" t="s">
        <v>52</v>
      </c>
      <c r="L645" s="89" t="s">
        <v>53</v>
      </c>
      <c r="M645" s="89"/>
      <c r="N645" s="89">
        <v>100</v>
      </c>
      <c r="O645" s="93" t="s">
        <v>2063</v>
      </c>
      <c r="P645" s="94" t="s">
        <v>57</v>
      </c>
      <c r="Q645" s="112" t="s">
        <v>58</v>
      </c>
      <c r="R645" s="95">
        <v>46147</v>
      </c>
      <c r="S645" s="96"/>
      <c r="T645" s="96" t="s">
        <v>59</v>
      </c>
      <c r="U645" s="96" t="s">
        <v>60</v>
      </c>
      <c r="V645" s="92">
        <v>46147</v>
      </c>
      <c r="W645" s="92" t="s">
        <v>61</v>
      </c>
      <c r="X645" s="92" t="s">
        <v>61</v>
      </c>
      <c r="Y645" s="97"/>
      <c r="Z645" s="89" t="s">
        <v>62</v>
      </c>
      <c r="AA645" s="96" t="s">
        <v>2064</v>
      </c>
      <c r="AB645" s="89" t="s">
        <v>80</v>
      </c>
      <c r="AC645" s="111"/>
      <c r="AD645" s="89"/>
      <c r="AE645" s="89"/>
      <c r="AF645" s="98"/>
      <c r="AG645" s="98"/>
      <c r="AH645" s="98"/>
      <c r="AI645" s="99" t="s">
        <v>197</v>
      </c>
      <c r="AJ645" s="99" t="s">
        <v>67</v>
      </c>
      <c r="AK645" s="99" t="s">
        <v>197</v>
      </c>
      <c r="AL645" s="45" t="s">
        <v>68</v>
      </c>
      <c r="AM645" s="162" t="str">
        <f t="shared" si="80"/>
        <v>5/2026</v>
      </c>
      <c r="AN645" s="45">
        <f t="shared" si="81"/>
        <v>2</v>
      </c>
      <c r="AO645" s="45" t="str">
        <f t="shared" si="82"/>
        <v>5/2026</v>
      </c>
      <c r="AP645" s="45">
        <f t="shared" si="83"/>
        <v>2</v>
      </c>
      <c r="AQ645" s="45">
        <f t="shared" si="84"/>
        <v>1</v>
      </c>
      <c r="AR645" s="45">
        <f t="shared" si="85"/>
        <v>0</v>
      </c>
      <c r="AS645" s="45">
        <f t="shared" si="86"/>
        <v>0</v>
      </c>
      <c r="AT645" s="45">
        <f t="shared" si="87"/>
        <v>0</v>
      </c>
      <c r="AU645" s="45" t="str">
        <f>_xlfn.XLOOKUP(U645,'Lista Suspensa'!$AA$20:$AA$23,'Lista Suspensa'!$AB$20:$AB$23,"N/A")</f>
        <v>S</v>
      </c>
    </row>
    <row r="646" spans="1:47" ht="12" customHeight="1" x14ac:dyDescent="0.3">
      <c r="A646" s="87" t="s">
        <v>67</v>
      </c>
      <c r="B646" s="88">
        <v>46146</v>
      </c>
      <c r="C646" s="89" t="s">
        <v>211</v>
      </c>
      <c r="D646" s="89" t="s">
        <v>49</v>
      </c>
      <c r="E646" s="90">
        <v>450245799</v>
      </c>
      <c r="F646" s="184" t="s">
        <v>2065</v>
      </c>
      <c r="G646" s="91">
        <v>37254873835</v>
      </c>
      <c r="H646" s="92">
        <v>15476</v>
      </c>
      <c r="I646" s="89">
        <v>83</v>
      </c>
      <c r="J646" s="89" t="s">
        <v>70</v>
      </c>
      <c r="K646" s="89" t="s">
        <v>52</v>
      </c>
      <c r="L646" s="89" t="s">
        <v>2012</v>
      </c>
      <c r="M646" s="89"/>
      <c r="N646" s="89">
        <v>100</v>
      </c>
      <c r="O646" s="93">
        <v>11981580170</v>
      </c>
      <c r="P646" s="94" t="s">
        <v>57</v>
      </c>
      <c r="Q646" s="112" t="s">
        <v>58</v>
      </c>
      <c r="R646" s="95">
        <v>46147</v>
      </c>
      <c r="S646" s="96"/>
      <c r="T646" s="96" t="s">
        <v>59</v>
      </c>
      <c r="U646" s="96" t="s">
        <v>60</v>
      </c>
      <c r="V646" s="92">
        <v>46147</v>
      </c>
      <c r="W646" s="92" t="s">
        <v>61</v>
      </c>
      <c r="X646" s="92" t="s">
        <v>61</v>
      </c>
      <c r="Y646" s="97"/>
      <c r="Z646" s="89" t="s">
        <v>62</v>
      </c>
      <c r="AA646" s="96" t="s">
        <v>2066</v>
      </c>
      <c r="AB646" s="89" t="s">
        <v>63</v>
      </c>
      <c r="AC646" s="111"/>
      <c r="AD646" s="89" t="s">
        <v>86</v>
      </c>
      <c r="AE646" s="89">
        <v>56</v>
      </c>
      <c r="AF646" s="98" t="s">
        <v>2067</v>
      </c>
      <c r="AG646" s="98"/>
      <c r="AH646" s="98" t="s">
        <v>66</v>
      </c>
      <c r="AI646" s="99" t="s">
        <v>197</v>
      </c>
      <c r="AJ646" s="99" t="s">
        <v>67</v>
      </c>
      <c r="AK646" s="99" t="s">
        <v>67</v>
      </c>
      <c r="AL646" s="45" t="s">
        <v>68</v>
      </c>
      <c r="AM646" s="162" t="str">
        <f t="shared" si="80"/>
        <v>5/2026</v>
      </c>
      <c r="AN646" s="45">
        <f t="shared" si="81"/>
        <v>2</v>
      </c>
      <c r="AO646" s="45" t="str">
        <f t="shared" si="82"/>
        <v>5/2026</v>
      </c>
      <c r="AP646" s="45">
        <f t="shared" si="83"/>
        <v>2</v>
      </c>
      <c r="AQ646" s="45">
        <f t="shared" si="84"/>
        <v>1</v>
      </c>
      <c r="AR646" s="45">
        <f t="shared" si="85"/>
        <v>0</v>
      </c>
      <c r="AS646" s="45">
        <f t="shared" si="86"/>
        <v>0</v>
      </c>
      <c r="AT646" s="45">
        <f t="shared" si="87"/>
        <v>2.5972222222189885</v>
      </c>
      <c r="AU646" s="45" t="str">
        <f>_xlfn.XLOOKUP(U646,'Lista Suspensa'!$AA$20:$AA$23,'Lista Suspensa'!$AB$20:$AB$23,"N/A")</f>
        <v>S</v>
      </c>
    </row>
    <row r="647" spans="1:47" ht="12" customHeight="1" x14ac:dyDescent="0.3">
      <c r="A647" s="87" t="s">
        <v>67</v>
      </c>
      <c r="B647" s="88">
        <v>46147</v>
      </c>
      <c r="C647" s="89" t="s">
        <v>211</v>
      </c>
      <c r="D647" s="89" t="s">
        <v>2000</v>
      </c>
      <c r="E647" s="90">
        <v>87514781</v>
      </c>
      <c r="F647" s="184" t="s">
        <v>2068</v>
      </c>
      <c r="G647" s="91" t="s">
        <v>2069</v>
      </c>
      <c r="H647" s="92">
        <v>23588</v>
      </c>
      <c r="I647" s="89">
        <v>61</v>
      </c>
      <c r="J647" s="89" t="s">
        <v>51</v>
      </c>
      <c r="K647" s="89" t="s">
        <v>52</v>
      </c>
      <c r="L647" s="89" t="s">
        <v>53</v>
      </c>
      <c r="M647" s="89"/>
      <c r="N647" s="89">
        <v>110</v>
      </c>
      <c r="O647" s="93">
        <v>11997120155</v>
      </c>
      <c r="P647" s="94"/>
      <c r="Q647" s="112" t="s">
        <v>58</v>
      </c>
      <c r="R647" s="95">
        <v>46153</v>
      </c>
      <c r="S647" s="96"/>
      <c r="T647" s="96" t="s">
        <v>59</v>
      </c>
      <c r="U647" s="96" t="s">
        <v>60</v>
      </c>
      <c r="V647" s="92">
        <v>46150</v>
      </c>
      <c r="W647" s="92">
        <v>46154</v>
      </c>
      <c r="X647" s="92" t="s">
        <v>61</v>
      </c>
      <c r="Y647" s="97"/>
      <c r="Z647" s="89" t="s">
        <v>62</v>
      </c>
      <c r="AA647" s="96">
        <v>46164.611111111109</v>
      </c>
      <c r="AB647" s="89" t="s">
        <v>80</v>
      </c>
      <c r="AC647" s="111"/>
      <c r="AD647" s="89"/>
      <c r="AE647" s="89"/>
      <c r="AF647" s="98"/>
      <c r="AG647" s="98"/>
      <c r="AH647" s="98"/>
      <c r="AI647" s="99" t="s">
        <v>197</v>
      </c>
      <c r="AJ647" s="99" t="s">
        <v>197</v>
      </c>
      <c r="AK647" s="99" t="s">
        <v>67</v>
      </c>
      <c r="AL647" s="45" t="s">
        <v>68</v>
      </c>
      <c r="AM647" s="162" t="str">
        <f t="shared" si="80"/>
        <v>5/2026</v>
      </c>
      <c r="AN647" s="45">
        <f t="shared" si="81"/>
        <v>2</v>
      </c>
      <c r="AO647" s="45" t="str">
        <f t="shared" si="82"/>
        <v>5/2026</v>
      </c>
      <c r="AP647" s="45">
        <f t="shared" si="83"/>
        <v>3</v>
      </c>
      <c r="AQ647" s="45">
        <f t="shared" si="84"/>
        <v>6</v>
      </c>
      <c r="AR647" s="45">
        <f t="shared" si="85"/>
        <v>0</v>
      </c>
      <c r="AS647" s="45">
        <f t="shared" si="86"/>
        <v>4</v>
      </c>
      <c r="AT647" s="45">
        <f t="shared" si="87"/>
        <v>0</v>
      </c>
      <c r="AU647" s="45" t="str">
        <f>_xlfn.XLOOKUP(U647,'Lista Suspensa'!$AA$20:$AA$23,'Lista Suspensa'!$AB$20:$AB$23,"N/A")</f>
        <v>S</v>
      </c>
    </row>
    <row r="648" spans="1:47" ht="12" customHeight="1" x14ac:dyDescent="0.3">
      <c r="A648" s="87" t="s">
        <v>67</v>
      </c>
      <c r="B648" s="88">
        <v>46148</v>
      </c>
      <c r="C648" s="89" t="s">
        <v>211</v>
      </c>
      <c r="D648" s="89" t="s">
        <v>49</v>
      </c>
      <c r="E648" s="90">
        <v>794273106</v>
      </c>
      <c r="F648" s="184" t="s">
        <v>2070</v>
      </c>
      <c r="G648" s="91">
        <v>31665374810</v>
      </c>
      <c r="H648" s="92">
        <v>30743</v>
      </c>
      <c r="I648" s="89">
        <v>42</v>
      </c>
      <c r="J648" s="89" t="s">
        <v>70</v>
      </c>
      <c r="K648" s="89" t="s">
        <v>52</v>
      </c>
      <c r="L648" s="89" t="s">
        <v>53</v>
      </c>
      <c r="M648" s="89" t="s">
        <v>2071</v>
      </c>
      <c r="N648" s="89">
        <v>400</v>
      </c>
      <c r="O648" s="93" t="s">
        <v>2072</v>
      </c>
      <c r="P648" s="94"/>
      <c r="Q648" s="112" t="s">
        <v>58</v>
      </c>
      <c r="R648" s="95">
        <v>46153</v>
      </c>
      <c r="S648" s="96"/>
      <c r="T648" s="96" t="s">
        <v>59</v>
      </c>
      <c r="U648" s="96" t="s">
        <v>60</v>
      </c>
      <c r="V648" s="92">
        <v>46150</v>
      </c>
      <c r="W648" s="92">
        <v>46154</v>
      </c>
      <c r="X648" s="92" t="s">
        <v>61</v>
      </c>
      <c r="Y648" s="97"/>
      <c r="Z648" s="89" t="s">
        <v>62</v>
      </c>
      <c r="AA648" s="96">
        <v>46163.430555555555</v>
      </c>
      <c r="AB648" s="89" t="s">
        <v>80</v>
      </c>
      <c r="AC648" s="111"/>
      <c r="AD648" s="89"/>
      <c r="AE648" s="89"/>
      <c r="AF648" s="98"/>
      <c r="AG648" s="98"/>
      <c r="AH648" s="98"/>
      <c r="AI648" s="99" t="s">
        <v>197</v>
      </c>
      <c r="AJ648" s="99" t="s">
        <v>67</v>
      </c>
      <c r="AK648" s="99" t="s">
        <v>67</v>
      </c>
      <c r="AL648" s="45" t="s">
        <v>68</v>
      </c>
      <c r="AM648" s="162" t="str">
        <f t="shared" si="80"/>
        <v>5/2026</v>
      </c>
      <c r="AN648" s="45">
        <f t="shared" si="81"/>
        <v>2</v>
      </c>
      <c r="AO648" s="45" t="str">
        <f t="shared" si="82"/>
        <v>5/2026</v>
      </c>
      <c r="AP648" s="45">
        <f t="shared" si="83"/>
        <v>3</v>
      </c>
      <c r="AQ648" s="45">
        <f t="shared" si="84"/>
        <v>5</v>
      </c>
      <c r="AR648" s="45">
        <f t="shared" si="85"/>
        <v>0</v>
      </c>
      <c r="AS648" s="45">
        <f t="shared" si="86"/>
        <v>4</v>
      </c>
      <c r="AT648" s="45">
        <f t="shared" si="87"/>
        <v>0</v>
      </c>
      <c r="AU648" s="45" t="str">
        <f>_xlfn.XLOOKUP(U648,'Lista Suspensa'!$AA$20:$AA$23,'Lista Suspensa'!$AB$20:$AB$23,"N/A")</f>
        <v>S</v>
      </c>
    </row>
    <row r="649" spans="1:47" ht="12" customHeight="1" x14ac:dyDescent="0.3">
      <c r="A649" s="87" t="s">
        <v>67</v>
      </c>
      <c r="B649" s="88">
        <v>46149</v>
      </c>
      <c r="C649" s="89" t="s">
        <v>211</v>
      </c>
      <c r="D649" s="89" t="s">
        <v>49</v>
      </c>
      <c r="E649" s="90">
        <v>81430234</v>
      </c>
      <c r="F649" s="184" t="s">
        <v>2073</v>
      </c>
      <c r="G649" s="91">
        <v>3271184828</v>
      </c>
      <c r="H649" s="92">
        <v>22261</v>
      </c>
      <c r="I649" s="89">
        <v>65</v>
      </c>
      <c r="J649" s="89" t="s">
        <v>51</v>
      </c>
      <c r="K649" s="89" t="s">
        <v>52</v>
      </c>
      <c r="L649" s="89" t="s">
        <v>53</v>
      </c>
      <c r="M649" s="89"/>
      <c r="N649" s="89">
        <v>40</v>
      </c>
      <c r="O649" s="93">
        <v>11986508316</v>
      </c>
      <c r="P649" s="94" t="s">
        <v>57</v>
      </c>
      <c r="Q649" s="112" t="s">
        <v>58</v>
      </c>
      <c r="R649" s="95">
        <v>46171</v>
      </c>
      <c r="S649" s="96"/>
      <c r="T649" s="96" t="s">
        <v>59</v>
      </c>
      <c r="U649" s="96" t="s">
        <v>60</v>
      </c>
      <c r="V649" s="92">
        <v>46150</v>
      </c>
      <c r="W649" s="92">
        <v>46154</v>
      </c>
      <c r="X649" s="92">
        <v>46160</v>
      </c>
      <c r="Y649" s="97"/>
      <c r="Z649" s="89" t="s">
        <v>62</v>
      </c>
      <c r="AA649" s="96">
        <v>46174</v>
      </c>
      <c r="AB649" s="89" t="s">
        <v>63</v>
      </c>
      <c r="AC649" s="111"/>
      <c r="AD649" s="89" t="s">
        <v>64</v>
      </c>
      <c r="AE649" s="89">
        <v>63</v>
      </c>
      <c r="AF649" s="98"/>
      <c r="AG649" s="98"/>
      <c r="AH649" s="98" t="s">
        <v>66</v>
      </c>
      <c r="AI649" s="99" t="s">
        <v>197</v>
      </c>
      <c r="AJ649" s="99" t="s">
        <v>67</v>
      </c>
      <c r="AK649" s="99" t="s">
        <v>67</v>
      </c>
      <c r="AL649" s="45" t="s">
        <v>68</v>
      </c>
      <c r="AM649" s="162" t="str">
        <f t="shared" si="80"/>
        <v>5/2026</v>
      </c>
      <c r="AN649" s="45">
        <f t="shared" si="81"/>
        <v>2</v>
      </c>
      <c r="AO649" s="45" t="str">
        <f t="shared" si="82"/>
        <v>5/2026</v>
      </c>
      <c r="AP649" s="45">
        <f t="shared" si="83"/>
        <v>5</v>
      </c>
      <c r="AQ649" s="45">
        <f t="shared" si="84"/>
        <v>22</v>
      </c>
      <c r="AR649" s="45">
        <f t="shared" si="85"/>
        <v>0</v>
      </c>
      <c r="AS649" s="45">
        <f t="shared" si="86"/>
        <v>5</v>
      </c>
      <c r="AT649" s="45">
        <f t="shared" si="87"/>
        <v>3</v>
      </c>
      <c r="AU649" s="45" t="str">
        <f>_xlfn.XLOOKUP(U649,'Lista Suspensa'!$AA$20:$AA$23,'Lista Suspensa'!$AB$20:$AB$23,"N/A")</f>
        <v>S</v>
      </c>
    </row>
    <row r="650" spans="1:47" ht="12" customHeight="1" x14ac:dyDescent="0.3">
      <c r="A650" s="87" t="s">
        <v>67</v>
      </c>
      <c r="B650" s="88">
        <v>46149</v>
      </c>
      <c r="C650" s="89" t="s">
        <v>211</v>
      </c>
      <c r="D650" s="89" t="s">
        <v>49</v>
      </c>
      <c r="E650" s="90">
        <v>758487983</v>
      </c>
      <c r="F650" s="184" t="s">
        <v>2074</v>
      </c>
      <c r="G650" s="91">
        <v>5153221725</v>
      </c>
      <c r="H650" s="92">
        <v>27765</v>
      </c>
      <c r="I650" s="89">
        <v>50</v>
      </c>
      <c r="J650" s="89" t="s">
        <v>70</v>
      </c>
      <c r="K650" s="89" t="s">
        <v>88</v>
      </c>
      <c r="L650" s="89" t="s">
        <v>89</v>
      </c>
      <c r="M650" s="89" t="s">
        <v>1098</v>
      </c>
      <c r="N650" s="89">
        <v>100</v>
      </c>
      <c r="O650" s="93">
        <v>21997299504</v>
      </c>
      <c r="P650" s="94"/>
      <c r="Q650" s="112" t="s">
        <v>58</v>
      </c>
      <c r="R650" s="95">
        <v>46153</v>
      </c>
      <c r="S650" s="96"/>
      <c r="T650" s="96" t="s">
        <v>59</v>
      </c>
      <c r="U650" s="96" t="s">
        <v>60</v>
      </c>
      <c r="V650" s="92">
        <v>46150</v>
      </c>
      <c r="W650" s="92">
        <v>46154</v>
      </c>
      <c r="X650" s="92" t="s">
        <v>61</v>
      </c>
      <c r="Y650" s="97"/>
      <c r="Z650" s="89" t="s">
        <v>62</v>
      </c>
      <c r="AA650" s="96">
        <v>46164.597222222219</v>
      </c>
      <c r="AB650" s="89" t="s">
        <v>80</v>
      </c>
      <c r="AC650" s="111"/>
      <c r="AD650" s="89"/>
      <c r="AE650" s="89"/>
      <c r="AF650" s="98"/>
      <c r="AG650" s="98"/>
      <c r="AH650" s="98"/>
      <c r="AI650" s="99" t="s">
        <v>197</v>
      </c>
      <c r="AJ650" s="99" t="s">
        <v>67</v>
      </c>
      <c r="AK650" s="99" t="s">
        <v>67</v>
      </c>
      <c r="AL650" s="45" t="s">
        <v>68</v>
      </c>
      <c r="AM650" s="162" t="str">
        <f t="shared" si="80"/>
        <v>5/2026</v>
      </c>
      <c r="AN650" s="45">
        <f t="shared" si="81"/>
        <v>2</v>
      </c>
      <c r="AO650" s="45" t="str">
        <f t="shared" si="82"/>
        <v>5/2026</v>
      </c>
      <c r="AP650" s="45">
        <f t="shared" si="83"/>
        <v>3</v>
      </c>
      <c r="AQ650" s="45">
        <f t="shared" si="84"/>
        <v>4</v>
      </c>
      <c r="AR650" s="45">
        <f t="shared" si="85"/>
        <v>0</v>
      </c>
      <c r="AS650" s="45">
        <f t="shared" si="86"/>
        <v>4</v>
      </c>
      <c r="AT650" s="45">
        <f t="shared" si="87"/>
        <v>0</v>
      </c>
      <c r="AU650" s="45" t="str">
        <f>_xlfn.XLOOKUP(U650,'Lista Suspensa'!$AA$20:$AA$23,'Lista Suspensa'!$AB$20:$AB$23,"N/A")</f>
        <v>S</v>
      </c>
    </row>
    <row r="651" spans="1:47" ht="12" customHeight="1" x14ac:dyDescent="0.3">
      <c r="A651" s="87" t="s">
        <v>67</v>
      </c>
      <c r="B651" s="88">
        <v>46153</v>
      </c>
      <c r="C651" s="89" t="s">
        <v>211</v>
      </c>
      <c r="D651" s="89" t="s">
        <v>49</v>
      </c>
      <c r="E651" s="90">
        <v>86693724</v>
      </c>
      <c r="F651" s="184" t="s">
        <v>2075</v>
      </c>
      <c r="G651" s="91">
        <v>27273090824</v>
      </c>
      <c r="H651" s="92">
        <v>27574</v>
      </c>
      <c r="I651" s="89">
        <v>50</v>
      </c>
      <c r="J651" s="89" t="s">
        <v>51</v>
      </c>
      <c r="K651" s="89" t="s">
        <v>52</v>
      </c>
      <c r="L651" s="89" t="s">
        <v>53</v>
      </c>
      <c r="M651" s="89" t="s">
        <v>2076</v>
      </c>
      <c r="N651" s="89">
        <v>80</v>
      </c>
      <c r="O651" s="93">
        <v>11960503589</v>
      </c>
      <c r="P651" s="94"/>
      <c r="Q651" s="112" t="s">
        <v>58</v>
      </c>
      <c r="R651" s="95">
        <v>46163</v>
      </c>
      <c r="S651" s="96"/>
      <c r="T651" s="96" t="s">
        <v>59</v>
      </c>
      <c r="U651" s="96" t="s">
        <v>60</v>
      </c>
      <c r="V651" s="92">
        <v>46154</v>
      </c>
      <c r="W651" s="92"/>
      <c r="X651" s="92"/>
      <c r="Y651" s="97"/>
      <c r="Z651" s="89" t="s">
        <v>62</v>
      </c>
      <c r="AA651" s="96">
        <v>46175</v>
      </c>
      <c r="AB651" s="89" t="s">
        <v>63</v>
      </c>
      <c r="AC651" s="111"/>
      <c r="AD651" s="89" t="s">
        <v>265</v>
      </c>
      <c r="AE651" s="89">
        <v>35</v>
      </c>
      <c r="AF651" s="98" t="s">
        <v>248</v>
      </c>
      <c r="AG651" s="98" t="s">
        <v>248</v>
      </c>
      <c r="AH651" s="98" t="s">
        <v>66</v>
      </c>
      <c r="AI651" s="99" t="s">
        <v>197</v>
      </c>
      <c r="AJ651" s="99" t="s">
        <v>67</v>
      </c>
      <c r="AK651" s="99" t="s">
        <v>67</v>
      </c>
      <c r="AL651" s="45" t="s">
        <v>68</v>
      </c>
      <c r="AM651" s="162" t="str">
        <f t="shared" si="80"/>
        <v>5/2026</v>
      </c>
      <c r="AN651" s="45">
        <f t="shared" si="81"/>
        <v>3</v>
      </c>
      <c r="AO651" s="45" t="str">
        <f t="shared" si="82"/>
        <v>5/2026</v>
      </c>
      <c r="AP651" s="45">
        <f t="shared" si="83"/>
        <v>4</v>
      </c>
      <c r="AQ651" s="45">
        <f t="shared" si="84"/>
        <v>10</v>
      </c>
      <c r="AR651" s="45">
        <f t="shared" si="85"/>
        <v>0</v>
      </c>
      <c r="AS651" s="45">
        <f t="shared" si="86"/>
        <v>0</v>
      </c>
      <c r="AT651" s="45">
        <f t="shared" si="87"/>
        <v>12</v>
      </c>
      <c r="AU651" s="45" t="str">
        <f>_xlfn.XLOOKUP(U651,'Lista Suspensa'!$AA$20:$AA$23,'Lista Suspensa'!$AB$20:$AB$23,"N/A")</f>
        <v>S</v>
      </c>
    </row>
    <row r="652" spans="1:47" ht="12" customHeight="1" x14ac:dyDescent="0.3">
      <c r="A652" s="87" t="s">
        <v>67</v>
      </c>
      <c r="B652" s="88">
        <v>46155</v>
      </c>
      <c r="C652" s="89" t="s">
        <v>211</v>
      </c>
      <c r="D652" s="89" t="s">
        <v>49</v>
      </c>
      <c r="E652" s="90">
        <v>594211310</v>
      </c>
      <c r="F652" s="184" t="s">
        <v>2077</v>
      </c>
      <c r="G652" s="91">
        <v>38105708850</v>
      </c>
      <c r="H652" s="92">
        <v>17156</v>
      </c>
      <c r="I652" s="89">
        <v>79</v>
      </c>
      <c r="J652" s="89" t="s">
        <v>70</v>
      </c>
      <c r="K652" s="89" t="s">
        <v>52</v>
      </c>
      <c r="L652" s="89" t="s">
        <v>331</v>
      </c>
      <c r="M652" s="89" t="s">
        <v>1531</v>
      </c>
      <c r="N652" s="89">
        <v>50</v>
      </c>
      <c r="O652" s="93" t="s">
        <v>2078</v>
      </c>
      <c r="P652" s="94" t="s">
        <v>57</v>
      </c>
      <c r="Q652" s="112" t="s">
        <v>58</v>
      </c>
      <c r="R652" s="95">
        <v>46171</v>
      </c>
      <c r="S652" s="96"/>
      <c r="T652" s="96" t="s">
        <v>59</v>
      </c>
      <c r="U652" s="96" t="s">
        <v>60</v>
      </c>
      <c r="V652" s="92">
        <v>46160</v>
      </c>
      <c r="W652" s="92">
        <v>46164</v>
      </c>
      <c r="X652" s="92">
        <v>46170</v>
      </c>
      <c r="Y652" s="97"/>
      <c r="Z652" s="89" t="s">
        <v>62</v>
      </c>
      <c r="AA652" s="96">
        <v>46177</v>
      </c>
      <c r="AB652" s="89" t="s">
        <v>80</v>
      </c>
      <c r="AC652" s="111"/>
      <c r="AD652" s="89"/>
      <c r="AE652" s="89"/>
      <c r="AF652" s="98"/>
      <c r="AG652" s="98"/>
      <c r="AH652" s="98"/>
      <c r="AI652" s="99" t="s">
        <v>67</v>
      </c>
      <c r="AJ652" s="99" t="s">
        <v>67</v>
      </c>
      <c r="AK652" s="99" t="s">
        <v>67</v>
      </c>
      <c r="AL652" s="45" t="s">
        <v>68</v>
      </c>
      <c r="AM652" s="162" t="str">
        <f t="shared" si="80"/>
        <v>5/2026</v>
      </c>
      <c r="AN652" s="45">
        <f t="shared" si="81"/>
        <v>3</v>
      </c>
      <c r="AO652" s="45" t="str">
        <f t="shared" si="82"/>
        <v>5/2026</v>
      </c>
      <c r="AP652" s="45">
        <f t="shared" si="83"/>
        <v>5</v>
      </c>
      <c r="AQ652" s="45">
        <f t="shared" si="84"/>
        <v>16</v>
      </c>
      <c r="AR652" s="45">
        <f t="shared" si="85"/>
        <v>0</v>
      </c>
      <c r="AS652" s="45">
        <f t="shared" si="86"/>
        <v>5</v>
      </c>
      <c r="AT652" s="45">
        <f t="shared" si="87"/>
        <v>0</v>
      </c>
      <c r="AU652" s="45" t="str">
        <f>_xlfn.XLOOKUP(U652,'Lista Suspensa'!$AA$20:$AA$23,'Lista Suspensa'!$AB$20:$AB$23,"N/A")</f>
        <v>S</v>
      </c>
    </row>
    <row r="653" spans="1:47" ht="12" customHeight="1" x14ac:dyDescent="0.3">
      <c r="A653" s="87" t="s">
        <v>67</v>
      </c>
      <c r="B653" s="88">
        <v>46160</v>
      </c>
      <c r="C653" s="89" t="s">
        <v>211</v>
      </c>
      <c r="D653" s="89" t="s">
        <v>49</v>
      </c>
      <c r="E653" s="90">
        <v>450133680</v>
      </c>
      <c r="F653" s="184" t="s">
        <v>2079</v>
      </c>
      <c r="G653" s="91">
        <v>39125717839</v>
      </c>
      <c r="H653" s="92">
        <v>16214</v>
      </c>
      <c r="I653" s="89">
        <v>81</v>
      </c>
      <c r="J653" s="89" t="s">
        <v>70</v>
      </c>
      <c r="K653" s="89" t="s">
        <v>52</v>
      </c>
      <c r="L653" s="89" t="s">
        <v>53</v>
      </c>
      <c r="M653" s="89" t="s">
        <v>2080</v>
      </c>
      <c r="N653" s="89">
        <v>100</v>
      </c>
      <c r="O653" s="93" t="s">
        <v>2081</v>
      </c>
      <c r="P653" s="94" t="s">
        <v>57</v>
      </c>
      <c r="Q653" s="112" t="s">
        <v>58</v>
      </c>
      <c r="R653" s="95">
        <v>46164</v>
      </c>
      <c r="S653" s="96"/>
      <c r="T653" s="96" t="s">
        <v>59</v>
      </c>
      <c r="U653" s="96" t="s">
        <v>60</v>
      </c>
      <c r="V653" s="92">
        <v>46164</v>
      </c>
      <c r="W653" s="92" t="s">
        <v>61</v>
      </c>
      <c r="X653" s="92" t="s">
        <v>61</v>
      </c>
      <c r="Y653" s="97"/>
      <c r="Z653" s="89" t="s">
        <v>62</v>
      </c>
      <c r="AA653" s="96">
        <v>46175</v>
      </c>
      <c r="AB653" s="89" t="s">
        <v>63</v>
      </c>
      <c r="AC653" s="111"/>
      <c r="AD653" s="89" t="s">
        <v>265</v>
      </c>
      <c r="AE653" s="89">
        <v>28</v>
      </c>
      <c r="AF653" s="98"/>
      <c r="AG653" s="98"/>
      <c r="AH653" s="98" t="s">
        <v>66</v>
      </c>
      <c r="AI653" s="99"/>
      <c r="AJ653" s="99" t="s">
        <v>197</v>
      </c>
      <c r="AK653" s="99" t="s">
        <v>67</v>
      </c>
      <c r="AL653" s="45" t="s">
        <v>68</v>
      </c>
      <c r="AM653" s="162" t="str">
        <f t="shared" si="80"/>
        <v>5/2026</v>
      </c>
      <c r="AN653" s="45">
        <f t="shared" si="81"/>
        <v>4</v>
      </c>
      <c r="AO653" s="45" t="str">
        <f t="shared" si="82"/>
        <v>5/2026</v>
      </c>
      <c r="AP653" s="45">
        <f t="shared" si="83"/>
        <v>4</v>
      </c>
      <c r="AQ653" s="45">
        <f t="shared" si="84"/>
        <v>4</v>
      </c>
      <c r="AR653" s="45">
        <f t="shared" si="85"/>
        <v>0</v>
      </c>
      <c r="AS653" s="45">
        <f t="shared" si="86"/>
        <v>0</v>
      </c>
      <c r="AT653" s="45">
        <f t="shared" si="87"/>
        <v>11</v>
      </c>
      <c r="AU653" s="45" t="str">
        <f>_xlfn.XLOOKUP(U653,'Lista Suspensa'!$AA$20:$AA$23,'Lista Suspensa'!$AB$20:$AB$23,"N/A")</f>
        <v>S</v>
      </c>
    </row>
    <row r="654" spans="1:47" ht="12" hidden="1" customHeight="1" x14ac:dyDescent="0.3">
      <c r="A654" s="87" t="s">
        <v>67</v>
      </c>
      <c r="B654" s="88">
        <v>46160</v>
      </c>
      <c r="C654" s="89" t="s">
        <v>211</v>
      </c>
      <c r="D654" s="89" t="s">
        <v>2000</v>
      </c>
      <c r="E654" s="90">
        <v>73396323</v>
      </c>
      <c r="F654" s="184" t="s">
        <v>2082</v>
      </c>
      <c r="G654" s="91" t="s">
        <v>2083</v>
      </c>
      <c r="H654" s="92">
        <v>20569</v>
      </c>
      <c r="I654" s="89">
        <v>70</v>
      </c>
      <c r="J654" s="89" t="s">
        <v>2011</v>
      </c>
      <c r="K654" s="89" t="s">
        <v>52</v>
      </c>
      <c r="L654" s="89" t="s">
        <v>53</v>
      </c>
      <c r="M654" s="89" t="s">
        <v>2084</v>
      </c>
      <c r="N654" s="89">
        <v>50</v>
      </c>
      <c r="O654" s="93">
        <v>11967153883</v>
      </c>
      <c r="P654" s="94" t="s">
        <v>57</v>
      </c>
      <c r="Q654" s="112" t="s">
        <v>745</v>
      </c>
      <c r="R654" s="95">
        <v>46164</v>
      </c>
      <c r="S654" s="96">
        <v>46183</v>
      </c>
      <c r="T654" s="96" t="s">
        <v>59</v>
      </c>
      <c r="U654" s="96" t="s">
        <v>746</v>
      </c>
      <c r="V654" s="92">
        <v>46164</v>
      </c>
      <c r="W654" s="92" t="s">
        <v>61</v>
      </c>
      <c r="X654" s="92" t="s">
        <v>61</v>
      </c>
      <c r="Y654" s="97"/>
      <c r="Z654" s="89" t="s">
        <v>62</v>
      </c>
      <c r="AA654" s="96">
        <v>46183</v>
      </c>
      <c r="AB654" s="89" t="s">
        <v>63</v>
      </c>
      <c r="AC654" s="111"/>
      <c r="AD654" s="89"/>
      <c r="AE654" s="89"/>
      <c r="AF654" s="98"/>
      <c r="AG654" s="98"/>
      <c r="AH654" s="98"/>
      <c r="AI654" s="99"/>
      <c r="AJ654" s="99" t="s">
        <v>197</v>
      </c>
      <c r="AK654" s="99" t="s">
        <v>67</v>
      </c>
      <c r="AL654" s="45" t="s">
        <v>68</v>
      </c>
      <c r="AM654" s="162" t="str">
        <f t="shared" si="80"/>
        <v>5/2026</v>
      </c>
      <c r="AN654" s="45">
        <f t="shared" si="81"/>
        <v>4</v>
      </c>
      <c r="AO654" s="45" t="str">
        <f t="shared" si="82"/>
        <v>5/2026</v>
      </c>
      <c r="AP654" s="45">
        <f t="shared" si="83"/>
        <v>4</v>
      </c>
      <c r="AQ654" s="45">
        <f t="shared" si="84"/>
        <v>0</v>
      </c>
      <c r="AR654" s="45">
        <f t="shared" si="85"/>
        <v>19</v>
      </c>
      <c r="AS654" s="45">
        <f t="shared" si="86"/>
        <v>0</v>
      </c>
      <c r="AT654" s="45">
        <f t="shared" si="87"/>
        <v>0</v>
      </c>
      <c r="AU654" s="45" t="str">
        <f>_xlfn.XLOOKUP(U654,'Lista Suspensa'!$AA$20:$AA$23,'Lista Suspensa'!$AB$20:$AB$23,"N/A")</f>
        <v>S</v>
      </c>
    </row>
    <row r="655" spans="1:47" ht="12" customHeight="1" x14ac:dyDescent="0.3">
      <c r="A655" s="87" t="s">
        <v>67</v>
      </c>
      <c r="B655" s="88">
        <v>46162</v>
      </c>
      <c r="C655" s="89" t="s">
        <v>211</v>
      </c>
      <c r="D655" s="89" t="s">
        <v>2000</v>
      </c>
      <c r="E655" s="90">
        <v>87393294</v>
      </c>
      <c r="F655" s="184" t="s">
        <v>2085</v>
      </c>
      <c r="G655" s="91" t="s">
        <v>2086</v>
      </c>
      <c r="H655" s="92">
        <v>19515</v>
      </c>
      <c r="I655" s="89">
        <v>72</v>
      </c>
      <c r="J655" s="89" t="s">
        <v>51</v>
      </c>
      <c r="K655" s="89" t="s">
        <v>88</v>
      </c>
      <c r="L655" s="89" t="s">
        <v>89</v>
      </c>
      <c r="M655" s="89" t="s">
        <v>2087</v>
      </c>
      <c r="N655" s="89">
        <v>75</v>
      </c>
      <c r="O655" s="93" t="s">
        <v>2088</v>
      </c>
      <c r="P655" s="94" t="s">
        <v>57</v>
      </c>
      <c r="Q655" s="112" t="s">
        <v>58</v>
      </c>
      <c r="R655" s="95">
        <v>46164</v>
      </c>
      <c r="S655" s="96"/>
      <c r="T655" s="96" t="s">
        <v>59</v>
      </c>
      <c r="U655" s="96" t="s">
        <v>60</v>
      </c>
      <c r="V655" s="92">
        <v>46164</v>
      </c>
      <c r="W655" s="92" t="s">
        <v>61</v>
      </c>
      <c r="X655" s="92" t="s">
        <v>61</v>
      </c>
      <c r="Y655" s="97"/>
      <c r="Z655" s="89" t="s">
        <v>62</v>
      </c>
      <c r="AA655" s="96">
        <v>46175</v>
      </c>
      <c r="AB655" s="89" t="s">
        <v>80</v>
      </c>
      <c r="AC655" s="111"/>
      <c r="AD655" s="89"/>
      <c r="AE655" s="89"/>
      <c r="AF655" s="98"/>
      <c r="AG655" s="98"/>
      <c r="AH655" s="98"/>
      <c r="AI655" s="99"/>
      <c r="AJ655" s="99" t="s">
        <v>197</v>
      </c>
      <c r="AK655" s="99" t="s">
        <v>67</v>
      </c>
      <c r="AL655" s="45" t="s">
        <v>68</v>
      </c>
      <c r="AM655" s="162" t="str">
        <f t="shared" si="80"/>
        <v>5/2026</v>
      </c>
      <c r="AN655" s="45">
        <f t="shared" si="81"/>
        <v>4</v>
      </c>
      <c r="AO655" s="45" t="str">
        <f t="shared" si="82"/>
        <v>5/2026</v>
      </c>
      <c r="AP655" s="45">
        <f t="shared" si="83"/>
        <v>4</v>
      </c>
      <c r="AQ655" s="45">
        <f t="shared" si="84"/>
        <v>2</v>
      </c>
      <c r="AR655" s="45">
        <f t="shared" si="85"/>
        <v>0</v>
      </c>
      <c r="AS655" s="45">
        <f t="shared" si="86"/>
        <v>0</v>
      </c>
      <c r="AT655" s="45">
        <f t="shared" si="87"/>
        <v>0</v>
      </c>
      <c r="AU655" s="45" t="str">
        <f>_xlfn.XLOOKUP(U655,'Lista Suspensa'!$AA$20:$AA$23,'Lista Suspensa'!$AB$20:$AB$23,"N/A")</f>
        <v>S</v>
      </c>
    </row>
    <row r="656" spans="1:47" ht="12" customHeight="1" x14ac:dyDescent="0.3">
      <c r="A656" s="87" t="s">
        <v>67</v>
      </c>
      <c r="B656" s="88">
        <v>46163</v>
      </c>
      <c r="C656" s="89" t="s">
        <v>211</v>
      </c>
      <c r="D656" s="89" t="s">
        <v>49</v>
      </c>
      <c r="E656" s="90">
        <v>451114132</v>
      </c>
      <c r="F656" s="184" t="s">
        <v>2089</v>
      </c>
      <c r="G656" s="91">
        <v>42798825849</v>
      </c>
      <c r="H656" s="92">
        <v>18749</v>
      </c>
      <c r="I656" s="89">
        <v>75</v>
      </c>
      <c r="J656" s="89" t="s">
        <v>51</v>
      </c>
      <c r="K656" s="89" t="s">
        <v>52</v>
      </c>
      <c r="L656" s="89" t="s">
        <v>53</v>
      </c>
      <c r="M656" s="89" t="s">
        <v>1101</v>
      </c>
      <c r="N656" s="89">
        <v>100</v>
      </c>
      <c r="O656" s="93" t="s">
        <v>2090</v>
      </c>
      <c r="P656" s="94" t="s">
        <v>57</v>
      </c>
      <c r="Q656" s="112" t="s">
        <v>58</v>
      </c>
      <c r="R656" s="95">
        <v>46171</v>
      </c>
      <c r="S656" s="96"/>
      <c r="T656" s="96" t="s">
        <v>59</v>
      </c>
      <c r="U656" s="96" t="s">
        <v>60</v>
      </c>
      <c r="V656" s="92">
        <v>46164</v>
      </c>
      <c r="W656" s="92">
        <v>46170</v>
      </c>
      <c r="X656" s="92" t="s">
        <v>61</v>
      </c>
      <c r="Y656" s="97"/>
      <c r="Z656" s="89" t="s">
        <v>62</v>
      </c>
      <c r="AA656" s="96">
        <v>46178</v>
      </c>
      <c r="AB656" s="89" t="s">
        <v>80</v>
      </c>
      <c r="AC656" s="111"/>
      <c r="AD656" s="89"/>
      <c r="AE656" s="89"/>
      <c r="AF656" s="98"/>
      <c r="AG656" s="98"/>
      <c r="AH656" s="98"/>
      <c r="AI656" s="99"/>
      <c r="AJ656" s="99" t="s">
        <v>197</v>
      </c>
      <c r="AK656" s="99" t="s">
        <v>67</v>
      </c>
      <c r="AL656" s="45" t="s">
        <v>68</v>
      </c>
      <c r="AM656" s="162" t="str">
        <f t="shared" si="80"/>
        <v>5/2026</v>
      </c>
      <c r="AN656" s="45">
        <f t="shared" si="81"/>
        <v>4</v>
      </c>
      <c r="AO656" s="45" t="str">
        <f t="shared" si="82"/>
        <v>5/2026</v>
      </c>
      <c r="AP656" s="45">
        <f t="shared" si="83"/>
        <v>5</v>
      </c>
      <c r="AQ656" s="45">
        <f t="shared" si="84"/>
        <v>8</v>
      </c>
      <c r="AR656" s="45">
        <f t="shared" si="85"/>
        <v>0</v>
      </c>
      <c r="AS656" s="45">
        <f t="shared" si="86"/>
        <v>6</v>
      </c>
      <c r="AT656" s="45">
        <f t="shared" si="87"/>
        <v>0</v>
      </c>
      <c r="AU656" s="45" t="str">
        <f>_xlfn.XLOOKUP(U656,'Lista Suspensa'!$AA$20:$AA$23,'Lista Suspensa'!$AB$20:$AB$23,"N/A")</f>
        <v>S</v>
      </c>
    </row>
    <row r="657" spans="1:47" ht="12" customHeight="1" x14ac:dyDescent="0.3">
      <c r="A657" s="87" t="s">
        <v>67</v>
      </c>
      <c r="B657" s="88">
        <v>46163</v>
      </c>
      <c r="C657" s="89" t="s">
        <v>211</v>
      </c>
      <c r="D657" s="89" t="s">
        <v>2000</v>
      </c>
      <c r="E657" s="90">
        <v>79089905</v>
      </c>
      <c r="F657" s="184" t="s">
        <v>2091</v>
      </c>
      <c r="G657" s="91" t="s">
        <v>2092</v>
      </c>
      <c r="H657" s="92">
        <v>15179</v>
      </c>
      <c r="I657" s="89">
        <v>84</v>
      </c>
      <c r="J657" s="89" t="s">
        <v>51</v>
      </c>
      <c r="K657" s="89" t="s">
        <v>88</v>
      </c>
      <c r="L657" s="89" t="s">
        <v>89</v>
      </c>
      <c r="M657" s="89" t="s">
        <v>2093</v>
      </c>
      <c r="N657" s="89">
        <v>40</v>
      </c>
      <c r="O657" s="93">
        <v>21994787526</v>
      </c>
      <c r="P657" s="94" t="s">
        <v>57</v>
      </c>
      <c r="Q657" s="112" t="s">
        <v>58</v>
      </c>
      <c r="R657" s="95">
        <v>46171</v>
      </c>
      <c r="S657" s="96"/>
      <c r="T657" s="96" t="s">
        <v>59</v>
      </c>
      <c r="U657" s="96" t="s">
        <v>60</v>
      </c>
      <c r="V657" s="92">
        <v>46164</v>
      </c>
      <c r="W657" s="92">
        <v>46170</v>
      </c>
      <c r="X657" s="92" t="s">
        <v>61</v>
      </c>
      <c r="Y657" s="97"/>
      <c r="Z657" s="89" t="s">
        <v>62</v>
      </c>
      <c r="AA657" s="96">
        <v>46174</v>
      </c>
      <c r="AB657" s="89" t="s">
        <v>80</v>
      </c>
      <c r="AC657" s="111"/>
      <c r="AD657" s="89"/>
      <c r="AE657" s="89"/>
      <c r="AF657" s="98"/>
      <c r="AG657" s="98"/>
      <c r="AH657" s="98"/>
      <c r="AI657" s="99"/>
      <c r="AJ657" s="99" t="s">
        <v>197</v>
      </c>
      <c r="AK657" s="99" t="s">
        <v>67</v>
      </c>
      <c r="AL657" s="45" t="s">
        <v>68</v>
      </c>
      <c r="AM657" s="162" t="str">
        <f t="shared" si="80"/>
        <v>5/2026</v>
      </c>
      <c r="AN657" s="45">
        <f t="shared" si="81"/>
        <v>4</v>
      </c>
      <c r="AO657" s="45" t="str">
        <f t="shared" si="82"/>
        <v>5/2026</v>
      </c>
      <c r="AP657" s="45">
        <f t="shared" si="83"/>
        <v>5</v>
      </c>
      <c r="AQ657" s="45">
        <f t="shared" si="84"/>
        <v>8</v>
      </c>
      <c r="AR657" s="45">
        <f t="shared" si="85"/>
        <v>0</v>
      </c>
      <c r="AS657" s="45">
        <f t="shared" si="86"/>
        <v>6</v>
      </c>
      <c r="AT657" s="45">
        <f t="shared" si="87"/>
        <v>0</v>
      </c>
      <c r="AU657" s="45" t="str">
        <f>_xlfn.XLOOKUP(U657,'Lista Suspensa'!$AA$20:$AA$23,'Lista Suspensa'!$AB$20:$AB$23,"N/A")</f>
        <v>S</v>
      </c>
    </row>
    <row r="658" spans="1:47" ht="12" customHeight="1" x14ac:dyDescent="0.3">
      <c r="A658" s="87" t="s">
        <v>67</v>
      </c>
      <c r="B658" s="88">
        <v>46163</v>
      </c>
      <c r="C658" s="89" t="s">
        <v>211</v>
      </c>
      <c r="D658" s="89" t="s">
        <v>2000</v>
      </c>
      <c r="E658" s="90">
        <v>93851878</v>
      </c>
      <c r="F658" s="184" t="s">
        <v>2094</v>
      </c>
      <c r="G658" s="91" t="s">
        <v>2095</v>
      </c>
      <c r="H658" s="92">
        <v>29996</v>
      </c>
      <c r="I658" s="89">
        <v>44</v>
      </c>
      <c r="J658" s="89" t="s">
        <v>51</v>
      </c>
      <c r="K658" s="89" t="s">
        <v>88</v>
      </c>
      <c r="L658" s="89" t="s">
        <v>89</v>
      </c>
      <c r="M658" s="89" t="s">
        <v>2093</v>
      </c>
      <c r="N658" s="89">
        <v>75</v>
      </c>
      <c r="O658" s="93" t="s">
        <v>2096</v>
      </c>
      <c r="P658" s="94" t="s">
        <v>57</v>
      </c>
      <c r="Q658" s="112" t="s">
        <v>58</v>
      </c>
      <c r="R658" s="95">
        <v>46171</v>
      </c>
      <c r="S658" s="96"/>
      <c r="T658" s="96" t="s">
        <v>59</v>
      </c>
      <c r="U658" s="96" t="s">
        <v>60</v>
      </c>
      <c r="V658" s="92">
        <v>46164</v>
      </c>
      <c r="W658" s="92">
        <v>46170</v>
      </c>
      <c r="X658" s="92" t="s">
        <v>61</v>
      </c>
      <c r="Y658" s="97"/>
      <c r="Z658" s="89" t="s">
        <v>62</v>
      </c>
      <c r="AA658" s="96">
        <v>46174</v>
      </c>
      <c r="AB658" s="89" t="s">
        <v>63</v>
      </c>
      <c r="AC658" s="111"/>
      <c r="AD658" s="89" t="s">
        <v>86</v>
      </c>
      <c r="AE658" s="89">
        <v>50</v>
      </c>
      <c r="AF658" s="98"/>
      <c r="AG658" s="98"/>
      <c r="AH658" s="98" t="s">
        <v>66</v>
      </c>
      <c r="AI658" s="99"/>
      <c r="AJ658" s="99" t="s">
        <v>197</v>
      </c>
      <c r="AK658" s="99" t="s">
        <v>67</v>
      </c>
      <c r="AL658" s="45" t="s">
        <v>68</v>
      </c>
      <c r="AM658" s="162" t="str">
        <f t="shared" si="80"/>
        <v>5/2026</v>
      </c>
      <c r="AN658" s="45">
        <f t="shared" si="81"/>
        <v>4</v>
      </c>
      <c r="AO658" s="45" t="str">
        <f t="shared" si="82"/>
        <v>5/2026</v>
      </c>
      <c r="AP658" s="45">
        <f t="shared" si="83"/>
        <v>5</v>
      </c>
      <c r="AQ658" s="45">
        <f t="shared" si="84"/>
        <v>8</v>
      </c>
      <c r="AR658" s="45">
        <f t="shared" si="85"/>
        <v>0</v>
      </c>
      <c r="AS658" s="45">
        <f t="shared" si="86"/>
        <v>6</v>
      </c>
      <c r="AT658" s="45">
        <f t="shared" si="87"/>
        <v>3</v>
      </c>
      <c r="AU658" s="45" t="str">
        <f>_xlfn.XLOOKUP(U658,'Lista Suspensa'!$AA$20:$AA$23,'Lista Suspensa'!$AB$20:$AB$23,"N/A")</f>
        <v>S</v>
      </c>
    </row>
    <row r="659" spans="1:47" ht="12" hidden="1" customHeight="1" x14ac:dyDescent="0.3">
      <c r="A659" s="87" t="s">
        <v>67</v>
      </c>
      <c r="B659" s="88">
        <v>46083</v>
      </c>
      <c r="C659" s="89" t="s">
        <v>211</v>
      </c>
      <c r="D659" s="89" t="s">
        <v>49</v>
      </c>
      <c r="E659" s="90">
        <v>96437350</v>
      </c>
      <c r="F659" s="184" t="s">
        <v>2097</v>
      </c>
      <c r="G659" s="91">
        <v>92094813720</v>
      </c>
      <c r="H659" s="92">
        <v>24549</v>
      </c>
      <c r="I659" s="89">
        <v>59</v>
      </c>
      <c r="J659" s="89" t="s">
        <v>51</v>
      </c>
      <c r="K659" s="89" t="s">
        <v>88</v>
      </c>
      <c r="L659" s="89" t="s">
        <v>89</v>
      </c>
      <c r="M659" s="89" t="s">
        <v>398</v>
      </c>
      <c r="N659" s="89">
        <v>120</v>
      </c>
      <c r="O659" s="93" t="s">
        <v>2098</v>
      </c>
      <c r="P659" s="94" t="s">
        <v>57</v>
      </c>
      <c r="Q659" s="112" t="s">
        <v>1393</v>
      </c>
      <c r="R659" s="95">
        <v>46085</v>
      </c>
      <c r="S659" s="96">
        <v>46153</v>
      </c>
      <c r="T659" s="96" t="s">
        <v>59</v>
      </c>
      <c r="U659" s="96" t="s">
        <v>79</v>
      </c>
      <c r="V659" s="92">
        <v>46085</v>
      </c>
      <c r="W659" s="92" t="s">
        <v>61</v>
      </c>
      <c r="X659" s="92" t="s">
        <v>61</v>
      </c>
      <c r="Y659" s="97" t="s">
        <v>2099</v>
      </c>
      <c r="Z659" s="89" t="s">
        <v>62</v>
      </c>
      <c r="AA659" s="96">
        <v>46104</v>
      </c>
      <c r="AB659" s="89" t="s">
        <v>80</v>
      </c>
      <c r="AC659" s="111">
        <v>46119</v>
      </c>
      <c r="AD659" s="89"/>
      <c r="AE659" s="89"/>
      <c r="AF659" s="98"/>
      <c r="AG659" s="98"/>
      <c r="AH659" s="98"/>
      <c r="AI659" s="99" t="s">
        <v>67</v>
      </c>
      <c r="AJ659" s="99" t="s">
        <v>81</v>
      </c>
      <c r="AK659" s="99"/>
      <c r="AL659" s="45" t="s">
        <v>68</v>
      </c>
      <c r="AM659" s="162" t="str">
        <f t="shared" si="80"/>
        <v>3/2026</v>
      </c>
      <c r="AN659" s="45">
        <f t="shared" si="81"/>
        <v>1</v>
      </c>
      <c r="AO659" s="45" t="str">
        <f t="shared" si="82"/>
        <v>3/2026</v>
      </c>
      <c r="AP659" s="45">
        <f t="shared" si="83"/>
        <v>1</v>
      </c>
      <c r="AQ659" s="45">
        <f t="shared" si="84"/>
        <v>0</v>
      </c>
      <c r="AR659" s="45">
        <f t="shared" si="85"/>
        <v>68</v>
      </c>
      <c r="AS659" s="45">
        <f t="shared" si="86"/>
        <v>0</v>
      </c>
      <c r="AT659" s="45">
        <f t="shared" si="87"/>
        <v>0</v>
      </c>
      <c r="AU659" s="45" t="str">
        <f>_xlfn.XLOOKUP(U659,'Lista Suspensa'!$AA$20:$AA$23,'Lista Suspensa'!$AB$20:$AB$23,"N/A")</f>
        <v>S</v>
      </c>
    </row>
    <row r="660" spans="1:47" ht="12" hidden="1" customHeight="1" x14ac:dyDescent="0.3">
      <c r="A660" s="87" t="s">
        <v>67</v>
      </c>
      <c r="B660" s="88">
        <v>46091</v>
      </c>
      <c r="C660" s="89" t="s">
        <v>211</v>
      </c>
      <c r="D660" s="89" t="s">
        <v>49</v>
      </c>
      <c r="E660" s="90">
        <v>87068786</v>
      </c>
      <c r="F660" s="184" t="s">
        <v>2100</v>
      </c>
      <c r="G660" s="91" t="s">
        <v>2101</v>
      </c>
      <c r="H660" s="92">
        <v>32015</v>
      </c>
      <c r="I660" s="89">
        <v>38</v>
      </c>
      <c r="J660" s="89" t="s">
        <v>70</v>
      </c>
      <c r="K660" s="89" t="s">
        <v>52</v>
      </c>
      <c r="L660" s="89" t="s">
        <v>53</v>
      </c>
      <c r="M660" s="89" t="s">
        <v>1106</v>
      </c>
      <c r="N660" s="89" t="s">
        <v>91</v>
      </c>
      <c r="O660" s="93" t="s">
        <v>2102</v>
      </c>
      <c r="P660" s="94" t="s">
        <v>57</v>
      </c>
      <c r="Q660" s="112" t="s">
        <v>745</v>
      </c>
      <c r="R660" s="95">
        <v>46098</v>
      </c>
      <c r="S660" s="96">
        <v>46104</v>
      </c>
      <c r="T660" s="96" t="s">
        <v>59</v>
      </c>
      <c r="U660" s="96" t="s">
        <v>79</v>
      </c>
      <c r="V660" s="92">
        <v>46098</v>
      </c>
      <c r="W660" s="92"/>
      <c r="X660" s="92"/>
      <c r="Y660" s="97" t="s">
        <v>104</v>
      </c>
      <c r="Z660" s="89" t="s">
        <v>62</v>
      </c>
      <c r="AA660" s="96">
        <v>46104.680555555555</v>
      </c>
      <c r="AB660" s="89" t="s">
        <v>63</v>
      </c>
      <c r="AC660" s="111"/>
      <c r="AD660" s="89"/>
      <c r="AE660" s="89"/>
      <c r="AF660" s="98" t="s">
        <v>138</v>
      </c>
      <c r="AG660" s="98"/>
      <c r="AH660" s="98" t="s">
        <v>139</v>
      </c>
      <c r="AI660" s="99" t="s">
        <v>67</v>
      </c>
      <c r="AJ660" s="99" t="s">
        <v>81</v>
      </c>
      <c r="AK660" s="99"/>
      <c r="AL660" s="45" t="s">
        <v>68</v>
      </c>
      <c r="AM660" s="162" t="str">
        <f t="shared" si="80"/>
        <v>3/2026</v>
      </c>
      <c r="AN660" s="45">
        <f t="shared" si="81"/>
        <v>2</v>
      </c>
      <c r="AO660" s="45" t="str">
        <f t="shared" si="82"/>
        <v>3/2026</v>
      </c>
      <c r="AP660" s="45">
        <f t="shared" si="83"/>
        <v>3</v>
      </c>
      <c r="AQ660" s="45">
        <f t="shared" si="84"/>
        <v>0</v>
      </c>
      <c r="AR660" s="45">
        <f t="shared" si="85"/>
        <v>6</v>
      </c>
      <c r="AS660" s="45">
        <f t="shared" si="86"/>
        <v>0</v>
      </c>
      <c r="AT660" s="45">
        <f t="shared" si="87"/>
        <v>0</v>
      </c>
      <c r="AU660" s="45" t="str">
        <f>_xlfn.XLOOKUP(U660,'Lista Suspensa'!$AA$20:$AA$23,'Lista Suspensa'!$AB$20:$AB$23,"N/A")</f>
        <v>S</v>
      </c>
    </row>
    <row r="661" spans="1:47" ht="12" hidden="1" customHeight="1" x14ac:dyDescent="0.3">
      <c r="A661" s="87" t="s">
        <v>67</v>
      </c>
      <c r="B661" s="88">
        <v>46091</v>
      </c>
      <c r="C661" s="89" t="s">
        <v>211</v>
      </c>
      <c r="D661" s="89" t="s">
        <v>49</v>
      </c>
      <c r="E661" s="90">
        <v>451625145</v>
      </c>
      <c r="F661" s="184" t="s">
        <v>2103</v>
      </c>
      <c r="G661" s="91">
        <v>107716895</v>
      </c>
      <c r="H661" s="92">
        <v>19281</v>
      </c>
      <c r="I661" s="89">
        <v>73</v>
      </c>
      <c r="J661" s="89" t="s">
        <v>51</v>
      </c>
      <c r="K661" s="89" t="s">
        <v>52</v>
      </c>
      <c r="L661" s="89" t="s">
        <v>53</v>
      </c>
      <c r="M661" s="89" t="s">
        <v>2104</v>
      </c>
      <c r="N661" s="89" t="s">
        <v>72</v>
      </c>
      <c r="O661" s="93" t="s">
        <v>2105</v>
      </c>
      <c r="P661" s="94" t="s">
        <v>57</v>
      </c>
      <c r="Q661" s="112" t="s">
        <v>745</v>
      </c>
      <c r="R661" s="95">
        <v>46098</v>
      </c>
      <c r="S661" s="96">
        <v>46104</v>
      </c>
      <c r="T661" s="96" t="s">
        <v>59</v>
      </c>
      <c r="U661" s="96" t="s">
        <v>79</v>
      </c>
      <c r="V661" s="92">
        <v>46098</v>
      </c>
      <c r="W661" s="92"/>
      <c r="X661" s="92"/>
      <c r="Y661" s="97" t="s">
        <v>104</v>
      </c>
      <c r="Z661" s="89" t="s">
        <v>62</v>
      </c>
      <c r="AA661" s="96">
        <v>46104.625</v>
      </c>
      <c r="AB661" s="89" t="s">
        <v>63</v>
      </c>
      <c r="AC661" s="111"/>
      <c r="AD661" s="89"/>
      <c r="AE661" s="89"/>
      <c r="AF661" s="98" t="s">
        <v>138</v>
      </c>
      <c r="AG661" s="98"/>
      <c r="AH661" s="98" t="s">
        <v>139</v>
      </c>
      <c r="AI661" s="99" t="s">
        <v>67</v>
      </c>
      <c r="AJ661" s="99" t="s">
        <v>81</v>
      </c>
      <c r="AK661" s="99"/>
      <c r="AL661" s="45" t="s">
        <v>68</v>
      </c>
      <c r="AM661" s="162" t="str">
        <f t="shared" si="80"/>
        <v>3/2026</v>
      </c>
      <c r="AN661" s="45">
        <f t="shared" si="81"/>
        <v>2</v>
      </c>
      <c r="AO661" s="45" t="str">
        <f t="shared" si="82"/>
        <v>3/2026</v>
      </c>
      <c r="AP661" s="45">
        <f t="shared" si="83"/>
        <v>3</v>
      </c>
      <c r="AQ661" s="45">
        <f t="shared" si="84"/>
        <v>0</v>
      </c>
      <c r="AR661" s="45">
        <f t="shared" si="85"/>
        <v>6</v>
      </c>
      <c r="AS661" s="45">
        <f t="shared" si="86"/>
        <v>0</v>
      </c>
      <c r="AT661" s="45">
        <f t="shared" si="87"/>
        <v>0</v>
      </c>
      <c r="AU661" s="45" t="str">
        <f>_xlfn.XLOOKUP(U661,'Lista Suspensa'!$AA$20:$AA$23,'Lista Suspensa'!$AB$20:$AB$23,"N/A")</f>
        <v>S</v>
      </c>
    </row>
    <row r="662" spans="1:47" ht="12" hidden="1" customHeight="1" x14ac:dyDescent="0.3">
      <c r="A662" s="87" t="s">
        <v>67</v>
      </c>
      <c r="B662" s="88">
        <v>46091</v>
      </c>
      <c r="C662" s="89" t="s">
        <v>211</v>
      </c>
      <c r="D662" s="89" t="s">
        <v>49</v>
      </c>
      <c r="E662" s="90">
        <v>95040968</v>
      </c>
      <c r="F662" s="184" t="s">
        <v>2106</v>
      </c>
      <c r="G662" s="91" t="s">
        <v>2107</v>
      </c>
      <c r="H662" s="92">
        <v>26534</v>
      </c>
      <c r="I662" s="89">
        <v>53</v>
      </c>
      <c r="J662" s="89" t="s">
        <v>70</v>
      </c>
      <c r="K662" s="89" t="s">
        <v>88</v>
      </c>
      <c r="L662" s="89" t="s">
        <v>408</v>
      </c>
      <c r="M662" s="89" t="s">
        <v>2108</v>
      </c>
      <c r="N662" s="89" t="s">
        <v>121</v>
      </c>
      <c r="O662" s="93" t="s">
        <v>2109</v>
      </c>
      <c r="P662" s="94" t="s">
        <v>57</v>
      </c>
      <c r="Q662" s="112" t="s">
        <v>2110</v>
      </c>
      <c r="R662" s="95">
        <v>46111</v>
      </c>
      <c r="S662" s="96">
        <v>46112</v>
      </c>
      <c r="T662" s="96" t="s">
        <v>59</v>
      </c>
      <c r="U662" s="96" t="s">
        <v>79</v>
      </c>
      <c r="V662" s="92">
        <v>46073</v>
      </c>
      <c r="W662" s="92" t="s">
        <v>61</v>
      </c>
      <c r="X662" s="92" t="s">
        <v>61</v>
      </c>
      <c r="Y662" s="97"/>
      <c r="Z662" s="89" t="s">
        <v>62</v>
      </c>
      <c r="AA662" s="96">
        <v>46111.680555150466</v>
      </c>
      <c r="AB662" s="89" t="s">
        <v>118</v>
      </c>
      <c r="AC662" s="111"/>
      <c r="AD662" s="89"/>
      <c r="AE662" s="89"/>
      <c r="AF662" s="98"/>
      <c r="AG662" s="98"/>
      <c r="AH662" s="98" t="s">
        <v>139</v>
      </c>
      <c r="AI662" s="99" t="s">
        <v>67</v>
      </c>
      <c r="AJ662" s="99" t="s">
        <v>81</v>
      </c>
      <c r="AK662" s="99"/>
      <c r="AL662" s="45" t="s">
        <v>68</v>
      </c>
      <c r="AM662" s="162" t="str">
        <f t="shared" si="80"/>
        <v>3/2026</v>
      </c>
      <c r="AN662" s="45">
        <f t="shared" si="81"/>
        <v>2</v>
      </c>
      <c r="AO662" s="45" t="str">
        <f t="shared" si="82"/>
        <v>3/2026</v>
      </c>
      <c r="AP662" s="45">
        <f t="shared" si="83"/>
        <v>5</v>
      </c>
      <c r="AQ662" s="45">
        <f t="shared" si="84"/>
        <v>0</v>
      </c>
      <c r="AR662" s="45">
        <f t="shared" si="85"/>
        <v>1</v>
      </c>
      <c r="AS662" s="45">
        <f t="shared" si="86"/>
        <v>0</v>
      </c>
      <c r="AT662" s="45">
        <f t="shared" si="87"/>
        <v>0</v>
      </c>
      <c r="AU662" s="45" t="str">
        <f>_xlfn.XLOOKUP(U662,'Lista Suspensa'!$AA$20:$AA$23,'Lista Suspensa'!$AB$20:$AB$23,"N/A")</f>
        <v>S</v>
      </c>
    </row>
    <row r="663" spans="1:47" ht="12" hidden="1" customHeight="1" x14ac:dyDescent="0.3">
      <c r="A663" s="87" t="s">
        <v>67</v>
      </c>
      <c r="B663" s="88">
        <v>46091</v>
      </c>
      <c r="C663" s="89" t="s">
        <v>211</v>
      </c>
      <c r="D663" s="89" t="s">
        <v>49</v>
      </c>
      <c r="E663" s="90">
        <v>76431495</v>
      </c>
      <c r="F663" s="184" t="s">
        <v>2111</v>
      </c>
      <c r="G663" s="91">
        <v>85715433720</v>
      </c>
      <c r="H663" s="92">
        <v>25591</v>
      </c>
      <c r="I663" s="89">
        <v>56</v>
      </c>
      <c r="J663" s="89" t="s">
        <v>51</v>
      </c>
      <c r="K663" s="89" t="s">
        <v>88</v>
      </c>
      <c r="L663" s="89" t="s">
        <v>97</v>
      </c>
      <c r="M663" s="89" t="s">
        <v>2112</v>
      </c>
      <c r="N663" s="89" t="s">
        <v>130</v>
      </c>
      <c r="O663" s="93" t="s">
        <v>2113</v>
      </c>
      <c r="P663" s="94" t="s">
        <v>57</v>
      </c>
      <c r="Q663" s="112" t="s">
        <v>2110</v>
      </c>
      <c r="R663" s="95">
        <v>46150</v>
      </c>
      <c r="S663" s="96">
        <v>46153</v>
      </c>
      <c r="T663" s="96" t="s">
        <v>59</v>
      </c>
      <c r="U663" s="96" t="s">
        <v>79</v>
      </c>
      <c r="V663" s="92">
        <v>46073</v>
      </c>
      <c r="W663" s="92" t="s">
        <v>61</v>
      </c>
      <c r="X663" s="92" t="s">
        <v>61</v>
      </c>
      <c r="Y663" s="97"/>
      <c r="Z663" s="89" t="s">
        <v>62</v>
      </c>
      <c r="AA663" s="96">
        <v>46111.597222222219</v>
      </c>
      <c r="AB663" s="89" t="s">
        <v>118</v>
      </c>
      <c r="AC663" s="111"/>
      <c r="AD663" s="89"/>
      <c r="AE663" s="89"/>
      <c r="AF663" s="98"/>
      <c r="AG663" s="98"/>
      <c r="AH663" s="98"/>
      <c r="AI663" s="99" t="s">
        <v>67</v>
      </c>
      <c r="AJ663" s="99" t="s">
        <v>81</v>
      </c>
      <c r="AK663" s="99"/>
      <c r="AL663" s="45" t="s">
        <v>68</v>
      </c>
      <c r="AM663" s="162" t="str">
        <f t="shared" si="80"/>
        <v>3/2026</v>
      </c>
      <c r="AN663" s="45">
        <f t="shared" si="81"/>
        <v>2</v>
      </c>
      <c r="AO663" s="45" t="str">
        <f t="shared" si="82"/>
        <v>5/2026</v>
      </c>
      <c r="AP663" s="45">
        <f t="shared" si="83"/>
        <v>2</v>
      </c>
      <c r="AQ663" s="45">
        <f t="shared" si="84"/>
        <v>0</v>
      </c>
      <c r="AR663" s="45">
        <f t="shared" si="85"/>
        <v>3</v>
      </c>
      <c r="AS663" s="45">
        <f t="shared" si="86"/>
        <v>0</v>
      </c>
      <c r="AT663" s="45">
        <f t="shared" si="87"/>
        <v>0</v>
      </c>
      <c r="AU663" s="45" t="str">
        <f>_xlfn.XLOOKUP(U663,'Lista Suspensa'!$AA$20:$AA$23,'Lista Suspensa'!$AB$20:$AB$23,"N/A")</f>
        <v>S</v>
      </c>
    </row>
    <row r="664" spans="1:47" ht="12" hidden="1" customHeight="1" x14ac:dyDescent="0.3">
      <c r="A664" s="87" t="s">
        <v>67</v>
      </c>
      <c r="B664" s="88">
        <v>46091</v>
      </c>
      <c r="C664" s="89" t="s">
        <v>211</v>
      </c>
      <c r="D664" s="89" t="s">
        <v>49</v>
      </c>
      <c r="E664" s="90">
        <v>450009696</v>
      </c>
      <c r="F664" s="184" t="s">
        <v>2114</v>
      </c>
      <c r="G664" s="91">
        <v>76662144800</v>
      </c>
      <c r="H664" s="92">
        <v>17479</v>
      </c>
      <c r="I664" s="89">
        <v>78</v>
      </c>
      <c r="J664" s="89" t="s">
        <v>51</v>
      </c>
      <c r="K664" s="89" t="s">
        <v>52</v>
      </c>
      <c r="L664" s="89" t="s">
        <v>53</v>
      </c>
      <c r="M664" s="89" t="s">
        <v>2115</v>
      </c>
      <c r="N664" s="89" t="s">
        <v>170</v>
      </c>
      <c r="O664" s="93" t="s">
        <v>2116</v>
      </c>
      <c r="P664" s="94" t="s">
        <v>57</v>
      </c>
      <c r="Q664" s="112" t="s">
        <v>745</v>
      </c>
      <c r="R664" s="95">
        <v>46150</v>
      </c>
      <c r="S664" s="95">
        <v>46150</v>
      </c>
      <c r="T664" s="96" t="s">
        <v>59</v>
      </c>
      <c r="U664" s="96" t="s">
        <v>79</v>
      </c>
      <c r="V664" s="92">
        <v>46098</v>
      </c>
      <c r="W664" s="92" t="s">
        <v>61</v>
      </c>
      <c r="X664" s="92" t="s">
        <v>61</v>
      </c>
      <c r="Y664" s="97" t="s">
        <v>2117</v>
      </c>
      <c r="Z664" s="89" t="s">
        <v>62</v>
      </c>
      <c r="AA664" s="96">
        <v>46106.694444444445</v>
      </c>
      <c r="AB664" s="89" t="s">
        <v>80</v>
      </c>
      <c r="AC664" s="111"/>
      <c r="AD664" s="89"/>
      <c r="AE664" s="89"/>
      <c r="AF664" s="98"/>
      <c r="AG664" s="98"/>
      <c r="AH664" s="98" t="s">
        <v>139</v>
      </c>
      <c r="AI664" s="99" t="s">
        <v>67</v>
      </c>
      <c r="AJ664" s="99" t="s">
        <v>81</v>
      </c>
      <c r="AK664" s="99"/>
      <c r="AL664" s="45" t="s">
        <v>68</v>
      </c>
      <c r="AM664" s="162" t="str">
        <f t="shared" si="80"/>
        <v>3/2026</v>
      </c>
      <c r="AN664" s="45">
        <f t="shared" si="81"/>
        <v>2</v>
      </c>
      <c r="AO664" s="45" t="str">
        <f t="shared" si="82"/>
        <v>5/2026</v>
      </c>
      <c r="AP664" s="45">
        <f t="shared" si="83"/>
        <v>2</v>
      </c>
      <c r="AQ664" s="45">
        <f t="shared" si="84"/>
        <v>0</v>
      </c>
      <c r="AR664" s="45">
        <f t="shared" si="85"/>
        <v>0</v>
      </c>
      <c r="AS664" s="45">
        <f t="shared" si="86"/>
        <v>0</v>
      </c>
      <c r="AT664" s="45">
        <f t="shared" si="87"/>
        <v>0</v>
      </c>
      <c r="AU664" s="45" t="str">
        <f>_xlfn.XLOOKUP(U664,'Lista Suspensa'!$AA$20:$AA$23,'Lista Suspensa'!$AB$20:$AB$23,"N/A")</f>
        <v>S</v>
      </c>
    </row>
    <row r="665" spans="1:47" ht="12" hidden="1" customHeight="1" x14ac:dyDescent="0.3">
      <c r="A665" s="87" t="s">
        <v>67</v>
      </c>
      <c r="B665" s="88">
        <v>46091</v>
      </c>
      <c r="C665" s="89" t="s">
        <v>211</v>
      </c>
      <c r="D665" s="89" t="s">
        <v>49</v>
      </c>
      <c r="E665" s="90">
        <v>78385721</v>
      </c>
      <c r="F665" s="184" t="s">
        <v>2118</v>
      </c>
      <c r="G665" s="91">
        <v>3186556406</v>
      </c>
      <c r="H665" s="92">
        <v>29078</v>
      </c>
      <c r="I665" s="89">
        <v>46</v>
      </c>
      <c r="J665" s="89" t="s">
        <v>51</v>
      </c>
      <c r="K665" s="89" t="s">
        <v>52</v>
      </c>
      <c r="L665" s="89" t="s">
        <v>53</v>
      </c>
      <c r="M665" s="89" t="s">
        <v>1832</v>
      </c>
      <c r="N665" s="89" t="s">
        <v>170</v>
      </c>
      <c r="O665" s="93" t="s">
        <v>2119</v>
      </c>
      <c r="P665" s="94" t="s">
        <v>57</v>
      </c>
      <c r="Q665" s="112" t="s">
        <v>745</v>
      </c>
      <c r="R665" s="95">
        <v>46141</v>
      </c>
      <c r="S665" s="96">
        <v>46150</v>
      </c>
      <c r="T665" s="96" t="s">
        <v>59</v>
      </c>
      <c r="U665" s="96" t="s">
        <v>79</v>
      </c>
      <c r="V665" s="92">
        <v>46098</v>
      </c>
      <c r="W665" s="92">
        <v>46095</v>
      </c>
      <c r="X665" s="92">
        <v>46141</v>
      </c>
      <c r="Y665" s="97" t="s">
        <v>2120</v>
      </c>
      <c r="Z665" s="89" t="s">
        <v>62</v>
      </c>
      <c r="AA665" s="96">
        <v>46147</v>
      </c>
      <c r="AB665" s="89" t="s">
        <v>63</v>
      </c>
      <c r="AC665" s="111">
        <v>46150</v>
      </c>
      <c r="AD665" s="89"/>
      <c r="AE665" s="89"/>
      <c r="AF665" s="98"/>
      <c r="AG665" s="98"/>
      <c r="AH665" s="98" t="s">
        <v>139</v>
      </c>
      <c r="AI665" s="99" t="s">
        <v>67</v>
      </c>
      <c r="AJ665" s="99" t="s">
        <v>81</v>
      </c>
      <c r="AK665" s="99"/>
      <c r="AL665" s="45" t="s">
        <v>68</v>
      </c>
      <c r="AM665" s="162" t="str">
        <f t="shared" si="80"/>
        <v>3/2026</v>
      </c>
      <c r="AN665" s="45">
        <f t="shared" si="81"/>
        <v>2</v>
      </c>
      <c r="AO665" s="45" t="str">
        <f t="shared" si="82"/>
        <v>4/2026</v>
      </c>
      <c r="AP665" s="45">
        <f t="shared" si="83"/>
        <v>5</v>
      </c>
      <c r="AQ665" s="45">
        <f t="shared" si="84"/>
        <v>0</v>
      </c>
      <c r="AR665" s="45">
        <f t="shared" si="85"/>
        <v>9</v>
      </c>
      <c r="AS665" s="45">
        <f t="shared" si="86"/>
        <v>0</v>
      </c>
      <c r="AT665" s="45">
        <f t="shared" si="87"/>
        <v>0</v>
      </c>
      <c r="AU665" s="45" t="str">
        <f>_xlfn.XLOOKUP(U665,'Lista Suspensa'!$AA$20:$AA$23,'Lista Suspensa'!$AB$20:$AB$23,"N/A")</f>
        <v>S</v>
      </c>
    </row>
    <row r="666" spans="1:47" ht="12" hidden="1" customHeight="1" x14ac:dyDescent="0.3">
      <c r="A666" s="87" t="s">
        <v>47</v>
      </c>
      <c r="B666" s="88">
        <v>46104</v>
      </c>
      <c r="C666" s="89" t="s">
        <v>48</v>
      </c>
      <c r="D666" s="89" t="s">
        <v>49</v>
      </c>
      <c r="E666" s="90">
        <v>759241520</v>
      </c>
      <c r="F666" s="184" t="s">
        <v>2121</v>
      </c>
      <c r="G666" s="91">
        <v>3922960715</v>
      </c>
      <c r="H666" s="92">
        <v>12005</v>
      </c>
      <c r="I666" s="89">
        <v>93</v>
      </c>
      <c r="J666" s="89" t="s">
        <v>51</v>
      </c>
      <c r="K666" s="89" t="s">
        <v>88</v>
      </c>
      <c r="L666" s="89" t="s">
        <v>89</v>
      </c>
      <c r="M666" s="89" t="s">
        <v>1933</v>
      </c>
      <c r="N666" s="89" t="s">
        <v>252</v>
      </c>
      <c r="O666" s="93" t="s">
        <v>2122</v>
      </c>
      <c r="P666" s="94" t="s">
        <v>57</v>
      </c>
      <c r="Q666" s="112" t="s">
        <v>745</v>
      </c>
      <c r="R666" s="95">
        <v>46141</v>
      </c>
      <c r="S666" s="95">
        <v>46141</v>
      </c>
      <c r="T666" s="96" t="s">
        <v>59</v>
      </c>
      <c r="U666" s="96" t="s">
        <v>79</v>
      </c>
      <c r="V666" s="92">
        <v>46140</v>
      </c>
      <c r="W666" s="92">
        <v>46141</v>
      </c>
      <c r="X666" s="92" t="s">
        <v>61</v>
      </c>
      <c r="Y666" s="97" t="s">
        <v>2117</v>
      </c>
      <c r="Z666" s="89" t="s">
        <v>62</v>
      </c>
      <c r="AA666" s="96">
        <v>46149</v>
      </c>
      <c r="AB666" s="89" t="s">
        <v>63</v>
      </c>
      <c r="AC666" s="111" t="s">
        <v>2123</v>
      </c>
      <c r="AD666" s="89"/>
      <c r="AE666" s="89"/>
      <c r="AF666" s="98"/>
      <c r="AG666" s="98"/>
      <c r="AH666" s="98"/>
      <c r="AI666" s="99" t="s">
        <v>67</v>
      </c>
      <c r="AJ666" s="99" t="s">
        <v>81</v>
      </c>
      <c r="AK666" s="99" t="s">
        <v>67</v>
      </c>
      <c r="AL666" s="45" t="s">
        <v>68</v>
      </c>
      <c r="AM666" s="162" t="str">
        <f t="shared" si="80"/>
        <v>3/2026</v>
      </c>
      <c r="AN666" s="45">
        <f t="shared" si="81"/>
        <v>4</v>
      </c>
      <c r="AO666" s="45" t="str">
        <f t="shared" si="82"/>
        <v>4/2026</v>
      </c>
      <c r="AP666" s="45">
        <f t="shared" si="83"/>
        <v>5</v>
      </c>
      <c r="AQ666" s="45">
        <f t="shared" si="84"/>
        <v>0</v>
      </c>
      <c r="AR666" s="45">
        <f t="shared" si="85"/>
        <v>0</v>
      </c>
      <c r="AS666" s="45">
        <f t="shared" si="86"/>
        <v>0</v>
      </c>
      <c r="AT666" s="45">
        <f t="shared" si="87"/>
        <v>0</v>
      </c>
      <c r="AU666" s="45" t="str">
        <f>_xlfn.XLOOKUP(U666,'Lista Suspensa'!$AA$20:$AA$23,'Lista Suspensa'!$AB$20:$AB$23,"N/A")</f>
        <v>S</v>
      </c>
    </row>
    <row r="667" spans="1:47" ht="12" hidden="1" customHeight="1" x14ac:dyDescent="0.3">
      <c r="A667" s="87" t="s">
        <v>47</v>
      </c>
      <c r="B667" s="88">
        <v>46104</v>
      </c>
      <c r="C667" s="89" t="s">
        <v>48</v>
      </c>
      <c r="D667" s="89" t="s">
        <v>49</v>
      </c>
      <c r="E667" s="90">
        <v>89946617</v>
      </c>
      <c r="F667" s="184" t="s">
        <v>2124</v>
      </c>
      <c r="G667" s="91">
        <v>40706504828</v>
      </c>
      <c r="H667" s="92">
        <v>37802</v>
      </c>
      <c r="I667" s="89">
        <v>22</v>
      </c>
      <c r="J667" s="89" t="s">
        <v>51</v>
      </c>
      <c r="K667" s="89" t="s">
        <v>52</v>
      </c>
      <c r="L667" s="89" t="s">
        <v>53</v>
      </c>
      <c r="M667" s="89" t="s">
        <v>2125</v>
      </c>
      <c r="N667" s="89" t="s">
        <v>55</v>
      </c>
      <c r="O667" s="93" t="s">
        <v>2126</v>
      </c>
      <c r="P667" s="94" t="s">
        <v>57</v>
      </c>
      <c r="Q667" s="112" t="s">
        <v>745</v>
      </c>
      <c r="R667" s="95">
        <v>46140</v>
      </c>
      <c r="S667" s="95">
        <v>46140</v>
      </c>
      <c r="T667" s="96" t="s">
        <v>59</v>
      </c>
      <c r="U667" s="96" t="s">
        <v>79</v>
      </c>
      <c r="V667" s="92">
        <v>46140</v>
      </c>
      <c r="W667" s="92" t="s">
        <v>61</v>
      </c>
      <c r="X667" s="92" t="s">
        <v>61</v>
      </c>
      <c r="Y667" s="97"/>
      <c r="Z667" s="89" t="s">
        <v>62</v>
      </c>
      <c r="AA667" s="96" t="s">
        <v>2127</v>
      </c>
      <c r="AB667" s="89" t="s">
        <v>63</v>
      </c>
      <c r="AC667" s="111"/>
      <c r="AD667" s="89"/>
      <c r="AE667" s="89"/>
      <c r="AF667" s="98"/>
      <c r="AG667" s="98"/>
      <c r="AH667" s="98"/>
      <c r="AI667" s="99" t="s">
        <v>67</v>
      </c>
      <c r="AJ667" s="99" t="s">
        <v>81</v>
      </c>
      <c r="AK667" s="99"/>
      <c r="AL667" s="45" t="s">
        <v>68</v>
      </c>
      <c r="AM667" s="162" t="str">
        <f t="shared" si="80"/>
        <v>3/2026</v>
      </c>
      <c r="AN667" s="45">
        <f t="shared" si="81"/>
        <v>4</v>
      </c>
      <c r="AO667" s="45" t="str">
        <f t="shared" si="82"/>
        <v>4/2026</v>
      </c>
      <c r="AP667" s="45">
        <f t="shared" si="83"/>
        <v>5</v>
      </c>
      <c r="AQ667" s="45">
        <f t="shared" si="84"/>
        <v>0</v>
      </c>
      <c r="AR667" s="45">
        <f t="shared" si="85"/>
        <v>0</v>
      </c>
      <c r="AS667" s="45">
        <f t="shared" si="86"/>
        <v>0</v>
      </c>
      <c r="AT667" s="45">
        <f t="shared" si="87"/>
        <v>0</v>
      </c>
      <c r="AU667" s="45" t="str">
        <f>_xlfn.XLOOKUP(U667,'Lista Suspensa'!$AA$20:$AA$23,'Lista Suspensa'!$AB$20:$AB$23,"N/A")</f>
        <v>S</v>
      </c>
    </row>
    <row r="668" spans="1:47" ht="12" hidden="1" customHeight="1" x14ac:dyDescent="0.3">
      <c r="A668" s="87" t="s">
        <v>47</v>
      </c>
      <c r="B668" s="88">
        <v>46104</v>
      </c>
      <c r="C668" s="89" t="s">
        <v>48</v>
      </c>
      <c r="D668" s="89" t="s">
        <v>49</v>
      </c>
      <c r="E668" s="193">
        <v>450522776</v>
      </c>
      <c r="F668" s="184" t="s">
        <v>2128</v>
      </c>
      <c r="G668" s="91">
        <v>79151868849</v>
      </c>
      <c r="H668" s="92">
        <v>21061</v>
      </c>
      <c r="I668" s="89">
        <v>68</v>
      </c>
      <c r="J668" s="89" t="s">
        <v>51</v>
      </c>
      <c r="K668" s="89" t="s">
        <v>52</v>
      </c>
      <c r="L668" s="89" t="s">
        <v>53</v>
      </c>
      <c r="M668" s="89" t="s">
        <v>1910</v>
      </c>
      <c r="N668" s="89" t="s">
        <v>252</v>
      </c>
      <c r="O668" s="93" t="s">
        <v>2129</v>
      </c>
      <c r="P668" s="94" t="s">
        <v>57</v>
      </c>
      <c r="Q668" s="112" t="s">
        <v>745</v>
      </c>
      <c r="R668" s="95">
        <v>46163</v>
      </c>
      <c r="S668" s="96">
        <v>46170</v>
      </c>
      <c r="T668" s="96" t="s">
        <v>59</v>
      </c>
      <c r="U668" s="96" t="s">
        <v>79</v>
      </c>
      <c r="V668" s="92">
        <v>46112</v>
      </c>
      <c r="W668" s="92">
        <v>46147</v>
      </c>
      <c r="X668" s="92">
        <v>46154</v>
      </c>
      <c r="Y668" s="97"/>
      <c r="Z668" s="89" t="s">
        <v>62</v>
      </c>
      <c r="AA668" s="96">
        <v>46170</v>
      </c>
      <c r="AB668" s="89" t="s">
        <v>63</v>
      </c>
      <c r="AC668" s="111"/>
      <c r="AD668" s="89" t="s">
        <v>265</v>
      </c>
      <c r="AE668" s="89">
        <v>35</v>
      </c>
      <c r="AF668" s="98"/>
      <c r="AG668" s="98"/>
      <c r="AH668" s="98" t="s">
        <v>139</v>
      </c>
      <c r="AI668" s="99"/>
      <c r="AJ668" s="99" t="s">
        <v>81</v>
      </c>
      <c r="AK668" s="99" t="s">
        <v>67</v>
      </c>
      <c r="AL668" s="45" t="s">
        <v>68</v>
      </c>
      <c r="AM668" s="162" t="str">
        <f t="shared" si="80"/>
        <v>3/2026</v>
      </c>
      <c r="AN668" s="45">
        <f t="shared" si="81"/>
        <v>4</v>
      </c>
      <c r="AO668" s="45" t="str">
        <f t="shared" si="82"/>
        <v>5/2026</v>
      </c>
      <c r="AP668" s="45">
        <f t="shared" si="83"/>
        <v>4</v>
      </c>
      <c r="AQ668" s="45">
        <f t="shared" si="84"/>
        <v>0</v>
      </c>
      <c r="AR668" s="45">
        <f t="shared" si="85"/>
        <v>7</v>
      </c>
      <c r="AS668" s="45">
        <f t="shared" si="86"/>
        <v>0</v>
      </c>
      <c r="AT668" s="45">
        <f t="shared" si="87"/>
        <v>0</v>
      </c>
      <c r="AU668" s="45" t="str">
        <f>_xlfn.XLOOKUP(U668,'Lista Suspensa'!$AA$20:$AA$23,'Lista Suspensa'!$AB$20:$AB$23,"N/A")</f>
        <v>S</v>
      </c>
    </row>
    <row r="669" spans="1:47" ht="12" hidden="1" customHeight="1" x14ac:dyDescent="0.3">
      <c r="A669" s="87" t="s">
        <v>47</v>
      </c>
      <c r="B669" s="88">
        <v>46104</v>
      </c>
      <c r="C669" s="89" t="s">
        <v>48</v>
      </c>
      <c r="D669" s="89" t="s">
        <v>49</v>
      </c>
      <c r="E669" s="90">
        <v>451179838</v>
      </c>
      <c r="F669" s="184" t="s">
        <v>2130</v>
      </c>
      <c r="G669" s="91">
        <v>8326834858</v>
      </c>
      <c r="H669" s="92">
        <v>18704</v>
      </c>
      <c r="I669" s="89">
        <v>75</v>
      </c>
      <c r="J669" s="89" t="s">
        <v>51</v>
      </c>
      <c r="K669" s="89" t="s">
        <v>52</v>
      </c>
      <c r="L669" s="89" t="s">
        <v>53</v>
      </c>
      <c r="M669" s="89" t="s">
        <v>1722</v>
      </c>
      <c r="N669" s="89" t="s">
        <v>91</v>
      </c>
      <c r="O669" s="93" t="s">
        <v>2131</v>
      </c>
      <c r="P669" s="94" t="s">
        <v>57</v>
      </c>
      <c r="Q669" s="112" t="s">
        <v>745</v>
      </c>
      <c r="R669" s="95">
        <v>46140</v>
      </c>
      <c r="S669" s="96">
        <v>46146</v>
      </c>
      <c r="T669" s="96" t="s">
        <v>59</v>
      </c>
      <c r="U669" s="96" t="s">
        <v>79</v>
      </c>
      <c r="V669" s="92">
        <v>46140</v>
      </c>
      <c r="W669" s="92" t="s">
        <v>61</v>
      </c>
      <c r="X669" s="92" t="s">
        <v>61</v>
      </c>
      <c r="Y669" s="97" t="s">
        <v>2038</v>
      </c>
      <c r="Z669" s="89" t="s">
        <v>62</v>
      </c>
      <c r="AA669" s="96" t="s">
        <v>2132</v>
      </c>
      <c r="AB669" s="89" t="s">
        <v>63</v>
      </c>
      <c r="AC669" s="111"/>
      <c r="AD669" s="89"/>
      <c r="AE669" s="89"/>
      <c r="AF669" s="98"/>
      <c r="AG669" s="98"/>
      <c r="AH669" s="98"/>
      <c r="AI669" s="99" t="s">
        <v>67</v>
      </c>
      <c r="AJ669" s="99" t="s">
        <v>81</v>
      </c>
      <c r="AK669" s="99"/>
      <c r="AL669" s="45" t="s">
        <v>68</v>
      </c>
      <c r="AM669" s="162" t="str">
        <f t="shared" si="80"/>
        <v>3/2026</v>
      </c>
      <c r="AN669" s="45">
        <f t="shared" si="81"/>
        <v>4</v>
      </c>
      <c r="AO669" s="45" t="str">
        <f t="shared" si="82"/>
        <v>4/2026</v>
      </c>
      <c r="AP669" s="45">
        <f t="shared" si="83"/>
        <v>5</v>
      </c>
      <c r="AQ669" s="45">
        <f t="shared" si="84"/>
        <v>0</v>
      </c>
      <c r="AR669" s="45">
        <f t="shared" si="85"/>
        <v>6</v>
      </c>
      <c r="AS669" s="45">
        <f t="shared" si="86"/>
        <v>0</v>
      </c>
      <c r="AT669" s="45">
        <f t="shared" si="87"/>
        <v>0</v>
      </c>
      <c r="AU669" s="45" t="str">
        <f>_xlfn.XLOOKUP(U669,'Lista Suspensa'!$AA$20:$AA$23,'Lista Suspensa'!$AB$20:$AB$23,"N/A")</f>
        <v>S</v>
      </c>
    </row>
    <row r="670" spans="1:47" ht="12" hidden="1" customHeight="1" x14ac:dyDescent="0.3">
      <c r="A670" s="87" t="s">
        <v>47</v>
      </c>
      <c r="B670" s="88">
        <v>46104</v>
      </c>
      <c r="C670" s="89" t="s">
        <v>48</v>
      </c>
      <c r="D670" s="89" t="s">
        <v>49</v>
      </c>
      <c r="E670" s="90">
        <v>984353909</v>
      </c>
      <c r="F670" s="184" t="s">
        <v>2133</v>
      </c>
      <c r="G670" s="91">
        <v>30866707387</v>
      </c>
      <c r="H670" s="92">
        <v>19647</v>
      </c>
      <c r="I670" s="89">
        <v>72</v>
      </c>
      <c r="J670" s="89" t="s">
        <v>70</v>
      </c>
      <c r="K670" s="89" t="s">
        <v>52</v>
      </c>
      <c r="L670" s="89" t="s">
        <v>331</v>
      </c>
      <c r="M670" s="89" t="s">
        <v>2134</v>
      </c>
      <c r="N670" s="89" t="s">
        <v>91</v>
      </c>
      <c r="O670" s="93" t="s">
        <v>2135</v>
      </c>
      <c r="P670" s="94" t="s">
        <v>57</v>
      </c>
      <c r="Q670" s="112" t="s">
        <v>941</v>
      </c>
      <c r="R670" s="95">
        <v>46147</v>
      </c>
      <c r="S670" s="96">
        <v>46154</v>
      </c>
      <c r="T670" s="96" t="s">
        <v>59</v>
      </c>
      <c r="U670" s="96" t="s">
        <v>79</v>
      </c>
      <c r="V670" s="92">
        <v>46140</v>
      </c>
      <c r="W670" s="92">
        <v>46147</v>
      </c>
      <c r="X670" s="92" t="s">
        <v>61</v>
      </c>
      <c r="Y670" s="97"/>
      <c r="Z670" s="89" t="s">
        <v>62</v>
      </c>
      <c r="AA670" s="96" t="s">
        <v>964</v>
      </c>
      <c r="AB670" s="89" t="s">
        <v>63</v>
      </c>
      <c r="AC670" s="111"/>
      <c r="AD670" s="89"/>
      <c r="AE670" s="89"/>
      <c r="AF670" s="98"/>
      <c r="AG670" s="98"/>
      <c r="AH670" s="98"/>
      <c r="AI670" s="99" t="s">
        <v>197</v>
      </c>
      <c r="AJ670" s="99" t="s">
        <v>81</v>
      </c>
      <c r="AK670" s="99"/>
      <c r="AL670" s="45" t="s">
        <v>68</v>
      </c>
      <c r="AM670" s="162" t="str">
        <f t="shared" si="80"/>
        <v>3/2026</v>
      </c>
      <c r="AN670" s="45">
        <f t="shared" si="81"/>
        <v>4</v>
      </c>
      <c r="AO670" s="45" t="str">
        <f t="shared" si="82"/>
        <v>5/2026</v>
      </c>
      <c r="AP670" s="45">
        <f t="shared" si="83"/>
        <v>2</v>
      </c>
      <c r="AQ670" s="45">
        <f t="shared" si="84"/>
        <v>0</v>
      </c>
      <c r="AR670" s="45">
        <f t="shared" si="85"/>
        <v>7</v>
      </c>
      <c r="AS670" s="45">
        <f t="shared" si="86"/>
        <v>0</v>
      </c>
      <c r="AT670" s="45">
        <f t="shared" si="87"/>
        <v>0</v>
      </c>
      <c r="AU670" s="45" t="str">
        <f>_xlfn.XLOOKUP(U670,'Lista Suspensa'!$AA$20:$AA$23,'Lista Suspensa'!$AB$20:$AB$23,"N/A")</f>
        <v>S</v>
      </c>
    </row>
    <row r="671" spans="1:47" ht="12" hidden="1" customHeight="1" x14ac:dyDescent="0.3">
      <c r="A671" s="87" t="s">
        <v>47</v>
      </c>
      <c r="B671" s="88">
        <v>46104</v>
      </c>
      <c r="C671" s="89" t="s">
        <v>48</v>
      </c>
      <c r="D671" s="89" t="s">
        <v>49</v>
      </c>
      <c r="E671" s="90">
        <v>773119124</v>
      </c>
      <c r="F671" s="184" t="s">
        <v>2136</v>
      </c>
      <c r="G671" s="91">
        <v>8305171892</v>
      </c>
      <c r="H671" s="92">
        <v>16172</v>
      </c>
      <c r="I671" s="89">
        <v>81</v>
      </c>
      <c r="J671" s="89" t="s">
        <v>70</v>
      </c>
      <c r="K671" s="89" t="s">
        <v>52</v>
      </c>
      <c r="L671" s="89" t="s">
        <v>53</v>
      </c>
      <c r="M671" s="89" t="s">
        <v>840</v>
      </c>
      <c r="N671" s="89" t="s">
        <v>91</v>
      </c>
      <c r="O671" s="93" t="s">
        <v>2137</v>
      </c>
      <c r="P671" s="94" t="s">
        <v>57</v>
      </c>
      <c r="Q671" s="112" t="s">
        <v>745</v>
      </c>
      <c r="R671" s="95">
        <v>46117</v>
      </c>
      <c r="S671" s="96">
        <v>46155</v>
      </c>
      <c r="T671" s="96" t="s">
        <v>59</v>
      </c>
      <c r="U671" s="96" t="s">
        <v>79</v>
      </c>
      <c r="V671" s="92">
        <v>46112</v>
      </c>
      <c r="W671" s="92">
        <v>46147</v>
      </c>
      <c r="X671" s="92">
        <v>46155</v>
      </c>
      <c r="Y671" s="97"/>
      <c r="Z671" s="89" t="s">
        <v>62</v>
      </c>
      <c r="AA671" s="96">
        <v>46155</v>
      </c>
      <c r="AB671" s="89" t="s">
        <v>63</v>
      </c>
      <c r="AC671" s="111"/>
      <c r="AD671" s="89"/>
      <c r="AE671" s="89"/>
      <c r="AF671" s="98"/>
      <c r="AG671" s="98"/>
      <c r="AH671" s="98" t="s">
        <v>139</v>
      </c>
      <c r="AI671" s="99" t="s">
        <v>197</v>
      </c>
      <c r="AJ671" s="99" t="s">
        <v>81</v>
      </c>
      <c r="AK671" s="99"/>
      <c r="AL671" s="45" t="s">
        <v>68</v>
      </c>
      <c r="AM671" s="162" t="str">
        <f t="shared" si="80"/>
        <v>3/2026</v>
      </c>
      <c r="AN671" s="45">
        <f t="shared" si="81"/>
        <v>4</v>
      </c>
      <c r="AO671" s="45" t="str">
        <f t="shared" si="82"/>
        <v>4/2026</v>
      </c>
      <c r="AP671" s="45">
        <f t="shared" si="83"/>
        <v>2</v>
      </c>
      <c r="AQ671" s="45">
        <f t="shared" si="84"/>
        <v>0</v>
      </c>
      <c r="AR671" s="45">
        <f t="shared" si="85"/>
        <v>38</v>
      </c>
      <c r="AS671" s="45">
        <f t="shared" si="86"/>
        <v>0</v>
      </c>
      <c r="AT671" s="45">
        <f t="shared" si="87"/>
        <v>0</v>
      </c>
      <c r="AU671" s="45" t="str">
        <f>_xlfn.XLOOKUP(U671,'Lista Suspensa'!$AA$20:$AA$23,'Lista Suspensa'!$AB$20:$AB$23,"N/A")</f>
        <v>S</v>
      </c>
    </row>
    <row r="672" spans="1:47" ht="12" hidden="1" customHeight="1" x14ac:dyDescent="0.3">
      <c r="A672" s="87" t="s">
        <v>47</v>
      </c>
      <c r="B672" s="88">
        <v>46104</v>
      </c>
      <c r="C672" s="89" t="s">
        <v>48</v>
      </c>
      <c r="D672" s="89" t="s">
        <v>49</v>
      </c>
      <c r="E672" s="90">
        <v>86578026</v>
      </c>
      <c r="F672" s="184" t="s">
        <v>2138</v>
      </c>
      <c r="G672" s="91">
        <v>78653266704</v>
      </c>
      <c r="H672" s="92">
        <v>24234</v>
      </c>
      <c r="I672" s="89">
        <v>59</v>
      </c>
      <c r="J672" s="89" t="s">
        <v>51</v>
      </c>
      <c r="K672" s="89" t="s">
        <v>88</v>
      </c>
      <c r="L672" s="89" t="s">
        <v>867</v>
      </c>
      <c r="M672" s="89" t="s">
        <v>240</v>
      </c>
      <c r="N672" s="89" t="s">
        <v>102</v>
      </c>
      <c r="O672" s="93" t="s">
        <v>2139</v>
      </c>
      <c r="P672" s="94" t="s">
        <v>57</v>
      </c>
      <c r="Q672" s="112" t="s">
        <v>745</v>
      </c>
      <c r="R672" s="95">
        <v>46140</v>
      </c>
      <c r="S672" s="96">
        <v>46146</v>
      </c>
      <c r="T672" s="96" t="s">
        <v>59</v>
      </c>
      <c r="U672" s="96" t="s">
        <v>79</v>
      </c>
      <c r="V672" s="92">
        <v>46140</v>
      </c>
      <c r="W672" s="92" t="s">
        <v>61</v>
      </c>
      <c r="X672" s="92" t="s">
        <v>61</v>
      </c>
      <c r="Y672" s="97"/>
      <c r="Z672" s="89" t="s">
        <v>62</v>
      </c>
      <c r="AA672" s="96" t="s">
        <v>1424</v>
      </c>
      <c r="AB672" s="89" t="s">
        <v>63</v>
      </c>
      <c r="AC672" s="111"/>
      <c r="AD672" s="89"/>
      <c r="AE672" s="89"/>
      <c r="AF672" s="98"/>
      <c r="AG672" s="98"/>
      <c r="AH672" s="98"/>
      <c r="AI672" s="99" t="s">
        <v>67</v>
      </c>
      <c r="AJ672" s="99" t="s">
        <v>81</v>
      </c>
      <c r="AK672" s="99"/>
      <c r="AL672" s="45" t="s">
        <v>68</v>
      </c>
      <c r="AM672" s="162" t="str">
        <f t="shared" si="80"/>
        <v>3/2026</v>
      </c>
      <c r="AN672" s="45">
        <f t="shared" si="81"/>
        <v>4</v>
      </c>
      <c r="AO672" s="45" t="str">
        <f t="shared" si="82"/>
        <v>4/2026</v>
      </c>
      <c r="AP672" s="45">
        <f t="shared" si="83"/>
        <v>5</v>
      </c>
      <c r="AQ672" s="45">
        <f t="shared" si="84"/>
        <v>0</v>
      </c>
      <c r="AR672" s="45">
        <f t="shared" si="85"/>
        <v>6</v>
      </c>
      <c r="AS672" s="45">
        <f t="shared" si="86"/>
        <v>0</v>
      </c>
      <c r="AT672" s="45">
        <f t="shared" si="87"/>
        <v>0</v>
      </c>
      <c r="AU672" s="45" t="str">
        <f>_xlfn.XLOOKUP(U672,'Lista Suspensa'!$AA$20:$AA$23,'Lista Suspensa'!$AB$20:$AB$23,"N/A")</f>
        <v>S</v>
      </c>
    </row>
    <row r="673" spans="1:47" ht="12" hidden="1" customHeight="1" x14ac:dyDescent="0.3">
      <c r="A673" s="87" t="s">
        <v>47</v>
      </c>
      <c r="B673" s="88">
        <v>46104</v>
      </c>
      <c r="C673" s="89" t="s">
        <v>48</v>
      </c>
      <c r="D673" s="89" t="s">
        <v>49</v>
      </c>
      <c r="E673" s="90">
        <v>89044058</v>
      </c>
      <c r="F673" s="184" t="s">
        <v>2140</v>
      </c>
      <c r="G673" s="91">
        <v>9021756889</v>
      </c>
      <c r="H673" s="92">
        <v>21078</v>
      </c>
      <c r="I673" s="89">
        <v>68</v>
      </c>
      <c r="J673" s="89" t="s">
        <v>70</v>
      </c>
      <c r="K673" s="89" t="s">
        <v>52</v>
      </c>
      <c r="L673" s="89" t="s">
        <v>53</v>
      </c>
      <c r="M673" s="89" t="s">
        <v>310</v>
      </c>
      <c r="N673" s="89" t="s">
        <v>102</v>
      </c>
      <c r="O673" s="93" t="s">
        <v>2141</v>
      </c>
      <c r="P673" s="94" t="s">
        <v>57</v>
      </c>
      <c r="Q673" s="112" t="s">
        <v>2142</v>
      </c>
      <c r="R673" s="95">
        <v>46153</v>
      </c>
      <c r="S673" s="96">
        <v>46167</v>
      </c>
      <c r="T673" s="96" t="s">
        <v>59</v>
      </c>
      <c r="U673" s="96" t="s">
        <v>79</v>
      </c>
      <c r="V673" s="92">
        <v>46122</v>
      </c>
      <c r="W673" s="92">
        <v>46147</v>
      </c>
      <c r="X673" s="92">
        <v>46154</v>
      </c>
      <c r="Y673" s="97"/>
      <c r="Z673" s="89" t="s">
        <v>62</v>
      </c>
      <c r="AA673" s="96" t="s">
        <v>1467</v>
      </c>
      <c r="AB673" s="89" t="s">
        <v>63</v>
      </c>
      <c r="AC673" s="111"/>
      <c r="AD673" s="89"/>
      <c r="AE673" s="89"/>
      <c r="AF673" s="98"/>
      <c r="AG673" s="98"/>
      <c r="AH673" s="98"/>
      <c r="AI673" s="99" t="s">
        <v>197</v>
      </c>
      <c r="AJ673" s="99" t="s">
        <v>81</v>
      </c>
      <c r="AK673" s="99" t="s">
        <v>67</v>
      </c>
      <c r="AL673" s="45" t="s">
        <v>68</v>
      </c>
      <c r="AM673" s="162" t="str">
        <f t="shared" si="80"/>
        <v>3/2026</v>
      </c>
      <c r="AN673" s="45">
        <f t="shared" si="81"/>
        <v>4</v>
      </c>
      <c r="AO673" s="45" t="str">
        <f t="shared" si="82"/>
        <v>5/2026</v>
      </c>
      <c r="AP673" s="45">
        <f t="shared" si="83"/>
        <v>3</v>
      </c>
      <c r="AQ673" s="45">
        <f t="shared" si="84"/>
        <v>0</v>
      </c>
      <c r="AR673" s="45">
        <f t="shared" si="85"/>
        <v>14</v>
      </c>
      <c r="AS673" s="45">
        <f t="shared" si="86"/>
        <v>0</v>
      </c>
      <c r="AT673" s="45">
        <f t="shared" si="87"/>
        <v>0</v>
      </c>
      <c r="AU673" s="45" t="str">
        <f>_xlfn.XLOOKUP(U673,'Lista Suspensa'!$AA$20:$AA$23,'Lista Suspensa'!$AB$20:$AB$23,"N/A")</f>
        <v>S</v>
      </c>
    </row>
    <row r="674" spans="1:47" ht="12" hidden="1" customHeight="1" x14ac:dyDescent="0.3">
      <c r="A674" s="87" t="s">
        <v>47</v>
      </c>
      <c r="B674" s="88">
        <v>46104</v>
      </c>
      <c r="C674" s="89" t="s">
        <v>48</v>
      </c>
      <c r="D674" s="89" t="s">
        <v>49</v>
      </c>
      <c r="E674" s="90">
        <v>83812486</v>
      </c>
      <c r="F674" s="184" t="s">
        <v>2143</v>
      </c>
      <c r="G674" s="91">
        <v>49235926807</v>
      </c>
      <c r="H674" s="92">
        <v>38615</v>
      </c>
      <c r="I674" s="89">
        <v>20</v>
      </c>
      <c r="J674" s="89" t="s">
        <v>70</v>
      </c>
      <c r="K674" s="89" t="s">
        <v>52</v>
      </c>
      <c r="L674" s="89" t="s">
        <v>2144</v>
      </c>
      <c r="M674" s="89" t="s">
        <v>2145</v>
      </c>
      <c r="N674" s="89" t="s">
        <v>113</v>
      </c>
      <c r="O674" s="93" t="s">
        <v>2146</v>
      </c>
      <c r="P674" s="94" t="s">
        <v>57</v>
      </c>
      <c r="Q674" s="112" t="s">
        <v>745</v>
      </c>
      <c r="R674" s="95">
        <v>46140</v>
      </c>
      <c r="S674" s="96">
        <v>46147</v>
      </c>
      <c r="T674" s="96" t="s">
        <v>59</v>
      </c>
      <c r="U674" s="96" t="s">
        <v>79</v>
      </c>
      <c r="V674" s="92">
        <v>46140</v>
      </c>
      <c r="W674" s="92">
        <v>46147</v>
      </c>
      <c r="X674" s="92" t="s">
        <v>61</v>
      </c>
      <c r="Y674" s="97"/>
      <c r="Z674" s="89" t="s">
        <v>62</v>
      </c>
      <c r="AA674" s="96" t="s">
        <v>1846</v>
      </c>
      <c r="AB674" s="89" t="s">
        <v>63</v>
      </c>
      <c r="AC674" s="111"/>
      <c r="AD674" s="89"/>
      <c r="AE674" s="89"/>
      <c r="AF674" s="98"/>
      <c r="AG674" s="98"/>
      <c r="AH674" s="98"/>
      <c r="AI674" s="99" t="s">
        <v>67</v>
      </c>
      <c r="AJ674" s="99" t="s">
        <v>81</v>
      </c>
      <c r="AK674" s="99"/>
      <c r="AL674" s="45" t="s">
        <v>68</v>
      </c>
      <c r="AM674" s="162" t="str">
        <f t="shared" si="80"/>
        <v>3/2026</v>
      </c>
      <c r="AN674" s="45">
        <f t="shared" si="81"/>
        <v>4</v>
      </c>
      <c r="AO674" s="45" t="str">
        <f t="shared" si="82"/>
        <v>4/2026</v>
      </c>
      <c r="AP674" s="45">
        <f t="shared" si="83"/>
        <v>5</v>
      </c>
      <c r="AQ674" s="45">
        <f t="shared" si="84"/>
        <v>0</v>
      </c>
      <c r="AR674" s="45">
        <f t="shared" si="85"/>
        <v>7</v>
      </c>
      <c r="AS674" s="45">
        <f t="shared" si="86"/>
        <v>0</v>
      </c>
      <c r="AT674" s="45">
        <f t="shared" si="87"/>
        <v>0</v>
      </c>
      <c r="AU674" s="45" t="str">
        <f>_xlfn.XLOOKUP(U674,'Lista Suspensa'!$AA$20:$AA$23,'Lista Suspensa'!$AB$20:$AB$23,"N/A")</f>
        <v>S</v>
      </c>
    </row>
    <row r="675" spans="1:47" ht="12" hidden="1" customHeight="1" x14ac:dyDescent="0.3">
      <c r="A675" s="87" t="s">
        <v>47</v>
      </c>
      <c r="B675" s="88">
        <v>46104</v>
      </c>
      <c r="C675" s="89" t="s">
        <v>48</v>
      </c>
      <c r="D675" s="89" t="s">
        <v>49</v>
      </c>
      <c r="E675" s="90">
        <v>451604750</v>
      </c>
      <c r="F675" s="184" t="s">
        <v>2147</v>
      </c>
      <c r="G675" s="91">
        <v>14808981807</v>
      </c>
      <c r="H675" s="92">
        <v>16274</v>
      </c>
      <c r="I675" s="89">
        <v>81</v>
      </c>
      <c r="J675" s="89" t="s">
        <v>70</v>
      </c>
      <c r="K675" s="89" t="s">
        <v>52</v>
      </c>
      <c r="L675" s="89" t="s">
        <v>2148</v>
      </c>
      <c r="M675" s="89" t="s">
        <v>2149</v>
      </c>
      <c r="N675" s="89" t="s">
        <v>72</v>
      </c>
      <c r="O675" s="93" t="s">
        <v>2150</v>
      </c>
      <c r="P675" s="94" t="s">
        <v>57</v>
      </c>
      <c r="Q675" s="112" t="s">
        <v>941</v>
      </c>
      <c r="R675" s="95">
        <v>46142</v>
      </c>
      <c r="S675" s="96">
        <v>46149</v>
      </c>
      <c r="T675" s="96" t="s">
        <v>59</v>
      </c>
      <c r="U675" s="96" t="s">
        <v>79</v>
      </c>
      <c r="V675" s="92">
        <v>46122</v>
      </c>
      <c r="W675" s="92">
        <v>46142</v>
      </c>
      <c r="X675" s="92" t="s">
        <v>61</v>
      </c>
      <c r="Y675" s="97"/>
      <c r="Z675" s="89" t="s">
        <v>62</v>
      </c>
      <c r="AA675" s="96">
        <v>46149.444444444445</v>
      </c>
      <c r="AB675" s="89" t="s">
        <v>118</v>
      </c>
      <c r="AC675" s="111"/>
      <c r="AD675" s="89"/>
      <c r="AE675" s="89"/>
      <c r="AF675" s="98"/>
      <c r="AG675" s="98"/>
      <c r="AH675" s="98"/>
      <c r="AI675" s="99" t="s">
        <v>67</v>
      </c>
      <c r="AJ675" s="99" t="s">
        <v>81</v>
      </c>
      <c r="AK675" s="99"/>
      <c r="AL675" s="45" t="s">
        <v>68</v>
      </c>
      <c r="AM675" s="162" t="str">
        <f t="shared" si="80"/>
        <v>3/2026</v>
      </c>
      <c r="AN675" s="45">
        <f t="shared" si="81"/>
        <v>4</v>
      </c>
      <c r="AO675" s="45" t="str">
        <f t="shared" si="82"/>
        <v>4/2026</v>
      </c>
      <c r="AP675" s="45">
        <f t="shared" si="83"/>
        <v>5</v>
      </c>
      <c r="AQ675" s="45">
        <f t="shared" si="84"/>
        <v>0</v>
      </c>
      <c r="AR675" s="45">
        <f t="shared" si="85"/>
        <v>7</v>
      </c>
      <c r="AS675" s="45">
        <f t="shared" si="86"/>
        <v>0</v>
      </c>
      <c r="AT675" s="45">
        <f t="shared" si="87"/>
        <v>0</v>
      </c>
      <c r="AU675" s="45" t="str">
        <f>_xlfn.XLOOKUP(U675,'Lista Suspensa'!$AA$20:$AA$23,'Lista Suspensa'!$AB$20:$AB$23,"N/A")</f>
        <v>S</v>
      </c>
    </row>
    <row r="676" spans="1:47" ht="12" hidden="1" customHeight="1" x14ac:dyDescent="0.3">
      <c r="A676" s="87" t="s">
        <v>47</v>
      </c>
      <c r="B676" s="88">
        <v>46104</v>
      </c>
      <c r="C676" s="89" t="s">
        <v>48</v>
      </c>
      <c r="D676" s="89" t="s">
        <v>49</v>
      </c>
      <c r="E676" s="90">
        <v>451562208</v>
      </c>
      <c r="F676" s="184" t="s">
        <v>2151</v>
      </c>
      <c r="G676" s="91">
        <v>17483981806</v>
      </c>
      <c r="H676" s="92">
        <v>16068</v>
      </c>
      <c r="I676" s="89">
        <v>82</v>
      </c>
      <c r="J676" s="89" t="s">
        <v>70</v>
      </c>
      <c r="K676" s="89" t="s">
        <v>52</v>
      </c>
      <c r="L676" s="89" t="s">
        <v>53</v>
      </c>
      <c r="M676" s="89" t="s">
        <v>184</v>
      </c>
      <c r="N676" s="89" t="s">
        <v>72</v>
      </c>
      <c r="O676" s="93" t="s">
        <v>2152</v>
      </c>
      <c r="P676" s="94" t="s">
        <v>57</v>
      </c>
      <c r="Q676" s="112" t="s">
        <v>745</v>
      </c>
      <c r="R676" s="95">
        <v>46153</v>
      </c>
      <c r="S676" s="96">
        <v>46162</v>
      </c>
      <c r="T676" s="96" t="s">
        <v>59</v>
      </c>
      <c r="U676" s="96" t="s">
        <v>79</v>
      </c>
      <c r="V676" s="92">
        <v>46142</v>
      </c>
      <c r="W676" s="92">
        <v>46154</v>
      </c>
      <c r="X676" s="92" t="s">
        <v>61</v>
      </c>
      <c r="Y676" s="97"/>
      <c r="Z676" s="89" t="s">
        <v>62</v>
      </c>
      <c r="AA676" s="96">
        <v>46162</v>
      </c>
      <c r="AB676" s="89" t="s">
        <v>63</v>
      </c>
      <c r="AC676" s="111"/>
      <c r="AD676" s="89"/>
      <c r="AE676" s="89"/>
      <c r="AF676" s="98"/>
      <c r="AG676" s="98"/>
      <c r="AH676" s="98" t="s">
        <v>139</v>
      </c>
      <c r="AI676" s="99" t="s">
        <v>197</v>
      </c>
      <c r="AJ676" s="99" t="s">
        <v>81</v>
      </c>
      <c r="AK676" s="99" t="s">
        <v>67</v>
      </c>
      <c r="AL676" s="45" t="s">
        <v>68</v>
      </c>
      <c r="AM676" s="162" t="str">
        <f t="shared" si="80"/>
        <v>3/2026</v>
      </c>
      <c r="AN676" s="45">
        <f t="shared" si="81"/>
        <v>4</v>
      </c>
      <c r="AO676" s="45" t="str">
        <f t="shared" si="82"/>
        <v>5/2026</v>
      </c>
      <c r="AP676" s="45">
        <f t="shared" si="83"/>
        <v>3</v>
      </c>
      <c r="AQ676" s="45">
        <f t="shared" si="84"/>
        <v>0</v>
      </c>
      <c r="AR676" s="45">
        <f t="shared" si="85"/>
        <v>9</v>
      </c>
      <c r="AS676" s="45">
        <f t="shared" si="86"/>
        <v>0</v>
      </c>
      <c r="AT676" s="45">
        <f t="shared" si="87"/>
        <v>0</v>
      </c>
      <c r="AU676" s="45" t="str">
        <f>_xlfn.XLOOKUP(U676,'Lista Suspensa'!$AA$20:$AA$23,'Lista Suspensa'!$AB$20:$AB$23,"N/A")</f>
        <v>S</v>
      </c>
    </row>
    <row r="677" spans="1:47" ht="12" hidden="1" customHeight="1" x14ac:dyDescent="0.3">
      <c r="A677" s="87" t="s">
        <v>47</v>
      </c>
      <c r="B677" s="88">
        <v>46104</v>
      </c>
      <c r="C677" s="89" t="s">
        <v>48</v>
      </c>
      <c r="D677" s="89" t="s">
        <v>49</v>
      </c>
      <c r="E677" s="90">
        <v>451614992</v>
      </c>
      <c r="F677" s="184" t="s">
        <v>2153</v>
      </c>
      <c r="G677" s="91">
        <v>41000536815</v>
      </c>
      <c r="H677" s="92">
        <v>17644</v>
      </c>
      <c r="I677" s="89">
        <v>77</v>
      </c>
      <c r="J677" s="89" t="s">
        <v>51</v>
      </c>
      <c r="K677" s="89" t="s">
        <v>52</v>
      </c>
      <c r="L677" s="89" t="s">
        <v>53</v>
      </c>
      <c r="M677" s="89" t="s">
        <v>1101</v>
      </c>
      <c r="N677" s="89" t="s">
        <v>72</v>
      </c>
      <c r="O677" s="93" t="s">
        <v>2154</v>
      </c>
      <c r="P677" s="94" t="s">
        <v>57</v>
      </c>
      <c r="Q677" s="112" t="s">
        <v>745</v>
      </c>
      <c r="R677" s="95">
        <v>46117</v>
      </c>
      <c r="S677" s="96">
        <v>46160</v>
      </c>
      <c r="T677" s="96" t="s">
        <v>59</v>
      </c>
      <c r="U677" s="96" t="s">
        <v>79</v>
      </c>
      <c r="V677" s="92">
        <v>46128</v>
      </c>
      <c r="W677" s="92">
        <v>46142</v>
      </c>
      <c r="X677" s="92" t="s">
        <v>61</v>
      </c>
      <c r="Y677" s="97"/>
      <c r="Z677" s="89" t="s">
        <v>62</v>
      </c>
      <c r="AA677" s="96">
        <v>46160</v>
      </c>
      <c r="AB677" s="89" t="s">
        <v>63</v>
      </c>
      <c r="AC677" s="111"/>
      <c r="AD677" s="89" t="s">
        <v>265</v>
      </c>
      <c r="AE677" s="89">
        <v>47</v>
      </c>
      <c r="AF677" s="98" t="s">
        <v>65</v>
      </c>
      <c r="AG677" s="98" t="s">
        <v>65</v>
      </c>
      <c r="AH677" s="98"/>
      <c r="AI677" s="99" t="s">
        <v>47</v>
      </c>
      <c r="AJ677" s="99" t="s">
        <v>81</v>
      </c>
      <c r="AK677" s="99" t="s">
        <v>67</v>
      </c>
      <c r="AL677" s="45" t="s">
        <v>68</v>
      </c>
      <c r="AM677" s="162" t="str">
        <f t="shared" si="80"/>
        <v>3/2026</v>
      </c>
      <c r="AN677" s="45">
        <f t="shared" si="81"/>
        <v>4</v>
      </c>
      <c r="AO677" s="45" t="str">
        <f t="shared" si="82"/>
        <v>4/2026</v>
      </c>
      <c r="AP677" s="45">
        <f t="shared" si="83"/>
        <v>2</v>
      </c>
      <c r="AQ677" s="45">
        <f t="shared" si="84"/>
        <v>0</v>
      </c>
      <c r="AR677" s="45">
        <f t="shared" si="85"/>
        <v>43</v>
      </c>
      <c r="AS677" s="45">
        <f t="shared" si="86"/>
        <v>0</v>
      </c>
      <c r="AT677" s="45">
        <f t="shared" si="87"/>
        <v>0</v>
      </c>
      <c r="AU677" s="45" t="str">
        <f>_xlfn.XLOOKUP(U677,'Lista Suspensa'!$AA$20:$AA$23,'Lista Suspensa'!$AB$20:$AB$23,"N/A")</f>
        <v>S</v>
      </c>
    </row>
    <row r="678" spans="1:47" ht="12" hidden="1" customHeight="1" x14ac:dyDescent="0.3">
      <c r="A678" s="87" t="s">
        <v>47</v>
      </c>
      <c r="B678" s="88">
        <v>46104</v>
      </c>
      <c r="C678" s="89" t="s">
        <v>48</v>
      </c>
      <c r="D678" s="89" t="s">
        <v>49</v>
      </c>
      <c r="E678" s="90">
        <v>593901762</v>
      </c>
      <c r="F678" s="184" t="s">
        <v>2155</v>
      </c>
      <c r="G678" s="91">
        <v>35389932897</v>
      </c>
      <c r="H678" s="92">
        <v>37322</v>
      </c>
      <c r="I678" s="89">
        <v>24</v>
      </c>
      <c r="J678" s="89" t="s">
        <v>51</v>
      </c>
      <c r="K678" s="89" t="s">
        <v>52</v>
      </c>
      <c r="L678" s="89" t="s">
        <v>331</v>
      </c>
      <c r="M678" s="89" t="s">
        <v>1498</v>
      </c>
      <c r="N678" s="89" t="s">
        <v>130</v>
      </c>
      <c r="O678" s="93" t="s">
        <v>2156</v>
      </c>
      <c r="P678" s="94" t="s">
        <v>57</v>
      </c>
      <c r="Q678" s="112" t="s">
        <v>745</v>
      </c>
      <c r="R678" s="95">
        <v>46140</v>
      </c>
      <c r="S678" s="95">
        <v>46140</v>
      </c>
      <c r="T678" s="96" t="s">
        <v>59</v>
      </c>
      <c r="U678" s="96" t="s">
        <v>79</v>
      </c>
      <c r="V678" s="92">
        <v>46140</v>
      </c>
      <c r="W678" s="92" t="s">
        <v>61</v>
      </c>
      <c r="X678" s="92" t="s">
        <v>61</v>
      </c>
      <c r="Y678" s="97"/>
      <c r="Z678" s="89" t="s">
        <v>62</v>
      </c>
      <c r="AA678" s="96">
        <v>46172.597222222219</v>
      </c>
      <c r="AB678" s="89" t="s">
        <v>80</v>
      </c>
      <c r="AC678" s="111"/>
      <c r="AD678" s="89"/>
      <c r="AE678" s="89"/>
      <c r="AF678" s="98"/>
      <c r="AG678" s="98"/>
      <c r="AH678" s="98"/>
      <c r="AI678" s="99" t="s">
        <v>67</v>
      </c>
      <c r="AJ678" s="99" t="s">
        <v>81</v>
      </c>
      <c r="AK678" s="99"/>
      <c r="AL678" s="45" t="s">
        <v>68</v>
      </c>
      <c r="AM678" s="162" t="str">
        <f t="shared" si="80"/>
        <v>3/2026</v>
      </c>
      <c r="AN678" s="45">
        <f t="shared" si="81"/>
        <v>4</v>
      </c>
      <c r="AO678" s="45" t="str">
        <f t="shared" si="82"/>
        <v>4/2026</v>
      </c>
      <c r="AP678" s="45">
        <f t="shared" si="83"/>
        <v>5</v>
      </c>
      <c r="AQ678" s="45">
        <f t="shared" si="84"/>
        <v>0</v>
      </c>
      <c r="AR678" s="45">
        <f t="shared" si="85"/>
        <v>0</v>
      </c>
      <c r="AS678" s="45">
        <f t="shared" si="86"/>
        <v>0</v>
      </c>
      <c r="AT678" s="45">
        <f t="shared" si="87"/>
        <v>0</v>
      </c>
      <c r="AU678" s="45" t="str">
        <f>_xlfn.XLOOKUP(U678,'Lista Suspensa'!$AA$20:$AA$23,'Lista Suspensa'!$AB$20:$AB$23,"N/A")</f>
        <v>S</v>
      </c>
    </row>
    <row r="679" spans="1:47" ht="12" hidden="1" customHeight="1" x14ac:dyDescent="0.3">
      <c r="A679" s="87" t="s">
        <v>47</v>
      </c>
      <c r="B679" s="88">
        <v>46104</v>
      </c>
      <c r="C679" s="89" t="s">
        <v>48</v>
      </c>
      <c r="D679" s="89" t="s">
        <v>49</v>
      </c>
      <c r="E679" s="90">
        <v>593946995</v>
      </c>
      <c r="F679" s="184" t="s">
        <v>2157</v>
      </c>
      <c r="G679" s="91">
        <v>47972858853</v>
      </c>
      <c r="H679" s="92">
        <v>14864</v>
      </c>
      <c r="I679" s="89">
        <v>85</v>
      </c>
      <c r="J679" s="89" t="s">
        <v>51</v>
      </c>
      <c r="K679" s="89" t="s">
        <v>52</v>
      </c>
      <c r="L679" s="89" t="s">
        <v>53</v>
      </c>
      <c r="M679" s="89" t="s">
        <v>2158</v>
      </c>
      <c r="N679" s="89" t="s">
        <v>130</v>
      </c>
      <c r="O679" s="93" t="s">
        <v>2159</v>
      </c>
      <c r="P679" s="94" t="s">
        <v>57</v>
      </c>
      <c r="Q679" s="112" t="s">
        <v>1393</v>
      </c>
      <c r="R679" s="95">
        <v>46117</v>
      </c>
      <c r="S679" s="96">
        <v>46160</v>
      </c>
      <c r="T679" s="96" t="s">
        <v>59</v>
      </c>
      <c r="U679" s="96" t="s">
        <v>79</v>
      </c>
      <c r="V679" s="92">
        <v>46147</v>
      </c>
      <c r="W679" s="92" t="s">
        <v>61</v>
      </c>
      <c r="X679" s="92" t="s">
        <v>61</v>
      </c>
      <c r="Y679" s="97"/>
      <c r="Z679" s="89" t="s">
        <v>62</v>
      </c>
      <c r="AA679" s="96">
        <v>46160</v>
      </c>
      <c r="AB679" s="89" t="s">
        <v>80</v>
      </c>
      <c r="AC679" s="111"/>
      <c r="AD679" s="89"/>
      <c r="AE679" s="89"/>
      <c r="AF679" s="98"/>
      <c r="AG679" s="98"/>
      <c r="AH679" s="98"/>
      <c r="AI679" s="99" t="s">
        <v>197</v>
      </c>
      <c r="AJ679" s="99" t="s">
        <v>81</v>
      </c>
      <c r="AK679" s="99" t="s">
        <v>67</v>
      </c>
      <c r="AL679" s="45" t="s">
        <v>68</v>
      </c>
      <c r="AM679" s="162" t="str">
        <f t="shared" si="80"/>
        <v>3/2026</v>
      </c>
      <c r="AN679" s="45">
        <f t="shared" si="81"/>
        <v>4</v>
      </c>
      <c r="AO679" s="45" t="str">
        <f t="shared" si="82"/>
        <v>4/2026</v>
      </c>
      <c r="AP679" s="45">
        <f t="shared" si="83"/>
        <v>2</v>
      </c>
      <c r="AQ679" s="45">
        <f t="shared" si="84"/>
        <v>0</v>
      </c>
      <c r="AR679" s="45">
        <f t="shared" si="85"/>
        <v>43</v>
      </c>
      <c r="AS679" s="45">
        <f t="shared" si="86"/>
        <v>0</v>
      </c>
      <c r="AT679" s="45">
        <f t="shared" si="87"/>
        <v>0</v>
      </c>
      <c r="AU679" s="45" t="str">
        <f>_xlfn.XLOOKUP(U679,'Lista Suspensa'!$AA$20:$AA$23,'Lista Suspensa'!$AB$20:$AB$23,"N/A")</f>
        <v>S</v>
      </c>
    </row>
    <row r="680" spans="1:47" ht="12" hidden="1" customHeight="1" x14ac:dyDescent="0.3">
      <c r="A680" s="87" t="s">
        <v>47</v>
      </c>
      <c r="B680" s="88">
        <v>46104</v>
      </c>
      <c r="C680" s="89" t="s">
        <v>48</v>
      </c>
      <c r="D680" s="89" t="s">
        <v>49</v>
      </c>
      <c r="E680" s="90">
        <v>92613218</v>
      </c>
      <c r="F680" s="184" t="s">
        <v>2160</v>
      </c>
      <c r="G680" s="91">
        <v>26438126896</v>
      </c>
      <c r="H680" s="92">
        <v>27462</v>
      </c>
      <c r="I680" s="89">
        <v>51</v>
      </c>
      <c r="J680" s="89" t="s">
        <v>70</v>
      </c>
      <c r="K680" s="89" t="s">
        <v>52</v>
      </c>
      <c r="L680" s="89" t="s">
        <v>2161</v>
      </c>
      <c r="M680" s="89" t="s">
        <v>240</v>
      </c>
      <c r="N680" s="89" t="s">
        <v>148</v>
      </c>
      <c r="O680" s="93" t="s">
        <v>2162</v>
      </c>
      <c r="P680" s="94" t="s">
        <v>57</v>
      </c>
      <c r="Q680" s="112" t="s">
        <v>941</v>
      </c>
      <c r="R680" s="95">
        <v>46142</v>
      </c>
      <c r="S680" s="95">
        <v>46142</v>
      </c>
      <c r="T680" s="96" t="s">
        <v>59</v>
      </c>
      <c r="U680" s="96" t="s">
        <v>79</v>
      </c>
      <c r="V680" s="92">
        <v>46142</v>
      </c>
      <c r="W680" s="92" t="s">
        <v>61</v>
      </c>
      <c r="X680" s="92" t="s">
        <v>61</v>
      </c>
      <c r="Y680" s="97"/>
      <c r="Z680" s="89" t="s">
        <v>62</v>
      </c>
      <c r="AA680" s="96" t="s">
        <v>1654</v>
      </c>
      <c r="AB680" s="89" t="s">
        <v>118</v>
      </c>
      <c r="AC680" s="111"/>
      <c r="AD680" s="89"/>
      <c r="AE680" s="89"/>
      <c r="AF680" s="98"/>
      <c r="AG680" s="98"/>
      <c r="AH680" s="98"/>
      <c r="AI680" s="99" t="s">
        <v>67</v>
      </c>
      <c r="AJ680" s="99" t="s">
        <v>81</v>
      </c>
      <c r="AK680" s="99"/>
      <c r="AL680" s="45" t="s">
        <v>68</v>
      </c>
      <c r="AM680" s="162" t="str">
        <f t="shared" si="80"/>
        <v>3/2026</v>
      </c>
      <c r="AN680" s="45">
        <f t="shared" si="81"/>
        <v>4</v>
      </c>
      <c r="AO680" s="45" t="str">
        <f t="shared" si="82"/>
        <v>4/2026</v>
      </c>
      <c r="AP680" s="45">
        <f t="shared" si="83"/>
        <v>5</v>
      </c>
      <c r="AQ680" s="45">
        <f t="shared" si="84"/>
        <v>0</v>
      </c>
      <c r="AR680" s="45">
        <f t="shared" si="85"/>
        <v>0</v>
      </c>
      <c r="AS680" s="45">
        <f t="shared" si="86"/>
        <v>0</v>
      </c>
      <c r="AT680" s="45">
        <f t="shared" si="87"/>
        <v>0</v>
      </c>
      <c r="AU680" s="45" t="str">
        <f>_xlfn.XLOOKUP(U680,'Lista Suspensa'!$AA$20:$AA$23,'Lista Suspensa'!$AB$20:$AB$23,"N/A")</f>
        <v>S</v>
      </c>
    </row>
    <row r="681" spans="1:47" ht="12" hidden="1" customHeight="1" x14ac:dyDescent="0.3">
      <c r="A681" s="87" t="s">
        <v>47</v>
      </c>
      <c r="B681" s="88">
        <v>46104</v>
      </c>
      <c r="C681" s="89" t="s">
        <v>48</v>
      </c>
      <c r="D681" s="89" t="s">
        <v>49</v>
      </c>
      <c r="E681" s="90">
        <v>82225743</v>
      </c>
      <c r="F681" s="184" t="s">
        <v>2163</v>
      </c>
      <c r="G681" s="91">
        <v>2949889808</v>
      </c>
      <c r="H681" s="92">
        <v>20851</v>
      </c>
      <c r="I681" s="89">
        <v>69</v>
      </c>
      <c r="J681" s="89" t="s">
        <v>51</v>
      </c>
      <c r="K681" s="89" t="s">
        <v>52</v>
      </c>
      <c r="L681" s="89" t="s">
        <v>227</v>
      </c>
      <c r="M681" s="89" t="s">
        <v>2164</v>
      </c>
      <c r="N681" s="89" t="s">
        <v>148</v>
      </c>
      <c r="O681" s="93" t="s">
        <v>2165</v>
      </c>
      <c r="P681" s="94" t="s">
        <v>57</v>
      </c>
      <c r="Q681" s="112" t="s">
        <v>745</v>
      </c>
      <c r="R681" s="95">
        <v>46153</v>
      </c>
      <c r="S681" s="96">
        <v>46162</v>
      </c>
      <c r="T681" s="96" t="s">
        <v>59</v>
      </c>
      <c r="U681" s="96" t="s">
        <v>79</v>
      </c>
      <c r="V681" s="92">
        <v>46112</v>
      </c>
      <c r="W681" s="92">
        <v>46154</v>
      </c>
      <c r="X681" s="92" t="s">
        <v>61</v>
      </c>
      <c r="Y681" s="97"/>
      <c r="Z681" s="89" t="s">
        <v>62</v>
      </c>
      <c r="AA681" s="96" t="s">
        <v>2166</v>
      </c>
      <c r="AB681" s="89" t="s">
        <v>63</v>
      </c>
      <c r="AC681" s="111"/>
      <c r="AD681" s="89"/>
      <c r="AE681" s="89"/>
      <c r="AF681" s="98"/>
      <c r="AG681" s="98"/>
      <c r="AH681" s="98"/>
      <c r="AI681" s="99" t="s">
        <v>197</v>
      </c>
      <c r="AJ681" s="99" t="s">
        <v>81</v>
      </c>
      <c r="AK681" s="99" t="s">
        <v>67</v>
      </c>
      <c r="AL681" s="45" t="s">
        <v>68</v>
      </c>
      <c r="AM681" s="162" t="str">
        <f t="shared" si="80"/>
        <v>3/2026</v>
      </c>
      <c r="AN681" s="45">
        <f t="shared" si="81"/>
        <v>4</v>
      </c>
      <c r="AO681" s="45" t="str">
        <f t="shared" si="82"/>
        <v>5/2026</v>
      </c>
      <c r="AP681" s="45">
        <f t="shared" si="83"/>
        <v>3</v>
      </c>
      <c r="AQ681" s="45">
        <f t="shared" si="84"/>
        <v>0</v>
      </c>
      <c r="AR681" s="45">
        <f t="shared" si="85"/>
        <v>9</v>
      </c>
      <c r="AS681" s="45">
        <f t="shared" si="86"/>
        <v>0</v>
      </c>
      <c r="AT681" s="45">
        <f t="shared" si="87"/>
        <v>0</v>
      </c>
      <c r="AU681" s="45" t="str">
        <f>_xlfn.XLOOKUP(U681,'Lista Suspensa'!$AA$20:$AA$23,'Lista Suspensa'!$AB$20:$AB$23,"N/A")</f>
        <v>S</v>
      </c>
    </row>
    <row r="682" spans="1:47" ht="12" hidden="1" customHeight="1" x14ac:dyDescent="0.3">
      <c r="A682" s="87" t="s">
        <v>47</v>
      </c>
      <c r="B682" s="88">
        <v>46104</v>
      </c>
      <c r="C682" s="89" t="s">
        <v>48</v>
      </c>
      <c r="D682" s="89" t="s">
        <v>49</v>
      </c>
      <c r="E682" s="90">
        <v>93588324</v>
      </c>
      <c r="F682" s="184" t="s">
        <v>2167</v>
      </c>
      <c r="G682" s="91">
        <v>7587121897</v>
      </c>
      <c r="H682" s="92">
        <v>23458</v>
      </c>
      <c r="I682" s="89">
        <v>62</v>
      </c>
      <c r="J682" s="89" t="s">
        <v>51</v>
      </c>
      <c r="K682" s="89" t="s">
        <v>52</v>
      </c>
      <c r="L682" s="89" t="s">
        <v>227</v>
      </c>
      <c r="M682" s="89" t="s">
        <v>2168</v>
      </c>
      <c r="N682" s="89" t="s">
        <v>148</v>
      </c>
      <c r="O682" s="93" t="s">
        <v>2169</v>
      </c>
      <c r="P682" s="94" t="s">
        <v>57</v>
      </c>
      <c r="Q682" s="112" t="s">
        <v>745</v>
      </c>
      <c r="R682" s="95">
        <v>46117</v>
      </c>
      <c r="S682" s="96">
        <v>46160</v>
      </c>
      <c r="T682" s="96" t="s">
        <v>59</v>
      </c>
      <c r="U682" s="96" t="s">
        <v>79</v>
      </c>
      <c r="V682" s="92">
        <v>46141</v>
      </c>
      <c r="W682" s="92" t="s">
        <v>61</v>
      </c>
      <c r="X682" s="92" t="s">
        <v>61</v>
      </c>
      <c r="Y682" s="97"/>
      <c r="Z682" s="89" t="s">
        <v>62</v>
      </c>
      <c r="AA682" s="96">
        <v>46160</v>
      </c>
      <c r="AB682" s="89" t="s">
        <v>80</v>
      </c>
      <c r="AC682" s="111"/>
      <c r="AD682" s="89"/>
      <c r="AE682" s="89"/>
      <c r="AF682" s="98"/>
      <c r="AG682" s="98"/>
      <c r="AH682" s="98"/>
      <c r="AI682" s="99" t="s">
        <v>197</v>
      </c>
      <c r="AJ682" s="99" t="s">
        <v>81</v>
      </c>
      <c r="AK682" s="99" t="s">
        <v>67</v>
      </c>
      <c r="AL682" s="45" t="s">
        <v>68</v>
      </c>
      <c r="AM682" s="162" t="str">
        <f t="shared" si="80"/>
        <v>3/2026</v>
      </c>
      <c r="AN682" s="45">
        <f t="shared" si="81"/>
        <v>4</v>
      </c>
      <c r="AO682" s="45" t="str">
        <f t="shared" si="82"/>
        <v>4/2026</v>
      </c>
      <c r="AP682" s="45">
        <f t="shared" si="83"/>
        <v>2</v>
      </c>
      <c r="AQ682" s="45">
        <f t="shared" si="84"/>
        <v>0</v>
      </c>
      <c r="AR682" s="45">
        <f t="shared" si="85"/>
        <v>43</v>
      </c>
      <c r="AS682" s="45">
        <f t="shared" si="86"/>
        <v>0</v>
      </c>
      <c r="AT682" s="45">
        <f t="shared" si="87"/>
        <v>0</v>
      </c>
      <c r="AU682" s="45" t="str">
        <f>_xlfn.XLOOKUP(U682,'Lista Suspensa'!$AA$20:$AA$23,'Lista Suspensa'!$AB$20:$AB$23,"N/A")</f>
        <v>S</v>
      </c>
    </row>
    <row r="683" spans="1:47" ht="12" hidden="1" customHeight="1" x14ac:dyDescent="0.3">
      <c r="A683" s="87" t="s">
        <v>47</v>
      </c>
      <c r="B683" s="88">
        <v>46104</v>
      </c>
      <c r="C683" s="89" t="s">
        <v>48</v>
      </c>
      <c r="D683" s="89" t="s">
        <v>49</v>
      </c>
      <c r="E683" s="90">
        <v>83739097</v>
      </c>
      <c r="F683" s="184" t="s">
        <v>2170</v>
      </c>
      <c r="G683" s="91">
        <v>12249841705</v>
      </c>
      <c r="H683" s="92">
        <v>21965</v>
      </c>
      <c r="I683" s="89">
        <v>66</v>
      </c>
      <c r="J683" s="89" t="s">
        <v>70</v>
      </c>
      <c r="K683" s="89" t="s">
        <v>88</v>
      </c>
      <c r="L683" s="89" t="s">
        <v>89</v>
      </c>
      <c r="M683" s="89" t="s">
        <v>2171</v>
      </c>
      <c r="N683" s="89" t="s">
        <v>148</v>
      </c>
      <c r="O683" s="93" t="s">
        <v>2172</v>
      </c>
      <c r="P683" s="94" t="s">
        <v>57</v>
      </c>
      <c r="Q683" s="112" t="s">
        <v>2142</v>
      </c>
      <c r="R683" s="95">
        <v>46141</v>
      </c>
      <c r="S683" s="95">
        <v>46141</v>
      </c>
      <c r="T683" s="96" t="s">
        <v>59</v>
      </c>
      <c r="U683" s="96" t="s">
        <v>79</v>
      </c>
      <c r="V683" s="92">
        <v>46141</v>
      </c>
      <c r="W683" s="92">
        <v>46141</v>
      </c>
      <c r="X683" s="92" t="s">
        <v>61</v>
      </c>
      <c r="Y683" s="97"/>
      <c r="Z683" s="89" t="s">
        <v>62</v>
      </c>
      <c r="AA683" s="96">
        <v>46146</v>
      </c>
      <c r="AB683" s="89" t="s">
        <v>63</v>
      </c>
      <c r="AC683" s="111"/>
      <c r="AD683" s="89"/>
      <c r="AE683" s="89"/>
      <c r="AF683" s="98"/>
      <c r="AG683" s="98"/>
      <c r="AH683" s="98"/>
      <c r="AI683" s="99" t="s">
        <v>67</v>
      </c>
      <c r="AJ683" s="99" t="s">
        <v>81</v>
      </c>
      <c r="AK683" s="99"/>
      <c r="AL683" s="45" t="s">
        <v>68</v>
      </c>
      <c r="AM683" s="162" t="str">
        <f t="shared" si="80"/>
        <v>3/2026</v>
      </c>
      <c r="AN683" s="45">
        <f t="shared" si="81"/>
        <v>4</v>
      </c>
      <c r="AO683" s="45" t="str">
        <f t="shared" si="82"/>
        <v>4/2026</v>
      </c>
      <c r="AP683" s="45">
        <f t="shared" si="83"/>
        <v>5</v>
      </c>
      <c r="AQ683" s="45">
        <f t="shared" si="84"/>
        <v>0</v>
      </c>
      <c r="AR683" s="45">
        <f t="shared" si="85"/>
        <v>0</v>
      </c>
      <c r="AS683" s="45">
        <f t="shared" si="86"/>
        <v>0</v>
      </c>
      <c r="AT683" s="45">
        <f t="shared" si="87"/>
        <v>0</v>
      </c>
      <c r="AU683" s="45" t="str">
        <f>_xlfn.XLOOKUP(U683,'Lista Suspensa'!$AA$20:$AA$23,'Lista Suspensa'!$AB$20:$AB$23,"N/A")</f>
        <v>S</v>
      </c>
    </row>
    <row r="684" spans="1:47" ht="12" hidden="1" customHeight="1" x14ac:dyDescent="0.3">
      <c r="A684" s="87" t="s">
        <v>47</v>
      </c>
      <c r="B684" s="88">
        <v>46104</v>
      </c>
      <c r="C684" s="89" t="s">
        <v>48</v>
      </c>
      <c r="D684" s="89" t="s">
        <v>49</v>
      </c>
      <c r="E684" s="90">
        <v>80988241</v>
      </c>
      <c r="F684" s="184" t="s">
        <v>2173</v>
      </c>
      <c r="G684" s="91">
        <v>25612590725</v>
      </c>
      <c r="H684" s="92">
        <v>19418</v>
      </c>
      <c r="I684" s="89">
        <v>73</v>
      </c>
      <c r="J684" s="89" t="s">
        <v>51</v>
      </c>
      <c r="K684" s="89" t="s">
        <v>88</v>
      </c>
      <c r="L684" s="89" t="s">
        <v>89</v>
      </c>
      <c r="M684" s="89" t="s">
        <v>892</v>
      </c>
      <c r="N684" s="89" t="s">
        <v>148</v>
      </c>
      <c r="O684" s="93" t="s">
        <v>2174</v>
      </c>
      <c r="P684" s="94" t="s">
        <v>57</v>
      </c>
      <c r="Q684" s="112" t="s">
        <v>941</v>
      </c>
      <c r="R684" s="95">
        <v>46141</v>
      </c>
      <c r="S684" s="95">
        <v>46141</v>
      </c>
      <c r="T684" s="96" t="s">
        <v>59</v>
      </c>
      <c r="U684" s="96" t="s">
        <v>79</v>
      </c>
      <c r="V684" s="92">
        <v>46141</v>
      </c>
      <c r="W684" s="92" t="s">
        <v>61</v>
      </c>
      <c r="X684" s="92" t="s">
        <v>61</v>
      </c>
      <c r="Y684" s="97"/>
      <c r="Z684" s="89" t="s">
        <v>62</v>
      </c>
      <c r="AA684" s="96">
        <v>46147</v>
      </c>
      <c r="AB684" s="89" t="s">
        <v>118</v>
      </c>
      <c r="AC684" s="111"/>
      <c r="AD684" s="89"/>
      <c r="AE684" s="89"/>
      <c r="AF684" s="98"/>
      <c r="AG684" s="98"/>
      <c r="AH684" s="98"/>
      <c r="AI684" s="99" t="s">
        <v>67</v>
      </c>
      <c r="AJ684" s="99" t="s">
        <v>81</v>
      </c>
      <c r="AK684" s="99"/>
      <c r="AL684" s="45" t="s">
        <v>68</v>
      </c>
      <c r="AM684" s="162" t="str">
        <f t="shared" si="80"/>
        <v>3/2026</v>
      </c>
      <c r="AN684" s="45">
        <f t="shared" si="81"/>
        <v>4</v>
      </c>
      <c r="AO684" s="45" t="str">
        <f t="shared" si="82"/>
        <v>4/2026</v>
      </c>
      <c r="AP684" s="45">
        <f t="shared" si="83"/>
        <v>5</v>
      </c>
      <c r="AQ684" s="45">
        <f t="shared" si="84"/>
        <v>0</v>
      </c>
      <c r="AR684" s="45">
        <f t="shared" si="85"/>
        <v>0</v>
      </c>
      <c r="AS684" s="45">
        <f t="shared" si="86"/>
        <v>0</v>
      </c>
      <c r="AT684" s="45">
        <f t="shared" si="87"/>
        <v>0</v>
      </c>
      <c r="AU684" s="45" t="str">
        <f>_xlfn.XLOOKUP(U684,'Lista Suspensa'!$AA$20:$AA$23,'Lista Suspensa'!$AB$20:$AB$23,"N/A")</f>
        <v>S</v>
      </c>
    </row>
    <row r="685" spans="1:47" ht="12" hidden="1" customHeight="1" x14ac:dyDescent="0.3">
      <c r="A685" s="87" t="s">
        <v>47</v>
      </c>
      <c r="B685" s="88">
        <v>46104</v>
      </c>
      <c r="C685" s="89" t="s">
        <v>48</v>
      </c>
      <c r="D685" s="89" t="s">
        <v>49</v>
      </c>
      <c r="E685" s="90">
        <v>79638690</v>
      </c>
      <c r="F685" s="184" t="s">
        <v>2175</v>
      </c>
      <c r="G685" s="91">
        <v>7264668835</v>
      </c>
      <c r="H685" s="92">
        <v>21053</v>
      </c>
      <c r="I685" s="89">
        <v>68</v>
      </c>
      <c r="J685" s="89" t="s">
        <v>70</v>
      </c>
      <c r="K685" s="89" t="s">
        <v>52</v>
      </c>
      <c r="L685" s="89" t="s">
        <v>83</v>
      </c>
      <c r="M685" s="89" t="s">
        <v>2176</v>
      </c>
      <c r="N685" s="89" t="s">
        <v>148</v>
      </c>
      <c r="O685" s="93" t="s">
        <v>2177</v>
      </c>
      <c r="P685" s="94" t="s">
        <v>57</v>
      </c>
      <c r="Q685" s="112" t="s">
        <v>941</v>
      </c>
      <c r="R685" s="95">
        <v>46141</v>
      </c>
      <c r="S685" s="95">
        <v>46141</v>
      </c>
      <c r="T685" s="96" t="s">
        <v>59</v>
      </c>
      <c r="U685" s="96" t="s">
        <v>79</v>
      </c>
      <c r="V685" s="92">
        <v>46141</v>
      </c>
      <c r="W685" s="92" t="s">
        <v>61</v>
      </c>
      <c r="X685" s="92">
        <v>46147</v>
      </c>
      <c r="Y685" s="97"/>
      <c r="Z685" s="89" t="s">
        <v>62</v>
      </c>
      <c r="AA685" s="96">
        <v>46147.416666666664</v>
      </c>
      <c r="AB685" s="89" t="s">
        <v>80</v>
      </c>
      <c r="AC685" s="111"/>
      <c r="AD685" s="89"/>
      <c r="AE685" s="89"/>
      <c r="AF685" s="98"/>
      <c r="AG685" s="98"/>
      <c r="AH685" s="98"/>
      <c r="AI685" s="99" t="s">
        <v>67</v>
      </c>
      <c r="AJ685" s="99" t="s">
        <v>81</v>
      </c>
      <c r="AK685" s="99"/>
      <c r="AL685" s="45" t="s">
        <v>68</v>
      </c>
      <c r="AM685" s="162" t="str">
        <f t="shared" si="80"/>
        <v>3/2026</v>
      </c>
      <c r="AN685" s="45">
        <f t="shared" si="81"/>
        <v>4</v>
      </c>
      <c r="AO685" s="45" t="str">
        <f t="shared" si="82"/>
        <v>4/2026</v>
      </c>
      <c r="AP685" s="45">
        <f t="shared" si="83"/>
        <v>5</v>
      </c>
      <c r="AQ685" s="45">
        <f t="shared" si="84"/>
        <v>0</v>
      </c>
      <c r="AR685" s="45">
        <f t="shared" si="85"/>
        <v>0</v>
      </c>
      <c r="AS685" s="45">
        <f t="shared" si="86"/>
        <v>0</v>
      </c>
      <c r="AT685" s="45">
        <f t="shared" si="87"/>
        <v>0</v>
      </c>
      <c r="AU685" s="45" t="str">
        <f>_xlfn.XLOOKUP(U685,'Lista Suspensa'!$AA$20:$AA$23,'Lista Suspensa'!$AB$20:$AB$23,"N/A")</f>
        <v>S</v>
      </c>
    </row>
    <row r="686" spans="1:47" ht="12" hidden="1" customHeight="1" x14ac:dyDescent="0.3">
      <c r="A686" s="87" t="s">
        <v>47</v>
      </c>
      <c r="B686" s="88">
        <v>46104</v>
      </c>
      <c r="C686" s="89" t="s">
        <v>48</v>
      </c>
      <c r="D686" s="89" t="s">
        <v>49</v>
      </c>
      <c r="E686" s="90">
        <v>87275229</v>
      </c>
      <c r="F686" s="184" t="s">
        <v>2178</v>
      </c>
      <c r="G686" s="91">
        <v>5095306808</v>
      </c>
      <c r="H686" s="92">
        <v>23413</v>
      </c>
      <c r="I686" s="89">
        <v>62</v>
      </c>
      <c r="J686" s="89" t="s">
        <v>51</v>
      </c>
      <c r="K686" s="89" t="s">
        <v>52</v>
      </c>
      <c r="L686" s="89" t="s">
        <v>331</v>
      </c>
      <c r="M686" s="89" t="s">
        <v>2179</v>
      </c>
      <c r="N686" s="89" t="s">
        <v>148</v>
      </c>
      <c r="O686" s="93" t="s">
        <v>2180</v>
      </c>
      <c r="P686" s="94" t="s">
        <v>57</v>
      </c>
      <c r="Q686" s="112" t="s">
        <v>2110</v>
      </c>
      <c r="R686" s="95">
        <v>46141</v>
      </c>
      <c r="S686" s="95">
        <v>46141</v>
      </c>
      <c r="T686" s="96" t="s">
        <v>59</v>
      </c>
      <c r="U686" s="96" t="s">
        <v>79</v>
      </c>
      <c r="V686" s="92">
        <v>46141</v>
      </c>
      <c r="W686" s="92" t="s">
        <v>61</v>
      </c>
      <c r="X686" s="92" t="s">
        <v>61</v>
      </c>
      <c r="Y686" s="97"/>
      <c r="Z686" s="89" t="s">
        <v>62</v>
      </c>
      <c r="AA686" s="96">
        <v>46146</v>
      </c>
      <c r="AB686" s="89" t="s">
        <v>63</v>
      </c>
      <c r="AC686" s="111"/>
      <c r="AD686" s="89"/>
      <c r="AE686" s="89"/>
      <c r="AF686" s="98"/>
      <c r="AG686" s="98"/>
      <c r="AH686" s="98"/>
      <c r="AI686" s="99" t="s">
        <v>67</v>
      </c>
      <c r="AJ686" s="99" t="s">
        <v>81</v>
      </c>
      <c r="AK686" s="99"/>
      <c r="AL686" s="45" t="s">
        <v>68</v>
      </c>
      <c r="AM686" s="162" t="str">
        <f t="shared" si="80"/>
        <v>3/2026</v>
      </c>
      <c r="AN686" s="45">
        <f t="shared" si="81"/>
        <v>4</v>
      </c>
      <c r="AO686" s="45" t="str">
        <f t="shared" si="82"/>
        <v>4/2026</v>
      </c>
      <c r="AP686" s="45">
        <f t="shared" si="83"/>
        <v>5</v>
      </c>
      <c r="AQ686" s="45">
        <f t="shared" si="84"/>
        <v>0</v>
      </c>
      <c r="AR686" s="45">
        <f t="shared" si="85"/>
        <v>0</v>
      </c>
      <c r="AS686" s="45">
        <f t="shared" si="86"/>
        <v>0</v>
      </c>
      <c r="AT686" s="45">
        <f t="shared" si="87"/>
        <v>0</v>
      </c>
      <c r="AU686" s="45" t="str">
        <f>_xlfn.XLOOKUP(U686,'Lista Suspensa'!$AA$20:$AA$23,'Lista Suspensa'!$AB$20:$AB$23,"N/A")</f>
        <v>S</v>
      </c>
    </row>
    <row r="687" spans="1:47" ht="12" hidden="1" customHeight="1" x14ac:dyDescent="0.3">
      <c r="A687" s="87" t="s">
        <v>47</v>
      </c>
      <c r="B687" s="88">
        <v>46104</v>
      </c>
      <c r="C687" s="89" t="s">
        <v>48</v>
      </c>
      <c r="D687" s="89" t="s">
        <v>49</v>
      </c>
      <c r="E687" s="90">
        <v>83446827</v>
      </c>
      <c r="F687" s="184" t="s">
        <v>2181</v>
      </c>
      <c r="G687" s="91">
        <v>82847770887</v>
      </c>
      <c r="H687" s="92">
        <v>20702</v>
      </c>
      <c r="I687" s="89">
        <v>69</v>
      </c>
      <c r="J687" s="89" t="s">
        <v>51</v>
      </c>
      <c r="K687" s="89" t="s">
        <v>52</v>
      </c>
      <c r="L687" s="89" t="s">
        <v>83</v>
      </c>
      <c r="M687" s="89" t="s">
        <v>2182</v>
      </c>
      <c r="N687" s="89" t="s">
        <v>148</v>
      </c>
      <c r="O687" s="93" t="s">
        <v>2183</v>
      </c>
      <c r="P687" s="94" t="s">
        <v>57</v>
      </c>
      <c r="Q687" s="112" t="s">
        <v>745</v>
      </c>
      <c r="R687" s="95">
        <v>46117</v>
      </c>
      <c r="S687" s="96">
        <v>46160</v>
      </c>
      <c r="T687" s="96" t="s">
        <v>59</v>
      </c>
      <c r="U687" s="96" t="s">
        <v>79</v>
      </c>
      <c r="V687" s="92">
        <v>46141</v>
      </c>
      <c r="W687" s="92" t="s">
        <v>61</v>
      </c>
      <c r="X687" s="92" t="s">
        <v>61</v>
      </c>
      <c r="Y687" s="97"/>
      <c r="Z687" s="89" t="s">
        <v>62</v>
      </c>
      <c r="AA687" s="96">
        <v>46160</v>
      </c>
      <c r="AB687" s="89" t="s">
        <v>80</v>
      </c>
      <c r="AC687" s="111"/>
      <c r="AD687" s="89"/>
      <c r="AE687" s="89"/>
      <c r="AF687" s="98"/>
      <c r="AG687" s="98"/>
      <c r="AH687" s="98"/>
      <c r="AI687" s="99" t="s">
        <v>197</v>
      </c>
      <c r="AJ687" s="99" t="s">
        <v>81</v>
      </c>
      <c r="AK687" s="99" t="s">
        <v>67</v>
      </c>
      <c r="AL687" s="45" t="s">
        <v>68</v>
      </c>
      <c r="AM687" s="162" t="str">
        <f t="shared" si="80"/>
        <v>3/2026</v>
      </c>
      <c r="AN687" s="45">
        <f t="shared" si="81"/>
        <v>4</v>
      </c>
      <c r="AO687" s="45" t="str">
        <f t="shared" si="82"/>
        <v>4/2026</v>
      </c>
      <c r="AP687" s="45">
        <f t="shared" si="83"/>
        <v>2</v>
      </c>
      <c r="AQ687" s="45">
        <f t="shared" si="84"/>
        <v>0</v>
      </c>
      <c r="AR687" s="45">
        <f t="shared" si="85"/>
        <v>43</v>
      </c>
      <c r="AS687" s="45">
        <f t="shared" si="86"/>
        <v>0</v>
      </c>
      <c r="AT687" s="45">
        <f t="shared" si="87"/>
        <v>0</v>
      </c>
      <c r="AU687" s="45" t="str">
        <f>_xlfn.XLOOKUP(U687,'Lista Suspensa'!$AA$20:$AA$23,'Lista Suspensa'!$AB$20:$AB$23,"N/A")</f>
        <v>S</v>
      </c>
    </row>
    <row r="688" spans="1:47" ht="12" hidden="1" customHeight="1" x14ac:dyDescent="0.3">
      <c r="A688" s="87" t="s">
        <v>47</v>
      </c>
      <c r="B688" s="88">
        <v>46104</v>
      </c>
      <c r="C688" s="89" t="s">
        <v>48</v>
      </c>
      <c r="D688" s="89" t="s">
        <v>49</v>
      </c>
      <c r="E688" s="90">
        <v>200330330</v>
      </c>
      <c r="F688" s="184" t="s">
        <v>2184</v>
      </c>
      <c r="G688" s="91">
        <v>20209347872</v>
      </c>
      <c r="H688" s="92">
        <v>17330</v>
      </c>
      <c r="I688" s="89">
        <v>78</v>
      </c>
      <c r="J688" s="89" t="s">
        <v>51</v>
      </c>
      <c r="K688" s="89" t="s">
        <v>52</v>
      </c>
      <c r="L688" s="89" t="s">
        <v>53</v>
      </c>
      <c r="M688" s="89" t="s">
        <v>1792</v>
      </c>
      <c r="N688" s="89" t="s">
        <v>170</v>
      </c>
      <c r="O688" s="93" t="s">
        <v>2185</v>
      </c>
      <c r="P688" s="94" t="s">
        <v>57</v>
      </c>
      <c r="Q688" s="112" t="s">
        <v>745</v>
      </c>
      <c r="R688" s="95">
        <v>46141</v>
      </c>
      <c r="S688" s="96">
        <v>46150</v>
      </c>
      <c r="T688" s="96" t="s">
        <v>59</v>
      </c>
      <c r="U688" s="96" t="s">
        <v>79</v>
      </c>
      <c r="V688" s="92">
        <v>46141</v>
      </c>
      <c r="W688" s="92" t="s">
        <v>61</v>
      </c>
      <c r="X688" s="92" t="s">
        <v>61</v>
      </c>
      <c r="Y688" s="97"/>
      <c r="Z688" s="89" t="s">
        <v>62</v>
      </c>
      <c r="AA688" s="96">
        <v>46150</v>
      </c>
      <c r="AB688" s="89" t="s">
        <v>63</v>
      </c>
      <c r="AC688" s="111"/>
      <c r="AD688" s="89"/>
      <c r="AE688" s="89"/>
      <c r="AF688" s="98"/>
      <c r="AG688" s="98"/>
      <c r="AH688" s="98"/>
      <c r="AI688" s="99" t="s">
        <v>67</v>
      </c>
      <c r="AJ688" s="99" t="s">
        <v>81</v>
      </c>
      <c r="AK688" s="99"/>
      <c r="AL688" s="45" t="s">
        <v>68</v>
      </c>
      <c r="AM688" s="162" t="str">
        <f t="shared" si="80"/>
        <v>3/2026</v>
      </c>
      <c r="AN688" s="45">
        <f t="shared" si="81"/>
        <v>4</v>
      </c>
      <c r="AO688" s="45" t="str">
        <f t="shared" si="82"/>
        <v>4/2026</v>
      </c>
      <c r="AP688" s="45">
        <f t="shared" si="83"/>
        <v>5</v>
      </c>
      <c r="AQ688" s="45">
        <f t="shared" si="84"/>
        <v>0</v>
      </c>
      <c r="AR688" s="45">
        <f t="shared" si="85"/>
        <v>9</v>
      </c>
      <c r="AS688" s="45">
        <f t="shared" si="86"/>
        <v>0</v>
      </c>
      <c r="AT688" s="45">
        <f t="shared" si="87"/>
        <v>0</v>
      </c>
      <c r="AU688" s="45" t="str">
        <f>_xlfn.XLOOKUP(U688,'Lista Suspensa'!$AA$20:$AA$23,'Lista Suspensa'!$AB$20:$AB$23,"N/A")</f>
        <v>S</v>
      </c>
    </row>
    <row r="689" spans="1:47" ht="12" hidden="1" customHeight="1" x14ac:dyDescent="0.3">
      <c r="A689" s="87" t="s">
        <v>47</v>
      </c>
      <c r="B689" s="88">
        <v>46104</v>
      </c>
      <c r="C689" s="89" t="s">
        <v>48</v>
      </c>
      <c r="D689" s="89" t="s">
        <v>49</v>
      </c>
      <c r="E689" s="90">
        <v>93567814</v>
      </c>
      <c r="F689" s="184" t="s">
        <v>2186</v>
      </c>
      <c r="G689" s="91">
        <v>61288004753</v>
      </c>
      <c r="H689" s="92">
        <v>22001</v>
      </c>
      <c r="I689" s="89">
        <v>65</v>
      </c>
      <c r="J689" s="89" t="s">
        <v>51</v>
      </c>
      <c r="K689" s="89" t="s">
        <v>88</v>
      </c>
      <c r="L689" s="89" t="s">
        <v>89</v>
      </c>
      <c r="M689" s="89" t="s">
        <v>1169</v>
      </c>
      <c r="N689" s="89" t="s">
        <v>181</v>
      </c>
      <c r="O689" s="93" t="s">
        <v>2187</v>
      </c>
      <c r="P689" s="94" t="s">
        <v>57</v>
      </c>
      <c r="Q689" s="112" t="s">
        <v>941</v>
      </c>
      <c r="R689" s="95">
        <v>46141</v>
      </c>
      <c r="S689" s="96">
        <v>46149</v>
      </c>
      <c r="T689" s="96" t="s">
        <v>59</v>
      </c>
      <c r="U689" s="96" t="s">
        <v>79</v>
      </c>
      <c r="V689" s="92">
        <v>46141</v>
      </c>
      <c r="W689" s="92">
        <v>46149</v>
      </c>
      <c r="X689" s="92" t="s">
        <v>61</v>
      </c>
      <c r="Y689" s="97"/>
      <c r="Z689" s="89" t="s">
        <v>62</v>
      </c>
      <c r="AA689" s="96">
        <v>46161</v>
      </c>
      <c r="AB689" s="89" t="s">
        <v>63</v>
      </c>
      <c r="AC689" s="111"/>
      <c r="AD689" s="89"/>
      <c r="AE689" s="89"/>
      <c r="AF689" s="98"/>
      <c r="AG689" s="98"/>
      <c r="AH689" s="98"/>
      <c r="AI689" s="99" t="s">
        <v>67</v>
      </c>
      <c r="AJ689" s="99" t="s">
        <v>81</v>
      </c>
      <c r="AK689" s="99" t="s">
        <v>67</v>
      </c>
      <c r="AL689" s="45" t="s">
        <v>68</v>
      </c>
      <c r="AM689" s="162" t="str">
        <f t="shared" si="80"/>
        <v>3/2026</v>
      </c>
      <c r="AN689" s="45">
        <f t="shared" si="81"/>
        <v>4</v>
      </c>
      <c r="AO689" s="45" t="str">
        <f t="shared" si="82"/>
        <v>4/2026</v>
      </c>
      <c r="AP689" s="45">
        <f t="shared" si="83"/>
        <v>5</v>
      </c>
      <c r="AQ689" s="45">
        <f t="shared" si="84"/>
        <v>0</v>
      </c>
      <c r="AR689" s="45">
        <f t="shared" si="85"/>
        <v>8</v>
      </c>
      <c r="AS689" s="45">
        <f t="shared" si="86"/>
        <v>0</v>
      </c>
      <c r="AT689" s="45">
        <f t="shared" si="87"/>
        <v>0</v>
      </c>
      <c r="AU689" s="45" t="str">
        <f>_xlfn.XLOOKUP(U689,'Lista Suspensa'!$AA$20:$AA$23,'Lista Suspensa'!$AB$20:$AB$23,"N/A")</f>
        <v>S</v>
      </c>
    </row>
    <row r="690" spans="1:47" ht="12" hidden="1" customHeight="1" x14ac:dyDescent="0.3">
      <c r="A690" s="87" t="s">
        <v>47</v>
      </c>
      <c r="B690" s="88">
        <v>46104</v>
      </c>
      <c r="C690" s="89" t="s">
        <v>48</v>
      </c>
      <c r="D690" s="89" t="s">
        <v>49</v>
      </c>
      <c r="E690" s="90">
        <v>87980947</v>
      </c>
      <c r="F690" s="184" t="s">
        <v>2188</v>
      </c>
      <c r="G690" s="91">
        <v>5171230889</v>
      </c>
      <c r="H690" s="92">
        <v>18208</v>
      </c>
      <c r="I690" s="89">
        <v>76</v>
      </c>
      <c r="J690" s="89" t="s">
        <v>51</v>
      </c>
      <c r="K690" s="89" t="s">
        <v>52</v>
      </c>
      <c r="L690" s="89" t="s">
        <v>53</v>
      </c>
      <c r="M690" s="89" t="s">
        <v>2189</v>
      </c>
      <c r="N690" s="89" t="s">
        <v>209</v>
      </c>
      <c r="O690" s="93" t="s">
        <v>2190</v>
      </c>
      <c r="P690" s="94" t="s">
        <v>57</v>
      </c>
      <c r="Q690" s="112" t="s">
        <v>941</v>
      </c>
      <c r="R690" s="95">
        <v>46141</v>
      </c>
      <c r="S690" s="96">
        <v>46169</v>
      </c>
      <c r="T690" s="96" t="s">
        <v>59</v>
      </c>
      <c r="U690" s="96" t="s">
        <v>79</v>
      </c>
      <c r="V690" s="92">
        <v>46141</v>
      </c>
      <c r="W690" s="92" t="s">
        <v>61</v>
      </c>
      <c r="X690" s="92" t="s">
        <v>61</v>
      </c>
      <c r="Y690" s="97"/>
      <c r="Z690" s="89" t="s">
        <v>62</v>
      </c>
      <c r="AA690" s="96">
        <v>46169</v>
      </c>
      <c r="AB690" s="89" t="s">
        <v>118</v>
      </c>
      <c r="AC690" s="111"/>
      <c r="AD690" s="89"/>
      <c r="AE690" s="89"/>
      <c r="AF690" s="98"/>
      <c r="AG690" s="98"/>
      <c r="AH690" s="98"/>
      <c r="AI690" s="99" t="s">
        <v>67</v>
      </c>
      <c r="AJ690" s="99" t="s">
        <v>81</v>
      </c>
      <c r="AK690" s="99" t="s">
        <v>67</v>
      </c>
      <c r="AL690" s="45" t="s">
        <v>68</v>
      </c>
      <c r="AM690" s="162" t="str">
        <f t="shared" si="80"/>
        <v>3/2026</v>
      </c>
      <c r="AN690" s="45">
        <f t="shared" si="81"/>
        <v>4</v>
      </c>
      <c r="AO690" s="45" t="str">
        <f t="shared" si="82"/>
        <v>4/2026</v>
      </c>
      <c r="AP690" s="45">
        <f t="shared" si="83"/>
        <v>5</v>
      </c>
      <c r="AQ690" s="45">
        <f t="shared" si="84"/>
        <v>0</v>
      </c>
      <c r="AR690" s="45">
        <f t="shared" si="85"/>
        <v>28</v>
      </c>
      <c r="AS690" s="45">
        <f t="shared" si="86"/>
        <v>0</v>
      </c>
      <c r="AT690" s="45">
        <f t="shared" si="87"/>
        <v>0</v>
      </c>
      <c r="AU690" s="45" t="str">
        <f>_xlfn.XLOOKUP(U690,'Lista Suspensa'!$AA$20:$AA$23,'Lista Suspensa'!$AB$20:$AB$23,"N/A")</f>
        <v>S</v>
      </c>
    </row>
    <row r="691" spans="1:47" ht="12" hidden="1" customHeight="1" x14ac:dyDescent="0.3">
      <c r="A691" s="87" t="s">
        <v>47</v>
      </c>
      <c r="B691" s="88">
        <v>46104</v>
      </c>
      <c r="C691" s="89" t="s">
        <v>48</v>
      </c>
      <c r="D691" s="89" t="s">
        <v>49</v>
      </c>
      <c r="E691" s="90">
        <v>87620544</v>
      </c>
      <c r="F691" s="184" t="s">
        <v>2191</v>
      </c>
      <c r="G691" s="91">
        <v>36939237879</v>
      </c>
      <c r="H691" s="92">
        <v>32202</v>
      </c>
      <c r="I691" s="89">
        <v>38</v>
      </c>
      <c r="J691" s="89" t="s">
        <v>51</v>
      </c>
      <c r="K691" s="89" t="s">
        <v>52</v>
      </c>
      <c r="L691" s="89" t="s">
        <v>53</v>
      </c>
      <c r="M691" s="89" t="s">
        <v>2192</v>
      </c>
      <c r="N691" s="89" t="s">
        <v>185</v>
      </c>
      <c r="O691" s="93" t="s">
        <v>2193</v>
      </c>
      <c r="P691" s="94" t="s">
        <v>57</v>
      </c>
      <c r="Q691" s="112" t="s">
        <v>745</v>
      </c>
      <c r="R691" s="95">
        <v>46141</v>
      </c>
      <c r="S691" s="95">
        <v>46141</v>
      </c>
      <c r="T691" s="96" t="s">
        <v>59</v>
      </c>
      <c r="U691" s="96" t="s">
        <v>79</v>
      </c>
      <c r="V691" s="92">
        <v>46141</v>
      </c>
      <c r="W691" s="92">
        <v>46141</v>
      </c>
      <c r="X691" s="92" t="s">
        <v>61</v>
      </c>
      <c r="Y691" s="97"/>
      <c r="Z691" s="89" t="s">
        <v>62</v>
      </c>
      <c r="AA691" s="96">
        <v>46146</v>
      </c>
      <c r="AB691" s="89" t="s">
        <v>118</v>
      </c>
      <c r="AC691" s="111"/>
      <c r="AD691" s="89"/>
      <c r="AE691" s="89"/>
      <c r="AF691" s="98"/>
      <c r="AG691" s="98"/>
      <c r="AH691" s="98"/>
      <c r="AI691" s="99" t="s">
        <v>67</v>
      </c>
      <c r="AJ691" s="99" t="s">
        <v>81</v>
      </c>
      <c r="AK691" s="99"/>
      <c r="AL691" s="45" t="s">
        <v>68</v>
      </c>
      <c r="AM691" s="162" t="str">
        <f t="shared" si="80"/>
        <v>3/2026</v>
      </c>
      <c r="AN691" s="45">
        <f t="shared" si="81"/>
        <v>4</v>
      </c>
      <c r="AO691" s="45" t="str">
        <f t="shared" si="82"/>
        <v>4/2026</v>
      </c>
      <c r="AP691" s="45">
        <f t="shared" si="83"/>
        <v>5</v>
      </c>
      <c r="AQ691" s="45">
        <f t="shared" si="84"/>
        <v>0</v>
      </c>
      <c r="AR691" s="45">
        <f t="shared" si="85"/>
        <v>0</v>
      </c>
      <c r="AS691" s="45">
        <f t="shared" si="86"/>
        <v>0</v>
      </c>
      <c r="AT691" s="45">
        <f t="shared" si="87"/>
        <v>0</v>
      </c>
      <c r="AU691" s="45" t="str">
        <f>_xlfn.XLOOKUP(U691,'Lista Suspensa'!$AA$20:$AA$23,'Lista Suspensa'!$AB$20:$AB$23,"N/A")</f>
        <v>S</v>
      </c>
    </row>
    <row r="692" spans="1:47" ht="12" hidden="1" customHeight="1" x14ac:dyDescent="0.3">
      <c r="A692" s="87" t="s">
        <v>47</v>
      </c>
      <c r="B692" s="88">
        <v>46104</v>
      </c>
      <c r="C692" s="89" t="s">
        <v>48</v>
      </c>
      <c r="D692" s="89" t="s">
        <v>49</v>
      </c>
      <c r="E692" s="90">
        <v>92683760</v>
      </c>
      <c r="F692" s="184" t="s">
        <v>2194</v>
      </c>
      <c r="G692" s="91">
        <v>5185938862</v>
      </c>
      <c r="H692" s="92">
        <v>23876</v>
      </c>
      <c r="I692" s="89">
        <v>60</v>
      </c>
      <c r="J692" s="89" t="s">
        <v>51</v>
      </c>
      <c r="K692" s="89" t="s">
        <v>52</v>
      </c>
      <c r="L692" s="89" t="s">
        <v>331</v>
      </c>
      <c r="M692" s="89" t="s">
        <v>2195</v>
      </c>
      <c r="N692" s="89" t="s">
        <v>185</v>
      </c>
      <c r="O692" s="93" t="s">
        <v>2196</v>
      </c>
      <c r="P692" s="94" t="s">
        <v>57</v>
      </c>
      <c r="Q692" s="112" t="s">
        <v>745</v>
      </c>
      <c r="R692" s="95">
        <v>46150</v>
      </c>
      <c r="S692" s="95">
        <v>46150</v>
      </c>
      <c r="T692" s="96" t="s">
        <v>59</v>
      </c>
      <c r="U692" s="96" t="s">
        <v>79</v>
      </c>
      <c r="V692" s="92">
        <v>46149</v>
      </c>
      <c r="W692" s="92" t="s">
        <v>61</v>
      </c>
      <c r="X692" s="92" t="s">
        <v>61</v>
      </c>
      <c r="Y692" s="97" t="s">
        <v>2117</v>
      </c>
      <c r="Z692" s="89" t="s">
        <v>62</v>
      </c>
      <c r="AA692" s="96">
        <v>46149</v>
      </c>
      <c r="AB692" s="89" t="s">
        <v>63</v>
      </c>
      <c r="AC692" s="111"/>
      <c r="AD692" s="89"/>
      <c r="AE692" s="89"/>
      <c r="AF692" s="98"/>
      <c r="AG692" s="98"/>
      <c r="AH692" s="98"/>
      <c r="AI692" s="99" t="s">
        <v>67</v>
      </c>
      <c r="AJ692" s="99" t="s">
        <v>81</v>
      </c>
      <c r="AK692" s="99"/>
      <c r="AL692" s="45" t="s">
        <v>68</v>
      </c>
      <c r="AM692" s="162" t="str">
        <f t="shared" si="80"/>
        <v>3/2026</v>
      </c>
      <c r="AN692" s="45">
        <f t="shared" si="81"/>
        <v>4</v>
      </c>
      <c r="AO692" s="45" t="str">
        <f t="shared" si="82"/>
        <v>5/2026</v>
      </c>
      <c r="AP692" s="45">
        <f t="shared" si="83"/>
        <v>2</v>
      </c>
      <c r="AQ692" s="45">
        <f t="shared" si="84"/>
        <v>0</v>
      </c>
      <c r="AR692" s="45">
        <f t="shared" si="85"/>
        <v>0</v>
      </c>
      <c r="AS692" s="45">
        <f t="shared" si="86"/>
        <v>0</v>
      </c>
      <c r="AT692" s="45">
        <f t="shared" si="87"/>
        <v>0</v>
      </c>
      <c r="AU692" s="45" t="str">
        <f>_xlfn.XLOOKUP(U692,'Lista Suspensa'!$AA$20:$AA$23,'Lista Suspensa'!$AB$20:$AB$23,"N/A")</f>
        <v>S</v>
      </c>
    </row>
    <row r="693" spans="1:47" ht="12" hidden="1" customHeight="1" x14ac:dyDescent="0.3">
      <c r="A693" s="87" t="s">
        <v>47</v>
      </c>
      <c r="B693" s="88">
        <v>46104</v>
      </c>
      <c r="C693" s="89" t="s">
        <v>48</v>
      </c>
      <c r="D693" s="89" t="s">
        <v>49</v>
      </c>
      <c r="E693" s="90">
        <v>81797518</v>
      </c>
      <c r="F693" s="184" t="s">
        <v>2197</v>
      </c>
      <c r="G693" s="91">
        <v>7751414707</v>
      </c>
      <c r="H693" s="92">
        <v>28192</v>
      </c>
      <c r="I693" s="89">
        <v>49</v>
      </c>
      <c r="J693" s="89" t="s">
        <v>70</v>
      </c>
      <c r="K693" s="89" t="s">
        <v>88</v>
      </c>
      <c r="L693" s="89" t="s">
        <v>89</v>
      </c>
      <c r="M693" s="89" t="s">
        <v>1594</v>
      </c>
      <c r="N693" s="89" t="s">
        <v>185</v>
      </c>
      <c r="O693" s="93" t="s">
        <v>2198</v>
      </c>
      <c r="P693" s="94" t="s">
        <v>57</v>
      </c>
      <c r="Q693" s="112" t="s">
        <v>745</v>
      </c>
      <c r="R693" s="95">
        <v>46141</v>
      </c>
      <c r="S693" s="95">
        <v>46141</v>
      </c>
      <c r="T693" s="96" t="s">
        <v>59</v>
      </c>
      <c r="U693" s="96" t="s">
        <v>79</v>
      </c>
      <c r="V693" s="92">
        <v>46141</v>
      </c>
      <c r="W693" s="92" t="s">
        <v>61</v>
      </c>
      <c r="X693" s="92" t="s">
        <v>61</v>
      </c>
      <c r="Y693" s="97"/>
      <c r="Z693" s="89" t="s">
        <v>62</v>
      </c>
      <c r="AA693" s="96">
        <v>46146</v>
      </c>
      <c r="AB693" s="89" t="s">
        <v>63</v>
      </c>
      <c r="AC693" s="111"/>
      <c r="AD693" s="89"/>
      <c r="AE693" s="89"/>
      <c r="AF693" s="98"/>
      <c r="AG693" s="98"/>
      <c r="AH693" s="98"/>
      <c r="AI693" s="99" t="s">
        <v>67</v>
      </c>
      <c r="AJ693" s="99" t="s">
        <v>81</v>
      </c>
      <c r="AK693" s="99"/>
      <c r="AL693" s="45" t="s">
        <v>68</v>
      </c>
      <c r="AM693" s="162" t="str">
        <f t="shared" si="80"/>
        <v>3/2026</v>
      </c>
      <c r="AN693" s="45">
        <f t="shared" si="81"/>
        <v>4</v>
      </c>
      <c r="AO693" s="45" t="str">
        <f t="shared" si="82"/>
        <v>4/2026</v>
      </c>
      <c r="AP693" s="45">
        <f t="shared" si="83"/>
        <v>5</v>
      </c>
      <c r="AQ693" s="45">
        <f t="shared" si="84"/>
        <v>0</v>
      </c>
      <c r="AR693" s="45">
        <f t="shared" si="85"/>
        <v>0</v>
      </c>
      <c r="AS693" s="45">
        <f t="shared" si="86"/>
        <v>0</v>
      </c>
      <c r="AT693" s="45">
        <f t="shared" si="87"/>
        <v>0</v>
      </c>
      <c r="AU693" s="45" t="str">
        <f>_xlfn.XLOOKUP(U693,'Lista Suspensa'!$AA$20:$AA$23,'Lista Suspensa'!$AB$20:$AB$23,"N/A")</f>
        <v>S</v>
      </c>
    </row>
    <row r="694" spans="1:47" ht="12" hidden="1" customHeight="1" x14ac:dyDescent="0.3">
      <c r="A694" s="87" t="s">
        <v>47</v>
      </c>
      <c r="B694" s="88">
        <v>46104</v>
      </c>
      <c r="C694" s="89" t="s">
        <v>48</v>
      </c>
      <c r="D694" s="89" t="s">
        <v>49</v>
      </c>
      <c r="E694" s="90">
        <v>89245320</v>
      </c>
      <c r="F694" s="184" t="s">
        <v>2199</v>
      </c>
      <c r="G694" s="91">
        <v>5148287810</v>
      </c>
      <c r="H694" s="92">
        <v>22286</v>
      </c>
      <c r="I694" s="89">
        <v>65</v>
      </c>
      <c r="J694" s="89" t="s">
        <v>51</v>
      </c>
      <c r="K694" s="89" t="s">
        <v>52</v>
      </c>
      <c r="L694" s="89" t="s">
        <v>53</v>
      </c>
      <c r="M694" s="89" t="s">
        <v>270</v>
      </c>
      <c r="N694" s="89" t="s">
        <v>185</v>
      </c>
      <c r="O694" s="93" t="s">
        <v>2200</v>
      </c>
      <c r="P694" s="94" t="s">
        <v>57</v>
      </c>
      <c r="Q694" s="112" t="s">
        <v>941</v>
      </c>
      <c r="R694" s="95">
        <v>46141</v>
      </c>
      <c r="S694" s="95">
        <v>46141</v>
      </c>
      <c r="T694" s="96" t="s">
        <v>59</v>
      </c>
      <c r="U694" s="96" t="s">
        <v>79</v>
      </c>
      <c r="V694" s="92">
        <v>46141</v>
      </c>
      <c r="W694" s="92" t="s">
        <v>61</v>
      </c>
      <c r="X694" s="92" t="s">
        <v>61</v>
      </c>
      <c r="Y694" s="97"/>
      <c r="Z694" s="89" t="s">
        <v>62</v>
      </c>
      <c r="AA694" s="96">
        <v>46147</v>
      </c>
      <c r="AB694" s="89" t="s">
        <v>63</v>
      </c>
      <c r="AC694" s="111"/>
      <c r="AD694" s="89"/>
      <c r="AE694" s="89"/>
      <c r="AF694" s="98"/>
      <c r="AG694" s="98"/>
      <c r="AH694" s="98"/>
      <c r="AI694" s="99" t="s">
        <v>67</v>
      </c>
      <c r="AJ694" s="99" t="s">
        <v>81</v>
      </c>
      <c r="AK694" s="99"/>
      <c r="AL694" s="45" t="s">
        <v>68</v>
      </c>
      <c r="AM694" s="162" t="str">
        <f t="shared" si="80"/>
        <v>3/2026</v>
      </c>
      <c r="AN694" s="45">
        <f t="shared" si="81"/>
        <v>4</v>
      </c>
      <c r="AO694" s="45" t="str">
        <f t="shared" si="82"/>
        <v>4/2026</v>
      </c>
      <c r="AP694" s="45">
        <f t="shared" si="83"/>
        <v>5</v>
      </c>
      <c r="AQ694" s="45">
        <f t="shared" si="84"/>
        <v>0</v>
      </c>
      <c r="AR694" s="45">
        <f t="shared" si="85"/>
        <v>0</v>
      </c>
      <c r="AS694" s="45">
        <f t="shared" si="86"/>
        <v>0</v>
      </c>
      <c r="AT694" s="45">
        <f t="shared" si="87"/>
        <v>0</v>
      </c>
      <c r="AU694" s="45" t="str">
        <f>_xlfn.XLOOKUP(U694,'Lista Suspensa'!$AA$20:$AA$23,'Lista Suspensa'!$AB$20:$AB$23,"N/A")</f>
        <v>S</v>
      </c>
    </row>
    <row r="695" spans="1:47" ht="12" hidden="1" customHeight="1" x14ac:dyDescent="0.3">
      <c r="A695" s="87" t="s">
        <v>67</v>
      </c>
      <c r="B695" s="88">
        <v>46127</v>
      </c>
      <c r="C695" s="89" t="s">
        <v>211</v>
      </c>
      <c r="D695" s="89" t="s">
        <v>49</v>
      </c>
      <c r="E695" s="90">
        <v>84673966</v>
      </c>
      <c r="F695" s="184" t="s">
        <v>2201</v>
      </c>
      <c r="G695" s="91" t="s">
        <v>2202</v>
      </c>
      <c r="H695" s="92">
        <v>22027</v>
      </c>
      <c r="I695" s="89">
        <v>65</v>
      </c>
      <c r="J695" s="89" t="s">
        <v>51</v>
      </c>
      <c r="K695" s="89" t="s">
        <v>88</v>
      </c>
      <c r="L695" s="89" t="s">
        <v>2203</v>
      </c>
      <c r="M695" s="89"/>
      <c r="N695" s="89">
        <v>50</v>
      </c>
      <c r="O695" s="93" t="s">
        <v>2204</v>
      </c>
      <c r="P695" s="94" t="s">
        <v>57</v>
      </c>
      <c r="Q695" s="112" t="s">
        <v>941</v>
      </c>
      <c r="R695" s="95">
        <v>46073</v>
      </c>
      <c r="S695" s="96">
        <v>46153</v>
      </c>
      <c r="T695" s="96" t="s">
        <v>59</v>
      </c>
      <c r="U695" s="96" t="s">
        <v>79</v>
      </c>
      <c r="V695" s="92">
        <v>46128</v>
      </c>
      <c r="W695" s="92">
        <v>46141</v>
      </c>
      <c r="X695" s="92">
        <v>46147</v>
      </c>
      <c r="Y695" s="97"/>
      <c r="Z695" s="89" t="s">
        <v>62</v>
      </c>
      <c r="AA695" s="96">
        <v>46169</v>
      </c>
      <c r="AB695" s="89" t="s">
        <v>80</v>
      </c>
      <c r="AC695" s="111">
        <v>46178</v>
      </c>
      <c r="AD695" s="89"/>
      <c r="AE695" s="89"/>
      <c r="AF695" s="98"/>
      <c r="AG695" s="98"/>
      <c r="AH695" s="98"/>
      <c r="AI695" s="99" t="s">
        <v>67</v>
      </c>
      <c r="AJ695" s="99" t="s">
        <v>81</v>
      </c>
      <c r="AK695" s="99" t="s">
        <v>67</v>
      </c>
      <c r="AL695" s="45" t="s">
        <v>68</v>
      </c>
      <c r="AM695" s="162" t="str">
        <f t="shared" si="80"/>
        <v>4/2026</v>
      </c>
      <c r="AN695" s="45">
        <f t="shared" si="81"/>
        <v>3</v>
      </c>
      <c r="AO695" s="45" t="str">
        <f t="shared" si="82"/>
        <v>2/2026</v>
      </c>
      <c r="AP695" s="45">
        <f t="shared" si="83"/>
        <v>3</v>
      </c>
      <c r="AQ695" s="45">
        <f t="shared" si="84"/>
        <v>0</v>
      </c>
      <c r="AR695" s="45">
        <f t="shared" si="85"/>
        <v>80</v>
      </c>
      <c r="AS695" s="45">
        <f t="shared" si="86"/>
        <v>0</v>
      </c>
      <c r="AT695" s="45">
        <f t="shared" si="87"/>
        <v>0</v>
      </c>
      <c r="AU695" s="45" t="str">
        <f>_xlfn.XLOOKUP(U695,'Lista Suspensa'!$AA$20:$AA$23,'Lista Suspensa'!$AB$20:$AB$23,"N/A")</f>
        <v>S</v>
      </c>
    </row>
    <row r="696" spans="1:47" ht="12" hidden="1" customHeight="1" x14ac:dyDescent="0.3">
      <c r="A696" s="87" t="s">
        <v>67</v>
      </c>
      <c r="B696" s="88">
        <v>46147</v>
      </c>
      <c r="C696" s="89" t="s">
        <v>211</v>
      </c>
      <c r="D696" s="89" t="s">
        <v>2000</v>
      </c>
      <c r="E696" s="90">
        <v>97084742</v>
      </c>
      <c r="F696" s="184" t="s">
        <v>2205</v>
      </c>
      <c r="G696" s="91" t="s">
        <v>2206</v>
      </c>
      <c r="H696" s="92">
        <v>28443</v>
      </c>
      <c r="I696" s="89">
        <v>48</v>
      </c>
      <c r="J696" s="89" t="s">
        <v>51</v>
      </c>
      <c r="K696" s="89" t="s">
        <v>52</v>
      </c>
      <c r="L696" s="89" t="s">
        <v>283</v>
      </c>
      <c r="M696" s="89"/>
      <c r="N696" s="89">
        <v>60</v>
      </c>
      <c r="O696" s="93">
        <v>11993459259</v>
      </c>
      <c r="P696" s="94"/>
      <c r="Q696" s="112" t="s">
        <v>2110</v>
      </c>
      <c r="R696" s="95">
        <v>46153</v>
      </c>
      <c r="S696" s="96">
        <v>46154</v>
      </c>
      <c r="T696" s="96" t="s">
        <v>59</v>
      </c>
      <c r="U696" s="96" t="s">
        <v>79</v>
      </c>
      <c r="V696" s="92">
        <v>46150</v>
      </c>
      <c r="W696" s="92">
        <v>46154</v>
      </c>
      <c r="X696" s="92" t="s">
        <v>61</v>
      </c>
      <c r="Y696" s="97" t="s">
        <v>2207</v>
      </c>
      <c r="Z696" s="89" t="s">
        <v>62</v>
      </c>
      <c r="AA696" s="96" t="s">
        <v>2208</v>
      </c>
      <c r="AB696" s="89" t="s">
        <v>63</v>
      </c>
      <c r="AC696" s="111"/>
      <c r="AD696" s="89"/>
      <c r="AE696" s="89"/>
      <c r="AF696" s="98"/>
      <c r="AG696" s="98"/>
      <c r="AH696" s="98"/>
      <c r="AI696" s="99" t="s">
        <v>197</v>
      </c>
      <c r="AJ696" s="99" t="s">
        <v>81</v>
      </c>
      <c r="AK696" s="99" t="s">
        <v>67</v>
      </c>
      <c r="AL696" s="45" t="s">
        <v>68</v>
      </c>
      <c r="AM696" s="162" t="str">
        <f t="shared" si="80"/>
        <v>5/2026</v>
      </c>
      <c r="AN696" s="45">
        <f t="shared" si="81"/>
        <v>2</v>
      </c>
      <c r="AO696" s="45" t="str">
        <f t="shared" si="82"/>
        <v>5/2026</v>
      </c>
      <c r="AP696" s="45">
        <f t="shared" si="83"/>
        <v>3</v>
      </c>
      <c r="AQ696" s="45">
        <f t="shared" si="84"/>
        <v>0</v>
      </c>
      <c r="AR696" s="45">
        <f t="shared" si="85"/>
        <v>1</v>
      </c>
      <c r="AS696" s="45">
        <f t="shared" si="86"/>
        <v>0</v>
      </c>
      <c r="AT696" s="45">
        <f t="shared" si="87"/>
        <v>0</v>
      </c>
      <c r="AU696" s="45" t="str">
        <f>_xlfn.XLOOKUP(U696,'Lista Suspensa'!$AA$20:$AA$23,'Lista Suspensa'!$AB$20:$AB$23,"N/A")</f>
        <v>S</v>
      </c>
    </row>
    <row r="697" spans="1:47" ht="12" hidden="1" customHeight="1" x14ac:dyDescent="0.3">
      <c r="A697" s="87" t="s">
        <v>47</v>
      </c>
      <c r="B697" s="88">
        <v>46090</v>
      </c>
      <c r="C697" s="89" t="s">
        <v>48</v>
      </c>
      <c r="D697" s="89" t="s">
        <v>49</v>
      </c>
      <c r="E697" s="90">
        <v>78953816</v>
      </c>
      <c r="F697" s="184" t="s">
        <v>2209</v>
      </c>
      <c r="G697" s="91">
        <v>4161405723</v>
      </c>
      <c r="H697" s="92">
        <v>18500</v>
      </c>
      <c r="I697" s="89">
        <v>75</v>
      </c>
      <c r="J697" s="89" t="s">
        <v>70</v>
      </c>
      <c r="K697" s="89" t="s">
        <v>88</v>
      </c>
      <c r="L697" s="89" t="s">
        <v>97</v>
      </c>
      <c r="M697" s="89" t="s">
        <v>665</v>
      </c>
      <c r="N697" s="89" t="s">
        <v>113</v>
      </c>
      <c r="O697" s="93" t="s">
        <v>2210</v>
      </c>
      <c r="P697" s="94" t="s">
        <v>57</v>
      </c>
      <c r="Q697" s="112" t="s">
        <v>2211</v>
      </c>
      <c r="R697" s="95"/>
      <c r="S697" s="96">
        <v>46164</v>
      </c>
      <c r="T697" s="96" t="s">
        <v>2212</v>
      </c>
      <c r="U697" s="96" t="s">
        <v>79</v>
      </c>
      <c r="V697" s="92">
        <v>46073</v>
      </c>
      <c r="W697" s="92">
        <v>46142</v>
      </c>
      <c r="X697" s="92">
        <v>46154</v>
      </c>
      <c r="Y697" s="97"/>
      <c r="Z697" s="89"/>
      <c r="AA697" s="96"/>
      <c r="AB697" s="89"/>
      <c r="AC697" s="111"/>
      <c r="AD697" s="89"/>
      <c r="AE697" s="89"/>
      <c r="AF697" s="98"/>
      <c r="AG697" s="98"/>
      <c r="AH697" s="98"/>
      <c r="AI697" s="99" t="s">
        <v>67</v>
      </c>
      <c r="AJ697" s="99" t="s">
        <v>81</v>
      </c>
      <c r="AK697" s="99"/>
      <c r="AL697" s="45" t="s">
        <v>68</v>
      </c>
      <c r="AM697" s="162" t="str">
        <f t="shared" si="80"/>
        <v>3/2026</v>
      </c>
      <c r="AN697" s="45">
        <f t="shared" si="81"/>
        <v>2</v>
      </c>
      <c r="AO697" s="45" t="str">
        <f t="shared" si="82"/>
        <v>1/1900</v>
      </c>
      <c r="AP697" s="45" t="e">
        <f t="shared" si="83"/>
        <v>#NUM!</v>
      </c>
      <c r="AQ697" s="45">
        <f t="shared" si="84"/>
        <v>0</v>
      </c>
      <c r="AR697" s="45">
        <f t="shared" si="85"/>
        <v>0</v>
      </c>
      <c r="AS697" s="45">
        <f t="shared" si="86"/>
        <v>0</v>
      </c>
      <c r="AT697" s="45">
        <f t="shared" si="87"/>
        <v>0</v>
      </c>
      <c r="AU697" s="45" t="str">
        <f>_xlfn.XLOOKUP(U697,'Lista Suspensa'!$AA$20:$AA$23,'Lista Suspensa'!$AB$20:$AB$23,"N/A")</f>
        <v>S</v>
      </c>
    </row>
    <row r="698" spans="1:47" ht="12" hidden="1" customHeight="1" x14ac:dyDescent="0.3">
      <c r="A698" s="87" t="s">
        <v>47</v>
      </c>
      <c r="B698" s="88">
        <v>46090</v>
      </c>
      <c r="C698" s="89" t="s">
        <v>48</v>
      </c>
      <c r="D698" s="89" t="s">
        <v>49</v>
      </c>
      <c r="E698" s="90">
        <v>124137474</v>
      </c>
      <c r="F698" s="184" t="s">
        <v>2213</v>
      </c>
      <c r="G698" s="91">
        <v>20219202834</v>
      </c>
      <c r="H698" s="92">
        <v>18846</v>
      </c>
      <c r="I698" s="89">
        <v>74</v>
      </c>
      <c r="J698" s="89" t="s">
        <v>70</v>
      </c>
      <c r="K698" s="89" t="s">
        <v>52</v>
      </c>
      <c r="L698" s="89" t="s">
        <v>53</v>
      </c>
      <c r="M698" s="89" t="s">
        <v>191</v>
      </c>
      <c r="N698" s="89" t="s">
        <v>170</v>
      </c>
      <c r="O698" s="93" t="s">
        <v>2214</v>
      </c>
      <c r="P698" s="94" t="s">
        <v>57</v>
      </c>
      <c r="Q698" s="112" t="s">
        <v>2211</v>
      </c>
      <c r="R698" s="95"/>
      <c r="S698" s="96">
        <v>46150</v>
      </c>
      <c r="T698" s="96" t="s">
        <v>2212</v>
      </c>
      <c r="U698" s="96" t="s">
        <v>79</v>
      </c>
      <c r="V698" s="92">
        <v>46112</v>
      </c>
      <c r="W698" s="92">
        <v>46141</v>
      </c>
      <c r="X698" s="92">
        <v>46142</v>
      </c>
      <c r="Y698" s="97"/>
      <c r="Z698" s="89"/>
      <c r="AA698" s="96"/>
      <c r="AB698" s="89"/>
      <c r="AC698" s="111"/>
      <c r="AD698" s="89"/>
      <c r="AE698" s="89"/>
      <c r="AF698" s="98"/>
      <c r="AG698" s="98"/>
      <c r="AH698" s="98"/>
      <c r="AI698" s="99" t="s">
        <v>67</v>
      </c>
      <c r="AJ698" s="99" t="s">
        <v>81</v>
      </c>
      <c r="AK698" s="99"/>
      <c r="AL698" s="45" t="s">
        <v>68</v>
      </c>
      <c r="AM698" s="162" t="str">
        <f t="shared" si="80"/>
        <v>3/2026</v>
      </c>
      <c r="AN698" s="45">
        <f t="shared" si="81"/>
        <v>2</v>
      </c>
      <c r="AO698" s="45" t="str">
        <f t="shared" si="82"/>
        <v>1/1900</v>
      </c>
      <c r="AP698" s="45" t="e">
        <f t="shared" si="83"/>
        <v>#NUM!</v>
      </c>
      <c r="AQ698" s="45">
        <f t="shared" si="84"/>
        <v>0</v>
      </c>
      <c r="AR698" s="45">
        <f t="shared" si="85"/>
        <v>0</v>
      </c>
      <c r="AS698" s="45">
        <f t="shared" si="86"/>
        <v>0</v>
      </c>
      <c r="AT698" s="45">
        <f t="shared" si="87"/>
        <v>0</v>
      </c>
      <c r="AU698" s="45" t="str">
        <f>_xlfn.XLOOKUP(U698,'Lista Suspensa'!$AA$20:$AA$23,'Lista Suspensa'!$AB$20:$AB$23,"N/A")</f>
        <v>S</v>
      </c>
    </row>
    <row r="699" spans="1:47" ht="12" hidden="1" customHeight="1" x14ac:dyDescent="0.3">
      <c r="A699" s="87" t="s">
        <v>67</v>
      </c>
      <c r="B699" s="88">
        <v>46091</v>
      </c>
      <c r="C699" s="89" t="s">
        <v>211</v>
      </c>
      <c r="D699" s="89" t="s">
        <v>49</v>
      </c>
      <c r="E699" s="90">
        <v>753632365</v>
      </c>
      <c r="F699" s="184" t="s">
        <v>2215</v>
      </c>
      <c r="G699" s="91">
        <v>56616937704</v>
      </c>
      <c r="H699" s="92">
        <v>20902</v>
      </c>
      <c r="I699" s="89">
        <v>69</v>
      </c>
      <c r="J699" s="89" t="s">
        <v>51</v>
      </c>
      <c r="K699" s="89" t="s">
        <v>88</v>
      </c>
      <c r="L699" s="89" t="s">
        <v>603</v>
      </c>
      <c r="M699" s="89" t="s">
        <v>2216</v>
      </c>
      <c r="N699" s="89" t="s">
        <v>252</v>
      </c>
      <c r="O699" s="93" t="s">
        <v>2217</v>
      </c>
      <c r="P699" s="94" t="s">
        <v>57</v>
      </c>
      <c r="Q699" s="112" t="s">
        <v>2211</v>
      </c>
      <c r="R699" s="95"/>
      <c r="S699" s="96">
        <v>46150</v>
      </c>
      <c r="T699" s="96" t="s">
        <v>2212</v>
      </c>
      <c r="U699" s="96" t="s">
        <v>79</v>
      </c>
      <c r="V699" s="92">
        <v>46112</v>
      </c>
      <c r="W699" s="92">
        <v>46095</v>
      </c>
      <c r="X699" s="92">
        <v>46147</v>
      </c>
      <c r="Y699" s="97"/>
      <c r="Z699" s="89"/>
      <c r="AA699" s="96"/>
      <c r="AB699" s="89"/>
      <c r="AC699" s="111"/>
      <c r="AD699" s="89"/>
      <c r="AE699" s="89"/>
      <c r="AF699" s="98"/>
      <c r="AG699" s="98"/>
      <c r="AH699" s="98"/>
      <c r="AI699" s="99" t="s">
        <v>67</v>
      </c>
      <c r="AJ699" s="99" t="s">
        <v>81</v>
      </c>
      <c r="AK699" s="99"/>
      <c r="AL699" s="45" t="s">
        <v>68</v>
      </c>
      <c r="AM699" s="162" t="str">
        <f t="shared" si="80"/>
        <v>3/2026</v>
      </c>
      <c r="AN699" s="45">
        <f t="shared" si="81"/>
        <v>2</v>
      </c>
      <c r="AO699" s="45" t="str">
        <f t="shared" si="82"/>
        <v>1/1900</v>
      </c>
      <c r="AP699" s="45" t="e">
        <f t="shared" si="83"/>
        <v>#NUM!</v>
      </c>
      <c r="AQ699" s="45">
        <f t="shared" si="84"/>
        <v>0</v>
      </c>
      <c r="AR699" s="45">
        <f t="shared" si="85"/>
        <v>0</v>
      </c>
      <c r="AS699" s="45">
        <f t="shared" si="86"/>
        <v>0</v>
      </c>
      <c r="AT699" s="45">
        <f t="shared" si="87"/>
        <v>0</v>
      </c>
      <c r="AU699" s="45" t="str">
        <f>_xlfn.XLOOKUP(U699,'Lista Suspensa'!$AA$20:$AA$23,'Lista Suspensa'!$AB$20:$AB$23,"N/A")</f>
        <v>S</v>
      </c>
    </row>
    <row r="700" spans="1:47" ht="12" hidden="1" customHeight="1" x14ac:dyDescent="0.3">
      <c r="A700" s="87" t="s">
        <v>67</v>
      </c>
      <c r="B700" s="88">
        <v>46091</v>
      </c>
      <c r="C700" s="89" t="s">
        <v>211</v>
      </c>
      <c r="D700" s="89" t="s">
        <v>49</v>
      </c>
      <c r="E700" s="90">
        <v>861691903</v>
      </c>
      <c r="F700" s="184" t="s">
        <v>2218</v>
      </c>
      <c r="G700" s="91" t="s">
        <v>2219</v>
      </c>
      <c r="H700" s="92">
        <v>23203</v>
      </c>
      <c r="I700" s="89">
        <v>62</v>
      </c>
      <c r="J700" s="89" t="s">
        <v>51</v>
      </c>
      <c r="K700" s="89" t="s">
        <v>52</v>
      </c>
      <c r="L700" s="89" t="s">
        <v>2004</v>
      </c>
      <c r="M700" s="89" t="s">
        <v>2220</v>
      </c>
      <c r="N700" s="89" t="s">
        <v>252</v>
      </c>
      <c r="O700" s="93" t="s">
        <v>2221</v>
      </c>
      <c r="P700" s="94" t="s">
        <v>57</v>
      </c>
      <c r="Q700" s="112" t="s">
        <v>2211</v>
      </c>
      <c r="R700" s="95"/>
      <c r="S700" s="96">
        <v>46150</v>
      </c>
      <c r="T700" s="96" t="s">
        <v>2212</v>
      </c>
      <c r="U700" s="96" t="s">
        <v>79</v>
      </c>
      <c r="V700" s="92">
        <v>46098</v>
      </c>
      <c r="W700" s="92">
        <v>46095</v>
      </c>
      <c r="X700" s="92">
        <v>46147</v>
      </c>
      <c r="Y700" s="97"/>
      <c r="Z700" s="89"/>
      <c r="AA700" s="96"/>
      <c r="AB700" s="89"/>
      <c r="AC700" s="111"/>
      <c r="AD700" s="89"/>
      <c r="AE700" s="89"/>
      <c r="AF700" s="98"/>
      <c r="AG700" s="98"/>
      <c r="AH700" s="98"/>
      <c r="AI700" s="99" t="s">
        <v>67</v>
      </c>
      <c r="AJ700" s="99" t="s">
        <v>81</v>
      </c>
      <c r="AK700" s="99"/>
      <c r="AL700" s="45" t="s">
        <v>68</v>
      </c>
      <c r="AM700" s="162" t="str">
        <f t="shared" si="80"/>
        <v>3/2026</v>
      </c>
      <c r="AN700" s="45">
        <f t="shared" si="81"/>
        <v>2</v>
      </c>
      <c r="AO700" s="45" t="str">
        <f t="shared" si="82"/>
        <v>1/1900</v>
      </c>
      <c r="AP700" s="45" t="e">
        <f t="shared" si="83"/>
        <v>#NUM!</v>
      </c>
      <c r="AQ700" s="45">
        <f t="shared" si="84"/>
        <v>0</v>
      </c>
      <c r="AR700" s="45">
        <f t="shared" si="85"/>
        <v>0</v>
      </c>
      <c r="AS700" s="45">
        <f t="shared" si="86"/>
        <v>0</v>
      </c>
      <c r="AT700" s="45">
        <f t="shared" si="87"/>
        <v>0</v>
      </c>
      <c r="AU700" s="45" t="str">
        <f>_xlfn.XLOOKUP(U700,'Lista Suspensa'!$AA$20:$AA$23,'Lista Suspensa'!$AB$20:$AB$23,"N/A")</f>
        <v>S</v>
      </c>
    </row>
    <row r="701" spans="1:47" ht="12" hidden="1" customHeight="1" x14ac:dyDescent="0.3">
      <c r="A701" s="87" t="s">
        <v>67</v>
      </c>
      <c r="B701" s="88">
        <v>46091</v>
      </c>
      <c r="C701" s="89" t="s">
        <v>211</v>
      </c>
      <c r="D701" s="89" t="s">
        <v>49</v>
      </c>
      <c r="E701" s="90">
        <v>95820250</v>
      </c>
      <c r="F701" s="184" t="s">
        <v>2222</v>
      </c>
      <c r="G701" s="91">
        <v>4468719826</v>
      </c>
      <c r="H701" s="92">
        <v>21869</v>
      </c>
      <c r="I701" s="89">
        <v>66</v>
      </c>
      <c r="J701" s="89" t="s">
        <v>51</v>
      </c>
      <c r="K701" s="89" t="s">
        <v>52</v>
      </c>
      <c r="L701" s="89" t="s">
        <v>331</v>
      </c>
      <c r="M701" s="89" t="s">
        <v>2223</v>
      </c>
      <c r="N701" s="89" t="s">
        <v>55</v>
      </c>
      <c r="O701" s="93" t="s">
        <v>2224</v>
      </c>
      <c r="P701" s="94" t="s">
        <v>57</v>
      </c>
      <c r="Q701" s="112" t="s">
        <v>2211</v>
      </c>
      <c r="R701" s="95"/>
      <c r="S701" s="96">
        <v>46150</v>
      </c>
      <c r="T701" s="96" t="s">
        <v>2212</v>
      </c>
      <c r="U701" s="96" t="s">
        <v>79</v>
      </c>
      <c r="V701" s="92">
        <v>46098</v>
      </c>
      <c r="W701" s="92">
        <v>46095</v>
      </c>
      <c r="X701" s="92">
        <v>46147</v>
      </c>
      <c r="Y701" s="97"/>
      <c r="Z701" s="89"/>
      <c r="AA701" s="96"/>
      <c r="AB701" s="89"/>
      <c r="AC701" s="111"/>
      <c r="AD701" s="89"/>
      <c r="AE701" s="89"/>
      <c r="AF701" s="98"/>
      <c r="AG701" s="98"/>
      <c r="AH701" s="98"/>
      <c r="AI701" s="99" t="s">
        <v>67</v>
      </c>
      <c r="AJ701" s="99" t="s">
        <v>81</v>
      </c>
      <c r="AK701" s="99"/>
      <c r="AL701" s="45" t="s">
        <v>68</v>
      </c>
      <c r="AM701" s="162" t="str">
        <f t="shared" si="80"/>
        <v>3/2026</v>
      </c>
      <c r="AN701" s="45">
        <f t="shared" si="81"/>
        <v>2</v>
      </c>
      <c r="AO701" s="45" t="str">
        <f t="shared" si="82"/>
        <v>1/1900</v>
      </c>
      <c r="AP701" s="45" t="e">
        <f t="shared" si="83"/>
        <v>#NUM!</v>
      </c>
      <c r="AQ701" s="45">
        <f t="shared" si="84"/>
        <v>0</v>
      </c>
      <c r="AR701" s="45">
        <f t="shared" si="85"/>
        <v>0</v>
      </c>
      <c r="AS701" s="45">
        <f t="shared" si="86"/>
        <v>0</v>
      </c>
      <c r="AT701" s="45">
        <f t="shared" si="87"/>
        <v>0</v>
      </c>
      <c r="AU701" s="45" t="str">
        <f>_xlfn.XLOOKUP(U701,'Lista Suspensa'!$AA$20:$AA$23,'Lista Suspensa'!$AB$20:$AB$23,"N/A")</f>
        <v>S</v>
      </c>
    </row>
    <row r="702" spans="1:47" ht="12" hidden="1" customHeight="1" x14ac:dyDescent="0.3">
      <c r="A702" s="87" t="s">
        <v>67</v>
      </c>
      <c r="B702" s="88">
        <v>46091</v>
      </c>
      <c r="C702" s="89" t="s">
        <v>211</v>
      </c>
      <c r="D702" s="89" t="s">
        <v>49</v>
      </c>
      <c r="E702" s="90">
        <v>450484017</v>
      </c>
      <c r="F702" s="184" t="s">
        <v>2225</v>
      </c>
      <c r="G702" s="91" t="s">
        <v>2226</v>
      </c>
      <c r="H702" s="92">
        <v>26423</v>
      </c>
      <c r="I702" s="89">
        <v>54</v>
      </c>
      <c r="J702" s="89" t="s">
        <v>70</v>
      </c>
      <c r="K702" s="89" t="s">
        <v>52</v>
      </c>
      <c r="L702" s="89" t="s">
        <v>53</v>
      </c>
      <c r="M702" s="89" t="s">
        <v>2227</v>
      </c>
      <c r="N702" s="89" t="s">
        <v>91</v>
      </c>
      <c r="O702" s="93" t="s">
        <v>2228</v>
      </c>
      <c r="P702" s="94" t="s">
        <v>57</v>
      </c>
      <c r="Q702" s="112" t="s">
        <v>2211</v>
      </c>
      <c r="R702" s="95"/>
      <c r="S702" s="96">
        <v>46150</v>
      </c>
      <c r="T702" s="96" t="s">
        <v>2212</v>
      </c>
      <c r="U702" s="96" t="s">
        <v>79</v>
      </c>
      <c r="V702" s="92">
        <v>46098</v>
      </c>
      <c r="W702" s="92">
        <v>46095</v>
      </c>
      <c r="X702" s="92">
        <v>46147</v>
      </c>
      <c r="Y702" s="97"/>
      <c r="Z702" s="89"/>
      <c r="AA702" s="96"/>
      <c r="AB702" s="89"/>
      <c r="AC702" s="111"/>
      <c r="AD702" s="89"/>
      <c r="AE702" s="89"/>
      <c r="AF702" s="98"/>
      <c r="AG702" s="98"/>
      <c r="AH702" s="98"/>
      <c r="AI702" s="99" t="s">
        <v>67</v>
      </c>
      <c r="AJ702" s="99" t="s">
        <v>81</v>
      </c>
      <c r="AK702" s="99"/>
      <c r="AL702" s="45" t="s">
        <v>68</v>
      </c>
      <c r="AM702" s="162" t="str">
        <f t="shared" si="80"/>
        <v>3/2026</v>
      </c>
      <c r="AN702" s="45">
        <f t="shared" si="81"/>
        <v>2</v>
      </c>
      <c r="AO702" s="45" t="str">
        <f t="shared" si="82"/>
        <v>1/1900</v>
      </c>
      <c r="AP702" s="45" t="e">
        <f t="shared" si="83"/>
        <v>#NUM!</v>
      </c>
      <c r="AQ702" s="45">
        <f t="shared" si="84"/>
        <v>0</v>
      </c>
      <c r="AR702" s="45">
        <f t="shared" si="85"/>
        <v>0</v>
      </c>
      <c r="AS702" s="45">
        <f t="shared" si="86"/>
        <v>0</v>
      </c>
      <c r="AT702" s="45">
        <f t="shared" si="87"/>
        <v>0</v>
      </c>
      <c r="AU702" s="45" t="str">
        <f>_xlfn.XLOOKUP(U702,'Lista Suspensa'!$AA$20:$AA$23,'Lista Suspensa'!$AB$20:$AB$23,"N/A")</f>
        <v>S</v>
      </c>
    </row>
    <row r="703" spans="1:47" ht="12" hidden="1" customHeight="1" x14ac:dyDescent="0.3">
      <c r="A703" s="87" t="s">
        <v>67</v>
      </c>
      <c r="B703" s="88">
        <v>46091</v>
      </c>
      <c r="C703" s="89" t="s">
        <v>211</v>
      </c>
      <c r="D703" s="89" t="s">
        <v>49</v>
      </c>
      <c r="E703" s="90">
        <v>774074779</v>
      </c>
      <c r="F703" s="184" t="s">
        <v>2229</v>
      </c>
      <c r="G703" s="91">
        <v>28863990867</v>
      </c>
      <c r="H703" s="92">
        <v>16120</v>
      </c>
      <c r="I703" s="89">
        <v>82</v>
      </c>
      <c r="J703" s="89" t="s">
        <v>51</v>
      </c>
      <c r="K703" s="89" t="s">
        <v>52</v>
      </c>
      <c r="L703" s="89" t="s">
        <v>53</v>
      </c>
      <c r="M703" s="89" t="s">
        <v>2230</v>
      </c>
      <c r="N703" s="89" t="s">
        <v>91</v>
      </c>
      <c r="O703" s="93" t="s">
        <v>2231</v>
      </c>
      <c r="P703" s="94" t="s">
        <v>57</v>
      </c>
      <c r="Q703" s="112" t="s">
        <v>2211</v>
      </c>
      <c r="R703" s="95"/>
      <c r="S703" s="96">
        <v>46150</v>
      </c>
      <c r="T703" s="96" t="s">
        <v>2212</v>
      </c>
      <c r="U703" s="96" t="s">
        <v>79</v>
      </c>
      <c r="V703" s="92">
        <v>46098</v>
      </c>
      <c r="W703" s="92">
        <v>46095</v>
      </c>
      <c r="X703" s="92">
        <v>46147</v>
      </c>
      <c r="Y703" s="97"/>
      <c r="Z703" s="89"/>
      <c r="AA703" s="96"/>
      <c r="AB703" s="89"/>
      <c r="AC703" s="111"/>
      <c r="AD703" s="89"/>
      <c r="AE703" s="89"/>
      <c r="AF703" s="98"/>
      <c r="AG703" s="98"/>
      <c r="AH703" s="98"/>
      <c r="AI703" s="99" t="s">
        <v>67</v>
      </c>
      <c r="AJ703" s="99" t="s">
        <v>81</v>
      </c>
      <c r="AK703" s="99"/>
      <c r="AL703" s="45" t="s">
        <v>68</v>
      </c>
      <c r="AM703" s="162" t="str">
        <f t="shared" si="80"/>
        <v>3/2026</v>
      </c>
      <c r="AN703" s="45">
        <f t="shared" si="81"/>
        <v>2</v>
      </c>
      <c r="AO703" s="45" t="str">
        <f t="shared" si="82"/>
        <v>1/1900</v>
      </c>
      <c r="AP703" s="45" t="e">
        <f t="shared" si="83"/>
        <v>#NUM!</v>
      </c>
      <c r="AQ703" s="45">
        <f t="shared" si="84"/>
        <v>0</v>
      </c>
      <c r="AR703" s="45">
        <f t="shared" si="85"/>
        <v>0</v>
      </c>
      <c r="AS703" s="45">
        <f t="shared" si="86"/>
        <v>0</v>
      </c>
      <c r="AT703" s="45">
        <f t="shared" si="87"/>
        <v>0</v>
      </c>
      <c r="AU703" s="45" t="str">
        <f>_xlfn.XLOOKUP(U703,'Lista Suspensa'!$AA$20:$AA$23,'Lista Suspensa'!$AB$20:$AB$23,"N/A")</f>
        <v>S</v>
      </c>
    </row>
    <row r="704" spans="1:47" ht="12" hidden="1" customHeight="1" x14ac:dyDescent="0.3">
      <c r="A704" s="87" t="s">
        <v>67</v>
      </c>
      <c r="B704" s="88">
        <v>46091</v>
      </c>
      <c r="C704" s="89" t="s">
        <v>211</v>
      </c>
      <c r="D704" s="89" t="s">
        <v>49</v>
      </c>
      <c r="E704" s="90">
        <v>772399328</v>
      </c>
      <c r="F704" s="184" t="s">
        <v>2232</v>
      </c>
      <c r="G704" s="91" t="s">
        <v>2233</v>
      </c>
      <c r="H704" s="92">
        <v>17299</v>
      </c>
      <c r="I704" s="89">
        <v>79</v>
      </c>
      <c r="J704" s="89" t="s">
        <v>70</v>
      </c>
      <c r="K704" s="89" t="s">
        <v>52</v>
      </c>
      <c r="L704" s="89" t="s">
        <v>447</v>
      </c>
      <c r="M704" s="89" t="s">
        <v>2234</v>
      </c>
      <c r="N704" s="89" t="s">
        <v>91</v>
      </c>
      <c r="O704" s="93" t="s">
        <v>2235</v>
      </c>
      <c r="P704" s="94" t="s">
        <v>57</v>
      </c>
      <c r="Q704" s="112" t="s">
        <v>2211</v>
      </c>
      <c r="R704" s="95"/>
      <c r="S704" s="96">
        <v>46150</v>
      </c>
      <c r="T704" s="96" t="s">
        <v>2212</v>
      </c>
      <c r="U704" s="96" t="s">
        <v>79</v>
      </c>
      <c r="V704" s="92">
        <v>46098</v>
      </c>
      <c r="W704" s="92">
        <v>46095</v>
      </c>
      <c r="X704" s="92">
        <v>46147</v>
      </c>
      <c r="Y704" s="97"/>
      <c r="Z704" s="89"/>
      <c r="AA704" s="96"/>
      <c r="AB704" s="89"/>
      <c r="AC704" s="111"/>
      <c r="AD704" s="89"/>
      <c r="AE704" s="89"/>
      <c r="AF704" s="98"/>
      <c r="AG704" s="98"/>
      <c r="AH704" s="98"/>
      <c r="AI704" s="99" t="s">
        <v>67</v>
      </c>
      <c r="AJ704" s="99" t="s">
        <v>81</v>
      </c>
      <c r="AK704" s="99"/>
      <c r="AL704" s="45" t="s">
        <v>68</v>
      </c>
      <c r="AM704" s="162" t="str">
        <f t="shared" si="80"/>
        <v>3/2026</v>
      </c>
      <c r="AN704" s="45">
        <f t="shared" si="81"/>
        <v>2</v>
      </c>
      <c r="AO704" s="45" t="str">
        <f t="shared" si="82"/>
        <v>1/1900</v>
      </c>
      <c r="AP704" s="45" t="e">
        <f t="shared" si="83"/>
        <v>#NUM!</v>
      </c>
      <c r="AQ704" s="45">
        <f t="shared" si="84"/>
        <v>0</v>
      </c>
      <c r="AR704" s="45">
        <f t="shared" si="85"/>
        <v>0</v>
      </c>
      <c r="AS704" s="45">
        <f t="shared" si="86"/>
        <v>0</v>
      </c>
      <c r="AT704" s="45">
        <f t="shared" si="87"/>
        <v>0</v>
      </c>
      <c r="AU704" s="45" t="str">
        <f>_xlfn.XLOOKUP(U704,'Lista Suspensa'!$AA$20:$AA$23,'Lista Suspensa'!$AB$20:$AB$23,"N/A")</f>
        <v>S</v>
      </c>
    </row>
    <row r="705" spans="1:47" ht="12" hidden="1" customHeight="1" x14ac:dyDescent="0.3">
      <c r="A705" s="87" t="s">
        <v>67</v>
      </c>
      <c r="B705" s="88">
        <v>46091</v>
      </c>
      <c r="C705" s="89" t="s">
        <v>211</v>
      </c>
      <c r="D705" s="89" t="s">
        <v>49</v>
      </c>
      <c r="E705" s="90">
        <v>82602604</v>
      </c>
      <c r="F705" s="184" t="s">
        <v>2236</v>
      </c>
      <c r="G705" s="91">
        <v>8892942751</v>
      </c>
      <c r="H705" s="92">
        <v>28743</v>
      </c>
      <c r="I705" s="89">
        <v>47</v>
      </c>
      <c r="J705" s="89" t="s">
        <v>51</v>
      </c>
      <c r="K705" s="89" t="s">
        <v>88</v>
      </c>
      <c r="L705" s="89" t="s">
        <v>603</v>
      </c>
      <c r="M705" s="89" t="s">
        <v>2237</v>
      </c>
      <c r="N705" s="89" t="s">
        <v>102</v>
      </c>
      <c r="O705" s="93" t="s">
        <v>2238</v>
      </c>
      <c r="P705" s="94" t="s">
        <v>57</v>
      </c>
      <c r="Q705" s="112" t="s">
        <v>2211</v>
      </c>
      <c r="R705" s="95"/>
      <c r="S705" s="96">
        <v>46150</v>
      </c>
      <c r="T705" s="96" t="s">
        <v>2212</v>
      </c>
      <c r="U705" s="96" t="s">
        <v>79</v>
      </c>
      <c r="V705" s="92">
        <v>46112</v>
      </c>
      <c r="W705" s="92">
        <v>46095</v>
      </c>
      <c r="X705" s="92">
        <v>46147</v>
      </c>
      <c r="Y705" s="97"/>
      <c r="Z705" s="89"/>
      <c r="AA705" s="96"/>
      <c r="AB705" s="89"/>
      <c r="AC705" s="111"/>
      <c r="AD705" s="89"/>
      <c r="AE705" s="89"/>
      <c r="AF705" s="98"/>
      <c r="AG705" s="98"/>
      <c r="AH705" s="98"/>
      <c r="AI705" s="99" t="s">
        <v>67</v>
      </c>
      <c r="AJ705" s="99" t="s">
        <v>81</v>
      </c>
      <c r="AK705" s="99"/>
      <c r="AL705" s="45" t="s">
        <v>68</v>
      </c>
      <c r="AM705" s="162" t="str">
        <f t="shared" si="80"/>
        <v>3/2026</v>
      </c>
      <c r="AN705" s="45">
        <f t="shared" si="81"/>
        <v>2</v>
      </c>
      <c r="AO705" s="45" t="str">
        <f t="shared" si="82"/>
        <v>1/1900</v>
      </c>
      <c r="AP705" s="45" t="e">
        <f t="shared" si="83"/>
        <v>#NUM!</v>
      </c>
      <c r="AQ705" s="45">
        <f t="shared" si="84"/>
        <v>0</v>
      </c>
      <c r="AR705" s="45">
        <f t="shared" si="85"/>
        <v>0</v>
      </c>
      <c r="AS705" s="45">
        <f t="shared" si="86"/>
        <v>0</v>
      </c>
      <c r="AT705" s="45">
        <f t="shared" si="87"/>
        <v>0</v>
      </c>
      <c r="AU705" s="45" t="str">
        <f>_xlfn.XLOOKUP(U705,'Lista Suspensa'!$AA$20:$AA$23,'Lista Suspensa'!$AB$20:$AB$23,"N/A")</f>
        <v>S</v>
      </c>
    </row>
    <row r="706" spans="1:47" ht="12" hidden="1" customHeight="1" x14ac:dyDescent="0.3">
      <c r="A706" s="87" t="s">
        <v>67</v>
      </c>
      <c r="B706" s="88">
        <v>46091</v>
      </c>
      <c r="C706" s="89" t="s">
        <v>211</v>
      </c>
      <c r="D706" s="89" t="s">
        <v>49</v>
      </c>
      <c r="E706" s="90">
        <v>87551452</v>
      </c>
      <c r="F706" s="184" t="s">
        <v>2239</v>
      </c>
      <c r="G706" s="91"/>
      <c r="H706" s="92"/>
      <c r="I706" s="89">
        <v>126</v>
      </c>
      <c r="J706" s="89" t="s">
        <v>51</v>
      </c>
      <c r="K706" s="89" t="s">
        <v>88</v>
      </c>
      <c r="L706" s="89" t="s">
        <v>97</v>
      </c>
      <c r="M706" s="89" t="s">
        <v>184</v>
      </c>
      <c r="N706" s="89" t="s">
        <v>102</v>
      </c>
      <c r="O706" s="93" t="s">
        <v>2240</v>
      </c>
      <c r="P706" s="94" t="s">
        <v>57</v>
      </c>
      <c r="Q706" s="112" t="s">
        <v>2211</v>
      </c>
      <c r="R706" s="95"/>
      <c r="S706" s="96">
        <v>46150</v>
      </c>
      <c r="T706" s="96" t="s">
        <v>2212</v>
      </c>
      <c r="U706" s="96" t="s">
        <v>79</v>
      </c>
      <c r="V706" s="92">
        <v>46112</v>
      </c>
      <c r="W706" s="92">
        <v>46095</v>
      </c>
      <c r="X706" s="92">
        <v>46147</v>
      </c>
      <c r="Y706" s="97"/>
      <c r="Z706" s="89"/>
      <c r="AA706" s="96"/>
      <c r="AB706" s="89"/>
      <c r="AC706" s="111"/>
      <c r="AD706" s="89"/>
      <c r="AE706" s="89"/>
      <c r="AF706" s="98"/>
      <c r="AG706" s="98"/>
      <c r="AH706" s="98"/>
      <c r="AI706" s="99" t="s">
        <v>67</v>
      </c>
      <c r="AJ706" s="99" t="s">
        <v>81</v>
      </c>
      <c r="AK706" s="99"/>
      <c r="AL706" s="45" t="s">
        <v>68</v>
      </c>
      <c r="AM706" s="162" t="str">
        <f t="shared" ref="AM706:AM769" si="88">MONTH(B706)&amp;"/"&amp;YEAR(B706)</f>
        <v>3/2026</v>
      </c>
      <c r="AN706" s="45">
        <f t="shared" ref="AN706:AN769" si="89">WEEKNUM(B706)-WEEKNUM(EOMONTH(B706,-1)+1)+1</f>
        <v>2</v>
      </c>
      <c r="AO706" s="45" t="str">
        <f t="shared" ref="AO706:AO769" si="90">MONTH(R706)&amp;"/"&amp;YEAR(R706)</f>
        <v>1/1900</v>
      </c>
      <c r="AP706" s="45" t="e">
        <f t="shared" ref="AP706:AP769" si="91">WEEKNUM(R706)-WEEKNUM(EOMONTH(R706,-1)+1)+1</f>
        <v>#NUM!</v>
      </c>
      <c r="AQ706" s="45">
        <f t="shared" ref="AQ706:AQ769" si="92">IF(AU706="S",IF(Q706="1. Aceitou o programa",R706-B706,0),0)</f>
        <v>0</v>
      </c>
      <c r="AR706" s="45">
        <f t="shared" ref="AR706:AR769" si="93">IF(AU706="S",IF(AND(S706&lt;&gt;"",R706&lt;&gt;""),S706-R706,0),0)</f>
        <v>0</v>
      </c>
      <c r="AS706" s="45">
        <f t="shared" ref="AS706:AS769" si="94">IF(AU706="S",IF(Q706="1. Aceitou o programa",IF(OR(X706="Não se Aplica",X706=""),IF(OR(W706="Não se Aplica",W706=""),0,W706-V706),AVERAGE(X706-W706,W706-V706)),0),0)</f>
        <v>0</v>
      </c>
      <c r="AT706" s="45">
        <f t="shared" ref="AT706:AT769" si="95">IF(AU706="S",IF(AND(Q706="1. Aceitou o programa",AB706="Realizada"),IFERROR(IF(AA706="",0,AA706-R706),0),0),0)</f>
        <v>0</v>
      </c>
      <c r="AU706" s="45" t="str">
        <f>_xlfn.XLOOKUP(U706,'Lista Suspensa'!$AA$20:$AA$23,'Lista Suspensa'!$AB$20:$AB$23,"N/A")</f>
        <v>S</v>
      </c>
    </row>
    <row r="707" spans="1:47" ht="12" hidden="1" customHeight="1" x14ac:dyDescent="0.3">
      <c r="A707" s="87" t="s">
        <v>67</v>
      </c>
      <c r="B707" s="88">
        <v>46091</v>
      </c>
      <c r="C707" s="89" t="s">
        <v>211</v>
      </c>
      <c r="D707" s="89" t="s">
        <v>49</v>
      </c>
      <c r="E707" s="90">
        <v>451900723</v>
      </c>
      <c r="F707" s="184" t="s">
        <v>2241</v>
      </c>
      <c r="G707" s="91">
        <v>13616667810</v>
      </c>
      <c r="H707" s="92">
        <v>26058</v>
      </c>
      <c r="I707" s="89">
        <v>55</v>
      </c>
      <c r="J707" s="89" t="s">
        <v>51</v>
      </c>
      <c r="K707" s="89" t="s">
        <v>52</v>
      </c>
      <c r="L707" s="89" t="s">
        <v>53</v>
      </c>
      <c r="M707" s="89" t="s">
        <v>1328</v>
      </c>
      <c r="N707" s="89" t="s">
        <v>72</v>
      </c>
      <c r="O707" s="93" t="s">
        <v>2242</v>
      </c>
      <c r="P707" s="94" t="s">
        <v>57</v>
      </c>
      <c r="Q707" s="112" t="s">
        <v>2211</v>
      </c>
      <c r="R707" s="95"/>
      <c r="S707" s="96">
        <v>46150</v>
      </c>
      <c r="T707" s="96" t="s">
        <v>2212</v>
      </c>
      <c r="U707" s="96" t="s">
        <v>79</v>
      </c>
      <c r="V707" s="92">
        <v>46098</v>
      </c>
      <c r="W707" s="92">
        <v>46095</v>
      </c>
      <c r="X707" s="92">
        <v>46147</v>
      </c>
      <c r="Y707" s="97"/>
      <c r="Z707" s="89"/>
      <c r="AA707" s="96"/>
      <c r="AB707" s="89"/>
      <c r="AC707" s="111"/>
      <c r="AD707" s="89"/>
      <c r="AE707" s="89"/>
      <c r="AF707" s="98"/>
      <c r="AG707" s="98"/>
      <c r="AH707" s="98"/>
      <c r="AI707" s="99" t="s">
        <v>67</v>
      </c>
      <c r="AJ707" s="99" t="s">
        <v>81</v>
      </c>
      <c r="AK707" s="99"/>
      <c r="AL707" s="45" t="s">
        <v>68</v>
      </c>
      <c r="AM707" s="162" t="str">
        <f t="shared" si="88"/>
        <v>3/2026</v>
      </c>
      <c r="AN707" s="45">
        <f t="shared" si="89"/>
        <v>2</v>
      </c>
      <c r="AO707" s="45" t="str">
        <f t="shared" si="90"/>
        <v>1/1900</v>
      </c>
      <c r="AP707" s="45" t="e">
        <f t="shared" si="91"/>
        <v>#NUM!</v>
      </c>
      <c r="AQ707" s="45">
        <f t="shared" si="92"/>
        <v>0</v>
      </c>
      <c r="AR707" s="45">
        <f t="shared" si="93"/>
        <v>0</v>
      </c>
      <c r="AS707" s="45">
        <f t="shared" si="94"/>
        <v>0</v>
      </c>
      <c r="AT707" s="45">
        <f t="shared" si="95"/>
        <v>0</v>
      </c>
      <c r="AU707" s="45" t="str">
        <f>_xlfn.XLOOKUP(U707,'Lista Suspensa'!$AA$20:$AA$23,'Lista Suspensa'!$AB$20:$AB$23,"N/A")</f>
        <v>S</v>
      </c>
    </row>
    <row r="708" spans="1:47" ht="12" hidden="1" customHeight="1" x14ac:dyDescent="0.3">
      <c r="A708" s="87" t="s">
        <v>67</v>
      </c>
      <c r="B708" s="88">
        <v>46091</v>
      </c>
      <c r="C708" s="89" t="s">
        <v>211</v>
      </c>
      <c r="D708" s="89" t="s">
        <v>49</v>
      </c>
      <c r="E708" s="90">
        <v>451594150</v>
      </c>
      <c r="F708" s="184" t="s">
        <v>2243</v>
      </c>
      <c r="G708" s="91">
        <v>16412263829</v>
      </c>
      <c r="H708" s="92">
        <v>12741</v>
      </c>
      <c r="I708" s="89">
        <v>91</v>
      </c>
      <c r="J708" s="89" t="s">
        <v>70</v>
      </c>
      <c r="K708" s="89" t="s">
        <v>52</v>
      </c>
      <c r="L708" s="89" t="s">
        <v>53</v>
      </c>
      <c r="M708" s="89" t="s">
        <v>1154</v>
      </c>
      <c r="N708" s="89" t="s">
        <v>72</v>
      </c>
      <c r="O708" s="93" t="s">
        <v>2244</v>
      </c>
      <c r="P708" s="94" t="s">
        <v>57</v>
      </c>
      <c r="Q708" s="112" t="s">
        <v>2211</v>
      </c>
      <c r="R708" s="95"/>
      <c r="S708" s="96">
        <v>46150</v>
      </c>
      <c r="T708" s="96" t="s">
        <v>2212</v>
      </c>
      <c r="U708" s="96" t="s">
        <v>79</v>
      </c>
      <c r="V708" s="92">
        <v>46098</v>
      </c>
      <c r="W708" s="92">
        <v>46095</v>
      </c>
      <c r="X708" s="92">
        <v>46147</v>
      </c>
      <c r="Y708" s="97"/>
      <c r="Z708" s="89"/>
      <c r="AA708" s="96"/>
      <c r="AB708" s="89"/>
      <c r="AC708" s="111"/>
      <c r="AD708" s="89"/>
      <c r="AE708" s="89"/>
      <c r="AF708" s="98"/>
      <c r="AG708" s="98"/>
      <c r="AH708" s="98"/>
      <c r="AI708" s="99" t="s">
        <v>67</v>
      </c>
      <c r="AJ708" s="99" t="s">
        <v>81</v>
      </c>
      <c r="AK708" s="99"/>
      <c r="AL708" s="45" t="s">
        <v>68</v>
      </c>
      <c r="AM708" s="162" t="str">
        <f t="shared" si="88"/>
        <v>3/2026</v>
      </c>
      <c r="AN708" s="45">
        <f t="shared" si="89"/>
        <v>2</v>
      </c>
      <c r="AO708" s="45" t="str">
        <f t="shared" si="90"/>
        <v>1/1900</v>
      </c>
      <c r="AP708" s="45" t="e">
        <f t="shared" si="91"/>
        <v>#NUM!</v>
      </c>
      <c r="AQ708" s="45">
        <f t="shared" si="92"/>
        <v>0</v>
      </c>
      <c r="AR708" s="45">
        <f t="shared" si="93"/>
        <v>0</v>
      </c>
      <c r="AS708" s="45">
        <f t="shared" si="94"/>
        <v>0</v>
      </c>
      <c r="AT708" s="45">
        <f t="shared" si="95"/>
        <v>0</v>
      </c>
      <c r="AU708" s="45" t="str">
        <f>_xlfn.XLOOKUP(U708,'Lista Suspensa'!$AA$20:$AA$23,'Lista Suspensa'!$AB$20:$AB$23,"N/A")</f>
        <v>S</v>
      </c>
    </row>
    <row r="709" spans="1:47" ht="12" hidden="1" customHeight="1" x14ac:dyDescent="0.3">
      <c r="A709" s="87" t="s">
        <v>67</v>
      </c>
      <c r="B709" s="88">
        <v>46091</v>
      </c>
      <c r="C709" s="89" t="s">
        <v>211</v>
      </c>
      <c r="D709" s="89" t="s">
        <v>49</v>
      </c>
      <c r="E709" s="90">
        <v>119565331</v>
      </c>
      <c r="F709" s="184" t="s">
        <v>2245</v>
      </c>
      <c r="G709" s="91">
        <v>3038640794</v>
      </c>
      <c r="H709" s="92">
        <v>16692</v>
      </c>
      <c r="I709" s="89">
        <v>80</v>
      </c>
      <c r="J709" s="89" t="s">
        <v>70</v>
      </c>
      <c r="K709" s="89" t="s">
        <v>88</v>
      </c>
      <c r="L709" s="89" t="s">
        <v>97</v>
      </c>
      <c r="M709" s="89" t="s">
        <v>2246</v>
      </c>
      <c r="N709" s="89" t="s">
        <v>72</v>
      </c>
      <c r="O709" s="93" t="s">
        <v>2247</v>
      </c>
      <c r="P709" s="94" t="s">
        <v>57</v>
      </c>
      <c r="Q709" s="112" t="s">
        <v>2211</v>
      </c>
      <c r="R709" s="95"/>
      <c r="S709" s="96">
        <v>46150</v>
      </c>
      <c r="T709" s="96" t="s">
        <v>2212</v>
      </c>
      <c r="U709" s="96" t="s">
        <v>79</v>
      </c>
      <c r="V709" s="92">
        <v>46112</v>
      </c>
      <c r="W709" s="92">
        <v>46095</v>
      </c>
      <c r="X709" s="92">
        <v>46147</v>
      </c>
      <c r="Y709" s="97"/>
      <c r="Z709" s="89"/>
      <c r="AA709" s="96"/>
      <c r="AB709" s="89"/>
      <c r="AC709" s="111"/>
      <c r="AD709" s="89"/>
      <c r="AE709" s="89"/>
      <c r="AF709" s="98"/>
      <c r="AG709" s="98"/>
      <c r="AH709" s="98"/>
      <c r="AI709" s="99" t="s">
        <v>67</v>
      </c>
      <c r="AJ709" s="99" t="s">
        <v>81</v>
      </c>
      <c r="AK709" s="99"/>
      <c r="AL709" s="45" t="s">
        <v>68</v>
      </c>
      <c r="AM709" s="162" t="str">
        <f t="shared" si="88"/>
        <v>3/2026</v>
      </c>
      <c r="AN709" s="45">
        <f t="shared" si="89"/>
        <v>2</v>
      </c>
      <c r="AO709" s="45" t="str">
        <f t="shared" si="90"/>
        <v>1/1900</v>
      </c>
      <c r="AP709" s="45" t="e">
        <f t="shared" si="91"/>
        <v>#NUM!</v>
      </c>
      <c r="AQ709" s="45">
        <f t="shared" si="92"/>
        <v>0</v>
      </c>
      <c r="AR709" s="45">
        <f t="shared" si="93"/>
        <v>0</v>
      </c>
      <c r="AS709" s="45">
        <f t="shared" si="94"/>
        <v>0</v>
      </c>
      <c r="AT709" s="45">
        <f t="shared" si="95"/>
        <v>0</v>
      </c>
      <c r="AU709" s="45" t="str">
        <f>_xlfn.XLOOKUP(U709,'Lista Suspensa'!$AA$20:$AA$23,'Lista Suspensa'!$AB$20:$AB$23,"N/A")</f>
        <v>S</v>
      </c>
    </row>
    <row r="710" spans="1:47" ht="12" hidden="1" customHeight="1" x14ac:dyDescent="0.3">
      <c r="A710" s="87" t="s">
        <v>67</v>
      </c>
      <c r="B710" s="88">
        <v>46091</v>
      </c>
      <c r="C710" s="89" t="s">
        <v>211</v>
      </c>
      <c r="D710" s="89" t="s">
        <v>49</v>
      </c>
      <c r="E710" s="90">
        <v>76631987</v>
      </c>
      <c r="F710" s="184" t="s">
        <v>2248</v>
      </c>
      <c r="G710" s="91">
        <v>32704275300</v>
      </c>
      <c r="H710" s="92">
        <v>25165</v>
      </c>
      <c r="I710" s="89">
        <v>57</v>
      </c>
      <c r="J710" s="89" t="s">
        <v>70</v>
      </c>
      <c r="K710" s="89" t="s">
        <v>52</v>
      </c>
      <c r="L710" s="89" t="s">
        <v>53</v>
      </c>
      <c r="M710" s="89" t="s">
        <v>2249</v>
      </c>
      <c r="N710" s="89" t="s">
        <v>130</v>
      </c>
      <c r="O710" s="93" t="s">
        <v>2250</v>
      </c>
      <c r="P710" s="94" t="s">
        <v>57</v>
      </c>
      <c r="Q710" s="112" t="s">
        <v>2211</v>
      </c>
      <c r="R710" s="95"/>
      <c r="S710" s="96">
        <v>46150</v>
      </c>
      <c r="T710" s="96" t="s">
        <v>2212</v>
      </c>
      <c r="U710" s="96" t="s">
        <v>79</v>
      </c>
      <c r="V710" s="92">
        <v>46098</v>
      </c>
      <c r="W710" s="92">
        <v>46095</v>
      </c>
      <c r="X710" s="92">
        <v>46147</v>
      </c>
      <c r="Y710" s="97"/>
      <c r="Z710" s="89"/>
      <c r="AA710" s="96"/>
      <c r="AB710" s="89"/>
      <c r="AC710" s="111"/>
      <c r="AD710" s="89"/>
      <c r="AE710" s="89"/>
      <c r="AF710" s="98"/>
      <c r="AG710" s="98"/>
      <c r="AH710" s="98"/>
      <c r="AI710" s="99" t="s">
        <v>67</v>
      </c>
      <c r="AJ710" s="99" t="s">
        <v>81</v>
      </c>
      <c r="AK710" s="99"/>
      <c r="AL710" s="45" t="s">
        <v>68</v>
      </c>
      <c r="AM710" s="162" t="str">
        <f t="shared" si="88"/>
        <v>3/2026</v>
      </c>
      <c r="AN710" s="45">
        <f t="shared" si="89"/>
        <v>2</v>
      </c>
      <c r="AO710" s="45" t="str">
        <f t="shared" si="90"/>
        <v>1/1900</v>
      </c>
      <c r="AP710" s="45" t="e">
        <f t="shared" si="91"/>
        <v>#NUM!</v>
      </c>
      <c r="AQ710" s="45">
        <f t="shared" si="92"/>
        <v>0</v>
      </c>
      <c r="AR710" s="45">
        <f t="shared" si="93"/>
        <v>0</v>
      </c>
      <c r="AS710" s="45">
        <f t="shared" si="94"/>
        <v>0</v>
      </c>
      <c r="AT710" s="45">
        <f t="shared" si="95"/>
        <v>0</v>
      </c>
      <c r="AU710" s="45" t="str">
        <f>_xlfn.XLOOKUP(U710,'Lista Suspensa'!$AA$20:$AA$23,'Lista Suspensa'!$AB$20:$AB$23,"N/A")</f>
        <v>S</v>
      </c>
    </row>
    <row r="711" spans="1:47" ht="12" hidden="1" customHeight="1" x14ac:dyDescent="0.3">
      <c r="A711" s="87" t="s">
        <v>67</v>
      </c>
      <c r="B711" s="88">
        <v>46091</v>
      </c>
      <c r="C711" s="89" t="s">
        <v>211</v>
      </c>
      <c r="D711" s="89" t="s">
        <v>49</v>
      </c>
      <c r="E711" s="90">
        <v>76109815</v>
      </c>
      <c r="F711" s="184" t="s">
        <v>2251</v>
      </c>
      <c r="G711" s="91" t="s">
        <v>2252</v>
      </c>
      <c r="H711" s="92">
        <v>17986</v>
      </c>
      <c r="I711" s="89">
        <v>77</v>
      </c>
      <c r="J711" s="89" t="s">
        <v>51</v>
      </c>
      <c r="K711" s="89" t="s">
        <v>88</v>
      </c>
      <c r="L711" s="89" t="s">
        <v>97</v>
      </c>
      <c r="M711" s="89" t="s">
        <v>2253</v>
      </c>
      <c r="N711" s="89" t="s">
        <v>130</v>
      </c>
      <c r="O711" s="93" t="s">
        <v>2254</v>
      </c>
      <c r="P711" s="94" t="s">
        <v>57</v>
      </c>
      <c r="Q711" s="112" t="s">
        <v>2211</v>
      </c>
      <c r="R711" s="95"/>
      <c r="S711" s="96">
        <v>46150</v>
      </c>
      <c r="T711" s="96" t="s">
        <v>2212</v>
      </c>
      <c r="U711" s="96" t="s">
        <v>79</v>
      </c>
      <c r="V711" s="92">
        <v>46112</v>
      </c>
      <c r="W711" s="92">
        <v>46095</v>
      </c>
      <c r="X711" s="92">
        <v>46147</v>
      </c>
      <c r="Y711" s="97"/>
      <c r="Z711" s="89" t="s">
        <v>62</v>
      </c>
      <c r="AA711" s="96">
        <v>46171</v>
      </c>
      <c r="AB711" s="89" t="s">
        <v>80</v>
      </c>
      <c r="AC711" s="111">
        <v>46181</v>
      </c>
      <c r="AD711" s="89"/>
      <c r="AE711" s="89"/>
      <c r="AF711" s="98"/>
      <c r="AG711" s="98"/>
      <c r="AH711" s="98"/>
      <c r="AI711" s="99" t="s">
        <v>67</v>
      </c>
      <c r="AJ711" s="99" t="s">
        <v>81</v>
      </c>
      <c r="AK711" s="99"/>
      <c r="AL711" s="45" t="s">
        <v>68</v>
      </c>
      <c r="AM711" s="162" t="str">
        <f t="shared" si="88"/>
        <v>3/2026</v>
      </c>
      <c r="AN711" s="45">
        <f t="shared" si="89"/>
        <v>2</v>
      </c>
      <c r="AO711" s="45" t="str">
        <f t="shared" si="90"/>
        <v>1/1900</v>
      </c>
      <c r="AP711" s="45" t="e">
        <f t="shared" si="91"/>
        <v>#NUM!</v>
      </c>
      <c r="AQ711" s="45">
        <f t="shared" si="92"/>
        <v>0</v>
      </c>
      <c r="AR711" s="45">
        <f t="shared" si="93"/>
        <v>0</v>
      </c>
      <c r="AS711" s="45">
        <f t="shared" si="94"/>
        <v>0</v>
      </c>
      <c r="AT711" s="45">
        <f t="shared" si="95"/>
        <v>0</v>
      </c>
      <c r="AU711" s="45" t="str">
        <f>_xlfn.XLOOKUP(U711,'Lista Suspensa'!$AA$20:$AA$23,'Lista Suspensa'!$AB$20:$AB$23,"N/A")</f>
        <v>S</v>
      </c>
    </row>
    <row r="712" spans="1:47" ht="12" hidden="1" customHeight="1" x14ac:dyDescent="0.3">
      <c r="A712" s="87" t="s">
        <v>67</v>
      </c>
      <c r="B712" s="88">
        <v>46091</v>
      </c>
      <c r="C712" s="89" t="s">
        <v>211</v>
      </c>
      <c r="D712" s="89" t="s">
        <v>49</v>
      </c>
      <c r="E712" s="90">
        <v>79126725</v>
      </c>
      <c r="F712" s="184" t="s">
        <v>2255</v>
      </c>
      <c r="G712" s="91" t="s">
        <v>2256</v>
      </c>
      <c r="H712" s="92">
        <v>18233</v>
      </c>
      <c r="I712" s="89">
        <v>76</v>
      </c>
      <c r="J712" s="89" t="s">
        <v>70</v>
      </c>
      <c r="K712" s="89" t="s">
        <v>52</v>
      </c>
      <c r="L712" s="89" t="s">
        <v>53</v>
      </c>
      <c r="M712" s="89" t="s">
        <v>2257</v>
      </c>
      <c r="N712" s="89" t="s">
        <v>148</v>
      </c>
      <c r="O712" s="93" t="s">
        <v>2258</v>
      </c>
      <c r="P712" s="94" t="s">
        <v>57</v>
      </c>
      <c r="Q712" s="112" t="s">
        <v>2211</v>
      </c>
      <c r="R712" s="95"/>
      <c r="S712" s="96">
        <v>46150</v>
      </c>
      <c r="T712" s="96" t="s">
        <v>2212</v>
      </c>
      <c r="U712" s="96" t="s">
        <v>79</v>
      </c>
      <c r="V712" s="92">
        <v>46098</v>
      </c>
      <c r="W712" s="92">
        <v>46095</v>
      </c>
      <c r="X712" s="92">
        <v>46147</v>
      </c>
      <c r="Y712" s="97"/>
      <c r="Z712" s="89"/>
      <c r="AA712" s="96"/>
      <c r="AB712" s="89"/>
      <c r="AC712" s="111"/>
      <c r="AD712" s="89"/>
      <c r="AE712" s="89"/>
      <c r="AF712" s="98"/>
      <c r="AG712" s="98"/>
      <c r="AH712" s="98"/>
      <c r="AI712" s="99" t="s">
        <v>67</v>
      </c>
      <c r="AJ712" s="99" t="s">
        <v>81</v>
      </c>
      <c r="AK712" s="99"/>
      <c r="AL712" s="45" t="s">
        <v>68</v>
      </c>
      <c r="AM712" s="162" t="str">
        <f t="shared" si="88"/>
        <v>3/2026</v>
      </c>
      <c r="AN712" s="45">
        <f t="shared" si="89"/>
        <v>2</v>
      </c>
      <c r="AO712" s="45" t="str">
        <f t="shared" si="90"/>
        <v>1/1900</v>
      </c>
      <c r="AP712" s="45" t="e">
        <f t="shared" si="91"/>
        <v>#NUM!</v>
      </c>
      <c r="AQ712" s="45">
        <f t="shared" si="92"/>
        <v>0</v>
      </c>
      <c r="AR712" s="45">
        <f t="shared" si="93"/>
        <v>0</v>
      </c>
      <c r="AS712" s="45">
        <f t="shared" si="94"/>
        <v>0</v>
      </c>
      <c r="AT712" s="45">
        <f t="shared" si="95"/>
        <v>0</v>
      </c>
      <c r="AU712" s="45" t="str">
        <f>_xlfn.XLOOKUP(U712,'Lista Suspensa'!$AA$20:$AA$23,'Lista Suspensa'!$AB$20:$AB$23,"N/A")</f>
        <v>S</v>
      </c>
    </row>
    <row r="713" spans="1:47" ht="12" hidden="1" customHeight="1" x14ac:dyDescent="0.3">
      <c r="A713" s="87" t="s">
        <v>67</v>
      </c>
      <c r="B713" s="88">
        <v>46091</v>
      </c>
      <c r="C713" s="89" t="s">
        <v>211</v>
      </c>
      <c r="D713" s="89" t="s">
        <v>49</v>
      </c>
      <c r="E713" s="90">
        <v>20487002</v>
      </c>
      <c r="F713" s="184" t="s">
        <v>2259</v>
      </c>
      <c r="G713" s="91">
        <v>6995330820</v>
      </c>
      <c r="H713" s="92">
        <v>14094</v>
      </c>
      <c r="I713" s="89">
        <v>87</v>
      </c>
      <c r="J713" s="89" t="s">
        <v>51</v>
      </c>
      <c r="K713" s="89" t="s">
        <v>52</v>
      </c>
      <c r="L713" s="89" t="s">
        <v>749</v>
      </c>
      <c r="M713" s="89" t="s">
        <v>2260</v>
      </c>
      <c r="N713" s="89" t="s">
        <v>170</v>
      </c>
      <c r="O713" s="93" t="s">
        <v>2261</v>
      </c>
      <c r="P713" s="94" t="s">
        <v>57</v>
      </c>
      <c r="Q713" s="112" t="s">
        <v>2211</v>
      </c>
      <c r="R713" s="95"/>
      <c r="S713" s="96">
        <v>46150</v>
      </c>
      <c r="T713" s="96" t="s">
        <v>2212</v>
      </c>
      <c r="U713" s="96" t="s">
        <v>79</v>
      </c>
      <c r="V713" s="92">
        <v>46098</v>
      </c>
      <c r="W713" s="92">
        <v>46095</v>
      </c>
      <c r="X713" s="92">
        <v>46147</v>
      </c>
      <c r="Y713" s="97"/>
      <c r="Z713" s="89"/>
      <c r="AA713" s="96"/>
      <c r="AB713" s="89"/>
      <c r="AC713" s="111"/>
      <c r="AD713" s="89"/>
      <c r="AE713" s="89"/>
      <c r="AF713" s="98"/>
      <c r="AG713" s="98"/>
      <c r="AH713" s="98"/>
      <c r="AI713" s="99" t="s">
        <v>67</v>
      </c>
      <c r="AJ713" s="99" t="s">
        <v>81</v>
      </c>
      <c r="AK713" s="99"/>
      <c r="AL713" s="45" t="s">
        <v>68</v>
      </c>
      <c r="AM713" s="162" t="str">
        <f t="shared" si="88"/>
        <v>3/2026</v>
      </c>
      <c r="AN713" s="45">
        <f t="shared" si="89"/>
        <v>2</v>
      </c>
      <c r="AO713" s="45" t="str">
        <f t="shared" si="90"/>
        <v>1/1900</v>
      </c>
      <c r="AP713" s="45" t="e">
        <f t="shared" si="91"/>
        <v>#NUM!</v>
      </c>
      <c r="AQ713" s="45">
        <f t="shared" si="92"/>
        <v>0</v>
      </c>
      <c r="AR713" s="45">
        <f t="shared" si="93"/>
        <v>0</v>
      </c>
      <c r="AS713" s="45">
        <f t="shared" si="94"/>
        <v>0</v>
      </c>
      <c r="AT713" s="45">
        <f t="shared" si="95"/>
        <v>0</v>
      </c>
      <c r="AU713" s="45" t="str">
        <f>_xlfn.XLOOKUP(U713,'Lista Suspensa'!$AA$20:$AA$23,'Lista Suspensa'!$AB$20:$AB$23,"N/A")</f>
        <v>S</v>
      </c>
    </row>
    <row r="714" spans="1:47" ht="12" hidden="1" customHeight="1" x14ac:dyDescent="0.3">
      <c r="A714" s="87" t="s">
        <v>67</v>
      </c>
      <c r="B714" s="88">
        <v>46091</v>
      </c>
      <c r="C714" s="89" t="s">
        <v>211</v>
      </c>
      <c r="D714" s="89" t="s">
        <v>49</v>
      </c>
      <c r="E714" s="90">
        <v>200355112</v>
      </c>
      <c r="F714" s="184" t="s">
        <v>2262</v>
      </c>
      <c r="G714" s="91">
        <v>1842664832</v>
      </c>
      <c r="H714" s="92">
        <v>22140</v>
      </c>
      <c r="I714" s="89">
        <v>65</v>
      </c>
      <c r="J714" s="89" t="s">
        <v>51</v>
      </c>
      <c r="K714" s="89" t="s">
        <v>52</v>
      </c>
      <c r="L714" s="89" t="s">
        <v>1070</v>
      </c>
      <c r="M714" s="89" t="s">
        <v>2263</v>
      </c>
      <c r="N714" s="89" t="s">
        <v>170</v>
      </c>
      <c r="O714" s="93" t="s">
        <v>2264</v>
      </c>
      <c r="P714" s="94" t="s">
        <v>57</v>
      </c>
      <c r="Q714" s="112" t="s">
        <v>2211</v>
      </c>
      <c r="R714" s="95"/>
      <c r="S714" s="96">
        <v>46150</v>
      </c>
      <c r="T714" s="96" t="s">
        <v>2212</v>
      </c>
      <c r="U714" s="96" t="s">
        <v>79</v>
      </c>
      <c r="V714" s="92">
        <v>46098</v>
      </c>
      <c r="W714" s="92">
        <v>46095</v>
      </c>
      <c r="X714" s="92">
        <v>46147</v>
      </c>
      <c r="Y714" s="97"/>
      <c r="Z714" s="89"/>
      <c r="AA714" s="96"/>
      <c r="AB714" s="89"/>
      <c r="AC714" s="111"/>
      <c r="AD714" s="89"/>
      <c r="AE714" s="89"/>
      <c r="AF714" s="98"/>
      <c r="AG714" s="98"/>
      <c r="AH714" s="98"/>
      <c r="AI714" s="99" t="s">
        <v>67</v>
      </c>
      <c r="AJ714" s="99" t="s">
        <v>81</v>
      </c>
      <c r="AK714" s="99"/>
      <c r="AL714" s="45" t="s">
        <v>68</v>
      </c>
      <c r="AM714" s="162" t="str">
        <f t="shared" si="88"/>
        <v>3/2026</v>
      </c>
      <c r="AN714" s="45">
        <f t="shared" si="89"/>
        <v>2</v>
      </c>
      <c r="AO714" s="45" t="str">
        <f t="shared" si="90"/>
        <v>1/1900</v>
      </c>
      <c r="AP714" s="45" t="e">
        <f t="shared" si="91"/>
        <v>#NUM!</v>
      </c>
      <c r="AQ714" s="45">
        <f t="shared" si="92"/>
        <v>0</v>
      </c>
      <c r="AR714" s="45">
        <f t="shared" si="93"/>
        <v>0</v>
      </c>
      <c r="AS714" s="45">
        <f t="shared" si="94"/>
        <v>0</v>
      </c>
      <c r="AT714" s="45">
        <f t="shared" si="95"/>
        <v>0</v>
      </c>
      <c r="AU714" s="45" t="str">
        <f>_xlfn.XLOOKUP(U714,'Lista Suspensa'!$AA$20:$AA$23,'Lista Suspensa'!$AB$20:$AB$23,"N/A")</f>
        <v>S</v>
      </c>
    </row>
    <row r="715" spans="1:47" ht="12" hidden="1" customHeight="1" x14ac:dyDescent="0.3">
      <c r="A715" s="87" t="s">
        <v>67</v>
      </c>
      <c r="B715" s="88">
        <v>46091</v>
      </c>
      <c r="C715" s="89" t="s">
        <v>211</v>
      </c>
      <c r="D715" s="89" t="s">
        <v>49</v>
      </c>
      <c r="E715" s="90">
        <v>78401062</v>
      </c>
      <c r="F715" s="184" t="s">
        <v>2265</v>
      </c>
      <c r="G715" s="91">
        <v>32767366320</v>
      </c>
      <c r="H715" s="92">
        <v>25126</v>
      </c>
      <c r="I715" s="89">
        <v>57</v>
      </c>
      <c r="J715" s="89" t="s">
        <v>51</v>
      </c>
      <c r="K715" s="89" t="s">
        <v>52</v>
      </c>
      <c r="L715" s="89" t="s">
        <v>53</v>
      </c>
      <c r="M715" s="89" t="s">
        <v>2266</v>
      </c>
      <c r="N715" s="89" t="s">
        <v>170</v>
      </c>
      <c r="O715" s="93" t="s">
        <v>2267</v>
      </c>
      <c r="P715" s="94" t="s">
        <v>57</v>
      </c>
      <c r="Q715" s="112" t="s">
        <v>2211</v>
      </c>
      <c r="R715" s="95"/>
      <c r="S715" s="96">
        <v>46150</v>
      </c>
      <c r="T715" s="96" t="s">
        <v>2212</v>
      </c>
      <c r="U715" s="96" t="s">
        <v>79</v>
      </c>
      <c r="V715" s="92">
        <v>46098</v>
      </c>
      <c r="W715" s="92">
        <v>46095</v>
      </c>
      <c r="X715" s="92">
        <v>46147</v>
      </c>
      <c r="Y715" s="97"/>
      <c r="Z715" s="89"/>
      <c r="AA715" s="96"/>
      <c r="AB715" s="89"/>
      <c r="AC715" s="111"/>
      <c r="AD715" s="89"/>
      <c r="AE715" s="89"/>
      <c r="AF715" s="98"/>
      <c r="AG715" s="98"/>
      <c r="AH715" s="98"/>
      <c r="AI715" s="99" t="s">
        <v>67</v>
      </c>
      <c r="AJ715" s="99" t="s">
        <v>81</v>
      </c>
      <c r="AK715" s="99"/>
      <c r="AL715" s="45" t="s">
        <v>68</v>
      </c>
      <c r="AM715" s="162" t="str">
        <f t="shared" si="88"/>
        <v>3/2026</v>
      </c>
      <c r="AN715" s="45">
        <f t="shared" si="89"/>
        <v>2</v>
      </c>
      <c r="AO715" s="45" t="str">
        <f t="shared" si="90"/>
        <v>1/1900</v>
      </c>
      <c r="AP715" s="45" t="e">
        <f t="shared" si="91"/>
        <v>#NUM!</v>
      </c>
      <c r="AQ715" s="45">
        <f t="shared" si="92"/>
        <v>0</v>
      </c>
      <c r="AR715" s="45">
        <f t="shared" si="93"/>
        <v>0</v>
      </c>
      <c r="AS715" s="45">
        <f t="shared" si="94"/>
        <v>0</v>
      </c>
      <c r="AT715" s="45">
        <f t="shared" si="95"/>
        <v>0</v>
      </c>
      <c r="AU715" s="45" t="str">
        <f>_xlfn.XLOOKUP(U715,'Lista Suspensa'!$AA$20:$AA$23,'Lista Suspensa'!$AB$20:$AB$23,"N/A")</f>
        <v>S</v>
      </c>
    </row>
    <row r="716" spans="1:47" ht="12" hidden="1" customHeight="1" x14ac:dyDescent="0.3">
      <c r="A716" s="87" t="s">
        <v>67</v>
      </c>
      <c r="B716" s="88">
        <v>46091</v>
      </c>
      <c r="C716" s="89" t="s">
        <v>211</v>
      </c>
      <c r="D716" s="89" t="s">
        <v>49</v>
      </c>
      <c r="E716" s="90">
        <v>451748840</v>
      </c>
      <c r="F716" s="184" t="s">
        <v>2268</v>
      </c>
      <c r="G716" s="91">
        <v>64959635800</v>
      </c>
      <c r="H716" s="92">
        <v>17868</v>
      </c>
      <c r="I716" s="89">
        <v>77</v>
      </c>
      <c r="J716" s="89" t="s">
        <v>51</v>
      </c>
      <c r="K716" s="89" t="s">
        <v>52</v>
      </c>
      <c r="L716" s="89" t="s">
        <v>53</v>
      </c>
      <c r="M716" s="89" t="s">
        <v>2269</v>
      </c>
      <c r="N716" s="89" t="s">
        <v>170</v>
      </c>
      <c r="O716" s="93" t="s">
        <v>2270</v>
      </c>
      <c r="P716" s="94" t="s">
        <v>57</v>
      </c>
      <c r="Q716" s="112" t="s">
        <v>2211</v>
      </c>
      <c r="R716" s="95"/>
      <c r="S716" s="96">
        <v>46150</v>
      </c>
      <c r="T716" s="96" t="s">
        <v>2212</v>
      </c>
      <c r="U716" s="96" t="s">
        <v>79</v>
      </c>
      <c r="V716" s="92">
        <v>46098</v>
      </c>
      <c r="W716" s="92">
        <v>46095</v>
      </c>
      <c r="X716" s="92">
        <v>46147</v>
      </c>
      <c r="Y716" s="97"/>
      <c r="Z716" s="89"/>
      <c r="AA716" s="96"/>
      <c r="AB716" s="89"/>
      <c r="AC716" s="111"/>
      <c r="AD716" s="89"/>
      <c r="AE716" s="89"/>
      <c r="AF716" s="98"/>
      <c r="AG716" s="98"/>
      <c r="AH716" s="98"/>
      <c r="AI716" s="99" t="s">
        <v>67</v>
      </c>
      <c r="AJ716" s="99" t="s">
        <v>81</v>
      </c>
      <c r="AK716" s="99"/>
      <c r="AL716" s="45" t="s">
        <v>68</v>
      </c>
      <c r="AM716" s="162" t="str">
        <f t="shared" si="88"/>
        <v>3/2026</v>
      </c>
      <c r="AN716" s="45">
        <f t="shared" si="89"/>
        <v>2</v>
      </c>
      <c r="AO716" s="45" t="str">
        <f t="shared" si="90"/>
        <v>1/1900</v>
      </c>
      <c r="AP716" s="45" t="e">
        <f t="shared" si="91"/>
        <v>#NUM!</v>
      </c>
      <c r="AQ716" s="45">
        <f t="shared" si="92"/>
        <v>0</v>
      </c>
      <c r="AR716" s="45">
        <f t="shared" si="93"/>
        <v>0</v>
      </c>
      <c r="AS716" s="45">
        <f t="shared" si="94"/>
        <v>0</v>
      </c>
      <c r="AT716" s="45">
        <f t="shared" si="95"/>
        <v>0</v>
      </c>
      <c r="AU716" s="45" t="str">
        <f>_xlfn.XLOOKUP(U716,'Lista Suspensa'!$AA$20:$AA$23,'Lista Suspensa'!$AB$20:$AB$23,"N/A")</f>
        <v>S</v>
      </c>
    </row>
    <row r="717" spans="1:47" ht="12" hidden="1" customHeight="1" x14ac:dyDescent="0.3">
      <c r="A717" s="87" t="s">
        <v>67</v>
      </c>
      <c r="B717" s="88">
        <v>46104</v>
      </c>
      <c r="C717" s="89" t="s">
        <v>211</v>
      </c>
      <c r="D717" s="89" t="s">
        <v>49</v>
      </c>
      <c r="E717" s="90">
        <v>93494528</v>
      </c>
      <c r="F717" s="184" t="s">
        <v>2271</v>
      </c>
      <c r="G717" s="91" t="s">
        <v>2272</v>
      </c>
      <c r="H717" s="92">
        <v>23169</v>
      </c>
      <c r="I717" s="89">
        <v>62</v>
      </c>
      <c r="J717" s="89" t="s">
        <v>70</v>
      </c>
      <c r="K717" s="89" t="s">
        <v>88</v>
      </c>
      <c r="L717" s="89"/>
      <c r="M717" s="89"/>
      <c r="N717" s="89"/>
      <c r="O717" s="93" t="s">
        <v>2273</v>
      </c>
      <c r="P717" s="94" t="s">
        <v>57</v>
      </c>
      <c r="Q717" s="112" t="s">
        <v>2211</v>
      </c>
      <c r="R717" s="95"/>
      <c r="S717" s="96">
        <v>46150</v>
      </c>
      <c r="T717" s="96" t="s">
        <v>2212</v>
      </c>
      <c r="U717" s="96" t="s">
        <v>79</v>
      </c>
      <c r="V717" s="92">
        <v>46112</v>
      </c>
      <c r="W717" s="92">
        <v>46095</v>
      </c>
      <c r="X717" s="92">
        <v>46147</v>
      </c>
      <c r="Y717" s="97"/>
      <c r="Z717" s="89"/>
      <c r="AA717" s="96"/>
      <c r="AB717" s="89"/>
      <c r="AC717" s="111"/>
      <c r="AD717" s="89"/>
      <c r="AE717" s="89"/>
      <c r="AF717" s="98"/>
      <c r="AG717" s="98"/>
      <c r="AH717" s="98"/>
      <c r="AI717" s="99" t="s">
        <v>67</v>
      </c>
      <c r="AJ717" s="99" t="s">
        <v>81</v>
      </c>
      <c r="AK717" s="99"/>
      <c r="AL717" s="45" t="s">
        <v>68</v>
      </c>
      <c r="AM717" s="162" t="str">
        <f t="shared" si="88"/>
        <v>3/2026</v>
      </c>
      <c r="AN717" s="45">
        <f t="shared" si="89"/>
        <v>4</v>
      </c>
      <c r="AO717" s="45" t="str">
        <f t="shared" si="90"/>
        <v>1/1900</v>
      </c>
      <c r="AP717" s="45" t="e">
        <f t="shared" si="91"/>
        <v>#NUM!</v>
      </c>
      <c r="AQ717" s="45">
        <f t="shared" si="92"/>
        <v>0</v>
      </c>
      <c r="AR717" s="45">
        <f t="shared" si="93"/>
        <v>0</v>
      </c>
      <c r="AS717" s="45">
        <f t="shared" si="94"/>
        <v>0</v>
      </c>
      <c r="AT717" s="45">
        <f t="shared" si="95"/>
        <v>0</v>
      </c>
      <c r="AU717" s="45" t="str">
        <f>_xlfn.XLOOKUP(U717,'Lista Suspensa'!$AA$20:$AA$23,'Lista Suspensa'!$AB$20:$AB$23,"N/A")</f>
        <v>S</v>
      </c>
    </row>
    <row r="718" spans="1:47" ht="12" hidden="1" customHeight="1" x14ac:dyDescent="0.3">
      <c r="A718" s="87" t="s">
        <v>47</v>
      </c>
      <c r="B718" s="88">
        <v>46105</v>
      </c>
      <c r="C718" s="89" t="s">
        <v>211</v>
      </c>
      <c r="D718" s="89" t="s">
        <v>2000</v>
      </c>
      <c r="E718" s="90">
        <v>89544544</v>
      </c>
      <c r="F718" s="184" t="s">
        <v>2274</v>
      </c>
      <c r="G718" s="91" t="s">
        <v>2275</v>
      </c>
      <c r="H718" s="92">
        <v>34232</v>
      </c>
      <c r="I718" s="89">
        <v>32</v>
      </c>
      <c r="J718" s="89" t="s">
        <v>51</v>
      </c>
      <c r="K718" s="89" t="s">
        <v>52</v>
      </c>
      <c r="L718" s="89" t="s">
        <v>2003</v>
      </c>
      <c r="M718" s="89" t="s">
        <v>2004</v>
      </c>
      <c r="N718" s="89"/>
      <c r="O718" s="93">
        <v>11951298798</v>
      </c>
      <c r="P718" s="94" t="s">
        <v>57</v>
      </c>
      <c r="Q718" s="112" t="s">
        <v>2211</v>
      </c>
      <c r="R718" s="95"/>
      <c r="S718" s="96">
        <v>46150</v>
      </c>
      <c r="T718" s="96" t="s">
        <v>2212</v>
      </c>
      <c r="U718" s="96" t="s">
        <v>79</v>
      </c>
      <c r="V718" s="92">
        <v>46128</v>
      </c>
      <c r="W718" s="92">
        <v>46141</v>
      </c>
      <c r="X718" s="92">
        <v>46147</v>
      </c>
      <c r="Y718" s="97"/>
      <c r="Z718" s="89"/>
      <c r="AA718" s="96"/>
      <c r="AB718" s="89"/>
      <c r="AC718" s="111"/>
      <c r="AD718" s="89"/>
      <c r="AE718" s="89"/>
      <c r="AF718" s="98"/>
      <c r="AG718" s="98"/>
      <c r="AH718" s="98"/>
      <c r="AI718" s="99" t="s">
        <v>67</v>
      </c>
      <c r="AJ718" s="99" t="s">
        <v>81</v>
      </c>
      <c r="AK718" s="99"/>
      <c r="AL718" s="45" t="s">
        <v>68</v>
      </c>
      <c r="AM718" s="162" t="str">
        <f t="shared" si="88"/>
        <v>3/2026</v>
      </c>
      <c r="AN718" s="45">
        <f t="shared" si="89"/>
        <v>4</v>
      </c>
      <c r="AO718" s="45" t="str">
        <f t="shared" si="90"/>
        <v>1/1900</v>
      </c>
      <c r="AP718" s="45" t="e">
        <f t="shared" si="91"/>
        <v>#NUM!</v>
      </c>
      <c r="AQ718" s="45">
        <f t="shared" si="92"/>
        <v>0</v>
      </c>
      <c r="AR718" s="45">
        <f t="shared" si="93"/>
        <v>0</v>
      </c>
      <c r="AS718" s="45">
        <f t="shared" si="94"/>
        <v>0</v>
      </c>
      <c r="AT718" s="45">
        <f t="shared" si="95"/>
        <v>0</v>
      </c>
      <c r="AU718" s="45" t="str">
        <f>_xlfn.XLOOKUP(U718,'Lista Suspensa'!$AA$20:$AA$23,'Lista Suspensa'!$AB$20:$AB$23,"N/A")</f>
        <v>S</v>
      </c>
    </row>
    <row r="719" spans="1:47" ht="12" hidden="1" customHeight="1" x14ac:dyDescent="0.3">
      <c r="A719" s="87" t="s">
        <v>47</v>
      </c>
      <c r="B719" s="88">
        <v>46105</v>
      </c>
      <c r="C719" s="89" t="s">
        <v>211</v>
      </c>
      <c r="D719" s="89" t="s">
        <v>2000</v>
      </c>
      <c r="E719" s="90">
        <v>451855086</v>
      </c>
      <c r="F719" s="184" t="s">
        <v>2276</v>
      </c>
      <c r="G719" s="91" t="s">
        <v>2277</v>
      </c>
      <c r="H719" s="92">
        <v>17761</v>
      </c>
      <c r="I719" s="89">
        <v>77</v>
      </c>
      <c r="J719" s="89" t="s">
        <v>70</v>
      </c>
      <c r="K719" s="89" t="s">
        <v>52</v>
      </c>
      <c r="L719" s="89" t="s">
        <v>2003</v>
      </c>
      <c r="M719" s="89" t="s">
        <v>2278</v>
      </c>
      <c r="N719" s="89" t="s">
        <v>72</v>
      </c>
      <c r="O719" s="93">
        <v>11947689067</v>
      </c>
      <c r="P719" s="94" t="s">
        <v>57</v>
      </c>
      <c r="Q719" s="112" t="s">
        <v>2211</v>
      </c>
      <c r="R719" s="95"/>
      <c r="S719" s="96">
        <v>46150</v>
      </c>
      <c r="T719" s="96" t="s">
        <v>2212</v>
      </c>
      <c r="U719" s="96" t="s">
        <v>79</v>
      </c>
      <c r="V719" s="92">
        <v>46128</v>
      </c>
      <c r="W719" s="92">
        <v>46141</v>
      </c>
      <c r="X719" s="92">
        <v>46147</v>
      </c>
      <c r="Y719" s="97"/>
      <c r="Z719" s="89"/>
      <c r="AA719" s="96"/>
      <c r="AB719" s="89"/>
      <c r="AC719" s="111"/>
      <c r="AD719" s="89"/>
      <c r="AE719" s="89"/>
      <c r="AF719" s="98"/>
      <c r="AG719" s="98"/>
      <c r="AH719" s="98"/>
      <c r="AI719" s="99" t="s">
        <v>67</v>
      </c>
      <c r="AJ719" s="99" t="s">
        <v>81</v>
      </c>
      <c r="AK719" s="99"/>
      <c r="AL719" s="45" t="s">
        <v>68</v>
      </c>
      <c r="AM719" s="162" t="str">
        <f t="shared" si="88"/>
        <v>3/2026</v>
      </c>
      <c r="AN719" s="45">
        <f t="shared" si="89"/>
        <v>4</v>
      </c>
      <c r="AO719" s="45" t="str">
        <f t="shared" si="90"/>
        <v>1/1900</v>
      </c>
      <c r="AP719" s="45" t="e">
        <f t="shared" si="91"/>
        <v>#NUM!</v>
      </c>
      <c r="AQ719" s="45">
        <f t="shared" si="92"/>
        <v>0</v>
      </c>
      <c r="AR719" s="45">
        <f t="shared" si="93"/>
        <v>0</v>
      </c>
      <c r="AS719" s="45">
        <f t="shared" si="94"/>
        <v>0</v>
      </c>
      <c r="AT719" s="45">
        <f t="shared" si="95"/>
        <v>0</v>
      </c>
      <c r="AU719" s="45" t="str">
        <f>_xlfn.XLOOKUP(U719,'Lista Suspensa'!$AA$20:$AA$23,'Lista Suspensa'!$AB$20:$AB$23,"N/A")</f>
        <v>S</v>
      </c>
    </row>
    <row r="720" spans="1:47" ht="12" hidden="1" customHeight="1" x14ac:dyDescent="0.3">
      <c r="A720" s="87" t="s">
        <v>67</v>
      </c>
      <c r="B720" s="88">
        <v>46107</v>
      </c>
      <c r="C720" s="89" t="s">
        <v>211</v>
      </c>
      <c r="D720" s="89" t="s">
        <v>49</v>
      </c>
      <c r="E720" s="90">
        <v>79043732</v>
      </c>
      <c r="F720" s="184" t="s">
        <v>2279</v>
      </c>
      <c r="G720" s="91">
        <v>7086548863</v>
      </c>
      <c r="H720" s="92">
        <v>22752</v>
      </c>
      <c r="I720" s="89">
        <v>64</v>
      </c>
      <c r="J720" s="89" t="s">
        <v>70</v>
      </c>
      <c r="K720" s="89" t="s">
        <v>52</v>
      </c>
      <c r="L720" s="89" t="s">
        <v>53</v>
      </c>
      <c r="M720" s="89"/>
      <c r="N720" s="89"/>
      <c r="O720" s="93">
        <v>11997505302</v>
      </c>
      <c r="P720" s="94" t="s">
        <v>57</v>
      </c>
      <c r="Q720" s="112" t="s">
        <v>2211</v>
      </c>
      <c r="R720" s="95"/>
      <c r="S720" s="96">
        <v>46150</v>
      </c>
      <c r="T720" s="96" t="s">
        <v>2212</v>
      </c>
      <c r="U720" s="96" t="s">
        <v>79</v>
      </c>
      <c r="V720" s="92">
        <v>46122</v>
      </c>
      <c r="W720" s="92">
        <v>46095</v>
      </c>
      <c r="X720" s="92">
        <v>46147</v>
      </c>
      <c r="Y720" s="97"/>
      <c r="Z720" s="89"/>
      <c r="AA720" s="96"/>
      <c r="AB720" s="89"/>
      <c r="AC720" s="111"/>
      <c r="AD720" s="89"/>
      <c r="AE720" s="89"/>
      <c r="AF720" s="98"/>
      <c r="AG720" s="98"/>
      <c r="AH720" s="98"/>
      <c r="AI720" s="99" t="s">
        <v>67</v>
      </c>
      <c r="AJ720" s="99" t="s">
        <v>81</v>
      </c>
      <c r="AK720" s="99"/>
      <c r="AL720" s="45" t="s">
        <v>68</v>
      </c>
      <c r="AM720" s="162" t="str">
        <f t="shared" si="88"/>
        <v>3/2026</v>
      </c>
      <c r="AN720" s="45">
        <f t="shared" si="89"/>
        <v>4</v>
      </c>
      <c r="AO720" s="45" t="str">
        <f t="shared" si="90"/>
        <v>1/1900</v>
      </c>
      <c r="AP720" s="45" t="e">
        <f t="shared" si="91"/>
        <v>#NUM!</v>
      </c>
      <c r="AQ720" s="45">
        <f t="shared" si="92"/>
        <v>0</v>
      </c>
      <c r="AR720" s="45">
        <f t="shared" si="93"/>
        <v>0</v>
      </c>
      <c r="AS720" s="45">
        <f t="shared" si="94"/>
        <v>0</v>
      </c>
      <c r="AT720" s="45">
        <f t="shared" si="95"/>
        <v>0</v>
      </c>
      <c r="AU720" s="45" t="str">
        <f>_xlfn.XLOOKUP(U720,'Lista Suspensa'!$AA$20:$AA$23,'Lista Suspensa'!$AB$20:$AB$23,"N/A")</f>
        <v>S</v>
      </c>
    </row>
    <row r="721" spans="1:47" ht="12" hidden="1" customHeight="1" x14ac:dyDescent="0.3">
      <c r="A721" s="87" t="s">
        <v>67</v>
      </c>
      <c r="B721" s="88">
        <v>46122</v>
      </c>
      <c r="C721" s="89" t="s">
        <v>211</v>
      </c>
      <c r="D721" s="89" t="s">
        <v>49</v>
      </c>
      <c r="E721" s="90">
        <v>89667987</v>
      </c>
      <c r="F721" s="184" t="s">
        <v>2280</v>
      </c>
      <c r="G721" s="91">
        <v>12929855851</v>
      </c>
      <c r="H721" s="92">
        <v>26136</v>
      </c>
      <c r="I721" s="89">
        <v>54</v>
      </c>
      <c r="J721" s="89" t="s">
        <v>51</v>
      </c>
      <c r="K721" s="89" t="s">
        <v>52</v>
      </c>
      <c r="L721" s="89" t="s">
        <v>53</v>
      </c>
      <c r="M721" s="89" t="s">
        <v>2004</v>
      </c>
      <c r="N721" s="89" t="s">
        <v>102</v>
      </c>
      <c r="O721" s="93">
        <v>11953140242</v>
      </c>
      <c r="P721" s="94" t="s">
        <v>57</v>
      </c>
      <c r="Q721" s="112" t="s">
        <v>2211</v>
      </c>
      <c r="R721" s="95"/>
      <c r="S721" s="96">
        <v>46150</v>
      </c>
      <c r="T721" s="96" t="s">
        <v>2212</v>
      </c>
      <c r="U721" s="96" t="s">
        <v>79</v>
      </c>
      <c r="V721" s="92">
        <v>46095</v>
      </c>
      <c r="W721" s="92">
        <v>46140</v>
      </c>
      <c r="X721" s="92">
        <v>46147</v>
      </c>
      <c r="Y721" s="97"/>
      <c r="Z721" s="89"/>
      <c r="AA721" s="96"/>
      <c r="AB721" s="89"/>
      <c r="AC721" s="111"/>
      <c r="AD721" s="89"/>
      <c r="AE721" s="89"/>
      <c r="AF721" s="98"/>
      <c r="AG721" s="98"/>
      <c r="AH721" s="98"/>
      <c r="AI721" s="99" t="s">
        <v>67</v>
      </c>
      <c r="AJ721" s="99" t="s">
        <v>81</v>
      </c>
      <c r="AK721" s="99"/>
      <c r="AL721" s="45" t="s">
        <v>68</v>
      </c>
      <c r="AM721" s="162" t="str">
        <f t="shared" si="88"/>
        <v>4/2026</v>
      </c>
      <c r="AN721" s="45">
        <f t="shared" si="89"/>
        <v>2</v>
      </c>
      <c r="AO721" s="45" t="str">
        <f t="shared" si="90"/>
        <v>1/1900</v>
      </c>
      <c r="AP721" s="45" t="e">
        <f t="shared" si="91"/>
        <v>#NUM!</v>
      </c>
      <c r="AQ721" s="45">
        <f t="shared" si="92"/>
        <v>0</v>
      </c>
      <c r="AR721" s="45">
        <f t="shared" si="93"/>
        <v>0</v>
      </c>
      <c r="AS721" s="45">
        <f t="shared" si="94"/>
        <v>0</v>
      </c>
      <c r="AT721" s="45">
        <f t="shared" si="95"/>
        <v>0</v>
      </c>
      <c r="AU721" s="45" t="str">
        <f>_xlfn.XLOOKUP(U721,'Lista Suspensa'!$AA$20:$AA$23,'Lista Suspensa'!$AB$20:$AB$23,"N/A")</f>
        <v>S</v>
      </c>
    </row>
    <row r="722" spans="1:47" ht="12" customHeight="1" x14ac:dyDescent="0.3">
      <c r="A722" s="87" t="s">
        <v>67</v>
      </c>
      <c r="B722" s="88">
        <v>46129</v>
      </c>
      <c r="C722" s="89" t="s">
        <v>211</v>
      </c>
      <c r="D722" s="89" t="s">
        <v>2000</v>
      </c>
      <c r="E722" s="90">
        <v>73937553</v>
      </c>
      <c r="F722" s="184" t="s">
        <v>2281</v>
      </c>
      <c r="G722" s="91">
        <v>44593813700</v>
      </c>
      <c r="H722" s="92">
        <v>20715</v>
      </c>
      <c r="I722" s="89">
        <v>69</v>
      </c>
      <c r="J722" s="89" t="s">
        <v>51</v>
      </c>
      <c r="K722" s="89" t="s">
        <v>88</v>
      </c>
      <c r="L722" s="89" t="s">
        <v>97</v>
      </c>
      <c r="M722" s="89" t="s">
        <v>2282</v>
      </c>
      <c r="N722" s="89" t="s">
        <v>72</v>
      </c>
      <c r="O722" s="93" t="s">
        <v>2283</v>
      </c>
      <c r="P722" s="94" t="s">
        <v>57</v>
      </c>
      <c r="Q722" s="112" t="s">
        <v>58</v>
      </c>
      <c r="R722" s="95">
        <v>46178</v>
      </c>
      <c r="S722" s="96"/>
      <c r="T722" s="96" t="s">
        <v>59</v>
      </c>
      <c r="U722" s="96" t="s">
        <v>60</v>
      </c>
      <c r="V722" s="92">
        <v>46140</v>
      </c>
      <c r="W722" s="92">
        <v>46141</v>
      </c>
      <c r="X722" s="92">
        <v>46147</v>
      </c>
      <c r="Y722" s="97"/>
      <c r="Z722" s="89" t="s">
        <v>62</v>
      </c>
      <c r="AA722" s="96">
        <v>46189</v>
      </c>
      <c r="AB722" s="89"/>
      <c r="AC722" s="111"/>
      <c r="AD722" s="89"/>
      <c r="AE722" s="89"/>
      <c r="AF722" s="98"/>
      <c r="AG722" s="98"/>
      <c r="AH722" s="98"/>
      <c r="AI722" s="99" t="s">
        <v>67</v>
      </c>
      <c r="AJ722" s="99" t="s">
        <v>3812</v>
      </c>
      <c r="AK722" s="99"/>
      <c r="AL722" s="45" t="s">
        <v>68</v>
      </c>
      <c r="AM722" s="162" t="str">
        <f t="shared" si="88"/>
        <v>4/2026</v>
      </c>
      <c r="AN722" s="45">
        <f t="shared" si="89"/>
        <v>3</v>
      </c>
      <c r="AO722" s="45" t="str">
        <f t="shared" si="90"/>
        <v>6/2026</v>
      </c>
      <c r="AP722" s="45">
        <f t="shared" si="91"/>
        <v>1</v>
      </c>
      <c r="AQ722" s="45">
        <f t="shared" si="92"/>
        <v>49</v>
      </c>
      <c r="AR722" s="45">
        <f t="shared" si="93"/>
        <v>0</v>
      </c>
      <c r="AS722" s="45">
        <f t="shared" si="94"/>
        <v>3.5</v>
      </c>
      <c r="AT722" s="45">
        <f t="shared" si="95"/>
        <v>0</v>
      </c>
      <c r="AU722" s="45" t="str">
        <f>_xlfn.XLOOKUP(U722,'Lista Suspensa'!$AA$20:$AA$23,'Lista Suspensa'!$AB$20:$AB$23,"N/A")</f>
        <v>S</v>
      </c>
    </row>
    <row r="723" spans="1:47" ht="12" hidden="1" customHeight="1" x14ac:dyDescent="0.3">
      <c r="A723" s="87" t="s">
        <v>67</v>
      </c>
      <c r="B723" s="88">
        <v>46134</v>
      </c>
      <c r="C723" s="89" t="s">
        <v>211</v>
      </c>
      <c r="D723" s="89" t="s">
        <v>49</v>
      </c>
      <c r="E723" s="90">
        <v>452291518</v>
      </c>
      <c r="F723" s="184" t="s">
        <v>2284</v>
      </c>
      <c r="G723" s="91" t="s">
        <v>2285</v>
      </c>
      <c r="H723" s="92">
        <v>23944</v>
      </c>
      <c r="I723" s="89">
        <v>60</v>
      </c>
      <c r="J723" s="89" t="s">
        <v>70</v>
      </c>
      <c r="K723" s="89" t="s">
        <v>52</v>
      </c>
      <c r="L723" s="89" t="s">
        <v>53</v>
      </c>
      <c r="M723" s="89" t="s">
        <v>2286</v>
      </c>
      <c r="N723" s="89">
        <v>100</v>
      </c>
      <c r="O723" s="93">
        <v>11971723200</v>
      </c>
      <c r="P723" s="94" t="s">
        <v>57</v>
      </c>
      <c r="Q723" s="112" t="s">
        <v>2211</v>
      </c>
      <c r="R723" s="95"/>
      <c r="S723" s="96">
        <v>46150</v>
      </c>
      <c r="T723" s="96" t="s">
        <v>2212</v>
      </c>
      <c r="U723" s="96" t="s">
        <v>79</v>
      </c>
      <c r="V723" s="92">
        <v>46140</v>
      </c>
      <c r="W723" s="92">
        <v>46141</v>
      </c>
      <c r="X723" s="92">
        <v>46147</v>
      </c>
      <c r="Y723" s="97"/>
      <c r="Z723" s="89"/>
      <c r="AA723" s="96"/>
      <c r="AB723" s="89"/>
      <c r="AC723" s="111"/>
      <c r="AD723" s="89"/>
      <c r="AE723" s="89"/>
      <c r="AF723" s="98"/>
      <c r="AG723" s="98"/>
      <c r="AH723" s="98"/>
      <c r="AI723" s="99" t="s">
        <v>67</v>
      </c>
      <c r="AJ723" s="99" t="s">
        <v>81</v>
      </c>
      <c r="AK723" s="99"/>
      <c r="AL723" s="45" t="s">
        <v>68</v>
      </c>
      <c r="AM723" s="162" t="str">
        <f t="shared" si="88"/>
        <v>4/2026</v>
      </c>
      <c r="AN723" s="45">
        <f t="shared" si="89"/>
        <v>4</v>
      </c>
      <c r="AO723" s="45" t="str">
        <f t="shared" si="90"/>
        <v>1/1900</v>
      </c>
      <c r="AP723" s="45" t="e">
        <f t="shared" si="91"/>
        <v>#NUM!</v>
      </c>
      <c r="AQ723" s="45">
        <f t="shared" si="92"/>
        <v>0</v>
      </c>
      <c r="AR723" s="45">
        <f t="shared" si="93"/>
        <v>0</v>
      </c>
      <c r="AS723" s="45">
        <f t="shared" si="94"/>
        <v>0</v>
      </c>
      <c r="AT723" s="45">
        <f t="shared" si="95"/>
        <v>0</v>
      </c>
      <c r="AU723" s="45" t="str">
        <f>_xlfn.XLOOKUP(U723,'Lista Suspensa'!$AA$20:$AA$23,'Lista Suspensa'!$AB$20:$AB$23,"N/A")</f>
        <v>S</v>
      </c>
    </row>
    <row r="724" spans="1:47" ht="12" hidden="1" customHeight="1" x14ac:dyDescent="0.3">
      <c r="A724" s="87" t="s">
        <v>67</v>
      </c>
      <c r="B724" s="88">
        <v>46139</v>
      </c>
      <c r="C724" s="89" t="s">
        <v>211</v>
      </c>
      <c r="D724" s="89" t="s">
        <v>49</v>
      </c>
      <c r="E724" s="90">
        <v>595736106</v>
      </c>
      <c r="F724" s="184" t="s">
        <v>2287</v>
      </c>
      <c r="G724" s="91">
        <v>18964188802</v>
      </c>
      <c r="H724" s="92">
        <v>28064</v>
      </c>
      <c r="I724" s="89"/>
      <c r="J724" s="89" t="s">
        <v>51</v>
      </c>
      <c r="K724" s="89" t="s">
        <v>52</v>
      </c>
      <c r="L724" s="89" t="s">
        <v>53</v>
      </c>
      <c r="M724" s="89" t="s">
        <v>1374</v>
      </c>
      <c r="N724" s="89">
        <v>50</v>
      </c>
      <c r="O724" s="93">
        <v>11963951500</v>
      </c>
      <c r="P724" s="94" t="s">
        <v>57</v>
      </c>
      <c r="Q724" s="112" t="s">
        <v>2211</v>
      </c>
      <c r="R724" s="95"/>
      <c r="S724" s="96">
        <v>46150</v>
      </c>
      <c r="T724" s="96" t="s">
        <v>2212</v>
      </c>
      <c r="U724" s="96" t="s">
        <v>79</v>
      </c>
      <c r="V724" s="92">
        <v>46140</v>
      </c>
      <c r="W724" s="92">
        <v>46141</v>
      </c>
      <c r="X724" s="92">
        <v>46147</v>
      </c>
      <c r="Y724" s="97"/>
      <c r="Z724" s="89"/>
      <c r="AA724" s="96"/>
      <c r="AB724" s="89"/>
      <c r="AC724" s="111"/>
      <c r="AD724" s="89"/>
      <c r="AE724" s="89"/>
      <c r="AF724" s="98"/>
      <c r="AG724" s="98"/>
      <c r="AH724" s="98"/>
      <c r="AI724" s="99" t="s">
        <v>67</v>
      </c>
      <c r="AJ724" s="99" t="s">
        <v>81</v>
      </c>
      <c r="AK724" s="99"/>
      <c r="AL724" s="45" t="s">
        <v>68</v>
      </c>
      <c r="AM724" s="162" t="str">
        <f t="shared" si="88"/>
        <v>4/2026</v>
      </c>
      <c r="AN724" s="45">
        <f t="shared" si="89"/>
        <v>5</v>
      </c>
      <c r="AO724" s="45" t="str">
        <f t="shared" si="90"/>
        <v>1/1900</v>
      </c>
      <c r="AP724" s="45" t="e">
        <f t="shared" si="91"/>
        <v>#NUM!</v>
      </c>
      <c r="AQ724" s="45">
        <f t="shared" si="92"/>
        <v>0</v>
      </c>
      <c r="AR724" s="45">
        <f t="shared" si="93"/>
        <v>0</v>
      </c>
      <c r="AS724" s="45">
        <f t="shared" si="94"/>
        <v>0</v>
      </c>
      <c r="AT724" s="45">
        <f t="shared" si="95"/>
        <v>0</v>
      </c>
      <c r="AU724" s="45" t="str">
        <f>_xlfn.XLOOKUP(U724,'Lista Suspensa'!$AA$20:$AA$23,'Lista Suspensa'!$AB$20:$AB$23,"N/A")</f>
        <v>S</v>
      </c>
    </row>
    <row r="725" spans="1:47" ht="12" hidden="1" customHeight="1" x14ac:dyDescent="0.3">
      <c r="A725" s="87" t="s">
        <v>67</v>
      </c>
      <c r="B725" s="88">
        <v>46140</v>
      </c>
      <c r="C725" s="89" t="s">
        <v>211</v>
      </c>
      <c r="D725" s="89" t="s">
        <v>49</v>
      </c>
      <c r="E725" s="90">
        <v>593892682</v>
      </c>
      <c r="F725" s="184" t="s">
        <v>2288</v>
      </c>
      <c r="G725" s="91">
        <v>69811326800</v>
      </c>
      <c r="H725" s="92">
        <v>19869</v>
      </c>
      <c r="I725" s="89">
        <v>71</v>
      </c>
      <c r="J725" s="89" t="s">
        <v>51</v>
      </c>
      <c r="K725" s="89" t="s">
        <v>52</v>
      </c>
      <c r="L725" s="89" t="s">
        <v>331</v>
      </c>
      <c r="M725" s="89" t="s">
        <v>2289</v>
      </c>
      <c r="N725" s="89">
        <v>50</v>
      </c>
      <c r="O725" s="93" t="s">
        <v>2290</v>
      </c>
      <c r="P725" s="94" t="s">
        <v>57</v>
      </c>
      <c r="Q725" s="112" t="s">
        <v>2211</v>
      </c>
      <c r="R725" s="95"/>
      <c r="S725" s="96">
        <v>46150</v>
      </c>
      <c r="T725" s="96" t="s">
        <v>2212</v>
      </c>
      <c r="U725" s="96" t="s">
        <v>79</v>
      </c>
      <c r="V725" s="92">
        <v>46140</v>
      </c>
      <c r="W725" s="92">
        <v>46141</v>
      </c>
      <c r="X725" s="92">
        <v>46147</v>
      </c>
      <c r="Y725" s="97"/>
      <c r="Z725" s="89"/>
      <c r="AA725" s="96"/>
      <c r="AB725" s="89"/>
      <c r="AC725" s="111"/>
      <c r="AD725" s="89"/>
      <c r="AE725" s="89"/>
      <c r="AF725" s="98"/>
      <c r="AG725" s="98"/>
      <c r="AH725" s="98"/>
      <c r="AI725" s="99" t="s">
        <v>67</v>
      </c>
      <c r="AJ725" s="99" t="s">
        <v>81</v>
      </c>
      <c r="AK725" s="99"/>
      <c r="AL725" s="45" t="s">
        <v>68</v>
      </c>
      <c r="AM725" s="162" t="str">
        <f t="shared" si="88"/>
        <v>4/2026</v>
      </c>
      <c r="AN725" s="45">
        <f t="shared" si="89"/>
        <v>5</v>
      </c>
      <c r="AO725" s="45" t="str">
        <f t="shared" si="90"/>
        <v>1/1900</v>
      </c>
      <c r="AP725" s="45" t="e">
        <f t="shared" si="91"/>
        <v>#NUM!</v>
      </c>
      <c r="AQ725" s="45">
        <f t="shared" si="92"/>
        <v>0</v>
      </c>
      <c r="AR725" s="45">
        <f t="shared" si="93"/>
        <v>0</v>
      </c>
      <c r="AS725" s="45">
        <f t="shared" si="94"/>
        <v>0</v>
      </c>
      <c r="AT725" s="45">
        <f t="shared" si="95"/>
        <v>0</v>
      </c>
      <c r="AU725" s="45" t="str">
        <f>_xlfn.XLOOKUP(U725,'Lista Suspensa'!$AA$20:$AA$23,'Lista Suspensa'!$AB$20:$AB$23,"N/A")</f>
        <v>S</v>
      </c>
    </row>
    <row r="726" spans="1:47" ht="12" hidden="1" customHeight="1" x14ac:dyDescent="0.3">
      <c r="A726" s="87" t="s">
        <v>67</v>
      </c>
      <c r="B726" s="88">
        <v>46146</v>
      </c>
      <c r="C726" s="89" t="s">
        <v>211</v>
      </c>
      <c r="D726" s="89" t="s">
        <v>2000</v>
      </c>
      <c r="E726" s="90">
        <v>93856276</v>
      </c>
      <c r="F726" s="184" t="s">
        <v>2291</v>
      </c>
      <c r="G726" s="91" t="s">
        <v>2292</v>
      </c>
      <c r="H726" s="92">
        <v>29651</v>
      </c>
      <c r="I726" s="89">
        <v>45</v>
      </c>
      <c r="J726" s="89" t="s">
        <v>51</v>
      </c>
      <c r="K726" s="89" t="s">
        <v>88</v>
      </c>
      <c r="L726" s="89" t="s">
        <v>89</v>
      </c>
      <c r="M726" s="89"/>
      <c r="N726" s="89">
        <v>75</v>
      </c>
      <c r="O726" s="93" t="s">
        <v>2293</v>
      </c>
      <c r="P726" s="94" t="s">
        <v>57</v>
      </c>
      <c r="Q726" s="112" t="s">
        <v>2211</v>
      </c>
      <c r="R726" s="95"/>
      <c r="S726" s="96">
        <v>46164</v>
      </c>
      <c r="T726" s="96" t="s">
        <v>2212</v>
      </c>
      <c r="U726" s="96" t="s">
        <v>79</v>
      </c>
      <c r="V726" s="92">
        <v>46147</v>
      </c>
      <c r="W726" s="92">
        <v>46154</v>
      </c>
      <c r="X726" s="92">
        <v>46160</v>
      </c>
      <c r="Y726" s="97"/>
      <c r="Z726" s="89"/>
      <c r="AA726" s="96"/>
      <c r="AB726" s="89"/>
      <c r="AC726" s="111"/>
      <c r="AD726" s="89"/>
      <c r="AE726" s="89"/>
      <c r="AF726" s="98"/>
      <c r="AG726" s="98"/>
      <c r="AH726" s="98"/>
      <c r="AI726" s="99" t="s">
        <v>197</v>
      </c>
      <c r="AJ726" s="99" t="s">
        <v>81</v>
      </c>
      <c r="AK726" s="99"/>
      <c r="AL726" s="45" t="s">
        <v>68</v>
      </c>
      <c r="AM726" s="162" t="str">
        <f t="shared" si="88"/>
        <v>5/2026</v>
      </c>
      <c r="AN726" s="45">
        <f t="shared" si="89"/>
        <v>2</v>
      </c>
      <c r="AO726" s="45" t="str">
        <f t="shared" si="90"/>
        <v>1/1900</v>
      </c>
      <c r="AP726" s="45" t="e">
        <f t="shared" si="91"/>
        <v>#NUM!</v>
      </c>
      <c r="AQ726" s="45">
        <f t="shared" si="92"/>
        <v>0</v>
      </c>
      <c r="AR726" s="45">
        <f t="shared" si="93"/>
        <v>0</v>
      </c>
      <c r="AS726" s="45">
        <f t="shared" si="94"/>
        <v>0</v>
      </c>
      <c r="AT726" s="45">
        <f t="shared" si="95"/>
        <v>0</v>
      </c>
      <c r="AU726" s="45" t="str">
        <f>_xlfn.XLOOKUP(U726,'Lista Suspensa'!$AA$20:$AA$23,'Lista Suspensa'!$AB$20:$AB$23,"N/A")</f>
        <v>S</v>
      </c>
    </row>
    <row r="727" spans="1:47" ht="12" hidden="1" customHeight="1" x14ac:dyDescent="0.3">
      <c r="A727" s="87" t="s">
        <v>67</v>
      </c>
      <c r="B727" s="88">
        <v>46148</v>
      </c>
      <c r="C727" s="89" t="s">
        <v>211</v>
      </c>
      <c r="D727" s="89" t="s">
        <v>49</v>
      </c>
      <c r="E727" s="90">
        <v>72318917</v>
      </c>
      <c r="F727" s="184" t="s">
        <v>2294</v>
      </c>
      <c r="G727" s="91">
        <v>33595330706</v>
      </c>
      <c r="H727" s="92">
        <v>19451</v>
      </c>
      <c r="I727" s="89">
        <v>73</v>
      </c>
      <c r="J727" s="89" t="s">
        <v>51</v>
      </c>
      <c r="K727" s="89" t="s">
        <v>88</v>
      </c>
      <c r="L727" s="89" t="s">
        <v>2295</v>
      </c>
      <c r="M727" s="89"/>
      <c r="N727" s="89">
        <v>400</v>
      </c>
      <c r="O727" s="93" t="s">
        <v>2296</v>
      </c>
      <c r="P727" s="94" t="s">
        <v>57</v>
      </c>
      <c r="Q727" s="112" t="s">
        <v>2211</v>
      </c>
      <c r="R727" s="95"/>
      <c r="S727" s="96">
        <v>46164</v>
      </c>
      <c r="T727" s="96" t="s">
        <v>2212</v>
      </c>
      <c r="U727" s="96" t="s">
        <v>79</v>
      </c>
      <c r="V727" s="92">
        <v>46150</v>
      </c>
      <c r="W727" s="92">
        <v>46154</v>
      </c>
      <c r="X727" s="92">
        <v>46160</v>
      </c>
      <c r="Y727" s="97"/>
      <c r="Z727" s="89"/>
      <c r="AA727" s="96"/>
      <c r="AB727" s="89"/>
      <c r="AC727" s="111"/>
      <c r="AD727" s="89"/>
      <c r="AE727" s="89"/>
      <c r="AF727" s="98"/>
      <c r="AG727" s="98"/>
      <c r="AH727" s="98"/>
      <c r="AI727" s="99" t="s">
        <v>197</v>
      </c>
      <c r="AJ727" s="99" t="s">
        <v>81</v>
      </c>
      <c r="AK727" s="99"/>
      <c r="AL727" s="45" t="s">
        <v>68</v>
      </c>
      <c r="AM727" s="162" t="str">
        <f t="shared" si="88"/>
        <v>5/2026</v>
      </c>
      <c r="AN727" s="45">
        <f t="shared" si="89"/>
        <v>2</v>
      </c>
      <c r="AO727" s="45" t="str">
        <f t="shared" si="90"/>
        <v>1/1900</v>
      </c>
      <c r="AP727" s="45" t="e">
        <f t="shared" si="91"/>
        <v>#NUM!</v>
      </c>
      <c r="AQ727" s="45">
        <f t="shared" si="92"/>
        <v>0</v>
      </c>
      <c r="AR727" s="45">
        <f t="shared" si="93"/>
        <v>0</v>
      </c>
      <c r="AS727" s="45">
        <f t="shared" si="94"/>
        <v>0</v>
      </c>
      <c r="AT727" s="45">
        <f t="shared" si="95"/>
        <v>0</v>
      </c>
      <c r="AU727" s="45" t="str">
        <f>_xlfn.XLOOKUP(U727,'Lista Suspensa'!$AA$20:$AA$23,'Lista Suspensa'!$AB$20:$AB$23,"N/A")</f>
        <v>S</v>
      </c>
    </row>
    <row r="728" spans="1:47" ht="12" hidden="1" customHeight="1" x14ac:dyDescent="0.3">
      <c r="A728" s="87" t="s">
        <v>47</v>
      </c>
      <c r="B728" s="88">
        <v>46090</v>
      </c>
      <c r="C728" s="89" t="s">
        <v>48</v>
      </c>
      <c r="D728" s="89" t="s">
        <v>49</v>
      </c>
      <c r="E728" s="90">
        <v>450399710</v>
      </c>
      <c r="F728" s="184" t="s">
        <v>2297</v>
      </c>
      <c r="G728" s="91">
        <v>13248005858</v>
      </c>
      <c r="H728" s="92">
        <v>21675</v>
      </c>
      <c r="I728" s="89">
        <v>67</v>
      </c>
      <c r="J728" s="89" t="s">
        <v>70</v>
      </c>
      <c r="K728" s="89" t="s">
        <v>52</v>
      </c>
      <c r="L728" s="89" t="s">
        <v>53</v>
      </c>
      <c r="M728" s="89" t="s">
        <v>195</v>
      </c>
      <c r="N728" s="89" t="s">
        <v>252</v>
      </c>
      <c r="O728" s="93" t="s">
        <v>2298</v>
      </c>
      <c r="P728" s="94" t="s">
        <v>57</v>
      </c>
      <c r="Q728" s="112" t="s">
        <v>2211</v>
      </c>
      <c r="R728" s="95"/>
      <c r="S728" s="96">
        <v>46164</v>
      </c>
      <c r="T728" s="96" t="s">
        <v>2212</v>
      </c>
      <c r="U728" s="96" t="s">
        <v>79</v>
      </c>
      <c r="V728" s="92">
        <v>46112</v>
      </c>
      <c r="W728" s="92">
        <v>46142</v>
      </c>
      <c r="X728" s="92">
        <v>46154</v>
      </c>
      <c r="Y728" s="97"/>
      <c r="Z728" s="89"/>
      <c r="AA728" s="96"/>
      <c r="AB728" s="89"/>
      <c r="AC728" s="111"/>
      <c r="AD728" s="89"/>
      <c r="AE728" s="89"/>
      <c r="AF728" s="98"/>
      <c r="AG728" s="98"/>
      <c r="AH728" s="98"/>
      <c r="AI728" s="99"/>
      <c r="AJ728" s="99"/>
      <c r="AK728" s="99"/>
      <c r="AL728" s="45" t="s">
        <v>68</v>
      </c>
      <c r="AM728" s="162" t="str">
        <f t="shared" si="88"/>
        <v>3/2026</v>
      </c>
      <c r="AN728" s="45">
        <f t="shared" si="89"/>
        <v>2</v>
      </c>
      <c r="AO728" s="45" t="str">
        <f t="shared" si="90"/>
        <v>1/1900</v>
      </c>
      <c r="AP728" s="45" t="e">
        <f t="shared" si="91"/>
        <v>#NUM!</v>
      </c>
      <c r="AQ728" s="45">
        <f t="shared" si="92"/>
        <v>0</v>
      </c>
      <c r="AR728" s="45">
        <f t="shared" si="93"/>
        <v>0</v>
      </c>
      <c r="AS728" s="45">
        <f t="shared" si="94"/>
        <v>0</v>
      </c>
      <c r="AT728" s="45">
        <f t="shared" si="95"/>
        <v>0</v>
      </c>
      <c r="AU728" s="45" t="str">
        <f>_xlfn.XLOOKUP(U728,'Lista Suspensa'!$AA$20:$AA$23,'Lista Suspensa'!$AB$20:$AB$23,"N/A")</f>
        <v>S</v>
      </c>
    </row>
    <row r="729" spans="1:47" ht="12" hidden="1" customHeight="1" x14ac:dyDescent="0.3">
      <c r="A729" s="87" t="s">
        <v>47</v>
      </c>
      <c r="B729" s="88">
        <v>46090</v>
      </c>
      <c r="C729" s="89" t="s">
        <v>48</v>
      </c>
      <c r="D729" s="89" t="s">
        <v>49</v>
      </c>
      <c r="E729" s="90">
        <v>758067682</v>
      </c>
      <c r="F729" s="184" t="s">
        <v>2299</v>
      </c>
      <c r="G729" s="91">
        <v>2941853723</v>
      </c>
      <c r="H729" s="92">
        <v>26262</v>
      </c>
      <c r="I729" s="89">
        <v>54</v>
      </c>
      <c r="J729" s="89" t="s">
        <v>51</v>
      </c>
      <c r="K729" s="89" t="s">
        <v>88</v>
      </c>
      <c r="L729" s="89" t="s">
        <v>89</v>
      </c>
      <c r="M729" s="89" t="s">
        <v>2300</v>
      </c>
      <c r="N729" s="89" t="s">
        <v>252</v>
      </c>
      <c r="O729" s="93" t="s">
        <v>2301</v>
      </c>
      <c r="P729" s="94" t="s">
        <v>57</v>
      </c>
      <c r="Q729" s="112" t="s">
        <v>2211</v>
      </c>
      <c r="R729" s="95"/>
      <c r="S729" s="96">
        <v>46164</v>
      </c>
      <c r="T729" s="96" t="s">
        <v>2212</v>
      </c>
      <c r="U729" s="96" t="s">
        <v>79</v>
      </c>
      <c r="V729" s="92">
        <v>46112</v>
      </c>
      <c r="W729" s="92">
        <v>46142</v>
      </c>
      <c r="X729" s="92">
        <v>46154</v>
      </c>
      <c r="Y729" s="97"/>
      <c r="Z729" s="89"/>
      <c r="AA729" s="96"/>
      <c r="AB729" s="89"/>
      <c r="AC729" s="111"/>
      <c r="AD729" s="89"/>
      <c r="AE729" s="89"/>
      <c r="AF729" s="98"/>
      <c r="AG729" s="98"/>
      <c r="AH729" s="98"/>
      <c r="AI729" s="99"/>
      <c r="AJ729" s="99"/>
      <c r="AK729" s="99"/>
      <c r="AL729" s="45" t="s">
        <v>68</v>
      </c>
      <c r="AM729" s="162" t="str">
        <f t="shared" si="88"/>
        <v>3/2026</v>
      </c>
      <c r="AN729" s="45">
        <f t="shared" si="89"/>
        <v>2</v>
      </c>
      <c r="AO729" s="45" t="str">
        <f t="shared" si="90"/>
        <v>1/1900</v>
      </c>
      <c r="AP729" s="45" t="e">
        <f t="shared" si="91"/>
        <v>#NUM!</v>
      </c>
      <c r="AQ729" s="45">
        <f t="shared" si="92"/>
        <v>0</v>
      </c>
      <c r="AR729" s="45">
        <f t="shared" si="93"/>
        <v>0</v>
      </c>
      <c r="AS729" s="45">
        <f t="shared" si="94"/>
        <v>0</v>
      </c>
      <c r="AT729" s="45">
        <f t="shared" si="95"/>
        <v>0</v>
      </c>
      <c r="AU729" s="45" t="str">
        <f>_xlfn.XLOOKUP(U729,'Lista Suspensa'!$AA$20:$AA$23,'Lista Suspensa'!$AB$20:$AB$23,"N/A")</f>
        <v>S</v>
      </c>
    </row>
    <row r="730" spans="1:47" ht="12" hidden="1" customHeight="1" x14ac:dyDescent="0.3">
      <c r="A730" s="87" t="s">
        <v>47</v>
      </c>
      <c r="B730" s="88">
        <v>46090</v>
      </c>
      <c r="C730" s="89" t="s">
        <v>48</v>
      </c>
      <c r="D730" s="89" t="s">
        <v>49</v>
      </c>
      <c r="E730" s="90">
        <v>87552777</v>
      </c>
      <c r="F730" s="184" t="s">
        <v>2302</v>
      </c>
      <c r="G730" s="91">
        <v>72820713734</v>
      </c>
      <c r="H730" s="92">
        <v>23067</v>
      </c>
      <c r="I730" s="89">
        <v>63</v>
      </c>
      <c r="J730" s="89" t="s">
        <v>51</v>
      </c>
      <c r="K730" s="89" t="s">
        <v>88</v>
      </c>
      <c r="L730" s="89" t="s">
        <v>89</v>
      </c>
      <c r="M730" s="89" t="s">
        <v>2171</v>
      </c>
      <c r="N730" s="89" t="s">
        <v>233</v>
      </c>
      <c r="O730" s="93" t="s">
        <v>2303</v>
      </c>
      <c r="P730" s="94" t="s">
        <v>57</v>
      </c>
      <c r="Q730" s="112" t="s">
        <v>2211</v>
      </c>
      <c r="R730" s="95"/>
      <c r="S730" s="96">
        <v>46164</v>
      </c>
      <c r="T730" s="96" t="s">
        <v>2212</v>
      </c>
      <c r="U730" s="96" t="s">
        <v>79</v>
      </c>
      <c r="V730" s="92">
        <v>46073</v>
      </c>
      <c r="W730" s="92">
        <v>46142</v>
      </c>
      <c r="X730" s="92">
        <v>46154</v>
      </c>
      <c r="Y730" s="97"/>
      <c r="Z730" s="89"/>
      <c r="AA730" s="96"/>
      <c r="AB730" s="89"/>
      <c r="AC730" s="111"/>
      <c r="AD730" s="89"/>
      <c r="AE730" s="89"/>
      <c r="AF730" s="98"/>
      <c r="AG730" s="98"/>
      <c r="AH730" s="98"/>
      <c r="AI730" s="99"/>
      <c r="AJ730" s="99"/>
      <c r="AK730" s="99"/>
      <c r="AL730" s="45" t="s">
        <v>68</v>
      </c>
      <c r="AM730" s="162" t="str">
        <f t="shared" si="88"/>
        <v>3/2026</v>
      </c>
      <c r="AN730" s="45">
        <f t="shared" si="89"/>
        <v>2</v>
      </c>
      <c r="AO730" s="45" t="str">
        <f t="shared" si="90"/>
        <v>1/1900</v>
      </c>
      <c r="AP730" s="45" t="e">
        <f t="shared" si="91"/>
        <v>#NUM!</v>
      </c>
      <c r="AQ730" s="45">
        <f t="shared" si="92"/>
        <v>0</v>
      </c>
      <c r="AR730" s="45">
        <f t="shared" si="93"/>
        <v>0</v>
      </c>
      <c r="AS730" s="45">
        <f t="shared" si="94"/>
        <v>0</v>
      </c>
      <c r="AT730" s="45">
        <f t="shared" si="95"/>
        <v>0</v>
      </c>
      <c r="AU730" s="45" t="str">
        <f>_xlfn.XLOOKUP(U730,'Lista Suspensa'!$AA$20:$AA$23,'Lista Suspensa'!$AB$20:$AB$23,"N/A")</f>
        <v>S</v>
      </c>
    </row>
    <row r="731" spans="1:47" ht="12" hidden="1" customHeight="1" x14ac:dyDescent="0.3">
      <c r="A731" s="87" t="s">
        <v>47</v>
      </c>
      <c r="B731" s="88">
        <v>46090</v>
      </c>
      <c r="C731" s="89" t="s">
        <v>48</v>
      </c>
      <c r="D731" s="89" t="s">
        <v>49</v>
      </c>
      <c r="E731" s="90">
        <v>751507296</v>
      </c>
      <c r="F731" s="184" t="s">
        <v>2304</v>
      </c>
      <c r="G731" s="91">
        <v>46108980710</v>
      </c>
      <c r="H731" s="92">
        <v>19356</v>
      </c>
      <c r="I731" s="89">
        <v>73</v>
      </c>
      <c r="J731" s="89" t="s">
        <v>51</v>
      </c>
      <c r="K731" s="89" t="s">
        <v>88</v>
      </c>
      <c r="L731" s="89" t="s">
        <v>89</v>
      </c>
      <c r="M731" s="89" t="s">
        <v>240</v>
      </c>
      <c r="N731" s="89" t="s">
        <v>91</v>
      </c>
      <c r="O731" s="93" t="s">
        <v>2305</v>
      </c>
      <c r="P731" s="94" t="s">
        <v>57</v>
      </c>
      <c r="Q731" s="112" t="s">
        <v>2211</v>
      </c>
      <c r="R731" s="95"/>
      <c r="S731" s="96">
        <v>46164</v>
      </c>
      <c r="T731" s="96" t="s">
        <v>2212</v>
      </c>
      <c r="U731" s="96" t="s">
        <v>79</v>
      </c>
      <c r="V731" s="92">
        <v>46112</v>
      </c>
      <c r="W731" s="92">
        <v>46142</v>
      </c>
      <c r="X731" s="92">
        <v>46154</v>
      </c>
      <c r="Y731" s="97"/>
      <c r="Z731" s="89"/>
      <c r="AA731" s="96"/>
      <c r="AB731" s="89"/>
      <c r="AC731" s="111"/>
      <c r="AD731" s="89"/>
      <c r="AE731" s="89"/>
      <c r="AF731" s="98"/>
      <c r="AG731" s="98"/>
      <c r="AH731" s="98"/>
      <c r="AI731" s="99"/>
      <c r="AJ731" s="99"/>
      <c r="AK731" s="99"/>
      <c r="AL731" s="45" t="s">
        <v>68</v>
      </c>
      <c r="AM731" s="162" t="str">
        <f t="shared" si="88"/>
        <v>3/2026</v>
      </c>
      <c r="AN731" s="45">
        <f t="shared" si="89"/>
        <v>2</v>
      </c>
      <c r="AO731" s="45" t="str">
        <f t="shared" si="90"/>
        <v>1/1900</v>
      </c>
      <c r="AP731" s="45" t="e">
        <f t="shared" si="91"/>
        <v>#NUM!</v>
      </c>
      <c r="AQ731" s="45">
        <f t="shared" si="92"/>
        <v>0</v>
      </c>
      <c r="AR731" s="45">
        <f t="shared" si="93"/>
        <v>0</v>
      </c>
      <c r="AS731" s="45">
        <f t="shared" si="94"/>
        <v>0</v>
      </c>
      <c r="AT731" s="45">
        <f t="shared" si="95"/>
        <v>0</v>
      </c>
      <c r="AU731" s="45" t="str">
        <f>_xlfn.XLOOKUP(U731,'Lista Suspensa'!$AA$20:$AA$23,'Lista Suspensa'!$AB$20:$AB$23,"N/A")</f>
        <v>S</v>
      </c>
    </row>
    <row r="732" spans="1:47" ht="12" hidden="1" customHeight="1" x14ac:dyDescent="0.3">
      <c r="A732" s="87" t="s">
        <v>47</v>
      </c>
      <c r="B732" s="88">
        <v>46090</v>
      </c>
      <c r="C732" s="89" t="s">
        <v>48</v>
      </c>
      <c r="D732" s="89" t="s">
        <v>49</v>
      </c>
      <c r="E732" s="90">
        <v>743893344</v>
      </c>
      <c r="F732" s="184" t="s">
        <v>2306</v>
      </c>
      <c r="G732" s="91">
        <v>72230150715</v>
      </c>
      <c r="H732" s="92">
        <v>22119</v>
      </c>
      <c r="I732" s="89">
        <v>65</v>
      </c>
      <c r="J732" s="89" t="s">
        <v>70</v>
      </c>
      <c r="K732" s="89" t="s">
        <v>88</v>
      </c>
      <c r="L732" s="89" t="s">
        <v>89</v>
      </c>
      <c r="M732" s="89" t="s">
        <v>957</v>
      </c>
      <c r="N732" s="89" t="s">
        <v>237</v>
      </c>
      <c r="O732" s="93" t="s">
        <v>2307</v>
      </c>
      <c r="P732" s="94" t="s">
        <v>57</v>
      </c>
      <c r="Q732" s="112" t="s">
        <v>2211</v>
      </c>
      <c r="R732" s="95"/>
      <c r="S732" s="96">
        <v>46164</v>
      </c>
      <c r="T732" s="96" t="s">
        <v>2212</v>
      </c>
      <c r="U732" s="96" t="s">
        <v>79</v>
      </c>
      <c r="V732" s="92">
        <v>46112</v>
      </c>
      <c r="W732" s="92">
        <v>46140</v>
      </c>
      <c r="X732" s="92">
        <v>46154</v>
      </c>
      <c r="Y732" s="97"/>
      <c r="Z732" s="89"/>
      <c r="AA732" s="96"/>
      <c r="AB732" s="89"/>
      <c r="AC732" s="111"/>
      <c r="AD732" s="89"/>
      <c r="AE732" s="89"/>
      <c r="AF732" s="98"/>
      <c r="AG732" s="98"/>
      <c r="AH732" s="98"/>
      <c r="AI732" s="99"/>
      <c r="AJ732" s="99"/>
      <c r="AK732" s="99"/>
      <c r="AL732" s="45" t="s">
        <v>68</v>
      </c>
      <c r="AM732" s="162" t="str">
        <f t="shared" si="88"/>
        <v>3/2026</v>
      </c>
      <c r="AN732" s="45">
        <f t="shared" si="89"/>
        <v>2</v>
      </c>
      <c r="AO732" s="45" t="str">
        <f t="shared" si="90"/>
        <v>1/1900</v>
      </c>
      <c r="AP732" s="45" t="e">
        <f t="shared" si="91"/>
        <v>#NUM!</v>
      </c>
      <c r="AQ732" s="45">
        <f t="shared" si="92"/>
        <v>0</v>
      </c>
      <c r="AR732" s="45">
        <f t="shared" si="93"/>
        <v>0</v>
      </c>
      <c r="AS732" s="45">
        <f t="shared" si="94"/>
        <v>0</v>
      </c>
      <c r="AT732" s="45">
        <f t="shared" si="95"/>
        <v>0</v>
      </c>
      <c r="AU732" s="45" t="str">
        <f>_xlfn.XLOOKUP(U732,'Lista Suspensa'!$AA$20:$AA$23,'Lista Suspensa'!$AB$20:$AB$23,"N/A")</f>
        <v>S</v>
      </c>
    </row>
    <row r="733" spans="1:47" ht="12" hidden="1" customHeight="1" x14ac:dyDescent="0.3">
      <c r="A733" s="87" t="s">
        <v>47</v>
      </c>
      <c r="B733" s="88">
        <v>46090</v>
      </c>
      <c r="C733" s="89" t="s">
        <v>48</v>
      </c>
      <c r="D733" s="89" t="s">
        <v>49</v>
      </c>
      <c r="E733" s="90">
        <v>745437176</v>
      </c>
      <c r="F733" s="184" t="s">
        <v>2308</v>
      </c>
      <c r="G733" s="91">
        <v>56499698768</v>
      </c>
      <c r="H733" s="92">
        <v>21680</v>
      </c>
      <c r="I733" s="89">
        <v>67</v>
      </c>
      <c r="J733" s="89" t="s">
        <v>70</v>
      </c>
      <c r="K733" s="89" t="s">
        <v>88</v>
      </c>
      <c r="L733" s="89" t="s">
        <v>89</v>
      </c>
      <c r="M733" s="89" t="s">
        <v>1481</v>
      </c>
      <c r="N733" s="89" t="s">
        <v>237</v>
      </c>
      <c r="O733" s="93" t="s">
        <v>2309</v>
      </c>
      <c r="P733" s="94" t="s">
        <v>57</v>
      </c>
      <c r="Q733" s="112" t="s">
        <v>2211</v>
      </c>
      <c r="R733" s="95"/>
      <c r="S733" s="96">
        <v>46164</v>
      </c>
      <c r="T733" s="96" t="s">
        <v>2212</v>
      </c>
      <c r="U733" s="96" t="s">
        <v>79</v>
      </c>
      <c r="V733" s="92">
        <v>46112</v>
      </c>
      <c r="W733" s="92">
        <v>46154</v>
      </c>
      <c r="X733" s="92">
        <v>46160</v>
      </c>
      <c r="Y733" s="97"/>
      <c r="Z733" s="89"/>
      <c r="AA733" s="96"/>
      <c r="AB733" s="89"/>
      <c r="AC733" s="111"/>
      <c r="AD733" s="89"/>
      <c r="AE733" s="89"/>
      <c r="AF733" s="98"/>
      <c r="AG733" s="98"/>
      <c r="AH733" s="98"/>
      <c r="AI733" s="99"/>
      <c r="AJ733" s="99"/>
      <c r="AK733" s="99"/>
      <c r="AL733" s="45" t="s">
        <v>68</v>
      </c>
      <c r="AM733" s="162" t="str">
        <f t="shared" si="88"/>
        <v>3/2026</v>
      </c>
      <c r="AN733" s="45">
        <f t="shared" si="89"/>
        <v>2</v>
      </c>
      <c r="AO733" s="45" t="str">
        <f t="shared" si="90"/>
        <v>1/1900</v>
      </c>
      <c r="AP733" s="45" t="e">
        <f t="shared" si="91"/>
        <v>#NUM!</v>
      </c>
      <c r="AQ733" s="45">
        <f t="shared" si="92"/>
        <v>0</v>
      </c>
      <c r="AR733" s="45">
        <f t="shared" si="93"/>
        <v>0</v>
      </c>
      <c r="AS733" s="45">
        <f t="shared" si="94"/>
        <v>0</v>
      </c>
      <c r="AT733" s="45">
        <f t="shared" si="95"/>
        <v>0</v>
      </c>
      <c r="AU733" s="45" t="str">
        <f>_xlfn.XLOOKUP(U733,'Lista Suspensa'!$AA$20:$AA$23,'Lista Suspensa'!$AB$20:$AB$23,"N/A")</f>
        <v>S</v>
      </c>
    </row>
    <row r="734" spans="1:47" ht="12" hidden="1" customHeight="1" x14ac:dyDescent="0.3">
      <c r="A734" s="87" t="s">
        <v>47</v>
      </c>
      <c r="B734" s="88">
        <v>46090</v>
      </c>
      <c r="C734" s="89" t="s">
        <v>48</v>
      </c>
      <c r="D734" s="89" t="s">
        <v>49</v>
      </c>
      <c r="E734" s="90">
        <v>436042843</v>
      </c>
      <c r="F734" s="184" t="s">
        <v>2310</v>
      </c>
      <c r="G734" s="91">
        <v>88317331768</v>
      </c>
      <c r="H734" s="92">
        <v>18421</v>
      </c>
      <c r="I734" s="89">
        <v>75</v>
      </c>
      <c r="J734" s="89" t="s">
        <v>70</v>
      </c>
      <c r="K734" s="89" t="s">
        <v>88</v>
      </c>
      <c r="L734" s="89" t="s">
        <v>89</v>
      </c>
      <c r="M734" s="89" t="s">
        <v>626</v>
      </c>
      <c r="N734" s="89" t="s">
        <v>237</v>
      </c>
      <c r="O734" s="93" t="s">
        <v>2311</v>
      </c>
      <c r="P734" s="94" t="s">
        <v>57</v>
      </c>
      <c r="Q734" s="112" t="s">
        <v>2211</v>
      </c>
      <c r="R734" s="95"/>
      <c r="S734" s="96">
        <v>46164</v>
      </c>
      <c r="T734" s="96" t="s">
        <v>2212</v>
      </c>
      <c r="U734" s="96" t="s">
        <v>79</v>
      </c>
      <c r="V734" s="92">
        <v>46112</v>
      </c>
      <c r="W734" s="92">
        <v>46142</v>
      </c>
      <c r="X734" s="92">
        <v>46154</v>
      </c>
      <c r="Y734" s="97"/>
      <c r="Z734" s="89"/>
      <c r="AA734" s="96"/>
      <c r="AB734" s="89"/>
      <c r="AC734" s="111"/>
      <c r="AD734" s="89"/>
      <c r="AE734" s="89"/>
      <c r="AF734" s="98"/>
      <c r="AG734" s="98"/>
      <c r="AH734" s="98"/>
      <c r="AI734" s="99"/>
      <c r="AJ734" s="99"/>
      <c r="AK734" s="99"/>
      <c r="AL734" s="45" t="s">
        <v>68</v>
      </c>
      <c r="AM734" s="162" t="str">
        <f t="shared" si="88"/>
        <v>3/2026</v>
      </c>
      <c r="AN734" s="45">
        <f t="shared" si="89"/>
        <v>2</v>
      </c>
      <c r="AO734" s="45" t="str">
        <f t="shared" si="90"/>
        <v>1/1900</v>
      </c>
      <c r="AP734" s="45" t="e">
        <f t="shared" si="91"/>
        <v>#NUM!</v>
      </c>
      <c r="AQ734" s="45">
        <f t="shared" si="92"/>
        <v>0</v>
      </c>
      <c r="AR734" s="45">
        <f t="shared" si="93"/>
        <v>0</v>
      </c>
      <c r="AS734" s="45">
        <f t="shared" si="94"/>
        <v>0</v>
      </c>
      <c r="AT734" s="45">
        <f t="shared" si="95"/>
        <v>0</v>
      </c>
      <c r="AU734" s="45" t="str">
        <f>_xlfn.XLOOKUP(U734,'Lista Suspensa'!$AA$20:$AA$23,'Lista Suspensa'!$AB$20:$AB$23,"N/A")</f>
        <v>S</v>
      </c>
    </row>
    <row r="735" spans="1:47" ht="12" hidden="1" customHeight="1" x14ac:dyDescent="0.3">
      <c r="A735" s="87" t="s">
        <v>47</v>
      </c>
      <c r="B735" s="88">
        <v>46090</v>
      </c>
      <c r="C735" s="89" t="s">
        <v>48</v>
      </c>
      <c r="D735" s="89" t="s">
        <v>49</v>
      </c>
      <c r="E735" s="90">
        <v>82839098</v>
      </c>
      <c r="F735" s="184" t="s">
        <v>2312</v>
      </c>
      <c r="G735" s="91">
        <v>14216185835</v>
      </c>
      <c r="H735" s="92">
        <v>26896</v>
      </c>
      <c r="I735" s="89">
        <v>52</v>
      </c>
      <c r="J735" s="89" t="s">
        <v>70</v>
      </c>
      <c r="K735" s="89" t="s">
        <v>52</v>
      </c>
      <c r="L735" s="89" t="s">
        <v>53</v>
      </c>
      <c r="M735" s="89" t="s">
        <v>2313</v>
      </c>
      <c r="N735" s="89" t="s">
        <v>102</v>
      </c>
      <c r="O735" s="93" t="s">
        <v>2314</v>
      </c>
      <c r="P735" s="94" t="s">
        <v>57</v>
      </c>
      <c r="Q735" s="112" t="s">
        <v>2211</v>
      </c>
      <c r="R735" s="95"/>
      <c r="S735" s="96">
        <v>46164</v>
      </c>
      <c r="T735" s="96" t="s">
        <v>2212</v>
      </c>
      <c r="U735" s="96" t="s">
        <v>79</v>
      </c>
      <c r="V735" s="92">
        <v>46073</v>
      </c>
      <c r="W735" s="92">
        <v>46142</v>
      </c>
      <c r="X735" s="92">
        <v>46154</v>
      </c>
      <c r="Y735" s="97"/>
      <c r="Z735" s="89"/>
      <c r="AA735" s="96"/>
      <c r="AB735" s="89"/>
      <c r="AC735" s="111"/>
      <c r="AD735" s="89"/>
      <c r="AE735" s="89"/>
      <c r="AF735" s="98"/>
      <c r="AG735" s="98"/>
      <c r="AH735" s="98"/>
      <c r="AI735" s="99"/>
      <c r="AJ735" s="99"/>
      <c r="AK735" s="99"/>
      <c r="AL735" s="45" t="s">
        <v>68</v>
      </c>
      <c r="AM735" s="162" t="str">
        <f t="shared" si="88"/>
        <v>3/2026</v>
      </c>
      <c r="AN735" s="45">
        <f t="shared" si="89"/>
        <v>2</v>
      </c>
      <c r="AO735" s="45" t="str">
        <f t="shared" si="90"/>
        <v>1/1900</v>
      </c>
      <c r="AP735" s="45" t="e">
        <f t="shared" si="91"/>
        <v>#NUM!</v>
      </c>
      <c r="AQ735" s="45">
        <f t="shared" si="92"/>
        <v>0</v>
      </c>
      <c r="AR735" s="45">
        <f t="shared" si="93"/>
        <v>0</v>
      </c>
      <c r="AS735" s="45">
        <f t="shared" si="94"/>
        <v>0</v>
      </c>
      <c r="AT735" s="45">
        <f t="shared" si="95"/>
        <v>0</v>
      </c>
      <c r="AU735" s="45" t="str">
        <f>_xlfn.XLOOKUP(U735,'Lista Suspensa'!$AA$20:$AA$23,'Lista Suspensa'!$AB$20:$AB$23,"N/A")</f>
        <v>S</v>
      </c>
    </row>
    <row r="736" spans="1:47" ht="12" hidden="1" customHeight="1" x14ac:dyDescent="0.3">
      <c r="A736" s="87" t="s">
        <v>47</v>
      </c>
      <c r="B736" s="88">
        <v>46090</v>
      </c>
      <c r="C736" s="89" t="s">
        <v>48</v>
      </c>
      <c r="D736" s="89" t="s">
        <v>49</v>
      </c>
      <c r="E736" s="90">
        <v>451606183</v>
      </c>
      <c r="F736" s="184" t="s">
        <v>2315</v>
      </c>
      <c r="G736" s="91">
        <v>87665646891</v>
      </c>
      <c r="H736" s="92">
        <v>19445</v>
      </c>
      <c r="I736" s="89">
        <v>73</v>
      </c>
      <c r="J736" s="89" t="s">
        <v>51</v>
      </c>
      <c r="K736" s="89" t="s">
        <v>52</v>
      </c>
      <c r="L736" s="89" t="s">
        <v>53</v>
      </c>
      <c r="M736" s="89" t="s">
        <v>535</v>
      </c>
      <c r="N736" s="89" t="s">
        <v>72</v>
      </c>
      <c r="O736" s="93" t="s">
        <v>2316</v>
      </c>
      <c r="P736" s="94" t="s">
        <v>57</v>
      </c>
      <c r="Q736" s="112" t="s">
        <v>2211</v>
      </c>
      <c r="R736" s="95"/>
      <c r="S736" s="96">
        <v>46164</v>
      </c>
      <c r="T736" s="96" t="s">
        <v>2212</v>
      </c>
      <c r="U736" s="96" t="s">
        <v>79</v>
      </c>
      <c r="V736" s="92">
        <v>46112</v>
      </c>
      <c r="W736" s="92">
        <v>46142</v>
      </c>
      <c r="X736" s="92">
        <v>46154</v>
      </c>
      <c r="Y736" s="97"/>
      <c r="Z736" s="89"/>
      <c r="AA736" s="96"/>
      <c r="AB736" s="89"/>
      <c r="AC736" s="111"/>
      <c r="AD736" s="89"/>
      <c r="AE736" s="89"/>
      <c r="AF736" s="98"/>
      <c r="AG736" s="98"/>
      <c r="AH736" s="98"/>
      <c r="AI736" s="99"/>
      <c r="AJ736" s="99"/>
      <c r="AK736" s="99"/>
      <c r="AL736" s="45" t="s">
        <v>68</v>
      </c>
      <c r="AM736" s="162" t="str">
        <f t="shared" si="88"/>
        <v>3/2026</v>
      </c>
      <c r="AN736" s="45">
        <f t="shared" si="89"/>
        <v>2</v>
      </c>
      <c r="AO736" s="45" t="str">
        <f t="shared" si="90"/>
        <v>1/1900</v>
      </c>
      <c r="AP736" s="45" t="e">
        <f t="shared" si="91"/>
        <v>#NUM!</v>
      </c>
      <c r="AQ736" s="45">
        <f t="shared" si="92"/>
        <v>0</v>
      </c>
      <c r="AR736" s="45">
        <f t="shared" si="93"/>
        <v>0</v>
      </c>
      <c r="AS736" s="45">
        <f t="shared" si="94"/>
        <v>0</v>
      </c>
      <c r="AT736" s="45">
        <f t="shared" si="95"/>
        <v>0</v>
      </c>
      <c r="AU736" s="45" t="str">
        <f>_xlfn.XLOOKUP(U736,'Lista Suspensa'!$AA$20:$AA$23,'Lista Suspensa'!$AB$20:$AB$23,"N/A")</f>
        <v>S</v>
      </c>
    </row>
    <row r="737" spans="1:47" ht="12" hidden="1" customHeight="1" x14ac:dyDescent="0.3">
      <c r="A737" s="87" t="s">
        <v>47</v>
      </c>
      <c r="B737" s="88">
        <v>46090</v>
      </c>
      <c r="C737" s="89" t="s">
        <v>48</v>
      </c>
      <c r="D737" s="89" t="s">
        <v>49</v>
      </c>
      <c r="E737" s="90">
        <v>451788079</v>
      </c>
      <c r="F737" s="184" t="s">
        <v>2317</v>
      </c>
      <c r="G737" s="91">
        <v>42155436815</v>
      </c>
      <c r="H737" s="92">
        <v>18848</v>
      </c>
      <c r="I737" s="89">
        <v>74</v>
      </c>
      <c r="J737" s="89" t="s">
        <v>70</v>
      </c>
      <c r="K737" s="89" t="s">
        <v>52</v>
      </c>
      <c r="L737" s="89" t="s">
        <v>53</v>
      </c>
      <c r="M737" s="89" t="s">
        <v>795</v>
      </c>
      <c r="N737" s="89" t="s">
        <v>72</v>
      </c>
      <c r="O737" s="93" t="s">
        <v>2318</v>
      </c>
      <c r="P737" s="94" t="s">
        <v>57</v>
      </c>
      <c r="Q737" s="112" t="s">
        <v>2211</v>
      </c>
      <c r="R737" s="95"/>
      <c r="S737" s="96">
        <v>46164</v>
      </c>
      <c r="T737" s="96" t="s">
        <v>2212</v>
      </c>
      <c r="U737" s="96" t="s">
        <v>79</v>
      </c>
      <c r="V737" s="92">
        <v>46112</v>
      </c>
      <c r="W737" s="92">
        <v>46142</v>
      </c>
      <c r="X737" s="92">
        <v>46154</v>
      </c>
      <c r="Y737" s="97"/>
      <c r="Z737" s="89"/>
      <c r="AA737" s="96"/>
      <c r="AB737" s="89"/>
      <c r="AC737" s="111"/>
      <c r="AD737" s="89"/>
      <c r="AE737" s="89"/>
      <c r="AF737" s="98"/>
      <c r="AG737" s="98"/>
      <c r="AH737" s="98"/>
      <c r="AI737" s="99"/>
      <c r="AJ737" s="99"/>
      <c r="AK737" s="99"/>
      <c r="AL737" s="45" t="s">
        <v>68</v>
      </c>
      <c r="AM737" s="162" t="str">
        <f t="shared" si="88"/>
        <v>3/2026</v>
      </c>
      <c r="AN737" s="45">
        <f t="shared" si="89"/>
        <v>2</v>
      </c>
      <c r="AO737" s="45" t="str">
        <f t="shared" si="90"/>
        <v>1/1900</v>
      </c>
      <c r="AP737" s="45" t="e">
        <f t="shared" si="91"/>
        <v>#NUM!</v>
      </c>
      <c r="AQ737" s="45">
        <f t="shared" si="92"/>
        <v>0</v>
      </c>
      <c r="AR737" s="45">
        <f t="shared" si="93"/>
        <v>0</v>
      </c>
      <c r="AS737" s="45">
        <f t="shared" si="94"/>
        <v>0</v>
      </c>
      <c r="AT737" s="45">
        <f t="shared" si="95"/>
        <v>0</v>
      </c>
      <c r="AU737" s="45" t="str">
        <f>_xlfn.XLOOKUP(U737,'Lista Suspensa'!$AA$20:$AA$23,'Lista Suspensa'!$AB$20:$AB$23,"N/A")</f>
        <v>S</v>
      </c>
    </row>
    <row r="738" spans="1:47" ht="12" hidden="1" customHeight="1" x14ac:dyDescent="0.3">
      <c r="A738" s="87" t="s">
        <v>47</v>
      </c>
      <c r="B738" s="88">
        <v>46090</v>
      </c>
      <c r="C738" s="89" t="s">
        <v>48</v>
      </c>
      <c r="D738" s="89" t="s">
        <v>49</v>
      </c>
      <c r="E738" s="90">
        <v>82669529</v>
      </c>
      <c r="F738" s="184" t="s">
        <v>2319</v>
      </c>
      <c r="G738" s="91">
        <v>91324556820</v>
      </c>
      <c r="H738" s="92">
        <v>21957</v>
      </c>
      <c r="I738" s="89">
        <v>66</v>
      </c>
      <c r="J738" s="89" t="s">
        <v>51</v>
      </c>
      <c r="K738" s="89" t="s">
        <v>52</v>
      </c>
      <c r="L738" s="89" t="s">
        <v>53</v>
      </c>
      <c r="M738" s="89" t="s">
        <v>2320</v>
      </c>
      <c r="N738" s="89" t="s">
        <v>121</v>
      </c>
      <c r="O738" s="93" t="s">
        <v>2321</v>
      </c>
      <c r="P738" s="94" t="s">
        <v>57</v>
      </c>
      <c r="Q738" s="112" t="s">
        <v>2211</v>
      </c>
      <c r="R738" s="95"/>
      <c r="S738" s="96">
        <v>46164</v>
      </c>
      <c r="T738" s="96" t="s">
        <v>2212</v>
      </c>
      <c r="U738" s="96" t="s">
        <v>79</v>
      </c>
      <c r="V738" s="92">
        <v>46073</v>
      </c>
      <c r="W738" s="92">
        <v>46142</v>
      </c>
      <c r="X738" s="92">
        <v>46154</v>
      </c>
      <c r="Y738" s="97"/>
      <c r="Z738" s="89"/>
      <c r="AA738" s="96"/>
      <c r="AB738" s="89"/>
      <c r="AC738" s="111"/>
      <c r="AD738" s="89"/>
      <c r="AE738" s="89"/>
      <c r="AF738" s="98"/>
      <c r="AG738" s="98"/>
      <c r="AH738" s="98"/>
      <c r="AI738" s="99"/>
      <c r="AJ738" s="99"/>
      <c r="AK738" s="99"/>
      <c r="AL738" s="45" t="s">
        <v>68</v>
      </c>
      <c r="AM738" s="162" t="str">
        <f t="shared" si="88"/>
        <v>3/2026</v>
      </c>
      <c r="AN738" s="45">
        <f t="shared" si="89"/>
        <v>2</v>
      </c>
      <c r="AO738" s="45" t="str">
        <f t="shared" si="90"/>
        <v>1/1900</v>
      </c>
      <c r="AP738" s="45" t="e">
        <f t="shared" si="91"/>
        <v>#NUM!</v>
      </c>
      <c r="AQ738" s="45">
        <f t="shared" si="92"/>
        <v>0</v>
      </c>
      <c r="AR738" s="45">
        <f t="shared" si="93"/>
        <v>0</v>
      </c>
      <c r="AS738" s="45">
        <f t="shared" si="94"/>
        <v>0</v>
      </c>
      <c r="AT738" s="45">
        <f t="shared" si="95"/>
        <v>0</v>
      </c>
      <c r="AU738" s="45" t="str">
        <f>_xlfn.XLOOKUP(U738,'Lista Suspensa'!$AA$20:$AA$23,'Lista Suspensa'!$AB$20:$AB$23,"N/A")</f>
        <v>S</v>
      </c>
    </row>
    <row r="739" spans="1:47" ht="12" hidden="1" customHeight="1" x14ac:dyDescent="0.3">
      <c r="A739" s="87" t="s">
        <v>47</v>
      </c>
      <c r="B739" s="88">
        <v>46090</v>
      </c>
      <c r="C739" s="89" t="s">
        <v>48</v>
      </c>
      <c r="D739" s="89" t="s">
        <v>49</v>
      </c>
      <c r="E739" s="90">
        <v>73518870</v>
      </c>
      <c r="F739" s="184" t="s">
        <v>2322</v>
      </c>
      <c r="G739" s="91">
        <v>69971250772</v>
      </c>
      <c r="H739" s="92">
        <v>21570</v>
      </c>
      <c r="I739" s="89">
        <v>67</v>
      </c>
      <c r="J739" s="89" t="s">
        <v>51</v>
      </c>
      <c r="K739" s="89" t="s">
        <v>88</v>
      </c>
      <c r="L739" s="89" t="s">
        <v>97</v>
      </c>
      <c r="M739" s="89" t="s">
        <v>2323</v>
      </c>
      <c r="N739" s="89" t="s">
        <v>130</v>
      </c>
      <c r="O739" s="93" t="s">
        <v>2324</v>
      </c>
      <c r="P739" s="94" t="s">
        <v>57</v>
      </c>
      <c r="Q739" s="112" t="s">
        <v>2211</v>
      </c>
      <c r="R739" s="95"/>
      <c r="S739" s="96">
        <v>46164</v>
      </c>
      <c r="T739" s="96" t="s">
        <v>2212</v>
      </c>
      <c r="U739" s="96" t="s">
        <v>79</v>
      </c>
      <c r="V739" s="92">
        <v>46073</v>
      </c>
      <c r="W739" s="92">
        <v>46142</v>
      </c>
      <c r="X739" s="92">
        <v>46154</v>
      </c>
      <c r="Y739" s="97"/>
      <c r="Z739" s="89"/>
      <c r="AA739" s="96"/>
      <c r="AB739" s="89"/>
      <c r="AC739" s="111"/>
      <c r="AD739" s="89"/>
      <c r="AE739" s="89"/>
      <c r="AF739" s="98"/>
      <c r="AG739" s="98"/>
      <c r="AH739" s="98"/>
      <c r="AI739" s="99"/>
      <c r="AJ739" s="99"/>
      <c r="AK739" s="99"/>
      <c r="AL739" s="45" t="s">
        <v>68</v>
      </c>
      <c r="AM739" s="162" t="str">
        <f t="shared" si="88"/>
        <v>3/2026</v>
      </c>
      <c r="AN739" s="45">
        <f t="shared" si="89"/>
        <v>2</v>
      </c>
      <c r="AO739" s="45" t="str">
        <f t="shared" si="90"/>
        <v>1/1900</v>
      </c>
      <c r="AP739" s="45" t="e">
        <f t="shared" si="91"/>
        <v>#NUM!</v>
      </c>
      <c r="AQ739" s="45">
        <f t="shared" si="92"/>
        <v>0</v>
      </c>
      <c r="AR739" s="45">
        <f t="shared" si="93"/>
        <v>0</v>
      </c>
      <c r="AS739" s="45">
        <f t="shared" si="94"/>
        <v>0</v>
      </c>
      <c r="AT739" s="45">
        <f t="shared" si="95"/>
        <v>0</v>
      </c>
      <c r="AU739" s="45" t="str">
        <f>_xlfn.XLOOKUP(U739,'Lista Suspensa'!$AA$20:$AA$23,'Lista Suspensa'!$AB$20:$AB$23,"N/A")</f>
        <v>S</v>
      </c>
    </row>
    <row r="740" spans="1:47" ht="12" hidden="1" customHeight="1" x14ac:dyDescent="0.3">
      <c r="A740" s="87" t="s">
        <v>47</v>
      </c>
      <c r="B740" s="88">
        <v>46090</v>
      </c>
      <c r="C740" s="89" t="s">
        <v>48</v>
      </c>
      <c r="D740" s="89" t="s">
        <v>49</v>
      </c>
      <c r="E740" s="90">
        <v>594100801</v>
      </c>
      <c r="F740" s="184" t="s">
        <v>2325</v>
      </c>
      <c r="G740" s="91">
        <v>99635593872</v>
      </c>
      <c r="H740" s="92">
        <v>19610</v>
      </c>
      <c r="I740" s="89">
        <v>72</v>
      </c>
      <c r="J740" s="89" t="s">
        <v>70</v>
      </c>
      <c r="K740" s="89" t="s">
        <v>52</v>
      </c>
      <c r="L740" s="89" t="s">
        <v>331</v>
      </c>
      <c r="M740" s="89" t="s">
        <v>1531</v>
      </c>
      <c r="N740" s="89" t="s">
        <v>130</v>
      </c>
      <c r="O740" s="93" t="s">
        <v>2326</v>
      </c>
      <c r="P740" s="94" t="s">
        <v>57</v>
      </c>
      <c r="Q740" s="112" t="s">
        <v>2211</v>
      </c>
      <c r="R740" s="95"/>
      <c r="S740" s="96">
        <v>46164</v>
      </c>
      <c r="T740" s="96" t="s">
        <v>2212</v>
      </c>
      <c r="U740" s="96" t="s">
        <v>79</v>
      </c>
      <c r="V740" s="92">
        <v>46112</v>
      </c>
      <c r="W740" s="92">
        <v>46142</v>
      </c>
      <c r="X740" s="92">
        <v>46154</v>
      </c>
      <c r="Y740" s="97"/>
      <c r="Z740" s="89"/>
      <c r="AA740" s="96"/>
      <c r="AB740" s="89"/>
      <c r="AC740" s="111"/>
      <c r="AD740" s="89"/>
      <c r="AE740" s="89"/>
      <c r="AF740" s="98"/>
      <c r="AG740" s="98"/>
      <c r="AH740" s="98"/>
      <c r="AI740" s="99"/>
      <c r="AJ740" s="99"/>
      <c r="AK740" s="99"/>
      <c r="AL740" s="45" t="s">
        <v>68</v>
      </c>
      <c r="AM740" s="162" t="str">
        <f t="shared" si="88"/>
        <v>3/2026</v>
      </c>
      <c r="AN740" s="45">
        <f t="shared" si="89"/>
        <v>2</v>
      </c>
      <c r="AO740" s="45" t="str">
        <f t="shared" si="90"/>
        <v>1/1900</v>
      </c>
      <c r="AP740" s="45" t="e">
        <f t="shared" si="91"/>
        <v>#NUM!</v>
      </c>
      <c r="AQ740" s="45">
        <f t="shared" si="92"/>
        <v>0</v>
      </c>
      <c r="AR740" s="45">
        <f t="shared" si="93"/>
        <v>0</v>
      </c>
      <c r="AS740" s="45">
        <f t="shared" si="94"/>
        <v>0</v>
      </c>
      <c r="AT740" s="45">
        <f t="shared" si="95"/>
        <v>0</v>
      </c>
      <c r="AU740" s="45" t="str">
        <f>_xlfn.XLOOKUP(U740,'Lista Suspensa'!$AA$20:$AA$23,'Lista Suspensa'!$AB$20:$AB$23,"N/A")</f>
        <v>S</v>
      </c>
    </row>
    <row r="741" spans="1:47" ht="12" hidden="1" customHeight="1" x14ac:dyDescent="0.3">
      <c r="A741" s="87" t="s">
        <v>47</v>
      </c>
      <c r="B741" s="88">
        <v>46090</v>
      </c>
      <c r="C741" s="89" t="s">
        <v>48</v>
      </c>
      <c r="D741" s="89" t="s">
        <v>49</v>
      </c>
      <c r="E741" s="90">
        <v>88009005</v>
      </c>
      <c r="F741" s="184" t="s">
        <v>2327</v>
      </c>
      <c r="G741" s="91">
        <v>37235885734</v>
      </c>
      <c r="H741" s="92">
        <v>18426</v>
      </c>
      <c r="I741" s="89">
        <v>75</v>
      </c>
      <c r="J741" s="89" t="s">
        <v>51</v>
      </c>
      <c r="K741" s="89" t="s">
        <v>88</v>
      </c>
      <c r="L741" s="89" t="s">
        <v>89</v>
      </c>
      <c r="M741" s="89" t="s">
        <v>2328</v>
      </c>
      <c r="N741" s="89" t="s">
        <v>148</v>
      </c>
      <c r="O741" s="93" t="s">
        <v>2329</v>
      </c>
      <c r="P741" s="94" t="s">
        <v>57</v>
      </c>
      <c r="Q741" s="112" t="s">
        <v>2211</v>
      </c>
      <c r="R741" s="95"/>
      <c r="S741" s="96">
        <v>46150</v>
      </c>
      <c r="T741" s="96" t="s">
        <v>2212</v>
      </c>
      <c r="U741" s="96" t="s">
        <v>79</v>
      </c>
      <c r="V741" s="92">
        <v>46073</v>
      </c>
      <c r="W741" s="92">
        <v>46141</v>
      </c>
      <c r="X741" s="92">
        <v>46142</v>
      </c>
      <c r="Y741" s="97"/>
      <c r="Z741" s="89"/>
      <c r="AA741" s="96"/>
      <c r="AB741" s="89"/>
      <c r="AC741" s="111"/>
      <c r="AD741" s="89"/>
      <c r="AE741" s="89"/>
      <c r="AF741" s="98"/>
      <c r="AG741" s="98"/>
      <c r="AH741" s="98"/>
      <c r="AI741" s="99"/>
      <c r="AJ741" s="99"/>
      <c r="AK741" s="99"/>
      <c r="AL741" s="45" t="s">
        <v>68</v>
      </c>
      <c r="AM741" s="162" t="str">
        <f t="shared" si="88"/>
        <v>3/2026</v>
      </c>
      <c r="AN741" s="45">
        <f t="shared" si="89"/>
        <v>2</v>
      </c>
      <c r="AO741" s="45" t="str">
        <f t="shared" si="90"/>
        <v>1/1900</v>
      </c>
      <c r="AP741" s="45" t="e">
        <f t="shared" si="91"/>
        <v>#NUM!</v>
      </c>
      <c r="AQ741" s="45">
        <f t="shared" si="92"/>
        <v>0</v>
      </c>
      <c r="AR741" s="45">
        <f t="shared" si="93"/>
        <v>0</v>
      </c>
      <c r="AS741" s="45">
        <f t="shared" si="94"/>
        <v>0</v>
      </c>
      <c r="AT741" s="45">
        <f t="shared" si="95"/>
        <v>0</v>
      </c>
      <c r="AU741" s="45" t="str">
        <f>_xlfn.XLOOKUP(U741,'Lista Suspensa'!$AA$20:$AA$23,'Lista Suspensa'!$AB$20:$AB$23,"N/A")</f>
        <v>S</v>
      </c>
    </row>
    <row r="742" spans="1:47" ht="12" hidden="1" customHeight="1" x14ac:dyDescent="0.3">
      <c r="A742" s="87" t="s">
        <v>47</v>
      </c>
      <c r="B742" s="88">
        <v>46090</v>
      </c>
      <c r="C742" s="89" t="s">
        <v>48</v>
      </c>
      <c r="D742" s="89" t="s">
        <v>49</v>
      </c>
      <c r="E742" s="90">
        <v>222698080</v>
      </c>
      <c r="F742" s="184" t="s">
        <v>2330</v>
      </c>
      <c r="G742" s="91">
        <v>3445108838</v>
      </c>
      <c r="H742" s="92">
        <v>18899</v>
      </c>
      <c r="I742" s="89">
        <v>74</v>
      </c>
      <c r="J742" s="89" t="s">
        <v>70</v>
      </c>
      <c r="K742" s="89" t="s">
        <v>52</v>
      </c>
      <c r="L742" s="89" t="s">
        <v>53</v>
      </c>
      <c r="M742" s="89" t="s">
        <v>1867</v>
      </c>
      <c r="N742" s="89" t="s">
        <v>170</v>
      </c>
      <c r="O742" s="93" t="s">
        <v>2331</v>
      </c>
      <c r="P742" s="94" t="s">
        <v>57</v>
      </c>
      <c r="Q742" s="112" t="s">
        <v>2211</v>
      </c>
      <c r="R742" s="95"/>
      <c r="S742" s="96">
        <v>46150</v>
      </c>
      <c r="T742" s="96" t="s">
        <v>2212</v>
      </c>
      <c r="U742" s="96" t="s">
        <v>79</v>
      </c>
      <c r="V742" s="92">
        <v>46112</v>
      </c>
      <c r="W742" s="92">
        <v>46141</v>
      </c>
      <c r="X742" s="92">
        <v>46142</v>
      </c>
      <c r="Y742" s="97"/>
      <c r="Z742" s="89"/>
      <c r="AA742" s="96"/>
      <c r="AB742" s="89"/>
      <c r="AC742" s="111"/>
      <c r="AD742" s="89"/>
      <c r="AE742" s="89"/>
      <c r="AF742" s="98"/>
      <c r="AG742" s="98"/>
      <c r="AH742" s="98"/>
      <c r="AI742" s="99"/>
      <c r="AJ742" s="99"/>
      <c r="AK742" s="99"/>
      <c r="AL742" s="45" t="s">
        <v>68</v>
      </c>
      <c r="AM742" s="162" t="str">
        <f t="shared" si="88"/>
        <v>3/2026</v>
      </c>
      <c r="AN742" s="45">
        <f t="shared" si="89"/>
        <v>2</v>
      </c>
      <c r="AO742" s="45" t="str">
        <f t="shared" si="90"/>
        <v>1/1900</v>
      </c>
      <c r="AP742" s="45" t="e">
        <f t="shared" si="91"/>
        <v>#NUM!</v>
      </c>
      <c r="AQ742" s="45">
        <f t="shared" si="92"/>
        <v>0</v>
      </c>
      <c r="AR742" s="45">
        <f t="shared" si="93"/>
        <v>0</v>
      </c>
      <c r="AS742" s="45">
        <f t="shared" si="94"/>
        <v>0</v>
      </c>
      <c r="AT742" s="45">
        <f t="shared" si="95"/>
        <v>0</v>
      </c>
      <c r="AU742" s="45" t="str">
        <f>_xlfn.XLOOKUP(U742,'Lista Suspensa'!$AA$20:$AA$23,'Lista Suspensa'!$AB$20:$AB$23,"N/A")</f>
        <v>S</v>
      </c>
    </row>
    <row r="743" spans="1:47" ht="12" hidden="1" customHeight="1" x14ac:dyDescent="0.3">
      <c r="A743" s="87" t="s">
        <v>47</v>
      </c>
      <c r="B743" s="88">
        <v>46090</v>
      </c>
      <c r="C743" s="89" t="s">
        <v>48</v>
      </c>
      <c r="D743" s="89" t="s">
        <v>49</v>
      </c>
      <c r="E743" s="90">
        <v>301230889</v>
      </c>
      <c r="F743" s="184" t="s">
        <v>2332</v>
      </c>
      <c r="G743" s="91">
        <v>15300407879</v>
      </c>
      <c r="H743" s="92">
        <v>14788</v>
      </c>
      <c r="I743" s="89">
        <v>85</v>
      </c>
      <c r="J743" s="89" t="s">
        <v>70</v>
      </c>
      <c r="K743" s="89" t="s">
        <v>52</v>
      </c>
      <c r="L743" s="89" t="s">
        <v>53</v>
      </c>
      <c r="M743" s="89" t="s">
        <v>2333</v>
      </c>
      <c r="N743" s="89" t="s">
        <v>170</v>
      </c>
      <c r="O743" s="93" t="s">
        <v>2334</v>
      </c>
      <c r="P743" s="94" t="s">
        <v>57</v>
      </c>
      <c r="Q743" s="112" t="s">
        <v>2211</v>
      </c>
      <c r="R743" s="95"/>
      <c r="S743" s="96">
        <v>46150</v>
      </c>
      <c r="T743" s="96" t="s">
        <v>2212</v>
      </c>
      <c r="U743" s="96" t="s">
        <v>79</v>
      </c>
      <c r="V743" s="92">
        <v>46112</v>
      </c>
      <c r="W743" s="92">
        <v>46141</v>
      </c>
      <c r="X743" s="92">
        <v>46142</v>
      </c>
      <c r="Y743" s="97"/>
      <c r="Z743" s="89"/>
      <c r="AA743" s="96"/>
      <c r="AB743" s="89"/>
      <c r="AC743" s="111"/>
      <c r="AD743" s="89"/>
      <c r="AE743" s="89"/>
      <c r="AF743" s="98"/>
      <c r="AG743" s="98"/>
      <c r="AH743" s="98"/>
      <c r="AI743" s="99"/>
      <c r="AJ743" s="99"/>
      <c r="AK743" s="99"/>
      <c r="AL743" s="45" t="s">
        <v>68</v>
      </c>
      <c r="AM743" s="162" t="str">
        <f t="shared" si="88"/>
        <v>3/2026</v>
      </c>
      <c r="AN743" s="45">
        <f t="shared" si="89"/>
        <v>2</v>
      </c>
      <c r="AO743" s="45" t="str">
        <f t="shared" si="90"/>
        <v>1/1900</v>
      </c>
      <c r="AP743" s="45" t="e">
        <f t="shared" si="91"/>
        <v>#NUM!</v>
      </c>
      <c r="AQ743" s="45">
        <f t="shared" si="92"/>
        <v>0</v>
      </c>
      <c r="AR743" s="45">
        <f t="shared" si="93"/>
        <v>0</v>
      </c>
      <c r="AS743" s="45">
        <f t="shared" si="94"/>
        <v>0</v>
      </c>
      <c r="AT743" s="45">
        <f t="shared" si="95"/>
        <v>0</v>
      </c>
      <c r="AU743" s="45" t="str">
        <f>_xlfn.XLOOKUP(U743,'Lista Suspensa'!$AA$20:$AA$23,'Lista Suspensa'!$AB$20:$AB$23,"N/A")</f>
        <v>S</v>
      </c>
    </row>
    <row r="744" spans="1:47" ht="12" hidden="1" customHeight="1" x14ac:dyDescent="0.3">
      <c r="A744" s="87" t="s">
        <v>47</v>
      </c>
      <c r="B744" s="88">
        <v>46090</v>
      </c>
      <c r="C744" s="89" t="s">
        <v>48</v>
      </c>
      <c r="D744" s="89" t="s">
        <v>49</v>
      </c>
      <c r="E744" s="90">
        <v>301016526</v>
      </c>
      <c r="F744" s="184" t="s">
        <v>2335</v>
      </c>
      <c r="G744" s="91">
        <v>5203988820</v>
      </c>
      <c r="H744" s="92">
        <v>14953</v>
      </c>
      <c r="I744" s="89">
        <v>85</v>
      </c>
      <c r="J744" s="89" t="s">
        <v>70</v>
      </c>
      <c r="K744" s="89" t="s">
        <v>52</v>
      </c>
      <c r="L744" s="89" t="s">
        <v>83</v>
      </c>
      <c r="M744" s="89" t="s">
        <v>2336</v>
      </c>
      <c r="N744" s="89" t="s">
        <v>170</v>
      </c>
      <c r="O744" s="93" t="s">
        <v>2337</v>
      </c>
      <c r="P744" s="94" t="s">
        <v>57</v>
      </c>
      <c r="Q744" s="112" t="s">
        <v>2211</v>
      </c>
      <c r="R744" s="95"/>
      <c r="S744" s="96">
        <v>46150</v>
      </c>
      <c r="T744" s="96" t="s">
        <v>2212</v>
      </c>
      <c r="U744" s="96" t="s">
        <v>79</v>
      </c>
      <c r="V744" s="92">
        <v>46112</v>
      </c>
      <c r="W744" s="92">
        <v>46141</v>
      </c>
      <c r="X744" s="92">
        <v>46142</v>
      </c>
      <c r="Y744" s="97"/>
      <c r="Z744" s="89"/>
      <c r="AA744" s="96"/>
      <c r="AB744" s="89"/>
      <c r="AC744" s="111"/>
      <c r="AD744" s="89"/>
      <c r="AE744" s="89"/>
      <c r="AF744" s="98"/>
      <c r="AG744" s="98"/>
      <c r="AH744" s="98"/>
      <c r="AI744" s="99"/>
      <c r="AJ744" s="99"/>
      <c r="AK744" s="99"/>
      <c r="AL744" s="45" t="s">
        <v>68</v>
      </c>
      <c r="AM744" s="162" t="str">
        <f t="shared" si="88"/>
        <v>3/2026</v>
      </c>
      <c r="AN744" s="45">
        <f t="shared" si="89"/>
        <v>2</v>
      </c>
      <c r="AO744" s="45" t="str">
        <f t="shared" si="90"/>
        <v>1/1900</v>
      </c>
      <c r="AP744" s="45" t="e">
        <f t="shared" si="91"/>
        <v>#NUM!</v>
      </c>
      <c r="AQ744" s="45">
        <f t="shared" si="92"/>
        <v>0</v>
      </c>
      <c r="AR744" s="45">
        <f t="shared" si="93"/>
        <v>0</v>
      </c>
      <c r="AS744" s="45">
        <f t="shared" si="94"/>
        <v>0</v>
      </c>
      <c r="AT744" s="45">
        <f t="shared" si="95"/>
        <v>0</v>
      </c>
      <c r="AU744" s="45" t="str">
        <f>_xlfn.XLOOKUP(U744,'Lista Suspensa'!$AA$20:$AA$23,'Lista Suspensa'!$AB$20:$AB$23,"N/A")</f>
        <v>S</v>
      </c>
    </row>
    <row r="745" spans="1:47" ht="12" hidden="1" customHeight="1" x14ac:dyDescent="0.3">
      <c r="A745" s="87" t="s">
        <v>47</v>
      </c>
      <c r="B745" s="88">
        <v>46090</v>
      </c>
      <c r="C745" s="89" t="s">
        <v>48</v>
      </c>
      <c r="D745" s="89" t="s">
        <v>49</v>
      </c>
      <c r="E745" s="90">
        <v>301182396</v>
      </c>
      <c r="F745" s="184" t="s">
        <v>2338</v>
      </c>
      <c r="G745" s="91">
        <v>53516460806</v>
      </c>
      <c r="H745" s="92">
        <v>17622</v>
      </c>
      <c r="I745" s="89">
        <v>78</v>
      </c>
      <c r="J745" s="89" t="s">
        <v>51</v>
      </c>
      <c r="K745" s="89" t="s">
        <v>52</v>
      </c>
      <c r="L745" s="89" t="s">
        <v>53</v>
      </c>
      <c r="M745" s="89" t="s">
        <v>2339</v>
      </c>
      <c r="N745" s="89" t="s">
        <v>170</v>
      </c>
      <c r="O745" s="93" t="s">
        <v>2340</v>
      </c>
      <c r="P745" s="94" t="s">
        <v>57</v>
      </c>
      <c r="Q745" s="112" t="s">
        <v>2211</v>
      </c>
      <c r="R745" s="95"/>
      <c r="S745" s="96">
        <v>46150</v>
      </c>
      <c r="T745" s="96" t="s">
        <v>2212</v>
      </c>
      <c r="U745" s="96" t="s">
        <v>79</v>
      </c>
      <c r="V745" s="92">
        <v>46112</v>
      </c>
      <c r="W745" s="92">
        <v>46141</v>
      </c>
      <c r="X745" s="92">
        <v>46142</v>
      </c>
      <c r="Y745" s="97"/>
      <c r="Z745" s="89"/>
      <c r="AA745" s="96"/>
      <c r="AB745" s="89"/>
      <c r="AC745" s="111"/>
      <c r="AD745" s="89"/>
      <c r="AE745" s="89"/>
      <c r="AF745" s="98"/>
      <c r="AG745" s="98"/>
      <c r="AH745" s="98"/>
      <c r="AI745" s="99"/>
      <c r="AJ745" s="99"/>
      <c r="AK745" s="99"/>
      <c r="AL745" s="45" t="s">
        <v>68</v>
      </c>
      <c r="AM745" s="162" t="str">
        <f t="shared" si="88"/>
        <v>3/2026</v>
      </c>
      <c r="AN745" s="45">
        <f t="shared" si="89"/>
        <v>2</v>
      </c>
      <c r="AO745" s="45" t="str">
        <f t="shared" si="90"/>
        <v>1/1900</v>
      </c>
      <c r="AP745" s="45" t="e">
        <f t="shared" si="91"/>
        <v>#NUM!</v>
      </c>
      <c r="AQ745" s="45">
        <f t="shared" si="92"/>
        <v>0</v>
      </c>
      <c r="AR745" s="45">
        <f t="shared" si="93"/>
        <v>0</v>
      </c>
      <c r="AS745" s="45">
        <f t="shared" si="94"/>
        <v>0</v>
      </c>
      <c r="AT745" s="45">
        <f t="shared" si="95"/>
        <v>0</v>
      </c>
      <c r="AU745" s="45" t="str">
        <f>_xlfn.XLOOKUP(U745,'Lista Suspensa'!$AA$20:$AA$23,'Lista Suspensa'!$AB$20:$AB$23,"N/A")</f>
        <v>S</v>
      </c>
    </row>
    <row r="746" spans="1:47" ht="12" hidden="1" customHeight="1" x14ac:dyDescent="0.3">
      <c r="A746" s="87" t="s">
        <v>47</v>
      </c>
      <c r="B746" s="88">
        <v>46090</v>
      </c>
      <c r="C746" s="89" t="s">
        <v>48</v>
      </c>
      <c r="D746" s="89" t="s">
        <v>49</v>
      </c>
      <c r="E746" s="90">
        <v>301195692</v>
      </c>
      <c r="F746" s="184" t="s">
        <v>2341</v>
      </c>
      <c r="G746" s="91">
        <v>39632563034</v>
      </c>
      <c r="H746" s="92">
        <v>22188</v>
      </c>
      <c r="I746" s="89">
        <v>65</v>
      </c>
      <c r="J746" s="89" t="s">
        <v>51</v>
      </c>
      <c r="K746" s="89" t="s">
        <v>52</v>
      </c>
      <c r="L746" s="89" t="s">
        <v>53</v>
      </c>
      <c r="M746" s="89" t="s">
        <v>356</v>
      </c>
      <c r="N746" s="89" t="s">
        <v>170</v>
      </c>
      <c r="O746" s="93" t="s">
        <v>2342</v>
      </c>
      <c r="P746" s="94" t="s">
        <v>57</v>
      </c>
      <c r="Q746" s="112" t="s">
        <v>2211</v>
      </c>
      <c r="R746" s="95"/>
      <c r="S746" s="96">
        <v>46150</v>
      </c>
      <c r="T746" s="96" t="s">
        <v>2212</v>
      </c>
      <c r="U746" s="96" t="s">
        <v>79</v>
      </c>
      <c r="V746" s="92">
        <v>46112</v>
      </c>
      <c r="W746" s="92">
        <v>46141</v>
      </c>
      <c r="X746" s="92">
        <v>46142</v>
      </c>
      <c r="Y746" s="97"/>
      <c r="Z746" s="89"/>
      <c r="AA746" s="96"/>
      <c r="AB746" s="89"/>
      <c r="AC746" s="111"/>
      <c r="AD746" s="89"/>
      <c r="AE746" s="89"/>
      <c r="AF746" s="98"/>
      <c r="AG746" s="98"/>
      <c r="AH746" s="98"/>
      <c r="AI746" s="99"/>
      <c r="AJ746" s="99"/>
      <c r="AK746" s="99"/>
      <c r="AL746" s="45" t="s">
        <v>68</v>
      </c>
      <c r="AM746" s="162" t="str">
        <f t="shared" si="88"/>
        <v>3/2026</v>
      </c>
      <c r="AN746" s="45">
        <f t="shared" si="89"/>
        <v>2</v>
      </c>
      <c r="AO746" s="45" t="str">
        <f t="shared" si="90"/>
        <v>1/1900</v>
      </c>
      <c r="AP746" s="45" t="e">
        <f t="shared" si="91"/>
        <v>#NUM!</v>
      </c>
      <c r="AQ746" s="45">
        <f t="shared" si="92"/>
        <v>0</v>
      </c>
      <c r="AR746" s="45">
        <f t="shared" si="93"/>
        <v>0</v>
      </c>
      <c r="AS746" s="45">
        <f t="shared" si="94"/>
        <v>0</v>
      </c>
      <c r="AT746" s="45">
        <f t="shared" si="95"/>
        <v>0</v>
      </c>
      <c r="AU746" s="45" t="str">
        <f>_xlfn.XLOOKUP(U746,'Lista Suspensa'!$AA$20:$AA$23,'Lista Suspensa'!$AB$20:$AB$23,"N/A")</f>
        <v>S</v>
      </c>
    </row>
    <row r="747" spans="1:47" ht="12" hidden="1" customHeight="1" x14ac:dyDescent="0.3">
      <c r="A747" s="87" t="s">
        <v>47</v>
      </c>
      <c r="B747" s="88">
        <v>46090</v>
      </c>
      <c r="C747" s="89" t="s">
        <v>48</v>
      </c>
      <c r="D747" s="89" t="s">
        <v>49</v>
      </c>
      <c r="E747" s="90">
        <v>631854959</v>
      </c>
      <c r="F747" s="184" t="s">
        <v>2343</v>
      </c>
      <c r="G747" s="91">
        <v>27578661841</v>
      </c>
      <c r="H747" s="92">
        <v>28665</v>
      </c>
      <c r="I747" s="89">
        <v>47</v>
      </c>
      <c r="J747" s="89" t="s">
        <v>51</v>
      </c>
      <c r="K747" s="89" t="s">
        <v>52</v>
      </c>
      <c r="L747" s="89" t="s">
        <v>53</v>
      </c>
      <c r="M747" s="89" t="s">
        <v>2344</v>
      </c>
      <c r="N747" s="89" t="s">
        <v>170</v>
      </c>
      <c r="O747" s="93" t="s">
        <v>2345</v>
      </c>
      <c r="P747" s="94" t="s">
        <v>57</v>
      </c>
      <c r="Q747" s="112" t="s">
        <v>2211</v>
      </c>
      <c r="R747" s="95"/>
      <c r="S747" s="96">
        <v>46150</v>
      </c>
      <c r="T747" s="96" t="s">
        <v>2212</v>
      </c>
      <c r="U747" s="96" t="s">
        <v>79</v>
      </c>
      <c r="V747" s="92">
        <v>46112</v>
      </c>
      <c r="W747" s="92">
        <v>46141</v>
      </c>
      <c r="X747" s="92">
        <v>46142</v>
      </c>
      <c r="Y747" s="97"/>
      <c r="Z747" s="89"/>
      <c r="AA747" s="96"/>
      <c r="AB747" s="89"/>
      <c r="AC747" s="111"/>
      <c r="AD747" s="89"/>
      <c r="AE747" s="89"/>
      <c r="AF747" s="98"/>
      <c r="AG747" s="98"/>
      <c r="AH747" s="98"/>
      <c r="AI747" s="99"/>
      <c r="AJ747" s="99"/>
      <c r="AK747" s="99"/>
      <c r="AL747" s="45" t="s">
        <v>68</v>
      </c>
      <c r="AM747" s="162" t="str">
        <f t="shared" si="88"/>
        <v>3/2026</v>
      </c>
      <c r="AN747" s="45">
        <f t="shared" si="89"/>
        <v>2</v>
      </c>
      <c r="AO747" s="45" t="str">
        <f t="shared" si="90"/>
        <v>1/1900</v>
      </c>
      <c r="AP747" s="45" t="e">
        <f t="shared" si="91"/>
        <v>#NUM!</v>
      </c>
      <c r="AQ747" s="45">
        <f t="shared" si="92"/>
        <v>0</v>
      </c>
      <c r="AR747" s="45">
        <f t="shared" si="93"/>
        <v>0</v>
      </c>
      <c r="AS747" s="45">
        <f t="shared" si="94"/>
        <v>0</v>
      </c>
      <c r="AT747" s="45">
        <f t="shared" si="95"/>
        <v>0</v>
      </c>
      <c r="AU747" s="45" t="str">
        <f>_xlfn.XLOOKUP(U747,'Lista Suspensa'!$AA$20:$AA$23,'Lista Suspensa'!$AB$20:$AB$23,"N/A")</f>
        <v>S</v>
      </c>
    </row>
    <row r="748" spans="1:47" ht="12" hidden="1" customHeight="1" x14ac:dyDescent="0.3">
      <c r="A748" s="87" t="s">
        <v>47</v>
      </c>
      <c r="B748" s="88">
        <v>46090</v>
      </c>
      <c r="C748" s="89" t="s">
        <v>48</v>
      </c>
      <c r="D748" s="89" t="s">
        <v>49</v>
      </c>
      <c r="E748" s="90">
        <v>222205814</v>
      </c>
      <c r="F748" s="184" t="s">
        <v>2346</v>
      </c>
      <c r="G748" s="91">
        <v>14664436858</v>
      </c>
      <c r="H748" s="92">
        <v>19812</v>
      </c>
      <c r="I748" s="89">
        <v>72</v>
      </c>
      <c r="J748" s="89" t="s">
        <v>70</v>
      </c>
      <c r="K748" s="89" t="s">
        <v>52</v>
      </c>
      <c r="L748" s="89" t="s">
        <v>53</v>
      </c>
      <c r="M748" s="89" t="s">
        <v>1619</v>
      </c>
      <c r="N748" s="89" t="s">
        <v>170</v>
      </c>
      <c r="O748" s="93" t="s">
        <v>2347</v>
      </c>
      <c r="P748" s="94" t="s">
        <v>57</v>
      </c>
      <c r="Q748" s="112" t="s">
        <v>2211</v>
      </c>
      <c r="R748" s="95"/>
      <c r="S748" s="96">
        <v>46150</v>
      </c>
      <c r="T748" s="96" t="s">
        <v>2212</v>
      </c>
      <c r="U748" s="96" t="s">
        <v>79</v>
      </c>
      <c r="V748" s="92">
        <v>46112</v>
      </c>
      <c r="W748" s="92">
        <v>46141</v>
      </c>
      <c r="X748" s="92">
        <v>46142</v>
      </c>
      <c r="Y748" s="97"/>
      <c r="Z748" s="89"/>
      <c r="AA748" s="96"/>
      <c r="AB748" s="89"/>
      <c r="AC748" s="111"/>
      <c r="AD748" s="89"/>
      <c r="AE748" s="89"/>
      <c r="AF748" s="98"/>
      <c r="AG748" s="98"/>
      <c r="AH748" s="98"/>
      <c r="AI748" s="99"/>
      <c r="AJ748" s="99"/>
      <c r="AK748" s="99"/>
      <c r="AL748" s="45" t="s">
        <v>68</v>
      </c>
      <c r="AM748" s="162" t="str">
        <f t="shared" si="88"/>
        <v>3/2026</v>
      </c>
      <c r="AN748" s="45">
        <f t="shared" si="89"/>
        <v>2</v>
      </c>
      <c r="AO748" s="45" t="str">
        <f t="shared" si="90"/>
        <v>1/1900</v>
      </c>
      <c r="AP748" s="45" t="e">
        <f t="shared" si="91"/>
        <v>#NUM!</v>
      </c>
      <c r="AQ748" s="45">
        <f t="shared" si="92"/>
        <v>0</v>
      </c>
      <c r="AR748" s="45">
        <f t="shared" si="93"/>
        <v>0</v>
      </c>
      <c r="AS748" s="45">
        <f t="shared" si="94"/>
        <v>0</v>
      </c>
      <c r="AT748" s="45">
        <f t="shared" si="95"/>
        <v>0</v>
      </c>
      <c r="AU748" s="45" t="str">
        <f>_xlfn.XLOOKUP(U748,'Lista Suspensa'!$AA$20:$AA$23,'Lista Suspensa'!$AB$20:$AB$23,"N/A")</f>
        <v>S</v>
      </c>
    </row>
    <row r="749" spans="1:47" ht="12" hidden="1" customHeight="1" x14ac:dyDescent="0.3">
      <c r="A749" s="87" t="s">
        <v>47</v>
      </c>
      <c r="B749" s="88">
        <v>46090</v>
      </c>
      <c r="C749" s="89" t="s">
        <v>48</v>
      </c>
      <c r="D749" s="89" t="s">
        <v>49</v>
      </c>
      <c r="E749" s="90">
        <v>443807140</v>
      </c>
      <c r="F749" s="184" t="s">
        <v>2348</v>
      </c>
      <c r="G749" s="91">
        <v>85777838804</v>
      </c>
      <c r="H749" s="92">
        <v>10333</v>
      </c>
      <c r="I749" s="89">
        <v>98</v>
      </c>
      <c r="J749" s="89" t="s">
        <v>70</v>
      </c>
      <c r="K749" s="89" t="s">
        <v>52</v>
      </c>
      <c r="L749" s="89" t="s">
        <v>53</v>
      </c>
      <c r="M749" s="89" t="s">
        <v>2349</v>
      </c>
      <c r="N749" s="89" t="s">
        <v>170</v>
      </c>
      <c r="O749" s="93" t="s">
        <v>2350</v>
      </c>
      <c r="P749" s="94" t="s">
        <v>57</v>
      </c>
      <c r="Q749" s="112" t="s">
        <v>2211</v>
      </c>
      <c r="R749" s="95"/>
      <c r="S749" s="96">
        <v>46150</v>
      </c>
      <c r="T749" s="96" t="s">
        <v>2212</v>
      </c>
      <c r="U749" s="96" t="s">
        <v>79</v>
      </c>
      <c r="V749" s="92">
        <v>46112</v>
      </c>
      <c r="W749" s="92">
        <v>46141</v>
      </c>
      <c r="X749" s="92">
        <v>46142</v>
      </c>
      <c r="Y749" s="97"/>
      <c r="Z749" s="89"/>
      <c r="AA749" s="96"/>
      <c r="AB749" s="89"/>
      <c r="AC749" s="111"/>
      <c r="AD749" s="89"/>
      <c r="AE749" s="89"/>
      <c r="AF749" s="98"/>
      <c r="AG749" s="98"/>
      <c r="AH749" s="98"/>
      <c r="AI749" s="99"/>
      <c r="AJ749" s="99"/>
      <c r="AK749" s="99"/>
      <c r="AL749" s="45" t="s">
        <v>68</v>
      </c>
      <c r="AM749" s="162" t="str">
        <f t="shared" si="88"/>
        <v>3/2026</v>
      </c>
      <c r="AN749" s="45">
        <f t="shared" si="89"/>
        <v>2</v>
      </c>
      <c r="AO749" s="45" t="str">
        <f t="shared" si="90"/>
        <v>1/1900</v>
      </c>
      <c r="AP749" s="45" t="e">
        <f t="shared" si="91"/>
        <v>#NUM!</v>
      </c>
      <c r="AQ749" s="45">
        <f t="shared" si="92"/>
        <v>0</v>
      </c>
      <c r="AR749" s="45">
        <f t="shared" si="93"/>
        <v>0</v>
      </c>
      <c r="AS749" s="45">
        <f t="shared" si="94"/>
        <v>0</v>
      </c>
      <c r="AT749" s="45">
        <f t="shared" si="95"/>
        <v>0</v>
      </c>
      <c r="AU749" s="45" t="str">
        <f>_xlfn.XLOOKUP(U749,'Lista Suspensa'!$AA$20:$AA$23,'Lista Suspensa'!$AB$20:$AB$23,"N/A")</f>
        <v>S</v>
      </c>
    </row>
    <row r="750" spans="1:47" ht="12" hidden="1" customHeight="1" x14ac:dyDescent="0.3">
      <c r="A750" s="87" t="s">
        <v>47</v>
      </c>
      <c r="B750" s="88">
        <v>46090</v>
      </c>
      <c r="C750" s="89" t="s">
        <v>48</v>
      </c>
      <c r="D750" s="89" t="s">
        <v>49</v>
      </c>
      <c r="E750" s="90">
        <v>229204546</v>
      </c>
      <c r="F750" s="184" t="s">
        <v>2351</v>
      </c>
      <c r="G750" s="91">
        <v>11093172800</v>
      </c>
      <c r="H750" s="92">
        <v>23630</v>
      </c>
      <c r="I750" s="89">
        <v>61</v>
      </c>
      <c r="J750" s="89" t="s">
        <v>51</v>
      </c>
      <c r="K750" s="89" t="s">
        <v>52</v>
      </c>
      <c r="L750" s="89" t="s">
        <v>53</v>
      </c>
      <c r="M750" s="89" t="s">
        <v>1924</v>
      </c>
      <c r="N750" s="89" t="s">
        <v>170</v>
      </c>
      <c r="O750" s="93" t="s">
        <v>2352</v>
      </c>
      <c r="P750" s="94" t="s">
        <v>57</v>
      </c>
      <c r="Q750" s="112" t="s">
        <v>2211</v>
      </c>
      <c r="R750" s="95"/>
      <c r="S750" s="96">
        <v>46150</v>
      </c>
      <c r="T750" s="96" t="s">
        <v>2212</v>
      </c>
      <c r="U750" s="96" t="s">
        <v>79</v>
      </c>
      <c r="V750" s="92">
        <v>46112</v>
      </c>
      <c r="W750" s="92">
        <v>46141</v>
      </c>
      <c r="X750" s="92">
        <v>46142</v>
      </c>
      <c r="Y750" s="97"/>
      <c r="Z750" s="89"/>
      <c r="AA750" s="96"/>
      <c r="AB750" s="89"/>
      <c r="AC750" s="111"/>
      <c r="AD750" s="89"/>
      <c r="AE750" s="89"/>
      <c r="AF750" s="98"/>
      <c r="AG750" s="98"/>
      <c r="AH750" s="98"/>
      <c r="AI750" s="99"/>
      <c r="AJ750" s="99"/>
      <c r="AK750" s="99"/>
      <c r="AL750" s="45" t="s">
        <v>68</v>
      </c>
      <c r="AM750" s="162" t="str">
        <f t="shared" si="88"/>
        <v>3/2026</v>
      </c>
      <c r="AN750" s="45">
        <f t="shared" si="89"/>
        <v>2</v>
      </c>
      <c r="AO750" s="45" t="str">
        <f t="shared" si="90"/>
        <v>1/1900</v>
      </c>
      <c r="AP750" s="45" t="e">
        <f t="shared" si="91"/>
        <v>#NUM!</v>
      </c>
      <c r="AQ750" s="45">
        <f t="shared" si="92"/>
        <v>0</v>
      </c>
      <c r="AR750" s="45">
        <f t="shared" si="93"/>
        <v>0</v>
      </c>
      <c r="AS750" s="45">
        <f t="shared" si="94"/>
        <v>0</v>
      </c>
      <c r="AT750" s="45">
        <f t="shared" si="95"/>
        <v>0</v>
      </c>
      <c r="AU750" s="45" t="str">
        <f>_xlfn.XLOOKUP(U750,'Lista Suspensa'!$AA$20:$AA$23,'Lista Suspensa'!$AB$20:$AB$23,"N/A")</f>
        <v>S</v>
      </c>
    </row>
    <row r="751" spans="1:47" ht="12" hidden="1" customHeight="1" x14ac:dyDescent="0.3">
      <c r="A751" s="87" t="s">
        <v>47</v>
      </c>
      <c r="B751" s="88">
        <v>46090</v>
      </c>
      <c r="C751" s="89" t="s">
        <v>48</v>
      </c>
      <c r="D751" s="89" t="s">
        <v>49</v>
      </c>
      <c r="E751" s="90">
        <v>452614678</v>
      </c>
      <c r="F751" s="184" t="s">
        <v>2353</v>
      </c>
      <c r="G751" s="91">
        <v>5494249891</v>
      </c>
      <c r="H751" s="92">
        <v>15310</v>
      </c>
      <c r="I751" s="89">
        <v>84</v>
      </c>
      <c r="J751" s="89" t="s">
        <v>70</v>
      </c>
      <c r="K751" s="89" t="s">
        <v>52</v>
      </c>
      <c r="L751" s="89" t="s">
        <v>53</v>
      </c>
      <c r="M751" s="89" t="s">
        <v>2354</v>
      </c>
      <c r="N751" s="89" t="s">
        <v>170</v>
      </c>
      <c r="O751" s="93" t="s">
        <v>2355</v>
      </c>
      <c r="P751" s="94" t="s">
        <v>57</v>
      </c>
      <c r="Q751" s="112" t="s">
        <v>2211</v>
      </c>
      <c r="R751" s="95"/>
      <c r="S751" s="96">
        <v>46150</v>
      </c>
      <c r="T751" s="96" t="s">
        <v>2212</v>
      </c>
      <c r="U751" s="96" t="s">
        <v>79</v>
      </c>
      <c r="V751" s="92">
        <v>46112</v>
      </c>
      <c r="W751" s="92">
        <v>46141</v>
      </c>
      <c r="X751" s="92">
        <v>46142</v>
      </c>
      <c r="Y751" s="97"/>
      <c r="Z751" s="89"/>
      <c r="AA751" s="96"/>
      <c r="AB751" s="89"/>
      <c r="AC751" s="111"/>
      <c r="AD751" s="89"/>
      <c r="AE751" s="89"/>
      <c r="AF751" s="98"/>
      <c r="AG751" s="98"/>
      <c r="AH751" s="98"/>
      <c r="AI751" s="99"/>
      <c r="AJ751" s="99"/>
      <c r="AK751" s="99"/>
      <c r="AL751" s="45" t="s">
        <v>68</v>
      </c>
      <c r="AM751" s="162" t="str">
        <f t="shared" si="88"/>
        <v>3/2026</v>
      </c>
      <c r="AN751" s="45">
        <f t="shared" si="89"/>
        <v>2</v>
      </c>
      <c r="AO751" s="45" t="str">
        <f t="shared" si="90"/>
        <v>1/1900</v>
      </c>
      <c r="AP751" s="45" t="e">
        <f t="shared" si="91"/>
        <v>#NUM!</v>
      </c>
      <c r="AQ751" s="45">
        <f t="shared" si="92"/>
        <v>0</v>
      </c>
      <c r="AR751" s="45">
        <f t="shared" si="93"/>
        <v>0</v>
      </c>
      <c r="AS751" s="45">
        <f t="shared" si="94"/>
        <v>0</v>
      </c>
      <c r="AT751" s="45">
        <f t="shared" si="95"/>
        <v>0</v>
      </c>
      <c r="AU751" s="45" t="str">
        <f>_xlfn.XLOOKUP(U751,'Lista Suspensa'!$AA$20:$AA$23,'Lista Suspensa'!$AB$20:$AB$23,"N/A")</f>
        <v>S</v>
      </c>
    </row>
    <row r="752" spans="1:47" ht="12" hidden="1" customHeight="1" x14ac:dyDescent="0.3">
      <c r="A752" s="87" t="s">
        <v>47</v>
      </c>
      <c r="B752" s="88">
        <v>46090</v>
      </c>
      <c r="C752" s="89" t="s">
        <v>48</v>
      </c>
      <c r="D752" s="89" t="s">
        <v>49</v>
      </c>
      <c r="E752" s="90">
        <v>93154746</v>
      </c>
      <c r="F752" s="184" t="s">
        <v>2356</v>
      </c>
      <c r="G752" s="91">
        <v>12763189792</v>
      </c>
      <c r="H752" s="92">
        <v>33432</v>
      </c>
      <c r="I752" s="89">
        <v>34</v>
      </c>
      <c r="J752" s="89" t="s">
        <v>51</v>
      </c>
      <c r="K752" s="89" t="s">
        <v>88</v>
      </c>
      <c r="L752" s="89" t="s">
        <v>89</v>
      </c>
      <c r="M752" s="89" t="s">
        <v>384</v>
      </c>
      <c r="N752" s="89" t="s">
        <v>181</v>
      </c>
      <c r="O752" s="93" t="s">
        <v>2357</v>
      </c>
      <c r="P752" s="94" t="s">
        <v>57</v>
      </c>
      <c r="Q752" s="112" t="s">
        <v>2211</v>
      </c>
      <c r="R752" s="95"/>
      <c r="S752" s="96">
        <v>46150</v>
      </c>
      <c r="T752" s="96" t="s">
        <v>2212</v>
      </c>
      <c r="U752" s="96" t="s">
        <v>79</v>
      </c>
      <c r="V752" s="92">
        <v>46112</v>
      </c>
      <c r="W752" s="92">
        <v>46141</v>
      </c>
      <c r="X752" s="92">
        <v>46142</v>
      </c>
      <c r="Y752" s="97"/>
      <c r="Z752" s="89"/>
      <c r="AA752" s="96"/>
      <c r="AB752" s="89"/>
      <c r="AC752" s="111"/>
      <c r="AD752" s="89"/>
      <c r="AE752" s="89"/>
      <c r="AF752" s="98"/>
      <c r="AG752" s="98"/>
      <c r="AH752" s="98"/>
      <c r="AI752" s="99"/>
      <c r="AJ752" s="99"/>
      <c r="AK752" s="99"/>
      <c r="AL752" s="45" t="s">
        <v>68</v>
      </c>
      <c r="AM752" s="162" t="str">
        <f t="shared" si="88"/>
        <v>3/2026</v>
      </c>
      <c r="AN752" s="45">
        <f t="shared" si="89"/>
        <v>2</v>
      </c>
      <c r="AO752" s="45" t="str">
        <f t="shared" si="90"/>
        <v>1/1900</v>
      </c>
      <c r="AP752" s="45" t="e">
        <f t="shared" si="91"/>
        <v>#NUM!</v>
      </c>
      <c r="AQ752" s="45">
        <f t="shared" si="92"/>
        <v>0</v>
      </c>
      <c r="AR752" s="45">
        <f t="shared" si="93"/>
        <v>0</v>
      </c>
      <c r="AS752" s="45">
        <f t="shared" si="94"/>
        <v>0</v>
      </c>
      <c r="AT752" s="45">
        <f t="shared" si="95"/>
        <v>0</v>
      </c>
      <c r="AU752" s="45" t="str">
        <f>_xlfn.XLOOKUP(U752,'Lista Suspensa'!$AA$20:$AA$23,'Lista Suspensa'!$AB$20:$AB$23,"N/A")</f>
        <v>S</v>
      </c>
    </row>
    <row r="753" spans="1:47" ht="12" hidden="1" customHeight="1" x14ac:dyDescent="0.3">
      <c r="A753" s="87" t="s">
        <v>47</v>
      </c>
      <c r="B753" s="88">
        <v>46090</v>
      </c>
      <c r="C753" s="89" t="s">
        <v>48</v>
      </c>
      <c r="D753" s="89" t="s">
        <v>49</v>
      </c>
      <c r="E753" s="90">
        <v>87915237</v>
      </c>
      <c r="F753" s="184" t="s">
        <v>2358</v>
      </c>
      <c r="G753" s="91">
        <v>22806078830</v>
      </c>
      <c r="H753" s="92">
        <v>31671</v>
      </c>
      <c r="I753" s="89">
        <v>39</v>
      </c>
      <c r="J753" s="89" t="s">
        <v>70</v>
      </c>
      <c r="K753" s="89" t="s">
        <v>52</v>
      </c>
      <c r="L753" s="89" t="s">
        <v>53</v>
      </c>
      <c r="M753" s="89" t="s">
        <v>2359</v>
      </c>
      <c r="N753" s="89" t="s">
        <v>185</v>
      </c>
      <c r="O753" s="93" t="s">
        <v>2360</v>
      </c>
      <c r="P753" s="94" t="s">
        <v>57</v>
      </c>
      <c r="Q753" s="112" t="s">
        <v>2211</v>
      </c>
      <c r="R753" s="95"/>
      <c r="S753" s="96">
        <v>46150</v>
      </c>
      <c r="T753" s="96" t="s">
        <v>2212</v>
      </c>
      <c r="U753" s="96" t="s">
        <v>79</v>
      </c>
      <c r="V753" s="92">
        <v>46073</v>
      </c>
      <c r="W753" s="92">
        <v>46141</v>
      </c>
      <c r="X753" s="92">
        <v>46142</v>
      </c>
      <c r="Y753" s="97"/>
      <c r="Z753" s="89"/>
      <c r="AA753" s="96"/>
      <c r="AB753" s="89"/>
      <c r="AC753" s="111"/>
      <c r="AD753" s="89"/>
      <c r="AE753" s="89"/>
      <c r="AF753" s="98"/>
      <c r="AG753" s="98"/>
      <c r="AH753" s="98"/>
      <c r="AI753" s="99"/>
      <c r="AJ753" s="99"/>
      <c r="AK753" s="99"/>
      <c r="AL753" s="45" t="s">
        <v>68</v>
      </c>
      <c r="AM753" s="162" t="str">
        <f t="shared" si="88"/>
        <v>3/2026</v>
      </c>
      <c r="AN753" s="45">
        <f t="shared" si="89"/>
        <v>2</v>
      </c>
      <c r="AO753" s="45" t="str">
        <f t="shared" si="90"/>
        <v>1/1900</v>
      </c>
      <c r="AP753" s="45" t="e">
        <f t="shared" si="91"/>
        <v>#NUM!</v>
      </c>
      <c r="AQ753" s="45">
        <f t="shared" si="92"/>
        <v>0</v>
      </c>
      <c r="AR753" s="45">
        <f t="shared" si="93"/>
        <v>0</v>
      </c>
      <c r="AS753" s="45">
        <f t="shared" si="94"/>
        <v>0</v>
      </c>
      <c r="AT753" s="45">
        <f t="shared" si="95"/>
        <v>0</v>
      </c>
      <c r="AU753" s="45" t="str">
        <f>_xlfn.XLOOKUP(U753,'Lista Suspensa'!$AA$20:$AA$23,'Lista Suspensa'!$AB$20:$AB$23,"N/A")</f>
        <v>S</v>
      </c>
    </row>
    <row r="754" spans="1:47" ht="12" hidden="1" customHeight="1" x14ac:dyDescent="0.3">
      <c r="A754" s="87" t="s">
        <v>47</v>
      </c>
      <c r="B754" s="88">
        <v>46090</v>
      </c>
      <c r="C754" s="89" t="s">
        <v>48</v>
      </c>
      <c r="D754" s="89" t="s">
        <v>49</v>
      </c>
      <c r="E754" s="90">
        <v>86612454</v>
      </c>
      <c r="F754" s="184" t="s">
        <v>2361</v>
      </c>
      <c r="G754" s="91">
        <v>16494223850</v>
      </c>
      <c r="H754" s="92">
        <v>27089</v>
      </c>
      <c r="I754" s="89">
        <v>52</v>
      </c>
      <c r="J754" s="89" t="s">
        <v>51</v>
      </c>
      <c r="K754" s="89" t="s">
        <v>52</v>
      </c>
      <c r="L754" s="89" t="s">
        <v>53</v>
      </c>
      <c r="M754" s="89" t="s">
        <v>2362</v>
      </c>
      <c r="N754" s="89" t="s">
        <v>185</v>
      </c>
      <c r="O754" s="93" t="s">
        <v>2363</v>
      </c>
      <c r="P754" s="94" t="s">
        <v>57</v>
      </c>
      <c r="Q754" s="112" t="s">
        <v>2211</v>
      </c>
      <c r="R754" s="95"/>
      <c r="S754" s="96">
        <v>46150</v>
      </c>
      <c r="T754" s="96" t="s">
        <v>2212</v>
      </c>
      <c r="U754" s="96" t="s">
        <v>79</v>
      </c>
      <c r="V754" s="92">
        <v>46073</v>
      </c>
      <c r="W754" s="92">
        <v>46141</v>
      </c>
      <c r="X754" s="92">
        <v>46142</v>
      </c>
      <c r="Y754" s="97"/>
      <c r="Z754" s="89"/>
      <c r="AA754" s="96"/>
      <c r="AB754" s="89"/>
      <c r="AC754" s="111"/>
      <c r="AD754" s="89"/>
      <c r="AE754" s="89"/>
      <c r="AF754" s="98"/>
      <c r="AG754" s="98"/>
      <c r="AH754" s="98"/>
      <c r="AI754" s="99"/>
      <c r="AJ754" s="99"/>
      <c r="AK754" s="99"/>
      <c r="AL754" s="45" t="s">
        <v>68</v>
      </c>
      <c r="AM754" s="162" t="str">
        <f t="shared" si="88"/>
        <v>3/2026</v>
      </c>
      <c r="AN754" s="45">
        <f t="shared" si="89"/>
        <v>2</v>
      </c>
      <c r="AO754" s="45" t="str">
        <f t="shared" si="90"/>
        <v>1/1900</v>
      </c>
      <c r="AP754" s="45" t="e">
        <f t="shared" si="91"/>
        <v>#NUM!</v>
      </c>
      <c r="AQ754" s="45">
        <f t="shared" si="92"/>
        <v>0</v>
      </c>
      <c r="AR754" s="45">
        <f t="shared" si="93"/>
        <v>0</v>
      </c>
      <c r="AS754" s="45">
        <f t="shared" si="94"/>
        <v>0</v>
      </c>
      <c r="AT754" s="45">
        <f t="shared" si="95"/>
        <v>0</v>
      </c>
      <c r="AU754" s="45" t="str">
        <f>_xlfn.XLOOKUP(U754,'Lista Suspensa'!$AA$20:$AA$23,'Lista Suspensa'!$AB$20:$AB$23,"N/A")</f>
        <v>S</v>
      </c>
    </row>
    <row r="755" spans="1:47" ht="12" hidden="1" customHeight="1" x14ac:dyDescent="0.3">
      <c r="A755" s="87" t="s">
        <v>67</v>
      </c>
      <c r="B755" s="88">
        <v>46099</v>
      </c>
      <c r="C755" s="89" t="s">
        <v>211</v>
      </c>
      <c r="D755" s="89" t="s">
        <v>49</v>
      </c>
      <c r="E755" s="90">
        <v>794141706</v>
      </c>
      <c r="F755" s="184" t="s">
        <v>2364</v>
      </c>
      <c r="G755" s="91" t="s">
        <v>2365</v>
      </c>
      <c r="H755" s="92">
        <v>14002</v>
      </c>
      <c r="I755" s="89">
        <v>88</v>
      </c>
      <c r="J755" s="89" t="s">
        <v>51</v>
      </c>
      <c r="K755" s="89" t="s">
        <v>52</v>
      </c>
      <c r="L755" s="89" t="s">
        <v>53</v>
      </c>
      <c r="M755" s="89" t="s">
        <v>76</v>
      </c>
      <c r="N755" s="89" t="s">
        <v>252</v>
      </c>
      <c r="O755" s="93">
        <v>0</v>
      </c>
      <c r="P755" s="94" t="s">
        <v>57</v>
      </c>
      <c r="Q755" s="112" t="s">
        <v>2211</v>
      </c>
      <c r="R755" s="95"/>
      <c r="S755" s="96">
        <v>46150</v>
      </c>
      <c r="T755" s="96" t="s">
        <v>2212</v>
      </c>
      <c r="U755" s="96" t="s">
        <v>79</v>
      </c>
      <c r="V755" s="92">
        <v>46112</v>
      </c>
      <c r="W755" s="92">
        <v>46095</v>
      </c>
      <c r="X755" s="92">
        <v>46147</v>
      </c>
      <c r="Y755" s="97"/>
      <c r="Z755" s="89"/>
      <c r="AA755" s="96"/>
      <c r="AB755" s="89"/>
      <c r="AC755" s="111"/>
      <c r="AD755" s="89"/>
      <c r="AE755" s="89"/>
      <c r="AF755" s="98"/>
      <c r="AG755" s="98"/>
      <c r="AH755" s="98"/>
      <c r="AI755" s="99" t="s">
        <v>197</v>
      </c>
      <c r="AJ755" s="99"/>
      <c r="AK755" s="99"/>
      <c r="AL755" s="45" t="s">
        <v>68</v>
      </c>
      <c r="AM755" s="162" t="str">
        <f t="shared" si="88"/>
        <v>3/2026</v>
      </c>
      <c r="AN755" s="45">
        <f t="shared" si="89"/>
        <v>3</v>
      </c>
      <c r="AO755" s="45" t="str">
        <f t="shared" si="90"/>
        <v>1/1900</v>
      </c>
      <c r="AP755" s="45" t="e">
        <f t="shared" si="91"/>
        <v>#NUM!</v>
      </c>
      <c r="AQ755" s="45">
        <f t="shared" si="92"/>
        <v>0</v>
      </c>
      <c r="AR755" s="45">
        <f t="shared" si="93"/>
        <v>0</v>
      </c>
      <c r="AS755" s="45">
        <f t="shared" si="94"/>
        <v>0</v>
      </c>
      <c r="AT755" s="45">
        <f t="shared" si="95"/>
        <v>0</v>
      </c>
      <c r="AU755" s="45" t="str">
        <f>_xlfn.XLOOKUP(U755,'Lista Suspensa'!$AA$20:$AA$23,'Lista Suspensa'!$AB$20:$AB$23,"N/A")</f>
        <v>S</v>
      </c>
    </row>
    <row r="756" spans="1:47" ht="12" hidden="1" customHeight="1" x14ac:dyDescent="0.3">
      <c r="A756" s="87" t="s">
        <v>47</v>
      </c>
      <c r="B756" s="88">
        <v>46104</v>
      </c>
      <c r="C756" s="89" t="s">
        <v>48</v>
      </c>
      <c r="D756" s="89" t="s">
        <v>49</v>
      </c>
      <c r="E756" s="90">
        <v>757441289</v>
      </c>
      <c r="F756" s="184" t="s">
        <v>2366</v>
      </c>
      <c r="G756" s="91">
        <v>19213409320</v>
      </c>
      <c r="H756" s="92">
        <v>15534</v>
      </c>
      <c r="I756" s="89">
        <v>83</v>
      </c>
      <c r="J756" s="89" t="s">
        <v>51</v>
      </c>
      <c r="K756" s="89" t="s">
        <v>88</v>
      </c>
      <c r="L756" s="89" t="s">
        <v>454</v>
      </c>
      <c r="M756" s="89" t="s">
        <v>700</v>
      </c>
      <c r="N756" s="89" t="s">
        <v>252</v>
      </c>
      <c r="O756" s="93" t="s">
        <v>2367</v>
      </c>
      <c r="P756" s="94" t="s">
        <v>57</v>
      </c>
      <c r="Q756" s="112" t="s">
        <v>2211</v>
      </c>
      <c r="R756" s="95"/>
      <c r="S756" s="96">
        <v>46164</v>
      </c>
      <c r="T756" s="96" t="s">
        <v>2212</v>
      </c>
      <c r="U756" s="96" t="s">
        <v>79</v>
      </c>
      <c r="V756" s="92">
        <v>46140</v>
      </c>
      <c r="W756" s="92">
        <v>46147</v>
      </c>
      <c r="X756" s="92">
        <v>46154</v>
      </c>
      <c r="Y756" s="97"/>
      <c r="Z756" s="89"/>
      <c r="AA756" s="96"/>
      <c r="AB756" s="89"/>
      <c r="AC756" s="111"/>
      <c r="AD756" s="89"/>
      <c r="AE756" s="89"/>
      <c r="AF756" s="98"/>
      <c r="AG756" s="98"/>
      <c r="AH756" s="98"/>
      <c r="AI756" s="99"/>
      <c r="AJ756" s="99"/>
      <c r="AK756" s="99"/>
      <c r="AL756" s="45" t="s">
        <v>68</v>
      </c>
      <c r="AM756" s="162" t="str">
        <f t="shared" si="88"/>
        <v>3/2026</v>
      </c>
      <c r="AN756" s="45">
        <f t="shared" si="89"/>
        <v>4</v>
      </c>
      <c r="AO756" s="45" t="str">
        <f t="shared" si="90"/>
        <v>1/1900</v>
      </c>
      <c r="AP756" s="45" t="e">
        <f t="shared" si="91"/>
        <v>#NUM!</v>
      </c>
      <c r="AQ756" s="45">
        <f t="shared" si="92"/>
        <v>0</v>
      </c>
      <c r="AR756" s="45">
        <f t="shared" si="93"/>
        <v>0</v>
      </c>
      <c r="AS756" s="45">
        <f t="shared" si="94"/>
        <v>0</v>
      </c>
      <c r="AT756" s="45">
        <f t="shared" si="95"/>
        <v>0</v>
      </c>
      <c r="AU756" s="45" t="str">
        <f>_xlfn.XLOOKUP(U756,'Lista Suspensa'!$AA$20:$AA$23,'Lista Suspensa'!$AB$20:$AB$23,"N/A")</f>
        <v>S</v>
      </c>
    </row>
    <row r="757" spans="1:47" ht="12" hidden="1" customHeight="1" x14ac:dyDescent="0.3">
      <c r="A757" s="87" t="s">
        <v>47</v>
      </c>
      <c r="B757" s="88">
        <v>46104</v>
      </c>
      <c r="C757" s="89" t="s">
        <v>48</v>
      </c>
      <c r="D757" s="89" t="s">
        <v>49</v>
      </c>
      <c r="E757" s="90">
        <v>759513775</v>
      </c>
      <c r="F757" s="184" t="s">
        <v>2368</v>
      </c>
      <c r="G757" s="91">
        <v>4760864776</v>
      </c>
      <c r="H757" s="92">
        <v>15708</v>
      </c>
      <c r="I757" s="89">
        <v>83</v>
      </c>
      <c r="J757" s="89" t="s">
        <v>70</v>
      </c>
      <c r="K757" s="89" t="s">
        <v>88</v>
      </c>
      <c r="L757" s="89" t="s">
        <v>89</v>
      </c>
      <c r="M757" s="89" t="s">
        <v>1666</v>
      </c>
      <c r="N757" s="89" t="s">
        <v>252</v>
      </c>
      <c r="O757" s="93" t="s">
        <v>2369</v>
      </c>
      <c r="P757" s="94" t="s">
        <v>57</v>
      </c>
      <c r="Q757" s="112" t="s">
        <v>2211</v>
      </c>
      <c r="R757" s="95"/>
      <c r="S757" s="96">
        <v>46164</v>
      </c>
      <c r="T757" s="96" t="s">
        <v>2212</v>
      </c>
      <c r="U757" s="96" t="s">
        <v>79</v>
      </c>
      <c r="V757" s="92">
        <v>46140</v>
      </c>
      <c r="W757" s="92">
        <v>46147</v>
      </c>
      <c r="X757" s="92">
        <v>46154</v>
      </c>
      <c r="Y757" s="97"/>
      <c r="Z757" s="89"/>
      <c r="AA757" s="96"/>
      <c r="AB757" s="89"/>
      <c r="AC757" s="111"/>
      <c r="AD757" s="89"/>
      <c r="AE757" s="89"/>
      <c r="AF757" s="98"/>
      <c r="AG757" s="98"/>
      <c r="AH757" s="98"/>
      <c r="AI757" s="99"/>
      <c r="AJ757" s="99"/>
      <c r="AK757" s="99"/>
      <c r="AL757" s="45" t="s">
        <v>68</v>
      </c>
      <c r="AM757" s="162" t="str">
        <f t="shared" si="88"/>
        <v>3/2026</v>
      </c>
      <c r="AN757" s="45">
        <f t="shared" si="89"/>
        <v>4</v>
      </c>
      <c r="AO757" s="45" t="str">
        <f t="shared" si="90"/>
        <v>1/1900</v>
      </c>
      <c r="AP757" s="45" t="e">
        <f t="shared" si="91"/>
        <v>#NUM!</v>
      </c>
      <c r="AQ757" s="45">
        <f t="shared" si="92"/>
        <v>0</v>
      </c>
      <c r="AR757" s="45">
        <f t="shared" si="93"/>
        <v>0</v>
      </c>
      <c r="AS757" s="45">
        <f t="shared" si="94"/>
        <v>0</v>
      </c>
      <c r="AT757" s="45">
        <f t="shared" si="95"/>
        <v>0</v>
      </c>
      <c r="AU757" s="45" t="str">
        <f>_xlfn.XLOOKUP(U757,'Lista Suspensa'!$AA$20:$AA$23,'Lista Suspensa'!$AB$20:$AB$23,"N/A")</f>
        <v>S</v>
      </c>
    </row>
    <row r="758" spans="1:47" ht="12" hidden="1" customHeight="1" x14ac:dyDescent="0.3">
      <c r="A758" s="87" t="s">
        <v>47</v>
      </c>
      <c r="B758" s="88">
        <v>46104</v>
      </c>
      <c r="C758" s="89" t="s">
        <v>48</v>
      </c>
      <c r="D758" s="89" t="s">
        <v>49</v>
      </c>
      <c r="E758" s="90">
        <v>450146820</v>
      </c>
      <c r="F758" s="184" t="s">
        <v>2370</v>
      </c>
      <c r="G758" s="91">
        <v>5347335815</v>
      </c>
      <c r="H758" s="92">
        <v>16619</v>
      </c>
      <c r="I758" s="89">
        <v>80</v>
      </c>
      <c r="J758" s="89" t="s">
        <v>51</v>
      </c>
      <c r="K758" s="89" t="s">
        <v>52</v>
      </c>
      <c r="L758" s="89" t="s">
        <v>283</v>
      </c>
      <c r="M758" s="89" t="s">
        <v>151</v>
      </c>
      <c r="N758" s="89" t="s">
        <v>252</v>
      </c>
      <c r="O758" s="93" t="s">
        <v>2371</v>
      </c>
      <c r="P758" s="94" t="s">
        <v>57</v>
      </c>
      <c r="Q758" s="112" t="s">
        <v>2211</v>
      </c>
      <c r="R758" s="95"/>
      <c r="S758" s="96">
        <v>46164</v>
      </c>
      <c r="T758" s="96" t="s">
        <v>2212</v>
      </c>
      <c r="U758" s="96" t="s">
        <v>79</v>
      </c>
      <c r="V758" s="92">
        <v>46140</v>
      </c>
      <c r="W758" s="92">
        <v>46147</v>
      </c>
      <c r="X758" s="92">
        <v>46154</v>
      </c>
      <c r="Y758" s="97"/>
      <c r="Z758" s="89"/>
      <c r="AA758" s="96"/>
      <c r="AB758" s="89"/>
      <c r="AC758" s="111"/>
      <c r="AD758" s="89"/>
      <c r="AE758" s="89"/>
      <c r="AF758" s="98"/>
      <c r="AG758" s="98"/>
      <c r="AH758" s="98"/>
      <c r="AI758" s="99"/>
      <c r="AJ758" s="99"/>
      <c r="AK758" s="99"/>
      <c r="AL758" s="45" t="s">
        <v>68</v>
      </c>
      <c r="AM758" s="162" t="str">
        <f t="shared" si="88"/>
        <v>3/2026</v>
      </c>
      <c r="AN758" s="45">
        <f t="shared" si="89"/>
        <v>4</v>
      </c>
      <c r="AO758" s="45" t="str">
        <f t="shared" si="90"/>
        <v>1/1900</v>
      </c>
      <c r="AP758" s="45" t="e">
        <f t="shared" si="91"/>
        <v>#NUM!</v>
      </c>
      <c r="AQ758" s="45">
        <f t="shared" si="92"/>
        <v>0</v>
      </c>
      <c r="AR758" s="45">
        <f t="shared" si="93"/>
        <v>0</v>
      </c>
      <c r="AS758" s="45">
        <f t="shared" si="94"/>
        <v>0</v>
      </c>
      <c r="AT758" s="45">
        <f t="shared" si="95"/>
        <v>0</v>
      </c>
      <c r="AU758" s="45" t="str">
        <f>_xlfn.XLOOKUP(U758,'Lista Suspensa'!$AA$20:$AA$23,'Lista Suspensa'!$AB$20:$AB$23,"N/A")</f>
        <v>S</v>
      </c>
    </row>
    <row r="759" spans="1:47" ht="12" hidden="1" customHeight="1" x14ac:dyDescent="0.3">
      <c r="A759" s="87" t="s">
        <v>47</v>
      </c>
      <c r="B759" s="88">
        <v>46104</v>
      </c>
      <c r="C759" s="89" t="s">
        <v>48</v>
      </c>
      <c r="D759" s="89" t="s">
        <v>49</v>
      </c>
      <c r="E759" s="90">
        <v>746262965</v>
      </c>
      <c r="F759" s="184" t="s">
        <v>2372</v>
      </c>
      <c r="G759" s="91">
        <v>6841830725</v>
      </c>
      <c r="H759" s="92">
        <v>12835</v>
      </c>
      <c r="I759" s="89">
        <v>91</v>
      </c>
      <c r="J759" s="89" t="s">
        <v>51</v>
      </c>
      <c r="K759" s="89" t="s">
        <v>88</v>
      </c>
      <c r="L759" s="89" t="s">
        <v>89</v>
      </c>
      <c r="M759" s="89" t="s">
        <v>1074</v>
      </c>
      <c r="N759" s="89" t="s">
        <v>252</v>
      </c>
      <c r="O759" s="93" t="s">
        <v>2373</v>
      </c>
      <c r="P759" s="94" t="s">
        <v>57</v>
      </c>
      <c r="Q759" s="112" t="s">
        <v>2211</v>
      </c>
      <c r="R759" s="95"/>
      <c r="S759" s="96">
        <v>46164</v>
      </c>
      <c r="T759" s="96" t="s">
        <v>2212</v>
      </c>
      <c r="U759" s="96" t="s">
        <v>79</v>
      </c>
      <c r="V759" s="92">
        <v>46140</v>
      </c>
      <c r="W759" s="92">
        <v>46147</v>
      </c>
      <c r="X759" s="92">
        <v>46154</v>
      </c>
      <c r="Y759" s="97"/>
      <c r="Z759" s="89"/>
      <c r="AA759" s="96"/>
      <c r="AB759" s="89"/>
      <c r="AC759" s="111"/>
      <c r="AD759" s="89"/>
      <c r="AE759" s="89"/>
      <c r="AF759" s="98"/>
      <c r="AG759" s="98"/>
      <c r="AH759" s="98"/>
      <c r="AI759" s="99"/>
      <c r="AJ759" s="99"/>
      <c r="AK759" s="99"/>
      <c r="AL759" s="45" t="s">
        <v>68</v>
      </c>
      <c r="AM759" s="162" t="str">
        <f t="shared" si="88"/>
        <v>3/2026</v>
      </c>
      <c r="AN759" s="45">
        <f t="shared" si="89"/>
        <v>4</v>
      </c>
      <c r="AO759" s="45" t="str">
        <f t="shared" si="90"/>
        <v>1/1900</v>
      </c>
      <c r="AP759" s="45" t="e">
        <f t="shared" si="91"/>
        <v>#NUM!</v>
      </c>
      <c r="AQ759" s="45">
        <f t="shared" si="92"/>
        <v>0</v>
      </c>
      <c r="AR759" s="45">
        <f t="shared" si="93"/>
        <v>0</v>
      </c>
      <c r="AS759" s="45">
        <f t="shared" si="94"/>
        <v>0</v>
      </c>
      <c r="AT759" s="45">
        <f t="shared" si="95"/>
        <v>0</v>
      </c>
      <c r="AU759" s="45" t="str">
        <f>_xlfn.XLOOKUP(U759,'Lista Suspensa'!$AA$20:$AA$23,'Lista Suspensa'!$AB$20:$AB$23,"N/A")</f>
        <v>S</v>
      </c>
    </row>
    <row r="760" spans="1:47" ht="12" hidden="1" customHeight="1" x14ac:dyDescent="0.3">
      <c r="A760" s="87" t="s">
        <v>47</v>
      </c>
      <c r="B760" s="88">
        <v>46104</v>
      </c>
      <c r="C760" s="89" t="s">
        <v>48</v>
      </c>
      <c r="D760" s="89" t="s">
        <v>49</v>
      </c>
      <c r="E760" s="90">
        <v>746612800</v>
      </c>
      <c r="F760" s="184" t="s">
        <v>2374</v>
      </c>
      <c r="G760" s="91">
        <v>18151540710</v>
      </c>
      <c r="H760" s="92">
        <v>10626</v>
      </c>
      <c r="I760" s="89">
        <v>97</v>
      </c>
      <c r="J760" s="89" t="s">
        <v>51</v>
      </c>
      <c r="K760" s="89" t="s">
        <v>88</v>
      </c>
      <c r="L760" s="89" t="s">
        <v>89</v>
      </c>
      <c r="M760" s="89" t="s">
        <v>384</v>
      </c>
      <c r="N760" s="89" t="s">
        <v>252</v>
      </c>
      <c r="O760" s="93" t="s">
        <v>2375</v>
      </c>
      <c r="P760" s="94" t="s">
        <v>57</v>
      </c>
      <c r="Q760" s="112" t="s">
        <v>2211</v>
      </c>
      <c r="R760" s="95"/>
      <c r="S760" s="96">
        <v>46164</v>
      </c>
      <c r="T760" s="96" t="s">
        <v>2212</v>
      </c>
      <c r="U760" s="96" t="s">
        <v>79</v>
      </c>
      <c r="V760" s="92">
        <v>46140</v>
      </c>
      <c r="W760" s="92">
        <v>46147</v>
      </c>
      <c r="X760" s="92">
        <v>46154</v>
      </c>
      <c r="Y760" s="97"/>
      <c r="Z760" s="89"/>
      <c r="AA760" s="96"/>
      <c r="AB760" s="89"/>
      <c r="AC760" s="111"/>
      <c r="AD760" s="89"/>
      <c r="AE760" s="89"/>
      <c r="AF760" s="98"/>
      <c r="AG760" s="98"/>
      <c r="AH760" s="98"/>
      <c r="AI760" s="99"/>
      <c r="AJ760" s="99"/>
      <c r="AK760" s="99"/>
      <c r="AL760" s="45" t="s">
        <v>68</v>
      </c>
      <c r="AM760" s="162" t="str">
        <f t="shared" si="88"/>
        <v>3/2026</v>
      </c>
      <c r="AN760" s="45">
        <f t="shared" si="89"/>
        <v>4</v>
      </c>
      <c r="AO760" s="45" t="str">
        <f t="shared" si="90"/>
        <v>1/1900</v>
      </c>
      <c r="AP760" s="45" t="e">
        <f t="shared" si="91"/>
        <v>#NUM!</v>
      </c>
      <c r="AQ760" s="45">
        <f t="shared" si="92"/>
        <v>0</v>
      </c>
      <c r="AR760" s="45">
        <f t="shared" si="93"/>
        <v>0</v>
      </c>
      <c r="AS760" s="45">
        <f t="shared" si="94"/>
        <v>0</v>
      </c>
      <c r="AT760" s="45">
        <f t="shared" si="95"/>
        <v>0</v>
      </c>
      <c r="AU760" s="45" t="str">
        <f>_xlfn.XLOOKUP(U760,'Lista Suspensa'!$AA$20:$AA$23,'Lista Suspensa'!$AB$20:$AB$23,"N/A")</f>
        <v>S</v>
      </c>
    </row>
    <row r="761" spans="1:47" ht="12" hidden="1" customHeight="1" x14ac:dyDescent="0.3">
      <c r="A761" s="87" t="s">
        <v>47</v>
      </c>
      <c r="B761" s="88">
        <v>46104</v>
      </c>
      <c r="C761" s="89" t="s">
        <v>48</v>
      </c>
      <c r="D761" s="89" t="s">
        <v>49</v>
      </c>
      <c r="E761" s="90">
        <v>861361857</v>
      </c>
      <c r="F761" s="184" t="s">
        <v>2376</v>
      </c>
      <c r="G761" s="91">
        <v>8369530885</v>
      </c>
      <c r="H761" s="92">
        <v>24815</v>
      </c>
      <c r="I761" s="89">
        <v>58</v>
      </c>
      <c r="J761" s="89" t="s">
        <v>70</v>
      </c>
      <c r="K761" s="89" t="s">
        <v>52</v>
      </c>
      <c r="L761" s="89" t="s">
        <v>780</v>
      </c>
      <c r="M761" s="89" t="s">
        <v>918</v>
      </c>
      <c r="N761" s="89" t="s">
        <v>252</v>
      </c>
      <c r="O761" s="93" t="s">
        <v>2377</v>
      </c>
      <c r="P761" s="94" t="s">
        <v>57</v>
      </c>
      <c r="Q761" s="112" t="s">
        <v>2211</v>
      </c>
      <c r="R761" s="95"/>
      <c r="S761" s="96">
        <v>46164</v>
      </c>
      <c r="T761" s="96" t="s">
        <v>2212</v>
      </c>
      <c r="U761" s="96" t="s">
        <v>79</v>
      </c>
      <c r="V761" s="92">
        <v>46128</v>
      </c>
      <c r="W761" s="92">
        <v>46147</v>
      </c>
      <c r="X761" s="92">
        <v>46154</v>
      </c>
      <c r="Y761" s="97"/>
      <c r="Z761" s="89"/>
      <c r="AA761" s="96"/>
      <c r="AB761" s="89"/>
      <c r="AC761" s="111"/>
      <c r="AD761" s="89"/>
      <c r="AE761" s="89"/>
      <c r="AF761" s="98"/>
      <c r="AG761" s="98"/>
      <c r="AH761" s="98"/>
      <c r="AI761" s="99"/>
      <c r="AJ761" s="99"/>
      <c r="AK761" s="99"/>
      <c r="AL761" s="45" t="s">
        <v>68</v>
      </c>
      <c r="AM761" s="162" t="str">
        <f t="shared" si="88"/>
        <v>3/2026</v>
      </c>
      <c r="AN761" s="45">
        <f t="shared" si="89"/>
        <v>4</v>
      </c>
      <c r="AO761" s="45" t="str">
        <f t="shared" si="90"/>
        <v>1/1900</v>
      </c>
      <c r="AP761" s="45" t="e">
        <f t="shared" si="91"/>
        <v>#NUM!</v>
      </c>
      <c r="AQ761" s="45">
        <f t="shared" si="92"/>
        <v>0</v>
      </c>
      <c r="AR761" s="45">
        <f t="shared" si="93"/>
        <v>0</v>
      </c>
      <c r="AS761" s="45">
        <f t="shared" si="94"/>
        <v>0</v>
      </c>
      <c r="AT761" s="45">
        <f t="shared" si="95"/>
        <v>0</v>
      </c>
      <c r="AU761" s="45" t="str">
        <f>_xlfn.XLOOKUP(U761,'Lista Suspensa'!$AA$20:$AA$23,'Lista Suspensa'!$AB$20:$AB$23,"N/A")</f>
        <v>S</v>
      </c>
    </row>
    <row r="762" spans="1:47" ht="12" hidden="1" customHeight="1" x14ac:dyDescent="0.3">
      <c r="A762" s="87" t="s">
        <v>47</v>
      </c>
      <c r="B762" s="88">
        <v>46104</v>
      </c>
      <c r="C762" s="89" t="s">
        <v>48</v>
      </c>
      <c r="D762" s="89" t="s">
        <v>49</v>
      </c>
      <c r="E762" s="90">
        <v>809515970</v>
      </c>
      <c r="F762" s="184" t="s">
        <v>2378</v>
      </c>
      <c r="G762" s="91">
        <v>9437958858</v>
      </c>
      <c r="H762" s="92">
        <v>21633</v>
      </c>
      <c r="I762" s="89">
        <v>66</v>
      </c>
      <c r="J762" s="89" t="s">
        <v>70</v>
      </c>
      <c r="K762" s="89" t="s">
        <v>52</v>
      </c>
      <c r="L762" s="89" t="s">
        <v>53</v>
      </c>
      <c r="M762" s="89" t="s">
        <v>918</v>
      </c>
      <c r="N762" s="89" t="s">
        <v>252</v>
      </c>
      <c r="O762" s="93" t="s">
        <v>2379</v>
      </c>
      <c r="P762" s="94" t="s">
        <v>57</v>
      </c>
      <c r="Q762" s="112" t="s">
        <v>2211</v>
      </c>
      <c r="R762" s="95"/>
      <c r="S762" s="96">
        <v>46164</v>
      </c>
      <c r="T762" s="96" t="s">
        <v>2212</v>
      </c>
      <c r="U762" s="96" t="s">
        <v>79</v>
      </c>
      <c r="V762" s="92">
        <v>46140</v>
      </c>
      <c r="W762" s="92">
        <v>46147</v>
      </c>
      <c r="X762" s="92">
        <v>46154</v>
      </c>
      <c r="Y762" s="97"/>
      <c r="Z762" s="89"/>
      <c r="AA762" s="96"/>
      <c r="AB762" s="89"/>
      <c r="AC762" s="111"/>
      <c r="AD762" s="89"/>
      <c r="AE762" s="89"/>
      <c r="AF762" s="98"/>
      <c r="AG762" s="98"/>
      <c r="AH762" s="98"/>
      <c r="AI762" s="99"/>
      <c r="AJ762" s="99"/>
      <c r="AK762" s="99"/>
      <c r="AL762" s="45" t="s">
        <v>68</v>
      </c>
      <c r="AM762" s="162" t="str">
        <f t="shared" si="88"/>
        <v>3/2026</v>
      </c>
      <c r="AN762" s="45">
        <f t="shared" si="89"/>
        <v>4</v>
      </c>
      <c r="AO762" s="45" t="str">
        <f t="shared" si="90"/>
        <v>1/1900</v>
      </c>
      <c r="AP762" s="45" t="e">
        <f t="shared" si="91"/>
        <v>#NUM!</v>
      </c>
      <c r="AQ762" s="45">
        <f t="shared" si="92"/>
        <v>0</v>
      </c>
      <c r="AR762" s="45">
        <f t="shared" si="93"/>
        <v>0</v>
      </c>
      <c r="AS762" s="45">
        <f t="shared" si="94"/>
        <v>0</v>
      </c>
      <c r="AT762" s="45">
        <f t="shared" si="95"/>
        <v>0</v>
      </c>
      <c r="AU762" s="45" t="str">
        <f>_xlfn.XLOOKUP(U762,'Lista Suspensa'!$AA$20:$AA$23,'Lista Suspensa'!$AB$20:$AB$23,"N/A")</f>
        <v>S</v>
      </c>
    </row>
    <row r="763" spans="1:47" ht="12" hidden="1" customHeight="1" x14ac:dyDescent="0.3">
      <c r="A763" s="87" t="s">
        <v>47</v>
      </c>
      <c r="B763" s="88">
        <v>46104</v>
      </c>
      <c r="C763" s="89" t="s">
        <v>48</v>
      </c>
      <c r="D763" s="89" t="s">
        <v>49</v>
      </c>
      <c r="E763" s="90">
        <v>758843283</v>
      </c>
      <c r="F763" s="184" t="s">
        <v>2380</v>
      </c>
      <c r="G763" s="91">
        <v>36323225700</v>
      </c>
      <c r="H763" s="92">
        <v>17089</v>
      </c>
      <c r="I763" s="89">
        <v>79</v>
      </c>
      <c r="J763" s="89" t="s">
        <v>51</v>
      </c>
      <c r="K763" s="89" t="s">
        <v>88</v>
      </c>
      <c r="L763" s="89" t="s">
        <v>89</v>
      </c>
      <c r="M763" s="89" t="s">
        <v>1459</v>
      </c>
      <c r="N763" s="89" t="s">
        <v>252</v>
      </c>
      <c r="O763" s="93" t="s">
        <v>2381</v>
      </c>
      <c r="P763" s="94" t="s">
        <v>57</v>
      </c>
      <c r="Q763" s="112" t="s">
        <v>2211</v>
      </c>
      <c r="R763" s="95"/>
      <c r="S763" s="96">
        <v>46164</v>
      </c>
      <c r="T763" s="96" t="s">
        <v>2212</v>
      </c>
      <c r="U763" s="96" t="s">
        <v>79</v>
      </c>
      <c r="V763" s="92">
        <v>46140</v>
      </c>
      <c r="W763" s="92">
        <v>46147</v>
      </c>
      <c r="X763" s="92">
        <v>46154</v>
      </c>
      <c r="Y763" s="97"/>
      <c r="Z763" s="89"/>
      <c r="AA763" s="96"/>
      <c r="AB763" s="89"/>
      <c r="AC763" s="111"/>
      <c r="AD763" s="89"/>
      <c r="AE763" s="89"/>
      <c r="AF763" s="98"/>
      <c r="AG763" s="98"/>
      <c r="AH763" s="98"/>
      <c r="AI763" s="99"/>
      <c r="AJ763" s="99"/>
      <c r="AK763" s="99"/>
      <c r="AL763" s="45" t="s">
        <v>68</v>
      </c>
      <c r="AM763" s="162" t="str">
        <f t="shared" si="88"/>
        <v>3/2026</v>
      </c>
      <c r="AN763" s="45">
        <f t="shared" si="89"/>
        <v>4</v>
      </c>
      <c r="AO763" s="45" t="str">
        <f t="shared" si="90"/>
        <v>1/1900</v>
      </c>
      <c r="AP763" s="45" t="e">
        <f t="shared" si="91"/>
        <v>#NUM!</v>
      </c>
      <c r="AQ763" s="45">
        <f t="shared" si="92"/>
        <v>0</v>
      </c>
      <c r="AR763" s="45">
        <f t="shared" si="93"/>
        <v>0</v>
      </c>
      <c r="AS763" s="45">
        <f t="shared" si="94"/>
        <v>0</v>
      </c>
      <c r="AT763" s="45">
        <f t="shared" si="95"/>
        <v>0</v>
      </c>
      <c r="AU763" s="45" t="str">
        <f>_xlfn.XLOOKUP(U763,'Lista Suspensa'!$AA$20:$AA$23,'Lista Suspensa'!$AB$20:$AB$23,"N/A")</f>
        <v>S</v>
      </c>
    </row>
    <row r="764" spans="1:47" ht="12" hidden="1" customHeight="1" x14ac:dyDescent="0.3">
      <c r="A764" s="87" t="s">
        <v>47</v>
      </c>
      <c r="B764" s="88">
        <v>46104</v>
      </c>
      <c r="C764" s="89" t="s">
        <v>48</v>
      </c>
      <c r="D764" s="89" t="s">
        <v>49</v>
      </c>
      <c r="E764" s="90">
        <v>753078830</v>
      </c>
      <c r="F764" s="184" t="s">
        <v>2382</v>
      </c>
      <c r="G764" s="91">
        <v>673609200</v>
      </c>
      <c r="H764" s="92">
        <v>18264</v>
      </c>
      <c r="I764" s="89">
        <v>76</v>
      </c>
      <c r="J764" s="89" t="s">
        <v>51</v>
      </c>
      <c r="K764" s="89" t="s">
        <v>88</v>
      </c>
      <c r="L764" s="89" t="s">
        <v>89</v>
      </c>
      <c r="M764" s="89" t="s">
        <v>469</v>
      </c>
      <c r="N764" s="89" t="s">
        <v>252</v>
      </c>
      <c r="O764" s="93" t="s">
        <v>2383</v>
      </c>
      <c r="P764" s="94" t="s">
        <v>57</v>
      </c>
      <c r="Q764" s="112" t="s">
        <v>2211</v>
      </c>
      <c r="R764" s="95"/>
      <c r="S764" s="96">
        <v>46164</v>
      </c>
      <c r="T764" s="96" t="s">
        <v>2212</v>
      </c>
      <c r="U764" s="96" t="s">
        <v>79</v>
      </c>
      <c r="V764" s="92">
        <v>46128</v>
      </c>
      <c r="W764" s="92">
        <v>46147</v>
      </c>
      <c r="X764" s="92">
        <v>46154</v>
      </c>
      <c r="Y764" s="97"/>
      <c r="Z764" s="89"/>
      <c r="AA764" s="96"/>
      <c r="AB764" s="89"/>
      <c r="AC764" s="111"/>
      <c r="AD764" s="89"/>
      <c r="AE764" s="89"/>
      <c r="AF764" s="98"/>
      <c r="AG764" s="98"/>
      <c r="AH764" s="98"/>
      <c r="AI764" s="99"/>
      <c r="AJ764" s="99"/>
      <c r="AK764" s="99"/>
      <c r="AL764" s="45" t="s">
        <v>68</v>
      </c>
      <c r="AM764" s="162" t="str">
        <f t="shared" si="88"/>
        <v>3/2026</v>
      </c>
      <c r="AN764" s="45">
        <f t="shared" si="89"/>
        <v>4</v>
      </c>
      <c r="AO764" s="45" t="str">
        <f t="shared" si="90"/>
        <v>1/1900</v>
      </c>
      <c r="AP764" s="45" t="e">
        <f t="shared" si="91"/>
        <v>#NUM!</v>
      </c>
      <c r="AQ764" s="45">
        <f t="shared" si="92"/>
        <v>0</v>
      </c>
      <c r="AR764" s="45">
        <f t="shared" si="93"/>
        <v>0</v>
      </c>
      <c r="AS764" s="45">
        <f t="shared" si="94"/>
        <v>0</v>
      </c>
      <c r="AT764" s="45">
        <f t="shared" si="95"/>
        <v>0</v>
      </c>
      <c r="AU764" s="45" t="str">
        <f>_xlfn.XLOOKUP(U764,'Lista Suspensa'!$AA$20:$AA$23,'Lista Suspensa'!$AB$20:$AB$23,"N/A")</f>
        <v>S</v>
      </c>
    </row>
    <row r="765" spans="1:47" ht="12" hidden="1" customHeight="1" x14ac:dyDescent="0.3">
      <c r="A765" s="87" t="s">
        <v>47</v>
      </c>
      <c r="B765" s="88">
        <v>46104</v>
      </c>
      <c r="C765" s="89" t="s">
        <v>48</v>
      </c>
      <c r="D765" s="89" t="s">
        <v>49</v>
      </c>
      <c r="E765" s="90">
        <v>756929431</v>
      </c>
      <c r="F765" s="184" t="s">
        <v>2384</v>
      </c>
      <c r="G765" s="91">
        <v>3687999645</v>
      </c>
      <c r="H765" s="92">
        <v>18157</v>
      </c>
      <c r="I765" s="89">
        <v>76</v>
      </c>
      <c r="J765" s="89" t="s">
        <v>70</v>
      </c>
      <c r="K765" s="89" t="s">
        <v>88</v>
      </c>
      <c r="L765" s="89" t="s">
        <v>408</v>
      </c>
      <c r="M765" s="89" t="s">
        <v>2385</v>
      </c>
      <c r="N765" s="89" t="s">
        <v>252</v>
      </c>
      <c r="O765" s="93" t="s">
        <v>2386</v>
      </c>
      <c r="P765" s="94" t="s">
        <v>57</v>
      </c>
      <c r="Q765" s="112" t="s">
        <v>2211</v>
      </c>
      <c r="R765" s="95"/>
      <c r="S765" s="96">
        <v>46164</v>
      </c>
      <c r="T765" s="96" t="s">
        <v>2212</v>
      </c>
      <c r="U765" s="96" t="s">
        <v>79</v>
      </c>
      <c r="V765" s="92">
        <v>46140</v>
      </c>
      <c r="W765" s="92">
        <v>46147</v>
      </c>
      <c r="X765" s="92">
        <v>46154</v>
      </c>
      <c r="Y765" s="97"/>
      <c r="Z765" s="89"/>
      <c r="AA765" s="96"/>
      <c r="AB765" s="89"/>
      <c r="AC765" s="111"/>
      <c r="AD765" s="89"/>
      <c r="AE765" s="89"/>
      <c r="AF765" s="98"/>
      <c r="AG765" s="98"/>
      <c r="AH765" s="98"/>
      <c r="AI765" s="99"/>
      <c r="AJ765" s="99"/>
      <c r="AK765" s="99"/>
      <c r="AL765" s="45" t="s">
        <v>68</v>
      </c>
      <c r="AM765" s="162" t="str">
        <f t="shared" si="88"/>
        <v>3/2026</v>
      </c>
      <c r="AN765" s="45">
        <f t="shared" si="89"/>
        <v>4</v>
      </c>
      <c r="AO765" s="45" t="str">
        <f t="shared" si="90"/>
        <v>1/1900</v>
      </c>
      <c r="AP765" s="45" t="e">
        <f t="shared" si="91"/>
        <v>#NUM!</v>
      </c>
      <c r="AQ765" s="45">
        <f t="shared" si="92"/>
        <v>0</v>
      </c>
      <c r="AR765" s="45">
        <f t="shared" si="93"/>
        <v>0</v>
      </c>
      <c r="AS765" s="45">
        <f t="shared" si="94"/>
        <v>0</v>
      </c>
      <c r="AT765" s="45">
        <f t="shared" si="95"/>
        <v>0</v>
      </c>
      <c r="AU765" s="45" t="str">
        <f>_xlfn.XLOOKUP(U765,'Lista Suspensa'!$AA$20:$AA$23,'Lista Suspensa'!$AB$20:$AB$23,"N/A")</f>
        <v>S</v>
      </c>
    </row>
    <row r="766" spans="1:47" ht="12" hidden="1" customHeight="1" x14ac:dyDescent="0.3">
      <c r="A766" s="87" t="s">
        <v>47</v>
      </c>
      <c r="B766" s="88">
        <v>46104</v>
      </c>
      <c r="C766" s="89" t="s">
        <v>48</v>
      </c>
      <c r="D766" s="89" t="s">
        <v>49</v>
      </c>
      <c r="E766" s="90">
        <v>751860921</v>
      </c>
      <c r="F766" s="184" t="s">
        <v>2387</v>
      </c>
      <c r="G766" s="91">
        <v>3052362704</v>
      </c>
      <c r="H766" s="92">
        <v>16585</v>
      </c>
      <c r="I766" s="89">
        <v>80</v>
      </c>
      <c r="J766" s="89" t="s">
        <v>70</v>
      </c>
      <c r="K766" s="89" t="s">
        <v>88</v>
      </c>
      <c r="L766" s="89" t="s">
        <v>89</v>
      </c>
      <c r="M766" s="89" t="s">
        <v>1282</v>
      </c>
      <c r="N766" s="89" t="s">
        <v>252</v>
      </c>
      <c r="O766" s="93" t="s">
        <v>2388</v>
      </c>
      <c r="P766" s="94" t="s">
        <v>57</v>
      </c>
      <c r="Q766" s="112" t="s">
        <v>2211</v>
      </c>
      <c r="R766" s="95"/>
      <c r="S766" s="96">
        <v>46164</v>
      </c>
      <c r="T766" s="96" t="s">
        <v>2212</v>
      </c>
      <c r="U766" s="96" t="s">
        <v>79</v>
      </c>
      <c r="V766" s="92">
        <v>46140</v>
      </c>
      <c r="W766" s="92">
        <v>46147</v>
      </c>
      <c r="X766" s="92">
        <v>46154</v>
      </c>
      <c r="Y766" s="97"/>
      <c r="Z766" s="89"/>
      <c r="AA766" s="96"/>
      <c r="AB766" s="89"/>
      <c r="AC766" s="111"/>
      <c r="AD766" s="89"/>
      <c r="AE766" s="89"/>
      <c r="AF766" s="98"/>
      <c r="AG766" s="98"/>
      <c r="AH766" s="98"/>
      <c r="AI766" s="99"/>
      <c r="AJ766" s="99"/>
      <c r="AK766" s="99"/>
      <c r="AL766" s="45" t="s">
        <v>68</v>
      </c>
      <c r="AM766" s="162" t="str">
        <f t="shared" si="88"/>
        <v>3/2026</v>
      </c>
      <c r="AN766" s="45">
        <f t="shared" si="89"/>
        <v>4</v>
      </c>
      <c r="AO766" s="45" t="str">
        <f t="shared" si="90"/>
        <v>1/1900</v>
      </c>
      <c r="AP766" s="45" t="e">
        <f t="shared" si="91"/>
        <v>#NUM!</v>
      </c>
      <c r="AQ766" s="45">
        <f t="shared" si="92"/>
        <v>0</v>
      </c>
      <c r="AR766" s="45">
        <f t="shared" si="93"/>
        <v>0</v>
      </c>
      <c r="AS766" s="45">
        <f t="shared" si="94"/>
        <v>0</v>
      </c>
      <c r="AT766" s="45">
        <f t="shared" si="95"/>
        <v>0</v>
      </c>
      <c r="AU766" s="45" t="str">
        <f>_xlfn.XLOOKUP(U766,'Lista Suspensa'!$AA$20:$AA$23,'Lista Suspensa'!$AB$20:$AB$23,"N/A")</f>
        <v>S</v>
      </c>
    </row>
    <row r="767" spans="1:47" ht="12" hidden="1" customHeight="1" x14ac:dyDescent="0.3">
      <c r="A767" s="87" t="s">
        <v>47</v>
      </c>
      <c r="B767" s="88">
        <v>46104</v>
      </c>
      <c r="C767" s="89" t="s">
        <v>48</v>
      </c>
      <c r="D767" s="89" t="s">
        <v>49</v>
      </c>
      <c r="E767" s="90">
        <v>764396366</v>
      </c>
      <c r="F767" s="184" t="s">
        <v>2389</v>
      </c>
      <c r="G767" s="91">
        <v>37818562753</v>
      </c>
      <c r="H767" s="92">
        <v>15004</v>
      </c>
      <c r="I767" s="89">
        <v>85</v>
      </c>
      <c r="J767" s="89" t="s">
        <v>51</v>
      </c>
      <c r="K767" s="89" t="s">
        <v>88</v>
      </c>
      <c r="L767" s="89" t="s">
        <v>89</v>
      </c>
      <c r="M767" s="89" t="s">
        <v>607</v>
      </c>
      <c r="N767" s="89" t="s">
        <v>252</v>
      </c>
      <c r="O767" s="93" t="s">
        <v>2390</v>
      </c>
      <c r="P767" s="94" t="s">
        <v>57</v>
      </c>
      <c r="Q767" s="112" t="s">
        <v>2211</v>
      </c>
      <c r="R767" s="95"/>
      <c r="S767" s="96">
        <v>46164</v>
      </c>
      <c r="T767" s="96" t="s">
        <v>2212</v>
      </c>
      <c r="U767" s="96" t="s">
        <v>79</v>
      </c>
      <c r="V767" s="92">
        <v>46128</v>
      </c>
      <c r="W767" s="92">
        <v>46147</v>
      </c>
      <c r="X767" s="92">
        <v>46154</v>
      </c>
      <c r="Y767" s="97"/>
      <c r="Z767" s="89"/>
      <c r="AA767" s="96"/>
      <c r="AB767" s="89"/>
      <c r="AC767" s="111"/>
      <c r="AD767" s="89"/>
      <c r="AE767" s="89"/>
      <c r="AF767" s="98"/>
      <c r="AG767" s="98"/>
      <c r="AH767" s="98"/>
      <c r="AI767" s="99"/>
      <c r="AJ767" s="99"/>
      <c r="AK767" s="99"/>
      <c r="AL767" s="45" t="s">
        <v>68</v>
      </c>
      <c r="AM767" s="162" t="str">
        <f t="shared" si="88"/>
        <v>3/2026</v>
      </c>
      <c r="AN767" s="45">
        <f t="shared" si="89"/>
        <v>4</v>
      </c>
      <c r="AO767" s="45" t="str">
        <f t="shared" si="90"/>
        <v>1/1900</v>
      </c>
      <c r="AP767" s="45" t="e">
        <f t="shared" si="91"/>
        <v>#NUM!</v>
      </c>
      <c r="AQ767" s="45">
        <f t="shared" si="92"/>
        <v>0</v>
      </c>
      <c r="AR767" s="45">
        <f t="shared" si="93"/>
        <v>0</v>
      </c>
      <c r="AS767" s="45">
        <f t="shared" si="94"/>
        <v>0</v>
      </c>
      <c r="AT767" s="45">
        <f t="shared" si="95"/>
        <v>0</v>
      </c>
      <c r="AU767" s="45" t="str">
        <f>_xlfn.XLOOKUP(U767,'Lista Suspensa'!$AA$20:$AA$23,'Lista Suspensa'!$AB$20:$AB$23,"N/A")</f>
        <v>S</v>
      </c>
    </row>
    <row r="768" spans="1:47" ht="12" hidden="1" customHeight="1" x14ac:dyDescent="0.3">
      <c r="A768" s="87" t="s">
        <v>47</v>
      </c>
      <c r="B768" s="88">
        <v>46104</v>
      </c>
      <c r="C768" s="89" t="s">
        <v>48</v>
      </c>
      <c r="D768" s="89" t="s">
        <v>49</v>
      </c>
      <c r="E768" s="90">
        <v>450135969</v>
      </c>
      <c r="F768" s="184" t="s">
        <v>2391</v>
      </c>
      <c r="G768" s="91">
        <v>29716624891</v>
      </c>
      <c r="H768" s="92">
        <v>18565</v>
      </c>
      <c r="I768" s="89">
        <v>75</v>
      </c>
      <c r="J768" s="89" t="s">
        <v>51</v>
      </c>
      <c r="K768" s="89" t="s">
        <v>52</v>
      </c>
      <c r="L768" s="89" t="s">
        <v>283</v>
      </c>
      <c r="M768" s="89" t="s">
        <v>2392</v>
      </c>
      <c r="N768" s="89" t="s">
        <v>252</v>
      </c>
      <c r="O768" s="93" t="s">
        <v>2393</v>
      </c>
      <c r="P768" s="94" t="s">
        <v>57</v>
      </c>
      <c r="Q768" s="112" t="s">
        <v>2211</v>
      </c>
      <c r="R768" s="95"/>
      <c r="S768" s="96">
        <v>46164</v>
      </c>
      <c r="T768" s="96" t="s">
        <v>2212</v>
      </c>
      <c r="U768" s="96" t="s">
        <v>79</v>
      </c>
      <c r="V768" s="92">
        <v>46122</v>
      </c>
      <c r="W768" s="92">
        <v>46147</v>
      </c>
      <c r="X768" s="92">
        <v>46154</v>
      </c>
      <c r="Y768" s="97"/>
      <c r="Z768" s="89"/>
      <c r="AA768" s="96"/>
      <c r="AB768" s="89"/>
      <c r="AC768" s="111"/>
      <c r="AD768" s="89"/>
      <c r="AE768" s="89"/>
      <c r="AF768" s="98"/>
      <c r="AG768" s="98"/>
      <c r="AH768" s="98"/>
      <c r="AI768" s="99"/>
      <c r="AJ768" s="99"/>
      <c r="AK768" s="99"/>
      <c r="AL768" s="45" t="s">
        <v>68</v>
      </c>
      <c r="AM768" s="162" t="str">
        <f t="shared" si="88"/>
        <v>3/2026</v>
      </c>
      <c r="AN768" s="45">
        <f t="shared" si="89"/>
        <v>4</v>
      </c>
      <c r="AO768" s="45" t="str">
        <f t="shared" si="90"/>
        <v>1/1900</v>
      </c>
      <c r="AP768" s="45" t="e">
        <f t="shared" si="91"/>
        <v>#NUM!</v>
      </c>
      <c r="AQ768" s="45">
        <f t="shared" si="92"/>
        <v>0</v>
      </c>
      <c r="AR768" s="45">
        <f t="shared" si="93"/>
        <v>0</v>
      </c>
      <c r="AS768" s="45">
        <f t="shared" si="94"/>
        <v>0</v>
      </c>
      <c r="AT768" s="45">
        <f t="shared" si="95"/>
        <v>0</v>
      </c>
      <c r="AU768" s="45" t="str">
        <f>_xlfn.XLOOKUP(U768,'Lista Suspensa'!$AA$20:$AA$23,'Lista Suspensa'!$AB$20:$AB$23,"N/A")</f>
        <v>S</v>
      </c>
    </row>
    <row r="769" spans="1:47" ht="12" hidden="1" customHeight="1" x14ac:dyDescent="0.3">
      <c r="A769" s="87" t="s">
        <v>47</v>
      </c>
      <c r="B769" s="88">
        <v>46104</v>
      </c>
      <c r="C769" s="89" t="s">
        <v>48</v>
      </c>
      <c r="D769" s="89" t="s">
        <v>49</v>
      </c>
      <c r="E769" s="90">
        <v>804966338</v>
      </c>
      <c r="F769" s="184" t="s">
        <v>2394</v>
      </c>
      <c r="G769" s="91">
        <v>5367715885</v>
      </c>
      <c r="H769" s="92">
        <v>23208</v>
      </c>
      <c r="I769" s="89">
        <v>62</v>
      </c>
      <c r="J769" s="89" t="s">
        <v>51</v>
      </c>
      <c r="K769" s="89" t="s">
        <v>52</v>
      </c>
      <c r="L769" s="89" t="s">
        <v>83</v>
      </c>
      <c r="M769" s="89" t="s">
        <v>2395</v>
      </c>
      <c r="N769" s="89" t="s">
        <v>252</v>
      </c>
      <c r="O769" s="93" t="s">
        <v>2396</v>
      </c>
      <c r="P769" s="94" t="s">
        <v>57</v>
      </c>
      <c r="Q769" s="112" t="s">
        <v>2211</v>
      </c>
      <c r="R769" s="95"/>
      <c r="S769" s="96">
        <v>46164</v>
      </c>
      <c r="T769" s="96" t="s">
        <v>2212</v>
      </c>
      <c r="U769" s="96" t="s">
        <v>79</v>
      </c>
      <c r="V769" s="92">
        <v>46140</v>
      </c>
      <c r="W769" s="92">
        <v>46147</v>
      </c>
      <c r="X769" s="92">
        <v>46154</v>
      </c>
      <c r="Y769" s="97"/>
      <c r="Z769" s="89"/>
      <c r="AA769" s="96"/>
      <c r="AB769" s="89"/>
      <c r="AC769" s="111"/>
      <c r="AD769" s="89"/>
      <c r="AE769" s="89"/>
      <c r="AF769" s="98"/>
      <c r="AG769" s="98"/>
      <c r="AH769" s="98"/>
      <c r="AI769" s="99"/>
      <c r="AJ769" s="99"/>
      <c r="AK769" s="99"/>
      <c r="AL769" s="45" t="s">
        <v>68</v>
      </c>
      <c r="AM769" s="162" t="str">
        <f t="shared" si="88"/>
        <v>3/2026</v>
      </c>
      <c r="AN769" s="45">
        <f t="shared" si="89"/>
        <v>4</v>
      </c>
      <c r="AO769" s="45" t="str">
        <f t="shared" si="90"/>
        <v>1/1900</v>
      </c>
      <c r="AP769" s="45" t="e">
        <f t="shared" si="91"/>
        <v>#NUM!</v>
      </c>
      <c r="AQ769" s="45">
        <f t="shared" si="92"/>
        <v>0</v>
      </c>
      <c r="AR769" s="45">
        <f t="shared" si="93"/>
        <v>0</v>
      </c>
      <c r="AS769" s="45">
        <f t="shared" si="94"/>
        <v>0</v>
      </c>
      <c r="AT769" s="45">
        <f t="shared" si="95"/>
        <v>0</v>
      </c>
      <c r="AU769" s="45" t="str">
        <f>_xlfn.XLOOKUP(U769,'Lista Suspensa'!$AA$20:$AA$23,'Lista Suspensa'!$AB$20:$AB$23,"N/A")</f>
        <v>S</v>
      </c>
    </row>
    <row r="770" spans="1:47" ht="12" hidden="1" customHeight="1" x14ac:dyDescent="0.3">
      <c r="A770" s="87" t="s">
        <v>47</v>
      </c>
      <c r="B770" s="88">
        <v>46104</v>
      </c>
      <c r="C770" s="89" t="s">
        <v>48</v>
      </c>
      <c r="D770" s="89" t="s">
        <v>49</v>
      </c>
      <c r="E770" s="90">
        <v>760822166</v>
      </c>
      <c r="F770" s="184" t="s">
        <v>2397</v>
      </c>
      <c r="G770" s="91">
        <v>6877860705</v>
      </c>
      <c r="H770" s="92">
        <v>19389</v>
      </c>
      <c r="I770" s="89">
        <v>73</v>
      </c>
      <c r="J770" s="89" t="s">
        <v>70</v>
      </c>
      <c r="K770" s="89" t="s">
        <v>88</v>
      </c>
      <c r="L770" s="89" t="s">
        <v>97</v>
      </c>
      <c r="M770" s="89" t="s">
        <v>441</v>
      </c>
      <c r="N770" s="89" t="s">
        <v>252</v>
      </c>
      <c r="O770" s="93" t="s">
        <v>2398</v>
      </c>
      <c r="P770" s="94" t="s">
        <v>57</v>
      </c>
      <c r="Q770" s="112" t="s">
        <v>2211</v>
      </c>
      <c r="R770" s="95"/>
      <c r="S770" s="96">
        <v>46164</v>
      </c>
      <c r="T770" s="96" t="s">
        <v>2212</v>
      </c>
      <c r="U770" s="96" t="s">
        <v>79</v>
      </c>
      <c r="V770" s="92">
        <v>46140</v>
      </c>
      <c r="W770" s="92">
        <v>46147</v>
      </c>
      <c r="X770" s="92">
        <v>46154</v>
      </c>
      <c r="Y770" s="97"/>
      <c r="Z770" s="89"/>
      <c r="AA770" s="96"/>
      <c r="AB770" s="89"/>
      <c r="AC770" s="111"/>
      <c r="AD770" s="89"/>
      <c r="AE770" s="89"/>
      <c r="AF770" s="98"/>
      <c r="AG770" s="98"/>
      <c r="AH770" s="98"/>
      <c r="AI770" s="99"/>
      <c r="AJ770" s="99"/>
      <c r="AK770" s="99"/>
      <c r="AL770" s="45" t="s">
        <v>68</v>
      </c>
      <c r="AM770" s="162" t="str">
        <f t="shared" ref="AM770:AM833" si="96">MONTH(B770)&amp;"/"&amp;YEAR(B770)</f>
        <v>3/2026</v>
      </c>
      <c r="AN770" s="45">
        <f t="shared" ref="AN770:AN833" si="97">WEEKNUM(B770)-WEEKNUM(EOMONTH(B770,-1)+1)+1</f>
        <v>4</v>
      </c>
      <c r="AO770" s="45" t="str">
        <f t="shared" ref="AO770:AO833" si="98">MONTH(R770)&amp;"/"&amp;YEAR(R770)</f>
        <v>1/1900</v>
      </c>
      <c r="AP770" s="45" t="e">
        <f t="shared" ref="AP770:AP833" si="99">WEEKNUM(R770)-WEEKNUM(EOMONTH(R770,-1)+1)+1</f>
        <v>#NUM!</v>
      </c>
      <c r="AQ770" s="45">
        <f t="shared" ref="AQ770:AQ833" si="100">IF(AU770="S",IF(Q770="1. Aceitou o programa",R770-B770,0),0)</f>
        <v>0</v>
      </c>
      <c r="AR770" s="45">
        <f t="shared" ref="AR770:AR833" si="101">IF(AU770="S",IF(AND(S770&lt;&gt;"",R770&lt;&gt;""),S770-R770,0),0)</f>
        <v>0</v>
      </c>
      <c r="AS770" s="45">
        <f t="shared" ref="AS770:AS833" si="102">IF(AU770="S",IF(Q770="1. Aceitou o programa",IF(OR(X770="Não se Aplica",X770=""),IF(OR(W770="Não se Aplica",W770=""),0,W770-V770),AVERAGE(X770-W770,W770-V770)),0),0)</f>
        <v>0</v>
      </c>
      <c r="AT770" s="45">
        <f t="shared" ref="AT770:AT833" si="103">IF(AU770="S",IF(AND(Q770="1. Aceitou o programa",AB770="Realizada"),IFERROR(IF(AA770="",0,AA770-R770),0),0),0)</f>
        <v>0</v>
      </c>
      <c r="AU770" s="45" t="str">
        <f>_xlfn.XLOOKUP(U770,'Lista Suspensa'!$AA$20:$AA$23,'Lista Suspensa'!$AB$20:$AB$23,"N/A")</f>
        <v>S</v>
      </c>
    </row>
    <row r="771" spans="1:47" ht="12" hidden="1" customHeight="1" x14ac:dyDescent="0.3">
      <c r="A771" s="87" t="s">
        <v>47</v>
      </c>
      <c r="B771" s="88">
        <v>46104</v>
      </c>
      <c r="C771" s="89" t="s">
        <v>48</v>
      </c>
      <c r="D771" s="89" t="s">
        <v>49</v>
      </c>
      <c r="E771" s="90">
        <v>794333524</v>
      </c>
      <c r="F771" s="184" t="s">
        <v>2399</v>
      </c>
      <c r="G771" s="91">
        <v>69467102820</v>
      </c>
      <c r="H771" s="92">
        <v>19486</v>
      </c>
      <c r="I771" s="89">
        <v>72</v>
      </c>
      <c r="J771" s="89" t="s">
        <v>51</v>
      </c>
      <c r="K771" s="89" t="s">
        <v>52</v>
      </c>
      <c r="L771" s="89" t="s">
        <v>53</v>
      </c>
      <c r="M771" s="89" t="s">
        <v>1302</v>
      </c>
      <c r="N771" s="89" t="s">
        <v>252</v>
      </c>
      <c r="O771" s="93" t="s">
        <v>2400</v>
      </c>
      <c r="P771" s="94" t="s">
        <v>57</v>
      </c>
      <c r="Q771" s="112" t="s">
        <v>2211</v>
      </c>
      <c r="R771" s="95"/>
      <c r="S771" s="96">
        <v>46164</v>
      </c>
      <c r="T771" s="96" t="s">
        <v>2212</v>
      </c>
      <c r="U771" s="96" t="s">
        <v>79</v>
      </c>
      <c r="V771" s="92">
        <v>46140</v>
      </c>
      <c r="W771" s="92">
        <v>46147</v>
      </c>
      <c r="X771" s="92">
        <v>46154</v>
      </c>
      <c r="Y771" s="97"/>
      <c r="Z771" s="89"/>
      <c r="AA771" s="96"/>
      <c r="AB771" s="89"/>
      <c r="AC771" s="111"/>
      <c r="AD771" s="89"/>
      <c r="AE771" s="89"/>
      <c r="AF771" s="98"/>
      <c r="AG771" s="98"/>
      <c r="AH771" s="98"/>
      <c r="AI771" s="99"/>
      <c r="AJ771" s="99"/>
      <c r="AK771" s="99"/>
      <c r="AL771" s="45" t="s">
        <v>68</v>
      </c>
      <c r="AM771" s="162" t="str">
        <f t="shared" si="96"/>
        <v>3/2026</v>
      </c>
      <c r="AN771" s="45">
        <f t="shared" si="97"/>
        <v>4</v>
      </c>
      <c r="AO771" s="45" t="str">
        <f t="shared" si="98"/>
        <v>1/1900</v>
      </c>
      <c r="AP771" s="45" t="e">
        <f t="shared" si="99"/>
        <v>#NUM!</v>
      </c>
      <c r="AQ771" s="45">
        <f t="shared" si="100"/>
        <v>0</v>
      </c>
      <c r="AR771" s="45">
        <f t="shared" si="101"/>
        <v>0</v>
      </c>
      <c r="AS771" s="45">
        <f t="shared" si="102"/>
        <v>0</v>
      </c>
      <c r="AT771" s="45">
        <f t="shared" si="103"/>
        <v>0</v>
      </c>
      <c r="AU771" s="45" t="str">
        <f>_xlfn.XLOOKUP(U771,'Lista Suspensa'!$AA$20:$AA$23,'Lista Suspensa'!$AB$20:$AB$23,"N/A")</f>
        <v>S</v>
      </c>
    </row>
    <row r="772" spans="1:47" ht="12" hidden="1" customHeight="1" x14ac:dyDescent="0.3">
      <c r="A772" s="87" t="s">
        <v>47</v>
      </c>
      <c r="B772" s="88">
        <v>46104</v>
      </c>
      <c r="C772" s="89" t="s">
        <v>48</v>
      </c>
      <c r="D772" s="89" t="s">
        <v>49</v>
      </c>
      <c r="E772" s="90">
        <v>450077497</v>
      </c>
      <c r="F772" s="184" t="s">
        <v>2401</v>
      </c>
      <c r="G772" s="91">
        <v>33897918846</v>
      </c>
      <c r="H772" s="92">
        <v>20409</v>
      </c>
      <c r="I772" s="89">
        <v>70</v>
      </c>
      <c r="J772" s="89" t="s">
        <v>70</v>
      </c>
      <c r="K772" s="89" t="s">
        <v>52</v>
      </c>
      <c r="L772" s="89" t="s">
        <v>53</v>
      </c>
      <c r="M772" s="89" t="s">
        <v>1722</v>
      </c>
      <c r="N772" s="89" t="s">
        <v>252</v>
      </c>
      <c r="O772" s="93" t="s">
        <v>2402</v>
      </c>
      <c r="P772" s="94" t="s">
        <v>57</v>
      </c>
      <c r="Q772" s="112" t="s">
        <v>2211</v>
      </c>
      <c r="R772" s="95"/>
      <c r="S772" s="96">
        <v>46164</v>
      </c>
      <c r="T772" s="96" t="s">
        <v>2212</v>
      </c>
      <c r="U772" s="96" t="s">
        <v>79</v>
      </c>
      <c r="V772" s="92">
        <v>46140</v>
      </c>
      <c r="W772" s="92">
        <v>46147</v>
      </c>
      <c r="X772" s="92">
        <v>46154</v>
      </c>
      <c r="Y772" s="97"/>
      <c r="Z772" s="89"/>
      <c r="AA772" s="96"/>
      <c r="AB772" s="89"/>
      <c r="AC772" s="111"/>
      <c r="AD772" s="89"/>
      <c r="AE772" s="89"/>
      <c r="AF772" s="98"/>
      <c r="AG772" s="98"/>
      <c r="AH772" s="98"/>
      <c r="AI772" s="99"/>
      <c r="AJ772" s="99"/>
      <c r="AK772" s="99"/>
      <c r="AL772" s="45" t="s">
        <v>68</v>
      </c>
      <c r="AM772" s="162" t="str">
        <f t="shared" si="96"/>
        <v>3/2026</v>
      </c>
      <c r="AN772" s="45">
        <f t="shared" si="97"/>
        <v>4</v>
      </c>
      <c r="AO772" s="45" t="str">
        <f t="shared" si="98"/>
        <v>1/1900</v>
      </c>
      <c r="AP772" s="45" t="e">
        <f t="shared" si="99"/>
        <v>#NUM!</v>
      </c>
      <c r="AQ772" s="45">
        <f t="shared" si="100"/>
        <v>0</v>
      </c>
      <c r="AR772" s="45">
        <f t="shared" si="101"/>
        <v>0</v>
      </c>
      <c r="AS772" s="45">
        <f t="shared" si="102"/>
        <v>0</v>
      </c>
      <c r="AT772" s="45">
        <f t="shared" si="103"/>
        <v>0</v>
      </c>
      <c r="AU772" s="45" t="str">
        <f>_xlfn.XLOOKUP(U772,'Lista Suspensa'!$AA$20:$AA$23,'Lista Suspensa'!$AB$20:$AB$23,"N/A")</f>
        <v>S</v>
      </c>
    </row>
    <row r="773" spans="1:47" ht="12" hidden="1" customHeight="1" x14ac:dyDescent="0.3">
      <c r="A773" s="87" t="s">
        <v>47</v>
      </c>
      <c r="B773" s="88">
        <v>46104</v>
      </c>
      <c r="C773" s="89" t="s">
        <v>48</v>
      </c>
      <c r="D773" s="89" t="s">
        <v>49</v>
      </c>
      <c r="E773" s="90">
        <v>450343294</v>
      </c>
      <c r="F773" s="184" t="s">
        <v>2403</v>
      </c>
      <c r="G773" s="91">
        <v>85431303872</v>
      </c>
      <c r="H773" s="92">
        <v>16691</v>
      </c>
      <c r="I773" s="89">
        <v>80</v>
      </c>
      <c r="J773" s="89" t="s">
        <v>70</v>
      </c>
      <c r="K773" s="89" t="s">
        <v>52</v>
      </c>
      <c r="L773" s="89" t="s">
        <v>53</v>
      </c>
      <c r="M773" s="89" t="s">
        <v>2404</v>
      </c>
      <c r="N773" s="89" t="s">
        <v>252</v>
      </c>
      <c r="O773" s="93" t="s">
        <v>2405</v>
      </c>
      <c r="P773" s="94" t="s">
        <v>57</v>
      </c>
      <c r="Q773" s="112" t="s">
        <v>2211</v>
      </c>
      <c r="R773" s="95"/>
      <c r="S773" s="96">
        <v>46164</v>
      </c>
      <c r="T773" s="96" t="s">
        <v>2212</v>
      </c>
      <c r="U773" s="96" t="s">
        <v>79</v>
      </c>
      <c r="V773" s="92">
        <v>46122</v>
      </c>
      <c r="W773" s="92">
        <v>46147</v>
      </c>
      <c r="X773" s="92">
        <v>46154</v>
      </c>
      <c r="Y773" s="97"/>
      <c r="Z773" s="89"/>
      <c r="AA773" s="96"/>
      <c r="AB773" s="89"/>
      <c r="AC773" s="111"/>
      <c r="AD773" s="89"/>
      <c r="AE773" s="89"/>
      <c r="AF773" s="98"/>
      <c r="AG773" s="98"/>
      <c r="AH773" s="98"/>
      <c r="AI773" s="99"/>
      <c r="AJ773" s="99"/>
      <c r="AK773" s="99"/>
      <c r="AL773" s="45" t="s">
        <v>68</v>
      </c>
      <c r="AM773" s="162" t="str">
        <f t="shared" si="96"/>
        <v>3/2026</v>
      </c>
      <c r="AN773" s="45">
        <f t="shared" si="97"/>
        <v>4</v>
      </c>
      <c r="AO773" s="45" t="str">
        <f t="shared" si="98"/>
        <v>1/1900</v>
      </c>
      <c r="AP773" s="45" t="e">
        <f t="shared" si="99"/>
        <v>#NUM!</v>
      </c>
      <c r="AQ773" s="45">
        <f t="shared" si="100"/>
        <v>0</v>
      </c>
      <c r="AR773" s="45">
        <f t="shared" si="101"/>
        <v>0</v>
      </c>
      <c r="AS773" s="45">
        <f t="shared" si="102"/>
        <v>0</v>
      </c>
      <c r="AT773" s="45">
        <f t="shared" si="103"/>
        <v>0</v>
      </c>
      <c r="AU773" s="45" t="str">
        <f>_xlfn.XLOOKUP(U773,'Lista Suspensa'!$AA$20:$AA$23,'Lista Suspensa'!$AB$20:$AB$23,"N/A")</f>
        <v>S</v>
      </c>
    </row>
    <row r="774" spans="1:47" ht="12" hidden="1" customHeight="1" x14ac:dyDescent="0.3">
      <c r="A774" s="87" t="s">
        <v>47</v>
      </c>
      <c r="B774" s="88">
        <v>46104</v>
      </c>
      <c r="C774" s="89" t="s">
        <v>48</v>
      </c>
      <c r="D774" s="89" t="s">
        <v>49</v>
      </c>
      <c r="E774" s="90">
        <v>790767775</v>
      </c>
      <c r="F774" s="184" t="s">
        <v>2406</v>
      </c>
      <c r="G774" s="91">
        <v>99124890804</v>
      </c>
      <c r="H774" s="92">
        <v>21580</v>
      </c>
      <c r="I774" s="89">
        <v>67</v>
      </c>
      <c r="J774" s="89" t="s">
        <v>70</v>
      </c>
      <c r="K774" s="89" t="s">
        <v>52</v>
      </c>
      <c r="L774" s="89" t="s">
        <v>331</v>
      </c>
      <c r="M774" s="89" t="s">
        <v>2407</v>
      </c>
      <c r="N774" s="89" t="s">
        <v>252</v>
      </c>
      <c r="O774" s="93" t="s">
        <v>2408</v>
      </c>
      <c r="P774" s="94" t="s">
        <v>57</v>
      </c>
      <c r="Q774" s="112" t="s">
        <v>2211</v>
      </c>
      <c r="R774" s="95"/>
      <c r="S774" s="96">
        <v>46164</v>
      </c>
      <c r="T774" s="96" t="s">
        <v>2212</v>
      </c>
      <c r="U774" s="96" t="s">
        <v>79</v>
      </c>
      <c r="V774" s="92">
        <v>46140</v>
      </c>
      <c r="W774" s="92">
        <v>46147</v>
      </c>
      <c r="X774" s="92">
        <v>46154</v>
      </c>
      <c r="Y774" s="97"/>
      <c r="Z774" s="89"/>
      <c r="AA774" s="96"/>
      <c r="AB774" s="89"/>
      <c r="AC774" s="111"/>
      <c r="AD774" s="89"/>
      <c r="AE774" s="89"/>
      <c r="AF774" s="98"/>
      <c r="AG774" s="98"/>
      <c r="AH774" s="98"/>
      <c r="AI774" s="99"/>
      <c r="AJ774" s="99"/>
      <c r="AK774" s="99"/>
      <c r="AL774" s="45" t="s">
        <v>68</v>
      </c>
      <c r="AM774" s="162" t="str">
        <f t="shared" si="96"/>
        <v>3/2026</v>
      </c>
      <c r="AN774" s="45">
        <f t="shared" si="97"/>
        <v>4</v>
      </c>
      <c r="AO774" s="45" t="str">
        <f t="shared" si="98"/>
        <v>1/1900</v>
      </c>
      <c r="AP774" s="45" t="e">
        <f t="shared" si="99"/>
        <v>#NUM!</v>
      </c>
      <c r="AQ774" s="45">
        <f t="shared" si="100"/>
        <v>0</v>
      </c>
      <c r="AR774" s="45">
        <f t="shared" si="101"/>
        <v>0</v>
      </c>
      <c r="AS774" s="45">
        <f t="shared" si="102"/>
        <v>0</v>
      </c>
      <c r="AT774" s="45">
        <f t="shared" si="103"/>
        <v>0</v>
      </c>
      <c r="AU774" s="45" t="str">
        <f>_xlfn.XLOOKUP(U774,'Lista Suspensa'!$AA$20:$AA$23,'Lista Suspensa'!$AB$20:$AB$23,"N/A")</f>
        <v>S</v>
      </c>
    </row>
    <row r="775" spans="1:47" ht="12" hidden="1" customHeight="1" x14ac:dyDescent="0.3">
      <c r="A775" s="87" t="s">
        <v>47</v>
      </c>
      <c r="B775" s="88">
        <v>46104</v>
      </c>
      <c r="C775" s="89" t="s">
        <v>48</v>
      </c>
      <c r="D775" s="89" t="s">
        <v>49</v>
      </c>
      <c r="E775" s="90">
        <v>450193829</v>
      </c>
      <c r="F775" s="184" t="s">
        <v>2409</v>
      </c>
      <c r="G775" s="91">
        <v>5113125806</v>
      </c>
      <c r="H775" s="92">
        <v>18372</v>
      </c>
      <c r="I775" s="89">
        <v>75</v>
      </c>
      <c r="J775" s="89" t="s">
        <v>70</v>
      </c>
      <c r="K775" s="89" t="s">
        <v>52</v>
      </c>
      <c r="L775" s="89" t="s">
        <v>2410</v>
      </c>
      <c r="M775" s="89" t="s">
        <v>2411</v>
      </c>
      <c r="N775" s="89" t="s">
        <v>252</v>
      </c>
      <c r="O775" s="93" t="s">
        <v>2412</v>
      </c>
      <c r="P775" s="94" t="s">
        <v>57</v>
      </c>
      <c r="Q775" s="112" t="s">
        <v>2211</v>
      </c>
      <c r="R775" s="95"/>
      <c r="S775" s="96">
        <v>46164</v>
      </c>
      <c r="T775" s="96" t="s">
        <v>2212</v>
      </c>
      <c r="U775" s="96" t="s">
        <v>79</v>
      </c>
      <c r="V775" s="92">
        <v>46122</v>
      </c>
      <c r="W775" s="92">
        <v>46147</v>
      </c>
      <c r="X775" s="92">
        <v>46154</v>
      </c>
      <c r="Y775" s="97"/>
      <c r="Z775" s="89"/>
      <c r="AA775" s="96"/>
      <c r="AB775" s="89"/>
      <c r="AC775" s="111"/>
      <c r="AD775" s="89"/>
      <c r="AE775" s="89"/>
      <c r="AF775" s="98"/>
      <c r="AG775" s="98"/>
      <c r="AH775" s="98"/>
      <c r="AI775" s="99"/>
      <c r="AJ775" s="99"/>
      <c r="AK775" s="99"/>
      <c r="AL775" s="45" t="s">
        <v>68</v>
      </c>
      <c r="AM775" s="162" t="str">
        <f t="shared" si="96"/>
        <v>3/2026</v>
      </c>
      <c r="AN775" s="45">
        <f t="shared" si="97"/>
        <v>4</v>
      </c>
      <c r="AO775" s="45" t="str">
        <f t="shared" si="98"/>
        <v>1/1900</v>
      </c>
      <c r="AP775" s="45" t="e">
        <f t="shared" si="99"/>
        <v>#NUM!</v>
      </c>
      <c r="AQ775" s="45">
        <f t="shared" si="100"/>
        <v>0</v>
      </c>
      <c r="AR775" s="45">
        <f t="shared" si="101"/>
        <v>0</v>
      </c>
      <c r="AS775" s="45">
        <f t="shared" si="102"/>
        <v>0</v>
      </c>
      <c r="AT775" s="45">
        <f t="shared" si="103"/>
        <v>0</v>
      </c>
      <c r="AU775" s="45" t="str">
        <f>_xlfn.XLOOKUP(U775,'Lista Suspensa'!$AA$20:$AA$23,'Lista Suspensa'!$AB$20:$AB$23,"N/A")</f>
        <v>S</v>
      </c>
    </row>
    <row r="776" spans="1:47" ht="12" customHeight="1" x14ac:dyDescent="0.3">
      <c r="A776" s="87" t="s">
        <v>47</v>
      </c>
      <c r="B776" s="88">
        <v>46104</v>
      </c>
      <c r="C776" s="89" t="s">
        <v>48</v>
      </c>
      <c r="D776" s="89" t="s">
        <v>49</v>
      </c>
      <c r="E776" s="90">
        <v>450116832</v>
      </c>
      <c r="F776" s="184" t="s">
        <v>2413</v>
      </c>
      <c r="G776" s="91">
        <v>50876198868</v>
      </c>
      <c r="H776" s="92">
        <v>16028</v>
      </c>
      <c r="I776" s="89">
        <v>82</v>
      </c>
      <c r="J776" s="89" t="s">
        <v>51</v>
      </c>
      <c r="K776" s="89" t="s">
        <v>52</v>
      </c>
      <c r="L776" s="89" t="s">
        <v>525</v>
      </c>
      <c r="M776" s="89" t="s">
        <v>2414</v>
      </c>
      <c r="N776" s="89" t="s">
        <v>252</v>
      </c>
      <c r="O776" s="93" t="s">
        <v>2415</v>
      </c>
      <c r="P776" s="94" t="s">
        <v>57</v>
      </c>
      <c r="Q776" s="112" t="s">
        <v>58</v>
      </c>
      <c r="R776" s="95">
        <v>46178</v>
      </c>
      <c r="S776" s="96"/>
      <c r="T776" s="96" t="s">
        <v>59</v>
      </c>
      <c r="U776" s="96" t="s">
        <v>60</v>
      </c>
      <c r="V776" s="92">
        <v>46112</v>
      </c>
      <c r="W776" s="92">
        <v>46147</v>
      </c>
      <c r="X776" s="92">
        <v>46154</v>
      </c>
      <c r="Y776" s="97"/>
      <c r="Z776" s="89"/>
      <c r="AA776" s="96"/>
      <c r="AB776" s="89"/>
      <c r="AC776" s="111"/>
      <c r="AD776" s="89"/>
      <c r="AE776" s="89"/>
      <c r="AF776" s="98"/>
      <c r="AG776" s="98"/>
      <c r="AH776" s="98"/>
      <c r="AI776" s="99"/>
      <c r="AJ776" s="99" t="s">
        <v>3812</v>
      </c>
      <c r="AK776" s="99"/>
      <c r="AL776" s="45" t="s">
        <v>68</v>
      </c>
      <c r="AM776" s="162" t="str">
        <f t="shared" si="96"/>
        <v>3/2026</v>
      </c>
      <c r="AN776" s="45">
        <f t="shared" si="97"/>
        <v>4</v>
      </c>
      <c r="AO776" s="45" t="str">
        <f t="shared" si="98"/>
        <v>6/2026</v>
      </c>
      <c r="AP776" s="45">
        <f t="shared" si="99"/>
        <v>1</v>
      </c>
      <c r="AQ776" s="45">
        <f t="shared" si="100"/>
        <v>74</v>
      </c>
      <c r="AR776" s="45">
        <f t="shared" si="101"/>
        <v>0</v>
      </c>
      <c r="AS776" s="45">
        <f t="shared" si="102"/>
        <v>21</v>
      </c>
      <c r="AT776" s="45">
        <f t="shared" si="103"/>
        <v>0</v>
      </c>
      <c r="AU776" s="45" t="str">
        <f>_xlfn.XLOOKUP(U776,'Lista Suspensa'!$AA$20:$AA$23,'Lista Suspensa'!$AB$20:$AB$23,"N/A")</f>
        <v>S</v>
      </c>
    </row>
    <row r="777" spans="1:47" ht="12" hidden="1" customHeight="1" x14ac:dyDescent="0.3">
      <c r="A777" s="87" t="s">
        <v>47</v>
      </c>
      <c r="B777" s="88">
        <v>46104</v>
      </c>
      <c r="C777" s="89" t="s">
        <v>48</v>
      </c>
      <c r="D777" s="89" t="s">
        <v>49</v>
      </c>
      <c r="E777" s="90">
        <v>450510590</v>
      </c>
      <c r="F777" s="184" t="s">
        <v>2416</v>
      </c>
      <c r="G777" s="91">
        <v>15714074807</v>
      </c>
      <c r="H777" s="92">
        <v>19958</v>
      </c>
      <c r="I777" s="89">
        <v>71</v>
      </c>
      <c r="J777" s="89" t="s">
        <v>70</v>
      </c>
      <c r="K777" s="89" t="s">
        <v>52</v>
      </c>
      <c r="L777" s="89" t="s">
        <v>53</v>
      </c>
      <c r="M777" s="89" t="s">
        <v>2417</v>
      </c>
      <c r="N777" s="89" t="s">
        <v>252</v>
      </c>
      <c r="O777" s="93" t="s">
        <v>2418</v>
      </c>
      <c r="P777" s="94" t="s">
        <v>57</v>
      </c>
      <c r="Q777" s="112" t="s">
        <v>2211</v>
      </c>
      <c r="R777" s="95"/>
      <c r="S777" s="96">
        <v>46164</v>
      </c>
      <c r="T777" s="96" t="s">
        <v>2212</v>
      </c>
      <c r="U777" s="96" t="s">
        <v>79</v>
      </c>
      <c r="V777" s="92">
        <v>46140</v>
      </c>
      <c r="W777" s="92">
        <v>46147</v>
      </c>
      <c r="X777" s="92">
        <v>46154</v>
      </c>
      <c r="Y777" s="97"/>
      <c r="Z777" s="89"/>
      <c r="AA777" s="96"/>
      <c r="AB777" s="89"/>
      <c r="AC777" s="111"/>
      <c r="AD777" s="89"/>
      <c r="AE777" s="89"/>
      <c r="AF777" s="98"/>
      <c r="AG777" s="98"/>
      <c r="AH777" s="98"/>
      <c r="AI777" s="99"/>
      <c r="AJ777" s="99"/>
      <c r="AK777" s="99"/>
      <c r="AL777" s="45" t="s">
        <v>68</v>
      </c>
      <c r="AM777" s="162" t="str">
        <f t="shared" si="96"/>
        <v>3/2026</v>
      </c>
      <c r="AN777" s="45">
        <f t="shared" si="97"/>
        <v>4</v>
      </c>
      <c r="AO777" s="45" t="str">
        <f t="shared" si="98"/>
        <v>1/1900</v>
      </c>
      <c r="AP777" s="45" t="e">
        <f t="shared" si="99"/>
        <v>#NUM!</v>
      </c>
      <c r="AQ777" s="45">
        <f t="shared" si="100"/>
        <v>0</v>
      </c>
      <c r="AR777" s="45">
        <f t="shared" si="101"/>
        <v>0</v>
      </c>
      <c r="AS777" s="45">
        <f t="shared" si="102"/>
        <v>0</v>
      </c>
      <c r="AT777" s="45">
        <f t="shared" si="103"/>
        <v>0</v>
      </c>
      <c r="AU777" s="45" t="str">
        <f>_xlfn.XLOOKUP(U777,'Lista Suspensa'!$AA$20:$AA$23,'Lista Suspensa'!$AB$20:$AB$23,"N/A")</f>
        <v>S</v>
      </c>
    </row>
    <row r="778" spans="1:47" ht="12" hidden="1" customHeight="1" x14ac:dyDescent="0.3">
      <c r="A778" s="87" t="s">
        <v>47</v>
      </c>
      <c r="B778" s="88">
        <v>46104</v>
      </c>
      <c r="C778" s="89" t="s">
        <v>48</v>
      </c>
      <c r="D778" s="89" t="s">
        <v>49</v>
      </c>
      <c r="E778" s="90">
        <v>450205495</v>
      </c>
      <c r="F778" s="184" t="s">
        <v>2419</v>
      </c>
      <c r="G778" s="91">
        <v>33948017875</v>
      </c>
      <c r="H778" s="92">
        <v>18609</v>
      </c>
      <c r="I778" s="89">
        <v>75</v>
      </c>
      <c r="J778" s="89" t="s">
        <v>70</v>
      </c>
      <c r="K778" s="89" t="s">
        <v>52</v>
      </c>
      <c r="L778" s="89" t="s">
        <v>53</v>
      </c>
      <c r="M778" s="89" t="s">
        <v>1247</v>
      </c>
      <c r="N778" s="89" t="s">
        <v>252</v>
      </c>
      <c r="O778" s="93" t="s">
        <v>2420</v>
      </c>
      <c r="P778" s="94" t="s">
        <v>57</v>
      </c>
      <c r="Q778" s="112" t="s">
        <v>2211</v>
      </c>
      <c r="R778" s="95"/>
      <c r="S778" s="96">
        <v>46164</v>
      </c>
      <c r="T778" s="96" t="s">
        <v>2212</v>
      </c>
      <c r="U778" s="96" t="s">
        <v>79</v>
      </c>
      <c r="V778" s="92">
        <v>46140</v>
      </c>
      <c r="W778" s="92">
        <v>46147</v>
      </c>
      <c r="X778" s="92">
        <v>46154</v>
      </c>
      <c r="Y778" s="97"/>
      <c r="Z778" s="89"/>
      <c r="AA778" s="96"/>
      <c r="AB778" s="89"/>
      <c r="AC778" s="111"/>
      <c r="AD778" s="89"/>
      <c r="AE778" s="89"/>
      <c r="AF778" s="98"/>
      <c r="AG778" s="98"/>
      <c r="AH778" s="98"/>
      <c r="AI778" s="99"/>
      <c r="AJ778" s="99"/>
      <c r="AK778" s="99"/>
      <c r="AL778" s="45" t="s">
        <v>68</v>
      </c>
      <c r="AM778" s="162" t="str">
        <f t="shared" si="96"/>
        <v>3/2026</v>
      </c>
      <c r="AN778" s="45">
        <f t="shared" si="97"/>
        <v>4</v>
      </c>
      <c r="AO778" s="45" t="str">
        <f t="shared" si="98"/>
        <v>1/1900</v>
      </c>
      <c r="AP778" s="45" t="e">
        <f t="shared" si="99"/>
        <v>#NUM!</v>
      </c>
      <c r="AQ778" s="45">
        <f t="shared" si="100"/>
        <v>0</v>
      </c>
      <c r="AR778" s="45">
        <f t="shared" si="101"/>
        <v>0</v>
      </c>
      <c r="AS778" s="45">
        <f t="shared" si="102"/>
        <v>0</v>
      </c>
      <c r="AT778" s="45">
        <f t="shared" si="103"/>
        <v>0</v>
      </c>
      <c r="AU778" s="45" t="str">
        <f>_xlfn.XLOOKUP(U778,'Lista Suspensa'!$AA$20:$AA$23,'Lista Suspensa'!$AB$20:$AB$23,"N/A")</f>
        <v>S</v>
      </c>
    </row>
    <row r="779" spans="1:47" ht="12" hidden="1" customHeight="1" x14ac:dyDescent="0.3">
      <c r="A779" s="87" t="s">
        <v>47</v>
      </c>
      <c r="B779" s="88">
        <v>46104</v>
      </c>
      <c r="C779" s="89" t="s">
        <v>48</v>
      </c>
      <c r="D779" s="89" t="s">
        <v>49</v>
      </c>
      <c r="E779" s="90">
        <v>450218040</v>
      </c>
      <c r="F779" s="184" t="s">
        <v>2421</v>
      </c>
      <c r="G779" s="91">
        <v>56516819815</v>
      </c>
      <c r="H779" s="92">
        <v>17877</v>
      </c>
      <c r="I779" s="89">
        <v>77</v>
      </c>
      <c r="J779" s="89" t="s">
        <v>51</v>
      </c>
      <c r="K779" s="89" t="s">
        <v>52</v>
      </c>
      <c r="L779" s="89" t="s">
        <v>53</v>
      </c>
      <c r="M779" s="89" t="s">
        <v>2422</v>
      </c>
      <c r="N779" s="89" t="s">
        <v>252</v>
      </c>
      <c r="O779" s="93" t="s">
        <v>2423</v>
      </c>
      <c r="P779" s="94" t="s">
        <v>57</v>
      </c>
      <c r="Q779" s="112" t="s">
        <v>2211</v>
      </c>
      <c r="R779" s="95"/>
      <c r="S779" s="96">
        <v>46164</v>
      </c>
      <c r="T779" s="96" t="s">
        <v>2212</v>
      </c>
      <c r="U779" s="96" t="s">
        <v>79</v>
      </c>
      <c r="V779" s="92">
        <v>46140</v>
      </c>
      <c r="W779" s="92">
        <v>46147</v>
      </c>
      <c r="X779" s="92">
        <v>46154</v>
      </c>
      <c r="Y779" s="97"/>
      <c r="Z779" s="89"/>
      <c r="AA779" s="96"/>
      <c r="AB779" s="89"/>
      <c r="AC779" s="111"/>
      <c r="AD779" s="89"/>
      <c r="AE779" s="89"/>
      <c r="AF779" s="98"/>
      <c r="AG779" s="98"/>
      <c r="AH779" s="98"/>
      <c r="AI779" s="99"/>
      <c r="AJ779" s="99"/>
      <c r="AK779" s="99"/>
      <c r="AL779" s="45" t="s">
        <v>68</v>
      </c>
      <c r="AM779" s="162" t="str">
        <f t="shared" si="96"/>
        <v>3/2026</v>
      </c>
      <c r="AN779" s="45">
        <f t="shared" si="97"/>
        <v>4</v>
      </c>
      <c r="AO779" s="45" t="str">
        <f t="shared" si="98"/>
        <v>1/1900</v>
      </c>
      <c r="AP779" s="45" t="e">
        <f t="shared" si="99"/>
        <v>#NUM!</v>
      </c>
      <c r="AQ779" s="45">
        <f t="shared" si="100"/>
        <v>0</v>
      </c>
      <c r="AR779" s="45">
        <f t="shared" si="101"/>
        <v>0</v>
      </c>
      <c r="AS779" s="45">
        <f t="shared" si="102"/>
        <v>0</v>
      </c>
      <c r="AT779" s="45">
        <f t="shared" si="103"/>
        <v>0</v>
      </c>
      <c r="AU779" s="45" t="str">
        <f>_xlfn.XLOOKUP(U779,'Lista Suspensa'!$AA$20:$AA$23,'Lista Suspensa'!$AB$20:$AB$23,"N/A")</f>
        <v>S</v>
      </c>
    </row>
    <row r="780" spans="1:47" ht="12" hidden="1" customHeight="1" x14ac:dyDescent="0.3">
      <c r="A780" s="87" t="s">
        <v>47</v>
      </c>
      <c r="B780" s="88">
        <v>46104</v>
      </c>
      <c r="C780" s="89" t="s">
        <v>48</v>
      </c>
      <c r="D780" s="89" t="s">
        <v>49</v>
      </c>
      <c r="E780" s="90">
        <v>805177159</v>
      </c>
      <c r="F780" s="184" t="s">
        <v>2424</v>
      </c>
      <c r="G780" s="91">
        <v>7405026893</v>
      </c>
      <c r="H780" s="92">
        <v>21349</v>
      </c>
      <c r="I780" s="89">
        <v>67</v>
      </c>
      <c r="J780" s="89" t="s">
        <v>51</v>
      </c>
      <c r="K780" s="89" t="s">
        <v>52</v>
      </c>
      <c r="L780" s="89" t="s">
        <v>53</v>
      </c>
      <c r="M780" s="89" t="s">
        <v>478</v>
      </c>
      <c r="N780" s="89" t="s">
        <v>252</v>
      </c>
      <c r="O780" s="93" t="s">
        <v>2425</v>
      </c>
      <c r="P780" s="94" t="s">
        <v>57</v>
      </c>
      <c r="Q780" s="112" t="s">
        <v>2211</v>
      </c>
      <c r="R780" s="95"/>
      <c r="S780" s="96">
        <v>46150</v>
      </c>
      <c r="T780" s="96" t="s">
        <v>2212</v>
      </c>
      <c r="U780" s="96" t="s">
        <v>79</v>
      </c>
      <c r="V780" s="92">
        <v>46122</v>
      </c>
      <c r="W780" s="92">
        <v>46147</v>
      </c>
      <c r="X780" s="92">
        <v>46142</v>
      </c>
      <c r="Y780" s="97"/>
      <c r="Z780" s="89"/>
      <c r="AA780" s="96"/>
      <c r="AB780" s="89"/>
      <c r="AC780" s="111"/>
      <c r="AD780" s="89"/>
      <c r="AE780" s="89"/>
      <c r="AF780" s="98"/>
      <c r="AG780" s="98"/>
      <c r="AH780" s="98"/>
      <c r="AI780" s="99"/>
      <c r="AJ780" s="99"/>
      <c r="AK780" s="99"/>
      <c r="AL780" s="45" t="s">
        <v>68</v>
      </c>
      <c r="AM780" s="162" t="str">
        <f t="shared" si="96"/>
        <v>3/2026</v>
      </c>
      <c r="AN780" s="45">
        <f t="shared" si="97"/>
        <v>4</v>
      </c>
      <c r="AO780" s="45" t="str">
        <f t="shared" si="98"/>
        <v>1/1900</v>
      </c>
      <c r="AP780" s="45" t="e">
        <f t="shared" si="99"/>
        <v>#NUM!</v>
      </c>
      <c r="AQ780" s="45">
        <f t="shared" si="100"/>
        <v>0</v>
      </c>
      <c r="AR780" s="45">
        <f t="shared" si="101"/>
        <v>0</v>
      </c>
      <c r="AS780" s="45">
        <f t="shared" si="102"/>
        <v>0</v>
      </c>
      <c r="AT780" s="45">
        <f t="shared" si="103"/>
        <v>0</v>
      </c>
      <c r="AU780" s="45" t="str">
        <f>_xlfn.XLOOKUP(U780,'Lista Suspensa'!$AA$20:$AA$23,'Lista Suspensa'!$AB$20:$AB$23,"N/A")</f>
        <v>S</v>
      </c>
    </row>
    <row r="781" spans="1:47" ht="12" hidden="1" customHeight="1" x14ac:dyDescent="0.3">
      <c r="A781" s="87" t="s">
        <v>47</v>
      </c>
      <c r="B781" s="88">
        <v>46104</v>
      </c>
      <c r="C781" s="89" t="s">
        <v>48</v>
      </c>
      <c r="D781" s="89" t="s">
        <v>49</v>
      </c>
      <c r="E781" s="90">
        <v>803230320</v>
      </c>
      <c r="F781" s="184" t="s">
        <v>2426</v>
      </c>
      <c r="G781" s="91">
        <v>16874434837</v>
      </c>
      <c r="H781" s="92">
        <v>26747</v>
      </c>
      <c r="I781" s="89">
        <v>52</v>
      </c>
      <c r="J781" s="89" t="s">
        <v>70</v>
      </c>
      <c r="K781" s="89" t="s">
        <v>52</v>
      </c>
      <c r="L781" s="89" t="s">
        <v>331</v>
      </c>
      <c r="M781" s="89" t="s">
        <v>2427</v>
      </c>
      <c r="N781" s="89" t="s">
        <v>252</v>
      </c>
      <c r="O781" s="93" t="s">
        <v>2428</v>
      </c>
      <c r="P781" s="94" t="s">
        <v>57</v>
      </c>
      <c r="Q781" s="112" t="s">
        <v>2211</v>
      </c>
      <c r="R781" s="95"/>
      <c r="S781" s="96">
        <v>46164</v>
      </c>
      <c r="T781" s="96" t="s">
        <v>2212</v>
      </c>
      <c r="U781" s="96" t="s">
        <v>79</v>
      </c>
      <c r="V781" s="92">
        <v>46140</v>
      </c>
      <c r="W781" s="92">
        <v>46147</v>
      </c>
      <c r="X781" s="92">
        <v>46154</v>
      </c>
      <c r="Y781" s="97"/>
      <c r="Z781" s="89"/>
      <c r="AA781" s="96"/>
      <c r="AB781" s="89"/>
      <c r="AC781" s="111"/>
      <c r="AD781" s="89"/>
      <c r="AE781" s="89"/>
      <c r="AF781" s="98"/>
      <c r="AG781" s="98"/>
      <c r="AH781" s="98"/>
      <c r="AI781" s="99"/>
      <c r="AJ781" s="99"/>
      <c r="AK781" s="99"/>
      <c r="AL781" s="45" t="s">
        <v>68</v>
      </c>
      <c r="AM781" s="162" t="str">
        <f t="shared" si="96"/>
        <v>3/2026</v>
      </c>
      <c r="AN781" s="45">
        <f t="shared" si="97"/>
        <v>4</v>
      </c>
      <c r="AO781" s="45" t="str">
        <f t="shared" si="98"/>
        <v>1/1900</v>
      </c>
      <c r="AP781" s="45" t="e">
        <f t="shared" si="99"/>
        <v>#NUM!</v>
      </c>
      <c r="AQ781" s="45">
        <f t="shared" si="100"/>
        <v>0</v>
      </c>
      <c r="AR781" s="45">
        <f t="shared" si="101"/>
        <v>0</v>
      </c>
      <c r="AS781" s="45">
        <f t="shared" si="102"/>
        <v>0</v>
      </c>
      <c r="AT781" s="45">
        <f t="shared" si="103"/>
        <v>0</v>
      </c>
      <c r="AU781" s="45" t="str">
        <f>_xlfn.XLOOKUP(U781,'Lista Suspensa'!$AA$20:$AA$23,'Lista Suspensa'!$AB$20:$AB$23,"N/A")</f>
        <v>S</v>
      </c>
    </row>
    <row r="782" spans="1:47" ht="12" hidden="1" customHeight="1" x14ac:dyDescent="0.3">
      <c r="A782" s="87" t="s">
        <v>47</v>
      </c>
      <c r="B782" s="88">
        <v>46104</v>
      </c>
      <c r="C782" s="89" t="s">
        <v>48</v>
      </c>
      <c r="D782" s="89" t="s">
        <v>49</v>
      </c>
      <c r="E782" s="90">
        <v>68109261</v>
      </c>
      <c r="F782" s="184" t="s">
        <v>2429</v>
      </c>
      <c r="G782" s="91">
        <v>32409677827</v>
      </c>
      <c r="H782" s="92">
        <v>27162</v>
      </c>
      <c r="I782" s="89">
        <v>51</v>
      </c>
      <c r="J782" s="89" t="s">
        <v>51</v>
      </c>
      <c r="K782" s="89" t="s">
        <v>52</v>
      </c>
      <c r="L782" s="89" t="s">
        <v>53</v>
      </c>
      <c r="M782" s="89" t="s">
        <v>2430</v>
      </c>
      <c r="N782" s="89" t="s">
        <v>252</v>
      </c>
      <c r="O782" s="93" t="s">
        <v>2431</v>
      </c>
      <c r="P782" s="94" t="s">
        <v>57</v>
      </c>
      <c r="Q782" s="112" t="s">
        <v>2211</v>
      </c>
      <c r="R782" s="95"/>
      <c r="S782" s="96">
        <v>46164</v>
      </c>
      <c r="T782" s="96" t="s">
        <v>2212</v>
      </c>
      <c r="U782" s="96" t="s">
        <v>79</v>
      </c>
      <c r="V782" s="92">
        <v>46112</v>
      </c>
      <c r="W782" s="92">
        <v>46147</v>
      </c>
      <c r="X782" s="92">
        <v>46154</v>
      </c>
      <c r="Y782" s="97"/>
      <c r="Z782" s="89"/>
      <c r="AA782" s="96"/>
      <c r="AB782" s="89"/>
      <c r="AC782" s="111"/>
      <c r="AD782" s="89"/>
      <c r="AE782" s="89"/>
      <c r="AF782" s="98"/>
      <c r="AG782" s="98"/>
      <c r="AH782" s="98"/>
      <c r="AI782" s="99"/>
      <c r="AJ782" s="99"/>
      <c r="AK782" s="99"/>
      <c r="AL782" s="45" t="s">
        <v>68</v>
      </c>
      <c r="AM782" s="162" t="str">
        <f t="shared" si="96"/>
        <v>3/2026</v>
      </c>
      <c r="AN782" s="45">
        <f t="shared" si="97"/>
        <v>4</v>
      </c>
      <c r="AO782" s="45" t="str">
        <f t="shared" si="98"/>
        <v>1/1900</v>
      </c>
      <c r="AP782" s="45" t="e">
        <f t="shared" si="99"/>
        <v>#NUM!</v>
      </c>
      <c r="AQ782" s="45">
        <f t="shared" si="100"/>
        <v>0</v>
      </c>
      <c r="AR782" s="45">
        <f t="shared" si="101"/>
        <v>0</v>
      </c>
      <c r="AS782" s="45">
        <f t="shared" si="102"/>
        <v>0</v>
      </c>
      <c r="AT782" s="45">
        <f t="shared" si="103"/>
        <v>0</v>
      </c>
      <c r="AU782" s="45" t="str">
        <f>_xlfn.XLOOKUP(U782,'Lista Suspensa'!$AA$20:$AA$23,'Lista Suspensa'!$AB$20:$AB$23,"N/A")</f>
        <v>S</v>
      </c>
    </row>
    <row r="783" spans="1:47" ht="12" hidden="1" customHeight="1" x14ac:dyDescent="0.3">
      <c r="A783" s="87" t="s">
        <v>47</v>
      </c>
      <c r="B783" s="88">
        <v>46104</v>
      </c>
      <c r="C783" s="89" t="s">
        <v>48</v>
      </c>
      <c r="D783" s="89" t="s">
        <v>49</v>
      </c>
      <c r="E783" s="90">
        <v>331024446</v>
      </c>
      <c r="F783" s="184" t="s">
        <v>2432</v>
      </c>
      <c r="G783" s="91">
        <v>47715910759</v>
      </c>
      <c r="H783" s="92">
        <v>19825</v>
      </c>
      <c r="I783" s="89">
        <v>71</v>
      </c>
      <c r="J783" s="89" t="s">
        <v>51</v>
      </c>
      <c r="K783" s="89" t="s">
        <v>88</v>
      </c>
      <c r="L783" s="89" t="s">
        <v>97</v>
      </c>
      <c r="M783" s="89" t="s">
        <v>2433</v>
      </c>
      <c r="N783" s="89" t="s">
        <v>252</v>
      </c>
      <c r="O783" s="93" t="s">
        <v>2434</v>
      </c>
      <c r="P783" s="94" t="s">
        <v>57</v>
      </c>
      <c r="Q783" s="112" t="s">
        <v>2211</v>
      </c>
      <c r="R783" s="95"/>
      <c r="S783" s="96">
        <v>46164</v>
      </c>
      <c r="T783" s="96" t="s">
        <v>2212</v>
      </c>
      <c r="U783" s="96" t="s">
        <v>79</v>
      </c>
      <c r="V783" s="92">
        <v>46128</v>
      </c>
      <c r="W783" s="92">
        <v>46147</v>
      </c>
      <c r="X783" s="92">
        <v>46154</v>
      </c>
      <c r="Y783" s="97"/>
      <c r="Z783" s="89"/>
      <c r="AA783" s="96"/>
      <c r="AB783" s="89"/>
      <c r="AC783" s="111"/>
      <c r="AD783" s="89"/>
      <c r="AE783" s="89"/>
      <c r="AF783" s="98"/>
      <c r="AG783" s="98"/>
      <c r="AH783" s="98"/>
      <c r="AI783" s="99"/>
      <c r="AJ783" s="99"/>
      <c r="AK783" s="99"/>
      <c r="AL783" s="45" t="s">
        <v>68</v>
      </c>
      <c r="AM783" s="162" t="str">
        <f t="shared" si="96"/>
        <v>3/2026</v>
      </c>
      <c r="AN783" s="45">
        <f t="shared" si="97"/>
        <v>4</v>
      </c>
      <c r="AO783" s="45" t="str">
        <f t="shared" si="98"/>
        <v>1/1900</v>
      </c>
      <c r="AP783" s="45" t="e">
        <f t="shared" si="99"/>
        <v>#NUM!</v>
      </c>
      <c r="AQ783" s="45">
        <f t="shared" si="100"/>
        <v>0</v>
      </c>
      <c r="AR783" s="45">
        <f t="shared" si="101"/>
        <v>0</v>
      </c>
      <c r="AS783" s="45">
        <f t="shared" si="102"/>
        <v>0</v>
      </c>
      <c r="AT783" s="45">
        <f t="shared" si="103"/>
        <v>0</v>
      </c>
      <c r="AU783" s="45" t="str">
        <f>_xlfn.XLOOKUP(U783,'Lista Suspensa'!$AA$20:$AA$23,'Lista Suspensa'!$AB$20:$AB$23,"N/A")</f>
        <v>S</v>
      </c>
    </row>
    <row r="784" spans="1:47" ht="12" hidden="1" customHeight="1" x14ac:dyDescent="0.3">
      <c r="A784" s="87" t="s">
        <v>47</v>
      </c>
      <c r="B784" s="88">
        <v>46104</v>
      </c>
      <c r="C784" s="89" t="s">
        <v>48</v>
      </c>
      <c r="D784" s="89" t="s">
        <v>49</v>
      </c>
      <c r="E784" s="90">
        <v>450126340</v>
      </c>
      <c r="F784" s="184" t="s">
        <v>2435</v>
      </c>
      <c r="G784" s="91">
        <v>50142470830</v>
      </c>
      <c r="H784" s="92">
        <v>14404</v>
      </c>
      <c r="I784" s="89">
        <v>86</v>
      </c>
      <c r="J784" s="89" t="s">
        <v>51</v>
      </c>
      <c r="K784" s="89" t="s">
        <v>52</v>
      </c>
      <c r="L784" s="89" t="s">
        <v>53</v>
      </c>
      <c r="M784" s="89" t="s">
        <v>2436</v>
      </c>
      <c r="N784" s="89" t="s">
        <v>252</v>
      </c>
      <c r="O784" s="93" t="s">
        <v>2437</v>
      </c>
      <c r="P784" s="94" t="s">
        <v>57</v>
      </c>
      <c r="Q784" s="112" t="s">
        <v>2211</v>
      </c>
      <c r="R784" s="95"/>
      <c r="S784" s="96">
        <v>46164</v>
      </c>
      <c r="T784" s="96" t="s">
        <v>2212</v>
      </c>
      <c r="U784" s="96" t="s">
        <v>79</v>
      </c>
      <c r="V784" s="92">
        <v>46140</v>
      </c>
      <c r="W784" s="92">
        <v>46147</v>
      </c>
      <c r="X784" s="92">
        <v>46154</v>
      </c>
      <c r="Y784" s="97"/>
      <c r="Z784" s="89"/>
      <c r="AA784" s="96"/>
      <c r="AB784" s="89"/>
      <c r="AC784" s="111"/>
      <c r="AD784" s="89"/>
      <c r="AE784" s="89"/>
      <c r="AF784" s="98"/>
      <c r="AG784" s="98"/>
      <c r="AH784" s="98"/>
      <c r="AI784" s="99"/>
      <c r="AJ784" s="99"/>
      <c r="AK784" s="99"/>
      <c r="AL784" s="45" t="s">
        <v>68</v>
      </c>
      <c r="AM784" s="162" t="str">
        <f t="shared" si="96"/>
        <v>3/2026</v>
      </c>
      <c r="AN784" s="45">
        <f t="shared" si="97"/>
        <v>4</v>
      </c>
      <c r="AO784" s="45" t="str">
        <f t="shared" si="98"/>
        <v>1/1900</v>
      </c>
      <c r="AP784" s="45" t="e">
        <f t="shared" si="99"/>
        <v>#NUM!</v>
      </c>
      <c r="AQ784" s="45">
        <f t="shared" si="100"/>
        <v>0</v>
      </c>
      <c r="AR784" s="45">
        <f t="shared" si="101"/>
        <v>0</v>
      </c>
      <c r="AS784" s="45">
        <f t="shared" si="102"/>
        <v>0</v>
      </c>
      <c r="AT784" s="45">
        <f t="shared" si="103"/>
        <v>0</v>
      </c>
      <c r="AU784" s="45" t="str">
        <f>_xlfn.XLOOKUP(U784,'Lista Suspensa'!$AA$20:$AA$23,'Lista Suspensa'!$AB$20:$AB$23,"N/A")</f>
        <v>S</v>
      </c>
    </row>
    <row r="785" spans="1:47" ht="12" hidden="1" customHeight="1" x14ac:dyDescent="0.3">
      <c r="A785" s="87" t="s">
        <v>47</v>
      </c>
      <c r="B785" s="88">
        <v>46104</v>
      </c>
      <c r="C785" s="89" t="s">
        <v>48</v>
      </c>
      <c r="D785" s="89" t="s">
        <v>49</v>
      </c>
      <c r="E785" s="90">
        <v>806819774</v>
      </c>
      <c r="F785" s="184" t="s">
        <v>2438</v>
      </c>
      <c r="G785" s="91">
        <v>15282027836</v>
      </c>
      <c r="H785" s="92">
        <v>21725</v>
      </c>
      <c r="I785" s="89">
        <v>66</v>
      </c>
      <c r="J785" s="89" t="s">
        <v>70</v>
      </c>
      <c r="K785" s="89" t="s">
        <v>52</v>
      </c>
      <c r="L785" s="89" t="s">
        <v>53</v>
      </c>
      <c r="M785" s="89" t="s">
        <v>1052</v>
      </c>
      <c r="N785" s="89" t="s">
        <v>252</v>
      </c>
      <c r="O785" s="93" t="s">
        <v>2439</v>
      </c>
      <c r="P785" s="94" t="s">
        <v>57</v>
      </c>
      <c r="Q785" s="112" t="s">
        <v>2211</v>
      </c>
      <c r="R785" s="95"/>
      <c r="S785" s="96">
        <v>46164</v>
      </c>
      <c r="T785" s="96" t="s">
        <v>2212</v>
      </c>
      <c r="U785" s="96" t="s">
        <v>79</v>
      </c>
      <c r="V785" s="92">
        <v>46140</v>
      </c>
      <c r="W785" s="92">
        <v>46147</v>
      </c>
      <c r="X785" s="92">
        <v>46154</v>
      </c>
      <c r="Y785" s="97"/>
      <c r="Z785" s="89"/>
      <c r="AA785" s="96"/>
      <c r="AB785" s="89"/>
      <c r="AC785" s="111"/>
      <c r="AD785" s="89"/>
      <c r="AE785" s="89"/>
      <c r="AF785" s="98"/>
      <c r="AG785" s="98"/>
      <c r="AH785" s="98"/>
      <c r="AI785" s="99"/>
      <c r="AJ785" s="99"/>
      <c r="AK785" s="99"/>
      <c r="AL785" s="45" t="s">
        <v>68</v>
      </c>
      <c r="AM785" s="162" t="str">
        <f t="shared" si="96"/>
        <v>3/2026</v>
      </c>
      <c r="AN785" s="45">
        <f t="shared" si="97"/>
        <v>4</v>
      </c>
      <c r="AO785" s="45" t="str">
        <f t="shared" si="98"/>
        <v>1/1900</v>
      </c>
      <c r="AP785" s="45" t="e">
        <f t="shared" si="99"/>
        <v>#NUM!</v>
      </c>
      <c r="AQ785" s="45">
        <f t="shared" si="100"/>
        <v>0</v>
      </c>
      <c r="AR785" s="45">
        <f t="shared" si="101"/>
        <v>0</v>
      </c>
      <c r="AS785" s="45">
        <f t="shared" si="102"/>
        <v>0</v>
      </c>
      <c r="AT785" s="45">
        <f t="shared" si="103"/>
        <v>0</v>
      </c>
      <c r="AU785" s="45" t="str">
        <f>_xlfn.XLOOKUP(U785,'Lista Suspensa'!$AA$20:$AA$23,'Lista Suspensa'!$AB$20:$AB$23,"N/A")</f>
        <v>S</v>
      </c>
    </row>
    <row r="786" spans="1:47" ht="12" hidden="1" customHeight="1" x14ac:dyDescent="0.3">
      <c r="A786" s="87" t="s">
        <v>47</v>
      </c>
      <c r="B786" s="88">
        <v>46104</v>
      </c>
      <c r="C786" s="89" t="s">
        <v>48</v>
      </c>
      <c r="D786" s="89" t="s">
        <v>49</v>
      </c>
      <c r="E786" s="90">
        <v>792440927</v>
      </c>
      <c r="F786" s="184" t="s">
        <v>2440</v>
      </c>
      <c r="G786" s="91">
        <v>81041373600</v>
      </c>
      <c r="H786" s="92">
        <v>24705</v>
      </c>
      <c r="I786" s="89">
        <v>58</v>
      </c>
      <c r="J786" s="89" t="s">
        <v>70</v>
      </c>
      <c r="K786" s="89" t="s">
        <v>52</v>
      </c>
      <c r="L786" s="89" t="s">
        <v>53</v>
      </c>
      <c r="M786" s="89" t="s">
        <v>1052</v>
      </c>
      <c r="N786" s="89" t="s">
        <v>252</v>
      </c>
      <c r="O786" s="93" t="s">
        <v>2441</v>
      </c>
      <c r="P786" s="94" t="s">
        <v>57</v>
      </c>
      <c r="Q786" s="112" t="s">
        <v>2211</v>
      </c>
      <c r="R786" s="95"/>
      <c r="S786" s="96">
        <v>46164</v>
      </c>
      <c r="T786" s="96" t="s">
        <v>2212</v>
      </c>
      <c r="U786" s="96" t="s">
        <v>79</v>
      </c>
      <c r="V786" s="92">
        <v>46140</v>
      </c>
      <c r="W786" s="92">
        <v>46147</v>
      </c>
      <c r="X786" s="92">
        <v>46154</v>
      </c>
      <c r="Y786" s="97"/>
      <c r="Z786" s="89"/>
      <c r="AA786" s="96"/>
      <c r="AB786" s="89"/>
      <c r="AC786" s="111"/>
      <c r="AD786" s="89"/>
      <c r="AE786" s="89"/>
      <c r="AF786" s="98"/>
      <c r="AG786" s="98"/>
      <c r="AH786" s="98"/>
      <c r="AI786" s="99"/>
      <c r="AJ786" s="99"/>
      <c r="AK786" s="99"/>
      <c r="AL786" s="45" t="s">
        <v>68</v>
      </c>
      <c r="AM786" s="162" t="str">
        <f t="shared" si="96"/>
        <v>3/2026</v>
      </c>
      <c r="AN786" s="45">
        <f t="shared" si="97"/>
        <v>4</v>
      </c>
      <c r="AO786" s="45" t="str">
        <f t="shared" si="98"/>
        <v>1/1900</v>
      </c>
      <c r="AP786" s="45" t="e">
        <f t="shared" si="99"/>
        <v>#NUM!</v>
      </c>
      <c r="AQ786" s="45">
        <f t="shared" si="100"/>
        <v>0</v>
      </c>
      <c r="AR786" s="45">
        <f t="shared" si="101"/>
        <v>0</v>
      </c>
      <c r="AS786" s="45">
        <f t="shared" si="102"/>
        <v>0</v>
      </c>
      <c r="AT786" s="45">
        <f t="shared" si="103"/>
        <v>0</v>
      </c>
      <c r="AU786" s="45" t="str">
        <f>_xlfn.XLOOKUP(U786,'Lista Suspensa'!$AA$20:$AA$23,'Lista Suspensa'!$AB$20:$AB$23,"N/A")</f>
        <v>S</v>
      </c>
    </row>
    <row r="787" spans="1:47" ht="12" hidden="1" customHeight="1" x14ac:dyDescent="0.3">
      <c r="A787" s="87" t="s">
        <v>47</v>
      </c>
      <c r="B787" s="88">
        <v>46104</v>
      </c>
      <c r="C787" s="89" t="s">
        <v>48</v>
      </c>
      <c r="D787" s="89" t="s">
        <v>49</v>
      </c>
      <c r="E787" s="90">
        <v>811800040</v>
      </c>
      <c r="F787" s="184" t="s">
        <v>2442</v>
      </c>
      <c r="G787" s="91">
        <v>16489891875</v>
      </c>
      <c r="H787" s="92">
        <v>20790</v>
      </c>
      <c r="I787" s="89">
        <v>69</v>
      </c>
      <c r="J787" s="89" t="s">
        <v>70</v>
      </c>
      <c r="K787" s="89" t="s">
        <v>52</v>
      </c>
      <c r="L787" s="89" t="s">
        <v>53</v>
      </c>
      <c r="M787" s="89" t="s">
        <v>773</v>
      </c>
      <c r="N787" s="89" t="s">
        <v>252</v>
      </c>
      <c r="O787" s="93" t="s">
        <v>2443</v>
      </c>
      <c r="P787" s="94" t="s">
        <v>57</v>
      </c>
      <c r="Q787" s="112" t="s">
        <v>2211</v>
      </c>
      <c r="R787" s="95"/>
      <c r="S787" s="96">
        <v>46164</v>
      </c>
      <c r="T787" s="96" t="s">
        <v>2212</v>
      </c>
      <c r="U787" s="96" t="s">
        <v>79</v>
      </c>
      <c r="V787" s="92">
        <v>46140</v>
      </c>
      <c r="W787" s="92">
        <v>46147</v>
      </c>
      <c r="X787" s="92">
        <v>46154</v>
      </c>
      <c r="Y787" s="97"/>
      <c r="Z787" s="89"/>
      <c r="AA787" s="96"/>
      <c r="AB787" s="89"/>
      <c r="AC787" s="111"/>
      <c r="AD787" s="89"/>
      <c r="AE787" s="89"/>
      <c r="AF787" s="98"/>
      <c r="AG787" s="98"/>
      <c r="AH787" s="98"/>
      <c r="AI787" s="99"/>
      <c r="AJ787" s="99"/>
      <c r="AK787" s="99"/>
      <c r="AL787" s="45" t="s">
        <v>68</v>
      </c>
      <c r="AM787" s="162" t="str">
        <f t="shared" si="96"/>
        <v>3/2026</v>
      </c>
      <c r="AN787" s="45">
        <f t="shared" si="97"/>
        <v>4</v>
      </c>
      <c r="AO787" s="45" t="str">
        <f t="shared" si="98"/>
        <v>1/1900</v>
      </c>
      <c r="AP787" s="45" t="e">
        <f t="shared" si="99"/>
        <v>#NUM!</v>
      </c>
      <c r="AQ787" s="45">
        <f t="shared" si="100"/>
        <v>0</v>
      </c>
      <c r="AR787" s="45">
        <f t="shared" si="101"/>
        <v>0</v>
      </c>
      <c r="AS787" s="45">
        <f t="shared" si="102"/>
        <v>0</v>
      </c>
      <c r="AT787" s="45">
        <f t="shared" si="103"/>
        <v>0</v>
      </c>
      <c r="AU787" s="45" t="str">
        <f>_xlfn.XLOOKUP(U787,'Lista Suspensa'!$AA$20:$AA$23,'Lista Suspensa'!$AB$20:$AB$23,"N/A")</f>
        <v>S</v>
      </c>
    </row>
    <row r="788" spans="1:47" ht="12" hidden="1" customHeight="1" x14ac:dyDescent="0.3">
      <c r="A788" s="87" t="s">
        <v>47</v>
      </c>
      <c r="B788" s="88">
        <v>46104</v>
      </c>
      <c r="C788" s="89" t="s">
        <v>48</v>
      </c>
      <c r="D788" s="89" t="s">
        <v>49</v>
      </c>
      <c r="E788" s="90">
        <v>450509125</v>
      </c>
      <c r="F788" s="184" t="s">
        <v>2444</v>
      </c>
      <c r="G788" s="91">
        <v>29852536834</v>
      </c>
      <c r="H788" s="92">
        <v>17177</v>
      </c>
      <c r="I788" s="89">
        <v>79</v>
      </c>
      <c r="J788" s="89" t="s">
        <v>51</v>
      </c>
      <c r="K788" s="89" t="s">
        <v>52</v>
      </c>
      <c r="L788" s="89" t="s">
        <v>53</v>
      </c>
      <c r="M788" s="89" t="s">
        <v>2445</v>
      </c>
      <c r="N788" s="89" t="s">
        <v>252</v>
      </c>
      <c r="O788" s="93" t="s">
        <v>2446</v>
      </c>
      <c r="P788" s="94" t="s">
        <v>57</v>
      </c>
      <c r="Q788" s="112" t="s">
        <v>2211</v>
      </c>
      <c r="R788" s="95"/>
      <c r="S788" s="96">
        <v>46164</v>
      </c>
      <c r="T788" s="96" t="s">
        <v>2212</v>
      </c>
      <c r="U788" s="96" t="s">
        <v>79</v>
      </c>
      <c r="V788" s="92">
        <v>46140</v>
      </c>
      <c r="W788" s="92">
        <v>46147</v>
      </c>
      <c r="X788" s="92">
        <v>46154</v>
      </c>
      <c r="Y788" s="97"/>
      <c r="Z788" s="89"/>
      <c r="AA788" s="96"/>
      <c r="AB788" s="89"/>
      <c r="AC788" s="111"/>
      <c r="AD788" s="89"/>
      <c r="AE788" s="89"/>
      <c r="AF788" s="98"/>
      <c r="AG788" s="98"/>
      <c r="AH788" s="98"/>
      <c r="AI788" s="99"/>
      <c r="AJ788" s="99"/>
      <c r="AK788" s="99"/>
      <c r="AL788" s="45" t="s">
        <v>68</v>
      </c>
      <c r="AM788" s="162" t="str">
        <f t="shared" si="96"/>
        <v>3/2026</v>
      </c>
      <c r="AN788" s="45">
        <f t="shared" si="97"/>
        <v>4</v>
      </c>
      <c r="AO788" s="45" t="str">
        <f t="shared" si="98"/>
        <v>1/1900</v>
      </c>
      <c r="AP788" s="45" t="e">
        <f t="shared" si="99"/>
        <v>#NUM!</v>
      </c>
      <c r="AQ788" s="45">
        <f t="shared" si="100"/>
        <v>0</v>
      </c>
      <c r="AR788" s="45">
        <f t="shared" si="101"/>
        <v>0</v>
      </c>
      <c r="AS788" s="45">
        <f t="shared" si="102"/>
        <v>0</v>
      </c>
      <c r="AT788" s="45">
        <f t="shared" si="103"/>
        <v>0</v>
      </c>
      <c r="AU788" s="45" t="str">
        <f>_xlfn.XLOOKUP(U788,'Lista Suspensa'!$AA$20:$AA$23,'Lista Suspensa'!$AB$20:$AB$23,"N/A")</f>
        <v>S</v>
      </c>
    </row>
    <row r="789" spans="1:47" ht="12" hidden="1" customHeight="1" x14ac:dyDescent="0.3">
      <c r="A789" s="87" t="s">
        <v>47</v>
      </c>
      <c r="B789" s="88">
        <v>46104</v>
      </c>
      <c r="C789" s="89" t="s">
        <v>48</v>
      </c>
      <c r="D789" s="89" t="s">
        <v>49</v>
      </c>
      <c r="E789" s="90">
        <v>230398987</v>
      </c>
      <c r="F789" s="184" t="s">
        <v>2447</v>
      </c>
      <c r="G789" s="91">
        <v>14071564890</v>
      </c>
      <c r="H789" s="92">
        <v>17853</v>
      </c>
      <c r="I789" s="89">
        <v>77</v>
      </c>
      <c r="J789" s="89" t="s">
        <v>70</v>
      </c>
      <c r="K789" s="89" t="s">
        <v>52</v>
      </c>
      <c r="L789" s="89" t="s">
        <v>525</v>
      </c>
      <c r="M789" s="89" t="s">
        <v>703</v>
      </c>
      <c r="N789" s="89" t="s">
        <v>252</v>
      </c>
      <c r="O789" s="93" t="s">
        <v>2448</v>
      </c>
      <c r="P789" s="94" t="s">
        <v>57</v>
      </c>
      <c r="Q789" s="112" t="s">
        <v>2211</v>
      </c>
      <c r="R789" s="95"/>
      <c r="S789" s="96">
        <v>46164</v>
      </c>
      <c r="T789" s="96" t="s">
        <v>2212</v>
      </c>
      <c r="U789" s="96" t="s">
        <v>79</v>
      </c>
      <c r="V789" s="92">
        <v>46140</v>
      </c>
      <c r="W789" s="92">
        <v>46147</v>
      </c>
      <c r="X789" s="92">
        <v>46154</v>
      </c>
      <c r="Y789" s="97"/>
      <c r="Z789" s="89"/>
      <c r="AA789" s="96"/>
      <c r="AB789" s="89"/>
      <c r="AC789" s="111"/>
      <c r="AD789" s="89"/>
      <c r="AE789" s="89"/>
      <c r="AF789" s="98"/>
      <c r="AG789" s="98"/>
      <c r="AH789" s="98"/>
      <c r="AI789" s="99"/>
      <c r="AJ789" s="99"/>
      <c r="AK789" s="99"/>
      <c r="AL789" s="45" t="s">
        <v>68</v>
      </c>
      <c r="AM789" s="162" t="str">
        <f t="shared" si="96"/>
        <v>3/2026</v>
      </c>
      <c r="AN789" s="45">
        <f t="shared" si="97"/>
        <v>4</v>
      </c>
      <c r="AO789" s="45" t="str">
        <f t="shared" si="98"/>
        <v>1/1900</v>
      </c>
      <c r="AP789" s="45" t="e">
        <f t="shared" si="99"/>
        <v>#NUM!</v>
      </c>
      <c r="AQ789" s="45">
        <f t="shared" si="100"/>
        <v>0</v>
      </c>
      <c r="AR789" s="45">
        <f t="shared" si="101"/>
        <v>0</v>
      </c>
      <c r="AS789" s="45">
        <f t="shared" si="102"/>
        <v>0</v>
      </c>
      <c r="AT789" s="45">
        <f t="shared" si="103"/>
        <v>0</v>
      </c>
      <c r="AU789" s="45" t="str">
        <f>_xlfn.XLOOKUP(U789,'Lista Suspensa'!$AA$20:$AA$23,'Lista Suspensa'!$AB$20:$AB$23,"N/A")</f>
        <v>S</v>
      </c>
    </row>
    <row r="790" spans="1:47" ht="12" hidden="1" customHeight="1" x14ac:dyDescent="0.3">
      <c r="A790" s="87" t="s">
        <v>47</v>
      </c>
      <c r="B790" s="88">
        <v>46104</v>
      </c>
      <c r="C790" s="89" t="s">
        <v>48</v>
      </c>
      <c r="D790" s="89" t="s">
        <v>49</v>
      </c>
      <c r="E790" s="90">
        <v>770466141</v>
      </c>
      <c r="F790" s="184" t="s">
        <v>2449</v>
      </c>
      <c r="G790" s="91">
        <v>85817732815</v>
      </c>
      <c r="H790" s="92">
        <v>20198</v>
      </c>
      <c r="I790" s="89">
        <v>70</v>
      </c>
      <c r="J790" s="89" t="s">
        <v>51</v>
      </c>
      <c r="K790" s="89" t="s">
        <v>52</v>
      </c>
      <c r="L790" s="89" t="s">
        <v>1176</v>
      </c>
      <c r="M790" s="89" t="s">
        <v>2450</v>
      </c>
      <c r="N790" s="89" t="s">
        <v>252</v>
      </c>
      <c r="O790" s="93" t="s">
        <v>2451</v>
      </c>
      <c r="P790" s="94" t="s">
        <v>57</v>
      </c>
      <c r="Q790" s="112" t="s">
        <v>2211</v>
      </c>
      <c r="R790" s="95"/>
      <c r="S790" s="96">
        <v>46164</v>
      </c>
      <c r="T790" s="96" t="s">
        <v>2212</v>
      </c>
      <c r="U790" s="96" t="s">
        <v>79</v>
      </c>
      <c r="V790" s="92">
        <v>46140</v>
      </c>
      <c r="W790" s="92">
        <v>46147</v>
      </c>
      <c r="X790" s="92">
        <v>46154</v>
      </c>
      <c r="Y790" s="97"/>
      <c r="Z790" s="89"/>
      <c r="AA790" s="96"/>
      <c r="AB790" s="89"/>
      <c r="AC790" s="111"/>
      <c r="AD790" s="89"/>
      <c r="AE790" s="89"/>
      <c r="AF790" s="98"/>
      <c r="AG790" s="98"/>
      <c r="AH790" s="98"/>
      <c r="AI790" s="99"/>
      <c r="AJ790" s="99"/>
      <c r="AK790" s="99"/>
      <c r="AL790" s="45" t="s">
        <v>68</v>
      </c>
      <c r="AM790" s="162" t="str">
        <f t="shared" si="96"/>
        <v>3/2026</v>
      </c>
      <c r="AN790" s="45">
        <f t="shared" si="97"/>
        <v>4</v>
      </c>
      <c r="AO790" s="45" t="str">
        <f t="shared" si="98"/>
        <v>1/1900</v>
      </c>
      <c r="AP790" s="45" t="e">
        <f t="shared" si="99"/>
        <v>#NUM!</v>
      </c>
      <c r="AQ790" s="45">
        <f t="shared" si="100"/>
        <v>0</v>
      </c>
      <c r="AR790" s="45">
        <f t="shared" si="101"/>
        <v>0</v>
      </c>
      <c r="AS790" s="45">
        <f t="shared" si="102"/>
        <v>0</v>
      </c>
      <c r="AT790" s="45">
        <f t="shared" si="103"/>
        <v>0</v>
      </c>
      <c r="AU790" s="45" t="str">
        <f>_xlfn.XLOOKUP(U790,'Lista Suspensa'!$AA$20:$AA$23,'Lista Suspensa'!$AB$20:$AB$23,"N/A")</f>
        <v>S</v>
      </c>
    </row>
    <row r="791" spans="1:47" ht="12" hidden="1" customHeight="1" x14ac:dyDescent="0.3">
      <c r="A791" s="87" t="s">
        <v>47</v>
      </c>
      <c r="B791" s="88">
        <v>46104</v>
      </c>
      <c r="C791" s="89" t="s">
        <v>48</v>
      </c>
      <c r="D791" s="89" t="s">
        <v>49</v>
      </c>
      <c r="E791" s="90">
        <v>450123979</v>
      </c>
      <c r="F791" s="184" t="s">
        <v>2452</v>
      </c>
      <c r="G791" s="91">
        <v>32534258869</v>
      </c>
      <c r="H791" s="92">
        <v>16910</v>
      </c>
      <c r="I791" s="89">
        <v>79</v>
      </c>
      <c r="J791" s="89" t="s">
        <v>70</v>
      </c>
      <c r="K791" s="89" t="s">
        <v>52</v>
      </c>
      <c r="L791" s="89" t="s">
        <v>525</v>
      </c>
      <c r="M791" s="89" t="s">
        <v>2453</v>
      </c>
      <c r="N791" s="89" t="s">
        <v>252</v>
      </c>
      <c r="O791" s="93" t="s">
        <v>2454</v>
      </c>
      <c r="P791" s="94" t="s">
        <v>57</v>
      </c>
      <c r="Q791" s="112" t="s">
        <v>2211</v>
      </c>
      <c r="R791" s="95"/>
      <c r="S791" s="96">
        <v>46164</v>
      </c>
      <c r="T791" s="96" t="s">
        <v>2212</v>
      </c>
      <c r="U791" s="96" t="s">
        <v>79</v>
      </c>
      <c r="V791" s="92">
        <v>46122</v>
      </c>
      <c r="W791" s="92">
        <v>46147</v>
      </c>
      <c r="X791" s="92">
        <v>46154</v>
      </c>
      <c r="Y791" s="97"/>
      <c r="Z791" s="89"/>
      <c r="AA791" s="96"/>
      <c r="AB791" s="89"/>
      <c r="AC791" s="111"/>
      <c r="AD791" s="89"/>
      <c r="AE791" s="89"/>
      <c r="AF791" s="98"/>
      <c r="AG791" s="98"/>
      <c r="AH791" s="98"/>
      <c r="AI791" s="99"/>
      <c r="AJ791" s="99"/>
      <c r="AK791" s="99"/>
      <c r="AL791" s="45" t="s">
        <v>68</v>
      </c>
      <c r="AM791" s="162" t="str">
        <f t="shared" si="96"/>
        <v>3/2026</v>
      </c>
      <c r="AN791" s="45">
        <f t="shared" si="97"/>
        <v>4</v>
      </c>
      <c r="AO791" s="45" t="str">
        <f t="shared" si="98"/>
        <v>1/1900</v>
      </c>
      <c r="AP791" s="45" t="e">
        <f t="shared" si="99"/>
        <v>#NUM!</v>
      </c>
      <c r="AQ791" s="45">
        <f t="shared" si="100"/>
        <v>0</v>
      </c>
      <c r="AR791" s="45">
        <f t="shared" si="101"/>
        <v>0</v>
      </c>
      <c r="AS791" s="45">
        <f t="shared" si="102"/>
        <v>0</v>
      </c>
      <c r="AT791" s="45">
        <f t="shared" si="103"/>
        <v>0</v>
      </c>
      <c r="AU791" s="45" t="str">
        <f>_xlfn.XLOOKUP(U791,'Lista Suspensa'!$AA$20:$AA$23,'Lista Suspensa'!$AB$20:$AB$23,"N/A")</f>
        <v>S</v>
      </c>
    </row>
    <row r="792" spans="1:47" ht="12" hidden="1" customHeight="1" x14ac:dyDescent="0.3">
      <c r="A792" s="87" t="s">
        <v>47</v>
      </c>
      <c r="B792" s="88">
        <v>46104</v>
      </c>
      <c r="C792" s="89" t="s">
        <v>48</v>
      </c>
      <c r="D792" s="89" t="s">
        <v>49</v>
      </c>
      <c r="E792" s="90">
        <v>458346730</v>
      </c>
      <c r="F792" s="184" t="s">
        <v>2455</v>
      </c>
      <c r="G792" s="91">
        <v>14402374847</v>
      </c>
      <c r="H792" s="92">
        <v>14425</v>
      </c>
      <c r="I792" s="89">
        <v>86</v>
      </c>
      <c r="J792" s="89" t="s">
        <v>70</v>
      </c>
      <c r="K792" s="89" t="s">
        <v>52</v>
      </c>
      <c r="L792" s="89" t="s">
        <v>53</v>
      </c>
      <c r="M792" s="89" t="s">
        <v>2456</v>
      </c>
      <c r="N792" s="89" t="s">
        <v>252</v>
      </c>
      <c r="O792" s="93" t="s">
        <v>2457</v>
      </c>
      <c r="P792" s="94" t="s">
        <v>57</v>
      </c>
      <c r="Q792" s="112" t="s">
        <v>2211</v>
      </c>
      <c r="R792" s="95"/>
      <c r="S792" s="96">
        <v>46164</v>
      </c>
      <c r="T792" s="96" t="s">
        <v>2212</v>
      </c>
      <c r="U792" s="96" t="s">
        <v>79</v>
      </c>
      <c r="V792" s="92">
        <v>46140</v>
      </c>
      <c r="W792" s="92">
        <v>46147</v>
      </c>
      <c r="X792" s="92">
        <v>46154</v>
      </c>
      <c r="Y792" s="97"/>
      <c r="Z792" s="89"/>
      <c r="AA792" s="96"/>
      <c r="AB792" s="89"/>
      <c r="AC792" s="111"/>
      <c r="AD792" s="89"/>
      <c r="AE792" s="89"/>
      <c r="AF792" s="98"/>
      <c r="AG792" s="98"/>
      <c r="AH792" s="98"/>
      <c r="AI792" s="99"/>
      <c r="AJ792" s="99"/>
      <c r="AK792" s="99"/>
      <c r="AL792" s="45" t="s">
        <v>68</v>
      </c>
      <c r="AM792" s="162" t="str">
        <f t="shared" si="96"/>
        <v>3/2026</v>
      </c>
      <c r="AN792" s="45">
        <f t="shared" si="97"/>
        <v>4</v>
      </c>
      <c r="AO792" s="45" t="str">
        <f t="shared" si="98"/>
        <v>1/1900</v>
      </c>
      <c r="AP792" s="45" t="e">
        <f t="shared" si="99"/>
        <v>#NUM!</v>
      </c>
      <c r="AQ792" s="45">
        <f t="shared" si="100"/>
        <v>0</v>
      </c>
      <c r="AR792" s="45">
        <f t="shared" si="101"/>
        <v>0</v>
      </c>
      <c r="AS792" s="45">
        <f t="shared" si="102"/>
        <v>0</v>
      </c>
      <c r="AT792" s="45">
        <f t="shared" si="103"/>
        <v>0</v>
      </c>
      <c r="AU792" s="45" t="str">
        <f>_xlfn.XLOOKUP(U792,'Lista Suspensa'!$AA$20:$AA$23,'Lista Suspensa'!$AB$20:$AB$23,"N/A")</f>
        <v>S</v>
      </c>
    </row>
    <row r="793" spans="1:47" ht="12" hidden="1" customHeight="1" x14ac:dyDescent="0.3">
      <c r="A793" s="87" t="s">
        <v>47</v>
      </c>
      <c r="B793" s="88">
        <v>46104</v>
      </c>
      <c r="C793" s="89" t="s">
        <v>48</v>
      </c>
      <c r="D793" s="89" t="s">
        <v>49</v>
      </c>
      <c r="E793" s="90">
        <v>449189830</v>
      </c>
      <c r="F793" s="184" t="s">
        <v>2458</v>
      </c>
      <c r="G793" s="91">
        <v>14091093809</v>
      </c>
      <c r="H793" s="92">
        <v>23086</v>
      </c>
      <c r="I793" s="89">
        <v>63</v>
      </c>
      <c r="J793" s="89" t="s">
        <v>70</v>
      </c>
      <c r="K793" s="89" t="s">
        <v>52</v>
      </c>
      <c r="L793" s="89" t="s">
        <v>160</v>
      </c>
      <c r="M793" s="89" t="s">
        <v>2459</v>
      </c>
      <c r="N793" s="89" t="s">
        <v>252</v>
      </c>
      <c r="O793" s="93" t="s">
        <v>2460</v>
      </c>
      <c r="P793" s="94" t="s">
        <v>57</v>
      </c>
      <c r="Q793" s="112" t="s">
        <v>2211</v>
      </c>
      <c r="R793" s="95"/>
      <c r="S793" s="96">
        <v>46164</v>
      </c>
      <c r="T793" s="96" t="s">
        <v>2212</v>
      </c>
      <c r="U793" s="96" t="s">
        <v>79</v>
      </c>
      <c r="V793" s="92">
        <v>46140</v>
      </c>
      <c r="W793" s="92">
        <v>46147</v>
      </c>
      <c r="X793" s="92">
        <v>46154</v>
      </c>
      <c r="Y793" s="97"/>
      <c r="Z793" s="89"/>
      <c r="AA793" s="96"/>
      <c r="AB793" s="89"/>
      <c r="AC793" s="111"/>
      <c r="AD793" s="89"/>
      <c r="AE793" s="89"/>
      <c r="AF793" s="98"/>
      <c r="AG793" s="98"/>
      <c r="AH793" s="98"/>
      <c r="AI793" s="99"/>
      <c r="AJ793" s="99"/>
      <c r="AK793" s="99"/>
      <c r="AL793" s="45" t="s">
        <v>68</v>
      </c>
      <c r="AM793" s="162" t="str">
        <f t="shared" si="96"/>
        <v>3/2026</v>
      </c>
      <c r="AN793" s="45">
        <f t="shared" si="97"/>
        <v>4</v>
      </c>
      <c r="AO793" s="45" t="str">
        <f t="shared" si="98"/>
        <v>1/1900</v>
      </c>
      <c r="AP793" s="45" t="e">
        <f t="shared" si="99"/>
        <v>#NUM!</v>
      </c>
      <c r="AQ793" s="45">
        <f t="shared" si="100"/>
        <v>0</v>
      </c>
      <c r="AR793" s="45">
        <f t="shared" si="101"/>
        <v>0</v>
      </c>
      <c r="AS793" s="45">
        <f t="shared" si="102"/>
        <v>0</v>
      </c>
      <c r="AT793" s="45">
        <f t="shared" si="103"/>
        <v>0</v>
      </c>
      <c r="AU793" s="45" t="str">
        <f>_xlfn.XLOOKUP(U793,'Lista Suspensa'!$AA$20:$AA$23,'Lista Suspensa'!$AB$20:$AB$23,"N/A")</f>
        <v>S</v>
      </c>
    </row>
    <row r="794" spans="1:47" ht="12" hidden="1" customHeight="1" x14ac:dyDescent="0.3">
      <c r="A794" s="87" t="s">
        <v>47</v>
      </c>
      <c r="B794" s="88">
        <v>46104</v>
      </c>
      <c r="C794" s="89" t="s">
        <v>48</v>
      </c>
      <c r="D794" s="89" t="s">
        <v>49</v>
      </c>
      <c r="E794" s="90">
        <v>756443440</v>
      </c>
      <c r="F794" s="184" t="s">
        <v>2461</v>
      </c>
      <c r="G794" s="91">
        <v>30991129768</v>
      </c>
      <c r="H794" s="92">
        <v>15156</v>
      </c>
      <c r="I794" s="89">
        <v>84</v>
      </c>
      <c r="J794" s="89" t="s">
        <v>51</v>
      </c>
      <c r="K794" s="89" t="s">
        <v>88</v>
      </c>
      <c r="L794" s="89" t="s">
        <v>89</v>
      </c>
      <c r="M794" s="89" t="s">
        <v>2462</v>
      </c>
      <c r="N794" s="89" t="s">
        <v>252</v>
      </c>
      <c r="O794" s="93" t="s">
        <v>2463</v>
      </c>
      <c r="P794" s="94" t="s">
        <v>57</v>
      </c>
      <c r="Q794" s="112" t="s">
        <v>2211</v>
      </c>
      <c r="R794" s="95"/>
      <c r="S794" s="96">
        <v>46164</v>
      </c>
      <c r="T794" s="96" t="s">
        <v>2212</v>
      </c>
      <c r="U794" s="96" t="s">
        <v>79</v>
      </c>
      <c r="V794" s="92">
        <v>46122</v>
      </c>
      <c r="W794" s="92">
        <v>46147</v>
      </c>
      <c r="X794" s="92">
        <v>46154</v>
      </c>
      <c r="Y794" s="97"/>
      <c r="Z794" s="89"/>
      <c r="AA794" s="96"/>
      <c r="AB794" s="89"/>
      <c r="AC794" s="111"/>
      <c r="AD794" s="89"/>
      <c r="AE794" s="89"/>
      <c r="AF794" s="98"/>
      <c r="AG794" s="98"/>
      <c r="AH794" s="98"/>
      <c r="AI794" s="99"/>
      <c r="AJ794" s="99"/>
      <c r="AK794" s="99"/>
      <c r="AL794" s="45" t="s">
        <v>68</v>
      </c>
      <c r="AM794" s="162" t="str">
        <f t="shared" si="96"/>
        <v>3/2026</v>
      </c>
      <c r="AN794" s="45">
        <f t="shared" si="97"/>
        <v>4</v>
      </c>
      <c r="AO794" s="45" t="str">
        <f t="shared" si="98"/>
        <v>1/1900</v>
      </c>
      <c r="AP794" s="45" t="e">
        <f t="shared" si="99"/>
        <v>#NUM!</v>
      </c>
      <c r="AQ794" s="45">
        <f t="shared" si="100"/>
        <v>0</v>
      </c>
      <c r="AR794" s="45">
        <f t="shared" si="101"/>
        <v>0</v>
      </c>
      <c r="AS794" s="45">
        <f t="shared" si="102"/>
        <v>0</v>
      </c>
      <c r="AT794" s="45">
        <f t="shared" si="103"/>
        <v>0</v>
      </c>
      <c r="AU794" s="45" t="str">
        <f>_xlfn.XLOOKUP(U794,'Lista Suspensa'!$AA$20:$AA$23,'Lista Suspensa'!$AB$20:$AB$23,"N/A")</f>
        <v>S</v>
      </c>
    </row>
    <row r="795" spans="1:47" ht="12" hidden="1" customHeight="1" x14ac:dyDescent="0.3">
      <c r="A795" s="87" t="s">
        <v>47</v>
      </c>
      <c r="B795" s="88">
        <v>46104</v>
      </c>
      <c r="C795" s="89" t="s">
        <v>48</v>
      </c>
      <c r="D795" s="89" t="s">
        <v>49</v>
      </c>
      <c r="E795" s="90">
        <v>809610990</v>
      </c>
      <c r="F795" s="184" t="s">
        <v>2464</v>
      </c>
      <c r="G795" s="91">
        <v>80785395849</v>
      </c>
      <c r="H795" s="92">
        <v>19763</v>
      </c>
      <c r="I795" s="89">
        <v>72</v>
      </c>
      <c r="J795" s="89" t="s">
        <v>51</v>
      </c>
      <c r="K795" s="89" t="s">
        <v>52</v>
      </c>
      <c r="L795" s="89" t="s">
        <v>53</v>
      </c>
      <c r="M795" s="89" t="s">
        <v>2028</v>
      </c>
      <c r="N795" s="89" t="s">
        <v>252</v>
      </c>
      <c r="O795" s="93" t="s">
        <v>2465</v>
      </c>
      <c r="P795" s="94" t="s">
        <v>57</v>
      </c>
      <c r="Q795" s="112" t="s">
        <v>2211</v>
      </c>
      <c r="R795" s="95"/>
      <c r="S795" s="96">
        <v>46164</v>
      </c>
      <c r="T795" s="96" t="s">
        <v>2212</v>
      </c>
      <c r="U795" s="96" t="s">
        <v>79</v>
      </c>
      <c r="V795" s="92">
        <v>46140</v>
      </c>
      <c r="W795" s="92">
        <v>46147</v>
      </c>
      <c r="X795" s="92">
        <v>46154</v>
      </c>
      <c r="Y795" s="97"/>
      <c r="Z795" s="89"/>
      <c r="AA795" s="96"/>
      <c r="AB795" s="89"/>
      <c r="AC795" s="111"/>
      <c r="AD795" s="89"/>
      <c r="AE795" s="89"/>
      <c r="AF795" s="98"/>
      <c r="AG795" s="98"/>
      <c r="AH795" s="98"/>
      <c r="AI795" s="99"/>
      <c r="AJ795" s="99"/>
      <c r="AK795" s="99"/>
      <c r="AL795" s="45" t="s">
        <v>68</v>
      </c>
      <c r="AM795" s="162" t="str">
        <f t="shared" si="96"/>
        <v>3/2026</v>
      </c>
      <c r="AN795" s="45">
        <f t="shared" si="97"/>
        <v>4</v>
      </c>
      <c r="AO795" s="45" t="str">
        <f t="shared" si="98"/>
        <v>1/1900</v>
      </c>
      <c r="AP795" s="45" t="e">
        <f t="shared" si="99"/>
        <v>#NUM!</v>
      </c>
      <c r="AQ795" s="45">
        <f t="shared" si="100"/>
        <v>0</v>
      </c>
      <c r="AR795" s="45">
        <f t="shared" si="101"/>
        <v>0</v>
      </c>
      <c r="AS795" s="45">
        <f t="shared" si="102"/>
        <v>0</v>
      </c>
      <c r="AT795" s="45">
        <f t="shared" si="103"/>
        <v>0</v>
      </c>
      <c r="AU795" s="45" t="str">
        <f>_xlfn.XLOOKUP(U795,'Lista Suspensa'!$AA$20:$AA$23,'Lista Suspensa'!$AB$20:$AB$23,"N/A")</f>
        <v>S</v>
      </c>
    </row>
    <row r="796" spans="1:47" ht="12" hidden="1" customHeight="1" x14ac:dyDescent="0.3">
      <c r="A796" s="87" t="s">
        <v>47</v>
      </c>
      <c r="B796" s="88">
        <v>46104</v>
      </c>
      <c r="C796" s="89" t="s">
        <v>48</v>
      </c>
      <c r="D796" s="89" t="s">
        <v>49</v>
      </c>
      <c r="E796" s="90">
        <v>760492018</v>
      </c>
      <c r="F796" s="184" t="s">
        <v>2466</v>
      </c>
      <c r="G796" s="91">
        <v>26243229734</v>
      </c>
      <c r="H796" s="92">
        <v>19148</v>
      </c>
      <c r="I796" s="89">
        <v>73</v>
      </c>
      <c r="J796" s="89" t="s">
        <v>51</v>
      </c>
      <c r="K796" s="89" t="s">
        <v>88</v>
      </c>
      <c r="L796" s="89" t="s">
        <v>89</v>
      </c>
      <c r="M796" s="89" t="s">
        <v>1645</v>
      </c>
      <c r="N796" s="89" t="s">
        <v>252</v>
      </c>
      <c r="O796" s="93" t="s">
        <v>2467</v>
      </c>
      <c r="P796" s="94" t="s">
        <v>57</v>
      </c>
      <c r="Q796" s="112" t="s">
        <v>2211</v>
      </c>
      <c r="R796" s="95"/>
      <c r="S796" s="96">
        <v>46164</v>
      </c>
      <c r="T796" s="96" t="s">
        <v>2212</v>
      </c>
      <c r="U796" s="96" t="s">
        <v>79</v>
      </c>
      <c r="V796" s="92">
        <v>46140</v>
      </c>
      <c r="W796" s="92">
        <v>46147</v>
      </c>
      <c r="X796" s="92">
        <v>46154</v>
      </c>
      <c r="Y796" s="97"/>
      <c r="Z796" s="89"/>
      <c r="AA796" s="96"/>
      <c r="AB796" s="89"/>
      <c r="AC796" s="111"/>
      <c r="AD796" s="89"/>
      <c r="AE796" s="89"/>
      <c r="AF796" s="98"/>
      <c r="AG796" s="98"/>
      <c r="AH796" s="98"/>
      <c r="AI796" s="99"/>
      <c r="AJ796" s="99"/>
      <c r="AK796" s="99"/>
      <c r="AL796" s="45" t="s">
        <v>68</v>
      </c>
      <c r="AM796" s="162" t="str">
        <f t="shared" si="96"/>
        <v>3/2026</v>
      </c>
      <c r="AN796" s="45">
        <f t="shared" si="97"/>
        <v>4</v>
      </c>
      <c r="AO796" s="45" t="str">
        <f t="shared" si="98"/>
        <v>1/1900</v>
      </c>
      <c r="AP796" s="45" t="e">
        <f t="shared" si="99"/>
        <v>#NUM!</v>
      </c>
      <c r="AQ796" s="45">
        <f t="shared" si="100"/>
        <v>0</v>
      </c>
      <c r="AR796" s="45">
        <f t="shared" si="101"/>
        <v>0</v>
      </c>
      <c r="AS796" s="45">
        <f t="shared" si="102"/>
        <v>0</v>
      </c>
      <c r="AT796" s="45">
        <f t="shared" si="103"/>
        <v>0</v>
      </c>
      <c r="AU796" s="45" t="str">
        <f>_xlfn.XLOOKUP(U796,'Lista Suspensa'!$AA$20:$AA$23,'Lista Suspensa'!$AB$20:$AB$23,"N/A")</f>
        <v>S</v>
      </c>
    </row>
    <row r="797" spans="1:47" ht="12" hidden="1" customHeight="1" x14ac:dyDescent="0.3">
      <c r="A797" s="87" t="s">
        <v>47</v>
      </c>
      <c r="B797" s="88">
        <v>46104</v>
      </c>
      <c r="C797" s="89" t="s">
        <v>48</v>
      </c>
      <c r="D797" s="89" t="s">
        <v>49</v>
      </c>
      <c r="E797" s="90">
        <v>805576070</v>
      </c>
      <c r="F797" s="184" t="s">
        <v>2468</v>
      </c>
      <c r="G797" s="91">
        <v>66537827868</v>
      </c>
      <c r="H797" s="92">
        <v>20273</v>
      </c>
      <c r="I797" s="89">
        <v>70</v>
      </c>
      <c r="J797" s="89" t="s">
        <v>51</v>
      </c>
      <c r="K797" s="89" t="s">
        <v>52</v>
      </c>
      <c r="L797" s="89" t="s">
        <v>53</v>
      </c>
      <c r="M797" s="89" t="s">
        <v>2230</v>
      </c>
      <c r="N797" s="89" t="s">
        <v>252</v>
      </c>
      <c r="O797" s="93" t="s">
        <v>2469</v>
      </c>
      <c r="P797" s="94" t="s">
        <v>57</v>
      </c>
      <c r="Q797" s="112" t="s">
        <v>2211</v>
      </c>
      <c r="R797" s="95"/>
      <c r="S797" s="96">
        <v>46164</v>
      </c>
      <c r="T797" s="96" t="s">
        <v>2212</v>
      </c>
      <c r="U797" s="96" t="s">
        <v>79</v>
      </c>
      <c r="V797" s="92">
        <v>46140</v>
      </c>
      <c r="W797" s="92">
        <v>46147</v>
      </c>
      <c r="X797" s="92">
        <v>46154</v>
      </c>
      <c r="Y797" s="97"/>
      <c r="Z797" s="89"/>
      <c r="AA797" s="96"/>
      <c r="AB797" s="89"/>
      <c r="AC797" s="111"/>
      <c r="AD797" s="89"/>
      <c r="AE797" s="89"/>
      <c r="AF797" s="98"/>
      <c r="AG797" s="98"/>
      <c r="AH797" s="98"/>
      <c r="AI797" s="99"/>
      <c r="AJ797" s="99"/>
      <c r="AK797" s="99"/>
      <c r="AL797" s="45" t="s">
        <v>68</v>
      </c>
      <c r="AM797" s="162" t="str">
        <f t="shared" si="96"/>
        <v>3/2026</v>
      </c>
      <c r="AN797" s="45">
        <f t="shared" si="97"/>
        <v>4</v>
      </c>
      <c r="AO797" s="45" t="str">
        <f t="shared" si="98"/>
        <v>1/1900</v>
      </c>
      <c r="AP797" s="45" t="e">
        <f t="shared" si="99"/>
        <v>#NUM!</v>
      </c>
      <c r="AQ797" s="45">
        <f t="shared" si="100"/>
        <v>0</v>
      </c>
      <c r="AR797" s="45">
        <f t="shared" si="101"/>
        <v>0</v>
      </c>
      <c r="AS797" s="45">
        <f t="shared" si="102"/>
        <v>0</v>
      </c>
      <c r="AT797" s="45">
        <f t="shared" si="103"/>
        <v>0</v>
      </c>
      <c r="AU797" s="45" t="str">
        <f>_xlfn.XLOOKUP(U797,'Lista Suspensa'!$AA$20:$AA$23,'Lista Suspensa'!$AB$20:$AB$23,"N/A")</f>
        <v>S</v>
      </c>
    </row>
    <row r="798" spans="1:47" ht="12" hidden="1" customHeight="1" x14ac:dyDescent="0.3">
      <c r="A798" s="87" t="s">
        <v>47</v>
      </c>
      <c r="B798" s="88">
        <v>46104</v>
      </c>
      <c r="C798" s="89" t="s">
        <v>48</v>
      </c>
      <c r="D798" s="89" t="s">
        <v>49</v>
      </c>
      <c r="E798" s="90">
        <v>450092887</v>
      </c>
      <c r="F798" s="184" t="s">
        <v>2470</v>
      </c>
      <c r="G798" s="91">
        <v>18476868855</v>
      </c>
      <c r="H798" s="92">
        <v>21048</v>
      </c>
      <c r="I798" s="89">
        <v>68</v>
      </c>
      <c r="J798" s="89" t="s">
        <v>70</v>
      </c>
      <c r="K798" s="89" t="s">
        <v>52</v>
      </c>
      <c r="L798" s="89" t="s">
        <v>2471</v>
      </c>
      <c r="M798" s="89" t="s">
        <v>76</v>
      </c>
      <c r="N798" s="89" t="s">
        <v>252</v>
      </c>
      <c r="O798" s="93" t="s">
        <v>2472</v>
      </c>
      <c r="P798" s="94" t="s">
        <v>57</v>
      </c>
      <c r="Q798" s="112" t="s">
        <v>2211</v>
      </c>
      <c r="R798" s="95"/>
      <c r="S798" s="96">
        <v>46164</v>
      </c>
      <c r="T798" s="96" t="s">
        <v>2212</v>
      </c>
      <c r="U798" s="96" t="s">
        <v>79</v>
      </c>
      <c r="V798" s="92">
        <v>46140</v>
      </c>
      <c r="W798" s="92">
        <v>46147</v>
      </c>
      <c r="X798" s="92">
        <v>46154</v>
      </c>
      <c r="Y798" s="97"/>
      <c r="Z798" s="89"/>
      <c r="AA798" s="96"/>
      <c r="AB798" s="89"/>
      <c r="AC798" s="111"/>
      <c r="AD798" s="89"/>
      <c r="AE798" s="89"/>
      <c r="AF798" s="98"/>
      <c r="AG798" s="98"/>
      <c r="AH798" s="98"/>
      <c r="AI798" s="99"/>
      <c r="AJ798" s="99"/>
      <c r="AK798" s="99"/>
      <c r="AL798" s="45" t="s">
        <v>68</v>
      </c>
      <c r="AM798" s="162" t="str">
        <f t="shared" si="96"/>
        <v>3/2026</v>
      </c>
      <c r="AN798" s="45">
        <f t="shared" si="97"/>
        <v>4</v>
      </c>
      <c r="AO798" s="45" t="str">
        <f t="shared" si="98"/>
        <v>1/1900</v>
      </c>
      <c r="AP798" s="45" t="e">
        <f t="shared" si="99"/>
        <v>#NUM!</v>
      </c>
      <c r="AQ798" s="45">
        <f t="shared" si="100"/>
        <v>0</v>
      </c>
      <c r="AR798" s="45">
        <f t="shared" si="101"/>
        <v>0</v>
      </c>
      <c r="AS798" s="45">
        <f t="shared" si="102"/>
        <v>0</v>
      </c>
      <c r="AT798" s="45">
        <f t="shared" si="103"/>
        <v>0</v>
      </c>
      <c r="AU798" s="45" t="str">
        <f>_xlfn.XLOOKUP(U798,'Lista Suspensa'!$AA$20:$AA$23,'Lista Suspensa'!$AB$20:$AB$23,"N/A")</f>
        <v>S</v>
      </c>
    </row>
    <row r="799" spans="1:47" ht="12" hidden="1" customHeight="1" x14ac:dyDescent="0.3">
      <c r="A799" s="87" t="s">
        <v>47</v>
      </c>
      <c r="B799" s="88">
        <v>46104</v>
      </c>
      <c r="C799" s="89" t="s">
        <v>48</v>
      </c>
      <c r="D799" s="89" t="s">
        <v>49</v>
      </c>
      <c r="E799" s="90">
        <v>747023816</v>
      </c>
      <c r="F799" s="184" t="s">
        <v>2473</v>
      </c>
      <c r="G799" s="91">
        <v>31568017715</v>
      </c>
      <c r="H799" s="92">
        <v>19880</v>
      </c>
      <c r="I799" s="89">
        <v>71</v>
      </c>
      <c r="J799" s="89" t="s">
        <v>51</v>
      </c>
      <c r="K799" s="89" t="s">
        <v>88</v>
      </c>
      <c r="L799" s="89" t="s">
        <v>89</v>
      </c>
      <c r="M799" s="89" t="s">
        <v>76</v>
      </c>
      <c r="N799" s="89" t="s">
        <v>252</v>
      </c>
      <c r="O799" s="93" t="s">
        <v>2474</v>
      </c>
      <c r="P799" s="94" t="s">
        <v>57</v>
      </c>
      <c r="Q799" s="112" t="s">
        <v>2211</v>
      </c>
      <c r="R799" s="95"/>
      <c r="S799" s="96">
        <v>46164</v>
      </c>
      <c r="T799" s="96" t="s">
        <v>2212</v>
      </c>
      <c r="U799" s="96" t="s">
        <v>79</v>
      </c>
      <c r="V799" s="92">
        <v>46140</v>
      </c>
      <c r="W799" s="92">
        <v>46147</v>
      </c>
      <c r="X799" s="92">
        <v>46154</v>
      </c>
      <c r="Y799" s="97"/>
      <c r="Z799" s="89"/>
      <c r="AA799" s="96"/>
      <c r="AB799" s="89"/>
      <c r="AC799" s="111"/>
      <c r="AD799" s="89"/>
      <c r="AE799" s="89"/>
      <c r="AF799" s="98"/>
      <c r="AG799" s="98"/>
      <c r="AH799" s="98"/>
      <c r="AI799" s="99"/>
      <c r="AJ799" s="99"/>
      <c r="AK799" s="99"/>
      <c r="AL799" s="45" t="s">
        <v>68</v>
      </c>
      <c r="AM799" s="162" t="str">
        <f t="shared" si="96"/>
        <v>3/2026</v>
      </c>
      <c r="AN799" s="45">
        <f t="shared" si="97"/>
        <v>4</v>
      </c>
      <c r="AO799" s="45" t="str">
        <f t="shared" si="98"/>
        <v>1/1900</v>
      </c>
      <c r="AP799" s="45" t="e">
        <f t="shared" si="99"/>
        <v>#NUM!</v>
      </c>
      <c r="AQ799" s="45">
        <f t="shared" si="100"/>
        <v>0</v>
      </c>
      <c r="AR799" s="45">
        <f t="shared" si="101"/>
        <v>0</v>
      </c>
      <c r="AS799" s="45">
        <f t="shared" si="102"/>
        <v>0</v>
      </c>
      <c r="AT799" s="45">
        <f t="shared" si="103"/>
        <v>0</v>
      </c>
      <c r="AU799" s="45" t="str">
        <f>_xlfn.XLOOKUP(U799,'Lista Suspensa'!$AA$20:$AA$23,'Lista Suspensa'!$AB$20:$AB$23,"N/A")</f>
        <v>S</v>
      </c>
    </row>
    <row r="800" spans="1:47" ht="12" hidden="1" customHeight="1" x14ac:dyDescent="0.3">
      <c r="A800" s="87" t="s">
        <v>47</v>
      </c>
      <c r="B800" s="88">
        <v>46104</v>
      </c>
      <c r="C800" s="89" t="s">
        <v>48</v>
      </c>
      <c r="D800" s="89" t="s">
        <v>49</v>
      </c>
      <c r="E800" s="90">
        <v>77400093</v>
      </c>
      <c r="F800" s="184" t="s">
        <v>2475</v>
      </c>
      <c r="G800" s="91">
        <v>18740755819</v>
      </c>
      <c r="H800" s="92">
        <v>26422</v>
      </c>
      <c r="I800" s="89">
        <v>53</v>
      </c>
      <c r="J800" s="89" t="s">
        <v>51</v>
      </c>
      <c r="K800" s="89" t="s">
        <v>52</v>
      </c>
      <c r="L800" s="89" t="s">
        <v>53</v>
      </c>
      <c r="M800" s="89" t="s">
        <v>76</v>
      </c>
      <c r="N800" s="89" t="s">
        <v>252</v>
      </c>
      <c r="O800" s="93" t="s">
        <v>2476</v>
      </c>
      <c r="P800" s="94" t="s">
        <v>57</v>
      </c>
      <c r="Q800" s="112" t="s">
        <v>2211</v>
      </c>
      <c r="R800" s="95"/>
      <c r="S800" s="96">
        <v>46164</v>
      </c>
      <c r="T800" s="96" t="s">
        <v>2212</v>
      </c>
      <c r="U800" s="96" t="s">
        <v>79</v>
      </c>
      <c r="V800" s="92">
        <v>46122</v>
      </c>
      <c r="W800" s="92">
        <v>46147</v>
      </c>
      <c r="X800" s="92">
        <v>46154</v>
      </c>
      <c r="Y800" s="97"/>
      <c r="Z800" s="89"/>
      <c r="AA800" s="96"/>
      <c r="AB800" s="89"/>
      <c r="AC800" s="111"/>
      <c r="AD800" s="89"/>
      <c r="AE800" s="89"/>
      <c r="AF800" s="98"/>
      <c r="AG800" s="98"/>
      <c r="AH800" s="98"/>
      <c r="AI800" s="99"/>
      <c r="AJ800" s="99"/>
      <c r="AK800" s="99"/>
      <c r="AL800" s="45" t="s">
        <v>68</v>
      </c>
      <c r="AM800" s="162" t="str">
        <f t="shared" si="96"/>
        <v>3/2026</v>
      </c>
      <c r="AN800" s="45">
        <f t="shared" si="97"/>
        <v>4</v>
      </c>
      <c r="AO800" s="45" t="str">
        <f t="shared" si="98"/>
        <v>1/1900</v>
      </c>
      <c r="AP800" s="45" t="e">
        <f t="shared" si="99"/>
        <v>#NUM!</v>
      </c>
      <c r="AQ800" s="45">
        <f t="shared" si="100"/>
        <v>0</v>
      </c>
      <c r="AR800" s="45">
        <f t="shared" si="101"/>
        <v>0</v>
      </c>
      <c r="AS800" s="45">
        <f t="shared" si="102"/>
        <v>0</v>
      </c>
      <c r="AT800" s="45">
        <f t="shared" si="103"/>
        <v>0</v>
      </c>
      <c r="AU800" s="45" t="str">
        <f>_xlfn.XLOOKUP(U800,'Lista Suspensa'!$AA$20:$AA$23,'Lista Suspensa'!$AB$20:$AB$23,"N/A")</f>
        <v>S</v>
      </c>
    </row>
    <row r="801" spans="1:47" ht="12" hidden="1" customHeight="1" x14ac:dyDescent="0.3">
      <c r="A801" s="87" t="s">
        <v>47</v>
      </c>
      <c r="B801" s="88">
        <v>46104</v>
      </c>
      <c r="C801" s="89" t="s">
        <v>48</v>
      </c>
      <c r="D801" s="89" t="s">
        <v>49</v>
      </c>
      <c r="E801" s="90">
        <v>459388797</v>
      </c>
      <c r="F801" s="184" t="s">
        <v>2477</v>
      </c>
      <c r="G801" s="91">
        <v>28035001833</v>
      </c>
      <c r="H801" s="92">
        <v>15732</v>
      </c>
      <c r="I801" s="89">
        <v>83</v>
      </c>
      <c r="J801" s="89" t="s">
        <v>70</v>
      </c>
      <c r="K801" s="89" t="s">
        <v>52</v>
      </c>
      <c r="L801" s="89" t="s">
        <v>2478</v>
      </c>
      <c r="M801" s="89" t="s">
        <v>76</v>
      </c>
      <c r="N801" s="89" t="s">
        <v>252</v>
      </c>
      <c r="O801" s="93" t="s">
        <v>2479</v>
      </c>
      <c r="P801" s="94" t="s">
        <v>57</v>
      </c>
      <c r="Q801" s="112" t="s">
        <v>2211</v>
      </c>
      <c r="R801" s="95"/>
      <c r="S801" s="96">
        <v>46164</v>
      </c>
      <c r="T801" s="96" t="s">
        <v>2212</v>
      </c>
      <c r="U801" s="96" t="s">
        <v>79</v>
      </c>
      <c r="V801" s="92">
        <v>46140</v>
      </c>
      <c r="W801" s="92">
        <v>46147</v>
      </c>
      <c r="X801" s="92">
        <v>46154</v>
      </c>
      <c r="Y801" s="97"/>
      <c r="Z801" s="89"/>
      <c r="AA801" s="96"/>
      <c r="AB801" s="89"/>
      <c r="AC801" s="111"/>
      <c r="AD801" s="89"/>
      <c r="AE801" s="89"/>
      <c r="AF801" s="98"/>
      <c r="AG801" s="98"/>
      <c r="AH801" s="98"/>
      <c r="AI801" s="99"/>
      <c r="AJ801" s="99"/>
      <c r="AK801" s="99"/>
      <c r="AL801" s="45" t="s">
        <v>68</v>
      </c>
      <c r="AM801" s="162" t="str">
        <f t="shared" si="96"/>
        <v>3/2026</v>
      </c>
      <c r="AN801" s="45">
        <f t="shared" si="97"/>
        <v>4</v>
      </c>
      <c r="AO801" s="45" t="str">
        <f t="shared" si="98"/>
        <v>1/1900</v>
      </c>
      <c r="AP801" s="45" t="e">
        <f t="shared" si="99"/>
        <v>#NUM!</v>
      </c>
      <c r="AQ801" s="45">
        <f t="shared" si="100"/>
        <v>0</v>
      </c>
      <c r="AR801" s="45">
        <f t="shared" si="101"/>
        <v>0</v>
      </c>
      <c r="AS801" s="45">
        <f t="shared" si="102"/>
        <v>0</v>
      </c>
      <c r="AT801" s="45">
        <f t="shared" si="103"/>
        <v>0</v>
      </c>
      <c r="AU801" s="45" t="str">
        <f>_xlfn.XLOOKUP(U801,'Lista Suspensa'!$AA$20:$AA$23,'Lista Suspensa'!$AB$20:$AB$23,"N/A")</f>
        <v>S</v>
      </c>
    </row>
    <row r="802" spans="1:47" ht="12" hidden="1" customHeight="1" x14ac:dyDescent="0.3">
      <c r="A802" s="87" t="s">
        <v>47</v>
      </c>
      <c r="B802" s="88">
        <v>46104</v>
      </c>
      <c r="C802" s="89" t="s">
        <v>48</v>
      </c>
      <c r="D802" s="89" t="s">
        <v>49</v>
      </c>
      <c r="E802" s="90">
        <v>450272117</v>
      </c>
      <c r="F802" s="184" t="s">
        <v>2480</v>
      </c>
      <c r="G802" s="91">
        <v>8881525828</v>
      </c>
      <c r="H802" s="92">
        <v>14832</v>
      </c>
      <c r="I802" s="89">
        <v>85</v>
      </c>
      <c r="J802" s="89" t="s">
        <v>70</v>
      </c>
      <c r="K802" s="89" t="s">
        <v>52</v>
      </c>
      <c r="L802" s="89" t="s">
        <v>331</v>
      </c>
      <c r="M802" s="89" t="s">
        <v>2481</v>
      </c>
      <c r="N802" s="89" t="s">
        <v>252</v>
      </c>
      <c r="O802" s="93" t="s">
        <v>2482</v>
      </c>
      <c r="P802" s="94" t="s">
        <v>57</v>
      </c>
      <c r="Q802" s="112" t="s">
        <v>2211</v>
      </c>
      <c r="R802" s="95"/>
      <c r="S802" s="96">
        <v>46164</v>
      </c>
      <c r="T802" s="96" t="s">
        <v>2212</v>
      </c>
      <c r="U802" s="96" t="s">
        <v>79</v>
      </c>
      <c r="V802" s="92">
        <v>46140</v>
      </c>
      <c r="W802" s="92">
        <v>46147</v>
      </c>
      <c r="X802" s="92">
        <v>46154</v>
      </c>
      <c r="Y802" s="97"/>
      <c r="Z802" s="89"/>
      <c r="AA802" s="96"/>
      <c r="AB802" s="89"/>
      <c r="AC802" s="111"/>
      <c r="AD802" s="89"/>
      <c r="AE802" s="89"/>
      <c r="AF802" s="98"/>
      <c r="AG802" s="98"/>
      <c r="AH802" s="98"/>
      <c r="AI802" s="99"/>
      <c r="AJ802" s="99"/>
      <c r="AK802" s="99"/>
      <c r="AL802" s="45" t="s">
        <v>68</v>
      </c>
      <c r="AM802" s="162" t="str">
        <f t="shared" si="96"/>
        <v>3/2026</v>
      </c>
      <c r="AN802" s="45">
        <f t="shared" si="97"/>
        <v>4</v>
      </c>
      <c r="AO802" s="45" t="str">
        <f t="shared" si="98"/>
        <v>1/1900</v>
      </c>
      <c r="AP802" s="45" t="e">
        <f t="shared" si="99"/>
        <v>#NUM!</v>
      </c>
      <c r="AQ802" s="45">
        <f t="shared" si="100"/>
        <v>0</v>
      </c>
      <c r="AR802" s="45">
        <f t="shared" si="101"/>
        <v>0</v>
      </c>
      <c r="AS802" s="45">
        <f t="shared" si="102"/>
        <v>0</v>
      </c>
      <c r="AT802" s="45">
        <f t="shared" si="103"/>
        <v>0</v>
      </c>
      <c r="AU802" s="45" t="str">
        <f>_xlfn.XLOOKUP(U802,'Lista Suspensa'!$AA$20:$AA$23,'Lista Suspensa'!$AB$20:$AB$23,"N/A")</f>
        <v>S</v>
      </c>
    </row>
    <row r="803" spans="1:47" ht="12" hidden="1" customHeight="1" x14ac:dyDescent="0.3">
      <c r="A803" s="87" t="s">
        <v>47</v>
      </c>
      <c r="B803" s="88">
        <v>46104</v>
      </c>
      <c r="C803" s="89" t="s">
        <v>48</v>
      </c>
      <c r="D803" s="89" t="s">
        <v>49</v>
      </c>
      <c r="E803" s="90">
        <v>809631105</v>
      </c>
      <c r="F803" s="184" t="s">
        <v>2483</v>
      </c>
      <c r="G803" s="91">
        <v>27151409834</v>
      </c>
      <c r="H803" s="92">
        <v>15154</v>
      </c>
      <c r="I803" s="89">
        <v>84</v>
      </c>
      <c r="J803" s="89" t="s">
        <v>51</v>
      </c>
      <c r="K803" s="89" t="s">
        <v>52</v>
      </c>
      <c r="L803" s="89" t="s">
        <v>53</v>
      </c>
      <c r="M803" s="89" t="s">
        <v>2484</v>
      </c>
      <c r="N803" s="89" t="s">
        <v>252</v>
      </c>
      <c r="O803" s="93" t="s">
        <v>2485</v>
      </c>
      <c r="P803" s="94" t="s">
        <v>57</v>
      </c>
      <c r="Q803" s="112" t="s">
        <v>2211</v>
      </c>
      <c r="R803" s="95"/>
      <c r="S803" s="96">
        <v>46164</v>
      </c>
      <c r="T803" s="96" t="s">
        <v>2212</v>
      </c>
      <c r="U803" s="96" t="s">
        <v>79</v>
      </c>
      <c r="V803" s="92">
        <v>46112</v>
      </c>
      <c r="W803" s="92">
        <v>46147</v>
      </c>
      <c r="X803" s="92">
        <v>46154</v>
      </c>
      <c r="Y803" s="97"/>
      <c r="Z803" s="89"/>
      <c r="AA803" s="96"/>
      <c r="AB803" s="89"/>
      <c r="AC803" s="111"/>
      <c r="AD803" s="89"/>
      <c r="AE803" s="89"/>
      <c r="AF803" s="98"/>
      <c r="AG803" s="98"/>
      <c r="AH803" s="98"/>
      <c r="AI803" s="99"/>
      <c r="AJ803" s="99"/>
      <c r="AK803" s="99"/>
      <c r="AL803" s="45" t="s">
        <v>68</v>
      </c>
      <c r="AM803" s="162" t="str">
        <f t="shared" si="96"/>
        <v>3/2026</v>
      </c>
      <c r="AN803" s="45">
        <f t="shared" si="97"/>
        <v>4</v>
      </c>
      <c r="AO803" s="45" t="str">
        <f t="shared" si="98"/>
        <v>1/1900</v>
      </c>
      <c r="AP803" s="45" t="e">
        <f t="shared" si="99"/>
        <v>#NUM!</v>
      </c>
      <c r="AQ803" s="45">
        <f t="shared" si="100"/>
        <v>0</v>
      </c>
      <c r="AR803" s="45">
        <f t="shared" si="101"/>
        <v>0</v>
      </c>
      <c r="AS803" s="45">
        <f t="shared" si="102"/>
        <v>0</v>
      </c>
      <c r="AT803" s="45">
        <f t="shared" si="103"/>
        <v>0</v>
      </c>
      <c r="AU803" s="45" t="str">
        <f>_xlfn.XLOOKUP(U803,'Lista Suspensa'!$AA$20:$AA$23,'Lista Suspensa'!$AB$20:$AB$23,"N/A")</f>
        <v>S</v>
      </c>
    </row>
    <row r="804" spans="1:47" ht="12" hidden="1" customHeight="1" x14ac:dyDescent="0.3">
      <c r="A804" s="87" t="s">
        <v>47</v>
      </c>
      <c r="B804" s="88">
        <v>46104</v>
      </c>
      <c r="C804" s="89" t="s">
        <v>48</v>
      </c>
      <c r="D804" s="89" t="s">
        <v>49</v>
      </c>
      <c r="E804" s="90">
        <v>800525507</v>
      </c>
      <c r="F804" s="184" t="s">
        <v>2486</v>
      </c>
      <c r="G804" s="91">
        <v>8205496811</v>
      </c>
      <c r="H804" s="92">
        <v>23842</v>
      </c>
      <c r="I804" s="89">
        <v>60</v>
      </c>
      <c r="J804" s="89" t="s">
        <v>51</v>
      </c>
      <c r="K804" s="89" t="s">
        <v>52</v>
      </c>
      <c r="L804" s="89" t="s">
        <v>53</v>
      </c>
      <c r="M804" s="89" t="s">
        <v>2487</v>
      </c>
      <c r="N804" s="89" t="s">
        <v>252</v>
      </c>
      <c r="O804" s="93" t="s">
        <v>2488</v>
      </c>
      <c r="P804" s="94" t="s">
        <v>57</v>
      </c>
      <c r="Q804" s="112" t="s">
        <v>2211</v>
      </c>
      <c r="R804" s="95"/>
      <c r="S804" s="96">
        <v>46164</v>
      </c>
      <c r="T804" s="96" t="s">
        <v>2212</v>
      </c>
      <c r="U804" s="96" t="s">
        <v>79</v>
      </c>
      <c r="V804" s="92">
        <v>46140</v>
      </c>
      <c r="W804" s="92">
        <v>46147</v>
      </c>
      <c r="X804" s="92">
        <v>46154</v>
      </c>
      <c r="Y804" s="97"/>
      <c r="Z804" s="89"/>
      <c r="AA804" s="96"/>
      <c r="AB804" s="89"/>
      <c r="AC804" s="111"/>
      <c r="AD804" s="89"/>
      <c r="AE804" s="89"/>
      <c r="AF804" s="98"/>
      <c r="AG804" s="98"/>
      <c r="AH804" s="98"/>
      <c r="AI804" s="99"/>
      <c r="AJ804" s="99"/>
      <c r="AK804" s="99"/>
      <c r="AL804" s="45" t="s">
        <v>68</v>
      </c>
      <c r="AM804" s="162" t="str">
        <f t="shared" si="96"/>
        <v>3/2026</v>
      </c>
      <c r="AN804" s="45">
        <f t="shared" si="97"/>
        <v>4</v>
      </c>
      <c r="AO804" s="45" t="str">
        <f t="shared" si="98"/>
        <v>1/1900</v>
      </c>
      <c r="AP804" s="45" t="e">
        <f t="shared" si="99"/>
        <v>#NUM!</v>
      </c>
      <c r="AQ804" s="45">
        <f t="shared" si="100"/>
        <v>0</v>
      </c>
      <c r="AR804" s="45">
        <f t="shared" si="101"/>
        <v>0</v>
      </c>
      <c r="AS804" s="45">
        <f t="shared" si="102"/>
        <v>0</v>
      </c>
      <c r="AT804" s="45">
        <f t="shared" si="103"/>
        <v>0</v>
      </c>
      <c r="AU804" s="45" t="str">
        <f>_xlfn.XLOOKUP(U804,'Lista Suspensa'!$AA$20:$AA$23,'Lista Suspensa'!$AB$20:$AB$23,"N/A")</f>
        <v>S</v>
      </c>
    </row>
    <row r="805" spans="1:47" ht="12" hidden="1" customHeight="1" x14ac:dyDescent="0.3">
      <c r="A805" s="87" t="s">
        <v>47</v>
      </c>
      <c r="B805" s="88">
        <v>46104</v>
      </c>
      <c r="C805" s="89" t="s">
        <v>48</v>
      </c>
      <c r="D805" s="89" t="s">
        <v>49</v>
      </c>
      <c r="E805" s="90">
        <v>587719141</v>
      </c>
      <c r="F805" s="184" t="s">
        <v>2489</v>
      </c>
      <c r="G805" s="91">
        <v>99374617820</v>
      </c>
      <c r="H805" s="92">
        <v>21215</v>
      </c>
      <c r="I805" s="89">
        <v>68</v>
      </c>
      <c r="J805" s="89" t="s">
        <v>70</v>
      </c>
      <c r="K805" s="89" t="s">
        <v>52</v>
      </c>
      <c r="L805" s="89" t="s">
        <v>53</v>
      </c>
      <c r="M805" s="89" t="s">
        <v>1370</v>
      </c>
      <c r="N805" s="89" t="s">
        <v>252</v>
      </c>
      <c r="O805" s="93" t="s">
        <v>2490</v>
      </c>
      <c r="P805" s="94" t="s">
        <v>57</v>
      </c>
      <c r="Q805" s="112" t="s">
        <v>2211</v>
      </c>
      <c r="R805" s="95"/>
      <c r="S805" s="96">
        <v>46164</v>
      </c>
      <c r="T805" s="96" t="s">
        <v>2212</v>
      </c>
      <c r="U805" s="96" t="s">
        <v>79</v>
      </c>
      <c r="V805" s="92">
        <v>46140</v>
      </c>
      <c r="W805" s="92">
        <v>46147</v>
      </c>
      <c r="X805" s="92">
        <v>46154</v>
      </c>
      <c r="Y805" s="97"/>
      <c r="Z805" s="89"/>
      <c r="AA805" s="96"/>
      <c r="AB805" s="89"/>
      <c r="AC805" s="111"/>
      <c r="AD805" s="89"/>
      <c r="AE805" s="89"/>
      <c r="AF805" s="98"/>
      <c r="AG805" s="98"/>
      <c r="AH805" s="98"/>
      <c r="AI805" s="99"/>
      <c r="AJ805" s="99"/>
      <c r="AK805" s="99"/>
      <c r="AL805" s="45" t="s">
        <v>68</v>
      </c>
      <c r="AM805" s="162" t="str">
        <f t="shared" si="96"/>
        <v>3/2026</v>
      </c>
      <c r="AN805" s="45">
        <f t="shared" si="97"/>
        <v>4</v>
      </c>
      <c r="AO805" s="45" t="str">
        <f t="shared" si="98"/>
        <v>1/1900</v>
      </c>
      <c r="AP805" s="45" t="e">
        <f t="shared" si="99"/>
        <v>#NUM!</v>
      </c>
      <c r="AQ805" s="45">
        <f t="shared" si="100"/>
        <v>0</v>
      </c>
      <c r="AR805" s="45">
        <f t="shared" si="101"/>
        <v>0</v>
      </c>
      <c r="AS805" s="45">
        <f t="shared" si="102"/>
        <v>0</v>
      </c>
      <c r="AT805" s="45">
        <f t="shared" si="103"/>
        <v>0</v>
      </c>
      <c r="AU805" s="45" t="str">
        <f>_xlfn.XLOOKUP(U805,'Lista Suspensa'!$AA$20:$AA$23,'Lista Suspensa'!$AB$20:$AB$23,"N/A")</f>
        <v>S</v>
      </c>
    </row>
    <row r="806" spans="1:47" ht="12" hidden="1" customHeight="1" x14ac:dyDescent="0.3">
      <c r="A806" s="87" t="s">
        <v>47</v>
      </c>
      <c r="B806" s="88">
        <v>46104</v>
      </c>
      <c r="C806" s="89" t="s">
        <v>48</v>
      </c>
      <c r="D806" s="89" t="s">
        <v>49</v>
      </c>
      <c r="E806" s="90">
        <v>450329836</v>
      </c>
      <c r="F806" s="184" t="s">
        <v>2491</v>
      </c>
      <c r="G806" s="91">
        <v>16566426892</v>
      </c>
      <c r="H806" s="92">
        <v>26835</v>
      </c>
      <c r="I806" s="89">
        <v>52</v>
      </c>
      <c r="J806" s="89" t="s">
        <v>70</v>
      </c>
      <c r="K806" s="89" t="s">
        <v>52</v>
      </c>
      <c r="L806" s="89" t="s">
        <v>53</v>
      </c>
      <c r="M806" s="89" t="s">
        <v>1370</v>
      </c>
      <c r="N806" s="89" t="s">
        <v>252</v>
      </c>
      <c r="O806" s="93" t="s">
        <v>2492</v>
      </c>
      <c r="P806" s="94" t="s">
        <v>57</v>
      </c>
      <c r="Q806" s="112" t="s">
        <v>2211</v>
      </c>
      <c r="R806" s="95"/>
      <c r="S806" s="96">
        <v>46164</v>
      </c>
      <c r="T806" s="96" t="s">
        <v>2212</v>
      </c>
      <c r="U806" s="96" t="s">
        <v>79</v>
      </c>
      <c r="V806" s="92">
        <v>46140</v>
      </c>
      <c r="W806" s="92">
        <v>46147</v>
      </c>
      <c r="X806" s="92">
        <v>46154</v>
      </c>
      <c r="Y806" s="97"/>
      <c r="Z806" s="89"/>
      <c r="AA806" s="96"/>
      <c r="AB806" s="89"/>
      <c r="AC806" s="111"/>
      <c r="AD806" s="89"/>
      <c r="AE806" s="89"/>
      <c r="AF806" s="98"/>
      <c r="AG806" s="98"/>
      <c r="AH806" s="98"/>
      <c r="AI806" s="99"/>
      <c r="AJ806" s="99"/>
      <c r="AK806" s="99"/>
      <c r="AL806" s="45" t="s">
        <v>68</v>
      </c>
      <c r="AM806" s="162" t="str">
        <f t="shared" si="96"/>
        <v>3/2026</v>
      </c>
      <c r="AN806" s="45">
        <f t="shared" si="97"/>
        <v>4</v>
      </c>
      <c r="AO806" s="45" t="str">
        <f t="shared" si="98"/>
        <v>1/1900</v>
      </c>
      <c r="AP806" s="45" t="e">
        <f t="shared" si="99"/>
        <v>#NUM!</v>
      </c>
      <c r="AQ806" s="45">
        <f t="shared" si="100"/>
        <v>0</v>
      </c>
      <c r="AR806" s="45">
        <f t="shared" si="101"/>
        <v>0</v>
      </c>
      <c r="AS806" s="45">
        <f t="shared" si="102"/>
        <v>0</v>
      </c>
      <c r="AT806" s="45">
        <f t="shared" si="103"/>
        <v>0</v>
      </c>
      <c r="AU806" s="45" t="str">
        <f>_xlfn.XLOOKUP(U806,'Lista Suspensa'!$AA$20:$AA$23,'Lista Suspensa'!$AB$20:$AB$23,"N/A")</f>
        <v>S</v>
      </c>
    </row>
    <row r="807" spans="1:47" ht="12" hidden="1" customHeight="1" x14ac:dyDescent="0.3">
      <c r="A807" s="87" t="s">
        <v>47</v>
      </c>
      <c r="B807" s="88">
        <v>46104</v>
      </c>
      <c r="C807" s="89" t="s">
        <v>48</v>
      </c>
      <c r="D807" s="89" t="s">
        <v>49</v>
      </c>
      <c r="E807" s="90">
        <v>759958530</v>
      </c>
      <c r="F807" s="184" t="s">
        <v>2493</v>
      </c>
      <c r="G807" s="91">
        <v>26418339720</v>
      </c>
      <c r="H807" s="92">
        <v>16269</v>
      </c>
      <c r="I807" s="89">
        <v>81</v>
      </c>
      <c r="J807" s="89" t="s">
        <v>51</v>
      </c>
      <c r="K807" s="89" t="s">
        <v>88</v>
      </c>
      <c r="L807" s="89" t="s">
        <v>97</v>
      </c>
      <c r="M807" s="89" t="s">
        <v>2494</v>
      </c>
      <c r="N807" s="89" t="s">
        <v>252</v>
      </c>
      <c r="O807" s="93" t="s">
        <v>2495</v>
      </c>
      <c r="P807" s="94" t="s">
        <v>57</v>
      </c>
      <c r="Q807" s="112" t="s">
        <v>2211</v>
      </c>
      <c r="R807" s="95"/>
      <c r="S807" s="96">
        <v>46164</v>
      </c>
      <c r="T807" s="96" t="s">
        <v>2212</v>
      </c>
      <c r="U807" s="96" t="s">
        <v>79</v>
      </c>
      <c r="V807" s="92">
        <v>46140</v>
      </c>
      <c r="W807" s="92">
        <v>46147</v>
      </c>
      <c r="X807" s="92">
        <v>46154</v>
      </c>
      <c r="Y807" s="97"/>
      <c r="Z807" s="89"/>
      <c r="AA807" s="96"/>
      <c r="AB807" s="89"/>
      <c r="AC807" s="111"/>
      <c r="AD807" s="89"/>
      <c r="AE807" s="89"/>
      <c r="AF807" s="98"/>
      <c r="AG807" s="98"/>
      <c r="AH807" s="98"/>
      <c r="AI807" s="99"/>
      <c r="AJ807" s="99"/>
      <c r="AK807" s="99"/>
      <c r="AL807" s="45" t="s">
        <v>68</v>
      </c>
      <c r="AM807" s="162" t="str">
        <f t="shared" si="96"/>
        <v>3/2026</v>
      </c>
      <c r="AN807" s="45">
        <f t="shared" si="97"/>
        <v>4</v>
      </c>
      <c r="AO807" s="45" t="str">
        <f t="shared" si="98"/>
        <v>1/1900</v>
      </c>
      <c r="AP807" s="45" t="e">
        <f t="shared" si="99"/>
        <v>#NUM!</v>
      </c>
      <c r="AQ807" s="45">
        <f t="shared" si="100"/>
        <v>0</v>
      </c>
      <c r="AR807" s="45">
        <f t="shared" si="101"/>
        <v>0</v>
      </c>
      <c r="AS807" s="45">
        <f t="shared" si="102"/>
        <v>0</v>
      </c>
      <c r="AT807" s="45">
        <f t="shared" si="103"/>
        <v>0</v>
      </c>
      <c r="AU807" s="45" t="str">
        <f>_xlfn.XLOOKUP(U807,'Lista Suspensa'!$AA$20:$AA$23,'Lista Suspensa'!$AB$20:$AB$23,"N/A")</f>
        <v>S</v>
      </c>
    </row>
    <row r="808" spans="1:47" ht="12" hidden="1" customHeight="1" x14ac:dyDescent="0.3">
      <c r="A808" s="87" t="s">
        <v>47</v>
      </c>
      <c r="B808" s="88">
        <v>46104</v>
      </c>
      <c r="C808" s="89" t="s">
        <v>48</v>
      </c>
      <c r="D808" s="89" t="s">
        <v>49</v>
      </c>
      <c r="E808" s="90">
        <v>756585252</v>
      </c>
      <c r="F808" s="184" t="s">
        <v>2496</v>
      </c>
      <c r="G808" s="91">
        <v>40072037768</v>
      </c>
      <c r="H808" s="92">
        <v>19542</v>
      </c>
      <c r="I808" s="89">
        <v>72</v>
      </c>
      <c r="J808" s="89" t="s">
        <v>70</v>
      </c>
      <c r="K808" s="89" t="s">
        <v>88</v>
      </c>
      <c r="L808" s="89" t="s">
        <v>89</v>
      </c>
      <c r="M808" s="89" t="s">
        <v>2497</v>
      </c>
      <c r="N808" s="89" t="s">
        <v>252</v>
      </c>
      <c r="O808" s="93" t="s">
        <v>2498</v>
      </c>
      <c r="P808" s="94" t="s">
        <v>57</v>
      </c>
      <c r="Q808" s="112" t="s">
        <v>2211</v>
      </c>
      <c r="R808" s="95"/>
      <c r="S808" s="96">
        <v>46164</v>
      </c>
      <c r="T808" s="96" t="s">
        <v>2212</v>
      </c>
      <c r="U808" s="96" t="s">
        <v>79</v>
      </c>
      <c r="V808" s="92">
        <v>46140</v>
      </c>
      <c r="W808" s="92">
        <v>46147</v>
      </c>
      <c r="X808" s="92">
        <v>46154</v>
      </c>
      <c r="Y808" s="97"/>
      <c r="Z808" s="89"/>
      <c r="AA808" s="96"/>
      <c r="AB808" s="89"/>
      <c r="AC808" s="111"/>
      <c r="AD808" s="89"/>
      <c r="AE808" s="89"/>
      <c r="AF808" s="98"/>
      <c r="AG808" s="98"/>
      <c r="AH808" s="98"/>
      <c r="AI808" s="99"/>
      <c r="AJ808" s="99"/>
      <c r="AK808" s="99"/>
      <c r="AL808" s="45" t="s">
        <v>68</v>
      </c>
      <c r="AM808" s="162" t="str">
        <f t="shared" si="96"/>
        <v>3/2026</v>
      </c>
      <c r="AN808" s="45">
        <f t="shared" si="97"/>
        <v>4</v>
      </c>
      <c r="AO808" s="45" t="str">
        <f t="shared" si="98"/>
        <v>1/1900</v>
      </c>
      <c r="AP808" s="45" t="e">
        <f t="shared" si="99"/>
        <v>#NUM!</v>
      </c>
      <c r="AQ808" s="45">
        <f t="shared" si="100"/>
        <v>0</v>
      </c>
      <c r="AR808" s="45">
        <f t="shared" si="101"/>
        <v>0</v>
      </c>
      <c r="AS808" s="45">
        <f t="shared" si="102"/>
        <v>0</v>
      </c>
      <c r="AT808" s="45">
        <f t="shared" si="103"/>
        <v>0</v>
      </c>
      <c r="AU808" s="45" t="str">
        <f>_xlfn.XLOOKUP(U808,'Lista Suspensa'!$AA$20:$AA$23,'Lista Suspensa'!$AB$20:$AB$23,"N/A")</f>
        <v>S</v>
      </c>
    </row>
    <row r="809" spans="1:47" ht="12" hidden="1" customHeight="1" x14ac:dyDescent="0.3">
      <c r="A809" s="87" t="s">
        <v>47</v>
      </c>
      <c r="B809" s="88">
        <v>46104</v>
      </c>
      <c r="C809" s="89" t="s">
        <v>48</v>
      </c>
      <c r="D809" s="89" t="s">
        <v>49</v>
      </c>
      <c r="E809" s="90">
        <v>450101541</v>
      </c>
      <c r="F809" s="184" t="s">
        <v>2499</v>
      </c>
      <c r="G809" s="91">
        <v>63924773815</v>
      </c>
      <c r="H809" s="92">
        <v>19281</v>
      </c>
      <c r="I809" s="89">
        <v>73</v>
      </c>
      <c r="J809" s="89" t="s">
        <v>51</v>
      </c>
      <c r="K809" s="89" t="s">
        <v>52</v>
      </c>
      <c r="L809" s="89" t="s">
        <v>160</v>
      </c>
      <c r="M809" s="89" t="s">
        <v>2500</v>
      </c>
      <c r="N809" s="89" t="s">
        <v>252</v>
      </c>
      <c r="O809" s="93" t="s">
        <v>2501</v>
      </c>
      <c r="P809" s="94" t="s">
        <v>57</v>
      </c>
      <c r="Q809" s="112" t="s">
        <v>2211</v>
      </c>
      <c r="R809" s="95"/>
      <c r="S809" s="96">
        <v>46164</v>
      </c>
      <c r="T809" s="96" t="s">
        <v>2212</v>
      </c>
      <c r="U809" s="96" t="s">
        <v>79</v>
      </c>
      <c r="V809" s="92">
        <v>46140</v>
      </c>
      <c r="W809" s="92">
        <v>46147</v>
      </c>
      <c r="X809" s="92">
        <v>46154</v>
      </c>
      <c r="Y809" s="97"/>
      <c r="Z809" s="89"/>
      <c r="AA809" s="96"/>
      <c r="AB809" s="89"/>
      <c r="AC809" s="111"/>
      <c r="AD809" s="89"/>
      <c r="AE809" s="89"/>
      <c r="AF809" s="98"/>
      <c r="AG809" s="98"/>
      <c r="AH809" s="98"/>
      <c r="AI809" s="99"/>
      <c r="AJ809" s="99"/>
      <c r="AK809" s="99"/>
      <c r="AL809" s="45" t="s">
        <v>68</v>
      </c>
      <c r="AM809" s="162" t="str">
        <f t="shared" si="96"/>
        <v>3/2026</v>
      </c>
      <c r="AN809" s="45">
        <f t="shared" si="97"/>
        <v>4</v>
      </c>
      <c r="AO809" s="45" t="str">
        <f t="shared" si="98"/>
        <v>1/1900</v>
      </c>
      <c r="AP809" s="45" t="e">
        <f t="shared" si="99"/>
        <v>#NUM!</v>
      </c>
      <c r="AQ809" s="45">
        <f t="shared" si="100"/>
        <v>0</v>
      </c>
      <c r="AR809" s="45">
        <f t="shared" si="101"/>
        <v>0</v>
      </c>
      <c r="AS809" s="45">
        <f t="shared" si="102"/>
        <v>0</v>
      </c>
      <c r="AT809" s="45">
        <f t="shared" si="103"/>
        <v>0</v>
      </c>
      <c r="AU809" s="45" t="str">
        <f>_xlfn.XLOOKUP(U809,'Lista Suspensa'!$AA$20:$AA$23,'Lista Suspensa'!$AB$20:$AB$23,"N/A")</f>
        <v>S</v>
      </c>
    </row>
    <row r="810" spans="1:47" ht="12" hidden="1" customHeight="1" x14ac:dyDescent="0.3">
      <c r="A810" s="87" t="s">
        <v>47</v>
      </c>
      <c r="B810" s="88">
        <v>46104</v>
      </c>
      <c r="C810" s="89" t="s">
        <v>48</v>
      </c>
      <c r="D810" s="89" t="s">
        <v>49</v>
      </c>
      <c r="E810" s="90">
        <v>744460921</v>
      </c>
      <c r="F810" s="184" t="s">
        <v>2502</v>
      </c>
      <c r="G810" s="91">
        <v>12798150787</v>
      </c>
      <c r="H810" s="92">
        <v>17658</v>
      </c>
      <c r="I810" s="89">
        <v>77</v>
      </c>
      <c r="J810" s="89" t="s">
        <v>70</v>
      </c>
      <c r="K810" s="89" t="s">
        <v>88</v>
      </c>
      <c r="L810" s="89" t="s">
        <v>89</v>
      </c>
      <c r="M810" s="89" t="s">
        <v>1819</v>
      </c>
      <c r="N810" s="89" t="s">
        <v>252</v>
      </c>
      <c r="O810" s="93" t="s">
        <v>2503</v>
      </c>
      <c r="P810" s="94" t="s">
        <v>57</v>
      </c>
      <c r="Q810" s="112" t="s">
        <v>2211</v>
      </c>
      <c r="R810" s="95"/>
      <c r="S810" s="96">
        <v>46164</v>
      </c>
      <c r="T810" s="96" t="s">
        <v>2212</v>
      </c>
      <c r="U810" s="96" t="s">
        <v>79</v>
      </c>
      <c r="V810" s="92">
        <v>46140</v>
      </c>
      <c r="W810" s="92">
        <v>46147</v>
      </c>
      <c r="X810" s="92">
        <v>46154</v>
      </c>
      <c r="Y810" s="97"/>
      <c r="Z810" s="89"/>
      <c r="AA810" s="96"/>
      <c r="AB810" s="89"/>
      <c r="AC810" s="111"/>
      <c r="AD810" s="89"/>
      <c r="AE810" s="89"/>
      <c r="AF810" s="98"/>
      <c r="AG810" s="98"/>
      <c r="AH810" s="98"/>
      <c r="AI810" s="99"/>
      <c r="AJ810" s="99"/>
      <c r="AK810" s="99"/>
      <c r="AL810" s="45" t="s">
        <v>68</v>
      </c>
      <c r="AM810" s="162" t="str">
        <f t="shared" si="96"/>
        <v>3/2026</v>
      </c>
      <c r="AN810" s="45">
        <f t="shared" si="97"/>
        <v>4</v>
      </c>
      <c r="AO810" s="45" t="str">
        <f t="shared" si="98"/>
        <v>1/1900</v>
      </c>
      <c r="AP810" s="45" t="e">
        <f t="shared" si="99"/>
        <v>#NUM!</v>
      </c>
      <c r="AQ810" s="45">
        <f t="shared" si="100"/>
        <v>0</v>
      </c>
      <c r="AR810" s="45">
        <f t="shared" si="101"/>
        <v>0</v>
      </c>
      <c r="AS810" s="45">
        <f t="shared" si="102"/>
        <v>0</v>
      </c>
      <c r="AT810" s="45">
        <f t="shared" si="103"/>
        <v>0</v>
      </c>
      <c r="AU810" s="45" t="str">
        <f>_xlfn.XLOOKUP(U810,'Lista Suspensa'!$AA$20:$AA$23,'Lista Suspensa'!$AB$20:$AB$23,"N/A")</f>
        <v>S</v>
      </c>
    </row>
    <row r="811" spans="1:47" ht="12" hidden="1" customHeight="1" x14ac:dyDescent="0.3">
      <c r="A811" s="87" t="s">
        <v>47</v>
      </c>
      <c r="B811" s="88">
        <v>46104</v>
      </c>
      <c r="C811" s="89" t="s">
        <v>48</v>
      </c>
      <c r="D811" s="89" t="s">
        <v>49</v>
      </c>
      <c r="E811" s="90">
        <v>458450324</v>
      </c>
      <c r="F811" s="184" t="s">
        <v>2504</v>
      </c>
      <c r="G811" s="91">
        <v>22431896587</v>
      </c>
      <c r="H811" s="92">
        <v>16751</v>
      </c>
      <c r="I811" s="89">
        <v>80</v>
      </c>
      <c r="J811" s="89" t="s">
        <v>51</v>
      </c>
      <c r="K811" s="89" t="s">
        <v>52</v>
      </c>
      <c r="L811" s="89" t="s">
        <v>53</v>
      </c>
      <c r="M811" s="89" t="s">
        <v>2505</v>
      </c>
      <c r="N811" s="89" t="s">
        <v>252</v>
      </c>
      <c r="O811" s="93" t="s">
        <v>2506</v>
      </c>
      <c r="P811" s="94" t="s">
        <v>57</v>
      </c>
      <c r="Q811" s="112" t="s">
        <v>2211</v>
      </c>
      <c r="R811" s="95"/>
      <c r="S811" s="96">
        <v>46164</v>
      </c>
      <c r="T811" s="96" t="s">
        <v>2212</v>
      </c>
      <c r="U811" s="96" t="s">
        <v>79</v>
      </c>
      <c r="V811" s="92">
        <v>46140</v>
      </c>
      <c r="W811" s="92">
        <v>46147</v>
      </c>
      <c r="X811" s="92">
        <v>46154</v>
      </c>
      <c r="Y811" s="97"/>
      <c r="Z811" s="89"/>
      <c r="AA811" s="96"/>
      <c r="AB811" s="89"/>
      <c r="AC811" s="111"/>
      <c r="AD811" s="89"/>
      <c r="AE811" s="89"/>
      <c r="AF811" s="98"/>
      <c r="AG811" s="98"/>
      <c r="AH811" s="98"/>
      <c r="AI811" s="99"/>
      <c r="AJ811" s="99"/>
      <c r="AK811" s="99"/>
      <c r="AL811" s="45" t="s">
        <v>68</v>
      </c>
      <c r="AM811" s="162" t="str">
        <f t="shared" si="96"/>
        <v>3/2026</v>
      </c>
      <c r="AN811" s="45">
        <f t="shared" si="97"/>
        <v>4</v>
      </c>
      <c r="AO811" s="45" t="str">
        <f t="shared" si="98"/>
        <v>1/1900</v>
      </c>
      <c r="AP811" s="45" t="e">
        <f t="shared" si="99"/>
        <v>#NUM!</v>
      </c>
      <c r="AQ811" s="45">
        <f t="shared" si="100"/>
        <v>0</v>
      </c>
      <c r="AR811" s="45">
        <f t="shared" si="101"/>
        <v>0</v>
      </c>
      <c r="AS811" s="45">
        <f t="shared" si="102"/>
        <v>0</v>
      </c>
      <c r="AT811" s="45">
        <f t="shared" si="103"/>
        <v>0</v>
      </c>
      <c r="AU811" s="45" t="str">
        <f>_xlfn.XLOOKUP(U811,'Lista Suspensa'!$AA$20:$AA$23,'Lista Suspensa'!$AB$20:$AB$23,"N/A")</f>
        <v>S</v>
      </c>
    </row>
    <row r="812" spans="1:47" ht="12" hidden="1" customHeight="1" x14ac:dyDescent="0.3">
      <c r="A812" s="87" t="s">
        <v>47</v>
      </c>
      <c r="B812" s="88">
        <v>46104</v>
      </c>
      <c r="C812" s="89" t="s">
        <v>48</v>
      </c>
      <c r="D812" s="89" t="s">
        <v>49</v>
      </c>
      <c r="E812" s="90">
        <v>756586763</v>
      </c>
      <c r="F812" s="184" t="s">
        <v>2507</v>
      </c>
      <c r="G812" s="91">
        <v>32891830768</v>
      </c>
      <c r="H812" s="92">
        <v>16415</v>
      </c>
      <c r="I812" s="89">
        <v>81</v>
      </c>
      <c r="J812" s="89" t="s">
        <v>51</v>
      </c>
      <c r="K812" s="89" t="s">
        <v>88</v>
      </c>
      <c r="L812" s="89" t="s">
        <v>89</v>
      </c>
      <c r="M812" s="89" t="s">
        <v>2508</v>
      </c>
      <c r="N812" s="89" t="s">
        <v>252</v>
      </c>
      <c r="O812" s="93" t="s">
        <v>2509</v>
      </c>
      <c r="P812" s="94" t="s">
        <v>57</v>
      </c>
      <c r="Q812" s="112" t="s">
        <v>2211</v>
      </c>
      <c r="R812" s="95"/>
      <c r="S812" s="96">
        <v>46164</v>
      </c>
      <c r="T812" s="96" t="s">
        <v>2212</v>
      </c>
      <c r="U812" s="96" t="s">
        <v>79</v>
      </c>
      <c r="V812" s="92">
        <v>46140</v>
      </c>
      <c r="W812" s="92">
        <v>46147</v>
      </c>
      <c r="X812" s="92">
        <v>46154</v>
      </c>
      <c r="Y812" s="97"/>
      <c r="Z812" s="89"/>
      <c r="AA812" s="96"/>
      <c r="AB812" s="89"/>
      <c r="AC812" s="111"/>
      <c r="AD812" s="89"/>
      <c r="AE812" s="89"/>
      <c r="AF812" s="98"/>
      <c r="AG812" s="98"/>
      <c r="AH812" s="98"/>
      <c r="AI812" s="99"/>
      <c r="AJ812" s="99"/>
      <c r="AK812" s="99"/>
      <c r="AL812" s="45" t="s">
        <v>68</v>
      </c>
      <c r="AM812" s="162" t="str">
        <f t="shared" si="96"/>
        <v>3/2026</v>
      </c>
      <c r="AN812" s="45">
        <f t="shared" si="97"/>
        <v>4</v>
      </c>
      <c r="AO812" s="45" t="str">
        <f t="shared" si="98"/>
        <v>1/1900</v>
      </c>
      <c r="AP812" s="45" t="e">
        <f t="shared" si="99"/>
        <v>#NUM!</v>
      </c>
      <c r="AQ812" s="45">
        <f t="shared" si="100"/>
        <v>0</v>
      </c>
      <c r="AR812" s="45">
        <f t="shared" si="101"/>
        <v>0</v>
      </c>
      <c r="AS812" s="45">
        <f t="shared" si="102"/>
        <v>0</v>
      </c>
      <c r="AT812" s="45">
        <f t="shared" si="103"/>
        <v>0</v>
      </c>
      <c r="AU812" s="45" t="str">
        <f>_xlfn.XLOOKUP(U812,'Lista Suspensa'!$AA$20:$AA$23,'Lista Suspensa'!$AB$20:$AB$23,"N/A")</f>
        <v>S</v>
      </c>
    </row>
    <row r="813" spans="1:47" ht="12" hidden="1" customHeight="1" x14ac:dyDescent="0.3">
      <c r="A813" s="87" t="s">
        <v>47</v>
      </c>
      <c r="B813" s="88">
        <v>46104</v>
      </c>
      <c r="C813" s="89" t="s">
        <v>48</v>
      </c>
      <c r="D813" s="89" t="s">
        <v>49</v>
      </c>
      <c r="E813" s="90">
        <v>450099245</v>
      </c>
      <c r="F813" s="184" t="s">
        <v>2510</v>
      </c>
      <c r="G813" s="91">
        <v>65272668804</v>
      </c>
      <c r="H813" s="92">
        <v>16830</v>
      </c>
      <c r="I813" s="89">
        <v>80</v>
      </c>
      <c r="J813" s="89" t="s">
        <v>51</v>
      </c>
      <c r="K813" s="89" t="s">
        <v>52</v>
      </c>
      <c r="L813" s="89" t="s">
        <v>283</v>
      </c>
      <c r="M813" s="89" t="s">
        <v>2511</v>
      </c>
      <c r="N813" s="89" t="s">
        <v>252</v>
      </c>
      <c r="O813" s="93" t="s">
        <v>2512</v>
      </c>
      <c r="P813" s="94" t="s">
        <v>57</v>
      </c>
      <c r="Q813" s="112" t="s">
        <v>2211</v>
      </c>
      <c r="R813" s="95"/>
      <c r="S813" s="96">
        <v>46164</v>
      </c>
      <c r="T813" s="96" t="s">
        <v>2212</v>
      </c>
      <c r="U813" s="96" t="s">
        <v>79</v>
      </c>
      <c r="V813" s="92">
        <v>46122</v>
      </c>
      <c r="W813" s="92">
        <v>46147</v>
      </c>
      <c r="X813" s="92">
        <v>46154</v>
      </c>
      <c r="Y813" s="97"/>
      <c r="Z813" s="89"/>
      <c r="AA813" s="96"/>
      <c r="AB813" s="89"/>
      <c r="AC813" s="111"/>
      <c r="AD813" s="89"/>
      <c r="AE813" s="89"/>
      <c r="AF813" s="98"/>
      <c r="AG813" s="98"/>
      <c r="AH813" s="98"/>
      <c r="AI813" s="99"/>
      <c r="AJ813" s="99"/>
      <c r="AK813" s="99"/>
      <c r="AL813" s="45" t="s">
        <v>68</v>
      </c>
      <c r="AM813" s="162" t="str">
        <f t="shared" si="96"/>
        <v>3/2026</v>
      </c>
      <c r="AN813" s="45">
        <f t="shared" si="97"/>
        <v>4</v>
      </c>
      <c r="AO813" s="45" t="str">
        <f t="shared" si="98"/>
        <v>1/1900</v>
      </c>
      <c r="AP813" s="45" t="e">
        <f t="shared" si="99"/>
        <v>#NUM!</v>
      </c>
      <c r="AQ813" s="45">
        <f t="shared" si="100"/>
        <v>0</v>
      </c>
      <c r="AR813" s="45">
        <f t="shared" si="101"/>
        <v>0</v>
      </c>
      <c r="AS813" s="45">
        <f t="shared" si="102"/>
        <v>0</v>
      </c>
      <c r="AT813" s="45">
        <f t="shared" si="103"/>
        <v>0</v>
      </c>
      <c r="AU813" s="45" t="str">
        <f>_xlfn.XLOOKUP(U813,'Lista Suspensa'!$AA$20:$AA$23,'Lista Suspensa'!$AB$20:$AB$23,"N/A")</f>
        <v>S</v>
      </c>
    </row>
    <row r="814" spans="1:47" ht="12" hidden="1" customHeight="1" x14ac:dyDescent="0.3">
      <c r="A814" s="87" t="s">
        <v>47</v>
      </c>
      <c r="B814" s="88">
        <v>46104</v>
      </c>
      <c r="C814" s="89" t="s">
        <v>48</v>
      </c>
      <c r="D814" s="89" t="s">
        <v>49</v>
      </c>
      <c r="E814" s="90">
        <v>752502956</v>
      </c>
      <c r="F814" s="184" t="s">
        <v>2513</v>
      </c>
      <c r="G814" s="91">
        <v>98483390787</v>
      </c>
      <c r="H814" s="92">
        <v>24072</v>
      </c>
      <c r="I814" s="89">
        <v>60</v>
      </c>
      <c r="J814" s="89" t="s">
        <v>51</v>
      </c>
      <c r="K814" s="89" t="s">
        <v>88</v>
      </c>
      <c r="L814" s="89" t="s">
        <v>89</v>
      </c>
      <c r="M814" s="89" t="s">
        <v>426</v>
      </c>
      <c r="N814" s="89" t="s">
        <v>252</v>
      </c>
      <c r="O814" s="93" t="s">
        <v>2514</v>
      </c>
      <c r="P814" s="94" t="s">
        <v>57</v>
      </c>
      <c r="Q814" s="112" t="s">
        <v>2211</v>
      </c>
      <c r="R814" s="95"/>
      <c r="S814" s="96">
        <v>46164</v>
      </c>
      <c r="T814" s="96" t="s">
        <v>2212</v>
      </c>
      <c r="U814" s="96" t="s">
        <v>79</v>
      </c>
      <c r="V814" s="92">
        <v>46140</v>
      </c>
      <c r="W814" s="92">
        <v>46147</v>
      </c>
      <c r="X814" s="92">
        <v>46154</v>
      </c>
      <c r="Y814" s="97"/>
      <c r="Z814" s="89"/>
      <c r="AA814" s="96"/>
      <c r="AB814" s="89"/>
      <c r="AC814" s="111"/>
      <c r="AD814" s="89"/>
      <c r="AE814" s="89"/>
      <c r="AF814" s="98"/>
      <c r="AG814" s="98"/>
      <c r="AH814" s="98"/>
      <c r="AI814" s="99"/>
      <c r="AJ814" s="99"/>
      <c r="AK814" s="99"/>
      <c r="AL814" s="45" t="s">
        <v>68</v>
      </c>
      <c r="AM814" s="162" t="str">
        <f t="shared" si="96"/>
        <v>3/2026</v>
      </c>
      <c r="AN814" s="45">
        <f t="shared" si="97"/>
        <v>4</v>
      </c>
      <c r="AO814" s="45" t="str">
        <f t="shared" si="98"/>
        <v>1/1900</v>
      </c>
      <c r="AP814" s="45" t="e">
        <f t="shared" si="99"/>
        <v>#NUM!</v>
      </c>
      <c r="AQ814" s="45">
        <f t="shared" si="100"/>
        <v>0</v>
      </c>
      <c r="AR814" s="45">
        <f t="shared" si="101"/>
        <v>0</v>
      </c>
      <c r="AS814" s="45">
        <f t="shared" si="102"/>
        <v>0</v>
      </c>
      <c r="AT814" s="45">
        <f t="shared" si="103"/>
        <v>0</v>
      </c>
      <c r="AU814" s="45" t="str">
        <f>_xlfn.XLOOKUP(U814,'Lista Suspensa'!$AA$20:$AA$23,'Lista Suspensa'!$AB$20:$AB$23,"N/A")</f>
        <v>S</v>
      </c>
    </row>
    <row r="815" spans="1:47" ht="12" hidden="1" customHeight="1" x14ac:dyDescent="0.3">
      <c r="A815" s="87" t="s">
        <v>47</v>
      </c>
      <c r="B815" s="88">
        <v>46104</v>
      </c>
      <c r="C815" s="89" t="s">
        <v>48</v>
      </c>
      <c r="D815" s="89" t="s">
        <v>49</v>
      </c>
      <c r="E815" s="90">
        <v>450273458</v>
      </c>
      <c r="F815" s="184" t="s">
        <v>2515</v>
      </c>
      <c r="G815" s="91">
        <v>6387640849</v>
      </c>
      <c r="H815" s="92">
        <v>10383</v>
      </c>
      <c r="I815" s="89">
        <v>97</v>
      </c>
      <c r="J815" s="89" t="s">
        <v>51</v>
      </c>
      <c r="K815" s="89" t="s">
        <v>52</v>
      </c>
      <c r="L815" s="89" t="s">
        <v>53</v>
      </c>
      <c r="M815" s="89" t="s">
        <v>770</v>
      </c>
      <c r="N815" s="89" t="s">
        <v>252</v>
      </c>
      <c r="O815" s="93" t="s">
        <v>2516</v>
      </c>
      <c r="P815" s="94" t="s">
        <v>57</v>
      </c>
      <c r="Q815" s="112" t="s">
        <v>2211</v>
      </c>
      <c r="R815" s="95"/>
      <c r="S815" s="96">
        <v>46164</v>
      </c>
      <c r="T815" s="96" t="s">
        <v>2212</v>
      </c>
      <c r="U815" s="96" t="s">
        <v>79</v>
      </c>
      <c r="V815" s="92">
        <v>46128</v>
      </c>
      <c r="W815" s="92">
        <v>46147</v>
      </c>
      <c r="X815" s="92">
        <v>46154</v>
      </c>
      <c r="Y815" s="97"/>
      <c r="Z815" s="89"/>
      <c r="AA815" s="96"/>
      <c r="AB815" s="89"/>
      <c r="AC815" s="111"/>
      <c r="AD815" s="89"/>
      <c r="AE815" s="89"/>
      <c r="AF815" s="98"/>
      <c r="AG815" s="98"/>
      <c r="AH815" s="98"/>
      <c r="AI815" s="99"/>
      <c r="AJ815" s="99"/>
      <c r="AK815" s="99"/>
      <c r="AL815" s="45" t="s">
        <v>68</v>
      </c>
      <c r="AM815" s="162" t="str">
        <f t="shared" si="96"/>
        <v>3/2026</v>
      </c>
      <c r="AN815" s="45">
        <f t="shared" si="97"/>
        <v>4</v>
      </c>
      <c r="AO815" s="45" t="str">
        <f t="shared" si="98"/>
        <v>1/1900</v>
      </c>
      <c r="AP815" s="45" t="e">
        <f t="shared" si="99"/>
        <v>#NUM!</v>
      </c>
      <c r="AQ815" s="45">
        <f t="shared" si="100"/>
        <v>0</v>
      </c>
      <c r="AR815" s="45">
        <f t="shared" si="101"/>
        <v>0</v>
      </c>
      <c r="AS815" s="45">
        <f t="shared" si="102"/>
        <v>0</v>
      </c>
      <c r="AT815" s="45">
        <f t="shared" si="103"/>
        <v>0</v>
      </c>
      <c r="AU815" s="45" t="str">
        <f>_xlfn.XLOOKUP(U815,'Lista Suspensa'!$AA$20:$AA$23,'Lista Suspensa'!$AB$20:$AB$23,"N/A")</f>
        <v>S</v>
      </c>
    </row>
    <row r="816" spans="1:47" ht="12" hidden="1" customHeight="1" x14ac:dyDescent="0.3">
      <c r="A816" s="87" t="s">
        <v>47</v>
      </c>
      <c r="B816" s="88">
        <v>46104</v>
      </c>
      <c r="C816" s="89" t="s">
        <v>48</v>
      </c>
      <c r="D816" s="89" t="s">
        <v>49</v>
      </c>
      <c r="E816" s="90">
        <v>755294262</v>
      </c>
      <c r="F816" s="184" t="s">
        <v>2517</v>
      </c>
      <c r="G816" s="91">
        <v>78840287</v>
      </c>
      <c r="H816" s="92">
        <v>12888</v>
      </c>
      <c r="I816" s="89">
        <v>90</v>
      </c>
      <c r="J816" s="89" t="s">
        <v>51</v>
      </c>
      <c r="K816" s="89" t="s">
        <v>88</v>
      </c>
      <c r="L816" s="89" t="s">
        <v>89</v>
      </c>
      <c r="M816" s="89" t="s">
        <v>1098</v>
      </c>
      <c r="N816" s="89" t="s">
        <v>252</v>
      </c>
      <c r="O816" s="93" t="s">
        <v>2518</v>
      </c>
      <c r="P816" s="94" t="s">
        <v>57</v>
      </c>
      <c r="Q816" s="112" t="s">
        <v>2211</v>
      </c>
      <c r="R816" s="95"/>
      <c r="S816" s="96">
        <v>46164</v>
      </c>
      <c r="T816" s="96" t="s">
        <v>2212</v>
      </c>
      <c r="U816" s="96" t="s">
        <v>79</v>
      </c>
      <c r="V816" s="92">
        <v>46128</v>
      </c>
      <c r="W816" s="92">
        <v>46147</v>
      </c>
      <c r="X816" s="92">
        <v>46154</v>
      </c>
      <c r="Y816" s="97"/>
      <c r="Z816" s="89"/>
      <c r="AA816" s="96"/>
      <c r="AB816" s="89"/>
      <c r="AC816" s="111"/>
      <c r="AD816" s="89"/>
      <c r="AE816" s="89"/>
      <c r="AF816" s="98"/>
      <c r="AG816" s="98"/>
      <c r="AH816" s="98"/>
      <c r="AI816" s="99"/>
      <c r="AJ816" s="99"/>
      <c r="AK816" s="99"/>
      <c r="AL816" s="45" t="s">
        <v>68</v>
      </c>
      <c r="AM816" s="162" t="str">
        <f t="shared" si="96"/>
        <v>3/2026</v>
      </c>
      <c r="AN816" s="45">
        <f t="shared" si="97"/>
        <v>4</v>
      </c>
      <c r="AO816" s="45" t="str">
        <f t="shared" si="98"/>
        <v>1/1900</v>
      </c>
      <c r="AP816" s="45" t="e">
        <f t="shared" si="99"/>
        <v>#NUM!</v>
      </c>
      <c r="AQ816" s="45">
        <f t="shared" si="100"/>
        <v>0</v>
      </c>
      <c r="AR816" s="45">
        <f t="shared" si="101"/>
        <v>0</v>
      </c>
      <c r="AS816" s="45">
        <f t="shared" si="102"/>
        <v>0</v>
      </c>
      <c r="AT816" s="45">
        <f t="shared" si="103"/>
        <v>0</v>
      </c>
      <c r="AU816" s="45" t="str">
        <f>_xlfn.XLOOKUP(U816,'Lista Suspensa'!$AA$20:$AA$23,'Lista Suspensa'!$AB$20:$AB$23,"N/A")</f>
        <v>S</v>
      </c>
    </row>
    <row r="817" spans="1:47" ht="12" hidden="1" customHeight="1" x14ac:dyDescent="0.3">
      <c r="A817" s="87" t="s">
        <v>47</v>
      </c>
      <c r="B817" s="88">
        <v>46104</v>
      </c>
      <c r="C817" s="89" t="s">
        <v>48</v>
      </c>
      <c r="D817" s="89" t="s">
        <v>49</v>
      </c>
      <c r="E817" s="90">
        <v>756802202</v>
      </c>
      <c r="F817" s="184" t="s">
        <v>2519</v>
      </c>
      <c r="G817" s="91">
        <v>7432711739</v>
      </c>
      <c r="H817" s="92">
        <v>16331</v>
      </c>
      <c r="I817" s="89">
        <v>81</v>
      </c>
      <c r="J817" s="89" t="s">
        <v>70</v>
      </c>
      <c r="K817" s="89" t="s">
        <v>88</v>
      </c>
      <c r="L817" s="89" t="s">
        <v>89</v>
      </c>
      <c r="M817" s="89" t="s">
        <v>1098</v>
      </c>
      <c r="N817" s="89" t="s">
        <v>252</v>
      </c>
      <c r="O817" s="93" t="s">
        <v>2520</v>
      </c>
      <c r="P817" s="94" t="s">
        <v>57</v>
      </c>
      <c r="Q817" s="112" t="s">
        <v>2211</v>
      </c>
      <c r="R817" s="95"/>
      <c r="S817" s="96">
        <v>46164</v>
      </c>
      <c r="T817" s="96" t="s">
        <v>2212</v>
      </c>
      <c r="U817" s="96" t="s">
        <v>79</v>
      </c>
      <c r="V817" s="92">
        <v>46140</v>
      </c>
      <c r="W817" s="92">
        <v>46147</v>
      </c>
      <c r="X817" s="92">
        <v>46154</v>
      </c>
      <c r="Y817" s="97"/>
      <c r="Z817" s="89"/>
      <c r="AA817" s="96"/>
      <c r="AB817" s="89"/>
      <c r="AC817" s="111"/>
      <c r="AD817" s="89"/>
      <c r="AE817" s="89"/>
      <c r="AF817" s="98"/>
      <c r="AG817" s="98"/>
      <c r="AH817" s="98"/>
      <c r="AI817" s="99"/>
      <c r="AJ817" s="99"/>
      <c r="AK817" s="99"/>
      <c r="AL817" s="45" t="s">
        <v>68</v>
      </c>
      <c r="AM817" s="162" t="str">
        <f t="shared" si="96"/>
        <v>3/2026</v>
      </c>
      <c r="AN817" s="45">
        <f t="shared" si="97"/>
        <v>4</v>
      </c>
      <c r="AO817" s="45" t="str">
        <f t="shared" si="98"/>
        <v>1/1900</v>
      </c>
      <c r="AP817" s="45" t="e">
        <f t="shared" si="99"/>
        <v>#NUM!</v>
      </c>
      <c r="AQ817" s="45">
        <f t="shared" si="100"/>
        <v>0</v>
      </c>
      <c r="AR817" s="45">
        <f t="shared" si="101"/>
        <v>0</v>
      </c>
      <c r="AS817" s="45">
        <f t="shared" si="102"/>
        <v>0</v>
      </c>
      <c r="AT817" s="45">
        <f t="shared" si="103"/>
        <v>0</v>
      </c>
      <c r="AU817" s="45" t="str">
        <f>_xlfn.XLOOKUP(U817,'Lista Suspensa'!$AA$20:$AA$23,'Lista Suspensa'!$AB$20:$AB$23,"N/A")</f>
        <v>S</v>
      </c>
    </row>
    <row r="818" spans="1:47" ht="12" hidden="1" customHeight="1" x14ac:dyDescent="0.3">
      <c r="A818" s="87" t="s">
        <v>47</v>
      </c>
      <c r="B818" s="88">
        <v>46104</v>
      </c>
      <c r="C818" s="89" t="s">
        <v>48</v>
      </c>
      <c r="D818" s="89" t="s">
        <v>49</v>
      </c>
      <c r="E818" s="90">
        <v>760381925</v>
      </c>
      <c r="F818" s="184" t="s">
        <v>2521</v>
      </c>
      <c r="G818" s="91">
        <v>31091431787</v>
      </c>
      <c r="H818" s="92">
        <v>18028</v>
      </c>
      <c r="I818" s="89">
        <v>76</v>
      </c>
      <c r="J818" s="89" t="s">
        <v>51</v>
      </c>
      <c r="K818" s="89" t="s">
        <v>88</v>
      </c>
      <c r="L818" s="89" t="s">
        <v>89</v>
      </c>
      <c r="M818" s="89" t="s">
        <v>1098</v>
      </c>
      <c r="N818" s="89" t="s">
        <v>252</v>
      </c>
      <c r="O818" s="93" t="s">
        <v>2522</v>
      </c>
      <c r="P818" s="94" t="s">
        <v>57</v>
      </c>
      <c r="Q818" s="112" t="s">
        <v>2211</v>
      </c>
      <c r="R818" s="95"/>
      <c r="S818" s="96">
        <v>46164</v>
      </c>
      <c r="T818" s="96" t="s">
        <v>2212</v>
      </c>
      <c r="U818" s="96" t="s">
        <v>79</v>
      </c>
      <c r="V818" s="92">
        <v>46140</v>
      </c>
      <c r="W818" s="92">
        <v>46147</v>
      </c>
      <c r="X818" s="92">
        <v>46154</v>
      </c>
      <c r="Y818" s="97"/>
      <c r="Z818" s="89"/>
      <c r="AA818" s="96"/>
      <c r="AB818" s="89"/>
      <c r="AC818" s="111"/>
      <c r="AD818" s="89"/>
      <c r="AE818" s="89"/>
      <c r="AF818" s="98"/>
      <c r="AG818" s="98"/>
      <c r="AH818" s="98"/>
      <c r="AI818" s="99"/>
      <c r="AJ818" s="99"/>
      <c r="AK818" s="99"/>
      <c r="AL818" s="45" t="s">
        <v>68</v>
      </c>
      <c r="AM818" s="162" t="str">
        <f t="shared" si="96"/>
        <v>3/2026</v>
      </c>
      <c r="AN818" s="45">
        <f t="shared" si="97"/>
        <v>4</v>
      </c>
      <c r="AO818" s="45" t="str">
        <f t="shared" si="98"/>
        <v>1/1900</v>
      </c>
      <c r="AP818" s="45" t="e">
        <f t="shared" si="99"/>
        <v>#NUM!</v>
      </c>
      <c r="AQ818" s="45">
        <f t="shared" si="100"/>
        <v>0</v>
      </c>
      <c r="AR818" s="45">
        <f t="shared" si="101"/>
        <v>0</v>
      </c>
      <c r="AS818" s="45">
        <f t="shared" si="102"/>
        <v>0</v>
      </c>
      <c r="AT818" s="45">
        <f t="shared" si="103"/>
        <v>0</v>
      </c>
      <c r="AU818" s="45" t="str">
        <f>_xlfn.XLOOKUP(U818,'Lista Suspensa'!$AA$20:$AA$23,'Lista Suspensa'!$AB$20:$AB$23,"N/A")</f>
        <v>S</v>
      </c>
    </row>
    <row r="819" spans="1:47" ht="12" hidden="1" customHeight="1" x14ac:dyDescent="0.3">
      <c r="A819" s="87" t="s">
        <v>47</v>
      </c>
      <c r="B819" s="88">
        <v>46104</v>
      </c>
      <c r="C819" s="89" t="s">
        <v>48</v>
      </c>
      <c r="D819" s="89" t="s">
        <v>49</v>
      </c>
      <c r="E819" s="90">
        <v>756311829</v>
      </c>
      <c r="F819" s="184" t="s">
        <v>2523</v>
      </c>
      <c r="G819" s="91">
        <v>29965390797</v>
      </c>
      <c r="H819" s="92">
        <v>19564</v>
      </c>
      <c r="I819" s="89">
        <v>72</v>
      </c>
      <c r="J819" s="89" t="s">
        <v>51</v>
      </c>
      <c r="K819" s="89" t="s">
        <v>88</v>
      </c>
      <c r="L819" s="89" t="s">
        <v>89</v>
      </c>
      <c r="M819" s="89" t="s">
        <v>1098</v>
      </c>
      <c r="N819" s="89" t="s">
        <v>252</v>
      </c>
      <c r="O819" s="93" t="s">
        <v>2524</v>
      </c>
      <c r="P819" s="94" t="s">
        <v>57</v>
      </c>
      <c r="Q819" s="112" t="s">
        <v>2211</v>
      </c>
      <c r="R819" s="95"/>
      <c r="S819" s="96">
        <v>46164</v>
      </c>
      <c r="T819" s="96" t="s">
        <v>2212</v>
      </c>
      <c r="U819" s="96" t="s">
        <v>79</v>
      </c>
      <c r="V819" s="92">
        <v>46140</v>
      </c>
      <c r="W819" s="92">
        <v>46147</v>
      </c>
      <c r="X819" s="92">
        <v>46154</v>
      </c>
      <c r="Y819" s="97"/>
      <c r="Z819" s="89"/>
      <c r="AA819" s="96"/>
      <c r="AB819" s="89"/>
      <c r="AC819" s="111"/>
      <c r="AD819" s="89"/>
      <c r="AE819" s="89"/>
      <c r="AF819" s="98"/>
      <c r="AG819" s="98"/>
      <c r="AH819" s="98"/>
      <c r="AI819" s="99"/>
      <c r="AJ819" s="99"/>
      <c r="AK819" s="99"/>
      <c r="AL819" s="45" t="s">
        <v>68</v>
      </c>
      <c r="AM819" s="162" t="str">
        <f t="shared" si="96"/>
        <v>3/2026</v>
      </c>
      <c r="AN819" s="45">
        <f t="shared" si="97"/>
        <v>4</v>
      </c>
      <c r="AO819" s="45" t="str">
        <f t="shared" si="98"/>
        <v>1/1900</v>
      </c>
      <c r="AP819" s="45" t="e">
        <f t="shared" si="99"/>
        <v>#NUM!</v>
      </c>
      <c r="AQ819" s="45">
        <f t="shared" si="100"/>
        <v>0</v>
      </c>
      <c r="AR819" s="45">
        <f t="shared" si="101"/>
        <v>0</v>
      </c>
      <c r="AS819" s="45">
        <f t="shared" si="102"/>
        <v>0</v>
      </c>
      <c r="AT819" s="45">
        <f t="shared" si="103"/>
        <v>0</v>
      </c>
      <c r="AU819" s="45" t="str">
        <f>_xlfn.XLOOKUP(U819,'Lista Suspensa'!$AA$20:$AA$23,'Lista Suspensa'!$AB$20:$AB$23,"N/A")</f>
        <v>S</v>
      </c>
    </row>
    <row r="820" spans="1:47" ht="12" hidden="1" customHeight="1" x14ac:dyDescent="0.3">
      <c r="A820" s="87" t="s">
        <v>47</v>
      </c>
      <c r="B820" s="88">
        <v>46104</v>
      </c>
      <c r="C820" s="89" t="s">
        <v>48</v>
      </c>
      <c r="D820" s="89" t="s">
        <v>49</v>
      </c>
      <c r="E820" s="90">
        <v>758830130</v>
      </c>
      <c r="F820" s="184" t="s">
        <v>2525</v>
      </c>
      <c r="G820" s="91">
        <v>36018813734</v>
      </c>
      <c r="H820" s="92">
        <v>19162</v>
      </c>
      <c r="I820" s="89">
        <v>73</v>
      </c>
      <c r="J820" s="89" t="s">
        <v>51</v>
      </c>
      <c r="K820" s="89" t="s">
        <v>88</v>
      </c>
      <c r="L820" s="89" t="s">
        <v>89</v>
      </c>
      <c r="M820" s="89" t="s">
        <v>2328</v>
      </c>
      <c r="N820" s="89" t="s">
        <v>252</v>
      </c>
      <c r="O820" s="93" t="s">
        <v>2526</v>
      </c>
      <c r="P820" s="94" t="s">
        <v>57</v>
      </c>
      <c r="Q820" s="112" t="s">
        <v>2211</v>
      </c>
      <c r="R820" s="95"/>
      <c r="S820" s="96">
        <v>46164</v>
      </c>
      <c r="T820" s="96" t="s">
        <v>2212</v>
      </c>
      <c r="U820" s="96" t="s">
        <v>79</v>
      </c>
      <c r="V820" s="92">
        <v>46128</v>
      </c>
      <c r="W820" s="92">
        <v>46147</v>
      </c>
      <c r="X820" s="92">
        <v>46154</v>
      </c>
      <c r="Y820" s="97"/>
      <c r="Z820" s="89"/>
      <c r="AA820" s="96"/>
      <c r="AB820" s="89"/>
      <c r="AC820" s="111"/>
      <c r="AD820" s="89"/>
      <c r="AE820" s="89"/>
      <c r="AF820" s="98"/>
      <c r="AG820" s="98"/>
      <c r="AH820" s="98"/>
      <c r="AI820" s="99"/>
      <c r="AJ820" s="99"/>
      <c r="AK820" s="99"/>
      <c r="AL820" s="45" t="s">
        <v>68</v>
      </c>
      <c r="AM820" s="162" t="str">
        <f t="shared" si="96"/>
        <v>3/2026</v>
      </c>
      <c r="AN820" s="45">
        <f t="shared" si="97"/>
        <v>4</v>
      </c>
      <c r="AO820" s="45" t="str">
        <f t="shared" si="98"/>
        <v>1/1900</v>
      </c>
      <c r="AP820" s="45" t="e">
        <f t="shared" si="99"/>
        <v>#NUM!</v>
      </c>
      <c r="AQ820" s="45">
        <f t="shared" si="100"/>
        <v>0</v>
      </c>
      <c r="AR820" s="45">
        <f t="shared" si="101"/>
        <v>0</v>
      </c>
      <c r="AS820" s="45">
        <f t="shared" si="102"/>
        <v>0</v>
      </c>
      <c r="AT820" s="45">
        <f t="shared" si="103"/>
        <v>0</v>
      </c>
      <c r="AU820" s="45" t="str">
        <f>_xlfn.XLOOKUP(U820,'Lista Suspensa'!$AA$20:$AA$23,'Lista Suspensa'!$AB$20:$AB$23,"N/A")</f>
        <v>S</v>
      </c>
    </row>
    <row r="821" spans="1:47" ht="12" hidden="1" customHeight="1" x14ac:dyDescent="0.3">
      <c r="A821" s="87" t="s">
        <v>47</v>
      </c>
      <c r="B821" s="88">
        <v>46104</v>
      </c>
      <c r="C821" s="89" t="s">
        <v>48</v>
      </c>
      <c r="D821" s="89" t="s">
        <v>49</v>
      </c>
      <c r="E821" s="90">
        <v>301312052</v>
      </c>
      <c r="F821" s="184" t="s">
        <v>2527</v>
      </c>
      <c r="G821" s="91">
        <v>79163823853</v>
      </c>
      <c r="H821" s="92">
        <v>20407</v>
      </c>
      <c r="I821" s="89">
        <v>70</v>
      </c>
      <c r="J821" s="89" t="s">
        <v>70</v>
      </c>
      <c r="K821" s="89" t="s">
        <v>52</v>
      </c>
      <c r="L821" s="89" t="s">
        <v>53</v>
      </c>
      <c r="M821" s="89" t="s">
        <v>848</v>
      </c>
      <c r="N821" s="89" t="s">
        <v>252</v>
      </c>
      <c r="O821" s="93" t="s">
        <v>2528</v>
      </c>
      <c r="P821" s="94" t="s">
        <v>57</v>
      </c>
      <c r="Q821" s="112" t="s">
        <v>2211</v>
      </c>
      <c r="R821" s="95"/>
      <c r="S821" s="96">
        <v>46164</v>
      </c>
      <c r="T821" s="96" t="s">
        <v>2212</v>
      </c>
      <c r="U821" s="96" t="s">
        <v>79</v>
      </c>
      <c r="V821" s="92">
        <v>46122</v>
      </c>
      <c r="W821" s="92">
        <v>46147</v>
      </c>
      <c r="X821" s="92">
        <v>46154</v>
      </c>
      <c r="Y821" s="97"/>
      <c r="Z821" s="89"/>
      <c r="AA821" s="96"/>
      <c r="AB821" s="89"/>
      <c r="AC821" s="111"/>
      <c r="AD821" s="89"/>
      <c r="AE821" s="89"/>
      <c r="AF821" s="98"/>
      <c r="AG821" s="98"/>
      <c r="AH821" s="98"/>
      <c r="AI821" s="99"/>
      <c r="AJ821" s="99"/>
      <c r="AK821" s="99"/>
      <c r="AL821" s="45" t="s">
        <v>68</v>
      </c>
      <c r="AM821" s="162" t="str">
        <f t="shared" si="96"/>
        <v>3/2026</v>
      </c>
      <c r="AN821" s="45">
        <f t="shared" si="97"/>
        <v>4</v>
      </c>
      <c r="AO821" s="45" t="str">
        <f t="shared" si="98"/>
        <v>1/1900</v>
      </c>
      <c r="AP821" s="45" t="e">
        <f t="shared" si="99"/>
        <v>#NUM!</v>
      </c>
      <c r="AQ821" s="45">
        <f t="shared" si="100"/>
        <v>0</v>
      </c>
      <c r="AR821" s="45">
        <f t="shared" si="101"/>
        <v>0</v>
      </c>
      <c r="AS821" s="45">
        <f t="shared" si="102"/>
        <v>0</v>
      </c>
      <c r="AT821" s="45">
        <f t="shared" si="103"/>
        <v>0</v>
      </c>
      <c r="AU821" s="45" t="str">
        <f>_xlfn.XLOOKUP(U821,'Lista Suspensa'!$AA$20:$AA$23,'Lista Suspensa'!$AB$20:$AB$23,"N/A")</f>
        <v>S</v>
      </c>
    </row>
    <row r="822" spans="1:47" ht="12" hidden="1" customHeight="1" x14ac:dyDescent="0.3">
      <c r="A822" s="87" t="s">
        <v>47</v>
      </c>
      <c r="B822" s="88">
        <v>46104</v>
      </c>
      <c r="C822" s="89" t="s">
        <v>48</v>
      </c>
      <c r="D822" s="89" t="s">
        <v>49</v>
      </c>
      <c r="E822" s="90">
        <v>791141047</v>
      </c>
      <c r="F822" s="184" t="s">
        <v>2529</v>
      </c>
      <c r="G822" s="91">
        <v>19181633831</v>
      </c>
      <c r="H822" s="92">
        <v>16237</v>
      </c>
      <c r="I822" s="89">
        <v>81</v>
      </c>
      <c r="J822" s="89" t="s">
        <v>70</v>
      </c>
      <c r="K822" s="89" t="s">
        <v>52</v>
      </c>
      <c r="L822" s="89" t="s">
        <v>53</v>
      </c>
      <c r="M822" s="89" t="s">
        <v>2530</v>
      </c>
      <c r="N822" s="89" t="s">
        <v>252</v>
      </c>
      <c r="O822" s="93" t="s">
        <v>2531</v>
      </c>
      <c r="P822" s="94" t="s">
        <v>57</v>
      </c>
      <c r="Q822" s="112" t="s">
        <v>2211</v>
      </c>
      <c r="R822" s="95"/>
      <c r="S822" s="96">
        <v>46164</v>
      </c>
      <c r="T822" s="96" t="s">
        <v>2212</v>
      </c>
      <c r="U822" s="96" t="s">
        <v>79</v>
      </c>
      <c r="V822" s="92">
        <v>46112</v>
      </c>
      <c r="W822" s="92">
        <v>46147</v>
      </c>
      <c r="X822" s="92">
        <v>46154</v>
      </c>
      <c r="Y822" s="97"/>
      <c r="Z822" s="89"/>
      <c r="AA822" s="96"/>
      <c r="AB822" s="89"/>
      <c r="AC822" s="111"/>
      <c r="AD822" s="89"/>
      <c r="AE822" s="89"/>
      <c r="AF822" s="98"/>
      <c r="AG822" s="98"/>
      <c r="AH822" s="98"/>
      <c r="AI822" s="99"/>
      <c r="AJ822" s="99"/>
      <c r="AK822" s="99"/>
      <c r="AL822" s="45" t="s">
        <v>68</v>
      </c>
      <c r="AM822" s="162" t="str">
        <f t="shared" si="96"/>
        <v>3/2026</v>
      </c>
      <c r="AN822" s="45">
        <f t="shared" si="97"/>
        <v>4</v>
      </c>
      <c r="AO822" s="45" t="str">
        <f t="shared" si="98"/>
        <v>1/1900</v>
      </c>
      <c r="AP822" s="45" t="e">
        <f t="shared" si="99"/>
        <v>#NUM!</v>
      </c>
      <c r="AQ822" s="45">
        <f t="shared" si="100"/>
        <v>0</v>
      </c>
      <c r="AR822" s="45">
        <f t="shared" si="101"/>
        <v>0</v>
      </c>
      <c r="AS822" s="45">
        <f t="shared" si="102"/>
        <v>0</v>
      </c>
      <c r="AT822" s="45">
        <f t="shared" si="103"/>
        <v>0</v>
      </c>
      <c r="AU822" s="45" t="str">
        <f>_xlfn.XLOOKUP(U822,'Lista Suspensa'!$AA$20:$AA$23,'Lista Suspensa'!$AB$20:$AB$23,"N/A")</f>
        <v>S</v>
      </c>
    </row>
    <row r="823" spans="1:47" ht="12" hidden="1" customHeight="1" x14ac:dyDescent="0.3">
      <c r="A823" s="87" t="s">
        <v>47</v>
      </c>
      <c r="B823" s="88">
        <v>46104</v>
      </c>
      <c r="C823" s="89" t="s">
        <v>48</v>
      </c>
      <c r="D823" s="89" t="s">
        <v>49</v>
      </c>
      <c r="E823" s="90">
        <v>791141039</v>
      </c>
      <c r="F823" s="184" t="s">
        <v>2532</v>
      </c>
      <c r="G823" s="91">
        <v>632902949</v>
      </c>
      <c r="H823" s="92">
        <v>14291</v>
      </c>
      <c r="I823" s="89">
        <v>87</v>
      </c>
      <c r="J823" s="89" t="s">
        <v>51</v>
      </c>
      <c r="K823" s="89" t="s">
        <v>52</v>
      </c>
      <c r="L823" s="89" t="s">
        <v>53</v>
      </c>
      <c r="M823" s="89" t="s">
        <v>2530</v>
      </c>
      <c r="N823" s="89" t="s">
        <v>252</v>
      </c>
      <c r="O823" s="93" t="s">
        <v>2531</v>
      </c>
      <c r="P823" s="94" t="s">
        <v>57</v>
      </c>
      <c r="Q823" s="112" t="s">
        <v>2211</v>
      </c>
      <c r="R823" s="95"/>
      <c r="S823" s="96">
        <v>46164</v>
      </c>
      <c r="T823" s="96" t="s">
        <v>2212</v>
      </c>
      <c r="U823" s="96" t="s">
        <v>79</v>
      </c>
      <c r="V823" s="92">
        <v>46140</v>
      </c>
      <c r="W823" s="92">
        <v>46147</v>
      </c>
      <c r="X823" s="92">
        <v>46154</v>
      </c>
      <c r="Y823" s="97"/>
      <c r="Z823" s="89"/>
      <c r="AA823" s="96"/>
      <c r="AB823" s="89"/>
      <c r="AC823" s="111"/>
      <c r="AD823" s="89"/>
      <c r="AE823" s="89"/>
      <c r="AF823" s="98"/>
      <c r="AG823" s="98"/>
      <c r="AH823" s="98"/>
      <c r="AI823" s="99"/>
      <c r="AJ823" s="99"/>
      <c r="AK823" s="99"/>
      <c r="AL823" s="45" t="s">
        <v>68</v>
      </c>
      <c r="AM823" s="162" t="str">
        <f t="shared" si="96"/>
        <v>3/2026</v>
      </c>
      <c r="AN823" s="45">
        <f t="shared" si="97"/>
        <v>4</v>
      </c>
      <c r="AO823" s="45" t="str">
        <f t="shared" si="98"/>
        <v>1/1900</v>
      </c>
      <c r="AP823" s="45" t="e">
        <f t="shared" si="99"/>
        <v>#NUM!</v>
      </c>
      <c r="AQ823" s="45">
        <f t="shared" si="100"/>
        <v>0</v>
      </c>
      <c r="AR823" s="45">
        <f t="shared" si="101"/>
        <v>0</v>
      </c>
      <c r="AS823" s="45">
        <f t="shared" si="102"/>
        <v>0</v>
      </c>
      <c r="AT823" s="45">
        <f t="shared" si="103"/>
        <v>0</v>
      </c>
      <c r="AU823" s="45" t="str">
        <f>_xlfn.XLOOKUP(U823,'Lista Suspensa'!$AA$20:$AA$23,'Lista Suspensa'!$AB$20:$AB$23,"N/A")</f>
        <v>S</v>
      </c>
    </row>
    <row r="824" spans="1:47" ht="12" hidden="1" customHeight="1" x14ac:dyDescent="0.3">
      <c r="A824" s="87" t="s">
        <v>47</v>
      </c>
      <c r="B824" s="88">
        <v>46104</v>
      </c>
      <c r="C824" s="89" t="s">
        <v>48</v>
      </c>
      <c r="D824" s="89" t="s">
        <v>49</v>
      </c>
      <c r="E824" s="90">
        <v>804013616</v>
      </c>
      <c r="F824" s="184" t="s">
        <v>2533</v>
      </c>
      <c r="G824" s="91">
        <v>77225830830</v>
      </c>
      <c r="H824" s="92">
        <v>19195</v>
      </c>
      <c r="I824" s="89">
        <v>73</v>
      </c>
      <c r="J824" s="89" t="s">
        <v>51</v>
      </c>
      <c r="K824" s="89" t="s">
        <v>52</v>
      </c>
      <c r="L824" s="89" t="s">
        <v>53</v>
      </c>
      <c r="M824" s="89" t="s">
        <v>2534</v>
      </c>
      <c r="N824" s="89" t="s">
        <v>252</v>
      </c>
      <c r="O824" s="93" t="s">
        <v>2535</v>
      </c>
      <c r="P824" s="94" t="s">
        <v>57</v>
      </c>
      <c r="Q824" s="112" t="s">
        <v>2211</v>
      </c>
      <c r="R824" s="95"/>
      <c r="S824" s="96">
        <v>46164</v>
      </c>
      <c r="T824" s="96" t="s">
        <v>2212</v>
      </c>
      <c r="U824" s="96" t="s">
        <v>79</v>
      </c>
      <c r="V824" s="92">
        <v>46140</v>
      </c>
      <c r="W824" s="92">
        <v>46147</v>
      </c>
      <c r="X824" s="92">
        <v>46154</v>
      </c>
      <c r="Y824" s="97"/>
      <c r="Z824" s="89"/>
      <c r="AA824" s="96"/>
      <c r="AB824" s="89"/>
      <c r="AC824" s="111"/>
      <c r="AD824" s="89"/>
      <c r="AE824" s="89"/>
      <c r="AF824" s="98"/>
      <c r="AG824" s="98"/>
      <c r="AH824" s="98"/>
      <c r="AI824" s="99"/>
      <c r="AJ824" s="99"/>
      <c r="AK824" s="99"/>
      <c r="AL824" s="45" t="s">
        <v>68</v>
      </c>
      <c r="AM824" s="162" t="str">
        <f t="shared" si="96"/>
        <v>3/2026</v>
      </c>
      <c r="AN824" s="45">
        <f t="shared" si="97"/>
        <v>4</v>
      </c>
      <c r="AO824" s="45" t="str">
        <f t="shared" si="98"/>
        <v>1/1900</v>
      </c>
      <c r="AP824" s="45" t="e">
        <f t="shared" si="99"/>
        <v>#NUM!</v>
      </c>
      <c r="AQ824" s="45">
        <f t="shared" si="100"/>
        <v>0</v>
      </c>
      <c r="AR824" s="45">
        <f t="shared" si="101"/>
        <v>0</v>
      </c>
      <c r="AS824" s="45">
        <f t="shared" si="102"/>
        <v>0</v>
      </c>
      <c r="AT824" s="45">
        <f t="shared" si="103"/>
        <v>0</v>
      </c>
      <c r="AU824" s="45" t="str">
        <f>_xlfn.XLOOKUP(U824,'Lista Suspensa'!$AA$20:$AA$23,'Lista Suspensa'!$AB$20:$AB$23,"N/A")</f>
        <v>S</v>
      </c>
    </row>
    <row r="825" spans="1:47" ht="12" hidden="1" customHeight="1" x14ac:dyDescent="0.3">
      <c r="A825" s="87" t="s">
        <v>47</v>
      </c>
      <c r="B825" s="88">
        <v>46104</v>
      </c>
      <c r="C825" s="89" t="s">
        <v>48</v>
      </c>
      <c r="D825" s="89" t="s">
        <v>49</v>
      </c>
      <c r="E825" s="90">
        <v>450198324</v>
      </c>
      <c r="F825" s="184" t="s">
        <v>2536</v>
      </c>
      <c r="G825" s="91">
        <v>84746980810</v>
      </c>
      <c r="H825" s="92">
        <v>18843</v>
      </c>
      <c r="I825" s="89">
        <v>74</v>
      </c>
      <c r="J825" s="89" t="s">
        <v>70</v>
      </c>
      <c r="K825" s="89" t="s">
        <v>52</v>
      </c>
      <c r="L825" s="89" t="s">
        <v>53</v>
      </c>
      <c r="M825" s="89" t="s">
        <v>854</v>
      </c>
      <c r="N825" s="89" t="s">
        <v>252</v>
      </c>
      <c r="O825" s="93" t="s">
        <v>2537</v>
      </c>
      <c r="P825" s="94" t="s">
        <v>57</v>
      </c>
      <c r="Q825" s="112" t="s">
        <v>2211</v>
      </c>
      <c r="R825" s="95"/>
      <c r="S825" s="96">
        <v>46164</v>
      </c>
      <c r="T825" s="96" t="s">
        <v>2212</v>
      </c>
      <c r="U825" s="96" t="s">
        <v>79</v>
      </c>
      <c r="V825" s="92">
        <v>46140</v>
      </c>
      <c r="W825" s="92">
        <v>46147</v>
      </c>
      <c r="X825" s="92">
        <v>46154</v>
      </c>
      <c r="Y825" s="97"/>
      <c r="Z825" s="89"/>
      <c r="AA825" s="96"/>
      <c r="AB825" s="89"/>
      <c r="AC825" s="111"/>
      <c r="AD825" s="89"/>
      <c r="AE825" s="89"/>
      <c r="AF825" s="98"/>
      <c r="AG825" s="98"/>
      <c r="AH825" s="98"/>
      <c r="AI825" s="99"/>
      <c r="AJ825" s="99"/>
      <c r="AK825" s="99"/>
      <c r="AL825" s="45" t="s">
        <v>68</v>
      </c>
      <c r="AM825" s="162" t="str">
        <f t="shared" si="96"/>
        <v>3/2026</v>
      </c>
      <c r="AN825" s="45">
        <f t="shared" si="97"/>
        <v>4</v>
      </c>
      <c r="AO825" s="45" t="str">
        <f t="shared" si="98"/>
        <v>1/1900</v>
      </c>
      <c r="AP825" s="45" t="e">
        <f t="shared" si="99"/>
        <v>#NUM!</v>
      </c>
      <c r="AQ825" s="45">
        <f t="shared" si="100"/>
        <v>0</v>
      </c>
      <c r="AR825" s="45">
        <f t="shared" si="101"/>
        <v>0</v>
      </c>
      <c r="AS825" s="45">
        <f t="shared" si="102"/>
        <v>0</v>
      </c>
      <c r="AT825" s="45">
        <f t="shared" si="103"/>
        <v>0</v>
      </c>
      <c r="AU825" s="45" t="str">
        <f>_xlfn.XLOOKUP(U825,'Lista Suspensa'!$AA$20:$AA$23,'Lista Suspensa'!$AB$20:$AB$23,"N/A")</f>
        <v>S</v>
      </c>
    </row>
    <row r="826" spans="1:47" ht="12" hidden="1" customHeight="1" x14ac:dyDescent="0.3">
      <c r="A826" s="87" t="s">
        <v>47</v>
      </c>
      <c r="B826" s="88">
        <v>46104</v>
      </c>
      <c r="C826" s="89" t="s">
        <v>48</v>
      </c>
      <c r="D826" s="89" t="s">
        <v>49</v>
      </c>
      <c r="E826" s="90">
        <v>800112946</v>
      </c>
      <c r="F826" s="184" t="s">
        <v>2538</v>
      </c>
      <c r="G826" s="91">
        <v>24616523843</v>
      </c>
      <c r="H826" s="92">
        <v>15538</v>
      </c>
      <c r="I826" s="89">
        <v>83</v>
      </c>
      <c r="J826" s="89" t="s">
        <v>51</v>
      </c>
      <c r="K826" s="89" t="s">
        <v>52</v>
      </c>
      <c r="L826" s="89" t="s">
        <v>1047</v>
      </c>
      <c r="M826" s="89" t="s">
        <v>565</v>
      </c>
      <c r="N826" s="89" t="s">
        <v>252</v>
      </c>
      <c r="O826" s="93" t="s">
        <v>2539</v>
      </c>
      <c r="P826" s="94" t="s">
        <v>57</v>
      </c>
      <c r="Q826" s="112" t="s">
        <v>2211</v>
      </c>
      <c r="R826" s="95"/>
      <c r="S826" s="96">
        <v>46164</v>
      </c>
      <c r="T826" s="96" t="s">
        <v>2212</v>
      </c>
      <c r="U826" s="96" t="s">
        <v>79</v>
      </c>
      <c r="V826" s="92">
        <v>46140</v>
      </c>
      <c r="W826" s="92">
        <v>46147</v>
      </c>
      <c r="X826" s="92">
        <v>46154</v>
      </c>
      <c r="Y826" s="97"/>
      <c r="Z826" s="89"/>
      <c r="AA826" s="96"/>
      <c r="AB826" s="89"/>
      <c r="AC826" s="111"/>
      <c r="AD826" s="89"/>
      <c r="AE826" s="89"/>
      <c r="AF826" s="98"/>
      <c r="AG826" s="98"/>
      <c r="AH826" s="98"/>
      <c r="AI826" s="99"/>
      <c r="AJ826" s="99"/>
      <c r="AK826" s="99"/>
      <c r="AL826" s="45" t="s">
        <v>68</v>
      </c>
      <c r="AM826" s="162" t="str">
        <f t="shared" si="96"/>
        <v>3/2026</v>
      </c>
      <c r="AN826" s="45">
        <f t="shared" si="97"/>
        <v>4</v>
      </c>
      <c r="AO826" s="45" t="str">
        <f t="shared" si="98"/>
        <v>1/1900</v>
      </c>
      <c r="AP826" s="45" t="e">
        <f t="shared" si="99"/>
        <v>#NUM!</v>
      </c>
      <c r="AQ826" s="45">
        <f t="shared" si="100"/>
        <v>0</v>
      </c>
      <c r="AR826" s="45">
        <f t="shared" si="101"/>
        <v>0</v>
      </c>
      <c r="AS826" s="45">
        <f t="shared" si="102"/>
        <v>0</v>
      </c>
      <c r="AT826" s="45">
        <f t="shared" si="103"/>
        <v>0</v>
      </c>
      <c r="AU826" s="45" t="str">
        <f>_xlfn.XLOOKUP(U826,'Lista Suspensa'!$AA$20:$AA$23,'Lista Suspensa'!$AB$20:$AB$23,"N/A")</f>
        <v>S</v>
      </c>
    </row>
    <row r="827" spans="1:47" ht="12" hidden="1" customHeight="1" x14ac:dyDescent="0.3">
      <c r="A827" s="87" t="s">
        <v>47</v>
      </c>
      <c r="B827" s="88">
        <v>46104</v>
      </c>
      <c r="C827" s="89" t="s">
        <v>48</v>
      </c>
      <c r="D827" s="89" t="s">
        <v>49</v>
      </c>
      <c r="E827" s="90">
        <v>799808628</v>
      </c>
      <c r="F827" s="184" t="s">
        <v>2540</v>
      </c>
      <c r="G827" s="91">
        <v>30928831876</v>
      </c>
      <c r="H827" s="92">
        <v>21766</v>
      </c>
      <c r="I827" s="89">
        <v>66</v>
      </c>
      <c r="J827" s="89" t="s">
        <v>70</v>
      </c>
      <c r="K827" s="89" t="s">
        <v>52</v>
      </c>
      <c r="L827" s="89" t="s">
        <v>53</v>
      </c>
      <c r="M827" s="89" t="s">
        <v>2541</v>
      </c>
      <c r="N827" s="89" t="s">
        <v>252</v>
      </c>
      <c r="O827" s="93" t="s">
        <v>2542</v>
      </c>
      <c r="P827" s="94" t="s">
        <v>57</v>
      </c>
      <c r="Q827" s="112" t="s">
        <v>2211</v>
      </c>
      <c r="R827" s="95"/>
      <c r="S827" s="96">
        <v>46164</v>
      </c>
      <c r="T827" s="96" t="s">
        <v>2212</v>
      </c>
      <c r="U827" s="96" t="s">
        <v>79</v>
      </c>
      <c r="V827" s="92">
        <v>46140</v>
      </c>
      <c r="W827" s="92">
        <v>46147</v>
      </c>
      <c r="X827" s="92">
        <v>46154</v>
      </c>
      <c r="Y827" s="97"/>
      <c r="Z827" s="89"/>
      <c r="AA827" s="96"/>
      <c r="AB827" s="89"/>
      <c r="AC827" s="111"/>
      <c r="AD827" s="89"/>
      <c r="AE827" s="89"/>
      <c r="AF827" s="98"/>
      <c r="AG827" s="98"/>
      <c r="AH827" s="98"/>
      <c r="AI827" s="99"/>
      <c r="AJ827" s="99"/>
      <c r="AK827" s="99"/>
      <c r="AL827" s="45" t="s">
        <v>68</v>
      </c>
      <c r="AM827" s="162" t="str">
        <f t="shared" si="96"/>
        <v>3/2026</v>
      </c>
      <c r="AN827" s="45">
        <f t="shared" si="97"/>
        <v>4</v>
      </c>
      <c r="AO827" s="45" t="str">
        <f t="shared" si="98"/>
        <v>1/1900</v>
      </c>
      <c r="AP827" s="45" t="e">
        <f t="shared" si="99"/>
        <v>#NUM!</v>
      </c>
      <c r="AQ827" s="45">
        <f t="shared" si="100"/>
        <v>0</v>
      </c>
      <c r="AR827" s="45">
        <f t="shared" si="101"/>
        <v>0</v>
      </c>
      <c r="AS827" s="45">
        <f t="shared" si="102"/>
        <v>0</v>
      </c>
      <c r="AT827" s="45">
        <f t="shared" si="103"/>
        <v>0</v>
      </c>
      <c r="AU827" s="45" t="str">
        <f>_xlfn.XLOOKUP(U827,'Lista Suspensa'!$AA$20:$AA$23,'Lista Suspensa'!$AB$20:$AB$23,"N/A")</f>
        <v>S</v>
      </c>
    </row>
    <row r="828" spans="1:47" ht="12" hidden="1" customHeight="1" x14ac:dyDescent="0.3">
      <c r="A828" s="87" t="s">
        <v>47</v>
      </c>
      <c r="B828" s="88">
        <v>46104</v>
      </c>
      <c r="C828" s="89" t="s">
        <v>48</v>
      </c>
      <c r="D828" s="89" t="s">
        <v>49</v>
      </c>
      <c r="E828" s="90">
        <v>777960087</v>
      </c>
      <c r="F828" s="184" t="s">
        <v>2543</v>
      </c>
      <c r="G828" s="91">
        <v>12824062800</v>
      </c>
      <c r="H828" s="92">
        <v>15423</v>
      </c>
      <c r="I828" s="89">
        <v>84</v>
      </c>
      <c r="J828" s="89" t="s">
        <v>51</v>
      </c>
      <c r="K828" s="89" t="s">
        <v>52</v>
      </c>
      <c r="L828" s="89" t="s">
        <v>53</v>
      </c>
      <c r="M828" s="89" t="s">
        <v>2544</v>
      </c>
      <c r="N828" s="89" t="s">
        <v>252</v>
      </c>
      <c r="O828" s="93" t="s">
        <v>2545</v>
      </c>
      <c r="P828" s="94" t="s">
        <v>57</v>
      </c>
      <c r="Q828" s="112" t="s">
        <v>2211</v>
      </c>
      <c r="R828" s="95"/>
      <c r="S828" s="96">
        <v>46164</v>
      </c>
      <c r="T828" s="96" t="s">
        <v>2212</v>
      </c>
      <c r="U828" s="96" t="s">
        <v>79</v>
      </c>
      <c r="V828" s="92">
        <v>46140</v>
      </c>
      <c r="W828" s="92">
        <v>46147</v>
      </c>
      <c r="X828" s="92">
        <v>46154</v>
      </c>
      <c r="Y828" s="97"/>
      <c r="Z828" s="89"/>
      <c r="AA828" s="96"/>
      <c r="AB828" s="89"/>
      <c r="AC828" s="111"/>
      <c r="AD828" s="89"/>
      <c r="AE828" s="89"/>
      <c r="AF828" s="98"/>
      <c r="AG828" s="98"/>
      <c r="AH828" s="98"/>
      <c r="AI828" s="99"/>
      <c r="AJ828" s="99"/>
      <c r="AK828" s="99"/>
      <c r="AL828" s="45" t="s">
        <v>68</v>
      </c>
      <c r="AM828" s="162" t="str">
        <f t="shared" si="96"/>
        <v>3/2026</v>
      </c>
      <c r="AN828" s="45">
        <f t="shared" si="97"/>
        <v>4</v>
      </c>
      <c r="AO828" s="45" t="str">
        <f t="shared" si="98"/>
        <v>1/1900</v>
      </c>
      <c r="AP828" s="45" t="e">
        <f t="shared" si="99"/>
        <v>#NUM!</v>
      </c>
      <c r="AQ828" s="45">
        <f t="shared" si="100"/>
        <v>0</v>
      </c>
      <c r="AR828" s="45">
        <f t="shared" si="101"/>
        <v>0</v>
      </c>
      <c r="AS828" s="45">
        <f t="shared" si="102"/>
        <v>0</v>
      </c>
      <c r="AT828" s="45">
        <f t="shared" si="103"/>
        <v>0</v>
      </c>
      <c r="AU828" s="45" t="str">
        <f>_xlfn.XLOOKUP(U828,'Lista Suspensa'!$AA$20:$AA$23,'Lista Suspensa'!$AB$20:$AB$23,"N/A")</f>
        <v>S</v>
      </c>
    </row>
    <row r="829" spans="1:47" ht="12" hidden="1" customHeight="1" x14ac:dyDescent="0.3">
      <c r="A829" s="87" t="s">
        <v>47</v>
      </c>
      <c r="B829" s="88">
        <v>46104</v>
      </c>
      <c r="C829" s="89" t="s">
        <v>48</v>
      </c>
      <c r="D829" s="89" t="s">
        <v>49</v>
      </c>
      <c r="E829" s="90">
        <v>777960095</v>
      </c>
      <c r="F829" s="184" t="s">
        <v>2546</v>
      </c>
      <c r="G829" s="91">
        <v>32058458893</v>
      </c>
      <c r="H829" s="92">
        <v>15915</v>
      </c>
      <c r="I829" s="89">
        <v>82</v>
      </c>
      <c r="J829" s="89" t="s">
        <v>70</v>
      </c>
      <c r="K829" s="89" t="s">
        <v>52</v>
      </c>
      <c r="L829" s="89" t="s">
        <v>53</v>
      </c>
      <c r="M829" s="89" t="s">
        <v>2544</v>
      </c>
      <c r="N829" s="89" t="s">
        <v>252</v>
      </c>
      <c r="O829" s="93" t="s">
        <v>2545</v>
      </c>
      <c r="P829" s="94" t="s">
        <v>57</v>
      </c>
      <c r="Q829" s="112" t="s">
        <v>2211</v>
      </c>
      <c r="R829" s="95"/>
      <c r="S829" s="96">
        <v>46164</v>
      </c>
      <c r="T829" s="96" t="s">
        <v>2212</v>
      </c>
      <c r="U829" s="96" t="s">
        <v>79</v>
      </c>
      <c r="V829" s="92">
        <v>46140</v>
      </c>
      <c r="W829" s="92">
        <v>46147</v>
      </c>
      <c r="X829" s="92">
        <v>46154</v>
      </c>
      <c r="Y829" s="97"/>
      <c r="Z829" s="89"/>
      <c r="AA829" s="96"/>
      <c r="AB829" s="89"/>
      <c r="AC829" s="111"/>
      <c r="AD829" s="89"/>
      <c r="AE829" s="89"/>
      <c r="AF829" s="98"/>
      <c r="AG829" s="98"/>
      <c r="AH829" s="98"/>
      <c r="AI829" s="99"/>
      <c r="AJ829" s="99"/>
      <c r="AK829" s="99"/>
      <c r="AL829" s="45" t="s">
        <v>68</v>
      </c>
      <c r="AM829" s="162" t="str">
        <f t="shared" si="96"/>
        <v>3/2026</v>
      </c>
      <c r="AN829" s="45">
        <f t="shared" si="97"/>
        <v>4</v>
      </c>
      <c r="AO829" s="45" t="str">
        <f t="shared" si="98"/>
        <v>1/1900</v>
      </c>
      <c r="AP829" s="45" t="e">
        <f t="shared" si="99"/>
        <v>#NUM!</v>
      </c>
      <c r="AQ829" s="45">
        <f t="shared" si="100"/>
        <v>0</v>
      </c>
      <c r="AR829" s="45">
        <f t="shared" si="101"/>
        <v>0</v>
      </c>
      <c r="AS829" s="45">
        <f t="shared" si="102"/>
        <v>0</v>
      </c>
      <c r="AT829" s="45">
        <f t="shared" si="103"/>
        <v>0</v>
      </c>
      <c r="AU829" s="45" t="str">
        <f>_xlfn.XLOOKUP(U829,'Lista Suspensa'!$AA$20:$AA$23,'Lista Suspensa'!$AB$20:$AB$23,"N/A")</f>
        <v>S</v>
      </c>
    </row>
    <row r="830" spans="1:47" ht="12" hidden="1" customHeight="1" x14ac:dyDescent="0.3">
      <c r="A830" s="87" t="s">
        <v>47</v>
      </c>
      <c r="B830" s="88">
        <v>46104</v>
      </c>
      <c r="C830" s="89" t="s">
        <v>48</v>
      </c>
      <c r="D830" s="89" t="s">
        <v>49</v>
      </c>
      <c r="E830" s="90">
        <v>755461967</v>
      </c>
      <c r="F830" s="184" t="s">
        <v>2547</v>
      </c>
      <c r="G830" s="91">
        <v>58742492734</v>
      </c>
      <c r="H830" s="92">
        <v>16330</v>
      </c>
      <c r="I830" s="89">
        <v>81</v>
      </c>
      <c r="J830" s="89" t="s">
        <v>70</v>
      </c>
      <c r="K830" s="89" t="s">
        <v>88</v>
      </c>
      <c r="L830" s="89" t="s">
        <v>97</v>
      </c>
      <c r="M830" s="89" t="s">
        <v>2548</v>
      </c>
      <c r="N830" s="89" t="s">
        <v>252</v>
      </c>
      <c r="O830" s="93" t="s">
        <v>2549</v>
      </c>
      <c r="P830" s="94" t="s">
        <v>57</v>
      </c>
      <c r="Q830" s="112" t="s">
        <v>2211</v>
      </c>
      <c r="R830" s="95"/>
      <c r="S830" s="96">
        <v>46164</v>
      </c>
      <c r="T830" s="96" t="s">
        <v>2212</v>
      </c>
      <c r="U830" s="96" t="s">
        <v>79</v>
      </c>
      <c r="V830" s="92">
        <v>46140</v>
      </c>
      <c r="W830" s="92">
        <v>46147</v>
      </c>
      <c r="X830" s="92">
        <v>46154</v>
      </c>
      <c r="Y830" s="97"/>
      <c r="Z830" s="89"/>
      <c r="AA830" s="96"/>
      <c r="AB830" s="89"/>
      <c r="AC830" s="111"/>
      <c r="AD830" s="89"/>
      <c r="AE830" s="89"/>
      <c r="AF830" s="98"/>
      <c r="AG830" s="98"/>
      <c r="AH830" s="98"/>
      <c r="AI830" s="99"/>
      <c r="AJ830" s="99"/>
      <c r="AK830" s="99"/>
      <c r="AL830" s="45" t="s">
        <v>68</v>
      </c>
      <c r="AM830" s="162" t="str">
        <f t="shared" si="96"/>
        <v>3/2026</v>
      </c>
      <c r="AN830" s="45">
        <f t="shared" si="97"/>
        <v>4</v>
      </c>
      <c r="AO830" s="45" t="str">
        <f t="shared" si="98"/>
        <v>1/1900</v>
      </c>
      <c r="AP830" s="45" t="e">
        <f t="shared" si="99"/>
        <v>#NUM!</v>
      </c>
      <c r="AQ830" s="45">
        <f t="shared" si="100"/>
        <v>0</v>
      </c>
      <c r="AR830" s="45">
        <f t="shared" si="101"/>
        <v>0</v>
      </c>
      <c r="AS830" s="45">
        <f t="shared" si="102"/>
        <v>0</v>
      </c>
      <c r="AT830" s="45">
        <f t="shared" si="103"/>
        <v>0</v>
      </c>
      <c r="AU830" s="45" t="str">
        <f>_xlfn.XLOOKUP(U830,'Lista Suspensa'!$AA$20:$AA$23,'Lista Suspensa'!$AB$20:$AB$23,"N/A")</f>
        <v>S</v>
      </c>
    </row>
    <row r="831" spans="1:47" ht="12" hidden="1" customHeight="1" x14ac:dyDescent="0.3">
      <c r="A831" s="87" t="s">
        <v>47</v>
      </c>
      <c r="B831" s="88">
        <v>46104</v>
      </c>
      <c r="C831" s="89" t="s">
        <v>48</v>
      </c>
      <c r="D831" s="89" t="s">
        <v>49</v>
      </c>
      <c r="E831" s="90">
        <v>301312281</v>
      </c>
      <c r="F831" s="184" t="s">
        <v>2550</v>
      </c>
      <c r="G831" s="91">
        <v>4481895853</v>
      </c>
      <c r="H831" s="92">
        <v>14316</v>
      </c>
      <c r="I831" s="89">
        <v>87</v>
      </c>
      <c r="J831" s="89" t="s">
        <v>51</v>
      </c>
      <c r="K831" s="89" t="s">
        <v>52</v>
      </c>
      <c r="L831" s="89" t="s">
        <v>53</v>
      </c>
      <c r="M831" s="89" t="s">
        <v>2551</v>
      </c>
      <c r="N831" s="89" t="s">
        <v>252</v>
      </c>
      <c r="O831" s="93" t="s">
        <v>2552</v>
      </c>
      <c r="P831" s="94" t="s">
        <v>57</v>
      </c>
      <c r="Q831" s="112" t="s">
        <v>2211</v>
      </c>
      <c r="R831" s="95"/>
      <c r="S831" s="96">
        <v>46164</v>
      </c>
      <c r="T831" s="96" t="s">
        <v>2212</v>
      </c>
      <c r="U831" s="96" t="s">
        <v>79</v>
      </c>
      <c r="V831" s="92">
        <v>46140</v>
      </c>
      <c r="W831" s="92">
        <v>46147</v>
      </c>
      <c r="X831" s="92">
        <v>46154</v>
      </c>
      <c r="Y831" s="97"/>
      <c r="Z831" s="89"/>
      <c r="AA831" s="96"/>
      <c r="AB831" s="89"/>
      <c r="AC831" s="111"/>
      <c r="AD831" s="89"/>
      <c r="AE831" s="89"/>
      <c r="AF831" s="98"/>
      <c r="AG831" s="98"/>
      <c r="AH831" s="98"/>
      <c r="AI831" s="99"/>
      <c r="AJ831" s="99"/>
      <c r="AK831" s="99"/>
      <c r="AL831" s="45" t="s">
        <v>68</v>
      </c>
      <c r="AM831" s="162" t="str">
        <f t="shared" si="96"/>
        <v>3/2026</v>
      </c>
      <c r="AN831" s="45">
        <f t="shared" si="97"/>
        <v>4</v>
      </c>
      <c r="AO831" s="45" t="str">
        <f t="shared" si="98"/>
        <v>1/1900</v>
      </c>
      <c r="AP831" s="45" t="e">
        <f t="shared" si="99"/>
        <v>#NUM!</v>
      </c>
      <c r="AQ831" s="45">
        <f t="shared" si="100"/>
        <v>0</v>
      </c>
      <c r="AR831" s="45">
        <f t="shared" si="101"/>
        <v>0</v>
      </c>
      <c r="AS831" s="45">
        <f t="shared" si="102"/>
        <v>0</v>
      </c>
      <c r="AT831" s="45">
        <f t="shared" si="103"/>
        <v>0</v>
      </c>
      <c r="AU831" s="45" t="str">
        <f>_xlfn.XLOOKUP(U831,'Lista Suspensa'!$AA$20:$AA$23,'Lista Suspensa'!$AB$20:$AB$23,"N/A")</f>
        <v>S</v>
      </c>
    </row>
    <row r="832" spans="1:47" ht="12" hidden="1" customHeight="1" x14ac:dyDescent="0.3">
      <c r="A832" s="87" t="s">
        <v>47</v>
      </c>
      <c r="B832" s="88">
        <v>46104</v>
      </c>
      <c r="C832" s="89" t="s">
        <v>48</v>
      </c>
      <c r="D832" s="89" t="s">
        <v>49</v>
      </c>
      <c r="E832" s="90">
        <v>901105317</v>
      </c>
      <c r="F832" s="184" t="s">
        <v>2553</v>
      </c>
      <c r="G832" s="91">
        <v>7412615882</v>
      </c>
      <c r="H832" s="92">
        <v>24728</v>
      </c>
      <c r="I832" s="89">
        <v>58</v>
      </c>
      <c r="J832" s="89" t="s">
        <v>70</v>
      </c>
      <c r="K832" s="89" t="s">
        <v>52</v>
      </c>
      <c r="L832" s="89" t="s">
        <v>53</v>
      </c>
      <c r="M832" s="89" t="s">
        <v>2554</v>
      </c>
      <c r="N832" s="89" t="s">
        <v>252</v>
      </c>
      <c r="O832" s="93" t="s">
        <v>2555</v>
      </c>
      <c r="P832" s="94" t="s">
        <v>57</v>
      </c>
      <c r="Q832" s="112" t="s">
        <v>2211</v>
      </c>
      <c r="R832" s="95"/>
      <c r="S832" s="96">
        <v>46164</v>
      </c>
      <c r="T832" s="96" t="s">
        <v>2212</v>
      </c>
      <c r="U832" s="96" t="s">
        <v>79</v>
      </c>
      <c r="V832" s="92">
        <v>46140</v>
      </c>
      <c r="W832" s="92">
        <v>46147</v>
      </c>
      <c r="X832" s="92">
        <v>46154</v>
      </c>
      <c r="Y832" s="97"/>
      <c r="Z832" s="89"/>
      <c r="AA832" s="96"/>
      <c r="AB832" s="89"/>
      <c r="AC832" s="111"/>
      <c r="AD832" s="89"/>
      <c r="AE832" s="89"/>
      <c r="AF832" s="98"/>
      <c r="AG832" s="98"/>
      <c r="AH832" s="98"/>
      <c r="AI832" s="99"/>
      <c r="AJ832" s="99"/>
      <c r="AK832" s="99"/>
      <c r="AL832" s="45" t="s">
        <v>68</v>
      </c>
      <c r="AM832" s="162" t="str">
        <f t="shared" si="96"/>
        <v>3/2026</v>
      </c>
      <c r="AN832" s="45">
        <f t="shared" si="97"/>
        <v>4</v>
      </c>
      <c r="AO832" s="45" t="str">
        <f t="shared" si="98"/>
        <v>1/1900</v>
      </c>
      <c r="AP832" s="45" t="e">
        <f t="shared" si="99"/>
        <v>#NUM!</v>
      </c>
      <c r="AQ832" s="45">
        <f t="shared" si="100"/>
        <v>0</v>
      </c>
      <c r="AR832" s="45">
        <f t="shared" si="101"/>
        <v>0</v>
      </c>
      <c r="AS832" s="45">
        <f t="shared" si="102"/>
        <v>0</v>
      </c>
      <c r="AT832" s="45">
        <f t="shared" si="103"/>
        <v>0</v>
      </c>
      <c r="AU832" s="45" t="str">
        <f>_xlfn.XLOOKUP(U832,'Lista Suspensa'!$AA$20:$AA$23,'Lista Suspensa'!$AB$20:$AB$23,"N/A")</f>
        <v>S</v>
      </c>
    </row>
    <row r="833" spans="1:47" ht="12" hidden="1" customHeight="1" x14ac:dyDescent="0.3">
      <c r="A833" s="87" t="s">
        <v>47</v>
      </c>
      <c r="B833" s="88">
        <v>46104</v>
      </c>
      <c r="C833" s="89" t="s">
        <v>48</v>
      </c>
      <c r="D833" s="89" t="s">
        <v>49</v>
      </c>
      <c r="E833" s="90">
        <v>800249623</v>
      </c>
      <c r="F833" s="184" t="s">
        <v>2556</v>
      </c>
      <c r="G833" s="91">
        <v>14300384894</v>
      </c>
      <c r="H833" s="92">
        <v>25865</v>
      </c>
      <c r="I833" s="89">
        <v>55</v>
      </c>
      <c r="J833" s="89" t="s">
        <v>51</v>
      </c>
      <c r="K833" s="89" t="s">
        <v>52</v>
      </c>
      <c r="L833" s="89" t="s">
        <v>53</v>
      </c>
      <c r="M833" s="89" t="s">
        <v>2349</v>
      </c>
      <c r="N833" s="89" t="s">
        <v>252</v>
      </c>
      <c r="O833" s="93" t="s">
        <v>2557</v>
      </c>
      <c r="P833" s="94" t="s">
        <v>57</v>
      </c>
      <c r="Q833" s="112" t="s">
        <v>2211</v>
      </c>
      <c r="R833" s="95"/>
      <c r="S833" s="96">
        <v>46164</v>
      </c>
      <c r="T833" s="96" t="s">
        <v>2212</v>
      </c>
      <c r="U833" s="96" t="s">
        <v>79</v>
      </c>
      <c r="V833" s="92">
        <v>46140</v>
      </c>
      <c r="W833" s="92">
        <v>46147</v>
      </c>
      <c r="X833" s="92">
        <v>46154</v>
      </c>
      <c r="Y833" s="97"/>
      <c r="Z833" s="89"/>
      <c r="AA833" s="96"/>
      <c r="AB833" s="89"/>
      <c r="AC833" s="111"/>
      <c r="AD833" s="89"/>
      <c r="AE833" s="89"/>
      <c r="AF833" s="98"/>
      <c r="AG833" s="98"/>
      <c r="AH833" s="98"/>
      <c r="AI833" s="99"/>
      <c r="AJ833" s="99"/>
      <c r="AK833" s="99"/>
      <c r="AL833" s="45" t="s">
        <v>68</v>
      </c>
      <c r="AM833" s="162" t="str">
        <f t="shared" si="96"/>
        <v>3/2026</v>
      </c>
      <c r="AN833" s="45">
        <f t="shared" si="97"/>
        <v>4</v>
      </c>
      <c r="AO833" s="45" t="str">
        <f t="shared" si="98"/>
        <v>1/1900</v>
      </c>
      <c r="AP833" s="45" t="e">
        <f t="shared" si="99"/>
        <v>#NUM!</v>
      </c>
      <c r="AQ833" s="45">
        <f t="shared" si="100"/>
        <v>0</v>
      </c>
      <c r="AR833" s="45">
        <f t="shared" si="101"/>
        <v>0</v>
      </c>
      <c r="AS833" s="45">
        <f t="shared" si="102"/>
        <v>0</v>
      </c>
      <c r="AT833" s="45">
        <f t="shared" si="103"/>
        <v>0</v>
      </c>
      <c r="AU833" s="45" t="str">
        <f>_xlfn.XLOOKUP(U833,'Lista Suspensa'!$AA$20:$AA$23,'Lista Suspensa'!$AB$20:$AB$23,"N/A")</f>
        <v>S</v>
      </c>
    </row>
    <row r="834" spans="1:47" ht="12" hidden="1" customHeight="1" x14ac:dyDescent="0.3">
      <c r="A834" s="87" t="s">
        <v>47</v>
      </c>
      <c r="B834" s="88">
        <v>46104</v>
      </c>
      <c r="C834" s="89" t="s">
        <v>48</v>
      </c>
      <c r="D834" s="89" t="s">
        <v>49</v>
      </c>
      <c r="E834" s="90">
        <v>808154451</v>
      </c>
      <c r="F834" s="184" t="s">
        <v>2558</v>
      </c>
      <c r="G834" s="91">
        <v>10308254830</v>
      </c>
      <c r="H834" s="92">
        <v>16299</v>
      </c>
      <c r="I834" s="89">
        <v>81</v>
      </c>
      <c r="J834" s="89" t="s">
        <v>70</v>
      </c>
      <c r="K834" s="89" t="s">
        <v>52</v>
      </c>
      <c r="L834" s="89" t="s">
        <v>53</v>
      </c>
      <c r="M834" s="89" t="s">
        <v>1062</v>
      </c>
      <c r="N834" s="89" t="s">
        <v>252</v>
      </c>
      <c r="O834" s="93" t="s">
        <v>2559</v>
      </c>
      <c r="P834" s="94" t="s">
        <v>57</v>
      </c>
      <c r="Q834" s="112" t="s">
        <v>2211</v>
      </c>
      <c r="R834" s="95"/>
      <c r="S834" s="96">
        <v>46164</v>
      </c>
      <c r="T834" s="96" t="s">
        <v>2212</v>
      </c>
      <c r="U834" s="96" t="s">
        <v>79</v>
      </c>
      <c r="V834" s="92">
        <v>46140</v>
      </c>
      <c r="W834" s="92">
        <v>46147</v>
      </c>
      <c r="X834" s="92">
        <v>46154</v>
      </c>
      <c r="Y834" s="97"/>
      <c r="Z834" s="89"/>
      <c r="AA834" s="96"/>
      <c r="AB834" s="89"/>
      <c r="AC834" s="111"/>
      <c r="AD834" s="89"/>
      <c r="AE834" s="89"/>
      <c r="AF834" s="98"/>
      <c r="AG834" s="98"/>
      <c r="AH834" s="98"/>
      <c r="AI834" s="99"/>
      <c r="AJ834" s="99"/>
      <c r="AK834" s="99"/>
      <c r="AL834" s="45" t="s">
        <v>68</v>
      </c>
      <c r="AM834" s="162" t="str">
        <f t="shared" ref="AM834:AM897" si="104">MONTH(B834)&amp;"/"&amp;YEAR(B834)</f>
        <v>3/2026</v>
      </c>
      <c r="AN834" s="45">
        <f t="shared" ref="AN834:AN897" si="105">WEEKNUM(B834)-WEEKNUM(EOMONTH(B834,-1)+1)+1</f>
        <v>4</v>
      </c>
      <c r="AO834" s="45" t="str">
        <f t="shared" ref="AO834:AO897" si="106">MONTH(R834)&amp;"/"&amp;YEAR(R834)</f>
        <v>1/1900</v>
      </c>
      <c r="AP834" s="45" t="e">
        <f t="shared" ref="AP834:AP897" si="107">WEEKNUM(R834)-WEEKNUM(EOMONTH(R834,-1)+1)+1</f>
        <v>#NUM!</v>
      </c>
      <c r="AQ834" s="45">
        <f t="shared" ref="AQ834:AQ897" si="108">IF(AU834="S",IF(Q834="1. Aceitou o programa",R834-B834,0),0)</f>
        <v>0</v>
      </c>
      <c r="AR834" s="45">
        <f t="shared" ref="AR834:AR897" si="109">IF(AU834="S",IF(AND(S834&lt;&gt;"",R834&lt;&gt;""),S834-R834,0),0)</f>
        <v>0</v>
      </c>
      <c r="AS834" s="45">
        <f t="shared" ref="AS834:AS897" si="110">IF(AU834="S",IF(Q834="1. Aceitou o programa",IF(OR(X834="Não se Aplica",X834=""),IF(OR(W834="Não se Aplica",W834=""),0,W834-V834),AVERAGE(X834-W834,W834-V834)),0),0)</f>
        <v>0</v>
      </c>
      <c r="AT834" s="45">
        <f t="shared" ref="AT834:AT897" si="111">IF(AU834="S",IF(AND(Q834="1. Aceitou o programa",AB834="Realizada"),IFERROR(IF(AA834="",0,AA834-R834),0),0),0)</f>
        <v>0</v>
      </c>
      <c r="AU834" s="45" t="str">
        <f>_xlfn.XLOOKUP(U834,'Lista Suspensa'!$AA$20:$AA$23,'Lista Suspensa'!$AB$20:$AB$23,"N/A")</f>
        <v>S</v>
      </c>
    </row>
    <row r="835" spans="1:47" ht="12" hidden="1" customHeight="1" x14ac:dyDescent="0.3">
      <c r="A835" s="87" t="s">
        <v>47</v>
      </c>
      <c r="B835" s="88">
        <v>46104</v>
      </c>
      <c r="C835" s="89" t="s">
        <v>48</v>
      </c>
      <c r="D835" s="89" t="s">
        <v>49</v>
      </c>
      <c r="E835" s="90">
        <v>785336885</v>
      </c>
      <c r="F835" s="184" t="s">
        <v>2560</v>
      </c>
      <c r="G835" s="91">
        <v>12525692896</v>
      </c>
      <c r="H835" s="92">
        <v>26352</v>
      </c>
      <c r="I835" s="89">
        <v>54</v>
      </c>
      <c r="J835" s="89" t="s">
        <v>51</v>
      </c>
      <c r="K835" s="89" t="s">
        <v>52</v>
      </c>
      <c r="L835" s="89" t="s">
        <v>53</v>
      </c>
      <c r="M835" s="89" t="s">
        <v>2561</v>
      </c>
      <c r="N835" s="89" t="s">
        <v>252</v>
      </c>
      <c r="O835" s="93" t="s">
        <v>2562</v>
      </c>
      <c r="P835" s="94" t="s">
        <v>57</v>
      </c>
      <c r="Q835" s="112" t="s">
        <v>2211</v>
      </c>
      <c r="R835" s="95"/>
      <c r="S835" s="96">
        <v>46164</v>
      </c>
      <c r="T835" s="96" t="s">
        <v>2212</v>
      </c>
      <c r="U835" s="96" t="s">
        <v>79</v>
      </c>
      <c r="V835" s="92">
        <v>46122</v>
      </c>
      <c r="W835" s="92">
        <v>46147</v>
      </c>
      <c r="X835" s="92">
        <v>46154</v>
      </c>
      <c r="Y835" s="97"/>
      <c r="Z835" s="89"/>
      <c r="AA835" s="96"/>
      <c r="AB835" s="89"/>
      <c r="AC835" s="111"/>
      <c r="AD835" s="89"/>
      <c r="AE835" s="89"/>
      <c r="AF835" s="98"/>
      <c r="AG835" s="98"/>
      <c r="AH835" s="98"/>
      <c r="AI835" s="99"/>
      <c r="AJ835" s="99"/>
      <c r="AK835" s="99"/>
      <c r="AL835" s="45" t="s">
        <v>68</v>
      </c>
      <c r="AM835" s="162" t="str">
        <f t="shared" si="104"/>
        <v>3/2026</v>
      </c>
      <c r="AN835" s="45">
        <f t="shared" si="105"/>
        <v>4</v>
      </c>
      <c r="AO835" s="45" t="str">
        <f t="shared" si="106"/>
        <v>1/1900</v>
      </c>
      <c r="AP835" s="45" t="e">
        <f t="shared" si="107"/>
        <v>#NUM!</v>
      </c>
      <c r="AQ835" s="45">
        <f t="shared" si="108"/>
        <v>0</v>
      </c>
      <c r="AR835" s="45">
        <f t="shared" si="109"/>
        <v>0</v>
      </c>
      <c r="AS835" s="45">
        <f t="shared" si="110"/>
        <v>0</v>
      </c>
      <c r="AT835" s="45">
        <f t="shared" si="111"/>
        <v>0</v>
      </c>
      <c r="AU835" s="45" t="str">
        <f>_xlfn.XLOOKUP(U835,'Lista Suspensa'!$AA$20:$AA$23,'Lista Suspensa'!$AB$20:$AB$23,"N/A")</f>
        <v>S</v>
      </c>
    </row>
    <row r="836" spans="1:47" ht="12" hidden="1" customHeight="1" x14ac:dyDescent="0.3">
      <c r="A836" s="87" t="s">
        <v>47</v>
      </c>
      <c r="B836" s="88">
        <v>46104</v>
      </c>
      <c r="C836" s="89" t="s">
        <v>48</v>
      </c>
      <c r="D836" s="89" t="s">
        <v>49</v>
      </c>
      <c r="E836" s="90">
        <v>94467882</v>
      </c>
      <c r="F836" s="184" t="s">
        <v>2563</v>
      </c>
      <c r="G836" s="91">
        <v>3112097858</v>
      </c>
      <c r="H836" s="92">
        <v>21459</v>
      </c>
      <c r="I836" s="89">
        <v>67</v>
      </c>
      <c r="J836" s="89" t="s">
        <v>51</v>
      </c>
      <c r="K836" s="89" t="s">
        <v>52</v>
      </c>
      <c r="L836" s="89" t="s">
        <v>53</v>
      </c>
      <c r="M836" s="89" t="s">
        <v>1237</v>
      </c>
      <c r="N836" s="89" t="s">
        <v>55</v>
      </c>
      <c r="O836" s="93" t="s">
        <v>2564</v>
      </c>
      <c r="P836" s="94" t="s">
        <v>57</v>
      </c>
      <c r="Q836" s="112" t="s">
        <v>2211</v>
      </c>
      <c r="R836" s="95"/>
      <c r="S836" s="96">
        <v>46164</v>
      </c>
      <c r="T836" s="96" t="s">
        <v>2212</v>
      </c>
      <c r="U836" s="96" t="s">
        <v>79</v>
      </c>
      <c r="V836" s="92">
        <v>46112</v>
      </c>
      <c r="W836" s="92">
        <v>46147</v>
      </c>
      <c r="X836" s="92">
        <v>46154</v>
      </c>
      <c r="Y836" s="97"/>
      <c r="Z836" s="89"/>
      <c r="AA836" s="96"/>
      <c r="AB836" s="89"/>
      <c r="AC836" s="111"/>
      <c r="AD836" s="89"/>
      <c r="AE836" s="89"/>
      <c r="AF836" s="98"/>
      <c r="AG836" s="98"/>
      <c r="AH836" s="98"/>
      <c r="AI836" s="99"/>
      <c r="AJ836" s="99"/>
      <c r="AK836" s="99"/>
      <c r="AL836" s="45" t="s">
        <v>68</v>
      </c>
      <c r="AM836" s="162" t="str">
        <f t="shared" si="104"/>
        <v>3/2026</v>
      </c>
      <c r="AN836" s="45">
        <f t="shared" si="105"/>
        <v>4</v>
      </c>
      <c r="AO836" s="45" t="str">
        <f t="shared" si="106"/>
        <v>1/1900</v>
      </c>
      <c r="AP836" s="45" t="e">
        <f t="shared" si="107"/>
        <v>#NUM!</v>
      </c>
      <c r="AQ836" s="45">
        <f t="shared" si="108"/>
        <v>0</v>
      </c>
      <c r="AR836" s="45">
        <f t="shared" si="109"/>
        <v>0</v>
      </c>
      <c r="AS836" s="45">
        <f t="shared" si="110"/>
        <v>0</v>
      </c>
      <c r="AT836" s="45">
        <f t="shared" si="111"/>
        <v>0</v>
      </c>
      <c r="AU836" s="45" t="str">
        <f>_xlfn.XLOOKUP(U836,'Lista Suspensa'!$AA$20:$AA$23,'Lista Suspensa'!$AB$20:$AB$23,"N/A")</f>
        <v>S</v>
      </c>
    </row>
    <row r="837" spans="1:47" ht="12" hidden="1" customHeight="1" x14ac:dyDescent="0.3">
      <c r="A837" s="87" t="s">
        <v>47</v>
      </c>
      <c r="B837" s="88">
        <v>46104</v>
      </c>
      <c r="C837" s="89" t="s">
        <v>48</v>
      </c>
      <c r="D837" s="89" t="s">
        <v>49</v>
      </c>
      <c r="E837" s="90">
        <v>94467883</v>
      </c>
      <c r="F837" s="184" t="s">
        <v>2565</v>
      </c>
      <c r="G837" s="91">
        <v>5406514865</v>
      </c>
      <c r="H837" s="92">
        <v>23283</v>
      </c>
      <c r="I837" s="89">
        <v>62</v>
      </c>
      <c r="J837" s="89" t="s">
        <v>70</v>
      </c>
      <c r="K837" s="89" t="s">
        <v>52</v>
      </c>
      <c r="L837" s="89" t="s">
        <v>53</v>
      </c>
      <c r="M837" s="89" t="s">
        <v>1237</v>
      </c>
      <c r="N837" s="89" t="s">
        <v>55</v>
      </c>
      <c r="O837" s="93" t="s">
        <v>2566</v>
      </c>
      <c r="P837" s="94" t="s">
        <v>57</v>
      </c>
      <c r="Q837" s="112" t="s">
        <v>2211</v>
      </c>
      <c r="R837" s="95"/>
      <c r="S837" s="96">
        <v>46164</v>
      </c>
      <c r="T837" s="96" t="s">
        <v>2212</v>
      </c>
      <c r="U837" s="96" t="s">
        <v>79</v>
      </c>
      <c r="V837" s="92">
        <v>46140</v>
      </c>
      <c r="W837" s="92">
        <v>46147</v>
      </c>
      <c r="X837" s="92">
        <v>46154</v>
      </c>
      <c r="Y837" s="97"/>
      <c r="Z837" s="89"/>
      <c r="AA837" s="96"/>
      <c r="AB837" s="89"/>
      <c r="AC837" s="111"/>
      <c r="AD837" s="89"/>
      <c r="AE837" s="89"/>
      <c r="AF837" s="98"/>
      <c r="AG837" s="98"/>
      <c r="AH837" s="98"/>
      <c r="AI837" s="99"/>
      <c r="AJ837" s="99"/>
      <c r="AK837" s="99"/>
      <c r="AL837" s="45" t="s">
        <v>68</v>
      </c>
      <c r="AM837" s="162" t="str">
        <f t="shared" si="104"/>
        <v>3/2026</v>
      </c>
      <c r="AN837" s="45">
        <f t="shared" si="105"/>
        <v>4</v>
      </c>
      <c r="AO837" s="45" t="str">
        <f t="shared" si="106"/>
        <v>1/1900</v>
      </c>
      <c r="AP837" s="45" t="e">
        <f t="shared" si="107"/>
        <v>#NUM!</v>
      </c>
      <c r="AQ837" s="45">
        <f t="shared" si="108"/>
        <v>0</v>
      </c>
      <c r="AR837" s="45">
        <f t="shared" si="109"/>
        <v>0</v>
      </c>
      <c r="AS837" s="45">
        <f t="shared" si="110"/>
        <v>0</v>
      </c>
      <c r="AT837" s="45">
        <f t="shared" si="111"/>
        <v>0</v>
      </c>
      <c r="AU837" s="45" t="str">
        <f>_xlfn.XLOOKUP(U837,'Lista Suspensa'!$AA$20:$AA$23,'Lista Suspensa'!$AB$20:$AB$23,"N/A")</f>
        <v>S</v>
      </c>
    </row>
    <row r="838" spans="1:47" ht="12" hidden="1" customHeight="1" x14ac:dyDescent="0.3">
      <c r="A838" s="87" t="s">
        <v>47</v>
      </c>
      <c r="B838" s="88">
        <v>46104</v>
      </c>
      <c r="C838" s="89" t="s">
        <v>48</v>
      </c>
      <c r="D838" s="89" t="s">
        <v>49</v>
      </c>
      <c r="E838" s="90">
        <v>95179445</v>
      </c>
      <c r="F838" s="184" t="s">
        <v>2567</v>
      </c>
      <c r="G838" s="91">
        <v>3752730854</v>
      </c>
      <c r="H838" s="92">
        <v>22927</v>
      </c>
      <c r="I838" s="89">
        <v>63</v>
      </c>
      <c r="J838" s="89" t="s">
        <v>51</v>
      </c>
      <c r="K838" s="89" t="s">
        <v>52</v>
      </c>
      <c r="L838" s="89" t="s">
        <v>53</v>
      </c>
      <c r="M838" s="89" t="s">
        <v>280</v>
      </c>
      <c r="N838" s="89" t="s">
        <v>55</v>
      </c>
      <c r="O838" s="93" t="s">
        <v>2568</v>
      </c>
      <c r="P838" s="94" t="s">
        <v>57</v>
      </c>
      <c r="Q838" s="112" t="s">
        <v>2211</v>
      </c>
      <c r="R838" s="95"/>
      <c r="S838" s="96">
        <v>46164</v>
      </c>
      <c r="T838" s="96" t="s">
        <v>2212</v>
      </c>
      <c r="U838" s="96" t="s">
        <v>79</v>
      </c>
      <c r="V838" s="92">
        <v>46140</v>
      </c>
      <c r="W838" s="92">
        <v>46147</v>
      </c>
      <c r="X838" s="92">
        <v>46154</v>
      </c>
      <c r="Y838" s="97"/>
      <c r="Z838" s="89"/>
      <c r="AA838" s="96"/>
      <c r="AB838" s="89"/>
      <c r="AC838" s="111"/>
      <c r="AD838" s="89"/>
      <c r="AE838" s="89"/>
      <c r="AF838" s="98"/>
      <c r="AG838" s="98"/>
      <c r="AH838" s="98"/>
      <c r="AI838" s="99"/>
      <c r="AJ838" s="99"/>
      <c r="AK838" s="99"/>
      <c r="AL838" s="45" t="s">
        <v>68</v>
      </c>
      <c r="AM838" s="162" t="str">
        <f t="shared" si="104"/>
        <v>3/2026</v>
      </c>
      <c r="AN838" s="45">
        <f t="shared" si="105"/>
        <v>4</v>
      </c>
      <c r="AO838" s="45" t="str">
        <f t="shared" si="106"/>
        <v>1/1900</v>
      </c>
      <c r="AP838" s="45" t="e">
        <f t="shared" si="107"/>
        <v>#NUM!</v>
      </c>
      <c r="AQ838" s="45">
        <f t="shared" si="108"/>
        <v>0</v>
      </c>
      <c r="AR838" s="45">
        <f t="shared" si="109"/>
        <v>0</v>
      </c>
      <c r="AS838" s="45">
        <f t="shared" si="110"/>
        <v>0</v>
      </c>
      <c r="AT838" s="45">
        <f t="shared" si="111"/>
        <v>0</v>
      </c>
      <c r="AU838" s="45" t="str">
        <f>_xlfn.XLOOKUP(U838,'Lista Suspensa'!$AA$20:$AA$23,'Lista Suspensa'!$AB$20:$AB$23,"N/A")</f>
        <v>S</v>
      </c>
    </row>
    <row r="839" spans="1:47" ht="12" hidden="1" customHeight="1" x14ac:dyDescent="0.3">
      <c r="A839" s="87" t="s">
        <v>47</v>
      </c>
      <c r="B839" s="88">
        <v>46104</v>
      </c>
      <c r="C839" s="89" t="s">
        <v>48</v>
      </c>
      <c r="D839" s="89" t="s">
        <v>49</v>
      </c>
      <c r="E839" s="90">
        <v>92749145</v>
      </c>
      <c r="F839" s="184" t="s">
        <v>2569</v>
      </c>
      <c r="G839" s="91">
        <v>12944110802</v>
      </c>
      <c r="H839" s="92">
        <v>24845</v>
      </c>
      <c r="I839" s="89">
        <v>58</v>
      </c>
      <c r="J839" s="89" t="s">
        <v>70</v>
      </c>
      <c r="K839" s="89" t="s">
        <v>52</v>
      </c>
      <c r="L839" s="89" t="s">
        <v>53</v>
      </c>
      <c r="M839" s="89" t="s">
        <v>401</v>
      </c>
      <c r="N839" s="89" t="s">
        <v>55</v>
      </c>
      <c r="O839" s="93" t="s">
        <v>2570</v>
      </c>
      <c r="P839" s="94" t="s">
        <v>57</v>
      </c>
      <c r="Q839" s="112" t="s">
        <v>2211</v>
      </c>
      <c r="R839" s="95"/>
      <c r="S839" s="96">
        <v>46164</v>
      </c>
      <c r="T839" s="96" t="s">
        <v>2212</v>
      </c>
      <c r="U839" s="96" t="s">
        <v>79</v>
      </c>
      <c r="V839" s="92">
        <v>46140</v>
      </c>
      <c r="W839" s="92">
        <v>46147</v>
      </c>
      <c r="X839" s="92">
        <v>46154</v>
      </c>
      <c r="Y839" s="97"/>
      <c r="Z839" s="89"/>
      <c r="AA839" s="96"/>
      <c r="AB839" s="89"/>
      <c r="AC839" s="111"/>
      <c r="AD839" s="89"/>
      <c r="AE839" s="89"/>
      <c r="AF839" s="98"/>
      <c r="AG839" s="98"/>
      <c r="AH839" s="98"/>
      <c r="AI839" s="99"/>
      <c r="AJ839" s="99"/>
      <c r="AK839" s="99"/>
      <c r="AL839" s="45" t="s">
        <v>68</v>
      </c>
      <c r="AM839" s="162" t="str">
        <f t="shared" si="104"/>
        <v>3/2026</v>
      </c>
      <c r="AN839" s="45">
        <f t="shared" si="105"/>
        <v>4</v>
      </c>
      <c r="AO839" s="45" t="str">
        <f t="shared" si="106"/>
        <v>1/1900</v>
      </c>
      <c r="AP839" s="45" t="e">
        <f t="shared" si="107"/>
        <v>#NUM!</v>
      </c>
      <c r="AQ839" s="45">
        <f t="shared" si="108"/>
        <v>0</v>
      </c>
      <c r="AR839" s="45">
        <f t="shared" si="109"/>
        <v>0</v>
      </c>
      <c r="AS839" s="45">
        <f t="shared" si="110"/>
        <v>0</v>
      </c>
      <c r="AT839" s="45">
        <f t="shared" si="111"/>
        <v>0</v>
      </c>
      <c r="AU839" s="45" t="str">
        <f>_xlfn.XLOOKUP(U839,'Lista Suspensa'!$AA$20:$AA$23,'Lista Suspensa'!$AB$20:$AB$23,"N/A")</f>
        <v>S</v>
      </c>
    </row>
    <row r="840" spans="1:47" ht="12" hidden="1" customHeight="1" x14ac:dyDescent="0.3">
      <c r="A840" s="87" t="s">
        <v>47</v>
      </c>
      <c r="B840" s="88">
        <v>46104</v>
      </c>
      <c r="C840" s="89" t="s">
        <v>48</v>
      </c>
      <c r="D840" s="89" t="s">
        <v>49</v>
      </c>
      <c r="E840" s="90">
        <v>93956590</v>
      </c>
      <c r="F840" s="184" t="s">
        <v>2571</v>
      </c>
      <c r="G840" s="91">
        <v>28416838852</v>
      </c>
      <c r="H840" s="92">
        <v>26877</v>
      </c>
      <c r="I840" s="89">
        <v>52</v>
      </c>
      <c r="J840" s="89" t="s">
        <v>70</v>
      </c>
      <c r="K840" s="89" t="s">
        <v>52</v>
      </c>
      <c r="L840" s="89" t="s">
        <v>331</v>
      </c>
      <c r="M840" s="89" t="s">
        <v>1478</v>
      </c>
      <c r="N840" s="89" t="s">
        <v>55</v>
      </c>
      <c r="O840" s="93" t="s">
        <v>2572</v>
      </c>
      <c r="P840" s="94" t="s">
        <v>57</v>
      </c>
      <c r="Q840" s="112" t="s">
        <v>2211</v>
      </c>
      <c r="R840" s="95"/>
      <c r="S840" s="96">
        <v>46164</v>
      </c>
      <c r="T840" s="96" t="s">
        <v>2212</v>
      </c>
      <c r="U840" s="96" t="s">
        <v>79</v>
      </c>
      <c r="V840" s="92">
        <v>46140</v>
      </c>
      <c r="W840" s="92">
        <v>46147</v>
      </c>
      <c r="X840" s="92">
        <v>46154</v>
      </c>
      <c r="Y840" s="97"/>
      <c r="Z840" s="89"/>
      <c r="AA840" s="96"/>
      <c r="AB840" s="89"/>
      <c r="AC840" s="111"/>
      <c r="AD840" s="89"/>
      <c r="AE840" s="89"/>
      <c r="AF840" s="98"/>
      <c r="AG840" s="98"/>
      <c r="AH840" s="98"/>
      <c r="AI840" s="99"/>
      <c r="AJ840" s="99"/>
      <c r="AK840" s="99"/>
      <c r="AL840" s="45" t="s">
        <v>68</v>
      </c>
      <c r="AM840" s="162" t="str">
        <f t="shared" si="104"/>
        <v>3/2026</v>
      </c>
      <c r="AN840" s="45">
        <f t="shared" si="105"/>
        <v>4</v>
      </c>
      <c r="AO840" s="45" t="str">
        <f t="shared" si="106"/>
        <v>1/1900</v>
      </c>
      <c r="AP840" s="45" t="e">
        <f t="shared" si="107"/>
        <v>#NUM!</v>
      </c>
      <c r="AQ840" s="45">
        <f t="shared" si="108"/>
        <v>0</v>
      </c>
      <c r="AR840" s="45">
        <f t="shared" si="109"/>
        <v>0</v>
      </c>
      <c r="AS840" s="45">
        <f t="shared" si="110"/>
        <v>0</v>
      </c>
      <c r="AT840" s="45">
        <f t="shared" si="111"/>
        <v>0</v>
      </c>
      <c r="AU840" s="45" t="str">
        <f>_xlfn.XLOOKUP(U840,'Lista Suspensa'!$AA$20:$AA$23,'Lista Suspensa'!$AB$20:$AB$23,"N/A")</f>
        <v>S</v>
      </c>
    </row>
    <row r="841" spans="1:47" ht="12" hidden="1" customHeight="1" x14ac:dyDescent="0.3">
      <c r="A841" s="87" t="s">
        <v>47</v>
      </c>
      <c r="B841" s="88">
        <v>46104</v>
      </c>
      <c r="C841" s="89" t="s">
        <v>48</v>
      </c>
      <c r="D841" s="89" t="s">
        <v>49</v>
      </c>
      <c r="E841" s="90">
        <v>94825285</v>
      </c>
      <c r="F841" s="184" t="s">
        <v>2573</v>
      </c>
      <c r="G841" s="91">
        <v>17597056591</v>
      </c>
      <c r="H841" s="92">
        <v>22266</v>
      </c>
      <c r="I841" s="89">
        <v>65</v>
      </c>
      <c r="J841" s="89" t="s">
        <v>70</v>
      </c>
      <c r="K841" s="89" t="s">
        <v>52</v>
      </c>
      <c r="L841" s="89" t="s">
        <v>53</v>
      </c>
      <c r="M841" s="89" t="s">
        <v>729</v>
      </c>
      <c r="N841" s="89" t="s">
        <v>55</v>
      </c>
      <c r="O841" s="93" t="s">
        <v>2574</v>
      </c>
      <c r="P841" s="94" t="s">
        <v>57</v>
      </c>
      <c r="Q841" s="112" t="s">
        <v>2211</v>
      </c>
      <c r="R841" s="95"/>
      <c r="S841" s="96">
        <v>46164</v>
      </c>
      <c r="T841" s="96" t="s">
        <v>2212</v>
      </c>
      <c r="U841" s="96" t="s">
        <v>79</v>
      </c>
      <c r="V841" s="92">
        <v>46140</v>
      </c>
      <c r="W841" s="92">
        <v>46147</v>
      </c>
      <c r="X841" s="92">
        <v>46154</v>
      </c>
      <c r="Y841" s="97"/>
      <c r="Z841" s="89"/>
      <c r="AA841" s="96"/>
      <c r="AB841" s="89"/>
      <c r="AC841" s="111"/>
      <c r="AD841" s="89"/>
      <c r="AE841" s="89"/>
      <c r="AF841" s="98"/>
      <c r="AG841" s="98"/>
      <c r="AH841" s="98"/>
      <c r="AI841" s="99"/>
      <c r="AJ841" s="99"/>
      <c r="AK841" s="99"/>
      <c r="AL841" s="45" t="s">
        <v>68</v>
      </c>
      <c r="AM841" s="162" t="str">
        <f t="shared" si="104"/>
        <v>3/2026</v>
      </c>
      <c r="AN841" s="45">
        <f t="shared" si="105"/>
        <v>4</v>
      </c>
      <c r="AO841" s="45" t="str">
        <f t="shared" si="106"/>
        <v>1/1900</v>
      </c>
      <c r="AP841" s="45" t="e">
        <f t="shared" si="107"/>
        <v>#NUM!</v>
      </c>
      <c r="AQ841" s="45">
        <f t="shared" si="108"/>
        <v>0</v>
      </c>
      <c r="AR841" s="45">
        <f t="shared" si="109"/>
        <v>0</v>
      </c>
      <c r="AS841" s="45">
        <f t="shared" si="110"/>
        <v>0</v>
      </c>
      <c r="AT841" s="45">
        <f t="shared" si="111"/>
        <v>0</v>
      </c>
      <c r="AU841" s="45" t="str">
        <f>_xlfn.XLOOKUP(U841,'Lista Suspensa'!$AA$20:$AA$23,'Lista Suspensa'!$AB$20:$AB$23,"N/A")</f>
        <v>S</v>
      </c>
    </row>
    <row r="842" spans="1:47" ht="12" hidden="1" customHeight="1" x14ac:dyDescent="0.3">
      <c r="A842" s="87" t="s">
        <v>47</v>
      </c>
      <c r="B842" s="88">
        <v>46104</v>
      </c>
      <c r="C842" s="89" t="s">
        <v>48</v>
      </c>
      <c r="D842" s="89" t="s">
        <v>49</v>
      </c>
      <c r="E842" s="90">
        <v>88510949</v>
      </c>
      <c r="F842" s="184" t="s">
        <v>2575</v>
      </c>
      <c r="G842" s="91">
        <v>80537618872</v>
      </c>
      <c r="H842" s="92">
        <v>21396</v>
      </c>
      <c r="I842" s="89">
        <v>67</v>
      </c>
      <c r="J842" s="89" t="s">
        <v>51</v>
      </c>
      <c r="K842" s="89" t="s">
        <v>52</v>
      </c>
      <c r="L842" s="89" t="s">
        <v>53</v>
      </c>
      <c r="M842" s="89" t="s">
        <v>2576</v>
      </c>
      <c r="N842" s="89" t="s">
        <v>55</v>
      </c>
      <c r="O842" s="93" t="s">
        <v>2577</v>
      </c>
      <c r="P842" s="94" t="s">
        <v>57</v>
      </c>
      <c r="Q842" s="112" t="s">
        <v>2211</v>
      </c>
      <c r="R842" s="95"/>
      <c r="S842" s="96">
        <v>46164</v>
      </c>
      <c r="T842" s="96" t="s">
        <v>2212</v>
      </c>
      <c r="U842" s="96" t="s">
        <v>79</v>
      </c>
      <c r="V842" s="92">
        <v>46140</v>
      </c>
      <c r="W842" s="92">
        <v>46147</v>
      </c>
      <c r="X842" s="92">
        <v>46154</v>
      </c>
      <c r="Y842" s="97"/>
      <c r="Z842" s="89"/>
      <c r="AA842" s="96"/>
      <c r="AB842" s="89"/>
      <c r="AC842" s="111"/>
      <c r="AD842" s="89"/>
      <c r="AE842" s="89"/>
      <c r="AF842" s="98"/>
      <c r="AG842" s="98"/>
      <c r="AH842" s="98"/>
      <c r="AI842" s="99"/>
      <c r="AJ842" s="99"/>
      <c r="AK842" s="99"/>
      <c r="AL842" s="45" t="s">
        <v>68</v>
      </c>
      <c r="AM842" s="162" t="str">
        <f t="shared" si="104"/>
        <v>3/2026</v>
      </c>
      <c r="AN842" s="45">
        <f t="shared" si="105"/>
        <v>4</v>
      </c>
      <c r="AO842" s="45" t="str">
        <f t="shared" si="106"/>
        <v>1/1900</v>
      </c>
      <c r="AP842" s="45" t="e">
        <f t="shared" si="107"/>
        <v>#NUM!</v>
      </c>
      <c r="AQ842" s="45">
        <f t="shared" si="108"/>
        <v>0</v>
      </c>
      <c r="AR842" s="45">
        <f t="shared" si="109"/>
        <v>0</v>
      </c>
      <c r="AS842" s="45">
        <f t="shared" si="110"/>
        <v>0</v>
      </c>
      <c r="AT842" s="45">
        <f t="shared" si="111"/>
        <v>0</v>
      </c>
      <c r="AU842" s="45" t="str">
        <f>_xlfn.XLOOKUP(U842,'Lista Suspensa'!$AA$20:$AA$23,'Lista Suspensa'!$AB$20:$AB$23,"N/A")</f>
        <v>S</v>
      </c>
    </row>
    <row r="843" spans="1:47" ht="12" hidden="1" customHeight="1" x14ac:dyDescent="0.3">
      <c r="A843" s="87" t="s">
        <v>47</v>
      </c>
      <c r="B843" s="88">
        <v>46104</v>
      </c>
      <c r="C843" s="89" t="s">
        <v>48</v>
      </c>
      <c r="D843" s="89" t="s">
        <v>49</v>
      </c>
      <c r="E843" s="90">
        <v>93576397</v>
      </c>
      <c r="F843" s="184" t="s">
        <v>2578</v>
      </c>
      <c r="G843" s="91">
        <v>87955954491</v>
      </c>
      <c r="H843" s="92">
        <v>27314</v>
      </c>
      <c r="I843" s="89">
        <v>51</v>
      </c>
      <c r="J843" s="89" t="s">
        <v>51</v>
      </c>
      <c r="K843" s="89" t="s">
        <v>52</v>
      </c>
      <c r="L843" s="89" t="s">
        <v>331</v>
      </c>
      <c r="M843" s="89" t="s">
        <v>1498</v>
      </c>
      <c r="N843" s="89" t="s">
        <v>55</v>
      </c>
      <c r="O843" s="93" t="s">
        <v>2579</v>
      </c>
      <c r="P843" s="94" t="s">
        <v>57</v>
      </c>
      <c r="Q843" s="112" t="s">
        <v>2211</v>
      </c>
      <c r="R843" s="95"/>
      <c r="S843" s="96">
        <v>46164</v>
      </c>
      <c r="T843" s="96" t="s">
        <v>2212</v>
      </c>
      <c r="U843" s="96" t="s">
        <v>79</v>
      </c>
      <c r="V843" s="92">
        <v>46112</v>
      </c>
      <c r="W843" s="92">
        <v>46147</v>
      </c>
      <c r="X843" s="92">
        <v>46154</v>
      </c>
      <c r="Y843" s="97"/>
      <c r="Z843" s="89"/>
      <c r="AA843" s="96"/>
      <c r="AB843" s="89"/>
      <c r="AC843" s="111"/>
      <c r="AD843" s="89"/>
      <c r="AE843" s="89"/>
      <c r="AF843" s="98"/>
      <c r="AG843" s="98"/>
      <c r="AH843" s="98"/>
      <c r="AI843" s="99"/>
      <c r="AJ843" s="99"/>
      <c r="AK843" s="99"/>
      <c r="AL843" s="45" t="s">
        <v>68</v>
      </c>
      <c r="AM843" s="162" t="str">
        <f t="shared" si="104"/>
        <v>3/2026</v>
      </c>
      <c r="AN843" s="45">
        <f t="shared" si="105"/>
        <v>4</v>
      </c>
      <c r="AO843" s="45" t="str">
        <f t="shared" si="106"/>
        <v>1/1900</v>
      </c>
      <c r="AP843" s="45" t="e">
        <f t="shared" si="107"/>
        <v>#NUM!</v>
      </c>
      <c r="AQ843" s="45">
        <f t="shared" si="108"/>
        <v>0</v>
      </c>
      <c r="AR843" s="45">
        <f t="shared" si="109"/>
        <v>0</v>
      </c>
      <c r="AS843" s="45">
        <f t="shared" si="110"/>
        <v>0</v>
      </c>
      <c r="AT843" s="45">
        <f t="shared" si="111"/>
        <v>0</v>
      </c>
      <c r="AU843" s="45" t="str">
        <f>_xlfn.XLOOKUP(U843,'Lista Suspensa'!$AA$20:$AA$23,'Lista Suspensa'!$AB$20:$AB$23,"N/A")</f>
        <v>S</v>
      </c>
    </row>
    <row r="844" spans="1:47" ht="12" hidden="1" customHeight="1" x14ac:dyDescent="0.3">
      <c r="A844" s="87" t="s">
        <v>47</v>
      </c>
      <c r="B844" s="88">
        <v>46104</v>
      </c>
      <c r="C844" s="89" t="s">
        <v>48</v>
      </c>
      <c r="D844" s="89" t="s">
        <v>49</v>
      </c>
      <c r="E844" s="90">
        <v>87982787</v>
      </c>
      <c r="F844" s="184" t="s">
        <v>2580</v>
      </c>
      <c r="G844" s="91">
        <v>51831961849</v>
      </c>
      <c r="H844" s="92">
        <v>17992</v>
      </c>
      <c r="I844" s="89">
        <v>76</v>
      </c>
      <c r="J844" s="89" t="s">
        <v>51</v>
      </c>
      <c r="K844" s="89" t="s">
        <v>52</v>
      </c>
      <c r="L844" s="89" t="s">
        <v>53</v>
      </c>
      <c r="M844" s="89" t="s">
        <v>2581</v>
      </c>
      <c r="N844" s="89" t="s">
        <v>55</v>
      </c>
      <c r="O844" s="93" t="s">
        <v>2582</v>
      </c>
      <c r="P844" s="94" t="s">
        <v>57</v>
      </c>
      <c r="Q844" s="112" t="s">
        <v>2211</v>
      </c>
      <c r="R844" s="95"/>
      <c r="S844" s="96">
        <v>46164</v>
      </c>
      <c r="T844" s="96" t="s">
        <v>2212</v>
      </c>
      <c r="U844" s="96" t="s">
        <v>79</v>
      </c>
      <c r="V844" s="92">
        <v>46140</v>
      </c>
      <c r="W844" s="92">
        <v>46147</v>
      </c>
      <c r="X844" s="92">
        <v>46154</v>
      </c>
      <c r="Y844" s="97"/>
      <c r="Z844" s="89"/>
      <c r="AA844" s="96"/>
      <c r="AB844" s="89"/>
      <c r="AC844" s="111"/>
      <c r="AD844" s="89"/>
      <c r="AE844" s="89"/>
      <c r="AF844" s="98"/>
      <c r="AG844" s="98"/>
      <c r="AH844" s="98"/>
      <c r="AI844" s="99"/>
      <c r="AJ844" s="99"/>
      <c r="AK844" s="99"/>
      <c r="AL844" s="45" t="s">
        <v>68</v>
      </c>
      <c r="AM844" s="162" t="str">
        <f t="shared" si="104"/>
        <v>3/2026</v>
      </c>
      <c r="AN844" s="45">
        <f t="shared" si="105"/>
        <v>4</v>
      </c>
      <c r="AO844" s="45" t="str">
        <f t="shared" si="106"/>
        <v>1/1900</v>
      </c>
      <c r="AP844" s="45" t="e">
        <f t="shared" si="107"/>
        <v>#NUM!</v>
      </c>
      <c r="AQ844" s="45">
        <f t="shared" si="108"/>
        <v>0</v>
      </c>
      <c r="AR844" s="45">
        <f t="shared" si="109"/>
        <v>0</v>
      </c>
      <c r="AS844" s="45">
        <f t="shared" si="110"/>
        <v>0</v>
      </c>
      <c r="AT844" s="45">
        <f t="shared" si="111"/>
        <v>0</v>
      </c>
      <c r="AU844" s="45" t="str">
        <f>_xlfn.XLOOKUP(U844,'Lista Suspensa'!$AA$20:$AA$23,'Lista Suspensa'!$AB$20:$AB$23,"N/A")</f>
        <v>S</v>
      </c>
    </row>
    <row r="845" spans="1:47" ht="12" hidden="1" customHeight="1" x14ac:dyDescent="0.3">
      <c r="A845" s="87" t="s">
        <v>47</v>
      </c>
      <c r="B845" s="88">
        <v>46104</v>
      </c>
      <c r="C845" s="89" t="s">
        <v>48</v>
      </c>
      <c r="D845" s="89" t="s">
        <v>49</v>
      </c>
      <c r="E845" s="90">
        <v>87425397</v>
      </c>
      <c r="F845" s="184" t="s">
        <v>2583</v>
      </c>
      <c r="G845" s="91">
        <v>51337851868</v>
      </c>
      <c r="H845" s="92">
        <v>15439</v>
      </c>
      <c r="I845" s="89">
        <v>83</v>
      </c>
      <c r="J845" s="89" t="s">
        <v>51</v>
      </c>
      <c r="K845" s="89" t="s">
        <v>52</v>
      </c>
      <c r="L845" s="89" t="s">
        <v>331</v>
      </c>
      <c r="M845" s="89" t="s">
        <v>2584</v>
      </c>
      <c r="N845" s="89" t="s">
        <v>55</v>
      </c>
      <c r="O845" s="93" t="s">
        <v>2585</v>
      </c>
      <c r="P845" s="94" t="s">
        <v>57</v>
      </c>
      <c r="Q845" s="112" t="s">
        <v>2211</v>
      </c>
      <c r="R845" s="95"/>
      <c r="S845" s="96">
        <v>46164</v>
      </c>
      <c r="T845" s="96" t="s">
        <v>2212</v>
      </c>
      <c r="U845" s="96" t="s">
        <v>79</v>
      </c>
      <c r="V845" s="92">
        <v>46122</v>
      </c>
      <c r="W845" s="92">
        <v>46147</v>
      </c>
      <c r="X845" s="92">
        <v>46154</v>
      </c>
      <c r="Y845" s="97"/>
      <c r="Z845" s="89"/>
      <c r="AA845" s="96"/>
      <c r="AB845" s="89"/>
      <c r="AC845" s="111"/>
      <c r="AD845" s="89"/>
      <c r="AE845" s="89"/>
      <c r="AF845" s="98"/>
      <c r="AG845" s="98"/>
      <c r="AH845" s="98"/>
      <c r="AI845" s="99"/>
      <c r="AJ845" s="99"/>
      <c r="AK845" s="99"/>
      <c r="AL845" s="45" t="s">
        <v>68</v>
      </c>
      <c r="AM845" s="162" t="str">
        <f t="shared" si="104"/>
        <v>3/2026</v>
      </c>
      <c r="AN845" s="45">
        <f t="shared" si="105"/>
        <v>4</v>
      </c>
      <c r="AO845" s="45" t="str">
        <f t="shared" si="106"/>
        <v>1/1900</v>
      </c>
      <c r="AP845" s="45" t="e">
        <f t="shared" si="107"/>
        <v>#NUM!</v>
      </c>
      <c r="AQ845" s="45">
        <f t="shared" si="108"/>
        <v>0</v>
      </c>
      <c r="AR845" s="45">
        <f t="shared" si="109"/>
        <v>0</v>
      </c>
      <c r="AS845" s="45">
        <f t="shared" si="110"/>
        <v>0</v>
      </c>
      <c r="AT845" s="45">
        <f t="shared" si="111"/>
        <v>0</v>
      </c>
      <c r="AU845" s="45" t="str">
        <f>_xlfn.XLOOKUP(U845,'Lista Suspensa'!$AA$20:$AA$23,'Lista Suspensa'!$AB$20:$AB$23,"N/A")</f>
        <v>S</v>
      </c>
    </row>
    <row r="846" spans="1:47" ht="12" hidden="1" customHeight="1" x14ac:dyDescent="0.3">
      <c r="A846" s="87" t="s">
        <v>47</v>
      </c>
      <c r="B846" s="88">
        <v>46104</v>
      </c>
      <c r="C846" s="89" t="s">
        <v>48</v>
      </c>
      <c r="D846" s="89" t="s">
        <v>49</v>
      </c>
      <c r="E846" s="90">
        <v>88152415</v>
      </c>
      <c r="F846" s="184" t="s">
        <v>2586</v>
      </c>
      <c r="G846" s="91">
        <v>18595234809</v>
      </c>
      <c r="H846" s="92">
        <v>20687</v>
      </c>
      <c r="I846" s="89">
        <v>69</v>
      </c>
      <c r="J846" s="89" t="s">
        <v>70</v>
      </c>
      <c r="K846" s="89" t="s">
        <v>52</v>
      </c>
      <c r="L846" s="89" t="s">
        <v>331</v>
      </c>
      <c r="M846" s="89" t="s">
        <v>481</v>
      </c>
      <c r="N846" s="89" t="s">
        <v>55</v>
      </c>
      <c r="O846" s="93" t="s">
        <v>2587</v>
      </c>
      <c r="P846" s="94" t="s">
        <v>57</v>
      </c>
      <c r="Q846" s="112" t="s">
        <v>2211</v>
      </c>
      <c r="R846" s="95"/>
      <c r="S846" s="96">
        <v>46164</v>
      </c>
      <c r="T846" s="96" t="s">
        <v>2212</v>
      </c>
      <c r="U846" s="96" t="s">
        <v>79</v>
      </c>
      <c r="V846" s="92">
        <v>46140</v>
      </c>
      <c r="W846" s="92">
        <v>46147</v>
      </c>
      <c r="X846" s="92">
        <v>46154</v>
      </c>
      <c r="Y846" s="97"/>
      <c r="Z846" s="89"/>
      <c r="AA846" s="96"/>
      <c r="AB846" s="89"/>
      <c r="AC846" s="111"/>
      <c r="AD846" s="89"/>
      <c r="AE846" s="89"/>
      <c r="AF846" s="98"/>
      <c r="AG846" s="98"/>
      <c r="AH846" s="98"/>
      <c r="AI846" s="99"/>
      <c r="AJ846" s="99"/>
      <c r="AK846" s="99"/>
      <c r="AL846" s="45" t="s">
        <v>68</v>
      </c>
      <c r="AM846" s="162" t="str">
        <f t="shared" si="104"/>
        <v>3/2026</v>
      </c>
      <c r="AN846" s="45">
        <f t="shared" si="105"/>
        <v>4</v>
      </c>
      <c r="AO846" s="45" t="str">
        <f t="shared" si="106"/>
        <v>1/1900</v>
      </c>
      <c r="AP846" s="45" t="e">
        <f t="shared" si="107"/>
        <v>#NUM!</v>
      </c>
      <c r="AQ846" s="45">
        <f t="shared" si="108"/>
        <v>0</v>
      </c>
      <c r="AR846" s="45">
        <f t="shared" si="109"/>
        <v>0</v>
      </c>
      <c r="AS846" s="45">
        <f t="shared" si="110"/>
        <v>0</v>
      </c>
      <c r="AT846" s="45">
        <f t="shared" si="111"/>
        <v>0</v>
      </c>
      <c r="AU846" s="45" t="str">
        <f>_xlfn.XLOOKUP(U846,'Lista Suspensa'!$AA$20:$AA$23,'Lista Suspensa'!$AB$20:$AB$23,"N/A")</f>
        <v>S</v>
      </c>
    </row>
    <row r="847" spans="1:47" ht="12" hidden="1" customHeight="1" x14ac:dyDescent="0.3">
      <c r="A847" s="87" t="s">
        <v>47</v>
      </c>
      <c r="B847" s="88">
        <v>46104</v>
      </c>
      <c r="C847" s="89" t="s">
        <v>48</v>
      </c>
      <c r="D847" s="89" t="s">
        <v>49</v>
      </c>
      <c r="E847" s="90">
        <v>89328270</v>
      </c>
      <c r="F847" s="184" t="s">
        <v>2588</v>
      </c>
      <c r="G847" s="91">
        <v>27454988865</v>
      </c>
      <c r="H847" s="92">
        <v>28466</v>
      </c>
      <c r="I847" s="89">
        <v>48</v>
      </c>
      <c r="J847" s="89" t="s">
        <v>70</v>
      </c>
      <c r="K847" s="89" t="s">
        <v>52</v>
      </c>
      <c r="L847" s="89" t="s">
        <v>331</v>
      </c>
      <c r="M847" s="89" t="s">
        <v>1151</v>
      </c>
      <c r="N847" s="89" t="s">
        <v>55</v>
      </c>
      <c r="O847" s="93" t="s">
        <v>2589</v>
      </c>
      <c r="P847" s="94" t="s">
        <v>57</v>
      </c>
      <c r="Q847" s="112" t="s">
        <v>2211</v>
      </c>
      <c r="R847" s="95"/>
      <c r="S847" s="96">
        <v>46164</v>
      </c>
      <c r="T847" s="96" t="s">
        <v>2212</v>
      </c>
      <c r="U847" s="96" t="s">
        <v>79</v>
      </c>
      <c r="V847" s="92">
        <v>46112</v>
      </c>
      <c r="W847" s="92">
        <v>46147</v>
      </c>
      <c r="X847" s="92">
        <v>46154</v>
      </c>
      <c r="Y847" s="97"/>
      <c r="Z847" s="89" t="s">
        <v>62</v>
      </c>
      <c r="AA847" s="96" t="s">
        <v>2590</v>
      </c>
      <c r="AB847" s="89" t="s">
        <v>80</v>
      </c>
      <c r="AC847" s="111"/>
      <c r="AD847" s="89"/>
      <c r="AE847" s="89"/>
      <c r="AF847" s="98"/>
      <c r="AG847" s="98"/>
      <c r="AH847" s="98"/>
      <c r="AI847" s="99" t="s">
        <v>197</v>
      </c>
      <c r="AJ847" s="99"/>
      <c r="AK847" s="99"/>
      <c r="AL847" s="45" t="s">
        <v>68</v>
      </c>
      <c r="AM847" s="162" t="str">
        <f t="shared" si="104"/>
        <v>3/2026</v>
      </c>
      <c r="AN847" s="45">
        <f t="shared" si="105"/>
        <v>4</v>
      </c>
      <c r="AO847" s="45" t="str">
        <f t="shared" si="106"/>
        <v>1/1900</v>
      </c>
      <c r="AP847" s="45" t="e">
        <f t="shared" si="107"/>
        <v>#NUM!</v>
      </c>
      <c r="AQ847" s="45">
        <f t="shared" si="108"/>
        <v>0</v>
      </c>
      <c r="AR847" s="45">
        <f t="shared" si="109"/>
        <v>0</v>
      </c>
      <c r="AS847" s="45">
        <f t="shared" si="110"/>
        <v>0</v>
      </c>
      <c r="AT847" s="45">
        <f t="shared" si="111"/>
        <v>0</v>
      </c>
      <c r="AU847" s="45" t="str">
        <f>_xlfn.XLOOKUP(U847,'Lista Suspensa'!$AA$20:$AA$23,'Lista Suspensa'!$AB$20:$AB$23,"N/A")</f>
        <v>S</v>
      </c>
    </row>
    <row r="848" spans="1:47" ht="12" hidden="1" customHeight="1" x14ac:dyDescent="0.3">
      <c r="A848" s="87" t="s">
        <v>47</v>
      </c>
      <c r="B848" s="88">
        <v>46104</v>
      </c>
      <c r="C848" s="89" t="s">
        <v>48</v>
      </c>
      <c r="D848" s="89" t="s">
        <v>49</v>
      </c>
      <c r="E848" s="90">
        <v>93892129</v>
      </c>
      <c r="F848" s="184" t="s">
        <v>2591</v>
      </c>
      <c r="G848" s="91">
        <v>177856505</v>
      </c>
      <c r="H848" s="92">
        <v>27568</v>
      </c>
      <c r="I848" s="89">
        <v>50</v>
      </c>
      <c r="J848" s="89" t="s">
        <v>51</v>
      </c>
      <c r="K848" s="89" t="s">
        <v>52</v>
      </c>
      <c r="L848" s="89" t="s">
        <v>53</v>
      </c>
      <c r="M848" s="89" t="s">
        <v>2592</v>
      </c>
      <c r="N848" s="89" t="s">
        <v>55</v>
      </c>
      <c r="O848" s="93" t="s">
        <v>2593</v>
      </c>
      <c r="P848" s="94" t="s">
        <v>57</v>
      </c>
      <c r="Q848" s="112" t="s">
        <v>2211</v>
      </c>
      <c r="R848" s="95"/>
      <c r="S848" s="96">
        <v>46164</v>
      </c>
      <c r="T848" s="96" t="s">
        <v>2212</v>
      </c>
      <c r="U848" s="96" t="s">
        <v>79</v>
      </c>
      <c r="V848" s="92">
        <v>46140</v>
      </c>
      <c r="W848" s="92">
        <v>46147</v>
      </c>
      <c r="X848" s="92">
        <v>46154</v>
      </c>
      <c r="Y848" s="97"/>
      <c r="Z848" s="89"/>
      <c r="AA848" s="96"/>
      <c r="AB848" s="89"/>
      <c r="AC848" s="111"/>
      <c r="AD848" s="89"/>
      <c r="AE848" s="89"/>
      <c r="AF848" s="98"/>
      <c r="AG848" s="98"/>
      <c r="AH848" s="98"/>
      <c r="AI848" s="99"/>
      <c r="AJ848" s="99"/>
      <c r="AK848" s="99"/>
      <c r="AL848" s="45" t="s">
        <v>68</v>
      </c>
      <c r="AM848" s="162" t="str">
        <f t="shared" si="104"/>
        <v>3/2026</v>
      </c>
      <c r="AN848" s="45">
        <f t="shared" si="105"/>
        <v>4</v>
      </c>
      <c r="AO848" s="45" t="str">
        <f t="shared" si="106"/>
        <v>1/1900</v>
      </c>
      <c r="AP848" s="45" t="e">
        <f t="shared" si="107"/>
        <v>#NUM!</v>
      </c>
      <c r="AQ848" s="45">
        <f t="shared" si="108"/>
        <v>0</v>
      </c>
      <c r="AR848" s="45">
        <f t="shared" si="109"/>
        <v>0</v>
      </c>
      <c r="AS848" s="45">
        <f t="shared" si="110"/>
        <v>0</v>
      </c>
      <c r="AT848" s="45">
        <f t="shared" si="111"/>
        <v>0</v>
      </c>
      <c r="AU848" s="45" t="str">
        <f>_xlfn.XLOOKUP(U848,'Lista Suspensa'!$AA$20:$AA$23,'Lista Suspensa'!$AB$20:$AB$23,"N/A")</f>
        <v>S</v>
      </c>
    </row>
    <row r="849" spans="1:47" ht="12" hidden="1" customHeight="1" x14ac:dyDescent="0.3">
      <c r="A849" s="87" t="s">
        <v>47</v>
      </c>
      <c r="B849" s="88">
        <v>46104</v>
      </c>
      <c r="C849" s="89" t="s">
        <v>48</v>
      </c>
      <c r="D849" s="89" t="s">
        <v>49</v>
      </c>
      <c r="E849" s="90">
        <v>94501492</v>
      </c>
      <c r="F849" s="184" t="s">
        <v>2594</v>
      </c>
      <c r="G849" s="91">
        <v>51706663811</v>
      </c>
      <c r="H849" s="92">
        <v>37763</v>
      </c>
      <c r="I849" s="89">
        <v>22</v>
      </c>
      <c r="J849" s="89" t="s">
        <v>70</v>
      </c>
      <c r="K849" s="89" t="s">
        <v>52</v>
      </c>
      <c r="L849" s="89" t="s">
        <v>53</v>
      </c>
      <c r="M849" s="89" t="s">
        <v>76</v>
      </c>
      <c r="N849" s="89" t="s">
        <v>55</v>
      </c>
      <c r="O849" s="93" t="s">
        <v>2595</v>
      </c>
      <c r="P849" s="94" t="s">
        <v>57</v>
      </c>
      <c r="Q849" s="112" t="s">
        <v>2211</v>
      </c>
      <c r="R849" s="95"/>
      <c r="S849" s="96">
        <v>46164</v>
      </c>
      <c r="T849" s="96" t="s">
        <v>2212</v>
      </c>
      <c r="U849" s="96" t="s">
        <v>79</v>
      </c>
      <c r="V849" s="92">
        <v>46140</v>
      </c>
      <c r="W849" s="92">
        <v>46147</v>
      </c>
      <c r="X849" s="92">
        <v>46154</v>
      </c>
      <c r="Y849" s="97"/>
      <c r="Z849" s="89"/>
      <c r="AA849" s="96"/>
      <c r="AB849" s="89"/>
      <c r="AC849" s="111"/>
      <c r="AD849" s="89"/>
      <c r="AE849" s="89"/>
      <c r="AF849" s="98"/>
      <c r="AG849" s="98"/>
      <c r="AH849" s="98"/>
      <c r="AI849" s="99"/>
      <c r="AJ849" s="99"/>
      <c r="AK849" s="99"/>
      <c r="AL849" s="45" t="s">
        <v>68</v>
      </c>
      <c r="AM849" s="162" t="str">
        <f t="shared" si="104"/>
        <v>3/2026</v>
      </c>
      <c r="AN849" s="45">
        <f t="shared" si="105"/>
        <v>4</v>
      </c>
      <c r="AO849" s="45" t="str">
        <f t="shared" si="106"/>
        <v>1/1900</v>
      </c>
      <c r="AP849" s="45" t="e">
        <f t="shared" si="107"/>
        <v>#NUM!</v>
      </c>
      <c r="AQ849" s="45">
        <f t="shared" si="108"/>
        <v>0</v>
      </c>
      <c r="AR849" s="45">
        <f t="shared" si="109"/>
        <v>0</v>
      </c>
      <c r="AS849" s="45">
        <f t="shared" si="110"/>
        <v>0</v>
      </c>
      <c r="AT849" s="45">
        <f t="shared" si="111"/>
        <v>0</v>
      </c>
      <c r="AU849" s="45" t="str">
        <f>_xlfn.XLOOKUP(U849,'Lista Suspensa'!$AA$20:$AA$23,'Lista Suspensa'!$AB$20:$AB$23,"N/A")</f>
        <v>S</v>
      </c>
    </row>
    <row r="850" spans="1:47" ht="12" hidden="1" customHeight="1" x14ac:dyDescent="0.3">
      <c r="A850" s="87" t="s">
        <v>47</v>
      </c>
      <c r="B850" s="88">
        <v>46104</v>
      </c>
      <c r="C850" s="89" t="s">
        <v>48</v>
      </c>
      <c r="D850" s="89" t="s">
        <v>49</v>
      </c>
      <c r="E850" s="90">
        <v>89251976</v>
      </c>
      <c r="F850" s="184" t="s">
        <v>2596</v>
      </c>
      <c r="G850" s="91">
        <v>3478205816</v>
      </c>
      <c r="H850" s="92">
        <v>21278</v>
      </c>
      <c r="I850" s="89">
        <v>67</v>
      </c>
      <c r="J850" s="89" t="s">
        <v>51</v>
      </c>
      <c r="K850" s="89" t="s">
        <v>52</v>
      </c>
      <c r="L850" s="89" t="s">
        <v>53</v>
      </c>
      <c r="M850" s="89" t="s">
        <v>2597</v>
      </c>
      <c r="N850" s="89" t="s">
        <v>55</v>
      </c>
      <c r="O850" s="93" t="s">
        <v>2598</v>
      </c>
      <c r="P850" s="94" t="s">
        <v>57</v>
      </c>
      <c r="Q850" s="112" t="s">
        <v>2211</v>
      </c>
      <c r="R850" s="95"/>
      <c r="S850" s="96">
        <v>46164</v>
      </c>
      <c r="T850" s="96" t="s">
        <v>2212</v>
      </c>
      <c r="U850" s="96" t="s">
        <v>79</v>
      </c>
      <c r="V850" s="92">
        <v>46140</v>
      </c>
      <c r="W850" s="92">
        <v>46147</v>
      </c>
      <c r="X850" s="92">
        <v>46154</v>
      </c>
      <c r="Y850" s="97"/>
      <c r="Z850" s="89"/>
      <c r="AA850" s="96"/>
      <c r="AB850" s="89"/>
      <c r="AC850" s="111"/>
      <c r="AD850" s="89"/>
      <c r="AE850" s="89"/>
      <c r="AF850" s="98"/>
      <c r="AG850" s="98"/>
      <c r="AH850" s="98"/>
      <c r="AI850" s="99"/>
      <c r="AJ850" s="99"/>
      <c r="AK850" s="99"/>
      <c r="AL850" s="45" t="s">
        <v>68</v>
      </c>
      <c r="AM850" s="162" t="str">
        <f t="shared" si="104"/>
        <v>3/2026</v>
      </c>
      <c r="AN850" s="45">
        <f t="shared" si="105"/>
        <v>4</v>
      </c>
      <c r="AO850" s="45" t="str">
        <f t="shared" si="106"/>
        <v>1/1900</v>
      </c>
      <c r="AP850" s="45" t="e">
        <f t="shared" si="107"/>
        <v>#NUM!</v>
      </c>
      <c r="AQ850" s="45">
        <f t="shared" si="108"/>
        <v>0</v>
      </c>
      <c r="AR850" s="45">
        <f t="shared" si="109"/>
        <v>0</v>
      </c>
      <c r="AS850" s="45">
        <f t="shared" si="110"/>
        <v>0</v>
      </c>
      <c r="AT850" s="45">
        <f t="shared" si="111"/>
        <v>0</v>
      </c>
      <c r="AU850" s="45" t="str">
        <f>_xlfn.XLOOKUP(U850,'Lista Suspensa'!$AA$20:$AA$23,'Lista Suspensa'!$AB$20:$AB$23,"N/A")</f>
        <v>S</v>
      </c>
    </row>
    <row r="851" spans="1:47" ht="12" hidden="1" customHeight="1" x14ac:dyDescent="0.3">
      <c r="A851" s="87" t="s">
        <v>47</v>
      </c>
      <c r="B851" s="88">
        <v>46104</v>
      </c>
      <c r="C851" s="89" t="s">
        <v>48</v>
      </c>
      <c r="D851" s="89" t="s">
        <v>49</v>
      </c>
      <c r="E851" s="90">
        <v>89133047</v>
      </c>
      <c r="F851" s="184" t="s">
        <v>2599</v>
      </c>
      <c r="G851" s="91">
        <v>5148679816</v>
      </c>
      <c r="H851" s="92">
        <v>23450</v>
      </c>
      <c r="I851" s="89">
        <v>62</v>
      </c>
      <c r="J851" s="89" t="s">
        <v>51</v>
      </c>
      <c r="K851" s="89" t="s">
        <v>52</v>
      </c>
      <c r="L851" s="89" t="s">
        <v>53</v>
      </c>
      <c r="M851" s="89" t="s">
        <v>2600</v>
      </c>
      <c r="N851" s="89" t="s">
        <v>55</v>
      </c>
      <c r="O851" s="93" t="s">
        <v>2601</v>
      </c>
      <c r="P851" s="94" t="s">
        <v>57</v>
      </c>
      <c r="Q851" s="112" t="s">
        <v>2211</v>
      </c>
      <c r="R851" s="95"/>
      <c r="S851" s="96">
        <v>46164</v>
      </c>
      <c r="T851" s="96" t="s">
        <v>2212</v>
      </c>
      <c r="U851" s="96" t="s">
        <v>79</v>
      </c>
      <c r="V851" s="92">
        <v>46122</v>
      </c>
      <c r="W851" s="92">
        <v>46147</v>
      </c>
      <c r="X851" s="92">
        <v>46154</v>
      </c>
      <c r="Y851" s="97"/>
      <c r="Z851" s="89"/>
      <c r="AA851" s="96"/>
      <c r="AB851" s="89"/>
      <c r="AC851" s="111"/>
      <c r="AD851" s="89"/>
      <c r="AE851" s="89"/>
      <c r="AF851" s="98"/>
      <c r="AG851" s="98"/>
      <c r="AH851" s="98"/>
      <c r="AI851" s="99"/>
      <c r="AJ851" s="99"/>
      <c r="AK851" s="99"/>
      <c r="AL851" s="45" t="s">
        <v>68</v>
      </c>
      <c r="AM851" s="162" t="str">
        <f t="shared" si="104"/>
        <v>3/2026</v>
      </c>
      <c r="AN851" s="45">
        <f t="shared" si="105"/>
        <v>4</v>
      </c>
      <c r="AO851" s="45" t="str">
        <f t="shared" si="106"/>
        <v>1/1900</v>
      </c>
      <c r="AP851" s="45" t="e">
        <f t="shared" si="107"/>
        <v>#NUM!</v>
      </c>
      <c r="AQ851" s="45">
        <f t="shared" si="108"/>
        <v>0</v>
      </c>
      <c r="AR851" s="45">
        <f t="shared" si="109"/>
        <v>0</v>
      </c>
      <c r="AS851" s="45">
        <f t="shared" si="110"/>
        <v>0</v>
      </c>
      <c r="AT851" s="45">
        <f t="shared" si="111"/>
        <v>0</v>
      </c>
      <c r="AU851" s="45" t="str">
        <f>_xlfn.XLOOKUP(U851,'Lista Suspensa'!$AA$20:$AA$23,'Lista Suspensa'!$AB$20:$AB$23,"N/A")</f>
        <v>S</v>
      </c>
    </row>
    <row r="852" spans="1:47" ht="12" hidden="1" customHeight="1" x14ac:dyDescent="0.3">
      <c r="A852" s="87" t="s">
        <v>47</v>
      </c>
      <c r="B852" s="88">
        <v>46104</v>
      </c>
      <c r="C852" s="89" t="s">
        <v>48</v>
      </c>
      <c r="D852" s="89" t="s">
        <v>49</v>
      </c>
      <c r="E852" s="90">
        <v>94094421</v>
      </c>
      <c r="F852" s="184" t="s">
        <v>2602</v>
      </c>
      <c r="G852" s="91">
        <v>28121455871</v>
      </c>
      <c r="H852" s="92">
        <v>20703</v>
      </c>
      <c r="I852" s="89">
        <v>69</v>
      </c>
      <c r="J852" s="89" t="s">
        <v>70</v>
      </c>
      <c r="K852" s="89" t="s">
        <v>52</v>
      </c>
      <c r="L852" s="89" t="s">
        <v>53</v>
      </c>
      <c r="M852" s="89" t="s">
        <v>356</v>
      </c>
      <c r="N852" s="89" t="s">
        <v>55</v>
      </c>
      <c r="O852" s="93" t="s">
        <v>2603</v>
      </c>
      <c r="P852" s="94" t="s">
        <v>57</v>
      </c>
      <c r="Q852" s="112" t="s">
        <v>2211</v>
      </c>
      <c r="R852" s="95"/>
      <c r="S852" s="96">
        <v>46164</v>
      </c>
      <c r="T852" s="96" t="s">
        <v>2212</v>
      </c>
      <c r="U852" s="96" t="s">
        <v>79</v>
      </c>
      <c r="V852" s="92">
        <v>46112</v>
      </c>
      <c r="W852" s="92">
        <v>46147</v>
      </c>
      <c r="X852" s="92">
        <v>46154</v>
      </c>
      <c r="Y852" s="97"/>
      <c r="Z852" s="89"/>
      <c r="AA852" s="96"/>
      <c r="AB852" s="89"/>
      <c r="AC852" s="111"/>
      <c r="AD852" s="89"/>
      <c r="AE852" s="89"/>
      <c r="AF852" s="98"/>
      <c r="AG852" s="98"/>
      <c r="AH852" s="98"/>
      <c r="AI852" s="99"/>
      <c r="AJ852" s="99"/>
      <c r="AK852" s="99"/>
      <c r="AL852" s="45" t="s">
        <v>68</v>
      </c>
      <c r="AM852" s="162" t="str">
        <f t="shared" si="104"/>
        <v>3/2026</v>
      </c>
      <c r="AN852" s="45">
        <f t="shared" si="105"/>
        <v>4</v>
      </c>
      <c r="AO852" s="45" t="str">
        <f t="shared" si="106"/>
        <v>1/1900</v>
      </c>
      <c r="AP852" s="45" t="e">
        <f t="shared" si="107"/>
        <v>#NUM!</v>
      </c>
      <c r="AQ852" s="45">
        <f t="shared" si="108"/>
        <v>0</v>
      </c>
      <c r="AR852" s="45">
        <f t="shared" si="109"/>
        <v>0</v>
      </c>
      <c r="AS852" s="45">
        <f t="shared" si="110"/>
        <v>0</v>
      </c>
      <c r="AT852" s="45">
        <f t="shared" si="111"/>
        <v>0</v>
      </c>
      <c r="AU852" s="45" t="str">
        <f>_xlfn.XLOOKUP(U852,'Lista Suspensa'!$AA$20:$AA$23,'Lista Suspensa'!$AB$20:$AB$23,"N/A")</f>
        <v>S</v>
      </c>
    </row>
    <row r="853" spans="1:47" ht="12" hidden="1" customHeight="1" x14ac:dyDescent="0.3">
      <c r="A853" s="87" t="s">
        <v>47</v>
      </c>
      <c r="B853" s="88">
        <v>46104</v>
      </c>
      <c r="C853" s="89" t="s">
        <v>48</v>
      </c>
      <c r="D853" s="89" t="s">
        <v>49</v>
      </c>
      <c r="E853" s="90">
        <v>88225498</v>
      </c>
      <c r="F853" s="184" t="s">
        <v>2604</v>
      </c>
      <c r="G853" s="91">
        <v>8996595861</v>
      </c>
      <c r="H853" s="92">
        <v>24512</v>
      </c>
      <c r="I853" s="89">
        <v>59</v>
      </c>
      <c r="J853" s="89" t="s">
        <v>51</v>
      </c>
      <c r="K853" s="89" t="s">
        <v>52</v>
      </c>
      <c r="L853" s="89" t="s">
        <v>53</v>
      </c>
      <c r="M853" s="89" t="s">
        <v>2349</v>
      </c>
      <c r="N853" s="89" t="s">
        <v>55</v>
      </c>
      <c r="O853" s="93" t="s">
        <v>2605</v>
      </c>
      <c r="P853" s="94" t="s">
        <v>57</v>
      </c>
      <c r="Q853" s="112" t="s">
        <v>2211</v>
      </c>
      <c r="R853" s="95"/>
      <c r="S853" s="96">
        <v>46164</v>
      </c>
      <c r="T853" s="96" t="s">
        <v>2212</v>
      </c>
      <c r="U853" s="96" t="s">
        <v>79</v>
      </c>
      <c r="V853" s="92">
        <v>46140</v>
      </c>
      <c r="W853" s="92">
        <v>46147</v>
      </c>
      <c r="X853" s="92">
        <v>46154</v>
      </c>
      <c r="Y853" s="97"/>
      <c r="Z853" s="89"/>
      <c r="AA853" s="96"/>
      <c r="AB853" s="89"/>
      <c r="AC853" s="111"/>
      <c r="AD853" s="89"/>
      <c r="AE853" s="89"/>
      <c r="AF853" s="98"/>
      <c r="AG853" s="98"/>
      <c r="AH853" s="98"/>
      <c r="AI853" s="99"/>
      <c r="AJ853" s="99"/>
      <c r="AK853" s="99"/>
      <c r="AL853" s="45" t="s">
        <v>68</v>
      </c>
      <c r="AM853" s="162" t="str">
        <f t="shared" si="104"/>
        <v>3/2026</v>
      </c>
      <c r="AN853" s="45">
        <f t="shared" si="105"/>
        <v>4</v>
      </c>
      <c r="AO853" s="45" t="str">
        <f t="shared" si="106"/>
        <v>1/1900</v>
      </c>
      <c r="AP853" s="45" t="e">
        <f t="shared" si="107"/>
        <v>#NUM!</v>
      </c>
      <c r="AQ853" s="45">
        <f t="shared" si="108"/>
        <v>0</v>
      </c>
      <c r="AR853" s="45">
        <f t="shared" si="109"/>
        <v>0</v>
      </c>
      <c r="AS853" s="45">
        <f t="shared" si="110"/>
        <v>0</v>
      </c>
      <c r="AT853" s="45">
        <f t="shared" si="111"/>
        <v>0</v>
      </c>
      <c r="AU853" s="45" t="str">
        <f>_xlfn.XLOOKUP(U853,'Lista Suspensa'!$AA$20:$AA$23,'Lista Suspensa'!$AB$20:$AB$23,"N/A")</f>
        <v>S</v>
      </c>
    </row>
    <row r="854" spans="1:47" ht="12" hidden="1" customHeight="1" x14ac:dyDescent="0.3">
      <c r="A854" s="87" t="s">
        <v>47</v>
      </c>
      <c r="B854" s="88">
        <v>46104</v>
      </c>
      <c r="C854" s="89" t="s">
        <v>48</v>
      </c>
      <c r="D854" s="89" t="s">
        <v>49</v>
      </c>
      <c r="E854" s="90">
        <v>94415051</v>
      </c>
      <c r="F854" s="184" t="s">
        <v>2606</v>
      </c>
      <c r="G854" s="91">
        <v>3375663803</v>
      </c>
      <c r="H854" s="92">
        <v>22478</v>
      </c>
      <c r="I854" s="89">
        <v>64</v>
      </c>
      <c r="J854" s="89" t="s">
        <v>51</v>
      </c>
      <c r="K854" s="89" t="s">
        <v>52</v>
      </c>
      <c r="L854" s="89" t="s">
        <v>53</v>
      </c>
      <c r="M854" s="89" t="s">
        <v>2269</v>
      </c>
      <c r="N854" s="89" t="s">
        <v>55</v>
      </c>
      <c r="O854" s="93" t="s">
        <v>2607</v>
      </c>
      <c r="P854" s="94" t="s">
        <v>57</v>
      </c>
      <c r="Q854" s="112" t="s">
        <v>2211</v>
      </c>
      <c r="R854" s="95"/>
      <c r="S854" s="96">
        <v>46164</v>
      </c>
      <c r="T854" s="96" t="s">
        <v>2212</v>
      </c>
      <c r="U854" s="96" t="s">
        <v>79</v>
      </c>
      <c r="V854" s="92">
        <v>46140</v>
      </c>
      <c r="W854" s="92">
        <v>46147</v>
      </c>
      <c r="X854" s="92">
        <v>46154</v>
      </c>
      <c r="Y854" s="97"/>
      <c r="Z854" s="89"/>
      <c r="AA854" s="96"/>
      <c r="AB854" s="89"/>
      <c r="AC854" s="111"/>
      <c r="AD854" s="89"/>
      <c r="AE854" s="89"/>
      <c r="AF854" s="98"/>
      <c r="AG854" s="98"/>
      <c r="AH854" s="98"/>
      <c r="AI854" s="99"/>
      <c r="AJ854" s="99"/>
      <c r="AK854" s="99"/>
      <c r="AL854" s="45" t="s">
        <v>68</v>
      </c>
      <c r="AM854" s="162" t="str">
        <f t="shared" si="104"/>
        <v>3/2026</v>
      </c>
      <c r="AN854" s="45">
        <f t="shared" si="105"/>
        <v>4</v>
      </c>
      <c r="AO854" s="45" t="str">
        <f t="shared" si="106"/>
        <v>1/1900</v>
      </c>
      <c r="AP854" s="45" t="e">
        <f t="shared" si="107"/>
        <v>#NUM!</v>
      </c>
      <c r="AQ854" s="45">
        <f t="shared" si="108"/>
        <v>0</v>
      </c>
      <c r="AR854" s="45">
        <f t="shared" si="109"/>
        <v>0</v>
      </c>
      <c r="AS854" s="45">
        <f t="shared" si="110"/>
        <v>0</v>
      </c>
      <c r="AT854" s="45">
        <f t="shared" si="111"/>
        <v>0</v>
      </c>
      <c r="AU854" s="45" t="str">
        <f>_xlfn.XLOOKUP(U854,'Lista Suspensa'!$AA$20:$AA$23,'Lista Suspensa'!$AB$20:$AB$23,"N/A")</f>
        <v>S</v>
      </c>
    </row>
    <row r="855" spans="1:47" ht="12" hidden="1" customHeight="1" x14ac:dyDescent="0.3">
      <c r="A855" s="87" t="s">
        <v>47</v>
      </c>
      <c r="B855" s="88">
        <v>46104</v>
      </c>
      <c r="C855" s="89" t="s">
        <v>48</v>
      </c>
      <c r="D855" s="89" t="s">
        <v>49</v>
      </c>
      <c r="E855" s="90">
        <v>95885881</v>
      </c>
      <c r="F855" s="184" t="s">
        <v>2608</v>
      </c>
      <c r="G855" s="91">
        <v>11180204727</v>
      </c>
      <c r="H855" s="92">
        <v>31558</v>
      </c>
      <c r="I855" s="89">
        <v>39</v>
      </c>
      <c r="J855" s="89" t="s">
        <v>70</v>
      </c>
      <c r="K855" s="89" t="s">
        <v>88</v>
      </c>
      <c r="L855" s="89" t="s">
        <v>89</v>
      </c>
      <c r="M855" s="89" t="s">
        <v>2609</v>
      </c>
      <c r="N855" s="89" t="s">
        <v>233</v>
      </c>
      <c r="O855" s="93" t="s">
        <v>2610</v>
      </c>
      <c r="P855" s="94" t="s">
        <v>57</v>
      </c>
      <c r="Q855" s="112" t="s">
        <v>2211</v>
      </c>
      <c r="R855" s="95"/>
      <c r="S855" s="96">
        <v>46164</v>
      </c>
      <c r="T855" s="96" t="s">
        <v>2212</v>
      </c>
      <c r="U855" s="96" t="s">
        <v>79</v>
      </c>
      <c r="V855" s="92">
        <v>46140</v>
      </c>
      <c r="W855" s="92">
        <v>46147</v>
      </c>
      <c r="X855" s="92">
        <v>46154</v>
      </c>
      <c r="Y855" s="97"/>
      <c r="Z855" s="89"/>
      <c r="AA855" s="96"/>
      <c r="AB855" s="89"/>
      <c r="AC855" s="111"/>
      <c r="AD855" s="89"/>
      <c r="AE855" s="89"/>
      <c r="AF855" s="98"/>
      <c r="AG855" s="98"/>
      <c r="AH855" s="98"/>
      <c r="AI855" s="99"/>
      <c r="AJ855" s="99"/>
      <c r="AK855" s="99"/>
      <c r="AL855" s="45" t="s">
        <v>68</v>
      </c>
      <c r="AM855" s="162" t="str">
        <f t="shared" si="104"/>
        <v>3/2026</v>
      </c>
      <c r="AN855" s="45">
        <f t="shared" si="105"/>
        <v>4</v>
      </c>
      <c r="AO855" s="45" t="str">
        <f t="shared" si="106"/>
        <v>1/1900</v>
      </c>
      <c r="AP855" s="45" t="e">
        <f t="shared" si="107"/>
        <v>#NUM!</v>
      </c>
      <c r="AQ855" s="45">
        <f t="shared" si="108"/>
        <v>0</v>
      </c>
      <c r="AR855" s="45">
        <f t="shared" si="109"/>
        <v>0</v>
      </c>
      <c r="AS855" s="45">
        <f t="shared" si="110"/>
        <v>0</v>
      </c>
      <c r="AT855" s="45">
        <f t="shared" si="111"/>
        <v>0</v>
      </c>
      <c r="AU855" s="45" t="str">
        <f>_xlfn.XLOOKUP(U855,'Lista Suspensa'!$AA$20:$AA$23,'Lista Suspensa'!$AB$20:$AB$23,"N/A")</f>
        <v>S</v>
      </c>
    </row>
    <row r="856" spans="1:47" ht="12" hidden="1" customHeight="1" x14ac:dyDescent="0.3">
      <c r="A856" s="87" t="s">
        <v>47</v>
      </c>
      <c r="B856" s="88">
        <v>46104</v>
      </c>
      <c r="C856" s="89" t="s">
        <v>48</v>
      </c>
      <c r="D856" s="89" t="s">
        <v>49</v>
      </c>
      <c r="E856" s="90">
        <v>94829958</v>
      </c>
      <c r="F856" s="184" t="s">
        <v>2611</v>
      </c>
      <c r="G856" s="91">
        <v>5324655716</v>
      </c>
      <c r="H856" s="92">
        <v>28972</v>
      </c>
      <c r="I856" s="89">
        <v>46</v>
      </c>
      <c r="J856" s="89" t="s">
        <v>70</v>
      </c>
      <c r="K856" s="89" t="s">
        <v>88</v>
      </c>
      <c r="L856" s="89" t="s">
        <v>867</v>
      </c>
      <c r="M856" s="89" t="s">
        <v>2612</v>
      </c>
      <c r="N856" s="89" t="s">
        <v>233</v>
      </c>
      <c r="O856" s="93" t="s">
        <v>2613</v>
      </c>
      <c r="P856" s="94" t="s">
        <v>57</v>
      </c>
      <c r="Q856" s="112" t="s">
        <v>2211</v>
      </c>
      <c r="R856" s="95"/>
      <c r="S856" s="96">
        <v>46164</v>
      </c>
      <c r="T856" s="96" t="s">
        <v>2212</v>
      </c>
      <c r="U856" s="96" t="s">
        <v>79</v>
      </c>
      <c r="V856" s="92">
        <v>46140</v>
      </c>
      <c r="W856" s="92">
        <v>46147</v>
      </c>
      <c r="X856" s="92">
        <v>46154</v>
      </c>
      <c r="Y856" s="97"/>
      <c r="Z856" s="89"/>
      <c r="AA856" s="96"/>
      <c r="AB856" s="89"/>
      <c r="AC856" s="111"/>
      <c r="AD856" s="89"/>
      <c r="AE856" s="89"/>
      <c r="AF856" s="98"/>
      <c r="AG856" s="98"/>
      <c r="AH856" s="98"/>
      <c r="AI856" s="99"/>
      <c r="AJ856" s="99"/>
      <c r="AK856" s="99"/>
      <c r="AL856" s="45" t="s">
        <v>68</v>
      </c>
      <c r="AM856" s="162" t="str">
        <f t="shared" si="104"/>
        <v>3/2026</v>
      </c>
      <c r="AN856" s="45">
        <f t="shared" si="105"/>
        <v>4</v>
      </c>
      <c r="AO856" s="45" t="str">
        <f t="shared" si="106"/>
        <v>1/1900</v>
      </c>
      <c r="AP856" s="45" t="e">
        <f t="shared" si="107"/>
        <v>#NUM!</v>
      </c>
      <c r="AQ856" s="45">
        <f t="shared" si="108"/>
        <v>0</v>
      </c>
      <c r="AR856" s="45">
        <f t="shared" si="109"/>
        <v>0</v>
      </c>
      <c r="AS856" s="45">
        <f t="shared" si="110"/>
        <v>0</v>
      </c>
      <c r="AT856" s="45">
        <f t="shared" si="111"/>
        <v>0</v>
      </c>
      <c r="AU856" s="45" t="str">
        <f>_xlfn.XLOOKUP(U856,'Lista Suspensa'!$AA$20:$AA$23,'Lista Suspensa'!$AB$20:$AB$23,"N/A")</f>
        <v>S</v>
      </c>
    </row>
    <row r="857" spans="1:47" ht="12" hidden="1" customHeight="1" x14ac:dyDescent="0.3">
      <c r="A857" s="87" t="s">
        <v>47</v>
      </c>
      <c r="B857" s="88">
        <v>46104</v>
      </c>
      <c r="C857" s="89" t="s">
        <v>48</v>
      </c>
      <c r="D857" s="89" t="s">
        <v>49</v>
      </c>
      <c r="E857" s="90">
        <v>88364680</v>
      </c>
      <c r="F857" s="184" t="s">
        <v>2614</v>
      </c>
      <c r="G857" s="91">
        <v>46166084749</v>
      </c>
      <c r="H857" s="92">
        <v>20958</v>
      </c>
      <c r="I857" s="89">
        <v>68</v>
      </c>
      <c r="J857" s="89" t="s">
        <v>70</v>
      </c>
      <c r="K857" s="89" t="s">
        <v>88</v>
      </c>
      <c r="L857" s="89" t="s">
        <v>89</v>
      </c>
      <c r="M857" s="89" t="s">
        <v>384</v>
      </c>
      <c r="N857" s="89" t="s">
        <v>233</v>
      </c>
      <c r="O857" s="93" t="s">
        <v>2615</v>
      </c>
      <c r="P857" s="94" t="s">
        <v>57</v>
      </c>
      <c r="Q857" s="112" t="s">
        <v>2211</v>
      </c>
      <c r="R857" s="95"/>
      <c r="S857" s="96">
        <v>46164</v>
      </c>
      <c r="T857" s="96" t="s">
        <v>2212</v>
      </c>
      <c r="U857" s="96" t="s">
        <v>79</v>
      </c>
      <c r="V857" s="92">
        <v>46140</v>
      </c>
      <c r="W857" s="92">
        <v>46147</v>
      </c>
      <c r="X857" s="92">
        <v>46154</v>
      </c>
      <c r="Y857" s="97"/>
      <c r="Z857" s="89"/>
      <c r="AA857" s="96"/>
      <c r="AB857" s="89"/>
      <c r="AC857" s="111"/>
      <c r="AD857" s="89"/>
      <c r="AE857" s="89"/>
      <c r="AF857" s="98"/>
      <c r="AG857" s="98"/>
      <c r="AH857" s="98"/>
      <c r="AI857" s="99"/>
      <c r="AJ857" s="99"/>
      <c r="AK857" s="99"/>
      <c r="AL857" s="45" t="s">
        <v>68</v>
      </c>
      <c r="AM857" s="162" t="str">
        <f t="shared" si="104"/>
        <v>3/2026</v>
      </c>
      <c r="AN857" s="45">
        <f t="shared" si="105"/>
        <v>4</v>
      </c>
      <c r="AO857" s="45" t="str">
        <f t="shared" si="106"/>
        <v>1/1900</v>
      </c>
      <c r="AP857" s="45" t="e">
        <f t="shared" si="107"/>
        <v>#NUM!</v>
      </c>
      <c r="AQ857" s="45">
        <f t="shared" si="108"/>
        <v>0</v>
      </c>
      <c r="AR857" s="45">
        <f t="shared" si="109"/>
        <v>0</v>
      </c>
      <c r="AS857" s="45">
        <f t="shared" si="110"/>
        <v>0</v>
      </c>
      <c r="AT857" s="45">
        <f t="shared" si="111"/>
        <v>0</v>
      </c>
      <c r="AU857" s="45" t="str">
        <f>_xlfn.XLOOKUP(U857,'Lista Suspensa'!$AA$20:$AA$23,'Lista Suspensa'!$AB$20:$AB$23,"N/A")</f>
        <v>S</v>
      </c>
    </row>
    <row r="858" spans="1:47" ht="12" hidden="1" customHeight="1" x14ac:dyDescent="0.3">
      <c r="A858" s="87" t="s">
        <v>47</v>
      </c>
      <c r="B858" s="88">
        <v>46104</v>
      </c>
      <c r="C858" s="89" t="s">
        <v>48</v>
      </c>
      <c r="D858" s="89" t="s">
        <v>49</v>
      </c>
      <c r="E858" s="90">
        <v>93670877</v>
      </c>
      <c r="F858" s="184" t="s">
        <v>2616</v>
      </c>
      <c r="G858" s="91">
        <v>54795664749</v>
      </c>
      <c r="H858" s="92">
        <v>21463</v>
      </c>
      <c r="I858" s="89">
        <v>67</v>
      </c>
      <c r="J858" s="89" t="s">
        <v>70</v>
      </c>
      <c r="K858" s="89" t="s">
        <v>88</v>
      </c>
      <c r="L858" s="89" t="s">
        <v>89</v>
      </c>
      <c r="M858" s="89" t="s">
        <v>384</v>
      </c>
      <c r="N858" s="89" t="s">
        <v>233</v>
      </c>
      <c r="O858" s="93" t="s">
        <v>2617</v>
      </c>
      <c r="P858" s="94" t="s">
        <v>57</v>
      </c>
      <c r="Q858" s="112" t="s">
        <v>2211</v>
      </c>
      <c r="R858" s="95"/>
      <c r="S858" s="96">
        <v>46164</v>
      </c>
      <c r="T858" s="96" t="s">
        <v>2212</v>
      </c>
      <c r="U858" s="96" t="s">
        <v>79</v>
      </c>
      <c r="V858" s="92">
        <v>46140</v>
      </c>
      <c r="W858" s="92">
        <v>46147</v>
      </c>
      <c r="X858" s="92">
        <v>46154</v>
      </c>
      <c r="Y858" s="97"/>
      <c r="Z858" s="89"/>
      <c r="AA858" s="96"/>
      <c r="AB858" s="89"/>
      <c r="AC858" s="111"/>
      <c r="AD858" s="89"/>
      <c r="AE858" s="89"/>
      <c r="AF858" s="98"/>
      <c r="AG858" s="98"/>
      <c r="AH858" s="98"/>
      <c r="AI858" s="99"/>
      <c r="AJ858" s="99"/>
      <c r="AK858" s="99"/>
      <c r="AL858" s="45" t="s">
        <v>68</v>
      </c>
      <c r="AM858" s="162" t="str">
        <f t="shared" si="104"/>
        <v>3/2026</v>
      </c>
      <c r="AN858" s="45">
        <f t="shared" si="105"/>
        <v>4</v>
      </c>
      <c r="AO858" s="45" t="str">
        <f t="shared" si="106"/>
        <v>1/1900</v>
      </c>
      <c r="AP858" s="45" t="e">
        <f t="shared" si="107"/>
        <v>#NUM!</v>
      </c>
      <c r="AQ858" s="45">
        <f t="shared" si="108"/>
        <v>0</v>
      </c>
      <c r="AR858" s="45">
        <f t="shared" si="109"/>
        <v>0</v>
      </c>
      <c r="AS858" s="45">
        <f t="shared" si="110"/>
        <v>0</v>
      </c>
      <c r="AT858" s="45">
        <f t="shared" si="111"/>
        <v>0</v>
      </c>
      <c r="AU858" s="45" t="str">
        <f>_xlfn.XLOOKUP(U858,'Lista Suspensa'!$AA$20:$AA$23,'Lista Suspensa'!$AB$20:$AB$23,"N/A")</f>
        <v>S</v>
      </c>
    </row>
    <row r="859" spans="1:47" ht="12" hidden="1" customHeight="1" x14ac:dyDescent="0.3">
      <c r="A859" s="87" t="s">
        <v>47</v>
      </c>
      <c r="B859" s="88">
        <v>46104</v>
      </c>
      <c r="C859" s="89" t="s">
        <v>48</v>
      </c>
      <c r="D859" s="89" t="s">
        <v>49</v>
      </c>
      <c r="E859" s="90">
        <v>88364683</v>
      </c>
      <c r="F859" s="184" t="s">
        <v>2618</v>
      </c>
      <c r="G859" s="91">
        <v>93164998791</v>
      </c>
      <c r="H859" s="92">
        <v>24232</v>
      </c>
      <c r="I859" s="89">
        <v>59</v>
      </c>
      <c r="J859" s="89" t="s">
        <v>51</v>
      </c>
      <c r="K859" s="89" t="s">
        <v>88</v>
      </c>
      <c r="L859" s="89" t="s">
        <v>89</v>
      </c>
      <c r="M859" s="89" t="s">
        <v>384</v>
      </c>
      <c r="N859" s="89" t="s">
        <v>233</v>
      </c>
      <c r="O859" s="93" t="s">
        <v>2619</v>
      </c>
      <c r="P859" s="94" t="s">
        <v>57</v>
      </c>
      <c r="Q859" s="112" t="s">
        <v>2211</v>
      </c>
      <c r="R859" s="95"/>
      <c r="S859" s="96">
        <v>46164</v>
      </c>
      <c r="T859" s="96" t="s">
        <v>2212</v>
      </c>
      <c r="U859" s="96" t="s">
        <v>79</v>
      </c>
      <c r="V859" s="92">
        <v>46140</v>
      </c>
      <c r="W859" s="92">
        <v>46147</v>
      </c>
      <c r="X859" s="92">
        <v>46154</v>
      </c>
      <c r="Y859" s="97"/>
      <c r="Z859" s="89"/>
      <c r="AA859" s="96"/>
      <c r="AB859" s="89"/>
      <c r="AC859" s="111"/>
      <c r="AD859" s="89"/>
      <c r="AE859" s="89"/>
      <c r="AF859" s="98"/>
      <c r="AG859" s="98"/>
      <c r="AH859" s="98"/>
      <c r="AI859" s="99"/>
      <c r="AJ859" s="99"/>
      <c r="AK859" s="99"/>
      <c r="AL859" s="45" t="s">
        <v>68</v>
      </c>
      <c r="AM859" s="162" t="str">
        <f t="shared" si="104"/>
        <v>3/2026</v>
      </c>
      <c r="AN859" s="45">
        <f t="shared" si="105"/>
        <v>4</v>
      </c>
      <c r="AO859" s="45" t="str">
        <f t="shared" si="106"/>
        <v>1/1900</v>
      </c>
      <c r="AP859" s="45" t="e">
        <f t="shared" si="107"/>
        <v>#NUM!</v>
      </c>
      <c r="AQ859" s="45">
        <f t="shared" si="108"/>
        <v>0</v>
      </c>
      <c r="AR859" s="45">
        <f t="shared" si="109"/>
        <v>0</v>
      </c>
      <c r="AS859" s="45">
        <f t="shared" si="110"/>
        <v>0</v>
      </c>
      <c r="AT859" s="45">
        <f t="shared" si="111"/>
        <v>0</v>
      </c>
      <c r="AU859" s="45" t="str">
        <f>_xlfn.XLOOKUP(U859,'Lista Suspensa'!$AA$20:$AA$23,'Lista Suspensa'!$AB$20:$AB$23,"N/A")</f>
        <v>S</v>
      </c>
    </row>
    <row r="860" spans="1:47" ht="12" hidden="1" customHeight="1" x14ac:dyDescent="0.3">
      <c r="A860" s="87" t="s">
        <v>47</v>
      </c>
      <c r="B860" s="88">
        <v>46104</v>
      </c>
      <c r="C860" s="89" t="s">
        <v>48</v>
      </c>
      <c r="D860" s="89" t="s">
        <v>49</v>
      </c>
      <c r="E860" s="90">
        <v>88364681</v>
      </c>
      <c r="F860" s="184" t="s">
        <v>2620</v>
      </c>
      <c r="G860" s="91">
        <v>8191502402</v>
      </c>
      <c r="H860" s="92">
        <v>32649</v>
      </c>
      <c r="I860" s="89">
        <v>36</v>
      </c>
      <c r="J860" s="89" t="s">
        <v>70</v>
      </c>
      <c r="K860" s="89" t="s">
        <v>88</v>
      </c>
      <c r="L860" s="89" t="s">
        <v>89</v>
      </c>
      <c r="M860" s="89" t="s">
        <v>384</v>
      </c>
      <c r="N860" s="89" t="s">
        <v>233</v>
      </c>
      <c r="O860" s="93" t="s">
        <v>2621</v>
      </c>
      <c r="P860" s="94" t="s">
        <v>57</v>
      </c>
      <c r="Q860" s="112" t="s">
        <v>2211</v>
      </c>
      <c r="R860" s="95"/>
      <c r="S860" s="96">
        <v>46164</v>
      </c>
      <c r="T860" s="96" t="s">
        <v>2212</v>
      </c>
      <c r="U860" s="96" t="s">
        <v>79</v>
      </c>
      <c r="V860" s="92">
        <v>46140</v>
      </c>
      <c r="W860" s="92">
        <v>46147</v>
      </c>
      <c r="X860" s="92">
        <v>46154</v>
      </c>
      <c r="Y860" s="97"/>
      <c r="Z860" s="89"/>
      <c r="AA860" s="96"/>
      <c r="AB860" s="89"/>
      <c r="AC860" s="111"/>
      <c r="AD860" s="89"/>
      <c r="AE860" s="89"/>
      <c r="AF860" s="98"/>
      <c r="AG860" s="98"/>
      <c r="AH860" s="98"/>
      <c r="AI860" s="99"/>
      <c r="AJ860" s="99"/>
      <c r="AK860" s="99"/>
      <c r="AL860" s="45" t="s">
        <v>68</v>
      </c>
      <c r="AM860" s="162" t="str">
        <f t="shared" si="104"/>
        <v>3/2026</v>
      </c>
      <c r="AN860" s="45">
        <f t="shared" si="105"/>
        <v>4</v>
      </c>
      <c r="AO860" s="45" t="str">
        <f t="shared" si="106"/>
        <v>1/1900</v>
      </c>
      <c r="AP860" s="45" t="e">
        <f t="shared" si="107"/>
        <v>#NUM!</v>
      </c>
      <c r="AQ860" s="45">
        <f t="shared" si="108"/>
        <v>0</v>
      </c>
      <c r="AR860" s="45">
        <f t="shared" si="109"/>
        <v>0</v>
      </c>
      <c r="AS860" s="45">
        <f t="shared" si="110"/>
        <v>0</v>
      </c>
      <c r="AT860" s="45">
        <f t="shared" si="111"/>
        <v>0</v>
      </c>
      <c r="AU860" s="45" t="str">
        <f>_xlfn.XLOOKUP(U860,'Lista Suspensa'!$AA$20:$AA$23,'Lista Suspensa'!$AB$20:$AB$23,"N/A")</f>
        <v>S</v>
      </c>
    </row>
    <row r="861" spans="1:47" ht="12" hidden="1" customHeight="1" x14ac:dyDescent="0.3">
      <c r="A861" s="87" t="s">
        <v>47</v>
      </c>
      <c r="B861" s="88">
        <v>46104</v>
      </c>
      <c r="C861" s="89" t="s">
        <v>48</v>
      </c>
      <c r="D861" s="89" t="s">
        <v>49</v>
      </c>
      <c r="E861" s="90">
        <v>93897789</v>
      </c>
      <c r="F861" s="184" t="s">
        <v>2622</v>
      </c>
      <c r="G861" s="91">
        <v>90000080772</v>
      </c>
      <c r="H861" s="92">
        <v>24039</v>
      </c>
      <c r="I861" s="89">
        <v>60</v>
      </c>
      <c r="J861" s="89" t="s">
        <v>51</v>
      </c>
      <c r="K861" s="89" t="s">
        <v>88</v>
      </c>
      <c r="L861" s="89" t="s">
        <v>89</v>
      </c>
      <c r="M861" s="89" t="s">
        <v>240</v>
      </c>
      <c r="N861" s="89" t="s">
        <v>233</v>
      </c>
      <c r="O861" s="93" t="s">
        <v>2623</v>
      </c>
      <c r="P861" s="94" t="s">
        <v>57</v>
      </c>
      <c r="Q861" s="112" t="s">
        <v>2211</v>
      </c>
      <c r="R861" s="95"/>
      <c r="S861" s="96">
        <v>46164</v>
      </c>
      <c r="T861" s="96" t="s">
        <v>2212</v>
      </c>
      <c r="U861" s="96" t="s">
        <v>79</v>
      </c>
      <c r="V861" s="92">
        <v>46128</v>
      </c>
      <c r="W861" s="92">
        <v>46147</v>
      </c>
      <c r="X861" s="92">
        <v>46154</v>
      </c>
      <c r="Y861" s="97"/>
      <c r="Z861" s="89"/>
      <c r="AA861" s="96"/>
      <c r="AB861" s="89"/>
      <c r="AC861" s="111"/>
      <c r="AD861" s="89"/>
      <c r="AE861" s="89"/>
      <c r="AF861" s="98"/>
      <c r="AG861" s="98"/>
      <c r="AH861" s="98"/>
      <c r="AI861" s="99"/>
      <c r="AJ861" s="99"/>
      <c r="AK861" s="99"/>
      <c r="AL861" s="45" t="s">
        <v>68</v>
      </c>
      <c r="AM861" s="162" t="str">
        <f t="shared" si="104"/>
        <v>3/2026</v>
      </c>
      <c r="AN861" s="45">
        <f t="shared" si="105"/>
        <v>4</v>
      </c>
      <c r="AO861" s="45" t="str">
        <f t="shared" si="106"/>
        <v>1/1900</v>
      </c>
      <c r="AP861" s="45" t="e">
        <f t="shared" si="107"/>
        <v>#NUM!</v>
      </c>
      <c r="AQ861" s="45">
        <f t="shared" si="108"/>
        <v>0</v>
      </c>
      <c r="AR861" s="45">
        <f t="shared" si="109"/>
        <v>0</v>
      </c>
      <c r="AS861" s="45">
        <f t="shared" si="110"/>
        <v>0</v>
      </c>
      <c r="AT861" s="45">
        <f t="shared" si="111"/>
        <v>0</v>
      </c>
      <c r="AU861" s="45" t="str">
        <f>_xlfn.XLOOKUP(U861,'Lista Suspensa'!$AA$20:$AA$23,'Lista Suspensa'!$AB$20:$AB$23,"N/A")</f>
        <v>S</v>
      </c>
    </row>
    <row r="862" spans="1:47" ht="12" hidden="1" customHeight="1" x14ac:dyDescent="0.3">
      <c r="A862" s="87" t="s">
        <v>47</v>
      </c>
      <c r="B862" s="88">
        <v>46104</v>
      </c>
      <c r="C862" s="89" t="s">
        <v>48</v>
      </c>
      <c r="D862" s="89" t="s">
        <v>49</v>
      </c>
      <c r="E862" s="90">
        <v>450010430</v>
      </c>
      <c r="F862" s="184" t="s">
        <v>2624</v>
      </c>
      <c r="G862" s="91">
        <v>7972407568</v>
      </c>
      <c r="H862" s="92">
        <v>18700</v>
      </c>
      <c r="I862" s="89">
        <v>75</v>
      </c>
      <c r="J862" s="89" t="s">
        <v>70</v>
      </c>
      <c r="K862" s="89" t="s">
        <v>52</v>
      </c>
      <c r="L862" s="89" t="s">
        <v>53</v>
      </c>
      <c r="M862" s="89" t="s">
        <v>1293</v>
      </c>
      <c r="N862" s="89" t="s">
        <v>91</v>
      </c>
      <c r="O862" s="93" t="s">
        <v>2625</v>
      </c>
      <c r="P862" s="94" t="s">
        <v>57</v>
      </c>
      <c r="Q862" s="112" t="s">
        <v>745</v>
      </c>
      <c r="R862" s="95">
        <v>46141</v>
      </c>
      <c r="S862" s="96">
        <v>46142</v>
      </c>
      <c r="T862" s="96" t="s">
        <v>59</v>
      </c>
      <c r="U862" s="96" t="s">
        <v>79</v>
      </c>
      <c r="V862" s="92">
        <v>46140</v>
      </c>
      <c r="W862" s="92">
        <v>46141</v>
      </c>
      <c r="X862" s="92" t="s">
        <v>61</v>
      </c>
      <c r="Y862" s="97" t="s">
        <v>104</v>
      </c>
      <c r="Z862" s="89" t="s">
        <v>62</v>
      </c>
      <c r="AA862" s="96">
        <v>46142</v>
      </c>
      <c r="AB862" s="89" t="s">
        <v>63</v>
      </c>
      <c r="AC862" s="111"/>
      <c r="AD862" s="89"/>
      <c r="AE862" s="89"/>
      <c r="AF862" s="98"/>
      <c r="AG862" s="98"/>
      <c r="AH862" s="98"/>
      <c r="AI862" s="99" t="s">
        <v>197</v>
      </c>
      <c r="AJ862" s="99"/>
      <c r="AK862" s="99"/>
      <c r="AL862" s="45" t="s">
        <v>68</v>
      </c>
      <c r="AM862" s="162" t="str">
        <f t="shared" si="104"/>
        <v>3/2026</v>
      </c>
      <c r="AN862" s="45">
        <f t="shared" si="105"/>
        <v>4</v>
      </c>
      <c r="AO862" s="45" t="str">
        <f t="shared" si="106"/>
        <v>4/2026</v>
      </c>
      <c r="AP862" s="45">
        <f t="shared" si="107"/>
        <v>5</v>
      </c>
      <c r="AQ862" s="45">
        <f t="shared" si="108"/>
        <v>0</v>
      </c>
      <c r="AR862" s="45">
        <f t="shared" si="109"/>
        <v>1</v>
      </c>
      <c r="AS862" s="45">
        <f t="shared" si="110"/>
        <v>0</v>
      </c>
      <c r="AT862" s="45">
        <f t="shared" si="111"/>
        <v>0</v>
      </c>
      <c r="AU862" s="45" t="str">
        <f>_xlfn.XLOOKUP(U862,'Lista Suspensa'!$AA$20:$AA$23,'Lista Suspensa'!$AB$20:$AB$23,"N/A")</f>
        <v>S</v>
      </c>
    </row>
    <row r="863" spans="1:47" ht="12" hidden="1" customHeight="1" x14ac:dyDescent="0.3">
      <c r="A863" s="87" t="s">
        <v>47</v>
      </c>
      <c r="B863" s="88">
        <v>46104</v>
      </c>
      <c r="C863" s="89" t="s">
        <v>48</v>
      </c>
      <c r="D863" s="89" t="s">
        <v>49</v>
      </c>
      <c r="E863" s="90">
        <v>89654882</v>
      </c>
      <c r="F863" s="184" t="s">
        <v>2626</v>
      </c>
      <c r="G863" s="91">
        <v>78187320710</v>
      </c>
      <c r="H863" s="92">
        <v>23154</v>
      </c>
      <c r="I863" s="89">
        <v>62</v>
      </c>
      <c r="J863" s="89" t="s">
        <v>51</v>
      </c>
      <c r="K863" s="89" t="s">
        <v>88</v>
      </c>
      <c r="L863" s="89" t="s">
        <v>97</v>
      </c>
      <c r="M863" s="89" t="s">
        <v>665</v>
      </c>
      <c r="N863" s="89" t="s">
        <v>233</v>
      </c>
      <c r="O863" s="93" t="s">
        <v>2627</v>
      </c>
      <c r="P863" s="94" t="s">
        <v>57</v>
      </c>
      <c r="Q863" s="112" t="s">
        <v>2211</v>
      </c>
      <c r="R863" s="95"/>
      <c r="S863" s="96">
        <v>46164</v>
      </c>
      <c r="T863" s="96" t="s">
        <v>2212</v>
      </c>
      <c r="U863" s="96" t="s">
        <v>79</v>
      </c>
      <c r="V863" s="92">
        <v>46112</v>
      </c>
      <c r="W863" s="92">
        <v>46147</v>
      </c>
      <c r="X863" s="92">
        <v>46154</v>
      </c>
      <c r="Y863" s="97"/>
      <c r="Z863" s="89"/>
      <c r="AA863" s="96"/>
      <c r="AB863" s="89"/>
      <c r="AC863" s="111"/>
      <c r="AD863" s="89"/>
      <c r="AE863" s="89"/>
      <c r="AF863" s="98"/>
      <c r="AG863" s="98"/>
      <c r="AH863" s="98"/>
      <c r="AI863" s="99"/>
      <c r="AJ863" s="99"/>
      <c r="AK863" s="99"/>
      <c r="AL863" s="45" t="s">
        <v>68</v>
      </c>
      <c r="AM863" s="162" t="str">
        <f t="shared" si="104"/>
        <v>3/2026</v>
      </c>
      <c r="AN863" s="45">
        <f t="shared" si="105"/>
        <v>4</v>
      </c>
      <c r="AO863" s="45" t="str">
        <f t="shared" si="106"/>
        <v>1/1900</v>
      </c>
      <c r="AP863" s="45" t="e">
        <f t="shared" si="107"/>
        <v>#NUM!</v>
      </c>
      <c r="AQ863" s="45">
        <f t="shared" si="108"/>
        <v>0</v>
      </c>
      <c r="AR863" s="45">
        <f t="shared" si="109"/>
        <v>0</v>
      </c>
      <c r="AS863" s="45">
        <f t="shared" si="110"/>
        <v>0</v>
      </c>
      <c r="AT863" s="45">
        <f t="shared" si="111"/>
        <v>0</v>
      </c>
      <c r="AU863" s="45" t="str">
        <f>_xlfn.XLOOKUP(U863,'Lista Suspensa'!$AA$20:$AA$23,'Lista Suspensa'!$AB$20:$AB$23,"N/A")</f>
        <v>S</v>
      </c>
    </row>
    <row r="864" spans="1:47" ht="12" hidden="1" customHeight="1" x14ac:dyDescent="0.3">
      <c r="A864" s="87" t="s">
        <v>47</v>
      </c>
      <c r="B864" s="88">
        <v>46104</v>
      </c>
      <c r="C864" s="89" t="s">
        <v>48</v>
      </c>
      <c r="D864" s="89" t="s">
        <v>49</v>
      </c>
      <c r="E864" s="90">
        <v>87889441</v>
      </c>
      <c r="F864" s="184" t="s">
        <v>2628</v>
      </c>
      <c r="G864" s="91">
        <v>91120829704</v>
      </c>
      <c r="H864" s="92">
        <v>23742</v>
      </c>
      <c r="I864" s="89">
        <v>61</v>
      </c>
      <c r="J864" s="89" t="s">
        <v>70</v>
      </c>
      <c r="K864" s="89" t="s">
        <v>88</v>
      </c>
      <c r="L864" s="89" t="s">
        <v>89</v>
      </c>
      <c r="M864" s="89" t="s">
        <v>2629</v>
      </c>
      <c r="N864" s="89" t="s">
        <v>233</v>
      </c>
      <c r="O864" s="93" t="s">
        <v>2630</v>
      </c>
      <c r="P864" s="94" t="s">
        <v>57</v>
      </c>
      <c r="Q864" s="112" t="s">
        <v>2211</v>
      </c>
      <c r="R864" s="95"/>
      <c r="S864" s="96">
        <v>46164</v>
      </c>
      <c r="T864" s="96" t="s">
        <v>2212</v>
      </c>
      <c r="U864" s="96" t="s">
        <v>79</v>
      </c>
      <c r="V864" s="92">
        <v>46140</v>
      </c>
      <c r="W864" s="92">
        <v>46147</v>
      </c>
      <c r="X864" s="92">
        <v>46154</v>
      </c>
      <c r="Y864" s="97"/>
      <c r="Z864" s="89"/>
      <c r="AA864" s="96"/>
      <c r="AB864" s="89"/>
      <c r="AC864" s="111"/>
      <c r="AD864" s="89"/>
      <c r="AE864" s="89"/>
      <c r="AF864" s="98"/>
      <c r="AG864" s="98"/>
      <c r="AH864" s="98"/>
      <c r="AI864" s="99"/>
      <c r="AJ864" s="99"/>
      <c r="AK864" s="99"/>
      <c r="AL864" s="45" t="s">
        <v>68</v>
      </c>
      <c r="AM864" s="162" t="str">
        <f t="shared" si="104"/>
        <v>3/2026</v>
      </c>
      <c r="AN864" s="45">
        <f t="shared" si="105"/>
        <v>4</v>
      </c>
      <c r="AO864" s="45" t="str">
        <f t="shared" si="106"/>
        <v>1/1900</v>
      </c>
      <c r="AP864" s="45" t="e">
        <f t="shared" si="107"/>
        <v>#NUM!</v>
      </c>
      <c r="AQ864" s="45">
        <f t="shared" si="108"/>
        <v>0</v>
      </c>
      <c r="AR864" s="45">
        <f t="shared" si="109"/>
        <v>0</v>
      </c>
      <c r="AS864" s="45">
        <f t="shared" si="110"/>
        <v>0</v>
      </c>
      <c r="AT864" s="45">
        <f t="shared" si="111"/>
        <v>0</v>
      </c>
      <c r="AU864" s="45" t="str">
        <f>_xlfn.XLOOKUP(U864,'Lista Suspensa'!$AA$20:$AA$23,'Lista Suspensa'!$AB$20:$AB$23,"N/A")</f>
        <v>S</v>
      </c>
    </row>
    <row r="865" spans="1:47" ht="12" hidden="1" customHeight="1" x14ac:dyDescent="0.3">
      <c r="A865" s="87" t="s">
        <v>47</v>
      </c>
      <c r="B865" s="88">
        <v>46104</v>
      </c>
      <c r="C865" s="89" t="s">
        <v>48</v>
      </c>
      <c r="D865" s="89" t="s">
        <v>49</v>
      </c>
      <c r="E865" s="90">
        <v>94577988</v>
      </c>
      <c r="F865" s="184" t="s">
        <v>2631</v>
      </c>
      <c r="G865" s="91">
        <v>5587839702</v>
      </c>
      <c r="H865" s="92">
        <v>29588</v>
      </c>
      <c r="I865" s="89">
        <v>45</v>
      </c>
      <c r="J865" s="89" t="s">
        <v>70</v>
      </c>
      <c r="K865" s="89" t="s">
        <v>88</v>
      </c>
      <c r="L865" s="89" t="s">
        <v>89</v>
      </c>
      <c r="M865" s="89" t="s">
        <v>1459</v>
      </c>
      <c r="N865" s="89" t="s">
        <v>233</v>
      </c>
      <c r="O865" s="93" t="s">
        <v>2632</v>
      </c>
      <c r="P865" s="94" t="s">
        <v>57</v>
      </c>
      <c r="Q865" s="112" t="s">
        <v>2211</v>
      </c>
      <c r="R865" s="95"/>
      <c r="S865" s="96">
        <v>46164</v>
      </c>
      <c r="T865" s="96" t="s">
        <v>2212</v>
      </c>
      <c r="U865" s="96" t="s">
        <v>79</v>
      </c>
      <c r="V865" s="92">
        <v>46140</v>
      </c>
      <c r="W865" s="92">
        <v>46147</v>
      </c>
      <c r="X865" s="92">
        <v>46154</v>
      </c>
      <c r="Y865" s="97"/>
      <c r="Z865" s="89"/>
      <c r="AA865" s="96"/>
      <c r="AB865" s="89"/>
      <c r="AC865" s="111"/>
      <c r="AD865" s="89"/>
      <c r="AE865" s="89"/>
      <c r="AF865" s="98"/>
      <c r="AG865" s="98"/>
      <c r="AH865" s="98"/>
      <c r="AI865" s="99"/>
      <c r="AJ865" s="99"/>
      <c r="AK865" s="99"/>
      <c r="AL865" s="45" t="s">
        <v>68</v>
      </c>
      <c r="AM865" s="162" t="str">
        <f t="shared" si="104"/>
        <v>3/2026</v>
      </c>
      <c r="AN865" s="45">
        <f t="shared" si="105"/>
        <v>4</v>
      </c>
      <c r="AO865" s="45" t="str">
        <f t="shared" si="106"/>
        <v>1/1900</v>
      </c>
      <c r="AP865" s="45" t="e">
        <f t="shared" si="107"/>
        <v>#NUM!</v>
      </c>
      <c r="AQ865" s="45">
        <f t="shared" si="108"/>
        <v>0</v>
      </c>
      <c r="AR865" s="45">
        <f t="shared" si="109"/>
        <v>0</v>
      </c>
      <c r="AS865" s="45">
        <f t="shared" si="110"/>
        <v>0</v>
      </c>
      <c r="AT865" s="45">
        <f t="shared" si="111"/>
        <v>0</v>
      </c>
      <c r="AU865" s="45" t="str">
        <f>_xlfn.XLOOKUP(U865,'Lista Suspensa'!$AA$20:$AA$23,'Lista Suspensa'!$AB$20:$AB$23,"N/A")</f>
        <v>S</v>
      </c>
    </row>
    <row r="866" spans="1:47" ht="12" hidden="1" customHeight="1" x14ac:dyDescent="0.3">
      <c r="A866" s="87" t="s">
        <v>47</v>
      </c>
      <c r="B866" s="88">
        <v>46104</v>
      </c>
      <c r="C866" s="89" t="s">
        <v>48</v>
      </c>
      <c r="D866" s="89" t="s">
        <v>49</v>
      </c>
      <c r="E866" s="90">
        <v>87817498</v>
      </c>
      <c r="F866" s="184" t="s">
        <v>2633</v>
      </c>
      <c r="G866" s="91">
        <v>62312030772</v>
      </c>
      <c r="H866" s="92">
        <v>21477</v>
      </c>
      <c r="I866" s="89">
        <v>67</v>
      </c>
      <c r="J866" s="89" t="s">
        <v>70</v>
      </c>
      <c r="K866" s="89" t="s">
        <v>88</v>
      </c>
      <c r="L866" s="89" t="s">
        <v>89</v>
      </c>
      <c r="M866" s="89" t="s">
        <v>600</v>
      </c>
      <c r="N866" s="89" t="s">
        <v>233</v>
      </c>
      <c r="O866" s="93" t="s">
        <v>2634</v>
      </c>
      <c r="P866" s="94" t="s">
        <v>57</v>
      </c>
      <c r="Q866" s="112" t="s">
        <v>2211</v>
      </c>
      <c r="R866" s="95"/>
      <c r="S866" s="96">
        <v>46164</v>
      </c>
      <c r="T866" s="96" t="s">
        <v>2212</v>
      </c>
      <c r="U866" s="96" t="s">
        <v>79</v>
      </c>
      <c r="V866" s="92">
        <v>46140</v>
      </c>
      <c r="W866" s="92">
        <v>46147</v>
      </c>
      <c r="X866" s="92">
        <v>46154</v>
      </c>
      <c r="Y866" s="97"/>
      <c r="Z866" s="89"/>
      <c r="AA866" s="96"/>
      <c r="AB866" s="89"/>
      <c r="AC866" s="111"/>
      <c r="AD866" s="89"/>
      <c r="AE866" s="89"/>
      <c r="AF866" s="98"/>
      <c r="AG866" s="98"/>
      <c r="AH866" s="98"/>
      <c r="AI866" s="99"/>
      <c r="AJ866" s="99"/>
      <c r="AK866" s="99"/>
      <c r="AL866" s="45" t="s">
        <v>68</v>
      </c>
      <c r="AM866" s="162" t="str">
        <f t="shared" si="104"/>
        <v>3/2026</v>
      </c>
      <c r="AN866" s="45">
        <f t="shared" si="105"/>
        <v>4</v>
      </c>
      <c r="AO866" s="45" t="str">
        <f t="shared" si="106"/>
        <v>1/1900</v>
      </c>
      <c r="AP866" s="45" t="e">
        <f t="shared" si="107"/>
        <v>#NUM!</v>
      </c>
      <c r="AQ866" s="45">
        <f t="shared" si="108"/>
        <v>0</v>
      </c>
      <c r="AR866" s="45">
        <f t="shared" si="109"/>
        <v>0</v>
      </c>
      <c r="AS866" s="45">
        <f t="shared" si="110"/>
        <v>0</v>
      </c>
      <c r="AT866" s="45">
        <f t="shared" si="111"/>
        <v>0</v>
      </c>
      <c r="AU866" s="45" t="str">
        <f>_xlfn.XLOOKUP(U866,'Lista Suspensa'!$AA$20:$AA$23,'Lista Suspensa'!$AB$20:$AB$23,"N/A")</f>
        <v>S</v>
      </c>
    </row>
    <row r="867" spans="1:47" ht="12" hidden="1" customHeight="1" x14ac:dyDescent="0.3">
      <c r="A867" s="87" t="s">
        <v>47</v>
      </c>
      <c r="B867" s="88">
        <v>46104</v>
      </c>
      <c r="C867" s="89" t="s">
        <v>48</v>
      </c>
      <c r="D867" s="89" t="s">
        <v>49</v>
      </c>
      <c r="E867" s="90">
        <v>93063119</v>
      </c>
      <c r="F867" s="184" t="s">
        <v>2635</v>
      </c>
      <c r="G867" s="91">
        <v>4429899703</v>
      </c>
      <c r="H867" s="92">
        <v>27092</v>
      </c>
      <c r="I867" s="89">
        <v>52</v>
      </c>
      <c r="J867" s="89" t="s">
        <v>70</v>
      </c>
      <c r="K867" s="89" t="s">
        <v>88</v>
      </c>
      <c r="L867" s="89" t="s">
        <v>97</v>
      </c>
      <c r="M867" s="89" t="s">
        <v>1440</v>
      </c>
      <c r="N867" s="89" t="s">
        <v>233</v>
      </c>
      <c r="O867" s="93" t="s">
        <v>2636</v>
      </c>
      <c r="P867" s="94" t="s">
        <v>57</v>
      </c>
      <c r="Q867" s="112" t="s">
        <v>2211</v>
      </c>
      <c r="R867" s="95"/>
      <c r="S867" s="96">
        <v>46164</v>
      </c>
      <c r="T867" s="96" t="s">
        <v>2212</v>
      </c>
      <c r="U867" s="96" t="s">
        <v>79</v>
      </c>
      <c r="V867" s="92">
        <v>46112</v>
      </c>
      <c r="W867" s="92">
        <v>46147</v>
      </c>
      <c r="X867" s="92">
        <v>46154</v>
      </c>
      <c r="Y867" s="97"/>
      <c r="Z867" s="89"/>
      <c r="AA867" s="96"/>
      <c r="AB867" s="89"/>
      <c r="AC867" s="111"/>
      <c r="AD867" s="89"/>
      <c r="AE867" s="89"/>
      <c r="AF867" s="98"/>
      <c r="AG867" s="98"/>
      <c r="AH867" s="98"/>
      <c r="AI867" s="99"/>
      <c r="AJ867" s="99"/>
      <c r="AK867" s="99"/>
      <c r="AL867" s="45" t="s">
        <v>68</v>
      </c>
      <c r="AM867" s="162" t="str">
        <f t="shared" si="104"/>
        <v>3/2026</v>
      </c>
      <c r="AN867" s="45">
        <f t="shared" si="105"/>
        <v>4</v>
      </c>
      <c r="AO867" s="45" t="str">
        <f t="shared" si="106"/>
        <v>1/1900</v>
      </c>
      <c r="AP867" s="45" t="e">
        <f t="shared" si="107"/>
        <v>#NUM!</v>
      </c>
      <c r="AQ867" s="45">
        <f t="shared" si="108"/>
        <v>0</v>
      </c>
      <c r="AR867" s="45">
        <f t="shared" si="109"/>
        <v>0</v>
      </c>
      <c r="AS867" s="45">
        <f t="shared" si="110"/>
        <v>0</v>
      </c>
      <c r="AT867" s="45">
        <f t="shared" si="111"/>
        <v>0</v>
      </c>
      <c r="AU867" s="45" t="str">
        <f>_xlfn.XLOOKUP(U867,'Lista Suspensa'!$AA$20:$AA$23,'Lista Suspensa'!$AB$20:$AB$23,"N/A")</f>
        <v>S</v>
      </c>
    </row>
    <row r="868" spans="1:47" ht="12" hidden="1" customHeight="1" x14ac:dyDescent="0.3">
      <c r="A868" s="87" t="s">
        <v>47</v>
      </c>
      <c r="B868" s="88">
        <v>46104</v>
      </c>
      <c r="C868" s="89" t="s">
        <v>48</v>
      </c>
      <c r="D868" s="89" t="s">
        <v>49</v>
      </c>
      <c r="E868" s="90">
        <v>93699249</v>
      </c>
      <c r="F868" s="184" t="s">
        <v>2637</v>
      </c>
      <c r="G868" s="91">
        <v>3606602740</v>
      </c>
      <c r="H868" s="92">
        <v>23396</v>
      </c>
      <c r="I868" s="89">
        <v>62</v>
      </c>
      <c r="J868" s="89" t="s">
        <v>70</v>
      </c>
      <c r="K868" s="89" t="s">
        <v>88</v>
      </c>
      <c r="L868" s="89" t="s">
        <v>231</v>
      </c>
      <c r="M868" s="89" t="s">
        <v>2638</v>
      </c>
      <c r="N868" s="89" t="s">
        <v>233</v>
      </c>
      <c r="O868" s="93" t="s">
        <v>2639</v>
      </c>
      <c r="P868" s="94" t="s">
        <v>57</v>
      </c>
      <c r="Q868" s="112" t="s">
        <v>2211</v>
      </c>
      <c r="R868" s="95"/>
      <c r="S868" s="96">
        <v>46164</v>
      </c>
      <c r="T868" s="96" t="s">
        <v>2212</v>
      </c>
      <c r="U868" s="96" t="s">
        <v>79</v>
      </c>
      <c r="V868" s="92">
        <v>46140</v>
      </c>
      <c r="W868" s="92">
        <v>46147</v>
      </c>
      <c r="X868" s="92">
        <v>46154</v>
      </c>
      <c r="Y868" s="97"/>
      <c r="Z868" s="89"/>
      <c r="AA868" s="96"/>
      <c r="AB868" s="89"/>
      <c r="AC868" s="111"/>
      <c r="AD868" s="89"/>
      <c r="AE868" s="89"/>
      <c r="AF868" s="98"/>
      <c r="AG868" s="98"/>
      <c r="AH868" s="98"/>
      <c r="AI868" s="99"/>
      <c r="AJ868" s="99"/>
      <c r="AK868" s="99"/>
      <c r="AL868" s="45" t="s">
        <v>68</v>
      </c>
      <c r="AM868" s="162" t="str">
        <f t="shared" si="104"/>
        <v>3/2026</v>
      </c>
      <c r="AN868" s="45">
        <f t="shared" si="105"/>
        <v>4</v>
      </c>
      <c r="AO868" s="45" t="str">
        <f t="shared" si="106"/>
        <v>1/1900</v>
      </c>
      <c r="AP868" s="45" t="e">
        <f t="shared" si="107"/>
        <v>#NUM!</v>
      </c>
      <c r="AQ868" s="45">
        <f t="shared" si="108"/>
        <v>0</v>
      </c>
      <c r="AR868" s="45">
        <f t="shared" si="109"/>
        <v>0</v>
      </c>
      <c r="AS868" s="45">
        <f t="shared" si="110"/>
        <v>0</v>
      </c>
      <c r="AT868" s="45">
        <f t="shared" si="111"/>
        <v>0</v>
      </c>
      <c r="AU868" s="45" t="str">
        <f>_xlfn.XLOOKUP(U868,'Lista Suspensa'!$AA$20:$AA$23,'Lista Suspensa'!$AB$20:$AB$23,"N/A")</f>
        <v>S</v>
      </c>
    </row>
    <row r="869" spans="1:47" ht="12" hidden="1" customHeight="1" x14ac:dyDescent="0.3">
      <c r="A869" s="87" t="s">
        <v>47</v>
      </c>
      <c r="B869" s="88">
        <v>46104</v>
      </c>
      <c r="C869" s="89" t="s">
        <v>48</v>
      </c>
      <c r="D869" s="89" t="s">
        <v>49</v>
      </c>
      <c r="E869" s="90">
        <v>93867843</v>
      </c>
      <c r="F869" s="184" t="s">
        <v>2640</v>
      </c>
      <c r="G869" s="91">
        <v>53895550744</v>
      </c>
      <c r="H869" s="92">
        <v>21244</v>
      </c>
      <c r="I869" s="89">
        <v>68</v>
      </c>
      <c r="J869" s="89" t="s">
        <v>51</v>
      </c>
      <c r="K869" s="89" t="s">
        <v>88</v>
      </c>
      <c r="L869" s="89" t="s">
        <v>89</v>
      </c>
      <c r="M869" s="89" t="s">
        <v>2641</v>
      </c>
      <c r="N869" s="89" t="s">
        <v>233</v>
      </c>
      <c r="O869" s="93" t="s">
        <v>2642</v>
      </c>
      <c r="P869" s="94" t="s">
        <v>57</v>
      </c>
      <c r="Q869" s="112" t="s">
        <v>2211</v>
      </c>
      <c r="R869" s="95"/>
      <c r="S869" s="96">
        <v>46164</v>
      </c>
      <c r="T869" s="96" t="s">
        <v>2212</v>
      </c>
      <c r="U869" s="96" t="s">
        <v>79</v>
      </c>
      <c r="V869" s="92">
        <v>46140</v>
      </c>
      <c r="W869" s="92">
        <v>46147</v>
      </c>
      <c r="X869" s="92">
        <v>46154</v>
      </c>
      <c r="Y869" s="97"/>
      <c r="Z869" s="89"/>
      <c r="AA869" s="96"/>
      <c r="AB869" s="89"/>
      <c r="AC869" s="111"/>
      <c r="AD869" s="89"/>
      <c r="AE869" s="89"/>
      <c r="AF869" s="98"/>
      <c r="AG869" s="98"/>
      <c r="AH869" s="98"/>
      <c r="AI869" s="99"/>
      <c r="AJ869" s="99"/>
      <c r="AK869" s="99"/>
      <c r="AL869" s="45" t="s">
        <v>68</v>
      </c>
      <c r="AM869" s="162" t="str">
        <f t="shared" si="104"/>
        <v>3/2026</v>
      </c>
      <c r="AN869" s="45">
        <f t="shared" si="105"/>
        <v>4</v>
      </c>
      <c r="AO869" s="45" t="str">
        <f t="shared" si="106"/>
        <v>1/1900</v>
      </c>
      <c r="AP869" s="45" t="e">
        <f t="shared" si="107"/>
        <v>#NUM!</v>
      </c>
      <c r="AQ869" s="45">
        <f t="shared" si="108"/>
        <v>0</v>
      </c>
      <c r="AR869" s="45">
        <f t="shared" si="109"/>
        <v>0</v>
      </c>
      <c r="AS869" s="45">
        <f t="shared" si="110"/>
        <v>0</v>
      </c>
      <c r="AT869" s="45">
        <f t="shared" si="111"/>
        <v>0</v>
      </c>
      <c r="AU869" s="45" t="str">
        <f>_xlfn.XLOOKUP(U869,'Lista Suspensa'!$AA$20:$AA$23,'Lista Suspensa'!$AB$20:$AB$23,"N/A")</f>
        <v>S</v>
      </c>
    </row>
    <row r="870" spans="1:47" ht="12" hidden="1" customHeight="1" x14ac:dyDescent="0.3">
      <c r="A870" s="87" t="s">
        <v>47</v>
      </c>
      <c r="B870" s="88">
        <v>46104</v>
      </c>
      <c r="C870" s="89" t="s">
        <v>48</v>
      </c>
      <c r="D870" s="89" t="s">
        <v>49</v>
      </c>
      <c r="E870" s="90">
        <v>95539761</v>
      </c>
      <c r="F870" s="184" t="s">
        <v>2643</v>
      </c>
      <c r="G870" s="91">
        <v>4459599759</v>
      </c>
      <c r="H870" s="92">
        <v>27414</v>
      </c>
      <c r="I870" s="89">
        <v>51</v>
      </c>
      <c r="J870" s="89" t="s">
        <v>70</v>
      </c>
      <c r="K870" s="89" t="s">
        <v>88</v>
      </c>
      <c r="L870" s="89" t="s">
        <v>89</v>
      </c>
      <c r="M870" s="89" t="s">
        <v>343</v>
      </c>
      <c r="N870" s="89" t="s">
        <v>233</v>
      </c>
      <c r="O870" s="93" t="s">
        <v>2644</v>
      </c>
      <c r="P870" s="94" t="s">
        <v>57</v>
      </c>
      <c r="Q870" s="112" t="s">
        <v>2211</v>
      </c>
      <c r="R870" s="95"/>
      <c r="S870" s="96">
        <v>46164</v>
      </c>
      <c r="T870" s="96" t="s">
        <v>2212</v>
      </c>
      <c r="U870" s="96" t="s">
        <v>79</v>
      </c>
      <c r="V870" s="92">
        <v>46140</v>
      </c>
      <c r="W870" s="92">
        <v>46147</v>
      </c>
      <c r="X870" s="92">
        <v>46154</v>
      </c>
      <c r="Y870" s="97"/>
      <c r="Z870" s="89"/>
      <c r="AA870" s="96"/>
      <c r="AB870" s="89"/>
      <c r="AC870" s="111"/>
      <c r="AD870" s="89"/>
      <c r="AE870" s="89"/>
      <c r="AF870" s="98"/>
      <c r="AG870" s="98"/>
      <c r="AH870" s="98"/>
      <c r="AI870" s="99"/>
      <c r="AJ870" s="99"/>
      <c r="AK870" s="99"/>
      <c r="AL870" s="45" t="s">
        <v>68</v>
      </c>
      <c r="AM870" s="162" t="str">
        <f t="shared" si="104"/>
        <v>3/2026</v>
      </c>
      <c r="AN870" s="45">
        <f t="shared" si="105"/>
        <v>4</v>
      </c>
      <c r="AO870" s="45" t="str">
        <f t="shared" si="106"/>
        <v>1/1900</v>
      </c>
      <c r="AP870" s="45" t="e">
        <f t="shared" si="107"/>
        <v>#NUM!</v>
      </c>
      <c r="AQ870" s="45">
        <f t="shared" si="108"/>
        <v>0</v>
      </c>
      <c r="AR870" s="45">
        <f t="shared" si="109"/>
        <v>0</v>
      </c>
      <c r="AS870" s="45">
        <f t="shared" si="110"/>
        <v>0</v>
      </c>
      <c r="AT870" s="45">
        <f t="shared" si="111"/>
        <v>0</v>
      </c>
      <c r="AU870" s="45" t="str">
        <f>_xlfn.XLOOKUP(U870,'Lista Suspensa'!$AA$20:$AA$23,'Lista Suspensa'!$AB$20:$AB$23,"N/A")</f>
        <v>S</v>
      </c>
    </row>
    <row r="871" spans="1:47" ht="12" hidden="1" customHeight="1" x14ac:dyDescent="0.3">
      <c r="A871" s="87" t="s">
        <v>47</v>
      </c>
      <c r="B871" s="88">
        <v>46104</v>
      </c>
      <c r="C871" s="89" t="s">
        <v>48</v>
      </c>
      <c r="D871" s="89" t="s">
        <v>49</v>
      </c>
      <c r="E871" s="90">
        <v>92681558</v>
      </c>
      <c r="F871" s="184" t="s">
        <v>2645</v>
      </c>
      <c r="G871" s="91">
        <v>7554596799</v>
      </c>
      <c r="H871" s="92">
        <v>20911</v>
      </c>
      <c r="I871" s="89">
        <v>68</v>
      </c>
      <c r="J871" s="89" t="s">
        <v>70</v>
      </c>
      <c r="K871" s="89" t="s">
        <v>88</v>
      </c>
      <c r="L871" s="89" t="s">
        <v>89</v>
      </c>
      <c r="M871" s="89" t="s">
        <v>2646</v>
      </c>
      <c r="N871" s="89" t="s">
        <v>233</v>
      </c>
      <c r="O871" s="93" t="s">
        <v>2647</v>
      </c>
      <c r="P871" s="94" t="s">
        <v>57</v>
      </c>
      <c r="Q871" s="112" t="s">
        <v>2211</v>
      </c>
      <c r="R871" s="95"/>
      <c r="S871" s="96">
        <v>46164</v>
      </c>
      <c r="T871" s="96" t="s">
        <v>2212</v>
      </c>
      <c r="U871" s="96" t="s">
        <v>79</v>
      </c>
      <c r="V871" s="92">
        <v>46140</v>
      </c>
      <c r="W871" s="92">
        <v>46147</v>
      </c>
      <c r="X871" s="92">
        <v>46154</v>
      </c>
      <c r="Y871" s="97"/>
      <c r="Z871" s="89"/>
      <c r="AA871" s="96"/>
      <c r="AB871" s="89"/>
      <c r="AC871" s="111"/>
      <c r="AD871" s="89"/>
      <c r="AE871" s="89"/>
      <c r="AF871" s="98"/>
      <c r="AG871" s="98"/>
      <c r="AH871" s="98"/>
      <c r="AI871" s="99"/>
      <c r="AJ871" s="99"/>
      <c r="AK871" s="99"/>
      <c r="AL871" s="45" t="s">
        <v>68</v>
      </c>
      <c r="AM871" s="162" t="str">
        <f t="shared" si="104"/>
        <v>3/2026</v>
      </c>
      <c r="AN871" s="45">
        <f t="shared" si="105"/>
        <v>4</v>
      </c>
      <c r="AO871" s="45" t="str">
        <f t="shared" si="106"/>
        <v>1/1900</v>
      </c>
      <c r="AP871" s="45" t="e">
        <f t="shared" si="107"/>
        <v>#NUM!</v>
      </c>
      <c r="AQ871" s="45">
        <f t="shared" si="108"/>
        <v>0</v>
      </c>
      <c r="AR871" s="45">
        <f t="shared" si="109"/>
        <v>0</v>
      </c>
      <c r="AS871" s="45">
        <f t="shared" si="110"/>
        <v>0</v>
      </c>
      <c r="AT871" s="45">
        <f t="shared" si="111"/>
        <v>0</v>
      </c>
      <c r="AU871" s="45" t="str">
        <f>_xlfn.XLOOKUP(U871,'Lista Suspensa'!$AA$20:$AA$23,'Lista Suspensa'!$AB$20:$AB$23,"N/A")</f>
        <v>S</v>
      </c>
    </row>
    <row r="872" spans="1:47" ht="12" hidden="1" customHeight="1" x14ac:dyDescent="0.3">
      <c r="A872" s="87" t="s">
        <v>47</v>
      </c>
      <c r="B872" s="88">
        <v>46104</v>
      </c>
      <c r="C872" s="89" t="s">
        <v>48</v>
      </c>
      <c r="D872" s="89" t="s">
        <v>49</v>
      </c>
      <c r="E872" s="90">
        <v>451153596</v>
      </c>
      <c r="F872" s="184" t="s">
        <v>2648</v>
      </c>
      <c r="G872" s="91">
        <v>1394046863</v>
      </c>
      <c r="H872" s="92">
        <v>20755</v>
      </c>
      <c r="I872" s="89">
        <v>69</v>
      </c>
      <c r="J872" s="89" t="s">
        <v>70</v>
      </c>
      <c r="K872" s="89" t="s">
        <v>52</v>
      </c>
      <c r="L872" s="89" t="s">
        <v>53</v>
      </c>
      <c r="M872" s="89" t="s">
        <v>1237</v>
      </c>
      <c r="N872" s="89" t="s">
        <v>91</v>
      </c>
      <c r="O872" s="93" t="s">
        <v>2649</v>
      </c>
      <c r="P872" s="94" t="s">
        <v>57</v>
      </c>
      <c r="Q872" s="112" t="s">
        <v>2211</v>
      </c>
      <c r="R872" s="95"/>
      <c r="S872" s="96">
        <v>46164</v>
      </c>
      <c r="T872" s="96" t="s">
        <v>2212</v>
      </c>
      <c r="U872" s="96" t="s">
        <v>79</v>
      </c>
      <c r="V872" s="92">
        <v>46128</v>
      </c>
      <c r="W872" s="92">
        <v>46147</v>
      </c>
      <c r="X872" s="92">
        <v>46154</v>
      </c>
      <c r="Y872" s="97"/>
      <c r="Z872" s="89"/>
      <c r="AA872" s="96"/>
      <c r="AB872" s="89"/>
      <c r="AC872" s="111"/>
      <c r="AD872" s="89"/>
      <c r="AE872" s="89"/>
      <c r="AF872" s="98"/>
      <c r="AG872" s="98"/>
      <c r="AH872" s="98"/>
      <c r="AI872" s="99"/>
      <c r="AJ872" s="99"/>
      <c r="AK872" s="99"/>
      <c r="AL872" s="45" t="s">
        <v>68</v>
      </c>
      <c r="AM872" s="162" t="str">
        <f t="shared" si="104"/>
        <v>3/2026</v>
      </c>
      <c r="AN872" s="45">
        <f t="shared" si="105"/>
        <v>4</v>
      </c>
      <c r="AO872" s="45" t="str">
        <f t="shared" si="106"/>
        <v>1/1900</v>
      </c>
      <c r="AP872" s="45" t="e">
        <f t="shared" si="107"/>
        <v>#NUM!</v>
      </c>
      <c r="AQ872" s="45">
        <f t="shared" si="108"/>
        <v>0</v>
      </c>
      <c r="AR872" s="45">
        <f t="shared" si="109"/>
        <v>0</v>
      </c>
      <c r="AS872" s="45">
        <f t="shared" si="110"/>
        <v>0</v>
      </c>
      <c r="AT872" s="45">
        <f t="shared" si="111"/>
        <v>0</v>
      </c>
      <c r="AU872" s="45" t="str">
        <f>_xlfn.XLOOKUP(U872,'Lista Suspensa'!$AA$20:$AA$23,'Lista Suspensa'!$AB$20:$AB$23,"N/A")</f>
        <v>S</v>
      </c>
    </row>
    <row r="873" spans="1:47" ht="12" hidden="1" customHeight="1" x14ac:dyDescent="0.3">
      <c r="A873" s="87" t="s">
        <v>47</v>
      </c>
      <c r="B873" s="88">
        <v>46104</v>
      </c>
      <c r="C873" s="89" t="s">
        <v>48</v>
      </c>
      <c r="D873" s="89" t="s">
        <v>49</v>
      </c>
      <c r="E873" s="90">
        <v>482923202</v>
      </c>
      <c r="F873" s="184" t="s">
        <v>2650</v>
      </c>
      <c r="G873" s="91">
        <v>1200392736</v>
      </c>
      <c r="H873" s="92">
        <v>19041</v>
      </c>
      <c r="I873" s="89">
        <v>74</v>
      </c>
      <c r="J873" s="89" t="s">
        <v>70</v>
      </c>
      <c r="K873" s="89" t="s">
        <v>88</v>
      </c>
      <c r="L873" s="89" t="s">
        <v>89</v>
      </c>
      <c r="M873" s="89" t="s">
        <v>861</v>
      </c>
      <c r="N873" s="89" t="s">
        <v>91</v>
      </c>
      <c r="O873" s="93" t="s">
        <v>2651</v>
      </c>
      <c r="P873" s="94" t="s">
        <v>57</v>
      </c>
      <c r="Q873" s="112" t="s">
        <v>2211</v>
      </c>
      <c r="R873" s="95"/>
      <c r="S873" s="96">
        <v>46164</v>
      </c>
      <c r="T873" s="96" t="s">
        <v>2212</v>
      </c>
      <c r="U873" s="96" t="s">
        <v>79</v>
      </c>
      <c r="V873" s="92">
        <v>46128</v>
      </c>
      <c r="W873" s="92">
        <v>46147</v>
      </c>
      <c r="X873" s="92">
        <v>46154</v>
      </c>
      <c r="Y873" s="97"/>
      <c r="Z873" s="89"/>
      <c r="AA873" s="96"/>
      <c r="AB873" s="89"/>
      <c r="AC873" s="111"/>
      <c r="AD873" s="89"/>
      <c r="AE873" s="89"/>
      <c r="AF873" s="98"/>
      <c r="AG873" s="98"/>
      <c r="AH873" s="98"/>
      <c r="AI873" s="99"/>
      <c r="AJ873" s="99"/>
      <c r="AK873" s="99"/>
      <c r="AL873" s="45" t="s">
        <v>68</v>
      </c>
      <c r="AM873" s="162" t="str">
        <f t="shared" si="104"/>
        <v>3/2026</v>
      </c>
      <c r="AN873" s="45">
        <f t="shared" si="105"/>
        <v>4</v>
      </c>
      <c r="AO873" s="45" t="str">
        <f t="shared" si="106"/>
        <v>1/1900</v>
      </c>
      <c r="AP873" s="45" t="e">
        <f t="shared" si="107"/>
        <v>#NUM!</v>
      </c>
      <c r="AQ873" s="45">
        <f t="shared" si="108"/>
        <v>0</v>
      </c>
      <c r="AR873" s="45">
        <f t="shared" si="109"/>
        <v>0</v>
      </c>
      <c r="AS873" s="45">
        <f t="shared" si="110"/>
        <v>0</v>
      </c>
      <c r="AT873" s="45">
        <f t="shared" si="111"/>
        <v>0</v>
      </c>
      <c r="AU873" s="45" t="str">
        <f>_xlfn.XLOOKUP(U873,'Lista Suspensa'!$AA$20:$AA$23,'Lista Suspensa'!$AB$20:$AB$23,"N/A")</f>
        <v>S</v>
      </c>
    </row>
    <row r="874" spans="1:47" ht="12" hidden="1" customHeight="1" x14ac:dyDescent="0.3">
      <c r="A874" s="87" t="s">
        <v>47</v>
      </c>
      <c r="B874" s="88">
        <v>46104</v>
      </c>
      <c r="C874" s="89" t="s">
        <v>48</v>
      </c>
      <c r="D874" s="89" t="s">
        <v>49</v>
      </c>
      <c r="E874" s="90">
        <v>774062843</v>
      </c>
      <c r="F874" s="184" t="s">
        <v>2652</v>
      </c>
      <c r="G874" s="91">
        <v>62193287872</v>
      </c>
      <c r="H874" s="92">
        <v>16997</v>
      </c>
      <c r="I874" s="89">
        <v>79</v>
      </c>
      <c r="J874" s="89" t="s">
        <v>51</v>
      </c>
      <c r="K874" s="89" t="s">
        <v>52</v>
      </c>
      <c r="L874" s="89" t="s">
        <v>1232</v>
      </c>
      <c r="M874" s="89" t="s">
        <v>2653</v>
      </c>
      <c r="N874" s="89" t="s">
        <v>91</v>
      </c>
      <c r="O874" s="93" t="s">
        <v>2654</v>
      </c>
      <c r="P874" s="94" t="s">
        <v>57</v>
      </c>
      <c r="Q874" s="112" t="s">
        <v>2211</v>
      </c>
      <c r="R874" s="95"/>
      <c r="S874" s="96">
        <v>46164</v>
      </c>
      <c r="T874" s="96" t="s">
        <v>2212</v>
      </c>
      <c r="U874" s="96" t="s">
        <v>79</v>
      </c>
      <c r="V874" s="92">
        <v>46122</v>
      </c>
      <c r="W874" s="92">
        <v>46147</v>
      </c>
      <c r="X874" s="92">
        <v>46154</v>
      </c>
      <c r="Y874" s="97"/>
      <c r="Z874" s="89"/>
      <c r="AA874" s="96"/>
      <c r="AB874" s="89"/>
      <c r="AC874" s="111"/>
      <c r="AD874" s="89"/>
      <c r="AE874" s="89"/>
      <c r="AF874" s="98"/>
      <c r="AG874" s="98"/>
      <c r="AH874" s="98"/>
      <c r="AI874" s="99"/>
      <c r="AJ874" s="99"/>
      <c r="AK874" s="99"/>
      <c r="AL874" s="45" t="s">
        <v>68</v>
      </c>
      <c r="AM874" s="162" t="str">
        <f t="shared" si="104"/>
        <v>3/2026</v>
      </c>
      <c r="AN874" s="45">
        <f t="shared" si="105"/>
        <v>4</v>
      </c>
      <c r="AO874" s="45" t="str">
        <f t="shared" si="106"/>
        <v>1/1900</v>
      </c>
      <c r="AP874" s="45" t="e">
        <f t="shared" si="107"/>
        <v>#NUM!</v>
      </c>
      <c r="AQ874" s="45">
        <f t="shared" si="108"/>
        <v>0</v>
      </c>
      <c r="AR874" s="45">
        <f t="shared" si="109"/>
        <v>0</v>
      </c>
      <c r="AS874" s="45">
        <f t="shared" si="110"/>
        <v>0</v>
      </c>
      <c r="AT874" s="45">
        <f t="shared" si="111"/>
        <v>0</v>
      </c>
      <c r="AU874" s="45" t="str">
        <f>_xlfn.XLOOKUP(U874,'Lista Suspensa'!$AA$20:$AA$23,'Lista Suspensa'!$AB$20:$AB$23,"N/A")</f>
        <v>S</v>
      </c>
    </row>
    <row r="875" spans="1:47" ht="12" hidden="1" customHeight="1" x14ac:dyDescent="0.3">
      <c r="A875" s="87" t="s">
        <v>47</v>
      </c>
      <c r="B875" s="88">
        <v>46104</v>
      </c>
      <c r="C875" s="89" t="s">
        <v>48</v>
      </c>
      <c r="D875" s="89" t="s">
        <v>49</v>
      </c>
      <c r="E875" s="90">
        <v>754976513</v>
      </c>
      <c r="F875" s="184" t="s">
        <v>2655</v>
      </c>
      <c r="G875" s="91">
        <v>75192101700</v>
      </c>
      <c r="H875" s="92">
        <v>21853</v>
      </c>
      <c r="I875" s="89">
        <v>66</v>
      </c>
      <c r="J875" s="89" t="s">
        <v>51</v>
      </c>
      <c r="K875" s="89" t="s">
        <v>88</v>
      </c>
      <c r="L875" s="89" t="s">
        <v>89</v>
      </c>
      <c r="M875" s="89" t="s">
        <v>1074</v>
      </c>
      <c r="N875" s="89" t="s">
        <v>91</v>
      </c>
      <c r="O875" s="93" t="s">
        <v>2656</v>
      </c>
      <c r="P875" s="94" t="s">
        <v>57</v>
      </c>
      <c r="Q875" s="112" t="s">
        <v>2211</v>
      </c>
      <c r="R875" s="95"/>
      <c r="S875" s="96">
        <v>46164</v>
      </c>
      <c r="T875" s="96" t="s">
        <v>2212</v>
      </c>
      <c r="U875" s="96" t="s">
        <v>79</v>
      </c>
      <c r="V875" s="92">
        <v>46140</v>
      </c>
      <c r="W875" s="92">
        <v>46147</v>
      </c>
      <c r="X875" s="92">
        <v>46154</v>
      </c>
      <c r="Y875" s="97"/>
      <c r="Z875" s="89"/>
      <c r="AA875" s="96"/>
      <c r="AB875" s="89"/>
      <c r="AC875" s="111"/>
      <c r="AD875" s="89"/>
      <c r="AE875" s="89"/>
      <c r="AF875" s="98"/>
      <c r="AG875" s="98"/>
      <c r="AH875" s="98"/>
      <c r="AI875" s="99"/>
      <c r="AJ875" s="99"/>
      <c r="AK875" s="99"/>
      <c r="AL875" s="45" t="s">
        <v>68</v>
      </c>
      <c r="AM875" s="162" t="str">
        <f t="shared" si="104"/>
        <v>3/2026</v>
      </c>
      <c r="AN875" s="45">
        <f t="shared" si="105"/>
        <v>4</v>
      </c>
      <c r="AO875" s="45" t="str">
        <f t="shared" si="106"/>
        <v>1/1900</v>
      </c>
      <c r="AP875" s="45" t="e">
        <f t="shared" si="107"/>
        <v>#NUM!</v>
      </c>
      <c r="AQ875" s="45">
        <f t="shared" si="108"/>
        <v>0</v>
      </c>
      <c r="AR875" s="45">
        <f t="shared" si="109"/>
        <v>0</v>
      </c>
      <c r="AS875" s="45">
        <f t="shared" si="110"/>
        <v>0</v>
      </c>
      <c r="AT875" s="45">
        <f t="shared" si="111"/>
        <v>0</v>
      </c>
      <c r="AU875" s="45" t="str">
        <f>_xlfn.XLOOKUP(U875,'Lista Suspensa'!$AA$20:$AA$23,'Lista Suspensa'!$AB$20:$AB$23,"N/A")</f>
        <v>S</v>
      </c>
    </row>
    <row r="876" spans="1:47" ht="12" hidden="1" customHeight="1" x14ac:dyDescent="0.3">
      <c r="A876" s="87" t="s">
        <v>47</v>
      </c>
      <c r="B876" s="88">
        <v>46104</v>
      </c>
      <c r="C876" s="89" t="s">
        <v>48</v>
      </c>
      <c r="D876" s="89" t="s">
        <v>49</v>
      </c>
      <c r="E876" s="90">
        <v>752888196</v>
      </c>
      <c r="F876" s="184" t="s">
        <v>2657</v>
      </c>
      <c r="G876" s="91">
        <v>119850702</v>
      </c>
      <c r="H876" s="92">
        <v>25276</v>
      </c>
      <c r="I876" s="89">
        <v>57</v>
      </c>
      <c r="J876" s="89" t="s">
        <v>51</v>
      </c>
      <c r="K876" s="89" t="s">
        <v>88</v>
      </c>
      <c r="L876" s="89" t="s">
        <v>89</v>
      </c>
      <c r="M876" s="89" t="s">
        <v>1074</v>
      </c>
      <c r="N876" s="89" t="s">
        <v>91</v>
      </c>
      <c r="O876" s="93" t="s">
        <v>2658</v>
      </c>
      <c r="P876" s="94" t="s">
        <v>57</v>
      </c>
      <c r="Q876" s="112" t="s">
        <v>2211</v>
      </c>
      <c r="R876" s="95"/>
      <c r="S876" s="96">
        <v>46164</v>
      </c>
      <c r="T876" s="96" t="s">
        <v>2212</v>
      </c>
      <c r="U876" s="96" t="s">
        <v>79</v>
      </c>
      <c r="V876" s="92">
        <v>46140</v>
      </c>
      <c r="W876" s="92">
        <v>46147</v>
      </c>
      <c r="X876" s="92">
        <v>46154</v>
      </c>
      <c r="Y876" s="97"/>
      <c r="Z876" s="89"/>
      <c r="AA876" s="96"/>
      <c r="AB876" s="89"/>
      <c r="AC876" s="111"/>
      <c r="AD876" s="89"/>
      <c r="AE876" s="89"/>
      <c r="AF876" s="98"/>
      <c r="AG876" s="98"/>
      <c r="AH876" s="98"/>
      <c r="AI876" s="99"/>
      <c r="AJ876" s="99"/>
      <c r="AK876" s="99"/>
      <c r="AL876" s="45" t="s">
        <v>68</v>
      </c>
      <c r="AM876" s="162" t="str">
        <f t="shared" si="104"/>
        <v>3/2026</v>
      </c>
      <c r="AN876" s="45">
        <f t="shared" si="105"/>
        <v>4</v>
      </c>
      <c r="AO876" s="45" t="str">
        <f t="shared" si="106"/>
        <v>1/1900</v>
      </c>
      <c r="AP876" s="45" t="e">
        <f t="shared" si="107"/>
        <v>#NUM!</v>
      </c>
      <c r="AQ876" s="45">
        <f t="shared" si="108"/>
        <v>0</v>
      </c>
      <c r="AR876" s="45">
        <f t="shared" si="109"/>
        <v>0</v>
      </c>
      <c r="AS876" s="45">
        <f t="shared" si="110"/>
        <v>0</v>
      </c>
      <c r="AT876" s="45">
        <f t="shared" si="111"/>
        <v>0</v>
      </c>
      <c r="AU876" s="45" t="str">
        <f>_xlfn.XLOOKUP(U876,'Lista Suspensa'!$AA$20:$AA$23,'Lista Suspensa'!$AB$20:$AB$23,"N/A")</f>
        <v>S</v>
      </c>
    </row>
    <row r="877" spans="1:47" ht="12" hidden="1" customHeight="1" x14ac:dyDescent="0.3">
      <c r="A877" s="87" t="s">
        <v>47</v>
      </c>
      <c r="B877" s="88">
        <v>46104</v>
      </c>
      <c r="C877" s="89" t="s">
        <v>48</v>
      </c>
      <c r="D877" s="89" t="s">
        <v>49</v>
      </c>
      <c r="E877" s="90">
        <v>450530434</v>
      </c>
      <c r="F877" s="184" t="s">
        <v>2659</v>
      </c>
      <c r="G877" s="91">
        <v>7267092802</v>
      </c>
      <c r="H877" s="92">
        <v>18459</v>
      </c>
      <c r="I877" s="89">
        <v>75</v>
      </c>
      <c r="J877" s="89" t="s">
        <v>70</v>
      </c>
      <c r="K877" s="89" t="s">
        <v>52</v>
      </c>
      <c r="L877" s="89" t="s">
        <v>447</v>
      </c>
      <c r="M877" s="89" t="s">
        <v>240</v>
      </c>
      <c r="N877" s="89" t="s">
        <v>91</v>
      </c>
      <c r="O877" s="93" t="s">
        <v>2660</v>
      </c>
      <c r="P877" s="94" t="s">
        <v>57</v>
      </c>
      <c r="Q877" s="112" t="s">
        <v>2211</v>
      </c>
      <c r="R877" s="95"/>
      <c r="S877" s="96">
        <v>46164</v>
      </c>
      <c r="T877" s="96" t="s">
        <v>2212</v>
      </c>
      <c r="U877" s="96" t="s">
        <v>79</v>
      </c>
      <c r="V877" s="92">
        <v>46140</v>
      </c>
      <c r="W877" s="92">
        <v>46147</v>
      </c>
      <c r="X877" s="92">
        <v>46154</v>
      </c>
      <c r="Y877" s="97"/>
      <c r="Z877" s="89"/>
      <c r="AA877" s="96"/>
      <c r="AB877" s="89"/>
      <c r="AC877" s="111"/>
      <c r="AD877" s="89"/>
      <c r="AE877" s="89"/>
      <c r="AF877" s="98"/>
      <c r="AG877" s="98"/>
      <c r="AH877" s="98"/>
      <c r="AI877" s="99"/>
      <c r="AJ877" s="99"/>
      <c r="AK877" s="99"/>
      <c r="AL877" s="45" t="s">
        <v>68</v>
      </c>
      <c r="AM877" s="162" t="str">
        <f t="shared" si="104"/>
        <v>3/2026</v>
      </c>
      <c r="AN877" s="45">
        <f t="shared" si="105"/>
        <v>4</v>
      </c>
      <c r="AO877" s="45" t="str">
        <f t="shared" si="106"/>
        <v>1/1900</v>
      </c>
      <c r="AP877" s="45" t="e">
        <f t="shared" si="107"/>
        <v>#NUM!</v>
      </c>
      <c r="AQ877" s="45">
        <f t="shared" si="108"/>
        <v>0</v>
      </c>
      <c r="AR877" s="45">
        <f t="shared" si="109"/>
        <v>0</v>
      </c>
      <c r="AS877" s="45">
        <f t="shared" si="110"/>
        <v>0</v>
      </c>
      <c r="AT877" s="45">
        <f t="shared" si="111"/>
        <v>0</v>
      </c>
      <c r="AU877" s="45" t="str">
        <f>_xlfn.XLOOKUP(U877,'Lista Suspensa'!$AA$20:$AA$23,'Lista Suspensa'!$AB$20:$AB$23,"N/A")</f>
        <v>S</v>
      </c>
    </row>
    <row r="878" spans="1:47" ht="12" hidden="1" customHeight="1" x14ac:dyDescent="0.3">
      <c r="A878" s="87" t="s">
        <v>47</v>
      </c>
      <c r="B878" s="88">
        <v>46104</v>
      </c>
      <c r="C878" s="89" t="s">
        <v>48</v>
      </c>
      <c r="D878" s="89" t="s">
        <v>49</v>
      </c>
      <c r="E878" s="90">
        <v>773206116</v>
      </c>
      <c r="F878" s="184" t="s">
        <v>2661</v>
      </c>
      <c r="G878" s="91">
        <v>49259083672</v>
      </c>
      <c r="H878" s="92">
        <v>22769</v>
      </c>
      <c r="I878" s="89">
        <v>63</v>
      </c>
      <c r="J878" s="89" t="s">
        <v>70</v>
      </c>
      <c r="K878" s="89" t="s">
        <v>52</v>
      </c>
      <c r="L878" s="89" t="s">
        <v>53</v>
      </c>
      <c r="M878" s="89" t="s">
        <v>718</v>
      </c>
      <c r="N878" s="89" t="s">
        <v>91</v>
      </c>
      <c r="O878" s="93" t="s">
        <v>2662</v>
      </c>
      <c r="P878" s="94" t="s">
        <v>57</v>
      </c>
      <c r="Q878" s="112" t="s">
        <v>2211</v>
      </c>
      <c r="R878" s="95"/>
      <c r="S878" s="96">
        <v>46164</v>
      </c>
      <c r="T878" s="96" t="s">
        <v>2212</v>
      </c>
      <c r="U878" s="96" t="s">
        <v>79</v>
      </c>
      <c r="V878" s="92">
        <v>46140</v>
      </c>
      <c r="W878" s="92">
        <v>46147</v>
      </c>
      <c r="X878" s="92">
        <v>46154</v>
      </c>
      <c r="Y878" s="97"/>
      <c r="Z878" s="89"/>
      <c r="AA878" s="96"/>
      <c r="AB878" s="89"/>
      <c r="AC878" s="111"/>
      <c r="AD878" s="89"/>
      <c r="AE878" s="89"/>
      <c r="AF878" s="98"/>
      <c r="AG878" s="98"/>
      <c r="AH878" s="98"/>
      <c r="AI878" s="99"/>
      <c r="AJ878" s="99"/>
      <c r="AK878" s="99"/>
      <c r="AL878" s="45" t="s">
        <v>68</v>
      </c>
      <c r="AM878" s="162" t="str">
        <f t="shared" si="104"/>
        <v>3/2026</v>
      </c>
      <c r="AN878" s="45">
        <f t="shared" si="105"/>
        <v>4</v>
      </c>
      <c r="AO878" s="45" t="str">
        <f t="shared" si="106"/>
        <v>1/1900</v>
      </c>
      <c r="AP878" s="45" t="e">
        <f t="shared" si="107"/>
        <v>#NUM!</v>
      </c>
      <c r="AQ878" s="45">
        <f t="shared" si="108"/>
        <v>0</v>
      </c>
      <c r="AR878" s="45">
        <f t="shared" si="109"/>
        <v>0</v>
      </c>
      <c r="AS878" s="45">
        <f t="shared" si="110"/>
        <v>0</v>
      </c>
      <c r="AT878" s="45">
        <f t="shared" si="111"/>
        <v>0</v>
      </c>
      <c r="AU878" s="45" t="str">
        <f>_xlfn.XLOOKUP(U878,'Lista Suspensa'!$AA$20:$AA$23,'Lista Suspensa'!$AB$20:$AB$23,"N/A")</f>
        <v>S</v>
      </c>
    </row>
    <row r="879" spans="1:47" ht="12" hidden="1" customHeight="1" x14ac:dyDescent="0.3">
      <c r="A879" s="87" t="s">
        <v>47</v>
      </c>
      <c r="B879" s="88">
        <v>46104</v>
      </c>
      <c r="C879" s="89" t="s">
        <v>48</v>
      </c>
      <c r="D879" s="89" t="s">
        <v>49</v>
      </c>
      <c r="E879" s="90">
        <v>734867239</v>
      </c>
      <c r="F879" s="184" t="s">
        <v>2663</v>
      </c>
      <c r="G879" s="91">
        <v>89998235715</v>
      </c>
      <c r="H879" s="92">
        <v>22660</v>
      </c>
      <c r="I879" s="89">
        <v>64</v>
      </c>
      <c r="J879" s="89" t="s">
        <v>70</v>
      </c>
      <c r="K879" s="89" t="s">
        <v>88</v>
      </c>
      <c r="L879" s="89" t="s">
        <v>454</v>
      </c>
      <c r="M879" s="89" t="s">
        <v>2664</v>
      </c>
      <c r="N879" s="89" t="s">
        <v>91</v>
      </c>
      <c r="O879" s="93" t="s">
        <v>2665</v>
      </c>
      <c r="P879" s="94" t="s">
        <v>57</v>
      </c>
      <c r="Q879" s="112" t="s">
        <v>2211</v>
      </c>
      <c r="R879" s="95"/>
      <c r="S879" s="96">
        <v>46164</v>
      </c>
      <c r="T879" s="96" t="s">
        <v>2212</v>
      </c>
      <c r="U879" s="96" t="s">
        <v>79</v>
      </c>
      <c r="V879" s="92">
        <v>46128</v>
      </c>
      <c r="W879" s="92">
        <v>46147</v>
      </c>
      <c r="X879" s="92">
        <v>46154</v>
      </c>
      <c r="Y879" s="97"/>
      <c r="Z879" s="89"/>
      <c r="AA879" s="96"/>
      <c r="AB879" s="89"/>
      <c r="AC879" s="111"/>
      <c r="AD879" s="89"/>
      <c r="AE879" s="89"/>
      <c r="AF879" s="98"/>
      <c r="AG879" s="98"/>
      <c r="AH879" s="98"/>
      <c r="AI879" s="99"/>
      <c r="AJ879" s="99"/>
      <c r="AK879" s="99"/>
      <c r="AL879" s="45" t="s">
        <v>68</v>
      </c>
      <c r="AM879" s="162" t="str">
        <f t="shared" si="104"/>
        <v>3/2026</v>
      </c>
      <c r="AN879" s="45">
        <f t="shared" si="105"/>
        <v>4</v>
      </c>
      <c r="AO879" s="45" t="str">
        <f t="shared" si="106"/>
        <v>1/1900</v>
      </c>
      <c r="AP879" s="45" t="e">
        <f t="shared" si="107"/>
        <v>#NUM!</v>
      </c>
      <c r="AQ879" s="45">
        <f t="shared" si="108"/>
        <v>0</v>
      </c>
      <c r="AR879" s="45">
        <f t="shared" si="109"/>
        <v>0</v>
      </c>
      <c r="AS879" s="45">
        <f t="shared" si="110"/>
        <v>0</v>
      </c>
      <c r="AT879" s="45">
        <f t="shared" si="111"/>
        <v>0</v>
      </c>
      <c r="AU879" s="45" t="str">
        <f>_xlfn.XLOOKUP(U879,'Lista Suspensa'!$AA$20:$AA$23,'Lista Suspensa'!$AB$20:$AB$23,"N/A")</f>
        <v>S</v>
      </c>
    </row>
    <row r="880" spans="1:47" ht="12" hidden="1" customHeight="1" x14ac:dyDescent="0.3">
      <c r="A880" s="87" t="s">
        <v>47</v>
      </c>
      <c r="B880" s="88">
        <v>46104</v>
      </c>
      <c r="C880" s="89" t="s">
        <v>48</v>
      </c>
      <c r="D880" s="89" t="s">
        <v>49</v>
      </c>
      <c r="E880" s="90">
        <v>755565541</v>
      </c>
      <c r="F880" s="184" t="s">
        <v>2666</v>
      </c>
      <c r="G880" s="91">
        <v>8643382795</v>
      </c>
      <c r="H880" s="92">
        <v>29126</v>
      </c>
      <c r="I880" s="89">
        <v>46</v>
      </c>
      <c r="J880" s="89" t="s">
        <v>51</v>
      </c>
      <c r="K880" s="89" t="s">
        <v>88</v>
      </c>
      <c r="L880" s="89" t="s">
        <v>89</v>
      </c>
      <c r="M880" s="89" t="s">
        <v>2667</v>
      </c>
      <c r="N880" s="89" t="s">
        <v>91</v>
      </c>
      <c r="O880" s="93" t="s">
        <v>2668</v>
      </c>
      <c r="P880" s="94" t="s">
        <v>57</v>
      </c>
      <c r="Q880" s="112" t="s">
        <v>2211</v>
      </c>
      <c r="R880" s="95"/>
      <c r="S880" s="96">
        <v>46164</v>
      </c>
      <c r="T880" s="96" t="s">
        <v>2212</v>
      </c>
      <c r="U880" s="96" t="s">
        <v>79</v>
      </c>
      <c r="V880" s="92">
        <v>46140</v>
      </c>
      <c r="W880" s="92">
        <v>46147</v>
      </c>
      <c r="X880" s="92">
        <v>46154</v>
      </c>
      <c r="Y880" s="97"/>
      <c r="Z880" s="89"/>
      <c r="AA880" s="96"/>
      <c r="AB880" s="89"/>
      <c r="AC880" s="111"/>
      <c r="AD880" s="89"/>
      <c r="AE880" s="89"/>
      <c r="AF880" s="98"/>
      <c r="AG880" s="98"/>
      <c r="AH880" s="98"/>
      <c r="AI880" s="99"/>
      <c r="AJ880" s="99"/>
      <c r="AK880" s="99"/>
      <c r="AL880" s="45" t="s">
        <v>68</v>
      </c>
      <c r="AM880" s="162" t="str">
        <f t="shared" si="104"/>
        <v>3/2026</v>
      </c>
      <c r="AN880" s="45">
        <f t="shared" si="105"/>
        <v>4</v>
      </c>
      <c r="AO880" s="45" t="str">
        <f t="shared" si="106"/>
        <v>1/1900</v>
      </c>
      <c r="AP880" s="45" t="e">
        <f t="shared" si="107"/>
        <v>#NUM!</v>
      </c>
      <c r="AQ880" s="45">
        <f t="shared" si="108"/>
        <v>0</v>
      </c>
      <c r="AR880" s="45">
        <f t="shared" si="109"/>
        <v>0</v>
      </c>
      <c r="AS880" s="45">
        <f t="shared" si="110"/>
        <v>0</v>
      </c>
      <c r="AT880" s="45">
        <f t="shared" si="111"/>
        <v>0</v>
      </c>
      <c r="AU880" s="45" t="str">
        <f>_xlfn.XLOOKUP(U880,'Lista Suspensa'!$AA$20:$AA$23,'Lista Suspensa'!$AB$20:$AB$23,"N/A")</f>
        <v>S</v>
      </c>
    </row>
    <row r="881" spans="1:47" ht="12" hidden="1" customHeight="1" x14ac:dyDescent="0.3">
      <c r="A881" s="87" t="s">
        <v>47</v>
      </c>
      <c r="B881" s="88">
        <v>46104</v>
      </c>
      <c r="C881" s="89" t="s">
        <v>48</v>
      </c>
      <c r="D881" s="89" t="s">
        <v>49</v>
      </c>
      <c r="E881" s="90">
        <v>751470961</v>
      </c>
      <c r="F881" s="184" t="s">
        <v>2669</v>
      </c>
      <c r="G881" s="91">
        <v>10864342772</v>
      </c>
      <c r="H881" s="92">
        <v>17133</v>
      </c>
      <c r="I881" s="89">
        <v>79</v>
      </c>
      <c r="J881" s="89" t="s">
        <v>51</v>
      </c>
      <c r="K881" s="89" t="s">
        <v>88</v>
      </c>
      <c r="L881" s="89" t="s">
        <v>89</v>
      </c>
      <c r="M881" s="89" t="s">
        <v>2670</v>
      </c>
      <c r="N881" s="89" t="s">
        <v>91</v>
      </c>
      <c r="O881" s="93" t="s">
        <v>2671</v>
      </c>
      <c r="P881" s="94" t="s">
        <v>57</v>
      </c>
      <c r="Q881" s="112" t="s">
        <v>2211</v>
      </c>
      <c r="R881" s="95"/>
      <c r="S881" s="96">
        <v>46164</v>
      </c>
      <c r="T881" s="96" t="s">
        <v>2212</v>
      </c>
      <c r="U881" s="96" t="s">
        <v>79</v>
      </c>
      <c r="V881" s="92">
        <v>46140</v>
      </c>
      <c r="W881" s="92">
        <v>46147</v>
      </c>
      <c r="X881" s="92">
        <v>46154</v>
      </c>
      <c r="Y881" s="97"/>
      <c r="Z881" s="89"/>
      <c r="AA881" s="96"/>
      <c r="AB881" s="89"/>
      <c r="AC881" s="111"/>
      <c r="AD881" s="89"/>
      <c r="AE881" s="89"/>
      <c r="AF881" s="98"/>
      <c r="AG881" s="98"/>
      <c r="AH881" s="98"/>
      <c r="AI881" s="99"/>
      <c r="AJ881" s="99"/>
      <c r="AK881" s="99"/>
      <c r="AL881" s="45" t="s">
        <v>68</v>
      </c>
      <c r="AM881" s="162" t="str">
        <f t="shared" si="104"/>
        <v>3/2026</v>
      </c>
      <c r="AN881" s="45">
        <f t="shared" si="105"/>
        <v>4</v>
      </c>
      <c r="AO881" s="45" t="str">
        <f t="shared" si="106"/>
        <v>1/1900</v>
      </c>
      <c r="AP881" s="45" t="e">
        <f t="shared" si="107"/>
        <v>#NUM!</v>
      </c>
      <c r="AQ881" s="45">
        <f t="shared" si="108"/>
        <v>0</v>
      </c>
      <c r="AR881" s="45">
        <f t="shared" si="109"/>
        <v>0</v>
      </c>
      <c r="AS881" s="45">
        <f t="shared" si="110"/>
        <v>0</v>
      </c>
      <c r="AT881" s="45">
        <f t="shared" si="111"/>
        <v>0</v>
      </c>
      <c r="AU881" s="45" t="str">
        <f>_xlfn.XLOOKUP(U881,'Lista Suspensa'!$AA$20:$AA$23,'Lista Suspensa'!$AB$20:$AB$23,"N/A")</f>
        <v>S</v>
      </c>
    </row>
    <row r="882" spans="1:47" ht="12" hidden="1" customHeight="1" x14ac:dyDescent="0.3">
      <c r="A882" s="87" t="s">
        <v>47</v>
      </c>
      <c r="B882" s="88">
        <v>46104</v>
      </c>
      <c r="C882" s="89" t="s">
        <v>48</v>
      </c>
      <c r="D882" s="89" t="s">
        <v>49</v>
      </c>
      <c r="E882" s="90">
        <v>800022572</v>
      </c>
      <c r="F882" s="184" t="s">
        <v>2672</v>
      </c>
      <c r="G882" s="91">
        <v>5471184815</v>
      </c>
      <c r="H882" s="92">
        <v>15887</v>
      </c>
      <c r="I882" s="89">
        <v>82</v>
      </c>
      <c r="J882" s="89" t="s">
        <v>51</v>
      </c>
      <c r="K882" s="89" t="s">
        <v>52</v>
      </c>
      <c r="L882" s="89" t="s">
        <v>53</v>
      </c>
      <c r="M882" s="89" t="s">
        <v>2673</v>
      </c>
      <c r="N882" s="89" t="s">
        <v>91</v>
      </c>
      <c r="O882" s="93" t="s">
        <v>2674</v>
      </c>
      <c r="P882" s="94" t="s">
        <v>57</v>
      </c>
      <c r="Q882" s="112" t="s">
        <v>2211</v>
      </c>
      <c r="R882" s="95"/>
      <c r="S882" s="96">
        <v>46164</v>
      </c>
      <c r="T882" s="96" t="s">
        <v>2212</v>
      </c>
      <c r="U882" s="96" t="s">
        <v>79</v>
      </c>
      <c r="V882" s="92">
        <v>46140</v>
      </c>
      <c r="W882" s="92">
        <v>46147</v>
      </c>
      <c r="X882" s="92">
        <v>46154</v>
      </c>
      <c r="Y882" s="97"/>
      <c r="Z882" s="89"/>
      <c r="AA882" s="96"/>
      <c r="AB882" s="89"/>
      <c r="AC882" s="111"/>
      <c r="AD882" s="89"/>
      <c r="AE882" s="89"/>
      <c r="AF882" s="98"/>
      <c r="AG882" s="98"/>
      <c r="AH882" s="98"/>
      <c r="AI882" s="99"/>
      <c r="AJ882" s="99"/>
      <c r="AK882" s="99"/>
      <c r="AL882" s="45" t="s">
        <v>68</v>
      </c>
      <c r="AM882" s="162" t="str">
        <f t="shared" si="104"/>
        <v>3/2026</v>
      </c>
      <c r="AN882" s="45">
        <f t="shared" si="105"/>
        <v>4</v>
      </c>
      <c r="AO882" s="45" t="str">
        <f t="shared" si="106"/>
        <v>1/1900</v>
      </c>
      <c r="AP882" s="45" t="e">
        <f t="shared" si="107"/>
        <v>#NUM!</v>
      </c>
      <c r="AQ882" s="45">
        <f t="shared" si="108"/>
        <v>0</v>
      </c>
      <c r="AR882" s="45">
        <f t="shared" si="109"/>
        <v>0</v>
      </c>
      <c r="AS882" s="45">
        <f t="shared" si="110"/>
        <v>0</v>
      </c>
      <c r="AT882" s="45">
        <f t="shared" si="111"/>
        <v>0</v>
      </c>
      <c r="AU882" s="45" t="str">
        <f>_xlfn.XLOOKUP(U882,'Lista Suspensa'!$AA$20:$AA$23,'Lista Suspensa'!$AB$20:$AB$23,"N/A")</f>
        <v>S</v>
      </c>
    </row>
    <row r="883" spans="1:47" ht="12" hidden="1" customHeight="1" x14ac:dyDescent="0.3">
      <c r="A883" s="87" t="s">
        <v>47</v>
      </c>
      <c r="B883" s="88">
        <v>46104</v>
      </c>
      <c r="C883" s="89" t="s">
        <v>48</v>
      </c>
      <c r="D883" s="89" t="s">
        <v>49</v>
      </c>
      <c r="E883" s="90">
        <v>800022580</v>
      </c>
      <c r="F883" s="184" t="s">
        <v>2675</v>
      </c>
      <c r="G883" s="91">
        <v>50430122853</v>
      </c>
      <c r="H883" s="92">
        <v>16381</v>
      </c>
      <c r="I883" s="89">
        <v>81</v>
      </c>
      <c r="J883" s="89" t="s">
        <v>70</v>
      </c>
      <c r="K883" s="89" t="s">
        <v>52</v>
      </c>
      <c r="L883" s="89" t="s">
        <v>53</v>
      </c>
      <c r="M883" s="89" t="s">
        <v>2673</v>
      </c>
      <c r="N883" s="89" t="s">
        <v>91</v>
      </c>
      <c r="O883" s="93" t="s">
        <v>2676</v>
      </c>
      <c r="P883" s="94" t="s">
        <v>57</v>
      </c>
      <c r="Q883" s="112" t="s">
        <v>2211</v>
      </c>
      <c r="R883" s="95"/>
      <c r="S883" s="96">
        <v>46164</v>
      </c>
      <c r="T883" s="96" t="s">
        <v>2212</v>
      </c>
      <c r="U883" s="96" t="s">
        <v>79</v>
      </c>
      <c r="V883" s="92">
        <v>46140</v>
      </c>
      <c r="W883" s="92">
        <v>46147</v>
      </c>
      <c r="X883" s="92">
        <v>46154</v>
      </c>
      <c r="Y883" s="97"/>
      <c r="Z883" s="89"/>
      <c r="AA883" s="96"/>
      <c r="AB883" s="89"/>
      <c r="AC883" s="111"/>
      <c r="AD883" s="89"/>
      <c r="AE883" s="89"/>
      <c r="AF883" s="98"/>
      <c r="AG883" s="98"/>
      <c r="AH883" s="98"/>
      <c r="AI883" s="99"/>
      <c r="AJ883" s="99"/>
      <c r="AK883" s="99"/>
      <c r="AL883" s="45" t="s">
        <v>68</v>
      </c>
      <c r="AM883" s="162" t="str">
        <f t="shared" si="104"/>
        <v>3/2026</v>
      </c>
      <c r="AN883" s="45">
        <f t="shared" si="105"/>
        <v>4</v>
      </c>
      <c r="AO883" s="45" t="str">
        <f t="shared" si="106"/>
        <v>1/1900</v>
      </c>
      <c r="AP883" s="45" t="e">
        <f t="shared" si="107"/>
        <v>#NUM!</v>
      </c>
      <c r="AQ883" s="45">
        <f t="shared" si="108"/>
        <v>0</v>
      </c>
      <c r="AR883" s="45">
        <f t="shared" si="109"/>
        <v>0</v>
      </c>
      <c r="AS883" s="45">
        <f t="shared" si="110"/>
        <v>0</v>
      </c>
      <c r="AT883" s="45">
        <f t="shared" si="111"/>
        <v>0</v>
      </c>
      <c r="AU883" s="45" t="str">
        <f>_xlfn.XLOOKUP(U883,'Lista Suspensa'!$AA$20:$AA$23,'Lista Suspensa'!$AB$20:$AB$23,"N/A")</f>
        <v>S</v>
      </c>
    </row>
    <row r="884" spans="1:47" ht="12" hidden="1" customHeight="1" x14ac:dyDescent="0.3">
      <c r="A884" s="87" t="s">
        <v>47</v>
      </c>
      <c r="B884" s="88">
        <v>46104</v>
      </c>
      <c r="C884" s="89" t="s">
        <v>48</v>
      </c>
      <c r="D884" s="89" t="s">
        <v>49</v>
      </c>
      <c r="E884" s="90">
        <v>452245184</v>
      </c>
      <c r="F884" s="184" t="s">
        <v>2677</v>
      </c>
      <c r="G884" s="91">
        <v>18471508885</v>
      </c>
      <c r="H884" s="92">
        <v>27250</v>
      </c>
      <c r="I884" s="89">
        <v>51</v>
      </c>
      <c r="J884" s="89" t="s">
        <v>70</v>
      </c>
      <c r="K884" s="89" t="s">
        <v>52</v>
      </c>
      <c r="L884" s="89" t="s">
        <v>53</v>
      </c>
      <c r="M884" s="89" t="s">
        <v>2678</v>
      </c>
      <c r="N884" s="89" t="s">
        <v>91</v>
      </c>
      <c r="O884" s="93" t="s">
        <v>2679</v>
      </c>
      <c r="P884" s="94" t="s">
        <v>57</v>
      </c>
      <c r="Q884" s="112" t="s">
        <v>2211</v>
      </c>
      <c r="R884" s="95"/>
      <c r="S884" s="96">
        <v>46164</v>
      </c>
      <c r="T884" s="96" t="s">
        <v>2212</v>
      </c>
      <c r="U884" s="96" t="s">
        <v>79</v>
      </c>
      <c r="V884" s="92">
        <v>46112</v>
      </c>
      <c r="W884" s="92">
        <v>46147</v>
      </c>
      <c r="X884" s="92">
        <v>46154</v>
      </c>
      <c r="Y884" s="97"/>
      <c r="Z884" s="89"/>
      <c r="AA884" s="96"/>
      <c r="AB884" s="89"/>
      <c r="AC884" s="111"/>
      <c r="AD884" s="89"/>
      <c r="AE884" s="89"/>
      <c r="AF884" s="98"/>
      <c r="AG884" s="98"/>
      <c r="AH884" s="98"/>
      <c r="AI884" s="99"/>
      <c r="AJ884" s="99"/>
      <c r="AK884" s="99"/>
      <c r="AL884" s="45" t="s">
        <v>68</v>
      </c>
      <c r="AM884" s="162" t="str">
        <f t="shared" si="104"/>
        <v>3/2026</v>
      </c>
      <c r="AN884" s="45">
        <f t="shared" si="105"/>
        <v>4</v>
      </c>
      <c r="AO884" s="45" t="str">
        <f t="shared" si="106"/>
        <v>1/1900</v>
      </c>
      <c r="AP884" s="45" t="e">
        <f t="shared" si="107"/>
        <v>#NUM!</v>
      </c>
      <c r="AQ884" s="45">
        <f t="shared" si="108"/>
        <v>0</v>
      </c>
      <c r="AR884" s="45">
        <f t="shared" si="109"/>
        <v>0</v>
      </c>
      <c r="AS884" s="45">
        <f t="shared" si="110"/>
        <v>0</v>
      </c>
      <c r="AT884" s="45">
        <f t="shared" si="111"/>
        <v>0</v>
      </c>
      <c r="AU884" s="45" t="str">
        <f>_xlfn.XLOOKUP(U884,'Lista Suspensa'!$AA$20:$AA$23,'Lista Suspensa'!$AB$20:$AB$23,"N/A")</f>
        <v>S</v>
      </c>
    </row>
    <row r="885" spans="1:47" ht="12" hidden="1" customHeight="1" x14ac:dyDescent="0.3">
      <c r="A885" s="87" t="s">
        <v>47</v>
      </c>
      <c r="B885" s="88">
        <v>46104</v>
      </c>
      <c r="C885" s="89" t="s">
        <v>48</v>
      </c>
      <c r="D885" s="89" t="s">
        <v>49</v>
      </c>
      <c r="E885" s="90">
        <v>450632652</v>
      </c>
      <c r="F885" s="184" t="s">
        <v>2680</v>
      </c>
      <c r="G885" s="91">
        <v>15203132844</v>
      </c>
      <c r="H885" s="92">
        <v>19553</v>
      </c>
      <c r="I885" s="89">
        <v>72</v>
      </c>
      <c r="J885" s="89" t="s">
        <v>70</v>
      </c>
      <c r="K885" s="89" t="s">
        <v>52</v>
      </c>
      <c r="L885" s="89" t="s">
        <v>53</v>
      </c>
      <c r="M885" s="89" t="s">
        <v>570</v>
      </c>
      <c r="N885" s="89" t="s">
        <v>91</v>
      </c>
      <c r="O885" s="93" t="s">
        <v>990</v>
      </c>
      <c r="P885" s="94" t="s">
        <v>57</v>
      </c>
      <c r="Q885" s="112" t="s">
        <v>2211</v>
      </c>
      <c r="R885" s="95"/>
      <c r="S885" s="96">
        <v>46164</v>
      </c>
      <c r="T885" s="96" t="s">
        <v>2212</v>
      </c>
      <c r="U885" s="96" t="s">
        <v>79</v>
      </c>
      <c r="V885" s="92">
        <v>46140</v>
      </c>
      <c r="W885" s="92">
        <v>46147</v>
      </c>
      <c r="X885" s="92">
        <v>46154</v>
      </c>
      <c r="Y885" s="97"/>
      <c r="Z885" s="89"/>
      <c r="AA885" s="96"/>
      <c r="AB885" s="89"/>
      <c r="AC885" s="111"/>
      <c r="AD885" s="89"/>
      <c r="AE885" s="89"/>
      <c r="AF885" s="98"/>
      <c r="AG885" s="98"/>
      <c r="AH885" s="98"/>
      <c r="AI885" s="99"/>
      <c r="AJ885" s="99"/>
      <c r="AK885" s="99"/>
      <c r="AL885" s="45" t="s">
        <v>68</v>
      </c>
      <c r="AM885" s="162" t="str">
        <f t="shared" si="104"/>
        <v>3/2026</v>
      </c>
      <c r="AN885" s="45">
        <f t="shared" si="105"/>
        <v>4</v>
      </c>
      <c r="AO885" s="45" t="str">
        <f t="shared" si="106"/>
        <v>1/1900</v>
      </c>
      <c r="AP885" s="45" t="e">
        <f t="shared" si="107"/>
        <v>#NUM!</v>
      </c>
      <c r="AQ885" s="45">
        <f t="shared" si="108"/>
        <v>0</v>
      </c>
      <c r="AR885" s="45">
        <f t="shared" si="109"/>
        <v>0</v>
      </c>
      <c r="AS885" s="45">
        <f t="shared" si="110"/>
        <v>0</v>
      </c>
      <c r="AT885" s="45">
        <f t="shared" si="111"/>
        <v>0</v>
      </c>
      <c r="AU885" s="45" t="str">
        <f>_xlfn.XLOOKUP(U885,'Lista Suspensa'!$AA$20:$AA$23,'Lista Suspensa'!$AB$20:$AB$23,"N/A")</f>
        <v>S</v>
      </c>
    </row>
    <row r="886" spans="1:47" ht="12" hidden="1" customHeight="1" x14ac:dyDescent="0.3">
      <c r="A886" s="87" t="s">
        <v>47</v>
      </c>
      <c r="B886" s="88">
        <v>46104</v>
      </c>
      <c r="C886" s="89" t="s">
        <v>48</v>
      </c>
      <c r="D886" s="89" t="s">
        <v>49</v>
      </c>
      <c r="E886" s="90">
        <v>796592306</v>
      </c>
      <c r="F886" s="184" t="s">
        <v>2681</v>
      </c>
      <c r="G886" s="91">
        <v>18303520830</v>
      </c>
      <c r="H886" s="92">
        <v>22664</v>
      </c>
      <c r="I886" s="89">
        <v>64</v>
      </c>
      <c r="J886" s="89" t="s">
        <v>70</v>
      </c>
      <c r="K886" s="89" t="s">
        <v>52</v>
      </c>
      <c r="L886" s="89" t="s">
        <v>53</v>
      </c>
      <c r="M886" s="89" t="s">
        <v>570</v>
      </c>
      <c r="N886" s="89" t="s">
        <v>91</v>
      </c>
      <c r="O886" s="93" t="s">
        <v>2682</v>
      </c>
      <c r="P886" s="94" t="s">
        <v>57</v>
      </c>
      <c r="Q886" s="112" t="s">
        <v>2211</v>
      </c>
      <c r="R886" s="95"/>
      <c r="S886" s="96">
        <v>46164</v>
      </c>
      <c r="T886" s="96" t="s">
        <v>2212</v>
      </c>
      <c r="U886" s="96" t="s">
        <v>79</v>
      </c>
      <c r="V886" s="92">
        <v>46140</v>
      </c>
      <c r="W886" s="92">
        <v>46147</v>
      </c>
      <c r="X886" s="92">
        <v>46154</v>
      </c>
      <c r="Y886" s="97"/>
      <c r="Z886" s="89"/>
      <c r="AA886" s="96"/>
      <c r="AB886" s="89"/>
      <c r="AC886" s="111"/>
      <c r="AD886" s="89"/>
      <c r="AE886" s="89"/>
      <c r="AF886" s="98"/>
      <c r="AG886" s="98"/>
      <c r="AH886" s="98"/>
      <c r="AI886" s="99"/>
      <c r="AJ886" s="99"/>
      <c r="AK886" s="99"/>
      <c r="AL886" s="45" t="s">
        <v>68</v>
      </c>
      <c r="AM886" s="162" t="str">
        <f t="shared" si="104"/>
        <v>3/2026</v>
      </c>
      <c r="AN886" s="45">
        <f t="shared" si="105"/>
        <v>4</v>
      </c>
      <c r="AO886" s="45" t="str">
        <f t="shared" si="106"/>
        <v>1/1900</v>
      </c>
      <c r="AP886" s="45" t="e">
        <f t="shared" si="107"/>
        <v>#NUM!</v>
      </c>
      <c r="AQ886" s="45">
        <f t="shared" si="108"/>
        <v>0</v>
      </c>
      <c r="AR886" s="45">
        <f t="shared" si="109"/>
        <v>0</v>
      </c>
      <c r="AS886" s="45">
        <f t="shared" si="110"/>
        <v>0</v>
      </c>
      <c r="AT886" s="45">
        <f t="shared" si="111"/>
        <v>0</v>
      </c>
      <c r="AU886" s="45" t="str">
        <f>_xlfn.XLOOKUP(U886,'Lista Suspensa'!$AA$20:$AA$23,'Lista Suspensa'!$AB$20:$AB$23,"N/A")</f>
        <v>S</v>
      </c>
    </row>
    <row r="887" spans="1:47" ht="12" hidden="1" customHeight="1" x14ac:dyDescent="0.3">
      <c r="A887" s="87" t="s">
        <v>47</v>
      </c>
      <c r="B887" s="88">
        <v>46104</v>
      </c>
      <c r="C887" s="89" t="s">
        <v>48</v>
      </c>
      <c r="D887" s="89" t="s">
        <v>49</v>
      </c>
      <c r="E887" s="90">
        <v>450632660</v>
      </c>
      <c r="F887" s="184" t="s">
        <v>2683</v>
      </c>
      <c r="G887" s="91">
        <v>34185066821</v>
      </c>
      <c r="H887" s="92">
        <v>25238</v>
      </c>
      <c r="I887" s="89">
        <v>57</v>
      </c>
      <c r="J887" s="89" t="s">
        <v>70</v>
      </c>
      <c r="K887" s="89" t="s">
        <v>52</v>
      </c>
      <c r="L887" s="89" t="s">
        <v>53</v>
      </c>
      <c r="M887" s="89" t="s">
        <v>570</v>
      </c>
      <c r="N887" s="89" t="s">
        <v>91</v>
      </c>
      <c r="O887" s="93" t="s">
        <v>990</v>
      </c>
      <c r="P887" s="94" t="s">
        <v>57</v>
      </c>
      <c r="Q887" s="112" t="s">
        <v>2211</v>
      </c>
      <c r="R887" s="95"/>
      <c r="S887" s="96">
        <v>46164</v>
      </c>
      <c r="T887" s="96" t="s">
        <v>2212</v>
      </c>
      <c r="U887" s="96" t="s">
        <v>79</v>
      </c>
      <c r="V887" s="92">
        <v>46140</v>
      </c>
      <c r="W887" s="92">
        <v>46147</v>
      </c>
      <c r="X887" s="92">
        <v>46154</v>
      </c>
      <c r="Y887" s="97"/>
      <c r="Z887" s="89"/>
      <c r="AA887" s="96"/>
      <c r="AB887" s="89"/>
      <c r="AC887" s="111"/>
      <c r="AD887" s="89"/>
      <c r="AE887" s="89"/>
      <c r="AF887" s="98"/>
      <c r="AG887" s="98"/>
      <c r="AH887" s="98"/>
      <c r="AI887" s="99"/>
      <c r="AJ887" s="99"/>
      <c r="AK887" s="99"/>
      <c r="AL887" s="45" t="s">
        <v>68</v>
      </c>
      <c r="AM887" s="162" t="str">
        <f t="shared" si="104"/>
        <v>3/2026</v>
      </c>
      <c r="AN887" s="45">
        <f t="shared" si="105"/>
        <v>4</v>
      </c>
      <c r="AO887" s="45" t="str">
        <f t="shared" si="106"/>
        <v>1/1900</v>
      </c>
      <c r="AP887" s="45" t="e">
        <f t="shared" si="107"/>
        <v>#NUM!</v>
      </c>
      <c r="AQ887" s="45">
        <f t="shared" si="108"/>
        <v>0</v>
      </c>
      <c r="AR887" s="45">
        <f t="shared" si="109"/>
        <v>0</v>
      </c>
      <c r="AS887" s="45">
        <f t="shared" si="110"/>
        <v>0</v>
      </c>
      <c r="AT887" s="45">
        <f t="shared" si="111"/>
        <v>0</v>
      </c>
      <c r="AU887" s="45" t="str">
        <f>_xlfn.XLOOKUP(U887,'Lista Suspensa'!$AA$20:$AA$23,'Lista Suspensa'!$AB$20:$AB$23,"N/A")</f>
        <v>S</v>
      </c>
    </row>
    <row r="888" spans="1:47" ht="12" hidden="1" customHeight="1" x14ac:dyDescent="0.3">
      <c r="A888" s="87" t="s">
        <v>47</v>
      </c>
      <c r="B888" s="88">
        <v>46104</v>
      </c>
      <c r="C888" s="89" t="s">
        <v>48</v>
      </c>
      <c r="D888" s="89" t="s">
        <v>49</v>
      </c>
      <c r="E888" s="90">
        <v>452416779</v>
      </c>
      <c r="F888" s="184" t="s">
        <v>2684</v>
      </c>
      <c r="G888" s="91">
        <v>9373855816</v>
      </c>
      <c r="H888" s="92">
        <v>24689</v>
      </c>
      <c r="I888" s="89">
        <v>58</v>
      </c>
      <c r="J888" s="89" t="s">
        <v>70</v>
      </c>
      <c r="K888" s="89" t="s">
        <v>52</v>
      </c>
      <c r="L888" s="89" t="s">
        <v>160</v>
      </c>
      <c r="M888" s="89" t="s">
        <v>1510</v>
      </c>
      <c r="N888" s="89" t="s">
        <v>91</v>
      </c>
      <c r="O888" s="93" t="s">
        <v>2685</v>
      </c>
      <c r="P888" s="94" t="s">
        <v>57</v>
      </c>
      <c r="Q888" s="112" t="s">
        <v>2211</v>
      </c>
      <c r="R888" s="95"/>
      <c r="S888" s="96">
        <v>46164</v>
      </c>
      <c r="T888" s="96" t="s">
        <v>2212</v>
      </c>
      <c r="U888" s="96" t="s">
        <v>79</v>
      </c>
      <c r="V888" s="92">
        <v>46112</v>
      </c>
      <c r="W888" s="92">
        <v>46147</v>
      </c>
      <c r="X888" s="92">
        <v>46154</v>
      </c>
      <c r="Y888" s="97"/>
      <c r="Z888" s="89"/>
      <c r="AA888" s="96"/>
      <c r="AB888" s="89"/>
      <c r="AC888" s="111"/>
      <c r="AD888" s="89"/>
      <c r="AE888" s="89"/>
      <c r="AF888" s="98"/>
      <c r="AG888" s="98"/>
      <c r="AH888" s="98"/>
      <c r="AI888" s="99"/>
      <c r="AJ888" s="99"/>
      <c r="AK888" s="99"/>
      <c r="AL888" s="45" t="s">
        <v>68</v>
      </c>
      <c r="AM888" s="162" t="str">
        <f t="shared" si="104"/>
        <v>3/2026</v>
      </c>
      <c r="AN888" s="45">
        <f t="shared" si="105"/>
        <v>4</v>
      </c>
      <c r="AO888" s="45" t="str">
        <f t="shared" si="106"/>
        <v>1/1900</v>
      </c>
      <c r="AP888" s="45" t="e">
        <f t="shared" si="107"/>
        <v>#NUM!</v>
      </c>
      <c r="AQ888" s="45">
        <f t="shared" si="108"/>
        <v>0</v>
      </c>
      <c r="AR888" s="45">
        <f t="shared" si="109"/>
        <v>0</v>
      </c>
      <c r="AS888" s="45">
        <f t="shared" si="110"/>
        <v>0</v>
      </c>
      <c r="AT888" s="45">
        <f t="shared" si="111"/>
        <v>0</v>
      </c>
      <c r="AU888" s="45" t="str">
        <f>_xlfn.XLOOKUP(U888,'Lista Suspensa'!$AA$20:$AA$23,'Lista Suspensa'!$AB$20:$AB$23,"N/A")</f>
        <v>S</v>
      </c>
    </row>
    <row r="889" spans="1:47" ht="12" hidden="1" customHeight="1" x14ac:dyDescent="0.3">
      <c r="A889" s="87" t="s">
        <v>47</v>
      </c>
      <c r="B889" s="88">
        <v>46104</v>
      </c>
      <c r="C889" s="89" t="s">
        <v>48</v>
      </c>
      <c r="D889" s="89" t="s">
        <v>49</v>
      </c>
      <c r="E889" s="90">
        <v>775454443</v>
      </c>
      <c r="F889" s="184" t="s">
        <v>2686</v>
      </c>
      <c r="G889" s="91">
        <v>3203736810</v>
      </c>
      <c r="H889" s="92">
        <v>21454</v>
      </c>
      <c r="I889" s="89">
        <v>67</v>
      </c>
      <c r="J889" s="89" t="s">
        <v>70</v>
      </c>
      <c r="K889" s="89" t="s">
        <v>52</v>
      </c>
      <c r="L889" s="89" t="s">
        <v>53</v>
      </c>
      <c r="M889" s="89" t="s">
        <v>2687</v>
      </c>
      <c r="N889" s="89" t="s">
        <v>91</v>
      </c>
      <c r="O889" s="93" t="s">
        <v>2688</v>
      </c>
      <c r="P889" s="94" t="s">
        <v>57</v>
      </c>
      <c r="Q889" s="112" t="s">
        <v>2211</v>
      </c>
      <c r="R889" s="95"/>
      <c r="S889" s="96">
        <v>46164</v>
      </c>
      <c r="T889" s="96" t="s">
        <v>2212</v>
      </c>
      <c r="U889" s="96" t="s">
        <v>79</v>
      </c>
      <c r="V889" s="92">
        <v>46128</v>
      </c>
      <c r="W889" s="92">
        <v>46147</v>
      </c>
      <c r="X889" s="92">
        <v>46154</v>
      </c>
      <c r="Y889" s="97"/>
      <c r="Z889" s="89"/>
      <c r="AA889" s="96"/>
      <c r="AB889" s="89"/>
      <c r="AC889" s="111"/>
      <c r="AD889" s="89"/>
      <c r="AE889" s="89"/>
      <c r="AF889" s="98"/>
      <c r="AG889" s="98"/>
      <c r="AH889" s="98"/>
      <c r="AI889" s="99"/>
      <c r="AJ889" s="99"/>
      <c r="AK889" s="99"/>
      <c r="AL889" s="45" t="s">
        <v>68</v>
      </c>
      <c r="AM889" s="162" t="str">
        <f t="shared" si="104"/>
        <v>3/2026</v>
      </c>
      <c r="AN889" s="45">
        <f t="shared" si="105"/>
        <v>4</v>
      </c>
      <c r="AO889" s="45" t="str">
        <f t="shared" si="106"/>
        <v>1/1900</v>
      </c>
      <c r="AP889" s="45" t="e">
        <f t="shared" si="107"/>
        <v>#NUM!</v>
      </c>
      <c r="AQ889" s="45">
        <f t="shared" si="108"/>
        <v>0</v>
      </c>
      <c r="AR889" s="45">
        <f t="shared" si="109"/>
        <v>0</v>
      </c>
      <c r="AS889" s="45">
        <f t="shared" si="110"/>
        <v>0</v>
      </c>
      <c r="AT889" s="45">
        <f t="shared" si="111"/>
        <v>0</v>
      </c>
      <c r="AU889" s="45" t="str">
        <f>_xlfn.XLOOKUP(U889,'Lista Suspensa'!$AA$20:$AA$23,'Lista Suspensa'!$AB$20:$AB$23,"N/A")</f>
        <v>S</v>
      </c>
    </row>
    <row r="890" spans="1:47" ht="12" hidden="1" customHeight="1" x14ac:dyDescent="0.3">
      <c r="A890" s="87" t="s">
        <v>47</v>
      </c>
      <c r="B890" s="88">
        <v>46104</v>
      </c>
      <c r="C890" s="89" t="s">
        <v>48</v>
      </c>
      <c r="D890" s="89" t="s">
        <v>49</v>
      </c>
      <c r="E890" s="90">
        <v>800109120</v>
      </c>
      <c r="F890" s="184" t="s">
        <v>2689</v>
      </c>
      <c r="G890" s="91">
        <v>8823540860</v>
      </c>
      <c r="H890" s="92">
        <v>16751</v>
      </c>
      <c r="I890" s="89">
        <v>80</v>
      </c>
      <c r="J890" s="89" t="s">
        <v>70</v>
      </c>
      <c r="K890" s="89" t="s">
        <v>52</v>
      </c>
      <c r="L890" s="89" t="s">
        <v>53</v>
      </c>
      <c r="M890" s="89" t="s">
        <v>2690</v>
      </c>
      <c r="N890" s="89" t="s">
        <v>91</v>
      </c>
      <c r="O890" s="93" t="s">
        <v>2691</v>
      </c>
      <c r="P890" s="94" t="s">
        <v>57</v>
      </c>
      <c r="Q890" s="112" t="s">
        <v>2211</v>
      </c>
      <c r="R890" s="95"/>
      <c r="S890" s="96">
        <v>46164</v>
      </c>
      <c r="T890" s="96" t="s">
        <v>2212</v>
      </c>
      <c r="U890" s="96" t="s">
        <v>79</v>
      </c>
      <c r="V890" s="92">
        <v>46140</v>
      </c>
      <c r="W890" s="92">
        <v>46147</v>
      </c>
      <c r="X890" s="92">
        <v>46154</v>
      </c>
      <c r="Y890" s="97"/>
      <c r="Z890" s="89"/>
      <c r="AA890" s="96"/>
      <c r="AB890" s="89"/>
      <c r="AC890" s="111"/>
      <c r="AD890" s="89"/>
      <c r="AE890" s="89"/>
      <c r="AF890" s="98"/>
      <c r="AG890" s="98"/>
      <c r="AH890" s="98"/>
      <c r="AI890" s="99"/>
      <c r="AJ890" s="99"/>
      <c r="AK890" s="99"/>
      <c r="AL890" s="45" t="s">
        <v>68</v>
      </c>
      <c r="AM890" s="162" t="str">
        <f t="shared" si="104"/>
        <v>3/2026</v>
      </c>
      <c r="AN890" s="45">
        <f t="shared" si="105"/>
        <v>4</v>
      </c>
      <c r="AO890" s="45" t="str">
        <f t="shared" si="106"/>
        <v>1/1900</v>
      </c>
      <c r="AP890" s="45" t="e">
        <f t="shared" si="107"/>
        <v>#NUM!</v>
      </c>
      <c r="AQ890" s="45">
        <f t="shared" si="108"/>
        <v>0</v>
      </c>
      <c r="AR890" s="45">
        <f t="shared" si="109"/>
        <v>0</v>
      </c>
      <c r="AS890" s="45">
        <f t="shared" si="110"/>
        <v>0</v>
      </c>
      <c r="AT890" s="45">
        <f t="shared" si="111"/>
        <v>0</v>
      </c>
      <c r="AU890" s="45" t="str">
        <f>_xlfn.XLOOKUP(U890,'Lista Suspensa'!$AA$20:$AA$23,'Lista Suspensa'!$AB$20:$AB$23,"N/A")</f>
        <v>S</v>
      </c>
    </row>
    <row r="891" spans="1:47" ht="12" hidden="1" customHeight="1" x14ac:dyDescent="0.3">
      <c r="A891" s="87" t="s">
        <v>47</v>
      </c>
      <c r="B891" s="88">
        <v>46104</v>
      </c>
      <c r="C891" s="89" t="s">
        <v>48</v>
      </c>
      <c r="D891" s="89" t="s">
        <v>49</v>
      </c>
      <c r="E891" s="90">
        <v>984353585</v>
      </c>
      <c r="F891" s="184" t="s">
        <v>2692</v>
      </c>
      <c r="G891" s="91">
        <v>17020387420</v>
      </c>
      <c r="H891" s="92">
        <v>19367</v>
      </c>
      <c r="I891" s="89">
        <v>73</v>
      </c>
      <c r="J891" s="89" t="s">
        <v>51</v>
      </c>
      <c r="K891" s="89" t="s">
        <v>52</v>
      </c>
      <c r="L891" s="89" t="s">
        <v>331</v>
      </c>
      <c r="M891" s="89" t="s">
        <v>2134</v>
      </c>
      <c r="N891" s="89" t="s">
        <v>91</v>
      </c>
      <c r="O891" s="93" t="s">
        <v>2693</v>
      </c>
      <c r="P891" s="94" t="s">
        <v>57</v>
      </c>
      <c r="Q891" s="112" t="s">
        <v>2211</v>
      </c>
      <c r="R891" s="95"/>
      <c r="S891" s="96">
        <v>46164</v>
      </c>
      <c r="T891" s="96" t="s">
        <v>2212</v>
      </c>
      <c r="U891" s="96" t="s">
        <v>79</v>
      </c>
      <c r="V891" s="92">
        <v>46140</v>
      </c>
      <c r="W891" s="92">
        <v>46147</v>
      </c>
      <c r="X891" s="92">
        <v>46154</v>
      </c>
      <c r="Y891" s="97"/>
      <c r="Z891" s="89"/>
      <c r="AA891" s="96"/>
      <c r="AB891" s="89"/>
      <c r="AC891" s="111"/>
      <c r="AD891" s="89"/>
      <c r="AE891" s="89"/>
      <c r="AF891" s="98"/>
      <c r="AG891" s="98"/>
      <c r="AH891" s="98"/>
      <c r="AI891" s="99"/>
      <c r="AJ891" s="99"/>
      <c r="AK891" s="99"/>
      <c r="AL891" s="45" t="s">
        <v>68</v>
      </c>
      <c r="AM891" s="162" t="str">
        <f t="shared" si="104"/>
        <v>3/2026</v>
      </c>
      <c r="AN891" s="45">
        <f t="shared" si="105"/>
        <v>4</v>
      </c>
      <c r="AO891" s="45" t="str">
        <f t="shared" si="106"/>
        <v>1/1900</v>
      </c>
      <c r="AP891" s="45" t="e">
        <f t="shared" si="107"/>
        <v>#NUM!</v>
      </c>
      <c r="AQ891" s="45">
        <f t="shared" si="108"/>
        <v>0</v>
      </c>
      <c r="AR891" s="45">
        <f t="shared" si="109"/>
        <v>0</v>
      </c>
      <c r="AS891" s="45">
        <f t="shared" si="110"/>
        <v>0</v>
      </c>
      <c r="AT891" s="45">
        <f t="shared" si="111"/>
        <v>0</v>
      </c>
      <c r="AU891" s="45" t="str">
        <f>_xlfn.XLOOKUP(U891,'Lista Suspensa'!$AA$20:$AA$23,'Lista Suspensa'!$AB$20:$AB$23,"N/A")</f>
        <v>S</v>
      </c>
    </row>
    <row r="892" spans="1:47" ht="12" hidden="1" customHeight="1" x14ac:dyDescent="0.3">
      <c r="A892" s="87" t="s">
        <v>47</v>
      </c>
      <c r="B892" s="88">
        <v>46104</v>
      </c>
      <c r="C892" s="89" t="s">
        <v>48</v>
      </c>
      <c r="D892" s="89" t="s">
        <v>49</v>
      </c>
      <c r="E892" s="90">
        <v>450019225</v>
      </c>
      <c r="F892" s="184" t="s">
        <v>2694</v>
      </c>
      <c r="G892" s="91">
        <v>8198950915</v>
      </c>
      <c r="H892" s="92">
        <v>19442</v>
      </c>
      <c r="I892" s="89">
        <v>72</v>
      </c>
      <c r="J892" s="89" t="s">
        <v>51</v>
      </c>
      <c r="K892" s="89" t="s">
        <v>52</v>
      </c>
      <c r="L892" s="89" t="s">
        <v>53</v>
      </c>
      <c r="M892" s="89" t="s">
        <v>1754</v>
      </c>
      <c r="N892" s="89" t="s">
        <v>91</v>
      </c>
      <c r="O892" s="93" t="s">
        <v>2695</v>
      </c>
      <c r="P892" s="94" t="s">
        <v>57</v>
      </c>
      <c r="Q892" s="112" t="s">
        <v>2211</v>
      </c>
      <c r="R892" s="95"/>
      <c r="S892" s="96">
        <v>46164</v>
      </c>
      <c r="T892" s="96" t="s">
        <v>2212</v>
      </c>
      <c r="U892" s="96" t="s">
        <v>79</v>
      </c>
      <c r="V892" s="92">
        <v>46112</v>
      </c>
      <c r="W892" s="92">
        <v>46147</v>
      </c>
      <c r="X892" s="92">
        <v>46154</v>
      </c>
      <c r="Y892" s="97"/>
      <c r="Z892" s="89"/>
      <c r="AA892" s="96"/>
      <c r="AB892" s="89"/>
      <c r="AC892" s="111"/>
      <c r="AD892" s="89"/>
      <c r="AE892" s="89"/>
      <c r="AF892" s="98"/>
      <c r="AG892" s="98"/>
      <c r="AH892" s="98"/>
      <c r="AI892" s="99"/>
      <c r="AJ892" s="99"/>
      <c r="AK892" s="99"/>
      <c r="AL892" s="45" t="s">
        <v>68</v>
      </c>
      <c r="AM892" s="162" t="str">
        <f t="shared" si="104"/>
        <v>3/2026</v>
      </c>
      <c r="AN892" s="45">
        <f t="shared" si="105"/>
        <v>4</v>
      </c>
      <c r="AO892" s="45" t="str">
        <f t="shared" si="106"/>
        <v>1/1900</v>
      </c>
      <c r="AP892" s="45" t="e">
        <f t="shared" si="107"/>
        <v>#NUM!</v>
      </c>
      <c r="AQ892" s="45">
        <f t="shared" si="108"/>
        <v>0</v>
      </c>
      <c r="AR892" s="45">
        <f t="shared" si="109"/>
        <v>0</v>
      </c>
      <c r="AS892" s="45">
        <f t="shared" si="110"/>
        <v>0</v>
      </c>
      <c r="AT892" s="45">
        <f t="shared" si="111"/>
        <v>0</v>
      </c>
      <c r="AU892" s="45" t="str">
        <f>_xlfn.XLOOKUP(U892,'Lista Suspensa'!$AA$20:$AA$23,'Lista Suspensa'!$AB$20:$AB$23,"N/A")</f>
        <v>S</v>
      </c>
    </row>
    <row r="893" spans="1:47" ht="12" hidden="1" customHeight="1" x14ac:dyDescent="0.3">
      <c r="A893" s="87" t="s">
        <v>47</v>
      </c>
      <c r="B893" s="88">
        <v>46104</v>
      </c>
      <c r="C893" s="89" t="s">
        <v>48</v>
      </c>
      <c r="D893" s="89" t="s">
        <v>49</v>
      </c>
      <c r="E893" s="90">
        <v>452103479</v>
      </c>
      <c r="F893" s="184" t="s">
        <v>2696</v>
      </c>
      <c r="G893" s="91">
        <v>68914857891</v>
      </c>
      <c r="H893" s="92">
        <v>19325</v>
      </c>
      <c r="I893" s="89">
        <v>73</v>
      </c>
      <c r="J893" s="89" t="s">
        <v>51</v>
      </c>
      <c r="K893" s="89" t="s">
        <v>52</v>
      </c>
      <c r="L893" s="89" t="s">
        <v>53</v>
      </c>
      <c r="M893" s="89" t="s">
        <v>106</v>
      </c>
      <c r="N893" s="89" t="s">
        <v>91</v>
      </c>
      <c r="O893" s="93" t="s">
        <v>2697</v>
      </c>
      <c r="P893" s="94" t="s">
        <v>57</v>
      </c>
      <c r="Q893" s="112" t="s">
        <v>2211</v>
      </c>
      <c r="R893" s="95"/>
      <c r="S893" s="96">
        <v>46164</v>
      </c>
      <c r="T893" s="96" t="s">
        <v>2212</v>
      </c>
      <c r="U893" s="96" t="s">
        <v>79</v>
      </c>
      <c r="V893" s="92">
        <v>46112</v>
      </c>
      <c r="W893" s="92">
        <v>46147</v>
      </c>
      <c r="X893" s="92">
        <v>46154</v>
      </c>
      <c r="Y893" s="97"/>
      <c r="Z893" s="89"/>
      <c r="AA893" s="96"/>
      <c r="AB893" s="89"/>
      <c r="AC893" s="111"/>
      <c r="AD893" s="89"/>
      <c r="AE893" s="89"/>
      <c r="AF893" s="98"/>
      <c r="AG893" s="98"/>
      <c r="AH893" s="98"/>
      <c r="AI893" s="99"/>
      <c r="AJ893" s="99"/>
      <c r="AK893" s="99"/>
      <c r="AL893" s="45" t="s">
        <v>68</v>
      </c>
      <c r="AM893" s="162" t="str">
        <f t="shared" si="104"/>
        <v>3/2026</v>
      </c>
      <c r="AN893" s="45">
        <f t="shared" si="105"/>
        <v>4</v>
      </c>
      <c r="AO893" s="45" t="str">
        <f t="shared" si="106"/>
        <v>1/1900</v>
      </c>
      <c r="AP893" s="45" t="e">
        <f t="shared" si="107"/>
        <v>#NUM!</v>
      </c>
      <c r="AQ893" s="45">
        <f t="shared" si="108"/>
        <v>0</v>
      </c>
      <c r="AR893" s="45">
        <f t="shared" si="109"/>
        <v>0</v>
      </c>
      <c r="AS893" s="45">
        <f t="shared" si="110"/>
        <v>0</v>
      </c>
      <c r="AT893" s="45">
        <f t="shared" si="111"/>
        <v>0</v>
      </c>
      <c r="AU893" s="45" t="str">
        <f>_xlfn.XLOOKUP(U893,'Lista Suspensa'!$AA$20:$AA$23,'Lista Suspensa'!$AB$20:$AB$23,"N/A")</f>
        <v>S</v>
      </c>
    </row>
    <row r="894" spans="1:47" ht="12" hidden="1" customHeight="1" x14ac:dyDescent="0.3">
      <c r="A894" s="87" t="s">
        <v>47</v>
      </c>
      <c r="B894" s="88">
        <v>46104</v>
      </c>
      <c r="C894" s="89" t="s">
        <v>48</v>
      </c>
      <c r="D894" s="89" t="s">
        <v>49</v>
      </c>
      <c r="E894" s="90">
        <v>88949647</v>
      </c>
      <c r="F894" s="184" t="s">
        <v>2698</v>
      </c>
      <c r="G894" s="91">
        <v>34854277807</v>
      </c>
      <c r="H894" s="92">
        <v>32066</v>
      </c>
      <c r="I894" s="89">
        <v>38</v>
      </c>
      <c r="J894" s="89" t="s">
        <v>70</v>
      </c>
      <c r="K894" s="89" t="s">
        <v>52</v>
      </c>
      <c r="L894" s="89" t="s">
        <v>53</v>
      </c>
      <c r="M894" s="89" t="s">
        <v>2699</v>
      </c>
      <c r="N894" s="89" t="s">
        <v>91</v>
      </c>
      <c r="O894" s="93" t="s">
        <v>2700</v>
      </c>
      <c r="P894" s="94" t="s">
        <v>57</v>
      </c>
      <c r="Q894" s="112" t="s">
        <v>2211</v>
      </c>
      <c r="R894" s="95"/>
      <c r="S894" s="96">
        <v>46164</v>
      </c>
      <c r="T894" s="96" t="s">
        <v>2212</v>
      </c>
      <c r="U894" s="96" t="s">
        <v>79</v>
      </c>
      <c r="V894" s="92">
        <v>46140</v>
      </c>
      <c r="W894" s="92">
        <v>46147</v>
      </c>
      <c r="X894" s="92">
        <v>46154</v>
      </c>
      <c r="Y894" s="97"/>
      <c r="Z894" s="89"/>
      <c r="AA894" s="96"/>
      <c r="AB894" s="89"/>
      <c r="AC894" s="111"/>
      <c r="AD894" s="89"/>
      <c r="AE894" s="89"/>
      <c r="AF894" s="98"/>
      <c r="AG894" s="98"/>
      <c r="AH894" s="98"/>
      <c r="AI894" s="99"/>
      <c r="AJ894" s="99"/>
      <c r="AK894" s="99"/>
      <c r="AL894" s="45" t="s">
        <v>68</v>
      </c>
      <c r="AM894" s="162" t="str">
        <f t="shared" si="104"/>
        <v>3/2026</v>
      </c>
      <c r="AN894" s="45">
        <f t="shared" si="105"/>
        <v>4</v>
      </c>
      <c r="AO894" s="45" t="str">
        <f t="shared" si="106"/>
        <v>1/1900</v>
      </c>
      <c r="AP894" s="45" t="e">
        <f t="shared" si="107"/>
        <v>#NUM!</v>
      </c>
      <c r="AQ894" s="45">
        <f t="shared" si="108"/>
        <v>0</v>
      </c>
      <c r="AR894" s="45">
        <f t="shared" si="109"/>
        <v>0</v>
      </c>
      <c r="AS894" s="45">
        <f t="shared" si="110"/>
        <v>0</v>
      </c>
      <c r="AT894" s="45">
        <f t="shared" si="111"/>
        <v>0</v>
      </c>
      <c r="AU894" s="45" t="str">
        <f>_xlfn.XLOOKUP(U894,'Lista Suspensa'!$AA$20:$AA$23,'Lista Suspensa'!$AB$20:$AB$23,"N/A")</f>
        <v>S</v>
      </c>
    </row>
    <row r="895" spans="1:47" ht="12" hidden="1" customHeight="1" x14ac:dyDescent="0.3">
      <c r="A895" s="87" t="s">
        <v>47</v>
      </c>
      <c r="B895" s="88">
        <v>46104</v>
      </c>
      <c r="C895" s="89" t="s">
        <v>48</v>
      </c>
      <c r="D895" s="89" t="s">
        <v>49</v>
      </c>
      <c r="E895" s="90">
        <v>771027222</v>
      </c>
      <c r="F895" s="184" t="s">
        <v>2701</v>
      </c>
      <c r="G895" s="91">
        <v>89368622868</v>
      </c>
      <c r="H895" s="92">
        <v>19486</v>
      </c>
      <c r="I895" s="89">
        <v>72</v>
      </c>
      <c r="J895" s="89" t="s">
        <v>70</v>
      </c>
      <c r="K895" s="89" t="s">
        <v>52</v>
      </c>
      <c r="L895" s="89" t="s">
        <v>53</v>
      </c>
      <c r="M895" s="89" t="s">
        <v>2702</v>
      </c>
      <c r="N895" s="89" t="s">
        <v>91</v>
      </c>
      <c r="O895" s="93" t="s">
        <v>2703</v>
      </c>
      <c r="P895" s="94" t="s">
        <v>57</v>
      </c>
      <c r="Q895" s="112" t="s">
        <v>2211</v>
      </c>
      <c r="R895" s="95"/>
      <c r="S895" s="96">
        <v>46164</v>
      </c>
      <c r="T895" s="96" t="s">
        <v>2212</v>
      </c>
      <c r="U895" s="96" t="s">
        <v>79</v>
      </c>
      <c r="V895" s="92">
        <v>46140</v>
      </c>
      <c r="W895" s="92">
        <v>46147</v>
      </c>
      <c r="X895" s="92">
        <v>46154</v>
      </c>
      <c r="Y895" s="97"/>
      <c r="Z895" s="89"/>
      <c r="AA895" s="96"/>
      <c r="AB895" s="89"/>
      <c r="AC895" s="111"/>
      <c r="AD895" s="89"/>
      <c r="AE895" s="89"/>
      <c r="AF895" s="98"/>
      <c r="AG895" s="98"/>
      <c r="AH895" s="98"/>
      <c r="AI895" s="99"/>
      <c r="AJ895" s="99"/>
      <c r="AK895" s="99"/>
      <c r="AL895" s="45" t="s">
        <v>68</v>
      </c>
      <c r="AM895" s="162" t="str">
        <f t="shared" si="104"/>
        <v>3/2026</v>
      </c>
      <c r="AN895" s="45">
        <f t="shared" si="105"/>
        <v>4</v>
      </c>
      <c r="AO895" s="45" t="str">
        <f t="shared" si="106"/>
        <v>1/1900</v>
      </c>
      <c r="AP895" s="45" t="e">
        <f t="shared" si="107"/>
        <v>#NUM!</v>
      </c>
      <c r="AQ895" s="45">
        <f t="shared" si="108"/>
        <v>0</v>
      </c>
      <c r="AR895" s="45">
        <f t="shared" si="109"/>
        <v>0</v>
      </c>
      <c r="AS895" s="45">
        <f t="shared" si="110"/>
        <v>0</v>
      </c>
      <c r="AT895" s="45">
        <f t="shared" si="111"/>
        <v>0</v>
      </c>
      <c r="AU895" s="45" t="str">
        <f>_xlfn.XLOOKUP(U895,'Lista Suspensa'!$AA$20:$AA$23,'Lista Suspensa'!$AB$20:$AB$23,"N/A")</f>
        <v>S</v>
      </c>
    </row>
    <row r="896" spans="1:47" ht="12" hidden="1" customHeight="1" x14ac:dyDescent="0.3">
      <c r="A896" s="87" t="s">
        <v>47</v>
      </c>
      <c r="B896" s="88">
        <v>46104</v>
      </c>
      <c r="C896" s="89" t="s">
        <v>48</v>
      </c>
      <c r="D896" s="89" t="s">
        <v>49</v>
      </c>
      <c r="E896" s="90">
        <v>451497503</v>
      </c>
      <c r="F896" s="184" t="s">
        <v>2704</v>
      </c>
      <c r="G896" s="91">
        <v>936761822</v>
      </c>
      <c r="H896" s="92">
        <v>21089</v>
      </c>
      <c r="I896" s="89">
        <v>68</v>
      </c>
      <c r="J896" s="89" t="s">
        <v>51</v>
      </c>
      <c r="K896" s="89" t="s">
        <v>52</v>
      </c>
      <c r="L896" s="89" t="s">
        <v>780</v>
      </c>
      <c r="M896" s="89" t="s">
        <v>1151</v>
      </c>
      <c r="N896" s="89" t="s">
        <v>91</v>
      </c>
      <c r="O896" s="93" t="s">
        <v>2705</v>
      </c>
      <c r="P896" s="94" t="s">
        <v>57</v>
      </c>
      <c r="Q896" s="112" t="s">
        <v>2211</v>
      </c>
      <c r="R896" s="95"/>
      <c r="S896" s="96">
        <v>46164</v>
      </c>
      <c r="T896" s="96" t="s">
        <v>2212</v>
      </c>
      <c r="U896" s="96" t="s">
        <v>79</v>
      </c>
      <c r="V896" s="92">
        <v>46140</v>
      </c>
      <c r="W896" s="92">
        <v>46147</v>
      </c>
      <c r="X896" s="92">
        <v>46154</v>
      </c>
      <c r="Y896" s="97"/>
      <c r="Z896" s="89"/>
      <c r="AA896" s="96"/>
      <c r="AB896" s="89"/>
      <c r="AC896" s="111"/>
      <c r="AD896" s="89"/>
      <c r="AE896" s="89"/>
      <c r="AF896" s="98"/>
      <c r="AG896" s="98"/>
      <c r="AH896" s="98"/>
      <c r="AI896" s="99"/>
      <c r="AJ896" s="99"/>
      <c r="AK896" s="99"/>
      <c r="AL896" s="45" t="s">
        <v>68</v>
      </c>
      <c r="AM896" s="162" t="str">
        <f t="shared" si="104"/>
        <v>3/2026</v>
      </c>
      <c r="AN896" s="45">
        <f t="shared" si="105"/>
        <v>4</v>
      </c>
      <c r="AO896" s="45" t="str">
        <f t="shared" si="106"/>
        <v>1/1900</v>
      </c>
      <c r="AP896" s="45" t="e">
        <f t="shared" si="107"/>
        <v>#NUM!</v>
      </c>
      <c r="AQ896" s="45">
        <f t="shared" si="108"/>
        <v>0</v>
      </c>
      <c r="AR896" s="45">
        <f t="shared" si="109"/>
        <v>0</v>
      </c>
      <c r="AS896" s="45">
        <f t="shared" si="110"/>
        <v>0</v>
      </c>
      <c r="AT896" s="45">
        <f t="shared" si="111"/>
        <v>0</v>
      </c>
      <c r="AU896" s="45" t="str">
        <f>_xlfn.XLOOKUP(U896,'Lista Suspensa'!$AA$20:$AA$23,'Lista Suspensa'!$AB$20:$AB$23,"N/A")</f>
        <v>S</v>
      </c>
    </row>
    <row r="897" spans="1:47" ht="12" hidden="1" customHeight="1" x14ac:dyDescent="0.3">
      <c r="A897" s="87" t="s">
        <v>47</v>
      </c>
      <c r="B897" s="88">
        <v>46104</v>
      </c>
      <c r="C897" s="89" t="s">
        <v>48</v>
      </c>
      <c r="D897" s="89" t="s">
        <v>49</v>
      </c>
      <c r="E897" s="90">
        <v>451904397</v>
      </c>
      <c r="F897" s="184" t="s">
        <v>2706</v>
      </c>
      <c r="G897" s="91">
        <v>17624345803</v>
      </c>
      <c r="H897" s="92">
        <v>20072</v>
      </c>
      <c r="I897" s="89">
        <v>71</v>
      </c>
      <c r="J897" s="89" t="s">
        <v>70</v>
      </c>
      <c r="K897" s="89" t="s">
        <v>52</v>
      </c>
      <c r="L897" s="89" t="s">
        <v>53</v>
      </c>
      <c r="M897" s="89" t="s">
        <v>213</v>
      </c>
      <c r="N897" s="89" t="s">
        <v>91</v>
      </c>
      <c r="O897" s="93" t="s">
        <v>2707</v>
      </c>
      <c r="P897" s="94" t="s">
        <v>57</v>
      </c>
      <c r="Q897" s="112" t="s">
        <v>2211</v>
      </c>
      <c r="R897" s="95"/>
      <c r="S897" s="96">
        <v>46164</v>
      </c>
      <c r="T897" s="96" t="s">
        <v>2212</v>
      </c>
      <c r="U897" s="96" t="s">
        <v>79</v>
      </c>
      <c r="V897" s="92">
        <v>46128</v>
      </c>
      <c r="W897" s="92">
        <v>46147</v>
      </c>
      <c r="X897" s="92">
        <v>46154</v>
      </c>
      <c r="Y897" s="97"/>
      <c r="Z897" s="89"/>
      <c r="AA897" s="96"/>
      <c r="AB897" s="89"/>
      <c r="AC897" s="111"/>
      <c r="AD897" s="89"/>
      <c r="AE897" s="89"/>
      <c r="AF897" s="98"/>
      <c r="AG897" s="98"/>
      <c r="AH897" s="98"/>
      <c r="AI897" s="99"/>
      <c r="AJ897" s="99"/>
      <c r="AK897" s="99"/>
      <c r="AL897" s="45" t="s">
        <v>68</v>
      </c>
      <c r="AM897" s="162" t="str">
        <f t="shared" si="104"/>
        <v>3/2026</v>
      </c>
      <c r="AN897" s="45">
        <f t="shared" si="105"/>
        <v>4</v>
      </c>
      <c r="AO897" s="45" t="str">
        <f t="shared" si="106"/>
        <v>1/1900</v>
      </c>
      <c r="AP897" s="45" t="e">
        <f t="shared" si="107"/>
        <v>#NUM!</v>
      </c>
      <c r="AQ897" s="45">
        <f t="shared" si="108"/>
        <v>0</v>
      </c>
      <c r="AR897" s="45">
        <f t="shared" si="109"/>
        <v>0</v>
      </c>
      <c r="AS897" s="45">
        <f t="shared" si="110"/>
        <v>0</v>
      </c>
      <c r="AT897" s="45">
        <f t="shared" si="111"/>
        <v>0</v>
      </c>
      <c r="AU897" s="45" t="str">
        <f>_xlfn.XLOOKUP(U897,'Lista Suspensa'!$AA$20:$AA$23,'Lista Suspensa'!$AB$20:$AB$23,"N/A")</f>
        <v>S</v>
      </c>
    </row>
    <row r="898" spans="1:47" ht="12" hidden="1" customHeight="1" x14ac:dyDescent="0.3">
      <c r="A898" s="87" t="s">
        <v>47</v>
      </c>
      <c r="B898" s="88">
        <v>46104</v>
      </c>
      <c r="C898" s="89" t="s">
        <v>48</v>
      </c>
      <c r="D898" s="89" t="s">
        <v>49</v>
      </c>
      <c r="E898" s="90">
        <v>816232555</v>
      </c>
      <c r="F898" s="184" t="s">
        <v>2708</v>
      </c>
      <c r="G898" s="91">
        <v>15650290890</v>
      </c>
      <c r="H898" s="92">
        <v>17863</v>
      </c>
      <c r="I898" s="89">
        <v>77</v>
      </c>
      <c r="J898" s="89" t="s">
        <v>70</v>
      </c>
      <c r="K898" s="89" t="s">
        <v>52</v>
      </c>
      <c r="L898" s="89" t="s">
        <v>331</v>
      </c>
      <c r="M898" s="89" t="s">
        <v>332</v>
      </c>
      <c r="N898" s="89" t="s">
        <v>91</v>
      </c>
      <c r="O898" s="93" t="s">
        <v>2709</v>
      </c>
      <c r="P898" s="94" t="s">
        <v>57</v>
      </c>
      <c r="Q898" s="112" t="s">
        <v>2211</v>
      </c>
      <c r="R898" s="95"/>
      <c r="S898" s="96">
        <v>46164</v>
      </c>
      <c r="T898" s="96" t="s">
        <v>2212</v>
      </c>
      <c r="U898" s="96" t="s">
        <v>79</v>
      </c>
      <c r="V898" s="92">
        <v>46140</v>
      </c>
      <c r="W898" s="92">
        <v>46147</v>
      </c>
      <c r="X898" s="92">
        <v>46154</v>
      </c>
      <c r="Y898" s="97"/>
      <c r="Z898" s="89"/>
      <c r="AA898" s="96"/>
      <c r="AB898" s="89"/>
      <c r="AC898" s="111"/>
      <c r="AD898" s="89"/>
      <c r="AE898" s="89"/>
      <c r="AF898" s="98"/>
      <c r="AG898" s="98"/>
      <c r="AH898" s="98"/>
      <c r="AI898" s="99"/>
      <c r="AJ898" s="99"/>
      <c r="AK898" s="99"/>
      <c r="AL898" s="45" t="s">
        <v>68</v>
      </c>
      <c r="AM898" s="162" t="str">
        <f t="shared" ref="AM898:AM961" si="112">MONTH(B898)&amp;"/"&amp;YEAR(B898)</f>
        <v>3/2026</v>
      </c>
      <c r="AN898" s="45">
        <f t="shared" ref="AN898:AN961" si="113">WEEKNUM(B898)-WEEKNUM(EOMONTH(B898,-1)+1)+1</f>
        <v>4</v>
      </c>
      <c r="AO898" s="45" t="str">
        <f t="shared" ref="AO898:AO961" si="114">MONTH(R898)&amp;"/"&amp;YEAR(R898)</f>
        <v>1/1900</v>
      </c>
      <c r="AP898" s="45" t="e">
        <f t="shared" ref="AP898:AP961" si="115">WEEKNUM(R898)-WEEKNUM(EOMONTH(R898,-1)+1)+1</f>
        <v>#NUM!</v>
      </c>
      <c r="AQ898" s="45">
        <f t="shared" ref="AQ898:AQ961" si="116">IF(AU898="S",IF(Q898="1. Aceitou o programa",R898-B898,0),0)</f>
        <v>0</v>
      </c>
      <c r="AR898" s="45">
        <f t="shared" ref="AR898:AR961" si="117">IF(AU898="S",IF(AND(S898&lt;&gt;"",R898&lt;&gt;""),S898-R898,0),0)</f>
        <v>0</v>
      </c>
      <c r="AS898" s="45">
        <f t="shared" ref="AS898:AS961" si="118">IF(AU898="S",IF(Q898="1. Aceitou o programa",IF(OR(X898="Não se Aplica",X898=""),IF(OR(W898="Não se Aplica",W898=""),0,W898-V898),AVERAGE(X898-W898,W898-V898)),0),0)</f>
        <v>0</v>
      </c>
      <c r="AT898" s="45">
        <f t="shared" ref="AT898:AT961" si="119">IF(AU898="S",IF(AND(Q898="1. Aceitou o programa",AB898="Realizada"),IFERROR(IF(AA898="",0,AA898-R898),0),0),0)</f>
        <v>0</v>
      </c>
      <c r="AU898" s="45" t="str">
        <f>_xlfn.XLOOKUP(U898,'Lista Suspensa'!$AA$20:$AA$23,'Lista Suspensa'!$AB$20:$AB$23,"N/A")</f>
        <v>S</v>
      </c>
    </row>
    <row r="899" spans="1:47" ht="12" hidden="1" customHeight="1" x14ac:dyDescent="0.3">
      <c r="A899" s="87" t="s">
        <v>47</v>
      </c>
      <c r="B899" s="88">
        <v>46104</v>
      </c>
      <c r="C899" s="89" t="s">
        <v>48</v>
      </c>
      <c r="D899" s="89" t="s">
        <v>49</v>
      </c>
      <c r="E899" s="90">
        <v>774430850</v>
      </c>
      <c r="F899" s="184" t="s">
        <v>2710</v>
      </c>
      <c r="G899" s="91">
        <v>68266405891</v>
      </c>
      <c r="H899" s="92">
        <v>17581</v>
      </c>
      <c r="I899" s="89">
        <v>78</v>
      </c>
      <c r="J899" s="89" t="s">
        <v>51</v>
      </c>
      <c r="K899" s="89" t="s">
        <v>52</v>
      </c>
      <c r="L899" s="89" t="s">
        <v>53</v>
      </c>
      <c r="M899" s="89" t="s">
        <v>1044</v>
      </c>
      <c r="N899" s="89" t="s">
        <v>91</v>
      </c>
      <c r="O899" s="93" t="s">
        <v>2711</v>
      </c>
      <c r="P899" s="94" t="s">
        <v>57</v>
      </c>
      <c r="Q899" s="112" t="s">
        <v>2211</v>
      </c>
      <c r="R899" s="95"/>
      <c r="S899" s="96">
        <v>46164</v>
      </c>
      <c r="T899" s="96" t="s">
        <v>2212</v>
      </c>
      <c r="U899" s="96" t="s">
        <v>79</v>
      </c>
      <c r="V899" s="92">
        <v>46122</v>
      </c>
      <c r="W899" s="92">
        <v>46147</v>
      </c>
      <c r="X899" s="92">
        <v>46154</v>
      </c>
      <c r="Y899" s="97"/>
      <c r="Z899" s="89"/>
      <c r="AA899" s="96"/>
      <c r="AB899" s="89"/>
      <c r="AC899" s="111"/>
      <c r="AD899" s="89"/>
      <c r="AE899" s="89"/>
      <c r="AF899" s="98"/>
      <c r="AG899" s="98"/>
      <c r="AH899" s="98"/>
      <c r="AI899" s="99"/>
      <c r="AJ899" s="99"/>
      <c r="AK899" s="99"/>
      <c r="AL899" s="45" t="s">
        <v>68</v>
      </c>
      <c r="AM899" s="162" t="str">
        <f t="shared" si="112"/>
        <v>3/2026</v>
      </c>
      <c r="AN899" s="45">
        <f t="shared" si="113"/>
        <v>4</v>
      </c>
      <c r="AO899" s="45" t="str">
        <f t="shared" si="114"/>
        <v>1/1900</v>
      </c>
      <c r="AP899" s="45" t="e">
        <f t="shared" si="115"/>
        <v>#NUM!</v>
      </c>
      <c r="AQ899" s="45">
        <f t="shared" si="116"/>
        <v>0</v>
      </c>
      <c r="AR899" s="45">
        <f t="shared" si="117"/>
        <v>0</v>
      </c>
      <c r="AS899" s="45">
        <f t="shared" si="118"/>
        <v>0</v>
      </c>
      <c r="AT899" s="45">
        <f t="shared" si="119"/>
        <v>0</v>
      </c>
      <c r="AU899" s="45" t="str">
        <f>_xlfn.XLOOKUP(U899,'Lista Suspensa'!$AA$20:$AA$23,'Lista Suspensa'!$AB$20:$AB$23,"N/A")</f>
        <v>S</v>
      </c>
    </row>
    <row r="900" spans="1:47" ht="12" hidden="1" customHeight="1" x14ac:dyDescent="0.3">
      <c r="A900" s="87" t="s">
        <v>47</v>
      </c>
      <c r="B900" s="88">
        <v>46104</v>
      </c>
      <c r="C900" s="89" t="s">
        <v>48</v>
      </c>
      <c r="D900" s="89" t="s">
        <v>49</v>
      </c>
      <c r="E900" s="90">
        <v>775562483</v>
      </c>
      <c r="F900" s="184" t="s">
        <v>2712</v>
      </c>
      <c r="G900" s="91">
        <v>38594757891</v>
      </c>
      <c r="H900" s="92">
        <v>18485</v>
      </c>
      <c r="I900" s="89">
        <v>75</v>
      </c>
      <c r="J900" s="89" t="s">
        <v>51</v>
      </c>
      <c r="K900" s="89" t="s">
        <v>52</v>
      </c>
      <c r="L900" s="89" t="s">
        <v>331</v>
      </c>
      <c r="M900" s="89" t="s">
        <v>2289</v>
      </c>
      <c r="N900" s="89" t="s">
        <v>91</v>
      </c>
      <c r="O900" s="93" t="s">
        <v>2713</v>
      </c>
      <c r="P900" s="94" t="s">
        <v>57</v>
      </c>
      <c r="Q900" s="112" t="s">
        <v>2211</v>
      </c>
      <c r="R900" s="95"/>
      <c r="S900" s="96">
        <v>46164</v>
      </c>
      <c r="T900" s="96" t="s">
        <v>2212</v>
      </c>
      <c r="U900" s="96" t="s">
        <v>79</v>
      </c>
      <c r="V900" s="92">
        <v>46140</v>
      </c>
      <c r="W900" s="92">
        <v>46147</v>
      </c>
      <c r="X900" s="92">
        <v>46154</v>
      </c>
      <c r="Y900" s="97"/>
      <c r="Z900" s="89"/>
      <c r="AA900" s="96"/>
      <c r="AB900" s="89"/>
      <c r="AC900" s="111"/>
      <c r="AD900" s="89"/>
      <c r="AE900" s="89"/>
      <c r="AF900" s="98"/>
      <c r="AG900" s="98"/>
      <c r="AH900" s="98"/>
      <c r="AI900" s="99"/>
      <c r="AJ900" s="99"/>
      <c r="AK900" s="99"/>
      <c r="AL900" s="45" t="s">
        <v>68</v>
      </c>
      <c r="AM900" s="162" t="str">
        <f t="shared" si="112"/>
        <v>3/2026</v>
      </c>
      <c r="AN900" s="45">
        <f t="shared" si="113"/>
        <v>4</v>
      </c>
      <c r="AO900" s="45" t="str">
        <f t="shared" si="114"/>
        <v>1/1900</v>
      </c>
      <c r="AP900" s="45" t="e">
        <f t="shared" si="115"/>
        <v>#NUM!</v>
      </c>
      <c r="AQ900" s="45">
        <f t="shared" si="116"/>
        <v>0</v>
      </c>
      <c r="AR900" s="45">
        <f t="shared" si="117"/>
        <v>0</v>
      </c>
      <c r="AS900" s="45">
        <f t="shared" si="118"/>
        <v>0</v>
      </c>
      <c r="AT900" s="45">
        <f t="shared" si="119"/>
        <v>0</v>
      </c>
      <c r="AU900" s="45" t="str">
        <f>_xlfn.XLOOKUP(U900,'Lista Suspensa'!$AA$20:$AA$23,'Lista Suspensa'!$AB$20:$AB$23,"N/A")</f>
        <v>S</v>
      </c>
    </row>
    <row r="901" spans="1:47" ht="12" hidden="1" customHeight="1" x14ac:dyDescent="0.3">
      <c r="A901" s="87" t="s">
        <v>47</v>
      </c>
      <c r="B901" s="88">
        <v>46104</v>
      </c>
      <c r="C901" s="89" t="s">
        <v>48</v>
      </c>
      <c r="D901" s="89" t="s">
        <v>49</v>
      </c>
      <c r="E901" s="90">
        <v>451875826</v>
      </c>
      <c r="F901" s="184" t="s">
        <v>2714</v>
      </c>
      <c r="G901" s="91">
        <v>11130655830</v>
      </c>
      <c r="H901" s="92">
        <v>18380</v>
      </c>
      <c r="I901" s="89">
        <v>75</v>
      </c>
      <c r="J901" s="89" t="s">
        <v>70</v>
      </c>
      <c r="K901" s="89" t="s">
        <v>52</v>
      </c>
      <c r="L901" s="89" t="s">
        <v>53</v>
      </c>
      <c r="M901" s="89" t="s">
        <v>2715</v>
      </c>
      <c r="N901" s="89" t="s">
        <v>91</v>
      </c>
      <c r="O901" s="93" t="s">
        <v>2716</v>
      </c>
      <c r="P901" s="94" t="s">
        <v>57</v>
      </c>
      <c r="Q901" s="112" t="s">
        <v>2211</v>
      </c>
      <c r="R901" s="95"/>
      <c r="S901" s="96">
        <v>46164</v>
      </c>
      <c r="T901" s="96" t="s">
        <v>2212</v>
      </c>
      <c r="U901" s="96" t="s">
        <v>79</v>
      </c>
      <c r="V901" s="92">
        <v>46140</v>
      </c>
      <c r="W901" s="92">
        <v>46147</v>
      </c>
      <c r="X901" s="92">
        <v>46154</v>
      </c>
      <c r="Y901" s="97"/>
      <c r="Z901" s="89"/>
      <c r="AA901" s="96"/>
      <c r="AB901" s="89"/>
      <c r="AC901" s="111"/>
      <c r="AD901" s="89"/>
      <c r="AE901" s="89"/>
      <c r="AF901" s="98"/>
      <c r="AG901" s="98"/>
      <c r="AH901" s="98"/>
      <c r="AI901" s="99"/>
      <c r="AJ901" s="99"/>
      <c r="AK901" s="99"/>
      <c r="AL901" s="45" t="s">
        <v>68</v>
      </c>
      <c r="AM901" s="162" t="str">
        <f t="shared" si="112"/>
        <v>3/2026</v>
      </c>
      <c r="AN901" s="45">
        <f t="shared" si="113"/>
        <v>4</v>
      </c>
      <c r="AO901" s="45" t="str">
        <f t="shared" si="114"/>
        <v>1/1900</v>
      </c>
      <c r="AP901" s="45" t="e">
        <f t="shared" si="115"/>
        <v>#NUM!</v>
      </c>
      <c r="AQ901" s="45">
        <f t="shared" si="116"/>
        <v>0</v>
      </c>
      <c r="AR901" s="45">
        <f t="shared" si="117"/>
        <v>0</v>
      </c>
      <c r="AS901" s="45">
        <f t="shared" si="118"/>
        <v>0</v>
      </c>
      <c r="AT901" s="45">
        <f t="shared" si="119"/>
        <v>0</v>
      </c>
      <c r="AU901" s="45" t="str">
        <f>_xlfn.XLOOKUP(U901,'Lista Suspensa'!$AA$20:$AA$23,'Lista Suspensa'!$AB$20:$AB$23,"N/A")</f>
        <v>S</v>
      </c>
    </row>
    <row r="902" spans="1:47" ht="12" hidden="1" customHeight="1" x14ac:dyDescent="0.3">
      <c r="A902" s="87" t="s">
        <v>47</v>
      </c>
      <c r="B902" s="88">
        <v>46104</v>
      </c>
      <c r="C902" s="89" t="s">
        <v>48</v>
      </c>
      <c r="D902" s="89" t="s">
        <v>49</v>
      </c>
      <c r="E902" s="90">
        <v>775888621</v>
      </c>
      <c r="F902" s="184" t="s">
        <v>2717</v>
      </c>
      <c r="G902" s="91">
        <v>988143895</v>
      </c>
      <c r="H902" s="92">
        <v>22456</v>
      </c>
      <c r="I902" s="89">
        <v>64</v>
      </c>
      <c r="J902" s="89" t="s">
        <v>51</v>
      </c>
      <c r="K902" s="89" t="s">
        <v>52</v>
      </c>
      <c r="L902" s="89" t="s">
        <v>331</v>
      </c>
      <c r="M902" s="89" t="s">
        <v>2718</v>
      </c>
      <c r="N902" s="89" t="s">
        <v>91</v>
      </c>
      <c r="O902" s="93" t="s">
        <v>2719</v>
      </c>
      <c r="P902" s="94" t="s">
        <v>57</v>
      </c>
      <c r="Q902" s="112" t="s">
        <v>2211</v>
      </c>
      <c r="R902" s="95"/>
      <c r="S902" s="96">
        <v>46164</v>
      </c>
      <c r="T902" s="96" t="s">
        <v>2212</v>
      </c>
      <c r="U902" s="96" t="s">
        <v>79</v>
      </c>
      <c r="V902" s="92">
        <v>46140</v>
      </c>
      <c r="W902" s="92">
        <v>46147</v>
      </c>
      <c r="X902" s="92">
        <v>46154</v>
      </c>
      <c r="Y902" s="97"/>
      <c r="Z902" s="89"/>
      <c r="AA902" s="96"/>
      <c r="AB902" s="89"/>
      <c r="AC902" s="111"/>
      <c r="AD902" s="89"/>
      <c r="AE902" s="89"/>
      <c r="AF902" s="98"/>
      <c r="AG902" s="98"/>
      <c r="AH902" s="98"/>
      <c r="AI902" s="99"/>
      <c r="AJ902" s="99"/>
      <c r="AK902" s="99"/>
      <c r="AL902" s="45" t="s">
        <v>68</v>
      </c>
      <c r="AM902" s="162" t="str">
        <f t="shared" si="112"/>
        <v>3/2026</v>
      </c>
      <c r="AN902" s="45">
        <f t="shared" si="113"/>
        <v>4</v>
      </c>
      <c r="AO902" s="45" t="str">
        <f t="shared" si="114"/>
        <v>1/1900</v>
      </c>
      <c r="AP902" s="45" t="e">
        <f t="shared" si="115"/>
        <v>#NUM!</v>
      </c>
      <c r="AQ902" s="45">
        <f t="shared" si="116"/>
        <v>0</v>
      </c>
      <c r="AR902" s="45">
        <f t="shared" si="117"/>
        <v>0</v>
      </c>
      <c r="AS902" s="45">
        <f t="shared" si="118"/>
        <v>0</v>
      </c>
      <c r="AT902" s="45">
        <f t="shared" si="119"/>
        <v>0</v>
      </c>
      <c r="AU902" s="45" t="str">
        <f>_xlfn.XLOOKUP(U902,'Lista Suspensa'!$AA$20:$AA$23,'Lista Suspensa'!$AB$20:$AB$23,"N/A")</f>
        <v>S</v>
      </c>
    </row>
    <row r="903" spans="1:47" ht="12" hidden="1" customHeight="1" x14ac:dyDescent="0.3">
      <c r="A903" s="87" t="s">
        <v>47</v>
      </c>
      <c r="B903" s="88">
        <v>46104</v>
      </c>
      <c r="C903" s="89" t="s">
        <v>48</v>
      </c>
      <c r="D903" s="89" t="s">
        <v>49</v>
      </c>
      <c r="E903" s="90">
        <v>451416473</v>
      </c>
      <c r="F903" s="184" t="s">
        <v>2720</v>
      </c>
      <c r="G903" s="91">
        <v>19677655884</v>
      </c>
      <c r="H903" s="92">
        <v>28073</v>
      </c>
      <c r="I903" s="89">
        <v>49</v>
      </c>
      <c r="J903" s="89" t="s">
        <v>51</v>
      </c>
      <c r="K903" s="89" t="s">
        <v>52</v>
      </c>
      <c r="L903" s="89" t="s">
        <v>53</v>
      </c>
      <c r="M903" s="89" t="s">
        <v>1052</v>
      </c>
      <c r="N903" s="89" t="s">
        <v>91</v>
      </c>
      <c r="O903" s="93" t="s">
        <v>2721</v>
      </c>
      <c r="P903" s="94" t="s">
        <v>57</v>
      </c>
      <c r="Q903" s="112" t="s">
        <v>2211</v>
      </c>
      <c r="R903" s="95"/>
      <c r="S903" s="96">
        <v>46164</v>
      </c>
      <c r="T903" s="96" t="s">
        <v>2212</v>
      </c>
      <c r="U903" s="96" t="s">
        <v>79</v>
      </c>
      <c r="V903" s="92">
        <v>46140</v>
      </c>
      <c r="W903" s="92">
        <v>46147</v>
      </c>
      <c r="X903" s="92">
        <v>46154</v>
      </c>
      <c r="Y903" s="97"/>
      <c r="Z903" s="89"/>
      <c r="AA903" s="96"/>
      <c r="AB903" s="89"/>
      <c r="AC903" s="111"/>
      <c r="AD903" s="89"/>
      <c r="AE903" s="89"/>
      <c r="AF903" s="98"/>
      <c r="AG903" s="98"/>
      <c r="AH903" s="98"/>
      <c r="AI903" s="99"/>
      <c r="AJ903" s="99"/>
      <c r="AK903" s="99"/>
      <c r="AL903" s="45" t="s">
        <v>68</v>
      </c>
      <c r="AM903" s="162" t="str">
        <f t="shared" si="112"/>
        <v>3/2026</v>
      </c>
      <c r="AN903" s="45">
        <f t="shared" si="113"/>
        <v>4</v>
      </c>
      <c r="AO903" s="45" t="str">
        <f t="shared" si="114"/>
        <v>1/1900</v>
      </c>
      <c r="AP903" s="45" t="e">
        <f t="shared" si="115"/>
        <v>#NUM!</v>
      </c>
      <c r="AQ903" s="45">
        <f t="shared" si="116"/>
        <v>0</v>
      </c>
      <c r="AR903" s="45">
        <f t="shared" si="117"/>
        <v>0</v>
      </c>
      <c r="AS903" s="45">
        <f t="shared" si="118"/>
        <v>0</v>
      </c>
      <c r="AT903" s="45">
        <f t="shared" si="119"/>
        <v>0</v>
      </c>
      <c r="AU903" s="45" t="str">
        <f>_xlfn.XLOOKUP(U903,'Lista Suspensa'!$AA$20:$AA$23,'Lista Suspensa'!$AB$20:$AB$23,"N/A")</f>
        <v>S</v>
      </c>
    </row>
    <row r="904" spans="1:47" ht="12" hidden="1" customHeight="1" x14ac:dyDescent="0.3">
      <c r="A904" s="87" t="s">
        <v>47</v>
      </c>
      <c r="B904" s="88">
        <v>46104</v>
      </c>
      <c r="C904" s="89" t="s">
        <v>48</v>
      </c>
      <c r="D904" s="89" t="s">
        <v>49</v>
      </c>
      <c r="E904" s="90">
        <v>774702230</v>
      </c>
      <c r="F904" s="184" t="s">
        <v>2722</v>
      </c>
      <c r="G904" s="91">
        <v>8374403861</v>
      </c>
      <c r="H904" s="92">
        <v>17877</v>
      </c>
      <c r="I904" s="89">
        <v>77</v>
      </c>
      <c r="J904" s="89" t="s">
        <v>70</v>
      </c>
      <c r="K904" s="89" t="s">
        <v>52</v>
      </c>
      <c r="L904" s="89" t="s">
        <v>331</v>
      </c>
      <c r="M904" s="89" t="s">
        <v>2723</v>
      </c>
      <c r="N904" s="89" t="s">
        <v>91</v>
      </c>
      <c r="O904" s="93" t="s">
        <v>2724</v>
      </c>
      <c r="P904" s="94" t="s">
        <v>57</v>
      </c>
      <c r="Q904" s="112" t="s">
        <v>2211</v>
      </c>
      <c r="R904" s="95"/>
      <c r="S904" s="96">
        <v>46164</v>
      </c>
      <c r="T904" s="96" t="s">
        <v>2212</v>
      </c>
      <c r="U904" s="96" t="s">
        <v>79</v>
      </c>
      <c r="V904" s="92">
        <v>46140</v>
      </c>
      <c r="W904" s="92">
        <v>46147</v>
      </c>
      <c r="X904" s="92">
        <v>46154</v>
      </c>
      <c r="Y904" s="97"/>
      <c r="Z904" s="89"/>
      <c r="AA904" s="96"/>
      <c r="AB904" s="89"/>
      <c r="AC904" s="111"/>
      <c r="AD904" s="89"/>
      <c r="AE904" s="89"/>
      <c r="AF904" s="98"/>
      <c r="AG904" s="98"/>
      <c r="AH904" s="98"/>
      <c r="AI904" s="99"/>
      <c r="AJ904" s="99"/>
      <c r="AK904" s="99"/>
      <c r="AL904" s="45" t="s">
        <v>68</v>
      </c>
      <c r="AM904" s="162" t="str">
        <f t="shared" si="112"/>
        <v>3/2026</v>
      </c>
      <c r="AN904" s="45">
        <f t="shared" si="113"/>
        <v>4</v>
      </c>
      <c r="AO904" s="45" t="str">
        <f t="shared" si="114"/>
        <v>1/1900</v>
      </c>
      <c r="AP904" s="45" t="e">
        <f t="shared" si="115"/>
        <v>#NUM!</v>
      </c>
      <c r="AQ904" s="45">
        <f t="shared" si="116"/>
        <v>0</v>
      </c>
      <c r="AR904" s="45">
        <f t="shared" si="117"/>
        <v>0</v>
      </c>
      <c r="AS904" s="45">
        <f t="shared" si="118"/>
        <v>0</v>
      </c>
      <c r="AT904" s="45">
        <f t="shared" si="119"/>
        <v>0</v>
      </c>
      <c r="AU904" s="45" t="str">
        <f>_xlfn.XLOOKUP(U904,'Lista Suspensa'!$AA$20:$AA$23,'Lista Suspensa'!$AB$20:$AB$23,"N/A")</f>
        <v>S</v>
      </c>
    </row>
    <row r="905" spans="1:47" ht="12" hidden="1" customHeight="1" x14ac:dyDescent="0.3">
      <c r="A905" s="87" t="s">
        <v>47</v>
      </c>
      <c r="B905" s="88">
        <v>46104</v>
      </c>
      <c r="C905" s="89" t="s">
        <v>48</v>
      </c>
      <c r="D905" s="89" t="s">
        <v>49</v>
      </c>
      <c r="E905" s="90">
        <v>450646998</v>
      </c>
      <c r="F905" s="184" t="s">
        <v>2725</v>
      </c>
      <c r="G905" s="91">
        <v>67681751815</v>
      </c>
      <c r="H905" s="92">
        <v>16554</v>
      </c>
      <c r="I905" s="89">
        <v>80</v>
      </c>
      <c r="J905" s="89" t="s">
        <v>51</v>
      </c>
      <c r="K905" s="89" t="s">
        <v>52</v>
      </c>
      <c r="L905" s="89" t="s">
        <v>53</v>
      </c>
      <c r="M905" s="89" t="s">
        <v>2726</v>
      </c>
      <c r="N905" s="89" t="s">
        <v>91</v>
      </c>
      <c r="O905" s="93" t="s">
        <v>2727</v>
      </c>
      <c r="P905" s="94" t="s">
        <v>57</v>
      </c>
      <c r="Q905" s="112" t="s">
        <v>2211</v>
      </c>
      <c r="R905" s="95"/>
      <c r="S905" s="96">
        <v>46164</v>
      </c>
      <c r="T905" s="96" t="s">
        <v>2212</v>
      </c>
      <c r="U905" s="96" t="s">
        <v>79</v>
      </c>
      <c r="V905" s="92">
        <v>46112</v>
      </c>
      <c r="W905" s="92">
        <v>46147</v>
      </c>
      <c r="X905" s="92">
        <v>46154</v>
      </c>
      <c r="Y905" s="97"/>
      <c r="Z905" s="89"/>
      <c r="AA905" s="96"/>
      <c r="AB905" s="89"/>
      <c r="AC905" s="111"/>
      <c r="AD905" s="89"/>
      <c r="AE905" s="89"/>
      <c r="AF905" s="98"/>
      <c r="AG905" s="98"/>
      <c r="AH905" s="98"/>
      <c r="AI905" s="99"/>
      <c r="AJ905" s="99"/>
      <c r="AK905" s="99"/>
      <c r="AL905" s="45" t="s">
        <v>68</v>
      </c>
      <c r="AM905" s="162" t="str">
        <f t="shared" si="112"/>
        <v>3/2026</v>
      </c>
      <c r="AN905" s="45">
        <f t="shared" si="113"/>
        <v>4</v>
      </c>
      <c r="AO905" s="45" t="str">
        <f t="shared" si="114"/>
        <v>1/1900</v>
      </c>
      <c r="AP905" s="45" t="e">
        <f t="shared" si="115"/>
        <v>#NUM!</v>
      </c>
      <c r="AQ905" s="45">
        <f t="shared" si="116"/>
        <v>0</v>
      </c>
      <c r="AR905" s="45">
        <f t="shared" si="117"/>
        <v>0</v>
      </c>
      <c r="AS905" s="45">
        <f t="shared" si="118"/>
        <v>0</v>
      </c>
      <c r="AT905" s="45">
        <f t="shared" si="119"/>
        <v>0</v>
      </c>
      <c r="AU905" s="45" t="str">
        <f>_xlfn.XLOOKUP(U905,'Lista Suspensa'!$AA$20:$AA$23,'Lista Suspensa'!$AB$20:$AB$23,"N/A")</f>
        <v>S</v>
      </c>
    </row>
    <row r="906" spans="1:47" ht="12" hidden="1" customHeight="1" x14ac:dyDescent="0.3">
      <c r="A906" s="87" t="s">
        <v>47</v>
      </c>
      <c r="B906" s="88">
        <v>46104</v>
      </c>
      <c r="C906" s="89" t="s">
        <v>48</v>
      </c>
      <c r="D906" s="89" t="s">
        <v>49</v>
      </c>
      <c r="E906" s="90">
        <v>450647013</v>
      </c>
      <c r="F906" s="184" t="s">
        <v>2728</v>
      </c>
      <c r="G906" s="91">
        <v>15366403871</v>
      </c>
      <c r="H906" s="92">
        <v>21183</v>
      </c>
      <c r="I906" s="89">
        <v>68</v>
      </c>
      <c r="J906" s="89" t="s">
        <v>70</v>
      </c>
      <c r="K906" s="89" t="s">
        <v>52</v>
      </c>
      <c r="L906" s="89" t="s">
        <v>53</v>
      </c>
      <c r="M906" s="89" t="s">
        <v>2726</v>
      </c>
      <c r="N906" s="89" t="s">
        <v>91</v>
      </c>
      <c r="O906" s="93" t="s">
        <v>2727</v>
      </c>
      <c r="P906" s="94" t="s">
        <v>57</v>
      </c>
      <c r="Q906" s="112" t="s">
        <v>2211</v>
      </c>
      <c r="R906" s="95"/>
      <c r="S906" s="96">
        <v>46164</v>
      </c>
      <c r="T906" s="96" t="s">
        <v>2212</v>
      </c>
      <c r="U906" s="96" t="s">
        <v>79</v>
      </c>
      <c r="V906" s="92">
        <v>46140</v>
      </c>
      <c r="W906" s="92">
        <v>46147</v>
      </c>
      <c r="X906" s="92">
        <v>46154</v>
      </c>
      <c r="Y906" s="97"/>
      <c r="Z906" s="89"/>
      <c r="AA906" s="96"/>
      <c r="AB906" s="89"/>
      <c r="AC906" s="111"/>
      <c r="AD906" s="89"/>
      <c r="AE906" s="89"/>
      <c r="AF906" s="98"/>
      <c r="AG906" s="98"/>
      <c r="AH906" s="98"/>
      <c r="AI906" s="99"/>
      <c r="AJ906" s="99"/>
      <c r="AK906" s="99"/>
      <c r="AL906" s="45" t="s">
        <v>68</v>
      </c>
      <c r="AM906" s="162" t="str">
        <f t="shared" si="112"/>
        <v>3/2026</v>
      </c>
      <c r="AN906" s="45">
        <f t="shared" si="113"/>
        <v>4</v>
      </c>
      <c r="AO906" s="45" t="str">
        <f t="shared" si="114"/>
        <v>1/1900</v>
      </c>
      <c r="AP906" s="45" t="e">
        <f t="shared" si="115"/>
        <v>#NUM!</v>
      </c>
      <c r="AQ906" s="45">
        <f t="shared" si="116"/>
        <v>0</v>
      </c>
      <c r="AR906" s="45">
        <f t="shared" si="117"/>
        <v>0</v>
      </c>
      <c r="AS906" s="45">
        <f t="shared" si="118"/>
        <v>0</v>
      </c>
      <c r="AT906" s="45">
        <f t="shared" si="119"/>
        <v>0</v>
      </c>
      <c r="AU906" s="45" t="str">
        <f>_xlfn.XLOOKUP(U906,'Lista Suspensa'!$AA$20:$AA$23,'Lista Suspensa'!$AB$20:$AB$23,"N/A")</f>
        <v>S</v>
      </c>
    </row>
    <row r="907" spans="1:47" ht="12" hidden="1" customHeight="1" x14ac:dyDescent="0.3">
      <c r="A907" s="87" t="s">
        <v>47</v>
      </c>
      <c r="B907" s="88">
        <v>46104</v>
      </c>
      <c r="C907" s="89" t="s">
        <v>48</v>
      </c>
      <c r="D907" s="89" t="s">
        <v>49</v>
      </c>
      <c r="E907" s="90">
        <v>771649380</v>
      </c>
      <c r="F907" s="184" t="s">
        <v>2729</v>
      </c>
      <c r="G907" s="91">
        <v>13224359870</v>
      </c>
      <c r="H907" s="92">
        <v>17347</v>
      </c>
      <c r="I907" s="89">
        <v>78</v>
      </c>
      <c r="J907" s="89" t="s">
        <v>70</v>
      </c>
      <c r="K907" s="89" t="s">
        <v>52</v>
      </c>
      <c r="L907" s="89" t="s">
        <v>53</v>
      </c>
      <c r="M907" s="89" t="s">
        <v>2730</v>
      </c>
      <c r="N907" s="89" t="s">
        <v>91</v>
      </c>
      <c r="O907" s="93" t="s">
        <v>2731</v>
      </c>
      <c r="P907" s="94" t="s">
        <v>57</v>
      </c>
      <c r="Q907" s="112" t="s">
        <v>2211</v>
      </c>
      <c r="R907" s="95"/>
      <c r="S907" s="96">
        <v>46164</v>
      </c>
      <c r="T907" s="96" t="s">
        <v>2212</v>
      </c>
      <c r="U907" s="96" t="s">
        <v>79</v>
      </c>
      <c r="V907" s="92">
        <v>46122</v>
      </c>
      <c r="W907" s="92">
        <v>46147</v>
      </c>
      <c r="X907" s="92">
        <v>46154</v>
      </c>
      <c r="Y907" s="97"/>
      <c r="Z907" s="89"/>
      <c r="AA907" s="96"/>
      <c r="AB907" s="89"/>
      <c r="AC907" s="111"/>
      <c r="AD907" s="89"/>
      <c r="AE907" s="89"/>
      <c r="AF907" s="98"/>
      <c r="AG907" s="98"/>
      <c r="AH907" s="98"/>
      <c r="AI907" s="99"/>
      <c r="AJ907" s="99"/>
      <c r="AK907" s="99"/>
      <c r="AL907" s="45" t="s">
        <v>68</v>
      </c>
      <c r="AM907" s="162" t="str">
        <f t="shared" si="112"/>
        <v>3/2026</v>
      </c>
      <c r="AN907" s="45">
        <f t="shared" si="113"/>
        <v>4</v>
      </c>
      <c r="AO907" s="45" t="str">
        <f t="shared" si="114"/>
        <v>1/1900</v>
      </c>
      <c r="AP907" s="45" t="e">
        <f t="shared" si="115"/>
        <v>#NUM!</v>
      </c>
      <c r="AQ907" s="45">
        <f t="shared" si="116"/>
        <v>0</v>
      </c>
      <c r="AR907" s="45">
        <f t="shared" si="117"/>
        <v>0</v>
      </c>
      <c r="AS907" s="45">
        <f t="shared" si="118"/>
        <v>0</v>
      </c>
      <c r="AT907" s="45">
        <f t="shared" si="119"/>
        <v>0</v>
      </c>
      <c r="AU907" s="45" t="str">
        <f>_xlfn.XLOOKUP(U907,'Lista Suspensa'!$AA$20:$AA$23,'Lista Suspensa'!$AB$20:$AB$23,"N/A")</f>
        <v>S</v>
      </c>
    </row>
    <row r="908" spans="1:47" ht="12" hidden="1" customHeight="1" x14ac:dyDescent="0.3">
      <c r="A908" s="87" t="s">
        <v>47</v>
      </c>
      <c r="B908" s="88">
        <v>46104</v>
      </c>
      <c r="C908" s="89" t="s">
        <v>48</v>
      </c>
      <c r="D908" s="89" t="s">
        <v>49</v>
      </c>
      <c r="E908" s="90">
        <v>771649371</v>
      </c>
      <c r="F908" s="184" t="s">
        <v>2732</v>
      </c>
      <c r="G908" s="91">
        <v>75619970868</v>
      </c>
      <c r="H908" s="92">
        <v>16799</v>
      </c>
      <c r="I908" s="89">
        <v>80</v>
      </c>
      <c r="J908" s="89" t="s">
        <v>51</v>
      </c>
      <c r="K908" s="89" t="s">
        <v>52</v>
      </c>
      <c r="L908" s="89" t="s">
        <v>53</v>
      </c>
      <c r="M908" s="89" t="s">
        <v>2730</v>
      </c>
      <c r="N908" s="89" t="s">
        <v>91</v>
      </c>
      <c r="O908" s="93" t="s">
        <v>2731</v>
      </c>
      <c r="P908" s="94" t="s">
        <v>57</v>
      </c>
      <c r="Q908" s="112" t="s">
        <v>2211</v>
      </c>
      <c r="R908" s="95"/>
      <c r="S908" s="96">
        <v>46164</v>
      </c>
      <c r="T908" s="96" t="s">
        <v>2212</v>
      </c>
      <c r="U908" s="96" t="s">
        <v>79</v>
      </c>
      <c r="V908" s="92">
        <v>46147</v>
      </c>
      <c r="W908" s="92">
        <v>46154</v>
      </c>
      <c r="X908" s="92">
        <v>46160</v>
      </c>
      <c r="Y908" s="97"/>
      <c r="Z908" s="89"/>
      <c r="AA908" s="96"/>
      <c r="AB908" s="89"/>
      <c r="AC908" s="111"/>
      <c r="AD908" s="89"/>
      <c r="AE908" s="89"/>
      <c r="AF908" s="98"/>
      <c r="AG908" s="98"/>
      <c r="AH908" s="98"/>
      <c r="AI908" s="99"/>
      <c r="AJ908" s="99"/>
      <c r="AK908" s="99"/>
      <c r="AL908" s="45" t="s">
        <v>68</v>
      </c>
      <c r="AM908" s="162" t="str">
        <f t="shared" si="112"/>
        <v>3/2026</v>
      </c>
      <c r="AN908" s="45">
        <f t="shared" si="113"/>
        <v>4</v>
      </c>
      <c r="AO908" s="45" t="str">
        <f t="shared" si="114"/>
        <v>1/1900</v>
      </c>
      <c r="AP908" s="45" t="e">
        <f t="shared" si="115"/>
        <v>#NUM!</v>
      </c>
      <c r="AQ908" s="45">
        <f t="shared" si="116"/>
        <v>0</v>
      </c>
      <c r="AR908" s="45">
        <f t="shared" si="117"/>
        <v>0</v>
      </c>
      <c r="AS908" s="45">
        <f t="shared" si="118"/>
        <v>0</v>
      </c>
      <c r="AT908" s="45">
        <f t="shared" si="119"/>
        <v>0</v>
      </c>
      <c r="AU908" s="45" t="str">
        <f>_xlfn.XLOOKUP(U908,'Lista Suspensa'!$AA$20:$AA$23,'Lista Suspensa'!$AB$20:$AB$23,"N/A")</f>
        <v>S</v>
      </c>
    </row>
    <row r="909" spans="1:47" ht="12" hidden="1" customHeight="1" x14ac:dyDescent="0.3">
      <c r="A909" s="87" t="s">
        <v>47</v>
      </c>
      <c r="B909" s="88">
        <v>46104</v>
      </c>
      <c r="C909" s="89" t="s">
        <v>48</v>
      </c>
      <c r="D909" s="89" t="s">
        <v>49</v>
      </c>
      <c r="E909" s="90">
        <v>751486620</v>
      </c>
      <c r="F909" s="184" t="s">
        <v>2733</v>
      </c>
      <c r="G909" s="91">
        <v>13536995799</v>
      </c>
      <c r="H909" s="92">
        <v>14536</v>
      </c>
      <c r="I909" s="89">
        <v>86</v>
      </c>
      <c r="J909" s="89" t="s">
        <v>70</v>
      </c>
      <c r="K909" s="89" t="s">
        <v>88</v>
      </c>
      <c r="L909" s="89" t="s">
        <v>89</v>
      </c>
      <c r="M909" s="89" t="s">
        <v>124</v>
      </c>
      <c r="N909" s="89" t="s">
        <v>91</v>
      </c>
      <c r="O909" s="93" t="s">
        <v>2734</v>
      </c>
      <c r="P909" s="94" t="s">
        <v>57</v>
      </c>
      <c r="Q909" s="112" t="s">
        <v>2211</v>
      </c>
      <c r="R909" s="95"/>
      <c r="S909" s="96">
        <v>46164</v>
      </c>
      <c r="T909" s="96" t="s">
        <v>2212</v>
      </c>
      <c r="U909" s="96" t="s">
        <v>79</v>
      </c>
      <c r="V909" s="92">
        <v>46147</v>
      </c>
      <c r="W909" s="92">
        <v>46154</v>
      </c>
      <c r="X909" s="92">
        <v>46160</v>
      </c>
      <c r="Y909" s="97"/>
      <c r="Z909" s="89"/>
      <c r="AA909" s="96"/>
      <c r="AB909" s="89"/>
      <c r="AC909" s="111"/>
      <c r="AD909" s="89"/>
      <c r="AE909" s="89"/>
      <c r="AF909" s="98"/>
      <c r="AG909" s="98"/>
      <c r="AH909" s="98"/>
      <c r="AI909" s="99"/>
      <c r="AJ909" s="99"/>
      <c r="AK909" s="99"/>
      <c r="AL909" s="45" t="s">
        <v>68</v>
      </c>
      <c r="AM909" s="162" t="str">
        <f t="shared" si="112"/>
        <v>3/2026</v>
      </c>
      <c r="AN909" s="45">
        <f t="shared" si="113"/>
        <v>4</v>
      </c>
      <c r="AO909" s="45" t="str">
        <f t="shared" si="114"/>
        <v>1/1900</v>
      </c>
      <c r="AP909" s="45" t="e">
        <f t="shared" si="115"/>
        <v>#NUM!</v>
      </c>
      <c r="AQ909" s="45">
        <f t="shared" si="116"/>
        <v>0</v>
      </c>
      <c r="AR909" s="45">
        <f t="shared" si="117"/>
        <v>0</v>
      </c>
      <c r="AS909" s="45">
        <f t="shared" si="118"/>
        <v>0</v>
      </c>
      <c r="AT909" s="45">
        <f t="shared" si="119"/>
        <v>0</v>
      </c>
      <c r="AU909" s="45" t="str">
        <f>_xlfn.XLOOKUP(U909,'Lista Suspensa'!$AA$20:$AA$23,'Lista Suspensa'!$AB$20:$AB$23,"N/A")</f>
        <v>S</v>
      </c>
    </row>
    <row r="910" spans="1:47" ht="12" hidden="1" customHeight="1" x14ac:dyDescent="0.3">
      <c r="A910" s="87" t="s">
        <v>47</v>
      </c>
      <c r="B910" s="88">
        <v>46104</v>
      </c>
      <c r="C910" s="89" t="s">
        <v>48</v>
      </c>
      <c r="D910" s="89" t="s">
        <v>49</v>
      </c>
      <c r="E910" s="90">
        <v>77074882</v>
      </c>
      <c r="F910" s="184" t="s">
        <v>2735</v>
      </c>
      <c r="G910" s="91">
        <v>1161314709</v>
      </c>
      <c r="H910" s="92">
        <v>25838</v>
      </c>
      <c r="I910" s="89">
        <v>55</v>
      </c>
      <c r="J910" s="89" t="s">
        <v>70</v>
      </c>
      <c r="K910" s="89" t="s">
        <v>88</v>
      </c>
      <c r="L910" s="89" t="s">
        <v>1939</v>
      </c>
      <c r="M910" s="89" t="s">
        <v>76</v>
      </c>
      <c r="N910" s="89" t="s">
        <v>91</v>
      </c>
      <c r="O910" s="93" t="s">
        <v>2736</v>
      </c>
      <c r="P910" s="94" t="s">
        <v>57</v>
      </c>
      <c r="Q910" s="112" t="s">
        <v>2211</v>
      </c>
      <c r="R910" s="95"/>
      <c r="S910" s="96">
        <v>46164</v>
      </c>
      <c r="T910" s="96" t="s">
        <v>2212</v>
      </c>
      <c r="U910" s="96" t="s">
        <v>79</v>
      </c>
      <c r="V910" s="92">
        <v>46147</v>
      </c>
      <c r="W910" s="92">
        <v>46154</v>
      </c>
      <c r="X910" s="92">
        <v>46160</v>
      </c>
      <c r="Y910" s="97"/>
      <c r="Z910" s="89"/>
      <c r="AA910" s="96"/>
      <c r="AB910" s="89"/>
      <c r="AC910" s="111"/>
      <c r="AD910" s="89"/>
      <c r="AE910" s="89"/>
      <c r="AF910" s="98"/>
      <c r="AG910" s="98"/>
      <c r="AH910" s="98"/>
      <c r="AI910" s="99"/>
      <c r="AJ910" s="99"/>
      <c r="AK910" s="99"/>
      <c r="AL910" s="45" t="s">
        <v>68</v>
      </c>
      <c r="AM910" s="162" t="str">
        <f t="shared" si="112"/>
        <v>3/2026</v>
      </c>
      <c r="AN910" s="45">
        <f t="shared" si="113"/>
        <v>4</v>
      </c>
      <c r="AO910" s="45" t="str">
        <f t="shared" si="114"/>
        <v>1/1900</v>
      </c>
      <c r="AP910" s="45" t="e">
        <f t="shared" si="115"/>
        <v>#NUM!</v>
      </c>
      <c r="AQ910" s="45">
        <f t="shared" si="116"/>
        <v>0</v>
      </c>
      <c r="AR910" s="45">
        <f t="shared" si="117"/>
        <v>0</v>
      </c>
      <c r="AS910" s="45">
        <f t="shared" si="118"/>
        <v>0</v>
      </c>
      <c r="AT910" s="45">
        <f t="shared" si="119"/>
        <v>0</v>
      </c>
      <c r="AU910" s="45" t="str">
        <f>_xlfn.XLOOKUP(U910,'Lista Suspensa'!$AA$20:$AA$23,'Lista Suspensa'!$AB$20:$AB$23,"N/A")</f>
        <v>S</v>
      </c>
    </row>
    <row r="911" spans="1:47" ht="12" hidden="1" customHeight="1" x14ac:dyDescent="0.3">
      <c r="A911" s="87" t="s">
        <v>47</v>
      </c>
      <c r="B911" s="88">
        <v>46104</v>
      </c>
      <c r="C911" s="89" t="s">
        <v>48</v>
      </c>
      <c r="D911" s="89" t="s">
        <v>49</v>
      </c>
      <c r="E911" s="90">
        <v>451160410</v>
      </c>
      <c r="F911" s="184" t="s">
        <v>2737</v>
      </c>
      <c r="G911" s="91">
        <v>65724003872</v>
      </c>
      <c r="H911" s="92">
        <v>19147</v>
      </c>
      <c r="I911" s="89">
        <v>73</v>
      </c>
      <c r="J911" s="89" t="s">
        <v>51</v>
      </c>
      <c r="K911" s="89" t="s">
        <v>52</v>
      </c>
      <c r="L911" s="89" t="s">
        <v>53</v>
      </c>
      <c r="M911" s="89" t="s">
        <v>2738</v>
      </c>
      <c r="N911" s="89" t="s">
        <v>91</v>
      </c>
      <c r="O911" s="93" t="s">
        <v>2739</v>
      </c>
      <c r="P911" s="94" t="s">
        <v>57</v>
      </c>
      <c r="Q911" s="112" t="s">
        <v>2211</v>
      </c>
      <c r="R911" s="95"/>
      <c r="S911" s="96">
        <v>46164</v>
      </c>
      <c r="T911" s="96" t="s">
        <v>2212</v>
      </c>
      <c r="U911" s="96" t="s">
        <v>79</v>
      </c>
      <c r="V911" s="92">
        <v>46147</v>
      </c>
      <c r="W911" s="92">
        <v>46154</v>
      </c>
      <c r="X911" s="92">
        <v>46160</v>
      </c>
      <c r="Y911" s="97"/>
      <c r="Z911" s="89"/>
      <c r="AA911" s="96"/>
      <c r="AB911" s="89"/>
      <c r="AC911" s="111"/>
      <c r="AD911" s="89"/>
      <c r="AE911" s="89"/>
      <c r="AF911" s="98"/>
      <c r="AG911" s="98"/>
      <c r="AH911" s="98"/>
      <c r="AI911" s="99"/>
      <c r="AJ911" s="99"/>
      <c r="AK911" s="99"/>
      <c r="AL911" s="45" t="s">
        <v>68</v>
      </c>
      <c r="AM911" s="162" t="str">
        <f t="shared" si="112"/>
        <v>3/2026</v>
      </c>
      <c r="AN911" s="45">
        <f t="shared" si="113"/>
        <v>4</v>
      </c>
      <c r="AO911" s="45" t="str">
        <f t="shared" si="114"/>
        <v>1/1900</v>
      </c>
      <c r="AP911" s="45" t="e">
        <f t="shared" si="115"/>
        <v>#NUM!</v>
      </c>
      <c r="AQ911" s="45">
        <f t="shared" si="116"/>
        <v>0</v>
      </c>
      <c r="AR911" s="45">
        <f t="shared" si="117"/>
        <v>0</v>
      </c>
      <c r="AS911" s="45">
        <f t="shared" si="118"/>
        <v>0</v>
      </c>
      <c r="AT911" s="45">
        <f t="shared" si="119"/>
        <v>0</v>
      </c>
      <c r="AU911" s="45" t="str">
        <f>_xlfn.XLOOKUP(U911,'Lista Suspensa'!$AA$20:$AA$23,'Lista Suspensa'!$AB$20:$AB$23,"N/A")</f>
        <v>S</v>
      </c>
    </row>
    <row r="912" spans="1:47" ht="12" hidden="1" customHeight="1" x14ac:dyDescent="0.3">
      <c r="A912" s="87" t="s">
        <v>47</v>
      </c>
      <c r="B912" s="88">
        <v>46104</v>
      </c>
      <c r="C912" s="89" t="s">
        <v>48</v>
      </c>
      <c r="D912" s="89" t="s">
        <v>49</v>
      </c>
      <c r="E912" s="90">
        <v>773119116</v>
      </c>
      <c r="F912" s="184" t="s">
        <v>2740</v>
      </c>
      <c r="G912" s="91">
        <v>53745078853</v>
      </c>
      <c r="H912" s="92">
        <v>14067</v>
      </c>
      <c r="I912" s="89">
        <v>87</v>
      </c>
      <c r="J912" s="89" t="s">
        <v>51</v>
      </c>
      <c r="K912" s="89" t="s">
        <v>52</v>
      </c>
      <c r="L912" s="89" t="s">
        <v>53</v>
      </c>
      <c r="M912" s="89" t="s">
        <v>840</v>
      </c>
      <c r="N912" s="89" t="s">
        <v>91</v>
      </c>
      <c r="O912" s="93" t="s">
        <v>2741</v>
      </c>
      <c r="P912" s="94" t="s">
        <v>57</v>
      </c>
      <c r="Q912" s="112" t="s">
        <v>2211</v>
      </c>
      <c r="R912" s="95"/>
      <c r="S912" s="96">
        <v>46164</v>
      </c>
      <c r="T912" s="96" t="s">
        <v>2212</v>
      </c>
      <c r="U912" s="96" t="s">
        <v>79</v>
      </c>
      <c r="V912" s="92">
        <v>46147</v>
      </c>
      <c r="W912" s="92">
        <v>46154</v>
      </c>
      <c r="X912" s="92">
        <v>46160</v>
      </c>
      <c r="Y912" s="97"/>
      <c r="Z912" s="89"/>
      <c r="AA912" s="96"/>
      <c r="AB912" s="89"/>
      <c r="AC912" s="111"/>
      <c r="AD912" s="89"/>
      <c r="AE912" s="89"/>
      <c r="AF912" s="98"/>
      <c r="AG912" s="98"/>
      <c r="AH912" s="98"/>
      <c r="AI912" s="99"/>
      <c r="AJ912" s="99"/>
      <c r="AK912" s="99"/>
      <c r="AL912" s="45" t="s">
        <v>68</v>
      </c>
      <c r="AM912" s="162" t="str">
        <f t="shared" si="112"/>
        <v>3/2026</v>
      </c>
      <c r="AN912" s="45">
        <f t="shared" si="113"/>
        <v>4</v>
      </c>
      <c r="AO912" s="45" t="str">
        <f t="shared" si="114"/>
        <v>1/1900</v>
      </c>
      <c r="AP912" s="45" t="e">
        <f t="shared" si="115"/>
        <v>#NUM!</v>
      </c>
      <c r="AQ912" s="45">
        <f t="shared" si="116"/>
        <v>0</v>
      </c>
      <c r="AR912" s="45">
        <f t="shared" si="117"/>
        <v>0</v>
      </c>
      <c r="AS912" s="45">
        <f t="shared" si="118"/>
        <v>0</v>
      </c>
      <c r="AT912" s="45">
        <f t="shared" si="119"/>
        <v>0</v>
      </c>
      <c r="AU912" s="45" t="str">
        <f>_xlfn.XLOOKUP(U912,'Lista Suspensa'!$AA$20:$AA$23,'Lista Suspensa'!$AB$20:$AB$23,"N/A")</f>
        <v>S</v>
      </c>
    </row>
    <row r="913" spans="1:47" ht="12" hidden="1" customHeight="1" x14ac:dyDescent="0.3">
      <c r="A913" s="87" t="s">
        <v>47</v>
      </c>
      <c r="B913" s="88">
        <v>46104</v>
      </c>
      <c r="C913" s="89" t="s">
        <v>48</v>
      </c>
      <c r="D913" s="89" t="s">
        <v>49</v>
      </c>
      <c r="E913" s="90">
        <v>796437262</v>
      </c>
      <c r="F913" s="184" t="s">
        <v>2742</v>
      </c>
      <c r="G913" s="91">
        <v>10721044824</v>
      </c>
      <c r="H913" s="92">
        <v>20817</v>
      </c>
      <c r="I913" s="89">
        <v>69</v>
      </c>
      <c r="J913" s="89" t="s">
        <v>70</v>
      </c>
      <c r="K913" s="89" t="s">
        <v>52</v>
      </c>
      <c r="L913" s="89" t="s">
        <v>53</v>
      </c>
      <c r="M913" s="89" t="s">
        <v>2743</v>
      </c>
      <c r="N913" s="89" t="s">
        <v>91</v>
      </c>
      <c r="O913" s="93" t="s">
        <v>2744</v>
      </c>
      <c r="P913" s="94" t="s">
        <v>57</v>
      </c>
      <c r="Q913" s="112" t="s">
        <v>2211</v>
      </c>
      <c r="R913" s="95"/>
      <c r="S913" s="96">
        <v>46164</v>
      </c>
      <c r="T913" s="96" t="s">
        <v>2212</v>
      </c>
      <c r="U913" s="96" t="s">
        <v>79</v>
      </c>
      <c r="V913" s="92">
        <v>46147</v>
      </c>
      <c r="W913" s="92">
        <v>46154</v>
      </c>
      <c r="X913" s="92">
        <v>46160</v>
      </c>
      <c r="Y913" s="97"/>
      <c r="Z913" s="89"/>
      <c r="AA913" s="96"/>
      <c r="AB913" s="89"/>
      <c r="AC913" s="111"/>
      <c r="AD913" s="89"/>
      <c r="AE913" s="89"/>
      <c r="AF913" s="98"/>
      <c r="AG913" s="98"/>
      <c r="AH913" s="98"/>
      <c r="AI913" s="99"/>
      <c r="AJ913" s="99"/>
      <c r="AK913" s="99"/>
      <c r="AL913" s="45" t="s">
        <v>68</v>
      </c>
      <c r="AM913" s="162" t="str">
        <f t="shared" si="112"/>
        <v>3/2026</v>
      </c>
      <c r="AN913" s="45">
        <f t="shared" si="113"/>
        <v>4</v>
      </c>
      <c r="AO913" s="45" t="str">
        <f t="shared" si="114"/>
        <v>1/1900</v>
      </c>
      <c r="AP913" s="45" t="e">
        <f t="shared" si="115"/>
        <v>#NUM!</v>
      </c>
      <c r="AQ913" s="45">
        <f t="shared" si="116"/>
        <v>0</v>
      </c>
      <c r="AR913" s="45">
        <f t="shared" si="117"/>
        <v>0</v>
      </c>
      <c r="AS913" s="45">
        <f t="shared" si="118"/>
        <v>0</v>
      </c>
      <c r="AT913" s="45">
        <f t="shared" si="119"/>
        <v>0</v>
      </c>
      <c r="AU913" s="45" t="str">
        <f>_xlfn.XLOOKUP(U913,'Lista Suspensa'!$AA$20:$AA$23,'Lista Suspensa'!$AB$20:$AB$23,"N/A")</f>
        <v>S</v>
      </c>
    </row>
    <row r="914" spans="1:47" ht="12" hidden="1" customHeight="1" x14ac:dyDescent="0.3">
      <c r="A914" s="87" t="s">
        <v>47</v>
      </c>
      <c r="B914" s="88">
        <v>46104</v>
      </c>
      <c r="C914" s="89" t="s">
        <v>48</v>
      </c>
      <c r="D914" s="89" t="s">
        <v>49</v>
      </c>
      <c r="E914" s="90">
        <v>450358674</v>
      </c>
      <c r="F914" s="184" t="s">
        <v>2745</v>
      </c>
      <c r="G914" s="91">
        <v>5582789812</v>
      </c>
      <c r="H914" s="92">
        <v>19382</v>
      </c>
      <c r="I914" s="89">
        <v>73</v>
      </c>
      <c r="J914" s="89" t="s">
        <v>70</v>
      </c>
      <c r="K914" s="89" t="s">
        <v>52</v>
      </c>
      <c r="L914" s="89" t="s">
        <v>53</v>
      </c>
      <c r="M914" s="89" t="s">
        <v>2286</v>
      </c>
      <c r="N914" s="89" t="s">
        <v>91</v>
      </c>
      <c r="O914" s="93" t="s">
        <v>2746</v>
      </c>
      <c r="P914" s="94" t="s">
        <v>57</v>
      </c>
      <c r="Q914" s="112" t="s">
        <v>2211</v>
      </c>
      <c r="R914" s="95"/>
      <c r="S914" s="96">
        <v>46164</v>
      </c>
      <c r="T914" s="96" t="s">
        <v>2212</v>
      </c>
      <c r="U914" s="96" t="s">
        <v>79</v>
      </c>
      <c r="V914" s="92">
        <v>46147</v>
      </c>
      <c r="W914" s="92">
        <v>46154</v>
      </c>
      <c r="X914" s="92">
        <v>46160</v>
      </c>
      <c r="Y914" s="97"/>
      <c r="Z914" s="89"/>
      <c r="AA914" s="96"/>
      <c r="AB914" s="89"/>
      <c r="AC914" s="111"/>
      <c r="AD914" s="89"/>
      <c r="AE914" s="89"/>
      <c r="AF914" s="98"/>
      <c r="AG914" s="98"/>
      <c r="AH914" s="98"/>
      <c r="AI914" s="99"/>
      <c r="AJ914" s="99"/>
      <c r="AK914" s="99"/>
      <c r="AL914" s="45" t="s">
        <v>68</v>
      </c>
      <c r="AM914" s="162" t="str">
        <f t="shared" si="112"/>
        <v>3/2026</v>
      </c>
      <c r="AN914" s="45">
        <f t="shared" si="113"/>
        <v>4</v>
      </c>
      <c r="AO914" s="45" t="str">
        <f t="shared" si="114"/>
        <v>1/1900</v>
      </c>
      <c r="AP914" s="45" t="e">
        <f t="shared" si="115"/>
        <v>#NUM!</v>
      </c>
      <c r="AQ914" s="45">
        <f t="shared" si="116"/>
        <v>0</v>
      </c>
      <c r="AR914" s="45">
        <f t="shared" si="117"/>
        <v>0</v>
      </c>
      <c r="AS914" s="45">
        <f t="shared" si="118"/>
        <v>0</v>
      </c>
      <c r="AT914" s="45">
        <f t="shared" si="119"/>
        <v>0</v>
      </c>
      <c r="AU914" s="45" t="str">
        <f>_xlfn.XLOOKUP(U914,'Lista Suspensa'!$AA$20:$AA$23,'Lista Suspensa'!$AB$20:$AB$23,"N/A")</f>
        <v>S</v>
      </c>
    </row>
    <row r="915" spans="1:47" ht="12" hidden="1" customHeight="1" x14ac:dyDescent="0.3">
      <c r="A915" s="87" t="s">
        <v>47</v>
      </c>
      <c r="B915" s="88">
        <v>46104</v>
      </c>
      <c r="C915" s="89" t="s">
        <v>48</v>
      </c>
      <c r="D915" s="89" t="s">
        <v>49</v>
      </c>
      <c r="E915" s="90">
        <v>83002002</v>
      </c>
      <c r="F915" s="184" t="s">
        <v>2747</v>
      </c>
      <c r="G915" s="91">
        <v>8077220738</v>
      </c>
      <c r="H915" s="92">
        <v>14753</v>
      </c>
      <c r="I915" s="89">
        <v>85</v>
      </c>
      <c r="J915" s="89" t="s">
        <v>70</v>
      </c>
      <c r="K915" s="89" t="s">
        <v>88</v>
      </c>
      <c r="L915" s="89" t="s">
        <v>89</v>
      </c>
      <c r="M915" s="89" t="s">
        <v>892</v>
      </c>
      <c r="N915" s="89" t="s">
        <v>91</v>
      </c>
      <c r="O915" s="93" t="s">
        <v>2748</v>
      </c>
      <c r="P915" s="94" t="s">
        <v>57</v>
      </c>
      <c r="Q915" s="112" t="s">
        <v>2211</v>
      </c>
      <c r="R915" s="95"/>
      <c r="S915" s="96">
        <v>46164</v>
      </c>
      <c r="T915" s="96" t="s">
        <v>2212</v>
      </c>
      <c r="U915" s="96" t="s">
        <v>79</v>
      </c>
      <c r="V915" s="92">
        <v>46147</v>
      </c>
      <c r="W915" s="92">
        <v>46154</v>
      </c>
      <c r="X915" s="92">
        <v>46160</v>
      </c>
      <c r="Y915" s="97"/>
      <c r="Z915" s="89"/>
      <c r="AA915" s="96"/>
      <c r="AB915" s="89"/>
      <c r="AC915" s="111"/>
      <c r="AD915" s="89"/>
      <c r="AE915" s="89"/>
      <c r="AF915" s="98"/>
      <c r="AG915" s="98"/>
      <c r="AH915" s="98"/>
      <c r="AI915" s="99"/>
      <c r="AJ915" s="99"/>
      <c r="AK915" s="99"/>
      <c r="AL915" s="45" t="s">
        <v>68</v>
      </c>
      <c r="AM915" s="162" t="str">
        <f t="shared" si="112"/>
        <v>3/2026</v>
      </c>
      <c r="AN915" s="45">
        <f t="shared" si="113"/>
        <v>4</v>
      </c>
      <c r="AO915" s="45" t="str">
        <f t="shared" si="114"/>
        <v>1/1900</v>
      </c>
      <c r="AP915" s="45" t="e">
        <f t="shared" si="115"/>
        <v>#NUM!</v>
      </c>
      <c r="AQ915" s="45">
        <f t="shared" si="116"/>
        <v>0</v>
      </c>
      <c r="AR915" s="45">
        <f t="shared" si="117"/>
        <v>0</v>
      </c>
      <c r="AS915" s="45">
        <f t="shared" si="118"/>
        <v>0</v>
      </c>
      <c r="AT915" s="45">
        <f t="shared" si="119"/>
        <v>0</v>
      </c>
      <c r="AU915" s="45" t="str">
        <f>_xlfn.XLOOKUP(U915,'Lista Suspensa'!$AA$20:$AA$23,'Lista Suspensa'!$AB$20:$AB$23,"N/A")</f>
        <v>S</v>
      </c>
    </row>
    <row r="916" spans="1:47" ht="12" hidden="1" customHeight="1" x14ac:dyDescent="0.3">
      <c r="A916" s="87" t="s">
        <v>47</v>
      </c>
      <c r="B916" s="88">
        <v>46104</v>
      </c>
      <c r="C916" s="89" t="s">
        <v>48</v>
      </c>
      <c r="D916" s="89" t="s">
        <v>49</v>
      </c>
      <c r="E916" s="90">
        <v>751467375</v>
      </c>
      <c r="F916" s="184" t="s">
        <v>2749</v>
      </c>
      <c r="G916" s="91">
        <v>41163710768</v>
      </c>
      <c r="H916" s="92">
        <v>15705</v>
      </c>
      <c r="I916" s="89">
        <v>83</v>
      </c>
      <c r="J916" s="89" t="s">
        <v>51</v>
      </c>
      <c r="K916" s="89" t="s">
        <v>88</v>
      </c>
      <c r="L916" s="89" t="s">
        <v>89</v>
      </c>
      <c r="M916" s="89" t="s">
        <v>1594</v>
      </c>
      <c r="N916" s="89" t="s">
        <v>91</v>
      </c>
      <c r="O916" s="93" t="s">
        <v>2750</v>
      </c>
      <c r="P916" s="94" t="s">
        <v>57</v>
      </c>
      <c r="Q916" s="112" t="s">
        <v>2211</v>
      </c>
      <c r="R916" s="95"/>
      <c r="S916" s="96">
        <v>46164</v>
      </c>
      <c r="T916" s="96" t="s">
        <v>2212</v>
      </c>
      <c r="U916" s="96" t="s">
        <v>79</v>
      </c>
      <c r="V916" s="92">
        <v>46147</v>
      </c>
      <c r="W916" s="92">
        <v>46154</v>
      </c>
      <c r="X916" s="92">
        <v>46160</v>
      </c>
      <c r="Y916" s="97"/>
      <c r="Z916" s="89"/>
      <c r="AA916" s="96"/>
      <c r="AB916" s="89"/>
      <c r="AC916" s="111"/>
      <c r="AD916" s="89"/>
      <c r="AE916" s="89"/>
      <c r="AF916" s="98"/>
      <c r="AG916" s="98"/>
      <c r="AH916" s="98"/>
      <c r="AI916" s="99"/>
      <c r="AJ916" s="99"/>
      <c r="AK916" s="99"/>
      <c r="AL916" s="45" t="s">
        <v>68</v>
      </c>
      <c r="AM916" s="162" t="str">
        <f t="shared" si="112"/>
        <v>3/2026</v>
      </c>
      <c r="AN916" s="45">
        <f t="shared" si="113"/>
        <v>4</v>
      </c>
      <c r="AO916" s="45" t="str">
        <f t="shared" si="114"/>
        <v>1/1900</v>
      </c>
      <c r="AP916" s="45" t="e">
        <f t="shared" si="115"/>
        <v>#NUM!</v>
      </c>
      <c r="AQ916" s="45">
        <f t="shared" si="116"/>
        <v>0</v>
      </c>
      <c r="AR916" s="45">
        <f t="shared" si="117"/>
        <v>0</v>
      </c>
      <c r="AS916" s="45">
        <f t="shared" si="118"/>
        <v>0</v>
      </c>
      <c r="AT916" s="45">
        <f t="shared" si="119"/>
        <v>0</v>
      </c>
      <c r="AU916" s="45" t="str">
        <f>_xlfn.XLOOKUP(U916,'Lista Suspensa'!$AA$20:$AA$23,'Lista Suspensa'!$AB$20:$AB$23,"N/A")</f>
        <v>S</v>
      </c>
    </row>
    <row r="917" spans="1:47" ht="12" hidden="1" customHeight="1" x14ac:dyDescent="0.3">
      <c r="A917" s="87" t="s">
        <v>47</v>
      </c>
      <c r="B917" s="88">
        <v>46104</v>
      </c>
      <c r="C917" s="89" t="s">
        <v>48</v>
      </c>
      <c r="D917" s="89" t="s">
        <v>49</v>
      </c>
      <c r="E917" s="90">
        <v>751467642</v>
      </c>
      <c r="F917" s="184" t="s">
        <v>2751</v>
      </c>
      <c r="G917" s="91">
        <v>70300712715</v>
      </c>
      <c r="H917" s="92">
        <v>13749</v>
      </c>
      <c r="I917" s="89">
        <v>88</v>
      </c>
      <c r="J917" s="89" t="s">
        <v>70</v>
      </c>
      <c r="K917" s="89" t="s">
        <v>88</v>
      </c>
      <c r="L917" s="89" t="s">
        <v>89</v>
      </c>
      <c r="M917" s="89" t="s">
        <v>2752</v>
      </c>
      <c r="N917" s="89" t="s">
        <v>91</v>
      </c>
      <c r="O917" s="93" t="s">
        <v>2753</v>
      </c>
      <c r="P917" s="94" t="s">
        <v>57</v>
      </c>
      <c r="Q917" s="112" t="s">
        <v>2211</v>
      </c>
      <c r="R917" s="95"/>
      <c r="S917" s="96">
        <v>46164</v>
      </c>
      <c r="T917" s="96" t="s">
        <v>2212</v>
      </c>
      <c r="U917" s="96" t="s">
        <v>79</v>
      </c>
      <c r="V917" s="92">
        <v>46147</v>
      </c>
      <c r="W917" s="92">
        <v>46154</v>
      </c>
      <c r="X917" s="92">
        <v>46160</v>
      </c>
      <c r="Y917" s="97"/>
      <c r="Z917" s="89"/>
      <c r="AA917" s="96"/>
      <c r="AB917" s="89"/>
      <c r="AC917" s="111"/>
      <c r="AD917" s="89"/>
      <c r="AE917" s="89"/>
      <c r="AF917" s="98"/>
      <c r="AG917" s="98"/>
      <c r="AH917" s="98"/>
      <c r="AI917" s="99"/>
      <c r="AJ917" s="99"/>
      <c r="AK917" s="99"/>
      <c r="AL917" s="45" t="s">
        <v>68</v>
      </c>
      <c r="AM917" s="162" t="str">
        <f t="shared" si="112"/>
        <v>3/2026</v>
      </c>
      <c r="AN917" s="45">
        <f t="shared" si="113"/>
        <v>4</v>
      </c>
      <c r="AO917" s="45" t="str">
        <f t="shared" si="114"/>
        <v>1/1900</v>
      </c>
      <c r="AP917" s="45" t="e">
        <f t="shared" si="115"/>
        <v>#NUM!</v>
      </c>
      <c r="AQ917" s="45">
        <f t="shared" si="116"/>
        <v>0</v>
      </c>
      <c r="AR917" s="45">
        <f t="shared" si="117"/>
        <v>0</v>
      </c>
      <c r="AS917" s="45">
        <f t="shared" si="118"/>
        <v>0</v>
      </c>
      <c r="AT917" s="45">
        <f t="shared" si="119"/>
        <v>0</v>
      </c>
      <c r="AU917" s="45" t="str">
        <f>_xlfn.XLOOKUP(U917,'Lista Suspensa'!$AA$20:$AA$23,'Lista Suspensa'!$AB$20:$AB$23,"N/A")</f>
        <v>S</v>
      </c>
    </row>
    <row r="918" spans="1:47" ht="12" hidden="1" customHeight="1" x14ac:dyDescent="0.3">
      <c r="A918" s="87" t="s">
        <v>47</v>
      </c>
      <c r="B918" s="88">
        <v>46104</v>
      </c>
      <c r="C918" s="89" t="s">
        <v>48</v>
      </c>
      <c r="D918" s="89" t="s">
        <v>49</v>
      </c>
      <c r="E918" s="90">
        <v>771408480</v>
      </c>
      <c r="F918" s="184" t="s">
        <v>2754</v>
      </c>
      <c r="G918" s="91">
        <v>1984454820</v>
      </c>
      <c r="H918" s="92">
        <v>15410</v>
      </c>
      <c r="I918" s="89">
        <v>84</v>
      </c>
      <c r="J918" s="89" t="s">
        <v>51</v>
      </c>
      <c r="K918" s="89" t="s">
        <v>52</v>
      </c>
      <c r="L918" s="89" t="s">
        <v>53</v>
      </c>
      <c r="M918" s="89" t="s">
        <v>2333</v>
      </c>
      <c r="N918" s="89" t="s">
        <v>91</v>
      </c>
      <c r="O918" s="93" t="s">
        <v>2755</v>
      </c>
      <c r="P918" s="94" t="s">
        <v>57</v>
      </c>
      <c r="Q918" s="112" t="s">
        <v>2211</v>
      </c>
      <c r="R918" s="95"/>
      <c r="S918" s="96">
        <v>46164</v>
      </c>
      <c r="T918" s="96" t="s">
        <v>2212</v>
      </c>
      <c r="U918" s="96" t="s">
        <v>79</v>
      </c>
      <c r="V918" s="92">
        <v>46147</v>
      </c>
      <c r="W918" s="92">
        <v>46154</v>
      </c>
      <c r="X918" s="92">
        <v>46160</v>
      </c>
      <c r="Y918" s="97"/>
      <c r="Z918" s="89"/>
      <c r="AA918" s="96"/>
      <c r="AB918" s="89"/>
      <c r="AC918" s="111"/>
      <c r="AD918" s="89"/>
      <c r="AE918" s="89"/>
      <c r="AF918" s="98"/>
      <c r="AG918" s="98"/>
      <c r="AH918" s="98"/>
      <c r="AI918" s="99"/>
      <c r="AJ918" s="99"/>
      <c r="AK918" s="99"/>
      <c r="AL918" s="45" t="s">
        <v>68</v>
      </c>
      <c r="AM918" s="162" t="str">
        <f t="shared" si="112"/>
        <v>3/2026</v>
      </c>
      <c r="AN918" s="45">
        <f t="shared" si="113"/>
        <v>4</v>
      </c>
      <c r="AO918" s="45" t="str">
        <f t="shared" si="114"/>
        <v>1/1900</v>
      </c>
      <c r="AP918" s="45" t="e">
        <f t="shared" si="115"/>
        <v>#NUM!</v>
      </c>
      <c r="AQ918" s="45">
        <f t="shared" si="116"/>
        <v>0</v>
      </c>
      <c r="AR918" s="45">
        <f t="shared" si="117"/>
        <v>0</v>
      </c>
      <c r="AS918" s="45">
        <f t="shared" si="118"/>
        <v>0</v>
      </c>
      <c r="AT918" s="45">
        <f t="shared" si="119"/>
        <v>0</v>
      </c>
      <c r="AU918" s="45" t="str">
        <f>_xlfn.XLOOKUP(U918,'Lista Suspensa'!$AA$20:$AA$23,'Lista Suspensa'!$AB$20:$AB$23,"N/A")</f>
        <v>S</v>
      </c>
    </row>
    <row r="919" spans="1:47" ht="12" hidden="1" customHeight="1" x14ac:dyDescent="0.3">
      <c r="A919" s="87" t="s">
        <v>47</v>
      </c>
      <c r="B919" s="88">
        <v>46104</v>
      </c>
      <c r="C919" s="89" t="s">
        <v>48</v>
      </c>
      <c r="D919" s="89" t="s">
        <v>49</v>
      </c>
      <c r="E919" s="90">
        <v>452264855</v>
      </c>
      <c r="F919" s="184" t="s">
        <v>2756</v>
      </c>
      <c r="G919" s="91">
        <v>21496563883</v>
      </c>
      <c r="H919" s="92">
        <v>17310</v>
      </c>
      <c r="I919" s="89">
        <v>78</v>
      </c>
      <c r="J919" s="89" t="s">
        <v>70</v>
      </c>
      <c r="K919" s="89" t="s">
        <v>52</v>
      </c>
      <c r="L919" s="89" t="s">
        <v>53</v>
      </c>
      <c r="M919" s="89" t="s">
        <v>1083</v>
      </c>
      <c r="N919" s="89" t="s">
        <v>91</v>
      </c>
      <c r="O919" s="93" t="s">
        <v>2757</v>
      </c>
      <c r="P919" s="94" t="s">
        <v>57</v>
      </c>
      <c r="Q919" s="112" t="s">
        <v>2211</v>
      </c>
      <c r="R919" s="95"/>
      <c r="S919" s="96">
        <v>46164</v>
      </c>
      <c r="T919" s="96" t="s">
        <v>2212</v>
      </c>
      <c r="U919" s="96" t="s">
        <v>79</v>
      </c>
      <c r="V919" s="92">
        <v>46147</v>
      </c>
      <c r="W919" s="92">
        <v>46154</v>
      </c>
      <c r="X919" s="92">
        <v>46160</v>
      </c>
      <c r="Y919" s="97"/>
      <c r="Z919" s="89"/>
      <c r="AA919" s="96"/>
      <c r="AB919" s="89"/>
      <c r="AC919" s="111"/>
      <c r="AD919" s="89"/>
      <c r="AE919" s="89"/>
      <c r="AF919" s="98"/>
      <c r="AG919" s="98"/>
      <c r="AH919" s="98"/>
      <c r="AI919" s="99"/>
      <c r="AJ919" s="99"/>
      <c r="AK919" s="99"/>
      <c r="AL919" s="45" t="s">
        <v>68</v>
      </c>
      <c r="AM919" s="162" t="str">
        <f t="shared" si="112"/>
        <v>3/2026</v>
      </c>
      <c r="AN919" s="45">
        <f t="shared" si="113"/>
        <v>4</v>
      </c>
      <c r="AO919" s="45" t="str">
        <f t="shared" si="114"/>
        <v>1/1900</v>
      </c>
      <c r="AP919" s="45" t="e">
        <f t="shared" si="115"/>
        <v>#NUM!</v>
      </c>
      <c r="AQ919" s="45">
        <f t="shared" si="116"/>
        <v>0</v>
      </c>
      <c r="AR919" s="45">
        <f t="shared" si="117"/>
        <v>0</v>
      </c>
      <c r="AS919" s="45">
        <f t="shared" si="118"/>
        <v>0</v>
      </c>
      <c r="AT919" s="45">
        <f t="shared" si="119"/>
        <v>0</v>
      </c>
      <c r="AU919" s="45" t="str">
        <f>_xlfn.XLOOKUP(U919,'Lista Suspensa'!$AA$20:$AA$23,'Lista Suspensa'!$AB$20:$AB$23,"N/A")</f>
        <v>S</v>
      </c>
    </row>
    <row r="920" spans="1:47" ht="12" hidden="1" customHeight="1" x14ac:dyDescent="0.3">
      <c r="A920" s="87" t="s">
        <v>47</v>
      </c>
      <c r="B920" s="88">
        <v>46104</v>
      </c>
      <c r="C920" s="89" t="s">
        <v>48</v>
      </c>
      <c r="D920" s="89" t="s">
        <v>49</v>
      </c>
      <c r="E920" s="90">
        <v>770764045</v>
      </c>
      <c r="F920" s="184" t="s">
        <v>2758</v>
      </c>
      <c r="G920" s="91">
        <v>5699509887</v>
      </c>
      <c r="H920" s="92">
        <v>15705</v>
      </c>
      <c r="I920" s="89">
        <v>83</v>
      </c>
      <c r="J920" s="89" t="s">
        <v>70</v>
      </c>
      <c r="K920" s="89" t="s">
        <v>52</v>
      </c>
      <c r="L920" s="89" t="s">
        <v>53</v>
      </c>
      <c r="M920" s="89" t="s">
        <v>2759</v>
      </c>
      <c r="N920" s="89" t="s">
        <v>91</v>
      </c>
      <c r="O920" s="93" t="s">
        <v>2760</v>
      </c>
      <c r="P920" s="94" t="s">
        <v>57</v>
      </c>
      <c r="Q920" s="112" t="s">
        <v>2211</v>
      </c>
      <c r="R920" s="95"/>
      <c r="S920" s="96">
        <v>46164</v>
      </c>
      <c r="T920" s="96" t="s">
        <v>2212</v>
      </c>
      <c r="U920" s="96" t="s">
        <v>79</v>
      </c>
      <c r="V920" s="92">
        <v>46147</v>
      </c>
      <c r="W920" s="92">
        <v>46154</v>
      </c>
      <c r="X920" s="92">
        <v>46160</v>
      </c>
      <c r="Y920" s="97"/>
      <c r="Z920" s="89"/>
      <c r="AA920" s="96"/>
      <c r="AB920" s="89"/>
      <c r="AC920" s="111"/>
      <c r="AD920" s="89"/>
      <c r="AE920" s="89"/>
      <c r="AF920" s="98"/>
      <c r="AG920" s="98"/>
      <c r="AH920" s="98"/>
      <c r="AI920" s="99"/>
      <c r="AJ920" s="99"/>
      <c r="AK920" s="99"/>
      <c r="AL920" s="45" t="s">
        <v>68</v>
      </c>
      <c r="AM920" s="162" t="str">
        <f t="shared" si="112"/>
        <v>3/2026</v>
      </c>
      <c r="AN920" s="45">
        <f t="shared" si="113"/>
        <v>4</v>
      </c>
      <c r="AO920" s="45" t="str">
        <f t="shared" si="114"/>
        <v>1/1900</v>
      </c>
      <c r="AP920" s="45" t="e">
        <f t="shared" si="115"/>
        <v>#NUM!</v>
      </c>
      <c r="AQ920" s="45">
        <f t="shared" si="116"/>
        <v>0</v>
      </c>
      <c r="AR920" s="45">
        <f t="shared" si="117"/>
        <v>0</v>
      </c>
      <c r="AS920" s="45">
        <f t="shared" si="118"/>
        <v>0</v>
      </c>
      <c r="AT920" s="45">
        <f t="shared" si="119"/>
        <v>0</v>
      </c>
      <c r="AU920" s="45" t="str">
        <f>_xlfn.XLOOKUP(U920,'Lista Suspensa'!$AA$20:$AA$23,'Lista Suspensa'!$AB$20:$AB$23,"N/A")</f>
        <v>S</v>
      </c>
    </row>
    <row r="921" spans="1:47" ht="12" hidden="1" customHeight="1" x14ac:dyDescent="0.3">
      <c r="A921" s="87" t="s">
        <v>47</v>
      </c>
      <c r="B921" s="88">
        <v>46104</v>
      </c>
      <c r="C921" s="89" t="s">
        <v>48</v>
      </c>
      <c r="D921" s="89" t="s">
        <v>49</v>
      </c>
      <c r="E921" s="90">
        <v>451179641</v>
      </c>
      <c r="F921" s="184" t="s">
        <v>2761</v>
      </c>
      <c r="G921" s="91">
        <v>11857679830</v>
      </c>
      <c r="H921" s="92">
        <v>25371</v>
      </c>
      <c r="I921" s="89">
        <v>56</v>
      </c>
      <c r="J921" s="89" t="s">
        <v>51</v>
      </c>
      <c r="K921" s="89" t="s">
        <v>52</v>
      </c>
      <c r="L921" s="89" t="s">
        <v>53</v>
      </c>
      <c r="M921" s="89" t="s">
        <v>2762</v>
      </c>
      <c r="N921" s="89" t="s">
        <v>91</v>
      </c>
      <c r="O921" s="93" t="s">
        <v>2763</v>
      </c>
      <c r="P921" s="94" t="s">
        <v>57</v>
      </c>
      <c r="Q921" s="112" t="s">
        <v>2211</v>
      </c>
      <c r="R921" s="95"/>
      <c r="S921" s="96">
        <v>46164</v>
      </c>
      <c r="T921" s="96" t="s">
        <v>2212</v>
      </c>
      <c r="U921" s="96" t="s">
        <v>79</v>
      </c>
      <c r="V921" s="92">
        <v>46147</v>
      </c>
      <c r="W921" s="92">
        <v>46154</v>
      </c>
      <c r="X921" s="92">
        <v>46160</v>
      </c>
      <c r="Y921" s="97"/>
      <c r="Z921" s="89"/>
      <c r="AA921" s="96"/>
      <c r="AB921" s="89"/>
      <c r="AC921" s="111"/>
      <c r="AD921" s="89"/>
      <c r="AE921" s="89"/>
      <c r="AF921" s="98"/>
      <c r="AG921" s="98"/>
      <c r="AH921" s="98"/>
      <c r="AI921" s="99"/>
      <c r="AJ921" s="99"/>
      <c r="AK921" s="99"/>
      <c r="AL921" s="45" t="s">
        <v>68</v>
      </c>
      <c r="AM921" s="162" t="str">
        <f t="shared" si="112"/>
        <v>3/2026</v>
      </c>
      <c r="AN921" s="45">
        <f t="shared" si="113"/>
        <v>4</v>
      </c>
      <c r="AO921" s="45" t="str">
        <f t="shared" si="114"/>
        <v>1/1900</v>
      </c>
      <c r="AP921" s="45" t="e">
        <f t="shared" si="115"/>
        <v>#NUM!</v>
      </c>
      <c r="AQ921" s="45">
        <f t="shared" si="116"/>
        <v>0</v>
      </c>
      <c r="AR921" s="45">
        <f t="shared" si="117"/>
        <v>0</v>
      </c>
      <c r="AS921" s="45">
        <f t="shared" si="118"/>
        <v>0</v>
      </c>
      <c r="AT921" s="45">
        <f t="shared" si="119"/>
        <v>0</v>
      </c>
      <c r="AU921" s="45" t="str">
        <f>_xlfn.XLOOKUP(U921,'Lista Suspensa'!$AA$20:$AA$23,'Lista Suspensa'!$AB$20:$AB$23,"N/A")</f>
        <v>S</v>
      </c>
    </row>
    <row r="922" spans="1:47" ht="12" hidden="1" customHeight="1" x14ac:dyDescent="0.3">
      <c r="A922" s="87" t="s">
        <v>47</v>
      </c>
      <c r="B922" s="88">
        <v>46104</v>
      </c>
      <c r="C922" s="89" t="s">
        <v>48</v>
      </c>
      <c r="D922" s="89" t="s">
        <v>49</v>
      </c>
      <c r="E922" s="90">
        <v>774526831</v>
      </c>
      <c r="F922" s="184" t="s">
        <v>2764</v>
      </c>
      <c r="G922" s="91">
        <v>76751775849</v>
      </c>
      <c r="H922" s="92">
        <v>18194</v>
      </c>
      <c r="I922" s="89">
        <v>76</v>
      </c>
      <c r="J922" s="89" t="s">
        <v>70</v>
      </c>
      <c r="K922" s="89" t="s">
        <v>52</v>
      </c>
      <c r="L922" s="89" t="s">
        <v>53</v>
      </c>
      <c r="M922" s="89" t="s">
        <v>2765</v>
      </c>
      <c r="N922" s="89" t="s">
        <v>91</v>
      </c>
      <c r="O922" s="93" t="s">
        <v>2766</v>
      </c>
      <c r="P922" s="94" t="s">
        <v>57</v>
      </c>
      <c r="Q922" s="112" t="s">
        <v>2211</v>
      </c>
      <c r="R922" s="95"/>
      <c r="S922" s="96">
        <v>46164</v>
      </c>
      <c r="T922" s="96" t="s">
        <v>2212</v>
      </c>
      <c r="U922" s="96" t="s">
        <v>79</v>
      </c>
      <c r="V922" s="92">
        <v>46147</v>
      </c>
      <c r="W922" s="92">
        <v>46154</v>
      </c>
      <c r="X922" s="92">
        <v>46160</v>
      </c>
      <c r="Y922" s="97"/>
      <c r="Z922" s="89"/>
      <c r="AA922" s="96"/>
      <c r="AB922" s="89"/>
      <c r="AC922" s="111"/>
      <c r="AD922" s="89"/>
      <c r="AE922" s="89"/>
      <c r="AF922" s="98"/>
      <c r="AG922" s="98"/>
      <c r="AH922" s="98"/>
      <c r="AI922" s="99"/>
      <c r="AJ922" s="99"/>
      <c r="AK922" s="99"/>
      <c r="AL922" s="45" t="s">
        <v>68</v>
      </c>
      <c r="AM922" s="162" t="str">
        <f t="shared" si="112"/>
        <v>3/2026</v>
      </c>
      <c r="AN922" s="45">
        <f t="shared" si="113"/>
        <v>4</v>
      </c>
      <c r="AO922" s="45" t="str">
        <f t="shared" si="114"/>
        <v>1/1900</v>
      </c>
      <c r="AP922" s="45" t="e">
        <f t="shared" si="115"/>
        <v>#NUM!</v>
      </c>
      <c r="AQ922" s="45">
        <f t="shared" si="116"/>
        <v>0</v>
      </c>
      <c r="AR922" s="45">
        <f t="shared" si="117"/>
        <v>0</v>
      </c>
      <c r="AS922" s="45">
        <f t="shared" si="118"/>
        <v>0</v>
      </c>
      <c r="AT922" s="45">
        <f t="shared" si="119"/>
        <v>0</v>
      </c>
      <c r="AU922" s="45" t="str">
        <f>_xlfn.XLOOKUP(U922,'Lista Suspensa'!$AA$20:$AA$23,'Lista Suspensa'!$AB$20:$AB$23,"N/A")</f>
        <v>S</v>
      </c>
    </row>
    <row r="923" spans="1:47" ht="12" hidden="1" customHeight="1" x14ac:dyDescent="0.3">
      <c r="A923" s="87" t="s">
        <v>47</v>
      </c>
      <c r="B923" s="88">
        <v>46104</v>
      </c>
      <c r="C923" s="89" t="s">
        <v>48</v>
      </c>
      <c r="D923" s="89" t="s">
        <v>49</v>
      </c>
      <c r="E923" s="90">
        <v>775443239</v>
      </c>
      <c r="F923" s="184" t="s">
        <v>2767</v>
      </c>
      <c r="G923" s="91">
        <v>33767138808</v>
      </c>
      <c r="H923" s="92">
        <v>14237</v>
      </c>
      <c r="I923" s="89">
        <v>87</v>
      </c>
      <c r="J923" s="89" t="s">
        <v>70</v>
      </c>
      <c r="K923" s="89" t="s">
        <v>52</v>
      </c>
      <c r="L923" s="89" t="s">
        <v>53</v>
      </c>
      <c r="M923" s="89" t="s">
        <v>2768</v>
      </c>
      <c r="N923" s="89" t="s">
        <v>91</v>
      </c>
      <c r="O923" s="93" t="s">
        <v>2769</v>
      </c>
      <c r="P923" s="94" t="s">
        <v>57</v>
      </c>
      <c r="Q923" s="112" t="s">
        <v>2211</v>
      </c>
      <c r="R923" s="95"/>
      <c r="S923" s="96">
        <v>46164</v>
      </c>
      <c r="T923" s="96" t="s">
        <v>2212</v>
      </c>
      <c r="U923" s="96" t="s">
        <v>79</v>
      </c>
      <c r="V923" s="92">
        <v>46147</v>
      </c>
      <c r="W923" s="92">
        <v>46154</v>
      </c>
      <c r="X923" s="92">
        <v>46160</v>
      </c>
      <c r="Y923" s="97"/>
      <c r="Z923" s="89"/>
      <c r="AA923" s="96"/>
      <c r="AB923" s="89"/>
      <c r="AC923" s="111"/>
      <c r="AD923" s="89"/>
      <c r="AE923" s="89"/>
      <c r="AF923" s="98"/>
      <c r="AG923" s="98"/>
      <c r="AH923" s="98"/>
      <c r="AI923" s="99"/>
      <c r="AJ923" s="99"/>
      <c r="AK923" s="99"/>
      <c r="AL923" s="45" t="s">
        <v>68</v>
      </c>
      <c r="AM923" s="162" t="str">
        <f t="shared" si="112"/>
        <v>3/2026</v>
      </c>
      <c r="AN923" s="45">
        <f t="shared" si="113"/>
        <v>4</v>
      </c>
      <c r="AO923" s="45" t="str">
        <f t="shared" si="114"/>
        <v>1/1900</v>
      </c>
      <c r="AP923" s="45" t="e">
        <f t="shared" si="115"/>
        <v>#NUM!</v>
      </c>
      <c r="AQ923" s="45">
        <f t="shared" si="116"/>
        <v>0</v>
      </c>
      <c r="AR923" s="45">
        <f t="shared" si="117"/>
        <v>0</v>
      </c>
      <c r="AS923" s="45">
        <f t="shared" si="118"/>
        <v>0</v>
      </c>
      <c r="AT923" s="45">
        <f t="shared" si="119"/>
        <v>0</v>
      </c>
      <c r="AU923" s="45" t="str">
        <f>_xlfn.XLOOKUP(U923,'Lista Suspensa'!$AA$20:$AA$23,'Lista Suspensa'!$AB$20:$AB$23,"N/A")</f>
        <v>S</v>
      </c>
    </row>
    <row r="924" spans="1:47" ht="12" hidden="1" customHeight="1" x14ac:dyDescent="0.3">
      <c r="A924" s="87" t="s">
        <v>47</v>
      </c>
      <c r="B924" s="88">
        <v>46104</v>
      </c>
      <c r="C924" s="89" t="s">
        <v>48</v>
      </c>
      <c r="D924" s="89" t="s">
        <v>49</v>
      </c>
      <c r="E924" s="90">
        <v>450040011</v>
      </c>
      <c r="F924" s="184" t="s">
        <v>2770</v>
      </c>
      <c r="G924" s="91">
        <v>31521723893</v>
      </c>
      <c r="H924" s="92">
        <v>18580</v>
      </c>
      <c r="I924" s="89">
        <v>75</v>
      </c>
      <c r="J924" s="89" t="s">
        <v>70</v>
      </c>
      <c r="K924" s="89" t="s">
        <v>52</v>
      </c>
      <c r="L924" s="89" t="s">
        <v>53</v>
      </c>
      <c r="M924" s="89" t="s">
        <v>1270</v>
      </c>
      <c r="N924" s="89" t="s">
        <v>91</v>
      </c>
      <c r="O924" s="93" t="s">
        <v>2771</v>
      </c>
      <c r="P924" s="94" t="s">
        <v>57</v>
      </c>
      <c r="Q924" s="112" t="s">
        <v>2211</v>
      </c>
      <c r="R924" s="95"/>
      <c r="S924" s="96">
        <v>46164</v>
      </c>
      <c r="T924" s="96" t="s">
        <v>2212</v>
      </c>
      <c r="U924" s="96" t="s">
        <v>79</v>
      </c>
      <c r="V924" s="92">
        <v>46147</v>
      </c>
      <c r="W924" s="92">
        <v>46154</v>
      </c>
      <c r="X924" s="92">
        <v>46160</v>
      </c>
      <c r="Y924" s="97"/>
      <c r="Z924" s="89"/>
      <c r="AA924" s="96"/>
      <c r="AB924" s="89"/>
      <c r="AC924" s="111"/>
      <c r="AD924" s="89"/>
      <c r="AE924" s="89"/>
      <c r="AF924" s="98"/>
      <c r="AG924" s="98"/>
      <c r="AH924" s="98"/>
      <c r="AI924" s="99"/>
      <c r="AJ924" s="99"/>
      <c r="AK924" s="99"/>
      <c r="AL924" s="45" t="s">
        <v>68</v>
      </c>
      <c r="AM924" s="162" t="str">
        <f t="shared" si="112"/>
        <v>3/2026</v>
      </c>
      <c r="AN924" s="45">
        <f t="shared" si="113"/>
        <v>4</v>
      </c>
      <c r="AO924" s="45" t="str">
        <f t="shared" si="114"/>
        <v>1/1900</v>
      </c>
      <c r="AP924" s="45" t="e">
        <f t="shared" si="115"/>
        <v>#NUM!</v>
      </c>
      <c r="AQ924" s="45">
        <f t="shared" si="116"/>
        <v>0</v>
      </c>
      <c r="AR924" s="45">
        <f t="shared" si="117"/>
        <v>0</v>
      </c>
      <c r="AS924" s="45">
        <f t="shared" si="118"/>
        <v>0</v>
      </c>
      <c r="AT924" s="45">
        <f t="shared" si="119"/>
        <v>0</v>
      </c>
      <c r="AU924" s="45" t="str">
        <f>_xlfn.XLOOKUP(U924,'Lista Suspensa'!$AA$20:$AA$23,'Lista Suspensa'!$AB$20:$AB$23,"N/A")</f>
        <v>S</v>
      </c>
    </row>
    <row r="925" spans="1:47" ht="12" hidden="1" customHeight="1" x14ac:dyDescent="0.3">
      <c r="A925" s="87" t="s">
        <v>47</v>
      </c>
      <c r="B925" s="88">
        <v>46104</v>
      </c>
      <c r="C925" s="89" t="s">
        <v>48</v>
      </c>
      <c r="D925" s="89" t="s">
        <v>49</v>
      </c>
      <c r="E925" s="90">
        <v>771407777</v>
      </c>
      <c r="F925" s="184" t="s">
        <v>2772</v>
      </c>
      <c r="G925" s="91">
        <v>15797762803</v>
      </c>
      <c r="H925" s="92">
        <v>17087</v>
      </c>
      <c r="I925" s="89">
        <v>79</v>
      </c>
      <c r="J925" s="89" t="s">
        <v>70</v>
      </c>
      <c r="K925" s="89" t="s">
        <v>52</v>
      </c>
      <c r="L925" s="89" t="s">
        <v>53</v>
      </c>
      <c r="M925" s="89" t="s">
        <v>2773</v>
      </c>
      <c r="N925" s="89" t="s">
        <v>91</v>
      </c>
      <c r="O925" s="93" t="s">
        <v>2774</v>
      </c>
      <c r="P925" s="94" t="s">
        <v>57</v>
      </c>
      <c r="Q925" s="112" t="s">
        <v>2211</v>
      </c>
      <c r="R925" s="95"/>
      <c r="S925" s="96">
        <v>46164</v>
      </c>
      <c r="T925" s="96" t="s">
        <v>2212</v>
      </c>
      <c r="U925" s="96" t="s">
        <v>79</v>
      </c>
      <c r="V925" s="92">
        <v>46112</v>
      </c>
      <c r="W925" s="92">
        <v>46154</v>
      </c>
      <c r="X925" s="92">
        <v>46160</v>
      </c>
      <c r="Y925" s="97"/>
      <c r="Z925" s="89"/>
      <c r="AA925" s="96"/>
      <c r="AB925" s="89"/>
      <c r="AC925" s="111"/>
      <c r="AD925" s="89"/>
      <c r="AE925" s="89"/>
      <c r="AF925" s="98"/>
      <c r="AG925" s="98"/>
      <c r="AH925" s="98"/>
      <c r="AI925" s="99"/>
      <c r="AJ925" s="99"/>
      <c r="AK925" s="99"/>
      <c r="AL925" s="45" t="s">
        <v>68</v>
      </c>
      <c r="AM925" s="162" t="str">
        <f t="shared" si="112"/>
        <v>3/2026</v>
      </c>
      <c r="AN925" s="45">
        <f t="shared" si="113"/>
        <v>4</v>
      </c>
      <c r="AO925" s="45" t="str">
        <f t="shared" si="114"/>
        <v>1/1900</v>
      </c>
      <c r="AP925" s="45" t="e">
        <f t="shared" si="115"/>
        <v>#NUM!</v>
      </c>
      <c r="AQ925" s="45">
        <f t="shared" si="116"/>
        <v>0</v>
      </c>
      <c r="AR925" s="45">
        <f t="shared" si="117"/>
        <v>0</v>
      </c>
      <c r="AS925" s="45">
        <f t="shared" si="118"/>
        <v>0</v>
      </c>
      <c r="AT925" s="45">
        <f t="shared" si="119"/>
        <v>0</v>
      </c>
      <c r="AU925" s="45" t="str">
        <f>_xlfn.XLOOKUP(U925,'Lista Suspensa'!$AA$20:$AA$23,'Lista Suspensa'!$AB$20:$AB$23,"N/A")</f>
        <v>S</v>
      </c>
    </row>
    <row r="926" spans="1:47" ht="12" hidden="1" customHeight="1" x14ac:dyDescent="0.3">
      <c r="A926" s="87" t="s">
        <v>47</v>
      </c>
      <c r="B926" s="88">
        <v>46104</v>
      </c>
      <c r="C926" s="89" t="s">
        <v>48</v>
      </c>
      <c r="D926" s="89" t="s">
        <v>49</v>
      </c>
      <c r="E926" s="90">
        <v>450458555</v>
      </c>
      <c r="F926" s="184" t="s">
        <v>2775</v>
      </c>
      <c r="G926" s="91">
        <v>7331790889</v>
      </c>
      <c r="H926" s="92">
        <v>18995</v>
      </c>
      <c r="I926" s="89">
        <v>74</v>
      </c>
      <c r="J926" s="89" t="s">
        <v>70</v>
      </c>
      <c r="K926" s="89" t="s">
        <v>52</v>
      </c>
      <c r="L926" s="89" t="s">
        <v>53</v>
      </c>
      <c r="M926" s="89" t="s">
        <v>795</v>
      </c>
      <c r="N926" s="89" t="s">
        <v>91</v>
      </c>
      <c r="O926" s="93" t="s">
        <v>2776</v>
      </c>
      <c r="P926" s="94" t="s">
        <v>57</v>
      </c>
      <c r="Q926" s="112" t="s">
        <v>2211</v>
      </c>
      <c r="R926" s="95"/>
      <c r="S926" s="96">
        <v>46164</v>
      </c>
      <c r="T926" s="96" t="s">
        <v>2212</v>
      </c>
      <c r="U926" s="96" t="s">
        <v>79</v>
      </c>
      <c r="V926" s="92">
        <v>46128</v>
      </c>
      <c r="W926" s="92">
        <v>46140</v>
      </c>
      <c r="X926" s="92">
        <v>46154</v>
      </c>
      <c r="Y926" s="97"/>
      <c r="Z926" s="89"/>
      <c r="AA926" s="96"/>
      <c r="AB926" s="89"/>
      <c r="AC926" s="111"/>
      <c r="AD926" s="89"/>
      <c r="AE926" s="89"/>
      <c r="AF926" s="98"/>
      <c r="AG926" s="98"/>
      <c r="AH926" s="98"/>
      <c r="AI926" s="99"/>
      <c r="AJ926" s="99"/>
      <c r="AK926" s="99"/>
      <c r="AL926" s="45" t="s">
        <v>68</v>
      </c>
      <c r="AM926" s="162" t="str">
        <f t="shared" si="112"/>
        <v>3/2026</v>
      </c>
      <c r="AN926" s="45">
        <f t="shared" si="113"/>
        <v>4</v>
      </c>
      <c r="AO926" s="45" t="str">
        <f t="shared" si="114"/>
        <v>1/1900</v>
      </c>
      <c r="AP926" s="45" t="e">
        <f t="shared" si="115"/>
        <v>#NUM!</v>
      </c>
      <c r="AQ926" s="45">
        <f t="shared" si="116"/>
        <v>0</v>
      </c>
      <c r="AR926" s="45">
        <f t="shared" si="117"/>
        <v>0</v>
      </c>
      <c r="AS926" s="45">
        <f t="shared" si="118"/>
        <v>0</v>
      </c>
      <c r="AT926" s="45">
        <f t="shared" si="119"/>
        <v>0</v>
      </c>
      <c r="AU926" s="45" t="str">
        <f>_xlfn.XLOOKUP(U926,'Lista Suspensa'!$AA$20:$AA$23,'Lista Suspensa'!$AB$20:$AB$23,"N/A")</f>
        <v>S</v>
      </c>
    </row>
    <row r="927" spans="1:47" ht="12" hidden="1" customHeight="1" x14ac:dyDescent="0.3">
      <c r="A927" s="87" t="s">
        <v>47</v>
      </c>
      <c r="B927" s="88">
        <v>46104</v>
      </c>
      <c r="C927" s="89" t="s">
        <v>48</v>
      </c>
      <c r="D927" s="89" t="s">
        <v>49</v>
      </c>
      <c r="E927" s="90">
        <v>812762100</v>
      </c>
      <c r="F927" s="184" t="s">
        <v>2777</v>
      </c>
      <c r="G927" s="91">
        <v>38123290853</v>
      </c>
      <c r="H927" s="92">
        <v>17186</v>
      </c>
      <c r="I927" s="89">
        <v>79</v>
      </c>
      <c r="J927" s="89" t="s">
        <v>51</v>
      </c>
      <c r="K927" s="89" t="s">
        <v>52</v>
      </c>
      <c r="L927" s="89" t="s">
        <v>53</v>
      </c>
      <c r="M927" s="89" t="s">
        <v>1910</v>
      </c>
      <c r="N927" s="89" t="s">
        <v>91</v>
      </c>
      <c r="O927" s="93" t="s">
        <v>2778</v>
      </c>
      <c r="P927" s="94" t="s">
        <v>57</v>
      </c>
      <c r="Q927" s="112" t="s">
        <v>2211</v>
      </c>
      <c r="R927" s="95"/>
      <c r="S927" s="96">
        <v>46164</v>
      </c>
      <c r="T927" s="96" t="s">
        <v>2212</v>
      </c>
      <c r="U927" s="96" t="s">
        <v>79</v>
      </c>
      <c r="V927" s="92">
        <v>46147</v>
      </c>
      <c r="W927" s="92">
        <v>46154</v>
      </c>
      <c r="X927" s="92">
        <v>46160</v>
      </c>
      <c r="Y927" s="97"/>
      <c r="Z927" s="89"/>
      <c r="AA927" s="96"/>
      <c r="AB927" s="89"/>
      <c r="AC927" s="111"/>
      <c r="AD927" s="89"/>
      <c r="AE927" s="89"/>
      <c r="AF927" s="98"/>
      <c r="AG927" s="98"/>
      <c r="AH927" s="98"/>
      <c r="AI927" s="99"/>
      <c r="AJ927" s="99"/>
      <c r="AK927" s="99"/>
      <c r="AL927" s="45" t="s">
        <v>68</v>
      </c>
      <c r="AM927" s="162" t="str">
        <f t="shared" si="112"/>
        <v>3/2026</v>
      </c>
      <c r="AN927" s="45">
        <f t="shared" si="113"/>
        <v>4</v>
      </c>
      <c r="AO927" s="45" t="str">
        <f t="shared" si="114"/>
        <v>1/1900</v>
      </c>
      <c r="AP927" s="45" t="e">
        <f t="shared" si="115"/>
        <v>#NUM!</v>
      </c>
      <c r="AQ927" s="45">
        <f t="shared" si="116"/>
        <v>0</v>
      </c>
      <c r="AR927" s="45">
        <f t="shared" si="117"/>
        <v>0</v>
      </c>
      <c r="AS927" s="45">
        <f t="shared" si="118"/>
        <v>0</v>
      </c>
      <c r="AT927" s="45">
        <f t="shared" si="119"/>
        <v>0</v>
      </c>
      <c r="AU927" s="45" t="str">
        <f>_xlfn.XLOOKUP(U927,'Lista Suspensa'!$AA$20:$AA$23,'Lista Suspensa'!$AB$20:$AB$23,"N/A")</f>
        <v>S</v>
      </c>
    </row>
    <row r="928" spans="1:47" ht="12" hidden="1" customHeight="1" x14ac:dyDescent="0.3">
      <c r="A928" s="87" t="s">
        <v>47</v>
      </c>
      <c r="B928" s="88">
        <v>46104</v>
      </c>
      <c r="C928" s="89" t="s">
        <v>48</v>
      </c>
      <c r="D928" s="89" t="s">
        <v>49</v>
      </c>
      <c r="E928" s="90">
        <v>452347661</v>
      </c>
      <c r="F928" s="184" t="s">
        <v>2779</v>
      </c>
      <c r="G928" s="91">
        <v>48454826491</v>
      </c>
      <c r="H928" s="92">
        <v>23526</v>
      </c>
      <c r="I928" s="89">
        <v>61</v>
      </c>
      <c r="J928" s="89" t="s">
        <v>51</v>
      </c>
      <c r="K928" s="89" t="s">
        <v>52</v>
      </c>
      <c r="L928" s="89" t="s">
        <v>53</v>
      </c>
      <c r="M928" s="89" t="s">
        <v>199</v>
      </c>
      <c r="N928" s="89" t="s">
        <v>91</v>
      </c>
      <c r="O928" s="93" t="s">
        <v>2780</v>
      </c>
      <c r="P928" s="94" t="s">
        <v>57</v>
      </c>
      <c r="Q928" s="112" t="s">
        <v>2211</v>
      </c>
      <c r="R928" s="95"/>
      <c r="S928" s="96">
        <v>46164</v>
      </c>
      <c r="T928" s="96" t="s">
        <v>2212</v>
      </c>
      <c r="U928" s="96" t="s">
        <v>79</v>
      </c>
      <c r="V928" s="92">
        <v>46147</v>
      </c>
      <c r="W928" s="92">
        <v>46154</v>
      </c>
      <c r="X928" s="92">
        <v>46160</v>
      </c>
      <c r="Y928" s="97"/>
      <c r="Z928" s="89"/>
      <c r="AA928" s="96"/>
      <c r="AB928" s="89"/>
      <c r="AC928" s="111"/>
      <c r="AD928" s="89"/>
      <c r="AE928" s="89"/>
      <c r="AF928" s="98"/>
      <c r="AG928" s="98"/>
      <c r="AH928" s="98"/>
      <c r="AI928" s="99"/>
      <c r="AJ928" s="99"/>
      <c r="AK928" s="99"/>
      <c r="AL928" s="45" t="s">
        <v>68</v>
      </c>
      <c r="AM928" s="162" t="str">
        <f t="shared" si="112"/>
        <v>3/2026</v>
      </c>
      <c r="AN928" s="45">
        <f t="shared" si="113"/>
        <v>4</v>
      </c>
      <c r="AO928" s="45" t="str">
        <f t="shared" si="114"/>
        <v>1/1900</v>
      </c>
      <c r="AP928" s="45" t="e">
        <f t="shared" si="115"/>
        <v>#NUM!</v>
      </c>
      <c r="AQ928" s="45">
        <f t="shared" si="116"/>
        <v>0</v>
      </c>
      <c r="AR928" s="45">
        <f t="shared" si="117"/>
        <v>0</v>
      </c>
      <c r="AS928" s="45">
        <f t="shared" si="118"/>
        <v>0</v>
      </c>
      <c r="AT928" s="45">
        <f t="shared" si="119"/>
        <v>0</v>
      </c>
      <c r="AU928" s="45" t="str">
        <f>_xlfn.XLOOKUP(U928,'Lista Suspensa'!$AA$20:$AA$23,'Lista Suspensa'!$AB$20:$AB$23,"N/A")</f>
        <v>S</v>
      </c>
    </row>
    <row r="929" spans="1:47" ht="12" hidden="1" customHeight="1" x14ac:dyDescent="0.3">
      <c r="A929" s="87" t="s">
        <v>47</v>
      </c>
      <c r="B929" s="88">
        <v>46104</v>
      </c>
      <c r="C929" s="89" t="s">
        <v>48</v>
      </c>
      <c r="D929" s="89" t="s">
        <v>49</v>
      </c>
      <c r="E929" s="90">
        <v>773097910</v>
      </c>
      <c r="F929" s="184" t="s">
        <v>2781</v>
      </c>
      <c r="G929" s="91">
        <v>29282809870</v>
      </c>
      <c r="H929" s="92">
        <v>19968</v>
      </c>
      <c r="I929" s="89">
        <v>71</v>
      </c>
      <c r="J929" s="89" t="s">
        <v>70</v>
      </c>
      <c r="K929" s="89" t="s">
        <v>52</v>
      </c>
      <c r="L929" s="89" t="s">
        <v>53</v>
      </c>
      <c r="M929" s="89" t="s">
        <v>144</v>
      </c>
      <c r="N929" s="89" t="s">
        <v>91</v>
      </c>
      <c r="O929" s="93" t="s">
        <v>2782</v>
      </c>
      <c r="P929" s="94" t="s">
        <v>57</v>
      </c>
      <c r="Q929" s="112" t="s">
        <v>2211</v>
      </c>
      <c r="R929" s="95"/>
      <c r="S929" s="96">
        <v>46164</v>
      </c>
      <c r="T929" s="96" t="s">
        <v>2212</v>
      </c>
      <c r="U929" s="96" t="s">
        <v>79</v>
      </c>
      <c r="V929" s="92">
        <v>46147</v>
      </c>
      <c r="W929" s="92">
        <v>46154</v>
      </c>
      <c r="X929" s="92">
        <v>46160</v>
      </c>
      <c r="Y929" s="97"/>
      <c r="Z929" s="89"/>
      <c r="AA929" s="96"/>
      <c r="AB929" s="89"/>
      <c r="AC929" s="111"/>
      <c r="AD929" s="89"/>
      <c r="AE929" s="89"/>
      <c r="AF929" s="98"/>
      <c r="AG929" s="98"/>
      <c r="AH929" s="98"/>
      <c r="AI929" s="99"/>
      <c r="AJ929" s="99"/>
      <c r="AK929" s="99"/>
      <c r="AL929" s="45" t="s">
        <v>68</v>
      </c>
      <c r="AM929" s="162" t="str">
        <f t="shared" si="112"/>
        <v>3/2026</v>
      </c>
      <c r="AN929" s="45">
        <f t="shared" si="113"/>
        <v>4</v>
      </c>
      <c r="AO929" s="45" t="str">
        <f t="shared" si="114"/>
        <v>1/1900</v>
      </c>
      <c r="AP929" s="45" t="e">
        <f t="shared" si="115"/>
        <v>#NUM!</v>
      </c>
      <c r="AQ929" s="45">
        <f t="shared" si="116"/>
        <v>0</v>
      </c>
      <c r="AR929" s="45">
        <f t="shared" si="117"/>
        <v>0</v>
      </c>
      <c r="AS929" s="45">
        <f t="shared" si="118"/>
        <v>0</v>
      </c>
      <c r="AT929" s="45">
        <f t="shared" si="119"/>
        <v>0</v>
      </c>
      <c r="AU929" s="45" t="str">
        <f>_xlfn.XLOOKUP(U929,'Lista Suspensa'!$AA$20:$AA$23,'Lista Suspensa'!$AB$20:$AB$23,"N/A")</f>
        <v>S</v>
      </c>
    </row>
    <row r="930" spans="1:47" ht="12" hidden="1" customHeight="1" x14ac:dyDescent="0.3">
      <c r="A930" s="87" t="s">
        <v>47</v>
      </c>
      <c r="B930" s="88">
        <v>46104</v>
      </c>
      <c r="C930" s="89" t="s">
        <v>48</v>
      </c>
      <c r="D930" s="89" t="s">
        <v>49</v>
      </c>
      <c r="E930" s="90">
        <v>772567743</v>
      </c>
      <c r="F930" s="184" t="s">
        <v>2783</v>
      </c>
      <c r="G930" s="91">
        <v>45839565849</v>
      </c>
      <c r="H930" s="92">
        <v>16218</v>
      </c>
      <c r="I930" s="89">
        <v>81</v>
      </c>
      <c r="J930" s="89" t="s">
        <v>51</v>
      </c>
      <c r="K930" s="89" t="s">
        <v>52</v>
      </c>
      <c r="L930" s="89" t="s">
        <v>331</v>
      </c>
      <c r="M930" s="89" t="s">
        <v>2784</v>
      </c>
      <c r="N930" s="89" t="s">
        <v>91</v>
      </c>
      <c r="O930" s="93" t="s">
        <v>2785</v>
      </c>
      <c r="P930" s="94" t="s">
        <v>57</v>
      </c>
      <c r="Q930" s="112" t="s">
        <v>2211</v>
      </c>
      <c r="R930" s="95"/>
      <c r="S930" s="96">
        <v>46164</v>
      </c>
      <c r="T930" s="96" t="s">
        <v>2212</v>
      </c>
      <c r="U930" s="96" t="s">
        <v>79</v>
      </c>
      <c r="V930" s="92">
        <v>46147</v>
      </c>
      <c r="W930" s="92">
        <v>46154</v>
      </c>
      <c r="X930" s="92">
        <v>46160</v>
      </c>
      <c r="Y930" s="97"/>
      <c r="Z930" s="89"/>
      <c r="AA930" s="96"/>
      <c r="AB930" s="89"/>
      <c r="AC930" s="111"/>
      <c r="AD930" s="89"/>
      <c r="AE930" s="89"/>
      <c r="AF930" s="98"/>
      <c r="AG930" s="98"/>
      <c r="AH930" s="98"/>
      <c r="AI930" s="99"/>
      <c r="AJ930" s="99"/>
      <c r="AK930" s="99"/>
      <c r="AL930" s="45" t="s">
        <v>68</v>
      </c>
      <c r="AM930" s="162" t="str">
        <f t="shared" si="112"/>
        <v>3/2026</v>
      </c>
      <c r="AN930" s="45">
        <f t="shared" si="113"/>
        <v>4</v>
      </c>
      <c r="AO930" s="45" t="str">
        <f t="shared" si="114"/>
        <v>1/1900</v>
      </c>
      <c r="AP930" s="45" t="e">
        <f t="shared" si="115"/>
        <v>#NUM!</v>
      </c>
      <c r="AQ930" s="45">
        <f t="shared" si="116"/>
        <v>0</v>
      </c>
      <c r="AR930" s="45">
        <f t="shared" si="117"/>
        <v>0</v>
      </c>
      <c r="AS930" s="45">
        <f t="shared" si="118"/>
        <v>0</v>
      </c>
      <c r="AT930" s="45">
        <f t="shared" si="119"/>
        <v>0</v>
      </c>
      <c r="AU930" s="45" t="str">
        <f>_xlfn.XLOOKUP(U930,'Lista Suspensa'!$AA$20:$AA$23,'Lista Suspensa'!$AB$20:$AB$23,"N/A")</f>
        <v>S</v>
      </c>
    </row>
    <row r="931" spans="1:47" ht="12" hidden="1" customHeight="1" x14ac:dyDescent="0.3">
      <c r="A931" s="87" t="s">
        <v>47</v>
      </c>
      <c r="B931" s="88">
        <v>46104</v>
      </c>
      <c r="C931" s="89" t="s">
        <v>48</v>
      </c>
      <c r="D931" s="89" t="s">
        <v>49</v>
      </c>
      <c r="E931" s="90">
        <v>860564924</v>
      </c>
      <c r="F931" s="184" t="s">
        <v>2786</v>
      </c>
      <c r="G931" s="91">
        <v>76790401849</v>
      </c>
      <c r="H931" s="92">
        <v>20108</v>
      </c>
      <c r="I931" s="89">
        <v>71</v>
      </c>
      <c r="J931" s="89" t="s">
        <v>51</v>
      </c>
      <c r="K931" s="89" t="s">
        <v>52</v>
      </c>
      <c r="L931" s="89" t="s">
        <v>331</v>
      </c>
      <c r="M931" s="89" t="s">
        <v>2784</v>
      </c>
      <c r="N931" s="89" t="s">
        <v>91</v>
      </c>
      <c r="O931" s="93" t="s">
        <v>2787</v>
      </c>
      <c r="P931" s="94" t="s">
        <v>57</v>
      </c>
      <c r="Q931" s="112" t="s">
        <v>2211</v>
      </c>
      <c r="R931" s="95"/>
      <c r="S931" s="96">
        <v>46164</v>
      </c>
      <c r="T931" s="96" t="s">
        <v>2212</v>
      </c>
      <c r="U931" s="96" t="s">
        <v>79</v>
      </c>
      <c r="V931" s="92">
        <v>46147</v>
      </c>
      <c r="W931" s="92">
        <v>46154</v>
      </c>
      <c r="X931" s="92">
        <v>46160</v>
      </c>
      <c r="Y931" s="97"/>
      <c r="Z931" s="89"/>
      <c r="AA931" s="96"/>
      <c r="AB931" s="89"/>
      <c r="AC931" s="111"/>
      <c r="AD931" s="89"/>
      <c r="AE931" s="89"/>
      <c r="AF931" s="98"/>
      <c r="AG931" s="98"/>
      <c r="AH931" s="98"/>
      <c r="AI931" s="99"/>
      <c r="AJ931" s="99"/>
      <c r="AK931" s="99"/>
      <c r="AL931" s="45" t="s">
        <v>68</v>
      </c>
      <c r="AM931" s="162" t="str">
        <f t="shared" si="112"/>
        <v>3/2026</v>
      </c>
      <c r="AN931" s="45">
        <f t="shared" si="113"/>
        <v>4</v>
      </c>
      <c r="AO931" s="45" t="str">
        <f t="shared" si="114"/>
        <v>1/1900</v>
      </c>
      <c r="AP931" s="45" t="e">
        <f t="shared" si="115"/>
        <v>#NUM!</v>
      </c>
      <c r="AQ931" s="45">
        <f t="shared" si="116"/>
        <v>0</v>
      </c>
      <c r="AR931" s="45">
        <f t="shared" si="117"/>
        <v>0</v>
      </c>
      <c r="AS931" s="45">
        <f t="shared" si="118"/>
        <v>0</v>
      </c>
      <c r="AT931" s="45">
        <f t="shared" si="119"/>
        <v>0</v>
      </c>
      <c r="AU931" s="45" t="str">
        <f>_xlfn.XLOOKUP(U931,'Lista Suspensa'!$AA$20:$AA$23,'Lista Suspensa'!$AB$20:$AB$23,"N/A")</f>
        <v>S</v>
      </c>
    </row>
    <row r="932" spans="1:47" ht="12" hidden="1" customHeight="1" x14ac:dyDescent="0.3">
      <c r="A932" s="87" t="s">
        <v>47</v>
      </c>
      <c r="B932" s="88">
        <v>46104</v>
      </c>
      <c r="C932" s="89" t="s">
        <v>48</v>
      </c>
      <c r="D932" s="89" t="s">
        <v>49</v>
      </c>
      <c r="E932" s="90">
        <v>455358206</v>
      </c>
      <c r="F932" s="184" t="s">
        <v>2788</v>
      </c>
      <c r="G932" s="91">
        <v>2205112848</v>
      </c>
      <c r="H932" s="92">
        <v>22512</v>
      </c>
      <c r="I932" s="89">
        <v>64</v>
      </c>
      <c r="J932" s="89" t="s">
        <v>51</v>
      </c>
      <c r="K932" s="89" t="s">
        <v>52</v>
      </c>
      <c r="L932" s="89" t="s">
        <v>53</v>
      </c>
      <c r="M932" s="89" t="s">
        <v>2789</v>
      </c>
      <c r="N932" s="89" t="s">
        <v>91</v>
      </c>
      <c r="O932" s="93" t="s">
        <v>2790</v>
      </c>
      <c r="P932" s="94" t="s">
        <v>57</v>
      </c>
      <c r="Q932" s="112" t="s">
        <v>2211</v>
      </c>
      <c r="R932" s="95"/>
      <c r="S932" s="96">
        <v>46164</v>
      </c>
      <c r="T932" s="96" t="s">
        <v>2212</v>
      </c>
      <c r="U932" s="96" t="s">
        <v>79</v>
      </c>
      <c r="V932" s="92">
        <v>46128</v>
      </c>
      <c r="W932" s="92">
        <v>46147</v>
      </c>
      <c r="X932" s="92">
        <v>46154</v>
      </c>
      <c r="Y932" s="97"/>
      <c r="Z932" s="89"/>
      <c r="AA932" s="96"/>
      <c r="AB932" s="89"/>
      <c r="AC932" s="111"/>
      <c r="AD932" s="89"/>
      <c r="AE932" s="89"/>
      <c r="AF932" s="98"/>
      <c r="AG932" s="98"/>
      <c r="AH932" s="98"/>
      <c r="AI932" s="99"/>
      <c r="AJ932" s="99"/>
      <c r="AK932" s="99"/>
      <c r="AL932" s="45" t="s">
        <v>68</v>
      </c>
      <c r="AM932" s="162" t="str">
        <f t="shared" si="112"/>
        <v>3/2026</v>
      </c>
      <c r="AN932" s="45">
        <f t="shared" si="113"/>
        <v>4</v>
      </c>
      <c r="AO932" s="45" t="str">
        <f t="shared" si="114"/>
        <v>1/1900</v>
      </c>
      <c r="AP932" s="45" t="e">
        <f t="shared" si="115"/>
        <v>#NUM!</v>
      </c>
      <c r="AQ932" s="45">
        <f t="shared" si="116"/>
        <v>0</v>
      </c>
      <c r="AR932" s="45">
        <f t="shared" si="117"/>
        <v>0</v>
      </c>
      <c r="AS932" s="45">
        <f t="shared" si="118"/>
        <v>0</v>
      </c>
      <c r="AT932" s="45">
        <f t="shared" si="119"/>
        <v>0</v>
      </c>
      <c r="AU932" s="45" t="str">
        <f>_xlfn.XLOOKUP(U932,'Lista Suspensa'!$AA$20:$AA$23,'Lista Suspensa'!$AB$20:$AB$23,"N/A")</f>
        <v>S</v>
      </c>
    </row>
    <row r="933" spans="1:47" ht="12" hidden="1" customHeight="1" x14ac:dyDescent="0.3">
      <c r="A933" s="87" t="s">
        <v>47</v>
      </c>
      <c r="B933" s="88">
        <v>46104</v>
      </c>
      <c r="C933" s="89" t="s">
        <v>48</v>
      </c>
      <c r="D933" s="89" t="s">
        <v>49</v>
      </c>
      <c r="E933" s="90">
        <v>773170383</v>
      </c>
      <c r="F933" s="184" t="s">
        <v>2791</v>
      </c>
      <c r="G933" s="91">
        <v>61619574853</v>
      </c>
      <c r="H933" s="92">
        <v>16803</v>
      </c>
      <c r="I933" s="89">
        <v>80</v>
      </c>
      <c r="J933" s="89" t="s">
        <v>51</v>
      </c>
      <c r="K933" s="89" t="s">
        <v>52</v>
      </c>
      <c r="L933" s="89" t="s">
        <v>53</v>
      </c>
      <c r="M933" s="89" t="s">
        <v>2561</v>
      </c>
      <c r="N933" s="89" t="s">
        <v>91</v>
      </c>
      <c r="O933" s="93" t="s">
        <v>2792</v>
      </c>
      <c r="P933" s="94" t="s">
        <v>57</v>
      </c>
      <c r="Q933" s="112" t="s">
        <v>2211</v>
      </c>
      <c r="R933" s="95"/>
      <c r="S933" s="96">
        <v>46164</v>
      </c>
      <c r="T933" s="96" t="s">
        <v>2212</v>
      </c>
      <c r="U933" s="96" t="s">
        <v>79</v>
      </c>
      <c r="V933" s="92">
        <v>46147</v>
      </c>
      <c r="W933" s="92">
        <v>46154</v>
      </c>
      <c r="X933" s="92">
        <v>46160</v>
      </c>
      <c r="Y933" s="97"/>
      <c r="Z933" s="89"/>
      <c r="AA933" s="96"/>
      <c r="AB933" s="89"/>
      <c r="AC933" s="111"/>
      <c r="AD933" s="89"/>
      <c r="AE933" s="89"/>
      <c r="AF933" s="98"/>
      <c r="AG933" s="98"/>
      <c r="AH933" s="98"/>
      <c r="AI933" s="99"/>
      <c r="AJ933" s="99"/>
      <c r="AK933" s="99"/>
      <c r="AL933" s="45" t="s">
        <v>68</v>
      </c>
      <c r="AM933" s="162" t="str">
        <f t="shared" si="112"/>
        <v>3/2026</v>
      </c>
      <c r="AN933" s="45">
        <f t="shared" si="113"/>
        <v>4</v>
      </c>
      <c r="AO933" s="45" t="str">
        <f t="shared" si="114"/>
        <v>1/1900</v>
      </c>
      <c r="AP933" s="45" t="e">
        <f t="shared" si="115"/>
        <v>#NUM!</v>
      </c>
      <c r="AQ933" s="45">
        <f t="shared" si="116"/>
        <v>0</v>
      </c>
      <c r="AR933" s="45">
        <f t="shared" si="117"/>
        <v>0</v>
      </c>
      <c r="AS933" s="45">
        <f t="shared" si="118"/>
        <v>0</v>
      </c>
      <c r="AT933" s="45">
        <f t="shared" si="119"/>
        <v>0</v>
      </c>
      <c r="AU933" s="45" t="str">
        <f>_xlfn.XLOOKUP(U933,'Lista Suspensa'!$AA$20:$AA$23,'Lista Suspensa'!$AB$20:$AB$23,"N/A")</f>
        <v>S</v>
      </c>
    </row>
    <row r="934" spans="1:47" ht="12" hidden="1" customHeight="1" x14ac:dyDescent="0.3">
      <c r="A934" s="87" t="s">
        <v>47</v>
      </c>
      <c r="B934" s="88">
        <v>46104</v>
      </c>
      <c r="C934" s="89" t="s">
        <v>48</v>
      </c>
      <c r="D934" s="89" t="s">
        <v>49</v>
      </c>
      <c r="E934" s="90">
        <v>732325404</v>
      </c>
      <c r="F934" s="184" t="s">
        <v>2793</v>
      </c>
      <c r="G934" s="91">
        <v>1037680766</v>
      </c>
      <c r="H934" s="92">
        <v>22945</v>
      </c>
      <c r="I934" s="89">
        <v>63</v>
      </c>
      <c r="J934" s="89" t="s">
        <v>70</v>
      </c>
      <c r="K934" s="89" t="s">
        <v>88</v>
      </c>
      <c r="L934" s="89" t="s">
        <v>89</v>
      </c>
      <c r="M934" s="89" t="s">
        <v>861</v>
      </c>
      <c r="N934" s="89" t="s">
        <v>237</v>
      </c>
      <c r="O934" s="93" t="s">
        <v>2794</v>
      </c>
      <c r="P934" s="94" t="s">
        <v>57</v>
      </c>
      <c r="Q934" s="112" t="s">
        <v>2211</v>
      </c>
      <c r="R934" s="95"/>
      <c r="S934" s="96">
        <v>46164</v>
      </c>
      <c r="T934" s="96" t="s">
        <v>2212</v>
      </c>
      <c r="U934" s="96" t="s">
        <v>79</v>
      </c>
      <c r="V934" s="92">
        <v>46147</v>
      </c>
      <c r="W934" s="92">
        <v>46154</v>
      </c>
      <c r="X934" s="92">
        <v>46160</v>
      </c>
      <c r="Y934" s="97"/>
      <c r="Z934" s="89"/>
      <c r="AA934" s="96"/>
      <c r="AB934" s="89"/>
      <c r="AC934" s="111"/>
      <c r="AD934" s="89"/>
      <c r="AE934" s="89"/>
      <c r="AF934" s="98"/>
      <c r="AG934" s="98"/>
      <c r="AH934" s="98"/>
      <c r="AI934" s="99"/>
      <c r="AJ934" s="99"/>
      <c r="AK934" s="99"/>
      <c r="AL934" s="45" t="s">
        <v>68</v>
      </c>
      <c r="AM934" s="162" t="str">
        <f t="shared" si="112"/>
        <v>3/2026</v>
      </c>
      <c r="AN934" s="45">
        <f t="shared" si="113"/>
        <v>4</v>
      </c>
      <c r="AO934" s="45" t="str">
        <f t="shared" si="114"/>
        <v>1/1900</v>
      </c>
      <c r="AP934" s="45" t="e">
        <f t="shared" si="115"/>
        <v>#NUM!</v>
      </c>
      <c r="AQ934" s="45">
        <f t="shared" si="116"/>
        <v>0</v>
      </c>
      <c r="AR934" s="45">
        <f t="shared" si="117"/>
        <v>0</v>
      </c>
      <c r="AS934" s="45">
        <f t="shared" si="118"/>
        <v>0</v>
      </c>
      <c r="AT934" s="45">
        <f t="shared" si="119"/>
        <v>0</v>
      </c>
      <c r="AU934" s="45" t="str">
        <f>_xlfn.XLOOKUP(U934,'Lista Suspensa'!$AA$20:$AA$23,'Lista Suspensa'!$AB$20:$AB$23,"N/A")</f>
        <v>S</v>
      </c>
    </row>
    <row r="935" spans="1:47" ht="12" hidden="1" customHeight="1" x14ac:dyDescent="0.3">
      <c r="A935" s="87" t="s">
        <v>47</v>
      </c>
      <c r="B935" s="88">
        <v>46104</v>
      </c>
      <c r="C935" s="89" t="s">
        <v>48</v>
      </c>
      <c r="D935" s="89" t="s">
        <v>49</v>
      </c>
      <c r="E935" s="90">
        <v>742368556</v>
      </c>
      <c r="F935" s="184" t="s">
        <v>2795</v>
      </c>
      <c r="G935" s="91">
        <v>46520031704</v>
      </c>
      <c r="H935" s="92">
        <v>21062</v>
      </c>
      <c r="I935" s="89">
        <v>68</v>
      </c>
      <c r="J935" s="89" t="s">
        <v>51</v>
      </c>
      <c r="K935" s="89" t="s">
        <v>88</v>
      </c>
      <c r="L935" s="89" t="s">
        <v>89</v>
      </c>
      <c r="M935" s="89" t="s">
        <v>384</v>
      </c>
      <c r="N935" s="89" t="s">
        <v>237</v>
      </c>
      <c r="O935" s="93" t="s">
        <v>2796</v>
      </c>
      <c r="P935" s="94" t="s">
        <v>57</v>
      </c>
      <c r="Q935" s="112" t="s">
        <v>2211</v>
      </c>
      <c r="R935" s="95"/>
      <c r="S935" s="96">
        <v>46164</v>
      </c>
      <c r="T935" s="96" t="s">
        <v>2212</v>
      </c>
      <c r="U935" s="96" t="s">
        <v>79</v>
      </c>
      <c r="V935" s="92">
        <v>46147</v>
      </c>
      <c r="W935" s="92">
        <v>46154</v>
      </c>
      <c r="X935" s="92">
        <v>46160</v>
      </c>
      <c r="Y935" s="97"/>
      <c r="Z935" s="89"/>
      <c r="AA935" s="96"/>
      <c r="AB935" s="89"/>
      <c r="AC935" s="111"/>
      <c r="AD935" s="89"/>
      <c r="AE935" s="89"/>
      <c r="AF935" s="98"/>
      <c r="AG935" s="98"/>
      <c r="AH935" s="98"/>
      <c r="AI935" s="99"/>
      <c r="AJ935" s="99"/>
      <c r="AK935" s="99"/>
      <c r="AL935" s="45" t="s">
        <v>68</v>
      </c>
      <c r="AM935" s="162" t="str">
        <f t="shared" si="112"/>
        <v>3/2026</v>
      </c>
      <c r="AN935" s="45">
        <f t="shared" si="113"/>
        <v>4</v>
      </c>
      <c r="AO935" s="45" t="str">
        <f t="shared" si="114"/>
        <v>1/1900</v>
      </c>
      <c r="AP935" s="45" t="e">
        <f t="shared" si="115"/>
        <v>#NUM!</v>
      </c>
      <c r="AQ935" s="45">
        <f t="shared" si="116"/>
        <v>0</v>
      </c>
      <c r="AR935" s="45">
        <f t="shared" si="117"/>
        <v>0</v>
      </c>
      <c r="AS935" s="45">
        <f t="shared" si="118"/>
        <v>0</v>
      </c>
      <c r="AT935" s="45">
        <f t="shared" si="119"/>
        <v>0</v>
      </c>
      <c r="AU935" s="45" t="str">
        <f>_xlfn.XLOOKUP(U935,'Lista Suspensa'!$AA$20:$AA$23,'Lista Suspensa'!$AB$20:$AB$23,"N/A")</f>
        <v>S</v>
      </c>
    </row>
    <row r="936" spans="1:47" ht="12" hidden="1" customHeight="1" x14ac:dyDescent="0.3">
      <c r="A936" s="87" t="s">
        <v>47</v>
      </c>
      <c r="B936" s="88">
        <v>46104</v>
      </c>
      <c r="C936" s="89" t="s">
        <v>48</v>
      </c>
      <c r="D936" s="89" t="s">
        <v>49</v>
      </c>
      <c r="E936" s="90">
        <v>741349256</v>
      </c>
      <c r="F936" s="184" t="s">
        <v>2797</v>
      </c>
      <c r="G936" s="91">
        <v>83068120772</v>
      </c>
      <c r="H936" s="92">
        <v>21211</v>
      </c>
      <c r="I936" s="89">
        <v>68</v>
      </c>
      <c r="J936" s="89" t="s">
        <v>70</v>
      </c>
      <c r="K936" s="89" t="s">
        <v>88</v>
      </c>
      <c r="L936" s="89" t="s">
        <v>97</v>
      </c>
      <c r="M936" s="89" t="s">
        <v>665</v>
      </c>
      <c r="N936" s="89" t="s">
        <v>237</v>
      </c>
      <c r="O936" s="93" t="s">
        <v>2798</v>
      </c>
      <c r="P936" s="94" t="s">
        <v>57</v>
      </c>
      <c r="Q936" s="112" t="s">
        <v>2211</v>
      </c>
      <c r="R936" s="95"/>
      <c r="S936" s="96">
        <v>46164</v>
      </c>
      <c r="T936" s="96" t="s">
        <v>2212</v>
      </c>
      <c r="U936" s="96" t="s">
        <v>79</v>
      </c>
      <c r="V936" s="92">
        <v>46147</v>
      </c>
      <c r="W936" s="92">
        <v>46154</v>
      </c>
      <c r="X936" s="92">
        <v>46160</v>
      </c>
      <c r="Y936" s="97"/>
      <c r="Z936" s="89"/>
      <c r="AA936" s="96"/>
      <c r="AB936" s="89"/>
      <c r="AC936" s="111"/>
      <c r="AD936" s="89"/>
      <c r="AE936" s="89"/>
      <c r="AF936" s="98"/>
      <c r="AG936" s="98"/>
      <c r="AH936" s="98"/>
      <c r="AI936" s="99"/>
      <c r="AJ936" s="99"/>
      <c r="AK936" s="99"/>
      <c r="AL936" s="45" t="s">
        <v>68</v>
      </c>
      <c r="AM936" s="162" t="str">
        <f t="shared" si="112"/>
        <v>3/2026</v>
      </c>
      <c r="AN936" s="45">
        <f t="shared" si="113"/>
        <v>4</v>
      </c>
      <c r="AO936" s="45" t="str">
        <f t="shared" si="114"/>
        <v>1/1900</v>
      </c>
      <c r="AP936" s="45" t="e">
        <f t="shared" si="115"/>
        <v>#NUM!</v>
      </c>
      <c r="AQ936" s="45">
        <f t="shared" si="116"/>
        <v>0</v>
      </c>
      <c r="AR936" s="45">
        <f t="shared" si="117"/>
        <v>0</v>
      </c>
      <c r="AS936" s="45">
        <f t="shared" si="118"/>
        <v>0</v>
      </c>
      <c r="AT936" s="45">
        <f t="shared" si="119"/>
        <v>0</v>
      </c>
      <c r="AU936" s="45" t="str">
        <f>_xlfn.XLOOKUP(U936,'Lista Suspensa'!$AA$20:$AA$23,'Lista Suspensa'!$AB$20:$AB$23,"N/A")</f>
        <v>S</v>
      </c>
    </row>
    <row r="937" spans="1:47" ht="12" hidden="1" customHeight="1" x14ac:dyDescent="0.3">
      <c r="A937" s="87" t="s">
        <v>47</v>
      </c>
      <c r="B937" s="88">
        <v>46104</v>
      </c>
      <c r="C937" s="89" t="s">
        <v>48</v>
      </c>
      <c r="D937" s="89" t="s">
        <v>49</v>
      </c>
      <c r="E937" s="90">
        <v>742977536</v>
      </c>
      <c r="F937" s="184" t="s">
        <v>2799</v>
      </c>
      <c r="G937" s="91">
        <v>2573799751</v>
      </c>
      <c r="H937" s="92">
        <v>26247</v>
      </c>
      <c r="I937" s="89">
        <v>54</v>
      </c>
      <c r="J937" s="89" t="s">
        <v>51</v>
      </c>
      <c r="K937" s="89" t="s">
        <v>88</v>
      </c>
      <c r="L937" s="89" t="s">
        <v>89</v>
      </c>
      <c r="M937" s="89" t="s">
        <v>788</v>
      </c>
      <c r="N937" s="89" t="s">
        <v>237</v>
      </c>
      <c r="O937" s="93" t="s">
        <v>2800</v>
      </c>
      <c r="P937" s="94" t="s">
        <v>57</v>
      </c>
      <c r="Q937" s="112" t="s">
        <v>2211</v>
      </c>
      <c r="R937" s="95"/>
      <c r="S937" s="96">
        <v>46164</v>
      </c>
      <c r="T937" s="96" t="s">
        <v>2212</v>
      </c>
      <c r="U937" s="96" t="s">
        <v>79</v>
      </c>
      <c r="V937" s="92">
        <v>46122</v>
      </c>
      <c r="W937" s="92">
        <v>46147</v>
      </c>
      <c r="X937" s="92">
        <v>46154</v>
      </c>
      <c r="Y937" s="97"/>
      <c r="Z937" s="89"/>
      <c r="AA937" s="96"/>
      <c r="AB937" s="89"/>
      <c r="AC937" s="111"/>
      <c r="AD937" s="89"/>
      <c r="AE937" s="89"/>
      <c r="AF937" s="98"/>
      <c r="AG937" s="98"/>
      <c r="AH937" s="98"/>
      <c r="AI937" s="99"/>
      <c r="AJ937" s="99"/>
      <c r="AK937" s="99"/>
      <c r="AL937" s="45" t="s">
        <v>68</v>
      </c>
      <c r="AM937" s="162" t="str">
        <f t="shared" si="112"/>
        <v>3/2026</v>
      </c>
      <c r="AN937" s="45">
        <f t="shared" si="113"/>
        <v>4</v>
      </c>
      <c r="AO937" s="45" t="str">
        <f t="shared" si="114"/>
        <v>1/1900</v>
      </c>
      <c r="AP937" s="45" t="e">
        <f t="shared" si="115"/>
        <v>#NUM!</v>
      </c>
      <c r="AQ937" s="45">
        <f t="shared" si="116"/>
        <v>0</v>
      </c>
      <c r="AR937" s="45">
        <f t="shared" si="117"/>
        <v>0</v>
      </c>
      <c r="AS937" s="45">
        <f t="shared" si="118"/>
        <v>0</v>
      </c>
      <c r="AT937" s="45">
        <f t="shared" si="119"/>
        <v>0</v>
      </c>
      <c r="AU937" s="45" t="str">
        <f>_xlfn.XLOOKUP(U937,'Lista Suspensa'!$AA$20:$AA$23,'Lista Suspensa'!$AB$20:$AB$23,"N/A")</f>
        <v>S</v>
      </c>
    </row>
    <row r="938" spans="1:47" ht="12" hidden="1" customHeight="1" x14ac:dyDescent="0.3">
      <c r="A938" s="87" t="s">
        <v>47</v>
      </c>
      <c r="B938" s="88">
        <v>46104</v>
      </c>
      <c r="C938" s="89" t="s">
        <v>48</v>
      </c>
      <c r="D938" s="89" t="s">
        <v>49</v>
      </c>
      <c r="E938" s="90">
        <v>745410758</v>
      </c>
      <c r="F938" s="184" t="s">
        <v>2801</v>
      </c>
      <c r="G938" s="91">
        <v>9237070772</v>
      </c>
      <c r="H938" s="92">
        <v>12925</v>
      </c>
      <c r="I938" s="89">
        <v>90</v>
      </c>
      <c r="J938" s="89" t="s">
        <v>70</v>
      </c>
      <c r="K938" s="89" t="s">
        <v>88</v>
      </c>
      <c r="L938" s="89" t="s">
        <v>89</v>
      </c>
      <c r="M938" s="89" t="s">
        <v>1645</v>
      </c>
      <c r="N938" s="89" t="s">
        <v>237</v>
      </c>
      <c r="O938" s="93" t="s">
        <v>2802</v>
      </c>
      <c r="P938" s="94" t="s">
        <v>57</v>
      </c>
      <c r="Q938" s="112" t="s">
        <v>2211</v>
      </c>
      <c r="R938" s="95"/>
      <c r="S938" s="96">
        <v>46164</v>
      </c>
      <c r="T938" s="96" t="s">
        <v>2212</v>
      </c>
      <c r="U938" s="96" t="s">
        <v>79</v>
      </c>
      <c r="V938" s="92">
        <v>46128</v>
      </c>
      <c r="W938" s="92">
        <v>46147</v>
      </c>
      <c r="X938" s="92">
        <v>46154</v>
      </c>
      <c r="Y938" s="97"/>
      <c r="Z938" s="89"/>
      <c r="AA938" s="96"/>
      <c r="AB938" s="89"/>
      <c r="AC938" s="111"/>
      <c r="AD938" s="89"/>
      <c r="AE938" s="89"/>
      <c r="AF938" s="98"/>
      <c r="AG938" s="98"/>
      <c r="AH938" s="98"/>
      <c r="AI938" s="99"/>
      <c r="AJ938" s="99"/>
      <c r="AK938" s="99"/>
      <c r="AL938" s="45" t="s">
        <v>68</v>
      </c>
      <c r="AM938" s="162" t="str">
        <f t="shared" si="112"/>
        <v>3/2026</v>
      </c>
      <c r="AN938" s="45">
        <f t="shared" si="113"/>
        <v>4</v>
      </c>
      <c r="AO938" s="45" t="str">
        <f t="shared" si="114"/>
        <v>1/1900</v>
      </c>
      <c r="AP938" s="45" t="e">
        <f t="shared" si="115"/>
        <v>#NUM!</v>
      </c>
      <c r="AQ938" s="45">
        <f t="shared" si="116"/>
        <v>0</v>
      </c>
      <c r="AR938" s="45">
        <f t="shared" si="117"/>
        <v>0</v>
      </c>
      <c r="AS938" s="45">
        <f t="shared" si="118"/>
        <v>0</v>
      </c>
      <c r="AT938" s="45">
        <f t="shared" si="119"/>
        <v>0</v>
      </c>
      <c r="AU938" s="45" t="str">
        <f>_xlfn.XLOOKUP(U938,'Lista Suspensa'!$AA$20:$AA$23,'Lista Suspensa'!$AB$20:$AB$23,"N/A")</f>
        <v>S</v>
      </c>
    </row>
    <row r="939" spans="1:47" ht="12" hidden="1" customHeight="1" x14ac:dyDescent="0.3">
      <c r="A939" s="87" t="s">
        <v>47</v>
      </c>
      <c r="B939" s="88">
        <v>46104</v>
      </c>
      <c r="C939" s="89" t="s">
        <v>48</v>
      </c>
      <c r="D939" s="89" t="s">
        <v>49</v>
      </c>
      <c r="E939" s="90">
        <v>742407411</v>
      </c>
      <c r="F939" s="184" t="s">
        <v>2803</v>
      </c>
      <c r="G939" s="91">
        <v>52790169772</v>
      </c>
      <c r="H939" s="92">
        <v>21298</v>
      </c>
      <c r="I939" s="89">
        <v>67</v>
      </c>
      <c r="J939" s="89" t="s">
        <v>70</v>
      </c>
      <c r="K939" s="89" t="s">
        <v>88</v>
      </c>
      <c r="L939" s="89" t="s">
        <v>97</v>
      </c>
      <c r="M939" s="89" t="s">
        <v>1813</v>
      </c>
      <c r="N939" s="89" t="s">
        <v>237</v>
      </c>
      <c r="O939" s="93" t="s">
        <v>2804</v>
      </c>
      <c r="P939" s="94" t="s">
        <v>57</v>
      </c>
      <c r="Q939" s="112" t="s">
        <v>2211</v>
      </c>
      <c r="R939" s="95"/>
      <c r="S939" s="96">
        <v>46164</v>
      </c>
      <c r="T939" s="96" t="s">
        <v>2212</v>
      </c>
      <c r="U939" s="96" t="s">
        <v>79</v>
      </c>
      <c r="V939" s="92">
        <v>46112</v>
      </c>
      <c r="W939" s="92">
        <v>46147</v>
      </c>
      <c r="X939" s="92">
        <v>46154</v>
      </c>
      <c r="Y939" s="97"/>
      <c r="Z939" s="89"/>
      <c r="AA939" s="96"/>
      <c r="AB939" s="89"/>
      <c r="AC939" s="111"/>
      <c r="AD939" s="89"/>
      <c r="AE939" s="89"/>
      <c r="AF939" s="98"/>
      <c r="AG939" s="98"/>
      <c r="AH939" s="98"/>
      <c r="AI939" s="99"/>
      <c r="AJ939" s="99"/>
      <c r="AK939" s="99"/>
      <c r="AL939" s="45" t="s">
        <v>68</v>
      </c>
      <c r="AM939" s="162" t="str">
        <f t="shared" si="112"/>
        <v>3/2026</v>
      </c>
      <c r="AN939" s="45">
        <f t="shared" si="113"/>
        <v>4</v>
      </c>
      <c r="AO939" s="45" t="str">
        <f t="shared" si="114"/>
        <v>1/1900</v>
      </c>
      <c r="AP939" s="45" t="e">
        <f t="shared" si="115"/>
        <v>#NUM!</v>
      </c>
      <c r="AQ939" s="45">
        <f t="shared" si="116"/>
        <v>0</v>
      </c>
      <c r="AR939" s="45">
        <f t="shared" si="117"/>
        <v>0</v>
      </c>
      <c r="AS939" s="45">
        <f t="shared" si="118"/>
        <v>0</v>
      </c>
      <c r="AT939" s="45">
        <f t="shared" si="119"/>
        <v>0</v>
      </c>
      <c r="AU939" s="45" t="str">
        <f>_xlfn.XLOOKUP(U939,'Lista Suspensa'!$AA$20:$AA$23,'Lista Suspensa'!$AB$20:$AB$23,"N/A")</f>
        <v>S</v>
      </c>
    </row>
    <row r="940" spans="1:47" ht="12" hidden="1" customHeight="1" x14ac:dyDescent="0.3">
      <c r="A940" s="87" t="s">
        <v>47</v>
      </c>
      <c r="B940" s="88">
        <v>46104</v>
      </c>
      <c r="C940" s="89" t="s">
        <v>48</v>
      </c>
      <c r="D940" s="89" t="s">
        <v>49</v>
      </c>
      <c r="E940" s="90">
        <v>741301172</v>
      </c>
      <c r="F940" s="184" t="s">
        <v>2805</v>
      </c>
      <c r="G940" s="91">
        <v>34316566768</v>
      </c>
      <c r="H940" s="92">
        <v>20675</v>
      </c>
      <c r="I940" s="89">
        <v>69</v>
      </c>
      <c r="J940" s="89" t="s">
        <v>51</v>
      </c>
      <c r="K940" s="89" t="s">
        <v>88</v>
      </c>
      <c r="L940" s="89" t="s">
        <v>89</v>
      </c>
      <c r="M940" s="89" t="s">
        <v>1804</v>
      </c>
      <c r="N940" s="89" t="s">
        <v>237</v>
      </c>
      <c r="O940" s="93" t="s">
        <v>2806</v>
      </c>
      <c r="P940" s="94" t="s">
        <v>57</v>
      </c>
      <c r="Q940" s="112" t="s">
        <v>2211</v>
      </c>
      <c r="R940" s="95"/>
      <c r="S940" s="96">
        <v>46164</v>
      </c>
      <c r="T940" s="96" t="s">
        <v>2212</v>
      </c>
      <c r="U940" s="96" t="s">
        <v>79</v>
      </c>
      <c r="V940" s="92">
        <v>46128</v>
      </c>
      <c r="W940" s="92">
        <v>46147</v>
      </c>
      <c r="X940" s="92">
        <v>46154</v>
      </c>
      <c r="Y940" s="97"/>
      <c r="Z940" s="89"/>
      <c r="AA940" s="96"/>
      <c r="AB940" s="89"/>
      <c r="AC940" s="111"/>
      <c r="AD940" s="89"/>
      <c r="AE940" s="89"/>
      <c r="AF940" s="98"/>
      <c r="AG940" s="98"/>
      <c r="AH940" s="98"/>
      <c r="AI940" s="99"/>
      <c r="AJ940" s="99"/>
      <c r="AK940" s="99"/>
      <c r="AL940" s="45" t="s">
        <v>68</v>
      </c>
      <c r="AM940" s="162" t="str">
        <f t="shared" si="112"/>
        <v>3/2026</v>
      </c>
      <c r="AN940" s="45">
        <f t="shared" si="113"/>
        <v>4</v>
      </c>
      <c r="AO940" s="45" t="str">
        <f t="shared" si="114"/>
        <v>1/1900</v>
      </c>
      <c r="AP940" s="45" t="e">
        <f t="shared" si="115"/>
        <v>#NUM!</v>
      </c>
      <c r="AQ940" s="45">
        <f t="shared" si="116"/>
        <v>0</v>
      </c>
      <c r="AR940" s="45">
        <f t="shared" si="117"/>
        <v>0</v>
      </c>
      <c r="AS940" s="45">
        <f t="shared" si="118"/>
        <v>0</v>
      </c>
      <c r="AT940" s="45">
        <f t="shared" si="119"/>
        <v>0</v>
      </c>
      <c r="AU940" s="45" t="str">
        <f>_xlfn.XLOOKUP(U940,'Lista Suspensa'!$AA$20:$AA$23,'Lista Suspensa'!$AB$20:$AB$23,"N/A")</f>
        <v>S</v>
      </c>
    </row>
    <row r="941" spans="1:47" ht="12" hidden="1" customHeight="1" x14ac:dyDescent="0.3">
      <c r="A941" s="87" t="s">
        <v>47</v>
      </c>
      <c r="B941" s="88">
        <v>46104</v>
      </c>
      <c r="C941" s="89" t="s">
        <v>48</v>
      </c>
      <c r="D941" s="89" t="s">
        <v>49</v>
      </c>
      <c r="E941" s="90">
        <v>862509246</v>
      </c>
      <c r="F941" s="184" t="s">
        <v>2807</v>
      </c>
      <c r="G941" s="91">
        <v>7843181822</v>
      </c>
      <c r="H941" s="92">
        <v>20729</v>
      </c>
      <c r="I941" s="89">
        <v>69</v>
      </c>
      <c r="J941" s="89" t="s">
        <v>70</v>
      </c>
      <c r="K941" s="89" t="s">
        <v>52</v>
      </c>
      <c r="L941" s="89" t="s">
        <v>331</v>
      </c>
      <c r="M941" s="89" t="s">
        <v>2808</v>
      </c>
      <c r="N941" s="89" t="s">
        <v>237</v>
      </c>
      <c r="O941" s="93" t="s">
        <v>2809</v>
      </c>
      <c r="P941" s="94" t="s">
        <v>57</v>
      </c>
      <c r="Q941" s="112" t="s">
        <v>2211</v>
      </c>
      <c r="R941" s="95"/>
      <c r="S941" s="96">
        <v>46164</v>
      </c>
      <c r="T941" s="96" t="s">
        <v>2212</v>
      </c>
      <c r="U941" s="96" t="s">
        <v>79</v>
      </c>
      <c r="V941" s="92">
        <v>46147</v>
      </c>
      <c r="W941" s="92">
        <v>46154</v>
      </c>
      <c r="X941" s="92">
        <v>46160</v>
      </c>
      <c r="Y941" s="97"/>
      <c r="Z941" s="89"/>
      <c r="AA941" s="96"/>
      <c r="AB941" s="89"/>
      <c r="AC941" s="111"/>
      <c r="AD941" s="89"/>
      <c r="AE941" s="89"/>
      <c r="AF941" s="98"/>
      <c r="AG941" s="98"/>
      <c r="AH941" s="98"/>
      <c r="AI941" s="99"/>
      <c r="AJ941" s="99"/>
      <c r="AK941" s="99"/>
      <c r="AL941" s="45" t="s">
        <v>68</v>
      </c>
      <c r="AM941" s="162" t="str">
        <f t="shared" si="112"/>
        <v>3/2026</v>
      </c>
      <c r="AN941" s="45">
        <f t="shared" si="113"/>
        <v>4</v>
      </c>
      <c r="AO941" s="45" t="str">
        <f t="shared" si="114"/>
        <v>1/1900</v>
      </c>
      <c r="AP941" s="45" t="e">
        <f t="shared" si="115"/>
        <v>#NUM!</v>
      </c>
      <c r="AQ941" s="45">
        <f t="shared" si="116"/>
        <v>0</v>
      </c>
      <c r="AR941" s="45">
        <f t="shared" si="117"/>
        <v>0</v>
      </c>
      <c r="AS941" s="45">
        <f t="shared" si="118"/>
        <v>0</v>
      </c>
      <c r="AT941" s="45">
        <f t="shared" si="119"/>
        <v>0</v>
      </c>
      <c r="AU941" s="45" t="str">
        <f>_xlfn.XLOOKUP(U941,'Lista Suspensa'!$AA$20:$AA$23,'Lista Suspensa'!$AB$20:$AB$23,"N/A")</f>
        <v>S</v>
      </c>
    </row>
    <row r="942" spans="1:47" ht="12" hidden="1" customHeight="1" x14ac:dyDescent="0.3">
      <c r="A942" s="87" t="s">
        <v>47</v>
      </c>
      <c r="B942" s="88">
        <v>46104</v>
      </c>
      <c r="C942" s="89" t="s">
        <v>48</v>
      </c>
      <c r="D942" s="89" t="s">
        <v>49</v>
      </c>
      <c r="E942" s="90">
        <v>739399853</v>
      </c>
      <c r="F942" s="184" t="s">
        <v>2810</v>
      </c>
      <c r="G942" s="91">
        <v>32557426768</v>
      </c>
      <c r="H942" s="92">
        <v>18205</v>
      </c>
      <c r="I942" s="89">
        <v>76</v>
      </c>
      <c r="J942" s="89" t="s">
        <v>51</v>
      </c>
      <c r="K942" s="89" t="s">
        <v>88</v>
      </c>
      <c r="L942" s="89" t="s">
        <v>629</v>
      </c>
      <c r="M942" s="89" t="s">
        <v>2811</v>
      </c>
      <c r="N942" s="89" t="s">
        <v>237</v>
      </c>
      <c r="O942" s="93" t="s">
        <v>2812</v>
      </c>
      <c r="P942" s="94" t="s">
        <v>57</v>
      </c>
      <c r="Q942" s="112" t="s">
        <v>2211</v>
      </c>
      <c r="R942" s="95"/>
      <c r="S942" s="96">
        <v>46164</v>
      </c>
      <c r="T942" s="96" t="s">
        <v>2212</v>
      </c>
      <c r="U942" s="96" t="s">
        <v>79</v>
      </c>
      <c r="V942" s="92">
        <v>46147</v>
      </c>
      <c r="W942" s="92">
        <v>46154</v>
      </c>
      <c r="X942" s="92">
        <v>46160</v>
      </c>
      <c r="Y942" s="97"/>
      <c r="Z942" s="89"/>
      <c r="AA942" s="96"/>
      <c r="AB942" s="89"/>
      <c r="AC942" s="111"/>
      <c r="AD942" s="89"/>
      <c r="AE942" s="89"/>
      <c r="AF942" s="98"/>
      <c r="AG942" s="98"/>
      <c r="AH942" s="98"/>
      <c r="AI942" s="99"/>
      <c r="AJ942" s="99"/>
      <c r="AK942" s="99"/>
      <c r="AL942" s="45" t="s">
        <v>68</v>
      </c>
      <c r="AM942" s="162" t="str">
        <f t="shared" si="112"/>
        <v>3/2026</v>
      </c>
      <c r="AN942" s="45">
        <f t="shared" si="113"/>
        <v>4</v>
      </c>
      <c r="AO942" s="45" t="str">
        <f t="shared" si="114"/>
        <v>1/1900</v>
      </c>
      <c r="AP942" s="45" t="e">
        <f t="shared" si="115"/>
        <v>#NUM!</v>
      </c>
      <c r="AQ942" s="45">
        <f t="shared" si="116"/>
        <v>0</v>
      </c>
      <c r="AR942" s="45">
        <f t="shared" si="117"/>
        <v>0</v>
      </c>
      <c r="AS942" s="45">
        <f t="shared" si="118"/>
        <v>0</v>
      </c>
      <c r="AT942" s="45">
        <f t="shared" si="119"/>
        <v>0</v>
      </c>
      <c r="AU942" s="45" t="str">
        <f>_xlfn.XLOOKUP(U942,'Lista Suspensa'!$AA$20:$AA$23,'Lista Suspensa'!$AB$20:$AB$23,"N/A")</f>
        <v>S</v>
      </c>
    </row>
    <row r="943" spans="1:47" ht="12" hidden="1" customHeight="1" x14ac:dyDescent="0.3">
      <c r="A943" s="87" t="s">
        <v>47</v>
      </c>
      <c r="B943" s="88">
        <v>46104</v>
      </c>
      <c r="C943" s="89" t="s">
        <v>48</v>
      </c>
      <c r="D943" s="89" t="s">
        <v>49</v>
      </c>
      <c r="E943" s="90">
        <v>745176720</v>
      </c>
      <c r="F943" s="184" t="s">
        <v>2813</v>
      </c>
      <c r="G943" s="91">
        <v>39270955753</v>
      </c>
      <c r="H943" s="92">
        <v>14387</v>
      </c>
      <c r="I943" s="89">
        <v>86</v>
      </c>
      <c r="J943" s="89" t="s">
        <v>51</v>
      </c>
      <c r="K943" s="89" t="s">
        <v>88</v>
      </c>
      <c r="L943" s="89" t="s">
        <v>89</v>
      </c>
      <c r="M943" s="89" t="s">
        <v>1822</v>
      </c>
      <c r="N943" s="89" t="s">
        <v>237</v>
      </c>
      <c r="O943" s="93" t="s">
        <v>2814</v>
      </c>
      <c r="P943" s="94" t="s">
        <v>57</v>
      </c>
      <c r="Q943" s="112" t="s">
        <v>2211</v>
      </c>
      <c r="R943" s="95"/>
      <c r="S943" s="96">
        <v>46164</v>
      </c>
      <c r="T943" s="96" t="s">
        <v>2212</v>
      </c>
      <c r="U943" s="96" t="s">
        <v>79</v>
      </c>
      <c r="V943" s="92">
        <v>46147</v>
      </c>
      <c r="W943" s="92">
        <v>46154</v>
      </c>
      <c r="X943" s="92">
        <v>46160</v>
      </c>
      <c r="Y943" s="97"/>
      <c r="Z943" s="89"/>
      <c r="AA943" s="96"/>
      <c r="AB943" s="89"/>
      <c r="AC943" s="111"/>
      <c r="AD943" s="89"/>
      <c r="AE943" s="89"/>
      <c r="AF943" s="98"/>
      <c r="AG943" s="98"/>
      <c r="AH943" s="98"/>
      <c r="AI943" s="99"/>
      <c r="AJ943" s="99"/>
      <c r="AK943" s="99"/>
      <c r="AL943" s="45" t="s">
        <v>68</v>
      </c>
      <c r="AM943" s="162" t="str">
        <f t="shared" si="112"/>
        <v>3/2026</v>
      </c>
      <c r="AN943" s="45">
        <f t="shared" si="113"/>
        <v>4</v>
      </c>
      <c r="AO943" s="45" t="str">
        <f t="shared" si="114"/>
        <v>1/1900</v>
      </c>
      <c r="AP943" s="45" t="e">
        <f t="shared" si="115"/>
        <v>#NUM!</v>
      </c>
      <c r="AQ943" s="45">
        <f t="shared" si="116"/>
        <v>0</v>
      </c>
      <c r="AR943" s="45">
        <f t="shared" si="117"/>
        <v>0</v>
      </c>
      <c r="AS943" s="45">
        <f t="shared" si="118"/>
        <v>0</v>
      </c>
      <c r="AT943" s="45">
        <f t="shared" si="119"/>
        <v>0</v>
      </c>
      <c r="AU943" s="45" t="str">
        <f>_xlfn.XLOOKUP(U943,'Lista Suspensa'!$AA$20:$AA$23,'Lista Suspensa'!$AB$20:$AB$23,"N/A")</f>
        <v>S</v>
      </c>
    </row>
    <row r="944" spans="1:47" ht="12" hidden="1" customHeight="1" x14ac:dyDescent="0.3">
      <c r="A944" s="87" t="s">
        <v>47</v>
      </c>
      <c r="B944" s="88">
        <v>46104</v>
      </c>
      <c r="C944" s="89" t="s">
        <v>48</v>
      </c>
      <c r="D944" s="89" t="s">
        <v>49</v>
      </c>
      <c r="E944" s="90">
        <v>741323567</v>
      </c>
      <c r="F944" s="184" t="s">
        <v>2815</v>
      </c>
      <c r="G944" s="91">
        <v>89471431700</v>
      </c>
      <c r="H944" s="92">
        <v>18976</v>
      </c>
      <c r="I944" s="89">
        <v>74</v>
      </c>
      <c r="J944" s="89" t="s">
        <v>70</v>
      </c>
      <c r="K944" s="89" t="s">
        <v>88</v>
      </c>
      <c r="L944" s="89" t="s">
        <v>89</v>
      </c>
      <c r="M944" s="89" t="s">
        <v>136</v>
      </c>
      <c r="N944" s="89" t="s">
        <v>237</v>
      </c>
      <c r="O944" s="93" t="s">
        <v>2816</v>
      </c>
      <c r="P944" s="94" t="s">
        <v>57</v>
      </c>
      <c r="Q944" s="112" t="s">
        <v>2211</v>
      </c>
      <c r="R944" s="95"/>
      <c r="S944" s="96">
        <v>46164</v>
      </c>
      <c r="T944" s="96" t="s">
        <v>2212</v>
      </c>
      <c r="U944" s="96" t="s">
        <v>79</v>
      </c>
      <c r="V944" s="92">
        <v>46147</v>
      </c>
      <c r="W944" s="92">
        <v>46154</v>
      </c>
      <c r="X944" s="92">
        <v>46160</v>
      </c>
      <c r="Y944" s="97"/>
      <c r="Z944" s="89"/>
      <c r="AA944" s="96"/>
      <c r="AB944" s="89"/>
      <c r="AC944" s="111"/>
      <c r="AD944" s="89"/>
      <c r="AE944" s="89"/>
      <c r="AF944" s="98"/>
      <c r="AG944" s="98"/>
      <c r="AH944" s="98"/>
      <c r="AI944" s="99"/>
      <c r="AJ944" s="99"/>
      <c r="AK944" s="99"/>
      <c r="AL944" s="45" t="s">
        <v>68</v>
      </c>
      <c r="AM944" s="162" t="str">
        <f t="shared" si="112"/>
        <v>3/2026</v>
      </c>
      <c r="AN944" s="45">
        <f t="shared" si="113"/>
        <v>4</v>
      </c>
      <c r="AO944" s="45" t="str">
        <f t="shared" si="114"/>
        <v>1/1900</v>
      </c>
      <c r="AP944" s="45" t="e">
        <f t="shared" si="115"/>
        <v>#NUM!</v>
      </c>
      <c r="AQ944" s="45">
        <f t="shared" si="116"/>
        <v>0</v>
      </c>
      <c r="AR944" s="45">
        <f t="shared" si="117"/>
        <v>0</v>
      </c>
      <c r="AS944" s="45">
        <f t="shared" si="118"/>
        <v>0</v>
      </c>
      <c r="AT944" s="45">
        <f t="shared" si="119"/>
        <v>0</v>
      </c>
      <c r="AU944" s="45" t="str">
        <f>_xlfn.XLOOKUP(U944,'Lista Suspensa'!$AA$20:$AA$23,'Lista Suspensa'!$AB$20:$AB$23,"N/A")</f>
        <v>S</v>
      </c>
    </row>
    <row r="945" spans="1:47" ht="12" hidden="1" customHeight="1" x14ac:dyDescent="0.3">
      <c r="A945" s="87" t="s">
        <v>47</v>
      </c>
      <c r="B945" s="88">
        <v>46104</v>
      </c>
      <c r="C945" s="89" t="s">
        <v>48</v>
      </c>
      <c r="D945" s="89" t="s">
        <v>49</v>
      </c>
      <c r="E945" s="90">
        <v>747147833</v>
      </c>
      <c r="F945" s="184" t="s">
        <v>2817</v>
      </c>
      <c r="G945" s="91">
        <v>3586008716</v>
      </c>
      <c r="H945" s="92">
        <v>17229</v>
      </c>
      <c r="I945" s="89">
        <v>79</v>
      </c>
      <c r="J945" s="89" t="s">
        <v>70</v>
      </c>
      <c r="K945" s="89" t="s">
        <v>88</v>
      </c>
      <c r="L945" s="89" t="s">
        <v>89</v>
      </c>
      <c r="M945" s="89" t="s">
        <v>1098</v>
      </c>
      <c r="N945" s="89" t="s">
        <v>237</v>
      </c>
      <c r="O945" s="93" t="s">
        <v>2818</v>
      </c>
      <c r="P945" s="94" t="s">
        <v>57</v>
      </c>
      <c r="Q945" s="112" t="s">
        <v>2211</v>
      </c>
      <c r="R945" s="95"/>
      <c r="S945" s="96">
        <v>46164</v>
      </c>
      <c r="T945" s="96" t="s">
        <v>2212</v>
      </c>
      <c r="U945" s="96" t="s">
        <v>79</v>
      </c>
      <c r="V945" s="92">
        <v>46147</v>
      </c>
      <c r="W945" s="92">
        <v>46154</v>
      </c>
      <c r="X945" s="92">
        <v>46160</v>
      </c>
      <c r="Y945" s="97"/>
      <c r="Z945" s="89"/>
      <c r="AA945" s="96"/>
      <c r="AB945" s="89"/>
      <c r="AC945" s="111"/>
      <c r="AD945" s="89"/>
      <c r="AE945" s="89"/>
      <c r="AF945" s="98"/>
      <c r="AG945" s="98"/>
      <c r="AH945" s="98"/>
      <c r="AI945" s="99"/>
      <c r="AJ945" s="99"/>
      <c r="AK945" s="99"/>
      <c r="AL945" s="45" t="s">
        <v>68</v>
      </c>
      <c r="AM945" s="162" t="str">
        <f t="shared" si="112"/>
        <v>3/2026</v>
      </c>
      <c r="AN945" s="45">
        <f t="shared" si="113"/>
        <v>4</v>
      </c>
      <c r="AO945" s="45" t="str">
        <f t="shared" si="114"/>
        <v>1/1900</v>
      </c>
      <c r="AP945" s="45" t="e">
        <f t="shared" si="115"/>
        <v>#NUM!</v>
      </c>
      <c r="AQ945" s="45">
        <f t="shared" si="116"/>
        <v>0</v>
      </c>
      <c r="AR945" s="45">
        <f t="shared" si="117"/>
        <v>0</v>
      </c>
      <c r="AS945" s="45">
        <f t="shared" si="118"/>
        <v>0</v>
      </c>
      <c r="AT945" s="45">
        <f t="shared" si="119"/>
        <v>0</v>
      </c>
      <c r="AU945" s="45" t="str">
        <f>_xlfn.XLOOKUP(U945,'Lista Suspensa'!$AA$20:$AA$23,'Lista Suspensa'!$AB$20:$AB$23,"N/A")</f>
        <v>S</v>
      </c>
    </row>
    <row r="946" spans="1:47" ht="12" hidden="1" customHeight="1" x14ac:dyDescent="0.3">
      <c r="A946" s="87" t="s">
        <v>47</v>
      </c>
      <c r="B946" s="88">
        <v>46104</v>
      </c>
      <c r="C946" s="89" t="s">
        <v>48</v>
      </c>
      <c r="D946" s="89" t="s">
        <v>49</v>
      </c>
      <c r="E946" s="90">
        <v>437292444</v>
      </c>
      <c r="F946" s="184" t="s">
        <v>2819</v>
      </c>
      <c r="G946" s="91">
        <v>63991578700</v>
      </c>
      <c r="H946" s="92">
        <v>21989</v>
      </c>
      <c r="I946" s="89">
        <v>66</v>
      </c>
      <c r="J946" s="89" t="s">
        <v>70</v>
      </c>
      <c r="K946" s="89" t="s">
        <v>88</v>
      </c>
      <c r="L946" s="89" t="s">
        <v>629</v>
      </c>
      <c r="M946" s="89" t="s">
        <v>2820</v>
      </c>
      <c r="N946" s="89" t="s">
        <v>237</v>
      </c>
      <c r="O946" s="93" t="s">
        <v>2821</v>
      </c>
      <c r="P946" s="94" t="s">
        <v>57</v>
      </c>
      <c r="Q946" s="112" t="s">
        <v>2211</v>
      </c>
      <c r="R946" s="95"/>
      <c r="S946" s="96">
        <v>46164</v>
      </c>
      <c r="T946" s="96" t="s">
        <v>2212</v>
      </c>
      <c r="U946" s="96" t="s">
        <v>79</v>
      </c>
      <c r="V946" s="92">
        <v>46112</v>
      </c>
      <c r="W946" s="92">
        <v>46147</v>
      </c>
      <c r="X946" s="92">
        <v>46154</v>
      </c>
      <c r="Y946" s="97"/>
      <c r="Z946" s="89"/>
      <c r="AA946" s="96"/>
      <c r="AB946" s="89"/>
      <c r="AC946" s="111"/>
      <c r="AD946" s="89"/>
      <c r="AE946" s="89"/>
      <c r="AF946" s="98"/>
      <c r="AG946" s="98"/>
      <c r="AH946" s="98"/>
      <c r="AI946" s="99"/>
      <c r="AJ946" s="99"/>
      <c r="AK946" s="99"/>
      <c r="AL946" s="45" t="s">
        <v>68</v>
      </c>
      <c r="AM946" s="162" t="str">
        <f t="shared" si="112"/>
        <v>3/2026</v>
      </c>
      <c r="AN946" s="45">
        <f t="shared" si="113"/>
        <v>4</v>
      </c>
      <c r="AO946" s="45" t="str">
        <f t="shared" si="114"/>
        <v>1/1900</v>
      </c>
      <c r="AP946" s="45" t="e">
        <f t="shared" si="115"/>
        <v>#NUM!</v>
      </c>
      <c r="AQ946" s="45">
        <f t="shared" si="116"/>
        <v>0</v>
      </c>
      <c r="AR946" s="45">
        <f t="shared" si="117"/>
        <v>0</v>
      </c>
      <c r="AS946" s="45">
        <f t="shared" si="118"/>
        <v>0</v>
      </c>
      <c r="AT946" s="45">
        <f t="shared" si="119"/>
        <v>0</v>
      </c>
      <c r="AU946" s="45" t="str">
        <f>_xlfn.XLOOKUP(U946,'Lista Suspensa'!$AA$20:$AA$23,'Lista Suspensa'!$AB$20:$AB$23,"N/A")</f>
        <v>S</v>
      </c>
    </row>
    <row r="947" spans="1:47" ht="12" hidden="1" customHeight="1" x14ac:dyDescent="0.3">
      <c r="A947" s="87" t="s">
        <v>47</v>
      </c>
      <c r="B947" s="88">
        <v>46104</v>
      </c>
      <c r="C947" s="89" t="s">
        <v>48</v>
      </c>
      <c r="D947" s="89" t="s">
        <v>49</v>
      </c>
      <c r="E947" s="90">
        <v>742386937</v>
      </c>
      <c r="F947" s="184" t="s">
        <v>2822</v>
      </c>
      <c r="G947" s="91">
        <v>42510660730</v>
      </c>
      <c r="H947" s="92">
        <v>13669</v>
      </c>
      <c r="I947" s="89">
        <v>88</v>
      </c>
      <c r="J947" s="89" t="s">
        <v>70</v>
      </c>
      <c r="K947" s="89" t="s">
        <v>88</v>
      </c>
      <c r="L947" s="89" t="s">
        <v>89</v>
      </c>
      <c r="M947" s="89" t="s">
        <v>1169</v>
      </c>
      <c r="N947" s="89" t="s">
        <v>237</v>
      </c>
      <c r="O947" s="93" t="s">
        <v>2823</v>
      </c>
      <c r="P947" s="94" t="s">
        <v>57</v>
      </c>
      <c r="Q947" s="112" t="s">
        <v>2211</v>
      </c>
      <c r="R947" s="95"/>
      <c r="S947" s="96">
        <v>46164</v>
      </c>
      <c r="T947" s="96" t="s">
        <v>2212</v>
      </c>
      <c r="U947" s="96" t="s">
        <v>79</v>
      </c>
      <c r="V947" s="92">
        <v>46147</v>
      </c>
      <c r="W947" s="92">
        <v>46154</v>
      </c>
      <c r="X947" s="92">
        <v>46160</v>
      </c>
      <c r="Y947" s="97"/>
      <c r="Z947" s="89"/>
      <c r="AA947" s="96"/>
      <c r="AB947" s="89"/>
      <c r="AC947" s="111"/>
      <c r="AD947" s="89"/>
      <c r="AE947" s="89"/>
      <c r="AF947" s="98"/>
      <c r="AG947" s="98"/>
      <c r="AH947" s="98"/>
      <c r="AI947" s="99"/>
      <c r="AJ947" s="99"/>
      <c r="AK947" s="99"/>
      <c r="AL947" s="45" t="s">
        <v>68</v>
      </c>
      <c r="AM947" s="162" t="str">
        <f t="shared" si="112"/>
        <v>3/2026</v>
      </c>
      <c r="AN947" s="45">
        <f t="shared" si="113"/>
        <v>4</v>
      </c>
      <c r="AO947" s="45" t="str">
        <f t="shared" si="114"/>
        <v>1/1900</v>
      </c>
      <c r="AP947" s="45" t="e">
        <f t="shared" si="115"/>
        <v>#NUM!</v>
      </c>
      <c r="AQ947" s="45">
        <f t="shared" si="116"/>
        <v>0</v>
      </c>
      <c r="AR947" s="45">
        <f t="shared" si="117"/>
        <v>0</v>
      </c>
      <c r="AS947" s="45">
        <f t="shared" si="118"/>
        <v>0</v>
      </c>
      <c r="AT947" s="45">
        <f t="shared" si="119"/>
        <v>0</v>
      </c>
      <c r="AU947" s="45" t="str">
        <f>_xlfn.XLOOKUP(U947,'Lista Suspensa'!$AA$20:$AA$23,'Lista Suspensa'!$AB$20:$AB$23,"N/A")</f>
        <v>S</v>
      </c>
    </row>
    <row r="948" spans="1:47" ht="12" hidden="1" customHeight="1" x14ac:dyDescent="0.3">
      <c r="A948" s="87" t="s">
        <v>47</v>
      </c>
      <c r="B948" s="88">
        <v>46104</v>
      </c>
      <c r="C948" s="89" t="s">
        <v>48</v>
      </c>
      <c r="D948" s="89" t="s">
        <v>49</v>
      </c>
      <c r="E948" s="90">
        <v>94956359</v>
      </c>
      <c r="F948" s="184" t="s">
        <v>2824</v>
      </c>
      <c r="G948" s="91">
        <v>35628642720</v>
      </c>
      <c r="H948" s="92">
        <v>17021</v>
      </c>
      <c r="I948" s="89">
        <v>79</v>
      </c>
      <c r="J948" s="89" t="s">
        <v>51</v>
      </c>
      <c r="K948" s="89" t="s">
        <v>52</v>
      </c>
      <c r="L948" s="89" t="s">
        <v>53</v>
      </c>
      <c r="M948" s="89" t="s">
        <v>280</v>
      </c>
      <c r="N948" s="89" t="s">
        <v>102</v>
      </c>
      <c r="O948" s="93" t="s">
        <v>2825</v>
      </c>
      <c r="P948" s="94" t="s">
        <v>57</v>
      </c>
      <c r="Q948" s="112" t="s">
        <v>2211</v>
      </c>
      <c r="R948" s="95"/>
      <c r="S948" s="96">
        <v>46164</v>
      </c>
      <c r="T948" s="96" t="s">
        <v>2212</v>
      </c>
      <c r="U948" s="96" t="s">
        <v>79</v>
      </c>
      <c r="V948" s="92">
        <v>46147</v>
      </c>
      <c r="W948" s="92">
        <v>46154</v>
      </c>
      <c r="X948" s="92">
        <v>46160</v>
      </c>
      <c r="Y948" s="97"/>
      <c r="Z948" s="89"/>
      <c r="AA948" s="96"/>
      <c r="AB948" s="89"/>
      <c r="AC948" s="111"/>
      <c r="AD948" s="89"/>
      <c r="AE948" s="89"/>
      <c r="AF948" s="98"/>
      <c r="AG948" s="98"/>
      <c r="AH948" s="98"/>
      <c r="AI948" s="99"/>
      <c r="AJ948" s="99"/>
      <c r="AK948" s="99"/>
      <c r="AL948" s="45" t="s">
        <v>68</v>
      </c>
      <c r="AM948" s="162" t="str">
        <f t="shared" si="112"/>
        <v>3/2026</v>
      </c>
      <c r="AN948" s="45">
        <f t="shared" si="113"/>
        <v>4</v>
      </c>
      <c r="AO948" s="45" t="str">
        <f t="shared" si="114"/>
        <v>1/1900</v>
      </c>
      <c r="AP948" s="45" t="e">
        <f t="shared" si="115"/>
        <v>#NUM!</v>
      </c>
      <c r="AQ948" s="45">
        <f t="shared" si="116"/>
        <v>0</v>
      </c>
      <c r="AR948" s="45">
        <f t="shared" si="117"/>
        <v>0</v>
      </c>
      <c r="AS948" s="45">
        <f t="shared" si="118"/>
        <v>0</v>
      </c>
      <c r="AT948" s="45">
        <f t="shared" si="119"/>
        <v>0</v>
      </c>
      <c r="AU948" s="45" t="str">
        <f>_xlfn.XLOOKUP(U948,'Lista Suspensa'!$AA$20:$AA$23,'Lista Suspensa'!$AB$20:$AB$23,"N/A")</f>
        <v>S</v>
      </c>
    </row>
    <row r="949" spans="1:47" ht="12" hidden="1" customHeight="1" x14ac:dyDescent="0.3">
      <c r="A949" s="87" t="s">
        <v>47</v>
      </c>
      <c r="B949" s="88">
        <v>46104</v>
      </c>
      <c r="C949" s="89" t="s">
        <v>48</v>
      </c>
      <c r="D949" s="89" t="s">
        <v>49</v>
      </c>
      <c r="E949" s="90">
        <v>78738333</v>
      </c>
      <c r="F949" s="184" t="s">
        <v>2826</v>
      </c>
      <c r="G949" s="91">
        <v>98695827887</v>
      </c>
      <c r="H949" s="92">
        <v>21295</v>
      </c>
      <c r="I949" s="89">
        <v>67</v>
      </c>
      <c r="J949" s="89" t="s">
        <v>51</v>
      </c>
      <c r="K949" s="89" t="s">
        <v>52</v>
      </c>
      <c r="L949" s="89" t="s">
        <v>53</v>
      </c>
      <c r="M949" s="89" t="s">
        <v>1792</v>
      </c>
      <c r="N949" s="89" t="s">
        <v>102</v>
      </c>
      <c r="O949" s="93" t="s">
        <v>2827</v>
      </c>
      <c r="P949" s="94" t="s">
        <v>57</v>
      </c>
      <c r="Q949" s="112" t="s">
        <v>2828</v>
      </c>
      <c r="R949" s="95"/>
      <c r="S949" s="96">
        <v>46140</v>
      </c>
      <c r="T949" s="96" t="s">
        <v>59</v>
      </c>
      <c r="U949" s="96" t="s">
        <v>79</v>
      </c>
      <c r="V949" s="92">
        <v>46140</v>
      </c>
      <c r="W949" s="92"/>
      <c r="X949" s="92"/>
      <c r="Y949" s="97"/>
      <c r="Z949" s="89"/>
      <c r="AA949" s="96"/>
      <c r="AB949" s="89"/>
      <c r="AC949" s="111"/>
      <c r="AD949" s="89"/>
      <c r="AE949" s="89"/>
      <c r="AF949" s="98"/>
      <c r="AG949" s="98"/>
      <c r="AH949" s="98"/>
      <c r="AI949" s="99"/>
      <c r="AJ949" s="99"/>
      <c r="AK949" s="99"/>
      <c r="AL949" s="45" t="s">
        <v>68</v>
      </c>
      <c r="AM949" s="162" t="str">
        <f t="shared" si="112"/>
        <v>3/2026</v>
      </c>
      <c r="AN949" s="45">
        <f t="shared" si="113"/>
        <v>4</v>
      </c>
      <c r="AO949" s="45" t="str">
        <f t="shared" si="114"/>
        <v>1/1900</v>
      </c>
      <c r="AP949" s="45" t="e">
        <f t="shared" si="115"/>
        <v>#NUM!</v>
      </c>
      <c r="AQ949" s="45">
        <f t="shared" si="116"/>
        <v>0</v>
      </c>
      <c r="AR949" s="45">
        <f t="shared" si="117"/>
        <v>0</v>
      </c>
      <c r="AS949" s="45">
        <f t="shared" si="118"/>
        <v>0</v>
      </c>
      <c r="AT949" s="45">
        <f t="shared" si="119"/>
        <v>0</v>
      </c>
      <c r="AU949" s="45" t="str">
        <f>_xlfn.XLOOKUP(U949,'Lista Suspensa'!$AA$20:$AA$23,'Lista Suspensa'!$AB$20:$AB$23,"N/A")</f>
        <v>S</v>
      </c>
    </row>
    <row r="950" spans="1:47" ht="12" hidden="1" customHeight="1" x14ac:dyDescent="0.3">
      <c r="A950" s="87" t="s">
        <v>47</v>
      </c>
      <c r="B950" s="88">
        <v>46104</v>
      </c>
      <c r="C950" s="89" t="s">
        <v>48</v>
      </c>
      <c r="D950" s="89" t="s">
        <v>49</v>
      </c>
      <c r="E950" s="90">
        <v>92833751</v>
      </c>
      <c r="F950" s="184" t="s">
        <v>2829</v>
      </c>
      <c r="G950" s="91">
        <v>4296733702</v>
      </c>
      <c r="H950" s="92">
        <v>26711</v>
      </c>
      <c r="I950" s="89">
        <v>53</v>
      </c>
      <c r="J950" s="89" t="s">
        <v>51</v>
      </c>
      <c r="K950" s="89" t="s">
        <v>88</v>
      </c>
      <c r="L950" s="89" t="s">
        <v>89</v>
      </c>
      <c r="M950" s="89" t="s">
        <v>384</v>
      </c>
      <c r="N950" s="89" t="s">
        <v>102</v>
      </c>
      <c r="O950" s="93" t="s">
        <v>2830</v>
      </c>
      <c r="P950" s="94" t="s">
        <v>57</v>
      </c>
      <c r="Q950" s="112" t="s">
        <v>2211</v>
      </c>
      <c r="R950" s="95"/>
      <c r="S950" s="96">
        <v>46164</v>
      </c>
      <c r="T950" s="96" t="s">
        <v>2212</v>
      </c>
      <c r="U950" s="96" t="s">
        <v>79</v>
      </c>
      <c r="V950" s="92">
        <v>46147</v>
      </c>
      <c r="W950" s="92">
        <v>46154</v>
      </c>
      <c r="X950" s="92">
        <v>46160</v>
      </c>
      <c r="Y950" s="97"/>
      <c r="Z950" s="89"/>
      <c r="AA950" s="96"/>
      <c r="AB950" s="89"/>
      <c r="AC950" s="111"/>
      <c r="AD950" s="89"/>
      <c r="AE950" s="89"/>
      <c r="AF950" s="98"/>
      <c r="AG950" s="98"/>
      <c r="AH950" s="98"/>
      <c r="AI950" s="99"/>
      <c r="AJ950" s="99"/>
      <c r="AK950" s="99"/>
      <c r="AL950" s="45" t="s">
        <v>68</v>
      </c>
      <c r="AM950" s="162" t="str">
        <f t="shared" si="112"/>
        <v>3/2026</v>
      </c>
      <c r="AN950" s="45">
        <f t="shared" si="113"/>
        <v>4</v>
      </c>
      <c r="AO950" s="45" t="str">
        <f t="shared" si="114"/>
        <v>1/1900</v>
      </c>
      <c r="AP950" s="45" t="e">
        <f t="shared" si="115"/>
        <v>#NUM!</v>
      </c>
      <c r="AQ950" s="45">
        <f t="shared" si="116"/>
        <v>0</v>
      </c>
      <c r="AR950" s="45">
        <f t="shared" si="117"/>
        <v>0</v>
      </c>
      <c r="AS950" s="45">
        <f t="shared" si="118"/>
        <v>0</v>
      </c>
      <c r="AT950" s="45">
        <f t="shared" si="119"/>
        <v>0</v>
      </c>
      <c r="AU950" s="45" t="str">
        <f>_xlfn.XLOOKUP(U950,'Lista Suspensa'!$AA$20:$AA$23,'Lista Suspensa'!$AB$20:$AB$23,"N/A")</f>
        <v>S</v>
      </c>
    </row>
    <row r="951" spans="1:47" ht="12" hidden="1" customHeight="1" x14ac:dyDescent="0.3">
      <c r="A951" s="87" t="s">
        <v>47</v>
      </c>
      <c r="B951" s="88">
        <v>46104</v>
      </c>
      <c r="C951" s="89" t="s">
        <v>48</v>
      </c>
      <c r="D951" s="89" t="s">
        <v>49</v>
      </c>
      <c r="E951" s="90">
        <v>87034946</v>
      </c>
      <c r="F951" s="184" t="s">
        <v>2831</v>
      </c>
      <c r="G951" s="91">
        <v>7010425752</v>
      </c>
      <c r="H951" s="92">
        <v>27577</v>
      </c>
      <c r="I951" s="89">
        <v>50</v>
      </c>
      <c r="J951" s="89" t="s">
        <v>51</v>
      </c>
      <c r="K951" s="89" t="s">
        <v>88</v>
      </c>
      <c r="L951" s="89" t="s">
        <v>89</v>
      </c>
      <c r="M951" s="89" t="s">
        <v>2832</v>
      </c>
      <c r="N951" s="89" t="s">
        <v>102</v>
      </c>
      <c r="O951" s="93" t="s">
        <v>2833</v>
      </c>
      <c r="P951" s="94" t="s">
        <v>57</v>
      </c>
      <c r="Q951" s="112" t="s">
        <v>2211</v>
      </c>
      <c r="R951" s="95"/>
      <c r="S951" s="96">
        <v>46164</v>
      </c>
      <c r="T951" s="96" t="s">
        <v>2212</v>
      </c>
      <c r="U951" s="96" t="s">
        <v>79</v>
      </c>
      <c r="V951" s="92">
        <v>46147</v>
      </c>
      <c r="W951" s="92">
        <v>46154</v>
      </c>
      <c r="X951" s="92">
        <v>46160</v>
      </c>
      <c r="Y951" s="97"/>
      <c r="Z951" s="89"/>
      <c r="AA951" s="96"/>
      <c r="AB951" s="89"/>
      <c r="AC951" s="111"/>
      <c r="AD951" s="89"/>
      <c r="AE951" s="89"/>
      <c r="AF951" s="98"/>
      <c r="AG951" s="98"/>
      <c r="AH951" s="98"/>
      <c r="AI951" s="99"/>
      <c r="AJ951" s="99"/>
      <c r="AK951" s="99"/>
      <c r="AL951" s="45" t="s">
        <v>68</v>
      </c>
      <c r="AM951" s="162" t="str">
        <f t="shared" si="112"/>
        <v>3/2026</v>
      </c>
      <c r="AN951" s="45">
        <f t="shared" si="113"/>
        <v>4</v>
      </c>
      <c r="AO951" s="45" t="str">
        <f t="shared" si="114"/>
        <v>1/1900</v>
      </c>
      <c r="AP951" s="45" t="e">
        <f t="shared" si="115"/>
        <v>#NUM!</v>
      </c>
      <c r="AQ951" s="45">
        <f t="shared" si="116"/>
        <v>0</v>
      </c>
      <c r="AR951" s="45">
        <f t="shared" si="117"/>
        <v>0</v>
      </c>
      <c r="AS951" s="45">
        <f t="shared" si="118"/>
        <v>0</v>
      </c>
      <c r="AT951" s="45">
        <f t="shared" si="119"/>
        <v>0</v>
      </c>
      <c r="AU951" s="45" t="str">
        <f>_xlfn.XLOOKUP(U951,'Lista Suspensa'!$AA$20:$AA$23,'Lista Suspensa'!$AB$20:$AB$23,"N/A")</f>
        <v>S</v>
      </c>
    </row>
    <row r="952" spans="1:47" ht="12" hidden="1" customHeight="1" x14ac:dyDescent="0.3">
      <c r="A952" s="87" t="s">
        <v>47</v>
      </c>
      <c r="B952" s="88">
        <v>46104</v>
      </c>
      <c r="C952" s="89" t="s">
        <v>48</v>
      </c>
      <c r="D952" s="89" t="s">
        <v>49</v>
      </c>
      <c r="E952" s="90">
        <v>82010587</v>
      </c>
      <c r="F952" s="184" t="s">
        <v>2834</v>
      </c>
      <c r="G952" s="91">
        <v>3372627725</v>
      </c>
      <c r="H952" s="92">
        <v>26452</v>
      </c>
      <c r="I952" s="89">
        <v>53</v>
      </c>
      <c r="J952" s="89" t="s">
        <v>70</v>
      </c>
      <c r="K952" s="89" t="s">
        <v>88</v>
      </c>
      <c r="L952" s="89" t="s">
        <v>231</v>
      </c>
      <c r="M952" s="89" t="s">
        <v>2835</v>
      </c>
      <c r="N952" s="89" t="s">
        <v>102</v>
      </c>
      <c r="O952" s="93" t="s">
        <v>2836</v>
      </c>
      <c r="P952" s="94" t="s">
        <v>57</v>
      </c>
      <c r="Q952" s="112" t="s">
        <v>2211</v>
      </c>
      <c r="R952" s="95"/>
      <c r="S952" s="96">
        <v>46164</v>
      </c>
      <c r="T952" s="96" t="s">
        <v>2212</v>
      </c>
      <c r="U952" s="96" t="s">
        <v>79</v>
      </c>
      <c r="V952" s="92">
        <v>46147</v>
      </c>
      <c r="W952" s="92">
        <v>46154</v>
      </c>
      <c r="X952" s="92">
        <v>46160</v>
      </c>
      <c r="Y952" s="97"/>
      <c r="Z952" s="89"/>
      <c r="AA952" s="96"/>
      <c r="AB952" s="89"/>
      <c r="AC952" s="111"/>
      <c r="AD952" s="89"/>
      <c r="AE952" s="89"/>
      <c r="AF952" s="98"/>
      <c r="AG952" s="98"/>
      <c r="AH952" s="98"/>
      <c r="AI952" s="99"/>
      <c r="AJ952" s="99"/>
      <c r="AK952" s="99"/>
      <c r="AL952" s="45" t="s">
        <v>68</v>
      </c>
      <c r="AM952" s="162" t="str">
        <f t="shared" si="112"/>
        <v>3/2026</v>
      </c>
      <c r="AN952" s="45">
        <f t="shared" si="113"/>
        <v>4</v>
      </c>
      <c r="AO952" s="45" t="str">
        <f t="shared" si="114"/>
        <v>1/1900</v>
      </c>
      <c r="AP952" s="45" t="e">
        <f t="shared" si="115"/>
        <v>#NUM!</v>
      </c>
      <c r="AQ952" s="45">
        <f t="shared" si="116"/>
        <v>0</v>
      </c>
      <c r="AR952" s="45">
        <f t="shared" si="117"/>
        <v>0</v>
      </c>
      <c r="AS952" s="45">
        <f t="shared" si="118"/>
        <v>0</v>
      </c>
      <c r="AT952" s="45">
        <f t="shared" si="119"/>
        <v>0</v>
      </c>
      <c r="AU952" s="45" t="str">
        <f>_xlfn.XLOOKUP(U952,'Lista Suspensa'!$AA$20:$AA$23,'Lista Suspensa'!$AB$20:$AB$23,"N/A")</f>
        <v>S</v>
      </c>
    </row>
    <row r="953" spans="1:47" ht="12" hidden="1" customHeight="1" x14ac:dyDescent="0.3">
      <c r="A953" s="87" t="s">
        <v>47</v>
      </c>
      <c r="B953" s="88">
        <v>46104</v>
      </c>
      <c r="C953" s="89" t="s">
        <v>48</v>
      </c>
      <c r="D953" s="89" t="s">
        <v>49</v>
      </c>
      <c r="E953" s="90">
        <v>87555117</v>
      </c>
      <c r="F953" s="184" t="s">
        <v>2837</v>
      </c>
      <c r="G953" s="91">
        <v>2142330738</v>
      </c>
      <c r="H953" s="92">
        <v>26727</v>
      </c>
      <c r="I953" s="89">
        <v>53</v>
      </c>
      <c r="J953" s="89" t="s">
        <v>51</v>
      </c>
      <c r="K953" s="89" t="s">
        <v>88</v>
      </c>
      <c r="L953" s="89" t="s">
        <v>89</v>
      </c>
      <c r="M953" s="89" t="s">
        <v>929</v>
      </c>
      <c r="N953" s="89" t="s">
        <v>102</v>
      </c>
      <c r="O953" s="93" t="s">
        <v>2838</v>
      </c>
      <c r="P953" s="94" t="s">
        <v>57</v>
      </c>
      <c r="Q953" s="112" t="s">
        <v>2211</v>
      </c>
      <c r="R953" s="95"/>
      <c r="S953" s="96">
        <v>46164</v>
      </c>
      <c r="T953" s="96" t="s">
        <v>2212</v>
      </c>
      <c r="U953" s="96" t="s">
        <v>79</v>
      </c>
      <c r="V953" s="92">
        <v>46147</v>
      </c>
      <c r="W953" s="92">
        <v>46154</v>
      </c>
      <c r="X953" s="92">
        <v>46160</v>
      </c>
      <c r="Y953" s="97"/>
      <c r="Z953" s="89"/>
      <c r="AA953" s="96"/>
      <c r="AB953" s="89"/>
      <c r="AC953" s="111"/>
      <c r="AD953" s="89"/>
      <c r="AE953" s="89"/>
      <c r="AF953" s="98"/>
      <c r="AG953" s="98"/>
      <c r="AH953" s="98"/>
      <c r="AI953" s="99"/>
      <c r="AJ953" s="99"/>
      <c r="AK953" s="99"/>
      <c r="AL953" s="45" t="s">
        <v>68</v>
      </c>
      <c r="AM953" s="162" t="str">
        <f t="shared" si="112"/>
        <v>3/2026</v>
      </c>
      <c r="AN953" s="45">
        <f t="shared" si="113"/>
        <v>4</v>
      </c>
      <c r="AO953" s="45" t="str">
        <f t="shared" si="114"/>
        <v>1/1900</v>
      </c>
      <c r="AP953" s="45" t="e">
        <f t="shared" si="115"/>
        <v>#NUM!</v>
      </c>
      <c r="AQ953" s="45">
        <f t="shared" si="116"/>
        <v>0</v>
      </c>
      <c r="AR953" s="45">
        <f t="shared" si="117"/>
        <v>0</v>
      </c>
      <c r="AS953" s="45">
        <f t="shared" si="118"/>
        <v>0</v>
      </c>
      <c r="AT953" s="45">
        <f t="shared" si="119"/>
        <v>0</v>
      </c>
      <c r="AU953" s="45" t="str">
        <f>_xlfn.XLOOKUP(U953,'Lista Suspensa'!$AA$20:$AA$23,'Lista Suspensa'!$AB$20:$AB$23,"N/A")</f>
        <v>S</v>
      </c>
    </row>
    <row r="954" spans="1:47" ht="12" hidden="1" customHeight="1" x14ac:dyDescent="0.3">
      <c r="A954" s="87" t="s">
        <v>47</v>
      </c>
      <c r="B954" s="88">
        <v>46104</v>
      </c>
      <c r="C954" s="89" t="s">
        <v>48</v>
      </c>
      <c r="D954" s="89" t="s">
        <v>49</v>
      </c>
      <c r="E954" s="90">
        <v>89018298</v>
      </c>
      <c r="F954" s="184" t="s">
        <v>2839</v>
      </c>
      <c r="G954" s="91">
        <v>96244933753</v>
      </c>
      <c r="H954" s="92">
        <v>24121</v>
      </c>
      <c r="I954" s="89">
        <v>60</v>
      </c>
      <c r="J954" s="89" t="s">
        <v>51</v>
      </c>
      <c r="K954" s="89" t="s">
        <v>88</v>
      </c>
      <c r="L954" s="89" t="s">
        <v>408</v>
      </c>
      <c r="M954" s="89" t="s">
        <v>2840</v>
      </c>
      <c r="N954" s="89" t="s">
        <v>102</v>
      </c>
      <c r="O954" s="93" t="s">
        <v>2634</v>
      </c>
      <c r="P954" s="94" t="s">
        <v>57</v>
      </c>
      <c r="Q954" s="112" t="s">
        <v>2211</v>
      </c>
      <c r="R954" s="95"/>
      <c r="S954" s="96">
        <v>46164</v>
      </c>
      <c r="T954" s="96" t="s">
        <v>2212</v>
      </c>
      <c r="U954" s="96" t="s">
        <v>79</v>
      </c>
      <c r="V954" s="92">
        <v>46147</v>
      </c>
      <c r="W954" s="92">
        <v>46154</v>
      </c>
      <c r="X954" s="92">
        <v>46160</v>
      </c>
      <c r="Y954" s="97"/>
      <c r="Z954" s="89"/>
      <c r="AA954" s="96"/>
      <c r="AB954" s="89"/>
      <c r="AC954" s="111"/>
      <c r="AD954" s="89"/>
      <c r="AE954" s="89"/>
      <c r="AF954" s="98"/>
      <c r="AG954" s="98"/>
      <c r="AH954" s="98"/>
      <c r="AI954" s="99"/>
      <c r="AJ954" s="99"/>
      <c r="AK954" s="99"/>
      <c r="AL954" s="45" t="s">
        <v>68</v>
      </c>
      <c r="AM954" s="162" t="str">
        <f t="shared" si="112"/>
        <v>3/2026</v>
      </c>
      <c r="AN954" s="45">
        <f t="shared" si="113"/>
        <v>4</v>
      </c>
      <c r="AO954" s="45" t="str">
        <f t="shared" si="114"/>
        <v>1/1900</v>
      </c>
      <c r="AP954" s="45" t="e">
        <f t="shared" si="115"/>
        <v>#NUM!</v>
      </c>
      <c r="AQ954" s="45">
        <f t="shared" si="116"/>
        <v>0</v>
      </c>
      <c r="AR954" s="45">
        <f t="shared" si="117"/>
        <v>0</v>
      </c>
      <c r="AS954" s="45">
        <f t="shared" si="118"/>
        <v>0</v>
      </c>
      <c r="AT954" s="45">
        <f t="shared" si="119"/>
        <v>0</v>
      </c>
      <c r="AU954" s="45" t="str">
        <f>_xlfn.XLOOKUP(U954,'Lista Suspensa'!$AA$20:$AA$23,'Lista Suspensa'!$AB$20:$AB$23,"N/A")</f>
        <v>S</v>
      </c>
    </row>
    <row r="955" spans="1:47" ht="12" hidden="1" customHeight="1" x14ac:dyDescent="0.3">
      <c r="A955" s="87" t="s">
        <v>47</v>
      </c>
      <c r="B955" s="88">
        <v>46104</v>
      </c>
      <c r="C955" s="89" t="s">
        <v>48</v>
      </c>
      <c r="D955" s="89" t="s">
        <v>49</v>
      </c>
      <c r="E955" s="90">
        <v>94561453</v>
      </c>
      <c r="F955" s="184" t="s">
        <v>2841</v>
      </c>
      <c r="G955" s="91">
        <v>55879527387</v>
      </c>
      <c r="H955" s="92">
        <v>27437</v>
      </c>
      <c r="I955" s="89">
        <v>51</v>
      </c>
      <c r="J955" s="89" t="s">
        <v>70</v>
      </c>
      <c r="K955" s="89" t="s">
        <v>52</v>
      </c>
      <c r="L955" s="89" t="s">
        <v>331</v>
      </c>
      <c r="M955" s="89" t="s">
        <v>429</v>
      </c>
      <c r="N955" s="89" t="s">
        <v>102</v>
      </c>
      <c r="O955" s="93" t="s">
        <v>2842</v>
      </c>
      <c r="P955" s="94" t="s">
        <v>57</v>
      </c>
      <c r="Q955" s="112" t="s">
        <v>2211</v>
      </c>
      <c r="R955" s="95"/>
      <c r="S955" s="96">
        <v>46164</v>
      </c>
      <c r="T955" s="96" t="s">
        <v>2212</v>
      </c>
      <c r="U955" s="96" t="s">
        <v>79</v>
      </c>
      <c r="V955" s="92">
        <v>46147</v>
      </c>
      <c r="W955" s="92">
        <v>46154</v>
      </c>
      <c r="X955" s="92">
        <v>46160</v>
      </c>
      <c r="Y955" s="97"/>
      <c r="Z955" s="89"/>
      <c r="AA955" s="96"/>
      <c r="AB955" s="89"/>
      <c r="AC955" s="111"/>
      <c r="AD955" s="89"/>
      <c r="AE955" s="89"/>
      <c r="AF955" s="98"/>
      <c r="AG955" s="98"/>
      <c r="AH955" s="98"/>
      <c r="AI955" s="99"/>
      <c r="AJ955" s="99"/>
      <c r="AK955" s="99"/>
      <c r="AL955" s="45" t="s">
        <v>68</v>
      </c>
      <c r="AM955" s="162" t="str">
        <f t="shared" si="112"/>
        <v>3/2026</v>
      </c>
      <c r="AN955" s="45">
        <f t="shared" si="113"/>
        <v>4</v>
      </c>
      <c r="AO955" s="45" t="str">
        <f t="shared" si="114"/>
        <v>1/1900</v>
      </c>
      <c r="AP955" s="45" t="e">
        <f t="shared" si="115"/>
        <v>#NUM!</v>
      </c>
      <c r="AQ955" s="45">
        <f t="shared" si="116"/>
        <v>0</v>
      </c>
      <c r="AR955" s="45">
        <f t="shared" si="117"/>
        <v>0</v>
      </c>
      <c r="AS955" s="45">
        <f t="shared" si="118"/>
        <v>0</v>
      </c>
      <c r="AT955" s="45">
        <f t="shared" si="119"/>
        <v>0</v>
      </c>
      <c r="AU955" s="45" t="str">
        <f>_xlfn.XLOOKUP(U955,'Lista Suspensa'!$AA$20:$AA$23,'Lista Suspensa'!$AB$20:$AB$23,"N/A")</f>
        <v>S</v>
      </c>
    </row>
    <row r="956" spans="1:47" ht="12" hidden="1" customHeight="1" x14ac:dyDescent="0.3">
      <c r="A956" s="87" t="s">
        <v>47</v>
      </c>
      <c r="B956" s="88">
        <v>46104</v>
      </c>
      <c r="C956" s="89" t="s">
        <v>48</v>
      </c>
      <c r="D956" s="89" t="s">
        <v>49</v>
      </c>
      <c r="E956" s="90">
        <v>95779865</v>
      </c>
      <c r="F956" s="184" t="s">
        <v>2843</v>
      </c>
      <c r="G956" s="91">
        <v>35766811837</v>
      </c>
      <c r="H956" s="92">
        <v>32393</v>
      </c>
      <c r="I956" s="89">
        <v>37</v>
      </c>
      <c r="J956" s="89" t="s">
        <v>70</v>
      </c>
      <c r="K956" s="89" t="s">
        <v>52</v>
      </c>
      <c r="L956" s="89" t="s">
        <v>53</v>
      </c>
      <c r="M956" s="89" t="s">
        <v>2844</v>
      </c>
      <c r="N956" s="89" t="s">
        <v>102</v>
      </c>
      <c r="O956" s="93" t="s">
        <v>2845</v>
      </c>
      <c r="P956" s="94" t="s">
        <v>57</v>
      </c>
      <c r="Q956" s="112" t="s">
        <v>2211</v>
      </c>
      <c r="R956" s="95"/>
      <c r="S956" s="96">
        <v>46164</v>
      </c>
      <c r="T956" s="96" t="s">
        <v>2212</v>
      </c>
      <c r="U956" s="96" t="s">
        <v>79</v>
      </c>
      <c r="V956" s="92">
        <v>46147</v>
      </c>
      <c r="W956" s="92">
        <v>46154</v>
      </c>
      <c r="X956" s="92">
        <v>46160</v>
      </c>
      <c r="Y956" s="97"/>
      <c r="Z956" s="89"/>
      <c r="AA956" s="96"/>
      <c r="AB956" s="89"/>
      <c r="AC956" s="111"/>
      <c r="AD956" s="89"/>
      <c r="AE956" s="89"/>
      <c r="AF956" s="98"/>
      <c r="AG956" s="98"/>
      <c r="AH956" s="98"/>
      <c r="AI956" s="99"/>
      <c r="AJ956" s="99"/>
      <c r="AK956" s="99"/>
      <c r="AL956" s="45" t="s">
        <v>68</v>
      </c>
      <c r="AM956" s="162" t="str">
        <f t="shared" si="112"/>
        <v>3/2026</v>
      </c>
      <c r="AN956" s="45">
        <f t="shared" si="113"/>
        <v>4</v>
      </c>
      <c r="AO956" s="45" t="str">
        <f t="shared" si="114"/>
        <v>1/1900</v>
      </c>
      <c r="AP956" s="45" t="e">
        <f t="shared" si="115"/>
        <v>#NUM!</v>
      </c>
      <c r="AQ956" s="45">
        <f t="shared" si="116"/>
        <v>0</v>
      </c>
      <c r="AR956" s="45">
        <f t="shared" si="117"/>
        <v>0</v>
      </c>
      <c r="AS956" s="45">
        <f t="shared" si="118"/>
        <v>0</v>
      </c>
      <c r="AT956" s="45">
        <f t="shared" si="119"/>
        <v>0</v>
      </c>
      <c r="AU956" s="45" t="str">
        <f>_xlfn.XLOOKUP(U956,'Lista Suspensa'!$AA$20:$AA$23,'Lista Suspensa'!$AB$20:$AB$23,"N/A")</f>
        <v>S</v>
      </c>
    </row>
    <row r="957" spans="1:47" ht="12" hidden="1" customHeight="1" x14ac:dyDescent="0.3">
      <c r="A957" s="87" t="s">
        <v>47</v>
      </c>
      <c r="B957" s="88">
        <v>46104</v>
      </c>
      <c r="C957" s="89" t="s">
        <v>48</v>
      </c>
      <c r="D957" s="89" t="s">
        <v>49</v>
      </c>
      <c r="E957" s="90">
        <v>89040109</v>
      </c>
      <c r="F957" s="184" t="s">
        <v>2846</v>
      </c>
      <c r="G957" s="91">
        <v>35873833168</v>
      </c>
      <c r="H957" s="92">
        <v>23995</v>
      </c>
      <c r="I957" s="89">
        <v>60</v>
      </c>
      <c r="J957" s="89" t="s">
        <v>51</v>
      </c>
      <c r="K957" s="89" t="s">
        <v>52</v>
      </c>
      <c r="L957" s="89" t="s">
        <v>331</v>
      </c>
      <c r="M957" s="89" t="s">
        <v>2847</v>
      </c>
      <c r="N957" s="89" t="s">
        <v>102</v>
      </c>
      <c r="O957" s="93" t="s">
        <v>2848</v>
      </c>
      <c r="P957" s="94" t="s">
        <v>57</v>
      </c>
      <c r="Q957" s="112" t="s">
        <v>2211</v>
      </c>
      <c r="R957" s="95"/>
      <c r="S957" s="96">
        <v>46164</v>
      </c>
      <c r="T957" s="96" t="s">
        <v>2212</v>
      </c>
      <c r="U957" s="96" t="s">
        <v>79</v>
      </c>
      <c r="V957" s="92">
        <v>46147</v>
      </c>
      <c r="W957" s="92">
        <v>46154</v>
      </c>
      <c r="X957" s="92">
        <v>46160</v>
      </c>
      <c r="Y957" s="97"/>
      <c r="Z957" s="89"/>
      <c r="AA957" s="96"/>
      <c r="AB957" s="89"/>
      <c r="AC957" s="111"/>
      <c r="AD957" s="89"/>
      <c r="AE957" s="89"/>
      <c r="AF957" s="98"/>
      <c r="AG957" s="98"/>
      <c r="AH957" s="98"/>
      <c r="AI957" s="99"/>
      <c r="AJ957" s="99"/>
      <c r="AK957" s="99"/>
      <c r="AL957" s="45" t="s">
        <v>68</v>
      </c>
      <c r="AM957" s="162" t="str">
        <f t="shared" si="112"/>
        <v>3/2026</v>
      </c>
      <c r="AN957" s="45">
        <f t="shared" si="113"/>
        <v>4</v>
      </c>
      <c r="AO957" s="45" t="str">
        <f t="shared" si="114"/>
        <v>1/1900</v>
      </c>
      <c r="AP957" s="45" t="e">
        <f t="shared" si="115"/>
        <v>#NUM!</v>
      </c>
      <c r="AQ957" s="45">
        <f t="shared" si="116"/>
        <v>0</v>
      </c>
      <c r="AR957" s="45">
        <f t="shared" si="117"/>
        <v>0</v>
      </c>
      <c r="AS957" s="45">
        <f t="shared" si="118"/>
        <v>0</v>
      </c>
      <c r="AT957" s="45">
        <f t="shared" si="119"/>
        <v>0</v>
      </c>
      <c r="AU957" s="45" t="str">
        <f>_xlfn.XLOOKUP(U957,'Lista Suspensa'!$AA$20:$AA$23,'Lista Suspensa'!$AB$20:$AB$23,"N/A")</f>
        <v>S</v>
      </c>
    </row>
    <row r="958" spans="1:47" ht="12" hidden="1" customHeight="1" x14ac:dyDescent="0.3">
      <c r="A958" s="87" t="s">
        <v>47</v>
      </c>
      <c r="B958" s="88">
        <v>46104</v>
      </c>
      <c r="C958" s="89" t="s">
        <v>48</v>
      </c>
      <c r="D958" s="89" t="s">
        <v>49</v>
      </c>
      <c r="E958" s="90">
        <v>94699753</v>
      </c>
      <c r="F958" s="184" t="s">
        <v>2849</v>
      </c>
      <c r="G958" s="91">
        <v>1337390747</v>
      </c>
      <c r="H958" s="92">
        <v>25516</v>
      </c>
      <c r="I958" s="89">
        <v>56</v>
      </c>
      <c r="J958" s="89" t="s">
        <v>51</v>
      </c>
      <c r="K958" s="89" t="s">
        <v>88</v>
      </c>
      <c r="L958" s="89" t="s">
        <v>89</v>
      </c>
      <c r="M958" s="89" t="s">
        <v>2850</v>
      </c>
      <c r="N958" s="89" t="s">
        <v>102</v>
      </c>
      <c r="O958" s="93" t="s">
        <v>2851</v>
      </c>
      <c r="P958" s="94" t="s">
        <v>57</v>
      </c>
      <c r="Q958" s="112" t="s">
        <v>2211</v>
      </c>
      <c r="R958" s="95"/>
      <c r="S958" s="96">
        <v>46164</v>
      </c>
      <c r="T958" s="96" t="s">
        <v>2212</v>
      </c>
      <c r="U958" s="96" t="s">
        <v>79</v>
      </c>
      <c r="V958" s="92">
        <v>46147</v>
      </c>
      <c r="W958" s="92">
        <v>46154</v>
      </c>
      <c r="X958" s="92">
        <v>46160</v>
      </c>
      <c r="Y958" s="97"/>
      <c r="Z958" s="89"/>
      <c r="AA958" s="96"/>
      <c r="AB958" s="89"/>
      <c r="AC958" s="111"/>
      <c r="AD958" s="89"/>
      <c r="AE958" s="89"/>
      <c r="AF958" s="98"/>
      <c r="AG958" s="98"/>
      <c r="AH958" s="98"/>
      <c r="AI958" s="99"/>
      <c r="AJ958" s="99"/>
      <c r="AK958" s="99"/>
      <c r="AL958" s="45" t="s">
        <v>68</v>
      </c>
      <c r="AM958" s="162" t="str">
        <f t="shared" si="112"/>
        <v>3/2026</v>
      </c>
      <c r="AN958" s="45">
        <f t="shared" si="113"/>
        <v>4</v>
      </c>
      <c r="AO958" s="45" t="str">
        <f t="shared" si="114"/>
        <v>1/1900</v>
      </c>
      <c r="AP958" s="45" t="e">
        <f t="shared" si="115"/>
        <v>#NUM!</v>
      </c>
      <c r="AQ958" s="45">
        <f t="shared" si="116"/>
        <v>0</v>
      </c>
      <c r="AR958" s="45">
        <f t="shared" si="117"/>
        <v>0</v>
      </c>
      <c r="AS958" s="45">
        <f t="shared" si="118"/>
        <v>0</v>
      </c>
      <c r="AT958" s="45">
        <f t="shared" si="119"/>
        <v>0</v>
      </c>
      <c r="AU958" s="45" t="str">
        <f>_xlfn.XLOOKUP(U958,'Lista Suspensa'!$AA$20:$AA$23,'Lista Suspensa'!$AB$20:$AB$23,"N/A")</f>
        <v>S</v>
      </c>
    </row>
    <row r="959" spans="1:47" ht="12" hidden="1" customHeight="1" x14ac:dyDescent="0.3">
      <c r="A959" s="87" t="s">
        <v>47</v>
      </c>
      <c r="B959" s="88">
        <v>46104</v>
      </c>
      <c r="C959" s="89" t="s">
        <v>48</v>
      </c>
      <c r="D959" s="89" t="s">
        <v>49</v>
      </c>
      <c r="E959" s="90">
        <v>87551618</v>
      </c>
      <c r="F959" s="184" t="s">
        <v>2852</v>
      </c>
      <c r="G959" s="91">
        <v>9615850721</v>
      </c>
      <c r="H959" s="92">
        <v>17557</v>
      </c>
      <c r="I959" s="89">
        <v>78</v>
      </c>
      <c r="J959" s="89" t="s">
        <v>70</v>
      </c>
      <c r="K959" s="89" t="s">
        <v>88</v>
      </c>
      <c r="L959" s="89" t="s">
        <v>89</v>
      </c>
      <c r="M959" s="89" t="s">
        <v>2853</v>
      </c>
      <c r="N959" s="89" t="s">
        <v>102</v>
      </c>
      <c r="O959" s="93" t="s">
        <v>2854</v>
      </c>
      <c r="P959" s="94" t="s">
        <v>57</v>
      </c>
      <c r="Q959" s="112" t="s">
        <v>2211</v>
      </c>
      <c r="R959" s="95"/>
      <c r="S959" s="96">
        <v>46164</v>
      </c>
      <c r="T959" s="96" t="s">
        <v>2212</v>
      </c>
      <c r="U959" s="96" t="s">
        <v>79</v>
      </c>
      <c r="V959" s="92">
        <v>46147</v>
      </c>
      <c r="W959" s="92">
        <v>46154</v>
      </c>
      <c r="X959" s="92">
        <v>46160</v>
      </c>
      <c r="Y959" s="97"/>
      <c r="Z959" s="89"/>
      <c r="AA959" s="96"/>
      <c r="AB959" s="89"/>
      <c r="AC959" s="111"/>
      <c r="AD959" s="89"/>
      <c r="AE959" s="89"/>
      <c r="AF959" s="98"/>
      <c r="AG959" s="98"/>
      <c r="AH959" s="98"/>
      <c r="AI959" s="99"/>
      <c r="AJ959" s="99"/>
      <c r="AK959" s="99"/>
      <c r="AL959" s="45" t="s">
        <v>68</v>
      </c>
      <c r="AM959" s="162" t="str">
        <f t="shared" si="112"/>
        <v>3/2026</v>
      </c>
      <c r="AN959" s="45">
        <f t="shared" si="113"/>
        <v>4</v>
      </c>
      <c r="AO959" s="45" t="str">
        <f t="shared" si="114"/>
        <v>1/1900</v>
      </c>
      <c r="AP959" s="45" t="e">
        <f t="shared" si="115"/>
        <v>#NUM!</v>
      </c>
      <c r="AQ959" s="45">
        <f t="shared" si="116"/>
        <v>0</v>
      </c>
      <c r="AR959" s="45">
        <f t="shared" si="117"/>
        <v>0</v>
      </c>
      <c r="AS959" s="45">
        <f t="shared" si="118"/>
        <v>0</v>
      </c>
      <c r="AT959" s="45">
        <f t="shared" si="119"/>
        <v>0</v>
      </c>
      <c r="AU959" s="45" t="str">
        <f>_xlfn.XLOOKUP(U959,'Lista Suspensa'!$AA$20:$AA$23,'Lista Suspensa'!$AB$20:$AB$23,"N/A")</f>
        <v>S</v>
      </c>
    </row>
    <row r="960" spans="1:47" ht="12" hidden="1" customHeight="1" x14ac:dyDescent="0.3">
      <c r="A960" s="87" t="s">
        <v>47</v>
      </c>
      <c r="B960" s="88">
        <v>46104</v>
      </c>
      <c r="C960" s="89" t="s">
        <v>48</v>
      </c>
      <c r="D960" s="89" t="s">
        <v>49</v>
      </c>
      <c r="E960" s="90">
        <v>78356851</v>
      </c>
      <c r="F960" s="184" t="s">
        <v>2855</v>
      </c>
      <c r="G960" s="91">
        <v>3267345707</v>
      </c>
      <c r="H960" s="92">
        <v>26639</v>
      </c>
      <c r="I960" s="89">
        <v>53</v>
      </c>
      <c r="J960" s="89" t="s">
        <v>51</v>
      </c>
      <c r="K960" s="89" t="s">
        <v>88</v>
      </c>
      <c r="L960" s="89" t="s">
        <v>408</v>
      </c>
      <c r="M960" s="89" t="s">
        <v>2856</v>
      </c>
      <c r="N960" s="89" t="s">
        <v>102</v>
      </c>
      <c r="O960" s="93" t="s">
        <v>2857</v>
      </c>
      <c r="P960" s="94" t="s">
        <v>57</v>
      </c>
      <c r="Q960" s="112" t="s">
        <v>2211</v>
      </c>
      <c r="R960" s="95"/>
      <c r="S960" s="96">
        <v>46164</v>
      </c>
      <c r="T960" s="96" t="s">
        <v>2212</v>
      </c>
      <c r="U960" s="96" t="s">
        <v>79</v>
      </c>
      <c r="V960" s="92">
        <v>46147</v>
      </c>
      <c r="W960" s="92">
        <v>46154</v>
      </c>
      <c r="X960" s="92">
        <v>46160</v>
      </c>
      <c r="Y960" s="97"/>
      <c r="Z960" s="89"/>
      <c r="AA960" s="96"/>
      <c r="AB960" s="89"/>
      <c r="AC960" s="111"/>
      <c r="AD960" s="89"/>
      <c r="AE960" s="89"/>
      <c r="AF960" s="98"/>
      <c r="AG960" s="98"/>
      <c r="AH960" s="98"/>
      <c r="AI960" s="99"/>
      <c r="AJ960" s="99"/>
      <c r="AK960" s="99"/>
      <c r="AL960" s="45" t="s">
        <v>68</v>
      </c>
      <c r="AM960" s="162" t="str">
        <f t="shared" si="112"/>
        <v>3/2026</v>
      </c>
      <c r="AN960" s="45">
        <f t="shared" si="113"/>
        <v>4</v>
      </c>
      <c r="AO960" s="45" t="str">
        <f t="shared" si="114"/>
        <v>1/1900</v>
      </c>
      <c r="AP960" s="45" t="e">
        <f t="shared" si="115"/>
        <v>#NUM!</v>
      </c>
      <c r="AQ960" s="45">
        <f t="shared" si="116"/>
        <v>0</v>
      </c>
      <c r="AR960" s="45">
        <f t="shared" si="117"/>
        <v>0</v>
      </c>
      <c r="AS960" s="45">
        <f t="shared" si="118"/>
        <v>0</v>
      </c>
      <c r="AT960" s="45">
        <f t="shared" si="119"/>
        <v>0</v>
      </c>
      <c r="AU960" s="45" t="str">
        <f>_xlfn.XLOOKUP(U960,'Lista Suspensa'!$AA$20:$AA$23,'Lista Suspensa'!$AB$20:$AB$23,"N/A")</f>
        <v>S</v>
      </c>
    </row>
    <row r="961" spans="1:47" ht="12" hidden="1" customHeight="1" x14ac:dyDescent="0.3">
      <c r="A961" s="87" t="s">
        <v>47</v>
      </c>
      <c r="B961" s="88">
        <v>46104</v>
      </c>
      <c r="C961" s="89" t="s">
        <v>48</v>
      </c>
      <c r="D961" s="89" t="s">
        <v>49</v>
      </c>
      <c r="E961" s="90">
        <v>86652146</v>
      </c>
      <c r="F961" s="184" t="s">
        <v>2858</v>
      </c>
      <c r="G961" s="91">
        <v>12539514707</v>
      </c>
      <c r="H961" s="92">
        <v>32670</v>
      </c>
      <c r="I961" s="89">
        <v>36</v>
      </c>
      <c r="J961" s="89" t="s">
        <v>51</v>
      </c>
      <c r="K961" s="89" t="s">
        <v>88</v>
      </c>
      <c r="L961" s="89" t="s">
        <v>89</v>
      </c>
      <c r="M961" s="89" t="s">
        <v>1098</v>
      </c>
      <c r="N961" s="89" t="s">
        <v>102</v>
      </c>
      <c r="O961" s="93" t="s">
        <v>2859</v>
      </c>
      <c r="P961" s="94" t="s">
        <v>57</v>
      </c>
      <c r="Q961" s="112" t="s">
        <v>2211</v>
      </c>
      <c r="R961" s="95"/>
      <c r="S961" s="96">
        <v>46164</v>
      </c>
      <c r="T961" s="96" t="s">
        <v>2212</v>
      </c>
      <c r="U961" s="96" t="s">
        <v>79</v>
      </c>
      <c r="V961" s="92">
        <v>46147</v>
      </c>
      <c r="W961" s="92">
        <v>46154</v>
      </c>
      <c r="X961" s="92">
        <v>46160</v>
      </c>
      <c r="Y961" s="97"/>
      <c r="Z961" s="89"/>
      <c r="AA961" s="96"/>
      <c r="AB961" s="89"/>
      <c r="AC961" s="111"/>
      <c r="AD961" s="89"/>
      <c r="AE961" s="89"/>
      <c r="AF961" s="98"/>
      <c r="AG961" s="98"/>
      <c r="AH961" s="98"/>
      <c r="AI961" s="99"/>
      <c r="AJ961" s="99"/>
      <c r="AK961" s="99"/>
      <c r="AL961" s="45" t="s">
        <v>68</v>
      </c>
      <c r="AM961" s="162" t="str">
        <f t="shared" si="112"/>
        <v>3/2026</v>
      </c>
      <c r="AN961" s="45">
        <f t="shared" si="113"/>
        <v>4</v>
      </c>
      <c r="AO961" s="45" t="str">
        <f t="shared" si="114"/>
        <v>1/1900</v>
      </c>
      <c r="AP961" s="45" t="e">
        <f t="shared" si="115"/>
        <v>#NUM!</v>
      </c>
      <c r="AQ961" s="45">
        <f t="shared" si="116"/>
        <v>0</v>
      </c>
      <c r="AR961" s="45">
        <f t="shared" si="117"/>
        <v>0</v>
      </c>
      <c r="AS961" s="45">
        <f t="shared" si="118"/>
        <v>0</v>
      </c>
      <c r="AT961" s="45">
        <f t="shared" si="119"/>
        <v>0</v>
      </c>
      <c r="AU961" s="45" t="str">
        <f>_xlfn.XLOOKUP(U961,'Lista Suspensa'!$AA$20:$AA$23,'Lista Suspensa'!$AB$20:$AB$23,"N/A")</f>
        <v>S</v>
      </c>
    </row>
    <row r="962" spans="1:47" ht="12" hidden="1" customHeight="1" x14ac:dyDescent="0.3">
      <c r="A962" s="87" t="s">
        <v>47</v>
      </c>
      <c r="B962" s="88">
        <v>46104</v>
      </c>
      <c r="C962" s="89" t="s">
        <v>48</v>
      </c>
      <c r="D962" s="89" t="s">
        <v>49</v>
      </c>
      <c r="E962" s="90">
        <v>92634728</v>
      </c>
      <c r="F962" s="184" t="s">
        <v>2860</v>
      </c>
      <c r="G962" s="91">
        <v>70431590400</v>
      </c>
      <c r="H962" s="92">
        <v>19107</v>
      </c>
      <c r="I962" s="89">
        <v>73</v>
      </c>
      <c r="J962" s="89" t="s">
        <v>70</v>
      </c>
      <c r="K962" s="89" t="s">
        <v>52</v>
      </c>
      <c r="L962" s="89" t="s">
        <v>53</v>
      </c>
      <c r="M962" s="89" t="s">
        <v>2861</v>
      </c>
      <c r="N962" s="89" t="s">
        <v>102</v>
      </c>
      <c r="O962" s="93" t="s">
        <v>2862</v>
      </c>
      <c r="P962" s="94" t="s">
        <v>57</v>
      </c>
      <c r="Q962" s="112" t="s">
        <v>2211</v>
      </c>
      <c r="R962" s="95"/>
      <c r="S962" s="96">
        <v>46164</v>
      </c>
      <c r="T962" s="96" t="s">
        <v>2212</v>
      </c>
      <c r="U962" s="96" t="s">
        <v>79</v>
      </c>
      <c r="V962" s="92">
        <v>46147</v>
      </c>
      <c r="W962" s="92">
        <v>46154</v>
      </c>
      <c r="X962" s="92">
        <v>46160</v>
      </c>
      <c r="Y962" s="97"/>
      <c r="Z962" s="89"/>
      <c r="AA962" s="96"/>
      <c r="AB962" s="89"/>
      <c r="AC962" s="111"/>
      <c r="AD962" s="89"/>
      <c r="AE962" s="89"/>
      <c r="AF962" s="98"/>
      <c r="AG962" s="98"/>
      <c r="AH962" s="98"/>
      <c r="AI962" s="99"/>
      <c r="AJ962" s="99"/>
      <c r="AK962" s="99"/>
      <c r="AL962" s="45" t="s">
        <v>68</v>
      </c>
      <c r="AM962" s="162" t="str">
        <f t="shared" ref="AM962:AM1025" si="120">MONTH(B962)&amp;"/"&amp;YEAR(B962)</f>
        <v>3/2026</v>
      </c>
      <c r="AN962" s="45">
        <f t="shared" ref="AN962:AN1025" si="121">WEEKNUM(B962)-WEEKNUM(EOMONTH(B962,-1)+1)+1</f>
        <v>4</v>
      </c>
      <c r="AO962" s="45" t="str">
        <f t="shared" ref="AO962:AO1025" si="122">MONTH(R962)&amp;"/"&amp;YEAR(R962)</f>
        <v>1/1900</v>
      </c>
      <c r="AP962" s="45" t="e">
        <f t="shared" ref="AP962:AP1025" si="123">WEEKNUM(R962)-WEEKNUM(EOMONTH(R962,-1)+1)+1</f>
        <v>#NUM!</v>
      </c>
      <c r="AQ962" s="45">
        <f t="shared" ref="AQ962:AQ1025" si="124">IF(AU962="S",IF(Q962="1. Aceitou o programa",R962-B962,0),0)</f>
        <v>0</v>
      </c>
      <c r="AR962" s="45">
        <f t="shared" ref="AR962:AR1025" si="125">IF(AU962="S",IF(AND(S962&lt;&gt;"",R962&lt;&gt;""),S962-R962,0),0)</f>
        <v>0</v>
      </c>
      <c r="AS962" s="45">
        <f t="shared" ref="AS962:AS1025" si="126">IF(AU962="S",IF(Q962="1. Aceitou o programa",IF(OR(X962="Não se Aplica",X962=""),IF(OR(W962="Não se Aplica",W962=""),0,W962-V962),AVERAGE(X962-W962,W962-V962)),0),0)</f>
        <v>0</v>
      </c>
      <c r="AT962" s="45">
        <f t="shared" ref="AT962:AT1025" si="127">IF(AU962="S",IF(AND(Q962="1. Aceitou o programa",AB962="Realizada"),IFERROR(IF(AA962="",0,AA962-R962),0),0),0)</f>
        <v>0</v>
      </c>
      <c r="AU962" s="45" t="str">
        <f>_xlfn.XLOOKUP(U962,'Lista Suspensa'!$AA$20:$AA$23,'Lista Suspensa'!$AB$20:$AB$23,"N/A")</f>
        <v>S</v>
      </c>
    </row>
    <row r="963" spans="1:47" ht="12" hidden="1" customHeight="1" x14ac:dyDescent="0.3">
      <c r="A963" s="87" t="s">
        <v>47</v>
      </c>
      <c r="B963" s="88">
        <v>46104</v>
      </c>
      <c r="C963" s="89" t="s">
        <v>48</v>
      </c>
      <c r="D963" s="89" t="s">
        <v>49</v>
      </c>
      <c r="E963" s="90">
        <v>96031445</v>
      </c>
      <c r="F963" s="184" t="s">
        <v>2863</v>
      </c>
      <c r="G963" s="91">
        <v>66917760897</v>
      </c>
      <c r="H963" s="92">
        <v>19653</v>
      </c>
      <c r="I963" s="89">
        <v>72</v>
      </c>
      <c r="J963" s="89" t="s">
        <v>51</v>
      </c>
      <c r="K963" s="89" t="s">
        <v>52</v>
      </c>
      <c r="L963" s="89" t="s">
        <v>53</v>
      </c>
      <c r="M963" s="89" t="s">
        <v>389</v>
      </c>
      <c r="N963" s="89" t="s">
        <v>102</v>
      </c>
      <c r="O963" s="93" t="s">
        <v>2864</v>
      </c>
      <c r="P963" s="94" t="s">
        <v>57</v>
      </c>
      <c r="Q963" s="112" t="s">
        <v>2211</v>
      </c>
      <c r="R963" s="95"/>
      <c r="S963" s="96">
        <v>46164</v>
      </c>
      <c r="T963" s="96" t="s">
        <v>2212</v>
      </c>
      <c r="U963" s="96" t="s">
        <v>79</v>
      </c>
      <c r="V963" s="92">
        <v>46147</v>
      </c>
      <c r="W963" s="92">
        <v>46154</v>
      </c>
      <c r="X963" s="92">
        <v>46160</v>
      </c>
      <c r="Y963" s="97"/>
      <c r="Z963" s="89"/>
      <c r="AA963" s="96"/>
      <c r="AB963" s="89"/>
      <c r="AC963" s="111"/>
      <c r="AD963" s="89"/>
      <c r="AE963" s="89"/>
      <c r="AF963" s="98"/>
      <c r="AG963" s="98"/>
      <c r="AH963" s="98"/>
      <c r="AI963" s="99"/>
      <c r="AJ963" s="99"/>
      <c r="AK963" s="99"/>
      <c r="AL963" s="45" t="s">
        <v>68</v>
      </c>
      <c r="AM963" s="162" t="str">
        <f t="shared" si="120"/>
        <v>3/2026</v>
      </c>
      <c r="AN963" s="45">
        <f t="shared" si="121"/>
        <v>4</v>
      </c>
      <c r="AO963" s="45" t="str">
        <f t="shared" si="122"/>
        <v>1/1900</v>
      </c>
      <c r="AP963" s="45" t="e">
        <f t="shared" si="123"/>
        <v>#NUM!</v>
      </c>
      <c r="AQ963" s="45">
        <f t="shared" si="124"/>
        <v>0</v>
      </c>
      <c r="AR963" s="45">
        <f t="shared" si="125"/>
        <v>0</v>
      </c>
      <c r="AS963" s="45">
        <f t="shared" si="126"/>
        <v>0</v>
      </c>
      <c r="AT963" s="45">
        <f t="shared" si="127"/>
        <v>0</v>
      </c>
      <c r="AU963" s="45" t="str">
        <f>_xlfn.XLOOKUP(U963,'Lista Suspensa'!$AA$20:$AA$23,'Lista Suspensa'!$AB$20:$AB$23,"N/A")</f>
        <v>S</v>
      </c>
    </row>
    <row r="964" spans="1:47" ht="12" hidden="1" customHeight="1" x14ac:dyDescent="0.3">
      <c r="A964" s="87" t="s">
        <v>47</v>
      </c>
      <c r="B964" s="88">
        <v>46104</v>
      </c>
      <c r="C964" s="89" t="s">
        <v>48</v>
      </c>
      <c r="D964" s="89" t="s">
        <v>49</v>
      </c>
      <c r="E964" s="90">
        <v>78388520</v>
      </c>
      <c r="F964" s="184" t="s">
        <v>2865</v>
      </c>
      <c r="G964" s="91">
        <v>6642557875</v>
      </c>
      <c r="H964" s="92">
        <v>20454</v>
      </c>
      <c r="I964" s="89">
        <v>70</v>
      </c>
      <c r="J964" s="89" t="s">
        <v>70</v>
      </c>
      <c r="K964" s="89" t="s">
        <v>52</v>
      </c>
      <c r="L964" s="89" t="s">
        <v>53</v>
      </c>
      <c r="M964" s="89" t="s">
        <v>2866</v>
      </c>
      <c r="N964" s="89" t="s">
        <v>102</v>
      </c>
      <c r="O964" s="93" t="s">
        <v>2867</v>
      </c>
      <c r="P964" s="94" t="s">
        <v>57</v>
      </c>
      <c r="Q964" s="112" t="s">
        <v>2211</v>
      </c>
      <c r="R964" s="95"/>
      <c r="S964" s="96">
        <v>46164</v>
      </c>
      <c r="T964" s="96" t="s">
        <v>2212</v>
      </c>
      <c r="U964" s="96" t="s">
        <v>79</v>
      </c>
      <c r="V964" s="92">
        <v>46147</v>
      </c>
      <c r="W964" s="92">
        <v>46154</v>
      </c>
      <c r="X964" s="92">
        <v>46160</v>
      </c>
      <c r="Y964" s="97"/>
      <c r="Z964" s="89"/>
      <c r="AA964" s="96"/>
      <c r="AB964" s="89"/>
      <c r="AC964" s="111"/>
      <c r="AD964" s="89"/>
      <c r="AE964" s="89"/>
      <c r="AF964" s="98"/>
      <c r="AG964" s="98"/>
      <c r="AH964" s="98"/>
      <c r="AI964" s="99"/>
      <c r="AJ964" s="99"/>
      <c r="AK964" s="99"/>
      <c r="AL964" s="45" t="s">
        <v>68</v>
      </c>
      <c r="AM964" s="162" t="str">
        <f t="shared" si="120"/>
        <v>3/2026</v>
      </c>
      <c r="AN964" s="45">
        <f t="shared" si="121"/>
        <v>4</v>
      </c>
      <c r="AO964" s="45" t="str">
        <f t="shared" si="122"/>
        <v>1/1900</v>
      </c>
      <c r="AP964" s="45" t="e">
        <f t="shared" si="123"/>
        <v>#NUM!</v>
      </c>
      <c r="AQ964" s="45">
        <f t="shared" si="124"/>
        <v>0</v>
      </c>
      <c r="AR964" s="45">
        <f t="shared" si="125"/>
        <v>0</v>
      </c>
      <c r="AS964" s="45">
        <f t="shared" si="126"/>
        <v>0</v>
      </c>
      <c r="AT964" s="45">
        <f t="shared" si="127"/>
        <v>0</v>
      </c>
      <c r="AU964" s="45" t="str">
        <f>_xlfn.XLOOKUP(U964,'Lista Suspensa'!$AA$20:$AA$23,'Lista Suspensa'!$AB$20:$AB$23,"N/A")</f>
        <v>S</v>
      </c>
    </row>
    <row r="965" spans="1:47" ht="12" hidden="1" customHeight="1" x14ac:dyDescent="0.3">
      <c r="A965" s="87" t="s">
        <v>47</v>
      </c>
      <c r="B965" s="88">
        <v>46104</v>
      </c>
      <c r="C965" s="89" t="s">
        <v>48</v>
      </c>
      <c r="D965" s="89" t="s">
        <v>49</v>
      </c>
      <c r="E965" s="90">
        <v>78348290</v>
      </c>
      <c r="F965" s="184" t="s">
        <v>2868</v>
      </c>
      <c r="G965" s="91">
        <v>2539054781</v>
      </c>
      <c r="H965" s="92">
        <v>23673</v>
      </c>
      <c r="I965" s="89">
        <v>61</v>
      </c>
      <c r="J965" s="89" t="s">
        <v>70</v>
      </c>
      <c r="K965" s="89" t="s">
        <v>88</v>
      </c>
      <c r="L965" s="89" t="s">
        <v>89</v>
      </c>
      <c r="M965" s="89" t="s">
        <v>522</v>
      </c>
      <c r="N965" s="89" t="s">
        <v>102</v>
      </c>
      <c r="O965" s="93" t="s">
        <v>2869</v>
      </c>
      <c r="P965" s="94" t="s">
        <v>57</v>
      </c>
      <c r="Q965" s="112" t="s">
        <v>2211</v>
      </c>
      <c r="R965" s="95"/>
      <c r="S965" s="96">
        <v>46164</v>
      </c>
      <c r="T965" s="96" t="s">
        <v>2212</v>
      </c>
      <c r="U965" s="96" t="s">
        <v>79</v>
      </c>
      <c r="V965" s="92">
        <v>46147</v>
      </c>
      <c r="W965" s="92">
        <v>46154</v>
      </c>
      <c r="X965" s="92">
        <v>46160</v>
      </c>
      <c r="Y965" s="97"/>
      <c r="Z965" s="89"/>
      <c r="AA965" s="96"/>
      <c r="AB965" s="89"/>
      <c r="AC965" s="111"/>
      <c r="AD965" s="89"/>
      <c r="AE965" s="89"/>
      <c r="AF965" s="98"/>
      <c r="AG965" s="98"/>
      <c r="AH965" s="98"/>
      <c r="AI965" s="99"/>
      <c r="AJ965" s="99"/>
      <c r="AK965" s="99"/>
      <c r="AL965" s="45" t="s">
        <v>68</v>
      </c>
      <c r="AM965" s="162" t="str">
        <f t="shared" si="120"/>
        <v>3/2026</v>
      </c>
      <c r="AN965" s="45">
        <f t="shared" si="121"/>
        <v>4</v>
      </c>
      <c r="AO965" s="45" t="str">
        <f t="shared" si="122"/>
        <v>1/1900</v>
      </c>
      <c r="AP965" s="45" t="e">
        <f t="shared" si="123"/>
        <v>#NUM!</v>
      </c>
      <c r="AQ965" s="45">
        <f t="shared" si="124"/>
        <v>0</v>
      </c>
      <c r="AR965" s="45">
        <f t="shared" si="125"/>
        <v>0</v>
      </c>
      <c r="AS965" s="45">
        <f t="shared" si="126"/>
        <v>0</v>
      </c>
      <c r="AT965" s="45">
        <f t="shared" si="127"/>
        <v>0</v>
      </c>
      <c r="AU965" s="45" t="str">
        <f>_xlfn.XLOOKUP(U965,'Lista Suspensa'!$AA$20:$AA$23,'Lista Suspensa'!$AB$20:$AB$23,"N/A")</f>
        <v>S</v>
      </c>
    </row>
    <row r="966" spans="1:47" ht="12" hidden="1" customHeight="1" x14ac:dyDescent="0.3">
      <c r="A966" s="87" t="s">
        <v>47</v>
      </c>
      <c r="B966" s="88">
        <v>46104</v>
      </c>
      <c r="C966" s="89" t="s">
        <v>48</v>
      </c>
      <c r="D966" s="89" t="s">
        <v>49</v>
      </c>
      <c r="E966" s="90">
        <v>82269069</v>
      </c>
      <c r="F966" s="184" t="s">
        <v>2870</v>
      </c>
      <c r="G966" s="91">
        <v>33603575822</v>
      </c>
      <c r="H966" s="92">
        <v>20605</v>
      </c>
      <c r="I966" s="89">
        <v>69</v>
      </c>
      <c r="J966" s="89" t="s">
        <v>70</v>
      </c>
      <c r="K966" s="89" t="s">
        <v>52</v>
      </c>
      <c r="L966" s="89" t="s">
        <v>331</v>
      </c>
      <c r="M966" s="89" t="s">
        <v>2871</v>
      </c>
      <c r="N966" s="89" t="s">
        <v>113</v>
      </c>
      <c r="O966" s="93" t="s">
        <v>2872</v>
      </c>
      <c r="P966" s="94" t="s">
        <v>57</v>
      </c>
      <c r="Q966" s="112" t="s">
        <v>2211</v>
      </c>
      <c r="R966" s="95"/>
      <c r="S966" s="96">
        <v>46164</v>
      </c>
      <c r="T966" s="96" t="s">
        <v>2212</v>
      </c>
      <c r="U966" s="96" t="s">
        <v>79</v>
      </c>
      <c r="V966" s="92">
        <v>46147</v>
      </c>
      <c r="W966" s="92">
        <v>46154</v>
      </c>
      <c r="X966" s="92">
        <v>46160</v>
      </c>
      <c r="Y966" s="97"/>
      <c r="Z966" s="89"/>
      <c r="AA966" s="96"/>
      <c r="AB966" s="89"/>
      <c r="AC966" s="111"/>
      <c r="AD966" s="89"/>
      <c r="AE966" s="89"/>
      <c r="AF966" s="98"/>
      <c r="AG966" s="98"/>
      <c r="AH966" s="98"/>
      <c r="AI966" s="99"/>
      <c r="AJ966" s="99"/>
      <c r="AK966" s="99"/>
      <c r="AL966" s="45" t="s">
        <v>68</v>
      </c>
      <c r="AM966" s="162" t="str">
        <f t="shared" si="120"/>
        <v>3/2026</v>
      </c>
      <c r="AN966" s="45">
        <f t="shared" si="121"/>
        <v>4</v>
      </c>
      <c r="AO966" s="45" t="str">
        <f t="shared" si="122"/>
        <v>1/1900</v>
      </c>
      <c r="AP966" s="45" t="e">
        <f t="shared" si="123"/>
        <v>#NUM!</v>
      </c>
      <c r="AQ966" s="45">
        <f t="shared" si="124"/>
        <v>0</v>
      </c>
      <c r="AR966" s="45">
        <f t="shared" si="125"/>
        <v>0</v>
      </c>
      <c r="AS966" s="45">
        <f t="shared" si="126"/>
        <v>0</v>
      </c>
      <c r="AT966" s="45">
        <f t="shared" si="127"/>
        <v>0</v>
      </c>
      <c r="AU966" s="45" t="str">
        <f>_xlfn.XLOOKUP(U966,'Lista Suspensa'!$AA$20:$AA$23,'Lista Suspensa'!$AB$20:$AB$23,"N/A")</f>
        <v>S</v>
      </c>
    </row>
    <row r="967" spans="1:47" ht="12" hidden="1" customHeight="1" x14ac:dyDescent="0.3">
      <c r="A967" s="87" t="s">
        <v>47</v>
      </c>
      <c r="B967" s="88">
        <v>46104</v>
      </c>
      <c r="C967" s="89" t="s">
        <v>48</v>
      </c>
      <c r="D967" s="89" t="s">
        <v>49</v>
      </c>
      <c r="E967" s="90">
        <v>83110626</v>
      </c>
      <c r="F967" s="184" t="s">
        <v>2873</v>
      </c>
      <c r="G967" s="91">
        <v>10519178831</v>
      </c>
      <c r="H967" s="92">
        <v>24914</v>
      </c>
      <c r="I967" s="89">
        <v>58</v>
      </c>
      <c r="J967" s="89" t="s">
        <v>70</v>
      </c>
      <c r="K967" s="89" t="s">
        <v>52</v>
      </c>
      <c r="L967" s="89" t="s">
        <v>53</v>
      </c>
      <c r="M967" s="89" t="s">
        <v>2874</v>
      </c>
      <c r="N967" s="89" t="s">
        <v>113</v>
      </c>
      <c r="O967" s="93" t="s">
        <v>2875</v>
      </c>
      <c r="P967" s="94" t="s">
        <v>57</v>
      </c>
      <c r="Q967" s="112" t="s">
        <v>2211</v>
      </c>
      <c r="R967" s="95"/>
      <c r="S967" s="96">
        <v>46164</v>
      </c>
      <c r="T967" s="96" t="s">
        <v>2212</v>
      </c>
      <c r="U967" s="96" t="s">
        <v>79</v>
      </c>
      <c r="V967" s="92">
        <v>46147</v>
      </c>
      <c r="W967" s="92">
        <v>46154</v>
      </c>
      <c r="X967" s="92">
        <v>46160</v>
      </c>
      <c r="Y967" s="97"/>
      <c r="Z967" s="89"/>
      <c r="AA967" s="96"/>
      <c r="AB967" s="89"/>
      <c r="AC967" s="111"/>
      <c r="AD967" s="89"/>
      <c r="AE967" s="89"/>
      <c r="AF967" s="98"/>
      <c r="AG967" s="98"/>
      <c r="AH967" s="98"/>
      <c r="AI967" s="99"/>
      <c r="AJ967" s="99"/>
      <c r="AK967" s="99"/>
      <c r="AL967" s="45" t="s">
        <v>68</v>
      </c>
      <c r="AM967" s="162" t="str">
        <f t="shared" si="120"/>
        <v>3/2026</v>
      </c>
      <c r="AN967" s="45">
        <f t="shared" si="121"/>
        <v>4</v>
      </c>
      <c r="AO967" s="45" t="str">
        <f t="shared" si="122"/>
        <v>1/1900</v>
      </c>
      <c r="AP967" s="45" t="e">
        <f t="shared" si="123"/>
        <v>#NUM!</v>
      </c>
      <c r="AQ967" s="45">
        <f t="shared" si="124"/>
        <v>0</v>
      </c>
      <c r="AR967" s="45">
        <f t="shared" si="125"/>
        <v>0</v>
      </c>
      <c r="AS967" s="45">
        <f t="shared" si="126"/>
        <v>0</v>
      </c>
      <c r="AT967" s="45">
        <f t="shared" si="127"/>
        <v>0</v>
      </c>
      <c r="AU967" s="45" t="str">
        <f>_xlfn.XLOOKUP(U967,'Lista Suspensa'!$AA$20:$AA$23,'Lista Suspensa'!$AB$20:$AB$23,"N/A")</f>
        <v>S</v>
      </c>
    </row>
    <row r="968" spans="1:47" ht="12" hidden="1" customHeight="1" x14ac:dyDescent="0.3">
      <c r="A968" s="87" t="s">
        <v>47</v>
      </c>
      <c r="B968" s="88">
        <v>46104</v>
      </c>
      <c r="C968" s="89" t="s">
        <v>48</v>
      </c>
      <c r="D968" s="89" t="s">
        <v>49</v>
      </c>
      <c r="E968" s="90">
        <v>82119111</v>
      </c>
      <c r="F968" s="184" t="s">
        <v>2876</v>
      </c>
      <c r="G968" s="91">
        <v>1208588869</v>
      </c>
      <c r="H968" s="92">
        <v>20787</v>
      </c>
      <c r="I968" s="89">
        <v>69</v>
      </c>
      <c r="J968" s="89" t="s">
        <v>51</v>
      </c>
      <c r="K968" s="89" t="s">
        <v>52</v>
      </c>
      <c r="L968" s="89" t="s">
        <v>331</v>
      </c>
      <c r="M968" s="89" t="s">
        <v>2877</v>
      </c>
      <c r="N968" s="89" t="s">
        <v>113</v>
      </c>
      <c r="O968" s="93" t="s">
        <v>2878</v>
      </c>
      <c r="P968" s="94" t="s">
        <v>57</v>
      </c>
      <c r="Q968" s="112" t="s">
        <v>2211</v>
      </c>
      <c r="R968" s="95"/>
      <c r="S968" s="96">
        <v>46164</v>
      </c>
      <c r="T968" s="96" t="s">
        <v>2212</v>
      </c>
      <c r="U968" s="96" t="s">
        <v>79</v>
      </c>
      <c r="V968" s="92">
        <v>46128</v>
      </c>
      <c r="W968" s="92">
        <v>46147</v>
      </c>
      <c r="X968" s="92">
        <v>46154</v>
      </c>
      <c r="Y968" s="97"/>
      <c r="Z968" s="89"/>
      <c r="AA968" s="96"/>
      <c r="AB968" s="89"/>
      <c r="AC968" s="111"/>
      <c r="AD968" s="89"/>
      <c r="AE968" s="89"/>
      <c r="AF968" s="98"/>
      <c r="AG968" s="98"/>
      <c r="AH968" s="98"/>
      <c r="AI968" s="99"/>
      <c r="AJ968" s="99"/>
      <c r="AK968" s="99"/>
      <c r="AL968" s="45" t="s">
        <v>68</v>
      </c>
      <c r="AM968" s="162" t="str">
        <f t="shared" si="120"/>
        <v>3/2026</v>
      </c>
      <c r="AN968" s="45">
        <f t="shared" si="121"/>
        <v>4</v>
      </c>
      <c r="AO968" s="45" t="str">
        <f t="shared" si="122"/>
        <v>1/1900</v>
      </c>
      <c r="AP968" s="45" t="e">
        <f t="shared" si="123"/>
        <v>#NUM!</v>
      </c>
      <c r="AQ968" s="45">
        <f t="shared" si="124"/>
        <v>0</v>
      </c>
      <c r="AR968" s="45">
        <f t="shared" si="125"/>
        <v>0</v>
      </c>
      <c r="AS968" s="45">
        <f t="shared" si="126"/>
        <v>0</v>
      </c>
      <c r="AT968" s="45">
        <f t="shared" si="127"/>
        <v>0</v>
      </c>
      <c r="AU968" s="45" t="str">
        <f>_xlfn.XLOOKUP(U968,'Lista Suspensa'!$AA$20:$AA$23,'Lista Suspensa'!$AB$20:$AB$23,"N/A")</f>
        <v>S</v>
      </c>
    </row>
    <row r="969" spans="1:47" ht="12" hidden="1" customHeight="1" x14ac:dyDescent="0.3">
      <c r="A969" s="87" t="s">
        <v>47</v>
      </c>
      <c r="B969" s="88">
        <v>46104</v>
      </c>
      <c r="C969" s="89" t="s">
        <v>48</v>
      </c>
      <c r="D969" s="89" t="s">
        <v>49</v>
      </c>
      <c r="E969" s="90">
        <v>82585028</v>
      </c>
      <c r="F969" s="184" t="s">
        <v>2879</v>
      </c>
      <c r="G969" s="91">
        <v>8660677870</v>
      </c>
      <c r="H969" s="92">
        <v>24280</v>
      </c>
      <c r="I969" s="89">
        <v>59</v>
      </c>
      <c r="J969" s="89" t="s">
        <v>51</v>
      </c>
      <c r="K969" s="89" t="s">
        <v>52</v>
      </c>
      <c r="L969" s="89" t="s">
        <v>1973</v>
      </c>
      <c r="M969" s="89" t="s">
        <v>2880</v>
      </c>
      <c r="N969" s="89" t="s">
        <v>113</v>
      </c>
      <c r="O969" s="93" t="s">
        <v>2881</v>
      </c>
      <c r="P969" s="94" t="s">
        <v>57</v>
      </c>
      <c r="Q969" s="112" t="s">
        <v>2211</v>
      </c>
      <c r="R969" s="95"/>
      <c r="S969" s="96">
        <v>46164</v>
      </c>
      <c r="T969" s="96" t="s">
        <v>2212</v>
      </c>
      <c r="U969" s="96" t="s">
        <v>79</v>
      </c>
      <c r="V969" s="92">
        <v>46142</v>
      </c>
      <c r="W969" s="92">
        <v>46147</v>
      </c>
      <c r="X969" s="92">
        <v>46154</v>
      </c>
      <c r="Y969" s="97"/>
      <c r="Z969" s="89"/>
      <c r="AA969" s="96"/>
      <c r="AB969" s="89"/>
      <c r="AC969" s="111"/>
      <c r="AD969" s="89"/>
      <c r="AE969" s="89"/>
      <c r="AF969" s="98"/>
      <c r="AG969" s="98"/>
      <c r="AH969" s="98"/>
      <c r="AI969" s="99"/>
      <c r="AJ969" s="99"/>
      <c r="AK969" s="99"/>
      <c r="AL969" s="45" t="s">
        <v>68</v>
      </c>
      <c r="AM969" s="162" t="str">
        <f t="shared" si="120"/>
        <v>3/2026</v>
      </c>
      <c r="AN969" s="45">
        <f t="shared" si="121"/>
        <v>4</v>
      </c>
      <c r="AO969" s="45" t="str">
        <f t="shared" si="122"/>
        <v>1/1900</v>
      </c>
      <c r="AP969" s="45" t="e">
        <f t="shared" si="123"/>
        <v>#NUM!</v>
      </c>
      <c r="AQ969" s="45">
        <f t="shared" si="124"/>
        <v>0</v>
      </c>
      <c r="AR969" s="45">
        <f t="shared" si="125"/>
        <v>0</v>
      </c>
      <c r="AS969" s="45">
        <f t="shared" si="126"/>
        <v>0</v>
      </c>
      <c r="AT969" s="45">
        <f t="shared" si="127"/>
        <v>0</v>
      </c>
      <c r="AU969" s="45" t="str">
        <f>_xlfn.XLOOKUP(U969,'Lista Suspensa'!$AA$20:$AA$23,'Lista Suspensa'!$AB$20:$AB$23,"N/A")</f>
        <v>S</v>
      </c>
    </row>
    <row r="970" spans="1:47" ht="12" hidden="1" customHeight="1" x14ac:dyDescent="0.3">
      <c r="A970" s="87" t="s">
        <v>47</v>
      </c>
      <c r="B970" s="88">
        <v>46104</v>
      </c>
      <c r="C970" s="89" t="s">
        <v>48</v>
      </c>
      <c r="D970" s="89" t="s">
        <v>49</v>
      </c>
      <c r="E970" s="90">
        <v>81393453</v>
      </c>
      <c r="F970" s="184" t="s">
        <v>2882</v>
      </c>
      <c r="G970" s="91">
        <v>9208377865</v>
      </c>
      <c r="H970" s="92">
        <v>18264</v>
      </c>
      <c r="I970" s="89">
        <v>76</v>
      </c>
      <c r="J970" s="89" t="s">
        <v>70</v>
      </c>
      <c r="K970" s="89" t="s">
        <v>52</v>
      </c>
      <c r="L970" s="89" t="s">
        <v>331</v>
      </c>
      <c r="M970" s="89" t="s">
        <v>2883</v>
      </c>
      <c r="N970" s="89" t="s">
        <v>113</v>
      </c>
      <c r="O970" s="93" t="s">
        <v>2884</v>
      </c>
      <c r="P970" s="94" t="s">
        <v>57</v>
      </c>
      <c r="Q970" s="112" t="s">
        <v>2211</v>
      </c>
      <c r="R970" s="95"/>
      <c r="S970" s="96">
        <v>46164</v>
      </c>
      <c r="T970" s="96" t="s">
        <v>2212</v>
      </c>
      <c r="U970" s="96" t="s">
        <v>79</v>
      </c>
      <c r="V970" s="92">
        <v>46142</v>
      </c>
      <c r="W970" s="92">
        <v>46147</v>
      </c>
      <c r="X970" s="92">
        <v>46154</v>
      </c>
      <c r="Y970" s="97"/>
      <c r="Z970" s="89"/>
      <c r="AA970" s="96"/>
      <c r="AB970" s="89"/>
      <c r="AC970" s="111"/>
      <c r="AD970" s="89"/>
      <c r="AE970" s="89"/>
      <c r="AF970" s="98"/>
      <c r="AG970" s="98"/>
      <c r="AH970" s="98"/>
      <c r="AI970" s="99"/>
      <c r="AJ970" s="99"/>
      <c r="AK970" s="99"/>
      <c r="AL970" s="45" t="s">
        <v>68</v>
      </c>
      <c r="AM970" s="162" t="str">
        <f t="shared" si="120"/>
        <v>3/2026</v>
      </c>
      <c r="AN970" s="45">
        <f t="shared" si="121"/>
        <v>4</v>
      </c>
      <c r="AO970" s="45" t="str">
        <f t="shared" si="122"/>
        <v>1/1900</v>
      </c>
      <c r="AP970" s="45" t="e">
        <f t="shared" si="123"/>
        <v>#NUM!</v>
      </c>
      <c r="AQ970" s="45">
        <f t="shared" si="124"/>
        <v>0</v>
      </c>
      <c r="AR970" s="45">
        <f t="shared" si="125"/>
        <v>0</v>
      </c>
      <c r="AS970" s="45">
        <f t="shared" si="126"/>
        <v>0</v>
      </c>
      <c r="AT970" s="45">
        <f t="shared" si="127"/>
        <v>0</v>
      </c>
      <c r="AU970" s="45" t="str">
        <f>_xlfn.XLOOKUP(U970,'Lista Suspensa'!$AA$20:$AA$23,'Lista Suspensa'!$AB$20:$AB$23,"N/A")</f>
        <v>S</v>
      </c>
    </row>
    <row r="971" spans="1:47" ht="12" hidden="1" customHeight="1" x14ac:dyDescent="0.3">
      <c r="A971" s="87" t="s">
        <v>47</v>
      </c>
      <c r="B971" s="88">
        <v>46104</v>
      </c>
      <c r="C971" s="89" t="s">
        <v>48</v>
      </c>
      <c r="D971" s="89" t="s">
        <v>49</v>
      </c>
      <c r="E971" s="90">
        <v>81658652</v>
      </c>
      <c r="F971" s="184" t="s">
        <v>2885</v>
      </c>
      <c r="G971" s="91">
        <v>5738778820</v>
      </c>
      <c r="H971" s="92">
        <v>22820</v>
      </c>
      <c r="I971" s="89">
        <v>63</v>
      </c>
      <c r="J971" s="89" t="s">
        <v>51</v>
      </c>
      <c r="K971" s="89" t="s">
        <v>52</v>
      </c>
      <c r="L971" s="89" t="s">
        <v>1002</v>
      </c>
      <c r="M971" s="89" t="s">
        <v>76</v>
      </c>
      <c r="N971" s="89" t="s">
        <v>113</v>
      </c>
      <c r="O971" s="93" t="s">
        <v>2886</v>
      </c>
      <c r="P971" s="94" t="s">
        <v>57</v>
      </c>
      <c r="Q971" s="112" t="s">
        <v>2211</v>
      </c>
      <c r="R971" s="95"/>
      <c r="S971" s="96">
        <v>46164</v>
      </c>
      <c r="T971" s="96" t="s">
        <v>2212</v>
      </c>
      <c r="U971" s="96" t="s">
        <v>79</v>
      </c>
      <c r="V971" s="92">
        <v>46142</v>
      </c>
      <c r="W971" s="92">
        <v>46147</v>
      </c>
      <c r="X971" s="92">
        <v>46154</v>
      </c>
      <c r="Y971" s="97"/>
      <c r="Z971" s="89"/>
      <c r="AA971" s="96"/>
      <c r="AB971" s="89"/>
      <c r="AC971" s="111"/>
      <c r="AD971" s="89"/>
      <c r="AE971" s="89"/>
      <c r="AF971" s="98"/>
      <c r="AG971" s="98"/>
      <c r="AH971" s="98"/>
      <c r="AI971" s="99"/>
      <c r="AJ971" s="99"/>
      <c r="AK971" s="99"/>
      <c r="AL971" s="45" t="s">
        <v>68</v>
      </c>
      <c r="AM971" s="162" t="str">
        <f t="shared" si="120"/>
        <v>3/2026</v>
      </c>
      <c r="AN971" s="45">
        <f t="shared" si="121"/>
        <v>4</v>
      </c>
      <c r="AO971" s="45" t="str">
        <f t="shared" si="122"/>
        <v>1/1900</v>
      </c>
      <c r="AP971" s="45" t="e">
        <f t="shared" si="123"/>
        <v>#NUM!</v>
      </c>
      <c r="AQ971" s="45">
        <f t="shared" si="124"/>
        <v>0</v>
      </c>
      <c r="AR971" s="45">
        <f t="shared" si="125"/>
        <v>0</v>
      </c>
      <c r="AS971" s="45">
        <f t="shared" si="126"/>
        <v>0</v>
      </c>
      <c r="AT971" s="45">
        <f t="shared" si="127"/>
        <v>0</v>
      </c>
      <c r="AU971" s="45" t="str">
        <f>_xlfn.XLOOKUP(U971,'Lista Suspensa'!$AA$20:$AA$23,'Lista Suspensa'!$AB$20:$AB$23,"N/A")</f>
        <v>S</v>
      </c>
    </row>
    <row r="972" spans="1:47" ht="12" hidden="1" customHeight="1" x14ac:dyDescent="0.3">
      <c r="A972" s="87" t="s">
        <v>47</v>
      </c>
      <c r="B972" s="88">
        <v>46104</v>
      </c>
      <c r="C972" s="89" t="s">
        <v>48</v>
      </c>
      <c r="D972" s="89" t="s">
        <v>49</v>
      </c>
      <c r="E972" s="90">
        <v>81582772</v>
      </c>
      <c r="F972" s="184" t="s">
        <v>2887</v>
      </c>
      <c r="G972" s="91">
        <v>2250079838</v>
      </c>
      <c r="H972" s="92">
        <v>22730</v>
      </c>
      <c r="I972" s="89">
        <v>63</v>
      </c>
      <c r="J972" s="89" t="s">
        <v>51</v>
      </c>
      <c r="K972" s="89" t="s">
        <v>52</v>
      </c>
      <c r="L972" s="89" t="s">
        <v>2888</v>
      </c>
      <c r="M972" s="89" t="s">
        <v>2889</v>
      </c>
      <c r="N972" s="89" t="s">
        <v>113</v>
      </c>
      <c r="O972" s="93" t="s">
        <v>2890</v>
      </c>
      <c r="P972" s="94" t="s">
        <v>57</v>
      </c>
      <c r="Q972" s="112" t="s">
        <v>2211</v>
      </c>
      <c r="R972" s="95"/>
      <c r="S972" s="96">
        <v>46150</v>
      </c>
      <c r="T972" s="96" t="s">
        <v>2212</v>
      </c>
      <c r="U972" s="96" t="s">
        <v>79</v>
      </c>
      <c r="V972" s="92">
        <v>46112</v>
      </c>
      <c r="W972" s="92">
        <v>46147</v>
      </c>
      <c r="X972" s="92">
        <v>46147</v>
      </c>
      <c r="Y972" s="97"/>
      <c r="Z972" s="89"/>
      <c r="AA972" s="96"/>
      <c r="AB972" s="89"/>
      <c r="AC972" s="111"/>
      <c r="AD972" s="89"/>
      <c r="AE972" s="89"/>
      <c r="AF972" s="98"/>
      <c r="AG972" s="98"/>
      <c r="AH972" s="98"/>
      <c r="AI972" s="99"/>
      <c r="AJ972" s="99"/>
      <c r="AK972" s="99"/>
      <c r="AL972" s="45" t="s">
        <v>68</v>
      </c>
      <c r="AM972" s="162" t="str">
        <f t="shared" si="120"/>
        <v>3/2026</v>
      </c>
      <c r="AN972" s="45">
        <f t="shared" si="121"/>
        <v>4</v>
      </c>
      <c r="AO972" s="45" t="str">
        <f t="shared" si="122"/>
        <v>1/1900</v>
      </c>
      <c r="AP972" s="45" t="e">
        <f t="shared" si="123"/>
        <v>#NUM!</v>
      </c>
      <c r="AQ972" s="45">
        <f t="shared" si="124"/>
        <v>0</v>
      </c>
      <c r="AR972" s="45">
        <f t="shared" si="125"/>
        <v>0</v>
      </c>
      <c r="AS972" s="45">
        <f t="shared" si="126"/>
        <v>0</v>
      </c>
      <c r="AT972" s="45">
        <f t="shared" si="127"/>
        <v>0</v>
      </c>
      <c r="AU972" s="45" t="str">
        <f>_xlfn.XLOOKUP(U972,'Lista Suspensa'!$AA$20:$AA$23,'Lista Suspensa'!$AB$20:$AB$23,"N/A")</f>
        <v>S</v>
      </c>
    </row>
    <row r="973" spans="1:47" ht="12" hidden="1" customHeight="1" x14ac:dyDescent="0.3">
      <c r="A973" s="87" t="s">
        <v>47</v>
      </c>
      <c r="B973" s="88">
        <v>46104</v>
      </c>
      <c r="C973" s="89" t="s">
        <v>48</v>
      </c>
      <c r="D973" s="89" t="s">
        <v>49</v>
      </c>
      <c r="E973" s="90">
        <v>82823678</v>
      </c>
      <c r="F973" s="184" t="s">
        <v>2891</v>
      </c>
      <c r="G973" s="91">
        <v>12974971806</v>
      </c>
      <c r="H973" s="92">
        <v>19685</v>
      </c>
      <c r="I973" s="89">
        <v>72</v>
      </c>
      <c r="J973" s="89" t="s">
        <v>70</v>
      </c>
      <c r="K973" s="89" t="s">
        <v>52</v>
      </c>
      <c r="L973" s="89" t="s">
        <v>331</v>
      </c>
      <c r="M973" s="89" t="s">
        <v>2286</v>
      </c>
      <c r="N973" s="89" t="s">
        <v>113</v>
      </c>
      <c r="O973" s="93" t="s">
        <v>2892</v>
      </c>
      <c r="P973" s="94" t="s">
        <v>57</v>
      </c>
      <c r="Q973" s="112" t="s">
        <v>2211</v>
      </c>
      <c r="R973" s="95"/>
      <c r="S973" s="96">
        <v>46164</v>
      </c>
      <c r="T973" s="96" t="s">
        <v>2212</v>
      </c>
      <c r="U973" s="96" t="s">
        <v>79</v>
      </c>
      <c r="V973" s="92">
        <v>46142</v>
      </c>
      <c r="W973" s="92">
        <v>46147</v>
      </c>
      <c r="X973" s="92">
        <v>46154</v>
      </c>
      <c r="Y973" s="97"/>
      <c r="Z973" s="89"/>
      <c r="AA973" s="96"/>
      <c r="AB973" s="89"/>
      <c r="AC973" s="111"/>
      <c r="AD973" s="89"/>
      <c r="AE973" s="89"/>
      <c r="AF973" s="98"/>
      <c r="AG973" s="98"/>
      <c r="AH973" s="98"/>
      <c r="AI973" s="99"/>
      <c r="AJ973" s="99"/>
      <c r="AK973" s="99"/>
      <c r="AL973" s="45" t="s">
        <v>68</v>
      </c>
      <c r="AM973" s="162" t="str">
        <f t="shared" si="120"/>
        <v>3/2026</v>
      </c>
      <c r="AN973" s="45">
        <f t="shared" si="121"/>
        <v>4</v>
      </c>
      <c r="AO973" s="45" t="str">
        <f t="shared" si="122"/>
        <v>1/1900</v>
      </c>
      <c r="AP973" s="45" t="e">
        <f t="shared" si="123"/>
        <v>#NUM!</v>
      </c>
      <c r="AQ973" s="45">
        <f t="shared" si="124"/>
        <v>0</v>
      </c>
      <c r="AR973" s="45">
        <f t="shared" si="125"/>
        <v>0</v>
      </c>
      <c r="AS973" s="45">
        <f t="shared" si="126"/>
        <v>0</v>
      </c>
      <c r="AT973" s="45">
        <f t="shared" si="127"/>
        <v>0</v>
      </c>
      <c r="AU973" s="45" t="str">
        <f>_xlfn.XLOOKUP(U973,'Lista Suspensa'!$AA$20:$AA$23,'Lista Suspensa'!$AB$20:$AB$23,"N/A")</f>
        <v>S</v>
      </c>
    </row>
    <row r="974" spans="1:47" ht="12" hidden="1" customHeight="1" x14ac:dyDescent="0.3">
      <c r="A974" s="87" t="s">
        <v>47</v>
      </c>
      <c r="B974" s="88">
        <v>46104</v>
      </c>
      <c r="C974" s="89" t="s">
        <v>48</v>
      </c>
      <c r="D974" s="89" t="s">
        <v>49</v>
      </c>
      <c r="E974" s="90">
        <v>80988269</v>
      </c>
      <c r="F974" s="184" t="s">
        <v>2893</v>
      </c>
      <c r="G974" s="91">
        <v>75779684804</v>
      </c>
      <c r="H974" s="92">
        <v>19410</v>
      </c>
      <c r="I974" s="89">
        <v>73</v>
      </c>
      <c r="J974" s="89" t="s">
        <v>51</v>
      </c>
      <c r="K974" s="89" t="s">
        <v>52</v>
      </c>
      <c r="L974" s="89" t="s">
        <v>53</v>
      </c>
      <c r="M974" s="89" t="s">
        <v>356</v>
      </c>
      <c r="N974" s="89" t="s">
        <v>113</v>
      </c>
      <c r="O974" s="93" t="s">
        <v>2894</v>
      </c>
      <c r="P974" s="94" t="s">
        <v>57</v>
      </c>
      <c r="Q974" s="112" t="s">
        <v>2211</v>
      </c>
      <c r="R974" s="95"/>
      <c r="S974" s="96">
        <v>46164</v>
      </c>
      <c r="T974" s="96" t="s">
        <v>2212</v>
      </c>
      <c r="U974" s="96" t="s">
        <v>79</v>
      </c>
      <c r="V974" s="92">
        <v>46142</v>
      </c>
      <c r="W974" s="92">
        <v>46147</v>
      </c>
      <c r="X974" s="92">
        <v>46154</v>
      </c>
      <c r="Y974" s="97"/>
      <c r="Z974" s="89"/>
      <c r="AA974" s="96"/>
      <c r="AB974" s="89"/>
      <c r="AC974" s="111"/>
      <c r="AD974" s="89"/>
      <c r="AE974" s="89"/>
      <c r="AF974" s="98"/>
      <c r="AG974" s="98"/>
      <c r="AH974" s="98"/>
      <c r="AI974" s="99"/>
      <c r="AJ974" s="99"/>
      <c r="AK974" s="99"/>
      <c r="AL974" s="45" t="s">
        <v>68</v>
      </c>
      <c r="AM974" s="162" t="str">
        <f t="shared" si="120"/>
        <v>3/2026</v>
      </c>
      <c r="AN974" s="45">
        <f t="shared" si="121"/>
        <v>4</v>
      </c>
      <c r="AO974" s="45" t="str">
        <f t="shared" si="122"/>
        <v>1/1900</v>
      </c>
      <c r="AP974" s="45" t="e">
        <f t="shared" si="123"/>
        <v>#NUM!</v>
      </c>
      <c r="AQ974" s="45">
        <f t="shared" si="124"/>
        <v>0</v>
      </c>
      <c r="AR974" s="45">
        <f t="shared" si="125"/>
        <v>0</v>
      </c>
      <c r="AS974" s="45">
        <f t="shared" si="126"/>
        <v>0</v>
      </c>
      <c r="AT974" s="45">
        <f t="shared" si="127"/>
        <v>0</v>
      </c>
      <c r="AU974" s="45" t="str">
        <f>_xlfn.XLOOKUP(U974,'Lista Suspensa'!$AA$20:$AA$23,'Lista Suspensa'!$AB$20:$AB$23,"N/A")</f>
        <v>S</v>
      </c>
    </row>
    <row r="975" spans="1:47" ht="12" hidden="1" customHeight="1" x14ac:dyDescent="0.3">
      <c r="A975" s="87" t="s">
        <v>47</v>
      </c>
      <c r="B975" s="88">
        <v>46104</v>
      </c>
      <c r="C975" s="89" t="s">
        <v>48</v>
      </c>
      <c r="D975" s="89" t="s">
        <v>49</v>
      </c>
      <c r="E975" s="90">
        <v>80988270</v>
      </c>
      <c r="F975" s="184" t="s">
        <v>2895</v>
      </c>
      <c r="G975" s="91">
        <v>1100314822</v>
      </c>
      <c r="H975" s="92">
        <v>19858</v>
      </c>
      <c r="I975" s="89">
        <v>71</v>
      </c>
      <c r="J975" s="89" t="s">
        <v>70</v>
      </c>
      <c r="K975" s="89" t="s">
        <v>52</v>
      </c>
      <c r="L975" s="89" t="s">
        <v>53</v>
      </c>
      <c r="M975" s="89" t="s">
        <v>356</v>
      </c>
      <c r="N975" s="89" t="s">
        <v>113</v>
      </c>
      <c r="O975" s="93" t="s">
        <v>2896</v>
      </c>
      <c r="P975" s="94" t="s">
        <v>57</v>
      </c>
      <c r="Q975" s="112" t="s">
        <v>2211</v>
      </c>
      <c r="R975" s="95"/>
      <c r="S975" s="96">
        <v>46164</v>
      </c>
      <c r="T975" s="96" t="s">
        <v>2212</v>
      </c>
      <c r="U975" s="96" t="s">
        <v>79</v>
      </c>
      <c r="V975" s="92">
        <v>46142</v>
      </c>
      <c r="W975" s="92">
        <v>46147</v>
      </c>
      <c r="X975" s="92">
        <v>46154</v>
      </c>
      <c r="Y975" s="97"/>
      <c r="Z975" s="89"/>
      <c r="AA975" s="96"/>
      <c r="AB975" s="89"/>
      <c r="AC975" s="111"/>
      <c r="AD975" s="89"/>
      <c r="AE975" s="89"/>
      <c r="AF975" s="98"/>
      <c r="AG975" s="98"/>
      <c r="AH975" s="98"/>
      <c r="AI975" s="99"/>
      <c r="AJ975" s="99"/>
      <c r="AK975" s="99"/>
      <c r="AL975" s="45" t="s">
        <v>68</v>
      </c>
      <c r="AM975" s="162" t="str">
        <f t="shared" si="120"/>
        <v>3/2026</v>
      </c>
      <c r="AN975" s="45">
        <f t="shared" si="121"/>
        <v>4</v>
      </c>
      <c r="AO975" s="45" t="str">
        <f t="shared" si="122"/>
        <v>1/1900</v>
      </c>
      <c r="AP975" s="45" t="e">
        <f t="shared" si="123"/>
        <v>#NUM!</v>
      </c>
      <c r="AQ975" s="45">
        <f t="shared" si="124"/>
        <v>0</v>
      </c>
      <c r="AR975" s="45">
        <f t="shared" si="125"/>
        <v>0</v>
      </c>
      <c r="AS975" s="45">
        <f t="shared" si="126"/>
        <v>0</v>
      </c>
      <c r="AT975" s="45">
        <f t="shared" si="127"/>
        <v>0</v>
      </c>
      <c r="AU975" s="45" t="str">
        <f>_xlfn.XLOOKUP(U975,'Lista Suspensa'!$AA$20:$AA$23,'Lista Suspensa'!$AB$20:$AB$23,"N/A")</f>
        <v>S</v>
      </c>
    </row>
    <row r="976" spans="1:47" ht="12" hidden="1" customHeight="1" x14ac:dyDescent="0.3">
      <c r="A976" s="87" t="s">
        <v>47</v>
      </c>
      <c r="B976" s="88">
        <v>46104</v>
      </c>
      <c r="C976" s="89" t="s">
        <v>48</v>
      </c>
      <c r="D976" s="89" t="s">
        <v>49</v>
      </c>
      <c r="E976" s="90">
        <v>79291275</v>
      </c>
      <c r="F976" s="184" t="s">
        <v>2897</v>
      </c>
      <c r="G976" s="91">
        <v>33703779772</v>
      </c>
      <c r="H976" s="92">
        <v>19552</v>
      </c>
      <c r="I976" s="89">
        <v>72</v>
      </c>
      <c r="J976" s="89" t="s">
        <v>51</v>
      </c>
      <c r="K976" s="89" t="s">
        <v>88</v>
      </c>
      <c r="L976" s="89" t="s">
        <v>97</v>
      </c>
      <c r="M976" s="89" t="s">
        <v>98</v>
      </c>
      <c r="N976" s="89" t="s">
        <v>113</v>
      </c>
      <c r="O976" s="93" t="s">
        <v>2898</v>
      </c>
      <c r="P976" s="94" t="s">
        <v>57</v>
      </c>
      <c r="Q976" s="112" t="s">
        <v>2211</v>
      </c>
      <c r="R976" s="95"/>
      <c r="S976" s="96">
        <v>46164</v>
      </c>
      <c r="T976" s="96" t="s">
        <v>2212</v>
      </c>
      <c r="U976" s="96" t="s">
        <v>79</v>
      </c>
      <c r="V976" s="92">
        <v>46142</v>
      </c>
      <c r="W976" s="92">
        <v>46147</v>
      </c>
      <c r="X976" s="92">
        <v>46154</v>
      </c>
      <c r="Y976" s="97"/>
      <c r="Z976" s="89"/>
      <c r="AA976" s="96"/>
      <c r="AB976" s="89"/>
      <c r="AC976" s="111"/>
      <c r="AD976" s="89"/>
      <c r="AE976" s="89"/>
      <c r="AF976" s="98"/>
      <c r="AG976" s="98"/>
      <c r="AH976" s="98"/>
      <c r="AI976" s="99"/>
      <c r="AJ976" s="99"/>
      <c r="AK976" s="99"/>
      <c r="AL976" s="45" t="s">
        <v>68</v>
      </c>
      <c r="AM976" s="162" t="str">
        <f t="shared" si="120"/>
        <v>3/2026</v>
      </c>
      <c r="AN976" s="45">
        <f t="shared" si="121"/>
        <v>4</v>
      </c>
      <c r="AO976" s="45" t="str">
        <f t="shared" si="122"/>
        <v>1/1900</v>
      </c>
      <c r="AP976" s="45" t="e">
        <f t="shared" si="123"/>
        <v>#NUM!</v>
      </c>
      <c r="AQ976" s="45">
        <f t="shared" si="124"/>
        <v>0</v>
      </c>
      <c r="AR976" s="45">
        <f t="shared" si="125"/>
        <v>0</v>
      </c>
      <c r="AS976" s="45">
        <f t="shared" si="126"/>
        <v>0</v>
      </c>
      <c r="AT976" s="45">
        <f t="shared" si="127"/>
        <v>0</v>
      </c>
      <c r="AU976" s="45" t="str">
        <f>_xlfn.XLOOKUP(U976,'Lista Suspensa'!$AA$20:$AA$23,'Lista Suspensa'!$AB$20:$AB$23,"N/A")</f>
        <v>S</v>
      </c>
    </row>
    <row r="977" spans="1:47" ht="12" hidden="1" customHeight="1" x14ac:dyDescent="0.3">
      <c r="A977" s="87" t="s">
        <v>47</v>
      </c>
      <c r="B977" s="88">
        <v>46104</v>
      </c>
      <c r="C977" s="89" t="s">
        <v>48</v>
      </c>
      <c r="D977" s="89" t="s">
        <v>49</v>
      </c>
      <c r="E977" s="90">
        <v>82855052</v>
      </c>
      <c r="F977" s="184" t="s">
        <v>2899</v>
      </c>
      <c r="G977" s="91">
        <v>85400459749</v>
      </c>
      <c r="H977" s="92">
        <v>23260</v>
      </c>
      <c r="I977" s="89">
        <v>62</v>
      </c>
      <c r="J977" s="89" t="s">
        <v>51</v>
      </c>
      <c r="K977" s="89" t="s">
        <v>88</v>
      </c>
      <c r="L977" s="89" t="s">
        <v>97</v>
      </c>
      <c r="M977" s="89" t="s">
        <v>98</v>
      </c>
      <c r="N977" s="89" t="s">
        <v>113</v>
      </c>
      <c r="O977" s="93" t="s">
        <v>2900</v>
      </c>
      <c r="P977" s="94" t="s">
        <v>57</v>
      </c>
      <c r="Q977" s="112" t="s">
        <v>2211</v>
      </c>
      <c r="R977" s="95"/>
      <c r="S977" s="96">
        <v>46164</v>
      </c>
      <c r="T977" s="96" t="s">
        <v>2212</v>
      </c>
      <c r="U977" s="96" t="s">
        <v>79</v>
      </c>
      <c r="V977" s="92">
        <v>46142</v>
      </c>
      <c r="W977" s="92">
        <v>46147</v>
      </c>
      <c r="X977" s="92">
        <v>46154</v>
      </c>
      <c r="Y977" s="97"/>
      <c r="Z977" s="89"/>
      <c r="AA977" s="96"/>
      <c r="AB977" s="89"/>
      <c r="AC977" s="111"/>
      <c r="AD977" s="89"/>
      <c r="AE977" s="89"/>
      <c r="AF977" s="98"/>
      <c r="AG977" s="98"/>
      <c r="AH977" s="98"/>
      <c r="AI977" s="99"/>
      <c r="AJ977" s="99"/>
      <c r="AK977" s="99"/>
      <c r="AL977" s="45" t="s">
        <v>68</v>
      </c>
      <c r="AM977" s="162" t="str">
        <f t="shared" si="120"/>
        <v>3/2026</v>
      </c>
      <c r="AN977" s="45">
        <f t="shared" si="121"/>
        <v>4</v>
      </c>
      <c r="AO977" s="45" t="str">
        <f t="shared" si="122"/>
        <v>1/1900</v>
      </c>
      <c r="AP977" s="45" t="e">
        <f t="shared" si="123"/>
        <v>#NUM!</v>
      </c>
      <c r="AQ977" s="45">
        <f t="shared" si="124"/>
        <v>0</v>
      </c>
      <c r="AR977" s="45">
        <f t="shared" si="125"/>
        <v>0</v>
      </c>
      <c r="AS977" s="45">
        <f t="shared" si="126"/>
        <v>0</v>
      </c>
      <c r="AT977" s="45">
        <f t="shared" si="127"/>
        <v>0</v>
      </c>
      <c r="AU977" s="45" t="str">
        <f>_xlfn.XLOOKUP(U977,'Lista Suspensa'!$AA$20:$AA$23,'Lista Suspensa'!$AB$20:$AB$23,"N/A")</f>
        <v>S</v>
      </c>
    </row>
    <row r="978" spans="1:47" ht="12" hidden="1" customHeight="1" x14ac:dyDescent="0.3">
      <c r="A978" s="87" t="s">
        <v>47</v>
      </c>
      <c r="B978" s="88">
        <v>46104</v>
      </c>
      <c r="C978" s="89" t="s">
        <v>48</v>
      </c>
      <c r="D978" s="89" t="s">
        <v>49</v>
      </c>
      <c r="E978" s="90">
        <v>453776191</v>
      </c>
      <c r="F978" s="184" t="s">
        <v>2901</v>
      </c>
      <c r="G978" s="91">
        <v>89555562849</v>
      </c>
      <c r="H978" s="92">
        <v>19909</v>
      </c>
      <c r="I978" s="89">
        <v>71</v>
      </c>
      <c r="J978" s="89" t="s">
        <v>51</v>
      </c>
      <c r="K978" s="89" t="s">
        <v>52</v>
      </c>
      <c r="L978" s="89" t="s">
        <v>53</v>
      </c>
      <c r="M978" s="89" t="s">
        <v>2902</v>
      </c>
      <c r="N978" s="89" t="s">
        <v>72</v>
      </c>
      <c r="O978" s="93" t="s">
        <v>2903</v>
      </c>
      <c r="P978" s="94" t="s">
        <v>57</v>
      </c>
      <c r="Q978" s="112" t="s">
        <v>2211</v>
      </c>
      <c r="R978" s="95"/>
      <c r="S978" s="96">
        <v>46150</v>
      </c>
      <c r="T978" s="96" t="s">
        <v>2212</v>
      </c>
      <c r="U978" s="96" t="s">
        <v>79</v>
      </c>
      <c r="V978" s="92">
        <v>46128</v>
      </c>
      <c r="W978" s="92">
        <v>46142</v>
      </c>
      <c r="X978" s="92">
        <v>46147</v>
      </c>
      <c r="Y978" s="97"/>
      <c r="Z978" s="89"/>
      <c r="AA978" s="96"/>
      <c r="AB978" s="89"/>
      <c r="AC978" s="111"/>
      <c r="AD978" s="89"/>
      <c r="AE978" s="89"/>
      <c r="AF978" s="98"/>
      <c r="AG978" s="98"/>
      <c r="AH978" s="98"/>
      <c r="AI978" s="99"/>
      <c r="AJ978" s="99"/>
      <c r="AK978" s="99"/>
      <c r="AL978" s="45" t="s">
        <v>68</v>
      </c>
      <c r="AM978" s="162" t="str">
        <f t="shared" si="120"/>
        <v>3/2026</v>
      </c>
      <c r="AN978" s="45">
        <f t="shared" si="121"/>
        <v>4</v>
      </c>
      <c r="AO978" s="45" t="str">
        <f t="shared" si="122"/>
        <v>1/1900</v>
      </c>
      <c r="AP978" s="45" t="e">
        <f t="shared" si="123"/>
        <v>#NUM!</v>
      </c>
      <c r="AQ978" s="45">
        <f t="shared" si="124"/>
        <v>0</v>
      </c>
      <c r="AR978" s="45">
        <f t="shared" si="125"/>
        <v>0</v>
      </c>
      <c r="AS978" s="45">
        <f t="shared" si="126"/>
        <v>0</v>
      </c>
      <c r="AT978" s="45">
        <f t="shared" si="127"/>
        <v>0</v>
      </c>
      <c r="AU978" s="45" t="str">
        <f>_xlfn.XLOOKUP(U978,'Lista Suspensa'!$AA$20:$AA$23,'Lista Suspensa'!$AB$20:$AB$23,"N/A")</f>
        <v>S</v>
      </c>
    </row>
    <row r="979" spans="1:47" ht="12" hidden="1" customHeight="1" x14ac:dyDescent="0.3">
      <c r="A979" s="87" t="s">
        <v>47</v>
      </c>
      <c r="B979" s="88">
        <v>46104</v>
      </c>
      <c r="C979" s="89" t="s">
        <v>48</v>
      </c>
      <c r="D979" s="89" t="s">
        <v>49</v>
      </c>
      <c r="E979" s="90">
        <v>451757955</v>
      </c>
      <c r="F979" s="184" t="s">
        <v>2904</v>
      </c>
      <c r="G979" s="91">
        <v>8959423807</v>
      </c>
      <c r="H979" s="92">
        <v>14963</v>
      </c>
      <c r="I979" s="89">
        <v>85</v>
      </c>
      <c r="J979" s="89" t="s">
        <v>70</v>
      </c>
      <c r="K979" s="89" t="s">
        <v>52</v>
      </c>
      <c r="L979" s="89" t="s">
        <v>53</v>
      </c>
      <c r="M979" s="89" t="s">
        <v>1237</v>
      </c>
      <c r="N979" s="89" t="s">
        <v>72</v>
      </c>
      <c r="O979" s="93" t="s">
        <v>2905</v>
      </c>
      <c r="P979" s="94" t="s">
        <v>57</v>
      </c>
      <c r="Q979" s="112" t="s">
        <v>2211</v>
      </c>
      <c r="R979" s="95"/>
      <c r="S979" s="96">
        <v>46150</v>
      </c>
      <c r="T979" s="96" t="s">
        <v>2212</v>
      </c>
      <c r="U979" s="96" t="s">
        <v>79</v>
      </c>
      <c r="V979" s="92">
        <v>46128</v>
      </c>
      <c r="W979" s="92">
        <v>46142</v>
      </c>
      <c r="X979" s="92">
        <v>46147</v>
      </c>
      <c r="Y979" s="97"/>
      <c r="Z979" s="89"/>
      <c r="AA979" s="96"/>
      <c r="AB979" s="89"/>
      <c r="AC979" s="111"/>
      <c r="AD979" s="89"/>
      <c r="AE979" s="89"/>
      <c r="AF979" s="98"/>
      <c r="AG979" s="98"/>
      <c r="AH979" s="98"/>
      <c r="AI979" s="99"/>
      <c r="AJ979" s="99"/>
      <c r="AK979" s="99"/>
      <c r="AL979" s="45" t="s">
        <v>68</v>
      </c>
      <c r="AM979" s="162" t="str">
        <f t="shared" si="120"/>
        <v>3/2026</v>
      </c>
      <c r="AN979" s="45">
        <f t="shared" si="121"/>
        <v>4</v>
      </c>
      <c r="AO979" s="45" t="str">
        <f t="shared" si="122"/>
        <v>1/1900</v>
      </c>
      <c r="AP979" s="45" t="e">
        <f t="shared" si="123"/>
        <v>#NUM!</v>
      </c>
      <c r="AQ979" s="45">
        <f t="shared" si="124"/>
        <v>0</v>
      </c>
      <c r="AR979" s="45">
        <f t="shared" si="125"/>
        <v>0</v>
      </c>
      <c r="AS979" s="45">
        <f t="shared" si="126"/>
        <v>0</v>
      </c>
      <c r="AT979" s="45">
        <f t="shared" si="127"/>
        <v>0</v>
      </c>
      <c r="AU979" s="45" t="str">
        <f>_xlfn.XLOOKUP(U979,'Lista Suspensa'!$AA$20:$AA$23,'Lista Suspensa'!$AB$20:$AB$23,"N/A")</f>
        <v>S</v>
      </c>
    </row>
    <row r="980" spans="1:47" ht="12" hidden="1" customHeight="1" x14ac:dyDescent="0.3">
      <c r="A980" s="87" t="s">
        <v>47</v>
      </c>
      <c r="B980" s="88">
        <v>46104</v>
      </c>
      <c r="C980" s="89" t="s">
        <v>48</v>
      </c>
      <c r="D980" s="89" t="s">
        <v>49</v>
      </c>
      <c r="E980" s="90">
        <v>421791551</v>
      </c>
      <c r="F980" s="184" t="s">
        <v>2906</v>
      </c>
      <c r="G980" s="91">
        <v>17746218865</v>
      </c>
      <c r="H980" s="92">
        <v>27952</v>
      </c>
      <c r="I980" s="89">
        <v>49</v>
      </c>
      <c r="J980" s="89" t="s">
        <v>51</v>
      </c>
      <c r="K980" s="89" t="s">
        <v>52</v>
      </c>
      <c r="L980" s="89" t="s">
        <v>283</v>
      </c>
      <c r="M980" s="89" t="s">
        <v>813</v>
      </c>
      <c r="N980" s="89" t="s">
        <v>72</v>
      </c>
      <c r="O980" s="93" t="s">
        <v>2907</v>
      </c>
      <c r="P980" s="94" t="s">
        <v>57</v>
      </c>
      <c r="Q980" s="112" t="s">
        <v>2211</v>
      </c>
      <c r="R980" s="95"/>
      <c r="S980" s="96">
        <v>46164</v>
      </c>
      <c r="T980" s="96" t="s">
        <v>2212</v>
      </c>
      <c r="U980" s="96" t="s">
        <v>79</v>
      </c>
      <c r="V980" s="92">
        <v>46142</v>
      </c>
      <c r="W980" s="92">
        <v>46147</v>
      </c>
      <c r="X980" s="92">
        <v>46154</v>
      </c>
      <c r="Y980" s="97"/>
      <c r="Z980" s="89"/>
      <c r="AA980" s="96"/>
      <c r="AB980" s="89"/>
      <c r="AC980" s="111"/>
      <c r="AD980" s="89"/>
      <c r="AE980" s="89"/>
      <c r="AF980" s="98"/>
      <c r="AG980" s="98"/>
      <c r="AH980" s="98"/>
      <c r="AI980" s="99"/>
      <c r="AJ980" s="99"/>
      <c r="AK980" s="99"/>
      <c r="AL980" s="45" t="s">
        <v>68</v>
      </c>
      <c r="AM980" s="162" t="str">
        <f t="shared" si="120"/>
        <v>3/2026</v>
      </c>
      <c r="AN980" s="45">
        <f t="shared" si="121"/>
        <v>4</v>
      </c>
      <c r="AO980" s="45" t="str">
        <f t="shared" si="122"/>
        <v>1/1900</v>
      </c>
      <c r="AP980" s="45" t="e">
        <f t="shared" si="123"/>
        <v>#NUM!</v>
      </c>
      <c r="AQ980" s="45">
        <f t="shared" si="124"/>
        <v>0</v>
      </c>
      <c r="AR980" s="45">
        <f t="shared" si="125"/>
        <v>0</v>
      </c>
      <c r="AS980" s="45">
        <f t="shared" si="126"/>
        <v>0</v>
      </c>
      <c r="AT980" s="45">
        <f t="shared" si="127"/>
        <v>0</v>
      </c>
      <c r="AU980" s="45" t="str">
        <f>_xlfn.XLOOKUP(U980,'Lista Suspensa'!$AA$20:$AA$23,'Lista Suspensa'!$AB$20:$AB$23,"N/A")</f>
        <v>S</v>
      </c>
    </row>
    <row r="981" spans="1:47" ht="12" hidden="1" customHeight="1" x14ac:dyDescent="0.3">
      <c r="A981" s="87" t="s">
        <v>47</v>
      </c>
      <c r="B981" s="88">
        <v>46104</v>
      </c>
      <c r="C981" s="89" t="s">
        <v>48</v>
      </c>
      <c r="D981" s="89" t="s">
        <v>49</v>
      </c>
      <c r="E981" s="90">
        <v>319464865</v>
      </c>
      <c r="F981" s="184" t="s">
        <v>2908</v>
      </c>
      <c r="G981" s="91">
        <v>53639936787</v>
      </c>
      <c r="H981" s="92">
        <v>21619</v>
      </c>
      <c r="I981" s="89">
        <v>67</v>
      </c>
      <c r="J981" s="89" t="s">
        <v>51</v>
      </c>
      <c r="K981" s="89" t="s">
        <v>88</v>
      </c>
      <c r="L981" s="89" t="s">
        <v>89</v>
      </c>
      <c r="M981" s="89" t="s">
        <v>147</v>
      </c>
      <c r="N981" s="89" t="s">
        <v>72</v>
      </c>
      <c r="O981" s="93" t="s">
        <v>2909</v>
      </c>
      <c r="P981" s="94" t="s">
        <v>57</v>
      </c>
      <c r="Q981" s="112" t="s">
        <v>2211</v>
      </c>
      <c r="R981" s="95"/>
      <c r="S981" s="96">
        <v>46164</v>
      </c>
      <c r="T981" s="96" t="s">
        <v>2212</v>
      </c>
      <c r="U981" s="96" t="s">
        <v>79</v>
      </c>
      <c r="V981" s="92">
        <v>46142</v>
      </c>
      <c r="W981" s="92">
        <v>46147</v>
      </c>
      <c r="X981" s="92">
        <v>46154</v>
      </c>
      <c r="Y981" s="97"/>
      <c r="Z981" s="89"/>
      <c r="AA981" s="96"/>
      <c r="AB981" s="89"/>
      <c r="AC981" s="111"/>
      <c r="AD981" s="89"/>
      <c r="AE981" s="89"/>
      <c r="AF981" s="98"/>
      <c r="AG981" s="98"/>
      <c r="AH981" s="98"/>
      <c r="AI981" s="99"/>
      <c r="AJ981" s="99"/>
      <c r="AK981" s="99"/>
      <c r="AL981" s="45" t="s">
        <v>68</v>
      </c>
      <c r="AM981" s="162" t="str">
        <f t="shared" si="120"/>
        <v>3/2026</v>
      </c>
      <c r="AN981" s="45">
        <f t="shared" si="121"/>
        <v>4</v>
      </c>
      <c r="AO981" s="45" t="str">
        <f t="shared" si="122"/>
        <v>1/1900</v>
      </c>
      <c r="AP981" s="45" t="e">
        <f t="shared" si="123"/>
        <v>#NUM!</v>
      </c>
      <c r="AQ981" s="45">
        <f t="shared" si="124"/>
        <v>0</v>
      </c>
      <c r="AR981" s="45">
        <f t="shared" si="125"/>
        <v>0</v>
      </c>
      <c r="AS981" s="45">
        <f t="shared" si="126"/>
        <v>0</v>
      </c>
      <c r="AT981" s="45">
        <f t="shared" si="127"/>
        <v>0</v>
      </c>
      <c r="AU981" s="45" t="str">
        <f>_xlfn.XLOOKUP(U981,'Lista Suspensa'!$AA$20:$AA$23,'Lista Suspensa'!$AB$20:$AB$23,"N/A")</f>
        <v>S</v>
      </c>
    </row>
    <row r="982" spans="1:47" ht="12" hidden="1" customHeight="1" x14ac:dyDescent="0.3">
      <c r="A982" s="87" t="s">
        <v>47</v>
      </c>
      <c r="B982" s="88">
        <v>46104</v>
      </c>
      <c r="C982" s="89" t="s">
        <v>48</v>
      </c>
      <c r="D982" s="89" t="s">
        <v>49</v>
      </c>
      <c r="E982" s="90">
        <v>452129176</v>
      </c>
      <c r="F982" s="184" t="s">
        <v>2910</v>
      </c>
      <c r="G982" s="91">
        <v>77104340882</v>
      </c>
      <c r="H982" s="92">
        <v>19014</v>
      </c>
      <c r="I982" s="89">
        <v>74</v>
      </c>
      <c r="J982" s="89" t="s">
        <v>70</v>
      </c>
      <c r="K982" s="89" t="s">
        <v>52</v>
      </c>
      <c r="L982" s="89" t="s">
        <v>53</v>
      </c>
      <c r="M982" s="89" t="s">
        <v>151</v>
      </c>
      <c r="N982" s="89" t="s">
        <v>72</v>
      </c>
      <c r="O982" s="93" t="s">
        <v>2911</v>
      </c>
      <c r="P982" s="94" t="s">
        <v>57</v>
      </c>
      <c r="Q982" s="112" t="s">
        <v>2211</v>
      </c>
      <c r="R982" s="95"/>
      <c r="S982" s="96">
        <v>46150</v>
      </c>
      <c r="T982" s="96" t="s">
        <v>2212</v>
      </c>
      <c r="U982" s="96" t="s">
        <v>79</v>
      </c>
      <c r="V982" s="92">
        <v>46128</v>
      </c>
      <c r="W982" s="92">
        <v>46142</v>
      </c>
      <c r="X982" s="92">
        <v>46147</v>
      </c>
      <c r="Y982" s="97"/>
      <c r="Z982" s="89"/>
      <c r="AA982" s="96"/>
      <c r="AB982" s="89"/>
      <c r="AC982" s="111"/>
      <c r="AD982" s="89"/>
      <c r="AE982" s="89"/>
      <c r="AF982" s="98"/>
      <c r="AG982" s="98"/>
      <c r="AH982" s="98"/>
      <c r="AI982" s="99"/>
      <c r="AJ982" s="99"/>
      <c r="AK982" s="99"/>
      <c r="AL982" s="45" t="s">
        <v>68</v>
      </c>
      <c r="AM982" s="162" t="str">
        <f t="shared" si="120"/>
        <v>3/2026</v>
      </c>
      <c r="AN982" s="45">
        <f t="shared" si="121"/>
        <v>4</v>
      </c>
      <c r="AO982" s="45" t="str">
        <f t="shared" si="122"/>
        <v>1/1900</v>
      </c>
      <c r="AP982" s="45" t="e">
        <f t="shared" si="123"/>
        <v>#NUM!</v>
      </c>
      <c r="AQ982" s="45">
        <f t="shared" si="124"/>
        <v>0</v>
      </c>
      <c r="AR982" s="45">
        <f t="shared" si="125"/>
        <v>0</v>
      </c>
      <c r="AS982" s="45">
        <f t="shared" si="126"/>
        <v>0</v>
      </c>
      <c r="AT982" s="45">
        <f t="shared" si="127"/>
        <v>0</v>
      </c>
      <c r="AU982" s="45" t="str">
        <f>_xlfn.XLOOKUP(U982,'Lista Suspensa'!$AA$20:$AA$23,'Lista Suspensa'!$AB$20:$AB$23,"N/A")</f>
        <v>S</v>
      </c>
    </row>
    <row r="983" spans="1:47" ht="12" hidden="1" customHeight="1" x14ac:dyDescent="0.3">
      <c r="A983" s="87" t="s">
        <v>47</v>
      </c>
      <c r="B983" s="88">
        <v>46104</v>
      </c>
      <c r="C983" s="89" t="s">
        <v>48</v>
      </c>
      <c r="D983" s="89" t="s">
        <v>49</v>
      </c>
      <c r="E983" s="90">
        <v>452322405</v>
      </c>
      <c r="F983" s="184" t="s">
        <v>2912</v>
      </c>
      <c r="G983" s="91">
        <v>50439405815</v>
      </c>
      <c r="H983" s="92">
        <v>16927</v>
      </c>
      <c r="I983" s="89">
        <v>79</v>
      </c>
      <c r="J983" s="89" t="s">
        <v>51</v>
      </c>
      <c r="K983" s="89" t="s">
        <v>52</v>
      </c>
      <c r="L983" s="89" t="s">
        <v>53</v>
      </c>
      <c r="M983" s="89" t="s">
        <v>151</v>
      </c>
      <c r="N983" s="89" t="s">
        <v>72</v>
      </c>
      <c r="O983" s="93" t="s">
        <v>2913</v>
      </c>
      <c r="P983" s="94" t="s">
        <v>57</v>
      </c>
      <c r="Q983" s="112" t="s">
        <v>2211</v>
      </c>
      <c r="R983" s="95"/>
      <c r="S983" s="96">
        <v>46164</v>
      </c>
      <c r="T983" s="96" t="s">
        <v>2212</v>
      </c>
      <c r="U983" s="96" t="s">
        <v>79</v>
      </c>
      <c r="V983" s="92">
        <v>46142</v>
      </c>
      <c r="W983" s="92">
        <v>46147</v>
      </c>
      <c r="X983" s="92">
        <v>46154</v>
      </c>
      <c r="Y983" s="97"/>
      <c r="Z983" s="89"/>
      <c r="AA983" s="96"/>
      <c r="AB983" s="89"/>
      <c r="AC983" s="111"/>
      <c r="AD983" s="89"/>
      <c r="AE983" s="89"/>
      <c r="AF983" s="98"/>
      <c r="AG983" s="98"/>
      <c r="AH983" s="98"/>
      <c r="AI983" s="99"/>
      <c r="AJ983" s="99"/>
      <c r="AK983" s="99"/>
      <c r="AL983" s="45" t="s">
        <v>68</v>
      </c>
      <c r="AM983" s="162" t="str">
        <f t="shared" si="120"/>
        <v>3/2026</v>
      </c>
      <c r="AN983" s="45">
        <f t="shared" si="121"/>
        <v>4</v>
      </c>
      <c r="AO983" s="45" t="str">
        <f t="shared" si="122"/>
        <v>1/1900</v>
      </c>
      <c r="AP983" s="45" t="e">
        <f t="shared" si="123"/>
        <v>#NUM!</v>
      </c>
      <c r="AQ983" s="45">
        <f t="shared" si="124"/>
        <v>0</v>
      </c>
      <c r="AR983" s="45">
        <f t="shared" si="125"/>
        <v>0</v>
      </c>
      <c r="AS983" s="45">
        <f t="shared" si="126"/>
        <v>0</v>
      </c>
      <c r="AT983" s="45">
        <f t="shared" si="127"/>
        <v>0</v>
      </c>
      <c r="AU983" s="45" t="str">
        <f>_xlfn.XLOOKUP(U983,'Lista Suspensa'!$AA$20:$AA$23,'Lista Suspensa'!$AB$20:$AB$23,"N/A")</f>
        <v>S</v>
      </c>
    </row>
    <row r="984" spans="1:47" ht="12" hidden="1" customHeight="1" x14ac:dyDescent="0.3">
      <c r="A984" s="87" t="s">
        <v>47</v>
      </c>
      <c r="B984" s="88">
        <v>46104</v>
      </c>
      <c r="C984" s="89" t="s">
        <v>48</v>
      </c>
      <c r="D984" s="89" t="s">
        <v>49</v>
      </c>
      <c r="E984" s="90">
        <v>11463422</v>
      </c>
      <c r="F984" s="184" t="s">
        <v>2914</v>
      </c>
      <c r="G984" s="91">
        <v>88003930715</v>
      </c>
      <c r="H984" s="92">
        <v>16913</v>
      </c>
      <c r="I984" s="89">
        <v>79</v>
      </c>
      <c r="J984" s="89" t="s">
        <v>70</v>
      </c>
      <c r="K984" s="89" t="s">
        <v>88</v>
      </c>
      <c r="L984" s="89" t="s">
        <v>89</v>
      </c>
      <c r="M984" s="89" t="s">
        <v>1465</v>
      </c>
      <c r="N984" s="89" t="s">
        <v>72</v>
      </c>
      <c r="O984" s="93" t="s">
        <v>2915</v>
      </c>
      <c r="P984" s="94" t="s">
        <v>57</v>
      </c>
      <c r="Q984" s="112" t="s">
        <v>2211</v>
      </c>
      <c r="R984" s="95"/>
      <c r="S984" s="96">
        <v>46164</v>
      </c>
      <c r="T984" s="96" t="s">
        <v>2212</v>
      </c>
      <c r="U984" s="96" t="s">
        <v>79</v>
      </c>
      <c r="V984" s="92">
        <v>46142</v>
      </c>
      <c r="W984" s="92">
        <v>46147</v>
      </c>
      <c r="X984" s="92">
        <v>46154</v>
      </c>
      <c r="Y984" s="97"/>
      <c r="Z984" s="89"/>
      <c r="AA984" s="96"/>
      <c r="AB984" s="89"/>
      <c r="AC984" s="111"/>
      <c r="AD984" s="89"/>
      <c r="AE984" s="89"/>
      <c r="AF984" s="98"/>
      <c r="AG984" s="98"/>
      <c r="AH984" s="98"/>
      <c r="AI984" s="99"/>
      <c r="AJ984" s="99"/>
      <c r="AK984" s="99"/>
      <c r="AL984" s="45" t="s">
        <v>68</v>
      </c>
      <c r="AM984" s="162" t="str">
        <f t="shared" si="120"/>
        <v>3/2026</v>
      </c>
      <c r="AN984" s="45">
        <f t="shared" si="121"/>
        <v>4</v>
      </c>
      <c r="AO984" s="45" t="str">
        <f t="shared" si="122"/>
        <v>1/1900</v>
      </c>
      <c r="AP984" s="45" t="e">
        <f t="shared" si="123"/>
        <v>#NUM!</v>
      </c>
      <c r="AQ984" s="45">
        <f t="shared" si="124"/>
        <v>0</v>
      </c>
      <c r="AR984" s="45">
        <f t="shared" si="125"/>
        <v>0</v>
      </c>
      <c r="AS984" s="45">
        <f t="shared" si="126"/>
        <v>0</v>
      </c>
      <c r="AT984" s="45">
        <f t="shared" si="127"/>
        <v>0</v>
      </c>
      <c r="AU984" s="45" t="str">
        <f>_xlfn.XLOOKUP(U984,'Lista Suspensa'!$AA$20:$AA$23,'Lista Suspensa'!$AB$20:$AB$23,"N/A")</f>
        <v>S</v>
      </c>
    </row>
    <row r="985" spans="1:47" ht="12" hidden="1" customHeight="1" x14ac:dyDescent="0.3">
      <c r="A985" s="87" t="s">
        <v>47</v>
      </c>
      <c r="B985" s="88">
        <v>46104</v>
      </c>
      <c r="C985" s="89" t="s">
        <v>48</v>
      </c>
      <c r="D985" s="89" t="s">
        <v>49</v>
      </c>
      <c r="E985" s="90">
        <v>112574440</v>
      </c>
      <c r="F985" s="184" t="s">
        <v>2916</v>
      </c>
      <c r="G985" s="91">
        <v>44129742787</v>
      </c>
      <c r="H985" s="92">
        <v>18111</v>
      </c>
      <c r="I985" s="89">
        <v>76</v>
      </c>
      <c r="J985" s="89" t="s">
        <v>70</v>
      </c>
      <c r="K985" s="89" t="s">
        <v>88</v>
      </c>
      <c r="L985" s="89" t="s">
        <v>89</v>
      </c>
      <c r="M985" s="89" t="s">
        <v>1192</v>
      </c>
      <c r="N985" s="89" t="s">
        <v>72</v>
      </c>
      <c r="O985" s="93" t="s">
        <v>2917</v>
      </c>
      <c r="P985" s="94" t="s">
        <v>57</v>
      </c>
      <c r="Q985" s="112" t="s">
        <v>2211</v>
      </c>
      <c r="R985" s="95"/>
      <c r="S985" s="96">
        <v>46150</v>
      </c>
      <c r="T985" s="96" t="s">
        <v>2212</v>
      </c>
      <c r="U985" s="96" t="s">
        <v>79</v>
      </c>
      <c r="V985" s="92">
        <v>46128</v>
      </c>
      <c r="W985" s="92">
        <v>46142</v>
      </c>
      <c r="X985" s="92">
        <v>46147</v>
      </c>
      <c r="Y985" s="97"/>
      <c r="Z985" s="89"/>
      <c r="AA985" s="96"/>
      <c r="AB985" s="89"/>
      <c r="AC985" s="111"/>
      <c r="AD985" s="89"/>
      <c r="AE985" s="89"/>
      <c r="AF985" s="98"/>
      <c r="AG985" s="98"/>
      <c r="AH985" s="98"/>
      <c r="AI985" s="99"/>
      <c r="AJ985" s="99"/>
      <c r="AK985" s="99"/>
      <c r="AL985" s="45" t="s">
        <v>68</v>
      </c>
      <c r="AM985" s="162" t="str">
        <f t="shared" si="120"/>
        <v>3/2026</v>
      </c>
      <c r="AN985" s="45">
        <f t="shared" si="121"/>
        <v>4</v>
      </c>
      <c r="AO985" s="45" t="str">
        <f t="shared" si="122"/>
        <v>1/1900</v>
      </c>
      <c r="AP985" s="45" t="e">
        <f t="shared" si="123"/>
        <v>#NUM!</v>
      </c>
      <c r="AQ985" s="45">
        <f t="shared" si="124"/>
        <v>0</v>
      </c>
      <c r="AR985" s="45">
        <f t="shared" si="125"/>
        <v>0</v>
      </c>
      <c r="AS985" s="45">
        <f t="shared" si="126"/>
        <v>0</v>
      </c>
      <c r="AT985" s="45">
        <f t="shared" si="127"/>
        <v>0</v>
      </c>
      <c r="AU985" s="45" t="str">
        <f>_xlfn.XLOOKUP(U985,'Lista Suspensa'!$AA$20:$AA$23,'Lista Suspensa'!$AB$20:$AB$23,"N/A")</f>
        <v>S</v>
      </c>
    </row>
    <row r="986" spans="1:47" ht="12" hidden="1" customHeight="1" x14ac:dyDescent="0.3">
      <c r="A986" s="87" t="s">
        <v>47</v>
      </c>
      <c r="B986" s="88">
        <v>46104</v>
      </c>
      <c r="C986" s="89" t="s">
        <v>48</v>
      </c>
      <c r="D986" s="89" t="s">
        <v>49</v>
      </c>
      <c r="E986" s="90">
        <v>115650970</v>
      </c>
      <c r="F986" s="184" t="s">
        <v>2918</v>
      </c>
      <c r="G986" s="91">
        <v>4400844749</v>
      </c>
      <c r="H986" s="92">
        <v>12302</v>
      </c>
      <c r="I986" s="89">
        <v>92</v>
      </c>
      <c r="J986" s="89" t="s">
        <v>51</v>
      </c>
      <c r="K986" s="89" t="s">
        <v>88</v>
      </c>
      <c r="L986" s="89" t="s">
        <v>89</v>
      </c>
      <c r="M986" s="89" t="s">
        <v>1128</v>
      </c>
      <c r="N986" s="89" t="s">
        <v>72</v>
      </c>
      <c r="O986" s="93" t="s">
        <v>2919</v>
      </c>
      <c r="P986" s="94" t="s">
        <v>57</v>
      </c>
      <c r="Q986" s="112" t="s">
        <v>2211</v>
      </c>
      <c r="R986" s="95"/>
      <c r="S986" s="96">
        <v>46164</v>
      </c>
      <c r="T986" s="96" t="s">
        <v>2212</v>
      </c>
      <c r="U986" s="96" t="s">
        <v>79</v>
      </c>
      <c r="V986" s="92">
        <v>46142</v>
      </c>
      <c r="W986" s="92">
        <v>46147</v>
      </c>
      <c r="X986" s="92">
        <v>46154</v>
      </c>
      <c r="Y986" s="97"/>
      <c r="Z986" s="89"/>
      <c r="AA986" s="96"/>
      <c r="AB986" s="89"/>
      <c r="AC986" s="111"/>
      <c r="AD986" s="89"/>
      <c r="AE986" s="89"/>
      <c r="AF986" s="98"/>
      <c r="AG986" s="98"/>
      <c r="AH986" s="98"/>
      <c r="AI986" s="99"/>
      <c r="AJ986" s="99"/>
      <c r="AK986" s="99"/>
      <c r="AL986" s="45" t="s">
        <v>68</v>
      </c>
      <c r="AM986" s="162" t="str">
        <f t="shared" si="120"/>
        <v>3/2026</v>
      </c>
      <c r="AN986" s="45">
        <f t="shared" si="121"/>
        <v>4</v>
      </c>
      <c r="AO986" s="45" t="str">
        <f t="shared" si="122"/>
        <v>1/1900</v>
      </c>
      <c r="AP986" s="45" t="e">
        <f t="shared" si="123"/>
        <v>#NUM!</v>
      </c>
      <c r="AQ986" s="45">
        <f t="shared" si="124"/>
        <v>0</v>
      </c>
      <c r="AR986" s="45">
        <f t="shared" si="125"/>
        <v>0</v>
      </c>
      <c r="AS986" s="45">
        <f t="shared" si="126"/>
        <v>0</v>
      </c>
      <c r="AT986" s="45">
        <f t="shared" si="127"/>
        <v>0</v>
      </c>
      <c r="AU986" s="45" t="str">
        <f>_xlfn.XLOOKUP(U986,'Lista Suspensa'!$AA$20:$AA$23,'Lista Suspensa'!$AB$20:$AB$23,"N/A")</f>
        <v>S</v>
      </c>
    </row>
    <row r="987" spans="1:47" ht="12" hidden="1" customHeight="1" x14ac:dyDescent="0.3">
      <c r="A987" s="87" t="s">
        <v>47</v>
      </c>
      <c r="B987" s="88">
        <v>46104</v>
      </c>
      <c r="C987" s="89" t="s">
        <v>48</v>
      </c>
      <c r="D987" s="89" t="s">
        <v>49</v>
      </c>
      <c r="E987" s="90">
        <v>73158263</v>
      </c>
      <c r="F987" s="184" t="s">
        <v>2920</v>
      </c>
      <c r="G987" s="91">
        <v>14030804705</v>
      </c>
      <c r="H987" s="92">
        <v>33435</v>
      </c>
      <c r="I987" s="89">
        <v>34</v>
      </c>
      <c r="J987" s="89" t="s">
        <v>51</v>
      </c>
      <c r="K987" s="89" t="s">
        <v>88</v>
      </c>
      <c r="L987" s="89" t="s">
        <v>867</v>
      </c>
      <c r="M987" s="89" t="s">
        <v>2921</v>
      </c>
      <c r="N987" s="89" t="s">
        <v>72</v>
      </c>
      <c r="O987" s="93" t="s">
        <v>2922</v>
      </c>
      <c r="P987" s="94" t="s">
        <v>57</v>
      </c>
      <c r="Q987" s="112" t="s">
        <v>2211</v>
      </c>
      <c r="R987" s="95"/>
      <c r="S987" s="96">
        <v>46150</v>
      </c>
      <c r="T987" s="96" t="s">
        <v>2212</v>
      </c>
      <c r="U987" s="96" t="s">
        <v>79</v>
      </c>
      <c r="V987" s="92">
        <v>46122</v>
      </c>
      <c r="W987" s="92">
        <v>46142</v>
      </c>
      <c r="X987" s="92">
        <v>46147</v>
      </c>
      <c r="Y987" s="97"/>
      <c r="Z987" s="89"/>
      <c r="AA987" s="96"/>
      <c r="AB987" s="89"/>
      <c r="AC987" s="111"/>
      <c r="AD987" s="89"/>
      <c r="AE987" s="89"/>
      <c r="AF987" s="98"/>
      <c r="AG987" s="98"/>
      <c r="AH987" s="98"/>
      <c r="AI987" s="99"/>
      <c r="AJ987" s="99"/>
      <c r="AK987" s="99"/>
      <c r="AL987" s="45" t="s">
        <v>68</v>
      </c>
      <c r="AM987" s="162" t="str">
        <f t="shared" si="120"/>
        <v>3/2026</v>
      </c>
      <c r="AN987" s="45">
        <f t="shared" si="121"/>
        <v>4</v>
      </c>
      <c r="AO987" s="45" t="str">
        <f t="shared" si="122"/>
        <v>1/1900</v>
      </c>
      <c r="AP987" s="45" t="e">
        <f t="shared" si="123"/>
        <v>#NUM!</v>
      </c>
      <c r="AQ987" s="45">
        <f t="shared" si="124"/>
        <v>0</v>
      </c>
      <c r="AR987" s="45">
        <f t="shared" si="125"/>
        <v>0</v>
      </c>
      <c r="AS987" s="45">
        <f t="shared" si="126"/>
        <v>0</v>
      </c>
      <c r="AT987" s="45">
        <f t="shared" si="127"/>
        <v>0</v>
      </c>
      <c r="AU987" s="45" t="str">
        <f>_xlfn.XLOOKUP(U987,'Lista Suspensa'!$AA$20:$AA$23,'Lista Suspensa'!$AB$20:$AB$23,"N/A")</f>
        <v>S</v>
      </c>
    </row>
    <row r="988" spans="1:47" ht="12" hidden="1" customHeight="1" x14ac:dyDescent="0.3">
      <c r="A988" s="87" t="s">
        <v>47</v>
      </c>
      <c r="B988" s="88">
        <v>46104</v>
      </c>
      <c r="C988" s="89" t="s">
        <v>48</v>
      </c>
      <c r="D988" s="89" t="s">
        <v>49</v>
      </c>
      <c r="E988" s="90">
        <v>421442182</v>
      </c>
      <c r="F988" s="184" t="s">
        <v>2923</v>
      </c>
      <c r="G988" s="91">
        <v>11509441883</v>
      </c>
      <c r="H988" s="92">
        <v>11828</v>
      </c>
      <c r="I988" s="89">
        <v>93</v>
      </c>
      <c r="J988" s="89" t="s">
        <v>70</v>
      </c>
      <c r="K988" s="89" t="s">
        <v>52</v>
      </c>
      <c r="L988" s="89" t="s">
        <v>53</v>
      </c>
      <c r="M988" s="89" t="s">
        <v>2257</v>
      </c>
      <c r="N988" s="89" t="s">
        <v>72</v>
      </c>
      <c r="O988" s="93" t="s">
        <v>2924</v>
      </c>
      <c r="P988" s="94" t="s">
        <v>57</v>
      </c>
      <c r="Q988" s="112" t="s">
        <v>2211</v>
      </c>
      <c r="R988" s="95"/>
      <c r="S988" s="96">
        <v>46164</v>
      </c>
      <c r="T988" s="96" t="s">
        <v>2212</v>
      </c>
      <c r="U988" s="96" t="s">
        <v>79</v>
      </c>
      <c r="V988" s="92">
        <v>46142</v>
      </c>
      <c r="W988" s="92">
        <v>46147</v>
      </c>
      <c r="X988" s="92">
        <v>46154</v>
      </c>
      <c r="Y988" s="97"/>
      <c r="Z988" s="89"/>
      <c r="AA988" s="96"/>
      <c r="AB988" s="89"/>
      <c r="AC988" s="111"/>
      <c r="AD988" s="89"/>
      <c r="AE988" s="89"/>
      <c r="AF988" s="98"/>
      <c r="AG988" s="98"/>
      <c r="AH988" s="98"/>
      <c r="AI988" s="99"/>
      <c r="AJ988" s="99"/>
      <c r="AK988" s="99"/>
      <c r="AL988" s="45" t="s">
        <v>68</v>
      </c>
      <c r="AM988" s="162" t="str">
        <f t="shared" si="120"/>
        <v>3/2026</v>
      </c>
      <c r="AN988" s="45">
        <f t="shared" si="121"/>
        <v>4</v>
      </c>
      <c r="AO988" s="45" t="str">
        <f t="shared" si="122"/>
        <v>1/1900</v>
      </c>
      <c r="AP988" s="45" t="e">
        <f t="shared" si="123"/>
        <v>#NUM!</v>
      </c>
      <c r="AQ988" s="45">
        <f t="shared" si="124"/>
        <v>0</v>
      </c>
      <c r="AR988" s="45">
        <f t="shared" si="125"/>
        <v>0</v>
      </c>
      <c r="AS988" s="45">
        <f t="shared" si="126"/>
        <v>0</v>
      </c>
      <c r="AT988" s="45">
        <f t="shared" si="127"/>
        <v>0</v>
      </c>
      <c r="AU988" s="45" t="str">
        <f>_xlfn.XLOOKUP(U988,'Lista Suspensa'!$AA$20:$AA$23,'Lista Suspensa'!$AB$20:$AB$23,"N/A")</f>
        <v>S</v>
      </c>
    </row>
    <row r="989" spans="1:47" ht="12" hidden="1" customHeight="1" x14ac:dyDescent="0.3">
      <c r="A989" s="87" t="s">
        <v>47</v>
      </c>
      <c r="B989" s="88">
        <v>46104</v>
      </c>
      <c r="C989" s="89" t="s">
        <v>48</v>
      </c>
      <c r="D989" s="89" t="s">
        <v>49</v>
      </c>
      <c r="E989" s="90">
        <v>79370011</v>
      </c>
      <c r="F989" s="184" t="s">
        <v>2925</v>
      </c>
      <c r="G989" s="91">
        <v>8659456750</v>
      </c>
      <c r="H989" s="92">
        <v>20316</v>
      </c>
      <c r="I989" s="89">
        <v>70</v>
      </c>
      <c r="J989" s="89" t="s">
        <v>70</v>
      </c>
      <c r="K989" s="89" t="s">
        <v>88</v>
      </c>
      <c r="L989" s="89" t="s">
        <v>89</v>
      </c>
      <c r="M989" s="89" t="s">
        <v>384</v>
      </c>
      <c r="N989" s="89" t="s">
        <v>72</v>
      </c>
      <c r="O989" s="93" t="s">
        <v>2926</v>
      </c>
      <c r="P989" s="94" t="s">
        <v>57</v>
      </c>
      <c r="Q989" s="112" t="s">
        <v>2211</v>
      </c>
      <c r="R989" s="95"/>
      <c r="S989" s="96">
        <v>46164</v>
      </c>
      <c r="T989" s="96" t="s">
        <v>2212</v>
      </c>
      <c r="U989" s="96" t="s">
        <v>79</v>
      </c>
      <c r="V989" s="92">
        <v>46142</v>
      </c>
      <c r="W989" s="92">
        <v>46147</v>
      </c>
      <c r="X989" s="92">
        <v>46154</v>
      </c>
      <c r="Y989" s="97"/>
      <c r="Z989" s="89"/>
      <c r="AA989" s="96"/>
      <c r="AB989" s="89"/>
      <c r="AC989" s="111"/>
      <c r="AD989" s="89"/>
      <c r="AE989" s="89"/>
      <c r="AF989" s="98"/>
      <c r="AG989" s="98"/>
      <c r="AH989" s="98"/>
      <c r="AI989" s="99"/>
      <c r="AJ989" s="99"/>
      <c r="AK989" s="99"/>
      <c r="AL989" s="45" t="s">
        <v>68</v>
      </c>
      <c r="AM989" s="162" t="str">
        <f t="shared" si="120"/>
        <v>3/2026</v>
      </c>
      <c r="AN989" s="45">
        <f t="shared" si="121"/>
        <v>4</v>
      </c>
      <c r="AO989" s="45" t="str">
        <f t="shared" si="122"/>
        <v>1/1900</v>
      </c>
      <c r="AP989" s="45" t="e">
        <f t="shared" si="123"/>
        <v>#NUM!</v>
      </c>
      <c r="AQ989" s="45">
        <f t="shared" si="124"/>
        <v>0</v>
      </c>
      <c r="AR989" s="45">
        <f t="shared" si="125"/>
        <v>0</v>
      </c>
      <c r="AS989" s="45">
        <f t="shared" si="126"/>
        <v>0</v>
      </c>
      <c r="AT989" s="45">
        <f t="shared" si="127"/>
        <v>0</v>
      </c>
      <c r="AU989" s="45" t="str">
        <f>_xlfn.XLOOKUP(U989,'Lista Suspensa'!$AA$20:$AA$23,'Lista Suspensa'!$AB$20:$AB$23,"N/A")</f>
        <v>S</v>
      </c>
    </row>
    <row r="990" spans="1:47" ht="12" hidden="1" customHeight="1" x14ac:dyDescent="0.3">
      <c r="A990" s="87" t="s">
        <v>47</v>
      </c>
      <c r="B990" s="88">
        <v>46104</v>
      </c>
      <c r="C990" s="89" t="s">
        <v>48</v>
      </c>
      <c r="D990" s="89" t="s">
        <v>49</v>
      </c>
      <c r="E990" s="90">
        <v>451897382</v>
      </c>
      <c r="F990" s="184" t="s">
        <v>2927</v>
      </c>
      <c r="G990" s="91">
        <v>84326352868</v>
      </c>
      <c r="H990" s="92">
        <v>20745</v>
      </c>
      <c r="I990" s="89">
        <v>69</v>
      </c>
      <c r="J990" s="89" t="s">
        <v>51</v>
      </c>
      <c r="K990" s="89" t="s">
        <v>52</v>
      </c>
      <c r="L990" s="89" t="s">
        <v>53</v>
      </c>
      <c r="M990" s="89" t="s">
        <v>2928</v>
      </c>
      <c r="N990" s="89" t="s">
        <v>72</v>
      </c>
      <c r="O990" s="93" t="s">
        <v>2929</v>
      </c>
      <c r="P990" s="94" t="s">
        <v>57</v>
      </c>
      <c r="Q990" s="112" t="s">
        <v>2211</v>
      </c>
      <c r="R990" s="95"/>
      <c r="S990" s="96">
        <v>46150</v>
      </c>
      <c r="T990" s="96" t="s">
        <v>2212</v>
      </c>
      <c r="U990" s="96" t="s">
        <v>79</v>
      </c>
      <c r="V990" s="92">
        <v>46122</v>
      </c>
      <c r="W990" s="92">
        <v>46142</v>
      </c>
      <c r="X990" s="92">
        <v>46147</v>
      </c>
      <c r="Y990" s="97"/>
      <c r="Z990" s="89"/>
      <c r="AA990" s="96"/>
      <c r="AB990" s="89"/>
      <c r="AC990" s="111"/>
      <c r="AD990" s="89"/>
      <c r="AE990" s="89"/>
      <c r="AF990" s="98"/>
      <c r="AG990" s="98"/>
      <c r="AH990" s="98"/>
      <c r="AI990" s="99"/>
      <c r="AJ990" s="99"/>
      <c r="AK990" s="99"/>
      <c r="AL990" s="45" t="s">
        <v>68</v>
      </c>
      <c r="AM990" s="162" t="str">
        <f t="shared" si="120"/>
        <v>3/2026</v>
      </c>
      <c r="AN990" s="45">
        <f t="shared" si="121"/>
        <v>4</v>
      </c>
      <c r="AO990" s="45" t="str">
        <f t="shared" si="122"/>
        <v>1/1900</v>
      </c>
      <c r="AP990" s="45" t="e">
        <f t="shared" si="123"/>
        <v>#NUM!</v>
      </c>
      <c r="AQ990" s="45">
        <f t="shared" si="124"/>
        <v>0</v>
      </c>
      <c r="AR990" s="45">
        <f t="shared" si="125"/>
        <v>0</v>
      </c>
      <c r="AS990" s="45">
        <f t="shared" si="126"/>
        <v>0</v>
      </c>
      <c r="AT990" s="45">
        <f t="shared" si="127"/>
        <v>0</v>
      </c>
      <c r="AU990" s="45" t="str">
        <f>_xlfn.XLOOKUP(U990,'Lista Suspensa'!$AA$20:$AA$23,'Lista Suspensa'!$AB$20:$AB$23,"N/A")</f>
        <v>S</v>
      </c>
    </row>
    <row r="991" spans="1:47" ht="12" hidden="1" customHeight="1" x14ac:dyDescent="0.3">
      <c r="A991" s="87" t="s">
        <v>47</v>
      </c>
      <c r="B991" s="88">
        <v>46104</v>
      </c>
      <c r="C991" s="89" t="s">
        <v>48</v>
      </c>
      <c r="D991" s="89" t="s">
        <v>49</v>
      </c>
      <c r="E991" s="90">
        <v>451897412</v>
      </c>
      <c r="F991" s="184" t="s">
        <v>2930</v>
      </c>
      <c r="G991" s="91">
        <v>652689892</v>
      </c>
      <c r="H991" s="92">
        <v>21217</v>
      </c>
      <c r="I991" s="89">
        <v>68</v>
      </c>
      <c r="J991" s="89" t="s">
        <v>70</v>
      </c>
      <c r="K991" s="89" t="s">
        <v>52</v>
      </c>
      <c r="L991" s="89" t="s">
        <v>53</v>
      </c>
      <c r="M991" s="89" t="s">
        <v>2928</v>
      </c>
      <c r="N991" s="89" t="s">
        <v>72</v>
      </c>
      <c r="O991" s="93" t="s">
        <v>2929</v>
      </c>
      <c r="P991" s="94" t="s">
        <v>57</v>
      </c>
      <c r="Q991" s="112" t="s">
        <v>2211</v>
      </c>
      <c r="R991" s="95"/>
      <c r="S991" s="96">
        <v>46164</v>
      </c>
      <c r="T991" s="96" t="s">
        <v>2212</v>
      </c>
      <c r="U991" s="96" t="s">
        <v>79</v>
      </c>
      <c r="V991" s="92">
        <v>46142</v>
      </c>
      <c r="W991" s="92">
        <v>46147</v>
      </c>
      <c r="X991" s="92">
        <v>46154</v>
      </c>
      <c r="Y991" s="97"/>
      <c r="Z991" s="89"/>
      <c r="AA991" s="96"/>
      <c r="AB991" s="89"/>
      <c r="AC991" s="111"/>
      <c r="AD991" s="89"/>
      <c r="AE991" s="89"/>
      <c r="AF991" s="98"/>
      <c r="AG991" s="98"/>
      <c r="AH991" s="98"/>
      <c r="AI991" s="99"/>
      <c r="AJ991" s="99"/>
      <c r="AK991" s="99"/>
      <c r="AL991" s="45" t="s">
        <v>68</v>
      </c>
      <c r="AM991" s="162" t="str">
        <f t="shared" si="120"/>
        <v>3/2026</v>
      </c>
      <c r="AN991" s="45">
        <f t="shared" si="121"/>
        <v>4</v>
      </c>
      <c r="AO991" s="45" t="str">
        <f t="shared" si="122"/>
        <v>1/1900</v>
      </c>
      <c r="AP991" s="45" t="e">
        <f t="shared" si="123"/>
        <v>#NUM!</v>
      </c>
      <c r="AQ991" s="45">
        <f t="shared" si="124"/>
        <v>0</v>
      </c>
      <c r="AR991" s="45">
        <f t="shared" si="125"/>
        <v>0</v>
      </c>
      <c r="AS991" s="45">
        <f t="shared" si="126"/>
        <v>0</v>
      </c>
      <c r="AT991" s="45">
        <f t="shared" si="127"/>
        <v>0</v>
      </c>
      <c r="AU991" s="45" t="str">
        <f>_xlfn.XLOOKUP(U991,'Lista Suspensa'!$AA$20:$AA$23,'Lista Suspensa'!$AB$20:$AB$23,"N/A")</f>
        <v>S</v>
      </c>
    </row>
    <row r="992" spans="1:47" ht="12" hidden="1" customHeight="1" x14ac:dyDescent="0.3">
      <c r="A992" s="87" t="s">
        <v>47</v>
      </c>
      <c r="B992" s="88">
        <v>46104</v>
      </c>
      <c r="C992" s="89" t="s">
        <v>48</v>
      </c>
      <c r="D992" s="89" t="s">
        <v>49</v>
      </c>
      <c r="E992" s="90">
        <v>452590361</v>
      </c>
      <c r="F992" s="184" t="s">
        <v>2931</v>
      </c>
      <c r="G992" s="91">
        <v>15323763833</v>
      </c>
      <c r="H992" s="92">
        <v>17586</v>
      </c>
      <c r="I992" s="89">
        <v>78</v>
      </c>
      <c r="J992" s="89" t="s">
        <v>70</v>
      </c>
      <c r="K992" s="89" t="s">
        <v>52</v>
      </c>
      <c r="L992" s="89" t="s">
        <v>53</v>
      </c>
      <c r="M992" s="89" t="s">
        <v>260</v>
      </c>
      <c r="N992" s="89" t="s">
        <v>72</v>
      </c>
      <c r="O992" s="93" t="s">
        <v>2932</v>
      </c>
      <c r="P992" s="94" t="s">
        <v>57</v>
      </c>
      <c r="Q992" s="112" t="s">
        <v>2211</v>
      </c>
      <c r="R992" s="95"/>
      <c r="S992" s="96">
        <v>46164</v>
      </c>
      <c r="T992" s="96" t="s">
        <v>2212</v>
      </c>
      <c r="U992" s="96" t="s">
        <v>79</v>
      </c>
      <c r="V992" s="92">
        <v>46142</v>
      </c>
      <c r="W992" s="92">
        <v>46147</v>
      </c>
      <c r="X992" s="92">
        <v>46154</v>
      </c>
      <c r="Y992" s="97"/>
      <c r="Z992" s="89"/>
      <c r="AA992" s="96"/>
      <c r="AB992" s="89"/>
      <c r="AC992" s="111"/>
      <c r="AD992" s="89"/>
      <c r="AE992" s="89"/>
      <c r="AF992" s="98"/>
      <c r="AG992" s="98"/>
      <c r="AH992" s="98"/>
      <c r="AI992" s="99"/>
      <c r="AJ992" s="99"/>
      <c r="AK992" s="99"/>
      <c r="AL992" s="45" t="s">
        <v>68</v>
      </c>
      <c r="AM992" s="162" t="str">
        <f t="shared" si="120"/>
        <v>3/2026</v>
      </c>
      <c r="AN992" s="45">
        <f t="shared" si="121"/>
        <v>4</v>
      </c>
      <c r="AO992" s="45" t="str">
        <f t="shared" si="122"/>
        <v>1/1900</v>
      </c>
      <c r="AP992" s="45" t="e">
        <f t="shared" si="123"/>
        <v>#NUM!</v>
      </c>
      <c r="AQ992" s="45">
        <f t="shared" si="124"/>
        <v>0</v>
      </c>
      <c r="AR992" s="45">
        <f t="shared" si="125"/>
        <v>0</v>
      </c>
      <c r="AS992" s="45">
        <f t="shared" si="126"/>
        <v>0</v>
      </c>
      <c r="AT992" s="45">
        <f t="shared" si="127"/>
        <v>0</v>
      </c>
      <c r="AU992" s="45" t="str">
        <f>_xlfn.XLOOKUP(U992,'Lista Suspensa'!$AA$20:$AA$23,'Lista Suspensa'!$AB$20:$AB$23,"N/A")</f>
        <v>S</v>
      </c>
    </row>
    <row r="993" spans="1:47" ht="12" hidden="1" customHeight="1" x14ac:dyDescent="0.3">
      <c r="A993" s="87" t="s">
        <v>47</v>
      </c>
      <c r="B993" s="88">
        <v>46104</v>
      </c>
      <c r="C993" s="89" t="s">
        <v>48</v>
      </c>
      <c r="D993" s="89" t="s">
        <v>49</v>
      </c>
      <c r="E993" s="90">
        <v>451752597</v>
      </c>
      <c r="F993" s="184" t="s">
        <v>2933</v>
      </c>
      <c r="G993" s="91">
        <v>3949502831</v>
      </c>
      <c r="H993" s="92">
        <v>22798</v>
      </c>
      <c r="I993" s="89">
        <v>63</v>
      </c>
      <c r="J993" s="89" t="s">
        <v>51</v>
      </c>
      <c r="K993" s="89" t="s">
        <v>52</v>
      </c>
      <c r="L993" s="89" t="s">
        <v>525</v>
      </c>
      <c r="M993" s="89" t="s">
        <v>2934</v>
      </c>
      <c r="N993" s="89" t="s">
        <v>72</v>
      </c>
      <c r="O993" s="93" t="s">
        <v>2935</v>
      </c>
      <c r="P993" s="94" t="s">
        <v>57</v>
      </c>
      <c r="Q993" s="112" t="s">
        <v>2211</v>
      </c>
      <c r="R993" s="95"/>
      <c r="S993" s="96">
        <v>46150</v>
      </c>
      <c r="T993" s="96" t="s">
        <v>2212</v>
      </c>
      <c r="U993" s="96" t="s">
        <v>79</v>
      </c>
      <c r="V993" s="92">
        <v>46128</v>
      </c>
      <c r="W993" s="92">
        <v>46142</v>
      </c>
      <c r="X993" s="92">
        <v>46147</v>
      </c>
      <c r="Y993" s="97"/>
      <c r="Z993" s="89"/>
      <c r="AA993" s="96"/>
      <c r="AB993" s="89"/>
      <c r="AC993" s="111"/>
      <c r="AD993" s="89"/>
      <c r="AE993" s="89"/>
      <c r="AF993" s="98"/>
      <c r="AG993" s="98"/>
      <c r="AH993" s="98"/>
      <c r="AI993" s="99"/>
      <c r="AJ993" s="99"/>
      <c r="AK993" s="99"/>
      <c r="AL993" s="45" t="s">
        <v>68</v>
      </c>
      <c r="AM993" s="162" t="str">
        <f t="shared" si="120"/>
        <v>3/2026</v>
      </c>
      <c r="AN993" s="45">
        <f t="shared" si="121"/>
        <v>4</v>
      </c>
      <c r="AO993" s="45" t="str">
        <f t="shared" si="122"/>
        <v>1/1900</v>
      </c>
      <c r="AP993" s="45" t="e">
        <f t="shared" si="123"/>
        <v>#NUM!</v>
      </c>
      <c r="AQ993" s="45">
        <f t="shared" si="124"/>
        <v>0</v>
      </c>
      <c r="AR993" s="45">
        <f t="shared" si="125"/>
        <v>0</v>
      </c>
      <c r="AS993" s="45">
        <f t="shared" si="126"/>
        <v>0</v>
      </c>
      <c r="AT993" s="45">
        <f t="shared" si="127"/>
        <v>0</v>
      </c>
      <c r="AU993" s="45" t="str">
        <f>_xlfn.XLOOKUP(U993,'Lista Suspensa'!$AA$20:$AA$23,'Lista Suspensa'!$AB$20:$AB$23,"N/A")</f>
        <v>S</v>
      </c>
    </row>
    <row r="994" spans="1:47" ht="12" hidden="1" customHeight="1" x14ac:dyDescent="0.3">
      <c r="A994" s="87" t="s">
        <v>47</v>
      </c>
      <c r="B994" s="88">
        <v>46104</v>
      </c>
      <c r="C994" s="89" t="s">
        <v>48</v>
      </c>
      <c r="D994" s="89" t="s">
        <v>49</v>
      </c>
      <c r="E994" s="90">
        <v>451830768</v>
      </c>
      <c r="F994" s="184" t="s">
        <v>2936</v>
      </c>
      <c r="G994" s="91">
        <v>75674319804</v>
      </c>
      <c r="H994" s="92">
        <v>17578</v>
      </c>
      <c r="I994" s="89">
        <v>78</v>
      </c>
      <c r="J994" s="89" t="s">
        <v>51</v>
      </c>
      <c r="K994" s="89" t="s">
        <v>52</v>
      </c>
      <c r="L994" s="89" t="s">
        <v>53</v>
      </c>
      <c r="M994" s="89" t="s">
        <v>2937</v>
      </c>
      <c r="N994" s="89" t="s">
        <v>72</v>
      </c>
      <c r="O994" s="93" t="s">
        <v>2938</v>
      </c>
      <c r="P994" s="94" t="s">
        <v>57</v>
      </c>
      <c r="Q994" s="112" t="s">
        <v>2211</v>
      </c>
      <c r="R994" s="95"/>
      <c r="S994" s="96">
        <v>46164</v>
      </c>
      <c r="T994" s="96" t="s">
        <v>2212</v>
      </c>
      <c r="U994" s="96" t="s">
        <v>79</v>
      </c>
      <c r="V994" s="92">
        <v>46142</v>
      </c>
      <c r="W994" s="92">
        <v>46147</v>
      </c>
      <c r="X994" s="92">
        <v>46154</v>
      </c>
      <c r="Y994" s="97"/>
      <c r="Z994" s="89"/>
      <c r="AA994" s="96"/>
      <c r="AB994" s="89"/>
      <c r="AC994" s="111"/>
      <c r="AD994" s="89"/>
      <c r="AE994" s="89"/>
      <c r="AF994" s="98"/>
      <c r="AG994" s="98"/>
      <c r="AH994" s="98"/>
      <c r="AI994" s="99"/>
      <c r="AJ994" s="99"/>
      <c r="AK994" s="99"/>
      <c r="AL994" s="45" t="s">
        <v>68</v>
      </c>
      <c r="AM994" s="162" t="str">
        <f t="shared" si="120"/>
        <v>3/2026</v>
      </c>
      <c r="AN994" s="45">
        <f t="shared" si="121"/>
        <v>4</v>
      </c>
      <c r="AO994" s="45" t="str">
        <f t="shared" si="122"/>
        <v>1/1900</v>
      </c>
      <c r="AP994" s="45" t="e">
        <f t="shared" si="123"/>
        <v>#NUM!</v>
      </c>
      <c r="AQ994" s="45">
        <f t="shared" si="124"/>
        <v>0</v>
      </c>
      <c r="AR994" s="45">
        <f t="shared" si="125"/>
        <v>0</v>
      </c>
      <c r="AS994" s="45">
        <f t="shared" si="126"/>
        <v>0</v>
      </c>
      <c r="AT994" s="45">
        <f t="shared" si="127"/>
        <v>0</v>
      </c>
      <c r="AU994" s="45" t="str">
        <f>_xlfn.XLOOKUP(U994,'Lista Suspensa'!$AA$20:$AA$23,'Lista Suspensa'!$AB$20:$AB$23,"N/A")</f>
        <v>S</v>
      </c>
    </row>
    <row r="995" spans="1:47" ht="12" hidden="1" customHeight="1" x14ac:dyDescent="0.3">
      <c r="A995" s="87" t="s">
        <v>47</v>
      </c>
      <c r="B995" s="88">
        <v>46104</v>
      </c>
      <c r="C995" s="89" t="s">
        <v>48</v>
      </c>
      <c r="D995" s="89" t="s">
        <v>49</v>
      </c>
      <c r="E995" s="90">
        <v>448730065</v>
      </c>
      <c r="F995" s="184" t="s">
        <v>2939</v>
      </c>
      <c r="G995" s="91">
        <v>11600656838</v>
      </c>
      <c r="H995" s="92">
        <v>25119</v>
      </c>
      <c r="I995" s="89">
        <v>57</v>
      </c>
      <c r="J995" s="89" t="s">
        <v>51</v>
      </c>
      <c r="K995" s="89" t="s">
        <v>52</v>
      </c>
      <c r="L995" s="89" t="s">
        <v>53</v>
      </c>
      <c r="M995" s="89" t="s">
        <v>499</v>
      </c>
      <c r="N995" s="89" t="s">
        <v>72</v>
      </c>
      <c r="O995" s="93" t="s">
        <v>2940</v>
      </c>
      <c r="P995" s="94" t="s">
        <v>57</v>
      </c>
      <c r="Q995" s="112" t="s">
        <v>2211</v>
      </c>
      <c r="R995" s="95"/>
      <c r="S995" s="96">
        <v>46164</v>
      </c>
      <c r="T995" s="96" t="s">
        <v>2212</v>
      </c>
      <c r="U995" s="96" t="s">
        <v>79</v>
      </c>
      <c r="V995" s="92">
        <v>46142</v>
      </c>
      <c r="W995" s="92">
        <v>46147</v>
      </c>
      <c r="X995" s="92">
        <v>46154</v>
      </c>
      <c r="Y995" s="97"/>
      <c r="Z995" s="89"/>
      <c r="AA995" s="96"/>
      <c r="AB995" s="89"/>
      <c r="AC995" s="111"/>
      <c r="AD995" s="89"/>
      <c r="AE995" s="89"/>
      <c r="AF995" s="98"/>
      <c r="AG995" s="98"/>
      <c r="AH995" s="98"/>
      <c r="AI995" s="99"/>
      <c r="AJ995" s="99"/>
      <c r="AK995" s="99"/>
      <c r="AL995" s="45" t="s">
        <v>68</v>
      </c>
      <c r="AM995" s="162" t="str">
        <f t="shared" si="120"/>
        <v>3/2026</v>
      </c>
      <c r="AN995" s="45">
        <f t="shared" si="121"/>
        <v>4</v>
      </c>
      <c r="AO995" s="45" t="str">
        <f t="shared" si="122"/>
        <v>1/1900</v>
      </c>
      <c r="AP995" s="45" t="e">
        <f t="shared" si="123"/>
        <v>#NUM!</v>
      </c>
      <c r="AQ995" s="45">
        <f t="shared" si="124"/>
        <v>0</v>
      </c>
      <c r="AR995" s="45">
        <f t="shared" si="125"/>
        <v>0</v>
      </c>
      <c r="AS995" s="45">
        <f t="shared" si="126"/>
        <v>0</v>
      </c>
      <c r="AT995" s="45">
        <f t="shared" si="127"/>
        <v>0</v>
      </c>
      <c r="AU995" s="45" t="str">
        <f>_xlfn.XLOOKUP(U995,'Lista Suspensa'!$AA$20:$AA$23,'Lista Suspensa'!$AB$20:$AB$23,"N/A")</f>
        <v>S</v>
      </c>
    </row>
    <row r="996" spans="1:47" ht="12" hidden="1" customHeight="1" x14ac:dyDescent="0.3">
      <c r="A996" s="87" t="s">
        <v>47</v>
      </c>
      <c r="B996" s="88">
        <v>46104</v>
      </c>
      <c r="C996" s="89" t="s">
        <v>48</v>
      </c>
      <c r="D996" s="89" t="s">
        <v>49</v>
      </c>
      <c r="E996" s="90">
        <v>433477806</v>
      </c>
      <c r="F996" s="184" t="s">
        <v>2941</v>
      </c>
      <c r="G996" s="91">
        <v>85148881704</v>
      </c>
      <c r="H996" s="92">
        <v>14408</v>
      </c>
      <c r="I996" s="89">
        <v>86</v>
      </c>
      <c r="J996" s="89" t="s">
        <v>70</v>
      </c>
      <c r="K996" s="89" t="s">
        <v>88</v>
      </c>
      <c r="L996" s="89" t="s">
        <v>89</v>
      </c>
      <c r="M996" s="89" t="s">
        <v>1459</v>
      </c>
      <c r="N996" s="89" t="s">
        <v>72</v>
      </c>
      <c r="O996" s="93" t="s">
        <v>2942</v>
      </c>
      <c r="P996" s="94" t="s">
        <v>57</v>
      </c>
      <c r="Q996" s="112" t="s">
        <v>2211</v>
      </c>
      <c r="R996" s="95"/>
      <c r="S996" s="96">
        <v>46164</v>
      </c>
      <c r="T996" s="96" t="s">
        <v>2212</v>
      </c>
      <c r="U996" s="96" t="s">
        <v>79</v>
      </c>
      <c r="V996" s="92">
        <v>46142</v>
      </c>
      <c r="W996" s="92">
        <v>46147</v>
      </c>
      <c r="X996" s="92">
        <v>46154</v>
      </c>
      <c r="Y996" s="97"/>
      <c r="Z996" s="89"/>
      <c r="AA996" s="96"/>
      <c r="AB996" s="89"/>
      <c r="AC996" s="111"/>
      <c r="AD996" s="89"/>
      <c r="AE996" s="89"/>
      <c r="AF996" s="98"/>
      <c r="AG996" s="98"/>
      <c r="AH996" s="98"/>
      <c r="AI996" s="99"/>
      <c r="AJ996" s="99"/>
      <c r="AK996" s="99"/>
      <c r="AL996" s="45" t="s">
        <v>68</v>
      </c>
      <c r="AM996" s="162" t="str">
        <f t="shared" si="120"/>
        <v>3/2026</v>
      </c>
      <c r="AN996" s="45">
        <f t="shared" si="121"/>
        <v>4</v>
      </c>
      <c r="AO996" s="45" t="str">
        <f t="shared" si="122"/>
        <v>1/1900</v>
      </c>
      <c r="AP996" s="45" t="e">
        <f t="shared" si="123"/>
        <v>#NUM!</v>
      </c>
      <c r="AQ996" s="45">
        <f t="shared" si="124"/>
        <v>0</v>
      </c>
      <c r="AR996" s="45">
        <f t="shared" si="125"/>
        <v>0</v>
      </c>
      <c r="AS996" s="45">
        <f t="shared" si="126"/>
        <v>0</v>
      </c>
      <c r="AT996" s="45">
        <f t="shared" si="127"/>
        <v>0</v>
      </c>
      <c r="AU996" s="45" t="str">
        <f>_xlfn.XLOOKUP(U996,'Lista Suspensa'!$AA$20:$AA$23,'Lista Suspensa'!$AB$20:$AB$23,"N/A")</f>
        <v>S</v>
      </c>
    </row>
    <row r="997" spans="1:47" ht="12" hidden="1" customHeight="1" x14ac:dyDescent="0.3">
      <c r="A997" s="87" t="s">
        <v>47</v>
      </c>
      <c r="B997" s="88">
        <v>46104</v>
      </c>
      <c r="C997" s="89" t="s">
        <v>48</v>
      </c>
      <c r="D997" s="89" t="s">
        <v>49</v>
      </c>
      <c r="E997" s="90">
        <v>211725005</v>
      </c>
      <c r="F997" s="184" t="s">
        <v>2943</v>
      </c>
      <c r="G997" s="91">
        <v>54279968772</v>
      </c>
      <c r="H997" s="92">
        <v>20979</v>
      </c>
      <c r="I997" s="89">
        <v>68</v>
      </c>
      <c r="J997" s="89" t="s">
        <v>51</v>
      </c>
      <c r="K997" s="89" t="s">
        <v>88</v>
      </c>
      <c r="L997" s="89" t="s">
        <v>89</v>
      </c>
      <c r="M997" s="89" t="s">
        <v>2944</v>
      </c>
      <c r="N997" s="89" t="s">
        <v>72</v>
      </c>
      <c r="O997" s="93" t="s">
        <v>2945</v>
      </c>
      <c r="P997" s="94" t="s">
        <v>57</v>
      </c>
      <c r="Q997" s="112" t="s">
        <v>2211</v>
      </c>
      <c r="R997" s="95"/>
      <c r="S997" s="96">
        <v>46164</v>
      </c>
      <c r="T997" s="96" t="s">
        <v>2212</v>
      </c>
      <c r="U997" s="96" t="s">
        <v>79</v>
      </c>
      <c r="V997" s="92">
        <v>46142</v>
      </c>
      <c r="W997" s="92">
        <v>46147</v>
      </c>
      <c r="X997" s="92">
        <v>46154</v>
      </c>
      <c r="Y997" s="97"/>
      <c r="Z997" s="89"/>
      <c r="AA997" s="96"/>
      <c r="AB997" s="89"/>
      <c r="AC997" s="111"/>
      <c r="AD997" s="89"/>
      <c r="AE997" s="89"/>
      <c r="AF997" s="98"/>
      <c r="AG997" s="98"/>
      <c r="AH997" s="98"/>
      <c r="AI997" s="99"/>
      <c r="AJ997" s="99"/>
      <c r="AK997" s="99"/>
      <c r="AL997" s="45" t="s">
        <v>68</v>
      </c>
      <c r="AM997" s="162" t="str">
        <f t="shared" si="120"/>
        <v>3/2026</v>
      </c>
      <c r="AN997" s="45">
        <f t="shared" si="121"/>
        <v>4</v>
      </c>
      <c r="AO997" s="45" t="str">
        <f t="shared" si="122"/>
        <v>1/1900</v>
      </c>
      <c r="AP997" s="45" t="e">
        <f t="shared" si="123"/>
        <v>#NUM!</v>
      </c>
      <c r="AQ997" s="45">
        <f t="shared" si="124"/>
        <v>0</v>
      </c>
      <c r="AR997" s="45">
        <f t="shared" si="125"/>
        <v>0</v>
      </c>
      <c r="AS997" s="45">
        <f t="shared" si="126"/>
        <v>0</v>
      </c>
      <c r="AT997" s="45">
        <f t="shared" si="127"/>
        <v>0</v>
      </c>
      <c r="AU997" s="45" t="str">
        <f>_xlfn.XLOOKUP(U997,'Lista Suspensa'!$AA$20:$AA$23,'Lista Suspensa'!$AB$20:$AB$23,"N/A")</f>
        <v>S</v>
      </c>
    </row>
    <row r="998" spans="1:47" ht="12" hidden="1" customHeight="1" x14ac:dyDescent="0.3">
      <c r="A998" s="87" t="s">
        <v>47</v>
      </c>
      <c r="B998" s="88">
        <v>46104</v>
      </c>
      <c r="C998" s="89" t="s">
        <v>48</v>
      </c>
      <c r="D998" s="89" t="s">
        <v>49</v>
      </c>
      <c r="E998" s="90">
        <v>72318881</v>
      </c>
      <c r="F998" s="184" t="s">
        <v>2946</v>
      </c>
      <c r="G998" s="91">
        <v>91074410700</v>
      </c>
      <c r="H998" s="92">
        <v>18821</v>
      </c>
      <c r="I998" s="89">
        <v>74</v>
      </c>
      <c r="J998" s="89" t="s">
        <v>70</v>
      </c>
      <c r="K998" s="89" t="s">
        <v>88</v>
      </c>
      <c r="L998" s="89" t="s">
        <v>89</v>
      </c>
      <c r="M998" s="89" t="s">
        <v>960</v>
      </c>
      <c r="N998" s="89" t="s">
        <v>72</v>
      </c>
      <c r="O998" s="93" t="s">
        <v>2947</v>
      </c>
      <c r="P998" s="94" t="s">
        <v>57</v>
      </c>
      <c r="Q998" s="112" t="s">
        <v>2211</v>
      </c>
      <c r="R998" s="95"/>
      <c r="S998" s="96">
        <v>46150</v>
      </c>
      <c r="T998" s="96" t="s">
        <v>2212</v>
      </c>
      <c r="U998" s="96" t="s">
        <v>79</v>
      </c>
      <c r="V998" s="92">
        <v>46128</v>
      </c>
      <c r="W998" s="92">
        <v>46142</v>
      </c>
      <c r="X998" s="92">
        <v>46147</v>
      </c>
      <c r="Y998" s="97"/>
      <c r="Z998" s="89"/>
      <c r="AA998" s="96"/>
      <c r="AB998" s="89"/>
      <c r="AC998" s="111"/>
      <c r="AD998" s="89"/>
      <c r="AE998" s="89"/>
      <c r="AF998" s="98"/>
      <c r="AG998" s="98"/>
      <c r="AH998" s="98"/>
      <c r="AI998" s="99"/>
      <c r="AJ998" s="99"/>
      <c r="AK998" s="99"/>
      <c r="AL998" s="45" t="s">
        <v>68</v>
      </c>
      <c r="AM998" s="162" t="str">
        <f t="shared" si="120"/>
        <v>3/2026</v>
      </c>
      <c r="AN998" s="45">
        <f t="shared" si="121"/>
        <v>4</v>
      </c>
      <c r="AO998" s="45" t="str">
        <f t="shared" si="122"/>
        <v>1/1900</v>
      </c>
      <c r="AP998" s="45" t="e">
        <f t="shared" si="123"/>
        <v>#NUM!</v>
      </c>
      <c r="AQ998" s="45">
        <f t="shared" si="124"/>
        <v>0</v>
      </c>
      <c r="AR998" s="45">
        <f t="shared" si="125"/>
        <v>0</v>
      </c>
      <c r="AS998" s="45">
        <f t="shared" si="126"/>
        <v>0</v>
      </c>
      <c r="AT998" s="45">
        <f t="shared" si="127"/>
        <v>0</v>
      </c>
      <c r="AU998" s="45" t="str">
        <f>_xlfn.XLOOKUP(U998,'Lista Suspensa'!$AA$20:$AA$23,'Lista Suspensa'!$AB$20:$AB$23,"N/A")</f>
        <v>S</v>
      </c>
    </row>
    <row r="999" spans="1:47" ht="12" hidden="1" customHeight="1" x14ac:dyDescent="0.3">
      <c r="A999" s="87" t="s">
        <v>47</v>
      </c>
      <c r="B999" s="88">
        <v>46104</v>
      </c>
      <c r="C999" s="89" t="s">
        <v>48</v>
      </c>
      <c r="D999" s="89" t="s">
        <v>49</v>
      </c>
      <c r="E999" s="90">
        <v>451594614</v>
      </c>
      <c r="F999" s="184" t="s">
        <v>2948</v>
      </c>
      <c r="G999" s="91">
        <v>2971500810</v>
      </c>
      <c r="H999" s="92">
        <v>11831</v>
      </c>
      <c r="I999" s="89">
        <v>93</v>
      </c>
      <c r="J999" s="89" t="s">
        <v>51</v>
      </c>
      <c r="K999" s="89" t="s">
        <v>52</v>
      </c>
      <c r="L999" s="89" t="s">
        <v>2949</v>
      </c>
      <c r="M999" s="89" t="s">
        <v>2950</v>
      </c>
      <c r="N999" s="89" t="s">
        <v>72</v>
      </c>
      <c r="O999" s="93" t="s">
        <v>2951</v>
      </c>
      <c r="P999" s="94" t="s">
        <v>57</v>
      </c>
      <c r="Q999" s="112" t="s">
        <v>2211</v>
      </c>
      <c r="R999" s="95"/>
      <c r="S999" s="96">
        <v>46164</v>
      </c>
      <c r="T999" s="96" t="s">
        <v>2212</v>
      </c>
      <c r="U999" s="96" t="s">
        <v>79</v>
      </c>
      <c r="V999" s="92">
        <v>46142</v>
      </c>
      <c r="W999" s="92">
        <v>46147</v>
      </c>
      <c r="X999" s="92">
        <v>46154</v>
      </c>
      <c r="Y999" s="97"/>
      <c r="Z999" s="89"/>
      <c r="AA999" s="96"/>
      <c r="AB999" s="89"/>
      <c r="AC999" s="111"/>
      <c r="AD999" s="89"/>
      <c r="AE999" s="89"/>
      <c r="AF999" s="98"/>
      <c r="AG999" s="98"/>
      <c r="AH999" s="98"/>
      <c r="AI999" s="99"/>
      <c r="AJ999" s="99"/>
      <c r="AK999" s="99"/>
      <c r="AL999" s="45" t="s">
        <v>68</v>
      </c>
      <c r="AM999" s="162" t="str">
        <f t="shared" si="120"/>
        <v>3/2026</v>
      </c>
      <c r="AN999" s="45">
        <f t="shared" si="121"/>
        <v>4</v>
      </c>
      <c r="AO999" s="45" t="str">
        <f t="shared" si="122"/>
        <v>1/1900</v>
      </c>
      <c r="AP999" s="45" t="e">
        <f t="shared" si="123"/>
        <v>#NUM!</v>
      </c>
      <c r="AQ999" s="45">
        <f t="shared" si="124"/>
        <v>0</v>
      </c>
      <c r="AR999" s="45">
        <f t="shared" si="125"/>
        <v>0</v>
      </c>
      <c r="AS999" s="45">
        <f t="shared" si="126"/>
        <v>0</v>
      </c>
      <c r="AT999" s="45">
        <f t="shared" si="127"/>
        <v>0</v>
      </c>
      <c r="AU999" s="45" t="str">
        <f>_xlfn.XLOOKUP(U999,'Lista Suspensa'!$AA$20:$AA$23,'Lista Suspensa'!$AB$20:$AB$23,"N/A")</f>
        <v>S</v>
      </c>
    </row>
    <row r="1000" spans="1:47" ht="12" hidden="1" customHeight="1" x14ac:dyDescent="0.3">
      <c r="A1000" s="87" t="s">
        <v>47</v>
      </c>
      <c r="B1000" s="88">
        <v>46104</v>
      </c>
      <c r="C1000" s="89" t="s">
        <v>48</v>
      </c>
      <c r="D1000" s="89" t="s">
        <v>49</v>
      </c>
      <c r="E1000" s="90">
        <v>451847148</v>
      </c>
      <c r="F1000" s="184" t="s">
        <v>2952</v>
      </c>
      <c r="G1000" s="91">
        <v>7700971897</v>
      </c>
      <c r="H1000" s="92">
        <v>23415</v>
      </c>
      <c r="I1000" s="89">
        <v>62</v>
      </c>
      <c r="J1000" s="89" t="s">
        <v>51</v>
      </c>
      <c r="K1000" s="89" t="s">
        <v>52</v>
      </c>
      <c r="L1000" s="89" t="s">
        <v>53</v>
      </c>
      <c r="M1000" s="89" t="s">
        <v>2673</v>
      </c>
      <c r="N1000" s="89" t="s">
        <v>72</v>
      </c>
      <c r="O1000" s="93" t="s">
        <v>2953</v>
      </c>
      <c r="P1000" s="94" t="s">
        <v>57</v>
      </c>
      <c r="Q1000" s="112" t="s">
        <v>2211</v>
      </c>
      <c r="R1000" s="95"/>
      <c r="S1000" s="96">
        <v>46164</v>
      </c>
      <c r="T1000" s="96" t="s">
        <v>2212</v>
      </c>
      <c r="U1000" s="96" t="s">
        <v>79</v>
      </c>
      <c r="V1000" s="92">
        <v>46142</v>
      </c>
      <c r="W1000" s="92">
        <v>46147</v>
      </c>
      <c r="X1000" s="92">
        <v>46154</v>
      </c>
      <c r="Y1000" s="97"/>
      <c r="Z1000" s="89"/>
      <c r="AA1000" s="96"/>
      <c r="AB1000" s="89"/>
      <c r="AC1000" s="111"/>
      <c r="AD1000" s="89"/>
      <c r="AE1000" s="89"/>
      <c r="AF1000" s="98"/>
      <c r="AG1000" s="98"/>
      <c r="AH1000" s="98"/>
      <c r="AI1000" s="99"/>
      <c r="AJ1000" s="99"/>
      <c r="AK1000" s="99"/>
      <c r="AL1000" s="45" t="s">
        <v>68</v>
      </c>
      <c r="AM1000" s="162" t="str">
        <f t="shared" si="120"/>
        <v>3/2026</v>
      </c>
      <c r="AN1000" s="45">
        <f t="shared" si="121"/>
        <v>4</v>
      </c>
      <c r="AO1000" s="45" t="str">
        <f t="shared" si="122"/>
        <v>1/1900</v>
      </c>
      <c r="AP1000" s="45" t="e">
        <f t="shared" si="123"/>
        <v>#NUM!</v>
      </c>
      <c r="AQ1000" s="45">
        <f t="shared" si="124"/>
        <v>0</v>
      </c>
      <c r="AR1000" s="45">
        <f t="shared" si="125"/>
        <v>0</v>
      </c>
      <c r="AS1000" s="45">
        <f t="shared" si="126"/>
        <v>0</v>
      </c>
      <c r="AT1000" s="45">
        <f t="shared" si="127"/>
        <v>0</v>
      </c>
      <c r="AU1000" s="45" t="str">
        <f>_xlfn.XLOOKUP(U1000,'Lista Suspensa'!$AA$20:$AA$23,'Lista Suspensa'!$AB$20:$AB$23,"N/A")</f>
        <v>S</v>
      </c>
    </row>
    <row r="1001" spans="1:47" ht="12" hidden="1" customHeight="1" x14ac:dyDescent="0.3">
      <c r="A1001" s="87" t="s">
        <v>47</v>
      </c>
      <c r="B1001" s="88">
        <v>46104</v>
      </c>
      <c r="C1001" s="89" t="s">
        <v>48</v>
      </c>
      <c r="D1001" s="89" t="s">
        <v>49</v>
      </c>
      <c r="E1001" s="90">
        <v>451788001</v>
      </c>
      <c r="F1001" s="184" t="s">
        <v>2954</v>
      </c>
      <c r="G1001" s="91">
        <v>14690921822</v>
      </c>
      <c r="H1001" s="92">
        <v>23044</v>
      </c>
      <c r="I1001" s="89">
        <v>63</v>
      </c>
      <c r="J1001" s="89" t="s">
        <v>70</v>
      </c>
      <c r="K1001" s="89" t="s">
        <v>52</v>
      </c>
      <c r="L1001" s="89" t="s">
        <v>53</v>
      </c>
      <c r="M1001" s="89" t="s">
        <v>2955</v>
      </c>
      <c r="N1001" s="89" t="s">
        <v>72</v>
      </c>
      <c r="O1001" s="93" t="s">
        <v>2956</v>
      </c>
      <c r="P1001" s="94" t="s">
        <v>57</v>
      </c>
      <c r="Q1001" s="112" t="s">
        <v>2211</v>
      </c>
      <c r="R1001" s="95"/>
      <c r="S1001" s="96">
        <v>46164</v>
      </c>
      <c r="T1001" s="96" t="s">
        <v>2212</v>
      </c>
      <c r="U1001" s="96" t="s">
        <v>79</v>
      </c>
      <c r="V1001" s="92">
        <v>46142</v>
      </c>
      <c r="W1001" s="92">
        <v>46147</v>
      </c>
      <c r="X1001" s="92">
        <v>46154</v>
      </c>
      <c r="Y1001" s="97"/>
      <c r="Z1001" s="89"/>
      <c r="AA1001" s="96"/>
      <c r="AB1001" s="89"/>
      <c r="AC1001" s="111"/>
      <c r="AD1001" s="89"/>
      <c r="AE1001" s="89"/>
      <c r="AF1001" s="98"/>
      <c r="AG1001" s="98"/>
      <c r="AH1001" s="98"/>
      <c r="AI1001" s="99"/>
      <c r="AJ1001" s="99"/>
      <c r="AK1001" s="99"/>
      <c r="AL1001" s="45" t="s">
        <v>68</v>
      </c>
      <c r="AM1001" s="162" t="str">
        <f t="shared" si="120"/>
        <v>3/2026</v>
      </c>
      <c r="AN1001" s="45">
        <f t="shared" si="121"/>
        <v>4</v>
      </c>
      <c r="AO1001" s="45" t="str">
        <f t="shared" si="122"/>
        <v>1/1900</v>
      </c>
      <c r="AP1001" s="45" t="e">
        <f t="shared" si="123"/>
        <v>#NUM!</v>
      </c>
      <c r="AQ1001" s="45">
        <f t="shared" si="124"/>
        <v>0</v>
      </c>
      <c r="AR1001" s="45">
        <f t="shared" si="125"/>
        <v>0</v>
      </c>
      <c r="AS1001" s="45">
        <f t="shared" si="126"/>
        <v>0</v>
      </c>
      <c r="AT1001" s="45">
        <f t="shared" si="127"/>
        <v>0</v>
      </c>
      <c r="AU1001" s="45" t="str">
        <f>_xlfn.XLOOKUP(U1001,'Lista Suspensa'!$AA$20:$AA$23,'Lista Suspensa'!$AB$20:$AB$23,"N/A")</f>
        <v>S</v>
      </c>
    </row>
    <row r="1002" spans="1:47" ht="12" hidden="1" customHeight="1" x14ac:dyDescent="0.3">
      <c r="A1002" s="87" t="s">
        <v>47</v>
      </c>
      <c r="B1002" s="88">
        <v>46104</v>
      </c>
      <c r="C1002" s="89" t="s">
        <v>48</v>
      </c>
      <c r="D1002" s="89" t="s">
        <v>49</v>
      </c>
      <c r="E1002" s="90">
        <v>224389815</v>
      </c>
      <c r="F1002" s="184" t="s">
        <v>2957</v>
      </c>
      <c r="G1002" s="91">
        <v>19403950897</v>
      </c>
      <c r="H1002" s="92">
        <v>17335</v>
      </c>
      <c r="I1002" s="89">
        <v>78</v>
      </c>
      <c r="J1002" s="89" t="s">
        <v>51</v>
      </c>
      <c r="K1002" s="89" t="s">
        <v>52</v>
      </c>
      <c r="L1002" s="89" t="s">
        <v>53</v>
      </c>
      <c r="M1002" s="89" t="s">
        <v>2958</v>
      </c>
      <c r="N1002" s="89" t="s">
        <v>72</v>
      </c>
      <c r="O1002" s="93" t="s">
        <v>2959</v>
      </c>
      <c r="P1002" s="94" t="s">
        <v>57</v>
      </c>
      <c r="Q1002" s="112" t="s">
        <v>2211</v>
      </c>
      <c r="R1002" s="95"/>
      <c r="S1002" s="96">
        <v>46150</v>
      </c>
      <c r="T1002" s="96" t="s">
        <v>2212</v>
      </c>
      <c r="U1002" s="96" t="s">
        <v>79</v>
      </c>
      <c r="V1002" s="92">
        <v>46122</v>
      </c>
      <c r="W1002" s="92">
        <v>46142</v>
      </c>
      <c r="X1002" s="92">
        <v>46147</v>
      </c>
      <c r="Y1002" s="97"/>
      <c r="Z1002" s="89"/>
      <c r="AA1002" s="96"/>
      <c r="AB1002" s="89"/>
      <c r="AC1002" s="111"/>
      <c r="AD1002" s="89"/>
      <c r="AE1002" s="89"/>
      <c r="AF1002" s="98"/>
      <c r="AG1002" s="98"/>
      <c r="AH1002" s="98"/>
      <c r="AI1002" s="99"/>
      <c r="AJ1002" s="99"/>
      <c r="AK1002" s="99"/>
      <c r="AL1002" s="45" t="s">
        <v>68</v>
      </c>
      <c r="AM1002" s="162" t="str">
        <f t="shared" si="120"/>
        <v>3/2026</v>
      </c>
      <c r="AN1002" s="45">
        <f t="shared" si="121"/>
        <v>4</v>
      </c>
      <c r="AO1002" s="45" t="str">
        <f t="shared" si="122"/>
        <v>1/1900</v>
      </c>
      <c r="AP1002" s="45" t="e">
        <f t="shared" si="123"/>
        <v>#NUM!</v>
      </c>
      <c r="AQ1002" s="45">
        <f t="shared" si="124"/>
        <v>0</v>
      </c>
      <c r="AR1002" s="45">
        <f t="shared" si="125"/>
        <v>0</v>
      </c>
      <c r="AS1002" s="45">
        <f t="shared" si="126"/>
        <v>0</v>
      </c>
      <c r="AT1002" s="45">
        <f t="shared" si="127"/>
        <v>0</v>
      </c>
      <c r="AU1002" s="45" t="str">
        <f>_xlfn.XLOOKUP(U1002,'Lista Suspensa'!$AA$20:$AA$23,'Lista Suspensa'!$AB$20:$AB$23,"N/A")</f>
        <v>S</v>
      </c>
    </row>
    <row r="1003" spans="1:47" ht="12" hidden="1" customHeight="1" x14ac:dyDescent="0.3">
      <c r="A1003" s="87" t="s">
        <v>47</v>
      </c>
      <c r="B1003" s="88">
        <v>46104</v>
      </c>
      <c r="C1003" s="89" t="s">
        <v>48</v>
      </c>
      <c r="D1003" s="89" t="s">
        <v>49</v>
      </c>
      <c r="E1003" s="90">
        <v>451763734</v>
      </c>
      <c r="F1003" s="184" t="s">
        <v>2960</v>
      </c>
      <c r="G1003" s="91">
        <v>37832069872</v>
      </c>
      <c r="H1003" s="92">
        <v>14393</v>
      </c>
      <c r="I1003" s="89">
        <v>86</v>
      </c>
      <c r="J1003" s="89" t="s">
        <v>51</v>
      </c>
      <c r="K1003" s="89" t="s">
        <v>52</v>
      </c>
      <c r="L1003" s="89" t="s">
        <v>53</v>
      </c>
      <c r="M1003" s="89" t="s">
        <v>2958</v>
      </c>
      <c r="N1003" s="89" t="s">
        <v>72</v>
      </c>
      <c r="O1003" s="93" t="s">
        <v>2961</v>
      </c>
      <c r="P1003" s="94" t="s">
        <v>57</v>
      </c>
      <c r="Q1003" s="112" t="s">
        <v>2211</v>
      </c>
      <c r="R1003" s="95"/>
      <c r="S1003" s="96">
        <v>46164</v>
      </c>
      <c r="T1003" s="96" t="s">
        <v>2212</v>
      </c>
      <c r="U1003" s="96" t="s">
        <v>79</v>
      </c>
      <c r="V1003" s="92">
        <v>46142</v>
      </c>
      <c r="W1003" s="92">
        <v>46147</v>
      </c>
      <c r="X1003" s="92">
        <v>46154</v>
      </c>
      <c r="Y1003" s="97"/>
      <c r="Z1003" s="89"/>
      <c r="AA1003" s="96"/>
      <c r="AB1003" s="89"/>
      <c r="AC1003" s="111"/>
      <c r="AD1003" s="89"/>
      <c r="AE1003" s="89"/>
      <c r="AF1003" s="98"/>
      <c r="AG1003" s="98"/>
      <c r="AH1003" s="98"/>
      <c r="AI1003" s="99"/>
      <c r="AJ1003" s="99"/>
      <c r="AK1003" s="99"/>
      <c r="AL1003" s="45" t="s">
        <v>68</v>
      </c>
      <c r="AM1003" s="162" t="str">
        <f t="shared" si="120"/>
        <v>3/2026</v>
      </c>
      <c r="AN1003" s="45">
        <f t="shared" si="121"/>
        <v>4</v>
      </c>
      <c r="AO1003" s="45" t="str">
        <f t="shared" si="122"/>
        <v>1/1900</v>
      </c>
      <c r="AP1003" s="45" t="e">
        <f t="shared" si="123"/>
        <v>#NUM!</v>
      </c>
      <c r="AQ1003" s="45">
        <f t="shared" si="124"/>
        <v>0</v>
      </c>
      <c r="AR1003" s="45">
        <f t="shared" si="125"/>
        <v>0</v>
      </c>
      <c r="AS1003" s="45">
        <f t="shared" si="126"/>
        <v>0</v>
      </c>
      <c r="AT1003" s="45">
        <f t="shared" si="127"/>
        <v>0</v>
      </c>
      <c r="AU1003" s="45" t="str">
        <f>_xlfn.XLOOKUP(U1003,'Lista Suspensa'!$AA$20:$AA$23,'Lista Suspensa'!$AB$20:$AB$23,"N/A")</f>
        <v>S</v>
      </c>
    </row>
    <row r="1004" spans="1:47" ht="12" hidden="1" customHeight="1" x14ac:dyDescent="0.3">
      <c r="A1004" s="87" t="s">
        <v>47</v>
      </c>
      <c r="B1004" s="88">
        <v>46104</v>
      </c>
      <c r="C1004" s="89" t="s">
        <v>48</v>
      </c>
      <c r="D1004" s="89" t="s">
        <v>49</v>
      </c>
      <c r="E1004" s="90">
        <v>451797205</v>
      </c>
      <c r="F1004" s="184" t="s">
        <v>2962</v>
      </c>
      <c r="G1004" s="91">
        <v>64419479868</v>
      </c>
      <c r="H1004" s="92">
        <v>18051</v>
      </c>
      <c r="I1004" s="89">
        <v>76</v>
      </c>
      <c r="J1004" s="89" t="s">
        <v>51</v>
      </c>
      <c r="K1004" s="89" t="s">
        <v>52</v>
      </c>
      <c r="L1004" s="89" t="s">
        <v>53</v>
      </c>
      <c r="M1004" s="89" t="s">
        <v>1293</v>
      </c>
      <c r="N1004" s="89" t="s">
        <v>72</v>
      </c>
      <c r="O1004" s="93" t="s">
        <v>2963</v>
      </c>
      <c r="P1004" s="94" t="s">
        <v>57</v>
      </c>
      <c r="Q1004" s="112" t="s">
        <v>2211</v>
      </c>
      <c r="R1004" s="95"/>
      <c r="S1004" s="96">
        <v>46164</v>
      </c>
      <c r="T1004" s="96" t="s">
        <v>2212</v>
      </c>
      <c r="U1004" s="96" t="s">
        <v>79</v>
      </c>
      <c r="V1004" s="92">
        <v>46142</v>
      </c>
      <c r="W1004" s="92">
        <v>46147</v>
      </c>
      <c r="X1004" s="92">
        <v>46154</v>
      </c>
      <c r="Y1004" s="97"/>
      <c r="Z1004" s="89"/>
      <c r="AA1004" s="96"/>
      <c r="AB1004" s="89"/>
      <c r="AC1004" s="111"/>
      <c r="AD1004" s="89"/>
      <c r="AE1004" s="89"/>
      <c r="AF1004" s="98"/>
      <c r="AG1004" s="98"/>
      <c r="AH1004" s="98"/>
      <c r="AI1004" s="99"/>
      <c r="AJ1004" s="99"/>
      <c r="AK1004" s="99"/>
      <c r="AL1004" s="45" t="s">
        <v>68</v>
      </c>
      <c r="AM1004" s="162" t="str">
        <f t="shared" si="120"/>
        <v>3/2026</v>
      </c>
      <c r="AN1004" s="45">
        <f t="shared" si="121"/>
        <v>4</v>
      </c>
      <c r="AO1004" s="45" t="str">
        <f t="shared" si="122"/>
        <v>1/1900</v>
      </c>
      <c r="AP1004" s="45" t="e">
        <f t="shared" si="123"/>
        <v>#NUM!</v>
      </c>
      <c r="AQ1004" s="45">
        <f t="shared" si="124"/>
        <v>0</v>
      </c>
      <c r="AR1004" s="45">
        <f t="shared" si="125"/>
        <v>0</v>
      </c>
      <c r="AS1004" s="45">
        <f t="shared" si="126"/>
        <v>0</v>
      </c>
      <c r="AT1004" s="45">
        <f t="shared" si="127"/>
        <v>0</v>
      </c>
      <c r="AU1004" s="45" t="str">
        <f>_xlfn.XLOOKUP(U1004,'Lista Suspensa'!$AA$20:$AA$23,'Lista Suspensa'!$AB$20:$AB$23,"N/A")</f>
        <v>S</v>
      </c>
    </row>
    <row r="1005" spans="1:47" ht="12" hidden="1" customHeight="1" x14ac:dyDescent="0.3">
      <c r="A1005" s="87" t="s">
        <v>47</v>
      </c>
      <c r="B1005" s="88">
        <v>46104</v>
      </c>
      <c r="C1005" s="89" t="s">
        <v>48</v>
      </c>
      <c r="D1005" s="89" t="s">
        <v>49</v>
      </c>
      <c r="E1005" s="90">
        <v>451664841</v>
      </c>
      <c r="F1005" s="184" t="s">
        <v>2964</v>
      </c>
      <c r="G1005" s="91">
        <v>23308846802</v>
      </c>
      <c r="H1005" s="92">
        <v>17272</v>
      </c>
      <c r="I1005" s="89">
        <v>78</v>
      </c>
      <c r="J1005" s="89" t="s">
        <v>70</v>
      </c>
      <c r="K1005" s="89" t="s">
        <v>52</v>
      </c>
      <c r="L1005" s="89" t="s">
        <v>53</v>
      </c>
      <c r="M1005" s="89" t="s">
        <v>2965</v>
      </c>
      <c r="N1005" s="89" t="s">
        <v>72</v>
      </c>
      <c r="O1005" s="93" t="s">
        <v>2966</v>
      </c>
      <c r="P1005" s="94" t="s">
        <v>57</v>
      </c>
      <c r="Q1005" s="112" t="s">
        <v>2211</v>
      </c>
      <c r="R1005" s="95"/>
      <c r="S1005" s="96">
        <v>46150</v>
      </c>
      <c r="T1005" s="96" t="s">
        <v>2212</v>
      </c>
      <c r="U1005" s="96" t="s">
        <v>79</v>
      </c>
      <c r="V1005" s="92">
        <v>46112</v>
      </c>
      <c r="W1005" s="92">
        <v>46142</v>
      </c>
      <c r="X1005" s="92">
        <v>46147</v>
      </c>
      <c r="Y1005" s="97"/>
      <c r="Z1005" s="89"/>
      <c r="AA1005" s="96"/>
      <c r="AB1005" s="89"/>
      <c r="AC1005" s="111"/>
      <c r="AD1005" s="89"/>
      <c r="AE1005" s="89"/>
      <c r="AF1005" s="98"/>
      <c r="AG1005" s="98"/>
      <c r="AH1005" s="98"/>
      <c r="AI1005" s="99"/>
      <c r="AJ1005" s="99"/>
      <c r="AK1005" s="99"/>
      <c r="AL1005" s="45" t="s">
        <v>68</v>
      </c>
      <c r="AM1005" s="162" t="str">
        <f t="shared" si="120"/>
        <v>3/2026</v>
      </c>
      <c r="AN1005" s="45">
        <f t="shared" si="121"/>
        <v>4</v>
      </c>
      <c r="AO1005" s="45" t="str">
        <f t="shared" si="122"/>
        <v>1/1900</v>
      </c>
      <c r="AP1005" s="45" t="e">
        <f t="shared" si="123"/>
        <v>#NUM!</v>
      </c>
      <c r="AQ1005" s="45">
        <f t="shared" si="124"/>
        <v>0</v>
      </c>
      <c r="AR1005" s="45">
        <f t="shared" si="125"/>
        <v>0</v>
      </c>
      <c r="AS1005" s="45">
        <f t="shared" si="126"/>
        <v>0</v>
      </c>
      <c r="AT1005" s="45">
        <f t="shared" si="127"/>
        <v>0</v>
      </c>
      <c r="AU1005" s="45" t="str">
        <f>_xlfn.XLOOKUP(U1005,'Lista Suspensa'!$AA$20:$AA$23,'Lista Suspensa'!$AB$20:$AB$23,"N/A")</f>
        <v>S</v>
      </c>
    </row>
    <row r="1006" spans="1:47" ht="12" hidden="1" customHeight="1" x14ac:dyDescent="0.3">
      <c r="A1006" s="87" t="s">
        <v>47</v>
      </c>
      <c r="B1006" s="88">
        <v>46104</v>
      </c>
      <c r="C1006" s="89" t="s">
        <v>48</v>
      </c>
      <c r="D1006" s="89" t="s">
        <v>49</v>
      </c>
      <c r="E1006" s="90">
        <v>451664833</v>
      </c>
      <c r="F1006" s="184" t="s">
        <v>2967</v>
      </c>
      <c r="G1006" s="91">
        <v>28815254820</v>
      </c>
      <c r="H1006" s="92">
        <v>16477</v>
      </c>
      <c r="I1006" s="89">
        <v>81</v>
      </c>
      <c r="J1006" s="89" t="s">
        <v>51</v>
      </c>
      <c r="K1006" s="89" t="s">
        <v>52</v>
      </c>
      <c r="L1006" s="89" t="s">
        <v>53</v>
      </c>
      <c r="M1006" s="89" t="s">
        <v>2965</v>
      </c>
      <c r="N1006" s="89" t="s">
        <v>72</v>
      </c>
      <c r="O1006" s="93" t="s">
        <v>2968</v>
      </c>
      <c r="P1006" s="94" t="s">
        <v>57</v>
      </c>
      <c r="Q1006" s="112" t="s">
        <v>2211</v>
      </c>
      <c r="R1006" s="95"/>
      <c r="S1006" s="96">
        <v>46164</v>
      </c>
      <c r="T1006" s="96" t="s">
        <v>2212</v>
      </c>
      <c r="U1006" s="96" t="s">
        <v>79</v>
      </c>
      <c r="V1006" s="92">
        <v>46142</v>
      </c>
      <c r="W1006" s="92">
        <v>46147</v>
      </c>
      <c r="X1006" s="92">
        <v>46154</v>
      </c>
      <c r="Y1006" s="97"/>
      <c r="Z1006" s="89"/>
      <c r="AA1006" s="96"/>
      <c r="AB1006" s="89"/>
      <c r="AC1006" s="111"/>
      <c r="AD1006" s="89"/>
      <c r="AE1006" s="89"/>
      <c r="AF1006" s="98"/>
      <c r="AG1006" s="98"/>
      <c r="AH1006" s="98"/>
      <c r="AI1006" s="99"/>
      <c r="AJ1006" s="99"/>
      <c r="AK1006" s="99"/>
      <c r="AL1006" s="45" t="s">
        <v>68</v>
      </c>
      <c r="AM1006" s="162" t="str">
        <f t="shared" si="120"/>
        <v>3/2026</v>
      </c>
      <c r="AN1006" s="45">
        <f t="shared" si="121"/>
        <v>4</v>
      </c>
      <c r="AO1006" s="45" t="str">
        <f t="shared" si="122"/>
        <v>1/1900</v>
      </c>
      <c r="AP1006" s="45" t="e">
        <f t="shared" si="123"/>
        <v>#NUM!</v>
      </c>
      <c r="AQ1006" s="45">
        <f t="shared" si="124"/>
        <v>0</v>
      </c>
      <c r="AR1006" s="45">
        <f t="shared" si="125"/>
        <v>0</v>
      </c>
      <c r="AS1006" s="45">
        <f t="shared" si="126"/>
        <v>0</v>
      </c>
      <c r="AT1006" s="45">
        <f t="shared" si="127"/>
        <v>0</v>
      </c>
      <c r="AU1006" s="45" t="str">
        <f>_xlfn.XLOOKUP(U1006,'Lista Suspensa'!$AA$20:$AA$23,'Lista Suspensa'!$AB$20:$AB$23,"N/A")</f>
        <v>S</v>
      </c>
    </row>
    <row r="1007" spans="1:47" ht="12" hidden="1" customHeight="1" x14ac:dyDescent="0.3">
      <c r="A1007" s="87" t="s">
        <v>47</v>
      </c>
      <c r="B1007" s="88">
        <v>46104</v>
      </c>
      <c r="C1007" s="89" t="s">
        <v>48</v>
      </c>
      <c r="D1007" s="89" t="s">
        <v>49</v>
      </c>
      <c r="E1007" s="90">
        <v>451623401</v>
      </c>
      <c r="F1007" s="184" t="s">
        <v>2969</v>
      </c>
      <c r="G1007" s="91">
        <v>6044131815</v>
      </c>
      <c r="H1007" s="92">
        <v>15015</v>
      </c>
      <c r="I1007" s="89">
        <v>85</v>
      </c>
      <c r="J1007" s="89" t="s">
        <v>70</v>
      </c>
      <c r="K1007" s="89" t="s">
        <v>52</v>
      </c>
      <c r="L1007" s="89" t="s">
        <v>53</v>
      </c>
      <c r="M1007" s="89" t="s">
        <v>2970</v>
      </c>
      <c r="N1007" s="89" t="s">
        <v>72</v>
      </c>
      <c r="O1007" s="93" t="s">
        <v>2971</v>
      </c>
      <c r="P1007" s="94" t="s">
        <v>57</v>
      </c>
      <c r="Q1007" s="112" t="s">
        <v>2211</v>
      </c>
      <c r="R1007" s="95"/>
      <c r="S1007" s="96">
        <v>46150</v>
      </c>
      <c r="T1007" s="96" t="s">
        <v>2212</v>
      </c>
      <c r="U1007" s="96" t="s">
        <v>79</v>
      </c>
      <c r="V1007" s="92">
        <v>46128</v>
      </c>
      <c r="W1007" s="92">
        <v>46142</v>
      </c>
      <c r="X1007" s="92">
        <v>46147</v>
      </c>
      <c r="Y1007" s="97"/>
      <c r="Z1007" s="89"/>
      <c r="AA1007" s="96"/>
      <c r="AB1007" s="89"/>
      <c r="AC1007" s="111"/>
      <c r="AD1007" s="89"/>
      <c r="AE1007" s="89"/>
      <c r="AF1007" s="98"/>
      <c r="AG1007" s="98"/>
      <c r="AH1007" s="98"/>
      <c r="AI1007" s="99"/>
      <c r="AJ1007" s="99"/>
      <c r="AK1007" s="99"/>
      <c r="AL1007" s="45" t="s">
        <v>68</v>
      </c>
      <c r="AM1007" s="162" t="str">
        <f t="shared" si="120"/>
        <v>3/2026</v>
      </c>
      <c r="AN1007" s="45">
        <f t="shared" si="121"/>
        <v>4</v>
      </c>
      <c r="AO1007" s="45" t="str">
        <f t="shared" si="122"/>
        <v>1/1900</v>
      </c>
      <c r="AP1007" s="45" t="e">
        <f t="shared" si="123"/>
        <v>#NUM!</v>
      </c>
      <c r="AQ1007" s="45">
        <f t="shared" si="124"/>
        <v>0</v>
      </c>
      <c r="AR1007" s="45">
        <f t="shared" si="125"/>
        <v>0</v>
      </c>
      <c r="AS1007" s="45">
        <f t="shared" si="126"/>
        <v>0</v>
      </c>
      <c r="AT1007" s="45">
        <f t="shared" si="127"/>
        <v>0</v>
      </c>
      <c r="AU1007" s="45" t="str">
        <f>_xlfn.XLOOKUP(U1007,'Lista Suspensa'!$AA$20:$AA$23,'Lista Suspensa'!$AB$20:$AB$23,"N/A")</f>
        <v>S</v>
      </c>
    </row>
    <row r="1008" spans="1:47" ht="12" hidden="1" customHeight="1" x14ac:dyDescent="0.3">
      <c r="A1008" s="87" t="s">
        <v>47</v>
      </c>
      <c r="B1008" s="88">
        <v>46104</v>
      </c>
      <c r="C1008" s="89" t="s">
        <v>48</v>
      </c>
      <c r="D1008" s="89" t="s">
        <v>49</v>
      </c>
      <c r="E1008" s="90">
        <v>451602064</v>
      </c>
      <c r="F1008" s="184" t="s">
        <v>2972</v>
      </c>
      <c r="G1008" s="91">
        <v>68000901820</v>
      </c>
      <c r="H1008" s="92">
        <v>19846</v>
      </c>
      <c r="I1008" s="89">
        <v>71</v>
      </c>
      <c r="J1008" s="89" t="s">
        <v>51</v>
      </c>
      <c r="K1008" s="89" t="s">
        <v>52</v>
      </c>
      <c r="L1008" s="89" t="s">
        <v>53</v>
      </c>
      <c r="M1008" s="89" t="s">
        <v>2973</v>
      </c>
      <c r="N1008" s="89" t="s">
        <v>72</v>
      </c>
      <c r="O1008" s="93" t="s">
        <v>2974</v>
      </c>
      <c r="P1008" s="94" t="s">
        <v>57</v>
      </c>
      <c r="Q1008" s="112" t="s">
        <v>2211</v>
      </c>
      <c r="R1008" s="95"/>
      <c r="S1008" s="96">
        <v>46150</v>
      </c>
      <c r="T1008" s="96" t="s">
        <v>2212</v>
      </c>
      <c r="U1008" s="96" t="s">
        <v>79</v>
      </c>
      <c r="V1008" s="92">
        <v>46112</v>
      </c>
      <c r="W1008" s="92">
        <v>46142</v>
      </c>
      <c r="X1008" s="92">
        <v>46147</v>
      </c>
      <c r="Y1008" s="97"/>
      <c r="Z1008" s="89"/>
      <c r="AA1008" s="96"/>
      <c r="AB1008" s="89"/>
      <c r="AC1008" s="111"/>
      <c r="AD1008" s="89"/>
      <c r="AE1008" s="89"/>
      <c r="AF1008" s="98"/>
      <c r="AG1008" s="98"/>
      <c r="AH1008" s="98"/>
      <c r="AI1008" s="99"/>
      <c r="AJ1008" s="99"/>
      <c r="AK1008" s="99"/>
      <c r="AL1008" s="45" t="s">
        <v>68</v>
      </c>
      <c r="AM1008" s="162" t="str">
        <f t="shared" si="120"/>
        <v>3/2026</v>
      </c>
      <c r="AN1008" s="45">
        <f t="shared" si="121"/>
        <v>4</v>
      </c>
      <c r="AO1008" s="45" t="str">
        <f t="shared" si="122"/>
        <v>1/1900</v>
      </c>
      <c r="AP1008" s="45" t="e">
        <f t="shared" si="123"/>
        <v>#NUM!</v>
      </c>
      <c r="AQ1008" s="45">
        <f t="shared" si="124"/>
        <v>0</v>
      </c>
      <c r="AR1008" s="45">
        <f t="shared" si="125"/>
        <v>0</v>
      </c>
      <c r="AS1008" s="45">
        <f t="shared" si="126"/>
        <v>0</v>
      </c>
      <c r="AT1008" s="45">
        <f t="shared" si="127"/>
        <v>0</v>
      </c>
      <c r="AU1008" s="45" t="str">
        <f>_xlfn.XLOOKUP(U1008,'Lista Suspensa'!$AA$20:$AA$23,'Lista Suspensa'!$AB$20:$AB$23,"N/A")</f>
        <v>S</v>
      </c>
    </row>
    <row r="1009" spans="1:47" ht="12" hidden="1" customHeight="1" x14ac:dyDescent="0.3">
      <c r="A1009" s="87" t="s">
        <v>47</v>
      </c>
      <c r="B1009" s="88">
        <v>46104</v>
      </c>
      <c r="C1009" s="89" t="s">
        <v>48</v>
      </c>
      <c r="D1009" s="89" t="s">
        <v>49</v>
      </c>
      <c r="E1009" s="90">
        <v>451646428</v>
      </c>
      <c r="F1009" s="184" t="s">
        <v>2975</v>
      </c>
      <c r="G1009" s="91">
        <v>7071000204</v>
      </c>
      <c r="H1009" s="92">
        <v>15783</v>
      </c>
      <c r="I1009" s="89">
        <v>83</v>
      </c>
      <c r="J1009" s="89" t="s">
        <v>70</v>
      </c>
      <c r="K1009" s="89" t="s">
        <v>52</v>
      </c>
      <c r="L1009" s="89" t="s">
        <v>53</v>
      </c>
      <c r="M1009" s="89" t="s">
        <v>570</v>
      </c>
      <c r="N1009" s="89" t="s">
        <v>72</v>
      </c>
      <c r="O1009" s="93" t="s">
        <v>2976</v>
      </c>
      <c r="P1009" s="94" t="s">
        <v>57</v>
      </c>
      <c r="Q1009" s="112" t="s">
        <v>2211</v>
      </c>
      <c r="R1009" s="95"/>
      <c r="S1009" s="96">
        <v>46164</v>
      </c>
      <c r="T1009" s="96" t="s">
        <v>2212</v>
      </c>
      <c r="U1009" s="96" t="s">
        <v>79</v>
      </c>
      <c r="V1009" s="92">
        <v>46142</v>
      </c>
      <c r="W1009" s="92">
        <v>46147</v>
      </c>
      <c r="X1009" s="92">
        <v>46154</v>
      </c>
      <c r="Y1009" s="97"/>
      <c r="Z1009" s="89"/>
      <c r="AA1009" s="96"/>
      <c r="AB1009" s="89"/>
      <c r="AC1009" s="111"/>
      <c r="AD1009" s="89"/>
      <c r="AE1009" s="89"/>
      <c r="AF1009" s="98"/>
      <c r="AG1009" s="98"/>
      <c r="AH1009" s="98"/>
      <c r="AI1009" s="99"/>
      <c r="AJ1009" s="99"/>
      <c r="AK1009" s="99"/>
      <c r="AL1009" s="45" t="s">
        <v>68</v>
      </c>
      <c r="AM1009" s="162" t="str">
        <f t="shared" si="120"/>
        <v>3/2026</v>
      </c>
      <c r="AN1009" s="45">
        <f t="shared" si="121"/>
        <v>4</v>
      </c>
      <c r="AO1009" s="45" t="str">
        <f t="shared" si="122"/>
        <v>1/1900</v>
      </c>
      <c r="AP1009" s="45" t="e">
        <f t="shared" si="123"/>
        <v>#NUM!</v>
      </c>
      <c r="AQ1009" s="45">
        <f t="shared" si="124"/>
        <v>0</v>
      </c>
      <c r="AR1009" s="45">
        <f t="shared" si="125"/>
        <v>0</v>
      </c>
      <c r="AS1009" s="45">
        <f t="shared" si="126"/>
        <v>0</v>
      </c>
      <c r="AT1009" s="45">
        <f t="shared" si="127"/>
        <v>0</v>
      </c>
      <c r="AU1009" s="45" t="str">
        <f>_xlfn.XLOOKUP(U1009,'Lista Suspensa'!$AA$20:$AA$23,'Lista Suspensa'!$AB$20:$AB$23,"N/A")</f>
        <v>S</v>
      </c>
    </row>
    <row r="1010" spans="1:47" ht="12" hidden="1" customHeight="1" x14ac:dyDescent="0.3">
      <c r="A1010" s="87" t="s">
        <v>47</v>
      </c>
      <c r="B1010" s="88">
        <v>46104</v>
      </c>
      <c r="C1010" s="89" t="s">
        <v>48</v>
      </c>
      <c r="D1010" s="89" t="s">
        <v>49</v>
      </c>
      <c r="E1010" s="90">
        <v>450052818</v>
      </c>
      <c r="F1010" s="184" t="s">
        <v>2977</v>
      </c>
      <c r="G1010" s="91">
        <v>449743888</v>
      </c>
      <c r="H1010" s="92">
        <v>21990</v>
      </c>
      <c r="I1010" s="89">
        <v>66</v>
      </c>
      <c r="J1010" s="89" t="s">
        <v>70</v>
      </c>
      <c r="K1010" s="89" t="s">
        <v>52</v>
      </c>
      <c r="L1010" s="89" t="s">
        <v>331</v>
      </c>
      <c r="M1010" s="89" t="s">
        <v>2978</v>
      </c>
      <c r="N1010" s="89" t="s">
        <v>72</v>
      </c>
      <c r="O1010" s="93" t="s">
        <v>2979</v>
      </c>
      <c r="P1010" s="94" t="s">
        <v>57</v>
      </c>
      <c r="Q1010" s="112" t="s">
        <v>2211</v>
      </c>
      <c r="R1010" s="95"/>
      <c r="S1010" s="96">
        <v>46164</v>
      </c>
      <c r="T1010" s="96" t="s">
        <v>2212</v>
      </c>
      <c r="U1010" s="96" t="s">
        <v>79</v>
      </c>
      <c r="V1010" s="92">
        <v>46142</v>
      </c>
      <c r="W1010" s="92">
        <v>46147</v>
      </c>
      <c r="X1010" s="92">
        <v>46154</v>
      </c>
      <c r="Y1010" s="97"/>
      <c r="Z1010" s="89"/>
      <c r="AA1010" s="96"/>
      <c r="AB1010" s="89"/>
      <c r="AC1010" s="111"/>
      <c r="AD1010" s="89"/>
      <c r="AE1010" s="89"/>
      <c r="AF1010" s="98"/>
      <c r="AG1010" s="98"/>
      <c r="AH1010" s="98"/>
      <c r="AI1010" s="99"/>
      <c r="AJ1010" s="99"/>
      <c r="AK1010" s="99"/>
      <c r="AL1010" s="45" t="s">
        <v>68</v>
      </c>
      <c r="AM1010" s="162" t="str">
        <f t="shared" si="120"/>
        <v>3/2026</v>
      </c>
      <c r="AN1010" s="45">
        <f t="shared" si="121"/>
        <v>4</v>
      </c>
      <c r="AO1010" s="45" t="str">
        <f t="shared" si="122"/>
        <v>1/1900</v>
      </c>
      <c r="AP1010" s="45" t="e">
        <f t="shared" si="123"/>
        <v>#NUM!</v>
      </c>
      <c r="AQ1010" s="45">
        <f t="shared" si="124"/>
        <v>0</v>
      </c>
      <c r="AR1010" s="45">
        <f t="shared" si="125"/>
        <v>0</v>
      </c>
      <c r="AS1010" s="45">
        <f t="shared" si="126"/>
        <v>0</v>
      </c>
      <c r="AT1010" s="45">
        <f t="shared" si="127"/>
        <v>0</v>
      </c>
      <c r="AU1010" s="45" t="str">
        <f>_xlfn.XLOOKUP(U1010,'Lista Suspensa'!$AA$20:$AA$23,'Lista Suspensa'!$AB$20:$AB$23,"N/A")</f>
        <v>S</v>
      </c>
    </row>
    <row r="1011" spans="1:47" ht="12" hidden="1" customHeight="1" x14ac:dyDescent="0.3">
      <c r="A1011" s="87" t="s">
        <v>47</v>
      </c>
      <c r="B1011" s="88">
        <v>46104</v>
      </c>
      <c r="C1011" s="89" t="s">
        <v>48</v>
      </c>
      <c r="D1011" s="89" t="s">
        <v>49</v>
      </c>
      <c r="E1011" s="90">
        <v>451840984</v>
      </c>
      <c r="F1011" s="184" t="s">
        <v>2980</v>
      </c>
      <c r="G1011" s="91">
        <v>2954691883</v>
      </c>
      <c r="H1011" s="92">
        <v>18579</v>
      </c>
      <c r="I1011" s="89">
        <v>75</v>
      </c>
      <c r="J1011" s="89" t="s">
        <v>70</v>
      </c>
      <c r="K1011" s="89" t="s">
        <v>52</v>
      </c>
      <c r="L1011" s="89" t="s">
        <v>53</v>
      </c>
      <c r="M1011" s="89" t="s">
        <v>538</v>
      </c>
      <c r="N1011" s="89" t="s">
        <v>72</v>
      </c>
      <c r="O1011" s="93" t="s">
        <v>2981</v>
      </c>
      <c r="P1011" s="94" t="s">
        <v>57</v>
      </c>
      <c r="Q1011" s="112" t="s">
        <v>2211</v>
      </c>
      <c r="R1011" s="95"/>
      <c r="S1011" s="96">
        <v>46150</v>
      </c>
      <c r="T1011" s="96" t="s">
        <v>2212</v>
      </c>
      <c r="U1011" s="96" t="s">
        <v>79</v>
      </c>
      <c r="V1011" s="92">
        <v>46128</v>
      </c>
      <c r="W1011" s="92">
        <v>46142</v>
      </c>
      <c r="X1011" s="92">
        <v>46147</v>
      </c>
      <c r="Y1011" s="97"/>
      <c r="Z1011" s="89"/>
      <c r="AA1011" s="96"/>
      <c r="AB1011" s="89"/>
      <c r="AC1011" s="111"/>
      <c r="AD1011" s="89"/>
      <c r="AE1011" s="89"/>
      <c r="AF1011" s="98"/>
      <c r="AG1011" s="98"/>
      <c r="AH1011" s="98"/>
      <c r="AI1011" s="99"/>
      <c r="AJ1011" s="99"/>
      <c r="AK1011" s="99"/>
      <c r="AL1011" s="45" t="s">
        <v>68</v>
      </c>
      <c r="AM1011" s="162" t="str">
        <f t="shared" si="120"/>
        <v>3/2026</v>
      </c>
      <c r="AN1011" s="45">
        <f t="shared" si="121"/>
        <v>4</v>
      </c>
      <c r="AO1011" s="45" t="str">
        <f t="shared" si="122"/>
        <v>1/1900</v>
      </c>
      <c r="AP1011" s="45" t="e">
        <f t="shared" si="123"/>
        <v>#NUM!</v>
      </c>
      <c r="AQ1011" s="45">
        <f t="shared" si="124"/>
        <v>0</v>
      </c>
      <c r="AR1011" s="45">
        <f t="shared" si="125"/>
        <v>0</v>
      </c>
      <c r="AS1011" s="45">
        <f t="shared" si="126"/>
        <v>0</v>
      </c>
      <c r="AT1011" s="45">
        <f t="shared" si="127"/>
        <v>0</v>
      </c>
      <c r="AU1011" s="45" t="str">
        <f>_xlfn.XLOOKUP(U1011,'Lista Suspensa'!$AA$20:$AA$23,'Lista Suspensa'!$AB$20:$AB$23,"N/A")</f>
        <v>S</v>
      </c>
    </row>
    <row r="1012" spans="1:47" ht="12" hidden="1" customHeight="1" x14ac:dyDescent="0.3">
      <c r="A1012" s="87" t="s">
        <v>47</v>
      </c>
      <c r="B1012" s="88">
        <v>46104</v>
      </c>
      <c r="C1012" s="89" t="s">
        <v>48</v>
      </c>
      <c r="D1012" s="89" t="s">
        <v>49</v>
      </c>
      <c r="E1012" s="90">
        <v>329011804</v>
      </c>
      <c r="F1012" s="184" t="s">
        <v>2982</v>
      </c>
      <c r="G1012" s="91">
        <v>7786936866</v>
      </c>
      <c r="H1012" s="92">
        <v>22047</v>
      </c>
      <c r="I1012" s="89">
        <v>65</v>
      </c>
      <c r="J1012" s="89" t="s">
        <v>51</v>
      </c>
      <c r="K1012" s="89" t="s">
        <v>52</v>
      </c>
      <c r="L1012" s="89" t="s">
        <v>749</v>
      </c>
      <c r="M1012" s="89" t="s">
        <v>2983</v>
      </c>
      <c r="N1012" s="89" t="s">
        <v>72</v>
      </c>
      <c r="O1012" s="93" t="s">
        <v>2984</v>
      </c>
      <c r="P1012" s="94" t="s">
        <v>57</v>
      </c>
      <c r="Q1012" s="112" t="s">
        <v>2211</v>
      </c>
      <c r="R1012" s="95"/>
      <c r="S1012" s="96">
        <v>46164</v>
      </c>
      <c r="T1012" s="96" t="s">
        <v>2212</v>
      </c>
      <c r="U1012" s="96" t="s">
        <v>79</v>
      </c>
      <c r="V1012" s="92">
        <v>46142</v>
      </c>
      <c r="W1012" s="92">
        <v>46147</v>
      </c>
      <c r="X1012" s="92">
        <v>46154</v>
      </c>
      <c r="Y1012" s="97"/>
      <c r="Z1012" s="89"/>
      <c r="AA1012" s="96"/>
      <c r="AB1012" s="89"/>
      <c r="AC1012" s="111"/>
      <c r="AD1012" s="89"/>
      <c r="AE1012" s="89"/>
      <c r="AF1012" s="98"/>
      <c r="AG1012" s="98"/>
      <c r="AH1012" s="98"/>
      <c r="AI1012" s="99"/>
      <c r="AJ1012" s="99"/>
      <c r="AK1012" s="99"/>
      <c r="AL1012" s="45" t="s">
        <v>68</v>
      </c>
      <c r="AM1012" s="162" t="str">
        <f t="shared" si="120"/>
        <v>3/2026</v>
      </c>
      <c r="AN1012" s="45">
        <f t="shared" si="121"/>
        <v>4</v>
      </c>
      <c r="AO1012" s="45" t="str">
        <f t="shared" si="122"/>
        <v>1/1900</v>
      </c>
      <c r="AP1012" s="45" t="e">
        <f t="shared" si="123"/>
        <v>#NUM!</v>
      </c>
      <c r="AQ1012" s="45">
        <f t="shared" si="124"/>
        <v>0</v>
      </c>
      <c r="AR1012" s="45">
        <f t="shared" si="125"/>
        <v>0</v>
      </c>
      <c r="AS1012" s="45">
        <f t="shared" si="126"/>
        <v>0</v>
      </c>
      <c r="AT1012" s="45">
        <f t="shared" si="127"/>
        <v>0</v>
      </c>
      <c r="AU1012" s="45" t="str">
        <f>_xlfn.XLOOKUP(U1012,'Lista Suspensa'!$AA$20:$AA$23,'Lista Suspensa'!$AB$20:$AB$23,"N/A")</f>
        <v>S</v>
      </c>
    </row>
    <row r="1013" spans="1:47" ht="12" hidden="1" customHeight="1" x14ac:dyDescent="0.3">
      <c r="A1013" s="87" t="s">
        <v>47</v>
      </c>
      <c r="B1013" s="88">
        <v>46104</v>
      </c>
      <c r="C1013" s="89" t="s">
        <v>48</v>
      </c>
      <c r="D1013" s="89" t="s">
        <v>49</v>
      </c>
      <c r="E1013" s="90">
        <v>451716833</v>
      </c>
      <c r="F1013" s="184" t="s">
        <v>2985</v>
      </c>
      <c r="G1013" s="91">
        <v>34483535820</v>
      </c>
      <c r="H1013" s="92">
        <v>16380</v>
      </c>
      <c r="I1013" s="89">
        <v>81</v>
      </c>
      <c r="J1013" s="89" t="s">
        <v>51</v>
      </c>
      <c r="K1013" s="89" t="s">
        <v>52</v>
      </c>
      <c r="L1013" s="89" t="s">
        <v>53</v>
      </c>
      <c r="M1013" s="89" t="s">
        <v>2687</v>
      </c>
      <c r="N1013" s="89" t="s">
        <v>72</v>
      </c>
      <c r="O1013" s="93" t="s">
        <v>2986</v>
      </c>
      <c r="P1013" s="94" t="s">
        <v>57</v>
      </c>
      <c r="Q1013" s="112" t="s">
        <v>2211</v>
      </c>
      <c r="R1013" s="95"/>
      <c r="S1013" s="96">
        <v>46164</v>
      </c>
      <c r="T1013" s="96" t="s">
        <v>2212</v>
      </c>
      <c r="U1013" s="96" t="s">
        <v>79</v>
      </c>
      <c r="V1013" s="92">
        <v>46142</v>
      </c>
      <c r="W1013" s="92">
        <v>46147</v>
      </c>
      <c r="X1013" s="92">
        <v>46154</v>
      </c>
      <c r="Y1013" s="97"/>
      <c r="Z1013" s="89"/>
      <c r="AA1013" s="96"/>
      <c r="AB1013" s="89"/>
      <c r="AC1013" s="111"/>
      <c r="AD1013" s="89"/>
      <c r="AE1013" s="89"/>
      <c r="AF1013" s="98"/>
      <c r="AG1013" s="98"/>
      <c r="AH1013" s="98"/>
      <c r="AI1013" s="99"/>
      <c r="AJ1013" s="99"/>
      <c r="AK1013" s="99"/>
      <c r="AL1013" s="45" t="s">
        <v>68</v>
      </c>
      <c r="AM1013" s="162" t="str">
        <f t="shared" si="120"/>
        <v>3/2026</v>
      </c>
      <c r="AN1013" s="45">
        <f t="shared" si="121"/>
        <v>4</v>
      </c>
      <c r="AO1013" s="45" t="str">
        <f t="shared" si="122"/>
        <v>1/1900</v>
      </c>
      <c r="AP1013" s="45" t="e">
        <f t="shared" si="123"/>
        <v>#NUM!</v>
      </c>
      <c r="AQ1013" s="45">
        <f t="shared" si="124"/>
        <v>0</v>
      </c>
      <c r="AR1013" s="45">
        <f t="shared" si="125"/>
        <v>0</v>
      </c>
      <c r="AS1013" s="45">
        <f t="shared" si="126"/>
        <v>0</v>
      </c>
      <c r="AT1013" s="45">
        <f t="shared" si="127"/>
        <v>0</v>
      </c>
      <c r="AU1013" s="45" t="str">
        <f>_xlfn.XLOOKUP(U1013,'Lista Suspensa'!$AA$20:$AA$23,'Lista Suspensa'!$AB$20:$AB$23,"N/A")</f>
        <v>S</v>
      </c>
    </row>
    <row r="1014" spans="1:47" ht="12" hidden="1" customHeight="1" x14ac:dyDescent="0.3">
      <c r="A1014" s="87" t="s">
        <v>47</v>
      </c>
      <c r="B1014" s="88">
        <v>46104</v>
      </c>
      <c r="C1014" s="89" t="s">
        <v>48</v>
      </c>
      <c r="D1014" s="89" t="s">
        <v>49</v>
      </c>
      <c r="E1014" s="90">
        <v>451610997</v>
      </c>
      <c r="F1014" s="184" t="s">
        <v>2987</v>
      </c>
      <c r="G1014" s="91">
        <v>50608002887</v>
      </c>
      <c r="H1014" s="92">
        <v>13059</v>
      </c>
      <c r="I1014" s="89">
        <v>90</v>
      </c>
      <c r="J1014" s="89" t="s">
        <v>51</v>
      </c>
      <c r="K1014" s="89" t="s">
        <v>52</v>
      </c>
      <c r="L1014" s="89" t="s">
        <v>53</v>
      </c>
      <c r="M1014" s="89" t="s">
        <v>2988</v>
      </c>
      <c r="N1014" s="89" t="s">
        <v>72</v>
      </c>
      <c r="O1014" s="93" t="s">
        <v>2989</v>
      </c>
      <c r="P1014" s="94" t="s">
        <v>57</v>
      </c>
      <c r="Q1014" s="112" t="s">
        <v>2211</v>
      </c>
      <c r="R1014" s="95"/>
      <c r="S1014" s="96">
        <v>46164</v>
      </c>
      <c r="T1014" s="96" t="s">
        <v>2212</v>
      </c>
      <c r="U1014" s="96" t="s">
        <v>79</v>
      </c>
      <c r="V1014" s="92">
        <v>46142</v>
      </c>
      <c r="W1014" s="92">
        <v>46147</v>
      </c>
      <c r="X1014" s="92">
        <v>46154</v>
      </c>
      <c r="Y1014" s="97"/>
      <c r="Z1014" s="89"/>
      <c r="AA1014" s="96"/>
      <c r="AB1014" s="89"/>
      <c r="AC1014" s="111"/>
      <c r="AD1014" s="89"/>
      <c r="AE1014" s="89"/>
      <c r="AF1014" s="98"/>
      <c r="AG1014" s="98"/>
      <c r="AH1014" s="98"/>
      <c r="AI1014" s="99"/>
      <c r="AJ1014" s="99"/>
      <c r="AK1014" s="99"/>
      <c r="AL1014" s="45" t="s">
        <v>68</v>
      </c>
      <c r="AM1014" s="162" t="str">
        <f t="shared" si="120"/>
        <v>3/2026</v>
      </c>
      <c r="AN1014" s="45">
        <f t="shared" si="121"/>
        <v>4</v>
      </c>
      <c r="AO1014" s="45" t="str">
        <f t="shared" si="122"/>
        <v>1/1900</v>
      </c>
      <c r="AP1014" s="45" t="e">
        <f t="shared" si="123"/>
        <v>#NUM!</v>
      </c>
      <c r="AQ1014" s="45">
        <f t="shared" si="124"/>
        <v>0</v>
      </c>
      <c r="AR1014" s="45">
        <f t="shared" si="125"/>
        <v>0</v>
      </c>
      <c r="AS1014" s="45">
        <f t="shared" si="126"/>
        <v>0</v>
      </c>
      <c r="AT1014" s="45">
        <f t="shared" si="127"/>
        <v>0</v>
      </c>
      <c r="AU1014" s="45" t="str">
        <f>_xlfn.XLOOKUP(U1014,'Lista Suspensa'!$AA$20:$AA$23,'Lista Suspensa'!$AB$20:$AB$23,"N/A")</f>
        <v>S</v>
      </c>
    </row>
    <row r="1015" spans="1:47" ht="12" hidden="1" customHeight="1" x14ac:dyDescent="0.3">
      <c r="A1015" s="87" t="s">
        <v>47</v>
      </c>
      <c r="B1015" s="88">
        <v>46104</v>
      </c>
      <c r="C1015" s="89" t="s">
        <v>48</v>
      </c>
      <c r="D1015" s="89" t="s">
        <v>49</v>
      </c>
      <c r="E1015" s="90">
        <v>452208777</v>
      </c>
      <c r="F1015" s="184" t="s">
        <v>2990</v>
      </c>
      <c r="G1015" s="91">
        <v>6356857870</v>
      </c>
      <c r="H1015" s="92">
        <v>24079</v>
      </c>
      <c r="I1015" s="89">
        <v>60</v>
      </c>
      <c r="J1015" s="89" t="s">
        <v>51</v>
      </c>
      <c r="K1015" s="89" t="s">
        <v>52</v>
      </c>
      <c r="L1015" s="89" t="s">
        <v>53</v>
      </c>
      <c r="M1015" s="89" t="s">
        <v>2104</v>
      </c>
      <c r="N1015" s="89" t="s">
        <v>72</v>
      </c>
      <c r="O1015" s="93" t="s">
        <v>2991</v>
      </c>
      <c r="P1015" s="94" t="s">
        <v>57</v>
      </c>
      <c r="Q1015" s="112" t="s">
        <v>2211</v>
      </c>
      <c r="R1015" s="95"/>
      <c r="S1015" s="96">
        <v>46150</v>
      </c>
      <c r="T1015" s="96" t="s">
        <v>2212</v>
      </c>
      <c r="U1015" s="96" t="s">
        <v>79</v>
      </c>
      <c r="V1015" s="92">
        <v>46112</v>
      </c>
      <c r="W1015" s="92">
        <v>46141</v>
      </c>
      <c r="X1015" s="92">
        <v>46142</v>
      </c>
      <c r="Y1015" s="97"/>
      <c r="Z1015" s="89"/>
      <c r="AA1015" s="96"/>
      <c r="AB1015" s="89"/>
      <c r="AC1015" s="111"/>
      <c r="AD1015" s="89"/>
      <c r="AE1015" s="89"/>
      <c r="AF1015" s="98"/>
      <c r="AG1015" s="98"/>
      <c r="AH1015" s="98"/>
      <c r="AI1015" s="99"/>
      <c r="AJ1015" s="99"/>
      <c r="AK1015" s="99"/>
      <c r="AL1015" s="45" t="s">
        <v>68</v>
      </c>
      <c r="AM1015" s="162" t="str">
        <f t="shared" si="120"/>
        <v>3/2026</v>
      </c>
      <c r="AN1015" s="45">
        <f t="shared" si="121"/>
        <v>4</v>
      </c>
      <c r="AO1015" s="45" t="str">
        <f t="shared" si="122"/>
        <v>1/1900</v>
      </c>
      <c r="AP1015" s="45" t="e">
        <f t="shared" si="123"/>
        <v>#NUM!</v>
      </c>
      <c r="AQ1015" s="45">
        <f t="shared" si="124"/>
        <v>0</v>
      </c>
      <c r="AR1015" s="45">
        <f t="shared" si="125"/>
        <v>0</v>
      </c>
      <c r="AS1015" s="45">
        <f t="shared" si="126"/>
        <v>0</v>
      </c>
      <c r="AT1015" s="45">
        <f t="shared" si="127"/>
        <v>0</v>
      </c>
      <c r="AU1015" s="45" t="str">
        <f>_xlfn.XLOOKUP(U1015,'Lista Suspensa'!$AA$20:$AA$23,'Lista Suspensa'!$AB$20:$AB$23,"N/A")</f>
        <v>S</v>
      </c>
    </row>
    <row r="1016" spans="1:47" ht="12" hidden="1" customHeight="1" x14ac:dyDescent="0.3">
      <c r="A1016" s="87" t="s">
        <v>47</v>
      </c>
      <c r="B1016" s="88">
        <v>46104</v>
      </c>
      <c r="C1016" s="89" t="s">
        <v>48</v>
      </c>
      <c r="D1016" s="89" t="s">
        <v>49</v>
      </c>
      <c r="E1016" s="90">
        <v>451674898</v>
      </c>
      <c r="F1016" s="184" t="s">
        <v>2992</v>
      </c>
      <c r="G1016" s="91">
        <v>76365948891</v>
      </c>
      <c r="H1016" s="92">
        <v>18850</v>
      </c>
      <c r="I1016" s="89">
        <v>74</v>
      </c>
      <c r="J1016" s="89" t="s">
        <v>70</v>
      </c>
      <c r="K1016" s="89" t="s">
        <v>52</v>
      </c>
      <c r="L1016" s="89" t="s">
        <v>780</v>
      </c>
      <c r="M1016" s="89" t="s">
        <v>2993</v>
      </c>
      <c r="N1016" s="89" t="s">
        <v>72</v>
      </c>
      <c r="O1016" s="93" t="s">
        <v>2994</v>
      </c>
      <c r="P1016" s="94" t="s">
        <v>57</v>
      </c>
      <c r="Q1016" s="112" t="s">
        <v>2211</v>
      </c>
      <c r="R1016" s="95"/>
      <c r="S1016" s="96">
        <v>46164</v>
      </c>
      <c r="T1016" s="96" t="s">
        <v>2212</v>
      </c>
      <c r="U1016" s="96" t="s">
        <v>79</v>
      </c>
      <c r="V1016" s="92">
        <v>46142</v>
      </c>
      <c r="W1016" s="92">
        <v>46147</v>
      </c>
      <c r="X1016" s="92">
        <v>46154</v>
      </c>
      <c r="Y1016" s="97"/>
      <c r="Z1016" s="89"/>
      <c r="AA1016" s="96"/>
      <c r="AB1016" s="89"/>
      <c r="AC1016" s="111"/>
      <c r="AD1016" s="89"/>
      <c r="AE1016" s="89"/>
      <c r="AF1016" s="98"/>
      <c r="AG1016" s="98"/>
      <c r="AH1016" s="98"/>
      <c r="AI1016" s="99"/>
      <c r="AJ1016" s="99"/>
      <c r="AK1016" s="99"/>
      <c r="AL1016" s="45" t="s">
        <v>68</v>
      </c>
      <c r="AM1016" s="162" t="str">
        <f t="shared" si="120"/>
        <v>3/2026</v>
      </c>
      <c r="AN1016" s="45">
        <f t="shared" si="121"/>
        <v>4</v>
      </c>
      <c r="AO1016" s="45" t="str">
        <f t="shared" si="122"/>
        <v>1/1900</v>
      </c>
      <c r="AP1016" s="45" t="e">
        <f t="shared" si="123"/>
        <v>#NUM!</v>
      </c>
      <c r="AQ1016" s="45">
        <f t="shared" si="124"/>
        <v>0</v>
      </c>
      <c r="AR1016" s="45">
        <f t="shared" si="125"/>
        <v>0</v>
      </c>
      <c r="AS1016" s="45">
        <f t="shared" si="126"/>
        <v>0</v>
      </c>
      <c r="AT1016" s="45">
        <f t="shared" si="127"/>
        <v>0</v>
      </c>
      <c r="AU1016" s="45" t="str">
        <f>_xlfn.XLOOKUP(U1016,'Lista Suspensa'!$AA$20:$AA$23,'Lista Suspensa'!$AB$20:$AB$23,"N/A")</f>
        <v>S</v>
      </c>
    </row>
    <row r="1017" spans="1:47" ht="12" hidden="1" customHeight="1" x14ac:dyDescent="0.3">
      <c r="A1017" s="87" t="s">
        <v>47</v>
      </c>
      <c r="B1017" s="88">
        <v>46104</v>
      </c>
      <c r="C1017" s="89" t="s">
        <v>48</v>
      </c>
      <c r="D1017" s="89" t="s">
        <v>49</v>
      </c>
      <c r="E1017" s="90">
        <v>451820894</v>
      </c>
      <c r="F1017" s="184" t="s">
        <v>2995</v>
      </c>
      <c r="G1017" s="91">
        <v>50875108849</v>
      </c>
      <c r="H1017" s="92">
        <v>18114</v>
      </c>
      <c r="I1017" s="89">
        <v>76</v>
      </c>
      <c r="J1017" s="89" t="s">
        <v>51</v>
      </c>
      <c r="K1017" s="89" t="s">
        <v>52</v>
      </c>
      <c r="L1017" s="89" t="s">
        <v>53</v>
      </c>
      <c r="M1017" s="89" t="s">
        <v>2996</v>
      </c>
      <c r="N1017" s="89" t="s">
        <v>72</v>
      </c>
      <c r="O1017" s="93" t="s">
        <v>2997</v>
      </c>
      <c r="P1017" s="94" t="s">
        <v>57</v>
      </c>
      <c r="Q1017" s="112" t="s">
        <v>2211</v>
      </c>
      <c r="R1017" s="95"/>
      <c r="S1017" s="96">
        <v>46164</v>
      </c>
      <c r="T1017" s="96" t="s">
        <v>2212</v>
      </c>
      <c r="U1017" s="96" t="s">
        <v>79</v>
      </c>
      <c r="V1017" s="92">
        <v>46142</v>
      </c>
      <c r="W1017" s="92">
        <v>46154</v>
      </c>
      <c r="X1017" s="92">
        <v>46160</v>
      </c>
      <c r="Y1017" s="97"/>
      <c r="Z1017" s="89"/>
      <c r="AA1017" s="96"/>
      <c r="AB1017" s="89"/>
      <c r="AC1017" s="111"/>
      <c r="AD1017" s="89"/>
      <c r="AE1017" s="89"/>
      <c r="AF1017" s="98"/>
      <c r="AG1017" s="98"/>
      <c r="AH1017" s="98"/>
      <c r="AI1017" s="99"/>
      <c r="AJ1017" s="99"/>
      <c r="AK1017" s="99"/>
      <c r="AL1017" s="45" t="s">
        <v>68</v>
      </c>
      <c r="AM1017" s="162" t="str">
        <f t="shared" si="120"/>
        <v>3/2026</v>
      </c>
      <c r="AN1017" s="45">
        <f t="shared" si="121"/>
        <v>4</v>
      </c>
      <c r="AO1017" s="45" t="str">
        <f t="shared" si="122"/>
        <v>1/1900</v>
      </c>
      <c r="AP1017" s="45" t="e">
        <f t="shared" si="123"/>
        <v>#NUM!</v>
      </c>
      <c r="AQ1017" s="45">
        <f t="shared" si="124"/>
        <v>0</v>
      </c>
      <c r="AR1017" s="45">
        <f t="shared" si="125"/>
        <v>0</v>
      </c>
      <c r="AS1017" s="45">
        <f t="shared" si="126"/>
        <v>0</v>
      </c>
      <c r="AT1017" s="45">
        <f t="shared" si="127"/>
        <v>0</v>
      </c>
      <c r="AU1017" s="45" t="str">
        <f>_xlfn.XLOOKUP(U1017,'Lista Suspensa'!$AA$20:$AA$23,'Lista Suspensa'!$AB$20:$AB$23,"N/A")</f>
        <v>S</v>
      </c>
    </row>
    <row r="1018" spans="1:47" ht="12" hidden="1" customHeight="1" x14ac:dyDescent="0.3">
      <c r="A1018" s="87" t="s">
        <v>47</v>
      </c>
      <c r="B1018" s="88">
        <v>46104</v>
      </c>
      <c r="C1018" s="89" t="s">
        <v>48</v>
      </c>
      <c r="D1018" s="89" t="s">
        <v>49</v>
      </c>
      <c r="E1018" s="90">
        <v>301406944</v>
      </c>
      <c r="F1018" s="184" t="s">
        <v>2998</v>
      </c>
      <c r="G1018" s="91">
        <v>67085539887</v>
      </c>
      <c r="H1018" s="92">
        <v>19311</v>
      </c>
      <c r="I1018" s="89">
        <v>73</v>
      </c>
      <c r="J1018" s="89" t="s">
        <v>51</v>
      </c>
      <c r="K1018" s="89" t="s">
        <v>52</v>
      </c>
      <c r="L1018" s="89" t="s">
        <v>53</v>
      </c>
      <c r="M1018" s="89" t="s">
        <v>2999</v>
      </c>
      <c r="N1018" s="89" t="s">
        <v>72</v>
      </c>
      <c r="O1018" s="93" t="s">
        <v>3000</v>
      </c>
      <c r="P1018" s="94" t="s">
        <v>57</v>
      </c>
      <c r="Q1018" s="112" t="s">
        <v>2211</v>
      </c>
      <c r="R1018" s="95"/>
      <c r="S1018" s="96">
        <v>46164</v>
      </c>
      <c r="T1018" s="96" t="s">
        <v>2212</v>
      </c>
      <c r="U1018" s="96" t="s">
        <v>79</v>
      </c>
      <c r="V1018" s="92">
        <v>46122</v>
      </c>
      <c r="W1018" s="92">
        <v>46142</v>
      </c>
      <c r="X1018" s="92">
        <v>46154</v>
      </c>
      <c r="Y1018" s="97"/>
      <c r="Z1018" s="89"/>
      <c r="AA1018" s="96"/>
      <c r="AB1018" s="89"/>
      <c r="AC1018" s="111"/>
      <c r="AD1018" s="89"/>
      <c r="AE1018" s="89"/>
      <c r="AF1018" s="98"/>
      <c r="AG1018" s="98"/>
      <c r="AH1018" s="98"/>
      <c r="AI1018" s="99"/>
      <c r="AJ1018" s="99"/>
      <c r="AK1018" s="99"/>
      <c r="AL1018" s="45" t="s">
        <v>68</v>
      </c>
      <c r="AM1018" s="162" t="str">
        <f t="shared" si="120"/>
        <v>3/2026</v>
      </c>
      <c r="AN1018" s="45">
        <f t="shared" si="121"/>
        <v>4</v>
      </c>
      <c r="AO1018" s="45" t="str">
        <f t="shared" si="122"/>
        <v>1/1900</v>
      </c>
      <c r="AP1018" s="45" t="e">
        <f t="shared" si="123"/>
        <v>#NUM!</v>
      </c>
      <c r="AQ1018" s="45">
        <f t="shared" si="124"/>
        <v>0</v>
      </c>
      <c r="AR1018" s="45">
        <f t="shared" si="125"/>
        <v>0</v>
      </c>
      <c r="AS1018" s="45">
        <f t="shared" si="126"/>
        <v>0</v>
      </c>
      <c r="AT1018" s="45">
        <f t="shared" si="127"/>
        <v>0</v>
      </c>
      <c r="AU1018" s="45" t="str">
        <f>_xlfn.XLOOKUP(U1018,'Lista Suspensa'!$AA$20:$AA$23,'Lista Suspensa'!$AB$20:$AB$23,"N/A")</f>
        <v>S</v>
      </c>
    </row>
    <row r="1019" spans="1:47" ht="12" hidden="1" customHeight="1" x14ac:dyDescent="0.3">
      <c r="A1019" s="87" t="s">
        <v>47</v>
      </c>
      <c r="B1019" s="88">
        <v>46104</v>
      </c>
      <c r="C1019" s="89" t="s">
        <v>48</v>
      </c>
      <c r="D1019" s="89" t="s">
        <v>49</v>
      </c>
      <c r="E1019" s="90">
        <v>301406952</v>
      </c>
      <c r="F1019" s="184" t="s">
        <v>3001</v>
      </c>
      <c r="G1019" s="91">
        <v>21444025821</v>
      </c>
      <c r="H1019" s="92">
        <v>21833</v>
      </c>
      <c r="I1019" s="89">
        <v>66</v>
      </c>
      <c r="J1019" s="89" t="s">
        <v>70</v>
      </c>
      <c r="K1019" s="89" t="s">
        <v>52</v>
      </c>
      <c r="L1019" s="89" t="s">
        <v>53</v>
      </c>
      <c r="M1019" s="89" t="s">
        <v>2999</v>
      </c>
      <c r="N1019" s="89" t="s">
        <v>72</v>
      </c>
      <c r="O1019" s="93" t="s">
        <v>3002</v>
      </c>
      <c r="P1019" s="94" t="s">
        <v>57</v>
      </c>
      <c r="Q1019" s="112" t="s">
        <v>2211</v>
      </c>
      <c r="R1019" s="95"/>
      <c r="S1019" s="96">
        <v>46164</v>
      </c>
      <c r="T1019" s="96" t="s">
        <v>2212</v>
      </c>
      <c r="U1019" s="96" t="s">
        <v>79</v>
      </c>
      <c r="V1019" s="92">
        <v>46142</v>
      </c>
      <c r="W1019" s="92">
        <v>46154</v>
      </c>
      <c r="X1019" s="92">
        <v>46160</v>
      </c>
      <c r="Y1019" s="97"/>
      <c r="Z1019" s="89"/>
      <c r="AA1019" s="96"/>
      <c r="AB1019" s="89"/>
      <c r="AC1019" s="111"/>
      <c r="AD1019" s="89"/>
      <c r="AE1019" s="89"/>
      <c r="AF1019" s="98"/>
      <c r="AG1019" s="98"/>
      <c r="AH1019" s="98"/>
      <c r="AI1019" s="99"/>
      <c r="AJ1019" s="99"/>
      <c r="AK1019" s="99"/>
      <c r="AL1019" s="45" t="s">
        <v>68</v>
      </c>
      <c r="AM1019" s="162" t="str">
        <f t="shared" si="120"/>
        <v>3/2026</v>
      </c>
      <c r="AN1019" s="45">
        <f t="shared" si="121"/>
        <v>4</v>
      </c>
      <c r="AO1019" s="45" t="str">
        <f t="shared" si="122"/>
        <v>1/1900</v>
      </c>
      <c r="AP1019" s="45" t="e">
        <f t="shared" si="123"/>
        <v>#NUM!</v>
      </c>
      <c r="AQ1019" s="45">
        <f t="shared" si="124"/>
        <v>0</v>
      </c>
      <c r="AR1019" s="45">
        <f t="shared" si="125"/>
        <v>0</v>
      </c>
      <c r="AS1019" s="45">
        <f t="shared" si="126"/>
        <v>0</v>
      </c>
      <c r="AT1019" s="45">
        <f t="shared" si="127"/>
        <v>0</v>
      </c>
      <c r="AU1019" s="45" t="str">
        <f>_xlfn.XLOOKUP(U1019,'Lista Suspensa'!$AA$20:$AA$23,'Lista Suspensa'!$AB$20:$AB$23,"N/A")</f>
        <v>S</v>
      </c>
    </row>
    <row r="1020" spans="1:47" ht="12" hidden="1" customHeight="1" x14ac:dyDescent="0.3">
      <c r="A1020" s="87" t="s">
        <v>47</v>
      </c>
      <c r="B1020" s="88">
        <v>46104</v>
      </c>
      <c r="C1020" s="89" t="s">
        <v>48</v>
      </c>
      <c r="D1020" s="89" t="s">
        <v>49</v>
      </c>
      <c r="E1020" s="90">
        <v>862997801</v>
      </c>
      <c r="F1020" s="184" t="s">
        <v>3003</v>
      </c>
      <c r="G1020" s="91">
        <v>10502954809</v>
      </c>
      <c r="H1020" s="92">
        <v>23440</v>
      </c>
      <c r="I1020" s="89">
        <v>62</v>
      </c>
      <c r="J1020" s="89" t="s">
        <v>51</v>
      </c>
      <c r="K1020" s="89" t="s">
        <v>52</v>
      </c>
      <c r="L1020" s="89" t="s">
        <v>53</v>
      </c>
      <c r="M1020" s="89" t="s">
        <v>3004</v>
      </c>
      <c r="N1020" s="89" t="s">
        <v>72</v>
      </c>
      <c r="O1020" s="93" t="s">
        <v>3005</v>
      </c>
      <c r="P1020" s="94" t="s">
        <v>57</v>
      </c>
      <c r="Q1020" s="112" t="s">
        <v>2211</v>
      </c>
      <c r="R1020" s="95"/>
      <c r="S1020" s="96">
        <v>46164</v>
      </c>
      <c r="T1020" s="96" t="s">
        <v>2212</v>
      </c>
      <c r="U1020" s="96" t="s">
        <v>79</v>
      </c>
      <c r="V1020" s="92">
        <v>46122</v>
      </c>
      <c r="W1020" s="92">
        <v>46142</v>
      </c>
      <c r="X1020" s="92">
        <v>46154</v>
      </c>
      <c r="Y1020" s="97"/>
      <c r="Z1020" s="89"/>
      <c r="AA1020" s="96"/>
      <c r="AB1020" s="89"/>
      <c r="AC1020" s="111"/>
      <c r="AD1020" s="89"/>
      <c r="AE1020" s="89"/>
      <c r="AF1020" s="98"/>
      <c r="AG1020" s="98"/>
      <c r="AH1020" s="98"/>
      <c r="AI1020" s="99"/>
      <c r="AJ1020" s="99"/>
      <c r="AK1020" s="99"/>
      <c r="AL1020" s="45" t="s">
        <v>68</v>
      </c>
      <c r="AM1020" s="162" t="str">
        <f t="shared" si="120"/>
        <v>3/2026</v>
      </c>
      <c r="AN1020" s="45">
        <f t="shared" si="121"/>
        <v>4</v>
      </c>
      <c r="AO1020" s="45" t="str">
        <f t="shared" si="122"/>
        <v>1/1900</v>
      </c>
      <c r="AP1020" s="45" t="e">
        <f t="shared" si="123"/>
        <v>#NUM!</v>
      </c>
      <c r="AQ1020" s="45">
        <f t="shared" si="124"/>
        <v>0</v>
      </c>
      <c r="AR1020" s="45">
        <f t="shared" si="125"/>
        <v>0</v>
      </c>
      <c r="AS1020" s="45">
        <f t="shared" si="126"/>
        <v>0</v>
      </c>
      <c r="AT1020" s="45">
        <f t="shared" si="127"/>
        <v>0</v>
      </c>
      <c r="AU1020" s="45" t="str">
        <f>_xlfn.XLOOKUP(U1020,'Lista Suspensa'!$AA$20:$AA$23,'Lista Suspensa'!$AB$20:$AB$23,"N/A")</f>
        <v>S</v>
      </c>
    </row>
    <row r="1021" spans="1:47" ht="12" hidden="1" customHeight="1" x14ac:dyDescent="0.3">
      <c r="A1021" s="87" t="s">
        <v>47</v>
      </c>
      <c r="B1021" s="88">
        <v>46104</v>
      </c>
      <c r="C1021" s="89" t="s">
        <v>48</v>
      </c>
      <c r="D1021" s="89" t="s">
        <v>49</v>
      </c>
      <c r="E1021" s="90">
        <v>451718410</v>
      </c>
      <c r="F1021" s="184" t="s">
        <v>3006</v>
      </c>
      <c r="G1021" s="91">
        <v>23913681868</v>
      </c>
      <c r="H1021" s="92">
        <v>14720</v>
      </c>
      <c r="I1021" s="89">
        <v>85</v>
      </c>
      <c r="J1021" s="89" t="s">
        <v>51</v>
      </c>
      <c r="K1021" s="89" t="s">
        <v>52</v>
      </c>
      <c r="L1021" s="89" t="s">
        <v>53</v>
      </c>
      <c r="M1021" s="89" t="s">
        <v>3007</v>
      </c>
      <c r="N1021" s="89" t="s">
        <v>72</v>
      </c>
      <c r="O1021" s="93" t="s">
        <v>3008</v>
      </c>
      <c r="P1021" s="94" t="s">
        <v>57</v>
      </c>
      <c r="Q1021" s="112" t="s">
        <v>2211</v>
      </c>
      <c r="R1021" s="95"/>
      <c r="S1021" s="96">
        <v>46164</v>
      </c>
      <c r="T1021" s="96" t="s">
        <v>2212</v>
      </c>
      <c r="U1021" s="96" t="s">
        <v>79</v>
      </c>
      <c r="V1021" s="92">
        <v>46142</v>
      </c>
      <c r="W1021" s="92">
        <v>46154</v>
      </c>
      <c r="X1021" s="92">
        <v>46160</v>
      </c>
      <c r="Y1021" s="97"/>
      <c r="Z1021" s="89"/>
      <c r="AA1021" s="96"/>
      <c r="AB1021" s="89"/>
      <c r="AC1021" s="111"/>
      <c r="AD1021" s="89"/>
      <c r="AE1021" s="89"/>
      <c r="AF1021" s="98"/>
      <c r="AG1021" s="98"/>
      <c r="AH1021" s="98"/>
      <c r="AI1021" s="99"/>
      <c r="AJ1021" s="99"/>
      <c r="AK1021" s="99"/>
      <c r="AL1021" s="45" t="s">
        <v>68</v>
      </c>
      <c r="AM1021" s="162" t="str">
        <f t="shared" si="120"/>
        <v>3/2026</v>
      </c>
      <c r="AN1021" s="45">
        <f t="shared" si="121"/>
        <v>4</v>
      </c>
      <c r="AO1021" s="45" t="str">
        <f t="shared" si="122"/>
        <v>1/1900</v>
      </c>
      <c r="AP1021" s="45" t="e">
        <f t="shared" si="123"/>
        <v>#NUM!</v>
      </c>
      <c r="AQ1021" s="45">
        <f t="shared" si="124"/>
        <v>0</v>
      </c>
      <c r="AR1021" s="45">
        <f t="shared" si="125"/>
        <v>0</v>
      </c>
      <c r="AS1021" s="45">
        <f t="shared" si="126"/>
        <v>0</v>
      </c>
      <c r="AT1021" s="45">
        <f t="shared" si="127"/>
        <v>0</v>
      </c>
      <c r="AU1021" s="45" t="str">
        <f>_xlfn.XLOOKUP(U1021,'Lista Suspensa'!$AA$20:$AA$23,'Lista Suspensa'!$AB$20:$AB$23,"N/A")</f>
        <v>S</v>
      </c>
    </row>
    <row r="1022" spans="1:47" ht="12" hidden="1" customHeight="1" x14ac:dyDescent="0.3">
      <c r="A1022" s="87" t="s">
        <v>47</v>
      </c>
      <c r="B1022" s="88">
        <v>46104</v>
      </c>
      <c r="C1022" s="89" t="s">
        <v>48</v>
      </c>
      <c r="D1022" s="89" t="s">
        <v>49</v>
      </c>
      <c r="E1022" s="90">
        <v>450042570</v>
      </c>
      <c r="F1022" s="184" t="s">
        <v>3009</v>
      </c>
      <c r="G1022" s="91">
        <v>11240244843</v>
      </c>
      <c r="H1022" s="92">
        <v>17704</v>
      </c>
      <c r="I1022" s="89">
        <v>77</v>
      </c>
      <c r="J1022" s="89" t="s">
        <v>70</v>
      </c>
      <c r="K1022" s="89" t="s">
        <v>52</v>
      </c>
      <c r="L1022" s="89" t="s">
        <v>53</v>
      </c>
      <c r="M1022" s="89" t="s">
        <v>2030</v>
      </c>
      <c r="N1022" s="89" t="s">
        <v>72</v>
      </c>
      <c r="O1022" s="93" t="s">
        <v>3010</v>
      </c>
      <c r="P1022" s="94" t="s">
        <v>57</v>
      </c>
      <c r="Q1022" s="112" t="s">
        <v>2211</v>
      </c>
      <c r="R1022" s="95"/>
      <c r="S1022" s="96">
        <v>46164</v>
      </c>
      <c r="T1022" s="96" t="s">
        <v>2212</v>
      </c>
      <c r="U1022" s="96" t="s">
        <v>79</v>
      </c>
      <c r="V1022" s="92">
        <v>46128</v>
      </c>
      <c r="W1022" s="92">
        <v>46142</v>
      </c>
      <c r="X1022" s="92">
        <v>46154</v>
      </c>
      <c r="Y1022" s="97"/>
      <c r="Z1022" s="89"/>
      <c r="AA1022" s="96"/>
      <c r="AB1022" s="89"/>
      <c r="AC1022" s="111"/>
      <c r="AD1022" s="89"/>
      <c r="AE1022" s="89"/>
      <c r="AF1022" s="98"/>
      <c r="AG1022" s="98"/>
      <c r="AH1022" s="98"/>
      <c r="AI1022" s="99"/>
      <c r="AJ1022" s="99"/>
      <c r="AK1022" s="99"/>
      <c r="AL1022" s="45" t="s">
        <v>68</v>
      </c>
      <c r="AM1022" s="162" t="str">
        <f t="shared" si="120"/>
        <v>3/2026</v>
      </c>
      <c r="AN1022" s="45">
        <f t="shared" si="121"/>
        <v>4</v>
      </c>
      <c r="AO1022" s="45" t="str">
        <f t="shared" si="122"/>
        <v>1/1900</v>
      </c>
      <c r="AP1022" s="45" t="e">
        <f t="shared" si="123"/>
        <v>#NUM!</v>
      </c>
      <c r="AQ1022" s="45">
        <f t="shared" si="124"/>
        <v>0</v>
      </c>
      <c r="AR1022" s="45">
        <f t="shared" si="125"/>
        <v>0</v>
      </c>
      <c r="AS1022" s="45">
        <f t="shared" si="126"/>
        <v>0</v>
      </c>
      <c r="AT1022" s="45">
        <f t="shared" si="127"/>
        <v>0</v>
      </c>
      <c r="AU1022" s="45" t="str">
        <f>_xlfn.XLOOKUP(U1022,'Lista Suspensa'!$AA$20:$AA$23,'Lista Suspensa'!$AB$20:$AB$23,"N/A")</f>
        <v>S</v>
      </c>
    </row>
    <row r="1023" spans="1:47" ht="12" hidden="1" customHeight="1" x14ac:dyDescent="0.3">
      <c r="A1023" s="87" t="s">
        <v>47</v>
      </c>
      <c r="B1023" s="88">
        <v>46104</v>
      </c>
      <c r="C1023" s="89" t="s">
        <v>48</v>
      </c>
      <c r="D1023" s="89" t="s">
        <v>49</v>
      </c>
      <c r="E1023" s="90">
        <v>451707672</v>
      </c>
      <c r="F1023" s="184" t="s">
        <v>3011</v>
      </c>
      <c r="G1023" s="91">
        <v>32038771804</v>
      </c>
      <c r="H1023" s="92">
        <v>14767</v>
      </c>
      <c r="I1023" s="89">
        <v>85</v>
      </c>
      <c r="J1023" s="89" t="s">
        <v>51</v>
      </c>
      <c r="K1023" s="89" t="s">
        <v>52</v>
      </c>
      <c r="L1023" s="89" t="s">
        <v>53</v>
      </c>
      <c r="M1023" s="89" t="s">
        <v>3012</v>
      </c>
      <c r="N1023" s="89" t="s">
        <v>72</v>
      </c>
      <c r="O1023" s="93" t="s">
        <v>3013</v>
      </c>
      <c r="P1023" s="94" t="s">
        <v>57</v>
      </c>
      <c r="Q1023" s="112" t="s">
        <v>2211</v>
      </c>
      <c r="R1023" s="95"/>
      <c r="S1023" s="96">
        <v>46164</v>
      </c>
      <c r="T1023" s="96" t="s">
        <v>2212</v>
      </c>
      <c r="U1023" s="96" t="s">
        <v>79</v>
      </c>
      <c r="V1023" s="92">
        <v>46142</v>
      </c>
      <c r="W1023" s="92">
        <v>46154</v>
      </c>
      <c r="X1023" s="92">
        <v>46160</v>
      </c>
      <c r="Y1023" s="97"/>
      <c r="Z1023" s="89"/>
      <c r="AA1023" s="96"/>
      <c r="AB1023" s="89"/>
      <c r="AC1023" s="111"/>
      <c r="AD1023" s="89"/>
      <c r="AE1023" s="89"/>
      <c r="AF1023" s="98"/>
      <c r="AG1023" s="98"/>
      <c r="AH1023" s="98"/>
      <c r="AI1023" s="99"/>
      <c r="AJ1023" s="99"/>
      <c r="AK1023" s="99"/>
      <c r="AL1023" s="45" t="s">
        <v>68</v>
      </c>
      <c r="AM1023" s="162" t="str">
        <f t="shared" si="120"/>
        <v>3/2026</v>
      </c>
      <c r="AN1023" s="45">
        <f t="shared" si="121"/>
        <v>4</v>
      </c>
      <c r="AO1023" s="45" t="str">
        <f t="shared" si="122"/>
        <v>1/1900</v>
      </c>
      <c r="AP1023" s="45" t="e">
        <f t="shared" si="123"/>
        <v>#NUM!</v>
      </c>
      <c r="AQ1023" s="45">
        <f t="shared" si="124"/>
        <v>0</v>
      </c>
      <c r="AR1023" s="45">
        <f t="shared" si="125"/>
        <v>0</v>
      </c>
      <c r="AS1023" s="45">
        <f t="shared" si="126"/>
        <v>0</v>
      </c>
      <c r="AT1023" s="45">
        <f t="shared" si="127"/>
        <v>0</v>
      </c>
      <c r="AU1023" s="45" t="str">
        <f>_xlfn.XLOOKUP(U1023,'Lista Suspensa'!$AA$20:$AA$23,'Lista Suspensa'!$AB$20:$AB$23,"N/A")</f>
        <v>S</v>
      </c>
    </row>
    <row r="1024" spans="1:47" ht="12" hidden="1" customHeight="1" x14ac:dyDescent="0.3">
      <c r="A1024" s="87" t="s">
        <v>47</v>
      </c>
      <c r="B1024" s="88">
        <v>46104</v>
      </c>
      <c r="C1024" s="89" t="s">
        <v>48</v>
      </c>
      <c r="D1024" s="89" t="s">
        <v>49</v>
      </c>
      <c r="E1024" s="90">
        <v>451799992</v>
      </c>
      <c r="F1024" s="184" t="s">
        <v>3014</v>
      </c>
      <c r="G1024" s="91">
        <v>56938136815</v>
      </c>
      <c r="H1024" s="92">
        <v>18703</v>
      </c>
      <c r="I1024" s="89">
        <v>75</v>
      </c>
      <c r="J1024" s="89" t="s">
        <v>51</v>
      </c>
      <c r="K1024" s="89" t="s">
        <v>52</v>
      </c>
      <c r="L1024" s="89" t="s">
        <v>53</v>
      </c>
      <c r="M1024" s="89" t="s">
        <v>478</v>
      </c>
      <c r="N1024" s="89" t="s">
        <v>72</v>
      </c>
      <c r="O1024" s="93" t="s">
        <v>3015</v>
      </c>
      <c r="P1024" s="94" t="s">
        <v>57</v>
      </c>
      <c r="Q1024" s="112" t="s">
        <v>2211</v>
      </c>
      <c r="R1024" s="95"/>
      <c r="S1024" s="96">
        <v>46164</v>
      </c>
      <c r="T1024" s="96" t="s">
        <v>2212</v>
      </c>
      <c r="U1024" s="96" t="s">
        <v>79</v>
      </c>
      <c r="V1024" s="92">
        <v>46142</v>
      </c>
      <c r="W1024" s="92">
        <v>46154</v>
      </c>
      <c r="X1024" s="92">
        <v>46160</v>
      </c>
      <c r="Y1024" s="97"/>
      <c r="Z1024" s="89"/>
      <c r="AA1024" s="96"/>
      <c r="AB1024" s="89"/>
      <c r="AC1024" s="111"/>
      <c r="AD1024" s="89"/>
      <c r="AE1024" s="89"/>
      <c r="AF1024" s="98"/>
      <c r="AG1024" s="98"/>
      <c r="AH1024" s="98"/>
      <c r="AI1024" s="99"/>
      <c r="AJ1024" s="99"/>
      <c r="AK1024" s="99"/>
      <c r="AL1024" s="45" t="s">
        <v>68</v>
      </c>
      <c r="AM1024" s="162" t="str">
        <f t="shared" si="120"/>
        <v>3/2026</v>
      </c>
      <c r="AN1024" s="45">
        <f t="shared" si="121"/>
        <v>4</v>
      </c>
      <c r="AO1024" s="45" t="str">
        <f t="shared" si="122"/>
        <v>1/1900</v>
      </c>
      <c r="AP1024" s="45" t="e">
        <f t="shared" si="123"/>
        <v>#NUM!</v>
      </c>
      <c r="AQ1024" s="45">
        <f t="shared" si="124"/>
        <v>0</v>
      </c>
      <c r="AR1024" s="45">
        <f t="shared" si="125"/>
        <v>0</v>
      </c>
      <c r="AS1024" s="45">
        <f t="shared" si="126"/>
        <v>0</v>
      </c>
      <c r="AT1024" s="45">
        <f t="shared" si="127"/>
        <v>0</v>
      </c>
      <c r="AU1024" s="45" t="str">
        <f>_xlfn.XLOOKUP(U1024,'Lista Suspensa'!$AA$20:$AA$23,'Lista Suspensa'!$AB$20:$AB$23,"N/A")</f>
        <v>S</v>
      </c>
    </row>
    <row r="1025" spans="1:47" ht="12" hidden="1" customHeight="1" x14ac:dyDescent="0.3">
      <c r="A1025" s="87" t="s">
        <v>47</v>
      </c>
      <c r="B1025" s="88">
        <v>46104</v>
      </c>
      <c r="C1025" s="89" t="s">
        <v>48</v>
      </c>
      <c r="D1025" s="89" t="s">
        <v>49</v>
      </c>
      <c r="E1025" s="90">
        <v>780811100</v>
      </c>
      <c r="F1025" s="184" t="s">
        <v>3016</v>
      </c>
      <c r="G1025" s="91">
        <v>57296243520</v>
      </c>
      <c r="H1025" s="92">
        <v>23031</v>
      </c>
      <c r="I1025" s="89">
        <v>63</v>
      </c>
      <c r="J1025" s="89" t="s">
        <v>70</v>
      </c>
      <c r="K1025" s="89" t="s">
        <v>52</v>
      </c>
      <c r="L1025" s="89" t="s">
        <v>53</v>
      </c>
      <c r="M1025" s="89" t="s">
        <v>3017</v>
      </c>
      <c r="N1025" s="89" t="s">
        <v>72</v>
      </c>
      <c r="O1025" s="93" t="s">
        <v>3018</v>
      </c>
      <c r="P1025" s="94" t="s">
        <v>57</v>
      </c>
      <c r="Q1025" s="112" t="s">
        <v>2211</v>
      </c>
      <c r="R1025" s="95"/>
      <c r="S1025" s="96">
        <v>46164</v>
      </c>
      <c r="T1025" s="96" t="s">
        <v>2212</v>
      </c>
      <c r="U1025" s="96" t="s">
        <v>79</v>
      </c>
      <c r="V1025" s="92">
        <v>46142</v>
      </c>
      <c r="W1025" s="92">
        <v>46154</v>
      </c>
      <c r="X1025" s="92">
        <v>46160</v>
      </c>
      <c r="Y1025" s="97"/>
      <c r="Z1025" s="89"/>
      <c r="AA1025" s="96"/>
      <c r="AB1025" s="89"/>
      <c r="AC1025" s="111"/>
      <c r="AD1025" s="89"/>
      <c r="AE1025" s="89"/>
      <c r="AF1025" s="98"/>
      <c r="AG1025" s="98"/>
      <c r="AH1025" s="98"/>
      <c r="AI1025" s="99"/>
      <c r="AJ1025" s="99"/>
      <c r="AK1025" s="99"/>
      <c r="AL1025" s="45" t="s">
        <v>68</v>
      </c>
      <c r="AM1025" s="162" t="str">
        <f t="shared" si="120"/>
        <v>3/2026</v>
      </c>
      <c r="AN1025" s="45">
        <f t="shared" si="121"/>
        <v>4</v>
      </c>
      <c r="AO1025" s="45" t="str">
        <f t="shared" si="122"/>
        <v>1/1900</v>
      </c>
      <c r="AP1025" s="45" t="e">
        <f t="shared" si="123"/>
        <v>#NUM!</v>
      </c>
      <c r="AQ1025" s="45">
        <f t="shared" si="124"/>
        <v>0</v>
      </c>
      <c r="AR1025" s="45">
        <f t="shared" si="125"/>
        <v>0</v>
      </c>
      <c r="AS1025" s="45">
        <f t="shared" si="126"/>
        <v>0</v>
      </c>
      <c r="AT1025" s="45">
        <f t="shared" si="127"/>
        <v>0</v>
      </c>
      <c r="AU1025" s="45" t="str">
        <f>_xlfn.XLOOKUP(U1025,'Lista Suspensa'!$AA$20:$AA$23,'Lista Suspensa'!$AB$20:$AB$23,"N/A")</f>
        <v>S</v>
      </c>
    </row>
    <row r="1026" spans="1:47" ht="12" hidden="1" customHeight="1" x14ac:dyDescent="0.3">
      <c r="A1026" s="87" t="s">
        <v>47</v>
      </c>
      <c r="B1026" s="88">
        <v>46104</v>
      </c>
      <c r="C1026" s="89" t="s">
        <v>48</v>
      </c>
      <c r="D1026" s="89" t="s">
        <v>49</v>
      </c>
      <c r="E1026" s="90">
        <v>451631846</v>
      </c>
      <c r="F1026" s="184" t="s">
        <v>3019</v>
      </c>
      <c r="G1026" s="91">
        <v>9467823853</v>
      </c>
      <c r="H1026" s="92">
        <v>15903</v>
      </c>
      <c r="I1026" s="89">
        <v>82</v>
      </c>
      <c r="J1026" s="89" t="s">
        <v>51</v>
      </c>
      <c r="K1026" s="89" t="s">
        <v>52</v>
      </c>
      <c r="L1026" s="89" t="s">
        <v>53</v>
      </c>
      <c r="M1026" s="89" t="s">
        <v>3020</v>
      </c>
      <c r="N1026" s="89" t="s">
        <v>72</v>
      </c>
      <c r="O1026" s="93" t="s">
        <v>3021</v>
      </c>
      <c r="P1026" s="94" t="s">
        <v>57</v>
      </c>
      <c r="Q1026" s="112" t="s">
        <v>2211</v>
      </c>
      <c r="R1026" s="95"/>
      <c r="S1026" s="96">
        <v>46164</v>
      </c>
      <c r="T1026" s="96" t="s">
        <v>2212</v>
      </c>
      <c r="U1026" s="96" t="s">
        <v>79</v>
      </c>
      <c r="V1026" s="92">
        <v>46142</v>
      </c>
      <c r="W1026" s="92">
        <v>46154</v>
      </c>
      <c r="X1026" s="92">
        <v>46160</v>
      </c>
      <c r="Y1026" s="97"/>
      <c r="Z1026" s="89"/>
      <c r="AA1026" s="96"/>
      <c r="AB1026" s="89"/>
      <c r="AC1026" s="111"/>
      <c r="AD1026" s="89"/>
      <c r="AE1026" s="89"/>
      <c r="AF1026" s="98"/>
      <c r="AG1026" s="98"/>
      <c r="AH1026" s="98"/>
      <c r="AI1026" s="99"/>
      <c r="AJ1026" s="99"/>
      <c r="AK1026" s="99"/>
      <c r="AL1026" s="45" t="s">
        <v>68</v>
      </c>
      <c r="AM1026" s="162" t="str">
        <f t="shared" ref="AM1026:AM1089" si="128">MONTH(B1026)&amp;"/"&amp;YEAR(B1026)</f>
        <v>3/2026</v>
      </c>
      <c r="AN1026" s="45">
        <f t="shared" ref="AN1026:AN1089" si="129">WEEKNUM(B1026)-WEEKNUM(EOMONTH(B1026,-1)+1)+1</f>
        <v>4</v>
      </c>
      <c r="AO1026" s="45" t="str">
        <f t="shared" ref="AO1026:AO1089" si="130">MONTH(R1026)&amp;"/"&amp;YEAR(R1026)</f>
        <v>1/1900</v>
      </c>
      <c r="AP1026" s="45" t="e">
        <f t="shared" ref="AP1026:AP1089" si="131">WEEKNUM(R1026)-WEEKNUM(EOMONTH(R1026,-1)+1)+1</f>
        <v>#NUM!</v>
      </c>
      <c r="AQ1026" s="45">
        <f t="shared" ref="AQ1026:AQ1089" si="132">IF(AU1026="S",IF(Q1026="1. Aceitou o programa",R1026-B1026,0),0)</f>
        <v>0</v>
      </c>
      <c r="AR1026" s="45">
        <f t="shared" ref="AR1026:AR1089" si="133">IF(AU1026="S",IF(AND(S1026&lt;&gt;"",R1026&lt;&gt;""),S1026-R1026,0),0)</f>
        <v>0</v>
      </c>
      <c r="AS1026" s="45">
        <f t="shared" ref="AS1026:AS1089" si="134">IF(AU1026="S",IF(Q1026="1. Aceitou o programa",IF(OR(X1026="Não se Aplica",X1026=""),IF(OR(W1026="Não se Aplica",W1026=""),0,W1026-V1026),AVERAGE(X1026-W1026,W1026-V1026)),0),0)</f>
        <v>0</v>
      </c>
      <c r="AT1026" s="45">
        <f t="shared" ref="AT1026:AT1089" si="135">IF(AU1026="S",IF(AND(Q1026="1. Aceitou o programa",AB1026="Realizada"),IFERROR(IF(AA1026="",0,AA1026-R1026),0),0),0)</f>
        <v>0</v>
      </c>
      <c r="AU1026" s="45" t="str">
        <f>_xlfn.XLOOKUP(U1026,'Lista Suspensa'!$AA$20:$AA$23,'Lista Suspensa'!$AB$20:$AB$23,"N/A")</f>
        <v>S</v>
      </c>
    </row>
    <row r="1027" spans="1:47" ht="12" hidden="1" customHeight="1" x14ac:dyDescent="0.3">
      <c r="A1027" s="87" t="s">
        <v>47</v>
      </c>
      <c r="B1027" s="88">
        <v>46104</v>
      </c>
      <c r="C1027" s="89" t="s">
        <v>48</v>
      </c>
      <c r="D1027" s="89" t="s">
        <v>49</v>
      </c>
      <c r="E1027" s="90">
        <v>451785002</v>
      </c>
      <c r="F1027" s="184" t="s">
        <v>3022</v>
      </c>
      <c r="G1027" s="91">
        <v>25854286807</v>
      </c>
      <c r="H1027" s="92">
        <v>16871</v>
      </c>
      <c r="I1027" s="89">
        <v>80</v>
      </c>
      <c r="J1027" s="89" t="s">
        <v>70</v>
      </c>
      <c r="K1027" s="89" t="s">
        <v>52</v>
      </c>
      <c r="L1027" s="89" t="s">
        <v>53</v>
      </c>
      <c r="M1027" s="89" t="s">
        <v>3023</v>
      </c>
      <c r="N1027" s="89" t="s">
        <v>72</v>
      </c>
      <c r="O1027" s="93" t="s">
        <v>3024</v>
      </c>
      <c r="P1027" s="94" t="s">
        <v>57</v>
      </c>
      <c r="Q1027" s="112" t="s">
        <v>2211</v>
      </c>
      <c r="R1027" s="95"/>
      <c r="S1027" s="96">
        <v>46164</v>
      </c>
      <c r="T1027" s="96" t="s">
        <v>2212</v>
      </c>
      <c r="U1027" s="96" t="s">
        <v>79</v>
      </c>
      <c r="V1027" s="92">
        <v>46112</v>
      </c>
      <c r="W1027" s="92">
        <v>46142</v>
      </c>
      <c r="X1027" s="92">
        <v>46154</v>
      </c>
      <c r="Y1027" s="97"/>
      <c r="Z1027" s="89"/>
      <c r="AA1027" s="96"/>
      <c r="AB1027" s="89"/>
      <c r="AC1027" s="111"/>
      <c r="AD1027" s="89"/>
      <c r="AE1027" s="89"/>
      <c r="AF1027" s="98"/>
      <c r="AG1027" s="98"/>
      <c r="AH1027" s="98"/>
      <c r="AI1027" s="99"/>
      <c r="AJ1027" s="99"/>
      <c r="AK1027" s="99"/>
      <c r="AL1027" s="45" t="s">
        <v>68</v>
      </c>
      <c r="AM1027" s="162" t="str">
        <f t="shared" si="128"/>
        <v>3/2026</v>
      </c>
      <c r="AN1027" s="45">
        <f t="shared" si="129"/>
        <v>4</v>
      </c>
      <c r="AO1027" s="45" t="str">
        <f t="shared" si="130"/>
        <v>1/1900</v>
      </c>
      <c r="AP1027" s="45" t="e">
        <f t="shared" si="131"/>
        <v>#NUM!</v>
      </c>
      <c r="AQ1027" s="45">
        <f t="shared" si="132"/>
        <v>0</v>
      </c>
      <c r="AR1027" s="45">
        <f t="shared" si="133"/>
        <v>0</v>
      </c>
      <c r="AS1027" s="45">
        <f t="shared" si="134"/>
        <v>0</v>
      </c>
      <c r="AT1027" s="45">
        <f t="shared" si="135"/>
        <v>0</v>
      </c>
      <c r="AU1027" s="45" t="str">
        <f>_xlfn.XLOOKUP(U1027,'Lista Suspensa'!$AA$20:$AA$23,'Lista Suspensa'!$AB$20:$AB$23,"N/A")</f>
        <v>S</v>
      </c>
    </row>
    <row r="1028" spans="1:47" ht="12" hidden="1" customHeight="1" x14ac:dyDescent="0.3">
      <c r="A1028" s="87" t="s">
        <v>47</v>
      </c>
      <c r="B1028" s="88">
        <v>46104</v>
      </c>
      <c r="C1028" s="89" t="s">
        <v>48</v>
      </c>
      <c r="D1028" s="89" t="s">
        <v>49</v>
      </c>
      <c r="E1028" s="90">
        <v>452147018</v>
      </c>
      <c r="F1028" s="184" t="s">
        <v>3025</v>
      </c>
      <c r="G1028" s="91">
        <v>10470616865</v>
      </c>
      <c r="H1028" s="92">
        <v>19150</v>
      </c>
      <c r="I1028" s="89">
        <v>73</v>
      </c>
      <c r="J1028" s="89" t="s">
        <v>70</v>
      </c>
      <c r="K1028" s="89" t="s">
        <v>52</v>
      </c>
      <c r="L1028" s="89" t="s">
        <v>53</v>
      </c>
      <c r="M1028" s="89" t="s">
        <v>1962</v>
      </c>
      <c r="N1028" s="89" t="s">
        <v>72</v>
      </c>
      <c r="O1028" s="93" t="s">
        <v>3026</v>
      </c>
      <c r="P1028" s="94" t="s">
        <v>57</v>
      </c>
      <c r="Q1028" s="112" t="s">
        <v>2211</v>
      </c>
      <c r="R1028" s="95"/>
      <c r="S1028" s="96">
        <v>46164</v>
      </c>
      <c r="T1028" s="96" t="s">
        <v>2212</v>
      </c>
      <c r="U1028" s="96" t="s">
        <v>79</v>
      </c>
      <c r="V1028" s="92">
        <v>46142</v>
      </c>
      <c r="W1028" s="92">
        <v>46154</v>
      </c>
      <c r="X1028" s="92">
        <v>46160</v>
      </c>
      <c r="Y1028" s="97"/>
      <c r="Z1028" s="89"/>
      <c r="AA1028" s="96"/>
      <c r="AB1028" s="89"/>
      <c r="AC1028" s="111"/>
      <c r="AD1028" s="89"/>
      <c r="AE1028" s="89"/>
      <c r="AF1028" s="98"/>
      <c r="AG1028" s="98"/>
      <c r="AH1028" s="98"/>
      <c r="AI1028" s="99"/>
      <c r="AJ1028" s="99"/>
      <c r="AK1028" s="99"/>
      <c r="AL1028" s="45" t="s">
        <v>68</v>
      </c>
      <c r="AM1028" s="162" t="str">
        <f t="shared" si="128"/>
        <v>3/2026</v>
      </c>
      <c r="AN1028" s="45">
        <f t="shared" si="129"/>
        <v>4</v>
      </c>
      <c r="AO1028" s="45" t="str">
        <f t="shared" si="130"/>
        <v>1/1900</v>
      </c>
      <c r="AP1028" s="45" t="e">
        <f t="shared" si="131"/>
        <v>#NUM!</v>
      </c>
      <c r="AQ1028" s="45">
        <f t="shared" si="132"/>
        <v>0</v>
      </c>
      <c r="AR1028" s="45">
        <f t="shared" si="133"/>
        <v>0</v>
      </c>
      <c r="AS1028" s="45">
        <f t="shared" si="134"/>
        <v>0</v>
      </c>
      <c r="AT1028" s="45">
        <f t="shared" si="135"/>
        <v>0</v>
      </c>
      <c r="AU1028" s="45" t="str">
        <f>_xlfn.XLOOKUP(U1028,'Lista Suspensa'!$AA$20:$AA$23,'Lista Suspensa'!$AB$20:$AB$23,"N/A")</f>
        <v>S</v>
      </c>
    </row>
    <row r="1029" spans="1:47" ht="12" hidden="1" customHeight="1" x14ac:dyDescent="0.3">
      <c r="A1029" s="87" t="s">
        <v>47</v>
      </c>
      <c r="B1029" s="88">
        <v>46104</v>
      </c>
      <c r="C1029" s="89" t="s">
        <v>48</v>
      </c>
      <c r="D1029" s="89" t="s">
        <v>49</v>
      </c>
      <c r="E1029" s="90">
        <v>451608062</v>
      </c>
      <c r="F1029" s="184" t="s">
        <v>3027</v>
      </c>
      <c r="G1029" s="91">
        <v>22212740832</v>
      </c>
      <c r="H1029" s="92">
        <v>20000</v>
      </c>
      <c r="I1029" s="89">
        <v>71</v>
      </c>
      <c r="J1029" s="89" t="s">
        <v>70</v>
      </c>
      <c r="K1029" s="89" t="s">
        <v>52</v>
      </c>
      <c r="L1029" s="89" t="s">
        <v>53</v>
      </c>
      <c r="M1029" s="89" t="s">
        <v>1766</v>
      </c>
      <c r="N1029" s="89" t="s">
        <v>72</v>
      </c>
      <c r="O1029" s="93" t="s">
        <v>3028</v>
      </c>
      <c r="P1029" s="94" t="s">
        <v>57</v>
      </c>
      <c r="Q1029" s="112" t="s">
        <v>2211</v>
      </c>
      <c r="R1029" s="95"/>
      <c r="S1029" s="96">
        <v>46164</v>
      </c>
      <c r="T1029" s="96" t="s">
        <v>2212</v>
      </c>
      <c r="U1029" s="96" t="s">
        <v>79</v>
      </c>
      <c r="V1029" s="92">
        <v>46142</v>
      </c>
      <c r="W1029" s="92">
        <v>46154</v>
      </c>
      <c r="X1029" s="92">
        <v>46160</v>
      </c>
      <c r="Y1029" s="97"/>
      <c r="Z1029" s="89"/>
      <c r="AA1029" s="96"/>
      <c r="AB1029" s="89"/>
      <c r="AC1029" s="111"/>
      <c r="AD1029" s="89"/>
      <c r="AE1029" s="89"/>
      <c r="AF1029" s="98"/>
      <c r="AG1029" s="98"/>
      <c r="AH1029" s="98"/>
      <c r="AI1029" s="99"/>
      <c r="AJ1029" s="99"/>
      <c r="AK1029" s="99"/>
      <c r="AL1029" s="45" t="s">
        <v>68</v>
      </c>
      <c r="AM1029" s="162" t="str">
        <f t="shared" si="128"/>
        <v>3/2026</v>
      </c>
      <c r="AN1029" s="45">
        <f t="shared" si="129"/>
        <v>4</v>
      </c>
      <c r="AO1029" s="45" t="str">
        <f t="shared" si="130"/>
        <v>1/1900</v>
      </c>
      <c r="AP1029" s="45" t="e">
        <f t="shared" si="131"/>
        <v>#NUM!</v>
      </c>
      <c r="AQ1029" s="45">
        <f t="shared" si="132"/>
        <v>0</v>
      </c>
      <c r="AR1029" s="45">
        <f t="shared" si="133"/>
        <v>0</v>
      </c>
      <c r="AS1029" s="45">
        <f t="shared" si="134"/>
        <v>0</v>
      </c>
      <c r="AT1029" s="45">
        <f t="shared" si="135"/>
        <v>0</v>
      </c>
      <c r="AU1029" s="45" t="str">
        <f>_xlfn.XLOOKUP(U1029,'Lista Suspensa'!$AA$20:$AA$23,'Lista Suspensa'!$AB$20:$AB$23,"N/A")</f>
        <v>S</v>
      </c>
    </row>
    <row r="1030" spans="1:47" ht="12" hidden="1" customHeight="1" x14ac:dyDescent="0.3">
      <c r="A1030" s="87" t="s">
        <v>47</v>
      </c>
      <c r="B1030" s="88">
        <v>46104</v>
      </c>
      <c r="C1030" s="89" t="s">
        <v>48</v>
      </c>
      <c r="D1030" s="89" t="s">
        <v>49</v>
      </c>
      <c r="E1030" s="90">
        <v>451722400</v>
      </c>
      <c r="F1030" s="184" t="s">
        <v>3029</v>
      </c>
      <c r="G1030" s="91">
        <v>22876918803</v>
      </c>
      <c r="H1030" s="92">
        <v>18081</v>
      </c>
      <c r="I1030" s="89">
        <v>76</v>
      </c>
      <c r="J1030" s="89" t="s">
        <v>70</v>
      </c>
      <c r="K1030" s="89" t="s">
        <v>52</v>
      </c>
      <c r="L1030" s="89" t="s">
        <v>53</v>
      </c>
      <c r="M1030" s="89" t="s">
        <v>3030</v>
      </c>
      <c r="N1030" s="89" t="s">
        <v>72</v>
      </c>
      <c r="O1030" s="93" t="s">
        <v>3031</v>
      </c>
      <c r="P1030" s="94" t="s">
        <v>57</v>
      </c>
      <c r="Q1030" s="112" t="s">
        <v>2211</v>
      </c>
      <c r="R1030" s="95"/>
      <c r="S1030" s="96">
        <v>46164</v>
      </c>
      <c r="T1030" s="96" t="s">
        <v>2212</v>
      </c>
      <c r="U1030" s="96" t="s">
        <v>79</v>
      </c>
      <c r="V1030" s="92">
        <v>46142</v>
      </c>
      <c r="W1030" s="92">
        <v>46154</v>
      </c>
      <c r="X1030" s="92">
        <v>46160</v>
      </c>
      <c r="Y1030" s="97"/>
      <c r="Z1030" s="89"/>
      <c r="AA1030" s="96"/>
      <c r="AB1030" s="89"/>
      <c r="AC1030" s="111"/>
      <c r="AD1030" s="89"/>
      <c r="AE1030" s="89"/>
      <c r="AF1030" s="98"/>
      <c r="AG1030" s="98"/>
      <c r="AH1030" s="98"/>
      <c r="AI1030" s="99"/>
      <c r="AJ1030" s="99"/>
      <c r="AK1030" s="99"/>
      <c r="AL1030" s="45" t="s">
        <v>68</v>
      </c>
      <c r="AM1030" s="162" t="str">
        <f t="shared" si="128"/>
        <v>3/2026</v>
      </c>
      <c r="AN1030" s="45">
        <f t="shared" si="129"/>
        <v>4</v>
      </c>
      <c r="AO1030" s="45" t="str">
        <f t="shared" si="130"/>
        <v>1/1900</v>
      </c>
      <c r="AP1030" s="45" t="e">
        <f t="shared" si="131"/>
        <v>#NUM!</v>
      </c>
      <c r="AQ1030" s="45">
        <f t="shared" si="132"/>
        <v>0</v>
      </c>
      <c r="AR1030" s="45">
        <f t="shared" si="133"/>
        <v>0</v>
      </c>
      <c r="AS1030" s="45">
        <f t="shared" si="134"/>
        <v>0</v>
      </c>
      <c r="AT1030" s="45">
        <f t="shared" si="135"/>
        <v>0</v>
      </c>
      <c r="AU1030" s="45" t="str">
        <f>_xlfn.XLOOKUP(U1030,'Lista Suspensa'!$AA$20:$AA$23,'Lista Suspensa'!$AB$20:$AB$23,"N/A")</f>
        <v>S</v>
      </c>
    </row>
    <row r="1031" spans="1:47" ht="12" hidden="1" customHeight="1" x14ac:dyDescent="0.3">
      <c r="A1031" s="87" t="s">
        <v>47</v>
      </c>
      <c r="B1031" s="88">
        <v>46104</v>
      </c>
      <c r="C1031" s="89" t="s">
        <v>48</v>
      </c>
      <c r="D1031" s="89" t="s">
        <v>49</v>
      </c>
      <c r="E1031" s="90">
        <v>450067270</v>
      </c>
      <c r="F1031" s="184" t="s">
        <v>3032</v>
      </c>
      <c r="G1031" s="91">
        <v>90455592853</v>
      </c>
      <c r="H1031" s="92">
        <v>18396</v>
      </c>
      <c r="I1031" s="89">
        <v>75</v>
      </c>
      <c r="J1031" s="89" t="s">
        <v>70</v>
      </c>
      <c r="K1031" s="89" t="s">
        <v>52</v>
      </c>
      <c r="L1031" s="89" t="s">
        <v>53</v>
      </c>
      <c r="M1031" s="89" t="s">
        <v>984</v>
      </c>
      <c r="N1031" s="89" t="s">
        <v>72</v>
      </c>
      <c r="O1031" s="93" t="s">
        <v>3033</v>
      </c>
      <c r="P1031" s="94" t="s">
        <v>57</v>
      </c>
      <c r="Q1031" s="112" t="s">
        <v>2211</v>
      </c>
      <c r="R1031" s="95"/>
      <c r="S1031" s="96">
        <v>46164</v>
      </c>
      <c r="T1031" s="96" t="s">
        <v>2212</v>
      </c>
      <c r="U1031" s="96" t="s">
        <v>79</v>
      </c>
      <c r="V1031" s="92">
        <v>46142</v>
      </c>
      <c r="W1031" s="92">
        <v>46154</v>
      </c>
      <c r="X1031" s="92">
        <v>46160</v>
      </c>
      <c r="Y1031" s="97"/>
      <c r="Z1031" s="89"/>
      <c r="AA1031" s="96"/>
      <c r="AB1031" s="89"/>
      <c r="AC1031" s="111"/>
      <c r="AD1031" s="89"/>
      <c r="AE1031" s="89"/>
      <c r="AF1031" s="98"/>
      <c r="AG1031" s="98"/>
      <c r="AH1031" s="98"/>
      <c r="AI1031" s="99"/>
      <c r="AJ1031" s="99"/>
      <c r="AK1031" s="99"/>
      <c r="AL1031" s="45" t="s">
        <v>68</v>
      </c>
      <c r="AM1031" s="162" t="str">
        <f t="shared" si="128"/>
        <v>3/2026</v>
      </c>
      <c r="AN1031" s="45">
        <f t="shared" si="129"/>
        <v>4</v>
      </c>
      <c r="AO1031" s="45" t="str">
        <f t="shared" si="130"/>
        <v>1/1900</v>
      </c>
      <c r="AP1031" s="45" t="e">
        <f t="shared" si="131"/>
        <v>#NUM!</v>
      </c>
      <c r="AQ1031" s="45">
        <f t="shared" si="132"/>
        <v>0</v>
      </c>
      <c r="AR1031" s="45">
        <f t="shared" si="133"/>
        <v>0</v>
      </c>
      <c r="AS1031" s="45">
        <f t="shared" si="134"/>
        <v>0</v>
      </c>
      <c r="AT1031" s="45">
        <f t="shared" si="135"/>
        <v>0</v>
      </c>
      <c r="AU1031" s="45" t="str">
        <f>_xlfn.XLOOKUP(U1031,'Lista Suspensa'!$AA$20:$AA$23,'Lista Suspensa'!$AB$20:$AB$23,"N/A")</f>
        <v>S</v>
      </c>
    </row>
    <row r="1032" spans="1:47" ht="12" hidden="1" customHeight="1" x14ac:dyDescent="0.3">
      <c r="A1032" s="87" t="s">
        <v>47</v>
      </c>
      <c r="B1032" s="88">
        <v>46104</v>
      </c>
      <c r="C1032" s="89" t="s">
        <v>48</v>
      </c>
      <c r="D1032" s="89" t="s">
        <v>49</v>
      </c>
      <c r="E1032" s="90">
        <v>451626516</v>
      </c>
      <c r="F1032" s="184" t="s">
        <v>3034</v>
      </c>
      <c r="G1032" s="91">
        <v>18243011897</v>
      </c>
      <c r="H1032" s="92">
        <v>18866</v>
      </c>
      <c r="I1032" s="89">
        <v>74</v>
      </c>
      <c r="J1032" s="89" t="s">
        <v>70</v>
      </c>
      <c r="K1032" s="89" t="s">
        <v>52</v>
      </c>
      <c r="L1032" s="89" t="s">
        <v>53</v>
      </c>
      <c r="M1032" s="89" t="s">
        <v>3035</v>
      </c>
      <c r="N1032" s="89" t="s">
        <v>72</v>
      </c>
      <c r="O1032" s="93" t="s">
        <v>3036</v>
      </c>
      <c r="P1032" s="94" t="s">
        <v>57</v>
      </c>
      <c r="Q1032" s="112" t="s">
        <v>2211</v>
      </c>
      <c r="R1032" s="95"/>
      <c r="S1032" s="96">
        <v>46164</v>
      </c>
      <c r="T1032" s="96" t="s">
        <v>2212</v>
      </c>
      <c r="U1032" s="96" t="s">
        <v>79</v>
      </c>
      <c r="V1032" s="92">
        <v>46142</v>
      </c>
      <c r="W1032" s="92">
        <v>46154</v>
      </c>
      <c r="X1032" s="92">
        <v>46160</v>
      </c>
      <c r="Y1032" s="97"/>
      <c r="Z1032" s="89"/>
      <c r="AA1032" s="96"/>
      <c r="AB1032" s="89"/>
      <c r="AC1032" s="111"/>
      <c r="AD1032" s="89"/>
      <c r="AE1032" s="89"/>
      <c r="AF1032" s="98"/>
      <c r="AG1032" s="98"/>
      <c r="AH1032" s="98"/>
      <c r="AI1032" s="99"/>
      <c r="AJ1032" s="99"/>
      <c r="AK1032" s="99"/>
      <c r="AL1032" s="45" t="s">
        <v>68</v>
      </c>
      <c r="AM1032" s="162" t="str">
        <f t="shared" si="128"/>
        <v>3/2026</v>
      </c>
      <c r="AN1032" s="45">
        <f t="shared" si="129"/>
        <v>4</v>
      </c>
      <c r="AO1032" s="45" t="str">
        <f t="shared" si="130"/>
        <v>1/1900</v>
      </c>
      <c r="AP1032" s="45" t="e">
        <f t="shared" si="131"/>
        <v>#NUM!</v>
      </c>
      <c r="AQ1032" s="45">
        <f t="shared" si="132"/>
        <v>0</v>
      </c>
      <c r="AR1032" s="45">
        <f t="shared" si="133"/>
        <v>0</v>
      </c>
      <c r="AS1032" s="45">
        <f t="shared" si="134"/>
        <v>0</v>
      </c>
      <c r="AT1032" s="45">
        <f t="shared" si="135"/>
        <v>0</v>
      </c>
      <c r="AU1032" s="45" t="str">
        <f>_xlfn.XLOOKUP(U1032,'Lista Suspensa'!$AA$20:$AA$23,'Lista Suspensa'!$AB$20:$AB$23,"N/A")</f>
        <v>S</v>
      </c>
    </row>
    <row r="1033" spans="1:47" ht="12" hidden="1" customHeight="1" x14ac:dyDescent="0.3">
      <c r="A1033" s="87" t="s">
        <v>47</v>
      </c>
      <c r="B1033" s="88">
        <v>46104</v>
      </c>
      <c r="C1033" s="89" t="s">
        <v>48</v>
      </c>
      <c r="D1033" s="89" t="s">
        <v>49</v>
      </c>
      <c r="E1033" s="90">
        <v>451854322</v>
      </c>
      <c r="F1033" s="184" t="s">
        <v>3037</v>
      </c>
      <c r="G1033" s="91">
        <v>22422855806</v>
      </c>
      <c r="H1033" s="92">
        <v>18384</v>
      </c>
      <c r="I1033" s="89">
        <v>75</v>
      </c>
      <c r="J1033" s="89" t="s">
        <v>70</v>
      </c>
      <c r="K1033" s="89" t="s">
        <v>52</v>
      </c>
      <c r="L1033" s="89" t="s">
        <v>53</v>
      </c>
      <c r="M1033" s="89" t="s">
        <v>3038</v>
      </c>
      <c r="N1033" s="89" t="s">
        <v>72</v>
      </c>
      <c r="O1033" s="93" t="s">
        <v>3039</v>
      </c>
      <c r="P1033" s="94" t="s">
        <v>57</v>
      </c>
      <c r="Q1033" s="112" t="s">
        <v>2211</v>
      </c>
      <c r="R1033" s="95"/>
      <c r="S1033" s="96">
        <v>46164</v>
      </c>
      <c r="T1033" s="96" t="s">
        <v>2212</v>
      </c>
      <c r="U1033" s="96" t="s">
        <v>79</v>
      </c>
      <c r="V1033" s="92">
        <v>46142</v>
      </c>
      <c r="W1033" s="92">
        <v>46154</v>
      </c>
      <c r="X1033" s="92">
        <v>46160</v>
      </c>
      <c r="Y1033" s="97"/>
      <c r="Z1033" s="89"/>
      <c r="AA1033" s="96"/>
      <c r="AB1033" s="89"/>
      <c r="AC1033" s="111"/>
      <c r="AD1033" s="89"/>
      <c r="AE1033" s="89"/>
      <c r="AF1033" s="98"/>
      <c r="AG1033" s="98"/>
      <c r="AH1033" s="98"/>
      <c r="AI1033" s="99"/>
      <c r="AJ1033" s="99"/>
      <c r="AK1033" s="99"/>
      <c r="AL1033" s="45" t="s">
        <v>68</v>
      </c>
      <c r="AM1033" s="162" t="str">
        <f t="shared" si="128"/>
        <v>3/2026</v>
      </c>
      <c r="AN1033" s="45">
        <f t="shared" si="129"/>
        <v>4</v>
      </c>
      <c r="AO1033" s="45" t="str">
        <f t="shared" si="130"/>
        <v>1/1900</v>
      </c>
      <c r="AP1033" s="45" t="e">
        <f t="shared" si="131"/>
        <v>#NUM!</v>
      </c>
      <c r="AQ1033" s="45">
        <f t="shared" si="132"/>
        <v>0</v>
      </c>
      <c r="AR1033" s="45">
        <f t="shared" si="133"/>
        <v>0</v>
      </c>
      <c r="AS1033" s="45">
        <f t="shared" si="134"/>
        <v>0</v>
      </c>
      <c r="AT1033" s="45">
        <f t="shared" si="135"/>
        <v>0</v>
      </c>
      <c r="AU1033" s="45" t="str">
        <f>_xlfn.XLOOKUP(U1033,'Lista Suspensa'!$AA$20:$AA$23,'Lista Suspensa'!$AB$20:$AB$23,"N/A")</f>
        <v>S</v>
      </c>
    </row>
    <row r="1034" spans="1:47" ht="12" hidden="1" customHeight="1" x14ac:dyDescent="0.3">
      <c r="A1034" s="87" t="s">
        <v>47</v>
      </c>
      <c r="B1034" s="88">
        <v>46104</v>
      </c>
      <c r="C1034" s="89" t="s">
        <v>48</v>
      </c>
      <c r="D1034" s="89" t="s">
        <v>49</v>
      </c>
      <c r="E1034" s="90">
        <v>451821920</v>
      </c>
      <c r="F1034" s="184" t="s">
        <v>3040</v>
      </c>
      <c r="G1034" s="91">
        <v>5016041890</v>
      </c>
      <c r="H1034" s="92">
        <v>19453</v>
      </c>
      <c r="I1034" s="89">
        <v>72</v>
      </c>
      <c r="J1034" s="89" t="s">
        <v>70</v>
      </c>
      <c r="K1034" s="89" t="s">
        <v>52</v>
      </c>
      <c r="L1034" s="89" t="s">
        <v>53</v>
      </c>
      <c r="M1034" s="89" t="s">
        <v>3041</v>
      </c>
      <c r="N1034" s="89" t="s">
        <v>72</v>
      </c>
      <c r="O1034" s="93" t="s">
        <v>3042</v>
      </c>
      <c r="P1034" s="94" t="s">
        <v>57</v>
      </c>
      <c r="Q1034" s="112" t="s">
        <v>2211</v>
      </c>
      <c r="R1034" s="95"/>
      <c r="S1034" s="96">
        <v>46164</v>
      </c>
      <c r="T1034" s="96" t="s">
        <v>2212</v>
      </c>
      <c r="U1034" s="96" t="s">
        <v>79</v>
      </c>
      <c r="V1034" s="92">
        <v>46142</v>
      </c>
      <c r="W1034" s="92">
        <v>46154</v>
      </c>
      <c r="X1034" s="92">
        <v>46160</v>
      </c>
      <c r="Y1034" s="97"/>
      <c r="Z1034" s="89"/>
      <c r="AA1034" s="96"/>
      <c r="AB1034" s="89"/>
      <c r="AC1034" s="111"/>
      <c r="AD1034" s="89"/>
      <c r="AE1034" s="89"/>
      <c r="AF1034" s="98"/>
      <c r="AG1034" s="98"/>
      <c r="AH1034" s="98"/>
      <c r="AI1034" s="99"/>
      <c r="AJ1034" s="99"/>
      <c r="AK1034" s="99"/>
      <c r="AL1034" s="45" t="s">
        <v>68</v>
      </c>
      <c r="AM1034" s="162" t="str">
        <f t="shared" si="128"/>
        <v>3/2026</v>
      </c>
      <c r="AN1034" s="45">
        <f t="shared" si="129"/>
        <v>4</v>
      </c>
      <c r="AO1034" s="45" t="str">
        <f t="shared" si="130"/>
        <v>1/1900</v>
      </c>
      <c r="AP1034" s="45" t="e">
        <f t="shared" si="131"/>
        <v>#NUM!</v>
      </c>
      <c r="AQ1034" s="45">
        <f t="shared" si="132"/>
        <v>0</v>
      </c>
      <c r="AR1034" s="45">
        <f t="shared" si="133"/>
        <v>0</v>
      </c>
      <c r="AS1034" s="45">
        <f t="shared" si="134"/>
        <v>0</v>
      </c>
      <c r="AT1034" s="45">
        <f t="shared" si="135"/>
        <v>0</v>
      </c>
      <c r="AU1034" s="45" t="str">
        <f>_xlfn.XLOOKUP(U1034,'Lista Suspensa'!$AA$20:$AA$23,'Lista Suspensa'!$AB$20:$AB$23,"N/A")</f>
        <v>S</v>
      </c>
    </row>
    <row r="1035" spans="1:47" ht="12" hidden="1" customHeight="1" x14ac:dyDescent="0.3">
      <c r="A1035" s="87" t="s">
        <v>47</v>
      </c>
      <c r="B1035" s="88">
        <v>46104</v>
      </c>
      <c r="C1035" s="89" t="s">
        <v>48</v>
      </c>
      <c r="D1035" s="89" t="s">
        <v>49</v>
      </c>
      <c r="E1035" s="90">
        <v>422245046</v>
      </c>
      <c r="F1035" s="184" t="s">
        <v>3043</v>
      </c>
      <c r="G1035" s="91">
        <v>14921348804</v>
      </c>
      <c r="H1035" s="92">
        <v>17689</v>
      </c>
      <c r="I1035" s="89">
        <v>77</v>
      </c>
      <c r="J1035" s="89" t="s">
        <v>70</v>
      </c>
      <c r="K1035" s="89" t="s">
        <v>52</v>
      </c>
      <c r="L1035" s="89" t="s">
        <v>53</v>
      </c>
      <c r="M1035" s="89" t="s">
        <v>3044</v>
      </c>
      <c r="N1035" s="89" t="s">
        <v>72</v>
      </c>
      <c r="O1035" s="93" t="s">
        <v>3045</v>
      </c>
      <c r="P1035" s="94" t="s">
        <v>57</v>
      </c>
      <c r="Q1035" s="112" t="s">
        <v>2211</v>
      </c>
      <c r="R1035" s="95"/>
      <c r="S1035" s="96">
        <v>46164</v>
      </c>
      <c r="T1035" s="96" t="s">
        <v>2212</v>
      </c>
      <c r="U1035" s="96" t="s">
        <v>79</v>
      </c>
      <c r="V1035" s="92">
        <v>46112</v>
      </c>
      <c r="W1035" s="92">
        <v>46142</v>
      </c>
      <c r="X1035" s="92">
        <v>46154</v>
      </c>
      <c r="Y1035" s="97"/>
      <c r="Z1035" s="89"/>
      <c r="AA1035" s="96"/>
      <c r="AB1035" s="89"/>
      <c r="AC1035" s="111"/>
      <c r="AD1035" s="89"/>
      <c r="AE1035" s="89"/>
      <c r="AF1035" s="98"/>
      <c r="AG1035" s="98"/>
      <c r="AH1035" s="98"/>
      <c r="AI1035" s="99"/>
      <c r="AJ1035" s="99"/>
      <c r="AK1035" s="99"/>
      <c r="AL1035" s="45" t="s">
        <v>68</v>
      </c>
      <c r="AM1035" s="162" t="str">
        <f t="shared" si="128"/>
        <v>3/2026</v>
      </c>
      <c r="AN1035" s="45">
        <f t="shared" si="129"/>
        <v>4</v>
      </c>
      <c r="AO1035" s="45" t="str">
        <f t="shared" si="130"/>
        <v>1/1900</v>
      </c>
      <c r="AP1035" s="45" t="e">
        <f t="shared" si="131"/>
        <v>#NUM!</v>
      </c>
      <c r="AQ1035" s="45">
        <f t="shared" si="132"/>
        <v>0</v>
      </c>
      <c r="AR1035" s="45">
        <f t="shared" si="133"/>
        <v>0</v>
      </c>
      <c r="AS1035" s="45">
        <f t="shared" si="134"/>
        <v>0</v>
      </c>
      <c r="AT1035" s="45">
        <f t="shared" si="135"/>
        <v>0</v>
      </c>
      <c r="AU1035" s="45" t="str">
        <f>_xlfn.XLOOKUP(U1035,'Lista Suspensa'!$AA$20:$AA$23,'Lista Suspensa'!$AB$20:$AB$23,"N/A")</f>
        <v>S</v>
      </c>
    </row>
    <row r="1036" spans="1:47" ht="12" hidden="1" customHeight="1" x14ac:dyDescent="0.3">
      <c r="A1036" s="87" t="s">
        <v>47</v>
      </c>
      <c r="B1036" s="88">
        <v>46104</v>
      </c>
      <c r="C1036" s="89" t="s">
        <v>48</v>
      </c>
      <c r="D1036" s="89" t="s">
        <v>49</v>
      </c>
      <c r="E1036" s="90">
        <v>422245038</v>
      </c>
      <c r="F1036" s="184" t="s">
        <v>3046</v>
      </c>
      <c r="G1036" s="91">
        <v>66462576804</v>
      </c>
      <c r="H1036" s="92">
        <v>16977</v>
      </c>
      <c r="I1036" s="89">
        <v>79</v>
      </c>
      <c r="J1036" s="89" t="s">
        <v>51</v>
      </c>
      <c r="K1036" s="89" t="s">
        <v>52</v>
      </c>
      <c r="L1036" s="89" t="s">
        <v>53</v>
      </c>
      <c r="M1036" s="89" t="s">
        <v>3044</v>
      </c>
      <c r="N1036" s="89" t="s">
        <v>72</v>
      </c>
      <c r="O1036" s="93" t="s">
        <v>3047</v>
      </c>
      <c r="P1036" s="94" t="s">
        <v>57</v>
      </c>
      <c r="Q1036" s="112" t="s">
        <v>2211</v>
      </c>
      <c r="R1036" s="95"/>
      <c r="S1036" s="96">
        <v>46164</v>
      </c>
      <c r="T1036" s="96" t="s">
        <v>2212</v>
      </c>
      <c r="U1036" s="96" t="s">
        <v>79</v>
      </c>
      <c r="V1036" s="92">
        <v>46142</v>
      </c>
      <c r="W1036" s="92">
        <v>46154</v>
      </c>
      <c r="X1036" s="92">
        <v>46160</v>
      </c>
      <c r="Y1036" s="97"/>
      <c r="Z1036" s="89"/>
      <c r="AA1036" s="96"/>
      <c r="AB1036" s="89"/>
      <c r="AC1036" s="111"/>
      <c r="AD1036" s="89"/>
      <c r="AE1036" s="89"/>
      <c r="AF1036" s="98"/>
      <c r="AG1036" s="98"/>
      <c r="AH1036" s="98"/>
      <c r="AI1036" s="99"/>
      <c r="AJ1036" s="99"/>
      <c r="AK1036" s="99"/>
      <c r="AL1036" s="45" t="s">
        <v>68</v>
      </c>
      <c r="AM1036" s="162" t="str">
        <f t="shared" si="128"/>
        <v>3/2026</v>
      </c>
      <c r="AN1036" s="45">
        <f t="shared" si="129"/>
        <v>4</v>
      </c>
      <c r="AO1036" s="45" t="str">
        <f t="shared" si="130"/>
        <v>1/1900</v>
      </c>
      <c r="AP1036" s="45" t="e">
        <f t="shared" si="131"/>
        <v>#NUM!</v>
      </c>
      <c r="AQ1036" s="45">
        <f t="shared" si="132"/>
        <v>0</v>
      </c>
      <c r="AR1036" s="45">
        <f t="shared" si="133"/>
        <v>0</v>
      </c>
      <c r="AS1036" s="45">
        <f t="shared" si="134"/>
        <v>0</v>
      </c>
      <c r="AT1036" s="45">
        <f t="shared" si="135"/>
        <v>0</v>
      </c>
      <c r="AU1036" s="45" t="str">
        <f>_xlfn.XLOOKUP(U1036,'Lista Suspensa'!$AA$20:$AA$23,'Lista Suspensa'!$AB$20:$AB$23,"N/A")</f>
        <v>S</v>
      </c>
    </row>
    <row r="1037" spans="1:47" ht="12" hidden="1" customHeight="1" x14ac:dyDescent="0.3">
      <c r="A1037" s="87" t="s">
        <v>47</v>
      </c>
      <c r="B1037" s="88">
        <v>46104</v>
      </c>
      <c r="C1037" s="89" t="s">
        <v>48</v>
      </c>
      <c r="D1037" s="89" t="s">
        <v>49</v>
      </c>
      <c r="E1037" s="90">
        <v>451613112</v>
      </c>
      <c r="F1037" s="184" t="s">
        <v>3048</v>
      </c>
      <c r="G1037" s="91">
        <v>6617166868</v>
      </c>
      <c r="H1037" s="92">
        <v>17138</v>
      </c>
      <c r="I1037" s="89">
        <v>79</v>
      </c>
      <c r="J1037" s="89" t="s">
        <v>51</v>
      </c>
      <c r="K1037" s="89" t="s">
        <v>52</v>
      </c>
      <c r="L1037" s="89" t="s">
        <v>53</v>
      </c>
      <c r="M1037" s="89" t="s">
        <v>3049</v>
      </c>
      <c r="N1037" s="89" t="s">
        <v>72</v>
      </c>
      <c r="O1037" s="93" t="s">
        <v>3050</v>
      </c>
      <c r="P1037" s="94" t="s">
        <v>57</v>
      </c>
      <c r="Q1037" s="112" t="s">
        <v>2211</v>
      </c>
      <c r="R1037" s="95"/>
      <c r="S1037" s="96">
        <v>46164</v>
      </c>
      <c r="T1037" s="96" t="s">
        <v>2212</v>
      </c>
      <c r="U1037" s="96" t="s">
        <v>79</v>
      </c>
      <c r="V1037" s="92">
        <v>46142</v>
      </c>
      <c r="W1037" s="92">
        <v>46154</v>
      </c>
      <c r="X1037" s="92">
        <v>46160</v>
      </c>
      <c r="Y1037" s="97"/>
      <c r="Z1037" s="89"/>
      <c r="AA1037" s="96"/>
      <c r="AB1037" s="89"/>
      <c r="AC1037" s="111"/>
      <c r="AD1037" s="89"/>
      <c r="AE1037" s="89"/>
      <c r="AF1037" s="98"/>
      <c r="AG1037" s="98"/>
      <c r="AH1037" s="98"/>
      <c r="AI1037" s="99"/>
      <c r="AJ1037" s="99"/>
      <c r="AK1037" s="99"/>
      <c r="AL1037" s="45" t="s">
        <v>68</v>
      </c>
      <c r="AM1037" s="162" t="str">
        <f t="shared" si="128"/>
        <v>3/2026</v>
      </c>
      <c r="AN1037" s="45">
        <f t="shared" si="129"/>
        <v>4</v>
      </c>
      <c r="AO1037" s="45" t="str">
        <f t="shared" si="130"/>
        <v>1/1900</v>
      </c>
      <c r="AP1037" s="45" t="e">
        <f t="shared" si="131"/>
        <v>#NUM!</v>
      </c>
      <c r="AQ1037" s="45">
        <f t="shared" si="132"/>
        <v>0</v>
      </c>
      <c r="AR1037" s="45">
        <f t="shared" si="133"/>
        <v>0</v>
      </c>
      <c r="AS1037" s="45">
        <f t="shared" si="134"/>
        <v>0</v>
      </c>
      <c r="AT1037" s="45">
        <f t="shared" si="135"/>
        <v>0</v>
      </c>
      <c r="AU1037" s="45" t="str">
        <f>_xlfn.XLOOKUP(U1037,'Lista Suspensa'!$AA$20:$AA$23,'Lista Suspensa'!$AB$20:$AB$23,"N/A")</f>
        <v>S</v>
      </c>
    </row>
    <row r="1038" spans="1:47" ht="12" hidden="1" customHeight="1" x14ac:dyDescent="0.3">
      <c r="A1038" s="87" t="s">
        <v>47</v>
      </c>
      <c r="B1038" s="88">
        <v>46104</v>
      </c>
      <c r="C1038" s="89" t="s">
        <v>48</v>
      </c>
      <c r="D1038" s="89" t="s">
        <v>49</v>
      </c>
      <c r="E1038" s="90">
        <v>451744764</v>
      </c>
      <c r="F1038" s="184" t="s">
        <v>3051</v>
      </c>
      <c r="G1038" s="91">
        <v>766586863</v>
      </c>
      <c r="H1038" s="92">
        <v>19467</v>
      </c>
      <c r="I1038" s="89">
        <v>72</v>
      </c>
      <c r="J1038" s="89" t="s">
        <v>70</v>
      </c>
      <c r="K1038" s="89" t="s">
        <v>52</v>
      </c>
      <c r="L1038" s="89" t="s">
        <v>53</v>
      </c>
      <c r="M1038" s="89" t="s">
        <v>3052</v>
      </c>
      <c r="N1038" s="89" t="s">
        <v>72</v>
      </c>
      <c r="O1038" s="93" t="s">
        <v>3053</v>
      </c>
      <c r="P1038" s="94" t="s">
        <v>57</v>
      </c>
      <c r="Q1038" s="112" t="s">
        <v>2211</v>
      </c>
      <c r="R1038" s="95"/>
      <c r="S1038" s="96">
        <v>46164</v>
      </c>
      <c r="T1038" s="96" t="s">
        <v>2212</v>
      </c>
      <c r="U1038" s="96" t="s">
        <v>79</v>
      </c>
      <c r="V1038" s="92">
        <v>46128</v>
      </c>
      <c r="W1038" s="92">
        <v>46142</v>
      </c>
      <c r="X1038" s="92">
        <v>46154</v>
      </c>
      <c r="Y1038" s="97"/>
      <c r="Z1038" s="89"/>
      <c r="AA1038" s="96"/>
      <c r="AB1038" s="89"/>
      <c r="AC1038" s="111"/>
      <c r="AD1038" s="89"/>
      <c r="AE1038" s="89"/>
      <c r="AF1038" s="98"/>
      <c r="AG1038" s="98"/>
      <c r="AH1038" s="98"/>
      <c r="AI1038" s="99"/>
      <c r="AJ1038" s="99"/>
      <c r="AK1038" s="99"/>
      <c r="AL1038" s="45" t="s">
        <v>68</v>
      </c>
      <c r="AM1038" s="162" t="str">
        <f t="shared" si="128"/>
        <v>3/2026</v>
      </c>
      <c r="AN1038" s="45">
        <f t="shared" si="129"/>
        <v>4</v>
      </c>
      <c r="AO1038" s="45" t="str">
        <f t="shared" si="130"/>
        <v>1/1900</v>
      </c>
      <c r="AP1038" s="45" t="e">
        <f t="shared" si="131"/>
        <v>#NUM!</v>
      </c>
      <c r="AQ1038" s="45">
        <f t="shared" si="132"/>
        <v>0</v>
      </c>
      <c r="AR1038" s="45">
        <f t="shared" si="133"/>
        <v>0</v>
      </c>
      <c r="AS1038" s="45">
        <f t="shared" si="134"/>
        <v>0</v>
      </c>
      <c r="AT1038" s="45">
        <f t="shared" si="135"/>
        <v>0</v>
      </c>
      <c r="AU1038" s="45" t="str">
        <f>_xlfn.XLOOKUP(U1038,'Lista Suspensa'!$AA$20:$AA$23,'Lista Suspensa'!$AB$20:$AB$23,"N/A")</f>
        <v>S</v>
      </c>
    </row>
    <row r="1039" spans="1:47" ht="12" hidden="1" customHeight="1" x14ac:dyDescent="0.3">
      <c r="A1039" s="87" t="s">
        <v>47</v>
      </c>
      <c r="B1039" s="88">
        <v>46104</v>
      </c>
      <c r="C1039" s="89" t="s">
        <v>48</v>
      </c>
      <c r="D1039" s="89" t="s">
        <v>49</v>
      </c>
      <c r="E1039" s="90">
        <v>452137713</v>
      </c>
      <c r="F1039" s="184" t="s">
        <v>3054</v>
      </c>
      <c r="G1039" s="91">
        <v>85448052800</v>
      </c>
      <c r="H1039" s="92">
        <v>20155</v>
      </c>
      <c r="I1039" s="89">
        <v>71</v>
      </c>
      <c r="J1039" s="89" t="s">
        <v>70</v>
      </c>
      <c r="K1039" s="89" t="s">
        <v>52</v>
      </c>
      <c r="L1039" s="89" t="s">
        <v>53</v>
      </c>
      <c r="M1039" s="89" t="s">
        <v>3055</v>
      </c>
      <c r="N1039" s="89" t="s">
        <v>72</v>
      </c>
      <c r="O1039" s="93" t="s">
        <v>3056</v>
      </c>
      <c r="P1039" s="94" t="s">
        <v>57</v>
      </c>
      <c r="Q1039" s="112" t="s">
        <v>2211</v>
      </c>
      <c r="R1039" s="95"/>
      <c r="S1039" s="96">
        <v>46164</v>
      </c>
      <c r="T1039" s="96" t="s">
        <v>2212</v>
      </c>
      <c r="U1039" s="96" t="s">
        <v>79</v>
      </c>
      <c r="V1039" s="92">
        <v>46142</v>
      </c>
      <c r="W1039" s="92">
        <v>46154</v>
      </c>
      <c r="X1039" s="92">
        <v>46160</v>
      </c>
      <c r="Y1039" s="97"/>
      <c r="Z1039" s="89"/>
      <c r="AA1039" s="96"/>
      <c r="AB1039" s="89"/>
      <c r="AC1039" s="111"/>
      <c r="AD1039" s="89"/>
      <c r="AE1039" s="89"/>
      <c r="AF1039" s="98"/>
      <c r="AG1039" s="98"/>
      <c r="AH1039" s="98"/>
      <c r="AI1039" s="99"/>
      <c r="AJ1039" s="99"/>
      <c r="AK1039" s="99"/>
      <c r="AL1039" s="45" t="s">
        <v>68</v>
      </c>
      <c r="AM1039" s="162" t="str">
        <f t="shared" si="128"/>
        <v>3/2026</v>
      </c>
      <c r="AN1039" s="45">
        <f t="shared" si="129"/>
        <v>4</v>
      </c>
      <c r="AO1039" s="45" t="str">
        <f t="shared" si="130"/>
        <v>1/1900</v>
      </c>
      <c r="AP1039" s="45" t="e">
        <f t="shared" si="131"/>
        <v>#NUM!</v>
      </c>
      <c r="AQ1039" s="45">
        <f t="shared" si="132"/>
        <v>0</v>
      </c>
      <c r="AR1039" s="45">
        <f t="shared" si="133"/>
        <v>0</v>
      </c>
      <c r="AS1039" s="45">
        <f t="shared" si="134"/>
        <v>0</v>
      </c>
      <c r="AT1039" s="45">
        <f t="shared" si="135"/>
        <v>0</v>
      </c>
      <c r="AU1039" s="45" t="str">
        <f>_xlfn.XLOOKUP(U1039,'Lista Suspensa'!$AA$20:$AA$23,'Lista Suspensa'!$AB$20:$AB$23,"N/A")</f>
        <v>S</v>
      </c>
    </row>
    <row r="1040" spans="1:47" ht="12" hidden="1" customHeight="1" x14ac:dyDescent="0.3">
      <c r="A1040" s="87" t="s">
        <v>47</v>
      </c>
      <c r="B1040" s="88">
        <v>46104</v>
      </c>
      <c r="C1040" s="89" t="s">
        <v>48</v>
      </c>
      <c r="D1040" s="89" t="s">
        <v>49</v>
      </c>
      <c r="E1040" s="90">
        <v>10752080</v>
      </c>
      <c r="F1040" s="184" t="s">
        <v>3057</v>
      </c>
      <c r="G1040" s="91">
        <v>22052640797</v>
      </c>
      <c r="H1040" s="92">
        <v>15903</v>
      </c>
      <c r="I1040" s="89">
        <v>82</v>
      </c>
      <c r="J1040" s="89" t="s">
        <v>51</v>
      </c>
      <c r="K1040" s="89" t="s">
        <v>88</v>
      </c>
      <c r="L1040" s="89" t="s">
        <v>89</v>
      </c>
      <c r="M1040" s="89" t="s">
        <v>2850</v>
      </c>
      <c r="N1040" s="89" t="s">
        <v>72</v>
      </c>
      <c r="O1040" s="93" t="s">
        <v>3058</v>
      </c>
      <c r="P1040" s="94" t="s">
        <v>57</v>
      </c>
      <c r="Q1040" s="112" t="s">
        <v>2211</v>
      </c>
      <c r="R1040" s="95"/>
      <c r="S1040" s="96">
        <v>46164</v>
      </c>
      <c r="T1040" s="96" t="s">
        <v>2212</v>
      </c>
      <c r="U1040" s="96" t="s">
        <v>79</v>
      </c>
      <c r="V1040" s="92">
        <v>46112</v>
      </c>
      <c r="W1040" s="92">
        <v>46154</v>
      </c>
      <c r="X1040" s="92">
        <v>46160</v>
      </c>
      <c r="Y1040" s="97"/>
      <c r="Z1040" s="89"/>
      <c r="AA1040" s="96"/>
      <c r="AB1040" s="89"/>
      <c r="AC1040" s="111"/>
      <c r="AD1040" s="89"/>
      <c r="AE1040" s="89"/>
      <c r="AF1040" s="98"/>
      <c r="AG1040" s="98"/>
      <c r="AH1040" s="98"/>
      <c r="AI1040" s="99"/>
      <c r="AJ1040" s="99"/>
      <c r="AK1040" s="99"/>
      <c r="AL1040" s="45" t="s">
        <v>68</v>
      </c>
      <c r="AM1040" s="162" t="str">
        <f t="shared" si="128"/>
        <v>3/2026</v>
      </c>
      <c r="AN1040" s="45">
        <f t="shared" si="129"/>
        <v>4</v>
      </c>
      <c r="AO1040" s="45" t="str">
        <f t="shared" si="130"/>
        <v>1/1900</v>
      </c>
      <c r="AP1040" s="45" t="e">
        <f t="shared" si="131"/>
        <v>#NUM!</v>
      </c>
      <c r="AQ1040" s="45">
        <f t="shared" si="132"/>
        <v>0</v>
      </c>
      <c r="AR1040" s="45">
        <f t="shared" si="133"/>
        <v>0</v>
      </c>
      <c r="AS1040" s="45">
        <f t="shared" si="134"/>
        <v>0</v>
      </c>
      <c r="AT1040" s="45">
        <f t="shared" si="135"/>
        <v>0</v>
      </c>
      <c r="AU1040" s="45" t="str">
        <f>_xlfn.XLOOKUP(U1040,'Lista Suspensa'!$AA$20:$AA$23,'Lista Suspensa'!$AB$20:$AB$23,"N/A")</f>
        <v>S</v>
      </c>
    </row>
    <row r="1041" spans="1:47" ht="12" hidden="1" customHeight="1" x14ac:dyDescent="0.3">
      <c r="A1041" s="87" t="s">
        <v>47</v>
      </c>
      <c r="B1041" s="88">
        <v>46104</v>
      </c>
      <c r="C1041" s="89" t="s">
        <v>48</v>
      </c>
      <c r="D1041" s="89" t="s">
        <v>49</v>
      </c>
      <c r="E1041" s="90">
        <v>451691091</v>
      </c>
      <c r="F1041" s="184" t="s">
        <v>3059</v>
      </c>
      <c r="G1041" s="91">
        <v>30815266804</v>
      </c>
      <c r="H1041" s="92">
        <v>15810</v>
      </c>
      <c r="I1041" s="89">
        <v>82</v>
      </c>
      <c r="J1041" s="89" t="s">
        <v>51</v>
      </c>
      <c r="K1041" s="89" t="s">
        <v>52</v>
      </c>
      <c r="L1041" s="89" t="s">
        <v>53</v>
      </c>
      <c r="M1041" s="89" t="s">
        <v>554</v>
      </c>
      <c r="N1041" s="89" t="s">
        <v>72</v>
      </c>
      <c r="O1041" s="93" t="s">
        <v>3060</v>
      </c>
      <c r="P1041" s="94" t="s">
        <v>57</v>
      </c>
      <c r="Q1041" s="112" t="s">
        <v>2211</v>
      </c>
      <c r="R1041" s="95"/>
      <c r="S1041" s="96">
        <v>46164</v>
      </c>
      <c r="T1041" s="96" t="s">
        <v>2212</v>
      </c>
      <c r="U1041" s="96" t="s">
        <v>79</v>
      </c>
      <c r="V1041" s="92">
        <v>46142</v>
      </c>
      <c r="W1041" s="92">
        <v>46154</v>
      </c>
      <c r="X1041" s="92">
        <v>46160</v>
      </c>
      <c r="Y1041" s="97"/>
      <c r="Z1041" s="89"/>
      <c r="AA1041" s="96"/>
      <c r="AB1041" s="89"/>
      <c r="AC1041" s="111"/>
      <c r="AD1041" s="89"/>
      <c r="AE1041" s="89"/>
      <c r="AF1041" s="98"/>
      <c r="AG1041" s="98"/>
      <c r="AH1041" s="98"/>
      <c r="AI1041" s="99"/>
      <c r="AJ1041" s="99"/>
      <c r="AK1041" s="99"/>
      <c r="AL1041" s="45" t="s">
        <v>68</v>
      </c>
      <c r="AM1041" s="162" t="str">
        <f t="shared" si="128"/>
        <v>3/2026</v>
      </c>
      <c r="AN1041" s="45">
        <f t="shared" si="129"/>
        <v>4</v>
      </c>
      <c r="AO1041" s="45" t="str">
        <f t="shared" si="130"/>
        <v>1/1900</v>
      </c>
      <c r="AP1041" s="45" t="e">
        <f t="shared" si="131"/>
        <v>#NUM!</v>
      </c>
      <c r="AQ1041" s="45">
        <f t="shared" si="132"/>
        <v>0</v>
      </c>
      <c r="AR1041" s="45">
        <f t="shared" si="133"/>
        <v>0</v>
      </c>
      <c r="AS1041" s="45">
        <f t="shared" si="134"/>
        <v>0</v>
      </c>
      <c r="AT1041" s="45">
        <f t="shared" si="135"/>
        <v>0</v>
      </c>
      <c r="AU1041" s="45" t="str">
        <f>_xlfn.XLOOKUP(U1041,'Lista Suspensa'!$AA$20:$AA$23,'Lista Suspensa'!$AB$20:$AB$23,"N/A")</f>
        <v>S</v>
      </c>
    </row>
    <row r="1042" spans="1:47" ht="12" hidden="1" customHeight="1" x14ac:dyDescent="0.3">
      <c r="A1042" s="87" t="s">
        <v>47</v>
      </c>
      <c r="B1042" s="88">
        <v>46104</v>
      </c>
      <c r="C1042" s="89" t="s">
        <v>48</v>
      </c>
      <c r="D1042" s="89" t="s">
        <v>49</v>
      </c>
      <c r="E1042" s="90">
        <v>451691067</v>
      </c>
      <c r="F1042" s="184" t="s">
        <v>3061</v>
      </c>
      <c r="G1042" s="91">
        <v>84531126815</v>
      </c>
      <c r="H1042" s="92">
        <v>19594</v>
      </c>
      <c r="I1042" s="89">
        <v>72</v>
      </c>
      <c r="J1042" s="89" t="s">
        <v>70</v>
      </c>
      <c r="K1042" s="89" t="s">
        <v>52</v>
      </c>
      <c r="L1042" s="89" t="s">
        <v>53</v>
      </c>
      <c r="M1042" s="89" t="s">
        <v>554</v>
      </c>
      <c r="N1042" s="89" t="s">
        <v>72</v>
      </c>
      <c r="O1042" s="93" t="s">
        <v>3062</v>
      </c>
      <c r="P1042" s="94" t="s">
        <v>57</v>
      </c>
      <c r="Q1042" s="112" t="s">
        <v>2211</v>
      </c>
      <c r="R1042" s="95"/>
      <c r="S1042" s="96">
        <v>46164</v>
      </c>
      <c r="T1042" s="96" t="s">
        <v>2212</v>
      </c>
      <c r="U1042" s="96" t="s">
        <v>79</v>
      </c>
      <c r="V1042" s="92">
        <v>46142</v>
      </c>
      <c r="W1042" s="92">
        <v>46154</v>
      </c>
      <c r="X1042" s="92">
        <v>46160</v>
      </c>
      <c r="Y1042" s="97"/>
      <c r="Z1042" s="89"/>
      <c r="AA1042" s="96"/>
      <c r="AB1042" s="89"/>
      <c r="AC1042" s="111"/>
      <c r="AD1042" s="89"/>
      <c r="AE1042" s="89"/>
      <c r="AF1042" s="98"/>
      <c r="AG1042" s="98"/>
      <c r="AH1042" s="98"/>
      <c r="AI1042" s="99"/>
      <c r="AJ1042" s="99"/>
      <c r="AK1042" s="99"/>
      <c r="AL1042" s="45" t="s">
        <v>68</v>
      </c>
      <c r="AM1042" s="162" t="str">
        <f t="shared" si="128"/>
        <v>3/2026</v>
      </c>
      <c r="AN1042" s="45">
        <f t="shared" si="129"/>
        <v>4</v>
      </c>
      <c r="AO1042" s="45" t="str">
        <f t="shared" si="130"/>
        <v>1/1900</v>
      </c>
      <c r="AP1042" s="45" t="e">
        <f t="shared" si="131"/>
        <v>#NUM!</v>
      </c>
      <c r="AQ1042" s="45">
        <f t="shared" si="132"/>
        <v>0</v>
      </c>
      <c r="AR1042" s="45">
        <f t="shared" si="133"/>
        <v>0</v>
      </c>
      <c r="AS1042" s="45">
        <f t="shared" si="134"/>
        <v>0</v>
      </c>
      <c r="AT1042" s="45">
        <f t="shared" si="135"/>
        <v>0</v>
      </c>
      <c r="AU1042" s="45" t="str">
        <f>_xlfn.XLOOKUP(U1042,'Lista Suspensa'!$AA$20:$AA$23,'Lista Suspensa'!$AB$20:$AB$23,"N/A")</f>
        <v>S</v>
      </c>
    </row>
    <row r="1043" spans="1:47" ht="12" hidden="1" customHeight="1" x14ac:dyDescent="0.3">
      <c r="A1043" s="87" t="s">
        <v>47</v>
      </c>
      <c r="B1043" s="88">
        <v>46104</v>
      </c>
      <c r="C1043" s="89" t="s">
        <v>48</v>
      </c>
      <c r="D1043" s="89" t="s">
        <v>49</v>
      </c>
      <c r="E1043" s="90">
        <v>451690516</v>
      </c>
      <c r="F1043" s="184" t="s">
        <v>3063</v>
      </c>
      <c r="G1043" s="91">
        <v>67534490863</v>
      </c>
      <c r="H1043" s="92">
        <v>17179</v>
      </c>
      <c r="I1043" s="89">
        <v>79</v>
      </c>
      <c r="J1043" s="89" t="s">
        <v>70</v>
      </c>
      <c r="K1043" s="89" t="s">
        <v>52</v>
      </c>
      <c r="L1043" s="89" t="s">
        <v>1176</v>
      </c>
      <c r="M1043" s="89" t="s">
        <v>76</v>
      </c>
      <c r="N1043" s="89" t="s">
        <v>72</v>
      </c>
      <c r="O1043" s="93" t="s">
        <v>3064</v>
      </c>
      <c r="P1043" s="94" t="s">
        <v>57</v>
      </c>
      <c r="Q1043" s="112" t="s">
        <v>2211</v>
      </c>
      <c r="R1043" s="95"/>
      <c r="S1043" s="96">
        <v>46164</v>
      </c>
      <c r="T1043" s="96" t="s">
        <v>2212</v>
      </c>
      <c r="U1043" s="96" t="s">
        <v>79</v>
      </c>
      <c r="V1043" s="92">
        <v>46128</v>
      </c>
      <c r="W1043" s="92">
        <v>46142</v>
      </c>
      <c r="X1043" s="92">
        <v>46154</v>
      </c>
      <c r="Y1043" s="97"/>
      <c r="Z1043" s="89"/>
      <c r="AA1043" s="96"/>
      <c r="AB1043" s="89"/>
      <c r="AC1043" s="111"/>
      <c r="AD1043" s="89"/>
      <c r="AE1043" s="89"/>
      <c r="AF1043" s="98"/>
      <c r="AG1043" s="98"/>
      <c r="AH1043" s="98"/>
      <c r="AI1043" s="99"/>
      <c r="AJ1043" s="99"/>
      <c r="AK1043" s="99"/>
      <c r="AL1043" s="45" t="s">
        <v>68</v>
      </c>
      <c r="AM1043" s="162" t="str">
        <f t="shared" si="128"/>
        <v>3/2026</v>
      </c>
      <c r="AN1043" s="45">
        <f t="shared" si="129"/>
        <v>4</v>
      </c>
      <c r="AO1043" s="45" t="str">
        <f t="shared" si="130"/>
        <v>1/1900</v>
      </c>
      <c r="AP1043" s="45" t="e">
        <f t="shared" si="131"/>
        <v>#NUM!</v>
      </c>
      <c r="AQ1043" s="45">
        <f t="shared" si="132"/>
        <v>0</v>
      </c>
      <c r="AR1043" s="45">
        <f t="shared" si="133"/>
        <v>0</v>
      </c>
      <c r="AS1043" s="45">
        <f t="shared" si="134"/>
        <v>0</v>
      </c>
      <c r="AT1043" s="45">
        <f t="shared" si="135"/>
        <v>0</v>
      </c>
      <c r="AU1043" s="45" t="str">
        <f>_xlfn.XLOOKUP(U1043,'Lista Suspensa'!$AA$20:$AA$23,'Lista Suspensa'!$AB$20:$AB$23,"N/A")</f>
        <v>S</v>
      </c>
    </row>
    <row r="1044" spans="1:47" ht="12" hidden="1" customHeight="1" x14ac:dyDescent="0.3">
      <c r="A1044" s="87" t="s">
        <v>47</v>
      </c>
      <c r="B1044" s="88">
        <v>46104</v>
      </c>
      <c r="C1044" s="89" t="s">
        <v>48</v>
      </c>
      <c r="D1044" s="89" t="s">
        <v>49</v>
      </c>
      <c r="E1044" s="90">
        <v>212415786</v>
      </c>
      <c r="F1044" s="184" t="s">
        <v>3065</v>
      </c>
      <c r="G1044" s="91">
        <v>34952012700</v>
      </c>
      <c r="H1044" s="92">
        <v>20087</v>
      </c>
      <c r="I1044" s="89">
        <v>71</v>
      </c>
      <c r="J1044" s="89" t="s">
        <v>51</v>
      </c>
      <c r="K1044" s="89" t="s">
        <v>88</v>
      </c>
      <c r="L1044" s="89" t="s">
        <v>89</v>
      </c>
      <c r="M1044" s="89" t="s">
        <v>76</v>
      </c>
      <c r="N1044" s="89" t="s">
        <v>72</v>
      </c>
      <c r="O1044" s="93" t="s">
        <v>3066</v>
      </c>
      <c r="P1044" s="94" t="s">
        <v>57</v>
      </c>
      <c r="Q1044" s="112" t="s">
        <v>2211</v>
      </c>
      <c r="R1044" s="95"/>
      <c r="S1044" s="96">
        <v>46164</v>
      </c>
      <c r="T1044" s="96" t="s">
        <v>2212</v>
      </c>
      <c r="U1044" s="96" t="s">
        <v>79</v>
      </c>
      <c r="V1044" s="92">
        <v>46142</v>
      </c>
      <c r="W1044" s="92">
        <v>46154</v>
      </c>
      <c r="X1044" s="92">
        <v>46160</v>
      </c>
      <c r="Y1044" s="97"/>
      <c r="Z1044" s="89"/>
      <c r="AA1044" s="96"/>
      <c r="AB1044" s="89"/>
      <c r="AC1044" s="111"/>
      <c r="AD1044" s="89"/>
      <c r="AE1044" s="89"/>
      <c r="AF1044" s="98"/>
      <c r="AG1044" s="98"/>
      <c r="AH1044" s="98"/>
      <c r="AI1044" s="99"/>
      <c r="AJ1044" s="99"/>
      <c r="AK1044" s="99"/>
      <c r="AL1044" s="45" t="s">
        <v>68</v>
      </c>
      <c r="AM1044" s="162" t="str">
        <f t="shared" si="128"/>
        <v>3/2026</v>
      </c>
      <c r="AN1044" s="45">
        <f t="shared" si="129"/>
        <v>4</v>
      </c>
      <c r="AO1044" s="45" t="str">
        <f t="shared" si="130"/>
        <v>1/1900</v>
      </c>
      <c r="AP1044" s="45" t="e">
        <f t="shared" si="131"/>
        <v>#NUM!</v>
      </c>
      <c r="AQ1044" s="45">
        <f t="shared" si="132"/>
        <v>0</v>
      </c>
      <c r="AR1044" s="45">
        <f t="shared" si="133"/>
        <v>0</v>
      </c>
      <c r="AS1044" s="45">
        <f t="shared" si="134"/>
        <v>0</v>
      </c>
      <c r="AT1044" s="45">
        <f t="shared" si="135"/>
        <v>0</v>
      </c>
      <c r="AU1044" s="45" t="str">
        <f>_xlfn.XLOOKUP(U1044,'Lista Suspensa'!$AA$20:$AA$23,'Lista Suspensa'!$AB$20:$AB$23,"N/A")</f>
        <v>S</v>
      </c>
    </row>
    <row r="1045" spans="1:47" ht="12" hidden="1" customHeight="1" x14ac:dyDescent="0.3">
      <c r="A1045" s="87" t="s">
        <v>47</v>
      </c>
      <c r="B1045" s="88">
        <v>46104</v>
      </c>
      <c r="C1045" s="89" t="s">
        <v>48</v>
      </c>
      <c r="D1045" s="89" t="s">
        <v>49</v>
      </c>
      <c r="E1045" s="90">
        <v>451685601</v>
      </c>
      <c r="F1045" s="184" t="s">
        <v>3067</v>
      </c>
      <c r="G1045" s="91">
        <v>36581216020</v>
      </c>
      <c r="H1045" s="92">
        <v>17494</v>
      </c>
      <c r="I1045" s="89">
        <v>78</v>
      </c>
      <c r="J1045" s="89" t="s">
        <v>70</v>
      </c>
      <c r="K1045" s="89" t="s">
        <v>52</v>
      </c>
      <c r="L1045" s="89" t="s">
        <v>53</v>
      </c>
      <c r="M1045" s="89" t="s">
        <v>840</v>
      </c>
      <c r="N1045" s="89" t="s">
        <v>72</v>
      </c>
      <c r="O1045" s="93" t="s">
        <v>3068</v>
      </c>
      <c r="P1045" s="94" t="s">
        <v>57</v>
      </c>
      <c r="Q1045" s="112" t="s">
        <v>2211</v>
      </c>
      <c r="R1045" s="95"/>
      <c r="S1045" s="96">
        <v>46164</v>
      </c>
      <c r="T1045" s="96" t="s">
        <v>2212</v>
      </c>
      <c r="U1045" s="96" t="s">
        <v>79</v>
      </c>
      <c r="V1045" s="92">
        <v>46142</v>
      </c>
      <c r="W1045" s="92">
        <v>46154</v>
      </c>
      <c r="X1045" s="92">
        <v>46160</v>
      </c>
      <c r="Y1045" s="97"/>
      <c r="Z1045" s="89"/>
      <c r="AA1045" s="96"/>
      <c r="AB1045" s="89"/>
      <c r="AC1045" s="111"/>
      <c r="AD1045" s="89"/>
      <c r="AE1045" s="89"/>
      <c r="AF1045" s="98"/>
      <c r="AG1045" s="98"/>
      <c r="AH1045" s="98"/>
      <c r="AI1045" s="99"/>
      <c r="AJ1045" s="99"/>
      <c r="AK1045" s="99"/>
      <c r="AL1045" s="45" t="s">
        <v>68</v>
      </c>
      <c r="AM1045" s="162" t="str">
        <f t="shared" si="128"/>
        <v>3/2026</v>
      </c>
      <c r="AN1045" s="45">
        <f t="shared" si="129"/>
        <v>4</v>
      </c>
      <c r="AO1045" s="45" t="str">
        <f t="shared" si="130"/>
        <v>1/1900</v>
      </c>
      <c r="AP1045" s="45" t="e">
        <f t="shared" si="131"/>
        <v>#NUM!</v>
      </c>
      <c r="AQ1045" s="45">
        <f t="shared" si="132"/>
        <v>0</v>
      </c>
      <c r="AR1045" s="45">
        <f t="shared" si="133"/>
        <v>0</v>
      </c>
      <c r="AS1045" s="45">
        <f t="shared" si="134"/>
        <v>0</v>
      </c>
      <c r="AT1045" s="45">
        <f t="shared" si="135"/>
        <v>0</v>
      </c>
      <c r="AU1045" s="45" t="str">
        <f>_xlfn.XLOOKUP(U1045,'Lista Suspensa'!$AA$20:$AA$23,'Lista Suspensa'!$AB$20:$AB$23,"N/A")</f>
        <v>S</v>
      </c>
    </row>
    <row r="1046" spans="1:47" ht="12" hidden="1" customHeight="1" x14ac:dyDescent="0.3">
      <c r="A1046" s="87" t="s">
        <v>47</v>
      </c>
      <c r="B1046" s="88">
        <v>46104</v>
      </c>
      <c r="C1046" s="89" t="s">
        <v>48</v>
      </c>
      <c r="D1046" s="89" t="s">
        <v>49</v>
      </c>
      <c r="E1046" s="90">
        <v>451591267</v>
      </c>
      <c r="F1046" s="184" t="s">
        <v>3069</v>
      </c>
      <c r="G1046" s="91">
        <v>4322862845</v>
      </c>
      <c r="H1046" s="92">
        <v>15639</v>
      </c>
      <c r="I1046" s="89">
        <v>83</v>
      </c>
      <c r="J1046" s="89" t="s">
        <v>70</v>
      </c>
      <c r="K1046" s="89" t="s">
        <v>52</v>
      </c>
      <c r="L1046" s="89" t="s">
        <v>53</v>
      </c>
      <c r="M1046" s="89" t="s">
        <v>2743</v>
      </c>
      <c r="N1046" s="89" t="s">
        <v>72</v>
      </c>
      <c r="O1046" s="93" t="s">
        <v>3070</v>
      </c>
      <c r="P1046" s="94" t="s">
        <v>57</v>
      </c>
      <c r="Q1046" s="112" t="s">
        <v>2211</v>
      </c>
      <c r="R1046" s="95"/>
      <c r="S1046" s="96">
        <v>46164</v>
      </c>
      <c r="T1046" s="96" t="s">
        <v>2212</v>
      </c>
      <c r="U1046" s="96" t="s">
        <v>79</v>
      </c>
      <c r="V1046" s="92">
        <v>46128</v>
      </c>
      <c r="W1046" s="92">
        <v>46142</v>
      </c>
      <c r="X1046" s="92">
        <v>46154</v>
      </c>
      <c r="Y1046" s="97"/>
      <c r="Z1046" s="89"/>
      <c r="AA1046" s="96"/>
      <c r="AB1046" s="89"/>
      <c r="AC1046" s="111"/>
      <c r="AD1046" s="89"/>
      <c r="AE1046" s="89"/>
      <c r="AF1046" s="98"/>
      <c r="AG1046" s="98"/>
      <c r="AH1046" s="98"/>
      <c r="AI1046" s="99"/>
      <c r="AJ1046" s="99"/>
      <c r="AK1046" s="99"/>
      <c r="AL1046" s="45" t="s">
        <v>68</v>
      </c>
      <c r="AM1046" s="162" t="str">
        <f t="shared" si="128"/>
        <v>3/2026</v>
      </c>
      <c r="AN1046" s="45">
        <f t="shared" si="129"/>
        <v>4</v>
      </c>
      <c r="AO1046" s="45" t="str">
        <f t="shared" si="130"/>
        <v>1/1900</v>
      </c>
      <c r="AP1046" s="45" t="e">
        <f t="shared" si="131"/>
        <v>#NUM!</v>
      </c>
      <c r="AQ1046" s="45">
        <f t="shared" si="132"/>
        <v>0</v>
      </c>
      <c r="AR1046" s="45">
        <f t="shared" si="133"/>
        <v>0</v>
      </c>
      <c r="AS1046" s="45">
        <f t="shared" si="134"/>
        <v>0</v>
      </c>
      <c r="AT1046" s="45">
        <f t="shared" si="135"/>
        <v>0</v>
      </c>
      <c r="AU1046" s="45" t="str">
        <f>_xlfn.XLOOKUP(U1046,'Lista Suspensa'!$AA$20:$AA$23,'Lista Suspensa'!$AB$20:$AB$23,"N/A")</f>
        <v>S</v>
      </c>
    </row>
    <row r="1047" spans="1:47" ht="12" hidden="1" customHeight="1" x14ac:dyDescent="0.3">
      <c r="A1047" s="87" t="s">
        <v>47</v>
      </c>
      <c r="B1047" s="88">
        <v>46104</v>
      </c>
      <c r="C1047" s="89" t="s">
        <v>48</v>
      </c>
      <c r="D1047" s="89" t="s">
        <v>49</v>
      </c>
      <c r="E1047" s="90">
        <v>451591259</v>
      </c>
      <c r="F1047" s="184" t="s">
        <v>3071</v>
      </c>
      <c r="G1047" s="91">
        <v>12967277851</v>
      </c>
      <c r="H1047" s="92">
        <v>16396</v>
      </c>
      <c r="I1047" s="89">
        <v>81</v>
      </c>
      <c r="J1047" s="89" t="s">
        <v>51</v>
      </c>
      <c r="K1047" s="89" t="s">
        <v>52</v>
      </c>
      <c r="L1047" s="89" t="s">
        <v>53</v>
      </c>
      <c r="M1047" s="89" t="s">
        <v>2743</v>
      </c>
      <c r="N1047" s="89" t="s">
        <v>72</v>
      </c>
      <c r="O1047" s="93" t="s">
        <v>3070</v>
      </c>
      <c r="P1047" s="94" t="s">
        <v>57</v>
      </c>
      <c r="Q1047" s="112" t="s">
        <v>2211</v>
      </c>
      <c r="R1047" s="95"/>
      <c r="S1047" s="96">
        <v>46164</v>
      </c>
      <c r="T1047" s="96" t="s">
        <v>2212</v>
      </c>
      <c r="U1047" s="96" t="s">
        <v>79</v>
      </c>
      <c r="V1047" s="92">
        <v>46142</v>
      </c>
      <c r="W1047" s="92">
        <v>46154</v>
      </c>
      <c r="X1047" s="92">
        <v>46160</v>
      </c>
      <c r="Y1047" s="97"/>
      <c r="Z1047" s="89"/>
      <c r="AA1047" s="96"/>
      <c r="AB1047" s="89"/>
      <c r="AC1047" s="111"/>
      <c r="AD1047" s="89"/>
      <c r="AE1047" s="89"/>
      <c r="AF1047" s="98"/>
      <c r="AG1047" s="98"/>
      <c r="AH1047" s="98"/>
      <c r="AI1047" s="99"/>
      <c r="AJ1047" s="99"/>
      <c r="AK1047" s="99"/>
      <c r="AL1047" s="45" t="s">
        <v>68</v>
      </c>
      <c r="AM1047" s="162" t="str">
        <f t="shared" si="128"/>
        <v>3/2026</v>
      </c>
      <c r="AN1047" s="45">
        <f t="shared" si="129"/>
        <v>4</v>
      </c>
      <c r="AO1047" s="45" t="str">
        <f t="shared" si="130"/>
        <v>1/1900</v>
      </c>
      <c r="AP1047" s="45" t="e">
        <f t="shared" si="131"/>
        <v>#NUM!</v>
      </c>
      <c r="AQ1047" s="45">
        <f t="shared" si="132"/>
        <v>0</v>
      </c>
      <c r="AR1047" s="45">
        <f t="shared" si="133"/>
        <v>0</v>
      </c>
      <c r="AS1047" s="45">
        <f t="shared" si="134"/>
        <v>0</v>
      </c>
      <c r="AT1047" s="45">
        <f t="shared" si="135"/>
        <v>0</v>
      </c>
      <c r="AU1047" s="45" t="str">
        <f>_xlfn.XLOOKUP(U1047,'Lista Suspensa'!$AA$20:$AA$23,'Lista Suspensa'!$AB$20:$AB$23,"N/A")</f>
        <v>S</v>
      </c>
    </row>
    <row r="1048" spans="1:47" ht="12" hidden="1" customHeight="1" x14ac:dyDescent="0.3">
      <c r="A1048" s="87" t="s">
        <v>47</v>
      </c>
      <c r="B1048" s="88">
        <v>46104</v>
      </c>
      <c r="C1048" s="89" t="s">
        <v>48</v>
      </c>
      <c r="D1048" s="89" t="s">
        <v>49</v>
      </c>
      <c r="E1048" s="90">
        <v>450043045</v>
      </c>
      <c r="F1048" s="184" t="s">
        <v>3072</v>
      </c>
      <c r="G1048" s="91">
        <v>26544929824</v>
      </c>
      <c r="H1048" s="92">
        <v>14737</v>
      </c>
      <c r="I1048" s="89">
        <v>85</v>
      </c>
      <c r="J1048" s="89" t="s">
        <v>70</v>
      </c>
      <c r="K1048" s="89" t="s">
        <v>52</v>
      </c>
      <c r="L1048" s="89" t="s">
        <v>53</v>
      </c>
      <c r="M1048" s="89" t="s">
        <v>3073</v>
      </c>
      <c r="N1048" s="89" t="s">
        <v>72</v>
      </c>
      <c r="O1048" s="93" t="s">
        <v>3074</v>
      </c>
      <c r="P1048" s="94" t="s">
        <v>57</v>
      </c>
      <c r="Q1048" s="112" t="s">
        <v>2211</v>
      </c>
      <c r="R1048" s="95"/>
      <c r="S1048" s="96">
        <v>46164</v>
      </c>
      <c r="T1048" s="96" t="s">
        <v>2212</v>
      </c>
      <c r="U1048" s="96" t="s">
        <v>79</v>
      </c>
      <c r="V1048" s="92">
        <v>46142</v>
      </c>
      <c r="W1048" s="92">
        <v>46154</v>
      </c>
      <c r="X1048" s="92">
        <v>46160</v>
      </c>
      <c r="Y1048" s="97"/>
      <c r="Z1048" s="89"/>
      <c r="AA1048" s="96"/>
      <c r="AB1048" s="89"/>
      <c r="AC1048" s="111"/>
      <c r="AD1048" s="89"/>
      <c r="AE1048" s="89"/>
      <c r="AF1048" s="98"/>
      <c r="AG1048" s="98"/>
      <c r="AH1048" s="98"/>
      <c r="AI1048" s="99"/>
      <c r="AJ1048" s="99"/>
      <c r="AK1048" s="99"/>
      <c r="AL1048" s="45" t="s">
        <v>68</v>
      </c>
      <c r="AM1048" s="162" t="str">
        <f t="shared" si="128"/>
        <v>3/2026</v>
      </c>
      <c r="AN1048" s="45">
        <f t="shared" si="129"/>
        <v>4</v>
      </c>
      <c r="AO1048" s="45" t="str">
        <f t="shared" si="130"/>
        <v>1/1900</v>
      </c>
      <c r="AP1048" s="45" t="e">
        <f t="shared" si="131"/>
        <v>#NUM!</v>
      </c>
      <c r="AQ1048" s="45">
        <f t="shared" si="132"/>
        <v>0</v>
      </c>
      <c r="AR1048" s="45">
        <f t="shared" si="133"/>
        <v>0</v>
      </c>
      <c r="AS1048" s="45">
        <f t="shared" si="134"/>
        <v>0</v>
      </c>
      <c r="AT1048" s="45">
        <f t="shared" si="135"/>
        <v>0</v>
      </c>
      <c r="AU1048" s="45" t="str">
        <f>_xlfn.XLOOKUP(U1048,'Lista Suspensa'!$AA$20:$AA$23,'Lista Suspensa'!$AB$20:$AB$23,"N/A")</f>
        <v>S</v>
      </c>
    </row>
    <row r="1049" spans="1:47" ht="12" hidden="1" customHeight="1" x14ac:dyDescent="0.3">
      <c r="A1049" s="87" t="s">
        <v>47</v>
      </c>
      <c r="B1049" s="88">
        <v>46104</v>
      </c>
      <c r="C1049" s="89" t="s">
        <v>48</v>
      </c>
      <c r="D1049" s="89" t="s">
        <v>49</v>
      </c>
      <c r="E1049" s="90">
        <v>452127130</v>
      </c>
      <c r="F1049" s="184" t="s">
        <v>3075</v>
      </c>
      <c r="G1049" s="91">
        <v>30796667802</v>
      </c>
      <c r="H1049" s="92">
        <v>12149</v>
      </c>
      <c r="I1049" s="89">
        <v>92</v>
      </c>
      <c r="J1049" s="89" t="s">
        <v>70</v>
      </c>
      <c r="K1049" s="89" t="s">
        <v>52</v>
      </c>
      <c r="L1049" s="89" t="s">
        <v>53</v>
      </c>
      <c r="M1049" s="89" t="s">
        <v>3076</v>
      </c>
      <c r="N1049" s="89" t="s">
        <v>72</v>
      </c>
      <c r="O1049" s="93" t="s">
        <v>3077</v>
      </c>
      <c r="P1049" s="94" t="s">
        <v>57</v>
      </c>
      <c r="Q1049" s="112" t="s">
        <v>2211</v>
      </c>
      <c r="R1049" s="95"/>
      <c r="S1049" s="96">
        <v>46164</v>
      </c>
      <c r="T1049" s="96" t="s">
        <v>2212</v>
      </c>
      <c r="U1049" s="96" t="s">
        <v>79</v>
      </c>
      <c r="V1049" s="92">
        <v>46142</v>
      </c>
      <c r="W1049" s="92">
        <v>46154</v>
      </c>
      <c r="X1049" s="92">
        <v>46160</v>
      </c>
      <c r="Y1049" s="97"/>
      <c r="Z1049" s="89"/>
      <c r="AA1049" s="96"/>
      <c r="AB1049" s="89"/>
      <c r="AC1049" s="111"/>
      <c r="AD1049" s="89"/>
      <c r="AE1049" s="89"/>
      <c r="AF1049" s="98"/>
      <c r="AG1049" s="98"/>
      <c r="AH1049" s="98"/>
      <c r="AI1049" s="99"/>
      <c r="AJ1049" s="99"/>
      <c r="AK1049" s="99"/>
      <c r="AL1049" s="45" t="s">
        <v>68</v>
      </c>
      <c r="AM1049" s="162" t="str">
        <f t="shared" si="128"/>
        <v>3/2026</v>
      </c>
      <c r="AN1049" s="45">
        <f t="shared" si="129"/>
        <v>4</v>
      </c>
      <c r="AO1049" s="45" t="str">
        <f t="shared" si="130"/>
        <v>1/1900</v>
      </c>
      <c r="AP1049" s="45" t="e">
        <f t="shared" si="131"/>
        <v>#NUM!</v>
      </c>
      <c r="AQ1049" s="45">
        <f t="shared" si="132"/>
        <v>0</v>
      </c>
      <c r="AR1049" s="45">
        <f t="shared" si="133"/>
        <v>0</v>
      </c>
      <c r="AS1049" s="45">
        <f t="shared" si="134"/>
        <v>0</v>
      </c>
      <c r="AT1049" s="45">
        <f t="shared" si="135"/>
        <v>0</v>
      </c>
      <c r="AU1049" s="45" t="str">
        <f>_xlfn.XLOOKUP(U1049,'Lista Suspensa'!$AA$20:$AA$23,'Lista Suspensa'!$AB$20:$AB$23,"N/A")</f>
        <v>S</v>
      </c>
    </row>
    <row r="1050" spans="1:47" ht="12" hidden="1" customHeight="1" x14ac:dyDescent="0.3">
      <c r="A1050" s="87" t="s">
        <v>47</v>
      </c>
      <c r="B1050" s="88">
        <v>46104</v>
      </c>
      <c r="C1050" s="89" t="s">
        <v>48</v>
      </c>
      <c r="D1050" s="89" t="s">
        <v>49</v>
      </c>
      <c r="E1050" s="90">
        <v>88970709</v>
      </c>
      <c r="F1050" s="184" t="s">
        <v>3078</v>
      </c>
      <c r="G1050" s="91">
        <v>40850839882</v>
      </c>
      <c r="H1050" s="92">
        <v>33456</v>
      </c>
      <c r="I1050" s="89">
        <v>34</v>
      </c>
      <c r="J1050" s="89" t="s">
        <v>70</v>
      </c>
      <c r="K1050" s="89" t="s">
        <v>52</v>
      </c>
      <c r="L1050" s="89" t="s">
        <v>331</v>
      </c>
      <c r="M1050" s="89" t="s">
        <v>532</v>
      </c>
      <c r="N1050" s="89" t="s">
        <v>72</v>
      </c>
      <c r="O1050" s="93" t="s">
        <v>3079</v>
      </c>
      <c r="P1050" s="94" t="s">
        <v>57</v>
      </c>
      <c r="Q1050" s="112" t="s">
        <v>2211</v>
      </c>
      <c r="R1050" s="95"/>
      <c r="S1050" s="96">
        <v>46164</v>
      </c>
      <c r="T1050" s="96" t="s">
        <v>2212</v>
      </c>
      <c r="U1050" s="96" t="s">
        <v>79</v>
      </c>
      <c r="V1050" s="92">
        <v>46142</v>
      </c>
      <c r="W1050" s="92">
        <v>46154</v>
      </c>
      <c r="X1050" s="92">
        <v>46160</v>
      </c>
      <c r="Y1050" s="97"/>
      <c r="Z1050" s="89"/>
      <c r="AA1050" s="96"/>
      <c r="AB1050" s="89"/>
      <c r="AC1050" s="111"/>
      <c r="AD1050" s="89"/>
      <c r="AE1050" s="89"/>
      <c r="AF1050" s="98"/>
      <c r="AG1050" s="98"/>
      <c r="AH1050" s="98"/>
      <c r="AI1050" s="99"/>
      <c r="AJ1050" s="99"/>
      <c r="AK1050" s="99"/>
      <c r="AL1050" s="45" t="s">
        <v>68</v>
      </c>
      <c r="AM1050" s="162" t="str">
        <f t="shared" si="128"/>
        <v>3/2026</v>
      </c>
      <c r="AN1050" s="45">
        <f t="shared" si="129"/>
        <v>4</v>
      </c>
      <c r="AO1050" s="45" t="str">
        <f t="shared" si="130"/>
        <v>1/1900</v>
      </c>
      <c r="AP1050" s="45" t="e">
        <f t="shared" si="131"/>
        <v>#NUM!</v>
      </c>
      <c r="AQ1050" s="45">
        <f t="shared" si="132"/>
        <v>0</v>
      </c>
      <c r="AR1050" s="45">
        <f t="shared" si="133"/>
        <v>0</v>
      </c>
      <c r="AS1050" s="45">
        <f t="shared" si="134"/>
        <v>0</v>
      </c>
      <c r="AT1050" s="45">
        <f t="shared" si="135"/>
        <v>0</v>
      </c>
      <c r="AU1050" s="45" t="str">
        <f>_xlfn.XLOOKUP(U1050,'Lista Suspensa'!$AA$20:$AA$23,'Lista Suspensa'!$AB$20:$AB$23,"N/A")</f>
        <v>S</v>
      </c>
    </row>
    <row r="1051" spans="1:47" ht="12" hidden="1" customHeight="1" x14ac:dyDescent="0.3">
      <c r="A1051" s="87" t="s">
        <v>47</v>
      </c>
      <c r="B1051" s="88">
        <v>46104</v>
      </c>
      <c r="C1051" s="89" t="s">
        <v>48</v>
      </c>
      <c r="D1051" s="89" t="s">
        <v>49</v>
      </c>
      <c r="E1051" s="90">
        <v>451572513</v>
      </c>
      <c r="F1051" s="184" t="s">
        <v>3080</v>
      </c>
      <c r="G1051" s="91">
        <v>89595424820</v>
      </c>
      <c r="H1051" s="92">
        <v>20171</v>
      </c>
      <c r="I1051" s="89">
        <v>71</v>
      </c>
      <c r="J1051" s="89" t="s">
        <v>70</v>
      </c>
      <c r="K1051" s="89" t="s">
        <v>52</v>
      </c>
      <c r="L1051" s="89" t="s">
        <v>53</v>
      </c>
      <c r="M1051" s="89" t="s">
        <v>858</v>
      </c>
      <c r="N1051" s="89" t="s">
        <v>72</v>
      </c>
      <c r="O1051" s="93" t="s">
        <v>3081</v>
      </c>
      <c r="P1051" s="94" t="s">
        <v>57</v>
      </c>
      <c r="Q1051" s="112" t="s">
        <v>2211</v>
      </c>
      <c r="R1051" s="95"/>
      <c r="S1051" s="96">
        <v>46164</v>
      </c>
      <c r="T1051" s="96" t="s">
        <v>2212</v>
      </c>
      <c r="U1051" s="96" t="s">
        <v>79</v>
      </c>
      <c r="V1051" s="92">
        <v>46128</v>
      </c>
      <c r="W1051" s="92">
        <v>46142</v>
      </c>
      <c r="X1051" s="92">
        <v>46154</v>
      </c>
      <c r="Y1051" s="97"/>
      <c r="Z1051" s="89"/>
      <c r="AA1051" s="96"/>
      <c r="AB1051" s="89"/>
      <c r="AC1051" s="111"/>
      <c r="AD1051" s="89"/>
      <c r="AE1051" s="89"/>
      <c r="AF1051" s="98"/>
      <c r="AG1051" s="98"/>
      <c r="AH1051" s="98"/>
      <c r="AI1051" s="99"/>
      <c r="AJ1051" s="99"/>
      <c r="AK1051" s="99"/>
      <c r="AL1051" s="45" t="s">
        <v>68</v>
      </c>
      <c r="AM1051" s="162" t="str">
        <f t="shared" si="128"/>
        <v>3/2026</v>
      </c>
      <c r="AN1051" s="45">
        <f t="shared" si="129"/>
        <v>4</v>
      </c>
      <c r="AO1051" s="45" t="str">
        <f t="shared" si="130"/>
        <v>1/1900</v>
      </c>
      <c r="AP1051" s="45" t="e">
        <f t="shared" si="131"/>
        <v>#NUM!</v>
      </c>
      <c r="AQ1051" s="45">
        <f t="shared" si="132"/>
        <v>0</v>
      </c>
      <c r="AR1051" s="45">
        <f t="shared" si="133"/>
        <v>0</v>
      </c>
      <c r="AS1051" s="45">
        <f t="shared" si="134"/>
        <v>0</v>
      </c>
      <c r="AT1051" s="45">
        <f t="shared" si="135"/>
        <v>0</v>
      </c>
      <c r="AU1051" s="45" t="str">
        <f>_xlfn.XLOOKUP(U1051,'Lista Suspensa'!$AA$20:$AA$23,'Lista Suspensa'!$AB$20:$AB$23,"N/A")</f>
        <v>S</v>
      </c>
    </row>
    <row r="1052" spans="1:47" ht="12" hidden="1" customHeight="1" x14ac:dyDescent="0.3">
      <c r="A1052" s="87" t="s">
        <v>47</v>
      </c>
      <c r="B1052" s="88">
        <v>46104</v>
      </c>
      <c r="C1052" s="89" t="s">
        <v>48</v>
      </c>
      <c r="D1052" s="89" t="s">
        <v>49</v>
      </c>
      <c r="E1052" s="90">
        <v>451568826</v>
      </c>
      <c r="F1052" s="184" t="s">
        <v>3082</v>
      </c>
      <c r="G1052" s="91">
        <v>89762886887</v>
      </c>
      <c r="H1052" s="92">
        <v>20323</v>
      </c>
      <c r="I1052" s="89">
        <v>70</v>
      </c>
      <c r="J1052" s="89" t="s">
        <v>51</v>
      </c>
      <c r="K1052" s="89" t="s">
        <v>52</v>
      </c>
      <c r="L1052" s="89" t="s">
        <v>53</v>
      </c>
      <c r="M1052" s="89" t="s">
        <v>3083</v>
      </c>
      <c r="N1052" s="89" t="s">
        <v>72</v>
      </c>
      <c r="O1052" s="93" t="s">
        <v>3084</v>
      </c>
      <c r="P1052" s="94" t="s">
        <v>57</v>
      </c>
      <c r="Q1052" s="112" t="s">
        <v>2211</v>
      </c>
      <c r="R1052" s="95"/>
      <c r="S1052" s="96">
        <v>46164</v>
      </c>
      <c r="T1052" s="96" t="s">
        <v>2212</v>
      </c>
      <c r="U1052" s="96" t="s">
        <v>79</v>
      </c>
      <c r="V1052" s="92">
        <v>46142</v>
      </c>
      <c r="W1052" s="92">
        <v>46154</v>
      </c>
      <c r="X1052" s="92">
        <v>46160</v>
      </c>
      <c r="Y1052" s="97"/>
      <c r="Z1052" s="89"/>
      <c r="AA1052" s="96"/>
      <c r="AB1052" s="89"/>
      <c r="AC1052" s="111"/>
      <c r="AD1052" s="89"/>
      <c r="AE1052" s="89"/>
      <c r="AF1052" s="98"/>
      <c r="AG1052" s="98"/>
      <c r="AH1052" s="98"/>
      <c r="AI1052" s="99"/>
      <c r="AJ1052" s="99"/>
      <c r="AK1052" s="99"/>
      <c r="AL1052" s="45" t="s">
        <v>68</v>
      </c>
      <c r="AM1052" s="162" t="str">
        <f t="shared" si="128"/>
        <v>3/2026</v>
      </c>
      <c r="AN1052" s="45">
        <f t="shared" si="129"/>
        <v>4</v>
      </c>
      <c r="AO1052" s="45" t="str">
        <f t="shared" si="130"/>
        <v>1/1900</v>
      </c>
      <c r="AP1052" s="45" t="e">
        <f t="shared" si="131"/>
        <v>#NUM!</v>
      </c>
      <c r="AQ1052" s="45">
        <f t="shared" si="132"/>
        <v>0</v>
      </c>
      <c r="AR1052" s="45">
        <f t="shared" si="133"/>
        <v>0</v>
      </c>
      <c r="AS1052" s="45">
        <f t="shared" si="134"/>
        <v>0</v>
      </c>
      <c r="AT1052" s="45">
        <f t="shared" si="135"/>
        <v>0</v>
      </c>
      <c r="AU1052" s="45" t="str">
        <f>_xlfn.XLOOKUP(U1052,'Lista Suspensa'!$AA$20:$AA$23,'Lista Suspensa'!$AB$20:$AB$23,"N/A")</f>
        <v>S</v>
      </c>
    </row>
    <row r="1053" spans="1:47" ht="12" hidden="1" customHeight="1" x14ac:dyDescent="0.3">
      <c r="A1053" s="87" t="s">
        <v>47</v>
      </c>
      <c r="B1053" s="88">
        <v>46104</v>
      </c>
      <c r="C1053" s="89" t="s">
        <v>48</v>
      </c>
      <c r="D1053" s="89" t="s">
        <v>49</v>
      </c>
      <c r="E1053" s="90">
        <v>451798090</v>
      </c>
      <c r="F1053" s="184" t="s">
        <v>3085</v>
      </c>
      <c r="G1053" s="91">
        <v>8463538819</v>
      </c>
      <c r="H1053" s="92">
        <v>18200</v>
      </c>
      <c r="I1053" s="89">
        <v>76</v>
      </c>
      <c r="J1053" s="89" t="s">
        <v>70</v>
      </c>
      <c r="K1053" s="89" t="s">
        <v>52</v>
      </c>
      <c r="L1053" s="89" t="s">
        <v>780</v>
      </c>
      <c r="M1053" s="89" t="s">
        <v>1407</v>
      </c>
      <c r="N1053" s="89" t="s">
        <v>72</v>
      </c>
      <c r="O1053" s="93" t="s">
        <v>3086</v>
      </c>
      <c r="P1053" s="94" t="s">
        <v>57</v>
      </c>
      <c r="Q1053" s="112" t="s">
        <v>2211</v>
      </c>
      <c r="R1053" s="95"/>
      <c r="S1053" s="96">
        <v>46164</v>
      </c>
      <c r="T1053" s="96" t="s">
        <v>2212</v>
      </c>
      <c r="U1053" s="96" t="s">
        <v>79</v>
      </c>
      <c r="V1053" s="92">
        <v>46142</v>
      </c>
      <c r="W1053" s="92">
        <v>46154</v>
      </c>
      <c r="X1053" s="92">
        <v>46160</v>
      </c>
      <c r="Y1053" s="97"/>
      <c r="Z1053" s="89"/>
      <c r="AA1053" s="96"/>
      <c r="AB1053" s="89"/>
      <c r="AC1053" s="111"/>
      <c r="AD1053" s="89"/>
      <c r="AE1053" s="89"/>
      <c r="AF1053" s="98"/>
      <c r="AG1053" s="98"/>
      <c r="AH1053" s="98"/>
      <c r="AI1053" s="99"/>
      <c r="AJ1053" s="99"/>
      <c r="AK1053" s="99"/>
      <c r="AL1053" s="45" t="s">
        <v>68</v>
      </c>
      <c r="AM1053" s="162" t="str">
        <f t="shared" si="128"/>
        <v>3/2026</v>
      </c>
      <c r="AN1053" s="45">
        <f t="shared" si="129"/>
        <v>4</v>
      </c>
      <c r="AO1053" s="45" t="str">
        <f t="shared" si="130"/>
        <v>1/1900</v>
      </c>
      <c r="AP1053" s="45" t="e">
        <f t="shared" si="131"/>
        <v>#NUM!</v>
      </c>
      <c r="AQ1053" s="45">
        <f t="shared" si="132"/>
        <v>0</v>
      </c>
      <c r="AR1053" s="45">
        <f t="shared" si="133"/>
        <v>0</v>
      </c>
      <c r="AS1053" s="45">
        <f t="shared" si="134"/>
        <v>0</v>
      </c>
      <c r="AT1053" s="45">
        <f t="shared" si="135"/>
        <v>0</v>
      </c>
      <c r="AU1053" s="45" t="str">
        <f>_xlfn.XLOOKUP(U1053,'Lista Suspensa'!$AA$20:$AA$23,'Lista Suspensa'!$AB$20:$AB$23,"N/A")</f>
        <v>S</v>
      </c>
    </row>
    <row r="1054" spans="1:47" ht="12" hidden="1" customHeight="1" x14ac:dyDescent="0.3">
      <c r="A1054" s="87" t="s">
        <v>47</v>
      </c>
      <c r="B1054" s="88">
        <v>46104</v>
      </c>
      <c r="C1054" s="89" t="s">
        <v>48</v>
      </c>
      <c r="D1054" s="89" t="s">
        <v>49</v>
      </c>
      <c r="E1054" s="90">
        <v>451626680</v>
      </c>
      <c r="F1054" s="184" t="s">
        <v>3087</v>
      </c>
      <c r="G1054" s="91">
        <v>14046113987</v>
      </c>
      <c r="H1054" s="92">
        <v>15858</v>
      </c>
      <c r="I1054" s="89">
        <v>82</v>
      </c>
      <c r="J1054" s="89" t="s">
        <v>51</v>
      </c>
      <c r="K1054" s="89" t="s">
        <v>52</v>
      </c>
      <c r="L1054" s="89" t="s">
        <v>53</v>
      </c>
      <c r="M1054" s="89" t="s">
        <v>1024</v>
      </c>
      <c r="N1054" s="89" t="s">
        <v>72</v>
      </c>
      <c r="O1054" s="93" t="s">
        <v>3088</v>
      </c>
      <c r="P1054" s="94" t="s">
        <v>57</v>
      </c>
      <c r="Q1054" s="112" t="s">
        <v>2211</v>
      </c>
      <c r="R1054" s="95"/>
      <c r="S1054" s="96">
        <v>46164</v>
      </c>
      <c r="T1054" s="96" t="s">
        <v>2212</v>
      </c>
      <c r="U1054" s="96" t="s">
        <v>79</v>
      </c>
      <c r="V1054" s="92">
        <v>46142</v>
      </c>
      <c r="W1054" s="92">
        <v>46154</v>
      </c>
      <c r="X1054" s="92">
        <v>46160</v>
      </c>
      <c r="Y1054" s="97"/>
      <c r="Z1054" s="89"/>
      <c r="AA1054" s="96"/>
      <c r="AB1054" s="89"/>
      <c r="AC1054" s="111"/>
      <c r="AD1054" s="89"/>
      <c r="AE1054" s="89"/>
      <c r="AF1054" s="98"/>
      <c r="AG1054" s="98"/>
      <c r="AH1054" s="98"/>
      <c r="AI1054" s="99"/>
      <c r="AJ1054" s="99"/>
      <c r="AK1054" s="99"/>
      <c r="AL1054" s="45" t="s">
        <v>68</v>
      </c>
      <c r="AM1054" s="162" t="str">
        <f t="shared" si="128"/>
        <v>3/2026</v>
      </c>
      <c r="AN1054" s="45">
        <f t="shared" si="129"/>
        <v>4</v>
      </c>
      <c r="AO1054" s="45" t="str">
        <f t="shared" si="130"/>
        <v>1/1900</v>
      </c>
      <c r="AP1054" s="45" t="e">
        <f t="shared" si="131"/>
        <v>#NUM!</v>
      </c>
      <c r="AQ1054" s="45">
        <f t="shared" si="132"/>
        <v>0</v>
      </c>
      <c r="AR1054" s="45">
        <f t="shared" si="133"/>
        <v>0</v>
      </c>
      <c r="AS1054" s="45">
        <f t="shared" si="134"/>
        <v>0</v>
      </c>
      <c r="AT1054" s="45">
        <f t="shared" si="135"/>
        <v>0</v>
      </c>
      <c r="AU1054" s="45" t="str">
        <f>_xlfn.XLOOKUP(U1054,'Lista Suspensa'!$AA$20:$AA$23,'Lista Suspensa'!$AB$20:$AB$23,"N/A")</f>
        <v>S</v>
      </c>
    </row>
    <row r="1055" spans="1:47" ht="12" hidden="1" customHeight="1" x14ac:dyDescent="0.3">
      <c r="A1055" s="87" t="s">
        <v>47</v>
      </c>
      <c r="B1055" s="88">
        <v>46104</v>
      </c>
      <c r="C1055" s="89" t="s">
        <v>48</v>
      </c>
      <c r="D1055" s="89" t="s">
        <v>49</v>
      </c>
      <c r="E1055" s="90">
        <v>451619579</v>
      </c>
      <c r="F1055" s="184" t="s">
        <v>3089</v>
      </c>
      <c r="G1055" s="91">
        <v>76484815887</v>
      </c>
      <c r="H1055" s="92">
        <v>16296</v>
      </c>
      <c r="I1055" s="89">
        <v>81</v>
      </c>
      <c r="J1055" s="89" t="s">
        <v>70</v>
      </c>
      <c r="K1055" s="89" t="s">
        <v>52</v>
      </c>
      <c r="L1055" s="89" t="s">
        <v>53</v>
      </c>
      <c r="M1055" s="89" t="s">
        <v>1370</v>
      </c>
      <c r="N1055" s="89" t="s">
        <v>72</v>
      </c>
      <c r="O1055" s="93" t="s">
        <v>3090</v>
      </c>
      <c r="P1055" s="94" t="s">
        <v>57</v>
      </c>
      <c r="Q1055" s="112" t="s">
        <v>2211</v>
      </c>
      <c r="R1055" s="95"/>
      <c r="S1055" s="96">
        <v>46164</v>
      </c>
      <c r="T1055" s="96" t="s">
        <v>2212</v>
      </c>
      <c r="U1055" s="96" t="s">
        <v>79</v>
      </c>
      <c r="V1055" s="92">
        <v>46142</v>
      </c>
      <c r="W1055" s="92">
        <v>46154</v>
      </c>
      <c r="X1055" s="92">
        <v>46160</v>
      </c>
      <c r="Y1055" s="97"/>
      <c r="Z1055" s="89"/>
      <c r="AA1055" s="96"/>
      <c r="AB1055" s="89"/>
      <c r="AC1055" s="111"/>
      <c r="AD1055" s="89"/>
      <c r="AE1055" s="89"/>
      <c r="AF1055" s="98"/>
      <c r="AG1055" s="98"/>
      <c r="AH1055" s="98"/>
      <c r="AI1055" s="99"/>
      <c r="AJ1055" s="99"/>
      <c r="AK1055" s="99"/>
      <c r="AL1055" s="45" t="s">
        <v>68</v>
      </c>
      <c r="AM1055" s="162" t="str">
        <f t="shared" si="128"/>
        <v>3/2026</v>
      </c>
      <c r="AN1055" s="45">
        <f t="shared" si="129"/>
        <v>4</v>
      </c>
      <c r="AO1055" s="45" t="str">
        <f t="shared" si="130"/>
        <v>1/1900</v>
      </c>
      <c r="AP1055" s="45" t="e">
        <f t="shared" si="131"/>
        <v>#NUM!</v>
      </c>
      <c r="AQ1055" s="45">
        <f t="shared" si="132"/>
        <v>0</v>
      </c>
      <c r="AR1055" s="45">
        <f t="shared" si="133"/>
        <v>0</v>
      </c>
      <c r="AS1055" s="45">
        <f t="shared" si="134"/>
        <v>0</v>
      </c>
      <c r="AT1055" s="45">
        <f t="shared" si="135"/>
        <v>0</v>
      </c>
      <c r="AU1055" s="45" t="str">
        <f>_xlfn.XLOOKUP(U1055,'Lista Suspensa'!$AA$20:$AA$23,'Lista Suspensa'!$AB$20:$AB$23,"N/A")</f>
        <v>S</v>
      </c>
    </row>
    <row r="1056" spans="1:47" ht="12" hidden="1" customHeight="1" x14ac:dyDescent="0.3">
      <c r="A1056" s="87" t="s">
        <v>47</v>
      </c>
      <c r="B1056" s="88">
        <v>46104</v>
      </c>
      <c r="C1056" s="89" t="s">
        <v>48</v>
      </c>
      <c r="D1056" s="89" t="s">
        <v>49</v>
      </c>
      <c r="E1056" s="90">
        <v>72191013</v>
      </c>
      <c r="F1056" s="184" t="s">
        <v>3091</v>
      </c>
      <c r="G1056" s="91">
        <v>80129757772</v>
      </c>
      <c r="H1056" s="92">
        <v>22829</v>
      </c>
      <c r="I1056" s="89">
        <v>63</v>
      </c>
      <c r="J1056" s="89" t="s">
        <v>51</v>
      </c>
      <c r="K1056" s="89" t="s">
        <v>88</v>
      </c>
      <c r="L1056" s="89" t="s">
        <v>89</v>
      </c>
      <c r="M1056" s="89" t="s">
        <v>1594</v>
      </c>
      <c r="N1056" s="89" t="s">
        <v>72</v>
      </c>
      <c r="O1056" s="93" t="s">
        <v>3092</v>
      </c>
      <c r="P1056" s="94" t="s">
        <v>57</v>
      </c>
      <c r="Q1056" s="112" t="s">
        <v>2211</v>
      </c>
      <c r="R1056" s="95"/>
      <c r="S1056" s="96">
        <v>46164</v>
      </c>
      <c r="T1056" s="96" t="s">
        <v>2212</v>
      </c>
      <c r="U1056" s="96" t="s">
        <v>79</v>
      </c>
      <c r="V1056" s="92">
        <v>46128</v>
      </c>
      <c r="W1056" s="92">
        <v>46142</v>
      </c>
      <c r="X1056" s="92">
        <v>46154</v>
      </c>
      <c r="Y1056" s="97"/>
      <c r="Z1056" s="89"/>
      <c r="AA1056" s="96"/>
      <c r="AB1056" s="89"/>
      <c r="AC1056" s="111"/>
      <c r="AD1056" s="89"/>
      <c r="AE1056" s="89"/>
      <c r="AF1056" s="98"/>
      <c r="AG1056" s="98"/>
      <c r="AH1056" s="98"/>
      <c r="AI1056" s="99"/>
      <c r="AJ1056" s="99"/>
      <c r="AK1056" s="99"/>
      <c r="AL1056" s="45" t="s">
        <v>68</v>
      </c>
      <c r="AM1056" s="162" t="str">
        <f t="shared" si="128"/>
        <v>3/2026</v>
      </c>
      <c r="AN1056" s="45">
        <f t="shared" si="129"/>
        <v>4</v>
      </c>
      <c r="AO1056" s="45" t="str">
        <f t="shared" si="130"/>
        <v>1/1900</v>
      </c>
      <c r="AP1056" s="45" t="e">
        <f t="shared" si="131"/>
        <v>#NUM!</v>
      </c>
      <c r="AQ1056" s="45">
        <f t="shared" si="132"/>
        <v>0</v>
      </c>
      <c r="AR1056" s="45">
        <f t="shared" si="133"/>
        <v>0</v>
      </c>
      <c r="AS1056" s="45">
        <f t="shared" si="134"/>
        <v>0</v>
      </c>
      <c r="AT1056" s="45">
        <f t="shared" si="135"/>
        <v>0</v>
      </c>
      <c r="AU1056" s="45" t="str">
        <f>_xlfn.XLOOKUP(U1056,'Lista Suspensa'!$AA$20:$AA$23,'Lista Suspensa'!$AB$20:$AB$23,"N/A")</f>
        <v>S</v>
      </c>
    </row>
    <row r="1057" spans="1:47" ht="12" hidden="1" customHeight="1" x14ac:dyDescent="0.3">
      <c r="A1057" s="87" t="s">
        <v>47</v>
      </c>
      <c r="B1057" s="88">
        <v>46104</v>
      </c>
      <c r="C1057" s="89" t="s">
        <v>48</v>
      </c>
      <c r="D1057" s="89" t="s">
        <v>49</v>
      </c>
      <c r="E1057" s="90">
        <v>87624900</v>
      </c>
      <c r="F1057" s="184" t="s">
        <v>3093</v>
      </c>
      <c r="G1057" s="91">
        <v>15498726724</v>
      </c>
      <c r="H1057" s="92">
        <v>34071</v>
      </c>
      <c r="I1057" s="89">
        <v>32</v>
      </c>
      <c r="J1057" s="89" t="s">
        <v>51</v>
      </c>
      <c r="K1057" s="89" t="s">
        <v>88</v>
      </c>
      <c r="L1057" s="89" t="s">
        <v>603</v>
      </c>
      <c r="M1057" s="89" t="s">
        <v>3094</v>
      </c>
      <c r="N1057" s="89" t="s">
        <v>72</v>
      </c>
      <c r="O1057" s="93" t="s">
        <v>3095</v>
      </c>
      <c r="P1057" s="94" t="s">
        <v>57</v>
      </c>
      <c r="Q1057" s="112" t="s">
        <v>2211</v>
      </c>
      <c r="R1057" s="95"/>
      <c r="S1057" s="96">
        <v>46164</v>
      </c>
      <c r="T1057" s="96" t="s">
        <v>2212</v>
      </c>
      <c r="U1057" s="96" t="s">
        <v>79</v>
      </c>
      <c r="V1057" s="92">
        <v>46142</v>
      </c>
      <c r="W1057" s="92">
        <v>46154</v>
      </c>
      <c r="X1057" s="92">
        <v>46160</v>
      </c>
      <c r="Y1057" s="97"/>
      <c r="Z1057" s="89"/>
      <c r="AA1057" s="96"/>
      <c r="AB1057" s="89"/>
      <c r="AC1057" s="111"/>
      <c r="AD1057" s="89"/>
      <c r="AE1057" s="89"/>
      <c r="AF1057" s="98"/>
      <c r="AG1057" s="98"/>
      <c r="AH1057" s="98"/>
      <c r="AI1057" s="99"/>
      <c r="AJ1057" s="99"/>
      <c r="AK1057" s="99"/>
      <c r="AL1057" s="45" t="s">
        <v>68</v>
      </c>
      <c r="AM1057" s="162" t="str">
        <f t="shared" si="128"/>
        <v>3/2026</v>
      </c>
      <c r="AN1057" s="45">
        <f t="shared" si="129"/>
        <v>4</v>
      </c>
      <c r="AO1057" s="45" t="str">
        <f t="shared" si="130"/>
        <v>1/1900</v>
      </c>
      <c r="AP1057" s="45" t="e">
        <f t="shared" si="131"/>
        <v>#NUM!</v>
      </c>
      <c r="AQ1057" s="45">
        <f t="shared" si="132"/>
        <v>0</v>
      </c>
      <c r="AR1057" s="45">
        <f t="shared" si="133"/>
        <v>0</v>
      </c>
      <c r="AS1057" s="45">
        <f t="shared" si="134"/>
        <v>0</v>
      </c>
      <c r="AT1057" s="45">
        <f t="shared" si="135"/>
        <v>0</v>
      </c>
      <c r="AU1057" s="45" t="str">
        <f>_xlfn.XLOOKUP(U1057,'Lista Suspensa'!$AA$20:$AA$23,'Lista Suspensa'!$AB$20:$AB$23,"N/A")</f>
        <v>S</v>
      </c>
    </row>
    <row r="1058" spans="1:47" ht="12" hidden="1" customHeight="1" x14ac:dyDescent="0.3">
      <c r="A1058" s="87" t="s">
        <v>47</v>
      </c>
      <c r="B1058" s="88">
        <v>46104</v>
      </c>
      <c r="C1058" s="89" t="s">
        <v>48</v>
      </c>
      <c r="D1058" s="89" t="s">
        <v>49</v>
      </c>
      <c r="E1058" s="90">
        <v>451722540</v>
      </c>
      <c r="F1058" s="184" t="s">
        <v>3096</v>
      </c>
      <c r="G1058" s="91">
        <v>21256930890</v>
      </c>
      <c r="H1058" s="92">
        <v>13395</v>
      </c>
      <c r="I1058" s="89">
        <v>89</v>
      </c>
      <c r="J1058" s="89" t="s">
        <v>70</v>
      </c>
      <c r="K1058" s="89" t="s">
        <v>52</v>
      </c>
      <c r="L1058" s="89" t="s">
        <v>53</v>
      </c>
      <c r="M1058" s="89" t="s">
        <v>1083</v>
      </c>
      <c r="N1058" s="89" t="s">
        <v>72</v>
      </c>
      <c r="O1058" s="93" t="s">
        <v>3097</v>
      </c>
      <c r="P1058" s="94" t="s">
        <v>57</v>
      </c>
      <c r="Q1058" s="112" t="s">
        <v>2211</v>
      </c>
      <c r="R1058" s="95"/>
      <c r="S1058" s="96">
        <v>46164</v>
      </c>
      <c r="T1058" s="96" t="s">
        <v>2212</v>
      </c>
      <c r="U1058" s="96" t="s">
        <v>79</v>
      </c>
      <c r="V1058" s="92">
        <v>46142</v>
      </c>
      <c r="W1058" s="92">
        <v>46154</v>
      </c>
      <c r="X1058" s="92">
        <v>46160</v>
      </c>
      <c r="Y1058" s="97"/>
      <c r="Z1058" s="89"/>
      <c r="AA1058" s="96"/>
      <c r="AB1058" s="89"/>
      <c r="AC1058" s="111"/>
      <c r="AD1058" s="89"/>
      <c r="AE1058" s="89"/>
      <c r="AF1058" s="98"/>
      <c r="AG1058" s="98"/>
      <c r="AH1058" s="98"/>
      <c r="AI1058" s="99"/>
      <c r="AJ1058" s="99"/>
      <c r="AK1058" s="99"/>
      <c r="AL1058" s="45" t="s">
        <v>68</v>
      </c>
      <c r="AM1058" s="162" t="str">
        <f t="shared" si="128"/>
        <v>3/2026</v>
      </c>
      <c r="AN1058" s="45">
        <f t="shared" si="129"/>
        <v>4</v>
      </c>
      <c r="AO1058" s="45" t="str">
        <f t="shared" si="130"/>
        <v>1/1900</v>
      </c>
      <c r="AP1058" s="45" t="e">
        <f t="shared" si="131"/>
        <v>#NUM!</v>
      </c>
      <c r="AQ1058" s="45">
        <f t="shared" si="132"/>
        <v>0</v>
      </c>
      <c r="AR1058" s="45">
        <f t="shared" si="133"/>
        <v>0</v>
      </c>
      <c r="AS1058" s="45">
        <f t="shared" si="134"/>
        <v>0</v>
      </c>
      <c r="AT1058" s="45">
        <f t="shared" si="135"/>
        <v>0</v>
      </c>
      <c r="AU1058" s="45" t="str">
        <f>_xlfn.XLOOKUP(U1058,'Lista Suspensa'!$AA$20:$AA$23,'Lista Suspensa'!$AB$20:$AB$23,"N/A")</f>
        <v>S</v>
      </c>
    </row>
    <row r="1059" spans="1:47" ht="12" hidden="1" customHeight="1" x14ac:dyDescent="0.3">
      <c r="A1059" s="87" t="s">
        <v>47</v>
      </c>
      <c r="B1059" s="88">
        <v>46104</v>
      </c>
      <c r="C1059" s="89" t="s">
        <v>48</v>
      </c>
      <c r="D1059" s="89" t="s">
        <v>49</v>
      </c>
      <c r="E1059" s="90">
        <v>451872967</v>
      </c>
      <c r="F1059" s="184" t="s">
        <v>3098</v>
      </c>
      <c r="G1059" s="91">
        <v>89836243887</v>
      </c>
      <c r="H1059" s="92">
        <v>20490</v>
      </c>
      <c r="I1059" s="89">
        <v>70</v>
      </c>
      <c r="J1059" s="89" t="s">
        <v>51</v>
      </c>
      <c r="K1059" s="89" t="s">
        <v>52</v>
      </c>
      <c r="L1059" s="89" t="s">
        <v>53</v>
      </c>
      <c r="M1059" s="89" t="s">
        <v>1083</v>
      </c>
      <c r="N1059" s="89" t="s">
        <v>72</v>
      </c>
      <c r="O1059" s="93" t="s">
        <v>3099</v>
      </c>
      <c r="P1059" s="94" t="s">
        <v>57</v>
      </c>
      <c r="Q1059" s="112" t="s">
        <v>2211</v>
      </c>
      <c r="R1059" s="95"/>
      <c r="S1059" s="96">
        <v>46164</v>
      </c>
      <c r="T1059" s="96" t="s">
        <v>2212</v>
      </c>
      <c r="U1059" s="96" t="s">
        <v>79</v>
      </c>
      <c r="V1059" s="92">
        <v>46142</v>
      </c>
      <c r="W1059" s="92">
        <v>46154</v>
      </c>
      <c r="X1059" s="92">
        <v>46160</v>
      </c>
      <c r="Y1059" s="97"/>
      <c r="Z1059" s="89"/>
      <c r="AA1059" s="96"/>
      <c r="AB1059" s="89"/>
      <c r="AC1059" s="111"/>
      <c r="AD1059" s="89"/>
      <c r="AE1059" s="89"/>
      <c r="AF1059" s="98"/>
      <c r="AG1059" s="98"/>
      <c r="AH1059" s="98"/>
      <c r="AI1059" s="99"/>
      <c r="AJ1059" s="99"/>
      <c r="AK1059" s="99"/>
      <c r="AL1059" s="45" t="s">
        <v>68</v>
      </c>
      <c r="AM1059" s="162" t="str">
        <f t="shared" si="128"/>
        <v>3/2026</v>
      </c>
      <c r="AN1059" s="45">
        <f t="shared" si="129"/>
        <v>4</v>
      </c>
      <c r="AO1059" s="45" t="str">
        <f t="shared" si="130"/>
        <v>1/1900</v>
      </c>
      <c r="AP1059" s="45" t="e">
        <f t="shared" si="131"/>
        <v>#NUM!</v>
      </c>
      <c r="AQ1059" s="45">
        <f t="shared" si="132"/>
        <v>0</v>
      </c>
      <c r="AR1059" s="45">
        <f t="shared" si="133"/>
        <v>0</v>
      </c>
      <c r="AS1059" s="45">
        <f t="shared" si="134"/>
        <v>0</v>
      </c>
      <c r="AT1059" s="45">
        <f t="shared" si="135"/>
        <v>0</v>
      </c>
      <c r="AU1059" s="45" t="str">
        <f>_xlfn.XLOOKUP(U1059,'Lista Suspensa'!$AA$20:$AA$23,'Lista Suspensa'!$AB$20:$AB$23,"N/A")</f>
        <v>S</v>
      </c>
    </row>
    <row r="1060" spans="1:47" ht="12" hidden="1" customHeight="1" x14ac:dyDescent="0.3">
      <c r="A1060" s="87" t="s">
        <v>47</v>
      </c>
      <c r="B1060" s="88">
        <v>46104</v>
      </c>
      <c r="C1060" s="89" t="s">
        <v>48</v>
      </c>
      <c r="D1060" s="89" t="s">
        <v>49</v>
      </c>
      <c r="E1060" s="90">
        <v>451615000</v>
      </c>
      <c r="F1060" s="184" t="s">
        <v>3100</v>
      </c>
      <c r="G1060" s="91">
        <v>26304068816</v>
      </c>
      <c r="H1060" s="92">
        <v>18272</v>
      </c>
      <c r="I1060" s="89">
        <v>76</v>
      </c>
      <c r="J1060" s="89" t="s">
        <v>70</v>
      </c>
      <c r="K1060" s="89" t="s">
        <v>52</v>
      </c>
      <c r="L1060" s="89" t="s">
        <v>53</v>
      </c>
      <c r="M1060" s="89" t="s">
        <v>1101</v>
      </c>
      <c r="N1060" s="89" t="s">
        <v>72</v>
      </c>
      <c r="O1060" s="93" t="s">
        <v>2154</v>
      </c>
      <c r="P1060" s="94" t="s">
        <v>57</v>
      </c>
      <c r="Q1060" s="112" t="s">
        <v>2211</v>
      </c>
      <c r="R1060" s="95"/>
      <c r="S1060" s="96">
        <v>46164</v>
      </c>
      <c r="T1060" s="96" t="s">
        <v>2212</v>
      </c>
      <c r="U1060" s="96" t="s">
        <v>79</v>
      </c>
      <c r="V1060" s="92">
        <v>46142</v>
      </c>
      <c r="W1060" s="92">
        <v>46154</v>
      </c>
      <c r="X1060" s="92">
        <v>46160</v>
      </c>
      <c r="Y1060" s="97"/>
      <c r="Z1060" s="89"/>
      <c r="AA1060" s="96"/>
      <c r="AB1060" s="89"/>
      <c r="AC1060" s="111"/>
      <c r="AD1060" s="89"/>
      <c r="AE1060" s="89"/>
      <c r="AF1060" s="98"/>
      <c r="AG1060" s="98"/>
      <c r="AH1060" s="98"/>
      <c r="AI1060" s="99"/>
      <c r="AJ1060" s="99"/>
      <c r="AK1060" s="99"/>
      <c r="AL1060" s="45" t="s">
        <v>68</v>
      </c>
      <c r="AM1060" s="162" t="str">
        <f t="shared" si="128"/>
        <v>3/2026</v>
      </c>
      <c r="AN1060" s="45">
        <f t="shared" si="129"/>
        <v>4</v>
      </c>
      <c r="AO1060" s="45" t="str">
        <f t="shared" si="130"/>
        <v>1/1900</v>
      </c>
      <c r="AP1060" s="45" t="e">
        <f t="shared" si="131"/>
        <v>#NUM!</v>
      </c>
      <c r="AQ1060" s="45">
        <f t="shared" si="132"/>
        <v>0</v>
      </c>
      <c r="AR1060" s="45">
        <f t="shared" si="133"/>
        <v>0</v>
      </c>
      <c r="AS1060" s="45">
        <f t="shared" si="134"/>
        <v>0</v>
      </c>
      <c r="AT1060" s="45">
        <f t="shared" si="135"/>
        <v>0</v>
      </c>
      <c r="AU1060" s="45" t="str">
        <f>_xlfn.XLOOKUP(U1060,'Lista Suspensa'!$AA$20:$AA$23,'Lista Suspensa'!$AB$20:$AB$23,"N/A")</f>
        <v>S</v>
      </c>
    </row>
    <row r="1061" spans="1:47" ht="12" hidden="1" customHeight="1" x14ac:dyDescent="0.3">
      <c r="A1061" s="87" t="s">
        <v>47</v>
      </c>
      <c r="B1061" s="88">
        <v>46104</v>
      </c>
      <c r="C1061" s="89" t="s">
        <v>48</v>
      </c>
      <c r="D1061" s="89" t="s">
        <v>49</v>
      </c>
      <c r="E1061" s="90">
        <v>451780140</v>
      </c>
      <c r="F1061" s="184" t="s">
        <v>3101</v>
      </c>
      <c r="G1061" s="91">
        <v>11699181829</v>
      </c>
      <c r="H1061" s="92">
        <v>18292</v>
      </c>
      <c r="I1061" s="89">
        <v>76</v>
      </c>
      <c r="J1061" s="89" t="s">
        <v>70</v>
      </c>
      <c r="K1061" s="89" t="s">
        <v>52</v>
      </c>
      <c r="L1061" s="89" t="s">
        <v>53</v>
      </c>
      <c r="M1061" s="89" t="s">
        <v>1792</v>
      </c>
      <c r="N1061" s="89" t="s">
        <v>72</v>
      </c>
      <c r="O1061" s="93" t="s">
        <v>3102</v>
      </c>
      <c r="P1061" s="94" t="s">
        <v>57</v>
      </c>
      <c r="Q1061" s="112" t="s">
        <v>2211</v>
      </c>
      <c r="R1061" s="95"/>
      <c r="S1061" s="96">
        <v>46164</v>
      </c>
      <c r="T1061" s="96" t="s">
        <v>2212</v>
      </c>
      <c r="U1061" s="96" t="s">
        <v>79</v>
      </c>
      <c r="V1061" s="92">
        <v>46142</v>
      </c>
      <c r="W1061" s="92">
        <v>46154</v>
      </c>
      <c r="X1061" s="92">
        <v>46160</v>
      </c>
      <c r="Y1061" s="97"/>
      <c r="Z1061" s="89"/>
      <c r="AA1061" s="96"/>
      <c r="AB1061" s="89"/>
      <c r="AC1061" s="111"/>
      <c r="AD1061" s="89"/>
      <c r="AE1061" s="89"/>
      <c r="AF1061" s="98"/>
      <c r="AG1061" s="98"/>
      <c r="AH1061" s="98"/>
      <c r="AI1061" s="99"/>
      <c r="AJ1061" s="99"/>
      <c r="AK1061" s="99"/>
      <c r="AL1061" s="45" t="s">
        <v>68</v>
      </c>
      <c r="AM1061" s="162" t="str">
        <f t="shared" si="128"/>
        <v>3/2026</v>
      </c>
      <c r="AN1061" s="45">
        <f t="shared" si="129"/>
        <v>4</v>
      </c>
      <c r="AO1061" s="45" t="str">
        <f t="shared" si="130"/>
        <v>1/1900</v>
      </c>
      <c r="AP1061" s="45" t="e">
        <f t="shared" si="131"/>
        <v>#NUM!</v>
      </c>
      <c r="AQ1061" s="45">
        <f t="shared" si="132"/>
        <v>0</v>
      </c>
      <c r="AR1061" s="45">
        <f t="shared" si="133"/>
        <v>0</v>
      </c>
      <c r="AS1061" s="45">
        <f t="shared" si="134"/>
        <v>0</v>
      </c>
      <c r="AT1061" s="45">
        <f t="shared" si="135"/>
        <v>0</v>
      </c>
      <c r="AU1061" s="45" t="str">
        <f>_xlfn.XLOOKUP(U1061,'Lista Suspensa'!$AA$20:$AA$23,'Lista Suspensa'!$AB$20:$AB$23,"N/A")</f>
        <v>S</v>
      </c>
    </row>
    <row r="1062" spans="1:47" ht="12" hidden="1" customHeight="1" x14ac:dyDescent="0.3">
      <c r="A1062" s="87" t="s">
        <v>47</v>
      </c>
      <c r="B1062" s="88">
        <v>46104</v>
      </c>
      <c r="C1062" s="89" t="s">
        <v>48</v>
      </c>
      <c r="D1062" s="89" t="s">
        <v>49</v>
      </c>
      <c r="E1062" s="90">
        <v>451642783</v>
      </c>
      <c r="F1062" s="184" t="s">
        <v>3103</v>
      </c>
      <c r="G1062" s="91">
        <v>8372016836</v>
      </c>
      <c r="H1062" s="92">
        <v>18839</v>
      </c>
      <c r="I1062" s="89">
        <v>74</v>
      </c>
      <c r="J1062" s="89" t="s">
        <v>70</v>
      </c>
      <c r="K1062" s="89" t="s">
        <v>52</v>
      </c>
      <c r="L1062" s="89" t="s">
        <v>53</v>
      </c>
      <c r="M1062" s="89" t="s">
        <v>3104</v>
      </c>
      <c r="N1062" s="89" t="s">
        <v>72</v>
      </c>
      <c r="O1062" s="93" t="s">
        <v>3105</v>
      </c>
      <c r="P1062" s="94" t="s">
        <v>57</v>
      </c>
      <c r="Q1062" s="112" t="s">
        <v>2211</v>
      </c>
      <c r="R1062" s="95"/>
      <c r="S1062" s="96">
        <v>46164</v>
      </c>
      <c r="T1062" s="96" t="s">
        <v>2212</v>
      </c>
      <c r="U1062" s="96" t="s">
        <v>79</v>
      </c>
      <c r="V1062" s="92">
        <v>46142</v>
      </c>
      <c r="W1062" s="92">
        <v>46154</v>
      </c>
      <c r="X1062" s="92">
        <v>46160</v>
      </c>
      <c r="Y1062" s="97"/>
      <c r="Z1062" s="89"/>
      <c r="AA1062" s="96"/>
      <c r="AB1062" s="89"/>
      <c r="AC1062" s="111"/>
      <c r="AD1062" s="89"/>
      <c r="AE1062" s="89"/>
      <c r="AF1062" s="98"/>
      <c r="AG1062" s="98"/>
      <c r="AH1062" s="98"/>
      <c r="AI1062" s="99"/>
      <c r="AJ1062" s="99"/>
      <c r="AK1062" s="99"/>
      <c r="AL1062" s="45" t="s">
        <v>68</v>
      </c>
      <c r="AM1062" s="162" t="str">
        <f t="shared" si="128"/>
        <v>3/2026</v>
      </c>
      <c r="AN1062" s="45">
        <f t="shared" si="129"/>
        <v>4</v>
      </c>
      <c r="AO1062" s="45" t="str">
        <f t="shared" si="130"/>
        <v>1/1900</v>
      </c>
      <c r="AP1062" s="45" t="e">
        <f t="shared" si="131"/>
        <v>#NUM!</v>
      </c>
      <c r="AQ1062" s="45">
        <f t="shared" si="132"/>
        <v>0</v>
      </c>
      <c r="AR1062" s="45">
        <f t="shared" si="133"/>
        <v>0</v>
      </c>
      <c r="AS1062" s="45">
        <f t="shared" si="134"/>
        <v>0</v>
      </c>
      <c r="AT1062" s="45">
        <f t="shared" si="135"/>
        <v>0</v>
      </c>
      <c r="AU1062" s="45" t="str">
        <f>_xlfn.XLOOKUP(U1062,'Lista Suspensa'!$AA$20:$AA$23,'Lista Suspensa'!$AB$20:$AB$23,"N/A")</f>
        <v>S</v>
      </c>
    </row>
    <row r="1063" spans="1:47" ht="12" hidden="1" customHeight="1" x14ac:dyDescent="0.3">
      <c r="A1063" s="87" t="s">
        <v>47</v>
      </c>
      <c r="B1063" s="88">
        <v>46104</v>
      </c>
      <c r="C1063" s="89" t="s">
        <v>48</v>
      </c>
      <c r="D1063" s="89" t="s">
        <v>49</v>
      </c>
      <c r="E1063" s="90">
        <v>451597311</v>
      </c>
      <c r="F1063" s="184" t="s">
        <v>3106</v>
      </c>
      <c r="G1063" s="91">
        <v>25950272803</v>
      </c>
      <c r="H1063" s="92">
        <v>18705</v>
      </c>
      <c r="I1063" s="89">
        <v>75</v>
      </c>
      <c r="J1063" s="89" t="s">
        <v>70</v>
      </c>
      <c r="K1063" s="89" t="s">
        <v>52</v>
      </c>
      <c r="L1063" s="89" t="s">
        <v>53</v>
      </c>
      <c r="M1063" s="89" t="s">
        <v>1402</v>
      </c>
      <c r="N1063" s="89" t="s">
        <v>72</v>
      </c>
      <c r="O1063" s="93" t="s">
        <v>3107</v>
      </c>
      <c r="P1063" s="94" t="s">
        <v>57</v>
      </c>
      <c r="Q1063" s="112" t="s">
        <v>2211</v>
      </c>
      <c r="R1063" s="95"/>
      <c r="S1063" s="96">
        <v>46164</v>
      </c>
      <c r="T1063" s="96" t="s">
        <v>2212</v>
      </c>
      <c r="U1063" s="96" t="s">
        <v>79</v>
      </c>
      <c r="V1063" s="92">
        <v>46128</v>
      </c>
      <c r="W1063" s="92">
        <v>46142</v>
      </c>
      <c r="X1063" s="92">
        <v>46154</v>
      </c>
      <c r="Y1063" s="97"/>
      <c r="Z1063" s="89"/>
      <c r="AA1063" s="96"/>
      <c r="AB1063" s="89"/>
      <c r="AC1063" s="111"/>
      <c r="AD1063" s="89"/>
      <c r="AE1063" s="89"/>
      <c r="AF1063" s="98"/>
      <c r="AG1063" s="98"/>
      <c r="AH1063" s="98"/>
      <c r="AI1063" s="99"/>
      <c r="AJ1063" s="99"/>
      <c r="AK1063" s="99"/>
      <c r="AL1063" s="45" t="s">
        <v>68</v>
      </c>
      <c r="AM1063" s="162" t="str">
        <f t="shared" si="128"/>
        <v>3/2026</v>
      </c>
      <c r="AN1063" s="45">
        <f t="shared" si="129"/>
        <v>4</v>
      </c>
      <c r="AO1063" s="45" t="str">
        <f t="shared" si="130"/>
        <v>1/1900</v>
      </c>
      <c r="AP1063" s="45" t="e">
        <f t="shared" si="131"/>
        <v>#NUM!</v>
      </c>
      <c r="AQ1063" s="45">
        <f t="shared" si="132"/>
        <v>0</v>
      </c>
      <c r="AR1063" s="45">
        <f t="shared" si="133"/>
        <v>0</v>
      </c>
      <c r="AS1063" s="45">
        <f t="shared" si="134"/>
        <v>0</v>
      </c>
      <c r="AT1063" s="45">
        <f t="shared" si="135"/>
        <v>0</v>
      </c>
      <c r="AU1063" s="45" t="str">
        <f>_xlfn.XLOOKUP(U1063,'Lista Suspensa'!$AA$20:$AA$23,'Lista Suspensa'!$AB$20:$AB$23,"N/A")</f>
        <v>S</v>
      </c>
    </row>
    <row r="1064" spans="1:47" ht="12" hidden="1" customHeight="1" x14ac:dyDescent="0.3">
      <c r="A1064" s="87" t="s">
        <v>47</v>
      </c>
      <c r="B1064" s="88">
        <v>46104</v>
      </c>
      <c r="C1064" s="89" t="s">
        <v>48</v>
      </c>
      <c r="D1064" s="89" t="s">
        <v>49</v>
      </c>
      <c r="E1064" s="90">
        <v>451597303</v>
      </c>
      <c r="F1064" s="184" t="s">
        <v>3108</v>
      </c>
      <c r="G1064" s="91">
        <v>4327403849</v>
      </c>
      <c r="H1064" s="92">
        <v>14532</v>
      </c>
      <c r="I1064" s="89">
        <v>86</v>
      </c>
      <c r="J1064" s="89" t="s">
        <v>51</v>
      </c>
      <c r="K1064" s="89" t="s">
        <v>52</v>
      </c>
      <c r="L1064" s="89" t="s">
        <v>53</v>
      </c>
      <c r="M1064" s="89" t="s">
        <v>1402</v>
      </c>
      <c r="N1064" s="89" t="s">
        <v>72</v>
      </c>
      <c r="O1064" s="93" t="s">
        <v>3109</v>
      </c>
      <c r="P1064" s="94" t="s">
        <v>57</v>
      </c>
      <c r="Q1064" s="112" t="s">
        <v>2211</v>
      </c>
      <c r="R1064" s="95"/>
      <c r="S1064" s="96">
        <v>46164</v>
      </c>
      <c r="T1064" s="96" t="s">
        <v>2212</v>
      </c>
      <c r="U1064" s="96" t="s">
        <v>79</v>
      </c>
      <c r="V1064" s="92">
        <v>46142</v>
      </c>
      <c r="W1064" s="92">
        <v>46154</v>
      </c>
      <c r="X1064" s="92">
        <v>46160</v>
      </c>
      <c r="Y1064" s="97"/>
      <c r="Z1064" s="89"/>
      <c r="AA1064" s="96"/>
      <c r="AB1064" s="89"/>
      <c r="AC1064" s="111"/>
      <c r="AD1064" s="89"/>
      <c r="AE1064" s="89"/>
      <c r="AF1064" s="98"/>
      <c r="AG1064" s="98"/>
      <c r="AH1064" s="98"/>
      <c r="AI1064" s="99"/>
      <c r="AJ1064" s="99"/>
      <c r="AK1064" s="99"/>
      <c r="AL1064" s="45" t="s">
        <v>68</v>
      </c>
      <c r="AM1064" s="162" t="str">
        <f t="shared" si="128"/>
        <v>3/2026</v>
      </c>
      <c r="AN1064" s="45">
        <f t="shared" si="129"/>
        <v>4</v>
      </c>
      <c r="AO1064" s="45" t="str">
        <f t="shared" si="130"/>
        <v>1/1900</v>
      </c>
      <c r="AP1064" s="45" t="e">
        <f t="shared" si="131"/>
        <v>#NUM!</v>
      </c>
      <c r="AQ1064" s="45">
        <f t="shared" si="132"/>
        <v>0</v>
      </c>
      <c r="AR1064" s="45">
        <f t="shared" si="133"/>
        <v>0</v>
      </c>
      <c r="AS1064" s="45">
        <f t="shared" si="134"/>
        <v>0</v>
      </c>
      <c r="AT1064" s="45">
        <f t="shared" si="135"/>
        <v>0</v>
      </c>
      <c r="AU1064" s="45" t="str">
        <f>_xlfn.XLOOKUP(U1064,'Lista Suspensa'!$AA$20:$AA$23,'Lista Suspensa'!$AB$20:$AB$23,"N/A")</f>
        <v>S</v>
      </c>
    </row>
    <row r="1065" spans="1:47" ht="12" hidden="1" customHeight="1" x14ac:dyDescent="0.3">
      <c r="A1065" s="87" t="s">
        <v>47</v>
      </c>
      <c r="B1065" s="88">
        <v>46104</v>
      </c>
      <c r="C1065" s="89" t="s">
        <v>48</v>
      </c>
      <c r="D1065" s="89" t="s">
        <v>49</v>
      </c>
      <c r="E1065" s="90">
        <v>301383685</v>
      </c>
      <c r="F1065" s="184" t="s">
        <v>3110</v>
      </c>
      <c r="G1065" s="91">
        <v>40767566815</v>
      </c>
      <c r="H1065" s="92">
        <v>18203</v>
      </c>
      <c r="I1065" s="89">
        <v>76</v>
      </c>
      <c r="J1065" s="89" t="s">
        <v>51</v>
      </c>
      <c r="K1065" s="89" t="s">
        <v>52</v>
      </c>
      <c r="L1065" s="89" t="s">
        <v>53</v>
      </c>
      <c r="M1065" s="89" t="s">
        <v>1402</v>
      </c>
      <c r="N1065" s="89" t="s">
        <v>72</v>
      </c>
      <c r="O1065" s="93" t="s">
        <v>3111</v>
      </c>
      <c r="P1065" s="94" t="s">
        <v>57</v>
      </c>
      <c r="Q1065" s="112" t="s">
        <v>2211</v>
      </c>
      <c r="R1065" s="95"/>
      <c r="S1065" s="96">
        <v>46164</v>
      </c>
      <c r="T1065" s="96" t="s">
        <v>2212</v>
      </c>
      <c r="U1065" s="96" t="s">
        <v>79</v>
      </c>
      <c r="V1065" s="92">
        <v>46142</v>
      </c>
      <c r="W1065" s="92">
        <v>46154</v>
      </c>
      <c r="X1065" s="92">
        <v>46160</v>
      </c>
      <c r="Y1065" s="97"/>
      <c r="Z1065" s="89"/>
      <c r="AA1065" s="96"/>
      <c r="AB1065" s="89"/>
      <c r="AC1065" s="111"/>
      <c r="AD1065" s="89"/>
      <c r="AE1065" s="89"/>
      <c r="AF1065" s="98"/>
      <c r="AG1065" s="98"/>
      <c r="AH1065" s="98"/>
      <c r="AI1065" s="99"/>
      <c r="AJ1065" s="99"/>
      <c r="AK1065" s="99"/>
      <c r="AL1065" s="45" t="s">
        <v>68</v>
      </c>
      <c r="AM1065" s="162" t="str">
        <f t="shared" si="128"/>
        <v>3/2026</v>
      </c>
      <c r="AN1065" s="45">
        <f t="shared" si="129"/>
        <v>4</v>
      </c>
      <c r="AO1065" s="45" t="str">
        <f t="shared" si="130"/>
        <v>1/1900</v>
      </c>
      <c r="AP1065" s="45" t="e">
        <f t="shared" si="131"/>
        <v>#NUM!</v>
      </c>
      <c r="AQ1065" s="45">
        <f t="shared" si="132"/>
        <v>0</v>
      </c>
      <c r="AR1065" s="45">
        <f t="shared" si="133"/>
        <v>0</v>
      </c>
      <c r="AS1065" s="45">
        <f t="shared" si="134"/>
        <v>0</v>
      </c>
      <c r="AT1065" s="45">
        <f t="shared" si="135"/>
        <v>0</v>
      </c>
      <c r="AU1065" s="45" t="str">
        <f>_xlfn.XLOOKUP(U1065,'Lista Suspensa'!$AA$20:$AA$23,'Lista Suspensa'!$AB$20:$AB$23,"N/A")</f>
        <v>S</v>
      </c>
    </row>
    <row r="1066" spans="1:47" ht="12" hidden="1" customHeight="1" x14ac:dyDescent="0.3">
      <c r="A1066" s="87" t="s">
        <v>47</v>
      </c>
      <c r="B1066" s="88">
        <v>46104</v>
      </c>
      <c r="C1066" s="89" t="s">
        <v>48</v>
      </c>
      <c r="D1066" s="89" t="s">
        <v>49</v>
      </c>
      <c r="E1066" s="90">
        <v>451575776</v>
      </c>
      <c r="F1066" s="184" t="s">
        <v>3112</v>
      </c>
      <c r="G1066" s="91">
        <v>66314518849</v>
      </c>
      <c r="H1066" s="92">
        <v>18617</v>
      </c>
      <c r="I1066" s="89">
        <v>75</v>
      </c>
      <c r="J1066" s="89" t="s">
        <v>51</v>
      </c>
      <c r="K1066" s="89" t="s">
        <v>52</v>
      </c>
      <c r="L1066" s="89" t="s">
        <v>53</v>
      </c>
      <c r="M1066" s="89" t="s">
        <v>3113</v>
      </c>
      <c r="N1066" s="89" t="s">
        <v>72</v>
      </c>
      <c r="O1066" s="93" t="s">
        <v>3114</v>
      </c>
      <c r="P1066" s="94" t="s">
        <v>57</v>
      </c>
      <c r="Q1066" s="112" t="s">
        <v>2211</v>
      </c>
      <c r="R1066" s="95"/>
      <c r="S1066" s="96">
        <v>46164</v>
      </c>
      <c r="T1066" s="96" t="s">
        <v>2212</v>
      </c>
      <c r="U1066" s="96" t="s">
        <v>79</v>
      </c>
      <c r="V1066" s="92">
        <v>46112</v>
      </c>
      <c r="W1066" s="92">
        <v>46142</v>
      </c>
      <c r="X1066" s="92">
        <v>46154</v>
      </c>
      <c r="Y1066" s="97"/>
      <c r="Z1066" s="89"/>
      <c r="AA1066" s="96"/>
      <c r="AB1066" s="89"/>
      <c r="AC1066" s="111"/>
      <c r="AD1066" s="89"/>
      <c r="AE1066" s="89"/>
      <c r="AF1066" s="98"/>
      <c r="AG1066" s="98"/>
      <c r="AH1066" s="98"/>
      <c r="AI1066" s="99"/>
      <c r="AJ1066" s="99"/>
      <c r="AK1066" s="99"/>
      <c r="AL1066" s="45" t="s">
        <v>68</v>
      </c>
      <c r="AM1066" s="162" t="str">
        <f t="shared" si="128"/>
        <v>3/2026</v>
      </c>
      <c r="AN1066" s="45">
        <f t="shared" si="129"/>
        <v>4</v>
      </c>
      <c r="AO1066" s="45" t="str">
        <f t="shared" si="130"/>
        <v>1/1900</v>
      </c>
      <c r="AP1066" s="45" t="e">
        <f t="shared" si="131"/>
        <v>#NUM!</v>
      </c>
      <c r="AQ1066" s="45">
        <f t="shared" si="132"/>
        <v>0</v>
      </c>
      <c r="AR1066" s="45">
        <f t="shared" si="133"/>
        <v>0</v>
      </c>
      <c r="AS1066" s="45">
        <f t="shared" si="134"/>
        <v>0</v>
      </c>
      <c r="AT1066" s="45">
        <f t="shared" si="135"/>
        <v>0</v>
      </c>
      <c r="AU1066" s="45" t="str">
        <f>_xlfn.XLOOKUP(U1066,'Lista Suspensa'!$AA$20:$AA$23,'Lista Suspensa'!$AB$20:$AB$23,"N/A")</f>
        <v>S</v>
      </c>
    </row>
    <row r="1067" spans="1:47" ht="12" hidden="1" customHeight="1" x14ac:dyDescent="0.3">
      <c r="A1067" s="87" t="s">
        <v>47</v>
      </c>
      <c r="B1067" s="88">
        <v>46104</v>
      </c>
      <c r="C1067" s="89" t="s">
        <v>48</v>
      </c>
      <c r="D1067" s="89" t="s">
        <v>49</v>
      </c>
      <c r="E1067" s="90">
        <v>451603770</v>
      </c>
      <c r="F1067" s="184" t="s">
        <v>3115</v>
      </c>
      <c r="G1067" s="91">
        <v>8288186815</v>
      </c>
      <c r="H1067" s="92">
        <v>15006</v>
      </c>
      <c r="I1067" s="89">
        <v>85</v>
      </c>
      <c r="J1067" s="89" t="s">
        <v>51</v>
      </c>
      <c r="K1067" s="89" t="s">
        <v>52</v>
      </c>
      <c r="L1067" s="89" t="s">
        <v>53</v>
      </c>
      <c r="M1067" s="89" t="s">
        <v>3116</v>
      </c>
      <c r="N1067" s="89" t="s">
        <v>72</v>
      </c>
      <c r="O1067" s="93" t="s">
        <v>3117</v>
      </c>
      <c r="P1067" s="94" t="s">
        <v>57</v>
      </c>
      <c r="Q1067" s="112" t="s">
        <v>2211</v>
      </c>
      <c r="R1067" s="95"/>
      <c r="S1067" s="96">
        <v>46164</v>
      </c>
      <c r="T1067" s="96" t="s">
        <v>2212</v>
      </c>
      <c r="U1067" s="96" t="s">
        <v>79</v>
      </c>
      <c r="V1067" s="92">
        <v>46142</v>
      </c>
      <c r="W1067" s="92">
        <v>46154</v>
      </c>
      <c r="X1067" s="92">
        <v>46160</v>
      </c>
      <c r="Y1067" s="97"/>
      <c r="Z1067" s="89"/>
      <c r="AA1067" s="96"/>
      <c r="AB1067" s="89"/>
      <c r="AC1067" s="111"/>
      <c r="AD1067" s="89"/>
      <c r="AE1067" s="89"/>
      <c r="AF1067" s="98"/>
      <c r="AG1067" s="98"/>
      <c r="AH1067" s="98"/>
      <c r="AI1067" s="99"/>
      <c r="AJ1067" s="99"/>
      <c r="AK1067" s="99"/>
      <c r="AL1067" s="45" t="s">
        <v>68</v>
      </c>
      <c r="AM1067" s="162" t="str">
        <f t="shared" si="128"/>
        <v>3/2026</v>
      </c>
      <c r="AN1067" s="45">
        <f t="shared" si="129"/>
        <v>4</v>
      </c>
      <c r="AO1067" s="45" t="str">
        <f t="shared" si="130"/>
        <v>1/1900</v>
      </c>
      <c r="AP1067" s="45" t="e">
        <f t="shared" si="131"/>
        <v>#NUM!</v>
      </c>
      <c r="AQ1067" s="45">
        <f t="shared" si="132"/>
        <v>0</v>
      </c>
      <c r="AR1067" s="45">
        <f t="shared" si="133"/>
        <v>0</v>
      </c>
      <c r="AS1067" s="45">
        <f t="shared" si="134"/>
        <v>0</v>
      </c>
      <c r="AT1067" s="45">
        <f t="shared" si="135"/>
        <v>0</v>
      </c>
      <c r="AU1067" s="45" t="str">
        <f>_xlfn.XLOOKUP(U1067,'Lista Suspensa'!$AA$20:$AA$23,'Lista Suspensa'!$AB$20:$AB$23,"N/A")</f>
        <v>S</v>
      </c>
    </row>
    <row r="1068" spans="1:47" ht="12" hidden="1" customHeight="1" x14ac:dyDescent="0.3">
      <c r="A1068" s="87" t="s">
        <v>47</v>
      </c>
      <c r="B1068" s="88">
        <v>46104</v>
      </c>
      <c r="C1068" s="89" t="s">
        <v>48</v>
      </c>
      <c r="D1068" s="89" t="s">
        <v>49</v>
      </c>
      <c r="E1068" s="90">
        <v>115778861</v>
      </c>
      <c r="F1068" s="184" t="s">
        <v>3118</v>
      </c>
      <c r="G1068" s="91">
        <v>33109427753</v>
      </c>
      <c r="H1068" s="92">
        <v>17678</v>
      </c>
      <c r="I1068" s="89">
        <v>77</v>
      </c>
      <c r="J1068" s="89" t="s">
        <v>51</v>
      </c>
      <c r="K1068" s="89" t="s">
        <v>88</v>
      </c>
      <c r="L1068" s="89" t="s">
        <v>89</v>
      </c>
      <c r="M1068" s="89" t="s">
        <v>1169</v>
      </c>
      <c r="N1068" s="89" t="s">
        <v>72</v>
      </c>
      <c r="O1068" s="93" t="s">
        <v>3119</v>
      </c>
      <c r="P1068" s="94" t="s">
        <v>57</v>
      </c>
      <c r="Q1068" s="112" t="s">
        <v>2211</v>
      </c>
      <c r="R1068" s="95"/>
      <c r="S1068" s="96">
        <v>46164</v>
      </c>
      <c r="T1068" s="96" t="s">
        <v>2212</v>
      </c>
      <c r="U1068" s="96" t="s">
        <v>79</v>
      </c>
      <c r="V1068" s="92">
        <v>46142</v>
      </c>
      <c r="W1068" s="92">
        <v>46154</v>
      </c>
      <c r="X1068" s="92">
        <v>46160</v>
      </c>
      <c r="Y1068" s="97"/>
      <c r="Z1068" s="89"/>
      <c r="AA1068" s="96"/>
      <c r="AB1068" s="89"/>
      <c r="AC1068" s="111"/>
      <c r="AD1068" s="89"/>
      <c r="AE1068" s="89"/>
      <c r="AF1068" s="98"/>
      <c r="AG1068" s="98"/>
      <c r="AH1068" s="98"/>
      <c r="AI1068" s="99"/>
      <c r="AJ1068" s="99"/>
      <c r="AK1068" s="99"/>
      <c r="AL1068" s="45" t="s">
        <v>68</v>
      </c>
      <c r="AM1068" s="162" t="str">
        <f t="shared" si="128"/>
        <v>3/2026</v>
      </c>
      <c r="AN1068" s="45">
        <f t="shared" si="129"/>
        <v>4</v>
      </c>
      <c r="AO1068" s="45" t="str">
        <f t="shared" si="130"/>
        <v>1/1900</v>
      </c>
      <c r="AP1068" s="45" t="e">
        <f t="shared" si="131"/>
        <v>#NUM!</v>
      </c>
      <c r="AQ1068" s="45">
        <f t="shared" si="132"/>
        <v>0</v>
      </c>
      <c r="AR1068" s="45">
        <f t="shared" si="133"/>
        <v>0</v>
      </c>
      <c r="AS1068" s="45">
        <f t="shared" si="134"/>
        <v>0</v>
      </c>
      <c r="AT1068" s="45">
        <f t="shared" si="135"/>
        <v>0</v>
      </c>
      <c r="AU1068" s="45" t="str">
        <f>_xlfn.XLOOKUP(U1068,'Lista Suspensa'!$AA$20:$AA$23,'Lista Suspensa'!$AB$20:$AB$23,"N/A")</f>
        <v>S</v>
      </c>
    </row>
    <row r="1069" spans="1:47" ht="12" hidden="1" customHeight="1" x14ac:dyDescent="0.3">
      <c r="A1069" s="87" t="s">
        <v>47</v>
      </c>
      <c r="B1069" s="88">
        <v>46104</v>
      </c>
      <c r="C1069" s="89" t="s">
        <v>48</v>
      </c>
      <c r="D1069" s="89" t="s">
        <v>49</v>
      </c>
      <c r="E1069" s="90">
        <v>451591151</v>
      </c>
      <c r="F1069" s="184" t="s">
        <v>3120</v>
      </c>
      <c r="G1069" s="91">
        <v>29378297838</v>
      </c>
      <c r="H1069" s="92">
        <v>15744</v>
      </c>
      <c r="I1069" s="89">
        <v>83</v>
      </c>
      <c r="J1069" s="89" t="s">
        <v>70</v>
      </c>
      <c r="K1069" s="89" t="s">
        <v>52</v>
      </c>
      <c r="L1069" s="89" t="s">
        <v>53</v>
      </c>
      <c r="M1069" s="89" t="s">
        <v>3121</v>
      </c>
      <c r="N1069" s="89" t="s">
        <v>72</v>
      </c>
      <c r="O1069" s="93" t="s">
        <v>3122</v>
      </c>
      <c r="P1069" s="94" t="s">
        <v>57</v>
      </c>
      <c r="Q1069" s="112" t="s">
        <v>2211</v>
      </c>
      <c r="R1069" s="95"/>
      <c r="S1069" s="96">
        <v>46150</v>
      </c>
      <c r="T1069" s="96" t="s">
        <v>2212</v>
      </c>
      <c r="U1069" s="96" t="s">
        <v>79</v>
      </c>
      <c r="V1069" s="92">
        <v>46122</v>
      </c>
      <c r="W1069" s="92">
        <v>46141</v>
      </c>
      <c r="X1069" s="92">
        <v>46142</v>
      </c>
      <c r="Y1069" s="97"/>
      <c r="Z1069" s="89"/>
      <c r="AA1069" s="96"/>
      <c r="AB1069" s="89"/>
      <c r="AC1069" s="111"/>
      <c r="AD1069" s="89"/>
      <c r="AE1069" s="89"/>
      <c r="AF1069" s="98"/>
      <c r="AG1069" s="98"/>
      <c r="AH1069" s="98"/>
      <c r="AI1069" s="99"/>
      <c r="AJ1069" s="99"/>
      <c r="AK1069" s="99"/>
      <c r="AL1069" s="45" t="s">
        <v>68</v>
      </c>
      <c r="AM1069" s="162" t="str">
        <f t="shared" si="128"/>
        <v>3/2026</v>
      </c>
      <c r="AN1069" s="45">
        <f t="shared" si="129"/>
        <v>4</v>
      </c>
      <c r="AO1069" s="45" t="str">
        <f t="shared" si="130"/>
        <v>1/1900</v>
      </c>
      <c r="AP1069" s="45" t="e">
        <f t="shared" si="131"/>
        <v>#NUM!</v>
      </c>
      <c r="AQ1069" s="45">
        <f t="shared" si="132"/>
        <v>0</v>
      </c>
      <c r="AR1069" s="45">
        <f t="shared" si="133"/>
        <v>0</v>
      </c>
      <c r="AS1069" s="45">
        <f t="shared" si="134"/>
        <v>0</v>
      </c>
      <c r="AT1069" s="45">
        <f t="shared" si="135"/>
        <v>0</v>
      </c>
      <c r="AU1069" s="45" t="str">
        <f>_xlfn.XLOOKUP(U1069,'Lista Suspensa'!$AA$20:$AA$23,'Lista Suspensa'!$AB$20:$AB$23,"N/A")</f>
        <v>S</v>
      </c>
    </row>
    <row r="1070" spans="1:47" ht="12" hidden="1" customHeight="1" x14ac:dyDescent="0.3">
      <c r="A1070" s="87" t="s">
        <v>47</v>
      </c>
      <c r="B1070" s="88">
        <v>46104</v>
      </c>
      <c r="C1070" s="89" t="s">
        <v>48</v>
      </c>
      <c r="D1070" s="89" t="s">
        <v>49</v>
      </c>
      <c r="E1070" s="90">
        <v>451580710</v>
      </c>
      <c r="F1070" s="184" t="s">
        <v>3123</v>
      </c>
      <c r="G1070" s="91">
        <v>14800488877</v>
      </c>
      <c r="H1070" s="92">
        <v>17317</v>
      </c>
      <c r="I1070" s="89">
        <v>78</v>
      </c>
      <c r="J1070" s="89" t="s">
        <v>70</v>
      </c>
      <c r="K1070" s="89" t="s">
        <v>52</v>
      </c>
      <c r="L1070" s="89" t="s">
        <v>53</v>
      </c>
      <c r="M1070" s="89" t="s">
        <v>3121</v>
      </c>
      <c r="N1070" s="89" t="s">
        <v>72</v>
      </c>
      <c r="O1070" s="93" t="s">
        <v>3124</v>
      </c>
      <c r="P1070" s="94" t="s">
        <v>57</v>
      </c>
      <c r="Q1070" s="112" t="s">
        <v>2211</v>
      </c>
      <c r="R1070" s="95"/>
      <c r="S1070" s="96">
        <v>46164</v>
      </c>
      <c r="T1070" s="96" t="s">
        <v>2212</v>
      </c>
      <c r="U1070" s="96" t="s">
        <v>79</v>
      </c>
      <c r="V1070" s="92">
        <v>46142</v>
      </c>
      <c r="W1070" s="92">
        <v>46154</v>
      </c>
      <c r="X1070" s="92">
        <v>46160</v>
      </c>
      <c r="Y1070" s="97"/>
      <c r="Z1070" s="89"/>
      <c r="AA1070" s="96"/>
      <c r="AB1070" s="89"/>
      <c r="AC1070" s="111"/>
      <c r="AD1070" s="89"/>
      <c r="AE1070" s="89"/>
      <c r="AF1070" s="98"/>
      <c r="AG1070" s="98"/>
      <c r="AH1070" s="98"/>
      <c r="AI1070" s="99"/>
      <c r="AJ1070" s="99"/>
      <c r="AK1070" s="99"/>
      <c r="AL1070" s="45" t="s">
        <v>68</v>
      </c>
      <c r="AM1070" s="162" t="str">
        <f t="shared" si="128"/>
        <v>3/2026</v>
      </c>
      <c r="AN1070" s="45">
        <f t="shared" si="129"/>
        <v>4</v>
      </c>
      <c r="AO1070" s="45" t="str">
        <f t="shared" si="130"/>
        <v>1/1900</v>
      </c>
      <c r="AP1070" s="45" t="e">
        <f t="shared" si="131"/>
        <v>#NUM!</v>
      </c>
      <c r="AQ1070" s="45">
        <f t="shared" si="132"/>
        <v>0</v>
      </c>
      <c r="AR1070" s="45">
        <f t="shared" si="133"/>
        <v>0</v>
      </c>
      <c r="AS1070" s="45">
        <f t="shared" si="134"/>
        <v>0</v>
      </c>
      <c r="AT1070" s="45">
        <f t="shared" si="135"/>
        <v>0</v>
      </c>
      <c r="AU1070" s="45" t="str">
        <f>_xlfn.XLOOKUP(U1070,'Lista Suspensa'!$AA$20:$AA$23,'Lista Suspensa'!$AB$20:$AB$23,"N/A")</f>
        <v>S</v>
      </c>
    </row>
    <row r="1071" spans="1:47" ht="12" hidden="1" customHeight="1" x14ac:dyDescent="0.3">
      <c r="A1071" s="87" t="s">
        <v>47</v>
      </c>
      <c r="B1071" s="88">
        <v>46104</v>
      </c>
      <c r="C1071" s="89" t="s">
        <v>48</v>
      </c>
      <c r="D1071" s="89" t="s">
        <v>49</v>
      </c>
      <c r="E1071" s="90">
        <v>451580702</v>
      </c>
      <c r="F1071" s="184" t="s">
        <v>3125</v>
      </c>
      <c r="G1071" s="91">
        <v>91098696891</v>
      </c>
      <c r="H1071" s="92">
        <v>18220</v>
      </c>
      <c r="I1071" s="89">
        <v>76</v>
      </c>
      <c r="J1071" s="89" t="s">
        <v>51</v>
      </c>
      <c r="K1071" s="89" t="s">
        <v>52</v>
      </c>
      <c r="L1071" s="89" t="s">
        <v>53</v>
      </c>
      <c r="M1071" s="89" t="s">
        <v>3121</v>
      </c>
      <c r="N1071" s="89" t="s">
        <v>72</v>
      </c>
      <c r="O1071" s="93" t="s">
        <v>3126</v>
      </c>
      <c r="P1071" s="94" t="s">
        <v>57</v>
      </c>
      <c r="Q1071" s="112" t="s">
        <v>2211</v>
      </c>
      <c r="R1071" s="95"/>
      <c r="S1071" s="96">
        <v>46164</v>
      </c>
      <c r="T1071" s="96" t="s">
        <v>2212</v>
      </c>
      <c r="U1071" s="96" t="s">
        <v>79</v>
      </c>
      <c r="V1071" s="92">
        <v>46142</v>
      </c>
      <c r="W1071" s="92">
        <v>46154</v>
      </c>
      <c r="X1071" s="92">
        <v>46160</v>
      </c>
      <c r="Y1071" s="97"/>
      <c r="Z1071" s="89"/>
      <c r="AA1071" s="96"/>
      <c r="AB1071" s="89"/>
      <c r="AC1071" s="111"/>
      <c r="AD1071" s="89"/>
      <c r="AE1071" s="89"/>
      <c r="AF1071" s="98"/>
      <c r="AG1071" s="98"/>
      <c r="AH1071" s="98"/>
      <c r="AI1071" s="99"/>
      <c r="AJ1071" s="99"/>
      <c r="AK1071" s="99"/>
      <c r="AL1071" s="45" t="s">
        <v>68</v>
      </c>
      <c r="AM1071" s="162" t="str">
        <f t="shared" si="128"/>
        <v>3/2026</v>
      </c>
      <c r="AN1071" s="45">
        <f t="shared" si="129"/>
        <v>4</v>
      </c>
      <c r="AO1071" s="45" t="str">
        <f t="shared" si="130"/>
        <v>1/1900</v>
      </c>
      <c r="AP1071" s="45" t="e">
        <f t="shared" si="131"/>
        <v>#NUM!</v>
      </c>
      <c r="AQ1071" s="45">
        <f t="shared" si="132"/>
        <v>0</v>
      </c>
      <c r="AR1071" s="45">
        <f t="shared" si="133"/>
        <v>0</v>
      </c>
      <c r="AS1071" s="45">
        <f t="shared" si="134"/>
        <v>0</v>
      </c>
      <c r="AT1071" s="45">
        <f t="shared" si="135"/>
        <v>0</v>
      </c>
      <c r="AU1071" s="45" t="str">
        <f>_xlfn.XLOOKUP(U1071,'Lista Suspensa'!$AA$20:$AA$23,'Lista Suspensa'!$AB$20:$AB$23,"N/A")</f>
        <v>S</v>
      </c>
    </row>
    <row r="1072" spans="1:47" ht="12" hidden="1" customHeight="1" x14ac:dyDescent="0.3">
      <c r="A1072" s="87" t="s">
        <v>47</v>
      </c>
      <c r="B1072" s="88">
        <v>46104</v>
      </c>
      <c r="C1072" s="89" t="s">
        <v>48</v>
      </c>
      <c r="D1072" s="89" t="s">
        <v>49</v>
      </c>
      <c r="E1072" s="90">
        <v>451834500</v>
      </c>
      <c r="F1072" s="184" t="s">
        <v>3127</v>
      </c>
      <c r="G1072" s="91">
        <v>44835205804</v>
      </c>
      <c r="H1072" s="92">
        <v>18515</v>
      </c>
      <c r="I1072" s="89">
        <v>75</v>
      </c>
      <c r="J1072" s="89" t="s">
        <v>51</v>
      </c>
      <c r="K1072" s="89" t="s">
        <v>52</v>
      </c>
      <c r="L1072" s="89" t="s">
        <v>53</v>
      </c>
      <c r="M1072" s="89" t="s">
        <v>3128</v>
      </c>
      <c r="N1072" s="89" t="s">
        <v>72</v>
      </c>
      <c r="O1072" s="93" t="s">
        <v>3129</v>
      </c>
      <c r="P1072" s="94" t="s">
        <v>57</v>
      </c>
      <c r="Q1072" s="112" t="s">
        <v>2211</v>
      </c>
      <c r="R1072" s="95"/>
      <c r="S1072" s="96">
        <v>46164</v>
      </c>
      <c r="T1072" s="96" t="s">
        <v>2212</v>
      </c>
      <c r="U1072" s="96" t="s">
        <v>79</v>
      </c>
      <c r="V1072" s="92">
        <v>46142</v>
      </c>
      <c r="W1072" s="92">
        <v>46154</v>
      </c>
      <c r="X1072" s="92">
        <v>46160</v>
      </c>
      <c r="Y1072" s="97"/>
      <c r="Z1072" s="89"/>
      <c r="AA1072" s="96"/>
      <c r="AB1072" s="89"/>
      <c r="AC1072" s="111"/>
      <c r="AD1072" s="89"/>
      <c r="AE1072" s="89"/>
      <c r="AF1072" s="98"/>
      <c r="AG1072" s="98"/>
      <c r="AH1072" s="98"/>
      <c r="AI1072" s="99"/>
      <c r="AJ1072" s="99"/>
      <c r="AK1072" s="99"/>
      <c r="AL1072" s="45" t="s">
        <v>68</v>
      </c>
      <c r="AM1072" s="162" t="str">
        <f t="shared" si="128"/>
        <v>3/2026</v>
      </c>
      <c r="AN1072" s="45">
        <f t="shared" si="129"/>
        <v>4</v>
      </c>
      <c r="AO1072" s="45" t="str">
        <f t="shared" si="130"/>
        <v>1/1900</v>
      </c>
      <c r="AP1072" s="45" t="e">
        <f t="shared" si="131"/>
        <v>#NUM!</v>
      </c>
      <c r="AQ1072" s="45">
        <f t="shared" si="132"/>
        <v>0</v>
      </c>
      <c r="AR1072" s="45">
        <f t="shared" si="133"/>
        <v>0</v>
      </c>
      <c r="AS1072" s="45">
        <f t="shared" si="134"/>
        <v>0</v>
      </c>
      <c r="AT1072" s="45">
        <f t="shared" si="135"/>
        <v>0</v>
      </c>
      <c r="AU1072" s="45" t="str">
        <f>_xlfn.XLOOKUP(U1072,'Lista Suspensa'!$AA$20:$AA$23,'Lista Suspensa'!$AB$20:$AB$23,"N/A")</f>
        <v>S</v>
      </c>
    </row>
    <row r="1073" spans="1:47" ht="12" hidden="1" customHeight="1" x14ac:dyDescent="0.3">
      <c r="A1073" s="87" t="s">
        <v>47</v>
      </c>
      <c r="B1073" s="88">
        <v>46104</v>
      </c>
      <c r="C1073" s="89" t="s">
        <v>48</v>
      </c>
      <c r="D1073" s="89" t="s">
        <v>49</v>
      </c>
      <c r="E1073" s="90">
        <v>451620348</v>
      </c>
      <c r="F1073" s="184" t="s">
        <v>3130</v>
      </c>
      <c r="G1073" s="91">
        <v>65969715891</v>
      </c>
      <c r="H1073" s="92">
        <v>12749</v>
      </c>
      <c r="I1073" s="89">
        <v>91</v>
      </c>
      <c r="J1073" s="89" t="s">
        <v>70</v>
      </c>
      <c r="K1073" s="89" t="s">
        <v>52</v>
      </c>
      <c r="L1073" s="89" t="s">
        <v>53</v>
      </c>
      <c r="M1073" s="89" t="s">
        <v>3131</v>
      </c>
      <c r="N1073" s="89" t="s">
        <v>72</v>
      </c>
      <c r="O1073" s="93" t="s">
        <v>3132</v>
      </c>
      <c r="P1073" s="94" t="s">
        <v>57</v>
      </c>
      <c r="Q1073" s="112" t="s">
        <v>2211</v>
      </c>
      <c r="R1073" s="95"/>
      <c r="S1073" s="96">
        <v>46164</v>
      </c>
      <c r="T1073" s="96" t="s">
        <v>2212</v>
      </c>
      <c r="U1073" s="96" t="s">
        <v>79</v>
      </c>
      <c r="V1073" s="92">
        <v>46142</v>
      </c>
      <c r="W1073" s="92">
        <v>46154</v>
      </c>
      <c r="X1073" s="92">
        <v>46160</v>
      </c>
      <c r="Y1073" s="97"/>
      <c r="Z1073" s="89"/>
      <c r="AA1073" s="96"/>
      <c r="AB1073" s="89"/>
      <c r="AC1073" s="111"/>
      <c r="AD1073" s="89"/>
      <c r="AE1073" s="89"/>
      <c r="AF1073" s="98"/>
      <c r="AG1073" s="98"/>
      <c r="AH1073" s="98"/>
      <c r="AI1073" s="99"/>
      <c r="AJ1073" s="99"/>
      <c r="AK1073" s="99"/>
      <c r="AL1073" s="45" t="s">
        <v>68</v>
      </c>
      <c r="AM1073" s="162" t="str">
        <f t="shared" si="128"/>
        <v>3/2026</v>
      </c>
      <c r="AN1073" s="45">
        <f t="shared" si="129"/>
        <v>4</v>
      </c>
      <c r="AO1073" s="45" t="str">
        <f t="shared" si="130"/>
        <v>1/1900</v>
      </c>
      <c r="AP1073" s="45" t="e">
        <f t="shared" si="131"/>
        <v>#NUM!</v>
      </c>
      <c r="AQ1073" s="45">
        <f t="shared" si="132"/>
        <v>0</v>
      </c>
      <c r="AR1073" s="45">
        <f t="shared" si="133"/>
        <v>0</v>
      </c>
      <c r="AS1073" s="45">
        <f t="shared" si="134"/>
        <v>0</v>
      </c>
      <c r="AT1073" s="45">
        <f t="shared" si="135"/>
        <v>0</v>
      </c>
      <c r="AU1073" s="45" t="str">
        <f>_xlfn.XLOOKUP(U1073,'Lista Suspensa'!$AA$20:$AA$23,'Lista Suspensa'!$AB$20:$AB$23,"N/A")</f>
        <v>S</v>
      </c>
    </row>
    <row r="1074" spans="1:47" ht="12" hidden="1" customHeight="1" x14ac:dyDescent="0.3">
      <c r="A1074" s="87" t="s">
        <v>47</v>
      </c>
      <c r="B1074" s="88">
        <v>46104</v>
      </c>
      <c r="C1074" s="89" t="s">
        <v>48</v>
      </c>
      <c r="D1074" s="89" t="s">
        <v>49</v>
      </c>
      <c r="E1074" s="90">
        <v>451838270</v>
      </c>
      <c r="F1074" s="184" t="s">
        <v>3133</v>
      </c>
      <c r="G1074" s="91">
        <v>45241821872</v>
      </c>
      <c r="H1074" s="92">
        <v>14258</v>
      </c>
      <c r="I1074" s="89">
        <v>87</v>
      </c>
      <c r="J1074" s="89" t="s">
        <v>51</v>
      </c>
      <c r="K1074" s="89" t="s">
        <v>52</v>
      </c>
      <c r="L1074" s="89" t="s">
        <v>53</v>
      </c>
      <c r="M1074" s="89" t="s">
        <v>1286</v>
      </c>
      <c r="N1074" s="89" t="s">
        <v>72</v>
      </c>
      <c r="O1074" s="93" t="s">
        <v>3134</v>
      </c>
      <c r="P1074" s="94" t="s">
        <v>57</v>
      </c>
      <c r="Q1074" s="112" t="s">
        <v>2211</v>
      </c>
      <c r="R1074" s="95"/>
      <c r="S1074" s="96">
        <v>46164</v>
      </c>
      <c r="T1074" s="96" t="s">
        <v>2212</v>
      </c>
      <c r="U1074" s="96" t="s">
        <v>79</v>
      </c>
      <c r="V1074" s="92">
        <v>46147</v>
      </c>
      <c r="W1074" s="92">
        <v>46154</v>
      </c>
      <c r="X1074" s="92">
        <v>46160</v>
      </c>
      <c r="Y1074" s="97"/>
      <c r="Z1074" s="89"/>
      <c r="AA1074" s="96"/>
      <c r="AB1074" s="89"/>
      <c r="AC1074" s="111"/>
      <c r="AD1074" s="89"/>
      <c r="AE1074" s="89"/>
      <c r="AF1074" s="98"/>
      <c r="AG1074" s="98"/>
      <c r="AH1074" s="98"/>
      <c r="AI1074" s="99"/>
      <c r="AJ1074" s="99"/>
      <c r="AK1074" s="99"/>
      <c r="AL1074" s="45" t="s">
        <v>68</v>
      </c>
      <c r="AM1074" s="162" t="str">
        <f t="shared" si="128"/>
        <v>3/2026</v>
      </c>
      <c r="AN1074" s="45">
        <f t="shared" si="129"/>
        <v>4</v>
      </c>
      <c r="AO1074" s="45" t="str">
        <f t="shared" si="130"/>
        <v>1/1900</v>
      </c>
      <c r="AP1074" s="45" t="e">
        <f t="shared" si="131"/>
        <v>#NUM!</v>
      </c>
      <c r="AQ1074" s="45">
        <f t="shared" si="132"/>
        <v>0</v>
      </c>
      <c r="AR1074" s="45">
        <f t="shared" si="133"/>
        <v>0</v>
      </c>
      <c r="AS1074" s="45">
        <f t="shared" si="134"/>
        <v>0</v>
      </c>
      <c r="AT1074" s="45">
        <f t="shared" si="135"/>
        <v>0</v>
      </c>
      <c r="AU1074" s="45" t="str">
        <f>_xlfn.XLOOKUP(U1074,'Lista Suspensa'!$AA$20:$AA$23,'Lista Suspensa'!$AB$20:$AB$23,"N/A")</f>
        <v>S</v>
      </c>
    </row>
    <row r="1075" spans="1:47" ht="12" hidden="1" customHeight="1" x14ac:dyDescent="0.3">
      <c r="A1075" s="87" t="s">
        <v>47</v>
      </c>
      <c r="B1075" s="88">
        <v>46104</v>
      </c>
      <c r="C1075" s="89" t="s">
        <v>48</v>
      </c>
      <c r="D1075" s="89" t="s">
        <v>49</v>
      </c>
      <c r="E1075" s="90">
        <v>448238551</v>
      </c>
      <c r="F1075" s="184" t="s">
        <v>3135</v>
      </c>
      <c r="G1075" s="91">
        <v>15285287863</v>
      </c>
      <c r="H1075" s="92">
        <v>21754</v>
      </c>
      <c r="I1075" s="89">
        <v>66</v>
      </c>
      <c r="J1075" s="89" t="s">
        <v>70</v>
      </c>
      <c r="K1075" s="89" t="s">
        <v>52</v>
      </c>
      <c r="L1075" s="89" t="s">
        <v>53</v>
      </c>
      <c r="M1075" s="89" t="s">
        <v>3136</v>
      </c>
      <c r="N1075" s="89" t="s">
        <v>72</v>
      </c>
      <c r="O1075" s="93" t="s">
        <v>3137</v>
      </c>
      <c r="P1075" s="94" t="s">
        <v>57</v>
      </c>
      <c r="Q1075" s="112" t="s">
        <v>2211</v>
      </c>
      <c r="R1075" s="95"/>
      <c r="S1075" s="96">
        <v>46164</v>
      </c>
      <c r="T1075" s="96" t="s">
        <v>2212</v>
      </c>
      <c r="U1075" s="96" t="s">
        <v>79</v>
      </c>
      <c r="V1075" s="92">
        <v>46147</v>
      </c>
      <c r="W1075" s="92">
        <v>46154</v>
      </c>
      <c r="X1075" s="92">
        <v>46160</v>
      </c>
      <c r="Y1075" s="97"/>
      <c r="Z1075" s="89"/>
      <c r="AA1075" s="96"/>
      <c r="AB1075" s="89"/>
      <c r="AC1075" s="111"/>
      <c r="AD1075" s="89"/>
      <c r="AE1075" s="89"/>
      <c r="AF1075" s="98"/>
      <c r="AG1075" s="98"/>
      <c r="AH1075" s="98"/>
      <c r="AI1075" s="99"/>
      <c r="AJ1075" s="99"/>
      <c r="AK1075" s="99"/>
      <c r="AL1075" s="45" t="s">
        <v>68</v>
      </c>
      <c r="AM1075" s="162" t="str">
        <f t="shared" si="128"/>
        <v>3/2026</v>
      </c>
      <c r="AN1075" s="45">
        <f t="shared" si="129"/>
        <v>4</v>
      </c>
      <c r="AO1075" s="45" t="str">
        <f t="shared" si="130"/>
        <v>1/1900</v>
      </c>
      <c r="AP1075" s="45" t="e">
        <f t="shared" si="131"/>
        <v>#NUM!</v>
      </c>
      <c r="AQ1075" s="45">
        <f t="shared" si="132"/>
        <v>0</v>
      </c>
      <c r="AR1075" s="45">
        <f t="shared" si="133"/>
        <v>0</v>
      </c>
      <c r="AS1075" s="45">
        <f t="shared" si="134"/>
        <v>0</v>
      </c>
      <c r="AT1075" s="45">
        <f t="shared" si="135"/>
        <v>0</v>
      </c>
      <c r="AU1075" s="45" t="str">
        <f>_xlfn.XLOOKUP(U1075,'Lista Suspensa'!$AA$20:$AA$23,'Lista Suspensa'!$AB$20:$AB$23,"N/A")</f>
        <v>S</v>
      </c>
    </row>
    <row r="1076" spans="1:47" ht="12" hidden="1" customHeight="1" x14ac:dyDescent="0.3">
      <c r="A1076" s="87" t="s">
        <v>47</v>
      </c>
      <c r="B1076" s="88">
        <v>46104</v>
      </c>
      <c r="C1076" s="89" t="s">
        <v>48</v>
      </c>
      <c r="D1076" s="89" t="s">
        <v>49</v>
      </c>
      <c r="E1076" s="90">
        <v>451833163</v>
      </c>
      <c r="F1076" s="184" t="s">
        <v>3138</v>
      </c>
      <c r="G1076" s="91">
        <v>8590446883</v>
      </c>
      <c r="H1076" s="92">
        <v>17580</v>
      </c>
      <c r="I1076" s="89">
        <v>78</v>
      </c>
      <c r="J1076" s="89" t="s">
        <v>70</v>
      </c>
      <c r="K1076" s="89" t="s">
        <v>52</v>
      </c>
      <c r="L1076" s="89" t="s">
        <v>53</v>
      </c>
      <c r="M1076" s="89" t="s">
        <v>3139</v>
      </c>
      <c r="N1076" s="89" t="s">
        <v>72</v>
      </c>
      <c r="O1076" s="93" t="s">
        <v>3140</v>
      </c>
      <c r="P1076" s="94" t="s">
        <v>57</v>
      </c>
      <c r="Q1076" s="112" t="s">
        <v>2211</v>
      </c>
      <c r="R1076" s="95"/>
      <c r="S1076" s="96">
        <v>46164</v>
      </c>
      <c r="T1076" s="96" t="s">
        <v>2212</v>
      </c>
      <c r="U1076" s="96" t="s">
        <v>79</v>
      </c>
      <c r="V1076" s="92">
        <v>46147</v>
      </c>
      <c r="W1076" s="92">
        <v>46154</v>
      </c>
      <c r="X1076" s="92">
        <v>46160</v>
      </c>
      <c r="Y1076" s="97"/>
      <c r="Z1076" s="89"/>
      <c r="AA1076" s="96"/>
      <c r="AB1076" s="89"/>
      <c r="AC1076" s="111"/>
      <c r="AD1076" s="89"/>
      <c r="AE1076" s="89"/>
      <c r="AF1076" s="98"/>
      <c r="AG1076" s="98"/>
      <c r="AH1076" s="98"/>
      <c r="AI1076" s="99"/>
      <c r="AJ1076" s="99"/>
      <c r="AK1076" s="99"/>
      <c r="AL1076" s="45" t="s">
        <v>68</v>
      </c>
      <c r="AM1076" s="162" t="str">
        <f t="shared" si="128"/>
        <v>3/2026</v>
      </c>
      <c r="AN1076" s="45">
        <f t="shared" si="129"/>
        <v>4</v>
      </c>
      <c r="AO1076" s="45" t="str">
        <f t="shared" si="130"/>
        <v>1/1900</v>
      </c>
      <c r="AP1076" s="45" t="e">
        <f t="shared" si="131"/>
        <v>#NUM!</v>
      </c>
      <c r="AQ1076" s="45">
        <f t="shared" si="132"/>
        <v>0</v>
      </c>
      <c r="AR1076" s="45">
        <f t="shared" si="133"/>
        <v>0</v>
      </c>
      <c r="AS1076" s="45">
        <f t="shared" si="134"/>
        <v>0</v>
      </c>
      <c r="AT1076" s="45">
        <f t="shared" si="135"/>
        <v>0</v>
      </c>
      <c r="AU1076" s="45" t="str">
        <f>_xlfn.XLOOKUP(U1076,'Lista Suspensa'!$AA$20:$AA$23,'Lista Suspensa'!$AB$20:$AB$23,"N/A")</f>
        <v>S</v>
      </c>
    </row>
    <row r="1077" spans="1:47" ht="12" hidden="1" customHeight="1" x14ac:dyDescent="0.3">
      <c r="A1077" s="87" t="s">
        <v>47</v>
      </c>
      <c r="B1077" s="88">
        <v>46104</v>
      </c>
      <c r="C1077" s="89" t="s">
        <v>48</v>
      </c>
      <c r="D1077" s="89" t="s">
        <v>49</v>
      </c>
      <c r="E1077" s="90">
        <v>451598938</v>
      </c>
      <c r="F1077" s="184" t="s">
        <v>3141</v>
      </c>
      <c r="G1077" s="91">
        <v>11764523806</v>
      </c>
      <c r="H1077" s="92">
        <v>12633</v>
      </c>
      <c r="I1077" s="89">
        <v>91</v>
      </c>
      <c r="J1077" s="89" t="s">
        <v>70</v>
      </c>
      <c r="K1077" s="89" t="s">
        <v>52</v>
      </c>
      <c r="L1077" s="89" t="s">
        <v>53</v>
      </c>
      <c r="M1077" s="89" t="s">
        <v>451</v>
      </c>
      <c r="N1077" s="89" t="s">
        <v>72</v>
      </c>
      <c r="O1077" s="93" t="s">
        <v>3142</v>
      </c>
      <c r="P1077" s="94" t="s">
        <v>57</v>
      </c>
      <c r="Q1077" s="112" t="s">
        <v>2211</v>
      </c>
      <c r="R1077" s="95"/>
      <c r="S1077" s="96">
        <v>46164</v>
      </c>
      <c r="T1077" s="96" t="s">
        <v>2212</v>
      </c>
      <c r="U1077" s="96" t="s">
        <v>79</v>
      </c>
      <c r="V1077" s="92">
        <v>46147</v>
      </c>
      <c r="W1077" s="92">
        <v>46154</v>
      </c>
      <c r="X1077" s="92">
        <v>46160</v>
      </c>
      <c r="Y1077" s="97"/>
      <c r="Z1077" s="89"/>
      <c r="AA1077" s="96"/>
      <c r="AB1077" s="89"/>
      <c r="AC1077" s="111"/>
      <c r="AD1077" s="89"/>
      <c r="AE1077" s="89"/>
      <c r="AF1077" s="98"/>
      <c r="AG1077" s="98"/>
      <c r="AH1077" s="98"/>
      <c r="AI1077" s="99"/>
      <c r="AJ1077" s="99"/>
      <c r="AK1077" s="99"/>
      <c r="AL1077" s="45" t="s">
        <v>68</v>
      </c>
      <c r="AM1077" s="162" t="str">
        <f t="shared" si="128"/>
        <v>3/2026</v>
      </c>
      <c r="AN1077" s="45">
        <f t="shared" si="129"/>
        <v>4</v>
      </c>
      <c r="AO1077" s="45" t="str">
        <f t="shared" si="130"/>
        <v>1/1900</v>
      </c>
      <c r="AP1077" s="45" t="e">
        <f t="shared" si="131"/>
        <v>#NUM!</v>
      </c>
      <c r="AQ1077" s="45">
        <f t="shared" si="132"/>
        <v>0</v>
      </c>
      <c r="AR1077" s="45">
        <f t="shared" si="133"/>
        <v>0</v>
      </c>
      <c r="AS1077" s="45">
        <f t="shared" si="134"/>
        <v>0</v>
      </c>
      <c r="AT1077" s="45">
        <f t="shared" si="135"/>
        <v>0</v>
      </c>
      <c r="AU1077" s="45" t="str">
        <f>_xlfn.XLOOKUP(U1077,'Lista Suspensa'!$AA$20:$AA$23,'Lista Suspensa'!$AB$20:$AB$23,"N/A")</f>
        <v>S</v>
      </c>
    </row>
    <row r="1078" spans="1:47" ht="12" hidden="1" customHeight="1" x14ac:dyDescent="0.3">
      <c r="A1078" s="87" t="s">
        <v>47</v>
      </c>
      <c r="B1078" s="88">
        <v>46104</v>
      </c>
      <c r="C1078" s="89" t="s">
        <v>48</v>
      </c>
      <c r="D1078" s="89" t="s">
        <v>49</v>
      </c>
      <c r="E1078" s="90">
        <v>451880838</v>
      </c>
      <c r="F1078" s="184" t="s">
        <v>3143</v>
      </c>
      <c r="G1078" s="91">
        <v>37279688853</v>
      </c>
      <c r="H1078" s="92">
        <v>15991</v>
      </c>
      <c r="I1078" s="89">
        <v>82</v>
      </c>
      <c r="J1078" s="89" t="s">
        <v>70</v>
      </c>
      <c r="K1078" s="89" t="s">
        <v>52</v>
      </c>
      <c r="L1078" s="89" t="s">
        <v>53</v>
      </c>
      <c r="M1078" s="89" t="s">
        <v>3144</v>
      </c>
      <c r="N1078" s="89" t="s">
        <v>72</v>
      </c>
      <c r="O1078" s="93" t="s">
        <v>3145</v>
      </c>
      <c r="P1078" s="94" t="s">
        <v>57</v>
      </c>
      <c r="Q1078" s="112" t="s">
        <v>2211</v>
      </c>
      <c r="R1078" s="95"/>
      <c r="S1078" s="96">
        <v>46164</v>
      </c>
      <c r="T1078" s="96" t="s">
        <v>2212</v>
      </c>
      <c r="U1078" s="96" t="s">
        <v>79</v>
      </c>
      <c r="V1078" s="92">
        <v>46147</v>
      </c>
      <c r="W1078" s="92">
        <v>46154</v>
      </c>
      <c r="X1078" s="92">
        <v>46160</v>
      </c>
      <c r="Y1078" s="97"/>
      <c r="Z1078" s="89"/>
      <c r="AA1078" s="96"/>
      <c r="AB1078" s="89"/>
      <c r="AC1078" s="111"/>
      <c r="AD1078" s="89"/>
      <c r="AE1078" s="89"/>
      <c r="AF1078" s="98"/>
      <c r="AG1078" s="98"/>
      <c r="AH1078" s="98"/>
      <c r="AI1078" s="99"/>
      <c r="AJ1078" s="99"/>
      <c r="AK1078" s="99"/>
      <c r="AL1078" s="45" t="s">
        <v>68</v>
      </c>
      <c r="AM1078" s="162" t="str">
        <f t="shared" si="128"/>
        <v>3/2026</v>
      </c>
      <c r="AN1078" s="45">
        <f t="shared" si="129"/>
        <v>4</v>
      </c>
      <c r="AO1078" s="45" t="str">
        <f t="shared" si="130"/>
        <v>1/1900</v>
      </c>
      <c r="AP1078" s="45" t="e">
        <f t="shared" si="131"/>
        <v>#NUM!</v>
      </c>
      <c r="AQ1078" s="45">
        <f t="shared" si="132"/>
        <v>0</v>
      </c>
      <c r="AR1078" s="45">
        <f t="shared" si="133"/>
        <v>0</v>
      </c>
      <c r="AS1078" s="45">
        <f t="shared" si="134"/>
        <v>0</v>
      </c>
      <c r="AT1078" s="45">
        <f t="shared" si="135"/>
        <v>0</v>
      </c>
      <c r="AU1078" s="45" t="str">
        <f>_xlfn.XLOOKUP(U1078,'Lista Suspensa'!$AA$20:$AA$23,'Lista Suspensa'!$AB$20:$AB$23,"N/A")</f>
        <v>S</v>
      </c>
    </row>
    <row r="1079" spans="1:47" ht="12" hidden="1" customHeight="1" x14ac:dyDescent="0.3">
      <c r="A1079" s="87" t="s">
        <v>47</v>
      </c>
      <c r="B1079" s="88">
        <v>46104</v>
      </c>
      <c r="C1079" s="89" t="s">
        <v>48</v>
      </c>
      <c r="D1079" s="89" t="s">
        <v>49</v>
      </c>
      <c r="E1079" s="90">
        <v>83045391</v>
      </c>
      <c r="F1079" s="184" t="s">
        <v>3146</v>
      </c>
      <c r="G1079" s="91">
        <v>21248214820</v>
      </c>
      <c r="H1079" s="92">
        <v>17756</v>
      </c>
      <c r="I1079" s="89">
        <v>77</v>
      </c>
      <c r="J1079" s="89" t="s">
        <v>51</v>
      </c>
      <c r="K1079" s="89" t="s">
        <v>52</v>
      </c>
      <c r="L1079" s="89" t="s">
        <v>53</v>
      </c>
      <c r="M1079" s="89" t="s">
        <v>3147</v>
      </c>
      <c r="N1079" s="89" t="s">
        <v>121</v>
      </c>
      <c r="O1079" s="93" t="s">
        <v>3148</v>
      </c>
      <c r="P1079" s="94" t="s">
        <v>57</v>
      </c>
      <c r="Q1079" s="112" t="s">
        <v>2211</v>
      </c>
      <c r="R1079" s="95"/>
      <c r="S1079" s="96">
        <v>46164</v>
      </c>
      <c r="T1079" s="96" t="s">
        <v>2212</v>
      </c>
      <c r="U1079" s="96" t="s">
        <v>79</v>
      </c>
      <c r="V1079" s="92">
        <v>46122</v>
      </c>
      <c r="W1079" s="92">
        <v>46154</v>
      </c>
      <c r="X1079" s="92">
        <v>46160</v>
      </c>
      <c r="Y1079" s="97"/>
      <c r="Z1079" s="89"/>
      <c r="AA1079" s="96"/>
      <c r="AB1079" s="89"/>
      <c r="AC1079" s="111"/>
      <c r="AD1079" s="89"/>
      <c r="AE1079" s="89"/>
      <c r="AF1079" s="98"/>
      <c r="AG1079" s="98"/>
      <c r="AH1079" s="98"/>
      <c r="AI1079" s="99"/>
      <c r="AJ1079" s="99"/>
      <c r="AK1079" s="99"/>
      <c r="AL1079" s="45" t="s">
        <v>68</v>
      </c>
      <c r="AM1079" s="162" t="str">
        <f t="shared" si="128"/>
        <v>3/2026</v>
      </c>
      <c r="AN1079" s="45">
        <f t="shared" si="129"/>
        <v>4</v>
      </c>
      <c r="AO1079" s="45" t="str">
        <f t="shared" si="130"/>
        <v>1/1900</v>
      </c>
      <c r="AP1079" s="45" t="e">
        <f t="shared" si="131"/>
        <v>#NUM!</v>
      </c>
      <c r="AQ1079" s="45">
        <f t="shared" si="132"/>
        <v>0</v>
      </c>
      <c r="AR1079" s="45">
        <f t="shared" si="133"/>
        <v>0</v>
      </c>
      <c r="AS1079" s="45">
        <f t="shared" si="134"/>
        <v>0</v>
      </c>
      <c r="AT1079" s="45">
        <f t="shared" si="135"/>
        <v>0</v>
      </c>
      <c r="AU1079" s="45" t="str">
        <f>_xlfn.XLOOKUP(U1079,'Lista Suspensa'!$AA$20:$AA$23,'Lista Suspensa'!$AB$20:$AB$23,"N/A")</f>
        <v>S</v>
      </c>
    </row>
    <row r="1080" spans="1:47" ht="12" hidden="1" customHeight="1" x14ac:dyDescent="0.3">
      <c r="A1080" s="87" t="s">
        <v>47</v>
      </c>
      <c r="B1080" s="88">
        <v>46104</v>
      </c>
      <c r="C1080" s="89" t="s">
        <v>48</v>
      </c>
      <c r="D1080" s="89" t="s">
        <v>49</v>
      </c>
      <c r="E1080" s="90">
        <v>93965838</v>
      </c>
      <c r="F1080" s="184" t="s">
        <v>3149</v>
      </c>
      <c r="G1080" s="91">
        <v>1848613733</v>
      </c>
      <c r="H1080" s="92">
        <v>25830</v>
      </c>
      <c r="I1080" s="89">
        <v>55</v>
      </c>
      <c r="J1080" s="89" t="s">
        <v>51</v>
      </c>
      <c r="K1080" s="89" t="s">
        <v>88</v>
      </c>
      <c r="L1080" s="89" t="s">
        <v>89</v>
      </c>
      <c r="M1080" s="89" t="s">
        <v>3150</v>
      </c>
      <c r="N1080" s="89" t="s">
        <v>121</v>
      </c>
      <c r="O1080" s="93" t="s">
        <v>3151</v>
      </c>
      <c r="P1080" s="94" t="s">
        <v>57</v>
      </c>
      <c r="Q1080" s="112" t="s">
        <v>2211</v>
      </c>
      <c r="R1080" s="95"/>
      <c r="S1080" s="96">
        <v>46164</v>
      </c>
      <c r="T1080" s="96" t="s">
        <v>2212</v>
      </c>
      <c r="U1080" s="96" t="s">
        <v>79</v>
      </c>
      <c r="V1080" s="92">
        <v>46128</v>
      </c>
      <c r="W1080" s="92">
        <v>46154</v>
      </c>
      <c r="X1080" s="92">
        <v>46160</v>
      </c>
      <c r="Y1080" s="97"/>
      <c r="Z1080" s="89"/>
      <c r="AA1080" s="96"/>
      <c r="AB1080" s="89"/>
      <c r="AC1080" s="111"/>
      <c r="AD1080" s="89"/>
      <c r="AE1080" s="89"/>
      <c r="AF1080" s="98"/>
      <c r="AG1080" s="98"/>
      <c r="AH1080" s="98"/>
      <c r="AI1080" s="99"/>
      <c r="AJ1080" s="99"/>
      <c r="AK1080" s="99"/>
      <c r="AL1080" s="45" t="s">
        <v>68</v>
      </c>
      <c r="AM1080" s="162" t="str">
        <f t="shared" si="128"/>
        <v>3/2026</v>
      </c>
      <c r="AN1080" s="45">
        <f t="shared" si="129"/>
        <v>4</v>
      </c>
      <c r="AO1080" s="45" t="str">
        <f t="shared" si="130"/>
        <v>1/1900</v>
      </c>
      <c r="AP1080" s="45" t="e">
        <f t="shared" si="131"/>
        <v>#NUM!</v>
      </c>
      <c r="AQ1080" s="45">
        <f t="shared" si="132"/>
        <v>0</v>
      </c>
      <c r="AR1080" s="45">
        <f t="shared" si="133"/>
        <v>0</v>
      </c>
      <c r="AS1080" s="45">
        <f t="shared" si="134"/>
        <v>0</v>
      </c>
      <c r="AT1080" s="45">
        <f t="shared" si="135"/>
        <v>0</v>
      </c>
      <c r="AU1080" s="45" t="str">
        <f>_xlfn.XLOOKUP(U1080,'Lista Suspensa'!$AA$20:$AA$23,'Lista Suspensa'!$AB$20:$AB$23,"N/A")</f>
        <v>S</v>
      </c>
    </row>
    <row r="1081" spans="1:47" ht="12" hidden="1" customHeight="1" x14ac:dyDescent="0.3">
      <c r="A1081" s="87" t="s">
        <v>47</v>
      </c>
      <c r="B1081" s="88">
        <v>46104</v>
      </c>
      <c r="C1081" s="89" t="s">
        <v>48</v>
      </c>
      <c r="D1081" s="89" t="s">
        <v>49</v>
      </c>
      <c r="E1081" s="90">
        <v>89012940</v>
      </c>
      <c r="F1081" s="184" t="s">
        <v>3152</v>
      </c>
      <c r="G1081" s="91">
        <v>61243175672</v>
      </c>
      <c r="H1081" s="92">
        <v>24597</v>
      </c>
      <c r="I1081" s="89">
        <v>58</v>
      </c>
      <c r="J1081" s="89" t="s">
        <v>51</v>
      </c>
      <c r="K1081" s="89" t="s">
        <v>88</v>
      </c>
      <c r="L1081" s="89" t="s">
        <v>89</v>
      </c>
      <c r="M1081" s="89" t="s">
        <v>892</v>
      </c>
      <c r="N1081" s="89" t="s">
        <v>121</v>
      </c>
      <c r="O1081" s="93" t="s">
        <v>3153</v>
      </c>
      <c r="P1081" s="94" t="s">
        <v>57</v>
      </c>
      <c r="Q1081" s="112" t="s">
        <v>2211</v>
      </c>
      <c r="R1081" s="95"/>
      <c r="S1081" s="96">
        <v>46164</v>
      </c>
      <c r="T1081" s="96" t="s">
        <v>2212</v>
      </c>
      <c r="U1081" s="96" t="s">
        <v>79</v>
      </c>
      <c r="V1081" s="92">
        <v>46147</v>
      </c>
      <c r="W1081" s="92">
        <v>46154</v>
      </c>
      <c r="X1081" s="92">
        <v>46160</v>
      </c>
      <c r="Y1081" s="97"/>
      <c r="Z1081" s="89"/>
      <c r="AA1081" s="96"/>
      <c r="AB1081" s="89"/>
      <c r="AC1081" s="111"/>
      <c r="AD1081" s="89"/>
      <c r="AE1081" s="89"/>
      <c r="AF1081" s="98"/>
      <c r="AG1081" s="98"/>
      <c r="AH1081" s="98"/>
      <c r="AI1081" s="99"/>
      <c r="AJ1081" s="99"/>
      <c r="AK1081" s="99"/>
      <c r="AL1081" s="45" t="s">
        <v>68</v>
      </c>
      <c r="AM1081" s="162" t="str">
        <f t="shared" si="128"/>
        <v>3/2026</v>
      </c>
      <c r="AN1081" s="45">
        <f t="shared" si="129"/>
        <v>4</v>
      </c>
      <c r="AO1081" s="45" t="str">
        <f t="shared" si="130"/>
        <v>1/1900</v>
      </c>
      <c r="AP1081" s="45" t="e">
        <f t="shared" si="131"/>
        <v>#NUM!</v>
      </c>
      <c r="AQ1081" s="45">
        <f t="shared" si="132"/>
        <v>0</v>
      </c>
      <c r="AR1081" s="45">
        <f t="shared" si="133"/>
        <v>0</v>
      </c>
      <c r="AS1081" s="45">
        <f t="shared" si="134"/>
        <v>0</v>
      </c>
      <c r="AT1081" s="45">
        <f t="shared" si="135"/>
        <v>0</v>
      </c>
      <c r="AU1081" s="45" t="str">
        <f>_xlfn.XLOOKUP(U1081,'Lista Suspensa'!$AA$20:$AA$23,'Lista Suspensa'!$AB$20:$AB$23,"N/A")</f>
        <v>S</v>
      </c>
    </row>
    <row r="1082" spans="1:47" ht="12" hidden="1" customHeight="1" x14ac:dyDescent="0.3">
      <c r="A1082" s="87" t="s">
        <v>47</v>
      </c>
      <c r="B1082" s="88">
        <v>46104</v>
      </c>
      <c r="C1082" s="89" t="s">
        <v>48</v>
      </c>
      <c r="D1082" s="89" t="s">
        <v>49</v>
      </c>
      <c r="E1082" s="90">
        <v>93317984</v>
      </c>
      <c r="F1082" s="184" t="s">
        <v>3154</v>
      </c>
      <c r="G1082" s="91">
        <v>8054911718</v>
      </c>
      <c r="H1082" s="92">
        <v>21990</v>
      </c>
      <c r="I1082" s="89">
        <v>66</v>
      </c>
      <c r="J1082" s="89" t="s">
        <v>70</v>
      </c>
      <c r="K1082" s="89" t="s">
        <v>88</v>
      </c>
      <c r="L1082" s="89" t="s">
        <v>231</v>
      </c>
      <c r="M1082" s="89" t="s">
        <v>3155</v>
      </c>
      <c r="N1082" s="89" t="s">
        <v>121</v>
      </c>
      <c r="O1082" s="93" t="s">
        <v>3156</v>
      </c>
      <c r="P1082" s="94" t="s">
        <v>57</v>
      </c>
      <c r="Q1082" s="112" t="s">
        <v>2211</v>
      </c>
      <c r="R1082" s="95"/>
      <c r="S1082" s="96">
        <v>46164</v>
      </c>
      <c r="T1082" s="96" t="s">
        <v>2212</v>
      </c>
      <c r="U1082" s="96" t="s">
        <v>79</v>
      </c>
      <c r="V1082" s="92">
        <v>46147</v>
      </c>
      <c r="W1082" s="92">
        <v>46154</v>
      </c>
      <c r="X1082" s="92">
        <v>46160</v>
      </c>
      <c r="Y1082" s="97"/>
      <c r="Z1082" s="89"/>
      <c r="AA1082" s="96"/>
      <c r="AB1082" s="89"/>
      <c r="AC1082" s="111"/>
      <c r="AD1082" s="89"/>
      <c r="AE1082" s="89"/>
      <c r="AF1082" s="98"/>
      <c r="AG1082" s="98"/>
      <c r="AH1082" s="98"/>
      <c r="AI1082" s="99"/>
      <c r="AJ1082" s="99"/>
      <c r="AK1082" s="99"/>
      <c r="AL1082" s="45" t="s">
        <v>68</v>
      </c>
      <c r="AM1082" s="162" t="str">
        <f t="shared" si="128"/>
        <v>3/2026</v>
      </c>
      <c r="AN1082" s="45">
        <f t="shared" si="129"/>
        <v>4</v>
      </c>
      <c r="AO1082" s="45" t="str">
        <f t="shared" si="130"/>
        <v>1/1900</v>
      </c>
      <c r="AP1082" s="45" t="e">
        <f t="shared" si="131"/>
        <v>#NUM!</v>
      </c>
      <c r="AQ1082" s="45">
        <f t="shared" si="132"/>
        <v>0</v>
      </c>
      <c r="AR1082" s="45">
        <f t="shared" si="133"/>
        <v>0</v>
      </c>
      <c r="AS1082" s="45">
        <f t="shared" si="134"/>
        <v>0</v>
      </c>
      <c r="AT1082" s="45">
        <f t="shared" si="135"/>
        <v>0</v>
      </c>
      <c r="AU1082" s="45" t="str">
        <f>_xlfn.XLOOKUP(U1082,'Lista Suspensa'!$AA$20:$AA$23,'Lista Suspensa'!$AB$20:$AB$23,"N/A")</f>
        <v>S</v>
      </c>
    </row>
    <row r="1083" spans="1:47" ht="12" hidden="1" customHeight="1" x14ac:dyDescent="0.3">
      <c r="A1083" s="87" t="s">
        <v>47</v>
      </c>
      <c r="B1083" s="88">
        <v>46104</v>
      </c>
      <c r="C1083" s="89" t="s">
        <v>48</v>
      </c>
      <c r="D1083" s="89" t="s">
        <v>49</v>
      </c>
      <c r="E1083" s="90">
        <v>94596745</v>
      </c>
      <c r="F1083" s="184" t="s">
        <v>3157</v>
      </c>
      <c r="G1083" s="91">
        <v>1767625820</v>
      </c>
      <c r="H1083" s="92">
        <v>21764</v>
      </c>
      <c r="I1083" s="89">
        <v>66</v>
      </c>
      <c r="J1083" s="89" t="s">
        <v>51</v>
      </c>
      <c r="K1083" s="89" t="s">
        <v>88</v>
      </c>
      <c r="L1083" s="89" t="s">
        <v>89</v>
      </c>
      <c r="M1083" s="89" t="s">
        <v>1098</v>
      </c>
      <c r="N1083" s="89" t="s">
        <v>121</v>
      </c>
      <c r="O1083" s="93" t="s">
        <v>3158</v>
      </c>
      <c r="P1083" s="94" t="s">
        <v>57</v>
      </c>
      <c r="Q1083" s="112" t="s">
        <v>2211</v>
      </c>
      <c r="R1083" s="95"/>
      <c r="S1083" s="96">
        <v>46164</v>
      </c>
      <c r="T1083" s="96" t="s">
        <v>2212</v>
      </c>
      <c r="U1083" s="96" t="s">
        <v>79</v>
      </c>
      <c r="V1083" s="92">
        <v>46147</v>
      </c>
      <c r="W1083" s="92">
        <v>46154</v>
      </c>
      <c r="X1083" s="92">
        <v>46160</v>
      </c>
      <c r="Y1083" s="97"/>
      <c r="Z1083" s="89"/>
      <c r="AA1083" s="96"/>
      <c r="AB1083" s="89"/>
      <c r="AC1083" s="111"/>
      <c r="AD1083" s="89"/>
      <c r="AE1083" s="89"/>
      <c r="AF1083" s="98"/>
      <c r="AG1083" s="98"/>
      <c r="AH1083" s="98"/>
      <c r="AI1083" s="99"/>
      <c r="AJ1083" s="99"/>
      <c r="AK1083" s="99"/>
      <c r="AL1083" s="45" t="s">
        <v>68</v>
      </c>
      <c r="AM1083" s="162" t="str">
        <f t="shared" si="128"/>
        <v>3/2026</v>
      </c>
      <c r="AN1083" s="45">
        <f t="shared" si="129"/>
        <v>4</v>
      </c>
      <c r="AO1083" s="45" t="str">
        <f t="shared" si="130"/>
        <v>1/1900</v>
      </c>
      <c r="AP1083" s="45" t="e">
        <f t="shared" si="131"/>
        <v>#NUM!</v>
      </c>
      <c r="AQ1083" s="45">
        <f t="shared" si="132"/>
        <v>0</v>
      </c>
      <c r="AR1083" s="45">
        <f t="shared" si="133"/>
        <v>0</v>
      </c>
      <c r="AS1083" s="45">
        <f t="shared" si="134"/>
        <v>0</v>
      </c>
      <c r="AT1083" s="45">
        <f t="shared" si="135"/>
        <v>0</v>
      </c>
      <c r="AU1083" s="45" t="str">
        <f>_xlfn.XLOOKUP(U1083,'Lista Suspensa'!$AA$20:$AA$23,'Lista Suspensa'!$AB$20:$AB$23,"N/A")</f>
        <v>S</v>
      </c>
    </row>
    <row r="1084" spans="1:47" ht="12" hidden="1" customHeight="1" x14ac:dyDescent="0.3">
      <c r="A1084" s="87" t="s">
        <v>47</v>
      </c>
      <c r="B1084" s="88">
        <v>46104</v>
      </c>
      <c r="C1084" s="89" t="s">
        <v>48</v>
      </c>
      <c r="D1084" s="89" t="s">
        <v>49</v>
      </c>
      <c r="E1084" s="90">
        <v>81622579</v>
      </c>
      <c r="F1084" s="184" t="s">
        <v>3159</v>
      </c>
      <c r="G1084" s="91">
        <v>125992718</v>
      </c>
      <c r="H1084" s="92">
        <v>24529</v>
      </c>
      <c r="I1084" s="89">
        <v>59</v>
      </c>
      <c r="J1084" s="89" t="s">
        <v>51</v>
      </c>
      <c r="K1084" s="89" t="s">
        <v>88</v>
      </c>
      <c r="L1084" s="89" t="s">
        <v>89</v>
      </c>
      <c r="M1084" s="89" t="s">
        <v>1098</v>
      </c>
      <c r="N1084" s="89" t="s">
        <v>121</v>
      </c>
      <c r="O1084" s="93" t="s">
        <v>3160</v>
      </c>
      <c r="P1084" s="94" t="s">
        <v>57</v>
      </c>
      <c r="Q1084" s="112" t="s">
        <v>2211</v>
      </c>
      <c r="R1084" s="95"/>
      <c r="S1084" s="96">
        <v>46164</v>
      </c>
      <c r="T1084" s="96" t="s">
        <v>2212</v>
      </c>
      <c r="U1084" s="96" t="s">
        <v>79</v>
      </c>
      <c r="V1084" s="92">
        <v>46147</v>
      </c>
      <c r="W1084" s="92">
        <v>46154</v>
      </c>
      <c r="X1084" s="92">
        <v>46160</v>
      </c>
      <c r="Y1084" s="97"/>
      <c r="Z1084" s="89"/>
      <c r="AA1084" s="96"/>
      <c r="AB1084" s="89"/>
      <c r="AC1084" s="111"/>
      <c r="AD1084" s="89"/>
      <c r="AE1084" s="89"/>
      <c r="AF1084" s="98"/>
      <c r="AG1084" s="98"/>
      <c r="AH1084" s="98"/>
      <c r="AI1084" s="99"/>
      <c r="AJ1084" s="99"/>
      <c r="AK1084" s="99"/>
      <c r="AL1084" s="45" t="s">
        <v>68</v>
      </c>
      <c r="AM1084" s="162" t="str">
        <f t="shared" si="128"/>
        <v>3/2026</v>
      </c>
      <c r="AN1084" s="45">
        <f t="shared" si="129"/>
        <v>4</v>
      </c>
      <c r="AO1084" s="45" t="str">
        <f t="shared" si="130"/>
        <v>1/1900</v>
      </c>
      <c r="AP1084" s="45" t="e">
        <f t="shared" si="131"/>
        <v>#NUM!</v>
      </c>
      <c r="AQ1084" s="45">
        <f t="shared" si="132"/>
        <v>0</v>
      </c>
      <c r="AR1084" s="45">
        <f t="shared" si="133"/>
        <v>0</v>
      </c>
      <c r="AS1084" s="45">
        <f t="shared" si="134"/>
        <v>0</v>
      </c>
      <c r="AT1084" s="45">
        <f t="shared" si="135"/>
        <v>0</v>
      </c>
      <c r="AU1084" s="45" t="str">
        <f>_xlfn.XLOOKUP(U1084,'Lista Suspensa'!$AA$20:$AA$23,'Lista Suspensa'!$AB$20:$AB$23,"N/A")</f>
        <v>S</v>
      </c>
    </row>
    <row r="1085" spans="1:47" ht="12" hidden="1" customHeight="1" x14ac:dyDescent="0.3">
      <c r="A1085" s="87" t="s">
        <v>47</v>
      </c>
      <c r="B1085" s="88">
        <v>46104</v>
      </c>
      <c r="C1085" s="89" t="s">
        <v>48</v>
      </c>
      <c r="D1085" s="89" t="s">
        <v>49</v>
      </c>
      <c r="E1085" s="90">
        <v>72646714</v>
      </c>
      <c r="F1085" s="184" t="s">
        <v>3161</v>
      </c>
      <c r="G1085" s="91">
        <v>82488819700</v>
      </c>
      <c r="H1085" s="92">
        <v>23391</v>
      </c>
      <c r="I1085" s="89">
        <v>62</v>
      </c>
      <c r="J1085" s="89" t="s">
        <v>70</v>
      </c>
      <c r="K1085" s="89" t="s">
        <v>88</v>
      </c>
      <c r="L1085" s="89" t="s">
        <v>89</v>
      </c>
      <c r="M1085" s="89" t="s">
        <v>3162</v>
      </c>
      <c r="N1085" s="89" t="s">
        <v>130</v>
      </c>
      <c r="O1085" s="93" t="s">
        <v>3163</v>
      </c>
      <c r="P1085" s="94" t="s">
        <v>57</v>
      </c>
      <c r="Q1085" s="112" t="s">
        <v>2211</v>
      </c>
      <c r="R1085" s="95"/>
      <c r="S1085" s="96">
        <v>46164</v>
      </c>
      <c r="T1085" s="96" t="s">
        <v>2212</v>
      </c>
      <c r="U1085" s="96" t="s">
        <v>79</v>
      </c>
      <c r="V1085" s="92">
        <v>46147</v>
      </c>
      <c r="W1085" s="92">
        <v>46154</v>
      </c>
      <c r="X1085" s="92">
        <v>46160</v>
      </c>
      <c r="Y1085" s="97"/>
      <c r="Z1085" s="89"/>
      <c r="AA1085" s="96"/>
      <c r="AB1085" s="89"/>
      <c r="AC1085" s="111"/>
      <c r="AD1085" s="89"/>
      <c r="AE1085" s="89"/>
      <c r="AF1085" s="98"/>
      <c r="AG1085" s="98"/>
      <c r="AH1085" s="98"/>
      <c r="AI1085" s="99"/>
      <c r="AJ1085" s="99"/>
      <c r="AK1085" s="99"/>
      <c r="AL1085" s="45" t="s">
        <v>68</v>
      </c>
      <c r="AM1085" s="162" t="str">
        <f t="shared" si="128"/>
        <v>3/2026</v>
      </c>
      <c r="AN1085" s="45">
        <f t="shared" si="129"/>
        <v>4</v>
      </c>
      <c r="AO1085" s="45" t="str">
        <f t="shared" si="130"/>
        <v>1/1900</v>
      </c>
      <c r="AP1085" s="45" t="e">
        <f t="shared" si="131"/>
        <v>#NUM!</v>
      </c>
      <c r="AQ1085" s="45">
        <f t="shared" si="132"/>
        <v>0</v>
      </c>
      <c r="AR1085" s="45">
        <f t="shared" si="133"/>
        <v>0</v>
      </c>
      <c r="AS1085" s="45">
        <f t="shared" si="134"/>
        <v>0</v>
      </c>
      <c r="AT1085" s="45">
        <f t="shared" si="135"/>
        <v>0</v>
      </c>
      <c r="AU1085" s="45" t="str">
        <f>_xlfn.XLOOKUP(U1085,'Lista Suspensa'!$AA$20:$AA$23,'Lista Suspensa'!$AB$20:$AB$23,"N/A")</f>
        <v>S</v>
      </c>
    </row>
    <row r="1086" spans="1:47" ht="12" hidden="1" customHeight="1" x14ac:dyDescent="0.3">
      <c r="A1086" s="87" t="s">
        <v>47</v>
      </c>
      <c r="B1086" s="88">
        <v>46104</v>
      </c>
      <c r="C1086" s="89" t="s">
        <v>48</v>
      </c>
      <c r="D1086" s="89" t="s">
        <v>49</v>
      </c>
      <c r="E1086" s="90">
        <v>596632681</v>
      </c>
      <c r="F1086" s="184" t="s">
        <v>3164</v>
      </c>
      <c r="G1086" s="91">
        <v>18743287816</v>
      </c>
      <c r="H1086" s="92">
        <v>27575</v>
      </c>
      <c r="I1086" s="89">
        <v>50</v>
      </c>
      <c r="J1086" s="89" t="s">
        <v>51</v>
      </c>
      <c r="K1086" s="89" t="s">
        <v>52</v>
      </c>
      <c r="L1086" s="89" t="s">
        <v>350</v>
      </c>
      <c r="M1086" s="89" t="s">
        <v>3165</v>
      </c>
      <c r="N1086" s="89" t="s">
        <v>130</v>
      </c>
      <c r="O1086" s="93" t="s">
        <v>3166</v>
      </c>
      <c r="P1086" s="94" t="s">
        <v>57</v>
      </c>
      <c r="Q1086" s="112" t="s">
        <v>2211</v>
      </c>
      <c r="R1086" s="95"/>
      <c r="S1086" s="96">
        <v>46164</v>
      </c>
      <c r="T1086" s="96" t="s">
        <v>2212</v>
      </c>
      <c r="U1086" s="96" t="s">
        <v>79</v>
      </c>
      <c r="V1086" s="92">
        <v>46147</v>
      </c>
      <c r="W1086" s="92">
        <v>46154</v>
      </c>
      <c r="X1086" s="92">
        <v>46160</v>
      </c>
      <c r="Y1086" s="97"/>
      <c r="Z1086" s="89"/>
      <c r="AA1086" s="96"/>
      <c r="AB1086" s="89"/>
      <c r="AC1086" s="111"/>
      <c r="AD1086" s="89"/>
      <c r="AE1086" s="89"/>
      <c r="AF1086" s="98"/>
      <c r="AG1086" s="98"/>
      <c r="AH1086" s="98"/>
      <c r="AI1086" s="99"/>
      <c r="AJ1086" s="99"/>
      <c r="AK1086" s="99"/>
      <c r="AL1086" s="45" t="s">
        <v>68</v>
      </c>
      <c r="AM1086" s="162" t="str">
        <f t="shared" si="128"/>
        <v>3/2026</v>
      </c>
      <c r="AN1086" s="45">
        <f t="shared" si="129"/>
        <v>4</v>
      </c>
      <c r="AO1086" s="45" t="str">
        <f t="shared" si="130"/>
        <v>1/1900</v>
      </c>
      <c r="AP1086" s="45" t="e">
        <f t="shared" si="131"/>
        <v>#NUM!</v>
      </c>
      <c r="AQ1086" s="45">
        <f t="shared" si="132"/>
        <v>0</v>
      </c>
      <c r="AR1086" s="45">
        <f t="shared" si="133"/>
        <v>0</v>
      </c>
      <c r="AS1086" s="45">
        <f t="shared" si="134"/>
        <v>0</v>
      </c>
      <c r="AT1086" s="45">
        <f t="shared" si="135"/>
        <v>0</v>
      </c>
      <c r="AU1086" s="45" t="str">
        <f>_xlfn.XLOOKUP(U1086,'Lista Suspensa'!$AA$20:$AA$23,'Lista Suspensa'!$AB$20:$AB$23,"N/A")</f>
        <v>S</v>
      </c>
    </row>
    <row r="1087" spans="1:47" ht="12" hidden="1" customHeight="1" x14ac:dyDescent="0.3">
      <c r="A1087" s="87" t="s">
        <v>47</v>
      </c>
      <c r="B1087" s="88">
        <v>46104</v>
      </c>
      <c r="C1087" s="89" t="s">
        <v>48</v>
      </c>
      <c r="D1087" s="89" t="s">
        <v>49</v>
      </c>
      <c r="E1087" s="90">
        <v>76745069</v>
      </c>
      <c r="F1087" s="184" t="s">
        <v>3167</v>
      </c>
      <c r="G1087" s="91">
        <v>19906366672</v>
      </c>
      <c r="H1087" s="92">
        <v>20156</v>
      </c>
      <c r="I1087" s="89">
        <v>71</v>
      </c>
      <c r="J1087" s="89" t="s">
        <v>70</v>
      </c>
      <c r="K1087" s="89" t="s">
        <v>88</v>
      </c>
      <c r="L1087" s="89" t="s">
        <v>89</v>
      </c>
      <c r="M1087" s="89" t="s">
        <v>2609</v>
      </c>
      <c r="N1087" s="89" t="s">
        <v>130</v>
      </c>
      <c r="O1087" s="93" t="s">
        <v>3168</v>
      </c>
      <c r="P1087" s="94" t="s">
        <v>57</v>
      </c>
      <c r="Q1087" s="112" t="s">
        <v>2211</v>
      </c>
      <c r="R1087" s="95"/>
      <c r="S1087" s="96">
        <v>46164</v>
      </c>
      <c r="T1087" s="96" t="s">
        <v>2212</v>
      </c>
      <c r="U1087" s="96" t="s">
        <v>79</v>
      </c>
      <c r="V1087" s="92">
        <v>46147</v>
      </c>
      <c r="W1087" s="92">
        <v>46154</v>
      </c>
      <c r="X1087" s="92">
        <v>46160</v>
      </c>
      <c r="Y1087" s="97"/>
      <c r="Z1087" s="89"/>
      <c r="AA1087" s="96"/>
      <c r="AB1087" s="89"/>
      <c r="AC1087" s="111"/>
      <c r="AD1087" s="89"/>
      <c r="AE1087" s="89"/>
      <c r="AF1087" s="98"/>
      <c r="AG1087" s="98"/>
      <c r="AH1087" s="98"/>
      <c r="AI1087" s="99"/>
      <c r="AJ1087" s="99"/>
      <c r="AK1087" s="99"/>
      <c r="AL1087" s="45" t="s">
        <v>68</v>
      </c>
      <c r="AM1087" s="162" t="str">
        <f t="shared" si="128"/>
        <v>3/2026</v>
      </c>
      <c r="AN1087" s="45">
        <f t="shared" si="129"/>
        <v>4</v>
      </c>
      <c r="AO1087" s="45" t="str">
        <f t="shared" si="130"/>
        <v>1/1900</v>
      </c>
      <c r="AP1087" s="45" t="e">
        <f t="shared" si="131"/>
        <v>#NUM!</v>
      </c>
      <c r="AQ1087" s="45">
        <f t="shared" si="132"/>
        <v>0</v>
      </c>
      <c r="AR1087" s="45">
        <f t="shared" si="133"/>
        <v>0</v>
      </c>
      <c r="AS1087" s="45">
        <f t="shared" si="134"/>
        <v>0</v>
      </c>
      <c r="AT1087" s="45">
        <f t="shared" si="135"/>
        <v>0</v>
      </c>
      <c r="AU1087" s="45" t="str">
        <f>_xlfn.XLOOKUP(U1087,'Lista Suspensa'!$AA$20:$AA$23,'Lista Suspensa'!$AB$20:$AB$23,"N/A")</f>
        <v>S</v>
      </c>
    </row>
    <row r="1088" spans="1:47" ht="12" hidden="1" customHeight="1" x14ac:dyDescent="0.3">
      <c r="A1088" s="87" t="s">
        <v>47</v>
      </c>
      <c r="B1088" s="88">
        <v>46104</v>
      </c>
      <c r="C1088" s="89" t="s">
        <v>48</v>
      </c>
      <c r="D1088" s="89" t="s">
        <v>49</v>
      </c>
      <c r="E1088" s="90">
        <v>74060252</v>
      </c>
      <c r="F1088" s="184" t="s">
        <v>3169</v>
      </c>
      <c r="G1088" s="91">
        <v>80090362772</v>
      </c>
      <c r="H1088" s="92">
        <v>22821</v>
      </c>
      <c r="I1088" s="89">
        <v>63</v>
      </c>
      <c r="J1088" s="89" t="s">
        <v>51</v>
      </c>
      <c r="K1088" s="89" t="s">
        <v>88</v>
      </c>
      <c r="L1088" s="89" t="s">
        <v>408</v>
      </c>
      <c r="M1088" s="89" t="s">
        <v>240</v>
      </c>
      <c r="N1088" s="89" t="s">
        <v>130</v>
      </c>
      <c r="O1088" s="93" t="s">
        <v>3170</v>
      </c>
      <c r="P1088" s="94" t="s">
        <v>57</v>
      </c>
      <c r="Q1088" s="112" t="s">
        <v>2211</v>
      </c>
      <c r="R1088" s="95"/>
      <c r="S1088" s="96">
        <v>46164</v>
      </c>
      <c r="T1088" s="96" t="s">
        <v>2212</v>
      </c>
      <c r="U1088" s="96" t="s">
        <v>79</v>
      </c>
      <c r="V1088" s="92">
        <v>46147</v>
      </c>
      <c r="W1088" s="92">
        <v>46154</v>
      </c>
      <c r="X1088" s="92">
        <v>46160</v>
      </c>
      <c r="Y1088" s="97"/>
      <c r="Z1088" s="89"/>
      <c r="AA1088" s="96"/>
      <c r="AB1088" s="89"/>
      <c r="AC1088" s="111"/>
      <c r="AD1088" s="89"/>
      <c r="AE1088" s="89"/>
      <c r="AF1088" s="98"/>
      <c r="AG1088" s="98"/>
      <c r="AH1088" s="98"/>
      <c r="AI1088" s="99"/>
      <c r="AJ1088" s="99"/>
      <c r="AK1088" s="99"/>
      <c r="AL1088" s="45" t="s">
        <v>68</v>
      </c>
      <c r="AM1088" s="162" t="str">
        <f t="shared" si="128"/>
        <v>3/2026</v>
      </c>
      <c r="AN1088" s="45">
        <f t="shared" si="129"/>
        <v>4</v>
      </c>
      <c r="AO1088" s="45" t="str">
        <f t="shared" si="130"/>
        <v>1/1900</v>
      </c>
      <c r="AP1088" s="45" t="e">
        <f t="shared" si="131"/>
        <v>#NUM!</v>
      </c>
      <c r="AQ1088" s="45">
        <f t="shared" si="132"/>
        <v>0</v>
      </c>
      <c r="AR1088" s="45">
        <f t="shared" si="133"/>
        <v>0</v>
      </c>
      <c r="AS1088" s="45">
        <f t="shared" si="134"/>
        <v>0</v>
      </c>
      <c r="AT1088" s="45">
        <f t="shared" si="135"/>
        <v>0</v>
      </c>
      <c r="AU1088" s="45" t="str">
        <f>_xlfn.XLOOKUP(U1088,'Lista Suspensa'!$AA$20:$AA$23,'Lista Suspensa'!$AB$20:$AB$23,"N/A")</f>
        <v>S</v>
      </c>
    </row>
    <row r="1089" spans="1:47" ht="12" hidden="1" customHeight="1" x14ac:dyDescent="0.3">
      <c r="A1089" s="87" t="s">
        <v>47</v>
      </c>
      <c r="B1089" s="88">
        <v>46104</v>
      </c>
      <c r="C1089" s="89" t="s">
        <v>48</v>
      </c>
      <c r="D1089" s="89" t="s">
        <v>49</v>
      </c>
      <c r="E1089" s="90">
        <v>594019150</v>
      </c>
      <c r="F1089" s="184" t="s">
        <v>3171</v>
      </c>
      <c r="G1089" s="91">
        <v>9518861854</v>
      </c>
      <c r="H1089" s="92">
        <v>22441</v>
      </c>
      <c r="I1089" s="89">
        <v>64</v>
      </c>
      <c r="J1089" s="89" t="s">
        <v>70</v>
      </c>
      <c r="K1089" s="89" t="s">
        <v>52</v>
      </c>
      <c r="L1089" s="89" t="s">
        <v>331</v>
      </c>
      <c r="M1089" s="89" t="s">
        <v>3172</v>
      </c>
      <c r="N1089" s="89" t="s">
        <v>130</v>
      </c>
      <c r="O1089" s="93" t="s">
        <v>3173</v>
      </c>
      <c r="P1089" s="94" t="s">
        <v>57</v>
      </c>
      <c r="Q1089" s="112" t="s">
        <v>2211</v>
      </c>
      <c r="R1089" s="95"/>
      <c r="S1089" s="96">
        <v>46164</v>
      </c>
      <c r="T1089" s="96" t="s">
        <v>2212</v>
      </c>
      <c r="U1089" s="96" t="s">
        <v>79</v>
      </c>
      <c r="V1089" s="92">
        <v>46147</v>
      </c>
      <c r="W1089" s="92">
        <v>46154</v>
      </c>
      <c r="X1089" s="92">
        <v>46160</v>
      </c>
      <c r="Y1089" s="97"/>
      <c r="Z1089" s="89"/>
      <c r="AA1089" s="96"/>
      <c r="AB1089" s="89"/>
      <c r="AC1089" s="111"/>
      <c r="AD1089" s="89"/>
      <c r="AE1089" s="89"/>
      <c r="AF1089" s="98"/>
      <c r="AG1089" s="98"/>
      <c r="AH1089" s="98"/>
      <c r="AI1089" s="99"/>
      <c r="AJ1089" s="99"/>
      <c r="AK1089" s="99"/>
      <c r="AL1089" s="45" t="s">
        <v>68</v>
      </c>
      <c r="AM1089" s="162" t="str">
        <f t="shared" si="128"/>
        <v>3/2026</v>
      </c>
      <c r="AN1089" s="45">
        <f t="shared" si="129"/>
        <v>4</v>
      </c>
      <c r="AO1089" s="45" t="str">
        <f t="shared" si="130"/>
        <v>1/1900</v>
      </c>
      <c r="AP1089" s="45" t="e">
        <f t="shared" si="131"/>
        <v>#NUM!</v>
      </c>
      <c r="AQ1089" s="45">
        <f t="shared" si="132"/>
        <v>0</v>
      </c>
      <c r="AR1089" s="45">
        <f t="shared" si="133"/>
        <v>0</v>
      </c>
      <c r="AS1089" s="45">
        <f t="shared" si="134"/>
        <v>0</v>
      </c>
      <c r="AT1089" s="45">
        <f t="shared" si="135"/>
        <v>0</v>
      </c>
      <c r="AU1089" s="45" t="str">
        <f>_xlfn.XLOOKUP(U1089,'Lista Suspensa'!$AA$20:$AA$23,'Lista Suspensa'!$AB$20:$AB$23,"N/A")</f>
        <v>S</v>
      </c>
    </row>
    <row r="1090" spans="1:47" ht="12" hidden="1" customHeight="1" x14ac:dyDescent="0.3">
      <c r="A1090" s="87" t="s">
        <v>47</v>
      </c>
      <c r="B1090" s="88">
        <v>46104</v>
      </c>
      <c r="C1090" s="89" t="s">
        <v>48</v>
      </c>
      <c r="D1090" s="89" t="s">
        <v>49</v>
      </c>
      <c r="E1090" s="90">
        <v>74182997</v>
      </c>
      <c r="F1090" s="184" t="s">
        <v>3174</v>
      </c>
      <c r="G1090" s="91">
        <v>2272705847</v>
      </c>
      <c r="H1090" s="92">
        <v>23335</v>
      </c>
      <c r="I1090" s="89">
        <v>62</v>
      </c>
      <c r="J1090" s="89" t="s">
        <v>51</v>
      </c>
      <c r="K1090" s="89" t="s">
        <v>52</v>
      </c>
      <c r="L1090" s="89" t="s">
        <v>53</v>
      </c>
      <c r="M1090" s="89" t="s">
        <v>3175</v>
      </c>
      <c r="N1090" s="89" t="s">
        <v>130</v>
      </c>
      <c r="O1090" s="93" t="s">
        <v>3176</v>
      </c>
      <c r="P1090" s="94" t="s">
        <v>57</v>
      </c>
      <c r="Q1090" s="112" t="s">
        <v>2211</v>
      </c>
      <c r="R1090" s="95"/>
      <c r="S1090" s="96">
        <v>46164</v>
      </c>
      <c r="T1090" s="96" t="s">
        <v>2212</v>
      </c>
      <c r="U1090" s="96" t="s">
        <v>79</v>
      </c>
      <c r="V1090" s="92">
        <v>46147</v>
      </c>
      <c r="W1090" s="92">
        <v>46154</v>
      </c>
      <c r="X1090" s="92">
        <v>46160</v>
      </c>
      <c r="Y1090" s="97"/>
      <c r="Z1090" s="89"/>
      <c r="AA1090" s="96"/>
      <c r="AB1090" s="89"/>
      <c r="AC1090" s="111"/>
      <c r="AD1090" s="89"/>
      <c r="AE1090" s="89"/>
      <c r="AF1090" s="98"/>
      <c r="AG1090" s="98"/>
      <c r="AH1090" s="98"/>
      <c r="AI1090" s="99"/>
      <c r="AJ1090" s="99"/>
      <c r="AK1090" s="99"/>
      <c r="AL1090" s="45" t="s">
        <v>68</v>
      </c>
      <c r="AM1090" s="162" t="str">
        <f t="shared" ref="AM1090:AM1153" si="136">MONTH(B1090)&amp;"/"&amp;YEAR(B1090)</f>
        <v>3/2026</v>
      </c>
      <c r="AN1090" s="45">
        <f t="shared" ref="AN1090:AN1153" si="137">WEEKNUM(B1090)-WEEKNUM(EOMONTH(B1090,-1)+1)+1</f>
        <v>4</v>
      </c>
      <c r="AO1090" s="45" t="str">
        <f t="shared" ref="AO1090:AO1153" si="138">MONTH(R1090)&amp;"/"&amp;YEAR(R1090)</f>
        <v>1/1900</v>
      </c>
      <c r="AP1090" s="45" t="e">
        <f t="shared" ref="AP1090:AP1153" si="139">WEEKNUM(R1090)-WEEKNUM(EOMONTH(R1090,-1)+1)+1</f>
        <v>#NUM!</v>
      </c>
      <c r="AQ1090" s="45">
        <f t="shared" ref="AQ1090:AQ1153" si="140">IF(AU1090="S",IF(Q1090="1. Aceitou o programa",R1090-B1090,0),0)</f>
        <v>0</v>
      </c>
      <c r="AR1090" s="45">
        <f t="shared" ref="AR1090:AR1153" si="141">IF(AU1090="S",IF(AND(S1090&lt;&gt;"",R1090&lt;&gt;""),S1090-R1090,0),0)</f>
        <v>0</v>
      </c>
      <c r="AS1090" s="45">
        <f t="shared" ref="AS1090:AS1153" si="142">IF(AU1090="S",IF(Q1090="1. Aceitou o programa",IF(OR(X1090="Não se Aplica",X1090=""),IF(OR(W1090="Não se Aplica",W1090=""),0,W1090-V1090),AVERAGE(X1090-W1090,W1090-V1090)),0),0)</f>
        <v>0</v>
      </c>
      <c r="AT1090" s="45">
        <f t="shared" ref="AT1090:AT1153" si="143">IF(AU1090="S",IF(AND(Q1090="1. Aceitou o programa",AB1090="Realizada"),IFERROR(IF(AA1090="",0,AA1090-R1090),0),0),0)</f>
        <v>0</v>
      </c>
      <c r="AU1090" s="45" t="str">
        <f>_xlfn.XLOOKUP(U1090,'Lista Suspensa'!$AA$20:$AA$23,'Lista Suspensa'!$AB$20:$AB$23,"N/A")</f>
        <v>S</v>
      </c>
    </row>
    <row r="1091" spans="1:47" ht="12" hidden="1" customHeight="1" x14ac:dyDescent="0.3">
      <c r="A1091" s="87" t="s">
        <v>47</v>
      </c>
      <c r="B1091" s="88">
        <v>46104</v>
      </c>
      <c r="C1091" s="89" t="s">
        <v>48</v>
      </c>
      <c r="D1091" s="89" t="s">
        <v>49</v>
      </c>
      <c r="E1091" s="90">
        <v>76775614</v>
      </c>
      <c r="F1091" s="184" t="s">
        <v>3177</v>
      </c>
      <c r="G1091" s="91">
        <v>495830771</v>
      </c>
      <c r="H1091" s="92">
        <v>17518</v>
      </c>
      <c r="I1091" s="89">
        <v>78</v>
      </c>
      <c r="J1091" s="89" t="s">
        <v>70</v>
      </c>
      <c r="K1091" s="89" t="s">
        <v>88</v>
      </c>
      <c r="L1091" s="89" t="s">
        <v>89</v>
      </c>
      <c r="M1091" s="89" t="s">
        <v>412</v>
      </c>
      <c r="N1091" s="89" t="s">
        <v>130</v>
      </c>
      <c r="O1091" s="93" t="s">
        <v>3178</v>
      </c>
      <c r="P1091" s="94" t="s">
        <v>57</v>
      </c>
      <c r="Q1091" s="112" t="s">
        <v>2211</v>
      </c>
      <c r="R1091" s="95"/>
      <c r="S1091" s="96">
        <v>46164</v>
      </c>
      <c r="T1091" s="96" t="s">
        <v>2212</v>
      </c>
      <c r="U1091" s="96" t="s">
        <v>79</v>
      </c>
      <c r="V1091" s="92">
        <v>46147</v>
      </c>
      <c r="W1091" s="92">
        <v>46154</v>
      </c>
      <c r="X1091" s="92">
        <v>46160</v>
      </c>
      <c r="Y1091" s="97"/>
      <c r="Z1091" s="89"/>
      <c r="AA1091" s="96"/>
      <c r="AB1091" s="89"/>
      <c r="AC1091" s="111"/>
      <c r="AD1091" s="89"/>
      <c r="AE1091" s="89"/>
      <c r="AF1091" s="98"/>
      <c r="AG1091" s="98"/>
      <c r="AH1091" s="98"/>
      <c r="AI1091" s="99"/>
      <c r="AJ1091" s="99"/>
      <c r="AK1091" s="99"/>
      <c r="AL1091" s="45" t="s">
        <v>68</v>
      </c>
      <c r="AM1091" s="162" t="str">
        <f t="shared" si="136"/>
        <v>3/2026</v>
      </c>
      <c r="AN1091" s="45">
        <f t="shared" si="137"/>
        <v>4</v>
      </c>
      <c r="AO1091" s="45" t="str">
        <f t="shared" si="138"/>
        <v>1/1900</v>
      </c>
      <c r="AP1091" s="45" t="e">
        <f t="shared" si="139"/>
        <v>#NUM!</v>
      </c>
      <c r="AQ1091" s="45">
        <f t="shared" si="140"/>
        <v>0</v>
      </c>
      <c r="AR1091" s="45">
        <f t="shared" si="141"/>
        <v>0</v>
      </c>
      <c r="AS1091" s="45">
        <f t="shared" si="142"/>
        <v>0</v>
      </c>
      <c r="AT1091" s="45">
        <f t="shared" si="143"/>
        <v>0</v>
      </c>
      <c r="AU1091" s="45" t="str">
        <f>_xlfn.XLOOKUP(U1091,'Lista Suspensa'!$AA$20:$AA$23,'Lista Suspensa'!$AB$20:$AB$23,"N/A")</f>
        <v>S</v>
      </c>
    </row>
    <row r="1092" spans="1:47" ht="12" hidden="1" customHeight="1" x14ac:dyDescent="0.3">
      <c r="A1092" s="87" t="s">
        <v>47</v>
      </c>
      <c r="B1092" s="88">
        <v>46104</v>
      </c>
      <c r="C1092" s="89" t="s">
        <v>48</v>
      </c>
      <c r="D1092" s="89" t="s">
        <v>49</v>
      </c>
      <c r="E1092" s="90">
        <v>593938178</v>
      </c>
      <c r="F1092" s="184" t="s">
        <v>3179</v>
      </c>
      <c r="G1092" s="91">
        <v>71630783315</v>
      </c>
      <c r="H1092" s="92">
        <v>20241</v>
      </c>
      <c r="I1092" s="89">
        <v>70</v>
      </c>
      <c r="J1092" s="89" t="s">
        <v>70</v>
      </c>
      <c r="K1092" s="89" t="s">
        <v>52</v>
      </c>
      <c r="L1092" s="89" t="s">
        <v>331</v>
      </c>
      <c r="M1092" s="89" t="s">
        <v>732</v>
      </c>
      <c r="N1092" s="89" t="s">
        <v>130</v>
      </c>
      <c r="O1092" s="93" t="s">
        <v>3180</v>
      </c>
      <c r="P1092" s="94" t="s">
        <v>57</v>
      </c>
      <c r="Q1092" s="112" t="s">
        <v>2211</v>
      </c>
      <c r="R1092" s="95"/>
      <c r="S1092" s="96">
        <v>46164</v>
      </c>
      <c r="T1092" s="96" t="s">
        <v>2212</v>
      </c>
      <c r="U1092" s="96" t="s">
        <v>79</v>
      </c>
      <c r="V1092" s="92">
        <v>46147</v>
      </c>
      <c r="W1092" s="92">
        <v>46154</v>
      </c>
      <c r="X1092" s="92">
        <v>46160</v>
      </c>
      <c r="Y1092" s="97"/>
      <c r="Z1092" s="89"/>
      <c r="AA1092" s="96"/>
      <c r="AB1092" s="89"/>
      <c r="AC1092" s="111"/>
      <c r="AD1092" s="89"/>
      <c r="AE1092" s="89"/>
      <c r="AF1092" s="98"/>
      <c r="AG1092" s="98"/>
      <c r="AH1092" s="98"/>
      <c r="AI1092" s="99"/>
      <c r="AJ1092" s="99"/>
      <c r="AK1092" s="99"/>
      <c r="AL1092" s="45" t="s">
        <v>68</v>
      </c>
      <c r="AM1092" s="162" t="str">
        <f t="shared" si="136"/>
        <v>3/2026</v>
      </c>
      <c r="AN1092" s="45">
        <f t="shared" si="137"/>
        <v>4</v>
      </c>
      <c r="AO1092" s="45" t="str">
        <f t="shared" si="138"/>
        <v>1/1900</v>
      </c>
      <c r="AP1092" s="45" t="e">
        <f t="shared" si="139"/>
        <v>#NUM!</v>
      </c>
      <c r="AQ1092" s="45">
        <f t="shared" si="140"/>
        <v>0</v>
      </c>
      <c r="AR1092" s="45">
        <f t="shared" si="141"/>
        <v>0</v>
      </c>
      <c r="AS1092" s="45">
        <f t="shared" si="142"/>
        <v>0</v>
      </c>
      <c r="AT1092" s="45">
        <f t="shared" si="143"/>
        <v>0</v>
      </c>
      <c r="AU1092" s="45" t="str">
        <f>_xlfn.XLOOKUP(U1092,'Lista Suspensa'!$AA$20:$AA$23,'Lista Suspensa'!$AB$20:$AB$23,"N/A")</f>
        <v>S</v>
      </c>
    </row>
    <row r="1093" spans="1:47" ht="12" hidden="1" customHeight="1" x14ac:dyDescent="0.3">
      <c r="A1093" s="87" t="s">
        <v>47</v>
      </c>
      <c r="B1093" s="88">
        <v>46104</v>
      </c>
      <c r="C1093" s="89" t="s">
        <v>48</v>
      </c>
      <c r="D1093" s="89" t="s">
        <v>49</v>
      </c>
      <c r="E1093" s="90">
        <v>593960432</v>
      </c>
      <c r="F1093" s="184" t="s">
        <v>3181</v>
      </c>
      <c r="G1093" s="91">
        <v>7829733880</v>
      </c>
      <c r="H1093" s="92">
        <v>21785</v>
      </c>
      <c r="I1093" s="89">
        <v>66</v>
      </c>
      <c r="J1093" s="89" t="s">
        <v>70</v>
      </c>
      <c r="K1093" s="89" t="s">
        <v>52</v>
      </c>
      <c r="L1093" s="89" t="s">
        <v>331</v>
      </c>
      <c r="M1093" s="89" t="s">
        <v>732</v>
      </c>
      <c r="N1093" s="89" t="s">
        <v>130</v>
      </c>
      <c r="O1093" s="93" t="s">
        <v>3182</v>
      </c>
      <c r="P1093" s="94" t="s">
        <v>57</v>
      </c>
      <c r="Q1093" s="112" t="s">
        <v>2211</v>
      </c>
      <c r="R1093" s="95"/>
      <c r="S1093" s="96">
        <v>46164</v>
      </c>
      <c r="T1093" s="96" t="s">
        <v>2212</v>
      </c>
      <c r="U1093" s="96" t="s">
        <v>79</v>
      </c>
      <c r="V1093" s="92">
        <v>46147</v>
      </c>
      <c r="W1093" s="92">
        <v>46154</v>
      </c>
      <c r="X1093" s="92">
        <v>46160</v>
      </c>
      <c r="Y1093" s="97"/>
      <c r="Z1093" s="89"/>
      <c r="AA1093" s="96"/>
      <c r="AB1093" s="89"/>
      <c r="AC1093" s="111"/>
      <c r="AD1093" s="89"/>
      <c r="AE1093" s="89"/>
      <c r="AF1093" s="98"/>
      <c r="AG1093" s="98"/>
      <c r="AH1093" s="98"/>
      <c r="AI1093" s="99"/>
      <c r="AJ1093" s="99"/>
      <c r="AK1093" s="99"/>
      <c r="AL1093" s="45" t="s">
        <v>68</v>
      </c>
      <c r="AM1093" s="162" t="str">
        <f t="shared" si="136"/>
        <v>3/2026</v>
      </c>
      <c r="AN1093" s="45">
        <f t="shared" si="137"/>
        <v>4</v>
      </c>
      <c r="AO1093" s="45" t="str">
        <f t="shared" si="138"/>
        <v>1/1900</v>
      </c>
      <c r="AP1093" s="45" t="e">
        <f t="shared" si="139"/>
        <v>#NUM!</v>
      </c>
      <c r="AQ1093" s="45">
        <f t="shared" si="140"/>
        <v>0</v>
      </c>
      <c r="AR1093" s="45">
        <f t="shared" si="141"/>
        <v>0</v>
      </c>
      <c r="AS1093" s="45">
        <f t="shared" si="142"/>
        <v>0</v>
      </c>
      <c r="AT1093" s="45">
        <f t="shared" si="143"/>
        <v>0</v>
      </c>
      <c r="AU1093" s="45" t="str">
        <f>_xlfn.XLOOKUP(U1093,'Lista Suspensa'!$AA$20:$AA$23,'Lista Suspensa'!$AB$20:$AB$23,"N/A")</f>
        <v>S</v>
      </c>
    </row>
    <row r="1094" spans="1:47" ht="12" hidden="1" customHeight="1" x14ac:dyDescent="0.3">
      <c r="A1094" s="87" t="s">
        <v>47</v>
      </c>
      <c r="B1094" s="88">
        <v>46104</v>
      </c>
      <c r="C1094" s="89" t="s">
        <v>48</v>
      </c>
      <c r="D1094" s="89" t="s">
        <v>49</v>
      </c>
      <c r="E1094" s="90">
        <v>597242593</v>
      </c>
      <c r="F1094" s="184" t="s">
        <v>3183</v>
      </c>
      <c r="G1094" s="91">
        <v>5608822897</v>
      </c>
      <c r="H1094" s="92">
        <v>22790</v>
      </c>
      <c r="I1094" s="89">
        <v>63</v>
      </c>
      <c r="J1094" s="89" t="s">
        <v>51</v>
      </c>
      <c r="K1094" s="89" t="s">
        <v>52</v>
      </c>
      <c r="L1094" s="89" t="s">
        <v>53</v>
      </c>
      <c r="M1094" s="89" t="s">
        <v>1331</v>
      </c>
      <c r="N1094" s="89" t="s">
        <v>130</v>
      </c>
      <c r="O1094" s="93" t="s">
        <v>3184</v>
      </c>
      <c r="P1094" s="94" t="s">
        <v>57</v>
      </c>
      <c r="Q1094" s="112" t="s">
        <v>2211</v>
      </c>
      <c r="R1094" s="95"/>
      <c r="S1094" s="96">
        <v>46164</v>
      </c>
      <c r="T1094" s="96" t="s">
        <v>2212</v>
      </c>
      <c r="U1094" s="96" t="s">
        <v>79</v>
      </c>
      <c r="V1094" s="92">
        <v>46147</v>
      </c>
      <c r="W1094" s="92">
        <v>46154</v>
      </c>
      <c r="X1094" s="92">
        <v>46160</v>
      </c>
      <c r="Y1094" s="97"/>
      <c r="Z1094" s="89"/>
      <c r="AA1094" s="96"/>
      <c r="AB1094" s="89"/>
      <c r="AC1094" s="111"/>
      <c r="AD1094" s="89"/>
      <c r="AE1094" s="89"/>
      <c r="AF1094" s="98"/>
      <c r="AG1094" s="98"/>
      <c r="AH1094" s="98"/>
      <c r="AI1094" s="99"/>
      <c r="AJ1094" s="99"/>
      <c r="AK1094" s="99"/>
      <c r="AL1094" s="45" t="s">
        <v>68</v>
      </c>
      <c r="AM1094" s="162" t="str">
        <f t="shared" si="136"/>
        <v>3/2026</v>
      </c>
      <c r="AN1094" s="45">
        <f t="shared" si="137"/>
        <v>4</v>
      </c>
      <c r="AO1094" s="45" t="str">
        <f t="shared" si="138"/>
        <v>1/1900</v>
      </c>
      <c r="AP1094" s="45" t="e">
        <f t="shared" si="139"/>
        <v>#NUM!</v>
      </c>
      <c r="AQ1094" s="45">
        <f t="shared" si="140"/>
        <v>0</v>
      </c>
      <c r="AR1094" s="45">
        <f t="shared" si="141"/>
        <v>0</v>
      </c>
      <c r="AS1094" s="45">
        <f t="shared" si="142"/>
        <v>0</v>
      </c>
      <c r="AT1094" s="45">
        <f t="shared" si="143"/>
        <v>0</v>
      </c>
      <c r="AU1094" s="45" t="str">
        <f>_xlfn.XLOOKUP(U1094,'Lista Suspensa'!$AA$20:$AA$23,'Lista Suspensa'!$AB$20:$AB$23,"N/A")</f>
        <v>S</v>
      </c>
    </row>
    <row r="1095" spans="1:47" ht="12" hidden="1" customHeight="1" x14ac:dyDescent="0.3">
      <c r="A1095" s="87" t="s">
        <v>47</v>
      </c>
      <c r="B1095" s="88">
        <v>46104</v>
      </c>
      <c r="C1095" s="89" t="s">
        <v>48</v>
      </c>
      <c r="D1095" s="89" t="s">
        <v>49</v>
      </c>
      <c r="E1095" s="90">
        <v>593887603</v>
      </c>
      <c r="F1095" s="184" t="s">
        <v>3185</v>
      </c>
      <c r="G1095" s="91">
        <v>7809660829</v>
      </c>
      <c r="H1095" s="92">
        <v>16858</v>
      </c>
      <c r="I1095" s="89">
        <v>80</v>
      </c>
      <c r="J1095" s="89" t="s">
        <v>70</v>
      </c>
      <c r="K1095" s="89" t="s">
        <v>52</v>
      </c>
      <c r="L1095" s="89" t="s">
        <v>331</v>
      </c>
      <c r="M1095" s="89" t="s">
        <v>3186</v>
      </c>
      <c r="N1095" s="89" t="s">
        <v>130</v>
      </c>
      <c r="O1095" s="93" t="s">
        <v>3187</v>
      </c>
      <c r="P1095" s="94" t="s">
        <v>57</v>
      </c>
      <c r="Q1095" s="112" t="s">
        <v>2211</v>
      </c>
      <c r="R1095" s="95"/>
      <c r="S1095" s="96">
        <v>46164</v>
      </c>
      <c r="T1095" s="96" t="s">
        <v>2212</v>
      </c>
      <c r="U1095" s="96" t="s">
        <v>79</v>
      </c>
      <c r="V1095" s="92">
        <v>46147</v>
      </c>
      <c r="W1095" s="92">
        <v>46154</v>
      </c>
      <c r="X1095" s="92">
        <v>46160</v>
      </c>
      <c r="Y1095" s="97"/>
      <c r="Z1095" s="89"/>
      <c r="AA1095" s="96"/>
      <c r="AB1095" s="89"/>
      <c r="AC1095" s="111"/>
      <c r="AD1095" s="89"/>
      <c r="AE1095" s="89"/>
      <c r="AF1095" s="98"/>
      <c r="AG1095" s="98"/>
      <c r="AH1095" s="98"/>
      <c r="AI1095" s="99"/>
      <c r="AJ1095" s="99"/>
      <c r="AK1095" s="99"/>
      <c r="AL1095" s="45" t="s">
        <v>68</v>
      </c>
      <c r="AM1095" s="162" t="str">
        <f t="shared" si="136"/>
        <v>3/2026</v>
      </c>
      <c r="AN1095" s="45">
        <f t="shared" si="137"/>
        <v>4</v>
      </c>
      <c r="AO1095" s="45" t="str">
        <f t="shared" si="138"/>
        <v>1/1900</v>
      </c>
      <c r="AP1095" s="45" t="e">
        <f t="shared" si="139"/>
        <v>#NUM!</v>
      </c>
      <c r="AQ1095" s="45">
        <f t="shared" si="140"/>
        <v>0</v>
      </c>
      <c r="AR1095" s="45">
        <f t="shared" si="141"/>
        <v>0</v>
      </c>
      <c r="AS1095" s="45">
        <f t="shared" si="142"/>
        <v>0</v>
      </c>
      <c r="AT1095" s="45">
        <f t="shared" si="143"/>
        <v>0</v>
      </c>
      <c r="AU1095" s="45" t="str">
        <f>_xlfn.XLOOKUP(U1095,'Lista Suspensa'!$AA$20:$AA$23,'Lista Suspensa'!$AB$20:$AB$23,"N/A")</f>
        <v>S</v>
      </c>
    </row>
    <row r="1096" spans="1:47" ht="12" hidden="1" customHeight="1" x14ac:dyDescent="0.3">
      <c r="A1096" s="87" t="s">
        <v>47</v>
      </c>
      <c r="B1096" s="88">
        <v>46104</v>
      </c>
      <c r="C1096" s="89" t="s">
        <v>48</v>
      </c>
      <c r="D1096" s="89" t="s">
        <v>49</v>
      </c>
      <c r="E1096" s="90">
        <v>594211948</v>
      </c>
      <c r="F1096" s="184" t="s">
        <v>3188</v>
      </c>
      <c r="G1096" s="91">
        <v>47518540894</v>
      </c>
      <c r="H1096" s="92">
        <v>39938</v>
      </c>
      <c r="I1096" s="89">
        <v>16</v>
      </c>
      <c r="J1096" s="89" t="s">
        <v>51</v>
      </c>
      <c r="K1096" s="89" t="s">
        <v>52</v>
      </c>
      <c r="L1096" s="89" t="s">
        <v>331</v>
      </c>
      <c r="M1096" s="89" t="s">
        <v>3189</v>
      </c>
      <c r="N1096" s="89" t="s">
        <v>130</v>
      </c>
      <c r="O1096" s="93" t="s">
        <v>3190</v>
      </c>
      <c r="P1096" s="94" t="s">
        <v>57</v>
      </c>
      <c r="Q1096" s="112" t="s">
        <v>2211</v>
      </c>
      <c r="R1096" s="95"/>
      <c r="S1096" s="96">
        <v>46164</v>
      </c>
      <c r="T1096" s="96" t="s">
        <v>2212</v>
      </c>
      <c r="U1096" s="96" t="s">
        <v>79</v>
      </c>
      <c r="V1096" s="92">
        <v>46147</v>
      </c>
      <c r="W1096" s="92">
        <v>46154</v>
      </c>
      <c r="X1096" s="92">
        <v>46160</v>
      </c>
      <c r="Y1096" s="97"/>
      <c r="Z1096" s="89"/>
      <c r="AA1096" s="96"/>
      <c r="AB1096" s="89"/>
      <c r="AC1096" s="111"/>
      <c r="AD1096" s="89"/>
      <c r="AE1096" s="89"/>
      <c r="AF1096" s="98"/>
      <c r="AG1096" s="98"/>
      <c r="AH1096" s="98"/>
      <c r="AI1096" s="99"/>
      <c r="AJ1096" s="99"/>
      <c r="AK1096" s="99"/>
      <c r="AL1096" s="45" t="s">
        <v>68</v>
      </c>
      <c r="AM1096" s="162" t="str">
        <f t="shared" si="136"/>
        <v>3/2026</v>
      </c>
      <c r="AN1096" s="45">
        <f t="shared" si="137"/>
        <v>4</v>
      </c>
      <c r="AO1096" s="45" t="str">
        <f t="shared" si="138"/>
        <v>1/1900</v>
      </c>
      <c r="AP1096" s="45" t="e">
        <f t="shared" si="139"/>
        <v>#NUM!</v>
      </c>
      <c r="AQ1096" s="45">
        <f t="shared" si="140"/>
        <v>0</v>
      </c>
      <c r="AR1096" s="45">
        <f t="shared" si="141"/>
        <v>0</v>
      </c>
      <c r="AS1096" s="45">
        <f t="shared" si="142"/>
        <v>0</v>
      </c>
      <c r="AT1096" s="45">
        <f t="shared" si="143"/>
        <v>0</v>
      </c>
      <c r="AU1096" s="45" t="str">
        <f>_xlfn.XLOOKUP(U1096,'Lista Suspensa'!$AA$20:$AA$23,'Lista Suspensa'!$AB$20:$AB$23,"N/A")</f>
        <v>S</v>
      </c>
    </row>
    <row r="1097" spans="1:47" ht="12" hidden="1" customHeight="1" x14ac:dyDescent="0.3">
      <c r="A1097" s="87" t="s">
        <v>47</v>
      </c>
      <c r="B1097" s="88">
        <v>46104</v>
      </c>
      <c r="C1097" s="89" t="s">
        <v>48</v>
      </c>
      <c r="D1097" s="89" t="s">
        <v>49</v>
      </c>
      <c r="E1097" s="90">
        <v>593998510</v>
      </c>
      <c r="F1097" s="184" t="s">
        <v>3191</v>
      </c>
      <c r="G1097" s="91">
        <v>769764835</v>
      </c>
      <c r="H1097" s="92">
        <v>19087</v>
      </c>
      <c r="I1097" s="89">
        <v>73</v>
      </c>
      <c r="J1097" s="89" t="s">
        <v>70</v>
      </c>
      <c r="K1097" s="89" t="s">
        <v>52</v>
      </c>
      <c r="L1097" s="89" t="s">
        <v>83</v>
      </c>
      <c r="M1097" s="89" t="s">
        <v>3192</v>
      </c>
      <c r="N1097" s="89" t="s">
        <v>130</v>
      </c>
      <c r="O1097" s="93" t="s">
        <v>3193</v>
      </c>
      <c r="P1097" s="94" t="s">
        <v>57</v>
      </c>
      <c r="Q1097" s="112" t="s">
        <v>2211</v>
      </c>
      <c r="R1097" s="95"/>
      <c r="S1097" s="96">
        <v>46164</v>
      </c>
      <c r="T1097" s="96" t="s">
        <v>2212</v>
      </c>
      <c r="U1097" s="96" t="s">
        <v>79</v>
      </c>
      <c r="V1097" s="92">
        <v>46147</v>
      </c>
      <c r="W1097" s="92">
        <v>46154</v>
      </c>
      <c r="X1097" s="92">
        <v>46160</v>
      </c>
      <c r="Y1097" s="97"/>
      <c r="Z1097" s="89"/>
      <c r="AA1097" s="96"/>
      <c r="AB1097" s="89"/>
      <c r="AC1097" s="111"/>
      <c r="AD1097" s="89"/>
      <c r="AE1097" s="89"/>
      <c r="AF1097" s="98"/>
      <c r="AG1097" s="98"/>
      <c r="AH1097" s="98"/>
      <c r="AI1097" s="99"/>
      <c r="AJ1097" s="99"/>
      <c r="AK1097" s="99"/>
      <c r="AL1097" s="45" t="s">
        <v>68</v>
      </c>
      <c r="AM1097" s="162" t="str">
        <f t="shared" si="136"/>
        <v>3/2026</v>
      </c>
      <c r="AN1097" s="45">
        <f t="shared" si="137"/>
        <v>4</v>
      </c>
      <c r="AO1097" s="45" t="str">
        <f t="shared" si="138"/>
        <v>1/1900</v>
      </c>
      <c r="AP1097" s="45" t="e">
        <f t="shared" si="139"/>
        <v>#NUM!</v>
      </c>
      <c r="AQ1097" s="45">
        <f t="shared" si="140"/>
        <v>0</v>
      </c>
      <c r="AR1097" s="45">
        <f t="shared" si="141"/>
        <v>0</v>
      </c>
      <c r="AS1097" s="45">
        <f t="shared" si="142"/>
        <v>0</v>
      </c>
      <c r="AT1097" s="45">
        <f t="shared" si="143"/>
        <v>0</v>
      </c>
      <c r="AU1097" s="45" t="str">
        <f>_xlfn.XLOOKUP(U1097,'Lista Suspensa'!$AA$20:$AA$23,'Lista Suspensa'!$AB$20:$AB$23,"N/A")</f>
        <v>S</v>
      </c>
    </row>
    <row r="1098" spans="1:47" ht="12" hidden="1" customHeight="1" x14ac:dyDescent="0.3">
      <c r="A1098" s="87" t="s">
        <v>47</v>
      </c>
      <c r="B1098" s="88">
        <v>46104</v>
      </c>
      <c r="C1098" s="89" t="s">
        <v>48</v>
      </c>
      <c r="D1098" s="89" t="s">
        <v>49</v>
      </c>
      <c r="E1098" s="90">
        <v>594019478</v>
      </c>
      <c r="F1098" s="184" t="s">
        <v>3194</v>
      </c>
      <c r="G1098" s="91">
        <v>3999795816</v>
      </c>
      <c r="H1098" s="92">
        <v>21525</v>
      </c>
      <c r="I1098" s="89">
        <v>67</v>
      </c>
      <c r="J1098" s="89" t="s">
        <v>70</v>
      </c>
      <c r="K1098" s="89" t="s">
        <v>52</v>
      </c>
      <c r="L1098" s="89" t="s">
        <v>331</v>
      </c>
      <c r="M1098" s="89" t="s">
        <v>3195</v>
      </c>
      <c r="N1098" s="89" t="s">
        <v>130</v>
      </c>
      <c r="O1098" s="93" t="s">
        <v>3196</v>
      </c>
      <c r="P1098" s="94" t="s">
        <v>57</v>
      </c>
      <c r="Q1098" s="112" t="s">
        <v>2211</v>
      </c>
      <c r="R1098" s="95"/>
      <c r="S1098" s="96">
        <v>46164</v>
      </c>
      <c r="T1098" s="96" t="s">
        <v>2212</v>
      </c>
      <c r="U1098" s="96" t="s">
        <v>79</v>
      </c>
      <c r="V1098" s="92">
        <v>46147</v>
      </c>
      <c r="W1098" s="92">
        <v>46154</v>
      </c>
      <c r="X1098" s="92">
        <v>46160</v>
      </c>
      <c r="Y1098" s="97"/>
      <c r="Z1098" s="89"/>
      <c r="AA1098" s="96"/>
      <c r="AB1098" s="89"/>
      <c r="AC1098" s="111"/>
      <c r="AD1098" s="89"/>
      <c r="AE1098" s="89"/>
      <c r="AF1098" s="98"/>
      <c r="AG1098" s="98"/>
      <c r="AH1098" s="98"/>
      <c r="AI1098" s="99"/>
      <c r="AJ1098" s="99"/>
      <c r="AK1098" s="99"/>
      <c r="AL1098" s="45" t="s">
        <v>68</v>
      </c>
      <c r="AM1098" s="162" t="str">
        <f t="shared" si="136"/>
        <v>3/2026</v>
      </c>
      <c r="AN1098" s="45">
        <f t="shared" si="137"/>
        <v>4</v>
      </c>
      <c r="AO1098" s="45" t="str">
        <f t="shared" si="138"/>
        <v>1/1900</v>
      </c>
      <c r="AP1098" s="45" t="e">
        <f t="shared" si="139"/>
        <v>#NUM!</v>
      </c>
      <c r="AQ1098" s="45">
        <f t="shared" si="140"/>
        <v>0</v>
      </c>
      <c r="AR1098" s="45">
        <f t="shared" si="141"/>
        <v>0</v>
      </c>
      <c r="AS1098" s="45">
        <f t="shared" si="142"/>
        <v>0</v>
      </c>
      <c r="AT1098" s="45">
        <f t="shared" si="143"/>
        <v>0</v>
      </c>
      <c r="AU1098" s="45" t="str">
        <f>_xlfn.XLOOKUP(U1098,'Lista Suspensa'!$AA$20:$AA$23,'Lista Suspensa'!$AB$20:$AB$23,"N/A")</f>
        <v>S</v>
      </c>
    </row>
    <row r="1099" spans="1:47" ht="12" hidden="1" customHeight="1" x14ac:dyDescent="0.3">
      <c r="A1099" s="87" t="s">
        <v>47</v>
      </c>
      <c r="B1099" s="88">
        <v>46104</v>
      </c>
      <c r="C1099" s="89" t="s">
        <v>48</v>
      </c>
      <c r="D1099" s="89" t="s">
        <v>49</v>
      </c>
      <c r="E1099" s="90">
        <v>593964535</v>
      </c>
      <c r="F1099" s="184" t="s">
        <v>3197</v>
      </c>
      <c r="G1099" s="91">
        <v>6442388875</v>
      </c>
      <c r="H1099" s="92">
        <v>22487</v>
      </c>
      <c r="I1099" s="89">
        <v>64</v>
      </c>
      <c r="J1099" s="89" t="s">
        <v>70</v>
      </c>
      <c r="K1099" s="89" t="s">
        <v>52</v>
      </c>
      <c r="L1099" s="89" t="s">
        <v>331</v>
      </c>
      <c r="M1099" s="89" t="s">
        <v>3198</v>
      </c>
      <c r="N1099" s="89" t="s">
        <v>130</v>
      </c>
      <c r="O1099" s="93" t="s">
        <v>3199</v>
      </c>
      <c r="P1099" s="94" t="s">
        <v>57</v>
      </c>
      <c r="Q1099" s="112" t="s">
        <v>2211</v>
      </c>
      <c r="R1099" s="95"/>
      <c r="S1099" s="96">
        <v>46164</v>
      </c>
      <c r="T1099" s="96" t="s">
        <v>2212</v>
      </c>
      <c r="U1099" s="96" t="s">
        <v>79</v>
      </c>
      <c r="V1099" s="92">
        <v>46147</v>
      </c>
      <c r="W1099" s="92">
        <v>46154</v>
      </c>
      <c r="X1099" s="92">
        <v>46160</v>
      </c>
      <c r="Y1099" s="97"/>
      <c r="Z1099" s="89"/>
      <c r="AA1099" s="96"/>
      <c r="AB1099" s="89"/>
      <c r="AC1099" s="111"/>
      <c r="AD1099" s="89"/>
      <c r="AE1099" s="89"/>
      <c r="AF1099" s="98"/>
      <c r="AG1099" s="98"/>
      <c r="AH1099" s="98"/>
      <c r="AI1099" s="99"/>
      <c r="AJ1099" s="99"/>
      <c r="AK1099" s="99"/>
      <c r="AL1099" s="45" t="s">
        <v>68</v>
      </c>
      <c r="AM1099" s="162" t="str">
        <f t="shared" si="136"/>
        <v>3/2026</v>
      </c>
      <c r="AN1099" s="45">
        <f t="shared" si="137"/>
        <v>4</v>
      </c>
      <c r="AO1099" s="45" t="str">
        <f t="shared" si="138"/>
        <v>1/1900</v>
      </c>
      <c r="AP1099" s="45" t="e">
        <f t="shared" si="139"/>
        <v>#NUM!</v>
      </c>
      <c r="AQ1099" s="45">
        <f t="shared" si="140"/>
        <v>0</v>
      </c>
      <c r="AR1099" s="45">
        <f t="shared" si="141"/>
        <v>0</v>
      </c>
      <c r="AS1099" s="45">
        <f t="shared" si="142"/>
        <v>0</v>
      </c>
      <c r="AT1099" s="45">
        <f t="shared" si="143"/>
        <v>0</v>
      </c>
      <c r="AU1099" s="45" t="str">
        <f>_xlfn.XLOOKUP(U1099,'Lista Suspensa'!$AA$20:$AA$23,'Lista Suspensa'!$AB$20:$AB$23,"N/A")</f>
        <v>S</v>
      </c>
    </row>
    <row r="1100" spans="1:47" ht="12" hidden="1" customHeight="1" x14ac:dyDescent="0.3">
      <c r="A1100" s="87" t="s">
        <v>47</v>
      </c>
      <c r="B1100" s="88">
        <v>46104</v>
      </c>
      <c r="C1100" s="89" t="s">
        <v>48</v>
      </c>
      <c r="D1100" s="89" t="s">
        <v>49</v>
      </c>
      <c r="E1100" s="90">
        <v>596222238</v>
      </c>
      <c r="F1100" s="184" t="s">
        <v>3200</v>
      </c>
      <c r="G1100" s="91">
        <v>10037267809</v>
      </c>
      <c r="H1100" s="92">
        <v>24772</v>
      </c>
      <c r="I1100" s="89">
        <v>58</v>
      </c>
      <c r="J1100" s="89" t="s">
        <v>51</v>
      </c>
      <c r="K1100" s="89" t="s">
        <v>52</v>
      </c>
      <c r="L1100" s="89" t="s">
        <v>53</v>
      </c>
      <c r="M1100" s="89" t="s">
        <v>3201</v>
      </c>
      <c r="N1100" s="89" t="s">
        <v>130</v>
      </c>
      <c r="O1100" s="93" t="s">
        <v>3202</v>
      </c>
      <c r="P1100" s="94" t="s">
        <v>57</v>
      </c>
      <c r="Q1100" s="112" t="s">
        <v>2211</v>
      </c>
      <c r="R1100" s="95"/>
      <c r="S1100" s="96">
        <v>46164</v>
      </c>
      <c r="T1100" s="96" t="s">
        <v>2212</v>
      </c>
      <c r="U1100" s="96" t="s">
        <v>79</v>
      </c>
      <c r="V1100" s="92">
        <v>46147</v>
      </c>
      <c r="W1100" s="92">
        <v>46154</v>
      </c>
      <c r="X1100" s="92">
        <v>46160</v>
      </c>
      <c r="Y1100" s="97"/>
      <c r="Z1100" s="89"/>
      <c r="AA1100" s="96"/>
      <c r="AB1100" s="89"/>
      <c r="AC1100" s="111"/>
      <c r="AD1100" s="89"/>
      <c r="AE1100" s="89"/>
      <c r="AF1100" s="98"/>
      <c r="AG1100" s="98"/>
      <c r="AH1100" s="98"/>
      <c r="AI1100" s="99"/>
      <c r="AJ1100" s="99"/>
      <c r="AK1100" s="99"/>
      <c r="AL1100" s="45" t="s">
        <v>68</v>
      </c>
      <c r="AM1100" s="162" t="str">
        <f t="shared" si="136"/>
        <v>3/2026</v>
      </c>
      <c r="AN1100" s="45">
        <f t="shared" si="137"/>
        <v>4</v>
      </c>
      <c r="AO1100" s="45" t="str">
        <f t="shared" si="138"/>
        <v>1/1900</v>
      </c>
      <c r="AP1100" s="45" t="e">
        <f t="shared" si="139"/>
        <v>#NUM!</v>
      </c>
      <c r="AQ1100" s="45">
        <f t="shared" si="140"/>
        <v>0</v>
      </c>
      <c r="AR1100" s="45">
        <f t="shared" si="141"/>
        <v>0</v>
      </c>
      <c r="AS1100" s="45">
        <f t="shared" si="142"/>
        <v>0</v>
      </c>
      <c r="AT1100" s="45">
        <f t="shared" si="143"/>
        <v>0</v>
      </c>
      <c r="AU1100" s="45" t="str">
        <f>_xlfn.XLOOKUP(U1100,'Lista Suspensa'!$AA$20:$AA$23,'Lista Suspensa'!$AB$20:$AB$23,"N/A")</f>
        <v>S</v>
      </c>
    </row>
    <row r="1101" spans="1:47" ht="12" hidden="1" customHeight="1" x14ac:dyDescent="0.3">
      <c r="A1101" s="87" t="s">
        <v>47</v>
      </c>
      <c r="B1101" s="88">
        <v>46104</v>
      </c>
      <c r="C1101" s="89" t="s">
        <v>48</v>
      </c>
      <c r="D1101" s="89" t="s">
        <v>49</v>
      </c>
      <c r="E1101" s="90">
        <v>593935799</v>
      </c>
      <c r="F1101" s="184" t="s">
        <v>3203</v>
      </c>
      <c r="G1101" s="91">
        <v>12316983812</v>
      </c>
      <c r="H1101" s="92">
        <v>19778</v>
      </c>
      <c r="I1101" s="89">
        <v>72</v>
      </c>
      <c r="J1101" s="89" t="s">
        <v>70</v>
      </c>
      <c r="K1101" s="89" t="s">
        <v>52</v>
      </c>
      <c r="L1101" s="89" t="s">
        <v>331</v>
      </c>
      <c r="M1101" s="89" t="s">
        <v>1498</v>
      </c>
      <c r="N1101" s="89" t="s">
        <v>130</v>
      </c>
      <c r="O1101" s="93" t="s">
        <v>3204</v>
      </c>
      <c r="P1101" s="94" t="s">
        <v>57</v>
      </c>
      <c r="Q1101" s="112" t="s">
        <v>2211</v>
      </c>
      <c r="R1101" s="95"/>
      <c r="S1101" s="96">
        <v>46164</v>
      </c>
      <c r="T1101" s="96" t="s">
        <v>2212</v>
      </c>
      <c r="U1101" s="96" t="s">
        <v>79</v>
      </c>
      <c r="V1101" s="92">
        <v>46147</v>
      </c>
      <c r="W1101" s="92">
        <v>46154</v>
      </c>
      <c r="X1101" s="92">
        <v>46160</v>
      </c>
      <c r="Y1101" s="97"/>
      <c r="Z1101" s="89"/>
      <c r="AA1101" s="96"/>
      <c r="AB1101" s="89"/>
      <c r="AC1101" s="111"/>
      <c r="AD1101" s="89"/>
      <c r="AE1101" s="89"/>
      <c r="AF1101" s="98"/>
      <c r="AG1101" s="98"/>
      <c r="AH1101" s="98"/>
      <c r="AI1101" s="99"/>
      <c r="AJ1101" s="99"/>
      <c r="AK1101" s="99"/>
      <c r="AL1101" s="45" t="s">
        <v>68</v>
      </c>
      <c r="AM1101" s="162" t="str">
        <f t="shared" si="136"/>
        <v>3/2026</v>
      </c>
      <c r="AN1101" s="45">
        <f t="shared" si="137"/>
        <v>4</v>
      </c>
      <c r="AO1101" s="45" t="str">
        <f t="shared" si="138"/>
        <v>1/1900</v>
      </c>
      <c r="AP1101" s="45" t="e">
        <f t="shared" si="139"/>
        <v>#NUM!</v>
      </c>
      <c r="AQ1101" s="45">
        <f t="shared" si="140"/>
        <v>0</v>
      </c>
      <c r="AR1101" s="45">
        <f t="shared" si="141"/>
        <v>0</v>
      </c>
      <c r="AS1101" s="45">
        <f t="shared" si="142"/>
        <v>0</v>
      </c>
      <c r="AT1101" s="45">
        <f t="shared" si="143"/>
        <v>0</v>
      </c>
      <c r="AU1101" s="45" t="str">
        <f>_xlfn.XLOOKUP(U1101,'Lista Suspensa'!$AA$20:$AA$23,'Lista Suspensa'!$AB$20:$AB$23,"N/A")</f>
        <v>S</v>
      </c>
    </row>
    <row r="1102" spans="1:47" ht="12" hidden="1" customHeight="1" x14ac:dyDescent="0.3">
      <c r="A1102" s="87" t="s">
        <v>47</v>
      </c>
      <c r="B1102" s="88">
        <v>46104</v>
      </c>
      <c r="C1102" s="89" t="s">
        <v>48</v>
      </c>
      <c r="D1102" s="89" t="s">
        <v>49</v>
      </c>
      <c r="E1102" s="90">
        <v>76599947</v>
      </c>
      <c r="F1102" s="184" t="s">
        <v>3205</v>
      </c>
      <c r="G1102" s="91">
        <v>12775964842</v>
      </c>
      <c r="H1102" s="92">
        <v>25762</v>
      </c>
      <c r="I1102" s="89">
        <v>55</v>
      </c>
      <c r="J1102" s="89" t="s">
        <v>70</v>
      </c>
      <c r="K1102" s="89" t="s">
        <v>52</v>
      </c>
      <c r="L1102" s="89" t="s">
        <v>53</v>
      </c>
      <c r="M1102" s="89" t="s">
        <v>1702</v>
      </c>
      <c r="N1102" s="89" t="s">
        <v>130</v>
      </c>
      <c r="O1102" s="93" t="s">
        <v>3206</v>
      </c>
      <c r="P1102" s="94" t="s">
        <v>57</v>
      </c>
      <c r="Q1102" s="112" t="s">
        <v>2211</v>
      </c>
      <c r="R1102" s="95"/>
      <c r="S1102" s="96">
        <v>46164</v>
      </c>
      <c r="T1102" s="96" t="s">
        <v>2212</v>
      </c>
      <c r="U1102" s="96" t="s">
        <v>79</v>
      </c>
      <c r="V1102" s="92">
        <v>46147</v>
      </c>
      <c r="W1102" s="92">
        <v>46154</v>
      </c>
      <c r="X1102" s="92">
        <v>46160</v>
      </c>
      <c r="Y1102" s="97"/>
      <c r="Z1102" s="89"/>
      <c r="AA1102" s="96"/>
      <c r="AB1102" s="89"/>
      <c r="AC1102" s="111"/>
      <c r="AD1102" s="89"/>
      <c r="AE1102" s="89"/>
      <c r="AF1102" s="98"/>
      <c r="AG1102" s="98"/>
      <c r="AH1102" s="98"/>
      <c r="AI1102" s="99"/>
      <c r="AJ1102" s="99"/>
      <c r="AK1102" s="99"/>
      <c r="AL1102" s="45" t="s">
        <v>68</v>
      </c>
      <c r="AM1102" s="162" t="str">
        <f t="shared" si="136"/>
        <v>3/2026</v>
      </c>
      <c r="AN1102" s="45">
        <f t="shared" si="137"/>
        <v>4</v>
      </c>
      <c r="AO1102" s="45" t="str">
        <f t="shared" si="138"/>
        <v>1/1900</v>
      </c>
      <c r="AP1102" s="45" t="e">
        <f t="shared" si="139"/>
        <v>#NUM!</v>
      </c>
      <c r="AQ1102" s="45">
        <f t="shared" si="140"/>
        <v>0</v>
      </c>
      <c r="AR1102" s="45">
        <f t="shared" si="141"/>
        <v>0</v>
      </c>
      <c r="AS1102" s="45">
        <f t="shared" si="142"/>
        <v>0</v>
      </c>
      <c r="AT1102" s="45">
        <f t="shared" si="143"/>
        <v>0</v>
      </c>
      <c r="AU1102" s="45" t="str">
        <f>_xlfn.XLOOKUP(U1102,'Lista Suspensa'!$AA$20:$AA$23,'Lista Suspensa'!$AB$20:$AB$23,"N/A")</f>
        <v>S</v>
      </c>
    </row>
    <row r="1103" spans="1:47" ht="12" hidden="1" customHeight="1" x14ac:dyDescent="0.3">
      <c r="A1103" s="87" t="s">
        <v>47</v>
      </c>
      <c r="B1103" s="88">
        <v>46104</v>
      </c>
      <c r="C1103" s="89" t="s">
        <v>48</v>
      </c>
      <c r="D1103" s="89" t="s">
        <v>49</v>
      </c>
      <c r="E1103" s="90">
        <v>593891198</v>
      </c>
      <c r="F1103" s="184" t="s">
        <v>3207</v>
      </c>
      <c r="G1103" s="91">
        <v>43084230820</v>
      </c>
      <c r="H1103" s="92">
        <v>18458</v>
      </c>
      <c r="I1103" s="89">
        <v>75</v>
      </c>
      <c r="J1103" s="89" t="s">
        <v>51</v>
      </c>
      <c r="K1103" s="89" t="s">
        <v>52</v>
      </c>
      <c r="L1103" s="89" t="s">
        <v>331</v>
      </c>
      <c r="M1103" s="89" t="s">
        <v>3208</v>
      </c>
      <c r="N1103" s="89" t="s">
        <v>130</v>
      </c>
      <c r="O1103" s="93" t="s">
        <v>3209</v>
      </c>
      <c r="P1103" s="94" t="s">
        <v>57</v>
      </c>
      <c r="Q1103" s="112" t="s">
        <v>2211</v>
      </c>
      <c r="R1103" s="95"/>
      <c r="S1103" s="96">
        <v>46164</v>
      </c>
      <c r="T1103" s="96" t="s">
        <v>2212</v>
      </c>
      <c r="U1103" s="96" t="s">
        <v>79</v>
      </c>
      <c r="V1103" s="92">
        <v>46147</v>
      </c>
      <c r="W1103" s="92">
        <v>46154</v>
      </c>
      <c r="X1103" s="92">
        <v>46160</v>
      </c>
      <c r="Y1103" s="97"/>
      <c r="Z1103" s="89"/>
      <c r="AA1103" s="96"/>
      <c r="AB1103" s="89"/>
      <c r="AC1103" s="111"/>
      <c r="AD1103" s="89"/>
      <c r="AE1103" s="89"/>
      <c r="AF1103" s="98"/>
      <c r="AG1103" s="98"/>
      <c r="AH1103" s="98"/>
      <c r="AI1103" s="99"/>
      <c r="AJ1103" s="99"/>
      <c r="AK1103" s="99"/>
      <c r="AL1103" s="45" t="s">
        <v>68</v>
      </c>
      <c r="AM1103" s="162" t="str">
        <f t="shared" si="136"/>
        <v>3/2026</v>
      </c>
      <c r="AN1103" s="45">
        <f t="shared" si="137"/>
        <v>4</v>
      </c>
      <c r="AO1103" s="45" t="str">
        <f t="shared" si="138"/>
        <v>1/1900</v>
      </c>
      <c r="AP1103" s="45" t="e">
        <f t="shared" si="139"/>
        <v>#NUM!</v>
      </c>
      <c r="AQ1103" s="45">
        <f t="shared" si="140"/>
        <v>0</v>
      </c>
      <c r="AR1103" s="45">
        <f t="shared" si="141"/>
        <v>0</v>
      </c>
      <c r="AS1103" s="45">
        <f t="shared" si="142"/>
        <v>0</v>
      </c>
      <c r="AT1103" s="45">
        <f t="shared" si="143"/>
        <v>0</v>
      </c>
      <c r="AU1103" s="45" t="str">
        <f>_xlfn.XLOOKUP(U1103,'Lista Suspensa'!$AA$20:$AA$23,'Lista Suspensa'!$AB$20:$AB$23,"N/A")</f>
        <v>S</v>
      </c>
    </row>
    <row r="1104" spans="1:47" ht="12" hidden="1" customHeight="1" x14ac:dyDescent="0.3">
      <c r="A1104" s="87" t="s">
        <v>47</v>
      </c>
      <c r="B1104" s="88">
        <v>46104</v>
      </c>
      <c r="C1104" s="89" t="s">
        <v>48</v>
      </c>
      <c r="D1104" s="89" t="s">
        <v>49</v>
      </c>
      <c r="E1104" s="90">
        <v>594103860</v>
      </c>
      <c r="F1104" s="184" t="s">
        <v>3210</v>
      </c>
      <c r="G1104" s="91">
        <v>57414882853</v>
      </c>
      <c r="H1104" s="92">
        <v>18622</v>
      </c>
      <c r="I1104" s="89">
        <v>75</v>
      </c>
      <c r="J1104" s="89" t="s">
        <v>51</v>
      </c>
      <c r="K1104" s="89" t="s">
        <v>52</v>
      </c>
      <c r="L1104" s="89" t="s">
        <v>331</v>
      </c>
      <c r="M1104" s="89" t="s">
        <v>3208</v>
      </c>
      <c r="N1104" s="89" t="s">
        <v>130</v>
      </c>
      <c r="O1104" s="93" t="s">
        <v>3211</v>
      </c>
      <c r="P1104" s="94" t="s">
        <v>57</v>
      </c>
      <c r="Q1104" s="112" t="s">
        <v>2211</v>
      </c>
      <c r="R1104" s="95"/>
      <c r="S1104" s="96">
        <v>46164</v>
      </c>
      <c r="T1104" s="96" t="s">
        <v>2212</v>
      </c>
      <c r="U1104" s="96" t="s">
        <v>79</v>
      </c>
      <c r="V1104" s="92">
        <v>46147</v>
      </c>
      <c r="W1104" s="92">
        <v>46154</v>
      </c>
      <c r="X1104" s="92">
        <v>46160</v>
      </c>
      <c r="Y1104" s="97"/>
      <c r="Z1104" s="89"/>
      <c r="AA1104" s="96"/>
      <c r="AB1104" s="89"/>
      <c r="AC1104" s="111"/>
      <c r="AD1104" s="89"/>
      <c r="AE1104" s="89"/>
      <c r="AF1104" s="98"/>
      <c r="AG1104" s="98"/>
      <c r="AH1104" s="98"/>
      <c r="AI1104" s="99"/>
      <c r="AJ1104" s="99"/>
      <c r="AK1104" s="99"/>
      <c r="AL1104" s="45" t="s">
        <v>68</v>
      </c>
      <c r="AM1104" s="162" t="str">
        <f t="shared" si="136"/>
        <v>3/2026</v>
      </c>
      <c r="AN1104" s="45">
        <f t="shared" si="137"/>
        <v>4</v>
      </c>
      <c r="AO1104" s="45" t="str">
        <f t="shared" si="138"/>
        <v>1/1900</v>
      </c>
      <c r="AP1104" s="45" t="e">
        <f t="shared" si="139"/>
        <v>#NUM!</v>
      </c>
      <c r="AQ1104" s="45">
        <f t="shared" si="140"/>
        <v>0</v>
      </c>
      <c r="AR1104" s="45">
        <f t="shared" si="141"/>
        <v>0</v>
      </c>
      <c r="AS1104" s="45">
        <f t="shared" si="142"/>
        <v>0</v>
      </c>
      <c r="AT1104" s="45">
        <f t="shared" si="143"/>
        <v>0</v>
      </c>
      <c r="AU1104" s="45" t="str">
        <f>_xlfn.XLOOKUP(U1104,'Lista Suspensa'!$AA$20:$AA$23,'Lista Suspensa'!$AB$20:$AB$23,"N/A")</f>
        <v>S</v>
      </c>
    </row>
    <row r="1105" spans="1:47" ht="12" hidden="1" customHeight="1" x14ac:dyDescent="0.3">
      <c r="A1105" s="87" t="s">
        <v>47</v>
      </c>
      <c r="B1105" s="88">
        <v>46104</v>
      </c>
      <c r="C1105" s="89" t="s">
        <v>48</v>
      </c>
      <c r="D1105" s="89" t="s">
        <v>49</v>
      </c>
      <c r="E1105" s="90">
        <v>593911520</v>
      </c>
      <c r="F1105" s="184" t="s">
        <v>3212</v>
      </c>
      <c r="G1105" s="91">
        <v>28328221853</v>
      </c>
      <c r="H1105" s="92">
        <v>17790</v>
      </c>
      <c r="I1105" s="89">
        <v>77</v>
      </c>
      <c r="J1105" s="89" t="s">
        <v>51</v>
      </c>
      <c r="K1105" s="89" t="s">
        <v>52</v>
      </c>
      <c r="L1105" s="89" t="s">
        <v>331</v>
      </c>
      <c r="M1105" s="89" t="s">
        <v>1731</v>
      </c>
      <c r="N1105" s="89" t="s">
        <v>130</v>
      </c>
      <c r="O1105" s="93" t="s">
        <v>3213</v>
      </c>
      <c r="P1105" s="94" t="s">
        <v>57</v>
      </c>
      <c r="Q1105" s="112" t="s">
        <v>2211</v>
      </c>
      <c r="R1105" s="95"/>
      <c r="S1105" s="96">
        <v>46164</v>
      </c>
      <c r="T1105" s="96" t="s">
        <v>2212</v>
      </c>
      <c r="U1105" s="96" t="s">
        <v>79</v>
      </c>
      <c r="V1105" s="92">
        <v>46122</v>
      </c>
      <c r="W1105" s="92">
        <v>46154</v>
      </c>
      <c r="X1105" s="92">
        <v>46160</v>
      </c>
      <c r="Y1105" s="97"/>
      <c r="Z1105" s="89"/>
      <c r="AA1105" s="96"/>
      <c r="AB1105" s="89"/>
      <c r="AC1105" s="111"/>
      <c r="AD1105" s="89"/>
      <c r="AE1105" s="89"/>
      <c r="AF1105" s="98"/>
      <c r="AG1105" s="98"/>
      <c r="AH1105" s="98"/>
      <c r="AI1105" s="99"/>
      <c r="AJ1105" s="99"/>
      <c r="AK1105" s="99"/>
      <c r="AL1105" s="45" t="s">
        <v>68</v>
      </c>
      <c r="AM1105" s="162" t="str">
        <f t="shared" si="136"/>
        <v>3/2026</v>
      </c>
      <c r="AN1105" s="45">
        <f t="shared" si="137"/>
        <v>4</v>
      </c>
      <c r="AO1105" s="45" t="str">
        <f t="shared" si="138"/>
        <v>1/1900</v>
      </c>
      <c r="AP1105" s="45" t="e">
        <f t="shared" si="139"/>
        <v>#NUM!</v>
      </c>
      <c r="AQ1105" s="45">
        <f t="shared" si="140"/>
        <v>0</v>
      </c>
      <c r="AR1105" s="45">
        <f t="shared" si="141"/>
        <v>0</v>
      </c>
      <c r="AS1105" s="45">
        <f t="shared" si="142"/>
        <v>0</v>
      </c>
      <c r="AT1105" s="45">
        <f t="shared" si="143"/>
        <v>0</v>
      </c>
      <c r="AU1105" s="45" t="str">
        <f>_xlfn.XLOOKUP(U1105,'Lista Suspensa'!$AA$20:$AA$23,'Lista Suspensa'!$AB$20:$AB$23,"N/A")</f>
        <v>S</v>
      </c>
    </row>
    <row r="1106" spans="1:47" ht="12" hidden="1" customHeight="1" x14ac:dyDescent="0.3">
      <c r="A1106" s="87" t="s">
        <v>47</v>
      </c>
      <c r="B1106" s="88">
        <v>46104</v>
      </c>
      <c r="C1106" s="89" t="s">
        <v>48</v>
      </c>
      <c r="D1106" s="89" t="s">
        <v>49</v>
      </c>
      <c r="E1106" s="90">
        <v>594120489</v>
      </c>
      <c r="F1106" s="184" t="s">
        <v>3214</v>
      </c>
      <c r="G1106" s="91">
        <v>40158098820</v>
      </c>
      <c r="H1106" s="92">
        <v>16652</v>
      </c>
      <c r="I1106" s="89">
        <v>80</v>
      </c>
      <c r="J1106" s="89" t="s">
        <v>51</v>
      </c>
      <c r="K1106" s="89" t="s">
        <v>52</v>
      </c>
      <c r="L1106" s="89" t="s">
        <v>331</v>
      </c>
      <c r="M1106" s="89" t="s">
        <v>1518</v>
      </c>
      <c r="N1106" s="89" t="s">
        <v>130</v>
      </c>
      <c r="O1106" s="93" t="s">
        <v>3215</v>
      </c>
      <c r="P1106" s="94" t="s">
        <v>57</v>
      </c>
      <c r="Q1106" s="112" t="s">
        <v>2211</v>
      </c>
      <c r="R1106" s="95"/>
      <c r="S1106" s="96">
        <v>46164</v>
      </c>
      <c r="T1106" s="96" t="s">
        <v>2212</v>
      </c>
      <c r="U1106" s="96" t="s">
        <v>79</v>
      </c>
      <c r="V1106" s="92">
        <v>46147</v>
      </c>
      <c r="W1106" s="92">
        <v>46154</v>
      </c>
      <c r="X1106" s="92">
        <v>46160</v>
      </c>
      <c r="Y1106" s="97"/>
      <c r="Z1106" s="89"/>
      <c r="AA1106" s="96"/>
      <c r="AB1106" s="89"/>
      <c r="AC1106" s="111"/>
      <c r="AD1106" s="89"/>
      <c r="AE1106" s="89"/>
      <c r="AF1106" s="98"/>
      <c r="AG1106" s="98"/>
      <c r="AH1106" s="98"/>
      <c r="AI1106" s="99"/>
      <c r="AJ1106" s="99"/>
      <c r="AK1106" s="99"/>
      <c r="AL1106" s="45" t="s">
        <v>68</v>
      </c>
      <c r="AM1106" s="162" t="str">
        <f t="shared" si="136"/>
        <v>3/2026</v>
      </c>
      <c r="AN1106" s="45">
        <f t="shared" si="137"/>
        <v>4</v>
      </c>
      <c r="AO1106" s="45" t="str">
        <f t="shared" si="138"/>
        <v>1/1900</v>
      </c>
      <c r="AP1106" s="45" t="e">
        <f t="shared" si="139"/>
        <v>#NUM!</v>
      </c>
      <c r="AQ1106" s="45">
        <f t="shared" si="140"/>
        <v>0</v>
      </c>
      <c r="AR1106" s="45">
        <f t="shared" si="141"/>
        <v>0</v>
      </c>
      <c r="AS1106" s="45">
        <f t="shared" si="142"/>
        <v>0</v>
      </c>
      <c r="AT1106" s="45">
        <f t="shared" si="143"/>
        <v>0</v>
      </c>
      <c r="AU1106" s="45" t="str">
        <f>_xlfn.XLOOKUP(U1106,'Lista Suspensa'!$AA$20:$AA$23,'Lista Suspensa'!$AB$20:$AB$23,"N/A")</f>
        <v>S</v>
      </c>
    </row>
    <row r="1107" spans="1:47" ht="12" hidden="1" customHeight="1" x14ac:dyDescent="0.3">
      <c r="A1107" s="87" t="s">
        <v>47</v>
      </c>
      <c r="B1107" s="88">
        <v>46104</v>
      </c>
      <c r="C1107" s="89" t="s">
        <v>48</v>
      </c>
      <c r="D1107" s="89" t="s">
        <v>49</v>
      </c>
      <c r="E1107" s="90">
        <v>594000360</v>
      </c>
      <c r="F1107" s="184" t="s">
        <v>3216</v>
      </c>
      <c r="G1107" s="91">
        <v>18591398840</v>
      </c>
      <c r="H1107" s="92">
        <v>22289</v>
      </c>
      <c r="I1107" s="89">
        <v>65</v>
      </c>
      <c r="J1107" s="89" t="s">
        <v>70</v>
      </c>
      <c r="K1107" s="89" t="s">
        <v>52</v>
      </c>
      <c r="L1107" s="89" t="s">
        <v>331</v>
      </c>
      <c r="M1107" s="89" t="s">
        <v>3217</v>
      </c>
      <c r="N1107" s="89" t="s">
        <v>130</v>
      </c>
      <c r="O1107" s="93" t="s">
        <v>3218</v>
      </c>
      <c r="P1107" s="94" t="s">
        <v>57</v>
      </c>
      <c r="Q1107" s="112" t="s">
        <v>2211</v>
      </c>
      <c r="R1107" s="95"/>
      <c r="S1107" s="96">
        <v>46164</v>
      </c>
      <c r="T1107" s="96" t="s">
        <v>2212</v>
      </c>
      <c r="U1107" s="96" t="s">
        <v>79</v>
      </c>
      <c r="V1107" s="92">
        <v>46147</v>
      </c>
      <c r="W1107" s="92">
        <v>46154</v>
      </c>
      <c r="X1107" s="92">
        <v>46160</v>
      </c>
      <c r="Y1107" s="97"/>
      <c r="Z1107" s="89"/>
      <c r="AA1107" s="96"/>
      <c r="AB1107" s="89"/>
      <c r="AC1107" s="111"/>
      <c r="AD1107" s="89"/>
      <c r="AE1107" s="89"/>
      <c r="AF1107" s="98"/>
      <c r="AG1107" s="98"/>
      <c r="AH1107" s="98"/>
      <c r="AI1107" s="99"/>
      <c r="AJ1107" s="99"/>
      <c r="AK1107" s="99"/>
      <c r="AL1107" s="45" t="s">
        <v>68</v>
      </c>
      <c r="AM1107" s="162" t="str">
        <f t="shared" si="136"/>
        <v>3/2026</v>
      </c>
      <c r="AN1107" s="45">
        <f t="shared" si="137"/>
        <v>4</v>
      </c>
      <c r="AO1107" s="45" t="str">
        <f t="shared" si="138"/>
        <v>1/1900</v>
      </c>
      <c r="AP1107" s="45" t="e">
        <f t="shared" si="139"/>
        <v>#NUM!</v>
      </c>
      <c r="AQ1107" s="45">
        <f t="shared" si="140"/>
        <v>0</v>
      </c>
      <c r="AR1107" s="45">
        <f t="shared" si="141"/>
        <v>0</v>
      </c>
      <c r="AS1107" s="45">
        <f t="shared" si="142"/>
        <v>0</v>
      </c>
      <c r="AT1107" s="45">
        <f t="shared" si="143"/>
        <v>0</v>
      </c>
      <c r="AU1107" s="45" t="str">
        <f>_xlfn.XLOOKUP(U1107,'Lista Suspensa'!$AA$20:$AA$23,'Lista Suspensa'!$AB$20:$AB$23,"N/A")</f>
        <v>S</v>
      </c>
    </row>
    <row r="1108" spans="1:47" ht="12" hidden="1" customHeight="1" x14ac:dyDescent="0.3">
      <c r="A1108" s="87" t="s">
        <v>47</v>
      </c>
      <c r="B1108" s="88">
        <v>46104</v>
      </c>
      <c r="C1108" s="89" t="s">
        <v>48</v>
      </c>
      <c r="D1108" s="89" t="s">
        <v>49</v>
      </c>
      <c r="E1108" s="90">
        <v>594029660</v>
      </c>
      <c r="F1108" s="184" t="s">
        <v>3219</v>
      </c>
      <c r="G1108" s="91">
        <v>20684371804</v>
      </c>
      <c r="H1108" s="92">
        <v>16573</v>
      </c>
      <c r="I1108" s="89">
        <v>80</v>
      </c>
      <c r="J1108" s="89" t="s">
        <v>51</v>
      </c>
      <c r="K1108" s="89" t="s">
        <v>52</v>
      </c>
      <c r="L1108" s="89" t="s">
        <v>331</v>
      </c>
      <c r="M1108" s="89" t="s">
        <v>617</v>
      </c>
      <c r="N1108" s="89" t="s">
        <v>130</v>
      </c>
      <c r="O1108" s="93" t="s">
        <v>3220</v>
      </c>
      <c r="P1108" s="94" t="s">
        <v>57</v>
      </c>
      <c r="Q1108" s="112" t="s">
        <v>2211</v>
      </c>
      <c r="R1108" s="95"/>
      <c r="S1108" s="96">
        <v>46164</v>
      </c>
      <c r="T1108" s="96" t="s">
        <v>2212</v>
      </c>
      <c r="U1108" s="96" t="s">
        <v>79</v>
      </c>
      <c r="V1108" s="92">
        <v>46122</v>
      </c>
      <c r="W1108" s="92">
        <v>46154</v>
      </c>
      <c r="X1108" s="92">
        <v>46160</v>
      </c>
      <c r="Y1108" s="97"/>
      <c r="Z1108" s="89"/>
      <c r="AA1108" s="96"/>
      <c r="AB1108" s="89"/>
      <c r="AC1108" s="111"/>
      <c r="AD1108" s="89"/>
      <c r="AE1108" s="89"/>
      <c r="AF1108" s="98"/>
      <c r="AG1108" s="98"/>
      <c r="AH1108" s="98"/>
      <c r="AI1108" s="99"/>
      <c r="AJ1108" s="99"/>
      <c r="AK1108" s="99"/>
      <c r="AL1108" s="45" t="s">
        <v>68</v>
      </c>
      <c r="AM1108" s="162" t="str">
        <f t="shared" si="136"/>
        <v>3/2026</v>
      </c>
      <c r="AN1108" s="45">
        <f t="shared" si="137"/>
        <v>4</v>
      </c>
      <c r="AO1108" s="45" t="str">
        <f t="shared" si="138"/>
        <v>1/1900</v>
      </c>
      <c r="AP1108" s="45" t="e">
        <f t="shared" si="139"/>
        <v>#NUM!</v>
      </c>
      <c r="AQ1108" s="45">
        <f t="shared" si="140"/>
        <v>0</v>
      </c>
      <c r="AR1108" s="45">
        <f t="shared" si="141"/>
        <v>0</v>
      </c>
      <c r="AS1108" s="45">
        <f t="shared" si="142"/>
        <v>0</v>
      </c>
      <c r="AT1108" s="45">
        <f t="shared" si="143"/>
        <v>0</v>
      </c>
      <c r="AU1108" s="45" t="str">
        <f>_xlfn.XLOOKUP(U1108,'Lista Suspensa'!$AA$20:$AA$23,'Lista Suspensa'!$AB$20:$AB$23,"N/A")</f>
        <v>S</v>
      </c>
    </row>
    <row r="1109" spans="1:47" ht="12" hidden="1" customHeight="1" x14ac:dyDescent="0.3">
      <c r="A1109" s="87" t="s">
        <v>47</v>
      </c>
      <c r="B1109" s="88">
        <v>46104</v>
      </c>
      <c r="C1109" s="89" t="s">
        <v>48</v>
      </c>
      <c r="D1109" s="89" t="s">
        <v>49</v>
      </c>
      <c r="E1109" s="90">
        <v>85550004</v>
      </c>
      <c r="F1109" s="184" t="s">
        <v>3221</v>
      </c>
      <c r="G1109" s="91">
        <v>39106601855</v>
      </c>
      <c r="H1109" s="92">
        <v>33139</v>
      </c>
      <c r="I1109" s="89">
        <v>35</v>
      </c>
      <c r="J1109" s="89" t="s">
        <v>51</v>
      </c>
      <c r="K1109" s="89" t="s">
        <v>52</v>
      </c>
      <c r="L1109" s="89" t="s">
        <v>331</v>
      </c>
      <c r="M1109" s="89" t="s">
        <v>3222</v>
      </c>
      <c r="N1109" s="89" t="s">
        <v>130</v>
      </c>
      <c r="O1109" s="93" t="s">
        <v>3223</v>
      </c>
      <c r="P1109" s="94" t="s">
        <v>57</v>
      </c>
      <c r="Q1109" s="112" t="s">
        <v>2211</v>
      </c>
      <c r="R1109" s="95"/>
      <c r="S1109" s="96">
        <v>46164</v>
      </c>
      <c r="T1109" s="96" t="s">
        <v>2212</v>
      </c>
      <c r="U1109" s="96" t="s">
        <v>79</v>
      </c>
      <c r="V1109" s="92">
        <v>46147</v>
      </c>
      <c r="W1109" s="92">
        <v>46154</v>
      </c>
      <c r="X1109" s="92">
        <v>46160</v>
      </c>
      <c r="Y1109" s="97"/>
      <c r="Z1109" s="89"/>
      <c r="AA1109" s="96"/>
      <c r="AB1109" s="89"/>
      <c r="AC1109" s="111"/>
      <c r="AD1109" s="89"/>
      <c r="AE1109" s="89"/>
      <c r="AF1109" s="98"/>
      <c r="AG1109" s="98"/>
      <c r="AH1109" s="98"/>
      <c r="AI1109" s="99"/>
      <c r="AJ1109" s="99"/>
      <c r="AK1109" s="99"/>
      <c r="AL1109" s="45" t="s">
        <v>68</v>
      </c>
      <c r="AM1109" s="162" t="str">
        <f t="shared" si="136"/>
        <v>3/2026</v>
      </c>
      <c r="AN1109" s="45">
        <f t="shared" si="137"/>
        <v>4</v>
      </c>
      <c r="AO1109" s="45" t="str">
        <f t="shared" si="138"/>
        <v>1/1900</v>
      </c>
      <c r="AP1109" s="45" t="e">
        <f t="shared" si="139"/>
        <v>#NUM!</v>
      </c>
      <c r="AQ1109" s="45">
        <f t="shared" si="140"/>
        <v>0</v>
      </c>
      <c r="AR1109" s="45">
        <f t="shared" si="141"/>
        <v>0</v>
      </c>
      <c r="AS1109" s="45">
        <f t="shared" si="142"/>
        <v>0</v>
      </c>
      <c r="AT1109" s="45">
        <f t="shared" si="143"/>
        <v>0</v>
      </c>
      <c r="AU1109" s="45" t="str">
        <f>_xlfn.XLOOKUP(U1109,'Lista Suspensa'!$AA$20:$AA$23,'Lista Suspensa'!$AB$20:$AB$23,"N/A")</f>
        <v>S</v>
      </c>
    </row>
    <row r="1110" spans="1:47" ht="12" hidden="1" customHeight="1" x14ac:dyDescent="0.3">
      <c r="A1110" s="87" t="s">
        <v>47</v>
      </c>
      <c r="B1110" s="88">
        <v>46104</v>
      </c>
      <c r="C1110" s="89" t="s">
        <v>48</v>
      </c>
      <c r="D1110" s="89" t="s">
        <v>49</v>
      </c>
      <c r="E1110" s="90">
        <v>593909836</v>
      </c>
      <c r="F1110" s="184" t="s">
        <v>3224</v>
      </c>
      <c r="G1110" s="91">
        <v>33285863854</v>
      </c>
      <c r="H1110" s="92">
        <v>20976</v>
      </c>
      <c r="I1110" s="89">
        <v>68</v>
      </c>
      <c r="J1110" s="89" t="s">
        <v>70</v>
      </c>
      <c r="K1110" s="89" t="s">
        <v>52</v>
      </c>
      <c r="L1110" s="89" t="s">
        <v>331</v>
      </c>
      <c r="M1110" s="89" t="s">
        <v>481</v>
      </c>
      <c r="N1110" s="89" t="s">
        <v>130</v>
      </c>
      <c r="O1110" s="93" t="s">
        <v>3225</v>
      </c>
      <c r="P1110" s="94" t="s">
        <v>57</v>
      </c>
      <c r="Q1110" s="112" t="s">
        <v>2211</v>
      </c>
      <c r="R1110" s="95"/>
      <c r="S1110" s="96">
        <v>46164</v>
      </c>
      <c r="T1110" s="96" t="s">
        <v>2212</v>
      </c>
      <c r="U1110" s="96" t="s">
        <v>79</v>
      </c>
      <c r="V1110" s="92">
        <v>46147</v>
      </c>
      <c r="W1110" s="92">
        <v>46154</v>
      </c>
      <c r="X1110" s="92">
        <v>46160</v>
      </c>
      <c r="Y1110" s="97"/>
      <c r="Z1110" s="89"/>
      <c r="AA1110" s="96"/>
      <c r="AB1110" s="89"/>
      <c r="AC1110" s="111"/>
      <c r="AD1110" s="89"/>
      <c r="AE1110" s="89"/>
      <c r="AF1110" s="98"/>
      <c r="AG1110" s="98"/>
      <c r="AH1110" s="98"/>
      <c r="AI1110" s="99"/>
      <c r="AJ1110" s="99"/>
      <c r="AK1110" s="99"/>
      <c r="AL1110" s="45" t="s">
        <v>68</v>
      </c>
      <c r="AM1110" s="162" t="str">
        <f t="shared" si="136"/>
        <v>3/2026</v>
      </c>
      <c r="AN1110" s="45">
        <f t="shared" si="137"/>
        <v>4</v>
      </c>
      <c r="AO1110" s="45" t="str">
        <f t="shared" si="138"/>
        <v>1/1900</v>
      </c>
      <c r="AP1110" s="45" t="e">
        <f t="shared" si="139"/>
        <v>#NUM!</v>
      </c>
      <c r="AQ1110" s="45">
        <f t="shared" si="140"/>
        <v>0</v>
      </c>
      <c r="AR1110" s="45">
        <f t="shared" si="141"/>
        <v>0</v>
      </c>
      <c r="AS1110" s="45">
        <f t="shared" si="142"/>
        <v>0</v>
      </c>
      <c r="AT1110" s="45">
        <f t="shared" si="143"/>
        <v>0</v>
      </c>
      <c r="AU1110" s="45" t="str">
        <f>_xlfn.XLOOKUP(U1110,'Lista Suspensa'!$AA$20:$AA$23,'Lista Suspensa'!$AB$20:$AB$23,"N/A")</f>
        <v>S</v>
      </c>
    </row>
    <row r="1111" spans="1:47" ht="12" hidden="1" customHeight="1" x14ac:dyDescent="0.3">
      <c r="A1111" s="87" t="s">
        <v>47</v>
      </c>
      <c r="B1111" s="88">
        <v>46104</v>
      </c>
      <c r="C1111" s="89" t="s">
        <v>48</v>
      </c>
      <c r="D1111" s="89" t="s">
        <v>49</v>
      </c>
      <c r="E1111" s="90">
        <v>593880722</v>
      </c>
      <c r="F1111" s="184" t="s">
        <v>3226</v>
      </c>
      <c r="G1111" s="91">
        <v>55260624491</v>
      </c>
      <c r="H1111" s="92">
        <v>23979</v>
      </c>
      <c r="I1111" s="89">
        <v>60</v>
      </c>
      <c r="J1111" s="89" t="s">
        <v>51</v>
      </c>
      <c r="K1111" s="89" t="s">
        <v>52</v>
      </c>
      <c r="L1111" s="89" t="s">
        <v>331</v>
      </c>
      <c r="M1111" s="89" t="s">
        <v>332</v>
      </c>
      <c r="N1111" s="89" t="s">
        <v>130</v>
      </c>
      <c r="O1111" s="93" t="s">
        <v>3227</v>
      </c>
      <c r="P1111" s="94" t="s">
        <v>57</v>
      </c>
      <c r="Q1111" s="112" t="s">
        <v>2211</v>
      </c>
      <c r="R1111" s="95"/>
      <c r="S1111" s="96">
        <v>46164</v>
      </c>
      <c r="T1111" s="96" t="s">
        <v>2212</v>
      </c>
      <c r="U1111" s="96" t="s">
        <v>79</v>
      </c>
      <c r="V1111" s="92">
        <v>46147</v>
      </c>
      <c r="W1111" s="92">
        <v>46154</v>
      </c>
      <c r="X1111" s="92">
        <v>46160</v>
      </c>
      <c r="Y1111" s="97"/>
      <c r="Z1111" s="89"/>
      <c r="AA1111" s="96"/>
      <c r="AB1111" s="89"/>
      <c r="AC1111" s="111"/>
      <c r="AD1111" s="89"/>
      <c r="AE1111" s="89"/>
      <c r="AF1111" s="98"/>
      <c r="AG1111" s="98"/>
      <c r="AH1111" s="98"/>
      <c r="AI1111" s="99"/>
      <c r="AJ1111" s="99"/>
      <c r="AK1111" s="99"/>
      <c r="AL1111" s="45" t="s">
        <v>68</v>
      </c>
      <c r="AM1111" s="162" t="str">
        <f t="shared" si="136"/>
        <v>3/2026</v>
      </c>
      <c r="AN1111" s="45">
        <f t="shared" si="137"/>
        <v>4</v>
      </c>
      <c r="AO1111" s="45" t="str">
        <f t="shared" si="138"/>
        <v>1/1900</v>
      </c>
      <c r="AP1111" s="45" t="e">
        <f t="shared" si="139"/>
        <v>#NUM!</v>
      </c>
      <c r="AQ1111" s="45">
        <f t="shared" si="140"/>
        <v>0</v>
      </c>
      <c r="AR1111" s="45">
        <f t="shared" si="141"/>
        <v>0</v>
      </c>
      <c r="AS1111" s="45">
        <f t="shared" si="142"/>
        <v>0</v>
      </c>
      <c r="AT1111" s="45">
        <f t="shared" si="143"/>
        <v>0</v>
      </c>
      <c r="AU1111" s="45" t="str">
        <f>_xlfn.XLOOKUP(U1111,'Lista Suspensa'!$AA$20:$AA$23,'Lista Suspensa'!$AB$20:$AB$23,"N/A")</f>
        <v>S</v>
      </c>
    </row>
    <row r="1112" spans="1:47" ht="12" hidden="1" customHeight="1" x14ac:dyDescent="0.3">
      <c r="A1112" s="87" t="s">
        <v>47</v>
      </c>
      <c r="B1112" s="88">
        <v>46104</v>
      </c>
      <c r="C1112" s="89" t="s">
        <v>48</v>
      </c>
      <c r="D1112" s="89" t="s">
        <v>49</v>
      </c>
      <c r="E1112" s="90">
        <v>73272150</v>
      </c>
      <c r="F1112" s="184" t="s">
        <v>3228</v>
      </c>
      <c r="G1112" s="91">
        <v>73041769468</v>
      </c>
      <c r="H1112" s="92">
        <v>25987</v>
      </c>
      <c r="I1112" s="89">
        <v>55</v>
      </c>
      <c r="J1112" s="89" t="s">
        <v>70</v>
      </c>
      <c r="K1112" s="89" t="s">
        <v>52</v>
      </c>
      <c r="L1112" s="89" t="s">
        <v>331</v>
      </c>
      <c r="M1112" s="89" t="s">
        <v>3229</v>
      </c>
      <c r="N1112" s="89" t="s">
        <v>130</v>
      </c>
      <c r="O1112" s="93" t="s">
        <v>3230</v>
      </c>
      <c r="P1112" s="94" t="s">
        <v>57</v>
      </c>
      <c r="Q1112" s="112" t="s">
        <v>2211</v>
      </c>
      <c r="R1112" s="95"/>
      <c r="S1112" s="96">
        <v>46164</v>
      </c>
      <c r="T1112" s="96" t="s">
        <v>2212</v>
      </c>
      <c r="U1112" s="96" t="s">
        <v>79</v>
      </c>
      <c r="V1112" s="92">
        <v>46147</v>
      </c>
      <c r="W1112" s="92">
        <v>46154</v>
      </c>
      <c r="X1112" s="92">
        <v>46160</v>
      </c>
      <c r="Y1112" s="97"/>
      <c r="Z1112" s="89"/>
      <c r="AA1112" s="96"/>
      <c r="AB1112" s="89"/>
      <c r="AC1112" s="111"/>
      <c r="AD1112" s="89"/>
      <c r="AE1112" s="89"/>
      <c r="AF1112" s="98"/>
      <c r="AG1112" s="98"/>
      <c r="AH1112" s="98"/>
      <c r="AI1112" s="99"/>
      <c r="AJ1112" s="99"/>
      <c r="AK1112" s="99"/>
      <c r="AL1112" s="45" t="s">
        <v>68</v>
      </c>
      <c r="AM1112" s="162" t="str">
        <f t="shared" si="136"/>
        <v>3/2026</v>
      </c>
      <c r="AN1112" s="45">
        <f t="shared" si="137"/>
        <v>4</v>
      </c>
      <c r="AO1112" s="45" t="str">
        <f t="shared" si="138"/>
        <v>1/1900</v>
      </c>
      <c r="AP1112" s="45" t="e">
        <f t="shared" si="139"/>
        <v>#NUM!</v>
      </c>
      <c r="AQ1112" s="45">
        <f t="shared" si="140"/>
        <v>0</v>
      </c>
      <c r="AR1112" s="45">
        <f t="shared" si="141"/>
        <v>0</v>
      </c>
      <c r="AS1112" s="45">
        <f t="shared" si="142"/>
        <v>0</v>
      </c>
      <c r="AT1112" s="45">
        <f t="shared" si="143"/>
        <v>0</v>
      </c>
      <c r="AU1112" s="45" t="str">
        <f>_xlfn.XLOOKUP(U1112,'Lista Suspensa'!$AA$20:$AA$23,'Lista Suspensa'!$AB$20:$AB$23,"N/A")</f>
        <v>S</v>
      </c>
    </row>
    <row r="1113" spans="1:47" ht="12" hidden="1" customHeight="1" x14ac:dyDescent="0.3">
      <c r="A1113" s="87" t="s">
        <v>47</v>
      </c>
      <c r="B1113" s="88">
        <v>46104</v>
      </c>
      <c r="C1113" s="89" t="s">
        <v>48</v>
      </c>
      <c r="D1113" s="89" t="s">
        <v>49</v>
      </c>
      <c r="E1113" s="90">
        <v>593968905</v>
      </c>
      <c r="F1113" s="184" t="s">
        <v>3231</v>
      </c>
      <c r="G1113" s="91">
        <v>13914051884</v>
      </c>
      <c r="H1113" s="92">
        <v>18844</v>
      </c>
      <c r="I1113" s="89">
        <v>74</v>
      </c>
      <c r="J1113" s="89" t="s">
        <v>70</v>
      </c>
      <c r="K1113" s="89" t="s">
        <v>52</v>
      </c>
      <c r="L1113" s="89" t="s">
        <v>331</v>
      </c>
      <c r="M1113" s="89" t="s">
        <v>3232</v>
      </c>
      <c r="N1113" s="89" t="s">
        <v>130</v>
      </c>
      <c r="O1113" s="93" t="s">
        <v>3233</v>
      </c>
      <c r="P1113" s="94" t="s">
        <v>57</v>
      </c>
      <c r="Q1113" s="112" t="s">
        <v>2211</v>
      </c>
      <c r="R1113" s="95"/>
      <c r="S1113" s="96">
        <v>46164</v>
      </c>
      <c r="T1113" s="96" t="s">
        <v>2212</v>
      </c>
      <c r="U1113" s="96" t="s">
        <v>79</v>
      </c>
      <c r="V1113" s="92">
        <v>46147</v>
      </c>
      <c r="W1113" s="92">
        <v>46154</v>
      </c>
      <c r="X1113" s="92">
        <v>46160</v>
      </c>
      <c r="Y1113" s="97"/>
      <c r="Z1113" s="89"/>
      <c r="AA1113" s="96"/>
      <c r="AB1113" s="89"/>
      <c r="AC1113" s="111"/>
      <c r="AD1113" s="89"/>
      <c r="AE1113" s="89"/>
      <c r="AF1113" s="98"/>
      <c r="AG1113" s="98"/>
      <c r="AH1113" s="98"/>
      <c r="AI1113" s="99"/>
      <c r="AJ1113" s="99"/>
      <c r="AK1113" s="99"/>
      <c r="AL1113" s="45" t="s">
        <v>68</v>
      </c>
      <c r="AM1113" s="162" t="str">
        <f t="shared" si="136"/>
        <v>3/2026</v>
      </c>
      <c r="AN1113" s="45">
        <f t="shared" si="137"/>
        <v>4</v>
      </c>
      <c r="AO1113" s="45" t="str">
        <f t="shared" si="138"/>
        <v>1/1900</v>
      </c>
      <c r="AP1113" s="45" t="e">
        <f t="shared" si="139"/>
        <v>#NUM!</v>
      </c>
      <c r="AQ1113" s="45">
        <f t="shared" si="140"/>
        <v>0</v>
      </c>
      <c r="AR1113" s="45">
        <f t="shared" si="141"/>
        <v>0</v>
      </c>
      <c r="AS1113" s="45">
        <f t="shared" si="142"/>
        <v>0</v>
      </c>
      <c r="AT1113" s="45">
        <f t="shared" si="143"/>
        <v>0</v>
      </c>
      <c r="AU1113" s="45" t="str">
        <f>_xlfn.XLOOKUP(U1113,'Lista Suspensa'!$AA$20:$AA$23,'Lista Suspensa'!$AB$20:$AB$23,"N/A")</f>
        <v>S</v>
      </c>
    </row>
    <row r="1114" spans="1:47" ht="12" hidden="1" customHeight="1" x14ac:dyDescent="0.3">
      <c r="A1114" s="87" t="s">
        <v>47</v>
      </c>
      <c r="B1114" s="88">
        <v>46104</v>
      </c>
      <c r="C1114" s="89" t="s">
        <v>48</v>
      </c>
      <c r="D1114" s="89" t="s">
        <v>49</v>
      </c>
      <c r="E1114" s="90">
        <v>593965000</v>
      </c>
      <c r="F1114" s="184" t="s">
        <v>3234</v>
      </c>
      <c r="G1114" s="91">
        <v>15688424818</v>
      </c>
      <c r="H1114" s="92">
        <v>20861</v>
      </c>
      <c r="I1114" s="89">
        <v>69</v>
      </c>
      <c r="J1114" s="89" t="s">
        <v>70</v>
      </c>
      <c r="K1114" s="89" t="s">
        <v>52</v>
      </c>
      <c r="L1114" s="89" t="s">
        <v>331</v>
      </c>
      <c r="M1114" s="89" t="s">
        <v>1771</v>
      </c>
      <c r="N1114" s="89" t="s">
        <v>130</v>
      </c>
      <c r="O1114" s="93" t="s">
        <v>3235</v>
      </c>
      <c r="P1114" s="94" t="s">
        <v>57</v>
      </c>
      <c r="Q1114" s="112" t="s">
        <v>2211</v>
      </c>
      <c r="R1114" s="95"/>
      <c r="S1114" s="96">
        <v>46164</v>
      </c>
      <c r="T1114" s="96" t="s">
        <v>2212</v>
      </c>
      <c r="U1114" s="96" t="s">
        <v>79</v>
      </c>
      <c r="V1114" s="92">
        <v>46147</v>
      </c>
      <c r="W1114" s="92">
        <v>46154</v>
      </c>
      <c r="X1114" s="92">
        <v>46160</v>
      </c>
      <c r="Y1114" s="97"/>
      <c r="Z1114" s="89"/>
      <c r="AA1114" s="96"/>
      <c r="AB1114" s="89"/>
      <c r="AC1114" s="111"/>
      <c r="AD1114" s="89"/>
      <c r="AE1114" s="89"/>
      <c r="AF1114" s="98"/>
      <c r="AG1114" s="98"/>
      <c r="AH1114" s="98"/>
      <c r="AI1114" s="99"/>
      <c r="AJ1114" s="99"/>
      <c r="AK1114" s="99"/>
      <c r="AL1114" s="45" t="s">
        <v>68</v>
      </c>
      <c r="AM1114" s="162" t="str">
        <f t="shared" si="136"/>
        <v>3/2026</v>
      </c>
      <c r="AN1114" s="45">
        <f t="shared" si="137"/>
        <v>4</v>
      </c>
      <c r="AO1114" s="45" t="str">
        <f t="shared" si="138"/>
        <v>1/1900</v>
      </c>
      <c r="AP1114" s="45" t="e">
        <f t="shared" si="139"/>
        <v>#NUM!</v>
      </c>
      <c r="AQ1114" s="45">
        <f t="shared" si="140"/>
        <v>0</v>
      </c>
      <c r="AR1114" s="45">
        <f t="shared" si="141"/>
        <v>0</v>
      </c>
      <c r="AS1114" s="45">
        <f t="shared" si="142"/>
        <v>0</v>
      </c>
      <c r="AT1114" s="45">
        <f t="shared" si="143"/>
        <v>0</v>
      </c>
      <c r="AU1114" s="45" t="str">
        <f>_xlfn.XLOOKUP(U1114,'Lista Suspensa'!$AA$20:$AA$23,'Lista Suspensa'!$AB$20:$AB$23,"N/A")</f>
        <v>S</v>
      </c>
    </row>
    <row r="1115" spans="1:47" ht="12" hidden="1" customHeight="1" x14ac:dyDescent="0.3">
      <c r="A1115" s="87" t="s">
        <v>47</v>
      </c>
      <c r="B1115" s="88">
        <v>46104</v>
      </c>
      <c r="C1115" s="89" t="s">
        <v>48</v>
      </c>
      <c r="D1115" s="89" t="s">
        <v>49</v>
      </c>
      <c r="E1115" s="90">
        <v>77805046</v>
      </c>
      <c r="F1115" s="184" t="s">
        <v>3236</v>
      </c>
      <c r="G1115" s="91">
        <v>80659330768</v>
      </c>
      <c r="H1115" s="92">
        <v>24055</v>
      </c>
      <c r="I1115" s="89">
        <v>60</v>
      </c>
      <c r="J1115" s="89" t="s">
        <v>70</v>
      </c>
      <c r="K1115" s="89" t="s">
        <v>88</v>
      </c>
      <c r="L1115" s="89" t="s">
        <v>89</v>
      </c>
      <c r="M1115" s="89" t="s">
        <v>76</v>
      </c>
      <c r="N1115" s="89" t="s">
        <v>130</v>
      </c>
      <c r="O1115" s="93" t="s">
        <v>3237</v>
      </c>
      <c r="P1115" s="94" t="s">
        <v>57</v>
      </c>
      <c r="Q1115" s="112" t="s">
        <v>2211</v>
      </c>
      <c r="R1115" s="95"/>
      <c r="S1115" s="96">
        <v>46164</v>
      </c>
      <c r="T1115" s="96" t="s">
        <v>2212</v>
      </c>
      <c r="U1115" s="96" t="s">
        <v>79</v>
      </c>
      <c r="V1115" s="92">
        <v>46128</v>
      </c>
      <c r="W1115" s="92">
        <v>46154</v>
      </c>
      <c r="X1115" s="92">
        <v>46160</v>
      </c>
      <c r="Y1115" s="97"/>
      <c r="Z1115" s="89"/>
      <c r="AA1115" s="96"/>
      <c r="AB1115" s="89"/>
      <c r="AC1115" s="111"/>
      <c r="AD1115" s="89"/>
      <c r="AE1115" s="89"/>
      <c r="AF1115" s="98"/>
      <c r="AG1115" s="98"/>
      <c r="AH1115" s="98"/>
      <c r="AI1115" s="99"/>
      <c r="AJ1115" s="99"/>
      <c r="AK1115" s="99"/>
      <c r="AL1115" s="45" t="s">
        <v>68</v>
      </c>
      <c r="AM1115" s="162" t="str">
        <f t="shared" si="136"/>
        <v>3/2026</v>
      </c>
      <c r="AN1115" s="45">
        <f t="shared" si="137"/>
        <v>4</v>
      </c>
      <c r="AO1115" s="45" t="str">
        <f t="shared" si="138"/>
        <v>1/1900</v>
      </c>
      <c r="AP1115" s="45" t="e">
        <f t="shared" si="139"/>
        <v>#NUM!</v>
      </c>
      <c r="AQ1115" s="45">
        <f t="shared" si="140"/>
        <v>0</v>
      </c>
      <c r="AR1115" s="45">
        <f t="shared" si="141"/>
        <v>0</v>
      </c>
      <c r="AS1115" s="45">
        <f t="shared" si="142"/>
        <v>0</v>
      </c>
      <c r="AT1115" s="45">
        <f t="shared" si="143"/>
        <v>0</v>
      </c>
      <c r="AU1115" s="45" t="str">
        <f>_xlfn.XLOOKUP(U1115,'Lista Suspensa'!$AA$20:$AA$23,'Lista Suspensa'!$AB$20:$AB$23,"N/A")</f>
        <v>S</v>
      </c>
    </row>
    <row r="1116" spans="1:47" ht="12" hidden="1" customHeight="1" x14ac:dyDescent="0.3">
      <c r="A1116" s="87" t="s">
        <v>47</v>
      </c>
      <c r="B1116" s="88">
        <v>46104</v>
      </c>
      <c r="C1116" s="89" t="s">
        <v>48</v>
      </c>
      <c r="D1116" s="89" t="s">
        <v>49</v>
      </c>
      <c r="E1116" s="90">
        <v>594616603</v>
      </c>
      <c r="F1116" s="184" t="s">
        <v>3238</v>
      </c>
      <c r="G1116" s="91">
        <v>13224162813</v>
      </c>
      <c r="H1116" s="92">
        <v>23628</v>
      </c>
      <c r="I1116" s="89">
        <v>61</v>
      </c>
      <c r="J1116" s="89" t="s">
        <v>51</v>
      </c>
      <c r="K1116" s="89" t="s">
        <v>52</v>
      </c>
      <c r="L1116" s="89" t="s">
        <v>2161</v>
      </c>
      <c r="M1116" s="89" t="s">
        <v>76</v>
      </c>
      <c r="N1116" s="89" t="s">
        <v>130</v>
      </c>
      <c r="O1116" s="93" t="s">
        <v>3239</v>
      </c>
      <c r="P1116" s="94" t="s">
        <v>57</v>
      </c>
      <c r="Q1116" s="112" t="s">
        <v>2211</v>
      </c>
      <c r="R1116" s="95"/>
      <c r="S1116" s="96">
        <v>46164</v>
      </c>
      <c r="T1116" s="96" t="s">
        <v>2212</v>
      </c>
      <c r="U1116" s="96" t="s">
        <v>79</v>
      </c>
      <c r="V1116" s="92">
        <v>46122</v>
      </c>
      <c r="W1116" s="92">
        <v>46154</v>
      </c>
      <c r="X1116" s="92">
        <v>46160</v>
      </c>
      <c r="Y1116" s="97"/>
      <c r="Z1116" s="89"/>
      <c r="AA1116" s="96"/>
      <c r="AB1116" s="89"/>
      <c r="AC1116" s="111"/>
      <c r="AD1116" s="89"/>
      <c r="AE1116" s="89"/>
      <c r="AF1116" s="98"/>
      <c r="AG1116" s="98"/>
      <c r="AH1116" s="98"/>
      <c r="AI1116" s="99"/>
      <c r="AJ1116" s="99"/>
      <c r="AK1116" s="99"/>
      <c r="AL1116" s="45" t="s">
        <v>68</v>
      </c>
      <c r="AM1116" s="162" t="str">
        <f t="shared" si="136"/>
        <v>3/2026</v>
      </c>
      <c r="AN1116" s="45">
        <f t="shared" si="137"/>
        <v>4</v>
      </c>
      <c r="AO1116" s="45" t="str">
        <f t="shared" si="138"/>
        <v>1/1900</v>
      </c>
      <c r="AP1116" s="45" t="e">
        <f t="shared" si="139"/>
        <v>#NUM!</v>
      </c>
      <c r="AQ1116" s="45">
        <f t="shared" si="140"/>
        <v>0</v>
      </c>
      <c r="AR1116" s="45">
        <f t="shared" si="141"/>
        <v>0</v>
      </c>
      <c r="AS1116" s="45">
        <f t="shared" si="142"/>
        <v>0</v>
      </c>
      <c r="AT1116" s="45">
        <f t="shared" si="143"/>
        <v>0</v>
      </c>
      <c r="AU1116" s="45" t="str">
        <f>_xlfn.XLOOKUP(U1116,'Lista Suspensa'!$AA$20:$AA$23,'Lista Suspensa'!$AB$20:$AB$23,"N/A")</f>
        <v>S</v>
      </c>
    </row>
    <row r="1117" spans="1:47" ht="12" hidden="1" customHeight="1" x14ac:dyDescent="0.3">
      <c r="A1117" s="87" t="s">
        <v>47</v>
      </c>
      <c r="B1117" s="88">
        <v>46104</v>
      </c>
      <c r="C1117" s="89" t="s">
        <v>48</v>
      </c>
      <c r="D1117" s="89" t="s">
        <v>49</v>
      </c>
      <c r="E1117" s="90">
        <v>72156773</v>
      </c>
      <c r="F1117" s="184" t="s">
        <v>3240</v>
      </c>
      <c r="G1117" s="91">
        <v>22867389801</v>
      </c>
      <c r="H1117" s="92">
        <v>25550</v>
      </c>
      <c r="I1117" s="89">
        <v>56</v>
      </c>
      <c r="J1117" s="89" t="s">
        <v>70</v>
      </c>
      <c r="K1117" s="89" t="s">
        <v>52</v>
      </c>
      <c r="L1117" s="89" t="s">
        <v>53</v>
      </c>
      <c r="M1117" s="89" t="s">
        <v>2738</v>
      </c>
      <c r="N1117" s="89" t="s">
        <v>130</v>
      </c>
      <c r="O1117" s="93" t="s">
        <v>3241</v>
      </c>
      <c r="P1117" s="94" t="s">
        <v>57</v>
      </c>
      <c r="Q1117" s="112" t="s">
        <v>2211</v>
      </c>
      <c r="R1117" s="95"/>
      <c r="S1117" s="96">
        <v>46164</v>
      </c>
      <c r="T1117" s="96" t="s">
        <v>2212</v>
      </c>
      <c r="U1117" s="96" t="s">
        <v>79</v>
      </c>
      <c r="V1117" s="92">
        <v>46122</v>
      </c>
      <c r="W1117" s="92">
        <v>46154</v>
      </c>
      <c r="X1117" s="92">
        <v>46160</v>
      </c>
      <c r="Y1117" s="97"/>
      <c r="Z1117" s="89"/>
      <c r="AA1117" s="96"/>
      <c r="AB1117" s="89"/>
      <c r="AC1117" s="111"/>
      <c r="AD1117" s="89"/>
      <c r="AE1117" s="89"/>
      <c r="AF1117" s="98"/>
      <c r="AG1117" s="98"/>
      <c r="AH1117" s="98"/>
      <c r="AI1117" s="99"/>
      <c r="AJ1117" s="99"/>
      <c r="AK1117" s="99"/>
      <c r="AL1117" s="45" t="s">
        <v>68</v>
      </c>
      <c r="AM1117" s="162" t="str">
        <f t="shared" si="136"/>
        <v>3/2026</v>
      </c>
      <c r="AN1117" s="45">
        <f t="shared" si="137"/>
        <v>4</v>
      </c>
      <c r="AO1117" s="45" t="str">
        <f t="shared" si="138"/>
        <v>1/1900</v>
      </c>
      <c r="AP1117" s="45" t="e">
        <f t="shared" si="139"/>
        <v>#NUM!</v>
      </c>
      <c r="AQ1117" s="45">
        <f t="shared" si="140"/>
        <v>0</v>
      </c>
      <c r="AR1117" s="45">
        <f t="shared" si="141"/>
        <v>0</v>
      </c>
      <c r="AS1117" s="45">
        <f t="shared" si="142"/>
        <v>0</v>
      </c>
      <c r="AT1117" s="45">
        <f t="shared" si="143"/>
        <v>0</v>
      </c>
      <c r="AU1117" s="45" t="str">
        <f>_xlfn.XLOOKUP(U1117,'Lista Suspensa'!$AA$20:$AA$23,'Lista Suspensa'!$AB$20:$AB$23,"N/A")</f>
        <v>S</v>
      </c>
    </row>
    <row r="1118" spans="1:47" ht="12" hidden="1" customHeight="1" x14ac:dyDescent="0.3">
      <c r="A1118" s="87" t="s">
        <v>47</v>
      </c>
      <c r="B1118" s="88">
        <v>46104</v>
      </c>
      <c r="C1118" s="89" t="s">
        <v>48</v>
      </c>
      <c r="D1118" s="89" t="s">
        <v>49</v>
      </c>
      <c r="E1118" s="90">
        <v>593924975</v>
      </c>
      <c r="F1118" s="184" t="s">
        <v>3242</v>
      </c>
      <c r="G1118" s="91">
        <v>7340345809</v>
      </c>
      <c r="H1118" s="92">
        <v>23463</v>
      </c>
      <c r="I1118" s="89">
        <v>61</v>
      </c>
      <c r="J1118" s="89" t="s">
        <v>70</v>
      </c>
      <c r="K1118" s="89" t="s">
        <v>52</v>
      </c>
      <c r="L1118" s="89" t="s">
        <v>331</v>
      </c>
      <c r="M1118" s="89" t="s">
        <v>2223</v>
      </c>
      <c r="N1118" s="89" t="s">
        <v>130</v>
      </c>
      <c r="O1118" s="93" t="s">
        <v>3243</v>
      </c>
      <c r="P1118" s="94" t="s">
        <v>57</v>
      </c>
      <c r="Q1118" s="112" t="s">
        <v>2211</v>
      </c>
      <c r="R1118" s="95"/>
      <c r="S1118" s="96">
        <v>46164</v>
      </c>
      <c r="T1118" s="96" t="s">
        <v>2212</v>
      </c>
      <c r="U1118" s="96" t="s">
        <v>79</v>
      </c>
      <c r="V1118" s="92">
        <v>46147</v>
      </c>
      <c r="W1118" s="92">
        <v>46154</v>
      </c>
      <c r="X1118" s="92">
        <v>46160</v>
      </c>
      <c r="Y1118" s="97"/>
      <c r="Z1118" s="89"/>
      <c r="AA1118" s="96"/>
      <c r="AB1118" s="89"/>
      <c r="AC1118" s="111"/>
      <c r="AD1118" s="89"/>
      <c r="AE1118" s="89"/>
      <c r="AF1118" s="98"/>
      <c r="AG1118" s="98"/>
      <c r="AH1118" s="98"/>
      <c r="AI1118" s="99"/>
      <c r="AJ1118" s="99"/>
      <c r="AK1118" s="99"/>
      <c r="AL1118" s="45" t="s">
        <v>68</v>
      </c>
      <c r="AM1118" s="162" t="str">
        <f t="shared" si="136"/>
        <v>3/2026</v>
      </c>
      <c r="AN1118" s="45">
        <f t="shared" si="137"/>
        <v>4</v>
      </c>
      <c r="AO1118" s="45" t="str">
        <f t="shared" si="138"/>
        <v>1/1900</v>
      </c>
      <c r="AP1118" s="45" t="e">
        <f t="shared" si="139"/>
        <v>#NUM!</v>
      </c>
      <c r="AQ1118" s="45">
        <f t="shared" si="140"/>
        <v>0</v>
      </c>
      <c r="AR1118" s="45">
        <f t="shared" si="141"/>
        <v>0</v>
      </c>
      <c r="AS1118" s="45">
        <f t="shared" si="142"/>
        <v>0</v>
      </c>
      <c r="AT1118" s="45">
        <f t="shared" si="143"/>
        <v>0</v>
      </c>
      <c r="AU1118" s="45" t="str">
        <f>_xlfn.XLOOKUP(U1118,'Lista Suspensa'!$AA$20:$AA$23,'Lista Suspensa'!$AB$20:$AB$23,"N/A")</f>
        <v>S</v>
      </c>
    </row>
    <row r="1119" spans="1:47" ht="12" hidden="1" customHeight="1" x14ac:dyDescent="0.3">
      <c r="A1119" s="87" t="s">
        <v>47</v>
      </c>
      <c r="B1119" s="88">
        <v>46104</v>
      </c>
      <c r="C1119" s="89" t="s">
        <v>48</v>
      </c>
      <c r="D1119" s="89" t="s">
        <v>49</v>
      </c>
      <c r="E1119" s="90">
        <v>593896742</v>
      </c>
      <c r="F1119" s="184" t="s">
        <v>3244</v>
      </c>
      <c r="G1119" s="91">
        <v>37157149800</v>
      </c>
      <c r="H1119" s="92">
        <v>19767</v>
      </c>
      <c r="I1119" s="89">
        <v>72</v>
      </c>
      <c r="J1119" s="89" t="s">
        <v>70</v>
      </c>
      <c r="K1119" s="89" t="s">
        <v>52</v>
      </c>
      <c r="L1119" s="89" t="s">
        <v>331</v>
      </c>
      <c r="M1119" s="89" t="s">
        <v>3245</v>
      </c>
      <c r="N1119" s="89" t="s">
        <v>130</v>
      </c>
      <c r="O1119" s="93" t="s">
        <v>3246</v>
      </c>
      <c r="P1119" s="94" t="s">
        <v>57</v>
      </c>
      <c r="Q1119" s="112" t="s">
        <v>2211</v>
      </c>
      <c r="R1119" s="95"/>
      <c r="S1119" s="96">
        <v>46164</v>
      </c>
      <c r="T1119" s="96" t="s">
        <v>2212</v>
      </c>
      <c r="U1119" s="96" t="s">
        <v>79</v>
      </c>
      <c r="V1119" s="92">
        <v>46147</v>
      </c>
      <c r="W1119" s="92">
        <v>46154</v>
      </c>
      <c r="X1119" s="92">
        <v>46160</v>
      </c>
      <c r="Y1119" s="97"/>
      <c r="Z1119" s="89"/>
      <c r="AA1119" s="96"/>
      <c r="AB1119" s="89"/>
      <c r="AC1119" s="111"/>
      <c r="AD1119" s="89"/>
      <c r="AE1119" s="89"/>
      <c r="AF1119" s="98"/>
      <c r="AG1119" s="98"/>
      <c r="AH1119" s="98"/>
      <c r="AI1119" s="99"/>
      <c r="AJ1119" s="99"/>
      <c r="AK1119" s="99"/>
      <c r="AL1119" s="45" t="s">
        <v>68</v>
      </c>
      <c r="AM1119" s="162" t="str">
        <f t="shared" si="136"/>
        <v>3/2026</v>
      </c>
      <c r="AN1119" s="45">
        <f t="shared" si="137"/>
        <v>4</v>
      </c>
      <c r="AO1119" s="45" t="str">
        <f t="shared" si="138"/>
        <v>1/1900</v>
      </c>
      <c r="AP1119" s="45" t="e">
        <f t="shared" si="139"/>
        <v>#NUM!</v>
      </c>
      <c r="AQ1119" s="45">
        <f t="shared" si="140"/>
        <v>0</v>
      </c>
      <c r="AR1119" s="45">
        <f t="shared" si="141"/>
        <v>0</v>
      </c>
      <c r="AS1119" s="45">
        <f t="shared" si="142"/>
        <v>0</v>
      </c>
      <c r="AT1119" s="45">
        <f t="shared" si="143"/>
        <v>0</v>
      </c>
      <c r="AU1119" s="45" t="str">
        <f>_xlfn.XLOOKUP(U1119,'Lista Suspensa'!$AA$20:$AA$23,'Lista Suspensa'!$AB$20:$AB$23,"N/A")</f>
        <v>S</v>
      </c>
    </row>
    <row r="1120" spans="1:47" ht="12" hidden="1" customHeight="1" x14ac:dyDescent="0.3">
      <c r="A1120" s="87" t="s">
        <v>47</v>
      </c>
      <c r="B1120" s="88">
        <v>46104</v>
      </c>
      <c r="C1120" s="89" t="s">
        <v>48</v>
      </c>
      <c r="D1120" s="89" t="s">
        <v>49</v>
      </c>
      <c r="E1120" s="90">
        <v>594095557</v>
      </c>
      <c r="F1120" s="184" t="s">
        <v>3247</v>
      </c>
      <c r="G1120" s="91">
        <v>29648507805</v>
      </c>
      <c r="H1120" s="92">
        <v>22184</v>
      </c>
      <c r="I1120" s="89">
        <v>65</v>
      </c>
      <c r="J1120" s="89" t="s">
        <v>70</v>
      </c>
      <c r="K1120" s="89" t="s">
        <v>52</v>
      </c>
      <c r="L1120" s="89" t="s">
        <v>331</v>
      </c>
      <c r="M1120" s="89" t="s">
        <v>3245</v>
      </c>
      <c r="N1120" s="89" t="s">
        <v>130</v>
      </c>
      <c r="O1120" s="93" t="s">
        <v>3248</v>
      </c>
      <c r="P1120" s="94" t="s">
        <v>57</v>
      </c>
      <c r="Q1120" s="112" t="s">
        <v>2211</v>
      </c>
      <c r="R1120" s="95"/>
      <c r="S1120" s="96">
        <v>46164</v>
      </c>
      <c r="T1120" s="96" t="s">
        <v>2212</v>
      </c>
      <c r="U1120" s="96" t="s">
        <v>79</v>
      </c>
      <c r="V1120" s="92">
        <v>46122</v>
      </c>
      <c r="W1120" s="92">
        <v>46154</v>
      </c>
      <c r="X1120" s="92">
        <v>46160</v>
      </c>
      <c r="Y1120" s="97"/>
      <c r="Z1120" s="89"/>
      <c r="AA1120" s="96"/>
      <c r="AB1120" s="89"/>
      <c r="AC1120" s="111"/>
      <c r="AD1120" s="89"/>
      <c r="AE1120" s="89"/>
      <c r="AF1120" s="98"/>
      <c r="AG1120" s="98"/>
      <c r="AH1120" s="98"/>
      <c r="AI1120" s="99"/>
      <c r="AJ1120" s="99"/>
      <c r="AK1120" s="99"/>
      <c r="AL1120" s="45" t="s">
        <v>68</v>
      </c>
      <c r="AM1120" s="162" t="str">
        <f t="shared" si="136"/>
        <v>3/2026</v>
      </c>
      <c r="AN1120" s="45">
        <f t="shared" si="137"/>
        <v>4</v>
      </c>
      <c r="AO1120" s="45" t="str">
        <f t="shared" si="138"/>
        <v>1/1900</v>
      </c>
      <c r="AP1120" s="45" t="e">
        <f t="shared" si="139"/>
        <v>#NUM!</v>
      </c>
      <c r="AQ1120" s="45">
        <f t="shared" si="140"/>
        <v>0</v>
      </c>
      <c r="AR1120" s="45">
        <f t="shared" si="141"/>
        <v>0</v>
      </c>
      <c r="AS1120" s="45">
        <f t="shared" si="142"/>
        <v>0</v>
      </c>
      <c r="AT1120" s="45">
        <f t="shared" si="143"/>
        <v>0</v>
      </c>
      <c r="AU1120" s="45" t="str">
        <f>_xlfn.XLOOKUP(U1120,'Lista Suspensa'!$AA$20:$AA$23,'Lista Suspensa'!$AB$20:$AB$23,"N/A")</f>
        <v>S</v>
      </c>
    </row>
    <row r="1121" spans="1:47" ht="12" hidden="1" customHeight="1" x14ac:dyDescent="0.3">
      <c r="A1121" s="87" t="s">
        <v>47</v>
      </c>
      <c r="B1121" s="88">
        <v>46104</v>
      </c>
      <c r="C1121" s="89" t="s">
        <v>48</v>
      </c>
      <c r="D1121" s="89" t="s">
        <v>49</v>
      </c>
      <c r="E1121" s="90">
        <v>592732410</v>
      </c>
      <c r="F1121" s="184" t="s">
        <v>3249</v>
      </c>
      <c r="G1121" s="91">
        <v>5590351871</v>
      </c>
      <c r="H1121" s="92">
        <v>20692</v>
      </c>
      <c r="I1121" s="89">
        <v>69</v>
      </c>
      <c r="J1121" s="89" t="s">
        <v>70</v>
      </c>
      <c r="K1121" s="89" t="s">
        <v>52</v>
      </c>
      <c r="L1121" s="89" t="s">
        <v>331</v>
      </c>
      <c r="M1121" s="89" t="s">
        <v>532</v>
      </c>
      <c r="N1121" s="89" t="s">
        <v>130</v>
      </c>
      <c r="O1121" s="93" t="s">
        <v>3250</v>
      </c>
      <c r="P1121" s="94" t="s">
        <v>57</v>
      </c>
      <c r="Q1121" s="112" t="s">
        <v>2211</v>
      </c>
      <c r="R1121" s="95"/>
      <c r="S1121" s="96">
        <v>46164</v>
      </c>
      <c r="T1121" s="96" t="s">
        <v>2212</v>
      </c>
      <c r="U1121" s="96" t="s">
        <v>79</v>
      </c>
      <c r="V1121" s="92">
        <v>46147</v>
      </c>
      <c r="W1121" s="92">
        <v>46154</v>
      </c>
      <c r="X1121" s="92">
        <v>46160</v>
      </c>
      <c r="Y1121" s="97"/>
      <c r="Z1121" s="89"/>
      <c r="AA1121" s="96"/>
      <c r="AB1121" s="89"/>
      <c r="AC1121" s="111"/>
      <c r="AD1121" s="89"/>
      <c r="AE1121" s="89"/>
      <c r="AF1121" s="98"/>
      <c r="AG1121" s="98"/>
      <c r="AH1121" s="98"/>
      <c r="AI1121" s="99"/>
      <c r="AJ1121" s="99"/>
      <c r="AK1121" s="99"/>
      <c r="AL1121" s="45" t="s">
        <v>68</v>
      </c>
      <c r="AM1121" s="162" t="str">
        <f t="shared" si="136"/>
        <v>3/2026</v>
      </c>
      <c r="AN1121" s="45">
        <f t="shared" si="137"/>
        <v>4</v>
      </c>
      <c r="AO1121" s="45" t="str">
        <f t="shared" si="138"/>
        <v>1/1900</v>
      </c>
      <c r="AP1121" s="45" t="e">
        <f t="shared" si="139"/>
        <v>#NUM!</v>
      </c>
      <c r="AQ1121" s="45">
        <f t="shared" si="140"/>
        <v>0</v>
      </c>
      <c r="AR1121" s="45">
        <f t="shared" si="141"/>
        <v>0</v>
      </c>
      <c r="AS1121" s="45">
        <f t="shared" si="142"/>
        <v>0</v>
      </c>
      <c r="AT1121" s="45">
        <f t="shared" si="143"/>
        <v>0</v>
      </c>
      <c r="AU1121" s="45" t="str">
        <f>_xlfn.XLOOKUP(U1121,'Lista Suspensa'!$AA$20:$AA$23,'Lista Suspensa'!$AB$20:$AB$23,"N/A")</f>
        <v>S</v>
      </c>
    </row>
    <row r="1122" spans="1:47" ht="12" hidden="1" customHeight="1" x14ac:dyDescent="0.3">
      <c r="A1122" s="87" t="s">
        <v>47</v>
      </c>
      <c r="B1122" s="88">
        <v>46104</v>
      </c>
      <c r="C1122" s="89" t="s">
        <v>48</v>
      </c>
      <c r="D1122" s="89" t="s">
        <v>49</v>
      </c>
      <c r="E1122" s="90">
        <v>594118107</v>
      </c>
      <c r="F1122" s="184" t="s">
        <v>3251</v>
      </c>
      <c r="G1122" s="91">
        <v>30009687840</v>
      </c>
      <c r="H1122" s="92">
        <v>23480</v>
      </c>
      <c r="I1122" s="89">
        <v>61</v>
      </c>
      <c r="J1122" s="89" t="s">
        <v>70</v>
      </c>
      <c r="K1122" s="89" t="s">
        <v>52</v>
      </c>
      <c r="L1122" s="89" t="s">
        <v>331</v>
      </c>
      <c r="M1122" s="89" t="s">
        <v>3252</v>
      </c>
      <c r="N1122" s="89" t="s">
        <v>130</v>
      </c>
      <c r="O1122" s="93" t="s">
        <v>3253</v>
      </c>
      <c r="P1122" s="94" t="s">
        <v>57</v>
      </c>
      <c r="Q1122" s="112" t="s">
        <v>2211</v>
      </c>
      <c r="R1122" s="95"/>
      <c r="S1122" s="96">
        <v>46164</v>
      </c>
      <c r="T1122" s="96" t="s">
        <v>2212</v>
      </c>
      <c r="U1122" s="96" t="s">
        <v>79</v>
      </c>
      <c r="V1122" s="92">
        <v>46147</v>
      </c>
      <c r="W1122" s="92">
        <v>46154</v>
      </c>
      <c r="X1122" s="92">
        <v>46160</v>
      </c>
      <c r="Y1122" s="97"/>
      <c r="Z1122" s="89"/>
      <c r="AA1122" s="96"/>
      <c r="AB1122" s="89"/>
      <c r="AC1122" s="111"/>
      <c r="AD1122" s="89"/>
      <c r="AE1122" s="89"/>
      <c r="AF1122" s="98"/>
      <c r="AG1122" s="98"/>
      <c r="AH1122" s="98"/>
      <c r="AI1122" s="99"/>
      <c r="AJ1122" s="99"/>
      <c r="AK1122" s="99"/>
      <c r="AL1122" s="45" t="s">
        <v>68</v>
      </c>
      <c r="AM1122" s="162" t="str">
        <f t="shared" si="136"/>
        <v>3/2026</v>
      </c>
      <c r="AN1122" s="45">
        <f t="shared" si="137"/>
        <v>4</v>
      </c>
      <c r="AO1122" s="45" t="str">
        <f t="shared" si="138"/>
        <v>1/1900</v>
      </c>
      <c r="AP1122" s="45" t="e">
        <f t="shared" si="139"/>
        <v>#NUM!</v>
      </c>
      <c r="AQ1122" s="45">
        <f t="shared" si="140"/>
        <v>0</v>
      </c>
      <c r="AR1122" s="45">
        <f t="shared" si="141"/>
        <v>0</v>
      </c>
      <c r="AS1122" s="45">
        <f t="shared" si="142"/>
        <v>0</v>
      </c>
      <c r="AT1122" s="45">
        <f t="shared" si="143"/>
        <v>0</v>
      </c>
      <c r="AU1122" s="45" t="str">
        <f>_xlfn.XLOOKUP(U1122,'Lista Suspensa'!$AA$20:$AA$23,'Lista Suspensa'!$AB$20:$AB$23,"N/A")</f>
        <v>S</v>
      </c>
    </row>
    <row r="1123" spans="1:47" ht="12" hidden="1" customHeight="1" x14ac:dyDescent="0.3">
      <c r="A1123" s="87" t="s">
        <v>47</v>
      </c>
      <c r="B1123" s="88">
        <v>46104</v>
      </c>
      <c r="C1123" s="89" t="s">
        <v>48</v>
      </c>
      <c r="D1123" s="89" t="s">
        <v>49</v>
      </c>
      <c r="E1123" s="90">
        <v>75171407</v>
      </c>
      <c r="F1123" s="184" t="s">
        <v>3254</v>
      </c>
      <c r="G1123" s="91">
        <v>67978410706</v>
      </c>
      <c r="H1123" s="92">
        <v>22572</v>
      </c>
      <c r="I1123" s="89">
        <v>64</v>
      </c>
      <c r="J1123" s="89" t="s">
        <v>70</v>
      </c>
      <c r="K1123" s="89" t="s">
        <v>88</v>
      </c>
      <c r="L1123" s="89" t="s">
        <v>97</v>
      </c>
      <c r="M1123" s="89" t="s">
        <v>1018</v>
      </c>
      <c r="N1123" s="89" t="s">
        <v>130</v>
      </c>
      <c r="O1123" s="93" t="s">
        <v>3255</v>
      </c>
      <c r="P1123" s="94" t="s">
        <v>57</v>
      </c>
      <c r="Q1123" s="112" t="s">
        <v>2211</v>
      </c>
      <c r="R1123" s="95"/>
      <c r="S1123" s="96">
        <v>46164</v>
      </c>
      <c r="T1123" s="96" t="s">
        <v>2212</v>
      </c>
      <c r="U1123" s="96" t="s">
        <v>79</v>
      </c>
      <c r="V1123" s="92">
        <v>46122</v>
      </c>
      <c r="W1123" s="92">
        <v>46154</v>
      </c>
      <c r="X1123" s="92">
        <v>46160</v>
      </c>
      <c r="Y1123" s="97"/>
      <c r="Z1123" s="89"/>
      <c r="AA1123" s="96"/>
      <c r="AB1123" s="89"/>
      <c r="AC1123" s="111"/>
      <c r="AD1123" s="89"/>
      <c r="AE1123" s="89"/>
      <c r="AF1123" s="98"/>
      <c r="AG1123" s="98"/>
      <c r="AH1123" s="98"/>
      <c r="AI1123" s="99"/>
      <c r="AJ1123" s="99"/>
      <c r="AK1123" s="99"/>
      <c r="AL1123" s="45" t="s">
        <v>68</v>
      </c>
      <c r="AM1123" s="162" t="str">
        <f t="shared" si="136"/>
        <v>3/2026</v>
      </c>
      <c r="AN1123" s="45">
        <f t="shared" si="137"/>
        <v>4</v>
      </c>
      <c r="AO1123" s="45" t="str">
        <f t="shared" si="138"/>
        <v>1/1900</v>
      </c>
      <c r="AP1123" s="45" t="e">
        <f t="shared" si="139"/>
        <v>#NUM!</v>
      </c>
      <c r="AQ1123" s="45">
        <f t="shared" si="140"/>
        <v>0</v>
      </c>
      <c r="AR1123" s="45">
        <f t="shared" si="141"/>
        <v>0</v>
      </c>
      <c r="AS1123" s="45">
        <f t="shared" si="142"/>
        <v>0</v>
      </c>
      <c r="AT1123" s="45">
        <f t="shared" si="143"/>
        <v>0</v>
      </c>
      <c r="AU1123" s="45" t="str">
        <f>_xlfn.XLOOKUP(U1123,'Lista Suspensa'!$AA$20:$AA$23,'Lista Suspensa'!$AB$20:$AB$23,"N/A")</f>
        <v>S</v>
      </c>
    </row>
    <row r="1124" spans="1:47" ht="12" hidden="1" customHeight="1" x14ac:dyDescent="0.3">
      <c r="A1124" s="87" t="s">
        <v>47</v>
      </c>
      <c r="B1124" s="88">
        <v>46104</v>
      </c>
      <c r="C1124" s="89" t="s">
        <v>48</v>
      </c>
      <c r="D1124" s="89" t="s">
        <v>49</v>
      </c>
      <c r="E1124" s="90">
        <v>72437382</v>
      </c>
      <c r="F1124" s="184" t="s">
        <v>3256</v>
      </c>
      <c r="G1124" s="91">
        <v>39352951891</v>
      </c>
      <c r="H1124" s="92">
        <v>18504</v>
      </c>
      <c r="I1124" s="89">
        <v>75</v>
      </c>
      <c r="J1124" s="89" t="s">
        <v>51</v>
      </c>
      <c r="K1124" s="89" t="s">
        <v>52</v>
      </c>
      <c r="L1124" s="89" t="s">
        <v>53</v>
      </c>
      <c r="M1124" s="89" t="s">
        <v>901</v>
      </c>
      <c r="N1124" s="89" t="s">
        <v>130</v>
      </c>
      <c r="O1124" s="93" t="s">
        <v>3257</v>
      </c>
      <c r="P1124" s="94" t="s">
        <v>57</v>
      </c>
      <c r="Q1124" s="112" t="s">
        <v>2211</v>
      </c>
      <c r="R1124" s="95"/>
      <c r="S1124" s="96">
        <v>46164</v>
      </c>
      <c r="T1124" s="96" t="s">
        <v>2212</v>
      </c>
      <c r="U1124" s="96" t="s">
        <v>79</v>
      </c>
      <c r="V1124" s="92">
        <v>46112</v>
      </c>
      <c r="W1124" s="92">
        <v>46154</v>
      </c>
      <c r="X1124" s="92">
        <v>46160</v>
      </c>
      <c r="Y1124" s="97"/>
      <c r="Z1124" s="89"/>
      <c r="AA1124" s="96"/>
      <c r="AB1124" s="89"/>
      <c r="AC1124" s="111"/>
      <c r="AD1124" s="89"/>
      <c r="AE1124" s="89"/>
      <c r="AF1124" s="98"/>
      <c r="AG1124" s="98"/>
      <c r="AH1124" s="98"/>
      <c r="AI1124" s="99"/>
      <c r="AJ1124" s="99"/>
      <c r="AK1124" s="99"/>
      <c r="AL1124" s="45" t="s">
        <v>68</v>
      </c>
      <c r="AM1124" s="162" t="str">
        <f t="shared" si="136"/>
        <v>3/2026</v>
      </c>
      <c r="AN1124" s="45">
        <f t="shared" si="137"/>
        <v>4</v>
      </c>
      <c r="AO1124" s="45" t="str">
        <f t="shared" si="138"/>
        <v>1/1900</v>
      </c>
      <c r="AP1124" s="45" t="e">
        <f t="shared" si="139"/>
        <v>#NUM!</v>
      </c>
      <c r="AQ1124" s="45">
        <f t="shared" si="140"/>
        <v>0</v>
      </c>
      <c r="AR1124" s="45">
        <f t="shared" si="141"/>
        <v>0</v>
      </c>
      <c r="AS1124" s="45">
        <f t="shared" si="142"/>
        <v>0</v>
      </c>
      <c r="AT1124" s="45">
        <f t="shared" si="143"/>
        <v>0</v>
      </c>
      <c r="AU1124" s="45" t="str">
        <f>_xlfn.XLOOKUP(U1124,'Lista Suspensa'!$AA$20:$AA$23,'Lista Suspensa'!$AB$20:$AB$23,"N/A")</f>
        <v>S</v>
      </c>
    </row>
    <row r="1125" spans="1:47" ht="12" hidden="1" customHeight="1" x14ac:dyDescent="0.3">
      <c r="A1125" s="87" t="s">
        <v>47</v>
      </c>
      <c r="B1125" s="88">
        <v>46104</v>
      </c>
      <c r="C1125" s="89" t="s">
        <v>48</v>
      </c>
      <c r="D1125" s="89" t="s">
        <v>49</v>
      </c>
      <c r="E1125" s="90">
        <v>594006830</v>
      </c>
      <c r="F1125" s="184" t="s">
        <v>3258</v>
      </c>
      <c r="G1125" s="91">
        <v>17417414672</v>
      </c>
      <c r="H1125" s="92">
        <v>16203</v>
      </c>
      <c r="I1125" s="89">
        <v>81</v>
      </c>
      <c r="J1125" s="89" t="s">
        <v>70</v>
      </c>
      <c r="K1125" s="89" t="s">
        <v>52</v>
      </c>
      <c r="L1125" s="89" t="s">
        <v>331</v>
      </c>
      <c r="M1125" s="89" t="s">
        <v>3259</v>
      </c>
      <c r="N1125" s="89" t="s">
        <v>130</v>
      </c>
      <c r="O1125" s="93" t="s">
        <v>3260</v>
      </c>
      <c r="P1125" s="94" t="s">
        <v>57</v>
      </c>
      <c r="Q1125" s="112" t="s">
        <v>2211</v>
      </c>
      <c r="R1125" s="95"/>
      <c r="S1125" s="96">
        <v>46164</v>
      </c>
      <c r="T1125" s="96" t="s">
        <v>2212</v>
      </c>
      <c r="U1125" s="96" t="s">
        <v>79</v>
      </c>
      <c r="V1125" s="92">
        <v>46147</v>
      </c>
      <c r="W1125" s="92">
        <v>46154</v>
      </c>
      <c r="X1125" s="92">
        <v>46160</v>
      </c>
      <c r="Y1125" s="97"/>
      <c r="Z1125" s="89"/>
      <c r="AA1125" s="96"/>
      <c r="AB1125" s="89"/>
      <c r="AC1125" s="111"/>
      <c r="AD1125" s="89"/>
      <c r="AE1125" s="89"/>
      <c r="AF1125" s="98"/>
      <c r="AG1125" s="98"/>
      <c r="AH1125" s="98"/>
      <c r="AI1125" s="99"/>
      <c r="AJ1125" s="99"/>
      <c r="AK1125" s="99"/>
      <c r="AL1125" s="45" t="s">
        <v>68</v>
      </c>
      <c r="AM1125" s="162" t="str">
        <f t="shared" si="136"/>
        <v>3/2026</v>
      </c>
      <c r="AN1125" s="45">
        <f t="shared" si="137"/>
        <v>4</v>
      </c>
      <c r="AO1125" s="45" t="str">
        <f t="shared" si="138"/>
        <v>1/1900</v>
      </c>
      <c r="AP1125" s="45" t="e">
        <f t="shared" si="139"/>
        <v>#NUM!</v>
      </c>
      <c r="AQ1125" s="45">
        <f t="shared" si="140"/>
        <v>0</v>
      </c>
      <c r="AR1125" s="45">
        <f t="shared" si="141"/>
        <v>0</v>
      </c>
      <c r="AS1125" s="45">
        <f t="shared" si="142"/>
        <v>0</v>
      </c>
      <c r="AT1125" s="45">
        <f t="shared" si="143"/>
        <v>0</v>
      </c>
      <c r="AU1125" s="45" t="str">
        <f>_xlfn.XLOOKUP(U1125,'Lista Suspensa'!$AA$20:$AA$23,'Lista Suspensa'!$AB$20:$AB$23,"N/A")</f>
        <v>S</v>
      </c>
    </row>
    <row r="1126" spans="1:47" ht="12" hidden="1" customHeight="1" x14ac:dyDescent="0.3">
      <c r="A1126" s="87" t="s">
        <v>47</v>
      </c>
      <c r="B1126" s="88">
        <v>46104</v>
      </c>
      <c r="C1126" s="89" t="s">
        <v>48</v>
      </c>
      <c r="D1126" s="89" t="s">
        <v>49</v>
      </c>
      <c r="E1126" s="90">
        <v>77149825</v>
      </c>
      <c r="F1126" s="184" t="s">
        <v>3261</v>
      </c>
      <c r="G1126" s="91">
        <v>80638643791</v>
      </c>
      <c r="H1126" s="92">
        <v>23748</v>
      </c>
      <c r="I1126" s="89">
        <v>61</v>
      </c>
      <c r="J1126" s="89" t="s">
        <v>51</v>
      </c>
      <c r="K1126" s="89" t="s">
        <v>88</v>
      </c>
      <c r="L1126" s="89" t="s">
        <v>89</v>
      </c>
      <c r="M1126" s="89" t="s">
        <v>1807</v>
      </c>
      <c r="N1126" s="89" t="s">
        <v>130</v>
      </c>
      <c r="O1126" s="93" t="s">
        <v>3262</v>
      </c>
      <c r="P1126" s="94" t="s">
        <v>57</v>
      </c>
      <c r="Q1126" s="112" t="s">
        <v>2211</v>
      </c>
      <c r="R1126" s="95"/>
      <c r="S1126" s="96">
        <v>46164</v>
      </c>
      <c r="T1126" s="96" t="s">
        <v>2212</v>
      </c>
      <c r="U1126" s="96" t="s">
        <v>79</v>
      </c>
      <c r="V1126" s="92">
        <v>46147</v>
      </c>
      <c r="W1126" s="92">
        <v>46154</v>
      </c>
      <c r="X1126" s="92">
        <v>46160</v>
      </c>
      <c r="Y1126" s="97"/>
      <c r="Z1126" s="89"/>
      <c r="AA1126" s="96"/>
      <c r="AB1126" s="89"/>
      <c r="AC1126" s="111"/>
      <c r="AD1126" s="89"/>
      <c r="AE1126" s="89"/>
      <c r="AF1126" s="98"/>
      <c r="AG1126" s="98"/>
      <c r="AH1126" s="98"/>
      <c r="AI1126" s="99"/>
      <c r="AJ1126" s="99"/>
      <c r="AK1126" s="99"/>
      <c r="AL1126" s="45" t="s">
        <v>68</v>
      </c>
      <c r="AM1126" s="162" t="str">
        <f t="shared" si="136"/>
        <v>3/2026</v>
      </c>
      <c r="AN1126" s="45">
        <f t="shared" si="137"/>
        <v>4</v>
      </c>
      <c r="AO1126" s="45" t="str">
        <f t="shared" si="138"/>
        <v>1/1900</v>
      </c>
      <c r="AP1126" s="45" t="e">
        <f t="shared" si="139"/>
        <v>#NUM!</v>
      </c>
      <c r="AQ1126" s="45">
        <f t="shared" si="140"/>
        <v>0</v>
      </c>
      <c r="AR1126" s="45">
        <f t="shared" si="141"/>
        <v>0</v>
      </c>
      <c r="AS1126" s="45">
        <f t="shared" si="142"/>
        <v>0</v>
      </c>
      <c r="AT1126" s="45">
        <f t="shared" si="143"/>
        <v>0</v>
      </c>
      <c r="AU1126" s="45" t="str">
        <f>_xlfn.XLOOKUP(U1126,'Lista Suspensa'!$AA$20:$AA$23,'Lista Suspensa'!$AB$20:$AB$23,"N/A")</f>
        <v>S</v>
      </c>
    </row>
    <row r="1127" spans="1:47" ht="12" hidden="1" customHeight="1" x14ac:dyDescent="0.3">
      <c r="A1127" s="87" t="s">
        <v>47</v>
      </c>
      <c r="B1127" s="88">
        <v>46104</v>
      </c>
      <c r="C1127" s="89" t="s">
        <v>48</v>
      </c>
      <c r="D1127" s="89" t="s">
        <v>49</v>
      </c>
      <c r="E1127" s="90">
        <v>594011949</v>
      </c>
      <c r="F1127" s="184" t="s">
        <v>3263</v>
      </c>
      <c r="G1127" s="91">
        <v>19499744800</v>
      </c>
      <c r="H1127" s="92">
        <v>18495</v>
      </c>
      <c r="I1127" s="89">
        <v>75</v>
      </c>
      <c r="J1127" s="89" t="s">
        <v>51</v>
      </c>
      <c r="K1127" s="89" t="s">
        <v>52</v>
      </c>
      <c r="L1127" s="89" t="s">
        <v>331</v>
      </c>
      <c r="M1127" s="89" t="s">
        <v>2195</v>
      </c>
      <c r="N1127" s="89" t="s">
        <v>130</v>
      </c>
      <c r="O1127" s="93" t="s">
        <v>3264</v>
      </c>
      <c r="P1127" s="94" t="s">
        <v>57</v>
      </c>
      <c r="Q1127" s="112" t="s">
        <v>2211</v>
      </c>
      <c r="R1127" s="95"/>
      <c r="S1127" s="96">
        <v>46164</v>
      </c>
      <c r="T1127" s="96" t="s">
        <v>2212</v>
      </c>
      <c r="U1127" s="96" t="s">
        <v>79</v>
      </c>
      <c r="V1127" s="92">
        <v>46147</v>
      </c>
      <c r="W1127" s="92">
        <v>46154</v>
      </c>
      <c r="X1127" s="92">
        <v>46160</v>
      </c>
      <c r="Y1127" s="97"/>
      <c r="Z1127" s="89"/>
      <c r="AA1127" s="96"/>
      <c r="AB1127" s="89"/>
      <c r="AC1127" s="111"/>
      <c r="AD1127" s="89"/>
      <c r="AE1127" s="89"/>
      <c r="AF1127" s="98"/>
      <c r="AG1127" s="98"/>
      <c r="AH1127" s="98"/>
      <c r="AI1127" s="99"/>
      <c r="AJ1127" s="99"/>
      <c r="AK1127" s="99"/>
      <c r="AL1127" s="45" t="s">
        <v>68</v>
      </c>
      <c r="AM1127" s="162" t="str">
        <f t="shared" si="136"/>
        <v>3/2026</v>
      </c>
      <c r="AN1127" s="45">
        <f t="shared" si="137"/>
        <v>4</v>
      </c>
      <c r="AO1127" s="45" t="str">
        <f t="shared" si="138"/>
        <v>1/1900</v>
      </c>
      <c r="AP1127" s="45" t="e">
        <f t="shared" si="139"/>
        <v>#NUM!</v>
      </c>
      <c r="AQ1127" s="45">
        <f t="shared" si="140"/>
        <v>0</v>
      </c>
      <c r="AR1127" s="45">
        <f t="shared" si="141"/>
        <v>0</v>
      </c>
      <c r="AS1127" s="45">
        <f t="shared" si="142"/>
        <v>0</v>
      </c>
      <c r="AT1127" s="45">
        <f t="shared" si="143"/>
        <v>0</v>
      </c>
      <c r="AU1127" s="45" t="str">
        <f>_xlfn.XLOOKUP(U1127,'Lista Suspensa'!$AA$20:$AA$23,'Lista Suspensa'!$AB$20:$AB$23,"N/A")</f>
        <v>S</v>
      </c>
    </row>
    <row r="1128" spans="1:47" ht="12" customHeight="1" x14ac:dyDescent="0.3">
      <c r="A1128" s="87" t="s">
        <v>47</v>
      </c>
      <c r="B1128" s="88">
        <v>46104</v>
      </c>
      <c r="C1128" s="89" t="s">
        <v>48</v>
      </c>
      <c r="D1128" s="89" t="s">
        <v>49</v>
      </c>
      <c r="E1128" s="90">
        <v>76573076</v>
      </c>
      <c r="F1128" s="184" t="s">
        <v>3265</v>
      </c>
      <c r="G1128" s="91">
        <v>33326736886</v>
      </c>
      <c r="H1128" s="92">
        <v>30640</v>
      </c>
      <c r="I1128" s="89">
        <v>42</v>
      </c>
      <c r="J1128" s="89" t="s">
        <v>51</v>
      </c>
      <c r="K1128" s="89" t="s">
        <v>52</v>
      </c>
      <c r="L1128" s="89" t="s">
        <v>53</v>
      </c>
      <c r="M1128" s="89" t="s">
        <v>167</v>
      </c>
      <c r="N1128" s="89" t="s">
        <v>130</v>
      </c>
      <c r="O1128" s="93" t="s">
        <v>3266</v>
      </c>
      <c r="P1128" s="94" t="s">
        <v>57</v>
      </c>
      <c r="Q1128" s="112" t="s">
        <v>58</v>
      </c>
      <c r="R1128" s="95">
        <v>46178</v>
      </c>
      <c r="S1128" s="96"/>
      <c r="T1128" s="96" t="s">
        <v>59</v>
      </c>
      <c r="U1128" s="96" t="s">
        <v>60</v>
      </c>
      <c r="V1128" s="92">
        <v>46122</v>
      </c>
      <c r="W1128" s="92">
        <v>46154</v>
      </c>
      <c r="X1128" s="92">
        <v>46160</v>
      </c>
      <c r="Y1128" s="97"/>
      <c r="Z1128" s="89"/>
      <c r="AA1128" s="96"/>
      <c r="AB1128" s="89"/>
      <c r="AC1128" s="111"/>
      <c r="AD1128" s="89"/>
      <c r="AE1128" s="89"/>
      <c r="AF1128" s="98"/>
      <c r="AG1128" s="98"/>
      <c r="AH1128" s="98"/>
      <c r="AI1128" s="99"/>
      <c r="AJ1128" s="99" t="s">
        <v>3812</v>
      </c>
      <c r="AK1128" s="99"/>
      <c r="AL1128" s="45" t="s">
        <v>68</v>
      </c>
      <c r="AM1128" s="162" t="str">
        <f t="shared" si="136"/>
        <v>3/2026</v>
      </c>
      <c r="AN1128" s="45">
        <f t="shared" si="137"/>
        <v>4</v>
      </c>
      <c r="AO1128" s="45" t="str">
        <f t="shared" si="138"/>
        <v>6/2026</v>
      </c>
      <c r="AP1128" s="45">
        <f t="shared" si="139"/>
        <v>1</v>
      </c>
      <c r="AQ1128" s="45">
        <f t="shared" si="140"/>
        <v>74</v>
      </c>
      <c r="AR1128" s="45">
        <f t="shared" si="141"/>
        <v>0</v>
      </c>
      <c r="AS1128" s="45">
        <f t="shared" si="142"/>
        <v>19</v>
      </c>
      <c r="AT1128" s="45">
        <f t="shared" si="143"/>
        <v>0</v>
      </c>
      <c r="AU1128" s="45" t="str">
        <f>_xlfn.XLOOKUP(U1128,'Lista Suspensa'!$AA$20:$AA$23,'Lista Suspensa'!$AB$20:$AB$23,"N/A")</f>
        <v>S</v>
      </c>
    </row>
    <row r="1129" spans="1:47" ht="12" hidden="1" customHeight="1" x14ac:dyDescent="0.3">
      <c r="A1129" s="87" t="s">
        <v>47</v>
      </c>
      <c r="B1129" s="88">
        <v>46104</v>
      </c>
      <c r="C1129" s="89" t="s">
        <v>48</v>
      </c>
      <c r="D1129" s="89" t="s">
        <v>49</v>
      </c>
      <c r="E1129" s="90">
        <v>73184004</v>
      </c>
      <c r="F1129" s="184" t="s">
        <v>3267</v>
      </c>
      <c r="G1129" s="91">
        <v>36369225720</v>
      </c>
      <c r="H1129" s="92">
        <v>19153</v>
      </c>
      <c r="I1129" s="89">
        <v>73</v>
      </c>
      <c r="J1129" s="89" t="s">
        <v>51</v>
      </c>
      <c r="K1129" s="89" t="s">
        <v>88</v>
      </c>
      <c r="L1129" s="89" t="s">
        <v>89</v>
      </c>
      <c r="M1129" s="89" t="s">
        <v>1098</v>
      </c>
      <c r="N1129" s="89" t="s">
        <v>130</v>
      </c>
      <c r="O1129" s="93" t="s">
        <v>3268</v>
      </c>
      <c r="P1129" s="94" t="s">
        <v>57</v>
      </c>
      <c r="Q1129" s="112" t="s">
        <v>2211</v>
      </c>
      <c r="R1129" s="95"/>
      <c r="S1129" s="96">
        <v>46164</v>
      </c>
      <c r="T1129" s="96" t="s">
        <v>2212</v>
      </c>
      <c r="U1129" s="96" t="s">
        <v>79</v>
      </c>
      <c r="V1129" s="92">
        <v>46112</v>
      </c>
      <c r="W1129" s="92">
        <v>46154</v>
      </c>
      <c r="X1129" s="92">
        <v>46160</v>
      </c>
      <c r="Y1129" s="97"/>
      <c r="Z1129" s="89"/>
      <c r="AA1129" s="96"/>
      <c r="AB1129" s="89"/>
      <c r="AC1129" s="111"/>
      <c r="AD1129" s="89"/>
      <c r="AE1129" s="89"/>
      <c r="AF1129" s="98"/>
      <c r="AG1129" s="98"/>
      <c r="AH1129" s="98"/>
      <c r="AI1129" s="99"/>
      <c r="AJ1129" s="99"/>
      <c r="AK1129" s="99"/>
      <c r="AL1129" s="45" t="s">
        <v>68</v>
      </c>
      <c r="AM1129" s="162" t="str">
        <f t="shared" si="136"/>
        <v>3/2026</v>
      </c>
      <c r="AN1129" s="45">
        <f t="shared" si="137"/>
        <v>4</v>
      </c>
      <c r="AO1129" s="45" t="str">
        <f t="shared" si="138"/>
        <v>1/1900</v>
      </c>
      <c r="AP1129" s="45" t="e">
        <f t="shared" si="139"/>
        <v>#NUM!</v>
      </c>
      <c r="AQ1129" s="45">
        <f t="shared" si="140"/>
        <v>0</v>
      </c>
      <c r="AR1129" s="45">
        <f t="shared" si="141"/>
        <v>0</v>
      </c>
      <c r="AS1129" s="45">
        <f t="shared" si="142"/>
        <v>0</v>
      </c>
      <c r="AT1129" s="45">
        <f t="shared" si="143"/>
        <v>0</v>
      </c>
      <c r="AU1129" s="45" t="str">
        <f>_xlfn.XLOOKUP(U1129,'Lista Suspensa'!$AA$20:$AA$23,'Lista Suspensa'!$AB$20:$AB$23,"N/A")</f>
        <v>S</v>
      </c>
    </row>
    <row r="1130" spans="1:47" ht="12" hidden="1" customHeight="1" x14ac:dyDescent="0.3">
      <c r="A1130" s="87" t="s">
        <v>47</v>
      </c>
      <c r="B1130" s="88">
        <v>46104</v>
      </c>
      <c r="C1130" s="89" t="s">
        <v>48</v>
      </c>
      <c r="D1130" s="89" t="s">
        <v>49</v>
      </c>
      <c r="E1130" s="90">
        <v>72666982</v>
      </c>
      <c r="F1130" s="184" t="s">
        <v>3269</v>
      </c>
      <c r="G1130" s="91">
        <v>36172308734</v>
      </c>
      <c r="H1130" s="92">
        <v>20213</v>
      </c>
      <c r="I1130" s="89">
        <v>70</v>
      </c>
      <c r="J1130" s="89" t="s">
        <v>70</v>
      </c>
      <c r="K1130" s="89" t="s">
        <v>88</v>
      </c>
      <c r="L1130" s="89" t="s">
        <v>89</v>
      </c>
      <c r="M1130" s="89" t="s">
        <v>2328</v>
      </c>
      <c r="N1130" s="89" t="s">
        <v>130</v>
      </c>
      <c r="O1130" s="93" t="s">
        <v>3270</v>
      </c>
      <c r="P1130" s="94" t="s">
        <v>57</v>
      </c>
      <c r="Q1130" s="112" t="s">
        <v>2211</v>
      </c>
      <c r="R1130" s="95"/>
      <c r="S1130" s="96">
        <v>46164</v>
      </c>
      <c r="T1130" s="96" t="s">
        <v>2212</v>
      </c>
      <c r="U1130" s="96" t="s">
        <v>79</v>
      </c>
      <c r="V1130" s="92">
        <v>46147</v>
      </c>
      <c r="W1130" s="92">
        <v>46154</v>
      </c>
      <c r="X1130" s="92">
        <v>46160</v>
      </c>
      <c r="Y1130" s="97"/>
      <c r="Z1130" s="89"/>
      <c r="AA1130" s="96"/>
      <c r="AB1130" s="89"/>
      <c r="AC1130" s="111"/>
      <c r="AD1130" s="89"/>
      <c r="AE1130" s="89"/>
      <c r="AF1130" s="98"/>
      <c r="AG1130" s="98"/>
      <c r="AH1130" s="98"/>
      <c r="AI1130" s="99"/>
      <c r="AJ1130" s="99"/>
      <c r="AK1130" s="99"/>
      <c r="AL1130" s="45" t="s">
        <v>68</v>
      </c>
      <c r="AM1130" s="162" t="str">
        <f t="shared" si="136"/>
        <v>3/2026</v>
      </c>
      <c r="AN1130" s="45">
        <f t="shared" si="137"/>
        <v>4</v>
      </c>
      <c r="AO1130" s="45" t="str">
        <f t="shared" si="138"/>
        <v>1/1900</v>
      </c>
      <c r="AP1130" s="45" t="e">
        <f t="shared" si="139"/>
        <v>#NUM!</v>
      </c>
      <c r="AQ1130" s="45">
        <f t="shared" si="140"/>
        <v>0</v>
      </c>
      <c r="AR1130" s="45">
        <f t="shared" si="141"/>
        <v>0</v>
      </c>
      <c r="AS1130" s="45">
        <f t="shared" si="142"/>
        <v>0</v>
      </c>
      <c r="AT1130" s="45">
        <f t="shared" si="143"/>
        <v>0</v>
      </c>
      <c r="AU1130" s="45" t="str">
        <f>_xlfn.XLOOKUP(U1130,'Lista Suspensa'!$AA$20:$AA$23,'Lista Suspensa'!$AB$20:$AB$23,"N/A")</f>
        <v>S</v>
      </c>
    </row>
    <row r="1131" spans="1:47" ht="12" hidden="1" customHeight="1" x14ac:dyDescent="0.3">
      <c r="A1131" s="87" t="s">
        <v>47</v>
      </c>
      <c r="B1131" s="88">
        <v>46104</v>
      </c>
      <c r="C1131" s="89" t="s">
        <v>48</v>
      </c>
      <c r="D1131" s="89" t="s">
        <v>49</v>
      </c>
      <c r="E1131" s="90">
        <v>74053266</v>
      </c>
      <c r="F1131" s="184" t="s">
        <v>3271</v>
      </c>
      <c r="G1131" s="91">
        <v>4435013860</v>
      </c>
      <c r="H1131" s="92">
        <v>22593</v>
      </c>
      <c r="I1131" s="89">
        <v>64</v>
      </c>
      <c r="J1131" s="89" t="s">
        <v>70</v>
      </c>
      <c r="K1131" s="89" t="s">
        <v>52</v>
      </c>
      <c r="L1131" s="89" t="s">
        <v>53</v>
      </c>
      <c r="M1131" s="89" t="s">
        <v>1792</v>
      </c>
      <c r="N1131" s="89" t="s">
        <v>130</v>
      </c>
      <c r="O1131" s="93" t="s">
        <v>3272</v>
      </c>
      <c r="P1131" s="94" t="s">
        <v>57</v>
      </c>
      <c r="Q1131" s="112" t="s">
        <v>2211</v>
      </c>
      <c r="R1131" s="95"/>
      <c r="S1131" s="96">
        <v>46164</v>
      </c>
      <c r="T1131" s="96" t="s">
        <v>2212</v>
      </c>
      <c r="U1131" s="96" t="s">
        <v>79</v>
      </c>
      <c r="V1131" s="92">
        <v>46128</v>
      </c>
      <c r="W1131" s="92">
        <v>46154</v>
      </c>
      <c r="X1131" s="92">
        <v>46160</v>
      </c>
      <c r="Y1131" s="97"/>
      <c r="Z1131" s="89"/>
      <c r="AA1131" s="96"/>
      <c r="AB1131" s="89"/>
      <c r="AC1131" s="111"/>
      <c r="AD1131" s="89"/>
      <c r="AE1131" s="89"/>
      <c r="AF1131" s="98"/>
      <c r="AG1131" s="98"/>
      <c r="AH1131" s="98"/>
      <c r="AI1131" s="99"/>
      <c r="AJ1131" s="99"/>
      <c r="AK1131" s="99"/>
      <c r="AL1131" s="45" t="s">
        <v>68</v>
      </c>
      <c r="AM1131" s="162" t="str">
        <f t="shared" si="136"/>
        <v>3/2026</v>
      </c>
      <c r="AN1131" s="45">
        <f t="shared" si="137"/>
        <v>4</v>
      </c>
      <c r="AO1131" s="45" t="str">
        <f t="shared" si="138"/>
        <v>1/1900</v>
      </c>
      <c r="AP1131" s="45" t="e">
        <f t="shared" si="139"/>
        <v>#NUM!</v>
      </c>
      <c r="AQ1131" s="45">
        <f t="shared" si="140"/>
        <v>0</v>
      </c>
      <c r="AR1131" s="45">
        <f t="shared" si="141"/>
        <v>0</v>
      </c>
      <c r="AS1131" s="45">
        <f t="shared" si="142"/>
        <v>0</v>
      </c>
      <c r="AT1131" s="45">
        <f t="shared" si="143"/>
        <v>0</v>
      </c>
      <c r="AU1131" s="45" t="str">
        <f>_xlfn.XLOOKUP(U1131,'Lista Suspensa'!$AA$20:$AA$23,'Lista Suspensa'!$AB$20:$AB$23,"N/A")</f>
        <v>S</v>
      </c>
    </row>
    <row r="1132" spans="1:47" ht="12" hidden="1" customHeight="1" x14ac:dyDescent="0.3">
      <c r="A1132" s="87" t="s">
        <v>47</v>
      </c>
      <c r="B1132" s="88">
        <v>46104</v>
      </c>
      <c r="C1132" s="89" t="s">
        <v>48</v>
      </c>
      <c r="D1132" s="89" t="s">
        <v>49</v>
      </c>
      <c r="E1132" s="90">
        <v>76204307</v>
      </c>
      <c r="F1132" s="184" t="s">
        <v>3273</v>
      </c>
      <c r="G1132" s="91">
        <v>8346367864</v>
      </c>
      <c r="H1132" s="92">
        <v>23043</v>
      </c>
      <c r="I1132" s="89">
        <v>63</v>
      </c>
      <c r="J1132" s="89" t="s">
        <v>70</v>
      </c>
      <c r="K1132" s="89" t="s">
        <v>52</v>
      </c>
      <c r="L1132" s="89" t="s">
        <v>53</v>
      </c>
      <c r="M1132" s="89" t="s">
        <v>1792</v>
      </c>
      <c r="N1132" s="89" t="s">
        <v>130</v>
      </c>
      <c r="O1132" s="93" t="s">
        <v>3274</v>
      </c>
      <c r="P1132" s="94" t="s">
        <v>57</v>
      </c>
      <c r="Q1132" s="112" t="s">
        <v>2211</v>
      </c>
      <c r="R1132" s="95"/>
      <c r="S1132" s="96">
        <v>46164</v>
      </c>
      <c r="T1132" s="96" t="s">
        <v>2212</v>
      </c>
      <c r="U1132" s="96" t="s">
        <v>79</v>
      </c>
      <c r="V1132" s="92">
        <v>46112</v>
      </c>
      <c r="W1132" s="92">
        <v>46154</v>
      </c>
      <c r="X1132" s="92">
        <v>46160</v>
      </c>
      <c r="Y1132" s="97"/>
      <c r="Z1132" s="89"/>
      <c r="AA1132" s="96"/>
      <c r="AB1132" s="89"/>
      <c r="AC1132" s="111"/>
      <c r="AD1132" s="89"/>
      <c r="AE1132" s="89"/>
      <c r="AF1132" s="98"/>
      <c r="AG1132" s="98"/>
      <c r="AH1132" s="98"/>
      <c r="AI1132" s="99"/>
      <c r="AJ1132" s="99"/>
      <c r="AK1132" s="99"/>
      <c r="AL1132" s="45" t="s">
        <v>68</v>
      </c>
      <c r="AM1132" s="162" t="str">
        <f t="shared" si="136"/>
        <v>3/2026</v>
      </c>
      <c r="AN1132" s="45">
        <f t="shared" si="137"/>
        <v>4</v>
      </c>
      <c r="AO1132" s="45" t="str">
        <f t="shared" si="138"/>
        <v>1/1900</v>
      </c>
      <c r="AP1132" s="45" t="e">
        <f t="shared" si="139"/>
        <v>#NUM!</v>
      </c>
      <c r="AQ1132" s="45">
        <f t="shared" si="140"/>
        <v>0</v>
      </c>
      <c r="AR1132" s="45">
        <f t="shared" si="141"/>
        <v>0</v>
      </c>
      <c r="AS1132" s="45">
        <f t="shared" si="142"/>
        <v>0</v>
      </c>
      <c r="AT1132" s="45">
        <f t="shared" si="143"/>
        <v>0</v>
      </c>
      <c r="AU1132" s="45" t="str">
        <f>_xlfn.XLOOKUP(U1132,'Lista Suspensa'!$AA$20:$AA$23,'Lista Suspensa'!$AB$20:$AB$23,"N/A")</f>
        <v>S</v>
      </c>
    </row>
    <row r="1133" spans="1:47" ht="12" hidden="1" customHeight="1" x14ac:dyDescent="0.3">
      <c r="A1133" s="87" t="s">
        <v>47</v>
      </c>
      <c r="B1133" s="88">
        <v>46104</v>
      </c>
      <c r="C1133" s="89" t="s">
        <v>48</v>
      </c>
      <c r="D1133" s="89" t="s">
        <v>49</v>
      </c>
      <c r="E1133" s="90">
        <v>75977964</v>
      </c>
      <c r="F1133" s="184" t="s">
        <v>3275</v>
      </c>
      <c r="G1133" s="91">
        <v>85320277849</v>
      </c>
      <c r="H1133" s="92">
        <v>16426</v>
      </c>
      <c r="I1133" s="89">
        <v>81</v>
      </c>
      <c r="J1133" s="89" t="s">
        <v>70</v>
      </c>
      <c r="K1133" s="89" t="s">
        <v>52</v>
      </c>
      <c r="L1133" s="89" t="s">
        <v>331</v>
      </c>
      <c r="M1133" s="89" t="s">
        <v>1395</v>
      </c>
      <c r="N1133" s="89" t="s">
        <v>130</v>
      </c>
      <c r="O1133" s="93" t="s">
        <v>3276</v>
      </c>
      <c r="P1133" s="94" t="s">
        <v>57</v>
      </c>
      <c r="Q1133" s="112" t="s">
        <v>2211</v>
      </c>
      <c r="R1133" s="95"/>
      <c r="S1133" s="96">
        <v>46164</v>
      </c>
      <c r="T1133" s="96" t="s">
        <v>2212</v>
      </c>
      <c r="U1133" s="96" t="s">
        <v>79</v>
      </c>
      <c r="V1133" s="92">
        <v>46122</v>
      </c>
      <c r="W1133" s="92">
        <v>46154</v>
      </c>
      <c r="X1133" s="92">
        <v>46160</v>
      </c>
      <c r="Y1133" s="97"/>
      <c r="Z1133" s="89"/>
      <c r="AA1133" s="96"/>
      <c r="AB1133" s="89"/>
      <c r="AC1133" s="111"/>
      <c r="AD1133" s="89"/>
      <c r="AE1133" s="89"/>
      <c r="AF1133" s="98"/>
      <c r="AG1133" s="98"/>
      <c r="AH1133" s="98"/>
      <c r="AI1133" s="99"/>
      <c r="AJ1133" s="99"/>
      <c r="AK1133" s="99"/>
      <c r="AL1133" s="45" t="s">
        <v>68</v>
      </c>
      <c r="AM1133" s="162" t="str">
        <f t="shared" si="136"/>
        <v>3/2026</v>
      </c>
      <c r="AN1133" s="45">
        <f t="shared" si="137"/>
        <v>4</v>
      </c>
      <c r="AO1133" s="45" t="str">
        <f t="shared" si="138"/>
        <v>1/1900</v>
      </c>
      <c r="AP1133" s="45" t="e">
        <f t="shared" si="139"/>
        <v>#NUM!</v>
      </c>
      <c r="AQ1133" s="45">
        <f t="shared" si="140"/>
        <v>0</v>
      </c>
      <c r="AR1133" s="45">
        <f t="shared" si="141"/>
        <v>0</v>
      </c>
      <c r="AS1133" s="45">
        <f t="shared" si="142"/>
        <v>0</v>
      </c>
      <c r="AT1133" s="45">
        <f t="shared" si="143"/>
        <v>0</v>
      </c>
      <c r="AU1133" s="45" t="str">
        <f>_xlfn.XLOOKUP(U1133,'Lista Suspensa'!$AA$20:$AA$23,'Lista Suspensa'!$AB$20:$AB$23,"N/A")</f>
        <v>S</v>
      </c>
    </row>
    <row r="1134" spans="1:47" ht="12" hidden="1" customHeight="1" x14ac:dyDescent="0.3">
      <c r="A1134" s="87" t="s">
        <v>47</v>
      </c>
      <c r="B1134" s="88">
        <v>46104</v>
      </c>
      <c r="C1134" s="89" t="s">
        <v>48</v>
      </c>
      <c r="D1134" s="89" t="s">
        <v>49</v>
      </c>
      <c r="E1134" s="90">
        <v>72131782</v>
      </c>
      <c r="F1134" s="184" t="s">
        <v>3277</v>
      </c>
      <c r="G1134" s="91">
        <v>99965631891</v>
      </c>
      <c r="H1134" s="92">
        <v>21113</v>
      </c>
      <c r="I1134" s="89">
        <v>68</v>
      </c>
      <c r="J1134" s="89" t="s">
        <v>51</v>
      </c>
      <c r="K1134" s="89" t="s">
        <v>52</v>
      </c>
      <c r="L1134" s="89" t="s">
        <v>53</v>
      </c>
      <c r="M1134" s="89" t="s">
        <v>2551</v>
      </c>
      <c r="N1134" s="89" t="s">
        <v>130</v>
      </c>
      <c r="O1134" s="93" t="s">
        <v>3278</v>
      </c>
      <c r="P1134" s="94" t="s">
        <v>57</v>
      </c>
      <c r="Q1134" s="112" t="s">
        <v>2211</v>
      </c>
      <c r="R1134" s="95"/>
      <c r="S1134" s="96">
        <v>46164</v>
      </c>
      <c r="T1134" s="96" t="s">
        <v>2212</v>
      </c>
      <c r="U1134" s="96" t="s">
        <v>79</v>
      </c>
      <c r="V1134" s="92">
        <v>46147</v>
      </c>
      <c r="W1134" s="92">
        <v>46154</v>
      </c>
      <c r="X1134" s="92">
        <v>46160</v>
      </c>
      <c r="Y1134" s="97"/>
      <c r="Z1134" s="89"/>
      <c r="AA1134" s="96"/>
      <c r="AB1134" s="89"/>
      <c r="AC1134" s="111"/>
      <c r="AD1134" s="89"/>
      <c r="AE1134" s="89"/>
      <c r="AF1134" s="98"/>
      <c r="AG1134" s="98"/>
      <c r="AH1134" s="98"/>
      <c r="AI1134" s="99"/>
      <c r="AJ1134" s="99"/>
      <c r="AK1134" s="99"/>
      <c r="AL1134" s="45" t="s">
        <v>68</v>
      </c>
      <c r="AM1134" s="162" t="str">
        <f t="shared" si="136"/>
        <v>3/2026</v>
      </c>
      <c r="AN1134" s="45">
        <f t="shared" si="137"/>
        <v>4</v>
      </c>
      <c r="AO1134" s="45" t="str">
        <f t="shared" si="138"/>
        <v>1/1900</v>
      </c>
      <c r="AP1134" s="45" t="e">
        <f t="shared" si="139"/>
        <v>#NUM!</v>
      </c>
      <c r="AQ1134" s="45">
        <f t="shared" si="140"/>
        <v>0</v>
      </c>
      <c r="AR1134" s="45">
        <f t="shared" si="141"/>
        <v>0</v>
      </c>
      <c r="AS1134" s="45">
        <f t="shared" si="142"/>
        <v>0</v>
      </c>
      <c r="AT1134" s="45">
        <f t="shared" si="143"/>
        <v>0</v>
      </c>
      <c r="AU1134" s="45" t="str">
        <f>_xlfn.XLOOKUP(U1134,'Lista Suspensa'!$AA$20:$AA$23,'Lista Suspensa'!$AB$20:$AB$23,"N/A")</f>
        <v>S</v>
      </c>
    </row>
    <row r="1135" spans="1:47" ht="12" hidden="1" customHeight="1" x14ac:dyDescent="0.3">
      <c r="A1135" s="87" t="s">
        <v>47</v>
      </c>
      <c r="B1135" s="88">
        <v>46104</v>
      </c>
      <c r="C1135" s="89" t="s">
        <v>48</v>
      </c>
      <c r="D1135" s="89" t="s">
        <v>49</v>
      </c>
      <c r="E1135" s="90">
        <v>594027870</v>
      </c>
      <c r="F1135" s="184" t="s">
        <v>3279</v>
      </c>
      <c r="G1135" s="91">
        <v>57311455804</v>
      </c>
      <c r="H1135" s="92">
        <v>18727</v>
      </c>
      <c r="I1135" s="89">
        <v>74</v>
      </c>
      <c r="J1135" s="89" t="s">
        <v>51</v>
      </c>
      <c r="K1135" s="89" t="s">
        <v>52</v>
      </c>
      <c r="L1135" s="89" t="s">
        <v>331</v>
      </c>
      <c r="M1135" s="89" t="s">
        <v>3280</v>
      </c>
      <c r="N1135" s="89" t="s">
        <v>130</v>
      </c>
      <c r="O1135" s="93" t="s">
        <v>3281</v>
      </c>
      <c r="P1135" s="94" t="s">
        <v>57</v>
      </c>
      <c r="Q1135" s="112" t="s">
        <v>2211</v>
      </c>
      <c r="R1135" s="95"/>
      <c r="S1135" s="96">
        <v>46164</v>
      </c>
      <c r="T1135" s="96" t="s">
        <v>2212</v>
      </c>
      <c r="U1135" s="96" t="s">
        <v>79</v>
      </c>
      <c r="V1135" s="92">
        <v>46147</v>
      </c>
      <c r="W1135" s="92">
        <v>46154</v>
      </c>
      <c r="X1135" s="92">
        <v>46160</v>
      </c>
      <c r="Y1135" s="97"/>
      <c r="Z1135" s="89"/>
      <c r="AA1135" s="96"/>
      <c r="AB1135" s="89"/>
      <c r="AC1135" s="111"/>
      <c r="AD1135" s="89"/>
      <c r="AE1135" s="89"/>
      <c r="AF1135" s="98"/>
      <c r="AG1135" s="98"/>
      <c r="AH1135" s="98"/>
      <c r="AI1135" s="99"/>
      <c r="AJ1135" s="99"/>
      <c r="AK1135" s="99"/>
      <c r="AL1135" s="45" t="s">
        <v>68</v>
      </c>
      <c r="AM1135" s="162" t="str">
        <f t="shared" si="136"/>
        <v>3/2026</v>
      </c>
      <c r="AN1135" s="45">
        <f t="shared" si="137"/>
        <v>4</v>
      </c>
      <c r="AO1135" s="45" t="str">
        <f t="shared" si="138"/>
        <v>1/1900</v>
      </c>
      <c r="AP1135" s="45" t="e">
        <f t="shared" si="139"/>
        <v>#NUM!</v>
      </c>
      <c r="AQ1135" s="45">
        <f t="shared" si="140"/>
        <v>0</v>
      </c>
      <c r="AR1135" s="45">
        <f t="shared" si="141"/>
        <v>0</v>
      </c>
      <c r="AS1135" s="45">
        <f t="shared" si="142"/>
        <v>0</v>
      </c>
      <c r="AT1135" s="45">
        <f t="shared" si="143"/>
        <v>0</v>
      </c>
      <c r="AU1135" s="45" t="str">
        <f>_xlfn.XLOOKUP(U1135,'Lista Suspensa'!$AA$20:$AA$23,'Lista Suspensa'!$AB$20:$AB$23,"N/A")</f>
        <v>S</v>
      </c>
    </row>
    <row r="1136" spans="1:47" ht="12" hidden="1" customHeight="1" x14ac:dyDescent="0.3">
      <c r="A1136" s="87" t="s">
        <v>47</v>
      </c>
      <c r="B1136" s="88">
        <v>46104</v>
      </c>
      <c r="C1136" s="89" t="s">
        <v>48</v>
      </c>
      <c r="D1136" s="89" t="s">
        <v>49</v>
      </c>
      <c r="E1136" s="90">
        <v>593910753</v>
      </c>
      <c r="F1136" s="184" t="s">
        <v>3282</v>
      </c>
      <c r="G1136" s="91">
        <v>25859776845</v>
      </c>
      <c r="H1136" s="92">
        <v>12308</v>
      </c>
      <c r="I1136" s="89">
        <v>92</v>
      </c>
      <c r="J1136" s="89" t="s">
        <v>70</v>
      </c>
      <c r="K1136" s="89" t="s">
        <v>52</v>
      </c>
      <c r="L1136" s="89" t="s">
        <v>331</v>
      </c>
      <c r="M1136" s="89" t="s">
        <v>3283</v>
      </c>
      <c r="N1136" s="89" t="s">
        <v>130</v>
      </c>
      <c r="O1136" s="93" t="s">
        <v>3284</v>
      </c>
      <c r="P1136" s="94" t="s">
        <v>57</v>
      </c>
      <c r="Q1136" s="112" t="s">
        <v>2211</v>
      </c>
      <c r="R1136" s="95"/>
      <c r="S1136" s="96">
        <v>46164</v>
      </c>
      <c r="T1136" s="96" t="s">
        <v>2212</v>
      </c>
      <c r="U1136" s="96" t="s">
        <v>79</v>
      </c>
      <c r="V1136" s="92">
        <v>46147</v>
      </c>
      <c r="W1136" s="92">
        <v>46154</v>
      </c>
      <c r="X1136" s="92">
        <v>46160</v>
      </c>
      <c r="Y1136" s="97"/>
      <c r="Z1136" s="89"/>
      <c r="AA1136" s="96"/>
      <c r="AB1136" s="89"/>
      <c r="AC1136" s="111"/>
      <c r="AD1136" s="89"/>
      <c r="AE1136" s="89"/>
      <c r="AF1136" s="98"/>
      <c r="AG1136" s="98"/>
      <c r="AH1136" s="98"/>
      <c r="AI1136" s="99"/>
      <c r="AJ1136" s="99"/>
      <c r="AK1136" s="99"/>
      <c r="AL1136" s="45" t="s">
        <v>68</v>
      </c>
      <c r="AM1136" s="162" t="str">
        <f t="shared" si="136"/>
        <v>3/2026</v>
      </c>
      <c r="AN1136" s="45">
        <f t="shared" si="137"/>
        <v>4</v>
      </c>
      <c r="AO1136" s="45" t="str">
        <f t="shared" si="138"/>
        <v>1/1900</v>
      </c>
      <c r="AP1136" s="45" t="e">
        <f t="shared" si="139"/>
        <v>#NUM!</v>
      </c>
      <c r="AQ1136" s="45">
        <f t="shared" si="140"/>
        <v>0</v>
      </c>
      <c r="AR1136" s="45">
        <f t="shared" si="141"/>
        <v>0</v>
      </c>
      <c r="AS1136" s="45">
        <f t="shared" si="142"/>
        <v>0</v>
      </c>
      <c r="AT1136" s="45">
        <f t="shared" si="143"/>
        <v>0</v>
      </c>
      <c r="AU1136" s="45" t="str">
        <f>_xlfn.XLOOKUP(U1136,'Lista Suspensa'!$AA$20:$AA$23,'Lista Suspensa'!$AB$20:$AB$23,"N/A")</f>
        <v>S</v>
      </c>
    </row>
    <row r="1137" spans="1:47" ht="12" hidden="1" customHeight="1" x14ac:dyDescent="0.3">
      <c r="A1137" s="87" t="s">
        <v>47</v>
      </c>
      <c r="B1137" s="88">
        <v>46104</v>
      </c>
      <c r="C1137" s="89" t="s">
        <v>48</v>
      </c>
      <c r="D1137" s="89" t="s">
        <v>49</v>
      </c>
      <c r="E1137" s="90">
        <v>593895517</v>
      </c>
      <c r="F1137" s="184" t="s">
        <v>3285</v>
      </c>
      <c r="G1137" s="91">
        <v>6710465861</v>
      </c>
      <c r="H1137" s="92">
        <v>23995</v>
      </c>
      <c r="I1137" s="89">
        <v>60</v>
      </c>
      <c r="J1137" s="89" t="s">
        <v>70</v>
      </c>
      <c r="K1137" s="89" t="s">
        <v>52</v>
      </c>
      <c r="L1137" s="89" t="s">
        <v>331</v>
      </c>
      <c r="M1137" s="89" t="s">
        <v>3286</v>
      </c>
      <c r="N1137" s="89" t="s">
        <v>130</v>
      </c>
      <c r="O1137" s="93" t="s">
        <v>3287</v>
      </c>
      <c r="P1137" s="94" t="s">
        <v>57</v>
      </c>
      <c r="Q1137" s="112" t="s">
        <v>2211</v>
      </c>
      <c r="R1137" s="95"/>
      <c r="S1137" s="96">
        <v>46164</v>
      </c>
      <c r="T1137" s="96" t="s">
        <v>2212</v>
      </c>
      <c r="U1137" s="96" t="s">
        <v>79</v>
      </c>
      <c r="V1137" s="92">
        <v>46147</v>
      </c>
      <c r="W1137" s="92">
        <v>46154</v>
      </c>
      <c r="X1137" s="92">
        <v>46160</v>
      </c>
      <c r="Y1137" s="97"/>
      <c r="Z1137" s="89"/>
      <c r="AA1137" s="96"/>
      <c r="AB1137" s="89"/>
      <c r="AC1137" s="111"/>
      <c r="AD1137" s="89"/>
      <c r="AE1137" s="89"/>
      <c r="AF1137" s="98"/>
      <c r="AG1137" s="98"/>
      <c r="AH1137" s="98"/>
      <c r="AI1137" s="99"/>
      <c r="AJ1137" s="99"/>
      <c r="AK1137" s="99"/>
      <c r="AL1137" s="45" t="s">
        <v>68</v>
      </c>
      <c r="AM1137" s="162" t="str">
        <f t="shared" si="136"/>
        <v>3/2026</v>
      </c>
      <c r="AN1137" s="45">
        <f t="shared" si="137"/>
        <v>4</v>
      </c>
      <c r="AO1137" s="45" t="str">
        <f t="shared" si="138"/>
        <v>1/1900</v>
      </c>
      <c r="AP1137" s="45" t="e">
        <f t="shared" si="139"/>
        <v>#NUM!</v>
      </c>
      <c r="AQ1137" s="45">
        <f t="shared" si="140"/>
        <v>0</v>
      </c>
      <c r="AR1137" s="45">
        <f t="shared" si="141"/>
        <v>0</v>
      </c>
      <c r="AS1137" s="45">
        <f t="shared" si="142"/>
        <v>0</v>
      </c>
      <c r="AT1137" s="45">
        <f t="shared" si="143"/>
        <v>0</v>
      </c>
      <c r="AU1137" s="45" t="str">
        <f>_xlfn.XLOOKUP(U1137,'Lista Suspensa'!$AA$20:$AA$23,'Lista Suspensa'!$AB$20:$AB$23,"N/A")</f>
        <v>S</v>
      </c>
    </row>
    <row r="1138" spans="1:47" ht="12" hidden="1" customHeight="1" x14ac:dyDescent="0.3">
      <c r="A1138" s="87" t="s">
        <v>47</v>
      </c>
      <c r="B1138" s="88">
        <v>46104</v>
      </c>
      <c r="C1138" s="89" t="s">
        <v>48</v>
      </c>
      <c r="D1138" s="89" t="s">
        <v>49</v>
      </c>
      <c r="E1138" s="90">
        <v>594080193</v>
      </c>
      <c r="F1138" s="184" t="s">
        <v>3288</v>
      </c>
      <c r="G1138" s="91">
        <v>18498234808</v>
      </c>
      <c r="H1138" s="92">
        <v>16655</v>
      </c>
      <c r="I1138" s="89">
        <v>80</v>
      </c>
      <c r="J1138" s="89" t="s">
        <v>70</v>
      </c>
      <c r="K1138" s="89" t="s">
        <v>52</v>
      </c>
      <c r="L1138" s="89" t="s">
        <v>331</v>
      </c>
      <c r="M1138" s="89" t="s">
        <v>3289</v>
      </c>
      <c r="N1138" s="89" t="s">
        <v>130</v>
      </c>
      <c r="O1138" s="93" t="s">
        <v>3290</v>
      </c>
      <c r="P1138" s="94" t="s">
        <v>57</v>
      </c>
      <c r="Q1138" s="112" t="s">
        <v>2211</v>
      </c>
      <c r="R1138" s="95"/>
      <c r="S1138" s="96">
        <v>46164</v>
      </c>
      <c r="T1138" s="96" t="s">
        <v>2212</v>
      </c>
      <c r="U1138" s="96" t="s">
        <v>79</v>
      </c>
      <c r="V1138" s="92">
        <v>46128</v>
      </c>
      <c r="W1138" s="92">
        <v>46154</v>
      </c>
      <c r="X1138" s="92">
        <v>46160</v>
      </c>
      <c r="Y1138" s="97"/>
      <c r="Z1138" s="89"/>
      <c r="AA1138" s="96"/>
      <c r="AB1138" s="89"/>
      <c r="AC1138" s="111"/>
      <c r="AD1138" s="89"/>
      <c r="AE1138" s="89"/>
      <c r="AF1138" s="98"/>
      <c r="AG1138" s="98"/>
      <c r="AH1138" s="98"/>
      <c r="AI1138" s="99"/>
      <c r="AJ1138" s="99"/>
      <c r="AK1138" s="99"/>
      <c r="AL1138" s="45" t="s">
        <v>68</v>
      </c>
      <c r="AM1138" s="162" t="str">
        <f t="shared" si="136"/>
        <v>3/2026</v>
      </c>
      <c r="AN1138" s="45">
        <f t="shared" si="137"/>
        <v>4</v>
      </c>
      <c r="AO1138" s="45" t="str">
        <f t="shared" si="138"/>
        <v>1/1900</v>
      </c>
      <c r="AP1138" s="45" t="e">
        <f t="shared" si="139"/>
        <v>#NUM!</v>
      </c>
      <c r="AQ1138" s="45">
        <f t="shared" si="140"/>
        <v>0</v>
      </c>
      <c r="AR1138" s="45">
        <f t="shared" si="141"/>
        <v>0</v>
      </c>
      <c r="AS1138" s="45">
        <f t="shared" si="142"/>
        <v>0</v>
      </c>
      <c r="AT1138" s="45">
        <f t="shared" si="143"/>
        <v>0</v>
      </c>
      <c r="AU1138" s="45" t="str">
        <f>_xlfn.XLOOKUP(U1138,'Lista Suspensa'!$AA$20:$AA$23,'Lista Suspensa'!$AB$20:$AB$23,"N/A")</f>
        <v>S</v>
      </c>
    </row>
    <row r="1139" spans="1:47" ht="12" hidden="1" customHeight="1" x14ac:dyDescent="0.3">
      <c r="A1139" s="87" t="s">
        <v>47</v>
      </c>
      <c r="B1139" s="88">
        <v>46104</v>
      </c>
      <c r="C1139" s="89" t="s">
        <v>48</v>
      </c>
      <c r="D1139" s="89" t="s">
        <v>49</v>
      </c>
      <c r="E1139" s="90">
        <v>77366105</v>
      </c>
      <c r="F1139" s="184" t="s">
        <v>3291</v>
      </c>
      <c r="G1139" s="91">
        <v>5524607880</v>
      </c>
      <c r="H1139" s="92">
        <v>23242</v>
      </c>
      <c r="I1139" s="89">
        <v>62</v>
      </c>
      <c r="J1139" s="89" t="s">
        <v>51</v>
      </c>
      <c r="K1139" s="89" t="s">
        <v>52</v>
      </c>
      <c r="L1139" s="89" t="s">
        <v>53</v>
      </c>
      <c r="M1139" s="89" t="s">
        <v>202</v>
      </c>
      <c r="N1139" s="89" t="s">
        <v>130</v>
      </c>
      <c r="O1139" s="93" t="s">
        <v>3292</v>
      </c>
      <c r="P1139" s="94" t="s">
        <v>57</v>
      </c>
      <c r="Q1139" s="112" t="s">
        <v>2211</v>
      </c>
      <c r="R1139" s="95"/>
      <c r="S1139" s="96">
        <v>46164</v>
      </c>
      <c r="T1139" s="96" t="s">
        <v>2212</v>
      </c>
      <c r="U1139" s="96" t="s">
        <v>79</v>
      </c>
      <c r="V1139" s="92">
        <v>46147</v>
      </c>
      <c r="W1139" s="92">
        <v>46154</v>
      </c>
      <c r="X1139" s="92">
        <v>46160</v>
      </c>
      <c r="Y1139" s="97"/>
      <c r="Z1139" s="89"/>
      <c r="AA1139" s="96"/>
      <c r="AB1139" s="89"/>
      <c r="AC1139" s="111"/>
      <c r="AD1139" s="89"/>
      <c r="AE1139" s="89"/>
      <c r="AF1139" s="98"/>
      <c r="AG1139" s="98"/>
      <c r="AH1139" s="98"/>
      <c r="AI1139" s="99"/>
      <c r="AJ1139" s="99"/>
      <c r="AK1139" s="99"/>
      <c r="AL1139" s="45" t="s">
        <v>68</v>
      </c>
      <c r="AM1139" s="162" t="str">
        <f t="shared" si="136"/>
        <v>3/2026</v>
      </c>
      <c r="AN1139" s="45">
        <f t="shared" si="137"/>
        <v>4</v>
      </c>
      <c r="AO1139" s="45" t="str">
        <f t="shared" si="138"/>
        <v>1/1900</v>
      </c>
      <c r="AP1139" s="45" t="e">
        <f t="shared" si="139"/>
        <v>#NUM!</v>
      </c>
      <c r="AQ1139" s="45">
        <f t="shared" si="140"/>
        <v>0</v>
      </c>
      <c r="AR1139" s="45">
        <f t="shared" si="141"/>
        <v>0</v>
      </c>
      <c r="AS1139" s="45">
        <f t="shared" si="142"/>
        <v>0</v>
      </c>
      <c r="AT1139" s="45">
        <f t="shared" si="143"/>
        <v>0</v>
      </c>
      <c r="AU1139" s="45" t="str">
        <f>_xlfn.XLOOKUP(U1139,'Lista Suspensa'!$AA$20:$AA$23,'Lista Suspensa'!$AB$20:$AB$23,"N/A")</f>
        <v>S</v>
      </c>
    </row>
    <row r="1140" spans="1:47" ht="12" hidden="1" customHeight="1" x14ac:dyDescent="0.3">
      <c r="A1140" s="87" t="s">
        <v>47</v>
      </c>
      <c r="B1140" s="88">
        <v>46104</v>
      </c>
      <c r="C1140" s="89" t="s">
        <v>48</v>
      </c>
      <c r="D1140" s="89" t="s">
        <v>49</v>
      </c>
      <c r="E1140" s="90">
        <v>593901193</v>
      </c>
      <c r="F1140" s="184" t="s">
        <v>3293</v>
      </c>
      <c r="G1140" s="91">
        <v>70201293820</v>
      </c>
      <c r="H1140" s="92">
        <v>14346</v>
      </c>
      <c r="I1140" s="89">
        <v>86</v>
      </c>
      <c r="J1140" s="89" t="s">
        <v>70</v>
      </c>
      <c r="K1140" s="89" t="s">
        <v>52</v>
      </c>
      <c r="L1140" s="89" t="s">
        <v>331</v>
      </c>
      <c r="M1140" s="89" t="s">
        <v>3294</v>
      </c>
      <c r="N1140" s="89" t="s">
        <v>130</v>
      </c>
      <c r="O1140" s="93" t="s">
        <v>3295</v>
      </c>
      <c r="P1140" s="94" t="s">
        <v>57</v>
      </c>
      <c r="Q1140" s="112" t="s">
        <v>2211</v>
      </c>
      <c r="R1140" s="95"/>
      <c r="S1140" s="96">
        <v>46164</v>
      </c>
      <c r="T1140" s="96" t="s">
        <v>2212</v>
      </c>
      <c r="U1140" s="96" t="s">
        <v>79</v>
      </c>
      <c r="V1140" s="92">
        <v>46147</v>
      </c>
      <c r="W1140" s="92">
        <v>46154</v>
      </c>
      <c r="X1140" s="92">
        <v>46160</v>
      </c>
      <c r="Y1140" s="97"/>
      <c r="Z1140" s="89"/>
      <c r="AA1140" s="96"/>
      <c r="AB1140" s="89"/>
      <c r="AC1140" s="111"/>
      <c r="AD1140" s="89"/>
      <c r="AE1140" s="89"/>
      <c r="AF1140" s="98"/>
      <c r="AG1140" s="98"/>
      <c r="AH1140" s="98"/>
      <c r="AI1140" s="99"/>
      <c r="AJ1140" s="99"/>
      <c r="AK1140" s="99"/>
      <c r="AL1140" s="45" t="s">
        <v>68</v>
      </c>
      <c r="AM1140" s="162" t="str">
        <f t="shared" si="136"/>
        <v>3/2026</v>
      </c>
      <c r="AN1140" s="45">
        <f t="shared" si="137"/>
        <v>4</v>
      </c>
      <c r="AO1140" s="45" t="str">
        <f t="shared" si="138"/>
        <v>1/1900</v>
      </c>
      <c r="AP1140" s="45" t="e">
        <f t="shared" si="139"/>
        <v>#NUM!</v>
      </c>
      <c r="AQ1140" s="45">
        <f t="shared" si="140"/>
        <v>0</v>
      </c>
      <c r="AR1140" s="45">
        <f t="shared" si="141"/>
        <v>0</v>
      </c>
      <c r="AS1140" s="45">
        <f t="shared" si="142"/>
        <v>0</v>
      </c>
      <c r="AT1140" s="45">
        <f t="shared" si="143"/>
        <v>0</v>
      </c>
      <c r="AU1140" s="45" t="str">
        <f>_xlfn.XLOOKUP(U1140,'Lista Suspensa'!$AA$20:$AA$23,'Lista Suspensa'!$AB$20:$AB$23,"N/A")</f>
        <v>S</v>
      </c>
    </row>
    <row r="1141" spans="1:47" ht="12" hidden="1" customHeight="1" x14ac:dyDescent="0.3">
      <c r="A1141" s="87" t="s">
        <v>47</v>
      </c>
      <c r="B1141" s="88">
        <v>46104</v>
      </c>
      <c r="C1141" s="89" t="s">
        <v>48</v>
      </c>
      <c r="D1141" s="89" t="s">
        <v>49</v>
      </c>
      <c r="E1141" s="90">
        <v>443649782</v>
      </c>
      <c r="F1141" s="184" t="s">
        <v>3296</v>
      </c>
      <c r="G1141" s="91">
        <v>7723866844</v>
      </c>
      <c r="H1141" s="92">
        <v>25253</v>
      </c>
      <c r="I1141" s="89">
        <v>57</v>
      </c>
      <c r="J1141" s="89" t="s">
        <v>51</v>
      </c>
      <c r="K1141" s="89" t="s">
        <v>52</v>
      </c>
      <c r="L1141" s="89" t="s">
        <v>53</v>
      </c>
      <c r="M1141" s="89" t="s">
        <v>217</v>
      </c>
      <c r="N1141" s="89" t="s">
        <v>277</v>
      </c>
      <c r="O1141" s="93" t="s">
        <v>3297</v>
      </c>
      <c r="P1141" s="94" t="s">
        <v>57</v>
      </c>
      <c r="Q1141" s="112" t="s">
        <v>2211</v>
      </c>
      <c r="R1141" s="95"/>
      <c r="S1141" s="96">
        <v>46164</v>
      </c>
      <c r="T1141" s="96" t="s">
        <v>2212</v>
      </c>
      <c r="U1141" s="96" t="s">
        <v>79</v>
      </c>
      <c r="V1141" s="92">
        <v>46147</v>
      </c>
      <c r="W1141" s="92">
        <v>46154</v>
      </c>
      <c r="X1141" s="92">
        <v>46160</v>
      </c>
      <c r="Y1141" s="97"/>
      <c r="Z1141" s="89"/>
      <c r="AA1141" s="96"/>
      <c r="AB1141" s="89"/>
      <c r="AC1141" s="111"/>
      <c r="AD1141" s="89"/>
      <c r="AE1141" s="89"/>
      <c r="AF1141" s="98"/>
      <c r="AG1141" s="98"/>
      <c r="AH1141" s="98"/>
      <c r="AI1141" s="99"/>
      <c r="AJ1141" s="99"/>
      <c r="AK1141" s="99"/>
      <c r="AL1141" s="45" t="s">
        <v>68</v>
      </c>
      <c r="AM1141" s="162" t="str">
        <f t="shared" si="136"/>
        <v>3/2026</v>
      </c>
      <c r="AN1141" s="45">
        <f t="shared" si="137"/>
        <v>4</v>
      </c>
      <c r="AO1141" s="45" t="str">
        <f t="shared" si="138"/>
        <v>1/1900</v>
      </c>
      <c r="AP1141" s="45" t="e">
        <f t="shared" si="139"/>
        <v>#NUM!</v>
      </c>
      <c r="AQ1141" s="45">
        <f t="shared" si="140"/>
        <v>0</v>
      </c>
      <c r="AR1141" s="45">
        <f t="shared" si="141"/>
        <v>0</v>
      </c>
      <c r="AS1141" s="45">
        <f t="shared" si="142"/>
        <v>0</v>
      </c>
      <c r="AT1141" s="45">
        <f t="shared" si="143"/>
        <v>0</v>
      </c>
      <c r="AU1141" s="45" t="str">
        <f>_xlfn.XLOOKUP(U1141,'Lista Suspensa'!$AA$20:$AA$23,'Lista Suspensa'!$AB$20:$AB$23,"N/A")</f>
        <v>S</v>
      </c>
    </row>
    <row r="1142" spans="1:47" ht="12" hidden="1" customHeight="1" x14ac:dyDescent="0.3">
      <c r="A1142" s="87" t="s">
        <v>47</v>
      </c>
      <c r="B1142" s="88">
        <v>46104</v>
      </c>
      <c r="C1142" s="89" t="s">
        <v>48</v>
      </c>
      <c r="D1142" s="89" t="s">
        <v>49</v>
      </c>
      <c r="E1142" s="90">
        <v>446147540</v>
      </c>
      <c r="F1142" s="184" t="s">
        <v>3298</v>
      </c>
      <c r="G1142" s="91">
        <v>13515931880</v>
      </c>
      <c r="H1142" s="92">
        <v>25451</v>
      </c>
      <c r="I1142" s="89">
        <v>56</v>
      </c>
      <c r="J1142" s="89" t="s">
        <v>70</v>
      </c>
      <c r="K1142" s="89" t="s">
        <v>52</v>
      </c>
      <c r="L1142" s="89" t="s">
        <v>53</v>
      </c>
      <c r="M1142" s="89" t="s">
        <v>3299</v>
      </c>
      <c r="N1142" s="89" t="s">
        <v>277</v>
      </c>
      <c r="O1142" s="93" t="s">
        <v>3300</v>
      </c>
      <c r="P1142" s="94" t="s">
        <v>57</v>
      </c>
      <c r="Q1142" s="112" t="s">
        <v>2211</v>
      </c>
      <c r="R1142" s="95"/>
      <c r="S1142" s="96">
        <v>46164</v>
      </c>
      <c r="T1142" s="96" t="s">
        <v>2212</v>
      </c>
      <c r="U1142" s="96" t="s">
        <v>79</v>
      </c>
      <c r="V1142" s="92">
        <v>46122</v>
      </c>
      <c r="W1142" s="92">
        <v>46154</v>
      </c>
      <c r="X1142" s="92">
        <v>46160</v>
      </c>
      <c r="Y1142" s="97"/>
      <c r="Z1142" s="89"/>
      <c r="AA1142" s="96"/>
      <c r="AB1142" s="89"/>
      <c r="AC1142" s="111"/>
      <c r="AD1142" s="89"/>
      <c r="AE1142" s="89"/>
      <c r="AF1142" s="98"/>
      <c r="AG1142" s="98"/>
      <c r="AH1142" s="98"/>
      <c r="AI1142" s="99"/>
      <c r="AJ1142" s="99"/>
      <c r="AK1142" s="99"/>
      <c r="AL1142" s="45" t="s">
        <v>68</v>
      </c>
      <c r="AM1142" s="162" t="str">
        <f t="shared" si="136"/>
        <v>3/2026</v>
      </c>
      <c r="AN1142" s="45">
        <f t="shared" si="137"/>
        <v>4</v>
      </c>
      <c r="AO1142" s="45" t="str">
        <f t="shared" si="138"/>
        <v>1/1900</v>
      </c>
      <c r="AP1142" s="45" t="e">
        <f t="shared" si="139"/>
        <v>#NUM!</v>
      </c>
      <c r="AQ1142" s="45">
        <f t="shared" si="140"/>
        <v>0</v>
      </c>
      <c r="AR1142" s="45">
        <f t="shared" si="141"/>
        <v>0</v>
      </c>
      <c r="AS1142" s="45">
        <f t="shared" si="142"/>
        <v>0</v>
      </c>
      <c r="AT1142" s="45">
        <f t="shared" si="143"/>
        <v>0</v>
      </c>
      <c r="AU1142" s="45" t="str">
        <f>_xlfn.XLOOKUP(U1142,'Lista Suspensa'!$AA$20:$AA$23,'Lista Suspensa'!$AB$20:$AB$23,"N/A")</f>
        <v>S</v>
      </c>
    </row>
    <row r="1143" spans="1:47" ht="12" hidden="1" customHeight="1" x14ac:dyDescent="0.3">
      <c r="A1143" s="87" t="s">
        <v>47</v>
      </c>
      <c r="B1143" s="88">
        <v>46104</v>
      </c>
      <c r="C1143" s="89" t="s">
        <v>48</v>
      </c>
      <c r="D1143" s="89" t="s">
        <v>49</v>
      </c>
      <c r="E1143" s="90">
        <v>862760968</v>
      </c>
      <c r="F1143" s="184" t="s">
        <v>3301</v>
      </c>
      <c r="G1143" s="91">
        <v>76207587804</v>
      </c>
      <c r="H1143" s="92">
        <v>19653</v>
      </c>
      <c r="I1143" s="89">
        <v>72</v>
      </c>
      <c r="J1143" s="89" t="s">
        <v>70</v>
      </c>
      <c r="K1143" s="89" t="s">
        <v>52</v>
      </c>
      <c r="L1143" s="89" t="s">
        <v>53</v>
      </c>
      <c r="M1143" s="89" t="s">
        <v>3302</v>
      </c>
      <c r="N1143" s="89" t="s">
        <v>277</v>
      </c>
      <c r="O1143" s="93" t="s">
        <v>3303</v>
      </c>
      <c r="P1143" s="94" t="s">
        <v>57</v>
      </c>
      <c r="Q1143" s="112" t="s">
        <v>2211</v>
      </c>
      <c r="R1143" s="95"/>
      <c r="S1143" s="96">
        <v>46164</v>
      </c>
      <c r="T1143" s="96" t="s">
        <v>2212</v>
      </c>
      <c r="U1143" s="96" t="s">
        <v>79</v>
      </c>
      <c r="V1143" s="92">
        <v>46128</v>
      </c>
      <c r="W1143" s="92">
        <v>46154</v>
      </c>
      <c r="X1143" s="92">
        <v>46160</v>
      </c>
      <c r="Y1143" s="97"/>
      <c r="Z1143" s="89"/>
      <c r="AA1143" s="96"/>
      <c r="AB1143" s="89"/>
      <c r="AC1143" s="111"/>
      <c r="AD1143" s="89"/>
      <c r="AE1143" s="89"/>
      <c r="AF1143" s="98"/>
      <c r="AG1143" s="98"/>
      <c r="AH1143" s="98"/>
      <c r="AI1143" s="99"/>
      <c r="AJ1143" s="99"/>
      <c r="AK1143" s="99"/>
      <c r="AL1143" s="45" t="s">
        <v>68</v>
      </c>
      <c r="AM1143" s="162" t="str">
        <f t="shared" si="136"/>
        <v>3/2026</v>
      </c>
      <c r="AN1143" s="45">
        <f t="shared" si="137"/>
        <v>4</v>
      </c>
      <c r="AO1143" s="45" t="str">
        <f t="shared" si="138"/>
        <v>1/1900</v>
      </c>
      <c r="AP1143" s="45" t="e">
        <f t="shared" si="139"/>
        <v>#NUM!</v>
      </c>
      <c r="AQ1143" s="45">
        <f t="shared" si="140"/>
        <v>0</v>
      </c>
      <c r="AR1143" s="45">
        <f t="shared" si="141"/>
        <v>0</v>
      </c>
      <c r="AS1143" s="45">
        <f t="shared" si="142"/>
        <v>0</v>
      </c>
      <c r="AT1143" s="45">
        <f t="shared" si="143"/>
        <v>0</v>
      </c>
      <c r="AU1143" s="45" t="str">
        <f>_xlfn.XLOOKUP(U1143,'Lista Suspensa'!$AA$20:$AA$23,'Lista Suspensa'!$AB$20:$AB$23,"N/A")</f>
        <v>S</v>
      </c>
    </row>
    <row r="1144" spans="1:47" ht="12" hidden="1" customHeight="1" x14ac:dyDescent="0.3">
      <c r="A1144" s="87" t="s">
        <v>47</v>
      </c>
      <c r="B1144" s="88">
        <v>46104</v>
      </c>
      <c r="C1144" s="89" t="s">
        <v>48</v>
      </c>
      <c r="D1144" s="89" t="s">
        <v>49</v>
      </c>
      <c r="E1144" s="90">
        <v>95257613</v>
      </c>
      <c r="F1144" s="184" t="s">
        <v>3304</v>
      </c>
      <c r="G1144" s="91">
        <v>29303677846</v>
      </c>
      <c r="H1144" s="92">
        <v>29095</v>
      </c>
      <c r="I1144" s="89">
        <v>46</v>
      </c>
      <c r="J1144" s="89" t="s">
        <v>51</v>
      </c>
      <c r="K1144" s="89" t="s">
        <v>52</v>
      </c>
      <c r="L1144" s="89" t="s">
        <v>53</v>
      </c>
      <c r="M1144" s="89" t="s">
        <v>3305</v>
      </c>
      <c r="N1144" s="89" t="s">
        <v>328</v>
      </c>
      <c r="O1144" s="93" t="s">
        <v>3306</v>
      </c>
      <c r="P1144" s="94" t="s">
        <v>57</v>
      </c>
      <c r="Q1144" s="112" t="s">
        <v>2110</v>
      </c>
      <c r="R1144" s="95">
        <v>46147</v>
      </c>
      <c r="S1144" s="96">
        <v>46157</v>
      </c>
      <c r="T1144" s="96" t="s">
        <v>59</v>
      </c>
      <c r="U1144" s="96" t="s">
        <v>79</v>
      </c>
      <c r="V1144" s="92">
        <v>46147</v>
      </c>
      <c r="W1144" s="92" t="s">
        <v>61</v>
      </c>
      <c r="X1144" s="92" t="s">
        <v>61</v>
      </c>
      <c r="Y1144" s="97" t="s">
        <v>3307</v>
      </c>
      <c r="Z1144" s="89" t="s">
        <v>62</v>
      </c>
      <c r="AA1144" s="96" t="s">
        <v>1575</v>
      </c>
      <c r="AB1144" s="89" t="s">
        <v>80</v>
      </c>
      <c r="AC1144" s="111"/>
      <c r="AD1144" s="89"/>
      <c r="AE1144" s="89"/>
      <c r="AF1144" s="98"/>
      <c r="AG1144" s="98"/>
      <c r="AH1144" s="98"/>
      <c r="AI1144" s="99" t="s">
        <v>197</v>
      </c>
      <c r="AJ1144" s="99"/>
      <c r="AK1144" s="99"/>
      <c r="AL1144" s="45" t="s">
        <v>68</v>
      </c>
      <c r="AM1144" s="162" t="str">
        <f t="shared" si="136"/>
        <v>3/2026</v>
      </c>
      <c r="AN1144" s="45">
        <f t="shared" si="137"/>
        <v>4</v>
      </c>
      <c r="AO1144" s="45" t="str">
        <f t="shared" si="138"/>
        <v>5/2026</v>
      </c>
      <c r="AP1144" s="45">
        <f t="shared" si="139"/>
        <v>2</v>
      </c>
      <c r="AQ1144" s="45">
        <f t="shared" si="140"/>
        <v>0</v>
      </c>
      <c r="AR1144" s="45">
        <f t="shared" si="141"/>
        <v>10</v>
      </c>
      <c r="AS1144" s="45">
        <f t="shared" si="142"/>
        <v>0</v>
      </c>
      <c r="AT1144" s="45">
        <f t="shared" si="143"/>
        <v>0</v>
      </c>
      <c r="AU1144" s="45" t="str">
        <f>_xlfn.XLOOKUP(U1144,'Lista Suspensa'!$AA$20:$AA$23,'Lista Suspensa'!$AB$20:$AB$23,"N/A")</f>
        <v>S</v>
      </c>
    </row>
    <row r="1145" spans="1:47" ht="12" hidden="1" customHeight="1" x14ac:dyDescent="0.3">
      <c r="A1145" s="87" t="s">
        <v>47</v>
      </c>
      <c r="B1145" s="88">
        <v>46104</v>
      </c>
      <c r="C1145" s="89" t="s">
        <v>48</v>
      </c>
      <c r="D1145" s="89" t="s">
        <v>49</v>
      </c>
      <c r="E1145" s="90">
        <v>83083118</v>
      </c>
      <c r="F1145" s="184" t="s">
        <v>3308</v>
      </c>
      <c r="G1145" s="91">
        <v>60135131715</v>
      </c>
      <c r="H1145" s="92">
        <v>21896</v>
      </c>
      <c r="I1145" s="89">
        <v>66</v>
      </c>
      <c r="J1145" s="89" t="s">
        <v>51</v>
      </c>
      <c r="K1145" s="89" t="s">
        <v>88</v>
      </c>
      <c r="L1145" s="89" t="s">
        <v>89</v>
      </c>
      <c r="M1145" s="89" t="s">
        <v>861</v>
      </c>
      <c r="N1145" s="89" t="s">
        <v>148</v>
      </c>
      <c r="O1145" s="93" t="s">
        <v>3309</v>
      </c>
      <c r="P1145" s="94" t="s">
        <v>57</v>
      </c>
      <c r="Q1145" s="112" t="s">
        <v>2211</v>
      </c>
      <c r="R1145" s="95"/>
      <c r="S1145" s="96">
        <v>46164</v>
      </c>
      <c r="T1145" s="96" t="s">
        <v>2212</v>
      </c>
      <c r="U1145" s="96" t="s">
        <v>79</v>
      </c>
      <c r="V1145" s="92">
        <v>46147</v>
      </c>
      <c r="W1145" s="92">
        <v>46154</v>
      </c>
      <c r="X1145" s="92">
        <v>46160</v>
      </c>
      <c r="Y1145" s="97"/>
      <c r="Z1145" s="89"/>
      <c r="AA1145" s="96"/>
      <c r="AB1145" s="89"/>
      <c r="AC1145" s="111"/>
      <c r="AD1145" s="89"/>
      <c r="AE1145" s="89"/>
      <c r="AF1145" s="98"/>
      <c r="AG1145" s="98"/>
      <c r="AH1145" s="98"/>
      <c r="AI1145" s="99"/>
      <c r="AJ1145" s="99"/>
      <c r="AK1145" s="99"/>
      <c r="AL1145" s="45" t="s">
        <v>68</v>
      </c>
      <c r="AM1145" s="162" t="str">
        <f t="shared" si="136"/>
        <v>3/2026</v>
      </c>
      <c r="AN1145" s="45">
        <f t="shared" si="137"/>
        <v>4</v>
      </c>
      <c r="AO1145" s="45" t="str">
        <f t="shared" si="138"/>
        <v>1/1900</v>
      </c>
      <c r="AP1145" s="45" t="e">
        <f t="shared" si="139"/>
        <v>#NUM!</v>
      </c>
      <c r="AQ1145" s="45">
        <f t="shared" si="140"/>
        <v>0</v>
      </c>
      <c r="AR1145" s="45">
        <f t="shared" si="141"/>
        <v>0</v>
      </c>
      <c r="AS1145" s="45">
        <f t="shared" si="142"/>
        <v>0</v>
      </c>
      <c r="AT1145" s="45">
        <f t="shared" si="143"/>
        <v>0</v>
      </c>
      <c r="AU1145" s="45" t="str">
        <f>_xlfn.XLOOKUP(U1145,'Lista Suspensa'!$AA$20:$AA$23,'Lista Suspensa'!$AB$20:$AB$23,"N/A")</f>
        <v>S</v>
      </c>
    </row>
    <row r="1146" spans="1:47" ht="12" hidden="1" customHeight="1" x14ac:dyDescent="0.3">
      <c r="A1146" s="87" t="s">
        <v>47</v>
      </c>
      <c r="B1146" s="88">
        <v>46104</v>
      </c>
      <c r="C1146" s="89" t="s">
        <v>48</v>
      </c>
      <c r="D1146" s="89" t="s">
        <v>49</v>
      </c>
      <c r="E1146" s="90">
        <v>83424828</v>
      </c>
      <c r="F1146" s="184" t="s">
        <v>3310</v>
      </c>
      <c r="G1146" s="91">
        <v>1919680721</v>
      </c>
      <c r="H1146" s="92">
        <v>25403</v>
      </c>
      <c r="I1146" s="89">
        <v>56</v>
      </c>
      <c r="J1146" s="89" t="s">
        <v>51</v>
      </c>
      <c r="K1146" s="89" t="s">
        <v>88</v>
      </c>
      <c r="L1146" s="89" t="s">
        <v>603</v>
      </c>
      <c r="M1146" s="89" t="s">
        <v>3311</v>
      </c>
      <c r="N1146" s="89" t="s">
        <v>148</v>
      </c>
      <c r="O1146" s="93" t="s">
        <v>3312</v>
      </c>
      <c r="P1146" s="94" t="s">
        <v>57</v>
      </c>
      <c r="Q1146" s="112" t="s">
        <v>2211</v>
      </c>
      <c r="R1146" s="95"/>
      <c r="S1146" s="96">
        <v>46164</v>
      </c>
      <c r="T1146" s="96" t="s">
        <v>2212</v>
      </c>
      <c r="U1146" s="96" t="s">
        <v>79</v>
      </c>
      <c r="V1146" s="92">
        <v>46147</v>
      </c>
      <c r="W1146" s="92">
        <v>46154</v>
      </c>
      <c r="X1146" s="92">
        <v>46160</v>
      </c>
      <c r="Y1146" s="97"/>
      <c r="Z1146" s="89"/>
      <c r="AA1146" s="96"/>
      <c r="AB1146" s="89"/>
      <c r="AC1146" s="111"/>
      <c r="AD1146" s="89"/>
      <c r="AE1146" s="89"/>
      <c r="AF1146" s="98"/>
      <c r="AG1146" s="98"/>
      <c r="AH1146" s="98"/>
      <c r="AI1146" s="99"/>
      <c r="AJ1146" s="99"/>
      <c r="AK1146" s="99"/>
      <c r="AL1146" s="45" t="s">
        <v>68</v>
      </c>
      <c r="AM1146" s="162" t="str">
        <f t="shared" si="136"/>
        <v>3/2026</v>
      </c>
      <c r="AN1146" s="45">
        <f t="shared" si="137"/>
        <v>4</v>
      </c>
      <c r="AO1146" s="45" t="str">
        <f t="shared" si="138"/>
        <v>1/1900</v>
      </c>
      <c r="AP1146" s="45" t="e">
        <f t="shared" si="139"/>
        <v>#NUM!</v>
      </c>
      <c r="AQ1146" s="45">
        <f t="shared" si="140"/>
        <v>0</v>
      </c>
      <c r="AR1146" s="45">
        <f t="shared" si="141"/>
        <v>0</v>
      </c>
      <c r="AS1146" s="45">
        <f t="shared" si="142"/>
        <v>0</v>
      </c>
      <c r="AT1146" s="45">
        <f t="shared" si="143"/>
        <v>0</v>
      </c>
      <c r="AU1146" s="45" t="str">
        <f>_xlfn.XLOOKUP(U1146,'Lista Suspensa'!$AA$20:$AA$23,'Lista Suspensa'!$AB$20:$AB$23,"N/A")</f>
        <v>S</v>
      </c>
    </row>
    <row r="1147" spans="1:47" ht="12" hidden="1" customHeight="1" x14ac:dyDescent="0.3">
      <c r="A1147" s="87" t="s">
        <v>47</v>
      </c>
      <c r="B1147" s="88">
        <v>46104</v>
      </c>
      <c r="C1147" s="89" t="s">
        <v>48</v>
      </c>
      <c r="D1147" s="89" t="s">
        <v>49</v>
      </c>
      <c r="E1147" s="90">
        <v>87275321</v>
      </c>
      <c r="F1147" s="184" t="s">
        <v>3313</v>
      </c>
      <c r="G1147" s="91">
        <v>78496721</v>
      </c>
      <c r="H1147" s="92">
        <v>24089</v>
      </c>
      <c r="I1147" s="89">
        <v>60</v>
      </c>
      <c r="J1147" s="89" t="s">
        <v>51</v>
      </c>
      <c r="K1147" s="89" t="s">
        <v>52</v>
      </c>
      <c r="L1147" s="89" t="s">
        <v>331</v>
      </c>
      <c r="M1147" s="89" t="s">
        <v>3314</v>
      </c>
      <c r="N1147" s="89" t="s">
        <v>148</v>
      </c>
      <c r="O1147" s="93" t="s">
        <v>3315</v>
      </c>
      <c r="P1147" s="94" t="s">
        <v>57</v>
      </c>
      <c r="Q1147" s="112" t="s">
        <v>2211</v>
      </c>
      <c r="R1147" s="95"/>
      <c r="S1147" s="96">
        <v>46164</v>
      </c>
      <c r="T1147" s="96" t="s">
        <v>2212</v>
      </c>
      <c r="U1147" s="96" t="s">
        <v>79</v>
      </c>
      <c r="V1147" s="92">
        <v>46147</v>
      </c>
      <c r="W1147" s="92">
        <v>46154</v>
      </c>
      <c r="X1147" s="92">
        <v>46160</v>
      </c>
      <c r="Y1147" s="97"/>
      <c r="Z1147" s="89"/>
      <c r="AA1147" s="96"/>
      <c r="AB1147" s="89"/>
      <c r="AC1147" s="111"/>
      <c r="AD1147" s="89"/>
      <c r="AE1147" s="89"/>
      <c r="AF1147" s="98"/>
      <c r="AG1147" s="98"/>
      <c r="AH1147" s="98"/>
      <c r="AI1147" s="99"/>
      <c r="AJ1147" s="99"/>
      <c r="AK1147" s="99"/>
      <c r="AL1147" s="45" t="s">
        <v>68</v>
      </c>
      <c r="AM1147" s="162" t="str">
        <f t="shared" si="136"/>
        <v>3/2026</v>
      </c>
      <c r="AN1147" s="45">
        <f t="shared" si="137"/>
        <v>4</v>
      </c>
      <c r="AO1147" s="45" t="str">
        <f t="shared" si="138"/>
        <v>1/1900</v>
      </c>
      <c r="AP1147" s="45" t="e">
        <f t="shared" si="139"/>
        <v>#NUM!</v>
      </c>
      <c r="AQ1147" s="45">
        <f t="shared" si="140"/>
        <v>0</v>
      </c>
      <c r="AR1147" s="45">
        <f t="shared" si="141"/>
        <v>0</v>
      </c>
      <c r="AS1147" s="45">
        <f t="shared" si="142"/>
        <v>0</v>
      </c>
      <c r="AT1147" s="45">
        <f t="shared" si="143"/>
        <v>0</v>
      </c>
      <c r="AU1147" s="45" t="str">
        <f>_xlfn.XLOOKUP(U1147,'Lista Suspensa'!$AA$20:$AA$23,'Lista Suspensa'!$AB$20:$AB$23,"N/A")</f>
        <v>S</v>
      </c>
    </row>
    <row r="1148" spans="1:47" ht="12" hidden="1" customHeight="1" x14ac:dyDescent="0.3">
      <c r="A1148" s="87" t="s">
        <v>47</v>
      </c>
      <c r="B1148" s="88">
        <v>46104</v>
      </c>
      <c r="C1148" s="89" t="s">
        <v>48</v>
      </c>
      <c r="D1148" s="89" t="s">
        <v>49</v>
      </c>
      <c r="E1148" s="90">
        <v>95403817</v>
      </c>
      <c r="F1148" s="184" t="s">
        <v>3316</v>
      </c>
      <c r="G1148" s="91">
        <v>16918160788</v>
      </c>
      <c r="H1148" s="92">
        <v>36713</v>
      </c>
      <c r="I1148" s="89">
        <v>25</v>
      </c>
      <c r="J1148" s="89" t="s">
        <v>70</v>
      </c>
      <c r="K1148" s="89" t="s">
        <v>88</v>
      </c>
      <c r="L1148" s="89" t="s">
        <v>89</v>
      </c>
      <c r="M1148" s="89" t="s">
        <v>2609</v>
      </c>
      <c r="N1148" s="89" t="s">
        <v>148</v>
      </c>
      <c r="O1148" s="93" t="s">
        <v>3317</v>
      </c>
      <c r="P1148" s="94" t="s">
        <v>57</v>
      </c>
      <c r="Q1148" s="112" t="s">
        <v>2211</v>
      </c>
      <c r="R1148" s="95"/>
      <c r="S1148" s="96">
        <v>46164</v>
      </c>
      <c r="T1148" s="96" t="s">
        <v>2212</v>
      </c>
      <c r="U1148" s="96" t="s">
        <v>79</v>
      </c>
      <c r="V1148" s="92">
        <v>46147</v>
      </c>
      <c r="W1148" s="92">
        <v>46154</v>
      </c>
      <c r="X1148" s="92">
        <v>46160</v>
      </c>
      <c r="Y1148" s="97"/>
      <c r="Z1148" s="89"/>
      <c r="AA1148" s="96"/>
      <c r="AB1148" s="89"/>
      <c r="AC1148" s="111"/>
      <c r="AD1148" s="89"/>
      <c r="AE1148" s="89"/>
      <c r="AF1148" s="98"/>
      <c r="AG1148" s="98"/>
      <c r="AH1148" s="98"/>
      <c r="AI1148" s="99"/>
      <c r="AJ1148" s="99"/>
      <c r="AK1148" s="99"/>
      <c r="AL1148" s="45" t="s">
        <v>68</v>
      </c>
      <c r="AM1148" s="162" t="str">
        <f t="shared" si="136"/>
        <v>3/2026</v>
      </c>
      <c r="AN1148" s="45">
        <f t="shared" si="137"/>
        <v>4</v>
      </c>
      <c r="AO1148" s="45" t="str">
        <f t="shared" si="138"/>
        <v>1/1900</v>
      </c>
      <c r="AP1148" s="45" t="e">
        <f t="shared" si="139"/>
        <v>#NUM!</v>
      </c>
      <c r="AQ1148" s="45">
        <f t="shared" si="140"/>
        <v>0</v>
      </c>
      <c r="AR1148" s="45">
        <f t="shared" si="141"/>
        <v>0</v>
      </c>
      <c r="AS1148" s="45">
        <f t="shared" si="142"/>
        <v>0</v>
      </c>
      <c r="AT1148" s="45">
        <f t="shared" si="143"/>
        <v>0</v>
      </c>
      <c r="AU1148" s="45" t="str">
        <f>_xlfn.XLOOKUP(U1148,'Lista Suspensa'!$AA$20:$AA$23,'Lista Suspensa'!$AB$20:$AB$23,"N/A")</f>
        <v>S</v>
      </c>
    </row>
    <row r="1149" spans="1:47" ht="12" hidden="1" customHeight="1" x14ac:dyDescent="0.3">
      <c r="A1149" s="87" t="s">
        <v>47</v>
      </c>
      <c r="B1149" s="88">
        <v>46104</v>
      </c>
      <c r="C1149" s="89" t="s">
        <v>48</v>
      </c>
      <c r="D1149" s="89" t="s">
        <v>49</v>
      </c>
      <c r="E1149" s="90">
        <v>83642525</v>
      </c>
      <c r="F1149" s="184" t="s">
        <v>3318</v>
      </c>
      <c r="G1149" s="91">
        <v>89456254704</v>
      </c>
      <c r="H1149" s="92">
        <v>22026</v>
      </c>
      <c r="I1149" s="89">
        <v>65</v>
      </c>
      <c r="J1149" s="89" t="s">
        <v>70</v>
      </c>
      <c r="K1149" s="89" t="s">
        <v>52</v>
      </c>
      <c r="L1149" s="89" t="s">
        <v>53</v>
      </c>
      <c r="M1149" s="89" t="s">
        <v>151</v>
      </c>
      <c r="N1149" s="89" t="s">
        <v>148</v>
      </c>
      <c r="O1149" s="93" t="s">
        <v>3319</v>
      </c>
      <c r="P1149" s="94" t="s">
        <v>57</v>
      </c>
      <c r="Q1149" s="112" t="s">
        <v>2211</v>
      </c>
      <c r="R1149" s="95"/>
      <c r="S1149" s="96">
        <v>46164</v>
      </c>
      <c r="T1149" s="96" t="s">
        <v>2212</v>
      </c>
      <c r="U1149" s="96" t="s">
        <v>79</v>
      </c>
      <c r="V1149" s="92">
        <v>46147</v>
      </c>
      <c r="W1149" s="92">
        <v>46154</v>
      </c>
      <c r="X1149" s="92">
        <v>46160</v>
      </c>
      <c r="Y1149" s="97"/>
      <c r="Z1149" s="89" t="s">
        <v>62</v>
      </c>
      <c r="AA1149" s="96" t="s">
        <v>1313</v>
      </c>
      <c r="AB1149" s="89" t="s">
        <v>80</v>
      </c>
      <c r="AC1149" s="111"/>
      <c r="AD1149" s="89"/>
      <c r="AE1149" s="89"/>
      <c r="AF1149" s="98"/>
      <c r="AG1149" s="98"/>
      <c r="AH1149" s="98"/>
      <c r="AI1149" s="99" t="s">
        <v>197</v>
      </c>
      <c r="AJ1149" s="99"/>
      <c r="AK1149" s="99"/>
      <c r="AL1149" s="45" t="s">
        <v>68</v>
      </c>
      <c r="AM1149" s="162" t="str">
        <f t="shared" si="136"/>
        <v>3/2026</v>
      </c>
      <c r="AN1149" s="45">
        <f t="shared" si="137"/>
        <v>4</v>
      </c>
      <c r="AO1149" s="45" t="str">
        <f t="shared" si="138"/>
        <v>1/1900</v>
      </c>
      <c r="AP1149" s="45" t="e">
        <f t="shared" si="139"/>
        <v>#NUM!</v>
      </c>
      <c r="AQ1149" s="45">
        <f t="shared" si="140"/>
        <v>0</v>
      </c>
      <c r="AR1149" s="45">
        <f t="shared" si="141"/>
        <v>0</v>
      </c>
      <c r="AS1149" s="45">
        <f t="shared" si="142"/>
        <v>0</v>
      </c>
      <c r="AT1149" s="45">
        <f t="shared" si="143"/>
        <v>0</v>
      </c>
      <c r="AU1149" s="45" t="str">
        <f>_xlfn.XLOOKUP(U1149,'Lista Suspensa'!$AA$20:$AA$23,'Lista Suspensa'!$AB$20:$AB$23,"N/A")</f>
        <v>S</v>
      </c>
    </row>
    <row r="1150" spans="1:47" ht="12" hidden="1" customHeight="1" x14ac:dyDescent="0.3">
      <c r="A1150" s="87" t="s">
        <v>47</v>
      </c>
      <c r="B1150" s="88">
        <v>46104</v>
      </c>
      <c r="C1150" s="89" t="s">
        <v>48</v>
      </c>
      <c r="D1150" s="89" t="s">
        <v>49</v>
      </c>
      <c r="E1150" s="90">
        <v>92970184</v>
      </c>
      <c r="F1150" s="184" t="s">
        <v>3320</v>
      </c>
      <c r="G1150" s="91">
        <v>11207155802</v>
      </c>
      <c r="H1150" s="92">
        <v>25062</v>
      </c>
      <c r="I1150" s="89">
        <v>57</v>
      </c>
      <c r="J1150" s="89" t="s">
        <v>51</v>
      </c>
      <c r="K1150" s="89" t="s">
        <v>52</v>
      </c>
      <c r="L1150" s="89" t="s">
        <v>53</v>
      </c>
      <c r="M1150" s="89" t="s">
        <v>1867</v>
      </c>
      <c r="N1150" s="89" t="s">
        <v>148</v>
      </c>
      <c r="O1150" s="93" t="s">
        <v>3321</v>
      </c>
      <c r="P1150" s="94" t="s">
        <v>57</v>
      </c>
      <c r="Q1150" s="112" t="s">
        <v>2211</v>
      </c>
      <c r="R1150" s="95"/>
      <c r="S1150" s="96">
        <v>46164</v>
      </c>
      <c r="T1150" s="96" t="s">
        <v>2212</v>
      </c>
      <c r="U1150" s="96" t="s">
        <v>79</v>
      </c>
      <c r="V1150" s="92">
        <v>46142</v>
      </c>
      <c r="W1150" s="92">
        <v>46154</v>
      </c>
      <c r="X1150" s="92">
        <v>46160</v>
      </c>
      <c r="Y1150" s="97"/>
      <c r="Z1150" s="89"/>
      <c r="AA1150" s="96"/>
      <c r="AB1150" s="89"/>
      <c r="AC1150" s="111"/>
      <c r="AD1150" s="89"/>
      <c r="AE1150" s="89"/>
      <c r="AF1150" s="98"/>
      <c r="AG1150" s="98"/>
      <c r="AH1150" s="98"/>
      <c r="AI1150" s="99"/>
      <c r="AJ1150" s="99"/>
      <c r="AK1150" s="99"/>
      <c r="AL1150" s="45" t="s">
        <v>68</v>
      </c>
      <c r="AM1150" s="162" t="str">
        <f t="shared" si="136"/>
        <v>3/2026</v>
      </c>
      <c r="AN1150" s="45">
        <f t="shared" si="137"/>
        <v>4</v>
      </c>
      <c r="AO1150" s="45" t="str">
        <f t="shared" si="138"/>
        <v>1/1900</v>
      </c>
      <c r="AP1150" s="45" t="e">
        <f t="shared" si="139"/>
        <v>#NUM!</v>
      </c>
      <c r="AQ1150" s="45">
        <f t="shared" si="140"/>
        <v>0</v>
      </c>
      <c r="AR1150" s="45">
        <f t="shared" si="141"/>
        <v>0</v>
      </c>
      <c r="AS1150" s="45">
        <f t="shared" si="142"/>
        <v>0</v>
      </c>
      <c r="AT1150" s="45">
        <f t="shared" si="143"/>
        <v>0</v>
      </c>
      <c r="AU1150" s="45" t="str">
        <f>_xlfn.XLOOKUP(U1150,'Lista Suspensa'!$AA$20:$AA$23,'Lista Suspensa'!$AB$20:$AB$23,"N/A")</f>
        <v>S</v>
      </c>
    </row>
    <row r="1151" spans="1:47" ht="12" hidden="1" customHeight="1" x14ac:dyDescent="0.3">
      <c r="A1151" s="87" t="s">
        <v>47</v>
      </c>
      <c r="B1151" s="88">
        <v>46104</v>
      </c>
      <c r="C1151" s="89" t="s">
        <v>48</v>
      </c>
      <c r="D1151" s="89" t="s">
        <v>49</v>
      </c>
      <c r="E1151" s="90">
        <v>82824175</v>
      </c>
      <c r="F1151" s="184" t="s">
        <v>3322</v>
      </c>
      <c r="G1151" s="91">
        <v>87808625787</v>
      </c>
      <c r="H1151" s="92">
        <v>18463</v>
      </c>
      <c r="I1151" s="89">
        <v>75</v>
      </c>
      <c r="J1151" s="89" t="s">
        <v>70</v>
      </c>
      <c r="K1151" s="89" t="s">
        <v>88</v>
      </c>
      <c r="L1151" s="89" t="s">
        <v>89</v>
      </c>
      <c r="M1151" s="89" t="s">
        <v>384</v>
      </c>
      <c r="N1151" s="89" t="s">
        <v>148</v>
      </c>
      <c r="O1151" s="93" t="s">
        <v>3323</v>
      </c>
      <c r="P1151" s="94" t="s">
        <v>57</v>
      </c>
      <c r="Q1151" s="112" t="s">
        <v>2211</v>
      </c>
      <c r="R1151" s="95"/>
      <c r="S1151" s="96">
        <v>46164</v>
      </c>
      <c r="T1151" s="96" t="s">
        <v>2212</v>
      </c>
      <c r="U1151" s="96" t="s">
        <v>79</v>
      </c>
      <c r="V1151" s="92">
        <v>46142</v>
      </c>
      <c r="W1151" s="92">
        <v>46154</v>
      </c>
      <c r="X1151" s="92">
        <v>46160</v>
      </c>
      <c r="Y1151" s="97"/>
      <c r="Z1151" s="89"/>
      <c r="AA1151" s="96"/>
      <c r="AB1151" s="89"/>
      <c r="AC1151" s="111"/>
      <c r="AD1151" s="89"/>
      <c r="AE1151" s="89"/>
      <c r="AF1151" s="98"/>
      <c r="AG1151" s="98"/>
      <c r="AH1151" s="98"/>
      <c r="AI1151" s="99"/>
      <c r="AJ1151" s="99"/>
      <c r="AK1151" s="99"/>
      <c r="AL1151" s="45" t="s">
        <v>68</v>
      </c>
      <c r="AM1151" s="162" t="str">
        <f t="shared" si="136"/>
        <v>3/2026</v>
      </c>
      <c r="AN1151" s="45">
        <f t="shared" si="137"/>
        <v>4</v>
      </c>
      <c r="AO1151" s="45" t="str">
        <f t="shared" si="138"/>
        <v>1/1900</v>
      </c>
      <c r="AP1151" s="45" t="e">
        <f t="shared" si="139"/>
        <v>#NUM!</v>
      </c>
      <c r="AQ1151" s="45">
        <f t="shared" si="140"/>
        <v>0</v>
      </c>
      <c r="AR1151" s="45">
        <f t="shared" si="141"/>
        <v>0</v>
      </c>
      <c r="AS1151" s="45">
        <f t="shared" si="142"/>
        <v>0</v>
      </c>
      <c r="AT1151" s="45">
        <f t="shared" si="143"/>
        <v>0</v>
      </c>
      <c r="AU1151" s="45" t="str">
        <f>_xlfn.XLOOKUP(U1151,'Lista Suspensa'!$AA$20:$AA$23,'Lista Suspensa'!$AB$20:$AB$23,"N/A")</f>
        <v>S</v>
      </c>
    </row>
    <row r="1152" spans="1:47" ht="12" hidden="1" customHeight="1" x14ac:dyDescent="0.3">
      <c r="A1152" s="87" t="s">
        <v>47</v>
      </c>
      <c r="B1152" s="88">
        <v>46104</v>
      </c>
      <c r="C1152" s="89" t="s">
        <v>48</v>
      </c>
      <c r="D1152" s="89" t="s">
        <v>49</v>
      </c>
      <c r="E1152" s="90">
        <v>77767757</v>
      </c>
      <c r="F1152" s="184" t="s">
        <v>3324</v>
      </c>
      <c r="G1152" s="91">
        <v>5513526808</v>
      </c>
      <c r="H1152" s="92">
        <v>21893</v>
      </c>
      <c r="I1152" s="89">
        <v>66</v>
      </c>
      <c r="J1152" s="89" t="s">
        <v>70</v>
      </c>
      <c r="K1152" s="89" t="s">
        <v>52</v>
      </c>
      <c r="L1152" s="89" t="s">
        <v>53</v>
      </c>
      <c r="M1152" s="89" t="s">
        <v>3325</v>
      </c>
      <c r="N1152" s="89" t="s">
        <v>148</v>
      </c>
      <c r="O1152" s="93" t="s">
        <v>3326</v>
      </c>
      <c r="P1152" s="94" t="s">
        <v>57</v>
      </c>
      <c r="Q1152" s="112" t="s">
        <v>2211</v>
      </c>
      <c r="R1152" s="95"/>
      <c r="S1152" s="96">
        <v>46164</v>
      </c>
      <c r="T1152" s="96" t="s">
        <v>2212</v>
      </c>
      <c r="U1152" s="96" t="s">
        <v>79</v>
      </c>
      <c r="V1152" s="92">
        <v>46142</v>
      </c>
      <c r="W1152" s="92">
        <v>46154</v>
      </c>
      <c r="X1152" s="92">
        <v>46160</v>
      </c>
      <c r="Y1152" s="97"/>
      <c r="Z1152" s="89"/>
      <c r="AA1152" s="96"/>
      <c r="AB1152" s="89"/>
      <c r="AC1152" s="111"/>
      <c r="AD1152" s="89"/>
      <c r="AE1152" s="89"/>
      <c r="AF1152" s="98"/>
      <c r="AG1152" s="98"/>
      <c r="AH1152" s="98"/>
      <c r="AI1152" s="99"/>
      <c r="AJ1152" s="99"/>
      <c r="AK1152" s="99"/>
      <c r="AL1152" s="45" t="s">
        <v>68</v>
      </c>
      <c r="AM1152" s="162" t="str">
        <f t="shared" si="136"/>
        <v>3/2026</v>
      </c>
      <c r="AN1152" s="45">
        <f t="shared" si="137"/>
        <v>4</v>
      </c>
      <c r="AO1152" s="45" t="str">
        <f t="shared" si="138"/>
        <v>1/1900</v>
      </c>
      <c r="AP1152" s="45" t="e">
        <f t="shared" si="139"/>
        <v>#NUM!</v>
      </c>
      <c r="AQ1152" s="45">
        <f t="shared" si="140"/>
        <v>0</v>
      </c>
      <c r="AR1152" s="45">
        <f t="shared" si="141"/>
        <v>0</v>
      </c>
      <c r="AS1152" s="45">
        <f t="shared" si="142"/>
        <v>0</v>
      </c>
      <c r="AT1152" s="45">
        <f t="shared" si="143"/>
        <v>0</v>
      </c>
      <c r="AU1152" s="45" t="str">
        <f>_xlfn.XLOOKUP(U1152,'Lista Suspensa'!$AA$20:$AA$23,'Lista Suspensa'!$AB$20:$AB$23,"N/A")</f>
        <v>S</v>
      </c>
    </row>
    <row r="1153" spans="1:47" ht="12" hidden="1" customHeight="1" x14ac:dyDescent="0.3">
      <c r="A1153" s="87" t="s">
        <v>47</v>
      </c>
      <c r="B1153" s="88">
        <v>46104</v>
      </c>
      <c r="C1153" s="89" t="s">
        <v>48</v>
      </c>
      <c r="D1153" s="89" t="s">
        <v>49</v>
      </c>
      <c r="E1153" s="90">
        <v>94266575</v>
      </c>
      <c r="F1153" s="184" t="s">
        <v>3327</v>
      </c>
      <c r="G1153" s="91">
        <v>7793013743</v>
      </c>
      <c r="H1153" s="92">
        <v>27919</v>
      </c>
      <c r="I1153" s="89">
        <v>49</v>
      </c>
      <c r="J1153" s="89" t="s">
        <v>51</v>
      </c>
      <c r="K1153" s="89" t="s">
        <v>88</v>
      </c>
      <c r="L1153" s="89" t="s">
        <v>231</v>
      </c>
      <c r="M1153" s="89" t="s">
        <v>240</v>
      </c>
      <c r="N1153" s="89" t="s">
        <v>148</v>
      </c>
      <c r="O1153" s="93" t="s">
        <v>3328</v>
      </c>
      <c r="P1153" s="94" t="s">
        <v>57</v>
      </c>
      <c r="Q1153" s="112" t="s">
        <v>2211</v>
      </c>
      <c r="R1153" s="95"/>
      <c r="S1153" s="96">
        <v>46164</v>
      </c>
      <c r="T1153" s="96" t="s">
        <v>2212</v>
      </c>
      <c r="U1153" s="96" t="s">
        <v>79</v>
      </c>
      <c r="V1153" s="92">
        <v>46142</v>
      </c>
      <c r="W1153" s="92">
        <v>46154</v>
      </c>
      <c r="X1153" s="92">
        <v>46160</v>
      </c>
      <c r="Y1153" s="97"/>
      <c r="Z1153" s="89"/>
      <c r="AA1153" s="96"/>
      <c r="AB1153" s="89"/>
      <c r="AC1153" s="111"/>
      <c r="AD1153" s="89"/>
      <c r="AE1153" s="89"/>
      <c r="AF1153" s="98"/>
      <c r="AG1153" s="98"/>
      <c r="AH1153" s="98"/>
      <c r="AI1153" s="99"/>
      <c r="AJ1153" s="99"/>
      <c r="AK1153" s="99"/>
      <c r="AL1153" s="45" t="s">
        <v>68</v>
      </c>
      <c r="AM1153" s="162" t="str">
        <f t="shared" si="136"/>
        <v>3/2026</v>
      </c>
      <c r="AN1153" s="45">
        <f t="shared" si="137"/>
        <v>4</v>
      </c>
      <c r="AO1153" s="45" t="str">
        <f t="shared" si="138"/>
        <v>1/1900</v>
      </c>
      <c r="AP1153" s="45" t="e">
        <f t="shared" si="139"/>
        <v>#NUM!</v>
      </c>
      <c r="AQ1153" s="45">
        <f t="shared" si="140"/>
        <v>0</v>
      </c>
      <c r="AR1153" s="45">
        <f t="shared" si="141"/>
        <v>0</v>
      </c>
      <c r="AS1153" s="45">
        <f t="shared" si="142"/>
        <v>0</v>
      </c>
      <c r="AT1153" s="45">
        <f t="shared" si="143"/>
        <v>0</v>
      </c>
      <c r="AU1153" s="45" t="str">
        <f>_xlfn.XLOOKUP(U1153,'Lista Suspensa'!$AA$20:$AA$23,'Lista Suspensa'!$AB$20:$AB$23,"N/A")</f>
        <v>S</v>
      </c>
    </row>
    <row r="1154" spans="1:47" ht="12" hidden="1" customHeight="1" x14ac:dyDescent="0.3">
      <c r="A1154" s="87" t="s">
        <v>47</v>
      </c>
      <c r="B1154" s="88">
        <v>46104</v>
      </c>
      <c r="C1154" s="89" t="s">
        <v>48</v>
      </c>
      <c r="D1154" s="89" t="s">
        <v>49</v>
      </c>
      <c r="E1154" s="90">
        <v>79205652</v>
      </c>
      <c r="F1154" s="184" t="s">
        <v>3329</v>
      </c>
      <c r="G1154" s="91">
        <v>2927510873</v>
      </c>
      <c r="H1154" s="92">
        <v>21282</v>
      </c>
      <c r="I1154" s="89">
        <v>67</v>
      </c>
      <c r="J1154" s="89" t="s">
        <v>70</v>
      </c>
      <c r="K1154" s="89" t="s">
        <v>52</v>
      </c>
      <c r="L1154" s="89" t="s">
        <v>53</v>
      </c>
      <c r="M1154" s="89" t="s">
        <v>918</v>
      </c>
      <c r="N1154" s="89" t="s">
        <v>148</v>
      </c>
      <c r="O1154" s="93" t="s">
        <v>3330</v>
      </c>
      <c r="P1154" s="94" t="s">
        <v>57</v>
      </c>
      <c r="Q1154" s="112" t="s">
        <v>2211</v>
      </c>
      <c r="R1154" s="95"/>
      <c r="S1154" s="96">
        <v>46164</v>
      </c>
      <c r="T1154" s="96" t="s">
        <v>2212</v>
      </c>
      <c r="U1154" s="96" t="s">
        <v>79</v>
      </c>
      <c r="V1154" s="92">
        <v>46142</v>
      </c>
      <c r="W1154" s="92">
        <v>46154</v>
      </c>
      <c r="X1154" s="92">
        <v>46160</v>
      </c>
      <c r="Y1154" s="97"/>
      <c r="Z1154" s="89"/>
      <c r="AA1154" s="96"/>
      <c r="AB1154" s="89"/>
      <c r="AC1154" s="111"/>
      <c r="AD1154" s="89"/>
      <c r="AE1154" s="89"/>
      <c r="AF1154" s="98"/>
      <c r="AG1154" s="98"/>
      <c r="AH1154" s="98"/>
      <c r="AI1154" s="99"/>
      <c r="AJ1154" s="99"/>
      <c r="AK1154" s="99"/>
      <c r="AL1154" s="45" t="s">
        <v>68</v>
      </c>
      <c r="AM1154" s="162" t="str">
        <f t="shared" ref="AM1154:AM1217" si="144">MONTH(B1154)&amp;"/"&amp;YEAR(B1154)</f>
        <v>3/2026</v>
      </c>
      <c r="AN1154" s="45">
        <f t="shared" ref="AN1154:AN1217" si="145">WEEKNUM(B1154)-WEEKNUM(EOMONTH(B1154,-1)+1)+1</f>
        <v>4</v>
      </c>
      <c r="AO1154" s="45" t="str">
        <f t="shared" ref="AO1154:AO1217" si="146">MONTH(R1154)&amp;"/"&amp;YEAR(R1154)</f>
        <v>1/1900</v>
      </c>
      <c r="AP1154" s="45" t="e">
        <f t="shared" ref="AP1154:AP1217" si="147">WEEKNUM(R1154)-WEEKNUM(EOMONTH(R1154,-1)+1)+1</f>
        <v>#NUM!</v>
      </c>
      <c r="AQ1154" s="45">
        <f t="shared" ref="AQ1154:AQ1217" si="148">IF(AU1154="S",IF(Q1154="1. Aceitou o programa",R1154-B1154,0),0)</f>
        <v>0</v>
      </c>
      <c r="AR1154" s="45">
        <f t="shared" ref="AR1154:AR1217" si="149">IF(AU1154="S",IF(AND(S1154&lt;&gt;"",R1154&lt;&gt;""),S1154-R1154,0),0)</f>
        <v>0</v>
      </c>
      <c r="AS1154" s="45">
        <f t="shared" ref="AS1154:AS1217" si="150">IF(AU1154="S",IF(Q1154="1. Aceitou o programa",IF(OR(X1154="Não se Aplica",X1154=""),IF(OR(W1154="Não se Aplica",W1154=""),0,W1154-V1154),AVERAGE(X1154-W1154,W1154-V1154)),0),0)</f>
        <v>0</v>
      </c>
      <c r="AT1154" s="45">
        <f t="shared" ref="AT1154:AT1217" si="151">IF(AU1154="S",IF(AND(Q1154="1. Aceitou o programa",AB1154="Realizada"),IFERROR(IF(AA1154="",0,AA1154-R1154),0),0),0)</f>
        <v>0</v>
      </c>
      <c r="AU1154" s="45" t="str">
        <f>_xlfn.XLOOKUP(U1154,'Lista Suspensa'!$AA$20:$AA$23,'Lista Suspensa'!$AB$20:$AB$23,"N/A")</f>
        <v>S</v>
      </c>
    </row>
    <row r="1155" spans="1:47" ht="12" hidden="1" customHeight="1" x14ac:dyDescent="0.3">
      <c r="A1155" s="87" t="s">
        <v>47</v>
      </c>
      <c r="B1155" s="88">
        <v>46104</v>
      </c>
      <c r="C1155" s="89" t="s">
        <v>48</v>
      </c>
      <c r="D1155" s="89" t="s">
        <v>49</v>
      </c>
      <c r="E1155" s="90">
        <v>86888211</v>
      </c>
      <c r="F1155" s="184" t="s">
        <v>3331</v>
      </c>
      <c r="G1155" s="91">
        <v>5606210860</v>
      </c>
      <c r="H1155" s="92">
        <v>23718</v>
      </c>
      <c r="I1155" s="89">
        <v>61</v>
      </c>
      <c r="J1155" s="89" t="s">
        <v>70</v>
      </c>
      <c r="K1155" s="89" t="s">
        <v>52</v>
      </c>
      <c r="L1155" s="89" t="s">
        <v>53</v>
      </c>
      <c r="M1155" s="89" t="s">
        <v>3332</v>
      </c>
      <c r="N1155" s="89" t="s">
        <v>148</v>
      </c>
      <c r="O1155" s="93" t="s">
        <v>3333</v>
      </c>
      <c r="P1155" s="94" t="s">
        <v>57</v>
      </c>
      <c r="Q1155" s="112" t="s">
        <v>2211</v>
      </c>
      <c r="R1155" s="95"/>
      <c r="S1155" s="96">
        <v>46164</v>
      </c>
      <c r="T1155" s="96" t="s">
        <v>2212</v>
      </c>
      <c r="U1155" s="96" t="s">
        <v>79</v>
      </c>
      <c r="V1155" s="92">
        <v>46142</v>
      </c>
      <c r="W1155" s="92">
        <v>46154</v>
      </c>
      <c r="X1155" s="92">
        <v>46160</v>
      </c>
      <c r="Y1155" s="97"/>
      <c r="Z1155" s="89"/>
      <c r="AA1155" s="96"/>
      <c r="AB1155" s="89"/>
      <c r="AC1155" s="111"/>
      <c r="AD1155" s="89"/>
      <c r="AE1155" s="89"/>
      <c r="AF1155" s="98"/>
      <c r="AG1155" s="98"/>
      <c r="AH1155" s="98"/>
      <c r="AI1155" s="99"/>
      <c r="AJ1155" s="99"/>
      <c r="AK1155" s="99"/>
      <c r="AL1155" s="45" t="s">
        <v>68</v>
      </c>
      <c r="AM1155" s="162" t="str">
        <f t="shared" si="144"/>
        <v>3/2026</v>
      </c>
      <c r="AN1155" s="45">
        <f t="shared" si="145"/>
        <v>4</v>
      </c>
      <c r="AO1155" s="45" t="str">
        <f t="shared" si="146"/>
        <v>1/1900</v>
      </c>
      <c r="AP1155" s="45" t="e">
        <f t="shared" si="147"/>
        <v>#NUM!</v>
      </c>
      <c r="AQ1155" s="45">
        <f t="shared" si="148"/>
        <v>0</v>
      </c>
      <c r="AR1155" s="45">
        <f t="shared" si="149"/>
        <v>0</v>
      </c>
      <c r="AS1155" s="45">
        <f t="shared" si="150"/>
        <v>0</v>
      </c>
      <c r="AT1155" s="45">
        <f t="shared" si="151"/>
        <v>0</v>
      </c>
      <c r="AU1155" s="45" t="str">
        <f>_xlfn.XLOOKUP(U1155,'Lista Suspensa'!$AA$20:$AA$23,'Lista Suspensa'!$AB$20:$AB$23,"N/A")</f>
        <v>S</v>
      </c>
    </row>
    <row r="1156" spans="1:47" ht="12" hidden="1" customHeight="1" x14ac:dyDescent="0.3">
      <c r="A1156" s="87" t="s">
        <v>47</v>
      </c>
      <c r="B1156" s="88">
        <v>46104</v>
      </c>
      <c r="C1156" s="89" t="s">
        <v>48</v>
      </c>
      <c r="D1156" s="89" t="s">
        <v>49</v>
      </c>
      <c r="E1156" s="90">
        <v>89976867</v>
      </c>
      <c r="F1156" s="184" t="s">
        <v>3334</v>
      </c>
      <c r="G1156" s="91">
        <v>3358992853</v>
      </c>
      <c r="H1156" s="92">
        <v>17848</v>
      </c>
      <c r="I1156" s="89">
        <v>77</v>
      </c>
      <c r="J1156" s="89" t="s">
        <v>51</v>
      </c>
      <c r="K1156" s="89" t="s">
        <v>52</v>
      </c>
      <c r="L1156" s="89" t="s">
        <v>350</v>
      </c>
      <c r="M1156" s="89" t="s">
        <v>3335</v>
      </c>
      <c r="N1156" s="89" t="s">
        <v>148</v>
      </c>
      <c r="O1156" s="93" t="s">
        <v>3336</v>
      </c>
      <c r="P1156" s="94" t="s">
        <v>57</v>
      </c>
      <c r="Q1156" s="112" t="s">
        <v>2211</v>
      </c>
      <c r="R1156" s="95"/>
      <c r="S1156" s="96">
        <v>46164</v>
      </c>
      <c r="T1156" s="96" t="s">
        <v>2212</v>
      </c>
      <c r="U1156" s="96" t="s">
        <v>79</v>
      </c>
      <c r="V1156" s="92">
        <v>46142</v>
      </c>
      <c r="W1156" s="92">
        <v>46154</v>
      </c>
      <c r="X1156" s="92">
        <v>46160</v>
      </c>
      <c r="Y1156" s="97"/>
      <c r="Z1156" s="89"/>
      <c r="AA1156" s="96"/>
      <c r="AB1156" s="89"/>
      <c r="AC1156" s="111"/>
      <c r="AD1156" s="89"/>
      <c r="AE1156" s="89"/>
      <c r="AF1156" s="98"/>
      <c r="AG1156" s="98"/>
      <c r="AH1156" s="98"/>
      <c r="AI1156" s="99"/>
      <c r="AJ1156" s="99"/>
      <c r="AK1156" s="99"/>
      <c r="AL1156" s="45" t="s">
        <v>68</v>
      </c>
      <c r="AM1156" s="162" t="str">
        <f t="shared" si="144"/>
        <v>3/2026</v>
      </c>
      <c r="AN1156" s="45">
        <f t="shared" si="145"/>
        <v>4</v>
      </c>
      <c r="AO1156" s="45" t="str">
        <f t="shared" si="146"/>
        <v>1/1900</v>
      </c>
      <c r="AP1156" s="45" t="e">
        <f t="shared" si="147"/>
        <v>#NUM!</v>
      </c>
      <c r="AQ1156" s="45">
        <f t="shared" si="148"/>
        <v>0</v>
      </c>
      <c r="AR1156" s="45">
        <f t="shared" si="149"/>
        <v>0</v>
      </c>
      <c r="AS1156" s="45">
        <f t="shared" si="150"/>
        <v>0</v>
      </c>
      <c r="AT1156" s="45">
        <f t="shared" si="151"/>
        <v>0</v>
      </c>
      <c r="AU1156" s="45" t="str">
        <f>_xlfn.XLOOKUP(U1156,'Lista Suspensa'!$AA$20:$AA$23,'Lista Suspensa'!$AB$20:$AB$23,"N/A")</f>
        <v>S</v>
      </c>
    </row>
    <row r="1157" spans="1:47" ht="12" hidden="1" customHeight="1" x14ac:dyDescent="0.3">
      <c r="A1157" s="87" t="s">
        <v>47</v>
      </c>
      <c r="B1157" s="88">
        <v>46104</v>
      </c>
      <c r="C1157" s="89" t="s">
        <v>48</v>
      </c>
      <c r="D1157" s="89" t="s">
        <v>49</v>
      </c>
      <c r="E1157" s="90">
        <v>81664761</v>
      </c>
      <c r="F1157" s="184" t="s">
        <v>3337</v>
      </c>
      <c r="G1157" s="91">
        <v>14537425814</v>
      </c>
      <c r="H1157" s="92">
        <v>20517</v>
      </c>
      <c r="I1157" s="89">
        <v>70</v>
      </c>
      <c r="J1157" s="89" t="s">
        <v>70</v>
      </c>
      <c r="K1157" s="89" t="s">
        <v>52</v>
      </c>
      <c r="L1157" s="89" t="s">
        <v>331</v>
      </c>
      <c r="M1157" s="89" t="s">
        <v>3172</v>
      </c>
      <c r="N1157" s="89" t="s">
        <v>148</v>
      </c>
      <c r="O1157" s="93" t="s">
        <v>3338</v>
      </c>
      <c r="P1157" s="94" t="s">
        <v>57</v>
      </c>
      <c r="Q1157" s="112" t="s">
        <v>2211</v>
      </c>
      <c r="R1157" s="95"/>
      <c r="S1157" s="96">
        <v>46164</v>
      </c>
      <c r="T1157" s="96" t="s">
        <v>2212</v>
      </c>
      <c r="U1157" s="96" t="s">
        <v>79</v>
      </c>
      <c r="V1157" s="92">
        <v>46142</v>
      </c>
      <c r="W1157" s="92">
        <v>46154</v>
      </c>
      <c r="X1157" s="92">
        <v>46160</v>
      </c>
      <c r="Y1157" s="97"/>
      <c r="Z1157" s="89"/>
      <c r="AA1157" s="96"/>
      <c r="AB1157" s="89"/>
      <c r="AC1157" s="111"/>
      <c r="AD1157" s="89"/>
      <c r="AE1157" s="89"/>
      <c r="AF1157" s="98"/>
      <c r="AG1157" s="98"/>
      <c r="AH1157" s="98"/>
      <c r="AI1157" s="99"/>
      <c r="AJ1157" s="99"/>
      <c r="AK1157" s="99"/>
      <c r="AL1157" s="45" t="s">
        <v>68</v>
      </c>
      <c r="AM1157" s="162" t="str">
        <f t="shared" si="144"/>
        <v>3/2026</v>
      </c>
      <c r="AN1157" s="45">
        <f t="shared" si="145"/>
        <v>4</v>
      </c>
      <c r="AO1157" s="45" t="str">
        <f t="shared" si="146"/>
        <v>1/1900</v>
      </c>
      <c r="AP1157" s="45" t="e">
        <f t="shared" si="147"/>
        <v>#NUM!</v>
      </c>
      <c r="AQ1157" s="45">
        <f t="shared" si="148"/>
        <v>0</v>
      </c>
      <c r="AR1157" s="45">
        <f t="shared" si="149"/>
        <v>0</v>
      </c>
      <c r="AS1157" s="45">
        <f t="shared" si="150"/>
        <v>0</v>
      </c>
      <c r="AT1157" s="45">
        <f t="shared" si="151"/>
        <v>0</v>
      </c>
      <c r="AU1157" s="45" t="str">
        <f>_xlfn.XLOOKUP(U1157,'Lista Suspensa'!$AA$20:$AA$23,'Lista Suspensa'!$AB$20:$AB$23,"N/A")</f>
        <v>S</v>
      </c>
    </row>
    <row r="1158" spans="1:47" ht="12" hidden="1" customHeight="1" x14ac:dyDescent="0.3">
      <c r="A1158" s="87" t="s">
        <v>47</v>
      </c>
      <c r="B1158" s="88">
        <v>46104</v>
      </c>
      <c r="C1158" s="89" t="s">
        <v>48</v>
      </c>
      <c r="D1158" s="89" t="s">
        <v>49</v>
      </c>
      <c r="E1158" s="90">
        <v>87175331</v>
      </c>
      <c r="F1158" s="184" t="s">
        <v>3339</v>
      </c>
      <c r="G1158" s="91">
        <v>8717506867</v>
      </c>
      <c r="H1158" s="92">
        <v>24403</v>
      </c>
      <c r="I1158" s="89">
        <v>59</v>
      </c>
      <c r="J1158" s="89" t="s">
        <v>51</v>
      </c>
      <c r="K1158" s="89" t="s">
        <v>52</v>
      </c>
      <c r="L1158" s="89" t="s">
        <v>53</v>
      </c>
      <c r="M1158" s="89" t="s">
        <v>1197</v>
      </c>
      <c r="N1158" s="89" t="s">
        <v>148</v>
      </c>
      <c r="O1158" s="93" t="s">
        <v>3340</v>
      </c>
      <c r="P1158" s="94" t="s">
        <v>57</v>
      </c>
      <c r="Q1158" s="112" t="s">
        <v>2211</v>
      </c>
      <c r="R1158" s="95"/>
      <c r="S1158" s="96">
        <v>46164</v>
      </c>
      <c r="T1158" s="96" t="s">
        <v>2212</v>
      </c>
      <c r="U1158" s="96" t="s">
        <v>79</v>
      </c>
      <c r="V1158" s="92">
        <v>46142</v>
      </c>
      <c r="W1158" s="92">
        <v>46154</v>
      </c>
      <c r="X1158" s="92">
        <v>46160</v>
      </c>
      <c r="Y1158" s="97"/>
      <c r="Z1158" s="89"/>
      <c r="AA1158" s="96"/>
      <c r="AB1158" s="89"/>
      <c r="AC1158" s="111"/>
      <c r="AD1158" s="89"/>
      <c r="AE1158" s="89"/>
      <c r="AF1158" s="98"/>
      <c r="AG1158" s="98"/>
      <c r="AH1158" s="98"/>
      <c r="AI1158" s="99"/>
      <c r="AJ1158" s="99"/>
      <c r="AK1158" s="99"/>
      <c r="AL1158" s="45" t="s">
        <v>68</v>
      </c>
      <c r="AM1158" s="162" t="str">
        <f t="shared" si="144"/>
        <v>3/2026</v>
      </c>
      <c r="AN1158" s="45">
        <f t="shared" si="145"/>
        <v>4</v>
      </c>
      <c r="AO1158" s="45" t="str">
        <f t="shared" si="146"/>
        <v>1/1900</v>
      </c>
      <c r="AP1158" s="45" t="e">
        <f t="shared" si="147"/>
        <v>#NUM!</v>
      </c>
      <c r="AQ1158" s="45">
        <f t="shared" si="148"/>
        <v>0</v>
      </c>
      <c r="AR1158" s="45">
        <f t="shared" si="149"/>
        <v>0</v>
      </c>
      <c r="AS1158" s="45">
        <f t="shared" si="150"/>
        <v>0</v>
      </c>
      <c r="AT1158" s="45">
        <f t="shared" si="151"/>
        <v>0</v>
      </c>
      <c r="AU1158" s="45" t="str">
        <f>_xlfn.XLOOKUP(U1158,'Lista Suspensa'!$AA$20:$AA$23,'Lista Suspensa'!$AB$20:$AB$23,"N/A")</f>
        <v>S</v>
      </c>
    </row>
    <row r="1159" spans="1:47" ht="12" hidden="1" customHeight="1" x14ac:dyDescent="0.3">
      <c r="A1159" s="87" t="s">
        <v>47</v>
      </c>
      <c r="B1159" s="88">
        <v>46104</v>
      </c>
      <c r="C1159" s="89" t="s">
        <v>48</v>
      </c>
      <c r="D1159" s="89" t="s">
        <v>49</v>
      </c>
      <c r="E1159" s="90">
        <v>94377549</v>
      </c>
      <c r="F1159" s="184" t="s">
        <v>3341</v>
      </c>
      <c r="G1159" s="91">
        <v>64297020491</v>
      </c>
      <c r="H1159" s="92">
        <v>25291</v>
      </c>
      <c r="I1159" s="89">
        <v>56</v>
      </c>
      <c r="J1159" s="89" t="s">
        <v>51</v>
      </c>
      <c r="K1159" s="89" t="s">
        <v>52</v>
      </c>
      <c r="L1159" s="89" t="s">
        <v>780</v>
      </c>
      <c r="M1159" s="89" t="s">
        <v>3342</v>
      </c>
      <c r="N1159" s="89" t="s">
        <v>148</v>
      </c>
      <c r="O1159" s="93" t="s">
        <v>3343</v>
      </c>
      <c r="P1159" s="94" t="s">
        <v>57</v>
      </c>
      <c r="Q1159" s="112" t="s">
        <v>2211</v>
      </c>
      <c r="R1159" s="95"/>
      <c r="S1159" s="96">
        <v>46164</v>
      </c>
      <c r="T1159" s="96" t="s">
        <v>2212</v>
      </c>
      <c r="U1159" s="96" t="s">
        <v>79</v>
      </c>
      <c r="V1159" s="92">
        <v>46142</v>
      </c>
      <c r="W1159" s="92">
        <v>46154</v>
      </c>
      <c r="X1159" s="92">
        <v>46160</v>
      </c>
      <c r="Y1159" s="97"/>
      <c r="Z1159" s="89"/>
      <c r="AA1159" s="96"/>
      <c r="AB1159" s="89"/>
      <c r="AC1159" s="111"/>
      <c r="AD1159" s="89"/>
      <c r="AE1159" s="89"/>
      <c r="AF1159" s="98"/>
      <c r="AG1159" s="98"/>
      <c r="AH1159" s="98"/>
      <c r="AI1159" s="99"/>
      <c r="AJ1159" s="99"/>
      <c r="AK1159" s="99"/>
      <c r="AL1159" s="45" t="s">
        <v>68</v>
      </c>
      <c r="AM1159" s="162" t="str">
        <f t="shared" si="144"/>
        <v>3/2026</v>
      </c>
      <c r="AN1159" s="45">
        <f t="shared" si="145"/>
        <v>4</v>
      </c>
      <c r="AO1159" s="45" t="str">
        <f t="shared" si="146"/>
        <v>1/1900</v>
      </c>
      <c r="AP1159" s="45" t="e">
        <f t="shared" si="147"/>
        <v>#NUM!</v>
      </c>
      <c r="AQ1159" s="45">
        <f t="shared" si="148"/>
        <v>0</v>
      </c>
      <c r="AR1159" s="45">
        <f t="shared" si="149"/>
        <v>0</v>
      </c>
      <c r="AS1159" s="45">
        <f t="shared" si="150"/>
        <v>0</v>
      </c>
      <c r="AT1159" s="45">
        <f t="shared" si="151"/>
        <v>0</v>
      </c>
      <c r="AU1159" s="45" t="str">
        <f>_xlfn.XLOOKUP(U1159,'Lista Suspensa'!$AA$20:$AA$23,'Lista Suspensa'!$AB$20:$AB$23,"N/A")</f>
        <v>S</v>
      </c>
    </row>
    <row r="1160" spans="1:47" ht="12" hidden="1" customHeight="1" x14ac:dyDescent="0.3">
      <c r="A1160" s="87" t="s">
        <v>47</v>
      </c>
      <c r="B1160" s="88">
        <v>46104</v>
      </c>
      <c r="C1160" s="89" t="s">
        <v>48</v>
      </c>
      <c r="D1160" s="89" t="s">
        <v>49</v>
      </c>
      <c r="E1160" s="90">
        <v>83539704</v>
      </c>
      <c r="F1160" s="184" t="s">
        <v>3344</v>
      </c>
      <c r="G1160" s="91">
        <v>22608282806</v>
      </c>
      <c r="H1160" s="92">
        <v>30405</v>
      </c>
      <c r="I1160" s="89">
        <v>42</v>
      </c>
      <c r="J1160" s="89" t="s">
        <v>70</v>
      </c>
      <c r="K1160" s="89" t="s">
        <v>52</v>
      </c>
      <c r="L1160" s="89" t="s">
        <v>331</v>
      </c>
      <c r="M1160" s="89" t="s">
        <v>1478</v>
      </c>
      <c r="N1160" s="89" t="s">
        <v>148</v>
      </c>
      <c r="O1160" s="93" t="s">
        <v>3345</v>
      </c>
      <c r="P1160" s="94" t="s">
        <v>57</v>
      </c>
      <c r="Q1160" s="112" t="s">
        <v>2211</v>
      </c>
      <c r="R1160" s="95"/>
      <c r="S1160" s="96">
        <v>46164</v>
      </c>
      <c r="T1160" s="96" t="s">
        <v>2212</v>
      </c>
      <c r="U1160" s="96" t="s">
        <v>79</v>
      </c>
      <c r="V1160" s="92">
        <v>46142</v>
      </c>
      <c r="W1160" s="92">
        <v>46154</v>
      </c>
      <c r="X1160" s="92">
        <v>46160</v>
      </c>
      <c r="Y1160" s="97"/>
      <c r="Z1160" s="89"/>
      <c r="AA1160" s="96"/>
      <c r="AB1160" s="89"/>
      <c r="AC1160" s="111"/>
      <c r="AD1160" s="89"/>
      <c r="AE1160" s="89"/>
      <c r="AF1160" s="98"/>
      <c r="AG1160" s="98"/>
      <c r="AH1160" s="98"/>
      <c r="AI1160" s="99"/>
      <c r="AJ1160" s="99"/>
      <c r="AK1160" s="99"/>
      <c r="AL1160" s="45" t="s">
        <v>68</v>
      </c>
      <c r="AM1160" s="162" t="str">
        <f t="shared" si="144"/>
        <v>3/2026</v>
      </c>
      <c r="AN1160" s="45">
        <f t="shared" si="145"/>
        <v>4</v>
      </c>
      <c r="AO1160" s="45" t="str">
        <f t="shared" si="146"/>
        <v>1/1900</v>
      </c>
      <c r="AP1160" s="45" t="e">
        <f t="shared" si="147"/>
        <v>#NUM!</v>
      </c>
      <c r="AQ1160" s="45">
        <f t="shared" si="148"/>
        <v>0</v>
      </c>
      <c r="AR1160" s="45">
        <f t="shared" si="149"/>
        <v>0</v>
      </c>
      <c r="AS1160" s="45">
        <f t="shared" si="150"/>
        <v>0</v>
      </c>
      <c r="AT1160" s="45">
        <f t="shared" si="151"/>
        <v>0</v>
      </c>
      <c r="AU1160" s="45" t="str">
        <f>_xlfn.XLOOKUP(U1160,'Lista Suspensa'!$AA$20:$AA$23,'Lista Suspensa'!$AB$20:$AB$23,"N/A")</f>
        <v>S</v>
      </c>
    </row>
    <row r="1161" spans="1:47" ht="12" hidden="1" customHeight="1" x14ac:dyDescent="0.3">
      <c r="A1161" s="87" t="s">
        <v>47</v>
      </c>
      <c r="B1161" s="88">
        <v>46104</v>
      </c>
      <c r="C1161" s="89" t="s">
        <v>48</v>
      </c>
      <c r="D1161" s="89" t="s">
        <v>49</v>
      </c>
      <c r="E1161" s="90">
        <v>83546028</v>
      </c>
      <c r="F1161" s="184" t="s">
        <v>3346</v>
      </c>
      <c r="G1161" s="91">
        <v>32516255861</v>
      </c>
      <c r="H1161" s="92">
        <v>30384</v>
      </c>
      <c r="I1161" s="89">
        <v>43</v>
      </c>
      <c r="J1161" s="89" t="s">
        <v>70</v>
      </c>
      <c r="K1161" s="89" t="s">
        <v>52</v>
      </c>
      <c r="L1161" s="89" t="s">
        <v>53</v>
      </c>
      <c r="M1161" s="89" t="s">
        <v>3347</v>
      </c>
      <c r="N1161" s="89" t="s">
        <v>148</v>
      </c>
      <c r="O1161" s="93" t="s">
        <v>3348</v>
      </c>
      <c r="P1161" s="94" t="s">
        <v>57</v>
      </c>
      <c r="Q1161" s="112" t="s">
        <v>2211</v>
      </c>
      <c r="R1161" s="95"/>
      <c r="S1161" s="96">
        <v>46164</v>
      </c>
      <c r="T1161" s="96" t="s">
        <v>2212</v>
      </c>
      <c r="U1161" s="96" t="s">
        <v>79</v>
      </c>
      <c r="V1161" s="92">
        <v>46128</v>
      </c>
      <c r="W1161" s="92">
        <v>46142</v>
      </c>
      <c r="X1161" s="92">
        <v>46154</v>
      </c>
      <c r="Y1161" s="97"/>
      <c r="Z1161" s="89"/>
      <c r="AA1161" s="96"/>
      <c r="AB1161" s="89"/>
      <c r="AC1161" s="111"/>
      <c r="AD1161" s="89"/>
      <c r="AE1161" s="89"/>
      <c r="AF1161" s="98"/>
      <c r="AG1161" s="98"/>
      <c r="AH1161" s="98"/>
      <c r="AI1161" s="99"/>
      <c r="AJ1161" s="99"/>
      <c r="AK1161" s="99"/>
      <c r="AL1161" s="45" t="s">
        <v>68</v>
      </c>
      <c r="AM1161" s="162" t="str">
        <f t="shared" si="144"/>
        <v>3/2026</v>
      </c>
      <c r="AN1161" s="45">
        <f t="shared" si="145"/>
        <v>4</v>
      </c>
      <c r="AO1161" s="45" t="str">
        <f t="shared" si="146"/>
        <v>1/1900</v>
      </c>
      <c r="AP1161" s="45" t="e">
        <f t="shared" si="147"/>
        <v>#NUM!</v>
      </c>
      <c r="AQ1161" s="45">
        <f t="shared" si="148"/>
        <v>0</v>
      </c>
      <c r="AR1161" s="45">
        <f t="shared" si="149"/>
        <v>0</v>
      </c>
      <c r="AS1161" s="45">
        <f t="shared" si="150"/>
        <v>0</v>
      </c>
      <c r="AT1161" s="45">
        <f t="shared" si="151"/>
        <v>0</v>
      </c>
      <c r="AU1161" s="45" t="str">
        <f>_xlfn.XLOOKUP(U1161,'Lista Suspensa'!$AA$20:$AA$23,'Lista Suspensa'!$AB$20:$AB$23,"N/A")</f>
        <v>S</v>
      </c>
    </row>
    <row r="1162" spans="1:47" ht="12" hidden="1" customHeight="1" x14ac:dyDescent="0.3">
      <c r="A1162" s="87" t="s">
        <v>47</v>
      </c>
      <c r="B1162" s="88">
        <v>46104</v>
      </c>
      <c r="C1162" s="89" t="s">
        <v>48</v>
      </c>
      <c r="D1162" s="89" t="s">
        <v>49</v>
      </c>
      <c r="E1162" s="90">
        <v>88938839</v>
      </c>
      <c r="F1162" s="184" t="s">
        <v>3349</v>
      </c>
      <c r="G1162" s="91">
        <v>85963747791</v>
      </c>
      <c r="H1162" s="92">
        <v>24073</v>
      </c>
      <c r="I1162" s="89">
        <v>60</v>
      </c>
      <c r="J1162" s="89" t="s">
        <v>51</v>
      </c>
      <c r="K1162" s="89" t="s">
        <v>88</v>
      </c>
      <c r="L1162" s="89" t="s">
        <v>89</v>
      </c>
      <c r="M1162" s="89" t="s">
        <v>597</v>
      </c>
      <c r="N1162" s="89" t="s">
        <v>148</v>
      </c>
      <c r="O1162" s="93" t="s">
        <v>3350</v>
      </c>
      <c r="P1162" s="94" t="s">
        <v>57</v>
      </c>
      <c r="Q1162" s="112" t="s">
        <v>2211</v>
      </c>
      <c r="R1162" s="95"/>
      <c r="S1162" s="96">
        <v>46164</v>
      </c>
      <c r="T1162" s="96" t="s">
        <v>2212</v>
      </c>
      <c r="U1162" s="96" t="s">
        <v>79</v>
      </c>
      <c r="V1162" s="92">
        <v>46142</v>
      </c>
      <c r="W1162" s="92">
        <v>46154</v>
      </c>
      <c r="X1162" s="92">
        <v>46160</v>
      </c>
      <c r="Y1162" s="97"/>
      <c r="Z1162" s="89"/>
      <c r="AA1162" s="96"/>
      <c r="AB1162" s="89"/>
      <c r="AC1162" s="111"/>
      <c r="AD1162" s="89"/>
      <c r="AE1162" s="89"/>
      <c r="AF1162" s="98"/>
      <c r="AG1162" s="98"/>
      <c r="AH1162" s="98"/>
      <c r="AI1162" s="99"/>
      <c r="AJ1162" s="99"/>
      <c r="AK1162" s="99"/>
      <c r="AL1162" s="45" t="s">
        <v>68</v>
      </c>
      <c r="AM1162" s="162" t="str">
        <f t="shared" si="144"/>
        <v>3/2026</v>
      </c>
      <c r="AN1162" s="45">
        <f t="shared" si="145"/>
        <v>4</v>
      </c>
      <c r="AO1162" s="45" t="str">
        <f t="shared" si="146"/>
        <v>1/1900</v>
      </c>
      <c r="AP1162" s="45" t="e">
        <f t="shared" si="147"/>
        <v>#NUM!</v>
      </c>
      <c r="AQ1162" s="45">
        <f t="shared" si="148"/>
        <v>0</v>
      </c>
      <c r="AR1162" s="45">
        <f t="shared" si="149"/>
        <v>0</v>
      </c>
      <c r="AS1162" s="45">
        <f t="shared" si="150"/>
        <v>0</v>
      </c>
      <c r="AT1162" s="45">
        <f t="shared" si="151"/>
        <v>0</v>
      </c>
      <c r="AU1162" s="45" t="str">
        <f>_xlfn.XLOOKUP(U1162,'Lista Suspensa'!$AA$20:$AA$23,'Lista Suspensa'!$AB$20:$AB$23,"N/A")</f>
        <v>S</v>
      </c>
    </row>
    <row r="1163" spans="1:47" ht="12" hidden="1" customHeight="1" x14ac:dyDescent="0.3">
      <c r="A1163" s="87" t="s">
        <v>47</v>
      </c>
      <c r="B1163" s="88">
        <v>46104</v>
      </c>
      <c r="C1163" s="89" t="s">
        <v>48</v>
      </c>
      <c r="D1163" s="89" t="s">
        <v>49</v>
      </c>
      <c r="E1163" s="90">
        <v>77320070</v>
      </c>
      <c r="F1163" s="184" t="s">
        <v>3351</v>
      </c>
      <c r="G1163" s="91">
        <v>93231776791</v>
      </c>
      <c r="H1163" s="92">
        <v>24775</v>
      </c>
      <c r="I1163" s="89">
        <v>58</v>
      </c>
      <c r="J1163" s="89" t="s">
        <v>51</v>
      </c>
      <c r="K1163" s="89" t="s">
        <v>88</v>
      </c>
      <c r="L1163" s="89" t="s">
        <v>89</v>
      </c>
      <c r="M1163" s="89" t="s">
        <v>1459</v>
      </c>
      <c r="N1163" s="89" t="s">
        <v>148</v>
      </c>
      <c r="O1163" s="93" t="s">
        <v>3352</v>
      </c>
      <c r="P1163" s="94" t="s">
        <v>57</v>
      </c>
      <c r="Q1163" s="112" t="s">
        <v>2211</v>
      </c>
      <c r="R1163" s="95"/>
      <c r="S1163" s="96">
        <v>46164</v>
      </c>
      <c r="T1163" s="96" t="s">
        <v>2212</v>
      </c>
      <c r="U1163" s="96" t="s">
        <v>79</v>
      </c>
      <c r="V1163" s="92">
        <v>46122</v>
      </c>
      <c r="W1163" s="92">
        <v>46142</v>
      </c>
      <c r="X1163" s="92">
        <v>46154</v>
      </c>
      <c r="Y1163" s="97"/>
      <c r="Z1163" s="89"/>
      <c r="AA1163" s="96"/>
      <c r="AB1163" s="89"/>
      <c r="AC1163" s="111"/>
      <c r="AD1163" s="89"/>
      <c r="AE1163" s="89"/>
      <c r="AF1163" s="98"/>
      <c r="AG1163" s="98"/>
      <c r="AH1163" s="98"/>
      <c r="AI1163" s="99"/>
      <c r="AJ1163" s="99"/>
      <c r="AK1163" s="99"/>
      <c r="AL1163" s="45" t="s">
        <v>68</v>
      </c>
      <c r="AM1163" s="162" t="str">
        <f t="shared" si="144"/>
        <v>3/2026</v>
      </c>
      <c r="AN1163" s="45">
        <f t="shared" si="145"/>
        <v>4</v>
      </c>
      <c r="AO1163" s="45" t="str">
        <f t="shared" si="146"/>
        <v>1/1900</v>
      </c>
      <c r="AP1163" s="45" t="e">
        <f t="shared" si="147"/>
        <v>#NUM!</v>
      </c>
      <c r="AQ1163" s="45">
        <f t="shared" si="148"/>
        <v>0</v>
      </c>
      <c r="AR1163" s="45">
        <f t="shared" si="149"/>
        <v>0</v>
      </c>
      <c r="AS1163" s="45">
        <f t="shared" si="150"/>
        <v>0</v>
      </c>
      <c r="AT1163" s="45">
        <f t="shared" si="151"/>
        <v>0</v>
      </c>
      <c r="AU1163" s="45" t="str">
        <f>_xlfn.XLOOKUP(U1163,'Lista Suspensa'!$AA$20:$AA$23,'Lista Suspensa'!$AB$20:$AB$23,"N/A")</f>
        <v>S</v>
      </c>
    </row>
    <row r="1164" spans="1:47" ht="12" hidden="1" customHeight="1" x14ac:dyDescent="0.3">
      <c r="A1164" s="87" t="s">
        <v>47</v>
      </c>
      <c r="B1164" s="88">
        <v>46104</v>
      </c>
      <c r="C1164" s="89" t="s">
        <v>48</v>
      </c>
      <c r="D1164" s="89" t="s">
        <v>49</v>
      </c>
      <c r="E1164" s="90">
        <v>81227110</v>
      </c>
      <c r="F1164" s="184" t="s">
        <v>3353</v>
      </c>
      <c r="G1164" s="91">
        <v>88616215700</v>
      </c>
      <c r="H1164" s="92">
        <v>24269</v>
      </c>
      <c r="I1164" s="89">
        <v>59</v>
      </c>
      <c r="J1164" s="89" t="s">
        <v>51</v>
      </c>
      <c r="K1164" s="89" t="s">
        <v>88</v>
      </c>
      <c r="L1164" s="89" t="s">
        <v>89</v>
      </c>
      <c r="M1164" s="89" t="s">
        <v>469</v>
      </c>
      <c r="N1164" s="89" t="s">
        <v>148</v>
      </c>
      <c r="O1164" s="93" t="s">
        <v>3354</v>
      </c>
      <c r="P1164" s="94" t="s">
        <v>57</v>
      </c>
      <c r="Q1164" s="112" t="s">
        <v>2211</v>
      </c>
      <c r="R1164" s="95"/>
      <c r="S1164" s="96">
        <v>46164</v>
      </c>
      <c r="T1164" s="96" t="s">
        <v>2212</v>
      </c>
      <c r="U1164" s="96" t="s">
        <v>79</v>
      </c>
      <c r="V1164" s="92">
        <v>46142</v>
      </c>
      <c r="W1164" s="92">
        <v>46154</v>
      </c>
      <c r="X1164" s="92">
        <v>46160</v>
      </c>
      <c r="Y1164" s="97"/>
      <c r="Z1164" s="89"/>
      <c r="AA1164" s="96"/>
      <c r="AB1164" s="89"/>
      <c r="AC1164" s="111"/>
      <c r="AD1164" s="89"/>
      <c r="AE1164" s="89"/>
      <c r="AF1164" s="98"/>
      <c r="AG1164" s="98"/>
      <c r="AH1164" s="98"/>
      <c r="AI1164" s="99"/>
      <c r="AJ1164" s="99"/>
      <c r="AK1164" s="99"/>
      <c r="AL1164" s="45" t="s">
        <v>68</v>
      </c>
      <c r="AM1164" s="162" t="str">
        <f t="shared" si="144"/>
        <v>3/2026</v>
      </c>
      <c r="AN1164" s="45">
        <f t="shared" si="145"/>
        <v>4</v>
      </c>
      <c r="AO1164" s="45" t="str">
        <f t="shared" si="146"/>
        <v>1/1900</v>
      </c>
      <c r="AP1164" s="45" t="e">
        <f t="shared" si="147"/>
        <v>#NUM!</v>
      </c>
      <c r="AQ1164" s="45">
        <f t="shared" si="148"/>
        <v>0</v>
      </c>
      <c r="AR1164" s="45">
        <f t="shared" si="149"/>
        <v>0</v>
      </c>
      <c r="AS1164" s="45">
        <f t="shared" si="150"/>
        <v>0</v>
      </c>
      <c r="AT1164" s="45">
        <f t="shared" si="151"/>
        <v>0</v>
      </c>
      <c r="AU1164" s="45" t="str">
        <f>_xlfn.XLOOKUP(U1164,'Lista Suspensa'!$AA$20:$AA$23,'Lista Suspensa'!$AB$20:$AB$23,"N/A")</f>
        <v>S</v>
      </c>
    </row>
    <row r="1165" spans="1:47" ht="12" hidden="1" customHeight="1" x14ac:dyDescent="0.3">
      <c r="A1165" s="87" t="s">
        <v>47</v>
      </c>
      <c r="B1165" s="88">
        <v>46104</v>
      </c>
      <c r="C1165" s="89" t="s">
        <v>48</v>
      </c>
      <c r="D1165" s="89" t="s">
        <v>49</v>
      </c>
      <c r="E1165" s="90">
        <v>83036915</v>
      </c>
      <c r="F1165" s="184" t="s">
        <v>3355</v>
      </c>
      <c r="G1165" s="91">
        <v>11891158759</v>
      </c>
      <c r="H1165" s="92">
        <v>31725</v>
      </c>
      <c r="I1165" s="89">
        <v>39</v>
      </c>
      <c r="J1165" s="89" t="s">
        <v>51</v>
      </c>
      <c r="K1165" s="89" t="s">
        <v>88</v>
      </c>
      <c r="L1165" s="89" t="s">
        <v>97</v>
      </c>
      <c r="M1165" s="89" t="s">
        <v>3356</v>
      </c>
      <c r="N1165" s="89" t="s">
        <v>148</v>
      </c>
      <c r="O1165" s="93" t="s">
        <v>3357</v>
      </c>
      <c r="P1165" s="94" t="s">
        <v>57</v>
      </c>
      <c r="Q1165" s="112" t="s">
        <v>2211</v>
      </c>
      <c r="R1165" s="95"/>
      <c r="S1165" s="96">
        <v>46164</v>
      </c>
      <c r="T1165" s="96" t="s">
        <v>2212</v>
      </c>
      <c r="U1165" s="96" t="s">
        <v>79</v>
      </c>
      <c r="V1165" s="92">
        <v>46142</v>
      </c>
      <c r="W1165" s="92">
        <v>46154</v>
      </c>
      <c r="X1165" s="92">
        <v>46160</v>
      </c>
      <c r="Y1165" s="97"/>
      <c r="Z1165" s="89"/>
      <c r="AA1165" s="96"/>
      <c r="AB1165" s="89"/>
      <c r="AC1165" s="111"/>
      <c r="AD1165" s="89"/>
      <c r="AE1165" s="89"/>
      <c r="AF1165" s="98"/>
      <c r="AG1165" s="98"/>
      <c r="AH1165" s="98"/>
      <c r="AI1165" s="99"/>
      <c r="AJ1165" s="99"/>
      <c r="AK1165" s="99"/>
      <c r="AL1165" s="45" t="s">
        <v>68</v>
      </c>
      <c r="AM1165" s="162" t="str">
        <f t="shared" si="144"/>
        <v>3/2026</v>
      </c>
      <c r="AN1165" s="45">
        <f t="shared" si="145"/>
        <v>4</v>
      </c>
      <c r="AO1165" s="45" t="str">
        <f t="shared" si="146"/>
        <v>1/1900</v>
      </c>
      <c r="AP1165" s="45" t="e">
        <f t="shared" si="147"/>
        <v>#NUM!</v>
      </c>
      <c r="AQ1165" s="45">
        <f t="shared" si="148"/>
        <v>0</v>
      </c>
      <c r="AR1165" s="45">
        <f t="shared" si="149"/>
        <v>0</v>
      </c>
      <c r="AS1165" s="45">
        <f t="shared" si="150"/>
        <v>0</v>
      </c>
      <c r="AT1165" s="45">
        <f t="shared" si="151"/>
        <v>0</v>
      </c>
      <c r="AU1165" s="45" t="str">
        <f>_xlfn.XLOOKUP(U1165,'Lista Suspensa'!$AA$20:$AA$23,'Lista Suspensa'!$AB$20:$AB$23,"N/A")</f>
        <v>S</v>
      </c>
    </row>
    <row r="1166" spans="1:47" ht="12" hidden="1" customHeight="1" x14ac:dyDescent="0.3">
      <c r="A1166" s="87" t="s">
        <v>47</v>
      </c>
      <c r="B1166" s="88">
        <v>46104</v>
      </c>
      <c r="C1166" s="89" t="s">
        <v>48</v>
      </c>
      <c r="D1166" s="89" t="s">
        <v>49</v>
      </c>
      <c r="E1166" s="90">
        <v>83726495</v>
      </c>
      <c r="F1166" s="184" t="s">
        <v>3358</v>
      </c>
      <c r="G1166" s="91">
        <v>22608184715</v>
      </c>
      <c r="H1166" s="92">
        <v>17456</v>
      </c>
      <c r="I1166" s="89">
        <v>78</v>
      </c>
      <c r="J1166" s="89" t="s">
        <v>51</v>
      </c>
      <c r="K1166" s="89" t="s">
        <v>88</v>
      </c>
      <c r="L1166" s="89" t="s">
        <v>89</v>
      </c>
      <c r="M1166" s="89" t="s">
        <v>1282</v>
      </c>
      <c r="N1166" s="89" t="s">
        <v>148</v>
      </c>
      <c r="O1166" s="93" t="s">
        <v>3359</v>
      </c>
      <c r="P1166" s="94" t="s">
        <v>57</v>
      </c>
      <c r="Q1166" s="112" t="s">
        <v>2211</v>
      </c>
      <c r="R1166" s="95"/>
      <c r="S1166" s="96">
        <v>46164</v>
      </c>
      <c r="T1166" s="96" t="s">
        <v>2212</v>
      </c>
      <c r="U1166" s="96" t="s">
        <v>79</v>
      </c>
      <c r="V1166" s="92">
        <v>46142</v>
      </c>
      <c r="W1166" s="92">
        <v>46154</v>
      </c>
      <c r="X1166" s="92">
        <v>46160</v>
      </c>
      <c r="Y1166" s="97"/>
      <c r="Z1166" s="89"/>
      <c r="AA1166" s="96"/>
      <c r="AB1166" s="89"/>
      <c r="AC1166" s="111"/>
      <c r="AD1166" s="89"/>
      <c r="AE1166" s="89"/>
      <c r="AF1166" s="98"/>
      <c r="AG1166" s="98"/>
      <c r="AH1166" s="98"/>
      <c r="AI1166" s="99"/>
      <c r="AJ1166" s="99"/>
      <c r="AK1166" s="99"/>
      <c r="AL1166" s="45" t="s">
        <v>68</v>
      </c>
      <c r="AM1166" s="162" t="str">
        <f t="shared" si="144"/>
        <v>3/2026</v>
      </c>
      <c r="AN1166" s="45">
        <f t="shared" si="145"/>
        <v>4</v>
      </c>
      <c r="AO1166" s="45" t="str">
        <f t="shared" si="146"/>
        <v>1/1900</v>
      </c>
      <c r="AP1166" s="45" t="e">
        <f t="shared" si="147"/>
        <v>#NUM!</v>
      </c>
      <c r="AQ1166" s="45">
        <f t="shared" si="148"/>
        <v>0</v>
      </c>
      <c r="AR1166" s="45">
        <f t="shared" si="149"/>
        <v>0</v>
      </c>
      <c r="AS1166" s="45">
        <f t="shared" si="150"/>
        <v>0</v>
      </c>
      <c r="AT1166" s="45">
        <f t="shared" si="151"/>
        <v>0</v>
      </c>
      <c r="AU1166" s="45" t="str">
        <f>_xlfn.XLOOKUP(U1166,'Lista Suspensa'!$AA$20:$AA$23,'Lista Suspensa'!$AB$20:$AB$23,"N/A")</f>
        <v>S</v>
      </c>
    </row>
    <row r="1167" spans="1:47" ht="12" hidden="1" customHeight="1" x14ac:dyDescent="0.3">
      <c r="A1167" s="87" t="s">
        <v>47</v>
      </c>
      <c r="B1167" s="88">
        <v>46104</v>
      </c>
      <c r="C1167" s="89" t="s">
        <v>48</v>
      </c>
      <c r="D1167" s="89" t="s">
        <v>49</v>
      </c>
      <c r="E1167" s="90">
        <v>77794653</v>
      </c>
      <c r="F1167" s="184" t="s">
        <v>3360</v>
      </c>
      <c r="G1167" s="91">
        <v>29844355753</v>
      </c>
      <c r="H1167" s="92">
        <v>18638</v>
      </c>
      <c r="I1167" s="89">
        <v>75</v>
      </c>
      <c r="J1167" s="89" t="s">
        <v>70</v>
      </c>
      <c r="K1167" s="89" t="s">
        <v>88</v>
      </c>
      <c r="L1167" s="89" t="s">
        <v>89</v>
      </c>
      <c r="M1167" s="89" t="s">
        <v>1282</v>
      </c>
      <c r="N1167" s="89" t="s">
        <v>148</v>
      </c>
      <c r="O1167" s="93" t="s">
        <v>3361</v>
      </c>
      <c r="P1167" s="94" t="s">
        <v>57</v>
      </c>
      <c r="Q1167" s="112" t="s">
        <v>2211</v>
      </c>
      <c r="R1167" s="95"/>
      <c r="S1167" s="96">
        <v>46164</v>
      </c>
      <c r="T1167" s="96" t="s">
        <v>2212</v>
      </c>
      <c r="U1167" s="96" t="s">
        <v>79</v>
      </c>
      <c r="V1167" s="92">
        <v>46142</v>
      </c>
      <c r="W1167" s="92">
        <v>46154</v>
      </c>
      <c r="X1167" s="92">
        <v>46160</v>
      </c>
      <c r="Y1167" s="97"/>
      <c r="Z1167" s="89"/>
      <c r="AA1167" s="96"/>
      <c r="AB1167" s="89"/>
      <c r="AC1167" s="111"/>
      <c r="AD1167" s="89"/>
      <c r="AE1167" s="89"/>
      <c r="AF1167" s="98"/>
      <c r="AG1167" s="98"/>
      <c r="AH1167" s="98"/>
      <c r="AI1167" s="99"/>
      <c r="AJ1167" s="99"/>
      <c r="AK1167" s="99"/>
      <c r="AL1167" s="45" t="s">
        <v>68</v>
      </c>
      <c r="AM1167" s="162" t="str">
        <f t="shared" si="144"/>
        <v>3/2026</v>
      </c>
      <c r="AN1167" s="45">
        <f t="shared" si="145"/>
        <v>4</v>
      </c>
      <c r="AO1167" s="45" t="str">
        <f t="shared" si="146"/>
        <v>1/1900</v>
      </c>
      <c r="AP1167" s="45" t="e">
        <f t="shared" si="147"/>
        <v>#NUM!</v>
      </c>
      <c r="AQ1167" s="45">
        <f t="shared" si="148"/>
        <v>0</v>
      </c>
      <c r="AR1167" s="45">
        <f t="shared" si="149"/>
        <v>0</v>
      </c>
      <c r="AS1167" s="45">
        <f t="shared" si="150"/>
        <v>0</v>
      </c>
      <c r="AT1167" s="45">
        <f t="shared" si="151"/>
        <v>0</v>
      </c>
      <c r="AU1167" s="45" t="str">
        <f>_xlfn.XLOOKUP(U1167,'Lista Suspensa'!$AA$20:$AA$23,'Lista Suspensa'!$AB$20:$AB$23,"N/A")</f>
        <v>S</v>
      </c>
    </row>
    <row r="1168" spans="1:47" ht="12" hidden="1" customHeight="1" x14ac:dyDescent="0.3">
      <c r="A1168" s="87" t="s">
        <v>47</v>
      </c>
      <c r="B1168" s="88">
        <v>46104</v>
      </c>
      <c r="C1168" s="89" t="s">
        <v>48</v>
      </c>
      <c r="D1168" s="89" t="s">
        <v>49</v>
      </c>
      <c r="E1168" s="90">
        <v>79115430</v>
      </c>
      <c r="F1168" s="184" t="s">
        <v>3362</v>
      </c>
      <c r="G1168" s="91">
        <v>52973239753</v>
      </c>
      <c r="H1168" s="92">
        <v>19796</v>
      </c>
      <c r="I1168" s="89">
        <v>72</v>
      </c>
      <c r="J1168" s="89" t="s">
        <v>70</v>
      </c>
      <c r="K1168" s="89" t="s">
        <v>88</v>
      </c>
      <c r="L1168" s="89" t="s">
        <v>89</v>
      </c>
      <c r="M1168" s="89" t="s">
        <v>960</v>
      </c>
      <c r="N1168" s="89" t="s">
        <v>148</v>
      </c>
      <c r="O1168" s="93" t="s">
        <v>3363</v>
      </c>
      <c r="P1168" s="94" t="s">
        <v>57</v>
      </c>
      <c r="Q1168" s="112" t="s">
        <v>2211</v>
      </c>
      <c r="R1168" s="95"/>
      <c r="S1168" s="96">
        <v>46164</v>
      </c>
      <c r="T1168" s="96" t="s">
        <v>2212</v>
      </c>
      <c r="U1168" s="96" t="s">
        <v>79</v>
      </c>
      <c r="V1168" s="92">
        <v>46142</v>
      </c>
      <c r="W1168" s="92">
        <v>46154</v>
      </c>
      <c r="X1168" s="92">
        <v>46160</v>
      </c>
      <c r="Y1168" s="97"/>
      <c r="Z1168" s="89"/>
      <c r="AA1168" s="96"/>
      <c r="AB1168" s="89"/>
      <c r="AC1168" s="111"/>
      <c r="AD1168" s="89"/>
      <c r="AE1168" s="89"/>
      <c r="AF1168" s="98"/>
      <c r="AG1168" s="98"/>
      <c r="AH1168" s="98"/>
      <c r="AI1168" s="99"/>
      <c r="AJ1168" s="99"/>
      <c r="AK1168" s="99"/>
      <c r="AL1168" s="45" t="s">
        <v>68</v>
      </c>
      <c r="AM1168" s="162" t="str">
        <f t="shared" si="144"/>
        <v>3/2026</v>
      </c>
      <c r="AN1168" s="45">
        <f t="shared" si="145"/>
        <v>4</v>
      </c>
      <c r="AO1168" s="45" t="str">
        <f t="shared" si="146"/>
        <v>1/1900</v>
      </c>
      <c r="AP1168" s="45" t="e">
        <f t="shared" si="147"/>
        <v>#NUM!</v>
      </c>
      <c r="AQ1168" s="45">
        <f t="shared" si="148"/>
        <v>0</v>
      </c>
      <c r="AR1168" s="45">
        <f t="shared" si="149"/>
        <v>0</v>
      </c>
      <c r="AS1168" s="45">
        <f t="shared" si="150"/>
        <v>0</v>
      </c>
      <c r="AT1168" s="45">
        <f t="shared" si="151"/>
        <v>0</v>
      </c>
      <c r="AU1168" s="45" t="str">
        <f>_xlfn.XLOOKUP(U1168,'Lista Suspensa'!$AA$20:$AA$23,'Lista Suspensa'!$AB$20:$AB$23,"N/A")</f>
        <v>S</v>
      </c>
    </row>
    <row r="1169" spans="1:47" ht="12" hidden="1" customHeight="1" x14ac:dyDescent="0.3">
      <c r="A1169" s="87" t="s">
        <v>47</v>
      </c>
      <c r="B1169" s="88">
        <v>46104</v>
      </c>
      <c r="C1169" s="89" t="s">
        <v>48</v>
      </c>
      <c r="D1169" s="89" t="s">
        <v>49</v>
      </c>
      <c r="E1169" s="90">
        <v>79687174</v>
      </c>
      <c r="F1169" s="184" t="s">
        <v>3364</v>
      </c>
      <c r="G1169" s="91">
        <v>92193188815</v>
      </c>
      <c r="H1169" s="92">
        <v>21607</v>
      </c>
      <c r="I1169" s="89">
        <v>67</v>
      </c>
      <c r="J1169" s="89" t="s">
        <v>70</v>
      </c>
      <c r="K1169" s="89" t="s">
        <v>52</v>
      </c>
      <c r="L1169" s="89" t="s">
        <v>53</v>
      </c>
      <c r="M1169" s="89" t="s">
        <v>310</v>
      </c>
      <c r="N1169" s="89" t="s">
        <v>148</v>
      </c>
      <c r="O1169" s="93" t="s">
        <v>3365</v>
      </c>
      <c r="P1169" s="94" t="s">
        <v>57</v>
      </c>
      <c r="Q1169" s="112" t="s">
        <v>2211</v>
      </c>
      <c r="R1169" s="95"/>
      <c r="S1169" s="96">
        <v>46164</v>
      </c>
      <c r="T1169" s="96" t="s">
        <v>2212</v>
      </c>
      <c r="U1169" s="96" t="s">
        <v>79</v>
      </c>
      <c r="V1169" s="92">
        <v>46112</v>
      </c>
      <c r="W1169" s="92">
        <v>46142</v>
      </c>
      <c r="X1169" s="92">
        <v>46154</v>
      </c>
      <c r="Y1169" s="97"/>
      <c r="Z1169" s="89"/>
      <c r="AA1169" s="96"/>
      <c r="AB1169" s="89"/>
      <c r="AC1169" s="111"/>
      <c r="AD1169" s="89"/>
      <c r="AE1169" s="89"/>
      <c r="AF1169" s="98"/>
      <c r="AG1169" s="98"/>
      <c r="AH1169" s="98"/>
      <c r="AI1169" s="99"/>
      <c r="AJ1169" s="99"/>
      <c r="AK1169" s="99"/>
      <c r="AL1169" s="45" t="s">
        <v>68</v>
      </c>
      <c r="AM1169" s="162" t="str">
        <f t="shared" si="144"/>
        <v>3/2026</v>
      </c>
      <c r="AN1169" s="45">
        <f t="shared" si="145"/>
        <v>4</v>
      </c>
      <c r="AO1169" s="45" t="str">
        <f t="shared" si="146"/>
        <v>1/1900</v>
      </c>
      <c r="AP1169" s="45" t="e">
        <f t="shared" si="147"/>
        <v>#NUM!</v>
      </c>
      <c r="AQ1169" s="45">
        <f t="shared" si="148"/>
        <v>0</v>
      </c>
      <c r="AR1169" s="45">
        <f t="shared" si="149"/>
        <v>0</v>
      </c>
      <c r="AS1169" s="45">
        <f t="shared" si="150"/>
        <v>0</v>
      </c>
      <c r="AT1169" s="45">
        <f t="shared" si="151"/>
        <v>0</v>
      </c>
      <c r="AU1169" s="45" t="str">
        <f>_xlfn.XLOOKUP(U1169,'Lista Suspensa'!$AA$20:$AA$23,'Lista Suspensa'!$AB$20:$AB$23,"N/A")</f>
        <v>S</v>
      </c>
    </row>
    <row r="1170" spans="1:47" ht="12" hidden="1" customHeight="1" x14ac:dyDescent="0.3">
      <c r="A1170" s="87" t="s">
        <v>47</v>
      </c>
      <c r="B1170" s="88">
        <v>46104</v>
      </c>
      <c r="C1170" s="89" t="s">
        <v>48</v>
      </c>
      <c r="D1170" s="89" t="s">
        <v>49</v>
      </c>
      <c r="E1170" s="90">
        <v>79687175</v>
      </c>
      <c r="F1170" s="184" t="s">
        <v>3366</v>
      </c>
      <c r="G1170" s="91">
        <v>92193030863</v>
      </c>
      <c r="H1170" s="92">
        <v>18607</v>
      </c>
      <c r="I1170" s="89">
        <v>75</v>
      </c>
      <c r="J1170" s="89" t="s">
        <v>51</v>
      </c>
      <c r="K1170" s="89" t="s">
        <v>52</v>
      </c>
      <c r="L1170" s="89" t="s">
        <v>53</v>
      </c>
      <c r="M1170" s="89" t="s">
        <v>310</v>
      </c>
      <c r="N1170" s="89" t="s">
        <v>148</v>
      </c>
      <c r="O1170" s="93" t="s">
        <v>3365</v>
      </c>
      <c r="P1170" s="94" t="s">
        <v>57</v>
      </c>
      <c r="Q1170" s="112" t="s">
        <v>2211</v>
      </c>
      <c r="R1170" s="95"/>
      <c r="S1170" s="96">
        <v>46164</v>
      </c>
      <c r="T1170" s="96" t="s">
        <v>2212</v>
      </c>
      <c r="U1170" s="96" t="s">
        <v>79</v>
      </c>
      <c r="V1170" s="92">
        <v>46142</v>
      </c>
      <c r="W1170" s="92">
        <v>46154</v>
      </c>
      <c r="X1170" s="92">
        <v>46160</v>
      </c>
      <c r="Y1170" s="97"/>
      <c r="Z1170" s="89"/>
      <c r="AA1170" s="96"/>
      <c r="AB1170" s="89"/>
      <c r="AC1170" s="111"/>
      <c r="AD1170" s="89"/>
      <c r="AE1170" s="89"/>
      <c r="AF1170" s="98"/>
      <c r="AG1170" s="98"/>
      <c r="AH1170" s="98"/>
      <c r="AI1170" s="99"/>
      <c r="AJ1170" s="99"/>
      <c r="AK1170" s="99"/>
      <c r="AL1170" s="45" t="s">
        <v>68</v>
      </c>
      <c r="AM1170" s="162" t="str">
        <f t="shared" si="144"/>
        <v>3/2026</v>
      </c>
      <c r="AN1170" s="45">
        <f t="shared" si="145"/>
        <v>4</v>
      </c>
      <c r="AO1170" s="45" t="str">
        <f t="shared" si="146"/>
        <v>1/1900</v>
      </c>
      <c r="AP1170" s="45" t="e">
        <f t="shared" si="147"/>
        <v>#NUM!</v>
      </c>
      <c r="AQ1170" s="45">
        <f t="shared" si="148"/>
        <v>0</v>
      </c>
      <c r="AR1170" s="45">
        <f t="shared" si="149"/>
        <v>0</v>
      </c>
      <c r="AS1170" s="45">
        <f t="shared" si="150"/>
        <v>0</v>
      </c>
      <c r="AT1170" s="45">
        <f t="shared" si="151"/>
        <v>0</v>
      </c>
      <c r="AU1170" s="45" t="str">
        <f>_xlfn.XLOOKUP(U1170,'Lista Suspensa'!$AA$20:$AA$23,'Lista Suspensa'!$AB$20:$AB$23,"N/A")</f>
        <v>S</v>
      </c>
    </row>
    <row r="1171" spans="1:47" ht="12" hidden="1" customHeight="1" x14ac:dyDescent="0.3">
      <c r="A1171" s="87" t="s">
        <v>47</v>
      </c>
      <c r="B1171" s="88">
        <v>46104</v>
      </c>
      <c r="C1171" s="89" t="s">
        <v>48</v>
      </c>
      <c r="D1171" s="89" t="s">
        <v>49</v>
      </c>
      <c r="E1171" s="90">
        <v>83950557</v>
      </c>
      <c r="F1171" s="184" t="s">
        <v>3367</v>
      </c>
      <c r="G1171" s="91">
        <v>28802792836</v>
      </c>
      <c r="H1171" s="92">
        <v>28483</v>
      </c>
      <c r="I1171" s="89">
        <v>48</v>
      </c>
      <c r="J1171" s="89" t="s">
        <v>70</v>
      </c>
      <c r="K1171" s="89" t="s">
        <v>88</v>
      </c>
      <c r="L1171" s="89" t="s">
        <v>89</v>
      </c>
      <c r="M1171" s="89" t="s">
        <v>3368</v>
      </c>
      <c r="N1171" s="89" t="s">
        <v>148</v>
      </c>
      <c r="O1171" s="93" t="s">
        <v>3369</v>
      </c>
      <c r="P1171" s="94" t="s">
        <v>57</v>
      </c>
      <c r="Q1171" s="112" t="s">
        <v>2211</v>
      </c>
      <c r="R1171" s="95"/>
      <c r="S1171" s="96">
        <v>46164</v>
      </c>
      <c r="T1171" s="96" t="s">
        <v>2212</v>
      </c>
      <c r="U1171" s="96" t="s">
        <v>79</v>
      </c>
      <c r="V1171" s="92">
        <v>46142</v>
      </c>
      <c r="W1171" s="92">
        <v>46154</v>
      </c>
      <c r="X1171" s="92">
        <v>46160</v>
      </c>
      <c r="Y1171" s="97"/>
      <c r="Z1171" s="89"/>
      <c r="AA1171" s="96"/>
      <c r="AB1171" s="89"/>
      <c r="AC1171" s="111"/>
      <c r="AD1171" s="89"/>
      <c r="AE1171" s="89"/>
      <c r="AF1171" s="98"/>
      <c r="AG1171" s="98"/>
      <c r="AH1171" s="98"/>
      <c r="AI1171" s="99"/>
      <c r="AJ1171" s="99"/>
      <c r="AK1171" s="99"/>
      <c r="AL1171" s="45" t="s">
        <v>68</v>
      </c>
      <c r="AM1171" s="162" t="str">
        <f t="shared" si="144"/>
        <v>3/2026</v>
      </c>
      <c r="AN1171" s="45">
        <f t="shared" si="145"/>
        <v>4</v>
      </c>
      <c r="AO1171" s="45" t="str">
        <f t="shared" si="146"/>
        <v>1/1900</v>
      </c>
      <c r="AP1171" s="45" t="e">
        <f t="shared" si="147"/>
        <v>#NUM!</v>
      </c>
      <c r="AQ1171" s="45">
        <f t="shared" si="148"/>
        <v>0</v>
      </c>
      <c r="AR1171" s="45">
        <f t="shared" si="149"/>
        <v>0</v>
      </c>
      <c r="AS1171" s="45">
        <f t="shared" si="150"/>
        <v>0</v>
      </c>
      <c r="AT1171" s="45">
        <f t="shared" si="151"/>
        <v>0</v>
      </c>
      <c r="AU1171" s="45" t="str">
        <f>_xlfn.XLOOKUP(U1171,'Lista Suspensa'!$AA$20:$AA$23,'Lista Suspensa'!$AB$20:$AB$23,"N/A")</f>
        <v>S</v>
      </c>
    </row>
    <row r="1172" spans="1:47" ht="12" hidden="1" customHeight="1" x14ac:dyDescent="0.3">
      <c r="A1172" s="87" t="s">
        <v>47</v>
      </c>
      <c r="B1172" s="88">
        <v>46104</v>
      </c>
      <c r="C1172" s="89" t="s">
        <v>48</v>
      </c>
      <c r="D1172" s="89" t="s">
        <v>49</v>
      </c>
      <c r="E1172" s="90">
        <v>79721651</v>
      </c>
      <c r="F1172" s="184" t="s">
        <v>3370</v>
      </c>
      <c r="G1172" s="91">
        <v>2051609721</v>
      </c>
      <c r="H1172" s="92">
        <v>26300</v>
      </c>
      <c r="I1172" s="89">
        <v>54</v>
      </c>
      <c r="J1172" s="89" t="s">
        <v>51</v>
      </c>
      <c r="K1172" s="89" t="s">
        <v>88</v>
      </c>
      <c r="L1172" s="89" t="s">
        <v>89</v>
      </c>
      <c r="M1172" s="89" t="s">
        <v>195</v>
      </c>
      <c r="N1172" s="89" t="s">
        <v>148</v>
      </c>
      <c r="O1172" s="93" t="s">
        <v>3371</v>
      </c>
      <c r="P1172" s="94" t="s">
        <v>57</v>
      </c>
      <c r="Q1172" s="112" t="s">
        <v>2211</v>
      </c>
      <c r="R1172" s="95"/>
      <c r="S1172" s="96">
        <v>46164</v>
      </c>
      <c r="T1172" s="96" t="s">
        <v>2212</v>
      </c>
      <c r="U1172" s="96" t="s">
        <v>79</v>
      </c>
      <c r="V1172" s="92">
        <v>46112</v>
      </c>
      <c r="W1172" s="92">
        <v>46142</v>
      </c>
      <c r="X1172" s="92">
        <v>46154</v>
      </c>
      <c r="Y1172" s="97"/>
      <c r="Z1172" s="89"/>
      <c r="AA1172" s="96"/>
      <c r="AB1172" s="89"/>
      <c r="AC1172" s="111"/>
      <c r="AD1172" s="89"/>
      <c r="AE1172" s="89"/>
      <c r="AF1172" s="98"/>
      <c r="AG1172" s="98"/>
      <c r="AH1172" s="98"/>
      <c r="AI1172" s="99"/>
      <c r="AJ1172" s="99"/>
      <c r="AK1172" s="99"/>
      <c r="AL1172" s="45" t="s">
        <v>68</v>
      </c>
      <c r="AM1172" s="162" t="str">
        <f t="shared" si="144"/>
        <v>3/2026</v>
      </c>
      <c r="AN1172" s="45">
        <f t="shared" si="145"/>
        <v>4</v>
      </c>
      <c r="AO1172" s="45" t="str">
        <f t="shared" si="146"/>
        <v>1/1900</v>
      </c>
      <c r="AP1172" s="45" t="e">
        <f t="shared" si="147"/>
        <v>#NUM!</v>
      </c>
      <c r="AQ1172" s="45">
        <f t="shared" si="148"/>
        <v>0</v>
      </c>
      <c r="AR1172" s="45">
        <f t="shared" si="149"/>
        <v>0</v>
      </c>
      <c r="AS1172" s="45">
        <f t="shared" si="150"/>
        <v>0</v>
      </c>
      <c r="AT1172" s="45">
        <f t="shared" si="151"/>
        <v>0</v>
      </c>
      <c r="AU1172" s="45" t="str">
        <f>_xlfn.XLOOKUP(U1172,'Lista Suspensa'!$AA$20:$AA$23,'Lista Suspensa'!$AB$20:$AB$23,"N/A")</f>
        <v>S</v>
      </c>
    </row>
    <row r="1173" spans="1:47" ht="12" hidden="1" customHeight="1" x14ac:dyDescent="0.3">
      <c r="A1173" s="87" t="s">
        <v>47</v>
      </c>
      <c r="B1173" s="88">
        <v>46104</v>
      </c>
      <c r="C1173" s="89" t="s">
        <v>48</v>
      </c>
      <c r="D1173" s="89" t="s">
        <v>49</v>
      </c>
      <c r="E1173" s="90">
        <v>95973633</v>
      </c>
      <c r="F1173" s="184" t="s">
        <v>3372</v>
      </c>
      <c r="G1173" s="91">
        <v>48238273846</v>
      </c>
      <c r="H1173" s="92">
        <v>38744</v>
      </c>
      <c r="I1173" s="89">
        <v>20</v>
      </c>
      <c r="J1173" s="89" t="s">
        <v>51</v>
      </c>
      <c r="K1173" s="89" t="s">
        <v>52</v>
      </c>
      <c r="L1173" s="89" t="s">
        <v>53</v>
      </c>
      <c r="M1173" s="89" t="s">
        <v>3373</v>
      </c>
      <c r="N1173" s="89" t="s">
        <v>148</v>
      </c>
      <c r="O1173" s="93" t="s">
        <v>3374</v>
      </c>
      <c r="P1173" s="94" t="s">
        <v>57</v>
      </c>
      <c r="Q1173" s="112" t="s">
        <v>2211</v>
      </c>
      <c r="R1173" s="95"/>
      <c r="S1173" s="96">
        <v>46164</v>
      </c>
      <c r="T1173" s="96" t="s">
        <v>2212</v>
      </c>
      <c r="U1173" s="96" t="s">
        <v>79</v>
      </c>
      <c r="V1173" s="92">
        <v>46142</v>
      </c>
      <c r="W1173" s="92">
        <v>46154</v>
      </c>
      <c r="X1173" s="92">
        <v>46160</v>
      </c>
      <c r="Y1173" s="97"/>
      <c r="Z1173" s="89"/>
      <c r="AA1173" s="96"/>
      <c r="AB1173" s="89"/>
      <c r="AC1173" s="111"/>
      <c r="AD1173" s="89"/>
      <c r="AE1173" s="89"/>
      <c r="AF1173" s="98"/>
      <c r="AG1173" s="98"/>
      <c r="AH1173" s="98"/>
      <c r="AI1173" s="99"/>
      <c r="AJ1173" s="99"/>
      <c r="AK1173" s="99"/>
      <c r="AL1173" s="45" t="s">
        <v>68</v>
      </c>
      <c r="AM1173" s="162" t="str">
        <f t="shared" si="144"/>
        <v>3/2026</v>
      </c>
      <c r="AN1173" s="45">
        <f t="shared" si="145"/>
        <v>4</v>
      </c>
      <c r="AO1173" s="45" t="str">
        <f t="shared" si="146"/>
        <v>1/1900</v>
      </c>
      <c r="AP1173" s="45" t="e">
        <f t="shared" si="147"/>
        <v>#NUM!</v>
      </c>
      <c r="AQ1173" s="45">
        <f t="shared" si="148"/>
        <v>0</v>
      </c>
      <c r="AR1173" s="45">
        <f t="shared" si="149"/>
        <v>0</v>
      </c>
      <c r="AS1173" s="45">
        <f t="shared" si="150"/>
        <v>0</v>
      </c>
      <c r="AT1173" s="45">
        <f t="shared" si="151"/>
        <v>0</v>
      </c>
      <c r="AU1173" s="45" t="str">
        <f>_xlfn.XLOOKUP(U1173,'Lista Suspensa'!$AA$20:$AA$23,'Lista Suspensa'!$AB$20:$AB$23,"N/A")</f>
        <v>S</v>
      </c>
    </row>
    <row r="1174" spans="1:47" ht="12" hidden="1" customHeight="1" x14ac:dyDescent="0.3">
      <c r="A1174" s="87" t="s">
        <v>47</v>
      </c>
      <c r="B1174" s="88">
        <v>46104</v>
      </c>
      <c r="C1174" s="89" t="s">
        <v>48</v>
      </c>
      <c r="D1174" s="89" t="s">
        <v>49</v>
      </c>
      <c r="E1174" s="90">
        <v>78619072</v>
      </c>
      <c r="F1174" s="184" t="s">
        <v>3375</v>
      </c>
      <c r="G1174" s="91">
        <v>60435410504</v>
      </c>
      <c r="H1174" s="92">
        <v>20898</v>
      </c>
      <c r="I1174" s="89">
        <v>69</v>
      </c>
      <c r="J1174" s="89" t="s">
        <v>70</v>
      </c>
      <c r="K1174" s="89" t="s">
        <v>52</v>
      </c>
      <c r="L1174" s="89" t="s">
        <v>331</v>
      </c>
      <c r="M1174" s="89" t="s">
        <v>429</v>
      </c>
      <c r="N1174" s="89" t="s">
        <v>148</v>
      </c>
      <c r="O1174" s="93" t="s">
        <v>3376</v>
      </c>
      <c r="P1174" s="94" t="s">
        <v>57</v>
      </c>
      <c r="Q1174" s="112" t="s">
        <v>2211</v>
      </c>
      <c r="R1174" s="95"/>
      <c r="S1174" s="96">
        <v>46164</v>
      </c>
      <c r="T1174" s="96" t="s">
        <v>2212</v>
      </c>
      <c r="U1174" s="96" t="s">
        <v>79</v>
      </c>
      <c r="V1174" s="92">
        <v>46141</v>
      </c>
      <c r="W1174" s="92">
        <v>46154</v>
      </c>
      <c r="X1174" s="92">
        <v>46160</v>
      </c>
      <c r="Y1174" s="97"/>
      <c r="Z1174" s="89"/>
      <c r="AA1174" s="96"/>
      <c r="AB1174" s="89"/>
      <c r="AC1174" s="111"/>
      <c r="AD1174" s="89"/>
      <c r="AE1174" s="89"/>
      <c r="AF1174" s="98"/>
      <c r="AG1174" s="98"/>
      <c r="AH1174" s="98"/>
      <c r="AI1174" s="99"/>
      <c r="AJ1174" s="99"/>
      <c r="AK1174" s="99"/>
      <c r="AL1174" s="45" t="s">
        <v>68</v>
      </c>
      <c r="AM1174" s="162" t="str">
        <f t="shared" si="144"/>
        <v>3/2026</v>
      </c>
      <c r="AN1174" s="45">
        <f t="shared" si="145"/>
        <v>4</v>
      </c>
      <c r="AO1174" s="45" t="str">
        <f t="shared" si="146"/>
        <v>1/1900</v>
      </c>
      <c r="AP1174" s="45" t="e">
        <f t="shared" si="147"/>
        <v>#NUM!</v>
      </c>
      <c r="AQ1174" s="45">
        <f t="shared" si="148"/>
        <v>0</v>
      </c>
      <c r="AR1174" s="45">
        <f t="shared" si="149"/>
        <v>0</v>
      </c>
      <c r="AS1174" s="45">
        <f t="shared" si="150"/>
        <v>0</v>
      </c>
      <c r="AT1174" s="45">
        <f t="shared" si="151"/>
        <v>0</v>
      </c>
      <c r="AU1174" s="45" t="str">
        <f>_xlfn.XLOOKUP(U1174,'Lista Suspensa'!$AA$20:$AA$23,'Lista Suspensa'!$AB$20:$AB$23,"N/A")</f>
        <v>S</v>
      </c>
    </row>
    <row r="1175" spans="1:47" ht="12" hidden="1" customHeight="1" x14ac:dyDescent="0.3">
      <c r="A1175" s="87" t="s">
        <v>47</v>
      </c>
      <c r="B1175" s="88">
        <v>46104</v>
      </c>
      <c r="C1175" s="89" t="s">
        <v>48</v>
      </c>
      <c r="D1175" s="89" t="s">
        <v>49</v>
      </c>
      <c r="E1175" s="90">
        <v>93846640</v>
      </c>
      <c r="F1175" s="184" t="s">
        <v>3377</v>
      </c>
      <c r="G1175" s="91">
        <v>9057845881</v>
      </c>
      <c r="H1175" s="92">
        <v>24317</v>
      </c>
      <c r="I1175" s="89">
        <v>59</v>
      </c>
      <c r="J1175" s="89" t="s">
        <v>51</v>
      </c>
      <c r="K1175" s="89" t="s">
        <v>52</v>
      </c>
      <c r="L1175" s="89" t="s">
        <v>53</v>
      </c>
      <c r="M1175" s="89" t="s">
        <v>3378</v>
      </c>
      <c r="N1175" s="89" t="s">
        <v>148</v>
      </c>
      <c r="O1175" s="93" t="s">
        <v>3379</v>
      </c>
      <c r="P1175" s="94" t="s">
        <v>57</v>
      </c>
      <c r="Q1175" s="112" t="s">
        <v>2211</v>
      </c>
      <c r="R1175" s="95"/>
      <c r="S1175" s="96">
        <v>46164</v>
      </c>
      <c r="T1175" s="96" t="s">
        <v>2212</v>
      </c>
      <c r="U1175" s="96" t="s">
        <v>79</v>
      </c>
      <c r="V1175" s="92">
        <v>46141</v>
      </c>
      <c r="W1175" s="92">
        <v>46154</v>
      </c>
      <c r="X1175" s="92">
        <v>46160</v>
      </c>
      <c r="Y1175" s="97"/>
      <c r="Z1175" s="89"/>
      <c r="AA1175" s="96"/>
      <c r="AB1175" s="89"/>
      <c r="AC1175" s="111"/>
      <c r="AD1175" s="89"/>
      <c r="AE1175" s="89"/>
      <c r="AF1175" s="98"/>
      <c r="AG1175" s="98"/>
      <c r="AH1175" s="98"/>
      <c r="AI1175" s="99"/>
      <c r="AJ1175" s="99"/>
      <c r="AK1175" s="99"/>
      <c r="AL1175" s="45" t="s">
        <v>68</v>
      </c>
      <c r="AM1175" s="162" t="str">
        <f t="shared" si="144"/>
        <v>3/2026</v>
      </c>
      <c r="AN1175" s="45">
        <f t="shared" si="145"/>
        <v>4</v>
      </c>
      <c r="AO1175" s="45" t="str">
        <f t="shared" si="146"/>
        <v>1/1900</v>
      </c>
      <c r="AP1175" s="45" t="e">
        <f t="shared" si="147"/>
        <v>#NUM!</v>
      </c>
      <c r="AQ1175" s="45">
        <f t="shared" si="148"/>
        <v>0</v>
      </c>
      <c r="AR1175" s="45">
        <f t="shared" si="149"/>
        <v>0</v>
      </c>
      <c r="AS1175" s="45">
        <f t="shared" si="150"/>
        <v>0</v>
      </c>
      <c r="AT1175" s="45">
        <f t="shared" si="151"/>
        <v>0</v>
      </c>
      <c r="AU1175" s="45" t="str">
        <f>_xlfn.XLOOKUP(U1175,'Lista Suspensa'!$AA$20:$AA$23,'Lista Suspensa'!$AB$20:$AB$23,"N/A")</f>
        <v>S</v>
      </c>
    </row>
    <row r="1176" spans="1:47" ht="12" hidden="1" customHeight="1" x14ac:dyDescent="0.3">
      <c r="A1176" s="87" t="s">
        <v>47</v>
      </c>
      <c r="B1176" s="88">
        <v>46104</v>
      </c>
      <c r="C1176" s="89" t="s">
        <v>48</v>
      </c>
      <c r="D1176" s="89" t="s">
        <v>49</v>
      </c>
      <c r="E1176" s="90">
        <v>79897141</v>
      </c>
      <c r="F1176" s="184" t="s">
        <v>3380</v>
      </c>
      <c r="G1176" s="91">
        <v>1054189862</v>
      </c>
      <c r="H1176" s="92">
        <v>21794</v>
      </c>
      <c r="I1176" s="89">
        <v>66</v>
      </c>
      <c r="J1176" s="89" t="s">
        <v>70</v>
      </c>
      <c r="K1176" s="89" t="s">
        <v>52</v>
      </c>
      <c r="L1176" s="89" t="s">
        <v>331</v>
      </c>
      <c r="M1176" s="89" t="s">
        <v>3381</v>
      </c>
      <c r="N1176" s="89" t="s">
        <v>148</v>
      </c>
      <c r="O1176" s="93" t="s">
        <v>3382</v>
      </c>
      <c r="P1176" s="94" t="s">
        <v>57</v>
      </c>
      <c r="Q1176" s="112" t="s">
        <v>2211</v>
      </c>
      <c r="R1176" s="95"/>
      <c r="S1176" s="96">
        <v>46164</v>
      </c>
      <c r="T1176" s="96" t="s">
        <v>2212</v>
      </c>
      <c r="U1176" s="96" t="s">
        <v>79</v>
      </c>
      <c r="V1176" s="92">
        <v>46141</v>
      </c>
      <c r="W1176" s="92">
        <v>46154</v>
      </c>
      <c r="X1176" s="92">
        <v>46160</v>
      </c>
      <c r="Y1176" s="97"/>
      <c r="Z1176" s="89"/>
      <c r="AA1176" s="96"/>
      <c r="AB1176" s="89"/>
      <c r="AC1176" s="111"/>
      <c r="AD1176" s="89"/>
      <c r="AE1176" s="89"/>
      <c r="AF1176" s="98"/>
      <c r="AG1176" s="98"/>
      <c r="AH1176" s="98"/>
      <c r="AI1176" s="99"/>
      <c r="AJ1176" s="99"/>
      <c r="AK1176" s="99"/>
      <c r="AL1176" s="45" t="s">
        <v>68</v>
      </c>
      <c r="AM1176" s="162" t="str">
        <f t="shared" si="144"/>
        <v>3/2026</v>
      </c>
      <c r="AN1176" s="45">
        <f t="shared" si="145"/>
        <v>4</v>
      </c>
      <c r="AO1176" s="45" t="str">
        <f t="shared" si="146"/>
        <v>1/1900</v>
      </c>
      <c r="AP1176" s="45" t="e">
        <f t="shared" si="147"/>
        <v>#NUM!</v>
      </c>
      <c r="AQ1176" s="45">
        <f t="shared" si="148"/>
        <v>0</v>
      </c>
      <c r="AR1176" s="45">
        <f t="shared" si="149"/>
        <v>0</v>
      </c>
      <c r="AS1176" s="45">
        <f t="shared" si="150"/>
        <v>0</v>
      </c>
      <c r="AT1176" s="45">
        <f t="shared" si="151"/>
        <v>0</v>
      </c>
      <c r="AU1176" s="45" t="str">
        <f>_xlfn.XLOOKUP(U1176,'Lista Suspensa'!$AA$20:$AA$23,'Lista Suspensa'!$AB$20:$AB$23,"N/A")</f>
        <v>S</v>
      </c>
    </row>
    <row r="1177" spans="1:47" ht="12" hidden="1" customHeight="1" x14ac:dyDescent="0.3">
      <c r="A1177" s="87" t="s">
        <v>47</v>
      </c>
      <c r="B1177" s="88">
        <v>46104</v>
      </c>
      <c r="C1177" s="89" t="s">
        <v>48</v>
      </c>
      <c r="D1177" s="89" t="s">
        <v>49</v>
      </c>
      <c r="E1177" s="90">
        <v>84228403</v>
      </c>
      <c r="F1177" s="184" t="s">
        <v>3383</v>
      </c>
      <c r="G1177" s="91">
        <v>23994762391</v>
      </c>
      <c r="H1177" s="92">
        <v>22921</v>
      </c>
      <c r="I1177" s="89">
        <v>63</v>
      </c>
      <c r="J1177" s="89" t="s">
        <v>70</v>
      </c>
      <c r="K1177" s="89" t="s">
        <v>52</v>
      </c>
      <c r="L1177" s="89" t="s">
        <v>331</v>
      </c>
      <c r="M1177" s="89" t="s">
        <v>3384</v>
      </c>
      <c r="N1177" s="89" t="s">
        <v>148</v>
      </c>
      <c r="O1177" s="93" t="s">
        <v>3385</v>
      </c>
      <c r="P1177" s="94" t="s">
        <v>57</v>
      </c>
      <c r="Q1177" s="112" t="s">
        <v>2211</v>
      </c>
      <c r="R1177" s="95"/>
      <c r="S1177" s="96">
        <v>46164</v>
      </c>
      <c r="T1177" s="96" t="s">
        <v>2212</v>
      </c>
      <c r="U1177" s="96" t="s">
        <v>79</v>
      </c>
      <c r="V1177" s="92">
        <v>46141</v>
      </c>
      <c r="W1177" s="92">
        <v>46154</v>
      </c>
      <c r="X1177" s="92">
        <v>46160</v>
      </c>
      <c r="Y1177" s="97"/>
      <c r="Z1177" s="89"/>
      <c r="AA1177" s="96"/>
      <c r="AB1177" s="89"/>
      <c r="AC1177" s="111"/>
      <c r="AD1177" s="89"/>
      <c r="AE1177" s="89"/>
      <c r="AF1177" s="98"/>
      <c r="AG1177" s="98"/>
      <c r="AH1177" s="98"/>
      <c r="AI1177" s="99"/>
      <c r="AJ1177" s="99"/>
      <c r="AK1177" s="99"/>
      <c r="AL1177" s="45" t="s">
        <v>68</v>
      </c>
      <c r="AM1177" s="162" t="str">
        <f t="shared" si="144"/>
        <v>3/2026</v>
      </c>
      <c r="AN1177" s="45">
        <f t="shared" si="145"/>
        <v>4</v>
      </c>
      <c r="AO1177" s="45" t="str">
        <f t="shared" si="146"/>
        <v>1/1900</v>
      </c>
      <c r="AP1177" s="45" t="e">
        <f t="shared" si="147"/>
        <v>#NUM!</v>
      </c>
      <c r="AQ1177" s="45">
        <f t="shared" si="148"/>
        <v>0</v>
      </c>
      <c r="AR1177" s="45">
        <f t="shared" si="149"/>
        <v>0</v>
      </c>
      <c r="AS1177" s="45">
        <f t="shared" si="150"/>
        <v>0</v>
      </c>
      <c r="AT1177" s="45">
        <f t="shared" si="151"/>
        <v>0</v>
      </c>
      <c r="AU1177" s="45" t="str">
        <f>_xlfn.XLOOKUP(U1177,'Lista Suspensa'!$AA$20:$AA$23,'Lista Suspensa'!$AB$20:$AB$23,"N/A")</f>
        <v>S</v>
      </c>
    </row>
    <row r="1178" spans="1:47" ht="12" hidden="1" customHeight="1" x14ac:dyDescent="0.3">
      <c r="A1178" s="87" t="s">
        <v>47</v>
      </c>
      <c r="B1178" s="88">
        <v>46104</v>
      </c>
      <c r="C1178" s="89" t="s">
        <v>48</v>
      </c>
      <c r="D1178" s="89" t="s">
        <v>49</v>
      </c>
      <c r="E1178" s="90">
        <v>82218038</v>
      </c>
      <c r="F1178" s="184" t="s">
        <v>3386</v>
      </c>
      <c r="G1178" s="91">
        <v>17871140310</v>
      </c>
      <c r="H1178" s="92">
        <v>21187</v>
      </c>
      <c r="I1178" s="89">
        <v>68</v>
      </c>
      <c r="J1178" s="89" t="s">
        <v>51</v>
      </c>
      <c r="K1178" s="89" t="s">
        <v>88</v>
      </c>
      <c r="L1178" s="89" t="s">
        <v>89</v>
      </c>
      <c r="M1178" s="89" t="s">
        <v>3387</v>
      </c>
      <c r="N1178" s="89" t="s">
        <v>148</v>
      </c>
      <c r="O1178" s="93" t="s">
        <v>3388</v>
      </c>
      <c r="P1178" s="94" t="s">
        <v>57</v>
      </c>
      <c r="Q1178" s="112" t="s">
        <v>2211</v>
      </c>
      <c r="R1178" s="95"/>
      <c r="S1178" s="96">
        <v>46150</v>
      </c>
      <c r="T1178" s="96" t="s">
        <v>2212</v>
      </c>
      <c r="U1178" s="96" t="s">
        <v>79</v>
      </c>
      <c r="V1178" s="92">
        <v>46128</v>
      </c>
      <c r="W1178" s="92">
        <v>46141</v>
      </c>
      <c r="X1178" s="92">
        <v>46142</v>
      </c>
      <c r="Y1178" s="97"/>
      <c r="Z1178" s="89"/>
      <c r="AA1178" s="96"/>
      <c r="AB1178" s="89"/>
      <c r="AC1178" s="111"/>
      <c r="AD1178" s="89"/>
      <c r="AE1178" s="89"/>
      <c r="AF1178" s="98"/>
      <c r="AG1178" s="98"/>
      <c r="AH1178" s="98"/>
      <c r="AI1178" s="99"/>
      <c r="AJ1178" s="99"/>
      <c r="AK1178" s="99"/>
      <c r="AL1178" s="45" t="s">
        <v>68</v>
      </c>
      <c r="AM1178" s="162" t="str">
        <f t="shared" si="144"/>
        <v>3/2026</v>
      </c>
      <c r="AN1178" s="45">
        <f t="shared" si="145"/>
        <v>4</v>
      </c>
      <c r="AO1178" s="45" t="str">
        <f t="shared" si="146"/>
        <v>1/1900</v>
      </c>
      <c r="AP1178" s="45" t="e">
        <f t="shared" si="147"/>
        <v>#NUM!</v>
      </c>
      <c r="AQ1178" s="45">
        <f t="shared" si="148"/>
        <v>0</v>
      </c>
      <c r="AR1178" s="45">
        <f t="shared" si="149"/>
        <v>0</v>
      </c>
      <c r="AS1178" s="45">
        <f t="shared" si="150"/>
        <v>0</v>
      </c>
      <c r="AT1178" s="45">
        <f t="shared" si="151"/>
        <v>0</v>
      </c>
      <c r="AU1178" s="45" t="str">
        <f>_xlfn.XLOOKUP(U1178,'Lista Suspensa'!$AA$20:$AA$23,'Lista Suspensa'!$AB$20:$AB$23,"N/A")</f>
        <v>S</v>
      </c>
    </row>
    <row r="1179" spans="1:47" ht="12" hidden="1" customHeight="1" x14ac:dyDescent="0.3">
      <c r="A1179" s="87" t="s">
        <v>47</v>
      </c>
      <c r="B1179" s="88">
        <v>46104</v>
      </c>
      <c r="C1179" s="89" t="s">
        <v>48</v>
      </c>
      <c r="D1179" s="89" t="s">
        <v>49</v>
      </c>
      <c r="E1179" s="90">
        <v>85559722</v>
      </c>
      <c r="F1179" s="184" t="s">
        <v>3389</v>
      </c>
      <c r="G1179" s="91">
        <v>84349735887</v>
      </c>
      <c r="H1179" s="92">
        <v>19130</v>
      </c>
      <c r="I1179" s="89">
        <v>73</v>
      </c>
      <c r="J1179" s="89" t="s">
        <v>70</v>
      </c>
      <c r="K1179" s="89" t="s">
        <v>52</v>
      </c>
      <c r="L1179" s="89" t="s">
        <v>53</v>
      </c>
      <c r="M1179" s="89" t="s">
        <v>3390</v>
      </c>
      <c r="N1179" s="89" t="s">
        <v>148</v>
      </c>
      <c r="O1179" s="93" t="s">
        <v>3391</v>
      </c>
      <c r="P1179" s="94" t="s">
        <v>57</v>
      </c>
      <c r="Q1179" s="112" t="s">
        <v>2211</v>
      </c>
      <c r="R1179" s="95"/>
      <c r="S1179" s="96">
        <v>46164</v>
      </c>
      <c r="T1179" s="96" t="s">
        <v>2212</v>
      </c>
      <c r="U1179" s="96" t="s">
        <v>79</v>
      </c>
      <c r="V1179" s="92">
        <v>46141</v>
      </c>
      <c r="W1179" s="92">
        <v>46154</v>
      </c>
      <c r="X1179" s="92">
        <v>46160</v>
      </c>
      <c r="Y1179" s="97"/>
      <c r="Z1179" s="89"/>
      <c r="AA1179" s="96"/>
      <c r="AB1179" s="89"/>
      <c r="AC1179" s="111"/>
      <c r="AD1179" s="89"/>
      <c r="AE1179" s="89"/>
      <c r="AF1179" s="98"/>
      <c r="AG1179" s="98"/>
      <c r="AH1179" s="98"/>
      <c r="AI1179" s="99"/>
      <c r="AJ1179" s="99"/>
      <c r="AK1179" s="99"/>
      <c r="AL1179" s="45" t="s">
        <v>68</v>
      </c>
      <c r="AM1179" s="162" t="str">
        <f t="shared" si="144"/>
        <v>3/2026</v>
      </c>
      <c r="AN1179" s="45">
        <f t="shared" si="145"/>
        <v>4</v>
      </c>
      <c r="AO1179" s="45" t="str">
        <f t="shared" si="146"/>
        <v>1/1900</v>
      </c>
      <c r="AP1179" s="45" t="e">
        <f t="shared" si="147"/>
        <v>#NUM!</v>
      </c>
      <c r="AQ1179" s="45">
        <f t="shared" si="148"/>
        <v>0</v>
      </c>
      <c r="AR1179" s="45">
        <f t="shared" si="149"/>
        <v>0</v>
      </c>
      <c r="AS1179" s="45">
        <f t="shared" si="150"/>
        <v>0</v>
      </c>
      <c r="AT1179" s="45">
        <f t="shared" si="151"/>
        <v>0</v>
      </c>
      <c r="AU1179" s="45" t="str">
        <f>_xlfn.XLOOKUP(U1179,'Lista Suspensa'!$AA$20:$AA$23,'Lista Suspensa'!$AB$20:$AB$23,"N/A")</f>
        <v>S</v>
      </c>
    </row>
    <row r="1180" spans="1:47" ht="12" hidden="1" customHeight="1" x14ac:dyDescent="0.3">
      <c r="A1180" s="87" t="s">
        <v>47</v>
      </c>
      <c r="B1180" s="88">
        <v>46104</v>
      </c>
      <c r="C1180" s="89" t="s">
        <v>48</v>
      </c>
      <c r="D1180" s="89" t="s">
        <v>49</v>
      </c>
      <c r="E1180" s="90">
        <v>79842741</v>
      </c>
      <c r="F1180" s="184" t="s">
        <v>3392</v>
      </c>
      <c r="G1180" s="91">
        <v>22792889829</v>
      </c>
      <c r="H1180" s="92">
        <v>31461</v>
      </c>
      <c r="I1180" s="89">
        <v>40</v>
      </c>
      <c r="J1180" s="89" t="s">
        <v>51</v>
      </c>
      <c r="K1180" s="89" t="s">
        <v>52</v>
      </c>
      <c r="L1180" s="89" t="s">
        <v>53</v>
      </c>
      <c r="M1180" s="89" t="s">
        <v>3393</v>
      </c>
      <c r="N1180" s="89" t="s">
        <v>148</v>
      </c>
      <c r="O1180" s="93" t="s">
        <v>3394</v>
      </c>
      <c r="P1180" s="94" t="s">
        <v>57</v>
      </c>
      <c r="Q1180" s="112" t="s">
        <v>2211</v>
      </c>
      <c r="R1180" s="95"/>
      <c r="S1180" s="96">
        <v>46150</v>
      </c>
      <c r="T1180" s="96" t="s">
        <v>2212</v>
      </c>
      <c r="U1180" s="96" t="s">
        <v>79</v>
      </c>
      <c r="V1180" s="92">
        <v>46128</v>
      </c>
      <c r="W1180" s="92">
        <v>46141</v>
      </c>
      <c r="X1180" s="92">
        <v>46142</v>
      </c>
      <c r="Y1180" s="97"/>
      <c r="Z1180" s="89"/>
      <c r="AA1180" s="96"/>
      <c r="AB1180" s="89"/>
      <c r="AC1180" s="111"/>
      <c r="AD1180" s="89"/>
      <c r="AE1180" s="89"/>
      <c r="AF1180" s="98"/>
      <c r="AG1180" s="98"/>
      <c r="AH1180" s="98"/>
      <c r="AI1180" s="99"/>
      <c r="AJ1180" s="99"/>
      <c r="AK1180" s="99"/>
      <c r="AL1180" s="45" t="s">
        <v>68</v>
      </c>
      <c r="AM1180" s="162" t="str">
        <f t="shared" si="144"/>
        <v>3/2026</v>
      </c>
      <c r="AN1180" s="45">
        <f t="shared" si="145"/>
        <v>4</v>
      </c>
      <c r="AO1180" s="45" t="str">
        <f t="shared" si="146"/>
        <v>1/1900</v>
      </c>
      <c r="AP1180" s="45" t="e">
        <f t="shared" si="147"/>
        <v>#NUM!</v>
      </c>
      <c r="AQ1180" s="45">
        <f t="shared" si="148"/>
        <v>0</v>
      </c>
      <c r="AR1180" s="45">
        <f t="shared" si="149"/>
        <v>0</v>
      </c>
      <c r="AS1180" s="45">
        <f t="shared" si="150"/>
        <v>0</v>
      </c>
      <c r="AT1180" s="45">
        <f t="shared" si="151"/>
        <v>0</v>
      </c>
      <c r="AU1180" s="45" t="str">
        <f>_xlfn.XLOOKUP(U1180,'Lista Suspensa'!$AA$20:$AA$23,'Lista Suspensa'!$AB$20:$AB$23,"N/A")</f>
        <v>S</v>
      </c>
    </row>
    <row r="1181" spans="1:47" ht="12" hidden="1" customHeight="1" x14ac:dyDescent="0.3">
      <c r="A1181" s="87" t="s">
        <v>47</v>
      </c>
      <c r="B1181" s="88">
        <v>46104</v>
      </c>
      <c r="C1181" s="89" t="s">
        <v>48</v>
      </c>
      <c r="D1181" s="89" t="s">
        <v>49</v>
      </c>
      <c r="E1181" s="90">
        <v>89827746</v>
      </c>
      <c r="F1181" s="184" t="s">
        <v>3395</v>
      </c>
      <c r="G1181" s="91">
        <v>19586429830</v>
      </c>
      <c r="H1181" s="92">
        <v>28336</v>
      </c>
      <c r="I1181" s="89">
        <v>48</v>
      </c>
      <c r="J1181" s="89" t="s">
        <v>51</v>
      </c>
      <c r="K1181" s="89" t="s">
        <v>52</v>
      </c>
      <c r="L1181" s="89" t="s">
        <v>53</v>
      </c>
      <c r="M1181" s="89" t="s">
        <v>1305</v>
      </c>
      <c r="N1181" s="89" t="s">
        <v>148</v>
      </c>
      <c r="O1181" s="93" t="s">
        <v>3396</v>
      </c>
      <c r="P1181" s="94" t="s">
        <v>57</v>
      </c>
      <c r="Q1181" s="112" t="s">
        <v>2211</v>
      </c>
      <c r="R1181" s="95"/>
      <c r="S1181" s="96">
        <v>46150</v>
      </c>
      <c r="T1181" s="96" t="s">
        <v>2212</v>
      </c>
      <c r="U1181" s="96" t="s">
        <v>79</v>
      </c>
      <c r="V1181" s="92">
        <v>46112</v>
      </c>
      <c r="W1181" s="92">
        <v>46141</v>
      </c>
      <c r="X1181" s="92">
        <v>46142</v>
      </c>
      <c r="Y1181" s="97"/>
      <c r="Z1181" s="89"/>
      <c r="AA1181" s="96"/>
      <c r="AB1181" s="89"/>
      <c r="AC1181" s="111"/>
      <c r="AD1181" s="89"/>
      <c r="AE1181" s="89"/>
      <c r="AF1181" s="98"/>
      <c r="AG1181" s="98"/>
      <c r="AH1181" s="98"/>
      <c r="AI1181" s="99"/>
      <c r="AJ1181" s="99"/>
      <c r="AK1181" s="99"/>
      <c r="AL1181" s="45" t="s">
        <v>68</v>
      </c>
      <c r="AM1181" s="162" t="str">
        <f t="shared" si="144"/>
        <v>3/2026</v>
      </c>
      <c r="AN1181" s="45">
        <f t="shared" si="145"/>
        <v>4</v>
      </c>
      <c r="AO1181" s="45" t="str">
        <f t="shared" si="146"/>
        <v>1/1900</v>
      </c>
      <c r="AP1181" s="45" t="e">
        <f t="shared" si="147"/>
        <v>#NUM!</v>
      </c>
      <c r="AQ1181" s="45">
        <f t="shared" si="148"/>
        <v>0</v>
      </c>
      <c r="AR1181" s="45">
        <f t="shared" si="149"/>
        <v>0</v>
      </c>
      <c r="AS1181" s="45">
        <f t="shared" si="150"/>
        <v>0</v>
      </c>
      <c r="AT1181" s="45">
        <f t="shared" si="151"/>
        <v>0</v>
      </c>
      <c r="AU1181" s="45" t="str">
        <f>_xlfn.XLOOKUP(U1181,'Lista Suspensa'!$AA$20:$AA$23,'Lista Suspensa'!$AB$20:$AB$23,"N/A")</f>
        <v>S</v>
      </c>
    </row>
    <row r="1182" spans="1:47" ht="12" hidden="1" customHeight="1" x14ac:dyDescent="0.3">
      <c r="A1182" s="87" t="s">
        <v>47</v>
      </c>
      <c r="B1182" s="88">
        <v>46104</v>
      </c>
      <c r="C1182" s="89" t="s">
        <v>48</v>
      </c>
      <c r="D1182" s="89" t="s">
        <v>49</v>
      </c>
      <c r="E1182" s="90">
        <v>84982138</v>
      </c>
      <c r="F1182" s="184" t="s">
        <v>3397</v>
      </c>
      <c r="G1182" s="91">
        <v>13027721801</v>
      </c>
      <c r="H1182" s="92">
        <v>23463</v>
      </c>
      <c r="I1182" s="89">
        <v>61</v>
      </c>
      <c r="J1182" s="89" t="s">
        <v>51</v>
      </c>
      <c r="K1182" s="89" t="s">
        <v>52</v>
      </c>
      <c r="L1182" s="89" t="s">
        <v>53</v>
      </c>
      <c r="M1182" s="89" t="s">
        <v>3398</v>
      </c>
      <c r="N1182" s="89" t="s">
        <v>148</v>
      </c>
      <c r="O1182" s="93" t="s">
        <v>3399</v>
      </c>
      <c r="P1182" s="94" t="s">
        <v>57</v>
      </c>
      <c r="Q1182" s="112" t="s">
        <v>2211</v>
      </c>
      <c r="R1182" s="95"/>
      <c r="S1182" s="96">
        <v>46164</v>
      </c>
      <c r="T1182" s="96" t="s">
        <v>2212</v>
      </c>
      <c r="U1182" s="96" t="s">
        <v>79</v>
      </c>
      <c r="V1182" s="92">
        <v>46142</v>
      </c>
      <c r="W1182" s="92">
        <v>46154</v>
      </c>
      <c r="X1182" s="92">
        <v>46160</v>
      </c>
      <c r="Y1182" s="97"/>
      <c r="Z1182" s="89"/>
      <c r="AA1182" s="96"/>
      <c r="AB1182" s="89"/>
      <c r="AC1182" s="111"/>
      <c r="AD1182" s="89"/>
      <c r="AE1182" s="89"/>
      <c r="AF1182" s="98"/>
      <c r="AG1182" s="98"/>
      <c r="AH1182" s="98"/>
      <c r="AI1182" s="99"/>
      <c r="AJ1182" s="99"/>
      <c r="AK1182" s="99"/>
      <c r="AL1182" s="45" t="s">
        <v>68</v>
      </c>
      <c r="AM1182" s="162" t="str">
        <f t="shared" si="144"/>
        <v>3/2026</v>
      </c>
      <c r="AN1182" s="45">
        <f t="shared" si="145"/>
        <v>4</v>
      </c>
      <c r="AO1182" s="45" t="str">
        <f t="shared" si="146"/>
        <v>1/1900</v>
      </c>
      <c r="AP1182" s="45" t="e">
        <f t="shared" si="147"/>
        <v>#NUM!</v>
      </c>
      <c r="AQ1182" s="45">
        <f t="shared" si="148"/>
        <v>0</v>
      </c>
      <c r="AR1182" s="45">
        <f t="shared" si="149"/>
        <v>0</v>
      </c>
      <c r="AS1182" s="45">
        <f t="shared" si="150"/>
        <v>0</v>
      </c>
      <c r="AT1182" s="45">
        <f t="shared" si="151"/>
        <v>0</v>
      </c>
      <c r="AU1182" s="45" t="str">
        <f>_xlfn.XLOOKUP(U1182,'Lista Suspensa'!$AA$20:$AA$23,'Lista Suspensa'!$AB$20:$AB$23,"N/A")</f>
        <v>S</v>
      </c>
    </row>
    <row r="1183" spans="1:47" ht="12" hidden="1" customHeight="1" x14ac:dyDescent="0.3">
      <c r="A1183" s="87" t="s">
        <v>47</v>
      </c>
      <c r="B1183" s="88">
        <v>46104</v>
      </c>
      <c r="C1183" s="89" t="s">
        <v>48</v>
      </c>
      <c r="D1183" s="89" t="s">
        <v>49</v>
      </c>
      <c r="E1183" s="90">
        <v>78100423</v>
      </c>
      <c r="F1183" s="184" t="s">
        <v>3400</v>
      </c>
      <c r="G1183" s="91">
        <v>69314926834</v>
      </c>
      <c r="H1183" s="92">
        <v>20077</v>
      </c>
      <c r="I1183" s="89">
        <v>71</v>
      </c>
      <c r="J1183" s="89" t="s">
        <v>51</v>
      </c>
      <c r="K1183" s="89" t="s">
        <v>52</v>
      </c>
      <c r="L1183" s="89" t="s">
        <v>331</v>
      </c>
      <c r="M1183" s="89" t="s">
        <v>1731</v>
      </c>
      <c r="N1183" s="89" t="s">
        <v>148</v>
      </c>
      <c r="O1183" s="93" t="s">
        <v>3401</v>
      </c>
      <c r="P1183" s="94" t="s">
        <v>57</v>
      </c>
      <c r="Q1183" s="112" t="s">
        <v>2211</v>
      </c>
      <c r="R1183" s="95"/>
      <c r="S1183" s="96">
        <v>46164</v>
      </c>
      <c r="T1183" s="96" t="s">
        <v>2212</v>
      </c>
      <c r="U1183" s="96" t="s">
        <v>79</v>
      </c>
      <c r="V1183" s="92">
        <v>46141</v>
      </c>
      <c r="W1183" s="92">
        <v>46154</v>
      </c>
      <c r="X1183" s="92">
        <v>46160</v>
      </c>
      <c r="Y1183" s="97"/>
      <c r="Z1183" s="89"/>
      <c r="AA1183" s="96"/>
      <c r="AB1183" s="89"/>
      <c r="AC1183" s="111"/>
      <c r="AD1183" s="89"/>
      <c r="AE1183" s="89"/>
      <c r="AF1183" s="98"/>
      <c r="AG1183" s="98"/>
      <c r="AH1183" s="98"/>
      <c r="AI1183" s="99"/>
      <c r="AJ1183" s="99"/>
      <c r="AK1183" s="99"/>
      <c r="AL1183" s="45" t="s">
        <v>68</v>
      </c>
      <c r="AM1183" s="162" t="str">
        <f t="shared" si="144"/>
        <v>3/2026</v>
      </c>
      <c r="AN1183" s="45">
        <f t="shared" si="145"/>
        <v>4</v>
      </c>
      <c r="AO1183" s="45" t="str">
        <f t="shared" si="146"/>
        <v>1/1900</v>
      </c>
      <c r="AP1183" s="45" t="e">
        <f t="shared" si="147"/>
        <v>#NUM!</v>
      </c>
      <c r="AQ1183" s="45">
        <f t="shared" si="148"/>
        <v>0</v>
      </c>
      <c r="AR1183" s="45">
        <f t="shared" si="149"/>
        <v>0</v>
      </c>
      <c r="AS1183" s="45">
        <f t="shared" si="150"/>
        <v>0</v>
      </c>
      <c r="AT1183" s="45">
        <f t="shared" si="151"/>
        <v>0</v>
      </c>
      <c r="AU1183" s="45" t="str">
        <f>_xlfn.XLOOKUP(U1183,'Lista Suspensa'!$AA$20:$AA$23,'Lista Suspensa'!$AB$20:$AB$23,"N/A")</f>
        <v>S</v>
      </c>
    </row>
    <row r="1184" spans="1:47" ht="12" hidden="1" customHeight="1" x14ac:dyDescent="0.3">
      <c r="A1184" s="87" t="s">
        <v>47</v>
      </c>
      <c r="B1184" s="88">
        <v>46104</v>
      </c>
      <c r="C1184" s="89" t="s">
        <v>48</v>
      </c>
      <c r="D1184" s="89" t="s">
        <v>49</v>
      </c>
      <c r="E1184" s="90">
        <v>79958434</v>
      </c>
      <c r="F1184" s="184" t="s">
        <v>3402</v>
      </c>
      <c r="G1184" s="91">
        <v>26544476854</v>
      </c>
      <c r="H1184" s="92">
        <v>20369</v>
      </c>
      <c r="I1184" s="89">
        <v>70</v>
      </c>
      <c r="J1184" s="89" t="s">
        <v>70</v>
      </c>
      <c r="K1184" s="89" t="s">
        <v>52</v>
      </c>
      <c r="L1184" s="89" t="s">
        <v>331</v>
      </c>
      <c r="M1184" s="89" t="s">
        <v>1731</v>
      </c>
      <c r="N1184" s="89" t="s">
        <v>148</v>
      </c>
      <c r="O1184" s="93" t="s">
        <v>3403</v>
      </c>
      <c r="P1184" s="94" t="s">
        <v>57</v>
      </c>
      <c r="Q1184" s="112" t="s">
        <v>2211</v>
      </c>
      <c r="R1184" s="95"/>
      <c r="S1184" s="96">
        <v>46164</v>
      </c>
      <c r="T1184" s="96" t="s">
        <v>2212</v>
      </c>
      <c r="U1184" s="96" t="s">
        <v>79</v>
      </c>
      <c r="V1184" s="92">
        <v>46141</v>
      </c>
      <c r="W1184" s="92">
        <v>46154</v>
      </c>
      <c r="X1184" s="92">
        <v>46160</v>
      </c>
      <c r="Y1184" s="97"/>
      <c r="Z1184" s="89"/>
      <c r="AA1184" s="96"/>
      <c r="AB1184" s="89"/>
      <c r="AC1184" s="111"/>
      <c r="AD1184" s="89"/>
      <c r="AE1184" s="89"/>
      <c r="AF1184" s="98"/>
      <c r="AG1184" s="98"/>
      <c r="AH1184" s="98"/>
      <c r="AI1184" s="99"/>
      <c r="AJ1184" s="99"/>
      <c r="AK1184" s="99"/>
      <c r="AL1184" s="45" t="s">
        <v>68</v>
      </c>
      <c r="AM1184" s="162" t="str">
        <f t="shared" si="144"/>
        <v>3/2026</v>
      </c>
      <c r="AN1184" s="45">
        <f t="shared" si="145"/>
        <v>4</v>
      </c>
      <c r="AO1184" s="45" t="str">
        <f t="shared" si="146"/>
        <v>1/1900</v>
      </c>
      <c r="AP1184" s="45" t="e">
        <f t="shared" si="147"/>
        <v>#NUM!</v>
      </c>
      <c r="AQ1184" s="45">
        <f t="shared" si="148"/>
        <v>0</v>
      </c>
      <c r="AR1184" s="45">
        <f t="shared" si="149"/>
        <v>0</v>
      </c>
      <c r="AS1184" s="45">
        <f t="shared" si="150"/>
        <v>0</v>
      </c>
      <c r="AT1184" s="45">
        <f t="shared" si="151"/>
        <v>0</v>
      </c>
      <c r="AU1184" s="45" t="str">
        <f>_xlfn.XLOOKUP(U1184,'Lista Suspensa'!$AA$20:$AA$23,'Lista Suspensa'!$AB$20:$AB$23,"N/A")</f>
        <v>S</v>
      </c>
    </row>
    <row r="1185" spans="1:47" ht="12" hidden="1" customHeight="1" x14ac:dyDescent="0.3">
      <c r="A1185" s="87" t="s">
        <v>47</v>
      </c>
      <c r="B1185" s="88">
        <v>46104</v>
      </c>
      <c r="C1185" s="89" t="s">
        <v>48</v>
      </c>
      <c r="D1185" s="89" t="s">
        <v>49</v>
      </c>
      <c r="E1185" s="90">
        <v>83917918</v>
      </c>
      <c r="F1185" s="184" t="s">
        <v>3404</v>
      </c>
      <c r="G1185" s="91">
        <v>4469864706</v>
      </c>
      <c r="H1185" s="92">
        <v>18401</v>
      </c>
      <c r="I1185" s="89">
        <v>75</v>
      </c>
      <c r="J1185" s="89" t="s">
        <v>70</v>
      </c>
      <c r="K1185" s="89" t="s">
        <v>88</v>
      </c>
      <c r="L1185" s="89" t="s">
        <v>97</v>
      </c>
      <c r="M1185" s="89" t="s">
        <v>1440</v>
      </c>
      <c r="N1185" s="89" t="s">
        <v>148</v>
      </c>
      <c r="O1185" s="93" t="s">
        <v>3405</v>
      </c>
      <c r="P1185" s="94" t="s">
        <v>57</v>
      </c>
      <c r="Q1185" s="112" t="s">
        <v>2211</v>
      </c>
      <c r="R1185" s="95"/>
      <c r="S1185" s="96">
        <v>46164</v>
      </c>
      <c r="T1185" s="96" t="s">
        <v>2212</v>
      </c>
      <c r="U1185" s="96" t="s">
        <v>79</v>
      </c>
      <c r="V1185" s="92">
        <v>46141</v>
      </c>
      <c r="W1185" s="92">
        <v>46154</v>
      </c>
      <c r="X1185" s="92">
        <v>46160</v>
      </c>
      <c r="Y1185" s="97"/>
      <c r="Z1185" s="89"/>
      <c r="AA1185" s="96"/>
      <c r="AB1185" s="89"/>
      <c r="AC1185" s="111"/>
      <c r="AD1185" s="89"/>
      <c r="AE1185" s="89"/>
      <c r="AF1185" s="98"/>
      <c r="AG1185" s="98"/>
      <c r="AH1185" s="98"/>
      <c r="AI1185" s="99"/>
      <c r="AJ1185" s="99"/>
      <c r="AK1185" s="99"/>
      <c r="AL1185" s="45" t="s">
        <v>68</v>
      </c>
      <c r="AM1185" s="162" t="str">
        <f t="shared" si="144"/>
        <v>3/2026</v>
      </c>
      <c r="AN1185" s="45">
        <f t="shared" si="145"/>
        <v>4</v>
      </c>
      <c r="AO1185" s="45" t="str">
        <f t="shared" si="146"/>
        <v>1/1900</v>
      </c>
      <c r="AP1185" s="45" t="e">
        <f t="shared" si="147"/>
        <v>#NUM!</v>
      </c>
      <c r="AQ1185" s="45">
        <f t="shared" si="148"/>
        <v>0</v>
      </c>
      <c r="AR1185" s="45">
        <f t="shared" si="149"/>
        <v>0</v>
      </c>
      <c r="AS1185" s="45">
        <f t="shared" si="150"/>
        <v>0</v>
      </c>
      <c r="AT1185" s="45">
        <f t="shared" si="151"/>
        <v>0</v>
      </c>
      <c r="AU1185" s="45" t="str">
        <f>_xlfn.XLOOKUP(U1185,'Lista Suspensa'!$AA$20:$AA$23,'Lista Suspensa'!$AB$20:$AB$23,"N/A")</f>
        <v>S</v>
      </c>
    </row>
    <row r="1186" spans="1:47" ht="12" hidden="1" customHeight="1" x14ac:dyDescent="0.3">
      <c r="A1186" s="87" t="s">
        <v>47</v>
      </c>
      <c r="B1186" s="88">
        <v>46104</v>
      </c>
      <c r="C1186" s="89" t="s">
        <v>48</v>
      </c>
      <c r="D1186" s="89" t="s">
        <v>49</v>
      </c>
      <c r="E1186" s="90">
        <v>92865382</v>
      </c>
      <c r="F1186" s="184" t="s">
        <v>3406</v>
      </c>
      <c r="G1186" s="91">
        <v>5325957856</v>
      </c>
      <c r="H1186" s="92">
        <v>23380</v>
      </c>
      <c r="I1186" s="89">
        <v>62</v>
      </c>
      <c r="J1186" s="89" t="s">
        <v>51</v>
      </c>
      <c r="K1186" s="89" t="s">
        <v>52</v>
      </c>
      <c r="L1186" s="89" t="s">
        <v>1973</v>
      </c>
      <c r="M1186" s="89" t="s">
        <v>3407</v>
      </c>
      <c r="N1186" s="89" t="s">
        <v>148</v>
      </c>
      <c r="O1186" s="93" t="s">
        <v>3408</v>
      </c>
      <c r="P1186" s="94" t="s">
        <v>57</v>
      </c>
      <c r="Q1186" s="112" t="s">
        <v>2211</v>
      </c>
      <c r="R1186" s="95"/>
      <c r="S1186" s="96">
        <v>46164</v>
      </c>
      <c r="T1186" s="96" t="s">
        <v>2212</v>
      </c>
      <c r="U1186" s="96" t="s">
        <v>79</v>
      </c>
      <c r="V1186" s="92">
        <v>46141</v>
      </c>
      <c r="W1186" s="92">
        <v>46154</v>
      </c>
      <c r="X1186" s="92">
        <v>46160</v>
      </c>
      <c r="Y1186" s="97"/>
      <c r="Z1186" s="89"/>
      <c r="AA1186" s="96"/>
      <c r="AB1186" s="89"/>
      <c r="AC1186" s="111"/>
      <c r="AD1186" s="89"/>
      <c r="AE1186" s="89"/>
      <c r="AF1186" s="98"/>
      <c r="AG1186" s="98"/>
      <c r="AH1186" s="98"/>
      <c r="AI1186" s="99"/>
      <c r="AJ1186" s="99"/>
      <c r="AK1186" s="99"/>
      <c r="AL1186" s="45" t="s">
        <v>68</v>
      </c>
      <c r="AM1186" s="162" t="str">
        <f t="shared" si="144"/>
        <v>3/2026</v>
      </c>
      <c r="AN1186" s="45">
        <f t="shared" si="145"/>
        <v>4</v>
      </c>
      <c r="AO1186" s="45" t="str">
        <f t="shared" si="146"/>
        <v>1/1900</v>
      </c>
      <c r="AP1186" s="45" t="e">
        <f t="shared" si="147"/>
        <v>#NUM!</v>
      </c>
      <c r="AQ1186" s="45">
        <f t="shared" si="148"/>
        <v>0</v>
      </c>
      <c r="AR1186" s="45">
        <f t="shared" si="149"/>
        <v>0</v>
      </c>
      <c r="AS1186" s="45">
        <f t="shared" si="150"/>
        <v>0</v>
      </c>
      <c r="AT1186" s="45">
        <f t="shared" si="151"/>
        <v>0</v>
      </c>
      <c r="AU1186" s="45" t="str">
        <f>_xlfn.XLOOKUP(U1186,'Lista Suspensa'!$AA$20:$AA$23,'Lista Suspensa'!$AB$20:$AB$23,"N/A")</f>
        <v>S</v>
      </c>
    </row>
    <row r="1187" spans="1:47" ht="12" hidden="1" customHeight="1" x14ac:dyDescent="0.3">
      <c r="A1187" s="87" t="s">
        <v>47</v>
      </c>
      <c r="B1187" s="88">
        <v>46104</v>
      </c>
      <c r="C1187" s="89" t="s">
        <v>48</v>
      </c>
      <c r="D1187" s="89" t="s">
        <v>49</v>
      </c>
      <c r="E1187" s="90">
        <v>86988953</v>
      </c>
      <c r="F1187" s="184" t="s">
        <v>3409</v>
      </c>
      <c r="G1187" s="91">
        <v>7440161858</v>
      </c>
      <c r="H1187" s="92">
        <v>16243</v>
      </c>
      <c r="I1187" s="89">
        <v>81</v>
      </c>
      <c r="J1187" s="89" t="s">
        <v>70</v>
      </c>
      <c r="K1187" s="89" t="s">
        <v>52</v>
      </c>
      <c r="L1187" s="89" t="s">
        <v>53</v>
      </c>
      <c r="M1187" s="89" t="s">
        <v>3410</v>
      </c>
      <c r="N1187" s="89" t="s">
        <v>148</v>
      </c>
      <c r="O1187" s="93" t="s">
        <v>3411</v>
      </c>
      <c r="P1187" s="94" t="s">
        <v>57</v>
      </c>
      <c r="Q1187" s="112" t="s">
        <v>2211</v>
      </c>
      <c r="R1187" s="95"/>
      <c r="S1187" s="96">
        <v>46164</v>
      </c>
      <c r="T1187" s="96" t="s">
        <v>2212</v>
      </c>
      <c r="U1187" s="96" t="s">
        <v>79</v>
      </c>
      <c r="V1187" s="92">
        <v>46141</v>
      </c>
      <c r="W1187" s="92">
        <v>46154</v>
      </c>
      <c r="X1187" s="92">
        <v>46160</v>
      </c>
      <c r="Y1187" s="97"/>
      <c r="Z1187" s="89"/>
      <c r="AA1187" s="96"/>
      <c r="AB1187" s="89"/>
      <c r="AC1187" s="111"/>
      <c r="AD1187" s="89"/>
      <c r="AE1187" s="89"/>
      <c r="AF1187" s="98"/>
      <c r="AG1187" s="98"/>
      <c r="AH1187" s="98"/>
      <c r="AI1187" s="99"/>
      <c r="AJ1187" s="99"/>
      <c r="AK1187" s="99"/>
      <c r="AL1187" s="45" t="s">
        <v>68</v>
      </c>
      <c r="AM1187" s="162" t="str">
        <f t="shared" si="144"/>
        <v>3/2026</v>
      </c>
      <c r="AN1187" s="45">
        <f t="shared" si="145"/>
        <v>4</v>
      </c>
      <c r="AO1187" s="45" t="str">
        <f t="shared" si="146"/>
        <v>1/1900</v>
      </c>
      <c r="AP1187" s="45" t="e">
        <f t="shared" si="147"/>
        <v>#NUM!</v>
      </c>
      <c r="AQ1187" s="45">
        <f t="shared" si="148"/>
        <v>0</v>
      </c>
      <c r="AR1187" s="45">
        <f t="shared" si="149"/>
        <v>0</v>
      </c>
      <c r="AS1187" s="45">
        <f t="shared" si="150"/>
        <v>0</v>
      </c>
      <c r="AT1187" s="45">
        <f t="shared" si="151"/>
        <v>0</v>
      </c>
      <c r="AU1187" s="45" t="str">
        <f>_xlfn.XLOOKUP(U1187,'Lista Suspensa'!$AA$20:$AA$23,'Lista Suspensa'!$AB$20:$AB$23,"N/A")</f>
        <v>S</v>
      </c>
    </row>
    <row r="1188" spans="1:47" ht="12" hidden="1" customHeight="1" x14ac:dyDescent="0.3">
      <c r="A1188" s="87" t="s">
        <v>47</v>
      </c>
      <c r="B1188" s="88">
        <v>46104</v>
      </c>
      <c r="C1188" s="89" t="s">
        <v>48</v>
      </c>
      <c r="D1188" s="89" t="s">
        <v>49</v>
      </c>
      <c r="E1188" s="90">
        <v>87041778</v>
      </c>
      <c r="F1188" s="184" t="s">
        <v>3412</v>
      </c>
      <c r="G1188" s="91">
        <v>29263527865</v>
      </c>
      <c r="H1188" s="92">
        <v>24215</v>
      </c>
      <c r="I1188" s="89">
        <v>59</v>
      </c>
      <c r="J1188" s="89" t="s">
        <v>51</v>
      </c>
      <c r="K1188" s="89" t="s">
        <v>52</v>
      </c>
      <c r="L1188" s="89" t="s">
        <v>53</v>
      </c>
      <c r="M1188" s="89" t="s">
        <v>3413</v>
      </c>
      <c r="N1188" s="89" t="s">
        <v>148</v>
      </c>
      <c r="O1188" s="93" t="s">
        <v>3414</v>
      </c>
      <c r="P1188" s="94" t="s">
        <v>57</v>
      </c>
      <c r="Q1188" s="112" t="s">
        <v>2211</v>
      </c>
      <c r="R1188" s="95"/>
      <c r="S1188" s="96">
        <v>46164</v>
      </c>
      <c r="T1188" s="96" t="s">
        <v>2212</v>
      </c>
      <c r="U1188" s="96" t="s">
        <v>79</v>
      </c>
      <c r="V1188" s="92">
        <v>46141</v>
      </c>
      <c r="W1188" s="92">
        <v>46154</v>
      </c>
      <c r="X1188" s="92">
        <v>46160</v>
      </c>
      <c r="Y1188" s="97"/>
      <c r="Z1188" s="89"/>
      <c r="AA1188" s="96"/>
      <c r="AB1188" s="89"/>
      <c r="AC1188" s="111"/>
      <c r="AD1188" s="89"/>
      <c r="AE1188" s="89"/>
      <c r="AF1188" s="98"/>
      <c r="AG1188" s="98"/>
      <c r="AH1188" s="98"/>
      <c r="AI1188" s="99"/>
      <c r="AJ1188" s="99"/>
      <c r="AK1188" s="99"/>
      <c r="AL1188" s="45" t="s">
        <v>68</v>
      </c>
      <c r="AM1188" s="162" t="str">
        <f t="shared" si="144"/>
        <v>3/2026</v>
      </c>
      <c r="AN1188" s="45">
        <f t="shared" si="145"/>
        <v>4</v>
      </c>
      <c r="AO1188" s="45" t="str">
        <f t="shared" si="146"/>
        <v>1/1900</v>
      </c>
      <c r="AP1188" s="45" t="e">
        <f t="shared" si="147"/>
        <v>#NUM!</v>
      </c>
      <c r="AQ1188" s="45">
        <f t="shared" si="148"/>
        <v>0</v>
      </c>
      <c r="AR1188" s="45">
        <f t="shared" si="149"/>
        <v>0</v>
      </c>
      <c r="AS1188" s="45">
        <f t="shared" si="150"/>
        <v>0</v>
      </c>
      <c r="AT1188" s="45">
        <f t="shared" si="151"/>
        <v>0</v>
      </c>
      <c r="AU1188" s="45" t="str">
        <f>_xlfn.XLOOKUP(U1188,'Lista Suspensa'!$AA$20:$AA$23,'Lista Suspensa'!$AB$20:$AB$23,"N/A")</f>
        <v>S</v>
      </c>
    </row>
    <row r="1189" spans="1:47" ht="12" hidden="1" customHeight="1" x14ac:dyDescent="0.3">
      <c r="A1189" s="87" t="s">
        <v>47</v>
      </c>
      <c r="B1189" s="88">
        <v>46104</v>
      </c>
      <c r="C1189" s="89" t="s">
        <v>48</v>
      </c>
      <c r="D1189" s="89" t="s">
        <v>49</v>
      </c>
      <c r="E1189" s="90">
        <v>85334285</v>
      </c>
      <c r="F1189" s="184" t="s">
        <v>3415</v>
      </c>
      <c r="G1189" s="91">
        <v>22962686842</v>
      </c>
      <c r="H1189" s="92">
        <v>31981</v>
      </c>
      <c r="I1189" s="89">
        <v>38</v>
      </c>
      <c r="J1189" s="89" t="s">
        <v>70</v>
      </c>
      <c r="K1189" s="89" t="s">
        <v>52</v>
      </c>
      <c r="L1189" s="89" t="s">
        <v>53</v>
      </c>
      <c r="M1189" s="89" t="s">
        <v>3416</v>
      </c>
      <c r="N1189" s="89" t="s">
        <v>148</v>
      </c>
      <c r="O1189" s="93" t="s">
        <v>3417</v>
      </c>
      <c r="P1189" s="94" t="s">
        <v>57</v>
      </c>
      <c r="Q1189" s="112" t="s">
        <v>2211</v>
      </c>
      <c r="R1189" s="95"/>
      <c r="S1189" s="96">
        <v>46164</v>
      </c>
      <c r="T1189" s="96" t="s">
        <v>2212</v>
      </c>
      <c r="U1189" s="96" t="s">
        <v>79</v>
      </c>
      <c r="V1189" s="92">
        <v>46141</v>
      </c>
      <c r="W1189" s="92">
        <v>46154</v>
      </c>
      <c r="X1189" s="92">
        <v>46160</v>
      </c>
      <c r="Y1189" s="97"/>
      <c r="Z1189" s="89"/>
      <c r="AA1189" s="96"/>
      <c r="AB1189" s="89"/>
      <c r="AC1189" s="111"/>
      <c r="AD1189" s="89"/>
      <c r="AE1189" s="89"/>
      <c r="AF1189" s="98"/>
      <c r="AG1189" s="98"/>
      <c r="AH1189" s="98"/>
      <c r="AI1189" s="99"/>
      <c r="AJ1189" s="99"/>
      <c r="AK1189" s="99"/>
      <c r="AL1189" s="45" t="s">
        <v>68</v>
      </c>
      <c r="AM1189" s="162" t="str">
        <f t="shared" si="144"/>
        <v>3/2026</v>
      </c>
      <c r="AN1189" s="45">
        <f t="shared" si="145"/>
        <v>4</v>
      </c>
      <c r="AO1189" s="45" t="str">
        <f t="shared" si="146"/>
        <v>1/1900</v>
      </c>
      <c r="AP1189" s="45" t="e">
        <f t="shared" si="147"/>
        <v>#NUM!</v>
      </c>
      <c r="AQ1189" s="45">
        <f t="shared" si="148"/>
        <v>0</v>
      </c>
      <c r="AR1189" s="45">
        <f t="shared" si="149"/>
        <v>0</v>
      </c>
      <c r="AS1189" s="45">
        <f t="shared" si="150"/>
        <v>0</v>
      </c>
      <c r="AT1189" s="45">
        <f t="shared" si="151"/>
        <v>0</v>
      </c>
      <c r="AU1189" s="45" t="str">
        <f>_xlfn.XLOOKUP(U1189,'Lista Suspensa'!$AA$20:$AA$23,'Lista Suspensa'!$AB$20:$AB$23,"N/A")</f>
        <v>S</v>
      </c>
    </row>
    <row r="1190" spans="1:47" ht="12" hidden="1" customHeight="1" x14ac:dyDescent="0.3">
      <c r="A1190" s="87" t="s">
        <v>47</v>
      </c>
      <c r="B1190" s="88">
        <v>46104</v>
      </c>
      <c r="C1190" s="89" t="s">
        <v>48</v>
      </c>
      <c r="D1190" s="89" t="s">
        <v>49</v>
      </c>
      <c r="E1190" s="90">
        <v>94134900</v>
      </c>
      <c r="F1190" s="184" t="s">
        <v>3418</v>
      </c>
      <c r="G1190" s="91">
        <v>13241218821</v>
      </c>
      <c r="H1190" s="92">
        <v>23413</v>
      </c>
      <c r="I1190" s="89">
        <v>62</v>
      </c>
      <c r="J1190" s="89" t="s">
        <v>51</v>
      </c>
      <c r="K1190" s="89" t="s">
        <v>52</v>
      </c>
      <c r="L1190" s="89" t="s">
        <v>53</v>
      </c>
      <c r="M1190" s="89" t="s">
        <v>3419</v>
      </c>
      <c r="N1190" s="89" t="s">
        <v>148</v>
      </c>
      <c r="O1190" s="93" t="s">
        <v>3420</v>
      </c>
      <c r="P1190" s="94" t="s">
        <v>57</v>
      </c>
      <c r="Q1190" s="112" t="s">
        <v>2211</v>
      </c>
      <c r="R1190" s="95"/>
      <c r="S1190" s="96">
        <v>46164</v>
      </c>
      <c r="T1190" s="96" t="s">
        <v>2212</v>
      </c>
      <c r="U1190" s="96" t="s">
        <v>79</v>
      </c>
      <c r="V1190" s="92">
        <v>46141</v>
      </c>
      <c r="W1190" s="92">
        <v>46154</v>
      </c>
      <c r="X1190" s="92">
        <v>46160</v>
      </c>
      <c r="Y1190" s="97"/>
      <c r="Z1190" s="89"/>
      <c r="AA1190" s="96"/>
      <c r="AB1190" s="89"/>
      <c r="AC1190" s="111"/>
      <c r="AD1190" s="89"/>
      <c r="AE1190" s="89"/>
      <c r="AF1190" s="98"/>
      <c r="AG1190" s="98"/>
      <c r="AH1190" s="98"/>
      <c r="AI1190" s="99"/>
      <c r="AJ1190" s="99"/>
      <c r="AK1190" s="99"/>
      <c r="AL1190" s="45" t="s">
        <v>68</v>
      </c>
      <c r="AM1190" s="162" t="str">
        <f t="shared" si="144"/>
        <v>3/2026</v>
      </c>
      <c r="AN1190" s="45">
        <f t="shared" si="145"/>
        <v>4</v>
      </c>
      <c r="AO1190" s="45" t="str">
        <f t="shared" si="146"/>
        <v>1/1900</v>
      </c>
      <c r="AP1190" s="45" t="e">
        <f t="shared" si="147"/>
        <v>#NUM!</v>
      </c>
      <c r="AQ1190" s="45">
        <f t="shared" si="148"/>
        <v>0</v>
      </c>
      <c r="AR1190" s="45">
        <f t="shared" si="149"/>
        <v>0</v>
      </c>
      <c r="AS1190" s="45">
        <f t="shared" si="150"/>
        <v>0</v>
      </c>
      <c r="AT1190" s="45">
        <f t="shared" si="151"/>
        <v>0</v>
      </c>
      <c r="AU1190" s="45" t="str">
        <f>_xlfn.XLOOKUP(U1190,'Lista Suspensa'!$AA$20:$AA$23,'Lista Suspensa'!$AB$20:$AB$23,"N/A")</f>
        <v>S</v>
      </c>
    </row>
    <row r="1191" spans="1:47" ht="12" hidden="1" customHeight="1" x14ac:dyDescent="0.3">
      <c r="A1191" s="87" t="s">
        <v>47</v>
      </c>
      <c r="B1191" s="88">
        <v>46104</v>
      </c>
      <c r="C1191" s="89" t="s">
        <v>48</v>
      </c>
      <c r="D1191" s="89" t="s">
        <v>49</v>
      </c>
      <c r="E1191" s="90">
        <v>79116306</v>
      </c>
      <c r="F1191" s="184" t="s">
        <v>3421</v>
      </c>
      <c r="G1191" s="91">
        <v>738803880</v>
      </c>
      <c r="H1191" s="92">
        <v>22033</v>
      </c>
      <c r="I1191" s="89">
        <v>65</v>
      </c>
      <c r="J1191" s="89" t="s">
        <v>51</v>
      </c>
      <c r="K1191" s="89" t="s">
        <v>52</v>
      </c>
      <c r="L1191" s="89" t="s">
        <v>53</v>
      </c>
      <c r="M1191" s="89" t="s">
        <v>3017</v>
      </c>
      <c r="N1191" s="89" t="s">
        <v>148</v>
      </c>
      <c r="O1191" s="93" t="s">
        <v>3422</v>
      </c>
      <c r="P1191" s="94" t="s">
        <v>57</v>
      </c>
      <c r="Q1191" s="112" t="s">
        <v>2211</v>
      </c>
      <c r="R1191" s="95"/>
      <c r="S1191" s="96">
        <v>46150</v>
      </c>
      <c r="T1191" s="96" t="s">
        <v>2212</v>
      </c>
      <c r="U1191" s="96" t="s">
        <v>79</v>
      </c>
      <c r="V1191" s="92">
        <v>46128</v>
      </c>
      <c r="W1191" s="92">
        <v>46141</v>
      </c>
      <c r="X1191" s="92">
        <v>46142</v>
      </c>
      <c r="Y1191" s="97"/>
      <c r="Z1191" s="89"/>
      <c r="AA1191" s="96"/>
      <c r="AB1191" s="89"/>
      <c r="AC1191" s="111"/>
      <c r="AD1191" s="89"/>
      <c r="AE1191" s="89"/>
      <c r="AF1191" s="98"/>
      <c r="AG1191" s="98"/>
      <c r="AH1191" s="98"/>
      <c r="AI1191" s="99"/>
      <c r="AJ1191" s="99"/>
      <c r="AK1191" s="99"/>
      <c r="AL1191" s="45" t="s">
        <v>68</v>
      </c>
      <c r="AM1191" s="162" t="str">
        <f t="shared" si="144"/>
        <v>3/2026</v>
      </c>
      <c r="AN1191" s="45">
        <f t="shared" si="145"/>
        <v>4</v>
      </c>
      <c r="AO1191" s="45" t="str">
        <f t="shared" si="146"/>
        <v>1/1900</v>
      </c>
      <c r="AP1191" s="45" t="e">
        <f t="shared" si="147"/>
        <v>#NUM!</v>
      </c>
      <c r="AQ1191" s="45">
        <f t="shared" si="148"/>
        <v>0</v>
      </c>
      <c r="AR1191" s="45">
        <f t="shared" si="149"/>
        <v>0</v>
      </c>
      <c r="AS1191" s="45">
        <f t="shared" si="150"/>
        <v>0</v>
      </c>
      <c r="AT1191" s="45">
        <f t="shared" si="151"/>
        <v>0</v>
      </c>
      <c r="AU1191" s="45" t="str">
        <f>_xlfn.XLOOKUP(U1191,'Lista Suspensa'!$AA$20:$AA$23,'Lista Suspensa'!$AB$20:$AB$23,"N/A")</f>
        <v>S</v>
      </c>
    </row>
    <row r="1192" spans="1:47" ht="12" hidden="1" customHeight="1" x14ac:dyDescent="0.3">
      <c r="A1192" s="87" t="s">
        <v>47</v>
      </c>
      <c r="B1192" s="88">
        <v>46104</v>
      </c>
      <c r="C1192" s="89" t="s">
        <v>48</v>
      </c>
      <c r="D1192" s="89" t="s">
        <v>49</v>
      </c>
      <c r="E1192" s="90">
        <v>87513431</v>
      </c>
      <c r="F1192" s="184" t="s">
        <v>3423</v>
      </c>
      <c r="G1192" s="91">
        <v>21397412852</v>
      </c>
      <c r="H1192" s="92">
        <v>18482</v>
      </c>
      <c r="I1192" s="89">
        <v>75</v>
      </c>
      <c r="J1192" s="89" t="s">
        <v>70</v>
      </c>
      <c r="K1192" s="89" t="s">
        <v>52</v>
      </c>
      <c r="L1192" s="89" t="s">
        <v>53</v>
      </c>
      <c r="M1192" s="89" t="s">
        <v>1048</v>
      </c>
      <c r="N1192" s="89" t="s">
        <v>148</v>
      </c>
      <c r="O1192" s="93" t="s">
        <v>3424</v>
      </c>
      <c r="P1192" s="94" t="s">
        <v>57</v>
      </c>
      <c r="Q1192" s="112" t="s">
        <v>2211</v>
      </c>
      <c r="R1192" s="95"/>
      <c r="S1192" s="96">
        <v>46164</v>
      </c>
      <c r="T1192" s="96" t="s">
        <v>2212</v>
      </c>
      <c r="U1192" s="96" t="s">
        <v>79</v>
      </c>
      <c r="V1192" s="92">
        <v>46141</v>
      </c>
      <c r="W1192" s="92">
        <v>46154</v>
      </c>
      <c r="X1192" s="92">
        <v>46160</v>
      </c>
      <c r="Y1192" s="97"/>
      <c r="Z1192" s="89"/>
      <c r="AA1192" s="96"/>
      <c r="AB1192" s="89"/>
      <c r="AC1192" s="111"/>
      <c r="AD1192" s="89"/>
      <c r="AE1192" s="89"/>
      <c r="AF1192" s="98"/>
      <c r="AG1192" s="98"/>
      <c r="AH1192" s="98"/>
      <c r="AI1192" s="99"/>
      <c r="AJ1192" s="99"/>
      <c r="AK1192" s="99"/>
      <c r="AL1192" s="45" t="s">
        <v>68</v>
      </c>
      <c r="AM1192" s="162" t="str">
        <f t="shared" si="144"/>
        <v>3/2026</v>
      </c>
      <c r="AN1192" s="45">
        <f t="shared" si="145"/>
        <v>4</v>
      </c>
      <c r="AO1192" s="45" t="str">
        <f t="shared" si="146"/>
        <v>1/1900</v>
      </c>
      <c r="AP1192" s="45" t="e">
        <f t="shared" si="147"/>
        <v>#NUM!</v>
      </c>
      <c r="AQ1192" s="45">
        <f t="shared" si="148"/>
        <v>0</v>
      </c>
      <c r="AR1192" s="45">
        <f t="shared" si="149"/>
        <v>0</v>
      </c>
      <c r="AS1192" s="45">
        <f t="shared" si="150"/>
        <v>0</v>
      </c>
      <c r="AT1192" s="45">
        <f t="shared" si="151"/>
        <v>0</v>
      </c>
      <c r="AU1192" s="45" t="str">
        <f>_xlfn.XLOOKUP(U1192,'Lista Suspensa'!$AA$20:$AA$23,'Lista Suspensa'!$AB$20:$AB$23,"N/A")</f>
        <v>S</v>
      </c>
    </row>
    <row r="1193" spans="1:47" ht="12" hidden="1" customHeight="1" x14ac:dyDescent="0.3">
      <c r="A1193" s="87" t="s">
        <v>47</v>
      </c>
      <c r="B1193" s="88">
        <v>46104</v>
      </c>
      <c r="C1193" s="89" t="s">
        <v>48</v>
      </c>
      <c r="D1193" s="89" t="s">
        <v>49</v>
      </c>
      <c r="E1193" s="90">
        <v>87513433</v>
      </c>
      <c r="F1193" s="184" t="s">
        <v>3425</v>
      </c>
      <c r="G1193" s="91">
        <v>1020425865</v>
      </c>
      <c r="H1193" s="92">
        <v>19797</v>
      </c>
      <c r="I1193" s="89">
        <v>72</v>
      </c>
      <c r="J1193" s="89" t="s">
        <v>51</v>
      </c>
      <c r="K1193" s="89" t="s">
        <v>52</v>
      </c>
      <c r="L1193" s="89" t="s">
        <v>53</v>
      </c>
      <c r="M1193" s="89" t="s">
        <v>1048</v>
      </c>
      <c r="N1193" s="89" t="s">
        <v>148</v>
      </c>
      <c r="O1193" s="93" t="s">
        <v>3426</v>
      </c>
      <c r="P1193" s="94" t="s">
        <v>57</v>
      </c>
      <c r="Q1193" s="112" t="s">
        <v>2211</v>
      </c>
      <c r="R1193" s="95"/>
      <c r="S1193" s="96">
        <v>46164</v>
      </c>
      <c r="T1193" s="96" t="s">
        <v>2212</v>
      </c>
      <c r="U1193" s="96" t="s">
        <v>79</v>
      </c>
      <c r="V1193" s="92">
        <v>46141</v>
      </c>
      <c r="W1193" s="92">
        <v>46154</v>
      </c>
      <c r="X1193" s="92">
        <v>46160</v>
      </c>
      <c r="Y1193" s="97"/>
      <c r="Z1193" s="89"/>
      <c r="AA1193" s="96"/>
      <c r="AB1193" s="89"/>
      <c r="AC1193" s="111"/>
      <c r="AD1193" s="89"/>
      <c r="AE1193" s="89"/>
      <c r="AF1193" s="98"/>
      <c r="AG1193" s="98"/>
      <c r="AH1193" s="98"/>
      <c r="AI1193" s="99"/>
      <c r="AJ1193" s="99"/>
      <c r="AK1193" s="99"/>
      <c r="AL1193" s="45" t="s">
        <v>68</v>
      </c>
      <c r="AM1193" s="162" t="str">
        <f t="shared" si="144"/>
        <v>3/2026</v>
      </c>
      <c r="AN1193" s="45">
        <f t="shared" si="145"/>
        <v>4</v>
      </c>
      <c r="AO1193" s="45" t="str">
        <f t="shared" si="146"/>
        <v>1/1900</v>
      </c>
      <c r="AP1193" s="45" t="e">
        <f t="shared" si="147"/>
        <v>#NUM!</v>
      </c>
      <c r="AQ1193" s="45">
        <f t="shared" si="148"/>
        <v>0</v>
      </c>
      <c r="AR1193" s="45">
        <f t="shared" si="149"/>
        <v>0</v>
      </c>
      <c r="AS1193" s="45">
        <f t="shared" si="150"/>
        <v>0</v>
      </c>
      <c r="AT1193" s="45">
        <f t="shared" si="151"/>
        <v>0</v>
      </c>
      <c r="AU1193" s="45" t="str">
        <f>_xlfn.XLOOKUP(U1193,'Lista Suspensa'!$AA$20:$AA$23,'Lista Suspensa'!$AB$20:$AB$23,"N/A")</f>
        <v>S</v>
      </c>
    </row>
    <row r="1194" spans="1:47" ht="12" hidden="1" customHeight="1" x14ac:dyDescent="0.3">
      <c r="A1194" s="87" t="s">
        <v>47</v>
      </c>
      <c r="B1194" s="88">
        <v>46104</v>
      </c>
      <c r="C1194" s="89" t="s">
        <v>48</v>
      </c>
      <c r="D1194" s="89" t="s">
        <v>49</v>
      </c>
      <c r="E1194" s="90">
        <v>81914547</v>
      </c>
      <c r="F1194" s="184" t="s">
        <v>3427</v>
      </c>
      <c r="G1194" s="91">
        <v>22087817839</v>
      </c>
      <c r="H1194" s="92">
        <v>23204</v>
      </c>
      <c r="I1194" s="89">
        <v>62</v>
      </c>
      <c r="J1194" s="89" t="s">
        <v>70</v>
      </c>
      <c r="K1194" s="89" t="s">
        <v>52</v>
      </c>
      <c r="L1194" s="89" t="s">
        <v>525</v>
      </c>
      <c r="M1194" s="89" t="s">
        <v>3428</v>
      </c>
      <c r="N1194" s="89" t="s">
        <v>148</v>
      </c>
      <c r="O1194" s="93" t="s">
        <v>3429</v>
      </c>
      <c r="P1194" s="94" t="s">
        <v>57</v>
      </c>
      <c r="Q1194" s="112" t="s">
        <v>2211</v>
      </c>
      <c r="R1194" s="95"/>
      <c r="S1194" s="96">
        <v>46164</v>
      </c>
      <c r="T1194" s="96" t="s">
        <v>2212</v>
      </c>
      <c r="U1194" s="96" t="s">
        <v>79</v>
      </c>
      <c r="V1194" s="92">
        <v>46141</v>
      </c>
      <c r="W1194" s="92">
        <v>46154</v>
      </c>
      <c r="X1194" s="92">
        <v>46160</v>
      </c>
      <c r="Y1194" s="97"/>
      <c r="Z1194" s="89"/>
      <c r="AA1194" s="96"/>
      <c r="AB1194" s="89"/>
      <c r="AC1194" s="111"/>
      <c r="AD1194" s="89"/>
      <c r="AE1194" s="89"/>
      <c r="AF1194" s="98"/>
      <c r="AG1194" s="98"/>
      <c r="AH1194" s="98"/>
      <c r="AI1194" s="99"/>
      <c r="AJ1194" s="99"/>
      <c r="AK1194" s="99"/>
      <c r="AL1194" s="45" t="s">
        <v>68</v>
      </c>
      <c r="AM1194" s="162" t="str">
        <f t="shared" si="144"/>
        <v>3/2026</v>
      </c>
      <c r="AN1194" s="45">
        <f t="shared" si="145"/>
        <v>4</v>
      </c>
      <c r="AO1194" s="45" t="str">
        <f t="shared" si="146"/>
        <v>1/1900</v>
      </c>
      <c r="AP1194" s="45" t="e">
        <f t="shared" si="147"/>
        <v>#NUM!</v>
      </c>
      <c r="AQ1194" s="45">
        <f t="shared" si="148"/>
        <v>0</v>
      </c>
      <c r="AR1194" s="45">
        <f t="shared" si="149"/>
        <v>0</v>
      </c>
      <c r="AS1194" s="45">
        <f t="shared" si="150"/>
        <v>0</v>
      </c>
      <c r="AT1194" s="45">
        <f t="shared" si="151"/>
        <v>0</v>
      </c>
      <c r="AU1194" s="45" t="str">
        <f>_xlfn.XLOOKUP(U1194,'Lista Suspensa'!$AA$20:$AA$23,'Lista Suspensa'!$AB$20:$AB$23,"N/A")</f>
        <v>S</v>
      </c>
    </row>
    <row r="1195" spans="1:47" ht="12" hidden="1" customHeight="1" x14ac:dyDescent="0.3">
      <c r="A1195" s="87" t="s">
        <v>47</v>
      </c>
      <c r="B1195" s="88">
        <v>46104</v>
      </c>
      <c r="C1195" s="89" t="s">
        <v>48</v>
      </c>
      <c r="D1195" s="89" t="s">
        <v>49</v>
      </c>
      <c r="E1195" s="90">
        <v>94977076</v>
      </c>
      <c r="F1195" s="184" t="s">
        <v>3430</v>
      </c>
      <c r="G1195" s="91">
        <v>14751567829</v>
      </c>
      <c r="H1195" s="92">
        <v>24827</v>
      </c>
      <c r="I1195" s="89">
        <v>58</v>
      </c>
      <c r="J1195" s="89" t="s">
        <v>70</v>
      </c>
      <c r="K1195" s="89" t="s">
        <v>52</v>
      </c>
      <c r="L1195" s="89" t="s">
        <v>525</v>
      </c>
      <c r="M1195" s="89" t="s">
        <v>3428</v>
      </c>
      <c r="N1195" s="89" t="s">
        <v>148</v>
      </c>
      <c r="O1195" s="93" t="s">
        <v>3431</v>
      </c>
      <c r="P1195" s="94" t="s">
        <v>57</v>
      </c>
      <c r="Q1195" s="112" t="s">
        <v>2211</v>
      </c>
      <c r="R1195" s="95"/>
      <c r="S1195" s="96">
        <v>46164</v>
      </c>
      <c r="T1195" s="96" t="s">
        <v>2212</v>
      </c>
      <c r="U1195" s="96" t="s">
        <v>79</v>
      </c>
      <c r="V1195" s="92">
        <v>46141</v>
      </c>
      <c r="W1195" s="92">
        <v>46154</v>
      </c>
      <c r="X1195" s="92">
        <v>46160</v>
      </c>
      <c r="Y1195" s="97"/>
      <c r="Z1195" s="89"/>
      <c r="AA1195" s="96"/>
      <c r="AB1195" s="89"/>
      <c r="AC1195" s="111"/>
      <c r="AD1195" s="89"/>
      <c r="AE1195" s="89"/>
      <c r="AF1195" s="98"/>
      <c r="AG1195" s="98"/>
      <c r="AH1195" s="98"/>
      <c r="AI1195" s="99"/>
      <c r="AJ1195" s="99"/>
      <c r="AK1195" s="99"/>
      <c r="AL1195" s="45" t="s">
        <v>68</v>
      </c>
      <c r="AM1195" s="162" t="str">
        <f t="shared" si="144"/>
        <v>3/2026</v>
      </c>
      <c r="AN1195" s="45">
        <f t="shared" si="145"/>
        <v>4</v>
      </c>
      <c r="AO1195" s="45" t="str">
        <f t="shared" si="146"/>
        <v>1/1900</v>
      </c>
      <c r="AP1195" s="45" t="e">
        <f t="shared" si="147"/>
        <v>#NUM!</v>
      </c>
      <c r="AQ1195" s="45">
        <f t="shared" si="148"/>
        <v>0</v>
      </c>
      <c r="AR1195" s="45">
        <f t="shared" si="149"/>
        <v>0</v>
      </c>
      <c r="AS1195" s="45">
        <f t="shared" si="150"/>
        <v>0</v>
      </c>
      <c r="AT1195" s="45">
        <f t="shared" si="151"/>
        <v>0</v>
      </c>
      <c r="AU1195" s="45" t="str">
        <f>_xlfn.XLOOKUP(U1195,'Lista Suspensa'!$AA$20:$AA$23,'Lista Suspensa'!$AB$20:$AB$23,"N/A")</f>
        <v>S</v>
      </c>
    </row>
    <row r="1196" spans="1:47" ht="12" hidden="1" customHeight="1" x14ac:dyDescent="0.3">
      <c r="A1196" s="87" t="s">
        <v>47</v>
      </c>
      <c r="B1196" s="88">
        <v>46104</v>
      </c>
      <c r="C1196" s="89" t="s">
        <v>48</v>
      </c>
      <c r="D1196" s="89" t="s">
        <v>49</v>
      </c>
      <c r="E1196" s="90">
        <v>84595662</v>
      </c>
      <c r="F1196" s="184" t="s">
        <v>3432</v>
      </c>
      <c r="G1196" s="91">
        <v>8666494840</v>
      </c>
      <c r="H1196" s="92">
        <v>24932</v>
      </c>
      <c r="I1196" s="89">
        <v>57</v>
      </c>
      <c r="J1196" s="89" t="s">
        <v>51</v>
      </c>
      <c r="K1196" s="89" t="s">
        <v>52</v>
      </c>
      <c r="L1196" s="89" t="s">
        <v>53</v>
      </c>
      <c r="M1196" s="89" t="s">
        <v>3433</v>
      </c>
      <c r="N1196" s="89" t="s">
        <v>148</v>
      </c>
      <c r="O1196" s="93" t="s">
        <v>3434</v>
      </c>
      <c r="P1196" s="94" t="s">
        <v>57</v>
      </c>
      <c r="Q1196" s="112" t="s">
        <v>2211</v>
      </c>
      <c r="R1196" s="95"/>
      <c r="S1196" s="96">
        <v>46150</v>
      </c>
      <c r="T1196" s="96" t="s">
        <v>2212</v>
      </c>
      <c r="U1196" s="96" t="s">
        <v>79</v>
      </c>
      <c r="V1196" s="92">
        <v>46128</v>
      </c>
      <c r="W1196" s="92">
        <v>46141</v>
      </c>
      <c r="X1196" s="92">
        <v>46142</v>
      </c>
      <c r="Y1196" s="97"/>
      <c r="Z1196" s="89"/>
      <c r="AA1196" s="96"/>
      <c r="AB1196" s="89"/>
      <c r="AC1196" s="111"/>
      <c r="AD1196" s="89"/>
      <c r="AE1196" s="89"/>
      <c r="AF1196" s="98"/>
      <c r="AG1196" s="98"/>
      <c r="AH1196" s="98"/>
      <c r="AI1196" s="99"/>
      <c r="AJ1196" s="99"/>
      <c r="AK1196" s="99"/>
      <c r="AL1196" s="45" t="s">
        <v>68</v>
      </c>
      <c r="AM1196" s="162" t="str">
        <f t="shared" si="144"/>
        <v>3/2026</v>
      </c>
      <c r="AN1196" s="45">
        <f t="shared" si="145"/>
        <v>4</v>
      </c>
      <c r="AO1196" s="45" t="str">
        <f t="shared" si="146"/>
        <v>1/1900</v>
      </c>
      <c r="AP1196" s="45" t="e">
        <f t="shared" si="147"/>
        <v>#NUM!</v>
      </c>
      <c r="AQ1196" s="45">
        <f t="shared" si="148"/>
        <v>0</v>
      </c>
      <c r="AR1196" s="45">
        <f t="shared" si="149"/>
        <v>0</v>
      </c>
      <c r="AS1196" s="45">
        <f t="shared" si="150"/>
        <v>0</v>
      </c>
      <c r="AT1196" s="45">
        <f t="shared" si="151"/>
        <v>0</v>
      </c>
      <c r="AU1196" s="45" t="str">
        <f>_xlfn.XLOOKUP(U1196,'Lista Suspensa'!$AA$20:$AA$23,'Lista Suspensa'!$AB$20:$AB$23,"N/A")</f>
        <v>S</v>
      </c>
    </row>
    <row r="1197" spans="1:47" ht="12" hidden="1" customHeight="1" x14ac:dyDescent="0.3">
      <c r="A1197" s="87" t="s">
        <v>47</v>
      </c>
      <c r="B1197" s="88">
        <v>46104</v>
      </c>
      <c r="C1197" s="89" t="s">
        <v>48</v>
      </c>
      <c r="D1197" s="89" t="s">
        <v>49</v>
      </c>
      <c r="E1197" s="90">
        <v>81800184</v>
      </c>
      <c r="F1197" s="184" t="s">
        <v>3435</v>
      </c>
      <c r="G1197" s="91">
        <v>14369562856</v>
      </c>
      <c r="H1197" s="92">
        <v>24309</v>
      </c>
      <c r="I1197" s="89">
        <v>59</v>
      </c>
      <c r="J1197" s="89" t="s">
        <v>51</v>
      </c>
      <c r="K1197" s="89" t="s">
        <v>52</v>
      </c>
      <c r="L1197" s="89" t="s">
        <v>53</v>
      </c>
      <c r="M1197" s="89" t="s">
        <v>1052</v>
      </c>
      <c r="N1197" s="89" t="s">
        <v>148</v>
      </c>
      <c r="O1197" s="93" t="s">
        <v>3436</v>
      </c>
      <c r="P1197" s="94" t="s">
        <v>57</v>
      </c>
      <c r="Q1197" s="112" t="s">
        <v>2211</v>
      </c>
      <c r="R1197" s="95"/>
      <c r="S1197" s="96">
        <v>46150</v>
      </c>
      <c r="T1197" s="96" t="s">
        <v>2212</v>
      </c>
      <c r="U1197" s="96" t="s">
        <v>79</v>
      </c>
      <c r="V1197" s="92">
        <v>46128</v>
      </c>
      <c r="W1197" s="92">
        <v>46141</v>
      </c>
      <c r="X1197" s="92">
        <v>46142</v>
      </c>
      <c r="Y1197" s="97"/>
      <c r="Z1197" s="89"/>
      <c r="AA1197" s="96"/>
      <c r="AB1197" s="89"/>
      <c r="AC1197" s="111"/>
      <c r="AD1197" s="89"/>
      <c r="AE1197" s="89"/>
      <c r="AF1197" s="98"/>
      <c r="AG1197" s="98"/>
      <c r="AH1197" s="98"/>
      <c r="AI1197" s="99"/>
      <c r="AJ1197" s="99"/>
      <c r="AK1197" s="99"/>
      <c r="AL1197" s="45" t="s">
        <v>68</v>
      </c>
      <c r="AM1197" s="162" t="str">
        <f t="shared" si="144"/>
        <v>3/2026</v>
      </c>
      <c r="AN1197" s="45">
        <f t="shared" si="145"/>
        <v>4</v>
      </c>
      <c r="AO1197" s="45" t="str">
        <f t="shared" si="146"/>
        <v>1/1900</v>
      </c>
      <c r="AP1197" s="45" t="e">
        <f t="shared" si="147"/>
        <v>#NUM!</v>
      </c>
      <c r="AQ1197" s="45">
        <f t="shared" si="148"/>
        <v>0</v>
      </c>
      <c r="AR1197" s="45">
        <f t="shared" si="149"/>
        <v>0</v>
      </c>
      <c r="AS1197" s="45">
        <f t="shared" si="150"/>
        <v>0</v>
      </c>
      <c r="AT1197" s="45">
        <f t="shared" si="151"/>
        <v>0</v>
      </c>
      <c r="AU1197" s="45" t="str">
        <f>_xlfn.XLOOKUP(U1197,'Lista Suspensa'!$AA$20:$AA$23,'Lista Suspensa'!$AB$20:$AB$23,"N/A")</f>
        <v>S</v>
      </c>
    </row>
    <row r="1198" spans="1:47" ht="12" hidden="1" customHeight="1" x14ac:dyDescent="0.3">
      <c r="A1198" s="87" t="s">
        <v>47</v>
      </c>
      <c r="B1198" s="88">
        <v>46104</v>
      </c>
      <c r="C1198" s="89" t="s">
        <v>48</v>
      </c>
      <c r="D1198" s="89" t="s">
        <v>49</v>
      </c>
      <c r="E1198" s="90">
        <v>84266234</v>
      </c>
      <c r="F1198" s="184" t="s">
        <v>3437</v>
      </c>
      <c r="G1198" s="91">
        <v>27981153883</v>
      </c>
      <c r="H1198" s="92">
        <v>28642</v>
      </c>
      <c r="I1198" s="89">
        <v>47</v>
      </c>
      <c r="J1198" s="89" t="s">
        <v>70</v>
      </c>
      <c r="K1198" s="89" t="s">
        <v>52</v>
      </c>
      <c r="L1198" s="89" t="s">
        <v>331</v>
      </c>
      <c r="M1198" s="89" t="s">
        <v>1154</v>
      </c>
      <c r="N1198" s="89" t="s">
        <v>148</v>
      </c>
      <c r="O1198" s="93" t="s">
        <v>3438</v>
      </c>
      <c r="P1198" s="94" t="s">
        <v>57</v>
      </c>
      <c r="Q1198" s="112" t="s">
        <v>2211</v>
      </c>
      <c r="R1198" s="95"/>
      <c r="S1198" s="96">
        <v>46150</v>
      </c>
      <c r="T1198" s="96" t="s">
        <v>2212</v>
      </c>
      <c r="U1198" s="96" t="s">
        <v>79</v>
      </c>
      <c r="V1198" s="92">
        <v>46112</v>
      </c>
      <c r="W1198" s="92">
        <v>46141</v>
      </c>
      <c r="X1198" s="92">
        <v>46142</v>
      </c>
      <c r="Y1198" s="97"/>
      <c r="Z1198" s="89"/>
      <c r="AA1198" s="96"/>
      <c r="AB1198" s="89"/>
      <c r="AC1198" s="111"/>
      <c r="AD1198" s="89"/>
      <c r="AE1198" s="89"/>
      <c r="AF1198" s="98"/>
      <c r="AG1198" s="98"/>
      <c r="AH1198" s="98"/>
      <c r="AI1198" s="99"/>
      <c r="AJ1198" s="99"/>
      <c r="AK1198" s="99"/>
      <c r="AL1198" s="45" t="s">
        <v>68</v>
      </c>
      <c r="AM1198" s="162" t="str">
        <f t="shared" si="144"/>
        <v>3/2026</v>
      </c>
      <c r="AN1198" s="45">
        <f t="shared" si="145"/>
        <v>4</v>
      </c>
      <c r="AO1198" s="45" t="str">
        <f t="shared" si="146"/>
        <v>1/1900</v>
      </c>
      <c r="AP1198" s="45" t="e">
        <f t="shared" si="147"/>
        <v>#NUM!</v>
      </c>
      <c r="AQ1198" s="45">
        <f t="shared" si="148"/>
        <v>0</v>
      </c>
      <c r="AR1198" s="45">
        <f t="shared" si="149"/>
        <v>0</v>
      </c>
      <c r="AS1198" s="45">
        <f t="shared" si="150"/>
        <v>0</v>
      </c>
      <c r="AT1198" s="45">
        <f t="shared" si="151"/>
        <v>0</v>
      </c>
      <c r="AU1198" s="45" t="str">
        <f>_xlfn.XLOOKUP(U1198,'Lista Suspensa'!$AA$20:$AA$23,'Lista Suspensa'!$AB$20:$AB$23,"N/A")</f>
        <v>S</v>
      </c>
    </row>
    <row r="1199" spans="1:47" ht="12" hidden="1" customHeight="1" x14ac:dyDescent="0.3">
      <c r="A1199" s="87" t="s">
        <v>47</v>
      </c>
      <c r="B1199" s="88">
        <v>46104</v>
      </c>
      <c r="C1199" s="89" t="s">
        <v>48</v>
      </c>
      <c r="D1199" s="89" t="s">
        <v>49</v>
      </c>
      <c r="E1199" s="90">
        <v>92980936</v>
      </c>
      <c r="F1199" s="184" t="s">
        <v>3439</v>
      </c>
      <c r="G1199" s="91">
        <v>11788642864</v>
      </c>
      <c r="H1199" s="92">
        <v>25385</v>
      </c>
      <c r="I1199" s="89">
        <v>56</v>
      </c>
      <c r="J1199" s="89" t="s">
        <v>51</v>
      </c>
      <c r="K1199" s="89" t="s">
        <v>52</v>
      </c>
      <c r="L1199" s="89" t="s">
        <v>53</v>
      </c>
      <c r="M1199" s="89" t="s">
        <v>3440</v>
      </c>
      <c r="N1199" s="89" t="s">
        <v>148</v>
      </c>
      <c r="O1199" s="93" t="s">
        <v>3441</v>
      </c>
      <c r="P1199" s="94" t="s">
        <v>57</v>
      </c>
      <c r="Q1199" s="112" t="s">
        <v>2211</v>
      </c>
      <c r="R1199" s="95"/>
      <c r="S1199" s="96">
        <v>46150</v>
      </c>
      <c r="T1199" s="96" t="s">
        <v>2212</v>
      </c>
      <c r="U1199" s="96" t="s">
        <v>79</v>
      </c>
      <c r="V1199" s="92">
        <v>46112</v>
      </c>
      <c r="W1199" s="92">
        <v>46141</v>
      </c>
      <c r="X1199" s="92">
        <v>46142</v>
      </c>
      <c r="Y1199" s="97"/>
      <c r="Z1199" s="89"/>
      <c r="AA1199" s="96"/>
      <c r="AB1199" s="89"/>
      <c r="AC1199" s="111"/>
      <c r="AD1199" s="89"/>
      <c r="AE1199" s="89"/>
      <c r="AF1199" s="98"/>
      <c r="AG1199" s="98"/>
      <c r="AH1199" s="98"/>
      <c r="AI1199" s="99"/>
      <c r="AJ1199" s="99"/>
      <c r="AK1199" s="99"/>
      <c r="AL1199" s="45" t="s">
        <v>68</v>
      </c>
      <c r="AM1199" s="162" t="str">
        <f t="shared" si="144"/>
        <v>3/2026</v>
      </c>
      <c r="AN1199" s="45">
        <f t="shared" si="145"/>
        <v>4</v>
      </c>
      <c r="AO1199" s="45" t="str">
        <f t="shared" si="146"/>
        <v>1/1900</v>
      </c>
      <c r="AP1199" s="45" t="e">
        <f t="shared" si="147"/>
        <v>#NUM!</v>
      </c>
      <c r="AQ1199" s="45">
        <f t="shared" si="148"/>
        <v>0</v>
      </c>
      <c r="AR1199" s="45">
        <f t="shared" si="149"/>
        <v>0</v>
      </c>
      <c r="AS1199" s="45">
        <f t="shared" si="150"/>
        <v>0</v>
      </c>
      <c r="AT1199" s="45">
        <f t="shared" si="151"/>
        <v>0</v>
      </c>
      <c r="AU1199" s="45" t="str">
        <f>_xlfn.XLOOKUP(U1199,'Lista Suspensa'!$AA$20:$AA$23,'Lista Suspensa'!$AB$20:$AB$23,"N/A")</f>
        <v>S</v>
      </c>
    </row>
    <row r="1200" spans="1:47" ht="12" hidden="1" customHeight="1" x14ac:dyDescent="0.3">
      <c r="A1200" s="87" t="s">
        <v>47</v>
      </c>
      <c r="B1200" s="88">
        <v>46104</v>
      </c>
      <c r="C1200" s="89" t="s">
        <v>48</v>
      </c>
      <c r="D1200" s="89" t="s">
        <v>49</v>
      </c>
      <c r="E1200" s="90">
        <v>85592524</v>
      </c>
      <c r="F1200" s="184" t="s">
        <v>3442</v>
      </c>
      <c r="G1200" s="91">
        <v>7382828808</v>
      </c>
      <c r="H1200" s="92">
        <v>24018</v>
      </c>
      <c r="I1200" s="89">
        <v>60</v>
      </c>
      <c r="J1200" s="89" t="s">
        <v>51</v>
      </c>
      <c r="K1200" s="89" t="s">
        <v>52</v>
      </c>
      <c r="L1200" s="89" t="s">
        <v>53</v>
      </c>
      <c r="M1200" s="89" t="s">
        <v>3443</v>
      </c>
      <c r="N1200" s="89" t="s">
        <v>148</v>
      </c>
      <c r="O1200" s="93" t="s">
        <v>3444</v>
      </c>
      <c r="P1200" s="94" t="s">
        <v>57</v>
      </c>
      <c r="Q1200" s="112" t="s">
        <v>2211</v>
      </c>
      <c r="R1200" s="95"/>
      <c r="S1200" s="96">
        <v>46164</v>
      </c>
      <c r="T1200" s="96" t="s">
        <v>2212</v>
      </c>
      <c r="U1200" s="96" t="s">
        <v>79</v>
      </c>
      <c r="V1200" s="92">
        <v>46141</v>
      </c>
      <c r="W1200" s="92">
        <v>46154</v>
      </c>
      <c r="X1200" s="92">
        <v>46160</v>
      </c>
      <c r="Y1200" s="97"/>
      <c r="Z1200" s="89"/>
      <c r="AA1200" s="96"/>
      <c r="AB1200" s="89"/>
      <c r="AC1200" s="111"/>
      <c r="AD1200" s="89"/>
      <c r="AE1200" s="89"/>
      <c r="AF1200" s="98"/>
      <c r="AG1200" s="98"/>
      <c r="AH1200" s="98"/>
      <c r="AI1200" s="99"/>
      <c r="AJ1200" s="99"/>
      <c r="AK1200" s="99"/>
      <c r="AL1200" s="45" t="s">
        <v>68</v>
      </c>
      <c r="AM1200" s="162" t="str">
        <f t="shared" si="144"/>
        <v>3/2026</v>
      </c>
      <c r="AN1200" s="45">
        <f t="shared" si="145"/>
        <v>4</v>
      </c>
      <c r="AO1200" s="45" t="str">
        <f t="shared" si="146"/>
        <v>1/1900</v>
      </c>
      <c r="AP1200" s="45" t="e">
        <f t="shared" si="147"/>
        <v>#NUM!</v>
      </c>
      <c r="AQ1200" s="45">
        <f t="shared" si="148"/>
        <v>0</v>
      </c>
      <c r="AR1200" s="45">
        <f t="shared" si="149"/>
        <v>0</v>
      </c>
      <c r="AS1200" s="45">
        <f t="shared" si="150"/>
        <v>0</v>
      </c>
      <c r="AT1200" s="45">
        <f t="shared" si="151"/>
        <v>0</v>
      </c>
      <c r="AU1200" s="45" t="str">
        <f>_xlfn.XLOOKUP(U1200,'Lista Suspensa'!$AA$20:$AA$23,'Lista Suspensa'!$AB$20:$AB$23,"N/A")</f>
        <v>S</v>
      </c>
    </row>
    <row r="1201" spans="1:47" ht="12" hidden="1" customHeight="1" x14ac:dyDescent="0.3">
      <c r="A1201" s="87" t="s">
        <v>47</v>
      </c>
      <c r="B1201" s="88">
        <v>46104</v>
      </c>
      <c r="C1201" s="89" t="s">
        <v>48</v>
      </c>
      <c r="D1201" s="89" t="s">
        <v>49</v>
      </c>
      <c r="E1201" s="90">
        <v>81179705</v>
      </c>
      <c r="F1201" s="184" t="s">
        <v>3445</v>
      </c>
      <c r="G1201" s="91">
        <v>4634759845</v>
      </c>
      <c r="H1201" s="92">
        <v>22994</v>
      </c>
      <c r="I1201" s="89">
        <v>63</v>
      </c>
      <c r="J1201" s="89" t="s">
        <v>70</v>
      </c>
      <c r="K1201" s="89" t="s">
        <v>52</v>
      </c>
      <c r="L1201" s="89" t="s">
        <v>53</v>
      </c>
      <c r="M1201" s="89" t="s">
        <v>257</v>
      </c>
      <c r="N1201" s="89" t="s">
        <v>148</v>
      </c>
      <c r="O1201" s="93" t="s">
        <v>3446</v>
      </c>
      <c r="P1201" s="94" t="s">
        <v>57</v>
      </c>
      <c r="Q1201" s="112" t="s">
        <v>2211</v>
      </c>
      <c r="R1201" s="95"/>
      <c r="S1201" s="96">
        <v>46150</v>
      </c>
      <c r="T1201" s="96" t="s">
        <v>2212</v>
      </c>
      <c r="U1201" s="96" t="s">
        <v>79</v>
      </c>
      <c r="V1201" s="92">
        <v>46122</v>
      </c>
      <c r="W1201" s="92">
        <v>46141</v>
      </c>
      <c r="X1201" s="92">
        <v>46142</v>
      </c>
      <c r="Y1201" s="97"/>
      <c r="Z1201" s="89"/>
      <c r="AA1201" s="96"/>
      <c r="AB1201" s="89"/>
      <c r="AC1201" s="111"/>
      <c r="AD1201" s="89"/>
      <c r="AE1201" s="89"/>
      <c r="AF1201" s="98"/>
      <c r="AG1201" s="98"/>
      <c r="AH1201" s="98"/>
      <c r="AI1201" s="99"/>
      <c r="AJ1201" s="99"/>
      <c r="AK1201" s="99"/>
      <c r="AL1201" s="45" t="s">
        <v>68</v>
      </c>
      <c r="AM1201" s="162" t="str">
        <f t="shared" si="144"/>
        <v>3/2026</v>
      </c>
      <c r="AN1201" s="45">
        <f t="shared" si="145"/>
        <v>4</v>
      </c>
      <c r="AO1201" s="45" t="str">
        <f t="shared" si="146"/>
        <v>1/1900</v>
      </c>
      <c r="AP1201" s="45" t="e">
        <f t="shared" si="147"/>
        <v>#NUM!</v>
      </c>
      <c r="AQ1201" s="45">
        <f t="shared" si="148"/>
        <v>0</v>
      </c>
      <c r="AR1201" s="45">
        <f t="shared" si="149"/>
        <v>0</v>
      </c>
      <c r="AS1201" s="45">
        <f t="shared" si="150"/>
        <v>0</v>
      </c>
      <c r="AT1201" s="45">
        <f t="shared" si="151"/>
        <v>0</v>
      </c>
      <c r="AU1201" s="45" t="str">
        <f>_xlfn.XLOOKUP(U1201,'Lista Suspensa'!$AA$20:$AA$23,'Lista Suspensa'!$AB$20:$AB$23,"N/A")</f>
        <v>S</v>
      </c>
    </row>
    <row r="1202" spans="1:47" ht="12" hidden="1" customHeight="1" x14ac:dyDescent="0.3">
      <c r="A1202" s="87" t="s">
        <v>47</v>
      </c>
      <c r="B1202" s="88">
        <v>46104</v>
      </c>
      <c r="C1202" s="89" t="s">
        <v>48</v>
      </c>
      <c r="D1202" s="89" t="s">
        <v>49</v>
      </c>
      <c r="E1202" s="90">
        <v>85494063</v>
      </c>
      <c r="F1202" s="184" t="s">
        <v>3447</v>
      </c>
      <c r="G1202" s="91">
        <v>71717862772</v>
      </c>
      <c r="H1202" s="92">
        <v>22333</v>
      </c>
      <c r="I1202" s="89">
        <v>65</v>
      </c>
      <c r="J1202" s="89" t="s">
        <v>51</v>
      </c>
      <c r="K1202" s="89" t="s">
        <v>88</v>
      </c>
      <c r="L1202" s="89" t="s">
        <v>89</v>
      </c>
      <c r="M1202" s="89" t="s">
        <v>3448</v>
      </c>
      <c r="N1202" s="89" t="s">
        <v>148</v>
      </c>
      <c r="O1202" s="93" t="s">
        <v>3449</v>
      </c>
      <c r="P1202" s="94" t="s">
        <v>57</v>
      </c>
      <c r="Q1202" s="112" t="s">
        <v>2211</v>
      </c>
      <c r="R1202" s="95"/>
      <c r="S1202" s="96">
        <v>46150</v>
      </c>
      <c r="T1202" s="96" t="s">
        <v>2212</v>
      </c>
      <c r="U1202" s="96" t="s">
        <v>79</v>
      </c>
      <c r="V1202" s="92">
        <v>46122</v>
      </c>
      <c r="W1202" s="92">
        <v>46141</v>
      </c>
      <c r="X1202" s="92">
        <v>46142</v>
      </c>
      <c r="Y1202" s="97"/>
      <c r="Z1202" s="89"/>
      <c r="AA1202" s="96"/>
      <c r="AB1202" s="89"/>
      <c r="AC1202" s="111"/>
      <c r="AD1202" s="89"/>
      <c r="AE1202" s="89"/>
      <c r="AF1202" s="98"/>
      <c r="AG1202" s="98"/>
      <c r="AH1202" s="98"/>
      <c r="AI1202" s="99"/>
      <c r="AJ1202" s="99"/>
      <c r="AK1202" s="99"/>
      <c r="AL1202" s="45" t="s">
        <v>68</v>
      </c>
      <c r="AM1202" s="162" t="str">
        <f t="shared" si="144"/>
        <v>3/2026</v>
      </c>
      <c r="AN1202" s="45">
        <f t="shared" si="145"/>
        <v>4</v>
      </c>
      <c r="AO1202" s="45" t="str">
        <f t="shared" si="146"/>
        <v>1/1900</v>
      </c>
      <c r="AP1202" s="45" t="e">
        <f t="shared" si="147"/>
        <v>#NUM!</v>
      </c>
      <c r="AQ1202" s="45">
        <f t="shared" si="148"/>
        <v>0</v>
      </c>
      <c r="AR1202" s="45">
        <f t="shared" si="149"/>
        <v>0</v>
      </c>
      <c r="AS1202" s="45">
        <f t="shared" si="150"/>
        <v>0</v>
      </c>
      <c r="AT1202" s="45">
        <f t="shared" si="151"/>
        <v>0</v>
      </c>
      <c r="AU1202" s="45" t="str">
        <f>_xlfn.XLOOKUP(U1202,'Lista Suspensa'!$AA$20:$AA$23,'Lista Suspensa'!$AB$20:$AB$23,"N/A")</f>
        <v>S</v>
      </c>
    </row>
    <row r="1203" spans="1:47" ht="12" hidden="1" customHeight="1" x14ac:dyDescent="0.3">
      <c r="A1203" s="87" t="s">
        <v>47</v>
      </c>
      <c r="B1203" s="88">
        <v>46104</v>
      </c>
      <c r="C1203" s="89" t="s">
        <v>48</v>
      </c>
      <c r="D1203" s="89" t="s">
        <v>49</v>
      </c>
      <c r="E1203" s="90">
        <v>81776373</v>
      </c>
      <c r="F1203" s="184" t="s">
        <v>3450</v>
      </c>
      <c r="G1203" s="91">
        <v>37749366415</v>
      </c>
      <c r="H1203" s="92">
        <v>23444</v>
      </c>
      <c r="I1203" s="89">
        <v>62</v>
      </c>
      <c r="J1203" s="89" t="s">
        <v>51</v>
      </c>
      <c r="K1203" s="89" t="s">
        <v>52</v>
      </c>
      <c r="L1203" s="89" t="s">
        <v>447</v>
      </c>
      <c r="M1203" s="89" t="s">
        <v>76</v>
      </c>
      <c r="N1203" s="89" t="s">
        <v>148</v>
      </c>
      <c r="O1203" s="93" t="s">
        <v>3451</v>
      </c>
      <c r="P1203" s="94" t="s">
        <v>57</v>
      </c>
      <c r="Q1203" s="112" t="s">
        <v>2211</v>
      </c>
      <c r="R1203" s="95"/>
      <c r="S1203" s="96">
        <v>46164</v>
      </c>
      <c r="T1203" s="96" t="s">
        <v>2212</v>
      </c>
      <c r="U1203" s="96" t="s">
        <v>79</v>
      </c>
      <c r="V1203" s="92">
        <v>46141</v>
      </c>
      <c r="W1203" s="92">
        <v>46154</v>
      </c>
      <c r="X1203" s="92">
        <v>46160</v>
      </c>
      <c r="Y1203" s="97"/>
      <c r="Z1203" s="89"/>
      <c r="AA1203" s="96"/>
      <c r="AB1203" s="89"/>
      <c r="AC1203" s="111"/>
      <c r="AD1203" s="89"/>
      <c r="AE1203" s="89"/>
      <c r="AF1203" s="98"/>
      <c r="AG1203" s="98"/>
      <c r="AH1203" s="98"/>
      <c r="AI1203" s="99"/>
      <c r="AJ1203" s="99"/>
      <c r="AK1203" s="99"/>
      <c r="AL1203" s="45" t="s">
        <v>68</v>
      </c>
      <c r="AM1203" s="162" t="str">
        <f t="shared" si="144"/>
        <v>3/2026</v>
      </c>
      <c r="AN1203" s="45">
        <f t="shared" si="145"/>
        <v>4</v>
      </c>
      <c r="AO1203" s="45" t="str">
        <f t="shared" si="146"/>
        <v>1/1900</v>
      </c>
      <c r="AP1203" s="45" t="e">
        <f t="shared" si="147"/>
        <v>#NUM!</v>
      </c>
      <c r="AQ1203" s="45">
        <f t="shared" si="148"/>
        <v>0</v>
      </c>
      <c r="AR1203" s="45">
        <f t="shared" si="149"/>
        <v>0</v>
      </c>
      <c r="AS1203" s="45">
        <f t="shared" si="150"/>
        <v>0</v>
      </c>
      <c r="AT1203" s="45">
        <f t="shared" si="151"/>
        <v>0</v>
      </c>
      <c r="AU1203" s="45" t="str">
        <f>_xlfn.XLOOKUP(U1203,'Lista Suspensa'!$AA$20:$AA$23,'Lista Suspensa'!$AB$20:$AB$23,"N/A")</f>
        <v>S</v>
      </c>
    </row>
    <row r="1204" spans="1:47" ht="12" hidden="1" customHeight="1" x14ac:dyDescent="0.3">
      <c r="A1204" s="87" t="s">
        <v>47</v>
      </c>
      <c r="B1204" s="88">
        <v>46104</v>
      </c>
      <c r="C1204" s="89" t="s">
        <v>48</v>
      </c>
      <c r="D1204" s="89" t="s">
        <v>49</v>
      </c>
      <c r="E1204" s="90">
        <v>95885033</v>
      </c>
      <c r="F1204" s="184" t="s">
        <v>3452</v>
      </c>
      <c r="G1204" s="91">
        <v>47706040500</v>
      </c>
      <c r="H1204" s="92">
        <v>24045</v>
      </c>
      <c r="I1204" s="89">
        <v>60</v>
      </c>
      <c r="J1204" s="89" t="s">
        <v>70</v>
      </c>
      <c r="K1204" s="89" t="s">
        <v>52</v>
      </c>
      <c r="L1204" s="89" t="s">
        <v>331</v>
      </c>
      <c r="M1204" s="89" t="s">
        <v>76</v>
      </c>
      <c r="N1204" s="89" t="s">
        <v>148</v>
      </c>
      <c r="O1204" s="93" t="s">
        <v>3453</v>
      </c>
      <c r="P1204" s="94" t="s">
        <v>57</v>
      </c>
      <c r="Q1204" s="112" t="s">
        <v>2211</v>
      </c>
      <c r="R1204" s="95"/>
      <c r="S1204" s="96">
        <v>46164</v>
      </c>
      <c r="T1204" s="96" t="s">
        <v>2212</v>
      </c>
      <c r="U1204" s="96" t="s">
        <v>79</v>
      </c>
      <c r="V1204" s="92">
        <v>46141</v>
      </c>
      <c r="W1204" s="92">
        <v>46154</v>
      </c>
      <c r="X1204" s="92">
        <v>46160</v>
      </c>
      <c r="Y1204" s="97"/>
      <c r="Z1204" s="89"/>
      <c r="AA1204" s="96"/>
      <c r="AB1204" s="89"/>
      <c r="AC1204" s="111"/>
      <c r="AD1204" s="89"/>
      <c r="AE1204" s="89"/>
      <c r="AF1204" s="98"/>
      <c r="AG1204" s="98"/>
      <c r="AH1204" s="98"/>
      <c r="AI1204" s="99"/>
      <c r="AJ1204" s="99"/>
      <c r="AK1204" s="99"/>
      <c r="AL1204" s="45" t="s">
        <v>68</v>
      </c>
      <c r="AM1204" s="162" t="str">
        <f t="shared" si="144"/>
        <v>3/2026</v>
      </c>
      <c r="AN1204" s="45">
        <f t="shared" si="145"/>
        <v>4</v>
      </c>
      <c r="AO1204" s="45" t="str">
        <f t="shared" si="146"/>
        <v>1/1900</v>
      </c>
      <c r="AP1204" s="45" t="e">
        <f t="shared" si="147"/>
        <v>#NUM!</v>
      </c>
      <c r="AQ1204" s="45">
        <f t="shared" si="148"/>
        <v>0</v>
      </c>
      <c r="AR1204" s="45">
        <f t="shared" si="149"/>
        <v>0</v>
      </c>
      <c r="AS1204" s="45">
        <f t="shared" si="150"/>
        <v>0</v>
      </c>
      <c r="AT1204" s="45">
        <f t="shared" si="151"/>
        <v>0</v>
      </c>
      <c r="AU1204" s="45" t="str">
        <f>_xlfn.XLOOKUP(U1204,'Lista Suspensa'!$AA$20:$AA$23,'Lista Suspensa'!$AB$20:$AB$23,"N/A")</f>
        <v>S</v>
      </c>
    </row>
    <row r="1205" spans="1:47" ht="12" hidden="1" customHeight="1" x14ac:dyDescent="0.3">
      <c r="A1205" s="87" t="s">
        <v>47</v>
      </c>
      <c r="B1205" s="88">
        <v>46104</v>
      </c>
      <c r="C1205" s="89" t="s">
        <v>48</v>
      </c>
      <c r="D1205" s="89" t="s">
        <v>49</v>
      </c>
      <c r="E1205" s="90">
        <v>81914615</v>
      </c>
      <c r="F1205" s="184" t="s">
        <v>3454</v>
      </c>
      <c r="G1205" s="91">
        <v>27096437827</v>
      </c>
      <c r="H1205" s="92">
        <v>25569</v>
      </c>
      <c r="I1205" s="89">
        <v>56</v>
      </c>
      <c r="J1205" s="89" t="s">
        <v>70</v>
      </c>
      <c r="K1205" s="89" t="s">
        <v>52</v>
      </c>
      <c r="L1205" s="89" t="s">
        <v>53</v>
      </c>
      <c r="M1205" s="89" t="s">
        <v>76</v>
      </c>
      <c r="N1205" s="89" t="s">
        <v>148</v>
      </c>
      <c r="O1205" s="93" t="s">
        <v>3455</v>
      </c>
      <c r="P1205" s="94" t="s">
        <v>57</v>
      </c>
      <c r="Q1205" s="112" t="s">
        <v>2211</v>
      </c>
      <c r="R1205" s="95"/>
      <c r="S1205" s="96">
        <v>46164</v>
      </c>
      <c r="T1205" s="96" t="s">
        <v>2212</v>
      </c>
      <c r="U1205" s="96" t="s">
        <v>79</v>
      </c>
      <c r="V1205" s="92">
        <v>46141</v>
      </c>
      <c r="W1205" s="92">
        <v>46154</v>
      </c>
      <c r="X1205" s="92">
        <v>46160</v>
      </c>
      <c r="Y1205" s="97"/>
      <c r="Z1205" s="89"/>
      <c r="AA1205" s="96"/>
      <c r="AB1205" s="89"/>
      <c r="AC1205" s="111"/>
      <c r="AD1205" s="89"/>
      <c r="AE1205" s="89"/>
      <c r="AF1205" s="98"/>
      <c r="AG1205" s="98"/>
      <c r="AH1205" s="98"/>
      <c r="AI1205" s="99"/>
      <c r="AJ1205" s="99"/>
      <c r="AK1205" s="99"/>
      <c r="AL1205" s="45" t="s">
        <v>68</v>
      </c>
      <c r="AM1205" s="162" t="str">
        <f t="shared" si="144"/>
        <v>3/2026</v>
      </c>
      <c r="AN1205" s="45">
        <f t="shared" si="145"/>
        <v>4</v>
      </c>
      <c r="AO1205" s="45" t="str">
        <f t="shared" si="146"/>
        <v>1/1900</v>
      </c>
      <c r="AP1205" s="45" t="e">
        <f t="shared" si="147"/>
        <v>#NUM!</v>
      </c>
      <c r="AQ1205" s="45">
        <f t="shared" si="148"/>
        <v>0</v>
      </c>
      <c r="AR1205" s="45">
        <f t="shared" si="149"/>
        <v>0</v>
      </c>
      <c r="AS1205" s="45">
        <f t="shared" si="150"/>
        <v>0</v>
      </c>
      <c r="AT1205" s="45">
        <f t="shared" si="151"/>
        <v>0</v>
      </c>
      <c r="AU1205" s="45" t="str">
        <f>_xlfn.XLOOKUP(U1205,'Lista Suspensa'!$AA$20:$AA$23,'Lista Suspensa'!$AB$20:$AB$23,"N/A")</f>
        <v>S</v>
      </c>
    </row>
    <row r="1206" spans="1:47" ht="12" hidden="1" customHeight="1" x14ac:dyDescent="0.3">
      <c r="A1206" s="87" t="s">
        <v>47</v>
      </c>
      <c r="B1206" s="88">
        <v>46104</v>
      </c>
      <c r="C1206" s="89" t="s">
        <v>48</v>
      </c>
      <c r="D1206" s="89" t="s">
        <v>49</v>
      </c>
      <c r="E1206" s="90">
        <v>81188757</v>
      </c>
      <c r="F1206" s="184" t="s">
        <v>3456</v>
      </c>
      <c r="G1206" s="91">
        <v>27964936875</v>
      </c>
      <c r="H1206" s="92">
        <v>28131</v>
      </c>
      <c r="I1206" s="89">
        <v>49</v>
      </c>
      <c r="J1206" s="89" t="s">
        <v>70</v>
      </c>
      <c r="K1206" s="89" t="s">
        <v>52</v>
      </c>
      <c r="L1206" s="89" t="s">
        <v>53</v>
      </c>
      <c r="M1206" s="89" t="s">
        <v>76</v>
      </c>
      <c r="N1206" s="89" t="s">
        <v>148</v>
      </c>
      <c r="O1206" s="93" t="s">
        <v>3457</v>
      </c>
      <c r="P1206" s="94" t="s">
        <v>57</v>
      </c>
      <c r="Q1206" s="112" t="s">
        <v>2211</v>
      </c>
      <c r="R1206" s="95"/>
      <c r="S1206" s="96">
        <v>46164</v>
      </c>
      <c r="T1206" s="96" t="s">
        <v>2212</v>
      </c>
      <c r="U1206" s="96" t="s">
        <v>79</v>
      </c>
      <c r="V1206" s="92">
        <v>46141</v>
      </c>
      <c r="W1206" s="92">
        <v>46154</v>
      </c>
      <c r="X1206" s="92">
        <v>46160</v>
      </c>
      <c r="Y1206" s="97"/>
      <c r="Z1206" s="89"/>
      <c r="AA1206" s="96"/>
      <c r="AB1206" s="89"/>
      <c r="AC1206" s="111"/>
      <c r="AD1206" s="89"/>
      <c r="AE1206" s="89"/>
      <c r="AF1206" s="98"/>
      <c r="AG1206" s="98"/>
      <c r="AH1206" s="98"/>
      <c r="AI1206" s="99"/>
      <c r="AJ1206" s="99"/>
      <c r="AK1206" s="99"/>
      <c r="AL1206" s="45" t="s">
        <v>68</v>
      </c>
      <c r="AM1206" s="162" t="str">
        <f t="shared" si="144"/>
        <v>3/2026</v>
      </c>
      <c r="AN1206" s="45">
        <f t="shared" si="145"/>
        <v>4</v>
      </c>
      <c r="AO1206" s="45" t="str">
        <f t="shared" si="146"/>
        <v>1/1900</v>
      </c>
      <c r="AP1206" s="45" t="e">
        <f t="shared" si="147"/>
        <v>#NUM!</v>
      </c>
      <c r="AQ1206" s="45">
        <f t="shared" si="148"/>
        <v>0</v>
      </c>
      <c r="AR1206" s="45">
        <f t="shared" si="149"/>
        <v>0</v>
      </c>
      <c r="AS1206" s="45">
        <f t="shared" si="150"/>
        <v>0</v>
      </c>
      <c r="AT1206" s="45">
        <f t="shared" si="151"/>
        <v>0</v>
      </c>
      <c r="AU1206" s="45" t="str">
        <f>_xlfn.XLOOKUP(U1206,'Lista Suspensa'!$AA$20:$AA$23,'Lista Suspensa'!$AB$20:$AB$23,"N/A")</f>
        <v>S</v>
      </c>
    </row>
    <row r="1207" spans="1:47" ht="12" hidden="1" customHeight="1" x14ac:dyDescent="0.3">
      <c r="A1207" s="87" t="s">
        <v>47</v>
      </c>
      <c r="B1207" s="88">
        <v>46104</v>
      </c>
      <c r="C1207" s="89" t="s">
        <v>48</v>
      </c>
      <c r="D1207" s="89" t="s">
        <v>49</v>
      </c>
      <c r="E1207" s="90">
        <v>93817661</v>
      </c>
      <c r="F1207" s="184" t="s">
        <v>3458</v>
      </c>
      <c r="G1207" s="91">
        <v>8579324890</v>
      </c>
      <c r="H1207" s="92">
        <v>24356</v>
      </c>
      <c r="I1207" s="89">
        <v>59</v>
      </c>
      <c r="J1207" s="89" t="s">
        <v>70</v>
      </c>
      <c r="K1207" s="89" t="s">
        <v>52</v>
      </c>
      <c r="L1207" s="89" t="s">
        <v>53</v>
      </c>
      <c r="M1207" s="89" t="s">
        <v>3459</v>
      </c>
      <c r="N1207" s="89" t="s">
        <v>148</v>
      </c>
      <c r="O1207" s="93" t="s">
        <v>3460</v>
      </c>
      <c r="P1207" s="94" t="s">
        <v>57</v>
      </c>
      <c r="Q1207" s="112" t="s">
        <v>2211</v>
      </c>
      <c r="R1207" s="95"/>
      <c r="S1207" s="96">
        <v>46164</v>
      </c>
      <c r="T1207" s="96" t="s">
        <v>2212</v>
      </c>
      <c r="U1207" s="96" t="s">
        <v>79</v>
      </c>
      <c r="V1207" s="92">
        <v>46141</v>
      </c>
      <c r="W1207" s="92">
        <v>46154</v>
      </c>
      <c r="X1207" s="92">
        <v>46160</v>
      </c>
      <c r="Y1207" s="97"/>
      <c r="Z1207" s="89"/>
      <c r="AA1207" s="96"/>
      <c r="AB1207" s="89"/>
      <c r="AC1207" s="111"/>
      <c r="AD1207" s="89"/>
      <c r="AE1207" s="89"/>
      <c r="AF1207" s="98"/>
      <c r="AG1207" s="98"/>
      <c r="AH1207" s="98"/>
      <c r="AI1207" s="99"/>
      <c r="AJ1207" s="99"/>
      <c r="AK1207" s="99"/>
      <c r="AL1207" s="45" t="s">
        <v>68</v>
      </c>
      <c r="AM1207" s="162" t="str">
        <f t="shared" si="144"/>
        <v>3/2026</v>
      </c>
      <c r="AN1207" s="45">
        <f t="shared" si="145"/>
        <v>4</v>
      </c>
      <c r="AO1207" s="45" t="str">
        <f t="shared" si="146"/>
        <v>1/1900</v>
      </c>
      <c r="AP1207" s="45" t="e">
        <f t="shared" si="147"/>
        <v>#NUM!</v>
      </c>
      <c r="AQ1207" s="45">
        <f t="shared" si="148"/>
        <v>0</v>
      </c>
      <c r="AR1207" s="45">
        <f t="shared" si="149"/>
        <v>0</v>
      </c>
      <c r="AS1207" s="45">
        <f t="shared" si="150"/>
        <v>0</v>
      </c>
      <c r="AT1207" s="45">
        <f t="shared" si="151"/>
        <v>0</v>
      </c>
      <c r="AU1207" s="45" t="str">
        <f>_xlfn.XLOOKUP(U1207,'Lista Suspensa'!$AA$20:$AA$23,'Lista Suspensa'!$AB$20:$AB$23,"N/A")</f>
        <v>S</v>
      </c>
    </row>
    <row r="1208" spans="1:47" ht="12" hidden="1" customHeight="1" x14ac:dyDescent="0.3">
      <c r="A1208" s="87" t="s">
        <v>47</v>
      </c>
      <c r="B1208" s="88">
        <v>46104</v>
      </c>
      <c r="C1208" s="89" t="s">
        <v>48</v>
      </c>
      <c r="D1208" s="89" t="s">
        <v>49</v>
      </c>
      <c r="E1208" s="90">
        <v>81116585</v>
      </c>
      <c r="F1208" s="184" t="s">
        <v>3461</v>
      </c>
      <c r="G1208" s="91">
        <v>18174093877</v>
      </c>
      <c r="H1208" s="92">
        <v>25570</v>
      </c>
      <c r="I1208" s="89">
        <v>56</v>
      </c>
      <c r="J1208" s="89" t="s">
        <v>51</v>
      </c>
      <c r="K1208" s="89" t="s">
        <v>52</v>
      </c>
      <c r="L1208" s="89" t="s">
        <v>331</v>
      </c>
      <c r="M1208" s="89" t="s">
        <v>3462</v>
      </c>
      <c r="N1208" s="89" t="s">
        <v>148</v>
      </c>
      <c r="O1208" s="93" t="s">
        <v>3463</v>
      </c>
      <c r="P1208" s="94" t="s">
        <v>57</v>
      </c>
      <c r="Q1208" s="112" t="s">
        <v>2211</v>
      </c>
      <c r="R1208" s="95"/>
      <c r="S1208" s="96">
        <v>46164</v>
      </c>
      <c r="T1208" s="96" t="s">
        <v>2212</v>
      </c>
      <c r="U1208" s="96" t="s">
        <v>79</v>
      </c>
      <c r="V1208" s="92">
        <v>46141</v>
      </c>
      <c r="W1208" s="92">
        <v>46154</v>
      </c>
      <c r="X1208" s="92">
        <v>46160</v>
      </c>
      <c r="Y1208" s="97"/>
      <c r="Z1208" s="89"/>
      <c r="AA1208" s="96"/>
      <c r="AB1208" s="89"/>
      <c r="AC1208" s="111"/>
      <c r="AD1208" s="89"/>
      <c r="AE1208" s="89"/>
      <c r="AF1208" s="98"/>
      <c r="AG1208" s="98"/>
      <c r="AH1208" s="98"/>
      <c r="AI1208" s="99"/>
      <c r="AJ1208" s="99"/>
      <c r="AK1208" s="99"/>
      <c r="AL1208" s="45" t="s">
        <v>68</v>
      </c>
      <c r="AM1208" s="162" t="str">
        <f t="shared" si="144"/>
        <v>3/2026</v>
      </c>
      <c r="AN1208" s="45">
        <f t="shared" si="145"/>
        <v>4</v>
      </c>
      <c r="AO1208" s="45" t="str">
        <f t="shared" si="146"/>
        <v>1/1900</v>
      </c>
      <c r="AP1208" s="45" t="e">
        <f t="shared" si="147"/>
        <v>#NUM!</v>
      </c>
      <c r="AQ1208" s="45">
        <f t="shared" si="148"/>
        <v>0</v>
      </c>
      <c r="AR1208" s="45">
        <f t="shared" si="149"/>
        <v>0</v>
      </c>
      <c r="AS1208" s="45">
        <f t="shared" si="150"/>
        <v>0</v>
      </c>
      <c r="AT1208" s="45">
        <f t="shared" si="151"/>
        <v>0</v>
      </c>
      <c r="AU1208" s="45" t="str">
        <f>_xlfn.XLOOKUP(U1208,'Lista Suspensa'!$AA$20:$AA$23,'Lista Suspensa'!$AB$20:$AB$23,"N/A")</f>
        <v>S</v>
      </c>
    </row>
    <row r="1209" spans="1:47" ht="12" hidden="1" customHeight="1" x14ac:dyDescent="0.3">
      <c r="A1209" s="87" t="s">
        <v>47</v>
      </c>
      <c r="B1209" s="88">
        <v>46104</v>
      </c>
      <c r="C1209" s="89" t="s">
        <v>48</v>
      </c>
      <c r="D1209" s="89" t="s">
        <v>49</v>
      </c>
      <c r="E1209" s="90">
        <v>78306186</v>
      </c>
      <c r="F1209" s="184" t="s">
        <v>3464</v>
      </c>
      <c r="G1209" s="91">
        <v>10541681800</v>
      </c>
      <c r="H1209" s="92">
        <v>25769</v>
      </c>
      <c r="I1209" s="89">
        <v>55</v>
      </c>
      <c r="J1209" s="89" t="s">
        <v>51</v>
      </c>
      <c r="K1209" s="89" t="s">
        <v>52</v>
      </c>
      <c r="L1209" s="89" t="s">
        <v>331</v>
      </c>
      <c r="M1209" s="89" t="s">
        <v>2223</v>
      </c>
      <c r="N1209" s="89" t="s">
        <v>148</v>
      </c>
      <c r="O1209" s="93" t="s">
        <v>3465</v>
      </c>
      <c r="P1209" s="94" t="s">
        <v>57</v>
      </c>
      <c r="Q1209" s="112" t="s">
        <v>2211</v>
      </c>
      <c r="R1209" s="95"/>
      <c r="S1209" s="96">
        <v>46164</v>
      </c>
      <c r="T1209" s="96" t="s">
        <v>2212</v>
      </c>
      <c r="U1209" s="96" t="s">
        <v>79</v>
      </c>
      <c r="V1209" s="92">
        <v>46141</v>
      </c>
      <c r="W1209" s="92">
        <v>46154</v>
      </c>
      <c r="X1209" s="92">
        <v>46160</v>
      </c>
      <c r="Y1209" s="97"/>
      <c r="Z1209" s="89"/>
      <c r="AA1209" s="96"/>
      <c r="AB1209" s="89"/>
      <c r="AC1209" s="111"/>
      <c r="AD1209" s="89"/>
      <c r="AE1209" s="89"/>
      <c r="AF1209" s="98"/>
      <c r="AG1209" s="98"/>
      <c r="AH1209" s="98"/>
      <c r="AI1209" s="99"/>
      <c r="AJ1209" s="99"/>
      <c r="AK1209" s="99"/>
      <c r="AL1209" s="45" t="s">
        <v>68</v>
      </c>
      <c r="AM1209" s="162" t="str">
        <f t="shared" si="144"/>
        <v>3/2026</v>
      </c>
      <c r="AN1209" s="45">
        <f t="shared" si="145"/>
        <v>4</v>
      </c>
      <c r="AO1209" s="45" t="str">
        <f t="shared" si="146"/>
        <v>1/1900</v>
      </c>
      <c r="AP1209" s="45" t="e">
        <f t="shared" si="147"/>
        <v>#NUM!</v>
      </c>
      <c r="AQ1209" s="45">
        <f t="shared" si="148"/>
        <v>0</v>
      </c>
      <c r="AR1209" s="45">
        <f t="shared" si="149"/>
        <v>0</v>
      </c>
      <c r="AS1209" s="45">
        <f t="shared" si="150"/>
        <v>0</v>
      </c>
      <c r="AT1209" s="45">
        <f t="shared" si="151"/>
        <v>0</v>
      </c>
      <c r="AU1209" s="45" t="str">
        <f>_xlfn.XLOOKUP(U1209,'Lista Suspensa'!$AA$20:$AA$23,'Lista Suspensa'!$AB$20:$AB$23,"N/A")</f>
        <v>S</v>
      </c>
    </row>
    <row r="1210" spans="1:47" ht="12" hidden="1" customHeight="1" x14ac:dyDescent="0.3">
      <c r="A1210" s="87" t="s">
        <v>47</v>
      </c>
      <c r="B1210" s="88">
        <v>46104</v>
      </c>
      <c r="C1210" s="89" t="s">
        <v>48</v>
      </c>
      <c r="D1210" s="89" t="s">
        <v>49</v>
      </c>
      <c r="E1210" s="90">
        <v>78915451</v>
      </c>
      <c r="F1210" s="184" t="s">
        <v>3466</v>
      </c>
      <c r="G1210" s="91">
        <v>11470309874</v>
      </c>
      <c r="H1210" s="92">
        <v>26132</v>
      </c>
      <c r="I1210" s="89">
        <v>54</v>
      </c>
      <c r="J1210" s="89" t="s">
        <v>70</v>
      </c>
      <c r="K1210" s="89" t="s">
        <v>52</v>
      </c>
      <c r="L1210" s="89" t="s">
        <v>331</v>
      </c>
      <c r="M1210" s="89" t="s">
        <v>3245</v>
      </c>
      <c r="N1210" s="89" t="s">
        <v>148</v>
      </c>
      <c r="O1210" s="93" t="s">
        <v>3467</v>
      </c>
      <c r="P1210" s="94" t="s">
        <v>57</v>
      </c>
      <c r="Q1210" s="112" t="s">
        <v>2211</v>
      </c>
      <c r="R1210" s="95"/>
      <c r="S1210" s="96">
        <v>46164</v>
      </c>
      <c r="T1210" s="96" t="s">
        <v>2212</v>
      </c>
      <c r="U1210" s="96" t="s">
        <v>79</v>
      </c>
      <c r="V1210" s="92">
        <v>46141</v>
      </c>
      <c r="W1210" s="92">
        <v>46154</v>
      </c>
      <c r="X1210" s="92">
        <v>46160</v>
      </c>
      <c r="Y1210" s="97"/>
      <c r="Z1210" s="89"/>
      <c r="AA1210" s="96"/>
      <c r="AB1210" s="89"/>
      <c r="AC1210" s="111"/>
      <c r="AD1210" s="89"/>
      <c r="AE1210" s="89"/>
      <c r="AF1210" s="98"/>
      <c r="AG1210" s="98"/>
      <c r="AH1210" s="98"/>
      <c r="AI1210" s="99"/>
      <c r="AJ1210" s="99"/>
      <c r="AK1210" s="99"/>
      <c r="AL1210" s="45" t="s">
        <v>68</v>
      </c>
      <c r="AM1210" s="162" t="str">
        <f t="shared" si="144"/>
        <v>3/2026</v>
      </c>
      <c r="AN1210" s="45">
        <f t="shared" si="145"/>
        <v>4</v>
      </c>
      <c r="AO1210" s="45" t="str">
        <f t="shared" si="146"/>
        <v>1/1900</v>
      </c>
      <c r="AP1210" s="45" t="e">
        <f t="shared" si="147"/>
        <v>#NUM!</v>
      </c>
      <c r="AQ1210" s="45">
        <f t="shared" si="148"/>
        <v>0</v>
      </c>
      <c r="AR1210" s="45">
        <f t="shared" si="149"/>
        <v>0</v>
      </c>
      <c r="AS1210" s="45">
        <f t="shared" si="150"/>
        <v>0</v>
      </c>
      <c r="AT1210" s="45">
        <f t="shared" si="151"/>
        <v>0</v>
      </c>
      <c r="AU1210" s="45" t="str">
        <f>_xlfn.XLOOKUP(U1210,'Lista Suspensa'!$AA$20:$AA$23,'Lista Suspensa'!$AB$20:$AB$23,"N/A")</f>
        <v>S</v>
      </c>
    </row>
    <row r="1211" spans="1:47" ht="12" hidden="1" customHeight="1" x14ac:dyDescent="0.3">
      <c r="A1211" s="87" t="s">
        <v>47</v>
      </c>
      <c r="B1211" s="88">
        <v>46104</v>
      </c>
      <c r="C1211" s="89" t="s">
        <v>48</v>
      </c>
      <c r="D1211" s="89" t="s">
        <v>49</v>
      </c>
      <c r="E1211" s="90">
        <v>92840789</v>
      </c>
      <c r="F1211" s="184" t="s">
        <v>3468</v>
      </c>
      <c r="G1211" s="91">
        <v>1319722865</v>
      </c>
      <c r="H1211" s="92">
        <v>21659</v>
      </c>
      <c r="I1211" s="89">
        <v>66</v>
      </c>
      <c r="J1211" s="89" t="s">
        <v>51</v>
      </c>
      <c r="K1211" s="89" t="s">
        <v>52</v>
      </c>
      <c r="L1211" s="89" t="s">
        <v>160</v>
      </c>
      <c r="M1211" s="89" t="s">
        <v>3469</v>
      </c>
      <c r="N1211" s="89" t="s">
        <v>148</v>
      </c>
      <c r="O1211" s="93" t="s">
        <v>3470</v>
      </c>
      <c r="P1211" s="94" t="s">
        <v>57</v>
      </c>
      <c r="Q1211" s="112" t="s">
        <v>2211</v>
      </c>
      <c r="R1211" s="95"/>
      <c r="S1211" s="96">
        <v>46164</v>
      </c>
      <c r="T1211" s="96" t="s">
        <v>2212</v>
      </c>
      <c r="U1211" s="96" t="s">
        <v>79</v>
      </c>
      <c r="V1211" s="92">
        <v>46141</v>
      </c>
      <c r="W1211" s="92">
        <v>46154</v>
      </c>
      <c r="X1211" s="92">
        <v>46160</v>
      </c>
      <c r="Y1211" s="97"/>
      <c r="Z1211" s="89"/>
      <c r="AA1211" s="96"/>
      <c r="AB1211" s="89"/>
      <c r="AC1211" s="111"/>
      <c r="AD1211" s="89"/>
      <c r="AE1211" s="89"/>
      <c r="AF1211" s="98"/>
      <c r="AG1211" s="98"/>
      <c r="AH1211" s="98"/>
      <c r="AI1211" s="99"/>
      <c r="AJ1211" s="99"/>
      <c r="AK1211" s="99"/>
      <c r="AL1211" s="45" t="s">
        <v>68</v>
      </c>
      <c r="AM1211" s="162" t="str">
        <f t="shared" si="144"/>
        <v>3/2026</v>
      </c>
      <c r="AN1211" s="45">
        <f t="shared" si="145"/>
        <v>4</v>
      </c>
      <c r="AO1211" s="45" t="str">
        <f t="shared" si="146"/>
        <v>1/1900</v>
      </c>
      <c r="AP1211" s="45" t="e">
        <f t="shared" si="147"/>
        <v>#NUM!</v>
      </c>
      <c r="AQ1211" s="45">
        <f t="shared" si="148"/>
        <v>0</v>
      </c>
      <c r="AR1211" s="45">
        <f t="shared" si="149"/>
        <v>0</v>
      </c>
      <c r="AS1211" s="45">
        <f t="shared" si="150"/>
        <v>0</v>
      </c>
      <c r="AT1211" s="45">
        <f t="shared" si="151"/>
        <v>0</v>
      </c>
      <c r="AU1211" s="45" t="str">
        <f>_xlfn.XLOOKUP(U1211,'Lista Suspensa'!$AA$20:$AA$23,'Lista Suspensa'!$AB$20:$AB$23,"N/A")</f>
        <v>S</v>
      </c>
    </row>
    <row r="1212" spans="1:47" ht="12" hidden="1" customHeight="1" x14ac:dyDescent="0.3">
      <c r="A1212" s="87" t="s">
        <v>47</v>
      </c>
      <c r="B1212" s="88">
        <v>46104</v>
      </c>
      <c r="C1212" s="89" t="s">
        <v>48</v>
      </c>
      <c r="D1212" s="89" t="s">
        <v>49</v>
      </c>
      <c r="E1212" s="90">
        <v>87252256</v>
      </c>
      <c r="F1212" s="184" t="s">
        <v>3471</v>
      </c>
      <c r="G1212" s="91">
        <v>43092643879</v>
      </c>
      <c r="H1212" s="92">
        <v>33985</v>
      </c>
      <c r="I1212" s="89">
        <v>33</v>
      </c>
      <c r="J1212" s="89" t="s">
        <v>51</v>
      </c>
      <c r="K1212" s="89" t="s">
        <v>52</v>
      </c>
      <c r="L1212" s="89" t="s">
        <v>525</v>
      </c>
      <c r="M1212" s="89" t="s">
        <v>3472</v>
      </c>
      <c r="N1212" s="89" t="s">
        <v>148</v>
      </c>
      <c r="O1212" s="93" t="s">
        <v>3473</v>
      </c>
      <c r="P1212" s="94" t="s">
        <v>57</v>
      </c>
      <c r="Q1212" s="112" t="s">
        <v>2211</v>
      </c>
      <c r="R1212" s="95"/>
      <c r="S1212" s="96">
        <v>46164</v>
      </c>
      <c r="T1212" s="96" t="s">
        <v>2212</v>
      </c>
      <c r="U1212" s="96" t="s">
        <v>79</v>
      </c>
      <c r="V1212" s="92">
        <v>46141</v>
      </c>
      <c r="W1212" s="92">
        <v>46154</v>
      </c>
      <c r="X1212" s="92">
        <v>46160</v>
      </c>
      <c r="Y1212" s="97"/>
      <c r="Z1212" s="89"/>
      <c r="AA1212" s="96"/>
      <c r="AB1212" s="89"/>
      <c r="AC1212" s="111"/>
      <c r="AD1212" s="89"/>
      <c r="AE1212" s="89"/>
      <c r="AF1212" s="98"/>
      <c r="AG1212" s="98"/>
      <c r="AH1212" s="98"/>
      <c r="AI1212" s="99"/>
      <c r="AJ1212" s="99"/>
      <c r="AK1212" s="99"/>
      <c r="AL1212" s="45" t="s">
        <v>68</v>
      </c>
      <c r="AM1212" s="162" t="str">
        <f t="shared" si="144"/>
        <v>3/2026</v>
      </c>
      <c r="AN1212" s="45">
        <f t="shared" si="145"/>
        <v>4</v>
      </c>
      <c r="AO1212" s="45" t="str">
        <f t="shared" si="146"/>
        <v>1/1900</v>
      </c>
      <c r="AP1212" s="45" t="e">
        <f t="shared" si="147"/>
        <v>#NUM!</v>
      </c>
      <c r="AQ1212" s="45">
        <f t="shared" si="148"/>
        <v>0</v>
      </c>
      <c r="AR1212" s="45">
        <f t="shared" si="149"/>
        <v>0</v>
      </c>
      <c r="AS1212" s="45">
        <f t="shared" si="150"/>
        <v>0</v>
      </c>
      <c r="AT1212" s="45">
        <f t="shared" si="151"/>
        <v>0</v>
      </c>
      <c r="AU1212" s="45" t="str">
        <f>_xlfn.XLOOKUP(U1212,'Lista Suspensa'!$AA$20:$AA$23,'Lista Suspensa'!$AB$20:$AB$23,"N/A")</f>
        <v>S</v>
      </c>
    </row>
    <row r="1213" spans="1:47" ht="12" hidden="1" customHeight="1" x14ac:dyDescent="0.3">
      <c r="A1213" s="87" t="s">
        <v>47</v>
      </c>
      <c r="B1213" s="88">
        <v>46104</v>
      </c>
      <c r="C1213" s="89" t="s">
        <v>48</v>
      </c>
      <c r="D1213" s="89" t="s">
        <v>49</v>
      </c>
      <c r="E1213" s="90">
        <v>77795623</v>
      </c>
      <c r="F1213" s="184" t="s">
        <v>3474</v>
      </c>
      <c r="G1213" s="91">
        <v>5722673803</v>
      </c>
      <c r="H1213" s="92">
        <v>23474</v>
      </c>
      <c r="I1213" s="89">
        <v>61</v>
      </c>
      <c r="J1213" s="89" t="s">
        <v>70</v>
      </c>
      <c r="K1213" s="89" t="s">
        <v>52</v>
      </c>
      <c r="L1213" s="89" t="s">
        <v>331</v>
      </c>
      <c r="M1213" s="89" t="s">
        <v>1798</v>
      </c>
      <c r="N1213" s="89" t="s">
        <v>148</v>
      </c>
      <c r="O1213" s="93" t="s">
        <v>3475</v>
      </c>
      <c r="P1213" s="94" t="s">
        <v>57</v>
      </c>
      <c r="Q1213" s="112" t="s">
        <v>2211</v>
      </c>
      <c r="R1213" s="95"/>
      <c r="S1213" s="96">
        <v>46150</v>
      </c>
      <c r="T1213" s="96" t="s">
        <v>2212</v>
      </c>
      <c r="U1213" s="96" t="s">
        <v>79</v>
      </c>
      <c r="V1213" s="92">
        <v>46128</v>
      </c>
      <c r="W1213" s="92">
        <v>46141</v>
      </c>
      <c r="X1213" s="92">
        <v>46142</v>
      </c>
      <c r="Y1213" s="97"/>
      <c r="Z1213" s="89"/>
      <c r="AA1213" s="96"/>
      <c r="AB1213" s="89"/>
      <c r="AC1213" s="111"/>
      <c r="AD1213" s="89"/>
      <c r="AE1213" s="89"/>
      <c r="AF1213" s="98"/>
      <c r="AG1213" s="98"/>
      <c r="AH1213" s="98"/>
      <c r="AI1213" s="99"/>
      <c r="AJ1213" s="99"/>
      <c r="AK1213" s="99"/>
      <c r="AL1213" s="45" t="s">
        <v>68</v>
      </c>
      <c r="AM1213" s="162" t="str">
        <f t="shared" si="144"/>
        <v>3/2026</v>
      </c>
      <c r="AN1213" s="45">
        <f t="shared" si="145"/>
        <v>4</v>
      </c>
      <c r="AO1213" s="45" t="str">
        <f t="shared" si="146"/>
        <v>1/1900</v>
      </c>
      <c r="AP1213" s="45" t="e">
        <f t="shared" si="147"/>
        <v>#NUM!</v>
      </c>
      <c r="AQ1213" s="45">
        <f t="shared" si="148"/>
        <v>0</v>
      </c>
      <c r="AR1213" s="45">
        <f t="shared" si="149"/>
        <v>0</v>
      </c>
      <c r="AS1213" s="45">
        <f t="shared" si="150"/>
        <v>0</v>
      </c>
      <c r="AT1213" s="45">
        <f t="shared" si="151"/>
        <v>0</v>
      </c>
      <c r="AU1213" s="45" t="str">
        <f>_xlfn.XLOOKUP(U1213,'Lista Suspensa'!$AA$20:$AA$23,'Lista Suspensa'!$AB$20:$AB$23,"N/A")</f>
        <v>S</v>
      </c>
    </row>
    <row r="1214" spans="1:47" ht="12" hidden="1" customHeight="1" x14ac:dyDescent="0.3">
      <c r="A1214" s="87" t="s">
        <v>47</v>
      </c>
      <c r="B1214" s="88">
        <v>46104</v>
      </c>
      <c r="C1214" s="89" t="s">
        <v>48</v>
      </c>
      <c r="D1214" s="89" t="s">
        <v>49</v>
      </c>
      <c r="E1214" s="90">
        <v>79257291</v>
      </c>
      <c r="F1214" s="184" t="s">
        <v>3476</v>
      </c>
      <c r="G1214" s="91">
        <v>6868915705</v>
      </c>
      <c r="H1214" s="92">
        <v>16836</v>
      </c>
      <c r="I1214" s="89">
        <v>80</v>
      </c>
      <c r="J1214" s="89" t="s">
        <v>70</v>
      </c>
      <c r="K1214" s="89" t="s">
        <v>88</v>
      </c>
      <c r="L1214" s="89" t="s">
        <v>89</v>
      </c>
      <c r="M1214" s="89" t="s">
        <v>1933</v>
      </c>
      <c r="N1214" s="89" t="s">
        <v>148</v>
      </c>
      <c r="O1214" s="93" t="s">
        <v>3477</v>
      </c>
      <c r="P1214" s="94" t="s">
        <v>57</v>
      </c>
      <c r="Q1214" s="112" t="s">
        <v>2211</v>
      </c>
      <c r="R1214" s="95"/>
      <c r="S1214" s="96">
        <v>46164</v>
      </c>
      <c r="T1214" s="96" t="s">
        <v>2212</v>
      </c>
      <c r="U1214" s="96" t="s">
        <v>79</v>
      </c>
      <c r="V1214" s="92">
        <v>46141</v>
      </c>
      <c r="W1214" s="92">
        <v>46154</v>
      </c>
      <c r="X1214" s="92">
        <v>46160</v>
      </c>
      <c r="Y1214" s="97"/>
      <c r="Z1214" s="89"/>
      <c r="AA1214" s="96"/>
      <c r="AB1214" s="89"/>
      <c r="AC1214" s="111"/>
      <c r="AD1214" s="89"/>
      <c r="AE1214" s="89"/>
      <c r="AF1214" s="98"/>
      <c r="AG1214" s="98"/>
      <c r="AH1214" s="98"/>
      <c r="AI1214" s="99"/>
      <c r="AJ1214" s="99"/>
      <c r="AK1214" s="99"/>
      <c r="AL1214" s="45" t="s">
        <v>68</v>
      </c>
      <c r="AM1214" s="162" t="str">
        <f t="shared" si="144"/>
        <v>3/2026</v>
      </c>
      <c r="AN1214" s="45">
        <f t="shared" si="145"/>
        <v>4</v>
      </c>
      <c r="AO1214" s="45" t="str">
        <f t="shared" si="146"/>
        <v>1/1900</v>
      </c>
      <c r="AP1214" s="45" t="e">
        <f t="shared" si="147"/>
        <v>#NUM!</v>
      </c>
      <c r="AQ1214" s="45">
        <f t="shared" si="148"/>
        <v>0</v>
      </c>
      <c r="AR1214" s="45">
        <f t="shared" si="149"/>
        <v>0</v>
      </c>
      <c r="AS1214" s="45">
        <f t="shared" si="150"/>
        <v>0</v>
      </c>
      <c r="AT1214" s="45">
        <f t="shared" si="151"/>
        <v>0</v>
      </c>
      <c r="AU1214" s="45" t="str">
        <f>_xlfn.XLOOKUP(U1214,'Lista Suspensa'!$AA$20:$AA$23,'Lista Suspensa'!$AB$20:$AB$23,"N/A")</f>
        <v>S</v>
      </c>
    </row>
    <row r="1215" spans="1:47" ht="12" customHeight="1" x14ac:dyDescent="0.3">
      <c r="A1215" s="87" t="s">
        <v>47</v>
      </c>
      <c r="B1215" s="88">
        <v>46104</v>
      </c>
      <c r="C1215" s="89" t="s">
        <v>48</v>
      </c>
      <c r="D1215" s="89" t="s">
        <v>49</v>
      </c>
      <c r="E1215" s="90">
        <v>78888074</v>
      </c>
      <c r="F1215" s="184" t="s">
        <v>3478</v>
      </c>
      <c r="G1215" s="91">
        <v>81030150753</v>
      </c>
      <c r="H1215" s="92">
        <v>23787</v>
      </c>
      <c r="I1215" s="89">
        <v>61</v>
      </c>
      <c r="J1215" s="89" t="s">
        <v>51</v>
      </c>
      <c r="K1215" s="89" t="s">
        <v>88</v>
      </c>
      <c r="L1215" s="89" t="s">
        <v>89</v>
      </c>
      <c r="M1215" s="89" t="s">
        <v>626</v>
      </c>
      <c r="N1215" s="89" t="s">
        <v>148</v>
      </c>
      <c r="O1215" s="93" t="s">
        <v>3479</v>
      </c>
      <c r="P1215" s="94" t="s">
        <v>57</v>
      </c>
      <c r="Q1215" s="112" t="s">
        <v>58</v>
      </c>
      <c r="R1215" s="95">
        <v>46178</v>
      </c>
      <c r="S1215" s="96"/>
      <c r="T1215" s="96" t="s">
        <v>59</v>
      </c>
      <c r="U1215" s="96" t="s">
        <v>60</v>
      </c>
      <c r="V1215" s="92">
        <v>46141</v>
      </c>
      <c r="W1215" s="92">
        <v>46154</v>
      </c>
      <c r="X1215" s="92">
        <v>46160</v>
      </c>
      <c r="Y1215" s="97"/>
      <c r="Z1215" s="89" t="s">
        <v>62</v>
      </c>
      <c r="AA1215" s="96">
        <v>46192</v>
      </c>
      <c r="AB1215" s="89"/>
      <c r="AC1215" s="111"/>
      <c r="AD1215" s="89"/>
      <c r="AE1215" s="89"/>
      <c r="AF1215" s="98"/>
      <c r="AG1215" s="98"/>
      <c r="AH1215" s="98"/>
      <c r="AI1215" s="99"/>
      <c r="AJ1215" s="99" t="s">
        <v>3812</v>
      </c>
      <c r="AK1215" s="99"/>
      <c r="AL1215" s="45" t="s">
        <v>68</v>
      </c>
      <c r="AM1215" s="162" t="str">
        <f t="shared" si="144"/>
        <v>3/2026</v>
      </c>
      <c r="AN1215" s="45">
        <f t="shared" si="145"/>
        <v>4</v>
      </c>
      <c r="AO1215" s="45" t="str">
        <f t="shared" si="146"/>
        <v>6/2026</v>
      </c>
      <c r="AP1215" s="45">
        <f t="shared" si="147"/>
        <v>1</v>
      </c>
      <c r="AQ1215" s="45">
        <f t="shared" si="148"/>
        <v>74</v>
      </c>
      <c r="AR1215" s="45">
        <f t="shared" si="149"/>
        <v>0</v>
      </c>
      <c r="AS1215" s="45">
        <f t="shared" si="150"/>
        <v>9.5</v>
      </c>
      <c r="AT1215" s="45">
        <f t="shared" si="151"/>
        <v>0</v>
      </c>
      <c r="AU1215" s="45" t="str">
        <f>_xlfn.XLOOKUP(U1215,'Lista Suspensa'!$AA$20:$AA$23,'Lista Suspensa'!$AB$20:$AB$23,"N/A")</f>
        <v>S</v>
      </c>
    </row>
    <row r="1216" spans="1:47" ht="12" hidden="1" customHeight="1" x14ac:dyDescent="0.3">
      <c r="A1216" s="87" t="s">
        <v>47</v>
      </c>
      <c r="B1216" s="88">
        <v>46104</v>
      </c>
      <c r="C1216" s="89" t="s">
        <v>48</v>
      </c>
      <c r="D1216" s="89" t="s">
        <v>49</v>
      </c>
      <c r="E1216" s="90">
        <v>78537212</v>
      </c>
      <c r="F1216" s="184" t="s">
        <v>3480</v>
      </c>
      <c r="G1216" s="91">
        <v>98644858815</v>
      </c>
      <c r="H1216" s="92">
        <v>20871</v>
      </c>
      <c r="I1216" s="89">
        <v>69</v>
      </c>
      <c r="J1216" s="89" t="s">
        <v>51</v>
      </c>
      <c r="K1216" s="89" t="s">
        <v>52</v>
      </c>
      <c r="L1216" s="89" t="s">
        <v>331</v>
      </c>
      <c r="M1216" s="89" t="s">
        <v>2195</v>
      </c>
      <c r="N1216" s="89" t="s">
        <v>148</v>
      </c>
      <c r="O1216" s="93" t="s">
        <v>3481</v>
      </c>
      <c r="P1216" s="94" t="s">
        <v>57</v>
      </c>
      <c r="Q1216" s="112" t="s">
        <v>2211</v>
      </c>
      <c r="R1216" s="95"/>
      <c r="S1216" s="96">
        <v>46164</v>
      </c>
      <c r="T1216" s="96" t="s">
        <v>2212</v>
      </c>
      <c r="U1216" s="96" t="s">
        <v>79</v>
      </c>
      <c r="V1216" s="92">
        <v>46141</v>
      </c>
      <c r="W1216" s="92">
        <v>46154</v>
      </c>
      <c r="X1216" s="92">
        <v>46160</v>
      </c>
      <c r="Y1216" s="97"/>
      <c r="Z1216" s="89"/>
      <c r="AA1216" s="96"/>
      <c r="AB1216" s="89"/>
      <c r="AC1216" s="111"/>
      <c r="AD1216" s="89"/>
      <c r="AE1216" s="89"/>
      <c r="AF1216" s="98"/>
      <c r="AG1216" s="98"/>
      <c r="AH1216" s="98"/>
      <c r="AI1216" s="99"/>
      <c r="AJ1216" s="99"/>
      <c r="AK1216" s="99"/>
      <c r="AL1216" s="45" t="s">
        <v>68</v>
      </c>
      <c r="AM1216" s="162" t="str">
        <f t="shared" si="144"/>
        <v>3/2026</v>
      </c>
      <c r="AN1216" s="45">
        <f t="shared" si="145"/>
        <v>4</v>
      </c>
      <c r="AO1216" s="45" t="str">
        <f t="shared" si="146"/>
        <v>1/1900</v>
      </c>
      <c r="AP1216" s="45" t="e">
        <f t="shared" si="147"/>
        <v>#NUM!</v>
      </c>
      <c r="AQ1216" s="45">
        <f t="shared" si="148"/>
        <v>0</v>
      </c>
      <c r="AR1216" s="45">
        <f t="shared" si="149"/>
        <v>0</v>
      </c>
      <c r="AS1216" s="45">
        <f t="shared" si="150"/>
        <v>0</v>
      </c>
      <c r="AT1216" s="45">
        <f t="shared" si="151"/>
        <v>0</v>
      </c>
      <c r="AU1216" s="45" t="str">
        <f>_xlfn.XLOOKUP(U1216,'Lista Suspensa'!$AA$20:$AA$23,'Lista Suspensa'!$AB$20:$AB$23,"N/A")</f>
        <v>S</v>
      </c>
    </row>
    <row r="1217" spans="1:47" ht="12" hidden="1" customHeight="1" x14ac:dyDescent="0.3">
      <c r="A1217" s="87" t="s">
        <v>47</v>
      </c>
      <c r="B1217" s="88">
        <v>46104</v>
      </c>
      <c r="C1217" s="89" t="s">
        <v>48</v>
      </c>
      <c r="D1217" s="89" t="s">
        <v>49</v>
      </c>
      <c r="E1217" s="90">
        <v>81217448</v>
      </c>
      <c r="F1217" s="184" t="s">
        <v>3482</v>
      </c>
      <c r="G1217" s="91">
        <v>9890629704</v>
      </c>
      <c r="H1217" s="92">
        <v>16624</v>
      </c>
      <c r="I1217" s="89">
        <v>80</v>
      </c>
      <c r="J1217" s="89" t="s">
        <v>51</v>
      </c>
      <c r="K1217" s="89" t="s">
        <v>88</v>
      </c>
      <c r="L1217" s="89" t="s">
        <v>89</v>
      </c>
      <c r="M1217" s="89" t="s">
        <v>2300</v>
      </c>
      <c r="N1217" s="89" t="s">
        <v>148</v>
      </c>
      <c r="O1217" s="93" t="s">
        <v>3483</v>
      </c>
      <c r="P1217" s="94" t="s">
        <v>57</v>
      </c>
      <c r="Q1217" s="112" t="s">
        <v>2211</v>
      </c>
      <c r="R1217" s="95"/>
      <c r="S1217" s="96">
        <v>46150</v>
      </c>
      <c r="T1217" s="96" t="s">
        <v>2212</v>
      </c>
      <c r="U1217" s="96" t="s">
        <v>79</v>
      </c>
      <c r="V1217" s="92">
        <v>46128</v>
      </c>
      <c r="W1217" s="92">
        <v>46141</v>
      </c>
      <c r="X1217" s="92">
        <v>46142</v>
      </c>
      <c r="Y1217" s="97"/>
      <c r="Z1217" s="89"/>
      <c r="AA1217" s="96"/>
      <c r="AB1217" s="89"/>
      <c r="AC1217" s="111"/>
      <c r="AD1217" s="89"/>
      <c r="AE1217" s="89"/>
      <c r="AF1217" s="98"/>
      <c r="AG1217" s="98"/>
      <c r="AH1217" s="98"/>
      <c r="AI1217" s="99"/>
      <c r="AJ1217" s="99"/>
      <c r="AK1217" s="99"/>
      <c r="AL1217" s="45" t="s">
        <v>68</v>
      </c>
      <c r="AM1217" s="162" t="str">
        <f t="shared" si="144"/>
        <v>3/2026</v>
      </c>
      <c r="AN1217" s="45">
        <f t="shared" si="145"/>
        <v>4</v>
      </c>
      <c r="AO1217" s="45" t="str">
        <f t="shared" si="146"/>
        <v>1/1900</v>
      </c>
      <c r="AP1217" s="45" t="e">
        <f t="shared" si="147"/>
        <v>#NUM!</v>
      </c>
      <c r="AQ1217" s="45">
        <f t="shared" si="148"/>
        <v>0</v>
      </c>
      <c r="AR1217" s="45">
        <f t="shared" si="149"/>
        <v>0</v>
      </c>
      <c r="AS1217" s="45">
        <f t="shared" si="150"/>
        <v>0</v>
      </c>
      <c r="AT1217" s="45">
        <f t="shared" si="151"/>
        <v>0</v>
      </c>
      <c r="AU1217" s="45" t="str">
        <f>_xlfn.XLOOKUP(U1217,'Lista Suspensa'!$AA$20:$AA$23,'Lista Suspensa'!$AB$20:$AB$23,"N/A")</f>
        <v>S</v>
      </c>
    </row>
    <row r="1218" spans="1:47" ht="12" hidden="1" customHeight="1" x14ac:dyDescent="0.3">
      <c r="A1218" s="87" t="s">
        <v>47</v>
      </c>
      <c r="B1218" s="88">
        <v>46104</v>
      </c>
      <c r="C1218" s="89" t="s">
        <v>48</v>
      </c>
      <c r="D1218" s="89" t="s">
        <v>49</v>
      </c>
      <c r="E1218" s="90">
        <v>80908931</v>
      </c>
      <c r="F1218" s="184" t="s">
        <v>3484</v>
      </c>
      <c r="G1218" s="91">
        <v>10331573768</v>
      </c>
      <c r="H1218" s="92">
        <v>16325</v>
      </c>
      <c r="I1218" s="89">
        <v>81</v>
      </c>
      <c r="J1218" s="89" t="s">
        <v>51</v>
      </c>
      <c r="K1218" s="89" t="s">
        <v>88</v>
      </c>
      <c r="L1218" s="89" t="s">
        <v>89</v>
      </c>
      <c r="M1218" s="89" t="s">
        <v>1967</v>
      </c>
      <c r="N1218" s="89" t="s">
        <v>148</v>
      </c>
      <c r="O1218" s="93" t="s">
        <v>3485</v>
      </c>
      <c r="P1218" s="94" t="s">
        <v>57</v>
      </c>
      <c r="Q1218" s="112" t="s">
        <v>2211</v>
      </c>
      <c r="R1218" s="95"/>
      <c r="S1218" s="96">
        <v>46164</v>
      </c>
      <c r="T1218" s="96" t="s">
        <v>2212</v>
      </c>
      <c r="U1218" s="96" t="s">
        <v>79</v>
      </c>
      <c r="V1218" s="92">
        <v>46141</v>
      </c>
      <c r="W1218" s="92">
        <v>46154</v>
      </c>
      <c r="X1218" s="92">
        <v>46160</v>
      </c>
      <c r="Y1218" s="97"/>
      <c r="Z1218" s="89"/>
      <c r="AA1218" s="96"/>
      <c r="AB1218" s="89"/>
      <c r="AC1218" s="111"/>
      <c r="AD1218" s="89"/>
      <c r="AE1218" s="89"/>
      <c r="AF1218" s="98"/>
      <c r="AG1218" s="98"/>
      <c r="AH1218" s="98"/>
      <c r="AI1218" s="99"/>
      <c r="AJ1218" s="99"/>
      <c r="AK1218" s="99"/>
      <c r="AL1218" s="45" t="s">
        <v>68</v>
      </c>
      <c r="AM1218" s="162" t="str">
        <f t="shared" ref="AM1218:AM1281" si="152">MONTH(B1218)&amp;"/"&amp;YEAR(B1218)</f>
        <v>3/2026</v>
      </c>
      <c r="AN1218" s="45">
        <f t="shared" ref="AN1218:AN1281" si="153">WEEKNUM(B1218)-WEEKNUM(EOMONTH(B1218,-1)+1)+1</f>
        <v>4</v>
      </c>
      <c r="AO1218" s="45" t="str">
        <f t="shared" ref="AO1218:AO1281" si="154">MONTH(R1218)&amp;"/"&amp;YEAR(R1218)</f>
        <v>1/1900</v>
      </c>
      <c r="AP1218" s="45" t="e">
        <f t="shared" ref="AP1218:AP1281" si="155">WEEKNUM(R1218)-WEEKNUM(EOMONTH(R1218,-1)+1)+1</f>
        <v>#NUM!</v>
      </c>
      <c r="AQ1218" s="45">
        <f t="shared" ref="AQ1218:AQ1281" si="156">IF(AU1218="S",IF(Q1218="1. Aceitou o programa",R1218-B1218,0),0)</f>
        <v>0</v>
      </c>
      <c r="AR1218" s="45">
        <f t="shared" ref="AR1218:AR1281" si="157">IF(AU1218="S",IF(AND(S1218&lt;&gt;"",R1218&lt;&gt;""),S1218-R1218,0),0)</f>
        <v>0</v>
      </c>
      <c r="AS1218" s="45">
        <f t="shared" ref="AS1218:AS1281" si="158">IF(AU1218="S",IF(Q1218="1. Aceitou o programa",IF(OR(X1218="Não se Aplica",X1218=""),IF(OR(W1218="Não se Aplica",W1218=""),0,W1218-V1218),AVERAGE(X1218-W1218,W1218-V1218)),0),0)</f>
        <v>0</v>
      </c>
      <c r="AT1218" s="45">
        <f t="shared" ref="AT1218:AT1281" si="159">IF(AU1218="S",IF(AND(Q1218="1. Aceitou o programa",AB1218="Realizada"),IFERROR(IF(AA1218="",0,AA1218-R1218),0),0),0)</f>
        <v>0</v>
      </c>
      <c r="AU1218" s="45" t="str">
        <f>_xlfn.XLOOKUP(U1218,'Lista Suspensa'!$AA$20:$AA$23,'Lista Suspensa'!$AB$20:$AB$23,"N/A")</f>
        <v>S</v>
      </c>
    </row>
    <row r="1219" spans="1:47" ht="12" hidden="1" customHeight="1" x14ac:dyDescent="0.3">
      <c r="A1219" s="87" t="s">
        <v>47</v>
      </c>
      <c r="B1219" s="88">
        <v>46104</v>
      </c>
      <c r="C1219" s="89" t="s">
        <v>48</v>
      </c>
      <c r="D1219" s="89" t="s">
        <v>49</v>
      </c>
      <c r="E1219" s="90">
        <v>82486842</v>
      </c>
      <c r="F1219" s="184" t="s">
        <v>3486</v>
      </c>
      <c r="G1219" s="91">
        <v>22022818784</v>
      </c>
      <c r="H1219" s="92">
        <v>39259</v>
      </c>
      <c r="I1219" s="89">
        <v>18</v>
      </c>
      <c r="J1219" s="89" t="s">
        <v>51</v>
      </c>
      <c r="K1219" s="89" t="s">
        <v>88</v>
      </c>
      <c r="L1219" s="89" t="s">
        <v>89</v>
      </c>
      <c r="M1219" s="89" t="s">
        <v>1967</v>
      </c>
      <c r="N1219" s="89" t="s">
        <v>148</v>
      </c>
      <c r="O1219" s="93" t="s">
        <v>3487</v>
      </c>
      <c r="P1219" s="94" t="s">
        <v>57</v>
      </c>
      <c r="Q1219" s="112" t="s">
        <v>2211</v>
      </c>
      <c r="R1219" s="95"/>
      <c r="S1219" s="96">
        <v>46164</v>
      </c>
      <c r="T1219" s="96" t="s">
        <v>2212</v>
      </c>
      <c r="U1219" s="96" t="s">
        <v>79</v>
      </c>
      <c r="V1219" s="92">
        <v>46141</v>
      </c>
      <c r="W1219" s="92">
        <v>46154</v>
      </c>
      <c r="X1219" s="92">
        <v>46160</v>
      </c>
      <c r="Y1219" s="97"/>
      <c r="Z1219" s="89"/>
      <c r="AA1219" s="96"/>
      <c r="AB1219" s="89"/>
      <c r="AC1219" s="111"/>
      <c r="AD1219" s="89"/>
      <c r="AE1219" s="89"/>
      <c r="AF1219" s="98"/>
      <c r="AG1219" s="98"/>
      <c r="AH1219" s="98"/>
      <c r="AI1219" s="99"/>
      <c r="AJ1219" s="99"/>
      <c r="AK1219" s="99"/>
      <c r="AL1219" s="45" t="s">
        <v>68</v>
      </c>
      <c r="AM1219" s="162" t="str">
        <f t="shared" si="152"/>
        <v>3/2026</v>
      </c>
      <c r="AN1219" s="45">
        <f t="shared" si="153"/>
        <v>4</v>
      </c>
      <c r="AO1219" s="45" t="str">
        <f t="shared" si="154"/>
        <v>1/1900</v>
      </c>
      <c r="AP1219" s="45" t="e">
        <f t="shared" si="155"/>
        <v>#NUM!</v>
      </c>
      <c r="AQ1219" s="45">
        <f t="shared" si="156"/>
        <v>0</v>
      </c>
      <c r="AR1219" s="45">
        <f t="shared" si="157"/>
        <v>0</v>
      </c>
      <c r="AS1219" s="45">
        <f t="shared" si="158"/>
        <v>0</v>
      </c>
      <c r="AT1219" s="45">
        <f t="shared" si="159"/>
        <v>0</v>
      </c>
      <c r="AU1219" s="45" t="str">
        <f>_xlfn.XLOOKUP(U1219,'Lista Suspensa'!$AA$20:$AA$23,'Lista Suspensa'!$AB$20:$AB$23,"N/A")</f>
        <v>S</v>
      </c>
    </row>
    <row r="1220" spans="1:47" ht="12" hidden="1" customHeight="1" x14ac:dyDescent="0.3">
      <c r="A1220" s="87" t="s">
        <v>47</v>
      </c>
      <c r="B1220" s="88">
        <v>46104</v>
      </c>
      <c r="C1220" s="89" t="s">
        <v>48</v>
      </c>
      <c r="D1220" s="89" t="s">
        <v>49</v>
      </c>
      <c r="E1220" s="90">
        <v>81639726</v>
      </c>
      <c r="F1220" s="184" t="s">
        <v>3488</v>
      </c>
      <c r="G1220" s="91">
        <v>462138720</v>
      </c>
      <c r="H1220" s="92">
        <v>21095</v>
      </c>
      <c r="I1220" s="89">
        <v>68</v>
      </c>
      <c r="J1220" s="89" t="s">
        <v>70</v>
      </c>
      <c r="K1220" s="89" t="s">
        <v>88</v>
      </c>
      <c r="L1220" s="89" t="s">
        <v>89</v>
      </c>
      <c r="M1220" s="89" t="s">
        <v>426</v>
      </c>
      <c r="N1220" s="89" t="s">
        <v>148</v>
      </c>
      <c r="O1220" s="93" t="s">
        <v>3489</v>
      </c>
      <c r="P1220" s="94" t="s">
        <v>57</v>
      </c>
      <c r="Q1220" s="112" t="s">
        <v>2211</v>
      </c>
      <c r="R1220" s="95"/>
      <c r="S1220" s="96">
        <v>46150</v>
      </c>
      <c r="T1220" s="96" t="s">
        <v>2212</v>
      </c>
      <c r="U1220" s="96" t="s">
        <v>79</v>
      </c>
      <c r="V1220" s="92">
        <v>46112</v>
      </c>
      <c r="W1220" s="92">
        <v>46141</v>
      </c>
      <c r="X1220" s="92">
        <v>46142</v>
      </c>
      <c r="Y1220" s="97"/>
      <c r="Z1220" s="89"/>
      <c r="AA1220" s="96"/>
      <c r="AB1220" s="89"/>
      <c r="AC1220" s="111"/>
      <c r="AD1220" s="89"/>
      <c r="AE1220" s="89"/>
      <c r="AF1220" s="98"/>
      <c r="AG1220" s="98"/>
      <c r="AH1220" s="98"/>
      <c r="AI1220" s="99"/>
      <c r="AJ1220" s="99"/>
      <c r="AK1220" s="99"/>
      <c r="AL1220" s="45" t="s">
        <v>68</v>
      </c>
      <c r="AM1220" s="162" t="str">
        <f t="shared" si="152"/>
        <v>3/2026</v>
      </c>
      <c r="AN1220" s="45">
        <f t="shared" si="153"/>
        <v>4</v>
      </c>
      <c r="AO1220" s="45" t="str">
        <f t="shared" si="154"/>
        <v>1/1900</v>
      </c>
      <c r="AP1220" s="45" t="e">
        <f t="shared" si="155"/>
        <v>#NUM!</v>
      </c>
      <c r="AQ1220" s="45">
        <f t="shared" si="156"/>
        <v>0</v>
      </c>
      <c r="AR1220" s="45">
        <f t="shared" si="157"/>
        <v>0</v>
      </c>
      <c r="AS1220" s="45">
        <f t="shared" si="158"/>
        <v>0</v>
      </c>
      <c r="AT1220" s="45">
        <f t="shared" si="159"/>
        <v>0</v>
      </c>
      <c r="AU1220" s="45" t="str">
        <f>_xlfn.XLOOKUP(U1220,'Lista Suspensa'!$AA$20:$AA$23,'Lista Suspensa'!$AB$20:$AB$23,"N/A")</f>
        <v>S</v>
      </c>
    </row>
    <row r="1221" spans="1:47" ht="12" hidden="1" customHeight="1" x14ac:dyDescent="0.3">
      <c r="A1221" s="87" t="s">
        <v>47</v>
      </c>
      <c r="B1221" s="88">
        <v>46104</v>
      </c>
      <c r="C1221" s="89" t="s">
        <v>48</v>
      </c>
      <c r="D1221" s="89" t="s">
        <v>49</v>
      </c>
      <c r="E1221" s="90">
        <v>82134375</v>
      </c>
      <c r="F1221" s="184" t="s">
        <v>3490</v>
      </c>
      <c r="G1221" s="91">
        <v>5566080707</v>
      </c>
      <c r="H1221" s="92">
        <v>29886</v>
      </c>
      <c r="I1221" s="89">
        <v>44</v>
      </c>
      <c r="J1221" s="89" t="s">
        <v>70</v>
      </c>
      <c r="K1221" s="89" t="s">
        <v>88</v>
      </c>
      <c r="L1221" s="89" t="s">
        <v>89</v>
      </c>
      <c r="M1221" s="89" t="s">
        <v>3491</v>
      </c>
      <c r="N1221" s="89" t="s">
        <v>148</v>
      </c>
      <c r="O1221" s="93" t="s">
        <v>3492</v>
      </c>
      <c r="P1221" s="94" t="s">
        <v>57</v>
      </c>
      <c r="Q1221" s="112" t="s">
        <v>2211</v>
      </c>
      <c r="R1221" s="95"/>
      <c r="S1221" s="96">
        <v>46164</v>
      </c>
      <c r="T1221" s="96" t="s">
        <v>2212</v>
      </c>
      <c r="U1221" s="96" t="s">
        <v>79</v>
      </c>
      <c r="V1221" s="92">
        <v>46141</v>
      </c>
      <c r="W1221" s="92">
        <v>46154</v>
      </c>
      <c r="X1221" s="92">
        <v>46160</v>
      </c>
      <c r="Y1221" s="97"/>
      <c r="Z1221" s="89"/>
      <c r="AA1221" s="96"/>
      <c r="AB1221" s="89"/>
      <c r="AC1221" s="111"/>
      <c r="AD1221" s="89"/>
      <c r="AE1221" s="89"/>
      <c r="AF1221" s="98"/>
      <c r="AG1221" s="98"/>
      <c r="AH1221" s="98"/>
      <c r="AI1221" s="99"/>
      <c r="AJ1221" s="99"/>
      <c r="AK1221" s="99"/>
      <c r="AL1221" s="45" t="s">
        <v>68</v>
      </c>
      <c r="AM1221" s="162" t="str">
        <f t="shared" si="152"/>
        <v>3/2026</v>
      </c>
      <c r="AN1221" s="45">
        <f t="shared" si="153"/>
        <v>4</v>
      </c>
      <c r="AO1221" s="45" t="str">
        <f t="shared" si="154"/>
        <v>1/1900</v>
      </c>
      <c r="AP1221" s="45" t="e">
        <f t="shared" si="155"/>
        <v>#NUM!</v>
      </c>
      <c r="AQ1221" s="45">
        <f t="shared" si="156"/>
        <v>0</v>
      </c>
      <c r="AR1221" s="45">
        <f t="shared" si="157"/>
        <v>0</v>
      </c>
      <c r="AS1221" s="45">
        <f t="shared" si="158"/>
        <v>0</v>
      </c>
      <c r="AT1221" s="45">
        <f t="shared" si="159"/>
        <v>0</v>
      </c>
      <c r="AU1221" s="45" t="str">
        <f>_xlfn.XLOOKUP(U1221,'Lista Suspensa'!$AA$20:$AA$23,'Lista Suspensa'!$AB$20:$AB$23,"N/A")</f>
        <v>S</v>
      </c>
    </row>
    <row r="1222" spans="1:47" ht="12" hidden="1" customHeight="1" x14ac:dyDescent="0.3">
      <c r="A1222" s="87" t="s">
        <v>47</v>
      </c>
      <c r="B1222" s="88">
        <v>46104</v>
      </c>
      <c r="C1222" s="89" t="s">
        <v>48</v>
      </c>
      <c r="D1222" s="89" t="s">
        <v>49</v>
      </c>
      <c r="E1222" s="90">
        <v>81236560</v>
      </c>
      <c r="F1222" s="184" t="s">
        <v>3493</v>
      </c>
      <c r="G1222" s="91">
        <v>4194674839</v>
      </c>
      <c r="H1222" s="92">
        <v>22482</v>
      </c>
      <c r="I1222" s="89">
        <v>64</v>
      </c>
      <c r="J1222" s="89" t="s">
        <v>51</v>
      </c>
      <c r="K1222" s="89" t="s">
        <v>52</v>
      </c>
      <c r="L1222" s="89" t="s">
        <v>53</v>
      </c>
      <c r="M1222" s="89" t="s">
        <v>1089</v>
      </c>
      <c r="N1222" s="89" t="s">
        <v>148</v>
      </c>
      <c r="O1222" s="93" t="s">
        <v>3494</v>
      </c>
      <c r="P1222" s="94" t="s">
        <v>57</v>
      </c>
      <c r="Q1222" s="112" t="s">
        <v>2211</v>
      </c>
      <c r="R1222" s="95"/>
      <c r="S1222" s="96">
        <v>46164</v>
      </c>
      <c r="T1222" s="96" t="s">
        <v>2212</v>
      </c>
      <c r="U1222" s="96" t="s">
        <v>79</v>
      </c>
      <c r="V1222" s="92">
        <v>46141</v>
      </c>
      <c r="W1222" s="92">
        <v>46154</v>
      </c>
      <c r="X1222" s="92">
        <v>46160</v>
      </c>
      <c r="Y1222" s="97"/>
      <c r="Z1222" s="89"/>
      <c r="AA1222" s="96"/>
      <c r="AB1222" s="89"/>
      <c r="AC1222" s="111"/>
      <c r="AD1222" s="89"/>
      <c r="AE1222" s="89"/>
      <c r="AF1222" s="98"/>
      <c r="AG1222" s="98"/>
      <c r="AH1222" s="98"/>
      <c r="AI1222" s="99"/>
      <c r="AJ1222" s="99"/>
      <c r="AK1222" s="99"/>
      <c r="AL1222" s="45" t="s">
        <v>68</v>
      </c>
      <c r="AM1222" s="162" t="str">
        <f t="shared" si="152"/>
        <v>3/2026</v>
      </c>
      <c r="AN1222" s="45">
        <f t="shared" si="153"/>
        <v>4</v>
      </c>
      <c r="AO1222" s="45" t="str">
        <f t="shared" si="154"/>
        <v>1/1900</v>
      </c>
      <c r="AP1222" s="45" t="e">
        <f t="shared" si="155"/>
        <v>#NUM!</v>
      </c>
      <c r="AQ1222" s="45">
        <f t="shared" si="156"/>
        <v>0</v>
      </c>
      <c r="AR1222" s="45">
        <f t="shared" si="157"/>
        <v>0</v>
      </c>
      <c r="AS1222" s="45">
        <f t="shared" si="158"/>
        <v>0</v>
      </c>
      <c r="AT1222" s="45">
        <f t="shared" si="159"/>
        <v>0</v>
      </c>
      <c r="AU1222" s="45" t="str">
        <f>_xlfn.XLOOKUP(U1222,'Lista Suspensa'!$AA$20:$AA$23,'Lista Suspensa'!$AB$20:$AB$23,"N/A")</f>
        <v>S</v>
      </c>
    </row>
    <row r="1223" spans="1:47" ht="12" hidden="1" customHeight="1" x14ac:dyDescent="0.3">
      <c r="A1223" s="87" t="s">
        <v>47</v>
      </c>
      <c r="B1223" s="88">
        <v>46104</v>
      </c>
      <c r="C1223" s="89" t="s">
        <v>48</v>
      </c>
      <c r="D1223" s="89" t="s">
        <v>49</v>
      </c>
      <c r="E1223" s="90">
        <v>81088707</v>
      </c>
      <c r="F1223" s="184" t="s">
        <v>3495</v>
      </c>
      <c r="G1223" s="91">
        <v>8710480862</v>
      </c>
      <c r="H1223" s="92">
        <v>24651</v>
      </c>
      <c r="I1223" s="89">
        <v>58</v>
      </c>
      <c r="J1223" s="89" t="s">
        <v>70</v>
      </c>
      <c r="K1223" s="89" t="s">
        <v>52</v>
      </c>
      <c r="L1223" s="89" t="s">
        <v>53</v>
      </c>
      <c r="M1223" s="89" t="s">
        <v>1089</v>
      </c>
      <c r="N1223" s="89" t="s">
        <v>148</v>
      </c>
      <c r="O1223" s="93" t="s">
        <v>3496</v>
      </c>
      <c r="P1223" s="94" t="s">
        <v>57</v>
      </c>
      <c r="Q1223" s="112" t="s">
        <v>2211</v>
      </c>
      <c r="R1223" s="95"/>
      <c r="S1223" s="96">
        <v>46164</v>
      </c>
      <c r="T1223" s="96" t="s">
        <v>2212</v>
      </c>
      <c r="U1223" s="96" t="s">
        <v>79</v>
      </c>
      <c r="V1223" s="92">
        <v>46142</v>
      </c>
      <c r="W1223" s="92">
        <v>46154</v>
      </c>
      <c r="X1223" s="92">
        <v>46160</v>
      </c>
      <c r="Y1223" s="97"/>
      <c r="Z1223" s="89"/>
      <c r="AA1223" s="96"/>
      <c r="AB1223" s="89"/>
      <c r="AC1223" s="111"/>
      <c r="AD1223" s="89"/>
      <c r="AE1223" s="89"/>
      <c r="AF1223" s="98"/>
      <c r="AG1223" s="98"/>
      <c r="AH1223" s="98"/>
      <c r="AI1223" s="99"/>
      <c r="AJ1223" s="99"/>
      <c r="AK1223" s="99"/>
      <c r="AL1223" s="45" t="s">
        <v>68</v>
      </c>
      <c r="AM1223" s="162" t="str">
        <f t="shared" si="152"/>
        <v>3/2026</v>
      </c>
      <c r="AN1223" s="45">
        <f t="shared" si="153"/>
        <v>4</v>
      </c>
      <c r="AO1223" s="45" t="str">
        <f t="shared" si="154"/>
        <v>1/1900</v>
      </c>
      <c r="AP1223" s="45" t="e">
        <f t="shared" si="155"/>
        <v>#NUM!</v>
      </c>
      <c r="AQ1223" s="45">
        <f t="shared" si="156"/>
        <v>0</v>
      </c>
      <c r="AR1223" s="45">
        <f t="shared" si="157"/>
        <v>0</v>
      </c>
      <c r="AS1223" s="45">
        <f t="shared" si="158"/>
        <v>0</v>
      </c>
      <c r="AT1223" s="45">
        <f t="shared" si="159"/>
        <v>0</v>
      </c>
      <c r="AU1223" s="45" t="str">
        <f>_xlfn.XLOOKUP(U1223,'Lista Suspensa'!$AA$20:$AA$23,'Lista Suspensa'!$AB$20:$AB$23,"N/A")</f>
        <v>S</v>
      </c>
    </row>
    <row r="1224" spans="1:47" ht="12" hidden="1" customHeight="1" x14ac:dyDescent="0.3">
      <c r="A1224" s="87" t="s">
        <v>47</v>
      </c>
      <c r="B1224" s="88">
        <v>46104</v>
      </c>
      <c r="C1224" s="89" t="s">
        <v>48</v>
      </c>
      <c r="D1224" s="89" t="s">
        <v>49</v>
      </c>
      <c r="E1224" s="90">
        <v>80995001</v>
      </c>
      <c r="F1224" s="184" t="s">
        <v>3497</v>
      </c>
      <c r="G1224" s="91">
        <v>60142936715</v>
      </c>
      <c r="H1224" s="92">
        <v>21756</v>
      </c>
      <c r="I1224" s="89">
        <v>66</v>
      </c>
      <c r="J1224" s="89" t="s">
        <v>51</v>
      </c>
      <c r="K1224" s="89" t="s">
        <v>88</v>
      </c>
      <c r="L1224" s="89" t="s">
        <v>89</v>
      </c>
      <c r="M1224" s="89" t="s">
        <v>1098</v>
      </c>
      <c r="N1224" s="89" t="s">
        <v>148</v>
      </c>
      <c r="O1224" s="93" t="s">
        <v>3498</v>
      </c>
      <c r="P1224" s="94" t="s">
        <v>57</v>
      </c>
      <c r="Q1224" s="112" t="s">
        <v>2211</v>
      </c>
      <c r="R1224" s="95"/>
      <c r="S1224" s="96">
        <v>46150</v>
      </c>
      <c r="T1224" s="96" t="s">
        <v>2212</v>
      </c>
      <c r="U1224" s="96" t="s">
        <v>79</v>
      </c>
      <c r="V1224" s="92">
        <v>46122</v>
      </c>
      <c r="W1224" s="92">
        <v>46141</v>
      </c>
      <c r="X1224" s="92">
        <v>46142</v>
      </c>
      <c r="Y1224" s="97"/>
      <c r="Z1224" s="89"/>
      <c r="AA1224" s="96"/>
      <c r="AB1224" s="89"/>
      <c r="AC1224" s="111"/>
      <c r="AD1224" s="89"/>
      <c r="AE1224" s="89"/>
      <c r="AF1224" s="98"/>
      <c r="AG1224" s="98"/>
      <c r="AH1224" s="98"/>
      <c r="AI1224" s="99"/>
      <c r="AJ1224" s="99"/>
      <c r="AK1224" s="99"/>
      <c r="AL1224" s="45" t="s">
        <v>68</v>
      </c>
      <c r="AM1224" s="162" t="str">
        <f t="shared" si="152"/>
        <v>3/2026</v>
      </c>
      <c r="AN1224" s="45">
        <f t="shared" si="153"/>
        <v>4</v>
      </c>
      <c r="AO1224" s="45" t="str">
        <f t="shared" si="154"/>
        <v>1/1900</v>
      </c>
      <c r="AP1224" s="45" t="e">
        <f t="shared" si="155"/>
        <v>#NUM!</v>
      </c>
      <c r="AQ1224" s="45">
        <f t="shared" si="156"/>
        <v>0</v>
      </c>
      <c r="AR1224" s="45">
        <f t="shared" si="157"/>
        <v>0</v>
      </c>
      <c r="AS1224" s="45">
        <f t="shared" si="158"/>
        <v>0</v>
      </c>
      <c r="AT1224" s="45">
        <f t="shared" si="159"/>
        <v>0</v>
      </c>
      <c r="AU1224" s="45" t="str">
        <f>_xlfn.XLOOKUP(U1224,'Lista Suspensa'!$AA$20:$AA$23,'Lista Suspensa'!$AB$20:$AB$23,"N/A")</f>
        <v>S</v>
      </c>
    </row>
    <row r="1225" spans="1:47" ht="12" hidden="1" customHeight="1" x14ac:dyDescent="0.3">
      <c r="A1225" s="87" t="s">
        <v>47</v>
      </c>
      <c r="B1225" s="88">
        <v>46104</v>
      </c>
      <c r="C1225" s="89" t="s">
        <v>48</v>
      </c>
      <c r="D1225" s="89" t="s">
        <v>49</v>
      </c>
      <c r="E1225" s="90">
        <v>82445917</v>
      </c>
      <c r="F1225" s="184" t="s">
        <v>3499</v>
      </c>
      <c r="G1225" s="91">
        <v>67218989772</v>
      </c>
      <c r="H1225" s="92">
        <v>22647</v>
      </c>
      <c r="I1225" s="89">
        <v>64</v>
      </c>
      <c r="J1225" s="89" t="s">
        <v>70</v>
      </c>
      <c r="K1225" s="89" t="s">
        <v>88</v>
      </c>
      <c r="L1225" s="89" t="s">
        <v>629</v>
      </c>
      <c r="M1225" s="89" t="s">
        <v>3500</v>
      </c>
      <c r="N1225" s="89" t="s">
        <v>148</v>
      </c>
      <c r="O1225" s="93" t="s">
        <v>3501</v>
      </c>
      <c r="P1225" s="94" t="s">
        <v>57</v>
      </c>
      <c r="Q1225" s="112" t="s">
        <v>2211</v>
      </c>
      <c r="R1225" s="95"/>
      <c r="S1225" s="96">
        <v>46164</v>
      </c>
      <c r="T1225" s="96" t="s">
        <v>2212</v>
      </c>
      <c r="U1225" s="96" t="s">
        <v>79</v>
      </c>
      <c r="V1225" s="92">
        <v>46141</v>
      </c>
      <c r="W1225" s="92">
        <v>46154</v>
      </c>
      <c r="X1225" s="92">
        <v>46160</v>
      </c>
      <c r="Y1225" s="97"/>
      <c r="Z1225" s="89"/>
      <c r="AA1225" s="96"/>
      <c r="AB1225" s="89"/>
      <c r="AC1225" s="111"/>
      <c r="AD1225" s="89"/>
      <c r="AE1225" s="89"/>
      <c r="AF1225" s="98"/>
      <c r="AG1225" s="98"/>
      <c r="AH1225" s="98"/>
      <c r="AI1225" s="99"/>
      <c r="AJ1225" s="99"/>
      <c r="AK1225" s="99"/>
      <c r="AL1225" s="45" t="s">
        <v>68</v>
      </c>
      <c r="AM1225" s="162" t="str">
        <f t="shared" si="152"/>
        <v>3/2026</v>
      </c>
      <c r="AN1225" s="45">
        <f t="shared" si="153"/>
        <v>4</v>
      </c>
      <c r="AO1225" s="45" t="str">
        <f t="shared" si="154"/>
        <v>1/1900</v>
      </c>
      <c r="AP1225" s="45" t="e">
        <f t="shared" si="155"/>
        <v>#NUM!</v>
      </c>
      <c r="AQ1225" s="45">
        <f t="shared" si="156"/>
        <v>0</v>
      </c>
      <c r="AR1225" s="45">
        <f t="shared" si="157"/>
        <v>0</v>
      </c>
      <c r="AS1225" s="45">
        <f t="shared" si="158"/>
        <v>0</v>
      </c>
      <c r="AT1225" s="45">
        <f t="shared" si="159"/>
        <v>0</v>
      </c>
      <c r="AU1225" s="45" t="str">
        <f>_xlfn.XLOOKUP(U1225,'Lista Suspensa'!$AA$20:$AA$23,'Lista Suspensa'!$AB$20:$AB$23,"N/A")</f>
        <v>S</v>
      </c>
    </row>
    <row r="1226" spans="1:47" ht="12" hidden="1" customHeight="1" x14ac:dyDescent="0.3">
      <c r="A1226" s="87" t="s">
        <v>47</v>
      </c>
      <c r="B1226" s="88">
        <v>46104</v>
      </c>
      <c r="C1226" s="89" t="s">
        <v>48</v>
      </c>
      <c r="D1226" s="89" t="s">
        <v>49</v>
      </c>
      <c r="E1226" s="90">
        <v>79291848</v>
      </c>
      <c r="F1226" s="184" t="s">
        <v>3502</v>
      </c>
      <c r="G1226" s="91">
        <v>8983493895</v>
      </c>
      <c r="H1226" s="92">
        <v>20833</v>
      </c>
      <c r="I1226" s="89">
        <v>69</v>
      </c>
      <c r="J1226" s="89" t="s">
        <v>70</v>
      </c>
      <c r="K1226" s="89" t="s">
        <v>52</v>
      </c>
      <c r="L1226" s="89" t="s">
        <v>53</v>
      </c>
      <c r="M1226" s="89" t="s">
        <v>2530</v>
      </c>
      <c r="N1226" s="89" t="s">
        <v>148</v>
      </c>
      <c r="O1226" s="93" t="s">
        <v>3503</v>
      </c>
      <c r="P1226" s="94" t="s">
        <v>57</v>
      </c>
      <c r="Q1226" s="112" t="s">
        <v>2211</v>
      </c>
      <c r="R1226" s="95"/>
      <c r="S1226" s="96">
        <v>46164</v>
      </c>
      <c r="T1226" s="96" t="s">
        <v>2212</v>
      </c>
      <c r="U1226" s="96" t="s">
        <v>79</v>
      </c>
      <c r="V1226" s="92">
        <v>46141</v>
      </c>
      <c r="W1226" s="92">
        <v>46154</v>
      </c>
      <c r="X1226" s="92">
        <v>46160</v>
      </c>
      <c r="Y1226" s="97"/>
      <c r="Z1226" s="89"/>
      <c r="AA1226" s="96"/>
      <c r="AB1226" s="89"/>
      <c r="AC1226" s="111"/>
      <c r="AD1226" s="89"/>
      <c r="AE1226" s="89"/>
      <c r="AF1226" s="98"/>
      <c r="AG1226" s="98"/>
      <c r="AH1226" s="98"/>
      <c r="AI1226" s="99"/>
      <c r="AJ1226" s="99"/>
      <c r="AK1226" s="99"/>
      <c r="AL1226" s="45" t="s">
        <v>68</v>
      </c>
      <c r="AM1226" s="162" t="str">
        <f t="shared" si="152"/>
        <v>3/2026</v>
      </c>
      <c r="AN1226" s="45">
        <f t="shared" si="153"/>
        <v>4</v>
      </c>
      <c r="AO1226" s="45" t="str">
        <f t="shared" si="154"/>
        <v>1/1900</v>
      </c>
      <c r="AP1226" s="45" t="e">
        <f t="shared" si="155"/>
        <v>#NUM!</v>
      </c>
      <c r="AQ1226" s="45">
        <f t="shared" si="156"/>
        <v>0</v>
      </c>
      <c r="AR1226" s="45">
        <f t="shared" si="157"/>
        <v>0</v>
      </c>
      <c r="AS1226" s="45">
        <f t="shared" si="158"/>
        <v>0</v>
      </c>
      <c r="AT1226" s="45">
        <f t="shared" si="159"/>
        <v>0</v>
      </c>
      <c r="AU1226" s="45" t="str">
        <f>_xlfn.XLOOKUP(U1226,'Lista Suspensa'!$AA$20:$AA$23,'Lista Suspensa'!$AB$20:$AB$23,"N/A")</f>
        <v>S</v>
      </c>
    </row>
    <row r="1227" spans="1:47" ht="12" hidden="1" customHeight="1" x14ac:dyDescent="0.3">
      <c r="A1227" s="87" t="s">
        <v>47</v>
      </c>
      <c r="B1227" s="88">
        <v>46104</v>
      </c>
      <c r="C1227" s="89" t="s">
        <v>48</v>
      </c>
      <c r="D1227" s="89" t="s">
        <v>49</v>
      </c>
      <c r="E1227" s="90">
        <v>79903291</v>
      </c>
      <c r="F1227" s="184" t="s">
        <v>3504</v>
      </c>
      <c r="G1227" s="91">
        <v>29071479862</v>
      </c>
      <c r="H1227" s="92">
        <v>29684</v>
      </c>
      <c r="I1227" s="89">
        <v>44</v>
      </c>
      <c r="J1227" s="89" t="s">
        <v>51</v>
      </c>
      <c r="K1227" s="89" t="s">
        <v>52</v>
      </c>
      <c r="L1227" s="89" t="s">
        <v>331</v>
      </c>
      <c r="M1227" s="89" t="s">
        <v>3505</v>
      </c>
      <c r="N1227" s="89" t="s">
        <v>148</v>
      </c>
      <c r="O1227" s="93" t="s">
        <v>3506</v>
      </c>
      <c r="P1227" s="94" t="s">
        <v>57</v>
      </c>
      <c r="Q1227" s="112" t="s">
        <v>2211</v>
      </c>
      <c r="R1227" s="95"/>
      <c r="S1227" s="96">
        <v>46164</v>
      </c>
      <c r="T1227" s="96" t="s">
        <v>2212</v>
      </c>
      <c r="U1227" s="96" t="s">
        <v>79</v>
      </c>
      <c r="V1227" s="92">
        <v>46141</v>
      </c>
      <c r="W1227" s="92">
        <v>46154</v>
      </c>
      <c r="X1227" s="92">
        <v>46160</v>
      </c>
      <c r="Y1227" s="97"/>
      <c r="Z1227" s="89"/>
      <c r="AA1227" s="96"/>
      <c r="AB1227" s="89"/>
      <c r="AC1227" s="111"/>
      <c r="AD1227" s="89"/>
      <c r="AE1227" s="89"/>
      <c r="AF1227" s="98"/>
      <c r="AG1227" s="98"/>
      <c r="AH1227" s="98"/>
      <c r="AI1227" s="99"/>
      <c r="AJ1227" s="99"/>
      <c r="AK1227" s="99"/>
      <c r="AL1227" s="45" t="s">
        <v>68</v>
      </c>
      <c r="AM1227" s="162" t="str">
        <f t="shared" si="152"/>
        <v>3/2026</v>
      </c>
      <c r="AN1227" s="45">
        <f t="shared" si="153"/>
        <v>4</v>
      </c>
      <c r="AO1227" s="45" t="str">
        <f t="shared" si="154"/>
        <v>1/1900</v>
      </c>
      <c r="AP1227" s="45" t="e">
        <f t="shared" si="155"/>
        <v>#NUM!</v>
      </c>
      <c r="AQ1227" s="45">
        <f t="shared" si="156"/>
        <v>0</v>
      </c>
      <c r="AR1227" s="45">
        <f t="shared" si="157"/>
        <v>0</v>
      </c>
      <c r="AS1227" s="45">
        <f t="shared" si="158"/>
        <v>0</v>
      </c>
      <c r="AT1227" s="45">
        <f t="shared" si="159"/>
        <v>0</v>
      </c>
      <c r="AU1227" s="45" t="str">
        <f>_xlfn.XLOOKUP(U1227,'Lista Suspensa'!$AA$20:$AA$23,'Lista Suspensa'!$AB$20:$AB$23,"N/A")</f>
        <v>S</v>
      </c>
    </row>
    <row r="1228" spans="1:47" ht="12" hidden="1" customHeight="1" x14ac:dyDescent="0.3">
      <c r="A1228" s="87" t="s">
        <v>47</v>
      </c>
      <c r="B1228" s="88">
        <v>46104</v>
      </c>
      <c r="C1228" s="89" t="s">
        <v>48</v>
      </c>
      <c r="D1228" s="89" t="s">
        <v>49</v>
      </c>
      <c r="E1228" s="90">
        <v>82440573</v>
      </c>
      <c r="F1228" s="184" t="s">
        <v>3507</v>
      </c>
      <c r="G1228" s="91">
        <v>13007030838</v>
      </c>
      <c r="H1228" s="92">
        <v>25610</v>
      </c>
      <c r="I1228" s="89">
        <v>56</v>
      </c>
      <c r="J1228" s="89" t="s">
        <v>70</v>
      </c>
      <c r="K1228" s="89" t="s">
        <v>52</v>
      </c>
      <c r="L1228" s="89" t="s">
        <v>53</v>
      </c>
      <c r="M1228" s="89" t="s">
        <v>3508</v>
      </c>
      <c r="N1228" s="89" t="s">
        <v>148</v>
      </c>
      <c r="O1228" s="93" t="s">
        <v>3509</v>
      </c>
      <c r="P1228" s="94" t="s">
        <v>57</v>
      </c>
      <c r="Q1228" s="112" t="s">
        <v>2211</v>
      </c>
      <c r="R1228" s="95"/>
      <c r="S1228" s="96">
        <v>46150</v>
      </c>
      <c r="T1228" s="96" t="s">
        <v>2212</v>
      </c>
      <c r="U1228" s="96" t="s">
        <v>79</v>
      </c>
      <c r="V1228" s="92">
        <v>46128</v>
      </c>
      <c r="W1228" s="92">
        <v>46141</v>
      </c>
      <c r="X1228" s="92">
        <v>46142</v>
      </c>
      <c r="Y1228" s="97"/>
      <c r="Z1228" s="89"/>
      <c r="AA1228" s="96"/>
      <c r="AB1228" s="89"/>
      <c r="AC1228" s="111"/>
      <c r="AD1228" s="89"/>
      <c r="AE1228" s="89"/>
      <c r="AF1228" s="98"/>
      <c r="AG1228" s="98"/>
      <c r="AH1228" s="98"/>
      <c r="AI1228" s="99"/>
      <c r="AJ1228" s="99"/>
      <c r="AK1228" s="99"/>
      <c r="AL1228" s="45" t="s">
        <v>68</v>
      </c>
      <c r="AM1228" s="162" t="str">
        <f t="shared" si="152"/>
        <v>3/2026</v>
      </c>
      <c r="AN1228" s="45">
        <f t="shared" si="153"/>
        <v>4</v>
      </c>
      <c r="AO1228" s="45" t="str">
        <f t="shared" si="154"/>
        <v>1/1900</v>
      </c>
      <c r="AP1228" s="45" t="e">
        <f t="shared" si="155"/>
        <v>#NUM!</v>
      </c>
      <c r="AQ1228" s="45">
        <f t="shared" si="156"/>
        <v>0</v>
      </c>
      <c r="AR1228" s="45">
        <f t="shared" si="157"/>
        <v>0</v>
      </c>
      <c r="AS1228" s="45">
        <f t="shared" si="158"/>
        <v>0</v>
      </c>
      <c r="AT1228" s="45">
        <f t="shared" si="159"/>
        <v>0</v>
      </c>
      <c r="AU1228" s="45" t="str">
        <f>_xlfn.XLOOKUP(U1228,'Lista Suspensa'!$AA$20:$AA$23,'Lista Suspensa'!$AB$20:$AB$23,"N/A")</f>
        <v>S</v>
      </c>
    </row>
    <row r="1229" spans="1:47" ht="12" hidden="1" customHeight="1" x14ac:dyDescent="0.3">
      <c r="A1229" s="87" t="s">
        <v>47</v>
      </c>
      <c r="B1229" s="88">
        <v>46104</v>
      </c>
      <c r="C1229" s="89" t="s">
        <v>48</v>
      </c>
      <c r="D1229" s="89" t="s">
        <v>49</v>
      </c>
      <c r="E1229" s="90">
        <v>82440574</v>
      </c>
      <c r="F1229" s="184" t="s">
        <v>3510</v>
      </c>
      <c r="G1229" s="91">
        <v>5449578814</v>
      </c>
      <c r="H1229" s="92">
        <v>22747</v>
      </c>
      <c r="I1229" s="89">
        <v>63</v>
      </c>
      <c r="J1229" s="89" t="s">
        <v>51</v>
      </c>
      <c r="K1229" s="89" t="s">
        <v>52</v>
      </c>
      <c r="L1229" s="89" t="s">
        <v>53</v>
      </c>
      <c r="M1229" s="89" t="s">
        <v>3508</v>
      </c>
      <c r="N1229" s="89" t="s">
        <v>148</v>
      </c>
      <c r="O1229" s="93" t="s">
        <v>3509</v>
      </c>
      <c r="P1229" s="94" t="s">
        <v>57</v>
      </c>
      <c r="Q1229" s="112" t="s">
        <v>2211</v>
      </c>
      <c r="R1229" s="95"/>
      <c r="S1229" s="96">
        <v>46164</v>
      </c>
      <c r="T1229" s="96" t="s">
        <v>2212</v>
      </c>
      <c r="U1229" s="96" t="s">
        <v>79</v>
      </c>
      <c r="V1229" s="92">
        <v>46141</v>
      </c>
      <c r="W1229" s="92">
        <v>46154</v>
      </c>
      <c r="X1229" s="92">
        <v>46160</v>
      </c>
      <c r="Y1229" s="97"/>
      <c r="Z1229" s="89"/>
      <c r="AA1229" s="96"/>
      <c r="AB1229" s="89"/>
      <c r="AC1229" s="111"/>
      <c r="AD1229" s="89"/>
      <c r="AE1229" s="89"/>
      <c r="AF1229" s="98"/>
      <c r="AG1229" s="98"/>
      <c r="AH1229" s="98"/>
      <c r="AI1229" s="99"/>
      <c r="AJ1229" s="99"/>
      <c r="AK1229" s="99"/>
      <c r="AL1229" s="45" t="s">
        <v>68</v>
      </c>
      <c r="AM1229" s="162" t="str">
        <f t="shared" si="152"/>
        <v>3/2026</v>
      </c>
      <c r="AN1229" s="45">
        <f t="shared" si="153"/>
        <v>4</v>
      </c>
      <c r="AO1229" s="45" t="str">
        <f t="shared" si="154"/>
        <v>1/1900</v>
      </c>
      <c r="AP1229" s="45" t="e">
        <f t="shared" si="155"/>
        <v>#NUM!</v>
      </c>
      <c r="AQ1229" s="45">
        <f t="shared" si="156"/>
        <v>0</v>
      </c>
      <c r="AR1229" s="45">
        <f t="shared" si="157"/>
        <v>0</v>
      </c>
      <c r="AS1229" s="45">
        <f t="shared" si="158"/>
        <v>0</v>
      </c>
      <c r="AT1229" s="45">
        <f t="shared" si="159"/>
        <v>0</v>
      </c>
      <c r="AU1229" s="45" t="str">
        <f>_xlfn.XLOOKUP(U1229,'Lista Suspensa'!$AA$20:$AA$23,'Lista Suspensa'!$AB$20:$AB$23,"N/A")</f>
        <v>S</v>
      </c>
    </row>
    <row r="1230" spans="1:47" ht="12" hidden="1" customHeight="1" x14ac:dyDescent="0.3">
      <c r="A1230" s="87" t="s">
        <v>47</v>
      </c>
      <c r="B1230" s="88">
        <v>46104</v>
      </c>
      <c r="C1230" s="89" t="s">
        <v>48</v>
      </c>
      <c r="D1230" s="89" t="s">
        <v>49</v>
      </c>
      <c r="E1230" s="90">
        <v>86757918</v>
      </c>
      <c r="F1230" s="184" t="s">
        <v>3511</v>
      </c>
      <c r="G1230" s="91">
        <v>13914177802</v>
      </c>
      <c r="H1230" s="92">
        <v>26177</v>
      </c>
      <c r="I1230" s="89">
        <v>54</v>
      </c>
      <c r="J1230" s="89" t="s">
        <v>70</v>
      </c>
      <c r="K1230" s="89" t="s">
        <v>52</v>
      </c>
      <c r="L1230" s="89" t="s">
        <v>331</v>
      </c>
      <c r="M1230" s="89" t="s">
        <v>1395</v>
      </c>
      <c r="N1230" s="89" t="s">
        <v>148</v>
      </c>
      <c r="O1230" s="93" t="s">
        <v>3512</v>
      </c>
      <c r="P1230" s="94" t="s">
        <v>57</v>
      </c>
      <c r="Q1230" s="112" t="s">
        <v>2211</v>
      </c>
      <c r="R1230" s="95"/>
      <c r="S1230" s="96">
        <v>46164</v>
      </c>
      <c r="T1230" s="96" t="s">
        <v>2212</v>
      </c>
      <c r="U1230" s="96" t="s">
        <v>79</v>
      </c>
      <c r="V1230" s="92">
        <v>46141</v>
      </c>
      <c r="W1230" s="92">
        <v>46154</v>
      </c>
      <c r="X1230" s="92">
        <v>46160</v>
      </c>
      <c r="Y1230" s="97"/>
      <c r="Z1230" s="89"/>
      <c r="AA1230" s="96"/>
      <c r="AB1230" s="89"/>
      <c r="AC1230" s="111"/>
      <c r="AD1230" s="89"/>
      <c r="AE1230" s="89"/>
      <c r="AF1230" s="98"/>
      <c r="AG1230" s="98"/>
      <c r="AH1230" s="98"/>
      <c r="AI1230" s="99"/>
      <c r="AJ1230" s="99"/>
      <c r="AK1230" s="99"/>
      <c r="AL1230" s="45" t="s">
        <v>68</v>
      </c>
      <c r="AM1230" s="162" t="str">
        <f t="shared" si="152"/>
        <v>3/2026</v>
      </c>
      <c r="AN1230" s="45">
        <f t="shared" si="153"/>
        <v>4</v>
      </c>
      <c r="AO1230" s="45" t="str">
        <f t="shared" si="154"/>
        <v>1/1900</v>
      </c>
      <c r="AP1230" s="45" t="e">
        <f t="shared" si="155"/>
        <v>#NUM!</v>
      </c>
      <c r="AQ1230" s="45">
        <f t="shared" si="156"/>
        <v>0</v>
      </c>
      <c r="AR1230" s="45">
        <f t="shared" si="157"/>
        <v>0</v>
      </c>
      <c r="AS1230" s="45">
        <f t="shared" si="158"/>
        <v>0</v>
      </c>
      <c r="AT1230" s="45">
        <f t="shared" si="159"/>
        <v>0</v>
      </c>
      <c r="AU1230" s="45" t="str">
        <f>_xlfn.XLOOKUP(U1230,'Lista Suspensa'!$AA$20:$AA$23,'Lista Suspensa'!$AB$20:$AB$23,"N/A")</f>
        <v>S</v>
      </c>
    </row>
    <row r="1231" spans="1:47" ht="12" hidden="1" customHeight="1" x14ac:dyDescent="0.3">
      <c r="A1231" s="87" t="s">
        <v>47</v>
      </c>
      <c r="B1231" s="88">
        <v>46104</v>
      </c>
      <c r="C1231" s="89" t="s">
        <v>48</v>
      </c>
      <c r="D1231" s="89" t="s">
        <v>49</v>
      </c>
      <c r="E1231" s="90">
        <v>81233594</v>
      </c>
      <c r="F1231" s="184" t="s">
        <v>3513</v>
      </c>
      <c r="G1231" s="91">
        <v>9534304808</v>
      </c>
      <c r="H1231" s="92">
        <v>25573</v>
      </c>
      <c r="I1231" s="89">
        <v>56</v>
      </c>
      <c r="J1231" s="89" t="s">
        <v>70</v>
      </c>
      <c r="K1231" s="89" t="s">
        <v>52</v>
      </c>
      <c r="L1231" s="89" t="s">
        <v>331</v>
      </c>
      <c r="M1231" s="89" t="s">
        <v>3514</v>
      </c>
      <c r="N1231" s="89" t="s">
        <v>148</v>
      </c>
      <c r="O1231" s="93" t="s">
        <v>3515</v>
      </c>
      <c r="P1231" s="94" t="s">
        <v>57</v>
      </c>
      <c r="Q1231" s="112" t="s">
        <v>2211</v>
      </c>
      <c r="R1231" s="95"/>
      <c r="S1231" s="96">
        <v>46164</v>
      </c>
      <c r="T1231" s="96" t="s">
        <v>2212</v>
      </c>
      <c r="U1231" s="96" t="s">
        <v>79</v>
      </c>
      <c r="V1231" s="92">
        <v>46141</v>
      </c>
      <c r="W1231" s="92">
        <v>46154</v>
      </c>
      <c r="X1231" s="92">
        <v>46160</v>
      </c>
      <c r="Y1231" s="97"/>
      <c r="Z1231" s="89"/>
      <c r="AA1231" s="96"/>
      <c r="AB1231" s="89"/>
      <c r="AC1231" s="111"/>
      <c r="AD1231" s="89"/>
      <c r="AE1231" s="89"/>
      <c r="AF1231" s="98"/>
      <c r="AG1231" s="98"/>
      <c r="AH1231" s="98"/>
      <c r="AI1231" s="99"/>
      <c r="AJ1231" s="99"/>
      <c r="AK1231" s="99"/>
      <c r="AL1231" s="45" t="s">
        <v>68</v>
      </c>
      <c r="AM1231" s="162" t="str">
        <f t="shared" si="152"/>
        <v>3/2026</v>
      </c>
      <c r="AN1231" s="45">
        <f t="shared" si="153"/>
        <v>4</v>
      </c>
      <c r="AO1231" s="45" t="str">
        <f t="shared" si="154"/>
        <v>1/1900</v>
      </c>
      <c r="AP1231" s="45" t="e">
        <f t="shared" si="155"/>
        <v>#NUM!</v>
      </c>
      <c r="AQ1231" s="45">
        <f t="shared" si="156"/>
        <v>0</v>
      </c>
      <c r="AR1231" s="45">
        <f t="shared" si="157"/>
        <v>0</v>
      </c>
      <c r="AS1231" s="45">
        <f t="shared" si="158"/>
        <v>0</v>
      </c>
      <c r="AT1231" s="45">
        <f t="shared" si="159"/>
        <v>0</v>
      </c>
      <c r="AU1231" s="45" t="str">
        <f>_xlfn.XLOOKUP(U1231,'Lista Suspensa'!$AA$20:$AA$23,'Lista Suspensa'!$AB$20:$AB$23,"N/A")</f>
        <v>S</v>
      </c>
    </row>
    <row r="1232" spans="1:47" ht="12" hidden="1" customHeight="1" x14ac:dyDescent="0.3">
      <c r="A1232" s="87" t="s">
        <v>47</v>
      </c>
      <c r="B1232" s="88">
        <v>46104</v>
      </c>
      <c r="C1232" s="89" t="s">
        <v>48</v>
      </c>
      <c r="D1232" s="89" t="s">
        <v>49</v>
      </c>
      <c r="E1232" s="90">
        <v>82331447</v>
      </c>
      <c r="F1232" s="184" t="s">
        <v>3516</v>
      </c>
      <c r="G1232" s="91">
        <v>2205659880</v>
      </c>
      <c r="H1232" s="92">
        <v>23557</v>
      </c>
      <c r="I1232" s="89">
        <v>61</v>
      </c>
      <c r="J1232" s="89" t="s">
        <v>51</v>
      </c>
      <c r="K1232" s="89" t="s">
        <v>52</v>
      </c>
      <c r="L1232" s="89" t="s">
        <v>53</v>
      </c>
      <c r="M1232" s="89" t="s">
        <v>3517</v>
      </c>
      <c r="N1232" s="89" t="s">
        <v>148</v>
      </c>
      <c r="O1232" s="93" t="s">
        <v>3518</v>
      </c>
      <c r="P1232" s="94" t="s">
        <v>57</v>
      </c>
      <c r="Q1232" s="112" t="s">
        <v>2211</v>
      </c>
      <c r="R1232" s="95"/>
      <c r="S1232" s="96">
        <v>46150</v>
      </c>
      <c r="T1232" s="96" t="s">
        <v>2212</v>
      </c>
      <c r="U1232" s="96" t="s">
        <v>79</v>
      </c>
      <c r="V1232" s="92">
        <v>46128</v>
      </c>
      <c r="W1232" s="92">
        <v>46141</v>
      </c>
      <c r="X1232" s="92">
        <v>46142</v>
      </c>
      <c r="Y1232" s="97"/>
      <c r="Z1232" s="89"/>
      <c r="AA1232" s="96"/>
      <c r="AB1232" s="89"/>
      <c r="AC1232" s="111"/>
      <c r="AD1232" s="89"/>
      <c r="AE1232" s="89"/>
      <c r="AF1232" s="98"/>
      <c r="AG1232" s="98"/>
      <c r="AH1232" s="98"/>
      <c r="AI1232" s="99"/>
      <c r="AJ1232" s="99"/>
      <c r="AK1232" s="99"/>
      <c r="AL1232" s="45" t="s">
        <v>68</v>
      </c>
      <c r="AM1232" s="162" t="str">
        <f t="shared" si="152"/>
        <v>3/2026</v>
      </c>
      <c r="AN1232" s="45">
        <f t="shared" si="153"/>
        <v>4</v>
      </c>
      <c r="AO1232" s="45" t="str">
        <f t="shared" si="154"/>
        <v>1/1900</v>
      </c>
      <c r="AP1232" s="45" t="e">
        <f t="shared" si="155"/>
        <v>#NUM!</v>
      </c>
      <c r="AQ1232" s="45">
        <f t="shared" si="156"/>
        <v>0</v>
      </c>
      <c r="AR1232" s="45">
        <f t="shared" si="157"/>
        <v>0</v>
      </c>
      <c r="AS1232" s="45">
        <f t="shared" si="158"/>
        <v>0</v>
      </c>
      <c r="AT1232" s="45">
        <f t="shared" si="159"/>
        <v>0</v>
      </c>
      <c r="AU1232" s="45" t="str">
        <f>_xlfn.XLOOKUP(U1232,'Lista Suspensa'!$AA$20:$AA$23,'Lista Suspensa'!$AB$20:$AB$23,"N/A")</f>
        <v>S</v>
      </c>
    </row>
    <row r="1233" spans="1:47" ht="12" hidden="1" customHeight="1" x14ac:dyDescent="0.3">
      <c r="A1233" s="87" t="s">
        <v>47</v>
      </c>
      <c r="B1233" s="88">
        <v>46104</v>
      </c>
      <c r="C1233" s="89" t="s">
        <v>48</v>
      </c>
      <c r="D1233" s="89" t="s">
        <v>49</v>
      </c>
      <c r="E1233" s="90">
        <v>85072369</v>
      </c>
      <c r="F1233" s="184" t="s">
        <v>3519</v>
      </c>
      <c r="G1233" s="91">
        <v>39987191720</v>
      </c>
      <c r="H1233" s="92">
        <v>17920</v>
      </c>
      <c r="I1233" s="89">
        <v>77</v>
      </c>
      <c r="J1233" s="89" t="s">
        <v>51</v>
      </c>
      <c r="K1233" s="89" t="s">
        <v>88</v>
      </c>
      <c r="L1233" s="89" t="s">
        <v>89</v>
      </c>
      <c r="M1233" s="89" t="s">
        <v>1615</v>
      </c>
      <c r="N1233" s="89" t="s">
        <v>148</v>
      </c>
      <c r="O1233" s="93" t="s">
        <v>3520</v>
      </c>
      <c r="P1233" s="94" t="s">
        <v>57</v>
      </c>
      <c r="Q1233" s="112" t="s">
        <v>2211</v>
      </c>
      <c r="R1233" s="95"/>
      <c r="S1233" s="96">
        <v>46164</v>
      </c>
      <c r="T1233" s="96" t="s">
        <v>2212</v>
      </c>
      <c r="U1233" s="96" t="s">
        <v>79</v>
      </c>
      <c r="V1233" s="92">
        <v>46141</v>
      </c>
      <c r="W1233" s="92">
        <v>46154</v>
      </c>
      <c r="X1233" s="92">
        <v>46160</v>
      </c>
      <c r="Y1233" s="97"/>
      <c r="Z1233" s="89"/>
      <c r="AA1233" s="96"/>
      <c r="AB1233" s="89"/>
      <c r="AC1233" s="111"/>
      <c r="AD1233" s="89"/>
      <c r="AE1233" s="89"/>
      <c r="AF1233" s="98"/>
      <c r="AG1233" s="98"/>
      <c r="AH1233" s="98"/>
      <c r="AI1233" s="99"/>
      <c r="AJ1233" s="99"/>
      <c r="AK1233" s="99"/>
      <c r="AL1233" s="45" t="s">
        <v>68</v>
      </c>
      <c r="AM1233" s="162" t="str">
        <f t="shared" si="152"/>
        <v>3/2026</v>
      </c>
      <c r="AN1233" s="45">
        <f t="shared" si="153"/>
        <v>4</v>
      </c>
      <c r="AO1233" s="45" t="str">
        <f t="shared" si="154"/>
        <v>1/1900</v>
      </c>
      <c r="AP1233" s="45" t="e">
        <f t="shared" si="155"/>
        <v>#NUM!</v>
      </c>
      <c r="AQ1233" s="45">
        <f t="shared" si="156"/>
        <v>0</v>
      </c>
      <c r="AR1233" s="45">
        <f t="shared" si="157"/>
        <v>0</v>
      </c>
      <c r="AS1233" s="45">
        <f t="shared" si="158"/>
        <v>0</v>
      </c>
      <c r="AT1233" s="45">
        <f t="shared" si="159"/>
        <v>0</v>
      </c>
      <c r="AU1233" s="45" t="str">
        <f>_xlfn.XLOOKUP(U1233,'Lista Suspensa'!$AA$20:$AA$23,'Lista Suspensa'!$AB$20:$AB$23,"N/A")</f>
        <v>S</v>
      </c>
    </row>
    <row r="1234" spans="1:47" ht="12" hidden="1" customHeight="1" x14ac:dyDescent="0.3">
      <c r="A1234" s="87" t="s">
        <v>47</v>
      </c>
      <c r="B1234" s="88">
        <v>46104</v>
      </c>
      <c r="C1234" s="89" t="s">
        <v>48</v>
      </c>
      <c r="D1234" s="89" t="s">
        <v>49</v>
      </c>
      <c r="E1234" s="90">
        <v>79293075</v>
      </c>
      <c r="F1234" s="184" t="s">
        <v>3521</v>
      </c>
      <c r="G1234" s="91">
        <v>14757992840</v>
      </c>
      <c r="H1234" s="92">
        <v>23966</v>
      </c>
      <c r="I1234" s="89">
        <v>60</v>
      </c>
      <c r="J1234" s="89" t="s">
        <v>70</v>
      </c>
      <c r="K1234" s="89" t="s">
        <v>52</v>
      </c>
      <c r="L1234" s="89" t="s">
        <v>53</v>
      </c>
      <c r="M1234" s="89" t="s">
        <v>3522</v>
      </c>
      <c r="N1234" s="89" t="s">
        <v>148</v>
      </c>
      <c r="O1234" s="93" t="s">
        <v>3523</v>
      </c>
      <c r="P1234" s="94" t="s">
        <v>57</v>
      </c>
      <c r="Q1234" s="112" t="s">
        <v>2211</v>
      </c>
      <c r="R1234" s="95"/>
      <c r="S1234" s="96">
        <v>46150</v>
      </c>
      <c r="T1234" s="96" t="s">
        <v>2212</v>
      </c>
      <c r="U1234" s="96" t="s">
        <v>79</v>
      </c>
      <c r="V1234" s="92">
        <v>46128</v>
      </c>
      <c r="W1234" s="92">
        <v>46141</v>
      </c>
      <c r="X1234" s="92">
        <v>46142</v>
      </c>
      <c r="Y1234" s="97"/>
      <c r="Z1234" s="89"/>
      <c r="AA1234" s="96"/>
      <c r="AB1234" s="89"/>
      <c r="AC1234" s="111"/>
      <c r="AD1234" s="89"/>
      <c r="AE1234" s="89"/>
      <c r="AF1234" s="98"/>
      <c r="AG1234" s="98"/>
      <c r="AH1234" s="98"/>
      <c r="AI1234" s="99"/>
      <c r="AJ1234" s="99"/>
      <c r="AK1234" s="99"/>
      <c r="AL1234" s="45" t="s">
        <v>68</v>
      </c>
      <c r="AM1234" s="162" t="str">
        <f t="shared" si="152"/>
        <v>3/2026</v>
      </c>
      <c r="AN1234" s="45">
        <f t="shared" si="153"/>
        <v>4</v>
      </c>
      <c r="AO1234" s="45" t="str">
        <f t="shared" si="154"/>
        <v>1/1900</v>
      </c>
      <c r="AP1234" s="45" t="e">
        <f t="shared" si="155"/>
        <v>#NUM!</v>
      </c>
      <c r="AQ1234" s="45">
        <f t="shared" si="156"/>
        <v>0</v>
      </c>
      <c r="AR1234" s="45">
        <f t="shared" si="157"/>
        <v>0</v>
      </c>
      <c r="AS1234" s="45">
        <f t="shared" si="158"/>
        <v>0</v>
      </c>
      <c r="AT1234" s="45">
        <f t="shared" si="159"/>
        <v>0</v>
      </c>
      <c r="AU1234" s="45" t="str">
        <f>_xlfn.XLOOKUP(U1234,'Lista Suspensa'!$AA$20:$AA$23,'Lista Suspensa'!$AB$20:$AB$23,"N/A")</f>
        <v>S</v>
      </c>
    </row>
    <row r="1235" spans="1:47" ht="12" hidden="1" customHeight="1" x14ac:dyDescent="0.3">
      <c r="A1235" s="87" t="s">
        <v>47</v>
      </c>
      <c r="B1235" s="88">
        <v>46104</v>
      </c>
      <c r="C1235" s="89" t="s">
        <v>48</v>
      </c>
      <c r="D1235" s="89" t="s">
        <v>49</v>
      </c>
      <c r="E1235" s="90">
        <v>81170455</v>
      </c>
      <c r="F1235" s="184" t="s">
        <v>3524</v>
      </c>
      <c r="G1235" s="91">
        <v>8531482879</v>
      </c>
      <c r="H1235" s="92">
        <v>25278</v>
      </c>
      <c r="I1235" s="89">
        <v>57</v>
      </c>
      <c r="J1235" s="89" t="s">
        <v>51</v>
      </c>
      <c r="K1235" s="89" t="s">
        <v>52</v>
      </c>
      <c r="L1235" s="89" t="s">
        <v>53</v>
      </c>
      <c r="M1235" s="89" t="s">
        <v>1062</v>
      </c>
      <c r="N1235" s="89" t="s">
        <v>148</v>
      </c>
      <c r="O1235" s="93" t="s">
        <v>3525</v>
      </c>
      <c r="P1235" s="94" t="s">
        <v>57</v>
      </c>
      <c r="Q1235" s="112" t="s">
        <v>2211</v>
      </c>
      <c r="R1235" s="95"/>
      <c r="S1235" s="96">
        <v>46164</v>
      </c>
      <c r="T1235" s="96" t="s">
        <v>2212</v>
      </c>
      <c r="U1235" s="96" t="s">
        <v>79</v>
      </c>
      <c r="V1235" s="92">
        <v>46141</v>
      </c>
      <c r="W1235" s="92">
        <v>46154</v>
      </c>
      <c r="X1235" s="92">
        <v>46160</v>
      </c>
      <c r="Y1235" s="97"/>
      <c r="Z1235" s="89"/>
      <c r="AA1235" s="96"/>
      <c r="AB1235" s="89"/>
      <c r="AC1235" s="111"/>
      <c r="AD1235" s="89"/>
      <c r="AE1235" s="89"/>
      <c r="AF1235" s="98"/>
      <c r="AG1235" s="98"/>
      <c r="AH1235" s="98"/>
      <c r="AI1235" s="99"/>
      <c r="AJ1235" s="99"/>
      <c r="AK1235" s="99"/>
      <c r="AL1235" s="45" t="s">
        <v>68</v>
      </c>
      <c r="AM1235" s="162" t="str">
        <f t="shared" si="152"/>
        <v>3/2026</v>
      </c>
      <c r="AN1235" s="45">
        <f t="shared" si="153"/>
        <v>4</v>
      </c>
      <c r="AO1235" s="45" t="str">
        <f t="shared" si="154"/>
        <v>1/1900</v>
      </c>
      <c r="AP1235" s="45" t="e">
        <f t="shared" si="155"/>
        <v>#NUM!</v>
      </c>
      <c r="AQ1235" s="45">
        <f t="shared" si="156"/>
        <v>0</v>
      </c>
      <c r="AR1235" s="45">
        <f t="shared" si="157"/>
        <v>0</v>
      </c>
      <c r="AS1235" s="45">
        <f t="shared" si="158"/>
        <v>0</v>
      </c>
      <c r="AT1235" s="45">
        <f t="shared" si="159"/>
        <v>0</v>
      </c>
      <c r="AU1235" s="45" t="str">
        <f>_xlfn.XLOOKUP(U1235,'Lista Suspensa'!$AA$20:$AA$23,'Lista Suspensa'!$AB$20:$AB$23,"N/A")</f>
        <v>S</v>
      </c>
    </row>
    <row r="1236" spans="1:47" ht="12" hidden="1" customHeight="1" x14ac:dyDescent="0.3">
      <c r="A1236" s="87" t="s">
        <v>47</v>
      </c>
      <c r="B1236" s="88">
        <v>46104</v>
      </c>
      <c r="C1236" s="89" t="s">
        <v>48</v>
      </c>
      <c r="D1236" s="89" t="s">
        <v>49</v>
      </c>
      <c r="E1236" s="90">
        <v>77501646</v>
      </c>
      <c r="F1236" s="184" t="s">
        <v>3526</v>
      </c>
      <c r="G1236" s="91">
        <v>7808517810</v>
      </c>
      <c r="H1236" s="92">
        <v>25764</v>
      </c>
      <c r="I1236" s="89">
        <v>55</v>
      </c>
      <c r="J1236" s="89" t="s">
        <v>70</v>
      </c>
      <c r="K1236" s="89" t="s">
        <v>52</v>
      </c>
      <c r="L1236" s="89" t="s">
        <v>331</v>
      </c>
      <c r="M1236" s="89" t="s">
        <v>1624</v>
      </c>
      <c r="N1236" s="89" t="s">
        <v>148</v>
      </c>
      <c r="O1236" s="93" t="s">
        <v>3527</v>
      </c>
      <c r="P1236" s="94" t="s">
        <v>57</v>
      </c>
      <c r="Q1236" s="112" t="s">
        <v>2211</v>
      </c>
      <c r="R1236" s="95"/>
      <c r="S1236" s="96">
        <v>46164</v>
      </c>
      <c r="T1236" s="96" t="s">
        <v>2212</v>
      </c>
      <c r="U1236" s="96" t="s">
        <v>79</v>
      </c>
      <c r="V1236" s="92">
        <v>46141</v>
      </c>
      <c r="W1236" s="92">
        <v>46154</v>
      </c>
      <c r="X1236" s="92">
        <v>46160</v>
      </c>
      <c r="Y1236" s="97"/>
      <c r="Z1236" s="89"/>
      <c r="AA1236" s="96"/>
      <c r="AB1236" s="89"/>
      <c r="AC1236" s="111"/>
      <c r="AD1236" s="89"/>
      <c r="AE1236" s="89"/>
      <c r="AF1236" s="98"/>
      <c r="AG1236" s="98"/>
      <c r="AH1236" s="98"/>
      <c r="AI1236" s="99"/>
      <c r="AJ1236" s="99"/>
      <c r="AK1236" s="99"/>
      <c r="AL1236" s="45" t="s">
        <v>68</v>
      </c>
      <c r="AM1236" s="162" t="str">
        <f t="shared" si="152"/>
        <v>3/2026</v>
      </c>
      <c r="AN1236" s="45">
        <f t="shared" si="153"/>
        <v>4</v>
      </c>
      <c r="AO1236" s="45" t="str">
        <f t="shared" si="154"/>
        <v>1/1900</v>
      </c>
      <c r="AP1236" s="45" t="e">
        <f t="shared" si="155"/>
        <v>#NUM!</v>
      </c>
      <c r="AQ1236" s="45">
        <f t="shared" si="156"/>
        <v>0</v>
      </c>
      <c r="AR1236" s="45">
        <f t="shared" si="157"/>
        <v>0</v>
      </c>
      <c r="AS1236" s="45">
        <f t="shared" si="158"/>
        <v>0</v>
      </c>
      <c r="AT1236" s="45">
        <f t="shared" si="159"/>
        <v>0</v>
      </c>
      <c r="AU1236" s="45" t="str">
        <f>_xlfn.XLOOKUP(U1236,'Lista Suspensa'!$AA$20:$AA$23,'Lista Suspensa'!$AB$20:$AB$23,"N/A")</f>
        <v>S</v>
      </c>
    </row>
    <row r="1237" spans="1:47" ht="12" hidden="1" customHeight="1" x14ac:dyDescent="0.3">
      <c r="A1237" s="87" t="s">
        <v>47</v>
      </c>
      <c r="B1237" s="88">
        <v>46104</v>
      </c>
      <c r="C1237" s="89" t="s">
        <v>48</v>
      </c>
      <c r="D1237" s="89" t="s">
        <v>49</v>
      </c>
      <c r="E1237" s="90">
        <v>84557466</v>
      </c>
      <c r="F1237" s="184" t="s">
        <v>3528</v>
      </c>
      <c r="G1237" s="91">
        <v>83741054887</v>
      </c>
      <c r="H1237" s="92">
        <v>20567</v>
      </c>
      <c r="I1237" s="89">
        <v>69</v>
      </c>
      <c r="J1237" s="89" t="s">
        <v>51</v>
      </c>
      <c r="K1237" s="89" t="s">
        <v>52</v>
      </c>
      <c r="L1237" s="89" t="s">
        <v>331</v>
      </c>
      <c r="M1237" s="89" t="s">
        <v>3289</v>
      </c>
      <c r="N1237" s="89" t="s">
        <v>148</v>
      </c>
      <c r="O1237" s="93" t="s">
        <v>3529</v>
      </c>
      <c r="P1237" s="94" t="s">
        <v>57</v>
      </c>
      <c r="Q1237" s="112" t="s">
        <v>2211</v>
      </c>
      <c r="R1237" s="95"/>
      <c r="S1237" s="96">
        <v>46164</v>
      </c>
      <c r="T1237" s="96" t="s">
        <v>2212</v>
      </c>
      <c r="U1237" s="96" t="s">
        <v>79</v>
      </c>
      <c r="V1237" s="92">
        <v>46141</v>
      </c>
      <c r="W1237" s="92">
        <v>46154</v>
      </c>
      <c r="X1237" s="92">
        <v>46160</v>
      </c>
      <c r="Y1237" s="97"/>
      <c r="Z1237" s="89"/>
      <c r="AA1237" s="96"/>
      <c r="AB1237" s="89"/>
      <c r="AC1237" s="111"/>
      <c r="AD1237" s="89"/>
      <c r="AE1237" s="89"/>
      <c r="AF1237" s="98"/>
      <c r="AG1237" s="98"/>
      <c r="AH1237" s="98"/>
      <c r="AI1237" s="99"/>
      <c r="AJ1237" s="99"/>
      <c r="AK1237" s="99"/>
      <c r="AL1237" s="45" t="s">
        <v>68</v>
      </c>
      <c r="AM1237" s="162" t="str">
        <f t="shared" si="152"/>
        <v>3/2026</v>
      </c>
      <c r="AN1237" s="45">
        <f t="shared" si="153"/>
        <v>4</v>
      </c>
      <c r="AO1237" s="45" t="str">
        <f t="shared" si="154"/>
        <v>1/1900</v>
      </c>
      <c r="AP1237" s="45" t="e">
        <f t="shared" si="155"/>
        <v>#NUM!</v>
      </c>
      <c r="AQ1237" s="45">
        <f t="shared" si="156"/>
        <v>0</v>
      </c>
      <c r="AR1237" s="45">
        <f t="shared" si="157"/>
        <v>0</v>
      </c>
      <c r="AS1237" s="45">
        <f t="shared" si="158"/>
        <v>0</v>
      </c>
      <c r="AT1237" s="45">
        <f t="shared" si="159"/>
        <v>0</v>
      </c>
      <c r="AU1237" s="45" t="str">
        <f>_xlfn.XLOOKUP(U1237,'Lista Suspensa'!$AA$20:$AA$23,'Lista Suspensa'!$AB$20:$AB$23,"N/A")</f>
        <v>S</v>
      </c>
    </row>
    <row r="1238" spans="1:47" ht="12" hidden="1" customHeight="1" x14ac:dyDescent="0.3">
      <c r="A1238" s="87" t="s">
        <v>47</v>
      </c>
      <c r="B1238" s="88">
        <v>46104</v>
      </c>
      <c r="C1238" s="89" t="s">
        <v>48</v>
      </c>
      <c r="D1238" s="89" t="s">
        <v>49</v>
      </c>
      <c r="E1238" s="90">
        <v>79016070</v>
      </c>
      <c r="F1238" s="184" t="s">
        <v>3530</v>
      </c>
      <c r="G1238" s="91">
        <v>3932569873</v>
      </c>
      <c r="H1238" s="92">
        <v>21457</v>
      </c>
      <c r="I1238" s="89">
        <v>67</v>
      </c>
      <c r="J1238" s="89" t="s">
        <v>51</v>
      </c>
      <c r="K1238" s="89" t="s">
        <v>52</v>
      </c>
      <c r="L1238" s="89" t="s">
        <v>53</v>
      </c>
      <c r="M1238" s="89" t="s">
        <v>3531</v>
      </c>
      <c r="N1238" s="89" t="s">
        <v>148</v>
      </c>
      <c r="O1238" s="93" t="s">
        <v>3532</v>
      </c>
      <c r="P1238" s="94" t="s">
        <v>57</v>
      </c>
      <c r="Q1238" s="112" t="s">
        <v>2211</v>
      </c>
      <c r="R1238" s="95"/>
      <c r="S1238" s="96">
        <v>46164</v>
      </c>
      <c r="T1238" s="96" t="s">
        <v>2212</v>
      </c>
      <c r="U1238" s="96" t="s">
        <v>79</v>
      </c>
      <c r="V1238" s="92">
        <v>46141</v>
      </c>
      <c r="W1238" s="92">
        <v>46154</v>
      </c>
      <c r="X1238" s="92">
        <v>46160</v>
      </c>
      <c r="Y1238" s="97"/>
      <c r="Z1238" s="89"/>
      <c r="AA1238" s="96"/>
      <c r="AB1238" s="89"/>
      <c r="AC1238" s="111"/>
      <c r="AD1238" s="89"/>
      <c r="AE1238" s="89"/>
      <c r="AF1238" s="98"/>
      <c r="AG1238" s="98"/>
      <c r="AH1238" s="98"/>
      <c r="AI1238" s="99"/>
      <c r="AJ1238" s="99"/>
      <c r="AK1238" s="99"/>
      <c r="AL1238" s="45" t="s">
        <v>68</v>
      </c>
      <c r="AM1238" s="162" t="str">
        <f t="shared" si="152"/>
        <v>3/2026</v>
      </c>
      <c r="AN1238" s="45">
        <f t="shared" si="153"/>
        <v>4</v>
      </c>
      <c r="AO1238" s="45" t="str">
        <f t="shared" si="154"/>
        <v>1/1900</v>
      </c>
      <c r="AP1238" s="45" t="e">
        <f t="shared" si="155"/>
        <v>#NUM!</v>
      </c>
      <c r="AQ1238" s="45">
        <f t="shared" si="156"/>
        <v>0</v>
      </c>
      <c r="AR1238" s="45">
        <f t="shared" si="157"/>
        <v>0</v>
      </c>
      <c r="AS1238" s="45">
        <f t="shared" si="158"/>
        <v>0</v>
      </c>
      <c r="AT1238" s="45">
        <f t="shared" si="159"/>
        <v>0</v>
      </c>
      <c r="AU1238" s="45" t="str">
        <f>_xlfn.XLOOKUP(U1238,'Lista Suspensa'!$AA$20:$AA$23,'Lista Suspensa'!$AB$20:$AB$23,"N/A")</f>
        <v>S</v>
      </c>
    </row>
    <row r="1239" spans="1:47" ht="12" hidden="1" customHeight="1" x14ac:dyDescent="0.3">
      <c r="A1239" s="87" t="s">
        <v>47</v>
      </c>
      <c r="B1239" s="88">
        <v>46104</v>
      </c>
      <c r="C1239" s="89" t="s">
        <v>48</v>
      </c>
      <c r="D1239" s="89" t="s">
        <v>49</v>
      </c>
      <c r="E1239" s="90">
        <v>11008784</v>
      </c>
      <c r="F1239" s="184" t="s">
        <v>3533</v>
      </c>
      <c r="G1239" s="91">
        <v>70718881753</v>
      </c>
      <c r="H1239" s="92">
        <v>21503</v>
      </c>
      <c r="I1239" s="89">
        <v>67</v>
      </c>
      <c r="J1239" s="89" t="s">
        <v>70</v>
      </c>
      <c r="K1239" s="89" t="s">
        <v>88</v>
      </c>
      <c r="L1239" s="89" t="s">
        <v>89</v>
      </c>
      <c r="M1239" s="89" t="s">
        <v>1074</v>
      </c>
      <c r="N1239" s="89" t="s">
        <v>170</v>
      </c>
      <c r="O1239" s="93" t="s">
        <v>3534</v>
      </c>
      <c r="P1239" s="94" t="s">
        <v>57</v>
      </c>
      <c r="Q1239" s="112" t="s">
        <v>2211</v>
      </c>
      <c r="R1239" s="95"/>
      <c r="S1239" s="96">
        <v>46150</v>
      </c>
      <c r="T1239" s="96" t="s">
        <v>2212</v>
      </c>
      <c r="U1239" s="96" t="s">
        <v>79</v>
      </c>
      <c r="V1239" s="92">
        <v>46112</v>
      </c>
      <c r="W1239" s="92">
        <v>46141</v>
      </c>
      <c r="X1239" s="92">
        <v>46142</v>
      </c>
      <c r="Y1239" s="97"/>
      <c r="Z1239" s="89"/>
      <c r="AA1239" s="96"/>
      <c r="AB1239" s="89"/>
      <c r="AC1239" s="111"/>
      <c r="AD1239" s="89"/>
      <c r="AE1239" s="89"/>
      <c r="AF1239" s="98"/>
      <c r="AG1239" s="98"/>
      <c r="AH1239" s="98"/>
      <c r="AI1239" s="99"/>
      <c r="AJ1239" s="99"/>
      <c r="AK1239" s="99"/>
      <c r="AL1239" s="45" t="s">
        <v>68</v>
      </c>
      <c r="AM1239" s="162" t="str">
        <f t="shared" si="152"/>
        <v>3/2026</v>
      </c>
      <c r="AN1239" s="45">
        <f t="shared" si="153"/>
        <v>4</v>
      </c>
      <c r="AO1239" s="45" t="str">
        <f t="shared" si="154"/>
        <v>1/1900</v>
      </c>
      <c r="AP1239" s="45" t="e">
        <f t="shared" si="155"/>
        <v>#NUM!</v>
      </c>
      <c r="AQ1239" s="45">
        <f t="shared" si="156"/>
        <v>0</v>
      </c>
      <c r="AR1239" s="45">
        <f t="shared" si="157"/>
        <v>0</v>
      </c>
      <c r="AS1239" s="45">
        <f t="shared" si="158"/>
        <v>0</v>
      </c>
      <c r="AT1239" s="45">
        <f t="shared" si="159"/>
        <v>0</v>
      </c>
      <c r="AU1239" s="45" t="str">
        <f>_xlfn.XLOOKUP(U1239,'Lista Suspensa'!$AA$20:$AA$23,'Lista Suspensa'!$AB$20:$AB$23,"N/A")</f>
        <v>S</v>
      </c>
    </row>
    <row r="1240" spans="1:47" ht="12" hidden="1" customHeight="1" x14ac:dyDescent="0.3">
      <c r="A1240" s="87" t="s">
        <v>47</v>
      </c>
      <c r="B1240" s="88">
        <v>46104</v>
      </c>
      <c r="C1240" s="89" t="s">
        <v>48</v>
      </c>
      <c r="D1240" s="89" t="s">
        <v>49</v>
      </c>
      <c r="E1240" s="90">
        <v>301224137</v>
      </c>
      <c r="F1240" s="184" t="s">
        <v>3535</v>
      </c>
      <c r="G1240" s="91">
        <v>90531825868</v>
      </c>
      <c r="H1240" s="92">
        <v>18273</v>
      </c>
      <c r="I1240" s="89">
        <v>76</v>
      </c>
      <c r="J1240" s="89" t="s">
        <v>70</v>
      </c>
      <c r="K1240" s="89" t="s">
        <v>52</v>
      </c>
      <c r="L1240" s="89" t="s">
        <v>53</v>
      </c>
      <c r="M1240" s="89" t="s">
        <v>401</v>
      </c>
      <c r="N1240" s="89" t="s">
        <v>170</v>
      </c>
      <c r="O1240" s="93" t="s">
        <v>3536</v>
      </c>
      <c r="P1240" s="94" t="s">
        <v>57</v>
      </c>
      <c r="Q1240" s="112" t="s">
        <v>2211</v>
      </c>
      <c r="R1240" s="95"/>
      <c r="S1240" s="96">
        <v>46164</v>
      </c>
      <c r="T1240" s="96" t="s">
        <v>2212</v>
      </c>
      <c r="U1240" s="96" t="s">
        <v>79</v>
      </c>
      <c r="V1240" s="92">
        <v>46141</v>
      </c>
      <c r="W1240" s="92">
        <v>46154</v>
      </c>
      <c r="X1240" s="92">
        <v>46160</v>
      </c>
      <c r="Y1240" s="97"/>
      <c r="Z1240" s="89"/>
      <c r="AA1240" s="96"/>
      <c r="AB1240" s="89"/>
      <c r="AC1240" s="111"/>
      <c r="AD1240" s="89"/>
      <c r="AE1240" s="89"/>
      <c r="AF1240" s="98"/>
      <c r="AG1240" s="98"/>
      <c r="AH1240" s="98"/>
      <c r="AI1240" s="99"/>
      <c r="AJ1240" s="99"/>
      <c r="AK1240" s="99"/>
      <c r="AL1240" s="45" t="s">
        <v>68</v>
      </c>
      <c r="AM1240" s="162" t="str">
        <f t="shared" si="152"/>
        <v>3/2026</v>
      </c>
      <c r="AN1240" s="45">
        <f t="shared" si="153"/>
        <v>4</v>
      </c>
      <c r="AO1240" s="45" t="str">
        <f t="shared" si="154"/>
        <v>1/1900</v>
      </c>
      <c r="AP1240" s="45" t="e">
        <f t="shared" si="155"/>
        <v>#NUM!</v>
      </c>
      <c r="AQ1240" s="45">
        <f t="shared" si="156"/>
        <v>0</v>
      </c>
      <c r="AR1240" s="45">
        <f t="shared" si="157"/>
        <v>0</v>
      </c>
      <c r="AS1240" s="45">
        <f t="shared" si="158"/>
        <v>0</v>
      </c>
      <c r="AT1240" s="45">
        <f t="shared" si="159"/>
        <v>0</v>
      </c>
      <c r="AU1240" s="45" t="str">
        <f>_xlfn.XLOOKUP(U1240,'Lista Suspensa'!$AA$20:$AA$23,'Lista Suspensa'!$AB$20:$AB$23,"N/A")</f>
        <v>S</v>
      </c>
    </row>
    <row r="1241" spans="1:47" ht="12" customHeight="1" x14ac:dyDescent="0.3">
      <c r="A1241" s="87" t="s">
        <v>47</v>
      </c>
      <c r="B1241" s="88">
        <v>46104</v>
      </c>
      <c r="C1241" s="89" t="s">
        <v>48</v>
      </c>
      <c r="D1241" s="89" t="s">
        <v>49</v>
      </c>
      <c r="E1241" s="90">
        <v>796333580</v>
      </c>
      <c r="F1241" s="184" t="s">
        <v>3537</v>
      </c>
      <c r="G1241" s="91">
        <v>63432900872</v>
      </c>
      <c r="H1241" s="92">
        <v>18621</v>
      </c>
      <c r="I1241" s="89">
        <v>75</v>
      </c>
      <c r="J1241" s="89" t="s">
        <v>70</v>
      </c>
      <c r="K1241" s="89" t="s">
        <v>52</v>
      </c>
      <c r="L1241" s="89" t="s">
        <v>53</v>
      </c>
      <c r="M1241" s="89" t="s">
        <v>401</v>
      </c>
      <c r="N1241" s="89" t="s">
        <v>170</v>
      </c>
      <c r="O1241" s="93" t="s">
        <v>3538</v>
      </c>
      <c r="P1241" s="94" t="s">
        <v>57</v>
      </c>
      <c r="Q1241" s="112" t="s">
        <v>58</v>
      </c>
      <c r="R1241" s="95">
        <v>46178</v>
      </c>
      <c r="S1241" s="96"/>
      <c r="T1241" s="96" t="s">
        <v>59</v>
      </c>
      <c r="U1241" s="96" t="s">
        <v>60</v>
      </c>
      <c r="V1241" s="92">
        <v>46141</v>
      </c>
      <c r="W1241" s="92">
        <v>46154</v>
      </c>
      <c r="X1241" s="92">
        <v>46160</v>
      </c>
      <c r="Y1241" s="97"/>
      <c r="Z1241" s="89"/>
      <c r="AA1241" s="96"/>
      <c r="AB1241" s="89"/>
      <c r="AC1241" s="111"/>
      <c r="AD1241" s="89"/>
      <c r="AE1241" s="89"/>
      <c r="AF1241" s="98"/>
      <c r="AG1241" s="98"/>
      <c r="AH1241" s="98"/>
      <c r="AI1241" s="99"/>
      <c r="AJ1241" s="99" t="s">
        <v>3812</v>
      </c>
      <c r="AK1241" s="99"/>
      <c r="AL1241" s="45" t="s">
        <v>68</v>
      </c>
      <c r="AM1241" s="162" t="str">
        <f t="shared" si="152"/>
        <v>3/2026</v>
      </c>
      <c r="AN1241" s="45">
        <f t="shared" si="153"/>
        <v>4</v>
      </c>
      <c r="AO1241" s="45" t="str">
        <f t="shared" si="154"/>
        <v>6/2026</v>
      </c>
      <c r="AP1241" s="45">
        <f t="shared" si="155"/>
        <v>1</v>
      </c>
      <c r="AQ1241" s="45">
        <f t="shared" si="156"/>
        <v>74</v>
      </c>
      <c r="AR1241" s="45">
        <f t="shared" si="157"/>
        <v>0</v>
      </c>
      <c r="AS1241" s="45">
        <f t="shared" si="158"/>
        <v>9.5</v>
      </c>
      <c r="AT1241" s="45">
        <f t="shared" si="159"/>
        <v>0</v>
      </c>
      <c r="AU1241" s="45" t="str">
        <f>_xlfn.XLOOKUP(U1241,'Lista Suspensa'!$AA$20:$AA$23,'Lista Suspensa'!$AB$20:$AB$23,"N/A")</f>
        <v>S</v>
      </c>
    </row>
    <row r="1242" spans="1:47" ht="12" hidden="1" customHeight="1" x14ac:dyDescent="0.3">
      <c r="A1242" s="87" t="s">
        <v>47</v>
      </c>
      <c r="B1242" s="88">
        <v>46104</v>
      </c>
      <c r="C1242" s="89" t="s">
        <v>48</v>
      </c>
      <c r="D1242" s="89" t="s">
        <v>49</v>
      </c>
      <c r="E1242" s="90">
        <v>129789968</v>
      </c>
      <c r="F1242" s="184" t="s">
        <v>3539</v>
      </c>
      <c r="G1242" s="91">
        <v>63835142887</v>
      </c>
      <c r="H1242" s="92">
        <v>18852</v>
      </c>
      <c r="I1242" s="89">
        <v>74</v>
      </c>
      <c r="J1242" s="89" t="s">
        <v>70</v>
      </c>
      <c r="K1242" s="89" t="s">
        <v>52</v>
      </c>
      <c r="L1242" s="89" t="s">
        <v>53</v>
      </c>
      <c r="M1242" s="89" t="s">
        <v>3540</v>
      </c>
      <c r="N1242" s="89" t="s">
        <v>170</v>
      </c>
      <c r="O1242" s="93" t="s">
        <v>3541</v>
      </c>
      <c r="P1242" s="94" t="s">
        <v>57</v>
      </c>
      <c r="Q1242" s="112" t="s">
        <v>2211</v>
      </c>
      <c r="R1242" s="95"/>
      <c r="S1242" s="96">
        <v>46150</v>
      </c>
      <c r="T1242" s="96" t="s">
        <v>2212</v>
      </c>
      <c r="U1242" s="96" t="s">
        <v>79</v>
      </c>
      <c r="V1242" s="92">
        <v>46122</v>
      </c>
      <c r="W1242" s="92">
        <v>46141</v>
      </c>
      <c r="X1242" s="92">
        <v>46142</v>
      </c>
      <c r="Y1242" s="97"/>
      <c r="Z1242" s="89"/>
      <c r="AA1242" s="96"/>
      <c r="AB1242" s="89"/>
      <c r="AC1242" s="111"/>
      <c r="AD1242" s="89"/>
      <c r="AE1242" s="89"/>
      <c r="AF1242" s="98"/>
      <c r="AG1242" s="98"/>
      <c r="AH1242" s="98"/>
      <c r="AI1242" s="99"/>
      <c r="AJ1242" s="99"/>
      <c r="AK1242" s="99"/>
      <c r="AL1242" s="45" t="s">
        <v>68</v>
      </c>
      <c r="AM1242" s="162" t="str">
        <f t="shared" si="152"/>
        <v>3/2026</v>
      </c>
      <c r="AN1242" s="45">
        <f t="shared" si="153"/>
        <v>4</v>
      </c>
      <c r="AO1242" s="45" t="str">
        <f t="shared" si="154"/>
        <v>1/1900</v>
      </c>
      <c r="AP1242" s="45" t="e">
        <f t="shared" si="155"/>
        <v>#NUM!</v>
      </c>
      <c r="AQ1242" s="45">
        <f t="shared" si="156"/>
        <v>0</v>
      </c>
      <c r="AR1242" s="45">
        <f t="shared" si="157"/>
        <v>0</v>
      </c>
      <c r="AS1242" s="45">
        <f t="shared" si="158"/>
        <v>0</v>
      </c>
      <c r="AT1242" s="45">
        <f t="shared" si="159"/>
        <v>0</v>
      </c>
      <c r="AU1242" s="45" t="str">
        <f>_xlfn.XLOOKUP(U1242,'Lista Suspensa'!$AA$20:$AA$23,'Lista Suspensa'!$AB$20:$AB$23,"N/A")</f>
        <v>S</v>
      </c>
    </row>
    <row r="1243" spans="1:47" ht="12" hidden="1" customHeight="1" x14ac:dyDescent="0.3">
      <c r="A1243" s="87" t="s">
        <v>47</v>
      </c>
      <c r="B1243" s="88">
        <v>46104</v>
      </c>
      <c r="C1243" s="89" t="s">
        <v>48</v>
      </c>
      <c r="D1243" s="89" t="s">
        <v>49</v>
      </c>
      <c r="E1243" s="90">
        <v>129789950</v>
      </c>
      <c r="F1243" s="184" t="s">
        <v>3542</v>
      </c>
      <c r="G1243" s="91">
        <v>84607556815</v>
      </c>
      <c r="H1243" s="92">
        <v>18112</v>
      </c>
      <c r="I1243" s="89">
        <v>76</v>
      </c>
      <c r="J1243" s="89" t="s">
        <v>51</v>
      </c>
      <c r="K1243" s="89" t="s">
        <v>52</v>
      </c>
      <c r="L1243" s="89" t="s">
        <v>53</v>
      </c>
      <c r="M1243" s="89" t="s">
        <v>3540</v>
      </c>
      <c r="N1243" s="89" t="s">
        <v>170</v>
      </c>
      <c r="O1243" s="93" t="s">
        <v>3541</v>
      </c>
      <c r="P1243" s="94" t="s">
        <v>57</v>
      </c>
      <c r="Q1243" s="112" t="s">
        <v>2211</v>
      </c>
      <c r="R1243" s="95"/>
      <c r="S1243" s="96">
        <v>46164</v>
      </c>
      <c r="T1243" s="96" t="s">
        <v>2212</v>
      </c>
      <c r="U1243" s="96" t="s">
        <v>79</v>
      </c>
      <c r="V1243" s="92">
        <v>46141</v>
      </c>
      <c r="W1243" s="92">
        <v>46154</v>
      </c>
      <c r="X1243" s="92">
        <v>46160</v>
      </c>
      <c r="Y1243" s="97"/>
      <c r="Z1243" s="89"/>
      <c r="AA1243" s="96"/>
      <c r="AB1243" s="89"/>
      <c r="AC1243" s="111"/>
      <c r="AD1243" s="89"/>
      <c r="AE1243" s="89"/>
      <c r="AF1243" s="98"/>
      <c r="AG1243" s="98"/>
      <c r="AH1243" s="98"/>
      <c r="AI1243" s="99"/>
      <c r="AJ1243" s="99"/>
      <c r="AK1243" s="99"/>
      <c r="AL1243" s="45" t="s">
        <v>68</v>
      </c>
      <c r="AM1243" s="162" t="str">
        <f t="shared" si="152"/>
        <v>3/2026</v>
      </c>
      <c r="AN1243" s="45">
        <f t="shared" si="153"/>
        <v>4</v>
      </c>
      <c r="AO1243" s="45" t="str">
        <f t="shared" si="154"/>
        <v>1/1900</v>
      </c>
      <c r="AP1243" s="45" t="e">
        <f t="shared" si="155"/>
        <v>#NUM!</v>
      </c>
      <c r="AQ1243" s="45">
        <f t="shared" si="156"/>
        <v>0</v>
      </c>
      <c r="AR1243" s="45">
        <f t="shared" si="157"/>
        <v>0</v>
      </c>
      <c r="AS1243" s="45">
        <f t="shared" si="158"/>
        <v>0</v>
      </c>
      <c r="AT1243" s="45">
        <f t="shared" si="159"/>
        <v>0</v>
      </c>
      <c r="AU1243" s="45" t="str">
        <f>_xlfn.XLOOKUP(U1243,'Lista Suspensa'!$AA$20:$AA$23,'Lista Suspensa'!$AB$20:$AB$23,"N/A")</f>
        <v>S</v>
      </c>
    </row>
    <row r="1244" spans="1:47" ht="12" hidden="1" customHeight="1" x14ac:dyDescent="0.3">
      <c r="A1244" s="87" t="s">
        <v>47</v>
      </c>
      <c r="B1244" s="88">
        <v>46104</v>
      </c>
      <c r="C1244" s="89" t="s">
        <v>48</v>
      </c>
      <c r="D1244" s="89" t="s">
        <v>49</v>
      </c>
      <c r="E1244" s="90">
        <v>125001606</v>
      </c>
      <c r="F1244" s="184" t="s">
        <v>3543</v>
      </c>
      <c r="G1244" s="91">
        <v>3512969801</v>
      </c>
      <c r="H1244" s="92">
        <v>22302</v>
      </c>
      <c r="I1244" s="89">
        <v>65</v>
      </c>
      <c r="J1244" s="89" t="s">
        <v>51</v>
      </c>
      <c r="K1244" s="89" t="s">
        <v>52</v>
      </c>
      <c r="L1244" s="89" t="s">
        <v>780</v>
      </c>
      <c r="M1244" s="89" t="s">
        <v>240</v>
      </c>
      <c r="N1244" s="89" t="s">
        <v>170</v>
      </c>
      <c r="O1244" s="93" t="s">
        <v>3544</v>
      </c>
      <c r="P1244" s="94" t="s">
        <v>57</v>
      </c>
      <c r="Q1244" s="112" t="s">
        <v>2211</v>
      </c>
      <c r="R1244" s="95"/>
      <c r="S1244" s="96">
        <v>46164</v>
      </c>
      <c r="T1244" s="96" t="s">
        <v>2212</v>
      </c>
      <c r="U1244" s="96" t="s">
        <v>79</v>
      </c>
      <c r="V1244" s="92">
        <v>46141</v>
      </c>
      <c r="W1244" s="92">
        <v>46154</v>
      </c>
      <c r="X1244" s="92">
        <v>46160</v>
      </c>
      <c r="Y1244" s="97"/>
      <c r="Z1244" s="89"/>
      <c r="AA1244" s="96"/>
      <c r="AB1244" s="89"/>
      <c r="AC1244" s="111"/>
      <c r="AD1244" s="89"/>
      <c r="AE1244" s="89"/>
      <c r="AF1244" s="98"/>
      <c r="AG1244" s="98"/>
      <c r="AH1244" s="98"/>
      <c r="AI1244" s="99"/>
      <c r="AJ1244" s="99"/>
      <c r="AK1244" s="99"/>
      <c r="AL1244" s="45" t="s">
        <v>68</v>
      </c>
      <c r="AM1244" s="162" t="str">
        <f t="shared" si="152"/>
        <v>3/2026</v>
      </c>
      <c r="AN1244" s="45">
        <f t="shared" si="153"/>
        <v>4</v>
      </c>
      <c r="AO1244" s="45" t="str">
        <f t="shared" si="154"/>
        <v>1/1900</v>
      </c>
      <c r="AP1244" s="45" t="e">
        <f t="shared" si="155"/>
        <v>#NUM!</v>
      </c>
      <c r="AQ1244" s="45">
        <f t="shared" si="156"/>
        <v>0</v>
      </c>
      <c r="AR1244" s="45">
        <f t="shared" si="157"/>
        <v>0</v>
      </c>
      <c r="AS1244" s="45">
        <f t="shared" si="158"/>
        <v>0</v>
      </c>
      <c r="AT1244" s="45">
        <f t="shared" si="159"/>
        <v>0</v>
      </c>
      <c r="AU1244" s="45" t="str">
        <f>_xlfn.XLOOKUP(U1244,'Lista Suspensa'!$AA$20:$AA$23,'Lista Suspensa'!$AB$20:$AB$23,"N/A")</f>
        <v>S</v>
      </c>
    </row>
    <row r="1245" spans="1:47" ht="12" hidden="1" customHeight="1" x14ac:dyDescent="0.3">
      <c r="A1245" s="87" t="s">
        <v>47</v>
      </c>
      <c r="B1245" s="88">
        <v>46104</v>
      </c>
      <c r="C1245" s="89" t="s">
        <v>48</v>
      </c>
      <c r="D1245" s="89" t="s">
        <v>49</v>
      </c>
      <c r="E1245" s="90">
        <v>451793498</v>
      </c>
      <c r="F1245" s="184" t="s">
        <v>3545</v>
      </c>
      <c r="G1245" s="91">
        <v>18161085889</v>
      </c>
      <c r="H1245" s="92">
        <v>19423</v>
      </c>
      <c r="I1245" s="89">
        <v>73</v>
      </c>
      <c r="J1245" s="89" t="s">
        <v>70</v>
      </c>
      <c r="K1245" s="89" t="s">
        <v>52</v>
      </c>
      <c r="L1245" s="89" t="s">
        <v>53</v>
      </c>
      <c r="M1245" s="89" t="s">
        <v>3546</v>
      </c>
      <c r="N1245" s="89" t="s">
        <v>170</v>
      </c>
      <c r="O1245" s="93" t="s">
        <v>3547</v>
      </c>
      <c r="P1245" s="94" t="s">
        <v>57</v>
      </c>
      <c r="Q1245" s="112" t="s">
        <v>2211</v>
      </c>
      <c r="R1245" s="95"/>
      <c r="S1245" s="96">
        <v>46164</v>
      </c>
      <c r="T1245" s="96" t="s">
        <v>2212</v>
      </c>
      <c r="U1245" s="96" t="s">
        <v>79</v>
      </c>
      <c r="V1245" s="92">
        <v>46141</v>
      </c>
      <c r="W1245" s="92">
        <v>46154</v>
      </c>
      <c r="X1245" s="92">
        <v>46160</v>
      </c>
      <c r="Y1245" s="97"/>
      <c r="Z1245" s="89"/>
      <c r="AA1245" s="96"/>
      <c r="AB1245" s="89"/>
      <c r="AC1245" s="111"/>
      <c r="AD1245" s="89"/>
      <c r="AE1245" s="89"/>
      <c r="AF1245" s="98"/>
      <c r="AG1245" s="98"/>
      <c r="AH1245" s="98"/>
      <c r="AI1245" s="99"/>
      <c r="AJ1245" s="99"/>
      <c r="AK1245" s="99"/>
      <c r="AL1245" s="45" t="s">
        <v>68</v>
      </c>
      <c r="AM1245" s="162" t="str">
        <f t="shared" si="152"/>
        <v>3/2026</v>
      </c>
      <c r="AN1245" s="45">
        <f t="shared" si="153"/>
        <v>4</v>
      </c>
      <c r="AO1245" s="45" t="str">
        <f t="shared" si="154"/>
        <v>1/1900</v>
      </c>
      <c r="AP1245" s="45" t="e">
        <f t="shared" si="155"/>
        <v>#NUM!</v>
      </c>
      <c r="AQ1245" s="45">
        <f t="shared" si="156"/>
        <v>0</v>
      </c>
      <c r="AR1245" s="45">
        <f t="shared" si="157"/>
        <v>0</v>
      </c>
      <c r="AS1245" s="45">
        <f t="shared" si="158"/>
        <v>0</v>
      </c>
      <c r="AT1245" s="45">
        <f t="shared" si="159"/>
        <v>0</v>
      </c>
      <c r="AU1245" s="45" t="str">
        <f>_xlfn.XLOOKUP(U1245,'Lista Suspensa'!$AA$20:$AA$23,'Lista Suspensa'!$AB$20:$AB$23,"N/A")</f>
        <v>S</v>
      </c>
    </row>
    <row r="1246" spans="1:47" ht="12" hidden="1" customHeight="1" x14ac:dyDescent="0.3">
      <c r="A1246" s="87" t="s">
        <v>47</v>
      </c>
      <c r="B1246" s="88">
        <v>46104</v>
      </c>
      <c r="C1246" s="89" t="s">
        <v>48</v>
      </c>
      <c r="D1246" s="89" t="s">
        <v>49</v>
      </c>
      <c r="E1246" s="90">
        <v>797084916</v>
      </c>
      <c r="F1246" s="184" t="s">
        <v>3548</v>
      </c>
      <c r="G1246" s="91">
        <v>8635604822</v>
      </c>
      <c r="H1246" s="92">
        <v>22800</v>
      </c>
      <c r="I1246" s="89">
        <v>63</v>
      </c>
      <c r="J1246" s="89" t="s">
        <v>51</v>
      </c>
      <c r="K1246" s="89" t="s">
        <v>52</v>
      </c>
      <c r="L1246" s="89" t="s">
        <v>53</v>
      </c>
      <c r="M1246" s="89" t="s">
        <v>3549</v>
      </c>
      <c r="N1246" s="89" t="s">
        <v>170</v>
      </c>
      <c r="O1246" s="93" t="s">
        <v>3550</v>
      </c>
      <c r="P1246" s="94" t="s">
        <v>57</v>
      </c>
      <c r="Q1246" s="112" t="s">
        <v>2211</v>
      </c>
      <c r="R1246" s="95"/>
      <c r="S1246" s="96">
        <v>46164</v>
      </c>
      <c r="T1246" s="96" t="s">
        <v>2212</v>
      </c>
      <c r="U1246" s="96" t="s">
        <v>79</v>
      </c>
      <c r="V1246" s="92">
        <v>46141</v>
      </c>
      <c r="W1246" s="92">
        <v>46154</v>
      </c>
      <c r="X1246" s="92">
        <v>46160</v>
      </c>
      <c r="Y1246" s="97"/>
      <c r="Z1246" s="89"/>
      <c r="AA1246" s="96"/>
      <c r="AB1246" s="89"/>
      <c r="AC1246" s="111"/>
      <c r="AD1246" s="89"/>
      <c r="AE1246" s="89"/>
      <c r="AF1246" s="98"/>
      <c r="AG1246" s="98"/>
      <c r="AH1246" s="98"/>
      <c r="AI1246" s="99"/>
      <c r="AJ1246" s="99"/>
      <c r="AK1246" s="99"/>
      <c r="AL1246" s="45" t="s">
        <v>68</v>
      </c>
      <c r="AM1246" s="162" t="str">
        <f t="shared" si="152"/>
        <v>3/2026</v>
      </c>
      <c r="AN1246" s="45">
        <f t="shared" si="153"/>
        <v>4</v>
      </c>
      <c r="AO1246" s="45" t="str">
        <f t="shared" si="154"/>
        <v>1/1900</v>
      </c>
      <c r="AP1246" s="45" t="e">
        <f t="shared" si="155"/>
        <v>#NUM!</v>
      </c>
      <c r="AQ1246" s="45">
        <f t="shared" si="156"/>
        <v>0</v>
      </c>
      <c r="AR1246" s="45">
        <f t="shared" si="157"/>
        <v>0</v>
      </c>
      <c r="AS1246" s="45">
        <f t="shared" si="158"/>
        <v>0</v>
      </c>
      <c r="AT1246" s="45">
        <f t="shared" si="159"/>
        <v>0</v>
      </c>
      <c r="AU1246" s="45" t="str">
        <f>_xlfn.XLOOKUP(U1246,'Lista Suspensa'!$AA$20:$AA$23,'Lista Suspensa'!$AB$20:$AB$23,"N/A")</f>
        <v>S</v>
      </c>
    </row>
    <row r="1247" spans="1:47" ht="12" hidden="1" customHeight="1" x14ac:dyDescent="0.3">
      <c r="A1247" s="87" t="s">
        <v>47</v>
      </c>
      <c r="B1247" s="88">
        <v>46104</v>
      </c>
      <c r="C1247" s="89" t="s">
        <v>48</v>
      </c>
      <c r="D1247" s="89" t="s">
        <v>49</v>
      </c>
      <c r="E1247" s="90">
        <v>881386561</v>
      </c>
      <c r="F1247" s="184" t="s">
        <v>3551</v>
      </c>
      <c r="G1247" s="91">
        <v>59698039791</v>
      </c>
      <c r="H1247" s="92">
        <v>22238</v>
      </c>
      <c r="I1247" s="89">
        <v>65</v>
      </c>
      <c r="J1247" s="89" t="s">
        <v>51</v>
      </c>
      <c r="K1247" s="89" t="s">
        <v>88</v>
      </c>
      <c r="L1247" s="89" t="s">
        <v>89</v>
      </c>
      <c r="M1247" s="89" t="s">
        <v>957</v>
      </c>
      <c r="N1247" s="89" t="s">
        <v>170</v>
      </c>
      <c r="O1247" s="93" t="s">
        <v>3552</v>
      </c>
      <c r="P1247" s="94" t="s">
        <v>57</v>
      </c>
      <c r="Q1247" s="112" t="s">
        <v>2211</v>
      </c>
      <c r="R1247" s="95"/>
      <c r="S1247" s="96">
        <v>46164</v>
      </c>
      <c r="T1247" s="96" t="s">
        <v>2212</v>
      </c>
      <c r="U1247" s="96" t="s">
        <v>79</v>
      </c>
      <c r="V1247" s="92">
        <v>46141</v>
      </c>
      <c r="W1247" s="92">
        <v>46154</v>
      </c>
      <c r="X1247" s="92">
        <v>46160</v>
      </c>
      <c r="Y1247" s="97"/>
      <c r="Z1247" s="89"/>
      <c r="AA1247" s="96"/>
      <c r="AB1247" s="89"/>
      <c r="AC1247" s="111"/>
      <c r="AD1247" s="89"/>
      <c r="AE1247" s="89"/>
      <c r="AF1247" s="98"/>
      <c r="AG1247" s="98"/>
      <c r="AH1247" s="98"/>
      <c r="AI1247" s="99"/>
      <c r="AJ1247" s="99"/>
      <c r="AK1247" s="99"/>
      <c r="AL1247" s="45" t="s">
        <v>68</v>
      </c>
      <c r="AM1247" s="162" t="str">
        <f t="shared" si="152"/>
        <v>3/2026</v>
      </c>
      <c r="AN1247" s="45">
        <f t="shared" si="153"/>
        <v>4</v>
      </c>
      <c r="AO1247" s="45" t="str">
        <f t="shared" si="154"/>
        <v>1/1900</v>
      </c>
      <c r="AP1247" s="45" t="e">
        <f t="shared" si="155"/>
        <v>#NUM!</v>
      </c>
      <c r="AQ1247" s="45">
        <f t="shared" si="156"/>
        <v>0</v>
      </c>
      <c r="AR1247" s="45">
        <f t="shared" si="157"/>
        <v>0</v>
      </c>
      <c r="AS1247" s="45">
        <f t="shared" si="158"/>
        <v>0</v>
      </c>
      <c r="AT1247" s="45">
        <f t="shared" si="159"/>
        <v>0</v>
      </c>
      <c r="AU1247" s="45" t="str">
        <f>_xlfn.XLOOKUP(U1247,'Lista Suspensa'!$AA$20:$AA$23,'Lista Suspensa'!$AB$20:$AB$23,"N/A")</f>
        <v>S</v>
      </c>
    </row>
    <row r="1248" spans="1:47" ht="12" hidden="1" customHeight="1" x14ac:dyDescent="0.3">
      <c r="A1248" s="87" t="s">
        <v>47</v>
      </c>
      <c r="B1248" s="88">
        <v>46104</v>
      </c>
      <c r="C1248" s="89" t="s">
        <v>48</v>
      </c>
      <c r="D1248" s="89" t="s">
        <v>49</v>
      </c>
      <c r="E1248" s="90">
        <v>229194338</v>
      </c>
      <c r="F1248" s="184" t="s">
        <v>3553</v>
      </c>
      <c r="G1248" s="91">
        <v>70039712834</v>
      </c>
      <c r="H1248" s="92">
        <v>20588</v>
      </c>
      <c r="I1248" s="89">
        <v>69</v>
      </c>
      <c r="J1248" s="89" t="s">
        <v>51</v>
      </c>
      <c r="K1248" s="89" t="s">
        <v>52</v>
      </c>
      <c r="L1248" s="89" t="s">
        <v>53</v>
      </c>
      <c r="M1248" s="89" t="s">
        <v>310</v>
      </c>
      <c r="N1248" s="89" t="s">
        <v>170</v>
      </c>
      <c r="O1248" s="93" t="s">
        <v>3554</v>
      </c>
      <c r="P1248" s="94" t="s">
        <v>57</v>
      </c>
      <c r="Q1248" s="112" t="s">
        <v>2211</v>
      </c>
      <c r="R1248" s="95"/>
      <c r="S1248" s="96">
        <v>46164</v>
      </c>
      <c r="T1248" s="96" t="s">
        <v>2212</v>
      </c>
      <c r="U1248" s="96" t="s">
        <v>79</v>
      </c>
      <c r="V1248" s="92">
        <v>46141</v>
      </c>
      <c r="W1248" s="92">
        <v>46154</v>
      </c>
      <c r="X1248" s="92">
        <v>46160</v>
      </c>
      <c r="Y1248" s="97"/>
      <c r="Z1248" s="89"/>
      <c r="AA1248" s="96"/>
      <c r="AB1248" s="89"/>
      <c r="AC1248" s="111"/>
      <c r="AD1248" s="89"/>
      <c r="AE1248" s="89"/>
      <c r="AF1248" s="98"/>
      <c r="AG1248" s="98"/>
      <c r="AH1248" s="98"/>
      <c r="AI1248" s="99"/>
      <c r="AJ1248" s="99"/>
      <c r="AK1248" s="99"/>
      <c r="AL1248" s="45" t="s">
        <v>68</v>
      </c>
      <c r="AM1248" s="162" t="str">
        <f t="shared" si="152"/>
        <v>3/2026</v>
      </c>
      <c r="AN1248" s="45">
        <f t="shared" si="153"/>
        <v>4</v>
      </c>
      <c r="AO1248" s="45" t="str">
        <f t="shared" si="154"/>
        <v>1/1900</v>
      </c>
      <c r="AP1248" s="45" t="e">
        <f t="shared" si="155"/>
        <v>#NUM!</v>
      </c>
      <c r="AQ1248" s="45">
        <f t="shared" si="156"/>
        <v>0</v>
      </c>
      <c r="AR1248" s="45">
        <f t="shared" si="157"/>
        <v>0</v>
      </c>
      <c r="AS1248" s="45">
        <f t="shared" si="158"/>
        <v>0</v>
      </c>
      <c r="AT1248" s="45">
        <f t="shared" si="159"/>
        <v>0</v>
      </c>
      <c r="AU1248" s="45" t="str">
        <f>_xlfn.XLOOKUP(U1248,'Lista Suspensa'!$AA$20:$AA$23,'Lista Suspensa'!$AB$20:$AB$23,"N/A")</f>
        <v>S</v>
      </c>
    </row>
    <row r="1249" spans="1:47" ht="12" hidden="1" customHeight="1" x14ac:dyDescent="0.3">
      <c r="A1249" s="87" t="s">
        <v>47</v>
      </c>
      <c r="B1249" s="88">
        <v>46104</v>
      </c>
      <c r="C1249" s="89" t="s">
        <v>48</v>
      </c>
      <c r="D1249" s="89" t="s">
        <v>49</v>
      </c>
      <c r="E1249" s="90">
        <v>798085495</v>
      </c>
      <c r="F1249" s="184" t="s">
        <v>3555</v>
      </c>
      <c r="G1249" s="91">
        <v>45152420830</v>
      </c>
      <c r="H1249" s="92">
        <v>16091</v>
      </c>
      <c r="I1249" s="89">
        <v>82</v>
      </c>
      <c r="J1249" s="89" t="s">
        <v>51</v>
      </c>
      <c r="K1249" s="89" t="s">
        <v>52</v>
      </c>
      <c r="L1249" s="89" t="s">
        <v>53</v>
      </c>
      <c r="M1249" s="89" t="s">
        <v>1297</v>
      </c>
      <c r="N1249" s="89" t="s">
        <v>170</v>
      </c>
      <c r="O1249" s="93" t="s">
        <v>3556</v>
      </c>
      <c r="P1249" s="94" t="s">
        <v>57</v>
      </c>
      <c r="Q1249" s="112" t="s">
        <v>2211</v>
      </c>
      <c r="R1249" s="95"/>
      <c r="S1249" s="96">
        <v>46164</v>
      </c>
      <c r="T1249" s="96" t="s">
        <v>2212</v>
      </c>
      <c r="U1249" s="96" t="s">
        <v>79</v>
      </c>
      <c r="V1249" s="92">
        <v>46141</v>
      </c>
      <c r="W1249" s="92">
        <v>46154</v>
      </c>
      <c r="X1249" s="92">
        <v>46160</v>
      </c>
      <c r="Y1249" s="97"/>
      <c r="Z1249" s="89"/>
      <c r="AA1249" s="96"/>
      <c r="AB1249" s="89"/>
      <c r="AC1249" s="111"/>
      <c r="AD1249" s="89"/>
      <c r="AE1249" s="89"/>
      <c r="AF1249" s="98"/>
      <c r="AG1249" s="98"/>
      <c r="AH1249" s="98"/>
      <c r="AI1249" s="99"/>
      <c r="AJ1249" s="99"/>
      <c r="AK1249" s="99"/>
      <c r="AL1249" s="45" t="s">
        <v>68</v>
      </c>
      <c r="AM1249" s="162" t="str">
        <f t="shared" si="152"/>
        <v>3/2026</v>
      </c>
      <c r="AN1249" s="45">
        <f t="shared" si="153"/>
        <v>4</v>
      </c>
      <c r="AO1249" s="45" t="str">
        <f t="shared" si="154"/>
        <v>1/1900</v>
      </c>
      <c r="AP1249" s="45" t="e">
        <f t="shared" si="155"/>
        <v>#NUM!</v>
      </c>
      <c r="AQ1249" s="45">
        <f t="shared" si="156"/>
        <v>0</v>
      </c>
      <c r="AR1249" s="45">
        <f t="shared" si="157"/>
        <v>0</v>
      </c>
      <c r="AS1249" s="45">
        <f t="shared" si="158"/>
        <v>0</v>
      </c>
      <c r="AT1249" s="45">
        <f t="shared" si="159"/>
        <v>0</v>
      </c>
      <c r="AU1249" s="45" t="str">
        <f>_xlfn.XLOOKUP(U1249,'Lista Suspensa'!$AA$20:$AA$23,'Lista Suspensa'!$AB$20:$AB$23,"N/A")</f>
        <v>S</v>
      </c>
    </row>
    <row r="1250" spans="1:47" ht="12" hidden="1" customHeight="1" x14ac:dyDescent="0.3">
      <c r="A1250" s="87" t="s">
        <v>47</v>
      </c>
      <c r="B1250" s="88">
        <v>46104</v>
      </c>
      <c r="C1250" s="89" t="s">
        <v>48</v>
      </c>
      <c r="D1250" s="89" t="s">
        <v>49</v>
      </c>
      <c r="E1250" s="90">
        <v>20983140</v>
      </c>
      <c r="F1250" s="184" t="s">
        <v>3557</v>
      </c>
      <c r="G1250" s="91">
        <v>6023423841</v>
      </c>
      <c r="H1250" s="92">
        <v>11592</v>
      </c>
      <c r="I1250" s="89">
        <v>94</v>
      </c>
      <c r="J1250" s="89" t="s">
        <v>70</v>
      </c>
      <c r="K1250" s="89" t="s">
        <v>52</v>
      </c>
      <c r="L1250" s="89" t="s">
        <v>53</v>
      </c>
      <c r="M1250" s="89" t="s">
        <v>3558</v>
      </c>
      <c r="N1250" s="89" t="s">
        <v>170</v>
      </c>
      <c r="O1250" s="93" t="s">
        <v>3559</v>
      </c>
      <c r="P1250" s="94" t="s">
        <v>57</v>
      </c>
      <c r="Q1250" s="112" t="s">
        <v>2211</v>
      </c>
      <c r="R1250" s="95"/>
      <c r="S1250" s="96">
        <v>46150</v>
      </c>
      <c r="T1250" s="96" t="s">
        <v>2212</v>
      </c>
      <c r="U1250" s="96" t="s">
        <v>79</v>
      </c>
      <c r="V1250" s="92">
        <v>46128</v>
      </c>
      <c r="W1250" s="92">
        <v>46141</v>
      </c>
      <c r="X1250" s="92">
        <v>46142</v>
      </c>
      <c r="Y1250" s="97"/>
      <c r="Z1250" s="89"/>
      <c r="AA1250" s="96"/>
      <c r="AB1250" s="89"/>
      <c r="AC1250" s="111"/>
      <c r="AD1250" s="89"/>
      <c r="AE1250" s="89"/>
      <c r="AF1250" s="98"/>
      <c r="AG1250" s="98"/>
      <c r="AH1250" s="98"/>
      <c r="AI1250" s="99"/>
      <c r="AJ1250" s="99"/>
      <c r="AK1250" s="99"/>
      <c r="AL1250" s="45" t="s">
        <v>68</v>
      </c>
      <c r="AM1250" s="162" t="str">
        <f t="shared" si="152"/>
        <v>3/2026</v>
      </c>
      <c r="AN1250" s="45">
        <f t="shared" si="153"/>
        <v>4</v>
      </c>
      <c r="AO1250" s="45" t="str">
        <f t="shared" si="154"/>
        <v>1/1900</v>
      </c>
      <c r="AP1250" s="45" t="e">
        <f t="shared" si="155"/>
        <v>#NUM!</v>
      </c>
      <c r="AQ1250" s="45">
        <f t="shared" si="156"/>
        <v>0</v>
      </c>
      <c r="AR1250" s="45">
        <f t="shared" si="157"/>
        <v>0</v>
      </c>
      <c r="AS1250" s="45">
        <f t="shared" si="158"/>
        <v>0</v>
      </c>
      <c r="AT1250" s="45">
        <f t="shared" si="159"/>
        <v>0</v>
      </c>
      <c r="AU1250" s="45" t="str">
        <f>_xlfn.XLOOKUP(U1250,'Lista Suspensa'!$AA$20:$AA$23,'Lista Suspensa'!$AB$20:$AB$23,"N/A")</f>
        <v>S</v>
      </c>
    </row>
    <row r="1251" spans="1:47" ht="12" hidden="1" customHeight="1" x14ac:dyDescent="0.3">
      <c r="A1251" s="87" t="s">
        <v>47</v>
      </c>
      <c r="B1251" s="88">
        <v>46104</v>
      </c>
      <c r="C1251" s="89" t="s">
        <v>48</v>
      </c>
      <c r="D1251" s="89" t="s">
        <v>49</v>
      </c>
      <c r="E1251" s="90">
        <v>301220964</v>
      </c>
      <c r="F1251" s="184" t="s">
        <v>3560</v>
      </c>
      <c r="G1251" s="91">
        <v>53182936891</v>
      </c>
      <c r="H1251" s="92">
        <v>18770</v>
      </c>
      <c r="I1251" s="89">
        <v>74</v>
      </c>
      <c r="J1251" s="89" t="s">
        <v>51</v>
      </c>
      <c r="K1251" s="89" t="s">
        <v>52</v>
      </c>
      <c r="L1251" s="89" t="s">
        <v>53</v>
      </c>
      <c r="M1251" s="89" t="s">
        <v>2958</v>
      </c>
      <c r="N1251" s="89" t="s">
        <v>170</v>
      </c>
      <c r="O1251" s="93" t="s">
        <v>3561</v>
      </c>
      <c r="P1251" s="94" t="s">
        <v>57</v>
      </c>
      <c r="Q1251" s="112" t="s">
        <v>2211</v>
      </c>
      <c r="R1251" s="95"/>
      <c r="S1251" s="96">
        <v>46164</v>
      </c>
      <c r="T1251" s="96" t="s">
        <v>2212</v>
      </c>
      <c r="U1251" s="96" t="s">
        <v>79</v>
      </c>
      <c r="V1251" s="92">
        <v>46141</v>
      </c>
      <c r="W1251" s="92">
        <v>46154</v>
      </c>
      <c r="X1251" s="92">
        <v>46160</v>
      </c>
      <c r="Y1251" s="97"/>
      <c r="Z1251" s="89"/>
      <c r="AA1251" s="96"/>
      <c r="AB1251" s="89"/>
      <c r="AC1251" s="111"/>
      <c r="AD1251" s="89"/>
      <c r="AE1251" s="89"/>
      <c r="AF1251" s="98"/>
      <c r="AG1251" s="98"/>
      <c r="AH1251" s="98"/>
      <c r="AI1251" s="99"/>
      <c r="AJ1251" s="99"/>
      <c r="AK1251" s="99"/>
      <c r="AL1251" s="45" t="s">
        <v>68</v>
      </c>
      <c r="AM1251" s="162" t="str">
        <f t="shared" si="152"/>
        <v>3/2026</v>
      </c>
      <c r="AN1251" s="45">
        <f t="shared" si="153"/>
        <v>4</v>
      </c>
      <c r="AO1251" s="45" t="str">
        <f t="shared" si="154"/>
        <v>1/1900</v>
      </c>
      <c r="AP1251" s="45" t="e">
        <f t="shared" si="155"/>
        <v>#NUM!</v>
      </c>
      <c r="AQ1251" s="45">
        <f t="shared" si="156"/>
        <v>0</v>
      </c>
      <c r="AR1251" s="45">
        <f t="shared" si="157"/>
        <v>0</v>
      </c>
      <c r="AS1251" s="45">
        <f t="shared" si="158"/>
        <v>0</v>
      </c>
      <c r="AT1251" s="45">
        <f t="shared" si="159"/>
        <v>0</v>
      </c>
      <c r="AU1251" s="45" t="str">
        <f>_xlfn.XLOOKUP(U1251,'Lista Suspensa'!$AA$20:$AA$23,'Lista Suspensa'!$AB$20:$AB$23,"N/A")</f>
        <v>S</v>
      </c>
    </row>
    <row r="1252" spans="1:47" ht="12" hidden="1" customHeight="1" x14ac:dyDescent="0.3">
      <c r="A1252" s="87" t="s">
        <v>47</v>
      </c>
      <c r="B1252" s="88">
        <v>46104</v>
      </c>
      <c r="C1252" s="89" t="s">
        <v>48</v>
      </c>
      <c r="D1252" s="89" t="s">
        <v>49</v>
      </c>
      <c r="E1252" s="90">
        <v>450054713</v>
      </c>
      <c r="F1252" s="184" t="s">
        <v>3562</v>
      </c>
      <c r="G1252" s="91">
        <v>20028024834</v>
      </c>
      <c r="H1252" s="92">
        <v>15602</v>
      </c>
      <c r="I1252" s="89">
        <v>83</v>
      </c>
      <c r="J1252" s="89" t="s">
        <v>51</v>
      </c>
      <c r="K1252" s="89" t="s">
        <v>52</v>
      </c>
      <c r="L1252" s="89" t="s">
        <v>53</v>
      </c>
      <c r="M1252" s="89" t="s">
        <v>2023</v>
      </c>
      <c r="N1252" s="89" t="s">
        <v>170</v>
      </c>
      <c r="O1252" s="93" t="s">
        <v>3563</v>
      </c>
      <c r="P1252" s="94" t="s">
        <v>57</v>
      </c>
      <c r="Q1252" s="112" t="s">
        <v>2211</v>
      </c>
      <c r="R1252" s="95"/>
      <c r="S1252" s="96">
        <v>46164</v>
      </c>
      <c r="T1252" s="96" t="s">
        <v>2212</v>
      </c>
      <c r="U1252" s="96" t="s">
        <v>79</v>
      </c>
      <c r="V1252" s="92">
        <v>46141</v>
      </c>
      <c r="W1252" s="92">
        <v>46154</v>
      </c>
      <c r="X1252" s="92">
        <v>46160</v>
      </c>
      <c r="Y1252" s="97"/>
      <c r="Z1252" s="89"/>
      <c r="AA1252" s="96"/>
      <c r="AB1252" s="89"/>
      <c r="AC1252" s="111"/>
      <c r="AD1252" s="89"/>
      <c r="AE1252" s="89"/>
      <c r="AF1252" s="98"/>
      <c r="AG1252" s="98"/>
      <c r="AH1252" s="98"/>
      <c r="AI1252" s="99"/>
      <c r="AJ1252" s="99"/>
      <c r="AK1252" s="99"/>
      <c r="AL1252" s="45" t="s">
        <v>68</v>
      </c>
      <c r="AM1252" s="162" t="str">
        <f t="shared" si="152"/>
        <v>3/2026</v>
      </c>
      <c r="AN1252" s="45">
        <f t="shared" si="153"/>
        <v>4</v>
      </c>
      <c r="AO1252" s="45" t="str">
        <f t="shared" si="154"/>
        <v>1/1900</v>
      </c>
      <c r="AP1252" s="45" t="e">
        <f t="shared" si="155"/>
        <v>#NUM!</v>
      </c>
      <c r="AQ1252" s="45">
        <f t="shared" si="156"/>
        <v>0</v>
      </c>
      <c r="AR1252" s="45">
        <f t="shared" si="157"/>
        <v>0</v>
      </c>
      <c r="AS1252" s="45">
        <f t="shared" si="158"/>
        <v>0</v>
      </c>
      <c r="AT1252" s="45">
        <f t="shared" si="159"/>
        <v>0</v>
      </c>
      <c r="AU1252" s="45" t="str">
        <f>_xlfn.XLOOKUP(U1252,'Lista Suspensa'!$AA$20:$AA$23,'Lista Suspensa'!$AB$20:$AB$23,"N/A")</f>
        <v>S</v>
      </c>
    </row>
    <row r="1253" spans="1:47" ht="12" hidden="1" customHeight="1" x14ac:dyDescent="0.3">
      <c r="A1253" s="87" t="s">
        <v>47</v>
      </c>
      <c r="B1253" s="88">
        <v>46104</v>
      </c>
      <c r="C1253" s="89" t="s">
        <v>48</v>
      </c>
      <c r="D1253" s="89" t="s">
        <v>49</v>
      </c>
      <c r="E1253" s="90">
        <v>451661141</v>
      </c>
      <c r="F1253" s="184" t="s">
        <v>3564</v>
      </c>
      <c r="G1253" s="91">
        <v>5431115804</v>
      </c>
      <c r="H1253" s="92">
        <v>17490</v>
      </c>
      <c r="I1253" s="89">
        <v>78</v>
      </c>
      <c r="J1253" s="89" t="s">
        <v>51</v>
      </c>
      <c r="K1253" s="89" t="s">
        <v>52</v>
      </c>
      <c r="L1253" s="89" t="s">
        <v>53</v>
      </c>
      <c r="M1253" s="89" t="s">
        <v>3565</v>
      </c>
      <c r="N1253" s="89" t="s">
        <v>170</v>
      </c>
      <c r="O1253" s="93" t="s">
        <v>3566</v>
      </c>
      <c r="P1253" s="94" t="s">
        <v>57</v>
      </c>
      <c r="Q1253" s="112" t="s">
        <v>2211</v>
      </c>
      <c r="R1253" s="95"/>
      <c r="S1253" s="96">
        <v>46164</v>
      </c>
      <c r="T1253" s="96" t="s">
        <v>2212</v>
      </c>
      <c r="U1253" s="96" t="s">
        <v>79</v>
      </c>
      <c r="V1253" s="92">
        <v>46141</v>
      </c>
      <c r="W1253" s="92">
        <v>46154</v>
      </c>
      <c r="X1253" s="92">
        <v>46160</v>
      </c>
      <c r="Y1253" s="97"/>
      <c r="Z1253" s="89"/>
      <c r="AA1253" s="96"/>
      <c r="AB1253" s="89"/>
      <c r="AC1253" s="111"/>
      <c r="AD1253" s="89"/>
      <c r="AE1253" s="89"/>
      <c r="AF1253" s="98"/>
      <c r="AG1253" s="98"/>
      <c r="AH1253" s="98"/>
      <c r="AI1253" s="99"/>
      <c r="AJ1253" s="99"/>
      <c r="AK1253" s="99"/>
      <c r="AL1253" s="45" t="s">
        <v>68</v>
      </c>
      <c r="AM1253" s="162" t="str">
        <f t="shared" si="152"/>
        <v>3/2026</v>
      </c>
      <c r="AN1253" s="45">
        <f t="shared" si="153"/>
        <v>4</v>
      </c>
      <c r="AO1253" s="45" t="str">
        <f t="shared" si="154"/>
        <v>1/1900</v>
      </c>
      <c r="AP1253" s="45" t="e">
        <f t="shared" si="155"/>
        <v>#NUM!</v>
      </c>
      <c r="AQ1253" s="45">
        <f t="shared" si="156"/>
        <v>0</v>
      </c>
      <c r="AR1253" s="45">
        <f t="shared" si="157"/>
        <v>0</v>
      </c>
      <c r="AS1253" s="45">
        <f t="shared" si="158"/>
        <v>0</v>
      </c>
      <c r="AT1253" s="45">
        <f t="shared" si="159"/>
        <v>0</v>
      </c>
      <c r="AU1253" s="45" t="str">
        <f>_xlfn.XLOOKUP(U1253,'Lista Suspensa'!$AA$20:$AA$23,'Lista Suspensa'!$AB$20:$AB$23,"N/A")</f>
        <v>S</v>
      </c>
    </row>
    <row r="1254" spans="1:47" ht="12" hidden="1" customHeight="1" x14ac:dyDescent="0.3">
      <c r="A1254" s="87" t="s">
        <v>47</v>
      </c>
      <c r="B1254" s="88">
        <v>46104</v>
      </c>
      <c r="C1254" s="89" t="s">
        <v>48</v>
      </c>
      <c r="D1254" s="89" t="s">
        <v>49</v>
      </c>
      <c r="E1254" s="90">
        <v>797618180</v>
      </c>
      <c r="F1254" s="184" t="s">
        <v>3567</v>
      </c>
      <c r="G1254" s="91">
        <v>4951412837</v>
      </c>
      <c r="H1254" s="92">
        <v>22971</v>
      </c>
      <c r="I1254" s="89">
        <v>63</v>
      </c>
      <c r="J1254" s="89" t="s">
        <v>51</v>
      </c>
      <c r="K1254" s="89" t="s">
        <v>52</v>
      </c>
      <c r="L1254" s="89" t="s">
        <v>53</v>
      </c>
      <c r="M1254" s="89" t="s">
        <v>3568</v>
      </c>
      <c r="N1254" s="89" t="s">
        <v>170</v>
      </c>
      <c r="O1254" s="93" t="s">
        <v>3569</v>
      </c>
      <c r="P1254" s="94" t="s">
        <v>57</v>
      </c>
      <c r="Q1254" s="112" t="s">
        <v>2211</v>
      </c>
      <c r="R1254" s="95"/>
      <c r="S1254" s="96">
        <v>46164</v>
      </c>
      <c r="T1254" s="96" t="s">
        <v>2212</v>
      </c>
      <c r="U1254" s="96" t="s">
        <v>79</v>
      </c>
      <c r="V1254" s="92">
        <v>46141</v>
      </c>
      <c r="W1254" s="92">
        <v>46154</v>
      </c>
      <c r="X1254" s="92">
        <v>46160</v>
      </c>
      <c r="Y1254" s="97"/>
      <c r="Z1254" s="89"/>
      <c r="AA1254" s="96"/>
      <c r="AB1254" s="89"/>
      <c r="AC1254" s="111"/>
      <c r="AD1254" s="89"/>
      <c r="AE1254" s="89"/>
      <c r="AF1254" s="98"/>
      <c r="AG1254" s="98"/>
      <c r="AH1254" s="98"/>
      <c r="AI1254" s="99"/>
      <c r="AJ1254" s="99"/>
      <c r="AK1254" s="99"/>
      <c r="AL1254" s="45" t="s">
        <v>68</v>
      </c>
      <c r="AM1254" s="162" t="str">
        <f t="shared" si="152"/>
        <v>3/2026</v>
      </c>
      <c r="AN1254" s="45">
        <f t="shared" si="153"/>
        <v>4</v>
      </c>
      <c r="AO1254" s="45" t="str">
        <f t="shared" si="154"/>
        <v>1/1900</v>
      </c>
      <c r="AP1254" s="45" t="e">
        <f t="shared" si="155"/>
        <v>#NUM!</v>
      </c>
      <c r="AQ1254" s="45">
        <f t="shared" si="156"/>
        <v>0</v>
      </c>
      <c r="AR1254" s="45">
        <f t="shared" si="157"/>
        <v>0</v>
      </c>
      <c r="AS1254" s="45">
        <f t="shared" si="158"/>
        <v>0</v>
      </c>
      <c r="AT1254" s="45">
        <f t="shared" si="159"/>
        <v>0</v>
      </c>
      <c r="AU1254" s="45" t="str">
        <f>_xlfn.XLOOKUP(U1254,'Lista Suspensa'!$AA$20:$AA$23,'Lista Suspensa'!$AB$20:$AB$23,"N/A")</f>
        <v>S</v>
      </c>
    </row>
    <row r="1255" spans="1:47" ht="12" hidden="1" customHeight="1" x14ac:dyDescent="0.3">
      <c r="A1255" s="87" t="s">
        <v>47</v>
      </c>
      <c r="B1255" s="88">
        <v>46104</v>
      </c>
      <c r="C1255" s="89" t="s">
        <v>48</v>
      </c>
      <c r="D1255" s="89" t="s">
        <v>49</v>
      </c>
      <c r="E1255" s="90">
        <v>451220790</v>
      </c>
      <c r="F1255" s="184" t="s">
        <v>3570</v>
      </c>
      <c r="G1255" s="91">
        <v>93779259834</v>
      </c>
      <c r="H1255" s="92">
        <v>20403</v>
      </c>
      <c r="I1255" s="89">
        <v>70</v>
      </c>
      <c r="J1255" s="89" t="s">
        <v>70</v>
      </c>
      <c r="K1255" s="89" t="s">
        <v>52</v>
      </c>
      <c r="L1255" s="89" t="s">
        <v>83</v>
      </c>
      <c r="M1255" s="89" t="s">
        <v>3571</v>
      </c>
      <c r="N1255" s="89" t="s">
        <v>170</v>
      </c>
      <c r="O1255" s="93" t="s">
        <v>3572</v>
      </c>
      <c r="P1255" s="94" t="s">
        <v>57</v>
      </c>
      <c r="Q1255" s="112" t="s">
        <v>2211</v>
      </c>
      <c r="R1255" s="95"/>
      <c r="S1255" s="96">
        <v>46164</v>
      </c>
      <c r="T1255" s="96" t="s">
        <v>2212</v>
      </c>
      <c r="U1255" s="96" t="s">
        <v>79</v>
      </c>
      <c r="V1255" s="92">
        <v>46141</v>
      </c>
      <c r="W1255" s="92">
        <v>46154</v>
      </c>
      <c r="X1255" s="92">
        <v>46160</v>
      </c>
      <c r="Y1255" s="97"/>
      <c r="Z1255" s="89"/>
      <c r="AA1255" s="96"/>
      <c r="AB1255" s="89"/>
      <c r="AC1255" s="111"/>
      <c r="AD1255" s="89"/>
      <c r="AE1255" s="89"/>
      <c r="AF1255" s="98"/>
      <c r="AG1255" s="98"/>
      <c r="AH1255" s="98"/>
      <c r="AI1255" s="99"/>
      <c r="AJ1255" s="99"/>
      <c r="AK1255" s="99"/>
      <c r="AL1255" s="45" t="s">
        <v>68</v>
      </c>
      <c r="AM1255" s="162" t="str">
        <f t="shared" si="152"/>
        <v>3/2026</v>
      </c>
      <c r="AN1255" s="45">
        <f t="shared" si="153"/>
        <v>4</v>
      </c>
      <c r="AO1255" s="45" t="str">
        <f t="shared" si="154"/>
        <v>1/1900</v>
      </c>
      <c r="AP1255" s="45" t="e">
        <f t="shared" si="155"/>
        <v>#NUM!</v>
      </c>
      <c r="AQ1255" s="45">
        <f t="shared" si="156"/>
        <v>0</v>
      </c>
      <c r="AR1255" s="45">
        <f t="shared" si="157"/>
        <v>0</v>
      </c>
      <c r="AS1255" s="45">
        <f t="shared" si="158"/>
        <v>0</v>
      </c>
      <c r="AT1255" s="45">
        <f t="shared" si="159"/>
        <v>0</v>
      </c>
      <c r="AU1255" s="45" t="str">
        <f>_xlfn.XLOOKUP(U1255,'Lista Suspensa'!$AA$20:$AA$23,'Lista Suspensa'!$AB$20:$AB$23,"N/A")</f>
        <v>S</v>
      </c>
    </row>
    <row r="1256" spans="1:47" ht="12" hidden="1" customHeight="1" x14ac:dyDescent="0.3">
      <c r="A1256" s="87" t="s">
        <v>47</v>
      </c>
      <c r="B1256" s="88">
        <v>46104</v>
      </c>
      <c r="C1256" s="89" t="s">
        <v>48</v>
      </c>
      <c r="D1256" s="89" t="s">
        <v>49</v>
      </c>
      <c r="E1256" s="90">
        <v>113399219</v>
      </c>
      <c r="F1256" s="184" t="s">
        <v>3573</v>
      </c>
      <c r="G1256" s="91">
        <v>5648637772</v>
      </c>
      <c r="H1256" s="92">
        <v>15213</v>
      </c>
      <c r="I1256" s="89">
        <v>84</v>
      </c>
      <c r="J1256" s="89" t="s">
        <v>70</v>
      </c>
      <c r="K1256" s="89" t="s">
        <v>88</v>
      </c>
      <c r="L1256" s="89" t="s">
        <v>89</v>
      </c>
      <c r="M1256" s="89" t="s">
        <v>1933</v>
      </c>
      <c r="N1256" s="89" t="s">
        <v>170</v>
      </c>
      <c r="O1256" s="93" t="s">
        <v>3574</v>
      </c>
      <c r="P1256" s="94" t="s">
        <v>57</v>
      </c>
      <c r="Q1256" s="112" t="s">
        <v>2211</v>
      </c>
      <c r="R1256" s="95"/>
      <c r="S1256" s="96">
        <v>46164</v>
      </c>
      <c r="T1256" s="96" t="s">
        <v>2212</v>
      </c>
      <c r="U1256" s="96" t="s">
        <v>79</v>
      </c>
      <c r="V1256" s="92">
        <v>46141</v>
      </c>
      <c r="W1256" s="92">
        <v>46154</v>
      </c>
      <c r="X1256" s="92">
        <v>46160</v>
      </c>
      <c r="Y1256" s="97"/>
      <c r="Z1256" s="89"/>
      <c r="AA1256" s="96"/>
      <c r="AB1256" s="89"/>
      <c r="AC1256" s="111"/>
      <c r="AD1256" s="89"/>
      <c r="AE1256" s="89"/>
      <c r="AF1256" s="98"/>
      <c r="AG1256" s="98"/>
      <c r="AH1256" s="98"/>
      <c r="AI1256" s="99"/>
      <c r="AJ1256" s="99"/>
      <c r="AK1256" s="99"/>
      <c r="AL1256" s="45" t="s">
        <v>68</v>
      </c>
      <c r="AM1256" s="162" t="str">
        <f t="shared" si="152"/>
        <v>3/2026</v>
      </c>
      <c r="AN1256" s="45">
        <f t="shared" si="153"/>
        <v>4</v>
      </c>
      <c r="AO1256" s="45" t="str">
        <f t="shared" si="154"/>
        <v>1/1900</v>
      </c>
      <c r="AP1256" s="45" t="e">
        <f t="shared" si="155"/>
        <v>#NUM!</v>
      </c>
      <c r="AQ1256" s="45">
        <f t="shared" si="156"/>
        <v>0</v>
      </c>
      <c r="AR1256" s="45">
        <f t="shared" si="157"/>
        <v>0</v>
      </c>
      <c r="AS1256" s="45">
        <f t="shared" si="158"/>
        <v>0</v>
      </c>
      <c r="AT1256" s="45">
        <f t="shared" si="159"/>
        <v>0</v>
      </c>
      <c r="AU1256" s="45" t="str">
        <f>_xlfn.XLOOKUP(U1256,'Lista Suspensa'!$AA$20:$AA$23,'Lista Suspensa'!$AB$20:$AB$23,"N/A")</f>
        <v>S</v>
      </c>
    </row>
    <row r="1257" spans="1:47" ht="12" hidden="1" customHeight="1" x14ac:dyDescent="0.3">
      <c r="A1257" s="87" t="s">
        <v>47</v>
      </c>
      <c r="B1257" s="88">
        <v>46104</v>
      </c>
      <c r="C1257" s="89" t="s">
        <v>48</v>
      </c>
      <c r="D1257" s="89" t="s">
        <v>49</v>
      </c>
      <c r="E1257" s="90">
        <v>301256357</v>
      </c>
      <c r="F1257" s="184" t="s">
        <v>3575</v>
      </c>
      <c r="G1257" s="91">
        <v>28102622849</v>
      </c>
      <c r="H1257" s="92">
        <v>17329</v>
      </c>
      <c r="I1257" s="89">
        <v>78</v>
      </c>
      <c r="J1257" s="89" t="s">
        <v>51</v>
      </c>
      <c r="K1257" s="89" t="s">
        <v>52</v>
      </c>
      <c r="L1257" s="89" t="s">
        <v>53</v>
      </c>
      <c r="M1257" s="89" t="s">
        <v>3576</v>
      </c>
      <c r="N1257" s="89" t="s">
        <v>170</v>
      </c>
      <c r="O1257" s="93" t="s">
        <v>3577</v>
      </c>
      <c r="P1257" s="94" t="s">
        <v>57</v>
      </c>
      <c r="Q1257" s="112" t="s">
        <v>2211</v>
      </c>
      <c r="R1257" s="95"/>
      <c r="S1257" s="96">
        <v>46164</v>
      </c>
      <c r="T1257" s="96" t="s">
        <v>2212</v>
      </c>
      <c r="U1257" s="96" t="s">
        <v>79</v>
      </c>
      <c r="V1257" s="92">
        <v>46141</v>
      </c>
      <c r="W1257" s="92">
        <v>46154</v>
      </c>
      <c r="X1257" s="92">
        <v>46160</v>
      </c>
      <c r="Y1257" s="97"/>
      <c r="Z1257" s="89"/>
      <c r="AA1257" s="96"/>
      <c r="AB1257" s="89"/>
      <c r="AC1257" s="111"/>
      <c r="AD1257" s="89"/>
      <c r="AE1257" s="89"/>
      <c r="AF1257" s="98"/>
      <c r="AG1257" s="98"/>
      <c r="AH1257" s="98"/>
      <c r="AI1257" s="99"/>
      <c r="AJ1257" s="99"/>
      <c r="AK1257" s="99"/>
      <c r="AL1257" s="45" t="s">
        <v>68</v>
      </c>
      <c r="AM1257" s="162" t="str">
        <f t="shared" si="152"/>
        <v>3/2026</v>
      </c>
      <c r="AN1257" s="45">
        <f t="shared" si="153"/>
        <v>4</v>
      </c>
      <c r="AO1257" s="45" t="str">
        <f t="shared" si="154"/>
        <v>1/1900</v>
      </c>
      <c r="AP1257" s="45" t="e">
        <f t="shared" si="155"/>
        <v>#NUM!</v>
      </c>
      <c r="AQ1257" s="45">
        <f t="shared" si="156"/>
        <v>0</v>
      </c>
      <c r="AR1257" s="45">
        <f t="shared" si="157"/>
        <v>0</v>
      </c>
      <c r="AS1257" s="45">
        <f t="shared" si="158"/>
        <v>0</v>
      </c>
      <c r="AT1257" s="45">
        <f t="shared" si="159"/>
        <v>0</v>
      </c>
      <c r="AU1257" s="45" t="str">
        <f>_xlfn.XLOOKUP(U1257,'Lista Suspensa'!$AA$20:$AA$23,'Lista Suspensa'!$AB$20:$AB$23,"N/A")</f>
        <v>S</v>
      </c>
    </row>
    <row r="1258" spans="1:47" ht="12" hidden="1" customHeight="1" x14ac:dyDescent="0.3">
      <c r="A1258" s="87" t="s">
        <v>47</v>
      </c>
      <c r="B1258" s="88">
        <v>46104</v>
      </c>
      <c r="C1258" s="89" t="s">
        <v>48</v>
      </c>
      <c r="D1258" s="89" t="s">
        <v>49</v>
      </c>
      <c r="E1258" s="90">
        <v>111875331</v>
      </c>
      <c r="F1258" s="184" t="s">
        <v>3578</v>
      </c>
      <c r="G1258" s="91">
        <v>9978380787</v>
      </c>
      <c r="H1258" s="92">
        <v>14586</v>
      </c>
      <c r="I1258" s="89">
        <v>86</v>
      </c>
      <c r="J1258" s="89" t="s">
        <v>51</v>
      </c>
      <c r="K1258" s="89" t="s">
        <v>88</v>
      </c>
      <c r="L1258" s="89" t="s">
        <v>89</v>
      </c>
      <c r="M1258" s="89" t="s">
        <v>1098</v>
      </c>
      <c r="N1258" s="89" t="s">
        <v>170</v>
      </c>
      <c r="O1258" s="93" t="s">
        <v>3579</v>
      </c>
      <c r="P1258" s="94" t="s">
        <v>57</v>
      </c>
      <c r="Q1258" s="112" t="s">
        <v>2211</v>
      </c>
      <c r="R1258" s="95"/>
      <c r="S1258" s="96">
        <v>46150</v>
      </c>
      <c r="T1258" s="96" t="s">
        <v>2212</v>
      </c>
      <c r="U1258" s="96" t="s">
        <v>79</v>
      </c>
      <c r="V1258" s="92">
        <v>46112</v>
      </c>
      <c r="W1258" s="92">
        <v>46141</v>
      </c>
      <c r="X1258" s="92">
        <v>46142</v>
      </c>
      <c r="Y1258" s="97"/>
      <c r="Z1258" s="89"/>
      <c r="AA1258" s="96"/>
      <c r="AB1258" s="89"/>
      <c r="AC1258" s="111"/>
      <c r="AD1258" s="89"/>
      <c r="AE1258" s="89"/>
      <c r="AF1258" s="98"/>
      <c r="AG1258" s="98"/>
      <c r="AH1258" s="98"/>
      <c r="AI1258" s="99"/>
      <c r="AJ1258" s="99"/>
      <c r="AK1258" s="99"/>
      <c r="AL1258" s="45" t="s">
        <v>68</v>
      </c>
      <c r="AM1258" s="162" t="str">
        <f t="shared" si="152"/>
        <v>3/2026</v>
      </c>
      <c r="AN1258" s="45">
        <f t="shared" si="153"/>
        <v>4</v>
      </c>
      <c r="AO1258" s="45" t="str">
        <f t="shared" si="154"/>
        <v>1/1900</v>
      </c>
      <c r="AP1258" s="45" t="e">
        <f t="shared" si="155"/>
        <v>#NUM!</v>
      </c>
      <c r="AQ1258" s="45">
        <f t="shared" si="156"/>
        <v>0</v>
      </c>
      <c r="AR1258" s="45">
        <f t="shared" si="157"/>
        <v>0</v>
      </c>
      <c r="AS1258" s="45">
        <f t="shared" si="158"/>
        <v>0</v>
      </c>
      <c r="AT1258" s="45">
        <f t="shared" si="159"/>
        <v>0</v>
      </c>
      <c r="AU1258" s="45" t="str">
        <f>_xlfn.XLOOKUP(U1258,'Lista Suspensa'!$AA$20:$AA$23,'Lista Suspensa'!$AB$20:$AB$23,"N/A")</f>
        <v>S</v>
      </c>
    </row>
    <row r="1259" spans="1:47" ht="12" hidden="1" customHeight="1" x14ac:dyDescent="0.3">
      <c r="A1259" s="87" t="s">
        <v>47</v>
      </c>
      <c r="B1259" s="88">
        <v>46104</v>
      </c>
      <c r="C1259" s="89" t="s">
        <v>48</v>
      </c>
      <c r="D1259" s="89" t="s">
        <v>49</v>
      </c>
      <c r="E1259" s="90">
        <v>115728333</v>
      </c>
      <c r="F1259" s="184" t="s">
        <v>3580</v>
      </c>
      <c r="G1259" s="91">
        <v>12649090120</v>
      </c>
      <c r="H1259" s="92">
        <v>17129</v>
      </c>
      <c r="I1259" s="89">
        <v>79</v>
      </c>
      <c r="J1259" s="89" t="s">
        <v>51</v>
      </c>
      <c r="K1259" s="89" t="s">
        <v>88</v>
      </c>
      <c r="L1259" s="89" t="s">
        <v>89</v>
      </c>
      <c r="M1259" s="89" t="s">
        <v>1098</v>
      </c>
      <c r="N1259" s="89" t="s">
        <v>170</v>
      </c>
      <c r="O1259" s="93" t="s">
        <v>3581</v>
      </c>
      <c r="P1259" s="94" t="s">
        <v>57</v>
      </c>
      <c r="Q1259" s="112" t="s">
        <v>2211</v>
      </c>
      <c r="R1259" s="95"/>
      <c r="S1259" s="96">
        <v>46164</v>
      </c>
      <c r="T1259" s="96" t="s">
        <v>2212</v>
      </c>
      <c r="U1259" s="96" t="s">
        <v>79</v>
      </c>
      <c r="V1259" s="92">
        <v>46141</v>
      </c>
      <c r="W1259" s="92">
        <v>46154</v>
      </c>
      <c r="X1259" s="92">
        <v>46160</v>
      </c>
      <c r="Y1259" s="97"/>
      <c r="Z1259" s="89"/>
      <c r="AA1259" s="96"/>
      <c r="AB1259" s="89"/>
      <c r="AC1259" s="111"/>
      <c r="AD1259" s="89"/>
      <c r="AE1259" s="89"/>
      <c r="AF1259" s="98"/>
      <c r="AG1259" s="98"/>
      <c r="AH1259" s="98"/>
      <c r="AI1259" s="99"/>
      <c r="AJ1259" s="99"/>
      <c r="AK1259" s="99"/>
      <c r="AL1259" s="45" t="s">
        <v>68</v>
      </c>
      <c r="AM1259" s="162" t="str">
        <f t="shared" si="152"/>
        <v>3/2026</v>
      </c>
      <c r="AN1259" s="45">
        <f t="shared" si="153"/>
        <v>4</v>
      </c>
      <c r="AO1259" s="45" t="str">
        <f t="shared" si="154"/>
        <v>1/1900</v>
      </c>
      <c r="AP1259" s="45" t="e">
        <f t="shared" si="155"/>
        <v>#NUM!</v>
      </c>
      <c r="AQ1259" s="45">
        <f t="shared" si="156"/>
        <v>0</v>
      </c>
      <c r="AR1259" s="45">
        <f t="shared" si="157"/>
        <v>0</v>
      </c>
      <c r="AS1259" s="45">
        <f t="shared" si="158"/>
        <v>0</v>
      </c>
      <c r="AT1259" s="45">
        <f t="shared" si="159"/>
        <v>0</v>
      </c>
      <c r="AU1259" s="45" t="str">
        <f>_xlfn.XLOOKUP(U1259,'Lista Suspensa'!$AA$20:$AA$23,'Lista Suspensa'!$AB$20:$AB$23,"N/A")</f>
        <v>S</v>
      </c>
    </row>
    <row r="1260" spans="1:47" ht="12" hidden="1" customHeight="1" x14ac:dyDescent="0.3">
      <c r="A1260" s="87" t="s">
        <v>47</v>
      </c>
      <c r="B1260" s="88">
        <v>46104</v>
      </c>
      <c r="C1260" s="89" t="s">
        <v>48</v>
      </c>
      <c r="D1260" s="89" t="s">
        <v>49</v>
      </c>
      <c r="E1260" s="90">
        <v>450346030</v>
      </c>
      <c r="F1260" s="184" t="s">
        <v>3582</v>
      </c>
      <c r="G1260" s="91">
        <v>53596765820</v>
      </c>
      <c r="H1260" s="92">
        <v>18739</v>
      </c>
      <c r="I1260" s="89">
        <v>74</v>
      </c>
      <c r="J1260" s="89" t="s">
        <v>51</v>
      </c>
      <c r="K1260" s="89" t="s">
        <v>52</v>
      </c>
      <c r="L1260" s="89" t="s">
        <v>53</v>
      </c>
      <c r="M1260" s="89" t="s">
        <v>2759</v>
      </c>
      <c r="N1260" s="89" t="s">
        <v>170</v>
      </c>
      <c r="O1260" s="93" t="s">
        <v>3583</v>
      </c>
      <c r="P1260" s="94" t="s">
        <v>57</v>
      </c>
      <c r="Q1260" s="112" t="s">
        <v>2211</v>
      </c>
      <c r="R1260" s="95"/>
      <c r="S1260" s="96">
        <v>46150</v>
      </c>
      <c r="T1260" s="96" t="s">
        <v>2212</v>
      </c>
      <c r="U1260" s="96" t="s">
        <v>79</v>
      </c>
      <c r="V1260" s="92">
        <v>46122</v>
      </c>
      <c r="W1260" s="92">
        <v>46141</v>
      </c>
      <c r="X1260" s="92">
        <v>46142</v>
      </c>
      <c r="Y1260" s="97"/>
      <c r="Z1260" s="89"/>
      <c r="AA1260" s="96"/>
      <c r="AB1260" s="89"/>
      <c r="AC1260" s="111"/>
      <c r="AD1260" s="89"/>
      <c r="AE1260" s="89"/>
      <c r="AF1260" s="98"/>
      <c r="AG1260" s="98"/>
      <c r="AH1260" s="98"/>
      <c r="AI1260" s="99"/>
      <c r="AJ1260" s="99"/>
      <c r="AK1260" s="99"/>
      <c r="AL1260" s="45" t="s">
        <v>68</v>
      </c>
      <c r="AM1260" s="162" t="str">
        <f t="shared" si="152"/>
        <v>3/2026</v>
      </c>
      <c r="AN1260" s="45">
        <f t="shared" si="153"/>
        <v>4</v>
      </c>
      <c r="AO1260" s="45" t="str">
        <f t="shared" si="154"/>
        <v>1/1900</v>
      </c>
      <c r="AP1260" s="45" t="e">
        <f t="shared" si="155"/>
        <v>#NUM!</v>
      </c>
      <c r="AQ1260" s="45">
        <f t="shared" si="156"/>
        <v>0</v>
      </c>
      <c r="AR1260" s="45">
        <f t="shared" si="157"/>
        <v>0</v>
      </c>
      <c r="AS1260" s="45">
        <f t="shared" si="158"/>
        <v>0</v>
      </c>
      <c r="AT1260" s="45">
        <f t="shared" si="159"/>
        <v>0</v>
      </c>
      <c r="AU1260" s="45" t="str">
        <f>_xlfn.XLOOKUP(U1260,'Lista Suspensa'!$AA$20:$AA$23,'Lista Suspensa'!$AB$20:$AB$23,"N/A")</f>
        <v>S</v>
      </c>
    </row>
    <row r="1261" spans="1:47" ht="12" hidden="1" customHeight="1" x14ac:dyDescent="0.3">
      <c r="A1261" s="87" t="s">
        <v>47</v>
      </c>
      <c r="B1261" s="88">
        <v>46104</v>
      </c>
      <c r="C1261" s="89" t="s">
        <v>48</v>
      </c>
      <c r="D1261" s="89" t="s">
        <v>49</v>
      </c>
      <c r="E1261" s="90">
        <v>20276966</v>
      </c>
      <c r="F1261" s="184" t="s">
        <v>3584</v>
      </c>
      <c r="G1261" s="91">
        <v>27140130825</v>
      </c>
      <c r="H1261" s="92">
        <v>12674</v>
      </c>
      <c r="I1261" s="89">
        <v>91</v>
      </c>
      <c r="J1261" s="89" t="s">
        <v>51</v>
      </c>
      <c r="K1261" s="89" t="s">
        <v>52</v>
      </c>
      <c r="L1261" s="89" t="s">
        <v>53</v>
      </c>
      <c r="M1261" s="89" t="s">
        <v>3585</v>
      </c>
      <c r="N1261" s="89" t="s">
        <v>170</v>
      </c>
      <c r="O1261" s="93" t="s">
        <v>3586</v>
      </c>
      <c r="P1261" s="94" t="s">
        <v>57</v>
      </c>
      <c r="Q1261" s="112" t="s">
        <v>2211</v>
      </c>
      <c r="R1261" s="95"/>
      <c r="S1261" s="96">
        <v>46150</v>
      </c>
      <c r="T1261" s="96" t="s">
        <v>2212</v>
      </c>
      <c r="U1261" s="96" t="s">
        <v>79</v>
      </c>
      <c r="V1261" s="92">
        <v>46122</v>
      </c>
      <c r="W1261" s="92">
        <v>46141</v>
      </c>
      <c r="X1261" s="92">
        <v>46142</v>
      </c>
      <c r="Y1261" s="97"/>
      <c r="Z1261" s="89"/>
      <c r="AA1261" s="96"/>
      <c r="AB1261" s="89"/>
      <c r="AC1261" s="111"/>
      <c r="AD1261" s="89"/>
      <c r="AE1261" s="89"/>
      <c r="AF1261" s="98"/>
      <c r="AG1261" s="98"/>
      <c r="AH1261" s="98"/>
      <c r="AI1261" s="99"/>
      <c r="AJ1261" s="99"/>
      <c r="AK1261" s="99"/>
      <c r="AL1261" s="45" t="s">
        <v>68</v>
      </c>
      <c r="AM1261" s="162" t="str">
        <f t="shared" si="152"/>
        <v>3/2026</v>
      </c>
      <c r="AN1261" s="45">
        <f t="shared" si="153"/>
        <v>4</v>
      </c>
      <c r="AO1261" s="45" t="str">
        <f t="shared" si="154"/>
        <v>1/1900</v>
      </c>
      <c r="AP1261" s="45" t="e">
        <f t="shared" si="155"/>
        <v>#NUM!</v>
      </c>
      <c r="AQ1261" s="45">
        <f t="shared" si="156"/>
        <v>0</v>
      </c>
      <c r="AR1261" s="45">
        <f t="shared" si="157"/>
        <v>0</v>
      </c>
      <c r="AS1261" s="45">
        <f t="shared" si="158"/>
        <v>0</v>
      </c>
      <c r="AT1261" s="45">
        <f t="shared" si="159"/>
        <v>0</v>
      </c>
      <c r="AU1261" s="45" t="str">
        <f>_xlfn.XLOOKUP(U1261,'Lista Suspensa'!$AA$20:$AA$23,'Lista Suspensa'!$AB$20:$AB$23,"N/A")</f>
        <v>S</v>
      </c>
    </row>
    <row r="1262" spans="1:47" ht="12" hidden="1" customHeight="1" x14ac:dyDescent="0.3">
      <c r="A1262" s="87" t="s">
        <v>47</v>
      </c>
      <c r="B1262" s="88">
        <v>46104</v>
      </c>
      <c r="C1262" s="89" t="s">
        <v>48</v>
      </c>
      <c r="D1262" s="89" t="s">
        <v>49</v>
      </c>
      <c r="E1262" s="90">
        <v>451886038</v>
      </c>
      <c r="F1262" s="184" t="s">
        <v>3587</v>
      </c>
      <c r="G1262" s="91">
        <v>89862147849</v>
      </c>
      <c r="H1262" s="92">
        <v>21256</v>
      </c>
      <c r="I1262" s="89">
        <v>68</v>
      </c>
      <c r="J1262" s="89" t="s">
        <v>51</v>
      </c>
      <c r="K1262" s="89" t="s">
        <v>52</v>
      </c>
      <c r="L1262" s="89" t="s">
        <v>53</v>
      </c>
      <c r="M1262" s="89" t="s">
        <v>510</v>
      </c>
      <c r="N1262" s="89" t="s">
        <v>170</v>
      </c>
      <c r="O1262" s="93" t="s">
        <v>3588</v>
      </c>
      <c r="P1262" s="94" t="s">
        <v>57</v>
      </c>
      <c r="Q1262" s="112" t="s">
        <v>2211</v>
      </c>
      <c r="R1262" s="95"/>
      <c r="S1262" s="96">
        <v>46150</v>
      </c>
      <c r="T1262" s="96" t="s">
        <v>2212</v>
      </c>
      <c r="U1262" s="96" t="s">
        <v>79</v>
      </c>
      <c r="V1262" s="92">
        <v>46128</v>
      </c>
      <c r="W1262" s="92">
        <v>46141</v>
      </c>
      <c r="X1262" s="92">
        <v>46142</v>
      </c>
      <c r="Y1262" s="97"/>
      <c r="Z1262" s="89"/>
      <c r="AA1262" s="96"/>
      <c r="AB1262" s="89"/>
      <c r="AC1262" s="111"/>
      <c r="AD1262" s="89"/>
      <c r="AE1262" s="89"/>
      <c r="AF1262" s="98"/>
      <c r="AG1262" s="98"/>
      <c r="AH1262" s="98"/>
      <c r="AI1262" s="99"/>
      <c r="AJ1262" s="99"/>
      <c r="AK1262" s="99"/>
      <c r="AL1262" s="45" t="s">
        <v>68</v>
      </c>
      <c r="AM1262" s="162" t="str">
        <f t="shared" si="152"/>
        <v>3/2026</v>
      </c>
      <c r="AN1262" s="45">
        <f t="shared" si="153"/>
        <v>4</v>
      </c>
      <c r="AO1262" s="45" t="str">
        <f t="shared" si="154"/>
        <v>1/1900</v>
      </c>
      <c r="AP1262" s="45" t="e">
        <f t="shared" si="155"/>
        <v>#NUM!</v>
      </c>
      <c r="AQ1262" s="45">
        <f t="shared" si="156"/>
        <v>0</v>
      </c>
      <c r="AR1262" s="45">
        <f t="shared" si="157"/>
        <v>0</v>
      </c>
      <c r="AS1262" s="45">
        <f t="shared" si="158"/>
        <v>0</v>
      </c>
      <c r="AT1262" s="45">
        <f t="shared" si="159"/>
        <v>0</v>
      </c>
      <c r="AU1262" s="45" t="str">
        <f>_xlfn.XLOOKUP(U1262,'Lista Suspensa'!$AA$20:$AA$23,'Lista Suspensa'!$AB$20:$AB$23,"N/A")</f>
        <v>S</v>
      </c>
    </row>
    <row r="1263" spans="1:47" ht="12" hidden="1" customHeight="1" x14ac:dyDescent="0.3">
      <c r="A1263" s="87" t="s">
        <v>47</v>
      </c>
      <c r="B1263" s="88">
        <v>46104</v>
      </c>
      <c r="C1263" s="89" t="s">
        <v>48</v>
      </c>
      <c r="D1263" s="89" t="s">
        <v>49</v>
      </c>
      <c r="E1263" s="90">
        <v>115740155</v>
      </c>
      <c r="F1263" s="184" t="s">
        <v>3589</v>
      </c>
      <c r="G1263" s="91">
        <v>13037145749</v>
      </c>
      <c r="H1263" s="92">
        <v>16654</v>
      </c>
      <c r="I1263" s="89">
        <v>80</v>
      </c>
      <c r="J1263" s="89" t="s">
        <v>51</v>
      </c>
      <c r="K1263" s="89" t="s">
        <v>88</v>
      </c>
      <c r="L1263" s="89" t="s">
        <v>89</v>
      </c>
      <c r="M1263" s="89" t="s">
        <v>1169</v>
      </c>
      <c r="N1263" s="89" t="s">
        <v>170</v>
      </c>
      <c r="O1263" s="93" t="s">
        <v>3590</v>
      </c>
      <c r="P1263" s="94" t="s">
        <v>57</v>
      </c>
      <c r="Q1263" s="112" t="s">
        <v>2211</v>
      </c>
      <c r="R1263" s="95"/>
      <c r="S1263" s="96">
        <v>46164</v>
      </c>
      <c r="T1263" s="96" t="s">
        <v>2212</v>
      </c>
      <c r="U1263" s="96" t="s">
        <v>79</v>
      </c>
      <c r="V1263" s="92">
        <v>46141</v>
      </c>
      <c r="W1263" s="92">
        <v>46154</v>
      </c>
      <c r="X1263" s="92">
        <v>46160</v>
      </c>
      <c r="Y1263" s="97"/>
      <c r="Z1263" s="89"/>
      <c r="AA1263" s="96"/>
      <c r="AB1263" s="89"/>
      <c r="AC1263" s="111"/>
      <c r="AD1263" s="89"/>
      <c r="AE1263" s="89"/>
      <c r="AF1263" s="98"/>
      <c r="AG1263" s="98"/>
      <c r="AH1263" s="98"/>
      <c r="AI1263" s="99"/>
      <c r="AJ1263" s="99"/>
      <c r="AK1263" s="99"/>
      <c r="AL1263" s="45" t="s">
        <v>68</v>
      </c>
      <c r="AM1263" s="162" t="str">
        <f t="shared" si="152"/>
        <v>3/2026</v>
      </c>
      <c r="AN1263" s="45">
        <f t="shared" si="153"/>
        <v>4</v>
      </c>
      <c r="AO1263" s="45" t="str">
        <f t="shared" si="154"/>
        <v>1/1900</v>
      </c>
      <c r="AP1263" s="45" t="e">
        <f t="shared" si="155"/>
        <v>#NUM!</v>
      </c>
      <c r="AQ1263" s="45">
        <f t="shared" si="156"/>
        <v>0</v>
      </c>
      <c r="AR1263" s="45">
        <f t="shared" si="157"/>
        <v>0</v>
      </c>
      <c r="AS1263" s="45">
        <f t="shared" si="158"/>
        <v>0</v>
      </c>
      <c r="AT1263" s="45">
        <f t="shared" si="159"/>
        <v>0</v>
      </c>
      <c r="AU1263" s="45" t="str">
        <f>_xlfn.XLOOKUP(U1263,'Lista Suspensa'!$AA$20:$AA$23,'Lista Suspensa'!$AB$20:$AB$23,"N/A")</f>
        <v>S</v>
      </c>
    </row>
    <row r="1264" spans="1:47" ht="12" hidden="1" customHeight="1" x14ac:dyDescent="0.3">
      <c r="A1264" s="87" t="s">
        <v>47</v>
      </c>
      <c r="B1264" s="88">
        <v>46104</v>
      </c>
      <c r="C1264" s="89" t="s">
        <v>48</v>
      </c>
      <c r="D1264" s="89" t="s">
        <v>49</v>
      </c>
      <c r="E1264" s="90">
        <v>222459689</v>
      </c>
      <c r="F1264" s="184" t="s">
        <v>3591</v>
      </c>
      <c r="G1264" s="91">
        <v>21453291881</v>
      </c>
      <c r="H1264" s="92">
        <v>19200</v>
      </c>
      <c r="I1264" s="89">
        <v>73</v>
      </c>
      <c r="J1264" s="89" t="s">
        <v>70</v>
      </c>
      <c r="K1264" s="89" t="s">
        <v>52</v>
      </c>
      <c r="L1264" s="89" t="s">
        <v>53</v>
      </c>
      <c r="M1264" s="89" t="s">
        <v>1924</v>
      </c>
      <c r="N1264" s="89" t="s">
        <v>170</v>
      </c>
      <c r="O1264" s="93" t="s">
        <v>3592</v>
      </c>
      <c r="P1264" s="94" t="s">
        <v>57</v>
      </c>
      <c r="Q1264" s="112" t="s">
        <v>2211</v>
      </c>
      <c r="R1264" s="95"/>
      <c r="S1264" s="96">
        <v>46164</v>
      </c>
      <c r="T1264" s="96" t="s">
        <v>2212</v>
      </c>
      <c r="U1264" s="96" t="s">
        <v>79</v>
      </c>
      <c r="V1264" s="92">
        <v>46141</v>
      </c>
      <c r="W1264" s="92">
        <v>46154</v>
      </c>
      <c r="X1264" s="92">
        <v>46160</v>
      </c>
      <c r="Y1264" s="97"/>
      <c r="Z1264" s="89"/>
      <c r="AA1264" s="96"/>
      <c r="AB1264" s="89"/>
      <c r="AC1264" s="111"/>
      <c r="AD1264" s="89"/>
      <c r="AE1264" s="89"/>
      <c r="AF1264" s="98"/>
      <c r="AG1264" s="98"/>
      <c r="AH1264" s="98"/>
      <c r="AI1264" s="99"/>
      <c r="AJ1264" s="99"/>
      <c r="AK1264" s="99"/>
      <c r="AL1264" s="45" t="s">
        <v>68</v>
      </c>
      <c r="AM1264" s="162" t="str">
        <f t="shared" si="152"/>
        <v>3/2026</v>
      </c>
      <c r="AN1264" s="45">
        <f t="shared" si="153"/>
        <v>4</v>
      </c>
      <c r="AO1264" s="45" t="str">
        <f t="shared" si="154"/>
        <v>1/1900</v>
      </c>
      <c r="AP1264" s="45" t="e">
        <f t="shared" si="155"/>
        <v>#NUM!</v>
      </c>
      <c r="AQ1264" s="45">
        <f t="shared" si="156"/>
        <v>0</v>
      </c>
      <c r="AR1264" s="45">
        <f t="shared" si="157"/>
        <v>0</v>
      </c>
      <c r="AS1264" s="45">
        <f t="shared" si="158"/>
        <v>0</v>
      </c>
      <c r="AT1264" s="45">
        <f t="shared" si="159"/>
        <v>0</v>
      </c>
      <c r="AU1264" s="45" t="str">
        <f>_xlfn.XLOOKUP(U1264,'Lista Suspensa'!$AA$20:$AA$23,'Lista Suspensa'!$AB$20:$AB$23,"N/A")</f>
        <v>S</v>
      </c>
    </row>
    <row r="1265" spans="1:47" ht="12" hidden="1" customHeight="1" x14ac:dyDescent="0.3">
      <c r="A1265" s="87" t="s">
        <v>47</v>
      </c>
      <c r="B1265" s="88">
        <v>46104</v>
      </c>
      <c r="C1265" s="89" t="s">
        <v>48</v>
      </c>
      <c r="D1265" s="89" t="s">
        <v>49</v>
      </c>
      <c r="E1265" s="90">
        <v>301229317</v>
      </c>
      <c r="F1265" s="184" t="s">
        <v>3593</v>
      </c>
      <c r="G1265" s="91">
        <v>59856700825</v>
      </c>
      <c r="H1265" s="92">
        <v>15346</v>
      </c>
      <c r="I1265" s="89">
        <v>84</v>
      </c>
      <c r="J1265" s="89" t="s">
        <v>51</v>
      </c>
      <c r="K1265" s="89" t="s">
        <v>52</v>
      </c>
      <c r="L1265" s="89" t="s">
        <v>53</v>
      </c>
      <c r="M1265" s="89" t="s">
        <v>3594</v>
      </c>
      <c r="N1265" s="89" t="s">
        <v>170</v>
      </c>
      <c r="O1265" s="93" t="s">
        <v>3595</v>
      </c>
      <c r="P1265" s="94" t="s">
        <v>57</v>
      </c>
      <c r="Q1265" s="112" t="s">
        <v>2211</v>
      </c>
      <c r="R1265" s="95"/>
      <c r="S1265" s="96">
        <v>46164</v>
      </c>
      <c r="T1265" s="96" t="s">
        <v>2212</v>
      </c>
      <c r="U1265" s="96" t="s">
        <v>79</v>
      </c>
      <c r="V1265" s="92">
        <v>46141</v>
      </c>
      <c r="W1265" s="92">
        <v>46154</v>
      </c>
      <c r="X1265" s="92">
        <v>46160</v>
      </c>
      <c r="Y1265" s="97"/>
      <c r="Z1265" s="89"/>
      <c r="AA1265" s="96"/>
      <c r="AB1265" s="89"/>
      <c r="AC1265" s="111"/>
      <c r="AD1265" s="89"/>
      <c r="AE1265" s="89"/>
      <c r="AF1265" s="98"/>
      <c r="AG1265" s="98"/>
      <c r="AH1265" s="98"/>
      <c r="AI1265" s="99"/>
      <c r="AJ1265" s="99"/>
      <c r="AK1265" s="99"/>
      <c r="AL1265" s="45" t="s">
        <v>68</v>
      </c>
      <c r="AM1265" s="162" t="str">
        <f t="shared" si="152"/>
        <v>3/2026</v>
      </c>
      <c r="AN1265" s="45">
        <f t="shared" si="153"/>
        <v>4</v>
      </c>
      <c r="AO1265" s="45" t="str">
        <f t="shared" si="154"/>
        <v>1/1900</v>
      </c>
      <c r="AP1265" s="45" t="e">
        <f t="shared" si="155"/>
        <v>#NUM!</v>
      </c>
      <c r="AQ1265" s="45">
        <f t="shared" si="156"/>
        <v>0</v>
      </c>
      <c r="AR1265" s="45">
        <f t="shared" si="157"/>
        <v>0</v>
      </c>
      <c r="AS1265" s="45">
        <f t="shared" si="158"/>
        <v>0</v>
      </c>
      <c r="AT1265" s="45">
        <f t="shared" si="159"/>
        <v>0</v>
      </c>
      <c r="AU1265" s="45" t="str">
        <f>_xlfn.XLOOKUP(U1265,'Lista Suspensa'!$AA$20:$AA$23,'Lista Suspensa'!$AB$20:$AB$23,"N/A")</f>
        <v>S</v>
      </c>
    </row>
    <row r="1266" spans="1:47" ht="12" hidden="1" customHeight="1" x14ac:dyDescent="0.3">
      <c r="A1266" s="87" t="s">
        <v>47</v>
      </c>
      <c r="B1266" s="88">
        <v>46104</v>
      </c>
      <c r="C1266" s="89" t="s">
        <v>48</v>
      </c>
      <c r="D1266" s="89" t="s">
        <v>49</v>
      </c>
      <c r="E1266" s="90">
        <v>228163153</v>
      </c>
      <c r="F1266" s="184" t="s">
        <v>3596</v>
      </c>
      <c r="G1266" s="91">
        <v>66455804872</v>
      </c>
      <c r="H1266" s="92">
        <v>19087</v>
      </c>
      <c r="I1266" s="89">
        <v>73</v>
      </c>
      <c r="J1266" s="89" t="s">
        <v>70</v>
      </c>
      <c r="K1266" s="89" t="s">
        <v>52</v>
      </c>
      <c r="L1266" s="89" t="s">
        <v>53</v>
      </c>
      <c r="M1266" s="89" t="s">
        <v>3597</v>
      </c>
      <c r="N1266" s="89" t="s">
        <v>170</v>
      </c>
      <c r="O1266" s="93" t="s">
        <v>3598</v>
      </c>
      <c r="P1266" s="94" t="s">
        <v>57</v>
      </c>
      <c r="Q1266" s="112" t="s">
        <v>2211</v>
      </c>
      <c r="R1266" s="95"/>
      <c r="S1266" s="96">
        <v>46164</v>
      </c>
      <c r="T1266" s="96" t="s">
        <v>2212</v>
      </c>
      <c r="U1266" s="96" t="s">
        <v>79</v>
      </c>
      <c r="V1266" s="92">
        <v>46141</v>
      </c>
      <c r="W1266" s="92">
        <v>46154</v>
      </c>
      <c r="X1266" s="92">
        <v>46160</v>
      </c>
      <c r="Y1266" s="97"/>
      <c r="Z1266" s="89"/>
      <c r="AA1266" s="96"/>
      <c r="AB1266" s="89"/>
      <c r="AC1266" s="111"/>
      <c r="AD1266" s="89"/>
      <c r="AE1266" s="89"/>
      <c r="AF1266" s="98"/>
      <c r="AG1266" s="98"/>
      <c r="AH1266" s="98"/>
      <c r="AI1266" s="99"/>
      <c r="AJ1266" s="99"/>
      <c r="AK1266" s="99"/>
      <c r="AL1266" s="45" t="s">
        <v>68</v>
      </c>
      <c r="AM1266" s="162" t="str">
        <f t="shared" si="152"/>
        <v>3/2026</v>
      </c>
      <c r="AN1266" s="45">
        <f t="shared" si="153"/>
        <v>4</v>
      </c>
      <c r="AO1266" s="45" t="str">
        <f t="shared" si="154"/>
        <v>1/1900</v>
      </c>
      <c r="AP1266" s="45" t="e">
        <f t="shared" si="155"/>
        <v>#NUM!</v>
      </c>
      <c r="AQ1266" s="45">
        <f t="shared" si="156"/>
        <v>0</v>
      </c>
      <c r="AR1266" s="45">
        <f t="shared" si="157"/>
        <v>0</v>
      </c>
      <c r="AS1266" s="45">
        <f t="shared" si="158"/>
        <v>0</v>
      </c>
      <c r="AT1266" s="45">
        <f t="shared" si="159"/>
        <v>0</v>
      </c>
      <c r="AU1266" s="45" t="str">
        <f>_xlfn.XLOOKUP(U1266,'Lista Suspensa'!$AA$20:$AA$23,'Lista Suspensa'!$AB$20:$AB$23,"N/A")</f>
        <v>S</v>
      </c>
    </row>
    <row r="1267" spans="1:47" ht="12" hidden="1" customHeight="1" x14ac:dyDescent="0.3">
      <c r="A1267" s="87" t="s">
        <v>47</v>
      </c>
      <c r="B1267" s="88">
        <v>46104</v>
      </c>
      <c r="C1267" s="89" t="s">
        <v>48</v>
      </c>
      <c r="D1267" s="89" t="s">
        <v>49</v>
      </c>
      <c r="E1267" s="90">
        <v>450060799</v>
      </c>
      <c r="F1267" s="184" t="s">
        <v>3599</v>
      </c>
      <c r="G1267" s="91">
        <v>4292227853</v>
      </c>
      <c r="H1267" s="92">
        <v>14929</v>
      </c>
      <c r="I1267" s="89">
        <v>85</v>
      </c>
      <c r="J1267" s="89" t="s">
        <v>51</v>
      </c>
      <c r="K1267" s="89" t="s">
        <v>52</v>
      </c>
      <c r="L1267" s="89" t="s">
        <v>53</v>
      </c>
      <c r="M1267" s="89" t="s">
        <v>507</v>
      </c>
      <c r="N1267" s="89" t="s">
        <v>170</v>
      </c>
      <c r="O1267" s="93" t="s">
        <v>3600</v>
      </c>
      <c r="P1267" s="94" t="s">
        <v>57</v>
      </c>
      <c r="Q1267" s="112" t="s">
        <v>2211</v>
      </c>
      <c r="R1267" s="95"/>
      <c r="S1267" s="96">
        <v>46164</v>
      </c>
      <c r="T1267" s="96" t="s">
        <v>2212</v>
      </c>
      <c r="U1267" s="96" t="s">
        <v>79</v>
      </c>
      <c r="V1267" s="92">
        <v>46141</v>
      </c>
      <c r="W1267" s="92">
        <v>46154</v>
      </c>
      <c r="X1267" s="92">
        <v>46160</v>
      </c>
      <c r="Y1267" s="97"/>
      <c r="Z1267" s="89"/>
      <c r="AA1267" s="96"/>
      <c r="AB1267" s="89"/>
      <c r="AC1267" s="111"/>
      <c r="AD1267" s="89"/>
      <c r="AE1267" s="89"/>
      <c r="AF1267" s="98"/>
      <c r="AG1267" s="98"/>
      <c r="AH1267" s="98"/>
      <c r="AI1267" s="99"/>
      <c r="AJ1267" s="99"/>
      <c r="AK1267" s="99"/>
      <c r="AL1267" s="45" t="s">
        <v>68</v>
      </c>
      <c r="AM1267" s="162" t="str">
        <f t="shared" si="152"/>
        <v>3/2026</v>
      </c>
      <c r="AN1267" s="45">
        <f t="shared" si="153"/>
        <v>4</v>
      </c>
      <c r="AO1267" s="45" t="str">
        <f t="shared" si="154"/>
        <v>1/1900</v>
      </c>
      <c r="AP1267" s="45" t="e">
        <f t="shared" si="155"/>
        <v>#NUM!</v>
      </c>
      <c r="AQ1267" s="45">
        <f t="shared" si="156"/>
        <v>0</v>
      </c>
      <c r="AR1267" s="45">
        <f t="shared" si="157"/>
        <v>0</v>
      </c>
      <c r="AS1267" s="45">
        <f t="shared" si="158"/>
        <v>0</v>
      </c>
      <c r="AT1267" s="45">
        <f t="shared" si="159"/>
        <v>0</v>
      </c>
      <c r="AU1267" s="45" t="str">
        <f>_xlfn.XLOOKUP(U1267,'Lista Suspensa'!$AA$20:$AA$23,'Lista Suspensa'!$AB$20:$AB$23,"N/A")</f>
        <v>S</v>
      </c>
    </row>
    <row r="1268" spans="1:47" ht="12" hidden="1" customHeight="1" x14ac:dyDescent="0.3">
      <c r="A1268" s="87" t="s">
        <v>47</v>
      </c>
      <c r="B1268" s="88">
        <v>46104</v>
      </c>
      <c r="C1268" s="89" t="s">
        <v>48</v>
      </c>
      <c r="D1268" s="89" t="s">
        <v>49</v>
      </c>
      <c r="E1268" s="90">
        <v>96110662</v>
      </c>
      <c r="F1268" s="184" t="s">
        <v>3601</v>
      </c>
      <c r="G1268" s="91">
        <v>25756189831</v>
      </c>
      <c r="H1268" s="92">
        <v>28125</v>
      </c>
      <c r="I1268" s="89">
        <v>49</v>
      </c>
      <c r="J1268" s="89" t="s">
        <v>51</v>
      </c>
      <c r="K1268" s="89" t="s">
        <v>52</v>
      </c>
      <c r="L1268" s="89" t="s">
        <v>53</v>
      </c>
      <c r="M1268" s="89" t="s">
        <v>1429</v>
      </c>
      <c r="N1268" s="89" t="s">
        <v>170</v>
      </c>
      <c r="O1268" s="93" t="s">
        <v>3602</v>
      </c>
      <c r="P1268" s="94" t="s">
        <v>57</v>
      </c>
      <c r="Q1268" s="112" t="s">
        <v>2211</v>
      </c>
      <c r="R1268" s="95"/>
      <c r="S1268" s="96">
        <v>46164</v>
      </c>
      <c r="T1268" s="96" t="s">
        <v>2212</v>
      </c>
      <c r="U1268" s="96" t="s">
        <v>79</v>
      </c>
      <c r="V1268" s="92">
        <v>46141</v>
      </c>
      <c r="W1268" s="92">
        <v>46154</v>
      </c>
      <c r="X1268" s="92">
        <v>46160</v>
      </c>
      <c r="Y1268" s="97"/>
      <c r="Z1268" s="89"/>
      <c r="AA1268" s="96"/>
      <c r="AB1268" s="89"/>
      <c r="AC1268" s="111"/>
      <c r="AD1268" s="89"/>
      <c r="AE1268" s="89"/>
      <c r="AF1268" s="98"/>
      <c r="AG1268" s="98"/>
      <c r="AH1268" s="98"/>
      <c r="AI1268" s="99"/>
      <c r="AJ1268" s="99"/>
      <c r="AK1268" s="99"/>
      <c r="AL1268" s="45" t="s">
        <v>68</v>
      </c>
      <c r="AM1268" s="162" t="str">
        <f t="shared" si="152"/>
        <v>3/2026</v>
      </c>
      <c r="AN1268" s="45">
        <f t="shared" si="153"/>
        <v>4</v>
      </c>
      <c r="AO1268" s="45" t="str">
        <f t="shared" si="154"/>
        <v>1/1900</v>
      </c>
      <c r="AP1268" s="45" t="e">
        <f t="shared" si="155"/>
        <v>#NUM!</v>
      </c>
      <c r="AQ1268" s="45">
        <f t="shared" si="156"/>
        <v>0</v>
      </c>
      <c r="AR1268" s="45">
        <f t="shared" si="157"/>
        <v>0</v>
      </c>
      <c r="AS1268" s="45">
        <f t="shared" si="158"/>
        <v>0</v>
      </c>
      <c r="AT1268" s="45">
        <f t="shared" si="159"/>
        <v>0</v>
      </c>
      <c r="AU1268" s="45" t="str">
        <f>_xlfn.XLOOKUP(U1268,'Lista Suspensa'!$AA$20:$AA$23,'Lista Suspensa'!$AB$20:$AB$23,"N/A")</f>
        <v>S</v>
      </c>
    </row>
    <row r="1269" spans="1:47" ht="12" hidden="1" customHeight="1" x14ac:dyDescent="0.3">
      <c r="A1269" s="87" t="s">
        <v>47</v>
      </c>
      <c r="B1269" s="88">
        <v>46104</v>
      </c>
      <c r="C1269" s="89" t="s">
        <v>48</v>
      </c>
      <c r="D1269" s="89" t="s">
        <v>49</v>
      </c>
      <c r="E1269" s="90">
        <v>79621710</v>
      </c>
      <c r="F1269" s="184" t="s">
        <v>3603</v>
      </c>
      <c r="G1269" s="91">
        <v>33191174753</v>
      </c>
      <c r="H1269" s="92">
        <v>18189</v>
      </c>
      <c r="I1269" s="89">
        <v>76</v>
      </c>
      <c r="J1269" s="89" t="s">
        <v>51</v>
      </c>
      <c r="K1269" s="89" t="s">
        <v>88</v>
      </c>
      <c r="L1269" s="89" t="s">
        <v>89</v>
      </c>
      <c r="M1269" s="89" t="s">
        <v>1098</v>
      </c>
      <c r="N1269" s="89" t="s">
        <v>307</v>
      </c>
      <c r="O1269" s="93" t="s">
        <v>3604</v>
      </c>
      <c r="P1269" s="94" t="s">
        <v>57</v>
      </c>
      <c r="Q1269" s="112" t="s">
        <v>2211</v>
      </c>
      <c r="R1269" s="95"/>
      <c r="S1269" s="96">
        <v>46164</v>
      </c>
      <c r="T1269" s="96" t="s">
        <v>2212</v>
      </c>
      <c r="U1269" s="96" t="s">
        <v>79</v>
      </c>
      <c r="V1269" s="92">
        <v>46141</v>
      </c>
      <c r="W1269" s="92">
        <v>46154</v>
      </c>
      <c r="X1269" s="92">
        <v>46160</v>
      </c>
      <c r="Y1269" s="97"/>
      <c r="Z1269" s="89"/>
      <c r="AA1269" s="96"/>
      <c r="AB1269" s="89"/>
      <c r="AC1269" s="111"/>
      <c r="AD1269" s="89"/>
      <c r="AE1269" s="89"/>
      <c r="AF1269" s="98"/>
      <c r="AG1269" s="98"/>
      <c r="AH1269" s="98"/>
      <c r="AI1269" s="99"/>
      <c r="AJ1269" s="99"/>
      <c r="AK1269" s="99"/>
      <c r="AL1269" s="45" t="s">
        <v>68</v>
      </c>
      <c r="AM1269" s="162" t="str">
        <f t="shared" si="152"/>
        <v>3/2026</v>
      </c>
      <c r="AN1269" s="45">
        <f t="shared" si="153"/>
        <v>4</v>
      </c>
      <c r="AO1269" s="45" t="str">
        <f t="shared" si="154"/>
        <v>1/1900</v>
      </c>
      <c r="AP1269" s="45" t="e">
        <f t="shared" si="155"/>
        <v>#NUM!</v>
      </c>
      <c r="AQ1269" s="45">
        <f t="shared" si="156"/>
        <v>0</v>
      </c>
      <c r="AR1269" s="45">
        <f t="shared" si="157"/>
        <v>0</v>
      </c>
      <c r="AS1269" s="45">
        <f t="shared" si="158"/>
        <v>0</v>
      </c>
      <c r="AT1269" s="45">
        <f t="shared" si="159"/>
        <v>0</v>
      </c>
      <c r="AU1269" s="45" t="str">
        <f>_xlfn.XLOOKUP(U1269,'Lista Suspensa'!$AA$20:$AA$23,'Lista Suspensa'!$AB$20:$AB$23,"N/A")</f>
        <v>S</v>
      </c>
    </row>
    <row r="1270" spans="1:47" ht="12" hidden="1" customHeight="1" x14ac:dyDescent="0.3">
      <c r="A1270" s="87" t="s">
        <v>47</v>
      </c>
      <c r="B1270" s="88">
        <v>46104</v>
      </c>
      <c r="C1270" s="89" t="s">
        <v>48</v>
      </c>
      <c r="D1270" s="89" t="s">
        <v>49</v>
      </c>
      <c r="E1270" s="90">
        <v>93846283</v>
      </c>
      <c r="F1270" s="184" t="s">
        <v>3605</v>
      </c>
      <c r="G1270" s="91">
        <v>49214071772</v>
      </c>
      <c r="H1270" s="92">
        <v>21501</v>
      </c>
      <c r="I1270" s="89">
        <v>67</v>
      </c>
      <c r="J1270" s="89" t="s">
        <v>51</v>
      </c>
      <c r="K1270" s="89" t="s">
        <v>88</v>
      </c>
      <c r="L1270" s="89" t="s">
        <v>89</v>
      </c>
      <c r="M1270" s="89" t="s">
        <v>660</v>
      </c>
      <c r="N1270" s="89" t="s">
        <v>181</v>
      </c>
      <c r="O1270" s="93" t="s">
        <v>3606</v>
      </c>
      <c r="P1270" s="94" t="s">
        <v>57</v>
      </c>
      <c r="Q1270" s="112" t="s">
        <v>2211</v>
      </c>
      <c r="R1270" s="95"/>
      <c r="S1270" s="96">
        <v>46150</v>
      </c>
      <c r="T1270" s="96" t="s">
        <v>2212</v>
      </c>
      <c r="U1270" s="96" t="s">
        <v>79</v>
      </c>
      <c r="V1270" s="92">
        <v>46122</v>
      </c>
      <c r="W1270" s="92">
        <v>46141</v>
      </c>
      <c r="X1270" s="92">
        <v>46142</v>
      </c>
      <c r="Y1270" s="97"/>
      <c r="Z1270" s="89"/>
      <c r="AA1270" s="96"/>
      <c r="AB1270" s="89"/>
      <c r="AC1270" s="111"/>
      <c r="AD1270" s="89"/>
      <c r="AE1270" s="89"/>
      <c r="AF1270" s="98"/>
      <c r="AG1270" s="98"/>
      <c r="AH1270" s="98"/>
      <c r="AI1270" s="99"/>
      <c r="AJ1270" s="99"/>
      <c r="AK1270" s="99"/>
      <c r="AL1270" s="45" t="s">
        <v>68</v>
      </c>
      <c r="AM1270" s="162" t="str">
        <f t="shared" si="152"/>
        <v>3/2026</v>
      </c>
      <c r="AN1270" s="45">
        <f t="shared" si="153"/>
        <v>4</v>
      </c>
      <c r="AO1270" s="45" t="str">
        <f t="shared" si="154"/>
        <v>1/1900</v>
      </c>
      <c r="AP1270" s="45" t="e">
        <f t="shared" si="155"/>
        <v>#NUM!</v>
      </c>
      <c r="AQ1270" s="45">
        <f t="shared" si="156"/>
        <v>0</v>
      </c>
      <c r="AR1270" s="45">
        <f t="shared" si="157"/>
        <v>0</v>
      </c>
      <c r="AS1270" s="45">
        <f t="shared" si="158"/>
        <v>0</v>
      </c>
      <c r="AT1270" s="45">
        <f t="shared" si="159"/>
        <v>0</v>
      </c>
      <c r="AU1270" s="45" t="str">
        <f>_xlfn.XLOOKUP(U1270,'Lista Suspensa'!$AA$20:$AA$23,'Lista Suspensa'!$AB$20:$AB$23,"N/A")</f>
        <v>S</v>
      </c>
    </row>
    <row r="1271" spans="1:47" ht="12" hidden="1" customHeight="1" x14ac:dyDescent="0.3">
      <c r="A1271" s="87" t="s">
        <v>47</v>
      </c>
      <c r="B1271" s="88">
        <v>46104</v>
      </c>
      <c r="C1271" s="89" t="s">
        <v>48</v>
      </c>
      <c r="D1271" s="89" t="s">
        <v>49</v>
      </c>
      <c r="E1271" s="90">
        <v>89173258</v>
      </c>
      <c r="F1271" s="184" t="s">
        <v>3607</v>
      </c>
      <c r="G1271" s="91">
        <v>1058854798</v>
      </c>
      <c r="H1271" s="92">
        <v>25765</v>
      </c>
      <c r="I1271" s="89">
        <v>55</v>
      </c>
      <c r="J1271" s="89" t="s">
        <v>51</v>
      </c>
      <c r="K1271" s="89" t="s">
        <v>88</v>
      </c>
      <c r="L1271" s="89" t="s">
        <v>89</v>
      </c>
      <c r="M1271" s="89" t="s">
        <v>180</v>
      </c>
      <c r="N1271" s="89" t="s">
        <v>181</v>
      </c>
      <c r="O1271" s="93" t="s">
        <v>3608</v>
      </c>
      <c r="P1271" s="94" t="s">
        <v>57</v>
      </c>
      <c r="Q1271" s="112" t="s">
        <v>2828</v>
      </c>
      <c r="R1271" s="95"/>
      <c r="S1271" s="96">
        <v>46171</v>
      </c>
      <c r="T1271" s="96" t="s">
        <v>59</v>
      </c>
      <c r="U1271" s="96" t="s">
        <v>79</v>
      </c>
      <c r="V1271" s="92">
        <v>46141</v>
      </c>
      <c r="W1271" s="92">
        <v>46154</v>
      </c>
      <c r="X1271" s="92">
        <v>46160</v>
      </c>
      <c r="Y1271" s="97"/>
      <c r="Z1271" s="89" t="s">
        <v>62</v>
      </c>
      <c r="AA1271" s="96">
        <v>46171</v>
      </c>
      <c r="AB1271" s="89" t="s">
        <v>80</v>
      </c>
      <c r="AC1271" s="111"/>
      <c r="AD1271" s="89"/>
      <c r="AE1271" s="89"/>
      <c r="AF1271" s="98"/>
      <c r="AG1271" s="98"/>
      <c r="AH1271" s="98"/>
      <c r="AI1271" s="99"/>
      <c r="AJ1271" s="99"/>
      <c r="AK1271" s="99"/>
      <c r="AL1271" s="45" t="s">
        <v>68</v>
      </c>
      <c r="AM1271" s="162" t="str">
        <f t="shared" si="152"/>
        <v>3/2026</v>
      </c>
      <c r="AN1271" s="45">
        <f t="shared" si="153"/>
        <v>4</v>
      </c>
      <c r="AO1271" s="45" t="str">
        <f t="shared" si="154"/>
        <v>1/1900</v>
      </c>
      <c r="AP1271" s="45" t="e">
        <f t="shared" si="155"/>
        <v>#NUM!</v>
      </c>
      <c r="AQ1271" s="45">
        <f t="shared" si="156"/>
        <v>0</v>
      </c>
      <c r="AR1271" s="45">
        <f t="shared" si="157"/>
        <v>0</v>
      </c>
      <c r="AS1271" s="45">
        <f t="shared" si="158"/>
        <v>0</v>
      </c>
      <c r="AT1271" s="45">
        <f t="shared" si="159"/>
        <v>0</v>
      </c>
      <c r="AU1271" s="45" t="str">
        <f>_xlfn.XLOOKUP(U1271,'Lista Suspensa'!$AA$20:$AA$23,'Lista Suspensa'!$AB$20:$AB$23,"N/A")</f>
        <v>S</v>
      </c>
    </row>
    <row r="1272" spans="1:47" ht="12" hidden="1" customHeight="1" x14ac:dyDescent="0.3">
      <c r="A1272" s="87" t="s">
        <v>47</v>
      </c>
      <c r="B1272" s="88">
        <v>46104</v>
      </c>
      <c r="C1272" s="89" t="s">
        <v>48</v>
      </c>
      <c r="D1272" s="89" t="s">
        <v>49</v>
      </c>
      <c r="E1272" s="90">
        <v>84204925</v>
      </c>
      <c r="F1272" s="184" t="s">
        <v>3609</v>
      </c>
      <c r="G1272" s="91">
        <v>163495718</v>
      </c>
      <c r="H1272" s="92">
        <v>18616</v>
      </c>
      <c r="I1272" s="89">
        <v>75</v>
      </c>
      <c r="J1272" s="89" t="s">
        <v>70</v>
      </c>
      <c r="K1272" s="89" t="s">
        <v>88</v>
      </c>
      <c r="L1272" s="89" t="s">
        <v>89</v>
      </c>
      <c r="M1272" s="89" t="s">
        <v>1131</v>
      </c>
      <c r="N1272" s="89" t="s">
        <v>181</v>
      </c>
      <c r="O1272" s="93" t="s">
        <v>3610</v>
      </c>
      <c r="P1272" s="94" t="s">
        <v>57</v>
      </c>
      <c r="Q1272" s="112" t="s">
        <v>2211</v>
      </c>
      <c r="R1272" s="95"/>
      <c r="S1272" s="96">
        <v>46164</v>
      </c>
      <c r="T1272" s="96" t="s">
        <v>2212</v>
      </c>
      <c r="U1272" s="96" t="s">
        <v>79</v>
      </c>
      <c r="V1272" s="92">
        <v>46141</v>
      </c>
      <c r="W1272" s="92">
        <v>46154</v>
      </c>
      <c r="X1272" s="92">
        <v>46160</v>
      </c>
      <c r="Y1272" s="97"/>
      <c r="Z1272" s="89"/>
      <c r="AA1272" s="96"/>
      <c r="AB1272" s="89"/>
      <c r="AC1272" s="111"/>
      <c r="AD1272" s="89"/>
      <c r="AE1272" s="89"/>
      <c r="AF1272" s="98"/>
      <c r="AG1272" s="98"/>
      <c r="AH1272" s="98"/>
      <c r="AI1272" s="99"/>
      <c r="AJ1272" s="99"/>
      <c r="AK1272" s="99"/>
      <c r="AL1272" s="45" t="s">
        <v>68</v>
      </c>
      <c r="AM1272" s="162" t="str">
        <f t="shared" si="152"/>
        <v>3/2026</v>
      </c>
      <c r="AN1272" s="45">
        <f t="shared" si="153"/>
        <v>4</v>
      </c>
      <c r="AO1272" s="45" t="str">
        <f t="shared" si="154"/>
        <v>1/1900</v>
      </c>
      <c r="AP1272" s="45" t="e">
        <f t="shared" si="155"/>
        <v>#NUM!</v>
      </c>
      <c r="AQ1272" s="45">
        <f t="shared" si="156"/>
        <v>0</v>
      </c>
      <c r="AR1272" s="45">
        <f t="shared" si="157"/>
        <v>0</v>
      </c>
      <c r="AS1272" s="45">
        <f t="shared" si="158"/>
        <v>0</v>
      </c>
      <c r="AT1272" s="45">
        <f t="shared" si="159"/>
        <v>0</v>
      </c>
      <c r="AU1272" s="45" t="str">
        <f>_xlfn.XLOOKUP(U1272,'Lista Suspensa'!$AA$20:$AA$23,'Lista Suspensa'!$AB$20:$AB$23,"N/A")</f>
        <v>S</v>
      </c>
    </row>
    <row r="1273" spans="1:47" ht="12" hidden="1" customHeight="1" x14ac:dyDescent="0.3">
      <c r="A1273" s="87" t="s">
        <v>47</v>
      </c>
      <c r="B1273" s="88">
        <v>46104</v>
      </c>
      <c r="C1273" s="89" t="s">
        <v>48</v>
      </c>
      <c r="D1273" s="89" t="s">
        <v>49</v>
      </c>
      <c r="E1273" s="90">
        <v>85120111</v>
      </c>
      <c r="F1273" s="184" t="s">
        <v>3611</v>
      </c>
      <c r="G1273" s="91">
        <v>1156876702</v>
      </c>
      <c r="H1273" s="92">
        <v>25273</v>
      </c>
      <c r="I1273" s="89">
        <v>57</v>
      </c>
      <c r="J1273" s="89" t="s">
        <v>51</v>
      </c>
      <c r="K1273" s="89" t="s">
        <v>88</v>
      </c>
      <c r="L1273" s="89" t="s">
        <v>89</v>
      </c>
      <c r="M1273" s="89" t="s">
        <v>672</v>
      </c>
      <c r="N1273" s="89" t="s">
        <v>181</v>
      </c>
      <c r="O1273" s="93" t="s">
        <v>3612</v>
      </c>
      <c r="P1273" s="94" t="s">
        <v>57</v>
      </c>
      <c r="Q1273" s="112" t="s">
        <v>2211</v>
      </c>
      <c r="R1273" s="95"/>
      <c r="S1273" s="96">
        <v>46150</v>
      </c>
      <c r="T1273" s="96" t="s">
        <v>2212</v>
      </c>
      <c r="U1273" s="96" t="s">
        <v>79</v>
      </c>
      <c r="V1273" s="92">
        <v>46112</v>
      </c>
      <c r="W1273" s="92">
        <v>46141</v>
      </c>
      <c r="X1273" s="92">
        <v>46142</v>
      </c>
      <c r="Y1273" s="97"/>
      <c r="Z1273" s="89"/>
      <c r="AA1273" s="96"/>
      <c r="AB1273" s="89"/>
      <c r="AC1273" s="111"/>
      <c r="AD1273" s="89"/>
      <c r="AE1273" s="89"/>
      <c r="AF1273" s="98"/>
      <c r="AG1273" s="98"/>
      <c r="AH1273" s="98"/>
      <c r="AI1273" s="99"/>
      <c r="AJ1273" s="99"/>
      <c r="AK1273" s="99"/>
      <c r="AL1273" s="45" t="s">
        <v>68</v>
      </c>
      <c r="AM1273" s="162" t="str">
        <f t="shared" si="152"/>
        <v>3/2026</v>
      </c>
      <c r="AN1273" s="45">
        <f t="shared" si="153"/>
        <v>4</v>
      </c>
      <c r="AO1273" s="45" t="str">
        <f t="shared" si="154"/>
        <v>1/1900</v>
      </c>
      <c r="AP1273" s="45" t="e">
        <f t="shared" si="155"/>
        <v>#NUM!</v>
      </c>
      <c r="AQ1273" s="45">
        <f t="shared" si="156"/>
        <v>0</v>
      </c>
      <c r="AR1273" s="45">
        <f t="shared" si="157"/>
        <v>0</v>
      </c>
      <c r="AS1273" s="45">
        <f t="shared" si="158"/>
        <v>0</v>
      </c>
      <c r="AT1273" s="45">
        <f t="shared" si="159"/>
        <v>0</v>
      </c>
      <c r="AU1273" s="45" t="str">
        <f>_xlfn.XLOOKUP(U1273,'Lista Suspensa'!$AA$20:$AA$23,'Lista Suspensa'!$AB$20:$AB$23,"N/A")</f>
        <v>S</v>
      </c>
    </row>
    <row r="1274" spans="1:47" ht="12" hidden="1" customHeight="1" x14ac:dyDescent="0.3">
      <c r="A1274" s="87" t="s">
        <v>47</v>
      </c>
      <c r="B1274" s="88">
        <v>46104</v>
      </c>
      <c r="C1274" s="89" t="s">
        <v>48</v>
      </c>
      <c r="D1274" s="89" t="s">
        <v>49</v>
      </c>
      <c r="E1274" s="90">
        <v>85271261</v>
      </c>
      <c r="F1274" s="184" t="s">
        <v>3613</v>
      </c>
      <c r="G1274" s="91">
        <v>1967539707</v>
      </c>
      <c r="H1274" s="92">
        <v>26022</v>
      </c>
      <c r="I1274" s="89">
        <v>54</v>
      </c>
      <c r="J1274" s="89" t="s">
        <v>51</v>
      </c>
      <c r="K1274" s="89" t="s">
        <v>88</v>
      </c>
      <c r="L1274" s="89" t="s">
        <v>89</v>
      </c>
      <c r="M1274" s="89" t="s">
        <v>3387</v>
      </c>
      <c r="N1274" s="89" t="s">
        <v>181</v>
      </c>
      <c r="O1274" s="93" t="s">
        <v>3614</v>
      </c>
      <c r="P1274" s="94" t="s">
        <v>57</v>
      </c>
      <c r="Q1274" s="112" t="s">
        <v>2211</v>
      </c>
      <c r="R1274" s="95"/>
      <c r="S1274" s="96">
        <v>46164</v>
      </c>
      <c r="T1274" s="96" t="s">
        <v>2212</v>
      </c>
      <c r="U1274" s="96" t="s">
        <v>79</v>
      </c>
      <c r="V1274" s="92">
        <v>46141</v>
      </c>
      <c r="W1274" s="92">
        <v>46154</v>
      </c>
      <c r="X1274" s="92">
        <v>46160</v>
      </c>
      <c r="Y1274" s="97"/>
      <c r="Z1274" s="89"/>
      <c r="AA1274" s="96"/>
      <c r="AB1274" s="89"/>
      <c r="AC1274" s="111"/>
      <c r="AD1274" s="89"/>
      <c r="AE1274" s="89"/>
      <c r="AF1274" s="98"/>
      <c r="AG1274" s="98"/>
      <c r="AH1274" s="98"/>
      <c r="AI1274" s="99"/>
      <c r="AJ1274" s="99"/>
      <c r="AK1274" s="99"/>
      <c r="AL1274" s="45" t="s">
        <v>68</v>
      </c>
      <c r="AM1274" s="162" t="str">
        <f t="shared" si="152"/>
        <v>3/2026</v>
      </c>
      <c r="AN1274" s="45">
        <f t="shared" si="153"/>
        <v>4</v>
      </c>
      <c r="AO1274" s="45" t="str">
        <f t="shared" si="154"/>
        <v>1/1900</v>
      </c>
      <c r="AP1274" s="45" t="e">
        <f t="shared" si="155"/>
        <v>#NUM!</v>
      </c>
      <c r="AQ1274" s="45">
        <f t="shared" si="156"/>
        <v>0</v>
      </c>
      <c r="AR1274" s="45">
        <f t="shared" si="157"/>
        <v>0</v>
      </c>
      <c r="AS1274" s="45">
        <f t="shared" si="158"/>
        <v>0</v>
      </c>
      <c r="AT1274" s="45">
        <f t="shared" si="159"/>
        <v>0</v>
      </c>
      <c r="AU1274" s="45" t="str">
        <f>_xlfn.XLOOKUP(U1274,'Lista Suspensa'!$AA$20:$AA$23,'Lista Suspensa'!$AB$20:$AB$23,"N/A")</f>
        <v>S</v>
      </c>
    </row>
    <row r="1275" spans="1:47" ht="12" hidden="1" customHeight="1" x14ac:dyDescent="0.3">
      <c r="A1275" s="87" t="s">
        <v>47</v>
      </c>
      <c r="B1275" s="88">
        <v>46104</v>
      </c>
      <c r="C1275" s="89" t="s">
        <v>48</v>
      </c>
      <c r="D1275" s="89" t="s">
        <v>49</v>
      </c>
      <c r="E1275" s="90">
        <v>86328243</v>
      </c>
      <c r="F1275" s="184" t="s">
        <v>3615</v>
      </c>
      <c r="G1275" s="91">
        <v>66084016715</v>
      </c>
      <c r="H1275" s="92">
        <v>22266</v>
      </c>
      <c r="I1275" s="89">
        <v>65</v>
      </c>
      <c r="J1275" s="89" t="s">
        <v>51</v>
      </c>
      <c r="K1275" s="89" t="s">
        <v>88</v>
      </c>
      <c r="L1275" s="89" t="s">
        <v>603</v>
      </c>
      <c r="M1275" s="89" t="s">
        <v>76</v>
      </c>
      <c r="N1275" s="89" t="s">
        <v>181</v>
      </c>
      <c r="O1275" s="93" t="s">
        <v>3616</v>
      </c>
      <c r="P1275" s="94" t="s">
        <v>57</v>
      </c>
      <c r="Q1275" s="112" t="s">
        <v>2211</v>
      </c>
      <c r="R1275" s="95"/>
      <c r="S1275" s="96">
        <v>46164</v>
      </c>
      <c r="T1275" s="96" t="s">
        <v>2212</v>
      </c>
      <c r="U1275" s="96" t="s">
        <v>79</v>
      </c>
      <c r="V1275" s="92">
        <v>46141</v>
      </c>
      <c r="W1275" s="92">
        <v>46154</v>
      </c>
      <c r="X1275" s="92">
        <v>46160</v>
      </c>
      <c r="Y1275" s="97"/>
      <c r="Z1275" s="89"/>
      <c r="AA1275" s="96"/>
      <c r="AB1275" s="89"/>
      <c r="AC1275" s="111"/>
      <c r="AD1275" s="89"/>
      <c r="AE1275" s="89"/>
      <c r="AF1275" s="98"/>
      <c r="AG1275" s="98"/>
      <c r="AH1275" s="98"/>
      <c r="AI1275" s="99"/>
      <c r="AJ1275" s="99"/>
      <c r="AK1275" s="99"/>
      <c r="AL1275" s="45" t="s">
        <v>68</v>
      </c>
      <c r="AM1275" s="162" t="str">
        <f t="shared" si="152"/>
        <v>3/2026</v>
      </c>
      <c r="AN1275" s="45">
        <f t="shared" si="153"/>
        <v>4</v>
      </c>
      <c r="AO1275" s="45" t="str">
        <f t="shared" si="154"/>
        <v>1/1900</v>
      </c>
      <c r="AP1275" s="45" t="e">
        <f t="shared" si="155"/>
        <v>#NUM!</v>
      </c>
      <c r="AQ1275" s="45">
        <f t="shared" si="156"/>
        <v>0</v>
      </c>
      <c r="AR1275" s="45">
        <f t="shared" si="157"/>
        <v>0</v>
      </c>
      <c r="AS1275" s="45">
        <f t="shared" si="158"/>
        <v>0</v>
      </c>
      <c r="AT1275" s="45">
        <f t="shared" si="159"/>
        <v>0</v>
      </c>
      <c r="AU1275" s="45" t="str">
        <f>_xlfn.XLOOKUP(U1275,'Lista Suspensa'!$AA$20:$AA$23,'Lista Suspensa'!$AB$20:$AB$23,"N/A")</f>
        <v>S</v>
      </c>
    </row>
    <row r="1276" spans="1:47" ht="12" hidden="1" customHeight="1" x14ac:dyDescent="0.3">
      <c r="A1276" s="87" t="s">
        <v>47</v>
      </c>
      <c r="B1276" s="88">
        <v>46104</v>
      </c>
      <c r="C1276" s="89" t="s">
        <v>48</v>
      </c>
      <c r="D1276" s="89" t="s">
        <v>49</v>
      </c>
      <c r="E1276" s="90">
        <v>93842011</v>
      </c>
      <c r="F1276" s="184" t="s">
        <v>3617</v>
      </c>
      <c r="G1276" s="91">
        <v>40680185615</v>
      </c>
      <c r="H1276" s="92">
        <v>22569</v>
      </c>
      <c r="I1276" s="89">
        <v>64</v>
      </c>
      <c r="J1276" s="89" t="s">
        <v>70</v>
      </c>
      <c r="K1276" s="89" t="s">
        <v>88</v>
      </c>
      <c r="L1276" s="89" t="s">
        <v>89</v>
      </c>
      <c r="M1276" s="89" t="s">
        <v>3618</v>
      </c>
      <c r="N1276" s="89" t="s">
        <v>181</v>
      </c>
      <c r="O1276" s="93" t="s">
        <v>3619</v>
      </c>
      <c r="P1276" s="94" t="s">
        <v>57</v>
      </c>
      <c r="Q1276" s="112" t="s">
        <v>2211</v>
      </c>
      <c r="R1276" s="95"/>
      <c r="S1276" s="96">
        <v>46164</v>
      </c>
      <c r="T1276" s="96" t="s">
        <v>2212</v>
      </c>
      <c r="U1276" s="96" t="s">
        <v>79</v>
      </c>
      <c r="V1276" s="92">
        <v>46128</v>
      </c>
      <c r="W1276" s="92">
        <v>46142</v>
      </c>
      <c r="X1276" s="92">
        <v>46154</v>
      </c>
      <c r="Y1276" s="97"/>
      <c r="Z1276" s="89"/>
      <c r="AA1276" s="96"/>
      <c r="AB1276" s="89"/>
      <c r="AC1276" s="111"/>
      <c r="AD1276" s="89"/>
      <c r="AE1276" s="89"/>
      <c r="AF1276" s="98"/>
      <c r="AG1276" s="98"/>
      <c r="AH1276" s="98"/>
      <c r="AI1276" s="99"/>
      <c r="AJ1276" s="99"/>
      <c r="AK1276" s="99"/>
      <c r="AL1276" s="45" t="s">
        <v>68</v>
      </c>
      <c r="AM1276" s="162" t="str">
        <f t="shared" si="152"/>
        <v>3/2026</v>
      </c>
      <c r="AN1276" s="45">
        <f t="shared" si="153"/>
        <v>4</v>
      </c>
      <c r="AO1276" s="45" t="str">
        <f t="shared" si="154"/>
        <v>1/1900</v>
      </c>
      <c r="AP1276" s="45" t="e">
        <f t="shared" si="155"/>
        <v>#NUM!</v>
      </c>
      <c r="AQ1276" s="45">
        <f t="shared" si="156"/>
        <v>0</v>
      </c>
      <c r="AR1276" s="45">
        <f t="shared" si="157"/>
        <v>0</v>
      </c>
      <c r="AS1276" s="45">
        <f t="shared" si="158"/>
        <v>0</v>
      </c>
      <c r="AT1276" s="45">
        <f t="shared" si="159"/>
        <v>0</v>
      </c>
      <c r="AU1276" s="45" t="str">
        <f>_xlfn.XLOOKUP(U1276,'Lista Suspensa'!$AA$20:$AA$23,'Lista Suspensa'!$AB$20:$AB$23,"N/A")</f>
        <v>S</v>
      </c>
    </row>
    <row r="1277" spans="1:47" ht="12" hidden="1" customHeight="1" x14ac:dyDescent="0.3">
      <c r="A1277" s="87" t="s">
        <v>47</v>
      </c>
      <c r="B1277" s="88">
        <v>46104</v>
      </c>
      <c r="C1277" s="89" t="s">
        <v>48</v>
      </c>
      <c r="D1277" s="89" t="s">
        <v>49</v>
      </c>
      <c r="E1277" s="90">
        <v>86343287</v>
      </c>
      <c r="F1277" s="184" t="s">
        <v>3620</v>
      </c>
      <c r="G1277" s="91">
        <v>1444988719</v>
      </c>
      <c r="H1277" s="92">
        <v>25864</v>
      </c>
      <c r="I1277" s="89">
        <v>55</v>
      </c>
      <c r="J1277" s="89" t="s">
        <v>51</v>
      </c>
      <c r="K1277" s="89" t="s">
        <v>88</v>
      </c>
      <c r="L1277" s="89" t="s">
        <v>89</v>
      </c>
      <c r="M1277" s="89" t="s">
        <v>2300</v>
      </c>
      <c r="N1277" s="89" t="s">
        <v>181</v>
      </c>
      <c r="O1277" s="93" t="s">
        <v>3621</v>
      </c>
      <c r="P1277" s="94" t="s">
        <v>57</v>
      </c>
      <c r="Q1277" s="112" t="s">
        <v>2211</v>
      </c>
      <c r="R1277" s="95"/>
      <c r="S1277" s="96">
        <v>46164</v>
      </c>
      <c r="T1277" s="96" t="s">
        <v>2212</v>
      </c>
      <c r="U1277" s="96" t="s">
        <v>79</v>
      </c>
      <c r="V1277" s="92">
        <v>46141</v>
      </c>
      <c r="W1277" s="92">
        <v>46154</v>
      </c>
      <c r="X1277" s="92">
        <v>46160</v>
      </c>
      <c r="Y1277" s="97"/>
      <c r="Z1277" s="89"/>
      <c r="AA1277" s="96"/>
      <c r="AB1277" s="89"/>
      <c r="AC1277" s="111"/>
      <c r="AD1277" s="89"/>
      <c r="AE1277" s="89"/>
      <c r="AF1277" s="98"/>
      <c r="AG1277" s="98"/>
      <c r="AH1277" s="98"/>
      <c r="AI1277" s="99"/>
      <c r="AJ1277" s="99"/>
      <c r="AK1277" s="99"/>
      <c r="AL1277" s="45" t="s">
        <v>68</v>
      </c>
      <c r="AM1277" s="162" t="str">
        <f t="shared" si="152"/>
        <v>3/2026</v>
      </c>
      <c r="AN1277" s="45">
        <f t="shared" si="153"/>
        <v>4</v>
      </c>
      <c r="AO1277" s="45" t="str">
        <f t="shared" si="154"/>
        <v>1/1900</v>
      </c>
      <c r="AP1277" s="45" t="e">
        <f t="shared" si="155"/>
        <v>#NUM!</v>
      </c>
      <c r="AQ1277" s="45">
        <f t="shared" si="156"/>
        <v>0</v>
      </c>
      <c r="AR1277" s="45">
        <f t="shared" si="157"/>
        <v>0</v>
      </c>
      <c r="AS1277" s="45">
        <f t="shared" si="158"/>
        <v>0</v>
      </c>
      <c r="AT1277" s="45">
        <f t="shared" si="159"/>
        <v>0</v>
      </c>
      <c r="AU1277" s="45" t="str">
        <f>_xlfn.XLOOKUP(U1277,'Lista Suspensa'!$AA$20:$AA$23,'Lista Suspensa'!$AB$20:$AB$23,"N/A")</f>
        <v>S</v>
      </c>
    </row>
    <row r="1278" spans="1:47" ht="12" hidden="1" customHeight="1" x14ac:dyDescent="0.3">
      <c r="A1278" s="87" t="s">
        <v>47</v>
      </c>
      <c r="B1278" s="88">
        <v>46104</v>
      </c>
      <c r="C1278" s="89" t="s">
        <v>48</v>
      </c>
      <c r="D1278" s="89" t="s">
        <v>49</v>
      </c>
      <c r="E1278" s="90">
        <v>94082391</v>
      </c>
      <c r="F1278" s="184" t="s">
        <v>3622</v>
      </c>
      <c r="G1278" s="91">
        <v>3801958795</v>
      </c>
      <c r="H1278" s="92">
        <v>26120</v>
      </c>
      <c r="I1278" s="89">
        <v>54</v>
      </c>
      <c r="J1278" s="89" t="s">
        <v>70</v>
      </c>
      <c r="K1278" s="89" t="s">
        <v>88</v>
      </c>
      <c r="L1278" s="89" t="s">
        <v>89</v>
      </c>
      <c r="M1278" s="89" t="s">
        <v>2300</v>
      </c>
      <c r="N1278" s="89" t="s">
        <v>181</v>
      </c>
      <c r="O1278" s="93" t="s">
        <v>3623</v>
      </c>
      <c r="P1278" s="94" t="s">
        <v>57</v>
      </c>
      <c r="Q1278" s="112" t="s">
        <v>2211</v>
      </c>
      <c r="R1278" s="95"/>
      <c r="S1278" s="96">
        <v>46164</v>
      </c>
      <c r="T1278" s="96" t="s">
        <v>2212</v>
      </c>
      <c r="U1278" s="96" t="s">
        <v>79</v>
      </c>
      <c r="V1278" s="92">
        <v>46112</v>
      </c>
      <c r="W1278" s="92">
        <v>46141</v>
      </c>
      <c r="X1278" s="92">
        <v>46154</v>
      </c>
      <c r="Y1278" s="97"/>
      <c r="Z1278" s="89"/>
      <c r="AA1278" s="96"/>
      <c r="AB1278" s="89"/>
      <c r="AC1278" s="111"/>
      <c r="AD1278" s="89"/>
      <c r="AE1278" s="89"/>
      <c r="AF1278" s="98"/>
      <c r="AG1278" s="98"/>
      <c r="AH1278" s="98"/>
      <c r="AI1278" s="99"/>
      <c r="AJ1278" s="99"/>
      <c r="AK1278" s="99"/>
      <c r="AL1278" s="45" t="s">
        <v>68</v>
      </c>
      <c r="AM1278" s="162" t="str">
        <f t="shared" si="152"/>
        <v>3/2026</v>
      </c>
      <c r="AN1278" s="45">
        <f t="shared" si="153"/>
        <v>4</v>
      </c>
      <c r="AO1278" s="45" t="str">
        <f t="shared" si="154"/>
        <v>1/1900</v>
      </c>
      <c r="AP1278" s="45" t="e">
        <f t="shared" si="155"/>
        <v>#NUM!</v>
      </c>
      <c r="AQ1278" s="45">
        <f t="shared" si="156"/>
        <v>0</v>
      </c>
      <c r="AR1278" s="45">
        <f t="shared" si="157"/>
        <v>0</v>
      </c>
      <c r="AS1278" s="45">
        <f t="shared" si="158"/>
        <v>0</v>
      </c>
      <c r="AT1278" s="45">
        <f t="shared" si="159"/>
        <v>0</v>
      </c>
      <c r="AU1278" s="45" t="str">
        <f>_xlfn.XLOOKUP(U1278,'Lista Suspensa'!$AA$20:$AA$23,'Lista Suspensa'!$AB$20:$AB$23,"N/A")</f>
        <v>S</v>
      </c>
    </row>
    <row r="1279" spans="1:47" ht="12" hidden="1" customHeight="1" x14ac:dyDescent="0.3">
      <c r="A1279" s="87" t="s">
        <v>47</v>
      </c>
      <c r="B1279" s="88">
        <v>46104</v>
      </c>
      <c r="C1279" s="89" t="s">
        <v>48</v>
      </c>
      <c r="D1279" s="89" t="s">
        <v>49</v>
      </c>
      <c r="E1279" s="90">
        <v>93864801</v>
      </c>
      <c r="F1279" s="184" t="s">
        <v>3624</v>
      </c>
      <c r="G1279" s="91">
        <v>18229290750</v>
      </c>
      <c r="H1279" s="92">
        <v>38100</v>
      </c>
      <c r="I1279" s="89">
        <v>21</v>
      </c>
      <c r="J1279" s="89" t="s">
        <v>51</v>
      </c>
      <c r="K1279" s="89" t="s">
        <v>88</v>
      </c>
      <c r="L1279" s="89" t="s">
        <v>89</v>
      </c>
      <c r="M1279" s="89" t="s">
        <v>2171</v>
      </c>
      <c r="N1279" s="89" t="s">
        <v>181</v>
      </c>
      <c r="O1279" s="93" t="s">
        <v>3625</v>
      </c>
      <c r="P1279" s="94" t="s">
        <v>57</v>
      </c>
      <c r="Q1279" s="112" t="s">
        <v>2211</v>
      </c>
      <c r="R1279" s="95"/>
      <c r="S1279" s="96">
        <v>46164</v>
      </c>
      <c r="T1279" s="96" t="s">
        <v>2212</v>
      </c>
      <c r="U1279" s="96" t="s">
        <v>79</v>
      </c>
      <c r="V1279" s="92">
        <v>46141</v>
      </c>
      <c r="W1279" s="92">
        <v>46154</v>
      </c>
      <c r="X1279" s="92">
        <v>46160</v>
      </c>
      <c r="Y1279" s="97"/>
      <c r="Z1279" s="89"/>
      <c r="AA1279" s="96"/>
      <c r="AB1279" s="89"/>
      <c r="AC1279" s="111"/>
      <c r="AD1279" s="89"/>
      <c r="AE1279" s="89"/>
      <c r="AF1279" s="98"/>
      <c r="AG1279" s="98"/>
      <c r="AH1279" s="98"/>
      <c r="AI1279" s="99"/>
      <c r="AJ1279" s="99"/>
      <c r="AK1279" s="99"/>
      <c r="AL1279" s="45" t="s">
        <v>68</v>
      </c>
      <c r="AM1279" s="162" t="str">
        <f t="shared" si="152"/>
        <v>3/2026</v>
      </c>
      <c r="AN1279" s="45">
        <f t="shared" si="153"/>
        <v>4</v>
      </c>
      <c r="AO1279" s="45" t="str">
        <f t="shared" si="154"/>
        <v>1/1900</v>
      </c>
      <c r="AP1279" s="45" t="e">
        <f t="shared" si="155"/>
        <v>#NUM!</v>
      </c>
      <c r="AQ1279" s="45">
        <f t="shared" si="156"/>
        <v>0</v>
      </c>
      <c r="AR1279" s="45">
        <f t="shared" si="157"/>
        <v>0</v>
      </c>
      <c r="AS1279" s="45">
        <f t="shared" si="158"/>
        <v>0</v>
      </c>
      <c r="AT1279" s="45">
        <f t="shared" si="159"/>
        <v>0</v>
      </c>
      <c r="AU1279" s="45" t="str">
        <f>_xlfn.XLOOKUP(U1279,'Lista Suspensa'!$AA$20:$AA$23,'Lista Suspensa'!$AB$20:$AB$23,"N/A")</f>
        <v>S</v>
      </c>
    </row>
    <row r="1280" spans="1:47" ht="12" hidden="1" customHeight="1" x14ac:dyDescent="0.3">
      <c r="A1280" s="87" t="s">
        <v>47</v>
      </c>
      <c r="B1280" s="88">
        <v>46104</v>
      </c>
      <c r="C1280" s="89" t="s">
        <v>48</v>
      </c>
      <c r="D1280" s="89" t="s">
        <v>49</v>
      </c>
      <c r="E1280" s="90">
        <v>85659531</v>
      </c>
      <c r="F1280" s="184" t="s">
        <v>3626</v>
      </c>
      <c r="G1280" s="91">
        <v>74141376604</v>
      </c>
      <c r="H1280" s="92">
        <v>22420</v>
      </c>
      <c r="I1280" s="89">
        <v>64</v>
      </c>
      <c r="J1280" s="89" t="s">
        <v>51</v>
      </c>
      <c r="K1280" s="89" t="s">
        <v>88</v>
      </c>
      <c r="L1280" s="89" t="s">
        <v>603</v>
      </c>
      <c r="M1280" s="89" t="s">
        <v>3627</v>
      </c>
      <c r="N1280" s="89" t="s">
        <v>181</v>
      </c>
      <c r="O1280" s="93" t="s">
        <v>3628</v>
      </c>
      <c r="P1280" s="94" t="s">
        <v>57</v>
      </c>
      <c r="Q1280" s="112" t="s">
        <v>2211</v>
      </c>
      <c r="R1280" s="95"/>
      <c r="S1280" s="96">
        <v>46164</v>
      </c>
      <c r="T1280" s="96" t="s">
        <v>2212</v>
      </c>
      <c r="U1280" s="96" t="s">
        <v>79</v>
      </c>
      <c r="V1280" s="92">
        <v>46141</v>
      </c>
      <c r="W1280" s="92">
        <v>46154</v>
      </c>
      <c r="X1280" s="92">
        <v>46160</v>
      </c>
      <c r="Y1280" s="97"/>
      <c r="Z1280" s="89"/>
      <c r="AA1280" s="96"/>
      <c r="AB1280" s="89"/>
      <c r="AC1280" s="111"/>
      <c r="AD1280" s="89"/>
      <c r="AE1280" s="89"/>
      <c r="AF1280" s="98"/>
      <c r="AG1280" s="98"/>
      <c r="AH1280" s="98"/>
      <c r="AI1280" s="99"/>
      <c r="AJ1280" s="99"/>
      <c r="AK1280" s="99"/>
      <c r="AL1280" s="45" t="s">
        <v>68</v>
      </c>
      <c r="AM1280" s="162" t="str">
        <f t="shared" si="152"/>
        <v>3/2026</v>
      </c>
      <c r="AN1280" s="45">
        <f t="shared" si="153"/>
        <v>4</v>
      </c>
      <c r="AO1280" s="45" t="str">
        <f t="shared" si="154"/>
        <v>1/1900</v>
      </c>
      <c r="AP1280" s="45" t="e">
        <f t="shared" si="155"/>
        <v>#NUM!</v>
      </c>
      <c r="AQ1280" s="45">
        <f t="shared" si="156"/>
        <v>0</v>
      </c>
      <c r="AR1280" s="45">
        <f t="shared" si="157"/>
        <v>0</v>
      </c>
      <c r="AS1280" s="45">
        <f t="shared" si="158"/>
        <v>0</v>
      </c>
      <c r="AT1280" s="45">
        <f t="shared" si="159"/>
        <v>0</v>
      </c>
      <c r="AU1280" s="45" t="str">
        <f>_xlfn.XLOOKUP(U1280,'Lista Suspensa'!$AA$20:$AA$23,'Lista Suspensa'!$AB$20:$AB$23,"N/A")</f>
        <v>S</v>
      </c>
    </row>
    <row r="1281" spans="1:47" ht="12" hidden="1" customHeight="1" x14ac:dyDescent="0.3">
      <c r="A1281" s="87" t="s">
        <v>47</v>
      </c>
      <c r="B1281" s="88">
        <v>46104</v>
      </c>
      <c r="C1281" s="89" t="s">
        <v>48</v>
      </c>
      <c r="D1281" s="89" t="s">
        <v>49</v>
      </c>
      <c r="E1281" s="90">
        <v>95524694</v>
      </c>
      <c r="F1281" s="184" t="s">
        <v>3629</v>
      </c>
      <c r="G1281" s="91">
        <v>3349912770</v>
      </c>
      <c r="H1281" s="92">
        <v>26312</v>
      </c>
      <c r="I1281" s="89">
        <v>54</v>
      </c>
      <c r="J1281" s="89" t="s">
        <v>51</v>
      </c>
      <c r="K1281" s="89" t="s">
        <v>88</v>
      </c>
      <c r="L1281" s="89" t="s">
        <v>867</v>
      </c>
      <c r="M1281" s="89" t="s">
        <v>2612</v>
      </c>
      <c r="N1281" s="89" t="s">
        <v>209</v>
      </c>
      <c r="O1281" s="93" t="s">
        <v>3630</v>
      </c>
      <c r="P1281" s="94" t="s">
        <v>57</v>
      </c>
      <c r="Q1281" s="112" t="s">
        <v>941</v>
      </c>
      <c r="R1281" s="95">
        <v>46141</v>
      </c>
      <c r="S1281" s="95">
        <v>46141</v>
      </c>
      <c r="T1281" s="96" t="s">
        <v>59</v>
      </c>
      <c r="U1281" s="96" t="s">
        <v>79</v>
      </c>
      <c r="V1281" s="92">
        <v>46141</v>
      </c>
      <c r="W1281" s="92" t="s">
        <v>61</v>
      </c>
      <c r="X1281" s="92" t="s">
        <v>61</v>
      </c>
      <c r="Y1281" s="97"/>
      <c r="Z1281" s="89" t="s">
        <v>62</v>
      </c>
      <c r="AA1281" s="96">
        <v>46142</v>
      </c>
      <c r="AB1281" s="89" t="s">
        <v>118</v>
      </c>
      <c r="AC1281" s="111"/>
      <c r="AD1281" s="89"/>
      <c r="AE1281" s="89"/>
      <c r="AF1281" s="98"/>
      <c r="AG1281" s="98"/>
      <c r="AH1281" s="98"/>
      <c r="AI1281" s="99" t="s">
        <v>197</v>
      </c>
      <c r="AJ1281" s="99"/>
      <c r="AK1281" s="99"/>
      <c r="AL1281" s="45" t="s">
        <v>68</v>
      </c>
      <c r="AM1281" s="162" t="str">
        <f t="shared" si="152"/>
        <v>3/2026</v>
      </c>
      <c r="AN1281" s="45">
        <f t="shared" si="153"/>
        <v>4</v>
      </c>
      <c r="AO1281" s="45" t="str">
        <f t="shared" si="154"/>
        <v>4/2026</v>
      </c>
      <c r="AP1281" s="45">
        <f t="shared" si="155"/>
        <v>5</v>
      </c>
      <c r="AQ1281" s="45">
        <f t="shared" si="156"/>
        <v>0</v>
      </c>
      <c r="AR1281" s="45">
        <f t="shared" si="157"/>
        <v>0</v>
      </c>
      <c r="AS1281" s="45">
        <f t="shared" si="158"/>
        <v>0</v>
      </c>
      <c r="AT1281" s="45">
        <f t="shared" si="159"/>
        <v>0</v>
      </c>
      <c r="AU1281" s="45" t="str">
        <f>_xlfn.XLOOKUP(U1281,'Lista Suspensa'!$AA$20:$AA$23,'Lista Suspensa'!$AB$20:$AB$23,"N/A")</f>
        <v>S</v>
      </c>
    </row>
    <row r="1282" spans="1:47" ht="12" hidden="1" customHeight="1" x14ac:dyDescent="0.3">
      <c r="A1282" s="87" t="s">
        <v>47</v>
      </c>
      <c r="B1282" s="88">
        <v>46104</v>
      </c>
      <c r="C1282" s="89" t="s">
        <v>48</v>
      </c>
      <c r="D1282" s="89" t="s">
        <v>49</v>
      </c>
      <c r="E1282" s="90">
        <v>89059041</v>
      </c>
      <c r="F1282" s="184" t="s">
        <v>3631</v>
      </c>
      <c r="G1282" s="91">
        <v>926058770</v>
      </c>
      <c r="H1282" s="92">
        <v>23879</v>
      </c>
      <c r="I1282" s="89">
        <v>60</v>
      </c>
      <c r="J1282" s="89" t="s">
        <v>51</v>
      </c>
      <c r="K1282" s="89" t="s">
        <v>88</v>
      </c>
      <c r="L1282" s="89" t="s">
        <v>1782</v>
      </c>
      <c r="M1282" s="89" t="s">
        <v>3632</v>
      </c>
      <c r="N1282" s="89" t="s">
        <v>181</v>
      </c>
      <c r="O1282" s="93" t="s">
        <v>3633</v>
      </c>
      <c r="P1282" s="94" t="s">
        <v>57</v>
      </c>
      <c r="Q1282" s="112" t="s">
        <v>2211</v>
      </c>
      <c r="R1282" s="95"/>
      <c r="S1282" s="96">
        <v>46164</v>
      </c>
      <c r="T1282" s="96" t="s">
        <v>2212</v>
      </c>
      <c r="U1282" s="96" t="s">
        <v>79</v>
      </c>
      <c r="V1282" s="92">
        <v>46141</v>
      </c>
      <c r="W1282" s="92">
        <v>46154</v>
      </c>
      <c r="X1282" s="92">
        <v>46160</v>
      </c>
      <c r="Y1282" s="97"/>
      <c r="Z1282" s="89"/>
      <c r="AA1282" s="96"/>
      <c r="AB1282" s="89"/>
      <c r="AC1282" s="111"/>
      <c r="AD1282" s="89"/>
      <c r="AE1282" s="89"/>
      <c r="AF1282" s="98"/>
      <c r="AG1282" s="98"/>
      <c r="AH1282" s="98"/>
      <c r="AI1282" s="99"/>
      <c r="AJ1282" s="99"/>
      <c r="AK1282" s="99"/>
      <c r="AL1282" s="45" t="s">
        <v>68</v>
      </c>
      <c r="AM1282" s="162" t="str">
        <f t="shared" ref="AM1282:AM1345" si="160">MONTH(B1282)&amp;"/"&amp;YEAR(B1282)</f>
        <v>3/2026</v>
      </c>
      <c r="AN1282" s="45">
        <f t="shared" ref="AN1282:AN1345" si="161">WEEKNUM(B1282)-WEEKNUM(EOMONTH(B1282,-1)+1)+1</f>
        <v>4</v>
      </c>
      <c r="AO1282" s="45" t="str">
        <f t="shared" ref="AO1282:AO1345" si="162">MONTH(R1282)&amp;"/"&amp;YEAR(R1282)</f>
        <v>1/1900</v>
      </c>
      <c r="AP1282" s="45" t="e">
        <f t="shared" ref="AP1282:AP1345" si="163">WEEKNUM(R1282)-WEEKNUM(EOMONTH(R1282,-1)+1)+1</f>
        <v>#NUM!</v>
      </c>
      <c r="AQ1282" s="45">
        <f t="shared" ref="AQ1282:AQ1345" si="164">IF(AU1282="S",IF(Q1282="1. Aceitou o programa",R1282-B1282,0),0)</f>
        <v>0</v>
      </c>
      <c r="AR1282" s="45">
        <f t="shared" ref="AR1282:AR1345" si="165">IF(AU1282="S",IF(AND(S1282&lt;&gt;"",R1282&lt;&gt;""),S1282-R1282,0),0)</f>
        <v>0</v>
      </c>
      <c r="AS1282" s="45">
        <f t="shared" ref="AS1282:AS1345" si="166">IF(AU1282="S",IF(Q1282="1. Aceitou o programa",IF(OR(X1282="Não se Aplica",X1282=""),IF(OR(W1282="Não se Aplica",W1282=""),0,W1282-V1282),AVERAGE(X1282-W1282,W1282-V1282)),0),0)</f>
        <v>0</v>
      </c>
      <c r="AT1282" s="45">
        <f t="shared" ref="AT1282:AT1345" si="167">IF(AU1282="S",IF(AND(Q1282="1. Aceitou o programa",AB1282="Realizada"),IFERROR(IF(AA1282="",0,AA1282-R1282),0),0),0)</f>
        <v>0</v>
      </c>
      <c r="AU1282" s="45" t="str">
        <f>_xlfn.XLOOKUP(U1282,'Lista Suspensa'!$AA$20:$AA$23,'Lista Suspensa'!$AB$20:$AB$23,"N/A")</f>
        <v>S</v>
      </c>
    </row>
    <row r="1283" spans="1:47" ht="12" hidden="1" customHeight="1" x14ac:dyDescent="0.3">
      <c r="A1283" s="87" t="s">
        <v>47</v>
      </c>
      <c r="B1283" s="88">
        <v>46104</v>
      </c>
      <c r="C1283" s="89" t="s">
        <v>48</v>
      </c>
      <c r="D1283" s="89" t="s">
        <v>49</v>
      </c>
      <c r="E1283" s="90">
        <v>94115829</v>
      </c>
      <c r="F1283" s="184" t="s">
        <v>3634</v>
      </c>
      <c r="G1283" s="91">
        <v>71641041749</v>
      </c>
      <c r="H1283" s="92">
        <v>22282</v>
      </c>
      <c r="I1283" s="89">
        <v>65</v>
      </c>
      <c r="J1283" s="89" t="s">
        <v>51</v>
      </c>
      <c r="K1283" s="89" t="s">
        <v>88</v>
      </c>
      <c r="L1283" s="89" t="s">
        <v>89</v>
      </c>
      <c r="M1283" s="89" t="s">
        <v>1134</v>
      </c>
      <c r="N1283" s="89" t="s">
        <v>209</v>
      </c>
      <c r="O1283" s="93" t="s">
        <v>3635</v>
      </c>
      <c r="P1283" s="94" t="s">
        <v>57</v>
      </c>
      <c r="Q1283" s="112" t="s">
        <v>2211</v>
      </c>
      <c r="R1283" s="95"/>
      <c r="S1283" s="96">
        <v>46164</v>
      </c>
      <c r="T1283" s="96" t="s">
        <v>2212</v>
      </c>
      <c r="U1283" s="96" t="s">
        <v>79</v>
      </c>
      <c r="V1283" s="92">
        <v>46141</v>
      </c>
      <c r="W1283" s="92">
        <v>46154</v>
      </c>
      <c r="X1283" s="92">
        <v>46160</v>
      </c>
      <c r="Y1283" s="97"/>
      <c r="Z1283" s="89"/>
      <c r="AA1283" s="96"/>
      <c r="AB1283" s="89"/>
      <c r="AC1283" s="111"/>
      <c r="AD1283" s="89"/>
      <c r="AE1283" s="89"/>
      <c r="AF1283" s="98"/>
      <c r="AG1283" s="98"/>
      <c r="AH1283" s="98"/>
      <c r="AI1283" s="99"/>
      <c r="AJ1283" s="99"/>
      <c r="AK1283" s="99"/>
      <c r="AL1283" s="45" t="s">
        <v>68</v>
      </c>
      <c r="AM1283" s="162" t="str">
        <f t="shared" si="160"/>
        <v>3/2026</v>
      </c>
      <c r="AN1283" s="45">
        <f t="shared" si="161"/>
        <v>4</v>
      </c>
      <c r="AO1283" s="45" t="str">
        <f t="shared" si="162"/>
        <v>1/1900</v>
      </c>
      <c r="AP1283" s="45" t="e">
        <f t="shared" si="163"/>
        <v>#NUM!</v>
      </c>
      <c r="AQ1283" s="45">
        <f t="shared" si="164"/>
        <v>0</v>
      </c>
      <c r="AR1283" s="45">
        <f t="shared" si="165"/>
        <v>0</v>
      </c>
      <c r="AS1283" s="45">
        <f t="shared" si="166"/>
        <v>0</v>
      </c>
      <c r="AT1283" s="45">
        <f t="shared" si="167"/>
        <v>0</v>
      </c>
      <c r="AU1283" s="45" t="str">
        <f>_xlfn.XLOOKUP(U1283,'Lista Suspensa'!$AA$20:$AA$23,'Lista Suspensa'!$AB$20:$AB$23,"N/A")</f>
        <v>S</v>
      </c>
    </row>
    <row r="1284" spans="1:47" ht="12" hidden="1" customHeight="1" x14ac:dyDescent="0.3">
      <c r="A1284" s="87" t="s">
        <v>47</v>
      </c>
      <c r="B1284" s="88">
        <v>46104</v>
      </c>
      <c r="C1284" s="89" t="s">
        <v>48</v>
      </c>
      <c r="D1284" s="89" t="s">
        <v>49</v>
      </c>
      <c r="E1284" s="90">
        <v>89602310</v>
      </c>
      <c r="F1284" s="184" t="s">
        <v>3636</v>
      </c>
      <c r="G1284" s="91">
        <v>60015985768</v>
      </c>
      <c r="H1284" s="92">
        <v>21586</v>
      </c>
      <c r="I1284" s="89">
        <v>67</v>
      </c>
      <c r="J1284" s="89" t="s">
        <v>51</v>
      </c>
      <c r="K1284" s="89" t="s">
        <v>88</v>
      </c>
      <c r="L1284" s="89" t="s">
        <v>89</v>
      </c>
      <c r="M1284" s="89" t="s">
        <v>600</v>
      </c>
      <c r="N1284" s="89" t="s">
        <v>209</v>
      </c>
      <c r="O1284" s="93" t="s">
        <v>3637</v>
      </c>
      <c r="P1284" s="94" t="s">
        <v>57</v>
      </c>
      <c r="Q1284" s="112" t="s">
        <v>2211</v>
      </c>
      <c r="R1284" s="95"/>
      <c r="S1284" s="96">
        <v>46164</v>
      </c>
      <c r="T1284" s="96" t="s">
        <v>2212</v>
      </c>
      <c r="U1284" s="96" t="s">
        <v>79</v>
      </c>
      <c r="V1284" s="92">
        <v>46141</v>
      </c>
      <c r="W1284" s="92">
        <v>46154</v>
      </c>
      <c r="X1284" s="92">
        <v>46160</v>
      </c>
      <c r="Y1284" s="97"/>
      <c r="Z1284" s="89"/>
      <c r="AA1284" s="96"/>
      <c r="AB1284" s="89"/>
      <c r="AC1284" s="111"/>
      <c r="AD1284" s="89"/>
      <c r="AE1284" s="89"/>
      <c r="AF1284" s="98"/>
      <c r="AG1284" s="98"/>
      <c r="AH1284" s="98"/>
      <c r="AI1284" s="99"/>
      <c r="AJ1284" s="99"/>
      <c r="AK1284" s="99"/>
      <c r="AL1284" s="45" t="s">
        <v>68</v>
      </c>
      <c r="AM1284" s="162" t="str">
        <f t="shared" si="160"/>
        <v>3/2026</v>
      </c>
      <c r="AN1284" s="45">
        <f t="shared" si="161"/>
        <v>4</v>
      </c>
      <c r="AO1284" s="45" t="str">
        <f t="shared" si="162"/>
        <v>1/1900</v>
      </c>
      <c r="AP1284" s="45" t="e">
        <f t="shared" si="163"/>
        <v>#NUM!</v>
      </c>
      <c r="AQ1284" s="45">
        <f t="shared" si="164"/>
        <v>0</v>
      </c>
      <c r="AR1284" s="45">
        <f t="shared" si="165"/>
        <v>0</v>
      </c>
      <c r="AS1284" s="45">
        <f t="shared" si="166"/>
        <v>0</v>
      </c>
      <c r="AT1284" s="45">
        <f t="shared" si="167"/>
        <v>0</v>
      </c>
      <c r="AU1284" s="45" t="str">
        <f>_xlfn.XLOOKUP(U1284,'Lista Suspensa'!$AA$20:$AA$23,'Lista Suspensa'!$AB$20:$AB$23,"N/A")</f>
        <v>S</v>
      </c>
    </row>
    <row r="1285" spans="1:47" ht="12" hidden="1" customHeight="1" x14ac:dyDescent="0.3">
      <c r="A1285" s="87" t="s">
        <v>47</v>
      </c>
      <c r="B1285" s="88">
        <v>46104</v>
      </c>
      <c r="C1285" s="89" t="s">
        <v>48</v>
      </c>
      <c r="D1285" s="89" t="s">
        <v>49</v>
      </c>
      <c r="E1285" s="90">
        <v>78383977</v>
      </c>
      <c r="F1285" s="184" t="s">
        <v>3638</v>
      </c>
      <c r="G1285" s="91">
        <v>36194146885</v>
      </c>
      <c r="H1285" s="92">
        <v>32044</v>
      </c>
      <c r="I1285" s="89">
        <v>38</v>
      </c>
      <c r="J1285" s="89" t="s">
        <v>70</v>
      </c>
      <c r="K1285" s="89" t="s">
        <v>52</v>
      </c>
      <c r="L1285" s="89" t="s">
        <v>53</v>
      </c>
      <c r="M1285" s="89" t="s">
        <v>3302</v>
      </c>
      <c r="N1285" s="89" t="s">
        <v>209</v>
      </c>
      <c r="O1285" s="93" t="s">
        <v>3639</v>
      </c>
      <c r="P1285" s="94" t="s">
        <v>57</v>
      </c>
      <c r="Q1285" s="112" t="s">
        <v>2211</v>
      </c>
      <c r="R1285" s="95"/>
      <c r="S1285" s="96">
        <v>46164</v>
      </c>
      <c r="T1285" s="96" t="s">
        <v>2212</v>
      </c>
      <c r="U1285" s="96" t="s">
        <v>79</v>
      </c>
      <c r="V1285" s="92">
        <v>46141</v>
      </c>
      <c r="W1285" s="92">
        <v>46154</v>
      </c>
      <c r="X1285" s="92">
        <v>46160</v>
      </c>
      <c r="Y1285" s="97"/>
      <c r="Z1285" s="89"/>
      <c r="AA1285" s="96"/>
      <c r="AB1285" s="89"/>
      <c r="AC1285" s="111"/>
      <c r="AD1285" s="89"/>
      <c r="AE1285" s="89"/>
      <c r="AF1285" s="98"/>
      <c r="AG1285" s="98"/>
      <c r="AH1285" s="98"/>
      <c r="AI1285" s="99"/>
      <c r="AJ1285" s="99"/>
      <c r="AK1285" s="99"/>
      <c r="AL1285" s="45" t="s">
        <v>68</v>
      </c>
      <c r="AM1285" s="162" t="str">
        <f t="shared" si="160"/>
        <v>3/2026</v>
      </c>
      <c r="AN1285" s="45">
        <f t="shared" si="161"/>
        <v>4</v>
      </c>
      <c r="AO1285" s="45" t="str">
        <f t="shared" si="162"/>
        <v>1/1900</v>
      </c>
      <c r="AP1285" s="45" t="e">
        <f t="shared" si="163"/>
        <v>#NUM!</v>
      </c>
      <c r="AQ1285" s="45">
        <f t="shared" si="164"/>
        <v>0</v>
      </c>
      <c r="AR1285" s="45">
        <f t="shared" si="165"/>
        <v>0</v>
      </c>
      <c r="AS1285" s="45">
        <f t="shared" si="166"/>
        <v>0</v>
      </c>
      <c r="AT1285" s="45">
        <f t="shared" si="167"/>
        <v>0</v>
      </c>
      <c r="AU1285" s="45" t="str">
        <f>_xlfn.XLOOKUP(U1285,'Lista Suspensa'!$AA$20:$AA$23,'Lista Suspensa'!$AB$20:$AB$23,"N/A")</f>
        <v>S</v>
      </c>
    </row>
    <row r="1286" spans="1:47" ht="12" hidden="1" customHeight="1" x14ac:dyDescent="0.3">
      <c r="A1286" s="87" t="s">
        <v>47</v>
      </c>
      <c r="B1286" s="88">
        <v>46104</v>
      </c>
      <c r="C1286" s="89" t="s">
        <v>48</v>
      </c>
      <c r="D1286" s="89" t="s">
        <v>49</v>
      </c>
      <c r="E1286" s="90">
        <v>85145039</v>
      </c>
      <c r="F1286" s="184" t="s">
        <v>3640</v>
      </c>
      <c r="G1286" s="91">
        <v>13795216702</v>
      </c>
      <c r="H1286" s="92">
        <v>34340</v>
      </c>
      <c r="I1286" s="89">
        <v>32</v>
      </c>
      <c r="J1286" s="89" t="s">
        <v>51</v>
      </c>
      <c r="K1286" s="89" t="s">
        <v>88</v>
      </c>
      <c r="L1286" s="89" t="s">
        <v>89</v>
      </c>
      <c r="M1286" s="89" t="s">
        <v>2508</v>
      </c>
      <c r="N1286" s="89" t="s">
        <v>209</v>
      </c>
      <c r="O1286" s="93" t="s">
        <v>3641</v>
      </c>
      <c r="P1286" s="94" t="s">
        <v>57</v>
      </c>
      <c r="Q1286" s="112" t="s">
        <v>2211</v>
      </c>
      <c r="R1286" s="95"/>
      <c r="S1286" s="96">
        <v>46150</v>
      </c>
      <c r="T1286" s="96" t="s">
        <v>2212</v>
      </c>
      <c r="U1286" s="96" t="s">
        <v>79</v>
      </c>
      <c r="V1286" s="92">
        <v>46128</v>
      </c>
      <c r="W1286" s="92">
        <v>46141</v>
      </c>
      <c r="X1286" s="92">
        <v>46142</v>
      </c>
      <c r="Y1286" s="97"/>
      <c r="Z1286" s="89"/>
      <c r="AA1286" s="96"/>
      <c r="AB1286" s="89"/>
      <c r="AC1286" s="111"/>
      <c r="AD1286" s="89"/>
      <c r="AE1286" s="89"/>
      <c r="AF1286" s="98"/>
      <c r="AG1286" s="98"/>
      <c r="AH1286" s="98"/>
      <c r="AI1286" s="99"/>
      <c r="AJ1286" s="99"/>
      <c r="AK1286" s="99"/>
      <c r="AL1286" s="45" t="s">
        <v>68</v>
      </c>
      <c r="AM1286" s="162" t="str">
        <f t="shared" si="160"/>
        <v>3/2026</v>
      </c>
      <c r="AN1286" s="45">
        <f t="shared" si="161"/>
        <v>4</v>
      </c>
      <c r="AO1286" s="45" t="str">
        <f t="shared" si="162"/>
        <v>1/1900</v>
      </c>
      <c r="AP1286" s="45" t="e">
        <f t="shared" si="163"/>
        <v>#NUM!</v>
      </c>
      <c r="AQ1286" s="45">
        <f t="shared" si="164"/>
        <v>0</v>
      </c>
      <c r="AR1286" s="45">
        <f t="shared" si="165"/>
        <v>0</v>
      </c>
      <c r="AS1286" s="45">
        <f t="shared" si="166"/>
        <v>0</v>
      </c>
      <c r="AT1286" s="45">
        <f t="shared" si="167"/>
        <v>0</v>
      </c>
      <c r="AU1286" s="45" t="str">
        <f>_xlfn.XLOOKUP(U1286,'Lista Suspensa'!$AA$20:$AA$23,'Lista Suspensa'!$AB$20:$AB$23,"N/A")</f>
        <v>S</v>
      </c>
    </row>
    <row r="1287" spans="1:47" ht="12" hidden="1" customHeight="1" x14ac:dyDescent="0.3">
      <c r="A1287" s="87" t="s">
        <v>47</v>
      </c>
      <c r="B1287" s="88">
        <v>46104</v>
      </c>
      <c r="C1287" s="89" t="s">
        <v>48</v>
      </c>
      <c r="D1287" s="89" t="s">
        <v>49</v>
      </c>
      <c r="E1287" s="90">
        <v>86497114</v>
      </c>
      <c r="F1287" s="184" t="s">
        <v>3642</v>
      </c>
      <c r="G1287" s="91">
        <v>1352463776</v>
      </c>
      <c r="H1287" s="92">
        <v>18529</v>
      </c>
      <c r="I1287" s="89">
        <v>75</v>
      </c>
      <c r="J1287" s="89" t="s">
        <v>70</v>
      </c>
      <c r="K1287" s="89" t="s">
        <v>88</v>
      </c>
      <c r="L1287" s="89" t="s">
        <v>89</v>
      </c>
      <c r="M1287" s="89" t="s">
        <v>1098</v>
      </c>
      <c r="N1287" s="89" t="s">
        <v>209</v>
      </c>
      <c r="O1287" s="93" t="s">
        <v>3643</v>
      </c>
      <c r="P1287" s="94" t="s">
        <v>57</v>
      </c>
      <c r="Q1287" s="112" t="s">
        <v>2211</v>
      </c>
      <c r="R1287" s="95"/>
      <c r="S1287" s="96">
        <v>46164</v>
      </c>
      <c r="T1287" s="96" t="s">
        <v>2212</v>
      </c>
      <c r="U1287" s="96" t="s">
        <v>79</v>
      </c>
      <c r="V1287" s="92">
        <v>46141</v>
      </c>
      <c r="W1287" s="92">
        <v>46154</v>
      </c>
      <c r="X1287" s="92">
        <v>46160</v>
      </c>
      <c r="Y1287" s="97"/>
      <c r="Z1287" s="89"/>
      <c r="AA1287" s="96"/>
      <c r="AB1287" s="89"/>
      <c r="AC1287" s="111"/>
      <c r="AD1287" s="89"/>
      <c r="AE1287" s="89"/>
      <c r="AF1287" s="98"/>
      <c r="AG1287" s="98"/>
      <c r="AH1287" s="98"/>
      <c r="AI1287" s="99"/>
      <c r="AJ1287" s="99"/>
      <c r="AK1287" s="99"/>
      <c r="AL1287" s="45" t="s">
        <v>68</v>
      </c>
      <c r="AM1287" s="162" t="str">
        <f t="shared" si="160"/>
        <v>3/2026</v>
      </c>
      <c r="AN1287" s="45">
        <f t="shared" si="161"/>
        <v>4</v>
      </c>
      <c r="AO1287" s="45" t="str">
        <f t="shared" si="162"/>
        <v>1/1900</v>
      </c>
      <c r="AP1287" s="45" t="e">
        <f t="shared" si="163"/>
        <v>#NUM!</v>
      </c>
      <c r="AQ1287" s="45">
        <f t="shared" si="164"/>
        <v>0</v>
      </c>
      <c r="AR1287" s="45">
        <f t="shared" si="165"/>
        <v>0</v>
      </c>
      <c r="AS1287" s="45">
        <f t="shared" si="166"/>
        <v>0</v>
      </c>
      <c r="AT1287" s="45">
        <f t="shared" si="167"/>
        <v>0</v>
      </c>
      <c r="AU1287" s="45" t="str">
        <f>_xlfn.XLOOKUP(U1287,'Lista Suspensa'!$AA$20:$AA$23,'Lista Suspensa'!$AB$20:$AB$23,"N/A")</f>
        <v>S</v>
      </c>
    </row>
    <row r="1288" spans="1:47" ht="12" hidden="1" customHeight="1" x14ac:dyDescent="0.3">
      <c r="A1288" s="87" t="s">
        <v>47</v>
      </c>
      <c r="B1288" s="88">
        <v>46104</v>
      </c>
      <c r="C1288" s="89" t="s">
        <v>48</v>
      </c>
      <c r="D1288" s="89" t="s">
        <v>49</v>
      </c>
      <c r="E1288" s="90">
        <v>92687007</v>
      </c>
      <c r="F1288" s="184" t="s">
        <v>3644</v>
      </c>
      <c r="G1288" s="91">
        <v>86562215749</v>
      </c>
      <c r="H1288" s="92">
        <v>23770</v>
      </c>
      <c r="I1288" s="89">
        <v>61</v>
      </c>
      <c r="J1288" s="89" t="s">
        <v>70</v>
      </c>
      <c r="K1288" s="89" t="s">
        <v>88</v>
      </c>
      <c r="L1288" s="89" t="s">
        <v>89</v>
      </c>
      <c r="M1288" s="89" t="s">
        <v>3645</v>
      </c>
      <c r="N1288" s="89" t="s">
        <v>185</v>
      </c>
      <c r="O1288" s="93" t="s">
        <v>3646</v>
      </c>
      <c r="P1288" s="94" t="s">
        <v>57</v>
      </c>
      <c r="Q1288" s="112" t="s">
        <v>2211</v>
      </c>
      <c r="R1288" s="95"/>
      <c r="S1288" s="96">
        <v>46164</v>
      </c>
      <c r="T1288" s="96" t="s">
        <v>2212</v>
      </c>
      <c r="U1288" s="96" t="s">
        <v>79</v>
      </c>
      <c r="V1288" s="92">
        <v>46141</v>
      </c>
      <c r="W1288" s="92">
        <v>46154</v>
      </c>
      <c r="X1288" s="92">
        <v>46160</v>
      </c>
      <c r="Y1288" s="97"/>
      <c r="Z1288" s="89"/>
      <c r="AA1288" s="96"/>
      <c r="AB1288" s="89"/>
      <c r="AC1288" s="111"/>
      <c r="AD1288" s="89"/>
      <c r="AE1288" s="89"/>
      <c r="AF1288" s="98"/>
      <c r="AG1288" s="98"/>
      <c r="AH1288" s="98"/>
      <c r="AI1288" s="99"/>
      <c r="AJ1288" s="99"/>
      <c r="AK1288" s="99"/>
      <c r="AL1288" s="45" t="s">
        <v>68</v>
      </c>
      <c r="AM1288" s="162" t="str">
        <f t="shared" si="160"/>
        <v>3/2026</v>
      </c>
      <c r="AN1288" s="45">
        <f t="shared" si="161"/>
        <v>4</v>
      </c>
      <c r="AO1288" s="45" t="str">
        <f t="shared" si="162"/>
        <v>1/1900</v>
      </c>
      <c r="AP1288" s="45" t="e">
        <f t="shared" si="163"/>
        <v>#NUM!</v>
      </c>
      <c r="AQ1288" s="45">
        <f t="shared" si="164"/>
        <v>0</v>
      </c>
      <c r="AR1288" s="45">
        <f t="shared" si="165"/>
        <v>0</v>
      </c>
      <c r="AS1288" s="45">
        <f t="shared" si="166"/>
        <v>0</v>
      </c>
      <c r="AT1288" s="45">
        <f t="shared" si="167"/>
        <v>0</v>
      </c>
      <c r="AU1288" s="45" t="str">
        <f>_xlfn.XLOOKUP(U1288,'Lista Suspensa'!$AA$20:$AA$23,'Lista Suspensa'!$AB$20:$AB$23,"N/A")</f>
        <v>S</v>
      </c>
    </row>
    <row r="1289" spans="1:47" ht="12" hidden="1" customHeight="1" x14ac:dyDescent="0.3">
      <c r="A1289" s="87" t="s">
        <v>47</v>
      </c>
      <c r="B1289" s="88">
        <v>46104</v>
      </c>
      <c r="C1289" s="89" t="s">
        <v>48</v>
      </c>
      <c r="D1289" s="89" t="s">
        <v>49</v>
      </c>
      <c r="E1289" s="90">
        <v>93149776</v>
      </c>
      <c r="F1289" s="184" t="s">
        <v>3647</v>
      </c>
      <c r="G1289" s="91">
        <v>49521470704</v>
      </c>
      <c r="H1289" s="92">
        <v>20947</v>
      </c>
      <c r="I1289" s="89">
        <v>68</v>
      </c>
      <c r="J1289" s="89" t="s">
        <v>51</v>
      </c>
      <c r="K1289" s="89" t="s">
        <v>88</v>
      </c>
      <c r="L1289" s="89" t="s">
        <v>89</v>
      </c>
      <c r="M1289" s="89" t="s">
        <v>3648</v>
      </c>
      <c r="N1289" s="89" t="s">
        <v>185</v>
      </c>
      <c r="O1289" s="93" t="s">
        <v>3649</v>
      </c>
      <c r="P1289" s="94" t="s">
        <v>57</v>
      </c>
      <c r="Q1289" s="112" t="s">
        <v>2211</v>
      </c>
      <c r="R1289" s="95"/>
      <c r="S1289" s="96">
        <v>46164</v>
      </c>
      <c r="T1289" s="96" t="s">
        <v>2212</v>
      </c>
      <c r="U1289" s="96" t="s">
        <v>79</v>
      </c>
      <c r="V1289" s="92">
        <v>46141</v>
      </c>
      <c r="W1289" s="92">
        <v>46154</v>
      </c>
      <c r="X1289" s="92">
        <v>46160</v>
      </c>
      <c r="Y1289" s="97"/>
      <c r="Z1289" s="89"/>
      <c r="AA1289" s="96"/>
      <c r="AB1289" s="89"/>
      <c r="AC1289" s="111"/>
      <c r="AD1289" s="89"/>
      <c r="AE1289" s="89"/>
      <c r="AF1289" s="98"/>
      <c r="AG1289" s="98"/>
      <c r="AH1289" s="98"/>
      <c r="AI1289" s="99"/>
      <c r="AJ1289" s="99"/>
      <c r="AK1289" s="99"/>
      <c r="AL1289" s="45" t="s">
        <v>68</v>
      </c>
      <c r="AM1289" s="162" t="str">
        <f t="shared" si="160"/>
        <v>3/2026</v>
      </c>
      <c r="AN1289" s="45">
        <f t="shared" si="161"/>
        <v>4</v>
      </c>
      <c r="AO1289" s="45" t="str">
        <f t="shared" si="162"/>
        <v>1/1900</v>
      </c>
      <c r="AP1289" s="45" t="e">
        <f t="shared" si="163"/>
        <v>#NUM!</v>
      </c>
      <c r="AQ1289" s="45">
        <f t="shared" si="164"/>
        <v>0</v>
      </c>
      <c r="AR1289" s="45">
        <f t="shared" si="165"/>
        <v>0</v>
      </c>
      <c r="AS1289" s="45">
        <f t="shared" si="166"/>
        <v>0</v>
      </c>
      <c r="AT1289" s="45">
        <f t="shared" si="167"/>
        <v>0</v>
      </c>
      <c r="AU1289" s="45" t="str">
        <f>_xlfn.XLOOKUP(U1289,'Lista Suspensa'!$AA$20:$AA$23,'Lista Suspensa'!$AB$20:$AB$23,"N/A")</f>
        <v>S</v>
      </c>
    </row>
    <row r="1290" spans="1:47" ht="12" hidden="1" customHeight="1" x14ac:dyDescent="0.3">
      <c r="A1290" s="87" t="s">
        <v>47</v>
      </c>
      <c r="B1290" s="88">
        <v>46104</v>
      </c>
      <c r="C1290" s="89" t="s">
        <v>48</v>
      </c>
      <c r="D1290" s="89" t="s">
        <v>49</v>
      </c>
      <c r="E1290" s="90">
        <v>78701148</v>
      </c>
      <c r="F1290" s="184" t="s">
        <v>3650</v>
      </c>
      <c r="G1290" s="91">
        <v>2137010810</v>
      </c>
      <c r="H1290" s="92">
        <v>22572</v>
      </c>
      <c r="I1290" s="89">
        <v>64</v>
      </c>
      <c r="J1290" s="89" t="s">
        <v>51</v>
      </c>
      <c r="K1290" s="89" t="s">
        <v>52</v>
      </c>
      <c r="L1290" s="89" t="s">
        <v>53</v>
      </c>
      <c r="M1290" s="89" t="s">
        <v>3325</v>
      </c>
      <c r="N1290" s="89" t="s">
        <v>185</v>
      </c>
      <c r="O1290" s="93" t="s">
        <v>3651</v>
      </c>
      <c r="P1290" s="94" t="s">
        <v>57</v>
      </c>
      <c r="Q1290" s="112" t="s">
        <v>2211</v>
      </c>
      <c r="R1290" s="95"/>
      <c r="S1290" s="96">
        <v>46164</v>
      </c>
      <c r="T1290" s="96" t="s">
        <v>2212</v>
      </c>
      <c r="U1290" s="96" t="s">
        <v>79</v>
      </c>
      <c r="V1290" s="92">
        <v>46141</v>
      </c>
      <c r="W1290" s="92">
        <v>46154</v>
      </c>
      <c r="X1290" s="92">
        <v>46160</v>
      </c>
      <c r="Y1290" s="97"/>
      <c r="Z1290" s="89"/>
      <c r="AA1290" s="96"/>
      <c r="AB1290" s="89"/>
      <c r="AC1290" s="111"/>
      <c r="AD1290" s="89"/>
      <c r="AE1290" s="89"/>
      <c r="AF1290" s="98"/>
      <c r="AG1290" s="98"/>
      <c r="AH1290" s="98"/>
      <c r="AI1290" s="99"/>
      <c r="AJ1290" s="99"/>
      <c r="AK1290" s="99"/>
      <c r="AL1290" s="45" t="s">
        <v>68</v>
      </c>
      <c r="AM1290" s="162" t="str">
        <f t="shared" si="160"/>
        <v>3/2026</v>
      </c>
      <c r="AN1290" s="45">
        <f t="shared" si="161"/>
        <v>4</v>
      </c>
      <c r="AO1290" s="45" t="str">
        <f t="shared" si="162"/>
        <v>1/1900</v>
      </c>
      <c r="AP1290" s="45" t="e">
        <f t="shared" si="163"/>
        <v>#NUM!</v>
      </c>
      <c r="AQ1290" s="45">
        <f t="shared" si="164"/>
        <v>0</v>
      </c>
      <c r="AR1290" s="45">
        <f t="shared" si="165"/>
        <v>0</v>
      </c>
      <c r="AS1290" s="45">
        <f t="shared" si="166"/>
        <v>0</v>
      </c>
      <c r="AT1290" s="45">
        <f t="shared" si="167"/>
        <v>0</v>
      </c>
      <c r="AU1290" s="45" t="str">
        <f>_xlfn.XLOOKUP(U1290,'Lista Suspensa'!$AA$20:$AA$23,'Lista Suspensa'!$AB$20:$AB$23,"N/A")</f>
        <v>S</v>
      </c>
    </row>
    <row r="1291" spans="1:47" ht="12" hidden="1" customHeight="1" x14ac:dyDescent="0.3">
      <c r="A1291" s="87" t="s">
        <v>47</v>
      </c>
      <c r="B1291" s="88">
        <v>46104</v>
      </c>
      <c r="C1291" s="89" t="s">
        <v>48</v>
      </c>
      <c r="D1291" s="89" t="s">
        <v>49</v>
      </c>
      <c r="E1291" s="90">
        <v>84806857</v>
      </c>
      <c r="F1291" s="184" t="s">
        <v>3652</v>
      </c>
      <c r="G1291" s="91">
        <v>44414110734</v>
      </c>
      <c r="H1291" s="92">
        <v>20342</v>
      </c>
      <c r="I1291" s="89">
        <v>70</v>
      </c>
      <c r="J1291" s="89" t="s">
        <v>51</v>
      </c>
      <c r="K1291" s="89" t="s">
        <v>88</v>
      </c>
      <c r="L1291" s="89" t="s">
        <v>89</v>
      </c>
      <c r="M1291" s="89" t="s">
        <v>240</v>
      </c>
      <c r="N1291" s="89" t="s">
        <v>185</v>
      </c>
      <c r="O1291" s="93" t="s">
        <v>3653</v>
      </c>
      <c r="P1291" s="94" t="s">
        <v>57</v>
      </c>
      <c r="Q1291" s="112" t="s">
        <v>2211</v>
      </c>
      <c r="R1291" s="95"/>
      <c r="S1291" s="96">
        <v>46164</v>
      </c>
      <c r="T1291" s="96" t="s">
        <v>2212</v>
      </c>
      <c r="U1291" s="96" t="s">
        <v>79</v>
      </c>
      <c r="V1291" s="92">
        <v>46141</v>
      </c>
      <c r="W1291" s="92">
        <v>46154</v>
      </c>
      <c r="X1291" s="92">
        <v>46160</v>
      </c>
      <c r="Y1291" s="97"/>
      <c r="Z1291" s="89"/>
      <c r="AA1291" s="96"/>
      <c r="AB1291" s="89"/>
      <c r="AC1291" s="111"/>
      <c r="AD1291" s="89"/>
      <c r="AE1291" s="89"/>
      <c r="AF1291" s="98"/>
      <c r="AG1291" s="98"/>
      <c r="AH1291" s="98"/>
      <c r="AI1291" s="99"/>
      <c r="AJ1291" s="99"/>
      <c r="AK1291" s="99"/>
      <c r="AL1291" s="45" t="s">
        <v>68</v>
      </c>
      <c r="AM1291" s="162" t="str">
        <f t="shared" si="160"/>
        <v>3/2026</v>
      </c>
      <c r="AN1291" s="45">
        <f t="shared" si="161"/>
        <v>4</v>
      </c>
      <c r="AO1291" s="45" t="str">
        <f t="shared" si="162"/>
        <v>1/1900</v>
      </c>
      <c r="AP1291" s="45" t="e">
        <f t="shared" si="163"/>
        <v>#NUM!</v>
      </c>
      <c r="AQ1291" s="45">
        <f t="shared" si="164"/>
        <v>0</v>
      </c>
      <c r="AR1291" s="45">
        <f t="shared" si="165"/>
        <v>0</v>
      </c>
      <c r="AS1291" s="45">
        <f t="shared" si="166"/>
        <v>0</v>
      </c>
      <c r="AT1291" s="45">
        <f t="shared" si="167"/>
        <v>0</v>
      </c>
      <c r="AU1291" s="45" t="str">
        <f>_xlfn.XLOOKUP(U1291,'Lista Suspensa'!$AA$20:$AA$23,'Lista Suspensa'!$AB$20:$AB$23,"N/A")</f>
        <v>S</v>
      </c>
    </row>
    <row r="1292" spans="1:47" ht="12" hidden="1" customHeight="1" x14ac:dyDescent="0.3">
      <c r="A1292" s="87" t="s">
        <v>47</v>
      </c>
      <c r="B1292" s="88">
        <v>46104</v>
      </c>
      <c r="C1292" s="89" t="s">
        <v>48</v>
      </c>
      <c r="D1292" s="89" t="s">
        <v>49</v>
      </c>
      <c r="E1292" s="90">
        <v>82968955</v>
      </c>
      <c r="F1292" s="184" t="s">
        <v>3654</v>
      </c>
      <c r="G1292" s="91">
        <v>80427413320</v>
      </c>
      <c r="H1292" s="92">
        <v>27842</v>
      </c>
      <c r="I1292" s="89">
        <v>49</v>
      </c>
      <c r="J1292" s="89" t="s">
        <v>51</v>
      </c>
      <c r="K1292" s="89" t="s">
        <v>88</v>
      </c>
      <c r="L1292" s="89" t="s">
        <v>89</v>
      </c>
      <c r="M1292" s="89" t="s">
        <v>2629</v>
      </c>
      <c r="N1292" s="89" t="s">
        <v>185</v>
      </c>
      <c r="O1292" s="93" t="s">
        <v>3655</v>
      </c>
      <c r="P1292" s="94" t="s">
        <v>57</v>
      </c>
      <c r="Q1292" s="112" t="s">
        <v>2211</v>
      </c>
      <c r="R1292" s="95"/>
      <c r="S1292" s="96">
        <v>46150</v>
      </c>
      <c r="T1292" s="96" t="s">
        <v>2212</v>
      </c>
      <c r="U1292" s="96" t="s">
        <v>79</v>
      </c>
      <c r="V1292" s="92">
        <v>46128</v>
      </c>
      <c r="W1292" s="92">
        <v>46141</v>
      </c>
      <c r="X1292" s="92">
        <v>46142</v>
      </c>
      <c r="Y1292" s="97"/>
      <c r="Z1292" s="89"/>
      <c r="AA1292" s="96"/>
      <c r="AB1292" s="89"/>
      <c r="AC1292" s="111"/>
      <c r="AD1292" s="89"/>
      <c r="AE1292" s="89"/>
      <c r="AF1292" s="98"/>
      <c r="AG1292" s="98"/>
      <c r="AH1292" s="98"/>
      <c r="AI1292" s="99"/>
      <c r="AJ1292" s="99"/>
      <c r="AK1292" s="99"/>
      <c r="AL1292" s="45" t="s">
        <v>68</v>
      </c>
      <c r="AM1292" s="162" t="str">
        <f t="shared" si="160"/>
        <v>3/2026</v>
      </c>
      <c r="AN1292" s="45">
        <f t="shared" si="161"/>
        <v>4</v>
      </c>
      <c r="AO1292" s="45" t="str">
        <f t="shared" si="162"/>
        <v>1/1900</v>
      </c>
      <c r="AP1292" s="45" t="e">
        <f t="shared" si="163"/>
        <v>#NUM!</v>
      </c>
      <c r="AQ1292" s="45">
        <f t="shared" si="164"/>
        <v>0</v>
      </c>
      <c r="AR1292" s="45">
        <f t="shared" si="165"/>
        <v>0</v>
      </c>
      <c r="AS1292" s="45">
        <f t="shared" si="166"/>
        <v>0</v>
      </c>
      <c r="AT1292" s="45">
        <f t="shared" si="167"/>
        <v>0</v>
      </c>
      <c r="AU1292" s="45" t="str">
        <f>_xlfn.XLOOKUP(U1292,'Lista Suspensa'!$AA$20:$AA$23,'Lista Suspensa'!$AB$20:$AB$23,"N/A")</f>
        <v>S</v>
      </c>
    </row>
    <row r="1293" spans="1:47" ht="12" hidden="1" customHeight="1" x14ac:dyDescent="0.3">
      <c r="A1293" s="87" t="s">
        <v>47</v>
      </c>
      <c r="B1293" s="88">
        <v>46104</v>
      </c>
      <c r="C1293" s="89" t="s">
        <v>48</v>
      </c>
      <c r="D1293" s="89" t="s">
        <v>49</v>
      </c>
      <c r="E1293" s="90">
        <v>92687349</v>
      </c>
      <c r="F1293" s="184" t="s">
        <v>3656</v>
      </c>
      <c r="G1293" s="91">
        <v>12079791710</v>
      </c>
      <c r="H1293" s="92">
        <v>30697</v>
      </c>
      <c r="I1293" s="89">
        <v>42</v>
      </c>
      <c r="J1293" s="89" t="s">
        <v>51</v>
      </c>
      <c r="K1293" s="89" t="s">
        <v>88</v>
      </c>
      <c r="L1293" s="89" t="s">
        <v>89</v>
      </c>
      <c r="M1293" s="89" t="s">
        <v>1459</v>
      </c>
      <c r="N1293" s="89" t="s">
        <v>185</v>
      </c>
      <c r="O1293" s="93" t="s">
        <v>3657</v>
      </c>
      <c r="P1293" s="94" t="s">
        <v>57</v>
      </c>
      <c r="Q1293" s="112" t="s">
        <v>2211</v>
      </c>
      <c r="R1293" s="95"/>
      <c r="S1293" s="96">
        <v>46164</v>
      </c>
      <c r="T1293" s="96" t="s">
        <v>2212</v>
      </c>
      <c r="U1293" s="96" t="s">
        <v>79</v>
      </c>
      <c r="V1293" s="92">
        <v>46141</v>
      </c>
      <c r="W1293" s="92">
        <v>46154</v>
      </c>
      <c r="X1293" s="92">
        <v>46160</v>
      </c>
      <c r="Y1293" s="97"/>
      <c r="Z1293" s="89"/>
      <c r="AA1293" s="96"/>
      <c r="AB1293" s="89"/>
      <c r="AC1293" s="111"/>
      <c r="AD1293" s="89"/>
      <c r="AE1293" s="89"/>
      <c r="AF1293" s="98"/>
      <c r="AG1293" s="98"/>
      <c r="AH1293" s="98"/>
      <c r="AI1293" s="99"/>
      <c r="AJ1293" s="99"/>
      <c r="AK1293" s="99"/>
      <c r="AL1293" s="45" t="s">
        <v>68</v>
      </c>
      <c r="AM1293" s="162" t="str">
        <f t="shared" si="160"/>
        <v>3/2026</v>
      </c>
      <c r="AN1293" s="45">
        <f t="shared" si="161"/>
        <v>4</v>
      </c>
      <c r="AO1293" s="45" t="str">
        <f t="shared" si="162"/>
        <v>1/1900</v>
      </c>
      <c r="AP1293" s="45" t="e">
        <f t="shared" si="163"/>
        <v>#NUM!</v>
      </c>
      <c r="AQ1293" s="45">
        <f t="shared" si="164"/>
        <v>0</v>
      </c>
      <c r="AR1293" s="45">
        <f t="shared" si="165"/>
        <v>0</v>
      </c>
      <c r="AS1293" s="45">
        <f t="shared" si="166"/>
        <v>0</v>
      </c>
      <c r="AT1293" s="45">
        <f t="shared" si="167"/>
        <v>0</v>
      </c>
      <c r="AU1293" s="45" t="str">
        <f>_xlfn.XLOOKUP(U1293,'Lista Suspensa'!$AA$20:$AA$23,'Lista Suspensa'!$AB$20:$AB$23,"N/A")</f>
        <v>S</v>
      </c>
    </row>
    <row r="1294" spans="1:47" ht="12" hidden="1" customHeight="1" x14ac:dyDescent="0.3">
      <c r="A1294" s="87" t="s">
        <v>47</v>
      </c>
      <c r="B1294" s="88">
        <v>46104</v>
      </c>
      <c r="C1294" s="89" t="s">
        <v>48</v>
      </c>
      <c r="D1294" s="89" t="s">
        <v>49</v>
      </c>
      <c r="E1294" s="90">
        <v>94672229</v>
      </c>
      <c r="F1294" s="184" t="s">
        <v>3658</v>
      </c>
      <c r="G1294" s="91">
        <v>88417409491</v>
      </c>
      <c r="H1294" s="92">
        <v>27332</v>
      </c>
      <c r="I1294" s="89">
        <v>51</v>
      </c>
      <c r="J1294" s="89" t="s">
        <v>51</v>
      </c>
      <c r="K1294" s="89" t="s">
        <v>52</v>
      </c>
      <c r="L1294" s="89" t="s">
        <v>53</v>
      </c>
      <c r="M1294" s="89" t="s">
        <v>1528</v>
      </c>
      <c r="N1294" s="89" t="s">
        <v>185</v>
      </c>
      <c r="O1294" s="93" t="s">
        <v>3659</v>
      </c>
      <c r="P1294" s="94" t="s">
        <v>57</v>
      </c>
      <c r="Q1294" s="112" t="s">
        <v>2211</v>
      </c>
      <c r="R1294" s="95"/>
      <c r="S1294" s="96">
        <v>46164</v>
      </c>
      <c r="T1294" s="96" t="s">
        <v>2212</v>
      </c>
      <c r="U1294" s="96" t="s">
        <v>79</v>
      </c>
      <c r="V1294" s="92">
        <v>46141</v>
      </c>
      <c r="W1294" s="92">
        <v>46154</v>
      </c>
      <c r="X1294" s="92">
        <v>46160</v>
      </c>
      <c r="Y1294" s="97"/>
      <c r="Z1294" s="89"/>
      <c r="AA1294" s="96"/>
      <c r="AB1294" s="89"/>
      <c r="AC1294" s="111"/>
      <c r="AD1294" s="89"/>
      <c r="AE1294" s="89"/>
      <c r="AF1294" s="98"/>
      <c r="AG1294" s="98"/>
      <c r="AH1294" s="98"/>
      <c r="AI1294" s="99"/>
      <c r="AJ1294" s="99"/>
      <c r="AK1294" s="99"/>
      <c r="AL1294" s="45" t="s">
        <v>68</v>
      </c>
      <c r="AM1294" s="162" t="str">
        <f t="shared" si="160"/>
        <v>3/2026</v>
      </c>
      <c r="AN1294" s="45">
        <f t="shared" si="161"/>
        <v>4</v>
      </c>
      <c r="AO1294" s="45" t="str">
        <f t="shared" si="162"/>
        <v>1/1900</v>
      </c>
      <c r="AP1294" s="45" t="e">
        <f t="shared" si="163"/>
        <v>#NUM!</v>
      </c>
      <c r="AQ1294" s="45">
        <f t="shared" si="164"/>
        <v>0</v>
      </c>
      <c r="AR1294" s="45">
        <f t="shared" si="165"/>
        <v>0</v>
      </c>
      <c r="AS1294" s="45">
        <f t="shared" si="166"/>
        <v>0</v>
      </c>
      <c r="AT1294" s="45">
        <f t="shared" si="167"/>
        <v>0</v>
      </c>
      <c r="AU1294" s="45" t="str">
        <f>_xlfn.XLOOKUP(U1294,'Lista Suspensa'!$AA$20:$AA$23,'Lista Suspensa'!$AB$20:$AB$23,"N/A")</f>
        <v>S</v>
      </c>
    </row>
    <row r="1295" spans="1:47" ht="12" hidden="1" customHeight="1" x14ac:dyDescent="0.3">
      <c r="A1295" s="87" t="s">
        <v>47</v>
      </c>
      <c r="B1295" s="88">
        <v>46104</v>
      </c>
      <c r="C1295" s="89" t="s">
        <v>48</v>
      </c>
      <c r="D1295" s="89" t="s">
        <v>49</v>
      </c>
      <c r="E1295" s="90">
        <v>84806199</v>
      </c>
      <c r="F1295" s="184" t="s">
        <v>3660</v>
      </c>
      <c r="G1295" s="91">
        <v>81006144749</v>
      </c>
      <c r="H1295" s="92">
        <v>23649</v>
      </c>
      <c r="I1295" s="89">
        <v>61</v>
      </c>
      <c r="J1295" s="89" t="s">
        <v>51</v>
      </c>
      <c r="K1295" s="89" t="s">
        <v>88</v>
      </c>
      <c r="L1295" s="89" t="s">
        <v>603</v>
      </c>
      <c r="M1295" s="89" t="s">
        <v>3661</v>
      </c>
      <c r="N1295" s="89" t="s">
        <v>185</v>
      </c>
      <c r="O1295" s="93" t="s">
        <v>3662</v>
      </c>
      <c r="P1295" s="94" t="s">
        <v>57</v>
      </c>
      <c r="Q1295" s="112" t="s">
        <v>2211</v>
      </c>
      <c r="R1295" s="95"/>
      <c r="S1295" s="96">
        <v>46150</v>
      </c>
      <c r="T1295" s="96" t="s">
        <v>2212</v>
      </c>
      <c r="U1295" s="96" t="s">
        <v>79</v>
      </c>
      <c r="V1295" s="92">
        <v>46112</v>
      </c>
      <c r="W1295" s="92">
        <v>46141</v>
      </c>
      <c r="X1295" s="92">
        <v>46142</v>
      </c>
      <c r="Y1295" s="97"/>
      <c r="Z1295" s="89"/>
      <c r="AA1295" s="96"/>
      <c r="AB1295" s="89"/>
      <c r="AC1295" s="111"/>
      <c r="AD1295" s="89"/>
      <c r="AE1295" s="89"/>
      <c r="AF1295" s="98"/>
      <c r="AG1295" s="98"/>
      <c r="AH1295" s="98"/>
      <c r="AI1295" s="99"/>
      <c r="AJ1295" s="99"/>
      <c r="AK1295" s="99"/>
      <c r="AL1295" s="45" t="s">
        <v>68</v>
      </c>
      <c r="AM1295" s="162" t="str">
        <f t="shared" si="160"/>
        <v>3/2026</v>
      </c>
      <c r="AN1295" s="45">
        <f t="shared" si="161"/>
        <v>4</v>
      </c>
      <c r="AO1295" s="45" t="str">
        <f t="shared" si="162"/>
        <v>1/1900</v>
      </c>
      <c r="AP1295" s="45" t="e">
        <f t="shared" si="163"/>
        <v>#NUM!</v>
      </c>
      <c r="AQ1295" s="45">
        <f t="shared" si="164"/>
        <v>0</v>
      </c>
      <c r="AR1295" s="45">
        <f t="shared" si="165"/>
        <v>0</v>
      </c>
      <c r="AS1295" s="45">
        <f t="shared" si="166"/>
        <v>0</v>
      </c>
      <c r="AT1295" s="45">
        <f t="shared" si="167"/>
        <v>0</v>
      </c>
      <c r="AU1295" s="45" t="str">
        <f>_xlfn.XLOOKUP(U1295,'Lista Suspensa'!$AA$20:$AA$23,'Lista Suspensa'!$AB$20:$AB$23,"N/A")</f>
        <v>S</v>
      </c>
    </row>
    <row r="1296" spans="1:47" ht="12" hidden="1" customHeight="1" x14ac:dyDescent="0.3">
      <c r="A1296" s="87" t="s">
        <v>47</v>
      </c>
      <c r="B1296" s="88">
        <v>46104</v>
      </c>
      <c r="C1296" s="89" t="s">
        <v>48</v>
      </c>
      <c r="D1296" s="89" t="s">
        <v>49</v>
      </c>
      <c r="E1296" s="90">
        <v>92887733</v>
      </c>
      <c r="F1296" s="184" t="s">
        <v>3663</v>
      </c>
      <c r="G1296" s="91">
        <v>32417010852</v>
      </c>
      <c r="H1296" s="92">
        <v>31318</v>
      </c>
      <c r="I1296" s="89">
        <v>40</v>
      </c>
      <c r="J1296" s="89" t="s">
        <v>51</v>
      </c>
      <c r="K1296" s="89" t="s">
        <v>52</v>
      </c>
      <c r="L1296" s="89" t="s">
        <v>53</v>
      </c>
      <c r="M1296" s="89" t="s">
        <v>1014</v>
      </c>
      <c r="N1296" s="89" t="s">
        <v>185</v>
      </c>
      <c r="O1296" s="93" t="s">
        <v>3664</v>
      </c>
      <c r="P1296" s="94" t="s">
        <v>57</v>
      </c>
      <c r="Q1296" s="112" t="s">
        <v>2211</v>
      </c>
      <c r="R1296" s="95"/>
      <c r="S1296" s="96">
        <v>46150</v>
      </c>
      <c r="T1296" s="96" t="s">
        <v>2212</v>
      </c>
      <c r="U1296" s="96" t="s">
        <v>79</v>
      </c>
      <c r="V1296" s="92">
        <v>46128</v>
      </c>
      <c r="W1296" s="92">
        <v>46141</v>
      </c>
      <c r="X1296" s="92">
        <v>46142</v>
      </c>
      <c r="Y1296" s="97"/>
      <c r="Z1296" s="89"/>
      <c r="AA1296" s="96"/>
      <c r="AB1296" s="89"/>
      <c r="AC1296" s="111"/>
      <c r="AD1296" s="89"/>
      <c r="AE1296" s="89"/>
      <c r="AF1296" s="98"/>
      <c r="AG1296" s="98"/>
      <c r="AH1296" s="98"/>
      <c r="AI1296" s="99"/>
      <c r="AJ1296" s="99"/>
      <c r="AK1296" s="99"/>
      <c r="AL1296" s="45" t="s">
        <v>68</v>
      </c>
      <c r="AM1296" s="162" t="str">
        <f t="shared" si="160"/>
        <v>3/2026</v>
      </c>
      <c r="AN1296" s="45">
        <f t="shared" si="161"/>
        <v>4</v>
      </c>
      <c r="AO1296" s="45" t="str">
        <f t="shared" si="162"/>
        <v>1/1900</v>
      </c>
      <c r="AP1296" s="45" t="e">
        <f t="shared" si="163"/>
        <v>#NUM!</v>
      </c>
      <c r="AQ1296" s="45">
        <f t="shared" si="164"/>
        <v>0</v>
      </c>
      <c r="AR1296" s="45">
        <f t="shared" si="165"/>
        <v>0</v>
      </c>
      <c r="AS1296" s="45">
        <f t="shared" si="166"/>
        <v>0</v>
      </c>
      <c r="AT1296" s="45">
        <f t="shared" si="167"/>
        <v>0</v>
      </c>
      <c r="AU1296" s="45" t="str">
        <f>_xlfn.XLOOKUP(U1296,'Lista Suspensa'!$AA$20:$AA$23,'Lista Suspensa'!$AB$20:$AB$23,"N/A")</f>
        <v>S</v>
      </c>
    </row>
    <row r="1297" spans="1:47" ht="12" hidden="1" customHeight="1" x14ac:dyDescent="0.3">
      <c r="A1297" s="87" t="s">
        <v>47</v>
      </c>
      <c r="B1297" s="88">
        <v>46104</v>
      </c>
      <c r="C1297" s="89" t="s">
        <v>48</v>
      </c>
      <c r="D1297" s="89" t="s">
        <v>49</v>
      </c>
      <c r="E1297" s="90">
        <v>85110558</v>
      </c>
      <c r="F1297" s="184" t="s">
        <v>3665</v>
      </c>
      <c r="G1297" s="91">
        <v>36493760836</v>
      </c>
      <c r="H1297" s="92">
        <v>32230</v>
      </c>
      <c r="I1297" s="89">
        <v>37</v>
      </c>
      <c r="J1297" s="89" t="s">
        <v>70</v>
      </c>
      <c r="K1297" s="89" t="s">
        <v>52</v>
      </c>
      <c r="L1297" s="89" t="s">
        <v>331</v>
      </c>
      <c r="M1297" s="89" t="s">
        <v>1586</v>
      </c>
      <c r="N1297" s="89" t="s">
        <v>185</v>
      </c>
      <c r="O1297" s="93" t="s">
        <v>3666</v>
      </c>
      <c r="P1297" s="94" t="s">
        <v>57</v>
      </c>
      <c r="Q1297" s="112" t="s">
        <v>2211</v>
      </c>
      <c r="R1297" s="95"/>
      <c r="S1297" s="96">
        <v>46164</v>
      </c>
      <c r="T1297" s="96" t="s">
        <v>2212</v>
      </c>
      <c r="U1297" s="96" t="s">
        <v>79</v>
      </c>
      <c r="V1297" s="92">
        <v>46141</v>
      </c>
      <c r="W1297" s="92">
        <v>46154</v>
      </c>
      <c r="X1297" s="92">
        <v>46160</v>
      </c>
      <c r="Y1297" s="97"/>
      <c r="Z1297" s="89"/>
      <c r="AA1297" s="96"/>
      <c r="AB1297" s="89"/>
      <c r="AC1297" s="111"/>
      <c r="AD1297" s="89"/>
      <c r="AE1297" s="89"/>
      <c r="AF1297" s="98"/>
      <c r="AG1297" s="98"/>
      <c r="AH1297" s="98"/>
      <c r="AI1297" s="99"/>
      <c r="AJ1297" s="99"/>
      <c r="AK1297" s="99"/>
      <c r="AL1297" s="45" t="s">
        <v>68</v>
      </c>
      <c r="AM1297" s="162" t="str">
        <f t="shared" si="160"/>
        <v>3/2026</v>
      </c>
      <c r="AN1297" s="45">
        <f t="shared" si="161"/>
        <v>4</v>
      </c>
      <c r="AO1297" s="45" t="str">
        <f t="shared" si="162"/>
        <v>1/1900</v>
      </c>
      <c r="AP1297" s="45" t="e">
        <f t="shared" si="163"/>
        <v>#NUM!</v>
      </c>
      <c r="AQ1297" s="45">
        <f t="shared" si="164"/>
        <v>0</v>
      </c>
      <c r="AR1297" s="45">
        <f t="shared" si="165"/>
        <v>0</v>
      </c>
      <c r="AS1297" s="45">
        <f t="shared" si="166"/>
        <v>0</v>
      </c>
      <c r="AT1297" s="45">
        <f t="shared" si="167"/>
        <v>0</v>
      </c>
      <c r="AU1297" s="45" t="str">
        <f>_xlfn.XLOOKUP(U1297,'Lista Suspensa'!$AA$20:$AA$23,'Lista Suspensa'!$AB$20:$AB$23,"N/A")</f>
        <v>S</v>
      </c>
    </row>
    <row r="1298" spans="1:47" ht="12" hidden="1" customHeight="1" x14ac:dyDescent="0.3">
      <c r="A1298" s="87" t="s">
        <v>47</v>
      </c>
      <c r="B1298" s="88">
        <v>46104</v>
      </c>
      <c r="C1298" s="89" t="s">
        <v>48</v>
      </c>
      <c r="D1298" s="89" t="s">
        <v>49</v>
      </c>
      <c r="E1298" s="90">
        <v>87448127</v>
      </c>
      <c r="F1298" s="184" t="s">
        <v>3667</v>
      </c>
      <c r="G1298" s="91">
        <v>42219218899</v>
      </c>
      <c r="H1298" s="92">
        <v>36406</v>
      </c>
      <c r="I1298" s="89">
        <v>26</v>
      </c>
      <c r="J1298" s="89" t="s">
        <v>70</v>
      </c>
      <c r="K1298" s="89" t="s">
        <v>52</v>
      </c>
      <c r="L1298" s="89" t="s">
        <v>53</v>
      </c>
      <c r="M1298" s="89" t="s">
        <v>116</v>
      </c>
      <c r="N1298" s="89" t="s">
        <v>185</v>
      </c>
      <c r="O1298" s="93" t="s">
        <v>3668</v>
      </c>
      <c r="P1298" s="94" t="s">
        <v>57</v>
      </c>
      <c r="Q1298" s="112" t="s">
        <v>2211</v>
      </c>
      <c r="R1298" s="95"/>
      <c r="S1298" s="96">
        <v>46164</v>
      </c>
      <c r="T1298" s="96" t="s">
        <v>2212</v>
      </c>
      <c r="U1298" s="96" t="s">
        <v>79</v>
      </c>
      <c r="V1298" s="92">
        <v>46141</v>
      </c>
      <c r="W1298" s="92">
        <v>46154</v>
      </c>
      <c r="X1298" s="92">
        <v>46160</v>
      </c>
      <c r="Y1298" s="97"/>
      <c r="Z1298" s="89"/>
      <c r="AA1298" s="96"/>
      <c r="AB1298" s="89"/>
      <c r="AC1298" s="111"/>
      <c r="AD1298" s="89"/>
      <c r="AE1298" s="89"/>
      <c r="AF1298" s="98"/>
      <c r="AG1298" s="98"/>
      <c r="AH1298" s="98"/>
      <c r="AI1298" s="99"/>
      <c r="AJ1298" s="99"/>
      <c r="AK1298" s="99"/>
      <c r="AL1298" s="45" t="s">
        <v>68</v>
      </c>
      <c r="AM1298" s="162" t="str">
        <f t="shared" si="160"/>
        <v>3/2026</v>
      </c>
      <c r="AN1298" s="45">
        <f t="shared" si="161"/>
        <v>4</v>
      </c>
      <c r="AO1298" s="45" t="str">
        <f t="shared" si="162"/>
        <v>1/1900</v>
      </c>
      <c r="AP1298" s="45" t="e">
        <f t="shared" si="163"/>
        <v>#NUM!</v>
      </c>
      <c r="AQ1298" s="45">
        <f t="shared" si="164"/>
        <v>0</v>
      </c>
      <c r="AR1298" s="45">
        <f t="shared" si="165"/>
        <v>0</v>
      </c>
      <c r="AS1298" s="45">
        <f t="shared" si="166"/>
        <v>0</v>
      </c>
      <c r="AT1298" s="45">
        <f t="shared" si="167"/>
        <v>0</v>
      </c>
      <c r="AU1298" s="45" t="str">
        <f>_xlfn.XLOOKUP(U1298,'Lista Suspensa'!$AA$20:$AA$23,'Lista Suspensa'!$AB$20:$AB$23,"N/A")</f>
        <v>S</v>
      </c>
    </row>
    <row r="1299" spans="1:47" ht="12" hidden="1" customHeight="1" x14ac:dyDescent="0.3">
      <c r="A1299" s="87" t="s">
        <v>47</v>
      </c>
      <c r="B1299" s="88">
        <v>46104</v>
      </c>
      <c r="C1299" s="89" t="s">
        <v>48</v>
      </c>
      <c r="D1299" s="89" t="s">
        <v>49</v>
      </c>
      <c r="E1299" s="90">
        <v>86867859</v>
      </c>
      <c r="F1299" s="184" t="s">
        <v>3669</v>
      </c>
      <c r="G1299" s="91">
        <v>369789814</v>
      </c>
      <c r="H1299" s="92">
        <v>20885</v>
      </c>
      <c r="I1299" s="89">
        <v>69</v>
      </c>
      <c r="J1299" s="89" t="s">
        <v>51</v>
      </c>
      <c r="K1299" s="89" t="s">
        <v>52</v>
      </c>
      <c r="L1299" s="89" t="s">
        <v>53</v>
      </c>
      <c r="M1299" s="89" t="s">
        <v>1059</v>
      </c>
      <c r="N1299" s="89" t="s">
        <v>185</v>
      </c>
      <c r="O1299" s="93" t="s">
        <v>3670</v>
      </c>
      <c r="P1299" s="94" t="s">
        <v>57</v>
      </c>
      <c r="Q1299" s="112" t="s">
        <v>2211</v>
      </c>
      <c r="R1299" s="95"/>
      <c r="S1299" s="96">
        <v>46164</v>
      </c>
      <c r="T1299" s="96" t="s">
        <v>2212</v>
      </c>
      <c r="U1299" s="96" t="s">
        <v>79</v>
      </c>
      <c r="V1299" s="92">
        <v>46141</v>
      </c>
      <c r="W1299" s="92">
        <v>46154</v>
      </c>
      <c r="X1299" s="92">
        <v>46160</v>
      </c>
      <c r="Y1299" s="97"/>
      <c r="Z1299" s="89"/>
      <c r="AA1299" s="96"/>
      <c r="AB1299" s="89"/>
      <c r="AC1299" s="111"/>
      <c r="AD1299" s="89"/>
      <c r="AE1299" s="89"/>
      <c r="AF1299" s="98"/>
      <c r="AG1299" s="98"/>
      <c r="AH1299" s="98"/>
      <c r="AI1299" s="99"/>
      <c r="AJ1299" s="99"/>
      <c r="AK1299" s="99"/>
      <c r="AL1299" s="45" t="s">
        <v>68</v>
      </c>
      <c r="AM1299" s="162" t="str">
        <f t="shared" si="160"/>
        <v>3/2026</v>
      </c>
      <c r="AN1299" s="45">
        <f t="shared" si="161"/>
        <v>4</v>
      </c>
      <c r="AO1299" s="45" t="str">
        <f t="shared" si="162"/>
        <v>1/1900</v>
      </c>
      <c r="AP1299" s="45" t="e">
        <f t="shared" si="163"/>
        <v>#NUM!</v>
      </c>
      <c r="AQ1299" s="45">
        <f t="shared" si="164"/>
        <v>0</v>
      </c>
      <c r="AR1299" s="45">
        <f t="shared" si="165"/>
        <v>0</v>
      </c>
      <c r="AS1299" s="45">
        <f t="shared" si="166"/>
        <v>0</v>
      </c>
      <c r="AT1299" s="45">
        <f t="shared" si="167"/>
        <v>0</v>
      </c>
      <c r="AU1299" s="45" t="str">
        <f>_xlfn.XLOOKUP(U1299,'Lista Suspensa'!$AA$20:$AA$23,'Lista Suspensa'!$AB$20:$AB$23,"N/A")</f>
        <v>S</v>
      </c>
    </row>
    <row r="1300" spans="1:47" ht="12" hidden="1" customHeight="1" x14ac:dyDescent="0.3">
      <c r="A1300" s="87" t="s">
        <v>67</v>
      </c>
      <c r="B1300" s="88">
        <v>46147</v>
      </c>
      <c r="C1300" s="89" t="s">
        <v>211</v>
      </c>
      <c r="D1300" s="89" t="s">
        <v>2000</v>
      </c>
      <c r="E1300" s="90">
        <v>83195184</v>
      </c>
      <c r="F1300" s="184" t="s">
        <v>3671</v>
      </c>
      <c r="G1300" s="91" t="s">
        <v>3672</v>
      </c>
      <c r="H1300" s="92">
        <v>19973</v>
      </c>
      <c r="I1300" s="89">
        <v>71</v>
      </c>
      <c r="J1300" s="89" t="s">
        <v>70</v>
      </c>
      <c r="K1300" s="89" t="s">
        <v>52</v>
      </c>
      <c r="L1300" s="89" t="s">
        <v>331</v>
      </c>
      <c r="M1300" s="89"/>
      <c r="N1300" s="89">
        <v>60</v>
      </c>
      <c r="O1300" s="93">
        <v>11947234632</v>
      </c>
      <c r="P1300" s="94" t="s">
        <v>57</v>
      </c>
      <c r="Q1300" s="112" t="s">
        <v>2211</v>
      </c>
      <c r="R1300" s="95"/>
      <c r="S1300" s="96">
        <v>46164</v>
      </c>
      <c r="T1300" s="96" t="s">
        <v>2212</v>
      </c>
      <c r="U1300" s="96" t="s">
        <v>79</v>
      </c>
      <c r="V1300" s="92">
        <v>46150</v>
      </c>
      <c r="W1300" s="92">
        <v>46154</v>
      </c>
      <c r="X1300" s="92">
        <v>46160</v>
      </c>
      <c r="Y1300" s="97"/>
      <c r="Z1300" s="89"/>
      <c r="AA1300" s="96"/>
      <c r="AB1300" s="89"/>
      <c r="AC1300" s="111"/>
      <c r="AD1300" s="89"/>
      <c r="AE1300" s="89"/>
      <c r="AF1300" s="98"/>
      <c r="AG1300" s="98"/>
      <c r="AH1300" s="98"/>
      <c r="AI1300" s="99" t="s">
        <v>197</v>
      </c>
      <c r="AJ1300" s="99"/>
      <c r="AK1300" s="99"/>
      <c r="AL1300" s="45" t="s">
        <v>68</v>
      </c>
      <c r="AM1300" s="162" t="str">
        <f t="shared" si="160"/>
        <v>5/2026</v>
      </c>
      <c r="AN1300" s="45">
        <f t="shared" si="161"/>
        <v>2</v>
      </c>
      <c r="AO1300" s="45" t="str">
        <f t="shared" si="162"/>
        <v>1/1900</v>
      </c>
      <c r="AP1300" s="45" t="e">
        <f t="shared" si="163"/>
        <v>#NUM!</v>
      </c>
      <c r="AQ1300" s="45">
        <f t="shared" si="164"/>
        <v>0</v>
      </c>
      <c r="AR1300" s="45">
        <f t="shared" si="165"/>
        <v>0</v>
      </c>
      <c r="AS1300" s="45">
        <f t="shared" si="166"/>
        <v>0</v>
      </c>
      <c r="AT1300" s="45">
        <f t="shared" si="167"/>
        <v>0</v>
      </c>
      <c r="AU1300" s="45" t="str">
        <f>_xlfn.XLOOKUP(U1300,'Lista Suspensa'!$AA$20:$AA$23,'Lista Suspensa'!$AB$20:$AB$23,"N/A")</f>
        <v>S</v>
      </c>
    </row>
    <row r="1301" spans="1:47" ht="12" hidden="1" customHeight="1" x14ac:dyDescent="0.3">
      <c r="A1301" s="87" t="s">
        <v>47</v>
      </c>
      <c r="B1301" s="88">
        <v>46090</v>
      </c>
      <c r="C1301" s="89" t="s">
        <v>48</v>
      </c>
      <c r="D1301" s="89" t="s">
        <v>49</v>
      </c>
      <c r="E1301" s="90">
        <v>774938765</v>
      </c>
      <c r="F1301" s="184" t="s">
        <v>3673</v>
      </c>
      <c r="G1301" s="91">
        <v>11295140802</v>
      </c>
      <c r="H1301" s="92">
        <v>20061</v>
      </c>
      <c r="I1301" s="89">
        <v>71</v>
      </c>
      <c r="J1301" s="89" t="s">
        <v>51</v>
      </c>
      <c r="K1301" s="89" t="s">
        <v>52</v>
      </c>
      <c r="L1301" s="89" t="s">
        <v>53</v>
      </c>
      <c r="M1301" s="89" t="s">
        <v>767</v>
      </c>
      <c r="N1301" s="89" t="s">
        <v>91</v>
      </c>
      <c r="O1301" s="93" t="s">
        <v>3674</v>
      </c>
      <c r="P1301" s="94" t="s">
        <v>57</v>
      </c>
      <c r="Q1301" s="112" t="s">
        <v>2211</v>
      </c>
      <c r="R1301" s="95"/>
      <c r="S1301" s="96">
        <v>46170</v>
      </c>
      <c r="T1301" s="96" t="s">
        <v>2212</v>
      </c>
      <c r="U1301" s="96" t="s">
        <v>79</v>
      </c>
      <c r="V1301" s="92">
        <v>46112</v>
      </c>
      <c r="W1301" s="92">
        <v>46140</v>
      </c>
      <c r="X1301" s="92">
        <v>46170</v>
      </c>
      <c r="Y1301" s="97"/>
      <c r="Z1301" s="89"/>
      <c r="AA1301" s="96"/>
      <c r="AB1301" s="89"/>
      <c r="AC1301" s="111"/>
      <c r="AD1301" s="89"/>
      <c r="AE1301" s="89"/>
      <c r="AF1301" s="98"/>
      <c r="AG1301" s="98"/>
      <c r="AH1301" s="98"/>
      <c r="AI1301" s="99"/>
      <c r="AJ1301" s="99"/>
      <c r="AK1301" s="99"/>
      <c r="AL1301" s="45" t="s">
        <v>68</v>
      </c>
      <c r="AM1301" s="162" t="str">
        <f t="shared" si="160"/>
        <v>3/2026</v>
      </c>
      <c r="AN1301" s="45">
        <f t="shared" si="161"/>
        <v>2</v>
      </c>
      <c r="AO1301" s="45" t="str">
        <f t="shared" si="162"/>
        <v>1/1900</v>
      </c>
      <c r="AP1301" s="45" t="e">
        <f t="shared" si="163"/>
        <v>#NUM!</v>
      </c>
      <c r="AQ1301" s="45">
        <f t="shared" si="164"/>
        <v>0</v>
      </c>
      <c r="AR1301" s="45">
        <f t="shared" si="165"/>
        <v>0</v>
      </c>
      <c r="AS1301" s="45">
        <f t="shared" si="166"/>
        <v>0</v>
      </c>
      <c r="AT1301" s="45">
        <f t="shared" si="167"/>
        <v>0</v>
      </c>
      <c r="AU1301" s="45" t="str">
        <f>_xlfn.XLOOKUP(U1301,'Lista Suspensa'!$AA$20:$AA$23,'Lista Suspensa'!$AB$20:$AB$23,"N/A")</f>
        <v>S</v>
      </c>
    </row>
    <row r="1302" spans="1:47" ht="12" hidden="1" customHeight="1" x14ac:dyDescent="0.3">
      <c r="A1302" s="87" t="s">
        <v>47</v>
      </c>
      <c r="B1302" s="88">
        <v>46104</v>
      </c>
      <c r="C1302" s="89" t="s">
        <v>48</v>
      </c>
      <c r="D1302" s="89" t="s">
        <v>49</v>
      </c>
      <c r="E1302" s="193">
        <v>79888426</v>
      </c>
      <c r="F1302" s="184" t="s">
        <v>3675</v>
      </c>
      <c r="G1302" s="91">
        <v>91156831849</v>
      </c>
      <c r="H1302" s="92">
        <v>17555</v>
      </c>
      <c r="I1302" s="89">
        <v>78</v>
      </c>
      <c r="J1302" s="89" t="s">
        <v>51</v>
      </c>
      <c r="K1302" s="89" t="s">
        <v>52</v>
      </c>
      <c r="L1302" s="89" t="s">
        <v>53</v>
      </c>
      <c r="M1302" s="89" t="s">
        <v>1048</v>
      </c>
      <c r="N1302" s="89" t="s">
        <v>148</v>
      </c>
      <c r="O1302" s="93" t="s">
        <v>3676</v>
      </c>
      <c r="P1302" s="94" t="s">
        <v>57</v>
      </c>
      <c r="Q1302" s="112" t="s">
        <v>941</v>
      </c>
      <c r="R1302" s="95">
        <v>46163</v>
      </c>
      <c r="S1302" s="96">
        <v>46171</v>
      </c>
      <c r="T1302" s="96" t="s">
        <v>59</v>
      </c>
      <c r="U1302" s="96" t="s">
        <v>79</v>
      </c>
      <c r="V1302" s="92">
        <v>46141</v>
      </c>
      <c r="W1302" s="92">
        <v>46154</v>
      </c>
      <c r="X1302" s="92">
        <v>46160</v>
      </c>
      <c r="Y1302" s="97" t="s">
        <v>3677</v>
      </c>
      <c r="Z1302" s="89" t="s">
        <v>62</v>
      </c>
      <c r="AA1302" s="96"/>
      <c r="AB1302" s="89"/>
      <c r="AC1302" s="111"/>
      <c r="AD1302" s="89"/>
      <c r="AE1302" s="89"/>
      <c r="AF1302" s="98"/>
      <c r="AG1302" s="98"/>
      <c r="AH1302" s="98" t="s">
        <v>3678</v>
      </c>
      <c r="AI1302" s="99"/>
      <c r="AJ1302" s="99" t="s">
        <v>81</v>
      </c>
      <c r="AK1302" s="99" t="s">
        <v>67</v>
      </c>
      <c r="AL1302" s="45" t="s">
        <v>68</v>
      </c>
      <c r="AM1302" s="162" t="str">
        <f t="shared" si="160"/>
        <v>3/2026</v>
      </c>
      <c r="AN1302" s="45">
        <f t="shared" si="161"/>
        <v>4</v>
      </c>
      <c r="AO1302" s="45" t="str">
        <f t="shared" si="162"/>
        <v>5/2026</v>
      </c>
      <c r="AP1302" s="45">
        <f t="shared" si="163"/>
        <v>4</v>
      </c>
      <c r="AQ1302" s="45">
        <f t="shared" si="164"/>
        <v>0</v>
      </c>
      <c r="AR1302" s="45">
        <f t="shared" si="165"/>
        <v>8</v>
      </c>
      <c r="AS1302" s="45">
        <f t="shared" si="166"/>
        <v>0</v>
      </c>
      <c r="AT1302" s="45">
        <f t="shared" si="167"/>
        <v>0</v>
      </c>
      <c r="AU1302" s="45" t="str">
        <f>_xlfn.XLOOKUP(U1302,'Lista Suspensa'!$AA$20:$AA$23,'Lista Suspensa'!$AB$20:$AB$23,"N/A")</f>
        <v>S</v>
      </c>
    </row>
    <row r="1303" spans="1:47" ht="12" customHeight="1" x14ac:dyDescent="0.3">
      <c r="A1303" s="87" t="s">
        <v>67</v>
      </c>
      <c r="B1303" s="88">
        <v>46154</v>
      </c>
      <c r="C1303" s="89" t="s">
        <v>211</v>
      </c>
      <c r="D1303" s="89" t="s">
        <v>2000</v>
      </c>
      <c r="E1303" s="90">
        <v>82068646</v>
      </c>
      <c r="F1303" s="184" t="s">
        <v>3679</v>
      </c>
      <c r="G1303" s="91" t="s">
        <v>3680</v>
      </c>
      <c r="H1303" s="92">
        <v>25033</v>
      </c>
      <c r="I1303" s="89">
        <v>57</v>
      </c>
      <c r="J1303" s="89" t="s">
        <v>51</v>
      </c>
      <c r="K1303" s="89" t="s">
        <v>52</v>
      </c>
      <c r="L1303" s="89" t="s">
        <v>3681</v>
      </c>
      <c r="M1303" s="89"/>
      <c r="N1303" s="89">
        <v>40</v>
      </c>
      <c r="O1303" s="93">
        <v>11943247228</v>
      </c>
      <c r="P1303" s="94" t="s">
        <v>57</v>
      </c>
      <c r="Q1303" s="112" t="s">
        <v>58</v>
      </c>
      <c r="R1303" s="95">
        <v>46178</v>
      </c>
      <c r="S1303" s="96"/>
      <c r="T1303" s="96" t="s">
        <v>59</v>
      </c>
      <c r="U1303" s="96" t="s">
        <v>60</v>
      </c>
      <c r="V1303" s="92">
        <v>46160</v>
      </c>
      <c r="W1303" s="92">
        <v>46164</v>
      </c>
      <c r="X1303" s="92">
        <v>46170</v>
      </c>
      <c r="Y1303" s="97"/>
      <c r="Z1303" s="89" t="s">
        <v>62</v>
      </c>
      <c r="AA1303" s="96">
        <v>46192</v>
      </c>
      <c r="AB1303" s="89"/>
      <c r="AC1303" s="111"/>
      <c r="AD1303" s="89"/>
      <c r="AE1303" s="89"/>
      <c r="AF1303" s="98"/>
      <c r="AG1303" s="98"/>
      <c r="AH1303" s="98"/>
      <c r="AI1303" s="99" t="s">
        <v>197</v>
      </c>
      <c r="AJ1303" s="99" t="s">
        <v>67</v>
      </c>
      <c r="AK1303" s="99"/>
      <c r="AL1303" s="45" t="s">
        <v>68</v>
      </c>
      <c r="AM1303" s="162" t="str">
        <f t="shared" si="160"/>
        <v>5/2026</v>
      </c>
      <c r="AN1303" s="45">
        <f t="shared" si="161"/>
        <v>3</v>
      </c>
      <c r="AO1303" s="45" t="str">
        <f t="shared" si="162"/>
        <v>6/2026</v>
      </c>
      <c r="AP1303" s="45">
        <f t="shared" si="163"/>
        <v>1</v>
      </c>
      <c r="AQ1303" s="45">
        <f t="shared" si="164"/>
        <v>24</v>
      </c>
      <c r="AR1303" s="45">
        <f t="shared" si="165"/>
        <v>0</v>
      </c>
      <c r="AS1303" s="45">
        <f t="shared" si="166"/>
        <v>5</v>
      </c>
      <c r="AT1303" s="45">
        <f t="shared" si="167"/>
        <v>0</v>
      </c>
      <c r="AU1303" s="45" t="str">
        <f>_xlfn.XLOOKUP(U1303,'Lista Suspensa'!$AA$20:$AA$23,'Lista Suspensa'!$AB$20:$AB$23,"N/A")</f>
        <v>S</v>
      </c>
    </row>
    <row r="1304" spans="1:47" ht="12" hidden="1" customHeight="1" x14ac:dyDescent="0.3">
      <c r="A1304" s="87" t="s">
        <v>67</v>
      </c>
      <c r="B1304" s="88">
        <v>46155</v>
      </c>
      <c r="C1304" s="89" t="s">
        <v>211</v>
      </c>
      <c r="D1304" s="89" t="s">
        <v>2000</v>
      </c>
      <c r="E1304" s="90">
        <v>450000680</v>
      </c>
      <c r="F1304" s="184" t="s">
        <v>3683</v>
      </c>
      <c r="G1304" s="91" t="s">
        <v>3684</v>
      </c>
      <c r="H1304" s="92">
        <v>16565</v>
      </c>
      <c r="I1304" s="89">
        <v>81</v>
      </c>
      <c r="J1304" s="89" t="s">
        <v>3685</v>
      </c>
      <c r="K1304" s="89" t="s">
        <v>52</v>
      </c>
      <c r="L1304" s="89" t="s">
        <v>53</v>
      </c>
      <c r="M1304" s="89"/>
      <c r="N1304" s="89">
        <v>100</v>
      </c>
      <c r="O1304" s="93">
        <v>11970957324</v>
      </c>
      <c r="P1304" s="94" t="s">
        <v>57</v>
      </c>
      <c r="Q1304" s="112" t="s">
        <v>3682</v>
      </c>
      <c r="R1304" s="95"/>
      <c r="S1304" s="96"/>
      <c r="T1304" s="96" t="s">
        <v>2212</v>
      </c>
      <c r="U1304" s="96" t="s">
        <v>746</v>
      </c>
      <c r="V1304" s="92">
        <v>46160</v>
      </c>
      <c r="W1304" s="92">
        <v>46164</v>
      </c>
      <c r="X1304" s="92">
        <v>46170</v>
      </c>
      <c r="Y1304" s="97"/>
      <c r="Z1304" s="89"/>
      <c r="AA1304" s="96"/>
      <c r="AB1304" s="89"/>
      <c r="AC1304" s="111"/>
      <c r="AD1304" s="89"/>
      <c r="AE1304" s="89"/>
      <c r="AF1304" s="98"/>
      <c r="AG1304" s="98"/>
      <c r="AH1304" s="98"/>
      <c r="AI1304" s="99" t="s">
        <v>67</v>
      </c>
      <c r="AJ1304" s="99" t="s">
        <v>67</v>
      </c>
      <c r="AK1304" s="99"/>
      <c r="AL1304" s="45" t="s">
        <v>68</v>
      </c>
      <c r="AM1304" s="162" t="str">
        <f t="shared" si="160"/>
        <v>5/2026</v>
      </c>
      <c r="AN1304" s="45">
        <f t="shared" si="161"/>
        <v>3</v>
      </c>
      <c r="AO1304" s="45" t="str">
        <f t="shared" si="162"/>
        <v>1/1900</v>
      </c>
      <c r="AP1304" s="45" t="e">
        <f t="shared" si="163"/>
        <v>#NUM!</v>
      </c>
      <c r="AQ1304" s="45">
        <f t="shared" si="164"/>
        <v>0</v>
      </c>
      <c r="AR1304" s="45">
        <f t="shared" si="165"/>
        <v>0</v>
      </c>
      <c r="AS1304" s="45">
        <f t="shared" si="166"/>
        <v>0</v>
      </c>
      <c r="AT1304" s="45">
        <f t="shared" si="167"/>
        <v>0</v>
      </c>
      <c r="AU1304" s="45" t="str">
        <f>_xlfn.XLOOKUP(U1304,'Lista Suspensa'!$AA$20:$AA$23,'Lista Suspensa'!$AB$20:$AB$23,"N/A")</f>
        <v>S</v>
      </c>
    </row>
    <row r="1305" spans="1:47" ht="12" hidden="1" customHeight="1" x14ac:dyDescent="0.3">
      <c r="A1305" s="87" t="s">
        <v>67</v>
      </c>
      <c r="B1305" s="88">
        <v>46156</v>
      </c>
      <c r="C1305" s="89" t="s">
        <v>211</v>
      </c>
      <c r="D1305" s="89" t="s">
        <v>2000</v>
      </c>
      <c r="E1305" s="90">
        <v>593878353</v>
      </c>
      <c r="F1305" s="184" t="s">
        <v>3686</v>
      </c>
      <c r="G1305" s="91" t="s">
        <v>3687</v>
      </c>
      <c r="H1305" s="92">
        <v>18871</v>
      </c>
      <c r="I1305" s="89">
        <v>74</v>
      </c>
      <c r="J1305" s="89" t="s">
        <v>70</v>
      </c>
      <c r="K1305" s="89" t="s">
        <v>52</v>
      </c>
      <c r="L1305" s="89" t="s">
        <v>53</v>
      </c>
      <c r="M1305" s="89"/>
      <c r="N1305" s="89">
        <v>50</v>
      </c>
      <c r="O1305" s="93">
        <v>11945654151</v>
      </c>
      <c r="P1305" s="94" t="s">
        <v>57</v>
      </c>
      <c r="Q1305" s="112" t="s">
        <v>3682</v>
      </c>
      <c r="R1305" s="95"/>
      <c r="S1305" s="96"/>
      <c r="T1305" s="96" t="s">
        <v>2212</v>
      </c>
      <c r="U1305" s="96" t="s">
        <v>746</v>
      </c>
      <c r="V1305" s="92">
        <v>46160</v>
      </c>
      <c r="W1305" s="92">
        <v>46164</v>
      </c>
      <c r="X1305" s="92">
        <v>46170</v>
      </c>
      <c r="Y1305" s="97"/>
      <c r="Z1305" s="89"/>
      <c r="AA1305" s="96"/>
      <c r="AB1305" s="89"/>
      <c r="AC1305" s="111"/>
      <c r="AD1305" s="89"/>
      <c r="AE1305" s="89"/>
      <c r="AF1305" s="98"/>
      <c r="AG1305" s="98"/>
      <c r="AH1305" s="98"/>
      <c r="AI1305" s="99" t="s">
        <v>197</v>
      </c>
      <c r="AJ1305" s="99" t="s">
        <v>67</v>
      </c>
      <c r="AK1305" s="99"/>
      <c r="AL1305" s="45" t="s">
        <v>68</v>
      </c>
      <c r="AM1305" s="162" t="str">
        <f t="shared" si="160"/>
        <v>5/2026</v>
      </c>
      <c r="AN1305" s="45">
        <f t="shared" si="161"/>
        <v>3</v>
      </c>
      <c r="AO1305" s="45" t="str">
        <f t="shared" si="162"/>
        <v>1/1900</v>
      </c>
      <c r="AP1305" s="45" t="e">
        <f t="shared" si="163"/>
        <v>#NUM!</v>
      </c>
      <c r="AQ1305" s="45">
        <f t="shared" si="164"/>
        <v>0</v>
      </c>
      <c r="AR1305" s="45">
        <f t="shared" si="165"/>
        <v>0</v>
      </c>
      <c r="AS1305" s="45">
        <f t="shared" si="166"/>
        <v>0</v>
      </c>
      <c r="AT1305" s="45">
        <f t="shared" si="167"/>
        <v>0</v>
      </c>
      <c r="AU1305" s="45" t="str">
        <f>_xlfn.XLOOKUP(U1305,'Lista Suspensa'!$AA$20:$AA$23,'Lista Suspensa'!$AB$20:$AB$23,"N/A")</f>
        <v>S</v>
      </c>
    </row>
    <row r="1306" spans="1:47" ht="12" hidden="1" customHeight="1" x14ac:dyDescent="0.3">
      <c r="A1306" s="87" t="s">
        <v>67</v>
      </c>
      <c r="B1306" s="88">
        <v>46163</v>
      </c>
      <c r="C1306" s="89" t="s">
        <v>211</v>
      </c>
      <c r="D1306" s="89" t="s">
        <v>2000</v>
      </c>
      <c r="E1306" s="90">
        <v>95184236</v>
      </c>
      <c r="F1306" s="184" t="s">
        <v>3688</v>
      </c>
      <c r="G1306" s="91" t="s">
        <v>3689</v>
      </c>
      <c r="H1306" s="92">
        <v>18075</v>
      </c>
      <c r="I1306" s="89">
        <v>76</v>
      </c>
      <c r="J1306" s="89" t="s">
        <v>70</v>
      </c>
      <c r="K1306" s="89" t="s">
        <v>88</v>
      </c>
      <c r="L1306" s="89" t="s">
        <v>231</v>
      </c>
      <c r="M1306" s="89" t="s">
        <v>3690</v>
      </c>
      <c r="N1306" s="89">
        <v>450</v>
      </c>
      <c r="O1306" s="93" t="s">
        <v>3691</v>
      </c>
      <c r="P1306" s="94" t="s">
        <v>57</v>
      </c>
      <c r="Q1306" s="112" t="s">
        <v>3682</v>
      </c>
      <c r="R1306" s="95"/>
      <c r="S1306" s="96"/>
      <c r="T1306" s="96" t="s">
        <v>2212</v>
      </c>
      <c r="U1306" s="96" t="s">
        <v>746</v>
      </c>
      <c r="V1306" s="92">
        <v>46164</v>
      </c>
      <c r="W1306" s="92">
        <v>46170</v>
      </c>
      <c r="X1306" s="92"/>
      <c r="Y1306" s="97"/>
      <c r="Z1306" s="89"/>
      <c r="AA1306" s="96"/>
      <c r="AB1306" s="89"/>
      <c r="AC1306" s="111"/>
      <c r="AD1306" s="89"/>
      <c r="AE1306" s="89"/>
      <c r="AF1306" s="98"/>
      <c r="AG1306" s="98"/>
      <c r="AH1306" s="98"/>
      <c r="AI1306" s="99"/>
      <c r="AJ1306" s="99" t="s">
        <v>197</v>
      </c>
      <c r="AK1306" s="99" t="s">
        <v>67</v>
      </c>
      <c r="AL1306" s="45" t="s">
        <v>68</v>
      </c>
      <c r="AM1306" s="162" t="str">
        <f t="shared" si="160"/>
        <v>5/2026</v>
      </c>
      <c r="AN1306" s="45">
        <f t="shared" si="161"/>
        <v>4</v>
      </c>
      <c r="AO1306" s="45" t="str">
        <f t="shared" si="162"/>
        <v>1/1900</v>
      </c>
      <c r="AP1306" s="45" t="e">
        <f t="shared" si="163"/>
        <v>#NUM!</v>
      </c>
      <c r="AQ1306" s="45">
        <f t="shared" si="164"/>
        <v>0</v>
      </c>
      <c r="AR1306" s="45">
        <f t="shared" si="165"/>
        <v>0</v>
      </c>
      <c r="AS1306" s="45">
        <f t="shared" si="166"/>
        <v>0</v>
      </c>
      <c r="AT1306" s="45">
        <f t="shared" si="167"/>
        <v>0</v>
      </c>
      <c r="AU1306" s="45" t="str">
        <f>_xlfn.XLOOKUP(U1306,'Lista Suspensa'!$AA$20:$AA$23,'Lista Suspensa'!$AB$20:$AB$23,"N/A")</f>
        <v>S</v>
      </c>
    </row>
    <row r="1307" spans="1:47" ht="12" customHeight="1" x14ac:dyDescent="0.3">
      <c r="A1307" s="87" t="s">
        <v>67</v>
      </c>
      <c r="B1307" s="88">
        <v>46167</v>
      </c>
      <c r="C1307" s="89" t="s">
        <v>211</v>
      </c>
      <c r="D1307" s="89" t="s">
        <v>2000</v>
      </c>
      <c r="E1307" s="90">
        <v>451699319</v>
      </c>
      <c r="F1307" s="184" t="s">
        <v>3692</v>
      </c>
      <c r="G1307" s="91" t="s">
        <v>3693</v>
      </c>
      <c r="H1307" s="92">
        <v>18988</v>
      </c>
      <c r="I1307" s="89">
        <v>74</v>
      </c>
      <c r="J1307" s="89" t="s">
        <v>51</v>
      </c>
      <c r="K1307" s="89" t="s">
        <v>52</v>
      </c>
      <c r="L1307" s="89" t="s">
        <v>53</v>
      </c>
      <c r="M1307" s="89" t="s">
        <v>3694</v>
      </c>
      <c r="N1307" s="89">
        <v>400</v>
      </c>
      <c r="O1307" s="93">
        <v>11988922402</v>
      </c>
      <c r="P1307" s="94" t="s">
        <v>57</v>
      </c>
      <c r="Q1307" s="112" t="s">
        <v>58</v>
      </c>
      <c r="R1307" s="95">
        <v>46178</v>
      </c>
      <c r="S1307" s="96"/>
      <c r="T1307" s="96" t="s">
        <v>59</v>
      </c>
      <c r="U1307" s="96" t="s">
        <v>60</v>
      </c>
      <c r="V1307" s="92">
        <v>46174</v>
      </c>
      <c r="W1307" s="92">
        <v>46181</v>
      </c>
      <c r="X1307" s="92"/>
      <c r="Y1307" s="97"/>
      <c r="Z1307" s="89" t="s">
        <v>62</v>
      </c>
      <c r="AA1307" s="96">
        <v>46190</v>
      </c>
      <c r="AB1307" s="89"/>
      <c r="AC1307" s="111"/>
      <c r="AD1307" s="89"/>
      <c r="AE1307" s="89"/>
      <c r="AF1307" s="98"/>
      <c r="AG1307" s="98"/>
      <c r="AH1307" s="98"/>
      <c r="AI1307" s="99"/>
      <c r="AJ1307" s="99" t="s">
        <v>197</v>
      </c>
      <c r="AK1307" s="99" t="s">
        <v>67</v>
      </c>
      <c r="AL1307" s="45" t="s">
        <v>68</v>
      </c>
      <c r="AM1307" s="162" t="str">
        <f t="shared" si="160"/>
        <v>5/2026</v>
      </c>
      <c r="AN1307" s="45">
        <f t="shared" si="161"/>
        <v>5</v>
      </c>
      <c r="AO1307" s="45" t="str">
        <f t="shared" si="162"/>
        <v>6/2026</v>
      </c>
      <c r="AP1307" s="45">
        <f t="shared" si="163"/>
        <v>1</v>
      </c>
      <c r="AQ1307" s="45">
        <f t="shared" si="164"/>
        <v>11</v>
      </c>
      <c r="AR1307" s="45">
        <f t="shared" si="165"/>
        <v>0</v>
      </c>
      <c r="AS1307" s="45">
        <f t="shared" si="166"/>
        <v>7</v>
      </c>
      <c r="AT1307" s="45">
        <f t="shared" si="167"/>
        <v>0</v>
      </c>
      <c r="AU1307" s="45" t="str">
        <f>_xlfn.XLOOKUP(U1307,'Lista Suspensa'!$AA$20:$AA$23,'Lista Suspensa'!$AB$20:$AB$23,"N/A")</f>
        <v>S</v>
      </c>
    </row>
    <row r="1308" spans="1:47" ht="12" customHeight="1" x14ac:dyDescent="0.3">
      <c r="A1308" s="87" t="s">
        <v>67</v>
      </c>
      <c r="B1308" s="88">
        <v>46168</v>
      </c>
      <c r="C1308" s="89" t="s">
        <v>211</v>
      </c>
      <c r="D1308" s="89" t="s">
        <v>2000</v>
      </c>
      <c r="E1308" s="90">
        <v>96999706</v>
      </c>
      <c r="F1308" s="184" t="s">
        <v>3695</v>
      </c>
      <c r="G1308" s="91" t="s">
        <v>3696</v>
      </c>
      <c r="H1308" s="92">
        <v>26613</v>
      </c>
      <c r="I1308" s="89">
        <v>53</v>
      </c>
      <c r="J1308" s="89" t="s">
        <v>70</v>
      </c>
      <c r="K1308" s="89" t="s">
        <v>88</v>
      </c>
      <c r="L1308" s="89" t="s">
        <v>2850</v>
      </c>
      <c r="M1308" s="89" t="s">
        <v>3697</v>
      </c>
      <c r="N1308" s="89">
        <v>380</v>
      </c>
      <c r="O1308" s="93">
        <v>21970054035</v>
      </c>
      <c r="P1308" s="94" t="s">
        <v>57</v>
      </c>
      <c r="Q1308" s="112" t="s">
        <v>58</v>
      </c>
      <c r="R1308" s="95">
        <v>46178</v>
      </c>
      <c r="S1308" s="96"/>
      <c r="T1308" s="96" t="s">
        <v>59</v>
      </c>
      <c r="U1308" s="96" t="s">
        <v>60</v>
      </c>
      <c r="V1308" s="92">
        <v>46174</v>
      </c>
      <c r="W1308" s="92">
        <v>46181</v>
      </c>
      <c r="X1308" s="92"/>
      <c r="Y1308" s="97"/>
      <c r="Z1308" s="89" t="s">
        <v>62</v>
      </c>
      <c r="AA1308" s="96">
        <v>46190</v>
      </c>
      <c r="AB1308" s="89"/>
      <c r="AC1308" s="111"/>
      <c r="AD1308" s="89"/>
      <c r="AE1308" s="89"/>
      <c r="AF1308" s="98"/>
      <c r="AG1308" s="98"/>
      <c r="AH1308" s="98"/>
      <c r="AI1308" s="99"/>
      <c r="AJ1308" s="99" t="s">
        <v>197</v>
      </c>
      <c r="AK1308" s="99" t="s">
        <v>67</v>
      </c>
      <c r="AL1308" s="45" t="s">
        <v>68</v>
      </c>
      <c r="AM1308" s="162" t="str">
        <f t="shared" si="160"/>
        <v>5/2026</v>
      </c>
      <c r="AN1308" s="45">
        <f t="shared" si="161"/>
        <v>5</v>
      </c>
      <c r="AO1308" s="45" t="str">
        <f t="shared" si="162"/>
        <v>6/2026</v>
      </c>
      <c r="AP1308" s="45">
        <f t="shared" si="163"/>
        <v>1</v>
      </c>
      <c r="AQ1308" s="45">
        <f t="shared" si="164"/>
        <v>10</v>
      </c>
      <c r="AR1308" s="45">
        <f t="shared" si="165"/>
        <v>0</v>
      </c>
      <c r="AS1308" s="45">
        <f t="shared" si="166"/>
        <v>7</v>
      </c>
      <c r="AT1308" s="45">
        <f t="shared" si="167"/>
        <v>0</v>
      </c>
      <c r="AU1308" s="45" t="str">
        <f>_xlfn.XLOOKUP(U1308,'Lista Suspensa'!$AA$20:$AA$23,'Lista Suspensa'!$AB$20:$AB$23,"N/A")</f>
        <v>S</v>
      </c>
    </row>
    <row r="1309" spans="1:47" ht="12" customHeight="1" x14ac:dyDescent="0.3">
      <c r="A1309" s="87" t="s">
        <v>67</v>
      </c>
      <c r="B1309" s="88">
        <v>46169</v>
      </c>
      <c r="C1309" s="89" t="s">
        <v>211</v>
      </c>
      <c r="D1309" s="89" t="s">
        <v>49</v>
      </c>
      <c r="E1309" s="90">
        <v>226483100</v>
      </c>
      <c r="F1309" s="184" t="s">
        <v>3698</v>
      </c>
      <c r="G1309" s="91">
        <v>48753211715</v>
      </c>
      <c r="H1309" s="92">
        <v>18411</v>
      </c>
      <c r="I1309" s="89">
        <v>75</v>
      </c>
      <c r="J1309" s="89" t="s">
        <v>51</v>
      </c>
      <c r="K1309" s="89" t="s">
        <v>52</v>
      </c>
      <c r="L1309" s="89" t="s">
        <v>53</v>
      </c>
      <c r="M1309" s="89" t="s">
        <v>133</v>
      </c>
      <c r="N1309" s="89">
        <v>400</v>
      </c>
      <c r="O1309" s="93" t="s">
        <v>3699</v>
      </c>
      <c r="P1309" s="94" t="s">
        <v>57</v>
      </c>
      <c r="Q1309" s="112" t="s">
        <v>58</v>
      </c>
      <c r="R1309" s="95">
        <v>46178</v>
      </c>
      <c r="S1309" s="96"/>
      <c r="T1309" s="96" t="s">
        <v>59</v>
      </c>
      <c r="U1309" s="96" t="s">
        <v>60</v>
      </c>
      <c r="V1309" s="92">
        <v>46174</v>
      </c>
      <c r="W1309" s="92">
        <v>46181</v>
      </c>
      <c r="X1309" s="92"/>
      <c r="Y1309" s="97"/>
      <c r="Z1309" s="89" t="s">
        <v>62</v>
      </c>
      <c r="AA1309" s="96">
        <v>46188</v>
      </c>
      <c r="AB1309" s="89" t="s">
        <v>63</v>
      </c>
      <c r="AC1309" s="111"/>
      <c r="AD1309" s="89"/>
      <c r="AE1309" s="89"/>
      <c r="AF1309" s="98"/>
      <c r="AG1309" s="98"/>
      <c r="AH1309" s="98"/>
      <c r="AI1309" s="99"/>
      <c r="AJ1309" s="99" t="s">
        <v>197</v>
      </c>
      <c r="AK1309" s="99" t="s">
        <v>67</v>
      </c>
      <c r="AL1309" s="45" t="s">
        <v>68</v>
      </c>
      <c r="AM1309" s="162" t="str">
        <f t="shared" si="160"/>
        <v>5/2026</v>
      </c>
      <c r="AN1309" s="45">
        <f t="shared" si="161"/>
        <v>5</v>
      </c>
      <c r="AO1309" s="45" t="str">
        <f t="shared" si="162"/>
        <v>6/2026</v>
      </c>
      <c r="AP1309" s="45">
        <f t="shared" si="163"/>
        <v>1</v>
      </c>
      <c r="AQ1309" s="45">
        <f t="shared" si="164"/>
        <v>9</v>
      </c>
      <c r="AR1309" s="45">
        <f t="shared" si="165"/>
        <v>0</v>
      </c>
      <c r="AS1309" s="45">
        <f t="shared" si="166"/>
        <v>7</v>
      </c>
      <c r="AT1309" s="45">
        <f t="shared" si="167"/>
        <v>10</v>
      </c>
      <c r="AU1309" s="45" t="str">
        <f>_xlfn.XLOOKUP(U1309,'Lista Suspensa'!$AA$20:$AA$23,'Lista Suspensa'!$AB$20:$AB$23,"N/A")</f>
        <v>S</v>
      </c>
    </row>
    <row r="1310" spans="1:47" ht="12" customHeight="1" x14ac:dyDescent="0.3">
      <c r="A1310" s="87" t="s">
        <v>67</v>
      </c>
      <c r="B1310" s="88">
        <v>46169</v>
      </c>
      <c r="C1310" s="89" t="s">
        <v>211</v>
      </c>
      <c r="D1310" s="89" t="s">
        <v>49</v>
      </c>
      <c r="E1310" s="90">
        <v>78127256</v>
      </c>
      <c r="F1310" s="184" t="s">
        <v>3700</v>
      </c>
      <c r="G1310" s="91">
        <v>62086251815</v>
      </c>
      <c r="H1310" s="92">
        <v>19185</v>
      </c>
      <c r="I1310" s="89">
        <v>73</v>
      </c>
      <c r="J1310" s="89" t="s">
        <v>51</v>
      </c>
      <c r="K1310" s="89" t="s">
        <v>52</v>
      </c>
      <c r="L1310" s="89" t="s">
        <v>53</v>
      </c>
      <c r="M1310" s="89" t="s">
        <v>2036</v>
      </c>
      <c r="N1310" s="89">
        <v>60</v>
      </c>
      <c r="O1310" s="93" t="s">
        <v>3701</v>
      </c>
      <c r="P1310" s="94" t="s">
        <v>57</v>
      </c>
      <c r="Q1310" s="112" t="s">
        <v>58</v>
      </c>
      <c r="R1310" s="95">
        <v>46178</v>
      </c>
      <c r="S1310" s="96"/>
      <c r="T1310" s="96" t="s">
        <v>59</v>
      </c>
      <c r="U1310" s="96" t="s">
        <v>60</v>
      </c>
      <c r="V1310" s="92">
        <v>46174</v>
      </c>
      <c r="W1310" s="92">
        <v>46181</v>
      </c>
      <c r="X1310" s="92"/>
      <c r="Y1310" s="97"/>
      <c r="Z1310" s="89" t="s">
        <v>62</v>
      </c>
      <c r="AA1310" s="96">
        <v>46188</v>
      </c>
      <c r="AB1310" s="89" t="s">
        <v>63</v>
      </c>
      <c r="AC1310" s="111"/>
      <c r="AD1310" s="89"/>
      <c r="AE1310" s="89"/>
      <c r="AF1310" s="98"/>
      <c r="AG1310" s="98"/>
      <c r="AH1310" s="98"/>
      <c r="AI1310" s="99"/>
      <c r="AJ1310" s="99" t="s">
        <v>197</v>
      </c>
      <c r="AK1310" s="99" t="s">
        <v>67</v>
      </c>
      <c r="AL1310" s="45" t="s">
        <v>68</v>
      </c>
      <c r="AM1310" s="162" t="str">
        <f t="shared" si="160"/>
        <v>5/2026</v>
      </c>
      <c r="AN1310" s="45">
        <f t="shared" si="161"/>
        <v>5</v>
      </c>
      <c r="AO1310" s="45" t="str">
        <f t="shared" si="162"/>
        <v>6/2026</v>
      </c>
      <c r="AP1310" s="45">
        <f t="shared" si="163"/>
        <v>1</v>
      </c>
      <c r="AQ1310" s="45">
        <f t="shared" si="164"/>
        <v>9</v>
      </c>
      <c r="AR1310" s="45">
        <f t="shared" si="165"/>
        <v>0</v>
      </c>
      <c r="AS1310" s="45">
        <f t="shared" si="166"/>
        <v>7</v>
      </c>
      <c r="AT1310" s="45">
        <f t="shared" si="167"/>
        <v>10</v>
      </c>
      <c r="AU1310" s="45" t="str">
        <f>_xlfn.XLOOKUP(U1310,'Lista Suspensa'!$AA$20:$AA$23,'Lista Suspensa'!$AB$20:$AB$23,"N/A")</f>
        <v>S</v>
      </c>
    </row>
    <row r="1311" spans="1:47" ht="12" hidden="1" customHeight="1" x14ac:dyDescent="0.3">
      <c r="A1311" s="87" t="s">
        <v>67</v>
      </c>
      <c r="B1311" s="88">
        <v>46169</v>
      </c>
      <c r="C1311" s="89" t="s">
        <v>211</v>
      </c>
      <c r="D1311" s="89" t="s">
        <v>2000</v>
      </c>
      <c r="E1311" s="90">
        <v>94244605</v>
      </c>
      <c r="F1311" s="184" t="s">
        <v>3702</v>
      </c>
      <c r="G1311" s="91" t="s">
        <v>3703</v>
      </c>
      <c r="H1311" s="92">
        <v>24236</v>
      </c>
      <c r="I1311" s="89">
        <v>60</v>
      </c>
      <c r="J1311" s="89" t="s">
        <v>51</v>
      </c>
      <c r="K1311" s="89" t="s">
        <v>52</v>
      </c>
      <c r="L1311" s="89" t="s">
        <v>53</v>
      </c>
      <c r="M1311" s="89" t="s">
        <v>3704</v>
      </c>
      <c r="N1311" s="89">
        <v>60</v>
      </c>
      <c r="O1311" s="93">
        <v>11971772895</v>
      </c>
      <c r="P1311" s="94" t="s">
        <v>57</v>
      </c>
      <c r="Q1311" s="112" t="s">
        <v>3682</v>
      </c>
      <c r="R1311" s="95"/>
      <c r="S1311" s="96"/>
      <c r="T1311" s="96" t="s">
        <v>2212</v>
      </c>
      <c r="U1311" s="96" t="s">
        <v>746</v>
      </c>
      <c r="V1311" s="92">
        <v>46174</v>
      </c>
      <c r="W1311" s="92">
        <v>46181</v>
      </c>
      <c r="X1311" s="92"/>
      <c r="Y1311" s="97"/>
      <c r="Z1311" s="89"/>
      <c r="AA1311" s="96"/>
      <c r="AB1311" s="89"/>
      <c r="AC1311" s="111"/>
      <c r="AD1311" s="89"/>
      <c r="AE1311" s="89"/>
      <c r="AF1311" s="98"/>
      <c r="AG1311" s="98"/>
      <c r="AH1311" s="98"/>
      <c r="AI1311" s="99"/>
      <c r="AJ1311" s="99" t="s">
        <v>197</v>
      </c>
      <c r="AK1311" s="99" t="s">
        <v>67</v>
      </c>
      <c r="AL1311" s="45" t="s">
        <v>68</v>
      </c>
      <c r="AM1311" s="162" t="str">
        <f t="shared" si="160"/>
        <v>5/2026</v>
      </c>
      <c r="AN1311" s="45">
        <f t="shared" si="161"/>
        <v>5</v>
      </c>
      <c r="AO1311" s="45" t="str">
        <f t="shared" si="162"/>
        <v>1/1900</v>
      </c>
      <c r="AP1311" s="45" t="e">
        <f t="shared" si="163"/>
        <v>#NUM!</v>
      </c>
      <c r="AQ1311" s="45">
        <f t="shared" si="164"/>
        <v>0</v>
      </c>
      <c r="AR1311" s="45">
        <f t="shared" si="165"/>
        <v>0</v>
      </c>
      <c r="AS1311" s="45">
        <f t="shared" si="166"/>
        <v>0</v>
      </c>
      <c r="AT1311" s="45">
        <f t="shared" si="167"/>
        <v>0</v>
      </c>
      <c r="AU1311" s="45" t="str">
        <f>_xlfn.XLOOKUP(U1311,'Lista Suspensa'!$AA$20:$AA$23,'Lista Suspensa'!$AB$20:$AB$23,"N/A")</f>
        <v>S</v>
      </c>
    </row>
    <row r="1312" spans="1:47" ht="12" customHeight="1" x14ac:dyDescent="0.3">
      <c r="A1312" s="87" t="s">
        <v>67</v>
      </c>
      <c r="B1312" s="88">
        <v>46169</v>
      </c>
      <c r="C1312" s="89" t="s">
        <v>211</v>
      </c>
      <c r="D1312" s="89" t="s">
        <v>2000</v>
      </c>
      <c r="E1312" s="90">
        <v>483256480</v>
      </c>
      <c r="F1312" s="184" t="s">
        <v>3705</v>
      </c>
      <c r="G1312" s="91" t="s">
        <v>3706</v>
      </c>
      <c r="H1312" s="92">
        <v>13008</v>
      </c>
      <c r="I1312" s="89">
        <v>90</v>
      </c>
      <c r="J1312" s="89" t="s">
        <v>51</v>
      </c>
      <c r="K1312" s="89" t="s">
        <v>88</v>
      </c>
      <c r="L1312" s="89" t="s">
        <v>97</v>
      </c>
      <c r="M1312" s="89" t="s">
        <v>3707</v>
      </c>
      <c r="N1312" s="89">
        <v>200</v>
      </c>
      <c r="O1312" s="93" t="s">
        <v>3708</v>
      </c>
      <c r="P1312" s="94" t="s">
        <v>57</v>
      </c>
      <c r="Q1312" s="112" t="s">
        <v>58</v>
      </c>
      <c r="R1312" s="95">
        <v>46178</v>
      </c>
      <c r="S1312" s="96"/>
      <c r="T1312" s="96" t="s">
        <v>59</v>
      </c>
      <c r="U1312" s="96" t="s">
        <v>60</v>
      </c>
      <c r="V1312" s="92">
        <v>46174</v>
      </c>
      <c r="W1312" s="92">
        <v>46181</v>
      </c>
      <c r="X1312" s="92"/>
      <c r="Y1312" s="97"/>
      <c r="Z1312" s="89"/>
      <c r="AA1312" s="96"/>
      <c r="AB1312" s="89"/>
      <c r="AC1312" s="111"/>
      <c r="AD1312" s="89"/>
      <c r="AE1312" s="89"/>
      <c r="AF1312" s="98"/>
      <c r="AG1312" s="98"/>
      <c r="AH1312" s="98"/>
      <c r="AI1312" s="99"/>
      <c r="AJ1312" s="99" t="s">
        <v>197</v>
      </c>
      <c r="AK1312" s="99" t="s">
        <v>67</v>
      </c>
      <c r="AL1312" s="45" t="s">
        <v>68</v>
      </c>
      <c r="AM1312" s="162" t="str">
        <f t="shared" si="160"/>
        <v>5/2026</v>
      </c>
      <c r="AN1312" s="45">
        <f t="shared" si="161"/>
        <v>5</v>
      </c>
      <c r="AO1312" s="45" t="str">
        <f t="shared" si="162"/>
        <v>6/2026</v>
      </c>
      <c r="AP1312" s="45">
        <f t="shared" si="163"/>
        <v>1</v>
      </c>
      <c r="AQ1312" s="45">
        <f t="shared" si="164"/>
        <v>9</v>
      </c>
      <c r="AR1312" s="45">
        <f t="shared" si="165"/>
        <v>0</v>
      </c>
      <c r="AS1312" s="45">
        <f t="shared" si="166"/>
        <v>7</v>
      </c>
      <c r="AT1312" s="45">
        <f t="shared" si="167"/>
        <v>0</v>
      </c>
      <c r="AU1312" s="45" t="str">
        <f>_xlfn.XLOOKUP(U1312,'Lista Suspensa'!$AA$20:$AA$23,'Lista Suspensa'!$AB$20:$AB$23,"N/A")</f>
        <v>S</v>
      </c>
    </row>
    <row r="1313" spans="1:47" ht="12" hidden="1" customHeight="1" x14ac:dyDescent="0.3">
      <c r="A1313" s="87" t="s">
        <v>67</v>
      </c>
      <c r="B1313" s="88">
        <v>46170</v>
      </c>
      <c r="C1313" s="89" t="s">
        <v>211</v>
      </c>
      <c r="D1313" s="89" t="s">
        <v>49</v>
      </c>
      <c r="E1313" s="90">
        <v>451821270</v>
      </c>
      <c r="F1313" s="184" t="s">
        <v>3709</v>
      </c>
      <c r="G1313" s="91">
        <v>13014304808</v>
      </c>
      <c r="H1313" s="92">
        <v>20220</v>
      </c>
      <c r="I1313" s="89">
        <v>71</v>
      </c>
      <c r="J1313" s="89" t="s">
        <v>70</v>
      </c>
      <c r="K1313" s="89" t="s">
        <v>52</v>
      </c>
      <c r="L1313" s="89" t="s">
        <v>53</v>
      </c>
      <c r="M1313" s="89" t="s">
        <v>2551</v>
      </c>
      <c r="N1313" s="89">
        <v>100</v>
      </c>
      <c r="O1313" s="93">
        <v>11997950323</v>
      </c>
      <c r="P1313" s="94" t="s">
        <v>57</v>
      </c>
      <c r="Q1313" s="112" t="s">
        <v>3682</v>
      </c>
      <c r="R1313" s="95"/>
      <c r="S1313" s="96"/>
      <c r="T1313" s="96" t="s">
        <v>2212</v>
      </c>
      <c r="U1313" s="96" t="s">
        <v>746</v>
      </c>
      <c r="V1313" s="92">
        <v>46174</v>
      </c>
      <c r="W1313" s="92">
        <v>46181</v>
      </c>
      <c r="X1313" s="92"/>
      <c r="Y1313" s="97"/>
      <c r="Z1313" s="89"/>
      <c r="AA1313" s="96"/>
      <c r="AB1313" s="89"/>
      <c r="AC1313" s="111"/>
      <c r="AD1313" s="89"/>
      <c r="AE1313" s="89"/>
      <c r="AF1313" s="98"/>
      <c r="AG1313" s="98"/>
      <c r="AH1313" s="98"/>
      <c r="AI1313" s="99"/>
      <c r="AJ1313" s="99" t="s">
        <v>197</v>
      </c>
      <c r="AK1313" s="99" t="s">
        <v>67</v>
      </c>
      <c r="AL1313" s="45" t="s">
        <v>68</v>
      </c>
      <c r="AM1313" s="162" t="str">
        <f t="shared" si="160"/>
        <v>5/2026</v>
      </c>
      <c r="AN1313" s="45">
        <f t="shared" si="161"/>
        <v>5</v>
      </c>
      <c r="AO1313" s="45" t="str">
        <f t="shared" si="162"/>
        <v>1/1900</v>
      </c>
      <c r="AP1313" s="45" t="e">
        <f t="shared" si="163"/>
        <v>#NUM!</v>
      </c>
      <c r="AQ1313" s="45">
        <f t="shared" si="164"/>
        <v>0</v>
      </c>
      <c r="AR1313" s="45">
        <f t="shared" si="165"/>
        <v>0</v>
      </c>
      <c r="AS1313" s="45">
        <f t="shared" si="166"/>
        <v>0</v>
      </c>
      <c r="AT1313" s="45">
        <f t="shared" si="167"/>
        <v>0</v>
      </c>
      <c r="AU1313" s="45" t="str">
        <f>_xlfn.XLOOKUP(U1313,'Lista Suspensa'!$AA$20:$AA$23,'Lista Suspensa'!$AB$20:$AB$23,"N/A")</f>
        <v>S</v>
      </c>
    </row>
    <row r="1314" spans="1:47" ht="12" customHeight="1" x14ac:dyDescent="0.3">
      <c r="A1314" s="87" t="s">
        <v>67</v>
      </c>
      <c r="B1314" s="88">
        <v>46170</v>
      </c>
      <c r="C1314" s="89" t="s">
        <v>211</v>
      </c>
      <c r="D1314" s="89" t="s">
        <v>2000</v>
      </c>
      <c r="E1314" s="90">
        <v>77656706</v>
      </c>
      <c r="F1314" s="184" t="s">
        <v>3710</v>
      </c>
      <c r="G1314" s="91">
        <v>952574637</v>
      </c>
      <c r="H1314" s="92">
        <v>25143</v>
      </c>
      <c r="I1314" s="89">
        <v>57</v>
      </c>
      <c r="J1314" s="89" t="s">
        <v>51</v>
      </c>
      <c r="K1314" s="89" t="s">
        <v>52</v>
      </c>
      <c r="L1314" s="89" t="s">
        <v>3711</v>
      </c>
      <c r="M1314" s="89" t="s">
        <v>3712</v>
      </c>
      <c r="N1314" s="89">
        <v>50</v>
      </c>
      <c r="O1314" s="93">
        <v>11952574637</v>
      </c>
      <c r="P1314" s="94" t="s">
        <v>57</v>
      </c>
      <c r="Q1314" s="112" t="s">
        <v>58</v>
      </c>
      <c r="R1314" s="95">
        <v>46178</v>
      </c>
      <c r="S1314" s="96"/>
      <c r="T1314" s="96" t="s">
        <v>59</v>
      </c>
      <c r="U1314" s="96" t="s">
        <v>60</v>
      </c>
      <c r="V1314" s="92">
        <v>46174</v>
      </c>
      <c r="W1314" s="92">
        <v>46181</v>
      </c>
      <c r="X1314" s="92"/>
      <c r="Y1314" s="97"/>
      <c r="Z1314" s="89" t="s">
        <v>62</v>
      </c>
      <c r="AA1314" s="96">
        <v>46188</v>
      </c>
      <c r="AB1314" s="89"/>
      <c r="AC1314" s="111"/>
      <c r="AD1314" s="89"/>
      <c r="AE1314" s="89"/>
      <c r="AF1314" s="98"/>
      <c r="AG1314" s="98"/>
      <c r="AH1314" s="98"/>
      <c r="AI1314" s="99"/>
      <c r="AJ1314" s="99" t="s">
        <v>197</v>
      </c>
      <c r="AK1314" s="99" t="s">
        <v>67</v>
      </c>
      <c r="AL1314" s="45" t="s">
        <v>68</v>
      </c>
      <c r="AM1314" s="162" t="str">
        <f t="shared" si="160"/>
        <v>5/2026</v>
      </c>
      <c r="AN1314" s="45">
        <f t="shared" si="161"/>
        <v>5</v>
      </c>
      <c r="AO1314" s="45" t="str">
        <f t="shared" si="162"/>
        <v>6/2026</v>
      </c>
      <c r="AP1314" s="45">
        <f t="shared" si="163"/>
        <v>1</v>
      </c>
      <c r="AQ1314" s="45">
        <f t="shared" si="164"/>
        <v>8</v>
      </c>
      <c r="AR1314" s="45">
        <f t="shared" si="165"/>
        <v>0</v>
      </c>
      <c r="AS1314" s="45">
        <f t="shared" si="166"/>
        <v>7</v>
      </c>
      <c r="AT1314" s="45">
        <f t="shared" si="167"/>
        <v>0</v>
      </c>
      <c r="AU1314" s="45" t="str">
        <f>_xlfn.XLOOKUP(U1314,'Lista Suspensa'!$AA$20:$AA$23,'Lista Suspensa'!$AB$20:$AB$23,"N/A")</f>
        <v>S</v>
      </c>
    </row>
    <row r="1315" spans="1:47" ht="12" customHeight="1" x14ac:dyDescent="0.3">
      <c r="A1315" s="87" t="s">
        <v>67</v>
      </c>
      <c r="B1315" s="88">
        <v>46170</v>
      </c>
      <c r="C1315" s="89" t="s">
        <v>211</v>
      </c>
      <c r="D1315" s="89" t="s">
        <v>2000</v>
      </c>
      <c r="E1315" s="90">
        <v>84879977</v>
      </c>
      <c r="F1315" s="184" t="s">
        <v>3713</v>
      </c>
      <c r="G1315" s="91" t="s">
        <v>3714</v>
      </c>
      <c r="H1315" s="92">
        <v>27679</v>
      </c>
      <c r="I1315" s="89">
        <v>50</v>
      </c>
      <c r="J1315" s="89" t="s">
        <v>51</v>
      </c>
      <c r="K1315" s="89" t="s">
        <v>88</v>
      </c>
      <c r="L1315" s="89" t="s">
        <v>89</v>
      </c>
      <c r="M1315" s="89" t="s">
        <v>240</v>
      </c>
      <c r="N1315" s="89">
        <v>380</v>
      </c>
      <c r="O1315" s="93">
        <v>21967364319</v>
      </c>
      <c r="P1315" s="94" t="s">
        <v>57</v>
      </c>
      <c r="Q1315" s="112" t="s">
        <v>58</v>
      </c>
      <c r="R1315" s="95">
        <v>46178</v>
      </c>
      <c r="S1315" s="96"/>
      <c r="T1315" s="96" t="s">
        <v>59</v>
      </c>
      <c r="U1315" s="96" t="s">
        <v>60</v>
      </c>
      <c r="V1315" s="92">
        <v>46174</v>
      </c>
      <c r="W1315" s="92">
        <v>46181</v>
      </c>
      <c r="X1315" s="92"/>
      <c r="Y1315" s="97"/>
      <c r="Z1315" s="89" t="s">
        <v>62</v>
      </c>
      <c r="AA1315" s="96">
        <v>46190</v>
      </c>
      <c r="AB1315" s="89"/>
      <c r="AC1315" s="111"/>
      <c r="AD1315" s="89"/>
      <c r="AE1315" s="89"/>
      <c r="AF1315" s="98"/>
      <c r="AG1315" s="98"/>
      <c r="AH1315" s="98"/>
      <c r="AI1315" s="99"/>
      <c r="AJ1315" s="99" t="s">
        <v>197</v>
      </c>
      <c r="AK1315" s="99" t="s">
        <v>67</v>
      </c>
      <c r="AL1315" s="45" t="s">
        <v>68</v>
      </c>
      <c r="AM1315" s="162" t="str">
        <f t="shared" si="160"/>
        <v>5/2026</v>
      </c>
      <c r="AN1315" s="45">
        <f t="shared" si="161"/>
        <v>5</v>
      </c>
      <c r="AO1315" s="45" t="str">
        <f t="shared" si="162"/>
        <v>6/2026</v>
      </c>
      <c r="AP1315" s="45">
        <f t="shared" si="163"/>
        <v>1</v>
      </c>
      <c r="AQ1315" s="45">
        <f t="shared" si="164"/>
        <v>8</v>
      </c>
      <c r="AR1315" s="45">
        <f t="shared" si="165"/>
        <v>0</v>
      </c>
      <c r="AS1315" s="45">
        <f t="shared" si="166"/>
        <v>7</v>
      </c>
      <c r="AT1315" s="45">
        <f t="shared" si="167"/>
        <v>0</v>
      </c>
      <c r="AU1315" s="45" t="str">
        <f>_xlfn.XLOOKUP(U1315,'Lista Suspensa'!$AA$20:$AA$23,'Lista Suspensa'!$AB$20:$AB$23,"N/A")</f>
        <v>S</v>
      </c>
    </row>
    <row r="1316" spans="1:47" ht="12" hidden="1" customHeight="1" x14ac:dyDescent="0.3">
      <c r="A1316" s="87" t="s">
        <v>67</v>
      </c>
      <c r="B1316" s="88">
        <v>46170</v>
      </c>
      <c r="C1316" s="89" t="s">
        <v>211</v>
      </c>
      <c r="D1316" s="89" t="s">
        <v>2000</v>
      </c>
      <c r="E1316" s="90">
        <v>758722346</v>
      </c>
      <c r="F1316" s="184" t="s">
        <v>3715</v>
      </c>
      <c r="G1316" s="91" t="s">
        <v>3716</v>
      </c>
      <c r="H1316" s="92">
        <v>20074</v>
      </c>
      <c r="I1316" s="89">
        <v>71</v>
      </c>
      <c r="J1316" s="89" t="s">
        <v>51</v>
      </c>
      <c r="K1316" s="89" t="s">
        <v>88</v>
      </c>
      <c r="L1316" s="89" t="s">
        <v>3717</v>
      </c>
      <c r="M1316" s="89" t="s">
        <v>120</v>
      </c>
      <c r="N1316" s="89">
        <v>200</v>
      </c>
      <c r="O1316" s="93">
        <v>21983533637</v>
      </c>
      <c r="P1316" s="94" t="s">
        <v>57</v>
      </c>
      <c r="Q1316" s="112" t="s">
        <v>3682</v>
      </c>
      <c r="R1316" s="95"/>
      <c r="S1316" s="96"/>
      <c r="T1316" s="96" t="s">
        <v>2212</v>
      </c>
      <c r="U1316" s="96" t="s">
        <v>746</v>
      </c>
      <c r="V1316" s="92">
        <v>46174</v>
      </c>
      <c r="W1316" s="92">
        <v>46181</v>
      </c>
      <c r="X1316" s="92"/>
      <c r="Y1316" s="97"/>
      <c r="Z1316" s="89"/>
      <c r="AA1316" s="96"/>
      <c r="AB1316" s="89"/>
      <c r="AC1316" s="111"/>
      <c r="AD1316" s="89"/>
      <c r="AE1316" s="89"/>
      <c r="AF1316" s="98"/>
      <c r="AG1316" s="98"/>
      <c r="AH1316" s="98"/>
      <c r="AI1316" s="99"/>
      <c r="AJ1316" s="99" t="s">
        <v>197</v>
      </c>
      <c r="AK1316" s="99" t="s">
        <v>67</v>
      </c>
      <c r="AL1316" s="45" t="s">
        <v>68</v>
      </c>
      <c r="AM1316" s="162" t="str">
        <f t="shared" si="160"/>
        <v>5/2026</v>
      </c>
      <c r="AN1316" s="45">
        <f t="shared" si="161"/>
        <v>5</v>
      </c>
      <c r="AO1316" s="45" t="str">
        <f t="shared" si="162"/>
        <v>1/1900</v>
      </c>
      <c r="AP1316" s="45" t="e">
        <f t="shared" si="163"/>
        <v>#NUM!</v>
      </c>
      <c r="AQ1316" s="45">
        <f t="shared" si="164"/>
        <v>0</v>
      </c>
      <c r="AR1316" s="45">
        <f t="shared" si="165"/>
        <v>0</v>
      </c>
      <c r="AS1316" s="45">
        <f t="shared" si="166"/>
        <v>0</v>
      </c>
      <c r="AT1316" s="45">
        <f t="shared" si="167"/>
        <v>0</v>
      </c>
      <c r="AU1316" s="45" t="str">
        <f>_xlfn.XLOOKUP(U1316,'Lista Suspensa'!$AA$20:$AA$23,'Lista Suspensa'!$AB$20:$AB$23,"N/A")</f>
        <v>S</v>
      </c>
    </row>
    <row r="1317" spans="1:47" ht="12" customHeight="1" x14ac:dyDescent="0.3">
      <c r="A1317" s="87" t="s">
        <v>67</v>
      </c>
      <c r="B1317" s="88">
        <v>46175</v>
      </c>
      <c r="C1317" s="89" t="s">
        <v>3718</v>
      </c>
      <c r="D1317" s="89" t="s">
        <v>3719</v>
      </c>
      <c r="E1317" s="90">
        <v>95676317</v>
      </c>
      <c r="F1317" s="184" t="s">
        <v>3720</v>
      </c>
      <c r="G1317" s="91" t="s">
        <v>3721</v>
      </c>
      <c r="H1317" s="92">
        <v>35118</v>
      </c>
      <c r="I1317" s="89"/>
      <c r="J1317" s="89" t="s">
        <v>3722</v>
      </c>
      <c r="K1317" s="89" t="s">
        <v>52</v>
      </c>
      <c r="L1317" s="89" t="s">
        <v>3711</v>
      </c>
      <c r="M1317" s="89" t="s">
        <v>3723</v>
      </c>
      <c r="N1317" s="89">
        <v>110</v>
      </c>
      <c r="O1317" s="93">
        <v>11952995480</v>
      </c>
      <c r="P1317" s="94" t="s">
        <v>57</v>
      </c>
      <c r="Q1317" s="112" t="s">
        <v>58</v>
      </c>
      <c r="R1317" s="95">
        <v>46178</v>
      </c>
      <c r="S1317" s="96"/>
      <c r="T1317" s="96" t="s">
        <v>59</v>
      </c>
      <c r="U1317" s="96" t="s">
        <v>60</v>
      </c>
      <c r="V1317" s="92">
        <v>46181</v>
      </c>
      <c r="W1317" s="92"/>
      <c r="X1317" s="92"/>
      <c r="Y1317" s="97"/>
      <c r="Z1317" s="89" t="s">
        <v>62</v>
      </c>
      <c r="AA1317" s="96">
        <v>46188</v>
      </c>
      <c r="AB1317" s="89"/>
      <c r="AC1317" s="111"/>
      <c r="AD1317" s="89"/>
      <c r="AE1317" s="89"/>
      <c r="AF1317" s="98"/>
      <c r="AG1317" s="98"/>
      <c r="AH1317" s="98"/>
      <c r="AI1317" s="99"/>
      <c r="AJ1317" s="99" t="s">
        <v>67</v>
      </c>
      <c r="AK1317" s="99" t="s">
        <v>67</v>
      </c>
      <c r="AL1317" s="45" t="s">
        <v>68</v>
      </c>
      <c r="AM1317" s="162" t="str">
        <f t="shared" si="160"/>
        <v>6/2026</v>
      </c>
      <c r="AN1317" s="45">
        <f t="shared" si="161"/>
        <v>1</v>
      </c>
      <c r="AO1317" s="45" t="str">
        <f t="shared" si="162"/>
        <v>6/2026</v>
      </c>
      <c r="AP1317" s="45">
        <f t="shared" si="163"/>
        <v>1</v>
      </c>
      <c r="AQ1317" s="45">
        <f t="shared" si="164"/>
        <v>3</v>
      </c>
      <c r="AR1317" s="45">
        <f t="shared" si="165"/>
        <v>0</v>
      </c>
      <c r="AS1317" s="45">
        <f t="shared" si="166"/>
        <v>0</v>
      </c>
      <c r="AT1317" s="45">
        <f t="shared" si="167"/>
        <v>0</v>
      </c>
      <c r="AU1317" s="45" t="str">
        <f>_xlfn.XLOOKUP(U1317,'Lista Suspensa'!$AA$20:$AA$23,'Lista Suspensa'!$AB$20:$AB$23,"N/A")</f>
        <v>S</v>
      </c>
    </row>
    <row r="1318" spans="1:47" ht="12" customHeight="1" x14ac:dyDescent="0.3">
      <c r="A1318" s="87" t="s">
        <v>67</v>
      </c>
      <c r="B1318" s="88">
        <v>46175</v>
      </c>
      <c r="C1318" s="89" t="s">
        <v>3718</v>
      </c>
      <c r="D1318" s="89" t="s">
        <v>3719</v>
      </c>
      <c r="E1318" s="90">
        <v>110021290</v>
      </c>
      <c r="F1318" s="184" t="s">
        <v>3724</v>
      </c>
      <c r="G1318" s="91" t="s">
        <v>3725</v>
      </c>
      <c r="H1318" s="92">
        <v>21510</v>
      </c>
      <c r="I1318" s="89"/>
      <c r="J1318" s="89" t="s">
        <v>3722</v>
      </c>
      <c r="K1318" s="89" t="s">
        <v>88</v>
      </c>
      <c r="L1318" s="89" t="s">
        <v>89</v>
      </c>
      <c r="M1318" s="89" t="s">
        <v>1098</v>
      </c>
      <c r="N1318" s="89">
        <v>400</v>
      </c>
      <c r="O1318" s="93">
        <v>21982916363</v>
      </c>
      <c r="P1318" s="94" t="s">
        <v>57</v>
      </c>
      <c r="Q1318" s="112" t="s">
        <v>58</v>
      </c>
      <c r="R1318" s="95">
        <v>46178</v>
      </c>
      <c r="S1318" s="96"/>
      <c r="T1318" s="96" t="s">
        <v>59</v>
      </c>
      <c r="U1318" s="96" t="s">
        <v>60</v>
      </c>
      <c r="V1318" s="92">
        <v>46181</v>
      </c>
      <c r="W1318" s="92"/>
      <c r="X1318" s="92"/>
      <c r="Y1318" s="97"/>
      <c r="Z1318" s="89" t="s">
        <v>62</v>
      </c>
      <c r="AA1318" s="96">
        <v>46189</v>
      </c>
      <c r="AB1318" s="89"/>
      <c r="AC1318" s="111"/>
      <c r="AD1318" s="89"/>
      <c r="AE1318" s="89"/>
      <c r="AF1318" s="98"/>
      <c r="AG1318" s="98"/>
      <c r="AH1318" s="98"/>
      <c r="AI1318" s="99"/>
      <c r="AJ1318" s="99" t="s">
        <v>67</v>
      </c>
      <c r="AK1318" s="99" t="s">
        <v>67</v>
      </c>
      <c r="AL1318" s="45" t="s">
        <v>68</v>
      </c>
      <c r="AM1318" s="162" t="str">
        <f t="shared" si="160"/>
        <v>6/2026</v>
      </c>
      <c r="AN1318" s="45">
        <f t="shared" si="161"/>
        <v>1</v>
      </c>
      <c r="AO1318" s="45" t="str">
        <f t="shared" si="162"/>
        <v>6/2026</v>
      </c>
      <c r="AP1318" s="45">
        <f t="shared" si="163"/>
        <v>1</v>
      </c>
      <c r="AQ1318" s="45">
        <f t="shared" si="164"/>
        <v>3</v>
      </c>
      <c r="AR1318" s="45">
        <f t="shared" si="165"/>
        <v>0</v>
      </c>
      <c r="AS1318" s="45">
        <f t="shared" si="166"/>
        <v>0</v>
      </c>
      <c r="AT1318" s="45">
        <f t="shared" si="167"/>
        <v>0</v>
      </c>
      <c r="AU1318" s="45" t="str">
        <f>_xlfn.XLOOKUP(U1318,'Lista Suspensa'!$AA$20:$AA$23,'Lista Suspensa'!$AB$20:$AB$23,"N/A")</f>
        <v>S</v>
      </c>
    </row>
    <row r="1319" spans="1:47" ht="12" hidden="1" customHeight="1" x14ac:dyDescent="0.3">
      <c r="A1319" s="87" t="s">
        <v>67</v>
      </c>
      <c r="B1319" s="88">
        <v>46175</v>
      </c>
      <c r="C1319" s="89" t="s">
        <v>3718</v>
      </c>
      <c r="D1319" s="89" t="s">
        <v>3719</v>
      </c>
      <c r="E1319" s="90">
        <v>118047469</v>
      </c>
      <c r="F1319" s="184" t="s">
        <v>3726</v>
      </c>
      <c r="G1319" s="91" t="s">
        <v>3727</v>
      </c>
      <c r="H1319" s="92">
        <v>15051</v>
      </c>
      <c r="I1319" s="89"/>
      <c r="J1319" s="89" t="s">
        <v>3722</v>
      </c>
      <c r="K1319" s="89" t="s">
        <v>88</v>
      </c>
      <c r="L1319" s="89" t="s">
        <v>89</v>
      </c>
      <c r="M1319" s="89" t="s">
        <v>493</v>
      </c>
      <c r="N1319" s="89">
        <v>400</v>
      </c>
      <c r="O1319" s="93">
        <v>21964103169</v>
      </c>
      <c r="P1319" s="94" t="s">
        <v>57</v>
      </c>
      <c r="Q1319" s="112" t="s">
        <v>3682</v>
      </c>
      <c r="R1319" s="95"/>
      <c r="S1319" s="96"/>
      <c r="T1319" s="96" t="s">
        <v>2212</v>
      </c>
      <c r="U1319" s="96" t="s">
        <v>746</v>
      </c>
      <c r="V1319" s="92">
        <v>46181</v>
      </c>
      <c r="W1319" s="92"/>
      <c r="X1319" s="92"/>
      <c r="Y1319" s="97"/>
      <c r="Z1319" s="89"/>
      <c r="AA1319" s="96"/>
      <c r="AB1319" s="89"/>
      <c r="AC1319" s="111"/>
      <c r="AD1319" s="89"/>
      <c r="AE1319" s="89"/>
      <c r="AF1319" s="98"/>
      <c r="AG1319" s="98"/>
      <c r="AH1319" s="98"/>
      <c r="AI1319" s="99"/>
      <c r="AJ1319" s="99" t="s">
        <v>67</v>
      </c>
      <c r="AK1319" s="99" t="s">
        <v>67</v>
      </c>
      <c r="AL1319" s="45" t="s">
        <v>68</v>
      </c>
      <c r="AM1319" s="162" t="str">
        <f t="shared" si="160"/>
        <v>6/2026</v>
      </c>
      <c r="AN1319" s="45">
        <f t="shared" si="161"/>
        <v>1</v>
      </c>
      <c r="AO1319" s="45" t="str">
        <f t="shared" si="162"/>
        <v>1/1900</v>
      </c>
      <c r="AP1319" s="45" t="e">
        <f t="shared" si="163"/>
        <v>#NUM!</v>
      </c>
      <c r="AQ1319" s="45">
        <f t="shared" si="164"/>
        <v>0</v>
      </c>
      <c r="AR1319" s="45">
        <f t="shared" si="165"/>
        <v>0</v>
      </c>
      <c r="AS1319" s="45">
        <f t="shared" si="166"/>
        <v>0</v>
      </c>
      <c r="AT1319" s="45">
        <f t="shared" si="167"/>
        <v>0</v>
      </c>
      <c r="AU1319" s="45" t="str">
        <f>_xlfn.XLOOKUP(U1319,'Lista Suspensa'!$AA$20:$AA$23,'Lista Suspensa'!$AB$20:$AB$23,"N/A")</f>
        <v>S</v>
      </c>
    </row>
    <row r="1320" spans="1:47" ht="12" hidden="1" customHeight="1" x14ac:dyDescent="0.3">
      <c r="A1320" s="87" t="s">
        <v>67</v>
      </c>
      <c r="B1320" s="88">
        <v>46175</v>
      </c>
      <c r="C1320" s="89" t="s">
        <v>3718</v>
      </c>
      <c r="D1320" s="89" t="s">
        <v>3719</v>
      </c>
      <c r="E1320" s="90">
        <v>754846270</v>
      </c>
      <c r="F1320" s="184" t="s">
        <v>3728</v>
      </c>
      <c r="G1320" s="91" t="s">
        <v>3729</v>
      </c>
      <c r="H1320" s="92">
        <v>18785</v>
      </c>
      <c r="I1320" s="89"/>
      <c r="J1320" s="89" t="s">
        <v>3722</v>
      </c>
      <c r="K1320" s="89" t="s">
        <v>88</v>
      </c>
      <c r="L1320" s="89" t="s">
        <v>89</v>
      </c>
      <c r="M1320" s="89" t="s">
        <v>180</v>
      </c>
      <c r="N1320" s="89">
        <v>100</v>
      </c>
      <c r="O1320" s="93">
        <v>21985087807</v>
      </c>
      <c r="P1320" s="94" t="s">
        <v>57</v>
      </c>
      <c r="Q1320" s="112" t="s">
        <v>3682</v>
      </c>
      <c r="R1320" s="95"/>
      <c r="S1320" s="96"/>
      <c r="T1320" s="96" t="s">
        <v>2212</v>
      </c>
      <c r="U1320" s="96" t="s">
        <v>746</v>
      </c>
      <c r="V1320" s="92">
        <v>46181</v>
      </c>
      <c r="W1320" s="92"/>
      <c r="X1320" s="92"/>
      <c r="Y1320" s="97"/>
      <c r="Z1320" s="89"/>
      <c r="AA1320" s="96"/>
      <c r="AB1320" s="89"/>
      <c r="AC1320" s="111"/>
      <c r="AD1320" s="89"/>
      <c r="AE1320" s="89"/>
      <c r="AF1320" s="98"/>
      <c r="AG1320" s="98"/>
      <c r="AH1320" s="98"/>
      <c r="AI1320" s="99"/>
      <c r="AJ1320" s="99" t="s">
        <v>67</v>
      </c>
      <c r="AK1320" s="99" t="s">
        <v>67</v>
      </c>
      <c r="AL1320" s="45" t="s">
        <v>68</v>
      </c>
      <c r="AM1320" s="162" t="str">
        <f t="shared" si="160"/>
        <v>6/2026</v>
      </c>
      <c r="AN1320" s="45">
        <f t="shared" si="161"/>
        <v>1</v>
      </c>
      <c r="AO1320" s="45" t="str">
        <f t="shared" si="162"/>
        <v>1/1900</v>
      </c>
      <c r="AP1320" s="45" t="e">
        <f t="shared" si="163"/>
        <v>#NUM!</v>
      </c>
      <c r="AQ1320" s="45">
        <f t="shared" si="164"/>
        <v>0</v>
      </c>
      <c r="AR1320" s="45">
        <f t="shared" si="165"/>
        <v>0</v>
      </c>
      <c r="AS1320" s="45">
        <f t="shared" si="166"/>
        <v>0</v>
      </c>
      <c r="AT1320" s="45">
        <f t="shared" si="167"/>
        <v>0</v>
      </c>
      <c r="AU1320" s="45" t="str">
        <f>_xlfn.XLOOKUP(U1320,'Lista Suspensa'!$AA$20:$AA$23,'Lista Suspensa'!$AB$20:$AB$23,"N/A")</f>
        <v>S</v>
      </c>
    </row>
    <row r="1321" spans="1:47" ht="12" customHeight="1" x14ac:dyDescent="0.3">
      <c r="A1321" s="87" t="s">
        <v>67</v>
      </c>
      <c r="B1321" s="88">
        <v>46175</v>
      </c>
      <c r="C1321" s="89" t="s">
        <v>3718</v>
      </c>
      <c r="D1321" s="89" t="s">
        <v>3719</v>
      </c>
      <c r="E1321" s="90">
        <v>93025061</v>
      </c>
      <c r="F1321" s="184" t="s">
        <v>3730</v>
      </c>
      <c r="G1321" s="91" t="s">
        <v>3731</v>
      </c>
      <c r="H1321" s="92">
        <v>38433</v>
      </c>
      <c r="I1321" s="89"/>
      <c r="J1321" s="89" t="s">
        <v>3722</v>
      </c>
      <c r="K1321" s="89" t="s">
        <v>52</v>
      </c>
      <c r="L1321" s="89" t="s">
        <v>52</v>
      </c>
      <c r="M1321" s="89" t="s">
        <v>3732</v>
      </c>
      <c r="N1321" s="89">
        <v>110</v>
      </c>
      <c r="O1321" s="93">
        <v>11953377540</v>
      </c>
      <c r="P1321" s="94" t="s">
        <v>57</v>
      </c>
      <c r="Q1321" s="112" t="s">
        <v>58</v>
      </c>
      <c r="R1321" s="95">
        <v>46178</v>
      </c>
      <c r="S1321" s="96"/>
      <c r="T1321" s="96" t="s">
        <v>59</v>
      </c>
      <c r="U1321" s="96" t="s">
        <v>60</v>
      </c>
      <c r="V1321" s="92">
        <v>46181</v>
      </c>
      <c r="W1321" s="92"/>
      <c r="X1321" s="92"/>
      <c r="Y1321" s="97"/>
      <c r="Z1321" s="89" t="s">
        <v>62</v>
      </c>
      <c r="AA1321" s="96">
        <v>46190</v>
      </c>
      <c r="AB1321" s="89"/>
      <c r="AC1321" s="111"/>
      <c r="AD1321" s="89"/>
      <c r="AE1321" s="89"/>
      <c r="AF1321" s="98"/>
      <c r="AG1321" s="98"/>
      <c r="AH1321" s="98"/>
      <c r="AI1321" s="99"/>
      <c r="AJ1321" s="99" t="s">
        <v>67</v>
      </c>
      <c r="AK1321" s="99" t="s">
        <v>67</v>
      </c>
      <c r="AL1321" s="45" t="s">
        <v>68</v>
      </c>
      <c r="AM1321" s="162" t="str">
        <f t="shared" si="160"/>
        <v>6/2026</v>
      </c>
      <c r="AN1321" s="45">
        <f t="shared" si="161"/>
        <v>1</v>
      </c>
      <c r="AO1321" s="45" t="str">
        <f t="shared" si="162"/>
        <v>6/2026</v>
      </c>
      <c r="AP1321" s="45">
        <f t="shared" si="163"/>
        <v>1</v>
      </c>
      <c r="AQ1321" s="45">
        <f t="shared" si="164"/>
        <v>3</v>
      </c>
      <c r="AR1321" s="45">
        <f t="shared" si="165"/>
        <v>0</v>
      </c>
      <c r="AS1321" s="45">
        <f t="shared" si="166"/>
        <v>0</v>
      </c>
      <c r="AT1321" s="45">
        <f t="shared" si="167"/>
        <v>0</v>
      </c>
      <c r="AU1321" s="45" t="str">
        <f>_xlfn.XLOOKUP(U1321,'Lista Suspensa'!$AA$20:$AA$23,'Lista Suspensa'!$AB$20:$AB$23,"N/A")</f>
        <v>S</v>
      </c>
    </row>
    <row r="1322" spans="1:47" ht="12" customHeight="1" x14ac:dyDescent="0.3">
      <c r="A1322" s="87" t="s">
        <v>67</v>
      </c>
      <c r="B1322" s="88">
        <v>46175</v>
      </c>
      <c r="C1322" s="89" t="s">
        <v>3718</v>
      </c>
      <c r="D1322" s="89" t="s">
        <v>3719</v>
      </c>
      <c r="E1322" s="90">
        <v>83070322</v>
      </c>
      <c r="F1322" s="184" t="s">
        <v>3733</v>
      </c>
      <c r="G1322" s="91" t="s">
        <v>3734</v>
      </c>
      <c r="H1322" s="92">
        <v>30394</v>
      </c>
      <c r="I1322" s="89"/>
      <c r="J1322" s="89" t="s">
        <v>3722</v>
      </c>
      <c r="K1322" s="89" t="s">
        <v>52</v>
      </c>
      <c r="L1322" s="89" t="s">
        <v>3711</v>
      </c>
      <c r="M1322" s="89" t="s">
        <v>3735</v>
      </c>
      <c r="N1322" s="89">
        <v>400</v>
      </c>
      <c r="O1322" s="93">
        <v>11974246928</v>
      </c>
      <c r="P1322" s="94" t="s">
        <v>57</v>
      </c>
      <c r="Q1322" s="112" t="s">
        <v>58</v>
      </c>
      <c r="R1322" s="95">
        <v>46178</v>
      </c>
      <c r="S1322" s="96"/>
      <c r="T1322" s="96" t="s">
        <v>59</v>
      </c>
      <c r="U1322" s="96" t="s">
        <v>60</v>
      </c>
      <c r="V1322" s="92">
        <v>46181</v>
      </c>
      <c r="W1322" s="92"/>
      <c r="X1322" s="92"/>
      <c r="Y1322" s="97"/>
      <c r="Z1322" s="89" t="s">
        <v>62</v>
      </c>
      <c r="AA1322" s="96">
        <v>46189</v>
      </c>
      <c r="AB1322" s="89"/>
      <c r="AC1322" s="111"/>
      <c r="AD1322" s="89"/>
      <c r="AE1322" s="89"/>
      <c r="AF1322" s="98"/>
      <c r="AG1322" s="98"/>
      <c r="AH1322" s="98"/>
      <c r="AI1322" s="99"/>
      <c r="AJ1322" s="99" t="s">
        <v>67</v>
      </c>
      <c r="AK1322" s="99" t="s">
        <v>67</v>
      </c>
      <c r="AL1322" s="45" t="s">
        <v>68</v>
      </c>
      <c r="AM1322" s="162" t="str">
        <f t="shared" si="160"/>
        <v>6/2026</v>
      </c>
      <c r="AN1322" s="45">
        <f t="shared" si="161"/>
        <v>1</v>
      </c>
      <c r="AO1322" s="45" t="str">
        <f t="shared" si="162"/>
        <v>6/2026</v>
      </c>
      <c r="AP1322" s="45">
        <f t="shared" si="163"/>
        <v>1</v>
      </c>
      <c r="AQ1322" s="45">
        <f t="shared" si="164"/>
        <v>3</v>
      </c>
      <c r="AR1322" s="45">
        <f t="shared" si="165"/>
        <v>0</v>
      </c>
      <c r="AS1322" s="45">
        <f t="shared" si="166"/>
        <v>0</v>
      </c>
      <c r="AT1322" s="45">
        <f t="shared" si="167"/>
        <v>0</v>
      </c>
      <c r="AU1322" s="45" t="str">
        <f>_xlfn.XLOOKUP(U1322,'Lista Suspensa'!$AA$20:$AA$23,'Lista Suspensa'!$AB$20:$AB$23,"N/A")</f>
        <v>S</v>
      </c>
    </row>
    <row r="1323" spans="1:47" ht="12" customHeight="1" x14ac:dyDescent="0.3">
      <c r="A1323" s="87" t="s">
        <v>67</v>
      </c>
      <c r="B1323" s="88">
        <v>46175</v>
      </c>
      <c r="C1323" s="89" t="s">
        <v>3718</v>
      </c>
      <c r="D1323" s="89" t="s">
        <v>3719</v>
      </c>
      <c r="E1323" s="90">
        <v>82908022</v>
      </c>
      <c r="F1323" s="184" t="s">
        <v>3736</v>
      </c>
      <c r="G1323" s="91" t="s">
        <v>3737</v>
      </c>
      <c r="H1323" s="92">
        <v>21436</v>
      </c>
      <c r="I1323" s="89"/>
      <c r="J1323" s="89" t="s">
        <v>51</v>
      </c>
      <c r="K1323" s="89" t="s">
        <v>52</v>
      </c>
      <c r="L1323" s="89" t="s">
        <v>53</v>
      </c>
      <c r="M1323" s="89" t="s">
        <v>464</v>
      </c>
      <c r="N1323" s="89">
        <v>60</v>
      </c>
      <c r="O1323" s="93">
        <v>11994860001</v>
      </c>
      <c r="P1323" s="94" t="s">
        <v>57</v>
      </c>
      <c r="Q1323" s="112" t="s">
        <v>58</v>
      </c>
      <c r="R1323" s="95">
        <v>46178</v>
      </c>
      <c r="S1323" s="96"/>
      <c r="T1323" s="96" t="s">
        <v>59</v>
      </c>
      <c r="U1323" s="96" t="s">
        <v>60</v>
      </c>
      <c r="V1323" s="92">
        <v>46181</v>
      </c>
      <c r="W1323" s="92"/>
      <c r="X1323" s="92"/>
      <c r="Y1323" s="97"/>
      <c r="Z1323" s="89" t="s">
        <v>62</v>
      </c>
      <c r="AA1323" s="96">
        <v>46190</v>
      </c>
      <c r="AB1323" s="89"/>
      <c r="AC1323" s="111"/>
      <c r="AD1323" s="89"/>
      <c r="AE1323" s="89"/>
      <c r="AF1323" s="98"/>
      <c r="AG1323" s="98"/>
      <c r="AH1323" s="98"/>
      <c r="AI1323" s="99"/>
      <c r="AJ1323" s="99" t="s">
        <v>67</v>
      </c>
      <c r="AK1323" s="99" t="s">
        <v>67</v>
      </c>
      <c r="AL1323" s="45" t="s">
        <v>68</v>
      </c>
      <c r="AM1323" s="162" t="str">
        <f t="shared" si="160"/>
        <v>6/2026</v>
      </c>
      <c r="AN1323" s="45">
        <f t="shared" si="161"/>
        <v>1</v>
      </c>
      <c r="AO1323" s="45" t="str">
        <f t="shared" si="162"/>
        <v>6/2026</v>
      </c>
      <c r="AP1323" s="45">
        <f t="shared" si="163"/>
        <v>1</v>
      </c>
      <c r="AQ1323" s="45">
        <f t="shared" si="164"/>
        <v>3</v>
      </c>
      <c r="AR1323" s="45">
        <f t="shared" si="165"/>
        <v>0</v>
      </c>
      <c r="AS1323" s="45">
        <f t="shared" si="166"/>
        <v>0</v>
      </c>
      <c r="AT1323" s="45">
        <f t="shared" si="167"/>
        <v>0</v>
      </c>
      <c r="AU1323" s="45" t="str">
        <f>_xlfn.XLOOKUP(U1323,'Lista Suspensa'!$AA$20:$AA$23,'Lista Suspensa'!$AB$20:$AB$23,"N/A")</f>
        <v>S</v>
      </c>
    </row>
    <row r="1324" spans="1:47" ht="12" hidden="1" customHeight="1" x14ac:dyDescent="0.3">
      <c r="A1324" s="87" t="s">
        <v>67</v>
      </c>
      <c r="B1324" s="88">
        <v>46181</v>
      </c>
      <c r="C1324" s="89" t="s">
        <v>3718</v>
      </c>
      <c r="D1324" s="89" t="s">
        <v>3719</v>
      </c>
      <c r="E1324" s="90">
        <v>82636139</v>
      </c>
      <c r="F1324" s="184" t="s">
        <v>3738</v>
      </c>
      <c r="G1324" s="91" t="s">
        <v>3739</v>
      </c>
      <c r="H1324" s="92">
        <v>17237</v>
      </c>
      <c r="I1324" s="89"/>
      <c r="J1324" s="89" t="s">
        <v>51</v>
      </c>
      <c r="K1324" s="89" t="s">
        <v>88</v>
      </c>
      <c r="L1324" s="89" t="s">
        <v>89</v>
      </c>
      <c r="M1324" s="89" t="s">
        <v>861</v>
      </c>
      <c r="N1324" s="89">
        <v>60</v>
      </c>
      <c r="O1324" s="93">
        <v>21993118083</v>
      </c>
      <c r="P1324" s="94" t="s">
        <v>57</v>
      </c>
      <c r="Q1324" s="112" t="s">
        <v>3682</v>
      </c>
      <c r="R1324" s="95"/>
      <c r="S1324" s="96"/>
      <c r="T1324" s="96" t="s">
        <v>2212</v>
      </c>
      <c r="U1324" s="96" t="s">
        <v>746</v>
      </c>
      <c r="V1324" s="92">
        <v>46181</v>
      </c>
      <c r="W1324" s="92"/>
      <c r="X1324" s="92"/>
      <c r="Y1324" s="97"/>
      <c r="Z1324" s="89"/>
      <c r="AA1324" s="96"/>
      <c r="AB1324" s="89"/>
      <c r="AC1324" s="111"/>
      <c r="AD1324" s="89"/>
      <c r="AE1324" s="89"/>
      <c r="AF1324" s="98"/>
      <c r="AG1324" s="98"/>
      <c r="AH1324" s="98"/>
      <c r="AI1324" s="99"/>
      <c r="AJ1324" s="99" t="s">
        <v>67</v>
      </c>
      <c r="AK1324" s="99" t="s">
        <v>67</v>
      </c>
      <c r="AL1324" s="45" t="s">
        <v>68</v>
      </c>
      <c r="AM1324" s="162" t="str">
        <f t="shared" si="160"/>
        <v>6/2026</v>
      </c>
      <c r="AN1324" s="45">
        <f t="shared" si="161"/>
        <v>2</v>
      </c>
      <c r="AO1324" s="45" t="str">
        <f t="shared" si="162"/>
        <v>1/1900</v>
      </c>
      <c r="AP1324" s="45" t="e">
        <f t="shared" si="163"/>
        <v>#NUM!</v>
      </c>
      <c r="AQ1324" s="45">
        <f t="shared" si="164"/>
        <v>0</v>
      </c>
      <c r="AR1324" s="45">
        <f t="shared" si="165"/>
        <v>0</v>
      </c>
      <c r="AS1324" s="45">
        <f t="shared" si="166"/>
        <v>0</v>
      </c>
      <c r="AT1324" s="45">
        <f t="shared" si="167"/>
        <v>0</v>
      </c>
      <c r="AU1324" s="45" t="str">
        <f>_xlfn.XLOOKUP(U1324,'Lista Suspensa'!$AA$20:$AA$23,'Lista Suspensa'!$AB$20:$AB$23,"N/A")</f>
        <v>S</v>
      </c>
    </row>
    <row r="1325" spans="1:47" ht="12" hidden="1" customHeight="1" x14ac:dyDescent="0.3">
      <c r="A1325" s="87" t="s">
        <v>67</v>
      </c>
      <c r="B1325" s="88">
        <v>46181</v>
      </c>
      <c r="C1325" s="89" t="s">
        <v>3718</v>
      </c>
      <c r="D1325" s="89" t="s">
        <v>3719</v>
      </c>
      <c r="E1325" s="90">
        <v>84204925</v>
      </c>
      <c r="F1325" s="184" t="s">
        <v>3609</v>
      </c>
      <c r="G1325" s="91" t="s">
        <v>3740</v>
      </c>
      <c r="H1325" s="92">
        <v>18616</v>
      </c>
      <c r="I1325" s="89"/>
      <c r="J1325" s="89" t="s">
        <v>70</v>
      </c>
      <c r="K1325" s="89" t="s">
        <v>88</v>
      </c>
      <c r="L1325" s="89" t="s">
        <v>89</v>
      </c>
      <c r="M1325" s="89" t="s">
        <v>1131</v>
      </c>
      <c r="N1325" s="89">
        <v>75</v>
      </c>
      <c r="O1325" s="93">
        <v>21995985120</v>
      </c>
      <c r="P1325" s="94" t="s">
        <v>57</v>
      </c>
      <c r="Q1325" s="112" t="s">
        <v>3682</v>
      </c>
      <c r="R1325" s="95"/>
      <c r="S1325" s="96"/>
      <c r="T1325" s="96" t="s">
        <v>2212</v>
      </c>
      <c r="U1325" s="96" t="s">
        <v>746</v>
      </c>
      <c r="V1325" s="92">
        <v>46181</v>
      </c>
      <c r="W1325" s="92"/>
      <c r="X1325" s="92"/>
      <c r="Y1325" s="97"/>
      <c r="Z1325" s="89"/>
      <c r="AA1325" s="96"/>
      <c r="AB1325" s="89"/>
      <c r="AC1325" s="111"/>
      <c r="AD1325" s="89"/>
      <c r="AE1325" s="89"/>
      <c r="AF1325" s="98"/>
      <c r="AG1325" s="98"/>
      <c r="AH1325" s="98"/>
      <c r="AI1325" s="99"/>
      <c r="AJ1325" s="99" t="s">
        <v>67</v>
      </c>
      <c r="AK1325" s="99" t="s">
        <v>67</v>
      </c>
      <c r="AL1325" s="45" t="s">
        <v>68</v>
      </c>
      <c r="AM1325" s="162" t="str">
        <f t="shared" si="160"/>
        <v>6/2026</v>
      </c>
      <c r="AN1325" s="45">
        <f t="shared" si="161"/>
        <v>2</v>
      </c>
      <c r="AO1325" s="45" t="str">
        <f t="shared" si="162"/>
        <v>1/1900</v>
      </c>
      <c r="AP1325" s="45" t="e">
        <f t="shared" si="163"/>
        <v>#NUM!</v>
      </c>
      <c r="AQ1325" s="45">
        <f t="shared" si="164"/>
        <v>0</v>
      </c>
      <c r="AR1325" s="45">
        <f t="shared" si="165"/>
        <v>0</v>
      </c>
      <c r="AS1325" s="45">
        <f t="shared" si="166"/>
        <v>0</v>
      </c>
      <c r="AT1325" s="45">
        <f t="shared" si="167"/>
        <v>0</v>
      </c>
      <c r="AU1325" s="45" t="str">
        <f>_xlfn.XLOOKUP(U1325,'Lista Suspensa'!$AA$20:$AA$23,'Lista Suspensa'!$AB$20:$AB$23,"N/A")</f>
        <v>S</v>
      </c>
    </row>
    <row r="1326" spans="1:47" ht="12" hidden="1" customHeight="1" x14ac:dyDescent="0.3">
      <c r="A1326" s="87" t="s">
        <v>67</v>
      </c>
      <c r="B1326" s="88">
        <v>46181</v>
      </c>
      <c r="C1326" s="89" t="s">
        <v>3718</v>
      </c>
      <c r="D1326" s="89" t="s">
        <v>3719</v>
      </c>
      <c r="E1326" s="90">
        <v>79639089</v>
      </c>
      <c r="F1326" s="184" t="s">
        <v>3741</v>
      </c>
      <c r="G1326" s="91" t="s">
        <v>3742</v>
      </c>
      <c r="H1326" s="92">
        <v>23606</v>
      </c>
      <c r="I1326" s="89"/>
      <c r="J1326" s="89" t="s">
        <v>51</v>
      </c>
      <c r="K1326" s="89" t="s">
        <v>88</v>
      </c>
      <c r="L1326" s="89" t="s">
        <v>89</v>
      </c>
      <c r="M1326" s="89" t="s">
        <v>2853</v>
      </c>
      <c r="N1326" s="89">
        <v>80</v>
      </c>
      <c r="O1326" s="93">
        <v>21970179926</v>
      </c>
      <c r="P1326" s="94" t="s">
        <v>57</v>
      </c>
      <c r="Q1326" s="112" t="s">
        <v>3682</v>
      </c>
      <c r="R1326" s="95"/>
      <c r="S1326" s="96"/>
      <c r="T1326" s="96" t="s">
        <v>2212</v>
      </c>
      <c r="U1326" s="96" t="s">
        <v>746</v>
      </c>
      <c r="V1326" s="92">
        <v>46181</v>
      </c>
      <c r="W1326" s="92"/>
      <c r="X1326" s="92"/>
      <c r="Y1326" s="97"/>
      <c r="Z1326" s="89"/>
      <c r="AA1326" s="96"/>
      <c r="AB1326" s="89"/>
      <c r="AC1326" s="111"/>
      <c r="AD1326" s="89"/>
      <c r="AE1326" s="89"/>
      <c r="AF1326" s="98"/>
      <c r="AG1326" s="98"/>
      <c r="AH1326" s="98"/>
      <c r="AI1326" s="99"/>
      <c r="AJ1326" s="99" t="s">
        <v>67</v>
      </c>
      <c r="AK1326" s="99" t="s">
        <v>67</v>
      </c>
      <c r="AL1326" s="45" t="s">
        <v>68</v>
      </c>
      <c r="AM1326" s="162" t="str">
        <f t="shared" si="160"/>
        <v>6/2026</v>
      </c>
      <c r="AN1326" s="45">
        <f t="shared" si="161"/>
        <v>2</v>
      </c>
      <c r="AO1326" s="45" t="str">
        <f t="shared" si="162"/>
        <v>1/1900</v>
      </c>
      <c r="AP1326" s="45" t="e">
        <f t="shared" si="163"/>
        <v>#NUM!</v>
      </c>
      <c r="AQ1326" s="45">
        <f t="shared" si="164"/>
        <v>0</v>
      </c>
      <c r="AR1326" s="45">
        <f t="shared" si="165"/>
        <v>0</v>
      </c>
      <c r="AS1326" s="45">
        <f t="shared" si="166"/>
        <v>0</v>
      </c>
      <c r="AT1326" s="45">
        <f t="shared" si="167"/>
        <v>0</v>
      </c>
      <c r="AU1326" s="45" t="str">
        <f>_xlfn.XLOOKUP(U1326,'Lista Suspensa'!$AA$20:$AA$23,'Lista Suspensa'!$AB$20:$AB$23,"N/A")</f>
        <v>S</v>
      </c>
    </row>
    <row r="1327" spans="1:47" ht="12" hidden="1" customHeight="1" x14ac:dyDescent="0.3">
      <c r="A1327" s="87"/>
      <c r="B1327" s="88"/>
      <c r="C1327" s="89"/>
      <c r="D1327" s="89"/>
      <c r="E1327" s="90"/>
      <c r="F1327" s="184"/>
      <c r="G1327" s="91"/>
      <c r="H1327" s="92"/>
      <c r="I1327" s="89"/>
      <c r="J1327" s="89"/>
      <c r="K1327" s="89"/>
      <c r="L1327" s="89"/>
      <c r="M1327" s="89"/>
      <c r="N1327" s="89"/>
      <c r="O1327" s="93"/>
      <c r="P1327" s="94"/>
      <c r="Q1327" s="112"/>
      <c r="R1327" s="95"/>
      <c r="S1327" s="96"/>
      <c r="T1327" s="96"/>
      <c r="U1327" s="96"/>
      <c r="V1327" s="92"/>
      <c r="W1327" s="92"/>
      <c r="X1327" s="92"/>
      <c r="Y1327" s="97"/>
      <c r="Z1327" s="89"/>
      <c r="AA1327" s="96"/>
      <c r="AB1327" s="89"/>
      <c r="AC1327" s="111"/>
      <c r="AD1327" s="89"/>
      <c r="AE1327" s="89"/>
      <c r="AF1327" s="98"/>
      <c r="AG1327" s="98"/>
      <c r="AH1327" s="98"/>
      <c r="AI1327" s="99"/>
      <c r="AJ1327" s="99"/>
      <c r="AK1327" s="99"/>
      <c r="AL1327" s="45" t="s">
        <v>68</v>
      </c>
      <c r="AM1327" s="162" t="str">
        <f t="shared" si="160"/>
        <v>1/1900</v>
      </c>
      <c r="AN1327" s="45" t="e">
        <f t="shared" si="161"/>
        <v>#NUM!</v>
      </c>
      <c r="AO1327" s="45" t="str">
        <f t="shared" si="162"/>
        <v>1/1900</v>
      </c>
      <c r="AP1327" s="45" t="e">
        <f t="shared" si="163"/>
        <v>#NUM!</v>
      </c>
      <c r="AQ1327" s="45">
        <f t="shared" si="164"/>
        <v>0</v>
      </c>
      <c r="AR1327" s="45">
        <f t="shared" si="165"/>
        <v>0</v>
      </c>
      <c r="AS1327" s="45">
        <f t="shared" si="166"/>
        <v>0</v>
      </c>
      <c r="AT1327" s="45">
        <f t="shared" si="167"/>
        <v>0</v>
      </c>
      <c r="AU1327" s="45" t="str">
        <f>_xlfn.XLOOKUP(U1327,'Lista Suspensa'!$AA$20:$AA$23,'Lista Suspensa'!$AB$20:$AB$23,"N/A")</f>
        <v>S</v>
      </c>
    </row>
    <row r="1328" spans="1:47" ht="12" hidden="1" customHeight="1" x14ac:dyDescent="0.3">
      <c r="A1328" s="87"/>
      <c r="B1328" s="88"/>
      <c r="C1328" s="89"/>
      <c r="D1328" s="89"/>
      <c r="E1328" s="90"/>
      <c r="F1328" s="184"/>
      <c r="G1328" s="91"/>
      <c r="H1328" s="92"/>
      <c r="I1328" s="89"/>
      <c r="J1328" s="89"/>
      <c r="K1328" s="89"/>
      <c r="L1328" s="89"/>
      <c r="M1328" s="89"/>
      <c r="N1328" s="89"/>
      <c r="O1328" s="93"/>
      <c r="P1328" s="94"/>
      <c r="Q1328" s="112"/>
      <c r="R1328" s="95"/>
      <c r="S1328" s="96"/>
      <c r="T1328" s="96"/>
      <c r="U1328" s="96"/>
      <c r="V1328" s="92"/>
      <c r="W1328" s="92"/>
      <c r="X1328" s="92"/>
      <c r="Y1328" s="97"/>
      <c r="Z1328" s="89"/>
      <c r="AA1328" s="96"/>
      <c r="AB1328" s="89"/>
      <c r="AC1328" s="111"/>
      <c r="AD1328" s="89"/>
      <c r="AE1328" s="89"/>
      <c r="AF1328" s="98"/>
      <c r="AG1328" s="98"/>
      <c r="AH1328" s="98"/>
      <c r="AI1328" s="99"/>
      <c r="AJ1328" s="99"/>
      <c r="AK1328" s="99"/>
      <c r="AL1328" s="45" t="s">
        <v>68</v>
      </c>
      <c r="AM1328" s="162" t="str">
        <f t="shared" si="160"/>
        <v>1/1900</v>
      </c>
      <c r="AN1328" s="45" t="e">
        <f t="shared" si="161"/>
        <v>#NUM!</v>
      </c>
      <c r="AO1328" s="45" t="str">
        <f t="shared" si="162"/>
        <v>1/1900</v>
      </c>
      <c r="AP1328" s="45" t="e">
        <f t="shared" si="163"/>
        <v>#NUM!</v>
      </c>
      <c r="AQ1328" s="45">
        <f t="shared" si="164"/>
        <v>0</v>
      </c>
      <c r="AR1328" s="45">
        <f t="shared" si="165"/>
        <v>0</v>
      </c>
      <c r="AS1328" s="45">
        <f t="shared" si="166"/>
        <v>0</v>
      </c>
      <c r="AT1328" s="45">
        <f t="shared" si="167"/>
        <v>0</v>
      </c>
      <c r="AU1328" s="45" t="str">
        <f>_xlfn.XLOOKUP(U1328,'Lista Suspensa'!$AA$20:$AA$23,'Lista Suspensa'!$AB$20:$AB$23,"N/A")</f>
        <v>S</v>
      </c>
    </row>
    <row r="1329" spans="1:47" ht="12" hidden="1" customHeight="1" x14ac:dyDescent="0.3">
      <c r="A1329" s="87"/>
      <c r="B1329" s="88"/>
      <c r="C1329" s="89"/>
      <c r="D1329" s="89"/>
      <c r="E1329" s="90"/>
      <c r="F1329" s="184"/>
      <c r="G1329" s="91"/>
      <c r="H1329" s="92"/>
      <c r="I1329" s="89"/>
      <c r="J1329" s="89"/>
      <c r="K1329" s="89"/>
      <c r="L1329" s="89"/>
      <c r="M1329" s="89"/>
      <c r="N1329" s="89"/>
      <c r="O1329" s="93"/>
      <c r="P1329" s="94"/>
      <c r="Q1329" s="112"/>
      <c r="R1329" s="95"/>
      <c r="S1329" s="96"/>
      <c r="T1329" s="96"/>
      <c r="U1329" s="96"/>
      <c r="V1329" s="92"/>
      <c r="W1329" s="92"/>
      <c r="X1329" s="92"/>
      <c r="Y1329" s="97"/>
      <c r="Z1329" s="89"/>
      <c r="AA1329" s="96"/>
      <c r="AB1329" s="89"/>
      <c r="AC1329" s="111"/>
      <c r="AD1329" s="89"/>
      <c r="AE1329" s="89"/>
      <c r="AF1329" s="98"/>
      <c r="AG1329" s="98"/>
      <c r="AH1329" s="98"/>
      <c r="AI1329" s="99"/>
      <c r="AJ1329" s="99"/>
      <c r="AK1329" s="99"/>
      <c r="AL1329" s="45" t="s">
        <v>68</v>
      </c>
      <c r="AM1329" s="162" t="str">
        <f t="shared" si="160"/>
        <v>1/1900</v>
      </c>
      <c r="AN1329" s="45" t="e">
        <f t="shared" si="161"/>
        <v>#NUM!</v>
      </c>
      <c r="AO1329" s="45" t="str">
        <f t="shared" si="162"/>
        <v>1/1900</v>
      </c>
      <c r="AP1329" s="45" t="e">
        <f t="shared" si="163"/>
        <v>#NUM!</v>
      </c>
      <c r="AQ1329" s="45">
        <f t="shared" si="164"/>
        <v>0</v>
      </c>
      <c r="AR1329" s="45">
        <f t="shared" si="165"/>
        <v>0</v>
      </c>
      <c r="AS1329" s="45">
        <f t="shared" si="166"/>
        <v>0</v>
      </c>
      <c r="AT1329" s="45">
        <f t="shared" si="167"/>
        <v>0</v>
      </c>
      <c r="AU1329" s="45" t="str">
        <f>_xlfn.XLOOKUP(U1329,'Lista Suspensa'!$AA$20:$AA$23,'Lista Suspensa'!$AB$20:$AB$23,"N/A")</f>
        <v>S</v>
      </c>
    </row>
    <row r="1330" spans="1:47" ht="12" hidden="1" customHeight="1" x14ac:dyDescent="0.3">
      <c r="A1330" s="87"/>
      <c r="B1330" s="88"/>
      <c r="C1330" s="89"/>
      <c r="D1330" s="89"/>
      <c r="E1330" s="90"/>
      <c r="F1330" s="184"/>
      <c r="G1330" s="91"/>
      <c r="H1330" s="92"/>
      <c r="I1330" s="89"/>
      <c r="J1330" s="89"/>
      <c r="K1330" s="89"/>
      <c r="L1330" s="89"/>
      <c r="M1330" s="89"/>
      <c r="N1330" s="89"/>
      <c r="O1330" s="93"/>
      <c r="P1330" s="94"/>
      <c r="Q1330" s="112"/>
      <c r="R1330" s="95"/>
      <c r="S1330" s="96"/>
      <c r="T1330" s="96"/>
      <c r="U1330" s="96"/>
      <c r="V1330" s="92"/>
      <c r="W1330" s="92"/>
      <c r="X1330" s="92"/>
      <c r="Y1330" s="97"/>
      <c r="Z1330" s="89"/>
      <c r="AA1330" s="96"/>
      <c r="AB1330" s="89"/>
      <c r="AC1330" s="111"/>
      <c r="AD1330" s="89"/>
      <c r="AE1330" s="89"/>
      <c r="AF1330" s="98"/>
      <c r="AG1330" s="98"/>
      <c r="AH1330" s="98"/>
      <c r="AI1330" s="99"/>
      <c r="AJ1330" s="99"/>
      <c r="AK1330" s="99"/>
      <c r="AL1330" s="45" t="s">
        <v>68</v>
      </c>
      <c r="AM1330" s="162" t="str">
        <f t="shared" si="160"/>
        <v>1/1900</v>
      </c>
      <c r="AN1330" s="45" t="e">
        <f t="shared" si="161"/>
        <v>#NUM!</v>
      </c>
      <c r="AO1330" s="45" t="str">
        <f t="shared" si="162"/>
        <v>1/1900</v>
      </c>
      <c r="AP1330" s="45" t="e">
        <f t="shared" si="163"/>
        <v>#NUM!</v>
      </c>
      <c r="AQ1330" s="45">
        <f t="shared" si="164"/>
        <v>0</v>
      </c>
      <c r="AR1330" s="45">
        <f t="shared" si="165"/>
        <v>0</v>
      </c>
      <c r="AS1330" s="45">
        <f t="shared" si="166"/>
        <v>0</v>
      </c>
      <c r="AT1330" s="45">
        <f t="shared" si="167"/>
        <v>0</v>
      </c>
      <c r="AU1330" s="45" t="str">
        <f>_xlfn.XLOOKUP(U1330,'Lista Suspensa'!$AA$20:$AA$23,'Lista Suspensa'!$AB$20:$AB$23,"N/A")</f>
        <v>S</v>
      </c>
    </row>
    <row r="1331" spans="1:47" ht="12" hidden="1" customHeight="1" x14ac:dyDescent="0.3">
      <c r="A1331" s="87"/>
      <c r="B1331" s="88"/>
      <c r="C1331" s="89"/>
      <c r="D1331" s="89"/>
      <c r="E1331" s="90"/>
      <c r="F1331" s="184"/>
      <c r="G1331" s="91"/>
      <c r="H1331" s="92"/>
      <c r="I1331" s="89"/>
      <c r="J1331" s="89"/>
      <c r="K1331" s="89"/>
      <c r="L1331" s="89"/>
      <c r="M1331" s="89"/>
      <c r="N1331" s="89"/>
      <c r="O1331" s="93"/>
      <c r="P1331" s="94"/>
      <c r="Q1331" s="112"/>
      <c r="R1331" s="95"/>
      <c r="S1331" s="96"/>
      <c r="T1331" s="96"/>
      <c r="U1331" s="96"/>
      <c r="V1331" s="92"/>
      <c r="W1331" s="92"/>
      <c r="X1331" s="92"/>
      <c r="Y1331" s="97"/>
      <c r="Z1331" s="89"/>
      <c r="AA1331" s="96"/>
      <c r="AB1331" s="89"/>
      <c r="AC1331" s="111"/>
      <c r="AD1331" s="89"/>
      <c r="AE1331" s="89"/>
      <c r="AF1331" s="98"/>
      <c r="AG1331" s="98"/>
      <c r="AH1331" s="98"/>
      <c r="AI1331" s="99"/>
      <c r="AJ1331" s="99"/>
      <c r="AK1331" s="99"/>
      <c r="AL1331" s="45" t="s">
        <v>68</v>
      </c>
      <c r="AM1331" s="162" t="str">
        <f t="shared" si="160"/>
        <v>1/1900</v>
      </c>
      <c r="AN1331" s="45" t="e">
        <f t="shared" si="161"/>
        <v>#NUM!</v>
      </c>
      <c r="AO1331" s="45" t="str">
        <f t="shared" si="162"/>
        <v>1/1900</v>
      </c>
      <c r="AP1331" s="45" t="e">
        <f t="shared" si="163"/>
        <v>#NUM!</v>
      </c>
      <c r="AQ1331" s="45">
        <f t="shared" si="164"/>
        <v>0</v>
      </c>
      <c r="AR1331" s="45">
        <f t="shared" si="165"/>
        <v>0</v>
      </c>
      <c r="AS1331" s="45">
        <f t="shared" si="166"/>
        <v>0</v>
      </c>
      <c r="AT1331" s="45">
        <f t="shared" si="167"/>
        <v>0</v>
      </c>
      <c r="AU1331" s="45" t="str">
        <f>_xlfn.XLOOKUP(U1331,'Lista Suspensa'!$AA$20:$AA$23,'Lista Suspensa'!$AB$20:$AB$23,"N/A")</f>
        <v>S</v>
      </c>
    </row>
    <row r="1332" spans="1:47" ht="12" hidden="1" customHeight="1" x14ac:dyDescent="0.3">
      <c r="A1332" s="87"/>
      <c r="B1332" s="88"/>
      <c r="C1332" s="89"/>
      <c r="D1332" s="89"/>
      <c r="E1332" s="90"/>
      <c r="F1332" s="184"/>
      <c r="G1332" s="91"/>
      <c r="H1332" s="92"/>
      <c r="I1332" s="89"/>
      <c r="J1332" s="89"/>
      <c r="K1332" s="89"/>
      <c r="L1332" s="89"/>
      <c r="M1332" s="89"/>
      <c r="N1332" s="89"/>
      <c r="O1332" s="93"/>
      <c r="P1332" s="94"/>
      <c r="Q1332" s="112"/>
      <c r="R1332" s="95"/>
      <c r="S1332" s="96"/>
      <c r="T1332" s="96"/>
      <c r="U1332" s="96"/>
      <c r="V1332" s="92"/>
      <c r="W1332" s="92"/>
      <c r="X1332" s="92"/>
      <c r="Y1332" s="97"/>
      <c r="Z1332" s="89"/>
      <c r="AA1332" s="96"/>
      <c r="AB1332" s="89"/>
      <c r="AC1332" s="111"/>
      <c r="AD1332" s="89"/>
      <c r="AE1332" s="89"/>
      <c r="AF1332" s="98"/>
      <c r="AG1332" s="98"/>
      <c r="AH1332" s="98"/>
      <c r="AI1332" s="99"/>
      <c r="AJ1332" s="99"/>
      <c r="AK1332" s="99"/>
      <c r="AL1332" s="45" t="s">
        <v>68</v>
      </c>
      <c r="AM1332" s="162" t="str">
        <f t="shared" si="160"/>
        <v>1/1900</v>
      </c>
      <c r="AN1332" s="45" t="e">
        <f t="shared" si="161"/>
        <v>#NUM!</v>
      </c>
      <c r="AO1332" s="45" t="str">
        <f t="shared" si="162"/>
        <v>1/1900</v>
      </c>
      <c r="AP1332" s="45" t="e">
        <f t="shared" si="163"/>
        <v>#NUM!</v>
      </c>
      <c r="AQ1332" s="45">
        <f t="shared" si="164"/>
        <v>0</v>
      </c>
      <c r="AR1332" s="45">
        <f t="shared" si="165"/>
        <v>0</v>
      </c>
      <c r="AS1332" s="45">
        <f t="shared" si="166"/>
        <v>0</v>
      </c>
      <c r="AT1332" s="45">
        <f t="shared" si="167"/>
        <v>0</v>
      </c>
      <c r="AU1332" s="45" t="str">
        <f>_xlfn.XLOOKUP(U1332,'Lista Suspensa'!$AA$20:$AA$23,'Lista Suspensa'!$AB$20:$AB$23,"N/A")</f>
        <v>S</v>
      </c>
    </row>
    <row r="1333" spans="1:47" ht="12" hidden="1" customHeight="1" x14ac:dyDescent="0.3">
      <c r="A1333" s="87"/>
      <c r="B1333" s="88"/>
      <c r="C1333" s="89"/>
      <c r="D1333" s="89"/>
      <c r="E1333" s="90"/>
      <c r="F1333" s="184"/>
      <c r="G1333" s="91"/>
      <c r="H1333" s="92"/>
      <c r="I1333" s="89"/>
      <c r="J1333" s="89"/>
      <c r="K1333" s="89"/>
      <c r="L1333" s="89"/>
      <c r="M1333" s="89"/>
      <c r="N1333" s="89"/>
      <c r="O1333" s="93"/>
      <c r="P1333" s="94"/>
      <c r="Q1333" s="112"/>
      <c r="R1333" s="95"/>
      <c r="S1333" s="96"/>
      <c r="T1333" s="96"/>
      <c r="U1333" s="96"/>
      <c r="V1333" s="92"/>
      <c r="W1333" s="92"/>
      <c r="X1333" s="92"/>
      <c r="Y1333" s="97"/>
      <c r="Z1333" s="89"/>
      <c r="AA1333" s="96"/>
      <c r="AB1333" s="89"/>
      <c r="AC1333" s="111"/>
      <c r="AD1333" s="89"/>
      <c r="AE1333" s="89"/>
      <c r="AF1333" s="98"/>
      <c r="AG1333" s="98"/>
      <c r="AH1333" s="98"/>
      <c r="AI1333" s="99"/>
      <c r="AJ1333" s="99"/>
      <c r="AK1333" s="99"/>
      <c r="AL1333" s="45" t="s">
        <v>68</v>
      </c>
      <c r="AM1333" s="162" t="str">
        <f t="shared" si="160"/>
        <v>1/1900</v>
      </c>
      <c r="AN1333" s="45" t="e">
        <f t="shared" si="161"/>
        <v>#NUM!</v>
      </c>
      <c r="AO1333" s="45" t="str">
        <f t="shared" si="162"/>
        <v>1/1900</v>
      </c>
      <c r="AP1333" s="45" t="e">
        <f t="shared" si="163"/>
        <v>#NUM!</v>
      </c>
      <c r="AQ1333" s="45">
        <f t="shared" si="164"/>
        <v>0</v>
      </c>
      <c r="AR1333" s="45">
        <f t="shared" si="165"/>
        <v>0</v>
      </c>
      <c r="AS1333" s="45">
        <f t="shared" si="166"/>
        <v>0</v>
      </c>
      <c r="AT1333" s="45">
        <f t="shared" si="167"/>
        <v>0</v>
      </c>
      <c r="AU1333" s="45" t="str">
        <f>_xlfn.XLOOKUP(U1333,'Lista Suspensa'!$AA$20:$AA$23,'Lista Suspensa'!$AB$20:$AB$23,"N/A")</f>
        <v>S</v>
      </c>
    </row>
    <row r="1334" spans="1:47" ht="12" hidden="1" customHeight="1" x14ac:dyDescent="0.3">
      <c r="A1334" s="87"/>
      <c r="B1334" s="88"/>
      <c r="C1334" s="89"/>
      <c r="D1334" s="89"/>
      <c r="E1334" s="90"/>
      <c r="F1334" s="184"/>
      <c r="G1334" s="91"/>
      <c r="H1334" s="92"/>
      <c r="I1334" s="89"/>
      <c r="J1334" s="89"/>
      <c r="K1334" s="89"/>
      <c r="L1334" s="89"/>
      <c r="M1334" s="89"/>
      <c r="N1334" s="89"/>
      <c r="O1334" s="93"/>
      <c r="P1334" s="94"/>
      <c r="Q1334" s="112"/>
      <c r="R1334" s="95"/>
      <c r="S1334" s="96"/>
      <c r="T1334" s="96"/>
      <c r="U1334" s="96"/>
      <c r="V1334" s="92"/>
      <c r="W1334" s="92"/>
      <c r="X1334" s="92"/>
      <c r="Y1334" s="97"/>
      <c r="Z1334" s="89"/>
      <c r="AA1334" s="96"/>
      <c r="AB1334" s="89"/>
      <c r="AC1334" s="111"/>
      <c r="AD1334" s="89"/>
      <c r="AE1334" s="89"/>
      <c r="AF1334" s="98"/>
      <c r="AG1334" s="98"/>
      <c r="AH1334" s="98"/>
      <c r="AI1334" s="99"/>
      <c r="AJ1334" s="99"/>
      <c r="AK1334" s="99"/>
      <c r="AL1334" s="45" t="s">
        <v>68</v>
      </c>
      <c r="AM1334" s="162" t="str">
        <f t="shared" si="160"/>
        <v>1/1900</v>
      </c>
      <c r="AN1334" s="45" t="e">
        <f t="shared" si="161"/>
        <v>#NUM!</v>
      </c>
      <c r="AO1334" s="45" t="str">
        <f t="shared" si="162"/>
        <v>1/1900</v>
      </c>
      <c r="AP1334" s="45" t="e">
        <f t="shared" si="163"/>
        <v>#NUM!</v>
      </c>
      <c r="AQ1334" s="45">
        <f t="shared" si="164"/>
        <v>0</v>
      </c>
      <c r="AR1334" s="45">
        <f t="shared" si="165"/>
        <v>0</v>
      </c>
      <c r="AS1334" s="45">
        <f t="shared" si="166"/>
        <v>0</v>
      </c>
      <c r="AT1334" s="45">
        <f t="shared" si="167"/>
        <v>0</v>
      </c>
      <c r="AU1334" s="45" t="str">
        <f>_xlfn.XLOOKUP(U1334,'Lista Suspensa'!$AA$20:$AA$23,'Lista Suspensa'!$AB$20:$AB$23,"N/A")</f>
        <v>S</v>
      </c>
    </row>
    <row r="1335" spans="1:47" ht="12" hidden="1" customHeight="1" x14ac:dyDescent="0.3">
      <c r="A1335" s="87"/>
      <c r="B1335" s="88"/>
      <c r="C1335" s="89"/>
      <c r="D1335" s="89"/>
      <c r="E1335" s="90"/>
      <c r="F1335" s="184"/>
      <c r="G1335" s="91"/>
      <c r="H1335" s="92"/>
      <c r="I1335" s="89"/>
      <c r="J1335" s="89"/>
      <c r="K1335" s="89"/>
      <c r="L1335" s="89"/>
      <c r="M1335" s="89"/>
      <c r="N1335" s="89"/>
      <c r="O1335" s="93"/>
      <c r="P1335" s="94"/>
      <c r="Q1335" s="112"/>
      <c r="R1335" s="95"/>
      <c r="S1335" s="96"/>
      <c r="T1335" s="96"/>
      <c r="U1335" s="96"/>
      <c r="V1335" s="92"/>
      <c r="W1335" s="92"/>
      <c r="X1335" s="92"/>
      <c r="Y1335" s="97"/>
      <c r="Z1335" s="89"/>
      <c r="AA1335" s="96"/>
      <c r="AB1335" s="89"/>
      <c r="AC1335" s="111"/>
      <c r="AD1335" s="89"/>
      <c r="AE1335" s="89"/>
      <c r="AF1335" s="98"/>
      <c r="AG1335" s="98"/>
      <c r="AH1335" s="98"/>
      <c r="AI1335" s="99"/>
      <c r="AJ1335" s="99"/>
      <c r="AK1335" s="99"/>
      <c r="AL1335" s="45" t="s">
        <v>68</v>
      </c>
      <c r="AM1335" s="162" t="str">
        <f t="shared" si="160"/>
        <v>1/1900</v>
      </c>
      <c r="AN1335" s="45" t="e">
        <f t="shared" si="161"/>
        <v>#NUM!</v>
      </c>
      <c r="AO1335" s="45" t="str">
        <f t="shared" si="162"/>
        <v>1/1900</v>
      </c>
      <c r="AP1335" s="45" t="e">
        <f t="shared" si="163"/>
        <v>#NUM!</v>
      </c>
      <c r="AQ1335" s="45">
        <f t="shared" si="164"/>
        <v>0</v>
      </c>
      <c r="AR1335" s="45">
        <f t="shared" si="165"/>
        <v>0</v>
      </c>
      <c r="AS1335" s="45">
        <f t="shared" si="166"/>
        <v>0</v>
      </c>
      <c r="AT1335" s="45">
        <f t="shared" si="167"/>
        <v>0</v>
      </c>
      <c r="AU1335" s="45" t="str">
        <f>_xlfn.XLOOKUP(U1335,'Lista Suspensa'!$AA$20:$AA$23,'Lista Suspensa'!$AB$20:$AB$23,"N/A")</f>
        <v>S</v>
      </c>
    </row>
    <row r="1336" spans="1:47" ht="12" hidden="1" customHeight="1" x14ac:dyDescent="0.3">
      <c r="A1336" s="87"/>
      <c r="B1336" s="88"/>
      <c r="C1336" s="89"/>
      <c r="D1336" s="89"/>
      <c r="E1336" s="90"/>
      <c r="F1336" s="184"/>
      <c r="G1336" s="91"/>
      <c r="H1336" s="92"/>
      <c r="I1336" s="89"/>
      <c r="J1336" s="89"/>
      <c r="K1336" s="89"/>
      <c r="L1336" s="89"/>
      <c r="M1336" s="89"/>
      <c r="N1336" s="89"/>
      <c r="O1336" s="93"/>
      <c r="P1336" s="94"/>
      <c r="Q1336" s="112"/>
      <c r="R1336" s="95"/>
      <c r="S1336" s="96"/>
      <c r="T1336" s="96"/>
      <c r="U1336" s="96"/>
      <c r="V1336" s="92"/>
      <c r="W1336" s="92"/>
      <c r="X1336" s="92"/>
      <c r="Y1336" s="97"/>
      <c r="Z1336" s="89"/>
      <c r="AA1336" s="96"/>
      <c r="AB1336" s="89"/>
      <c r="AC1336" s="111"/>
      <c r="AD1336" s="89"/>
      <c r="AE1336" s="89"/>
      <c r="AF1336" s="98"/>
      <c r="AG1336" s="98"/>
      <c r="AH1336" s="98"/>
      <c r="AI1336" s="99"/>
      <c r="AJ1336" s="99"/>
      <c r="AK1336" s="99"/>
      <c r="AL1336" s="45" t="s">
        <v>68</v>
      </c>
      <c r="AM1336" s="162" t="str">
        <f t="shared" si="160"/>
        <v>1/1900</v>
      </c>
      <c r="AN1336" s="45" t="e">
        <f t="shared" si="161"/>
        <v>#NUM!</v>
      </c>
      <c r="AO1336" s="45" t="str">
        <f t="shared" si="162"/>
        <v>1/1900</v>
      </c>
      <c r="AP1336" s="45" t="e">
        <f t="shared" si="163"/>
        <v>#NUM!</v>
      </c>
      <c r="AQ1336" s="45">
        <f t="shared" si="164"/>
        <v>0</v>
      </c>
      <c r="AR1336" s="45">
        <f t="shared" si="165"/>
        <v>0</v>
      </c>
      <c r="AS1336" s="45">
        <f t="shared" si="166"/>
        <v>0</v>
      </c>
      <c r="AT1336" s="45">
        <f t="shared" si="167"/>
        <v>0</v>
      </c>
      <c r="AU1336" s="45" t="str">
        <f>_xlfn.XLOOKUP(U1336,'Lista Suspensa'!$AA$20:$AA$23,'Lista Suspensa'!$AB$20:$AB$23,"N/A")</f>
        <v>S</v>
      </c>
    </row>
    <row r="1337" spans="1:47" ht="12" hidden="1" customHeight="1" x14ac:dyDescent="0.3">
      <c r="A1337" s="87"/>
      <c r="B1337" s="88"/>
      <c r="C1337" s="89"/>
      <c r="D1337" s="89"/>
      <c r="E1337" s="90"/>
      <c r="F1337" s="184"/>
      <c r="G1337" s="91"/>
      <c r="H1337" s="92"/>
      <c r="I1337" s="89"/>
      <c r="J1337" s="89"/>
      <c r="K1337" s="89"/>
      <c r="L1337" s="89"/>
      <c r="M1337" s="89"/>
      <c r="N1337" s="89"/>
      <c r="O1337" s="93"/>
      <c r="P1337" s="94"/>
      <c r="Q1337" s="112"/>
      <c r="R1337" s="95"/>
      <c r="S1337" s="96"/>
      <c r="T1337" s="96"/>
      <c r="U1337" s="96"/>
      <c r="V1337" s="92"/>
      <c r="W1337" s="92"/>
      <c r="X1337" s="92"/>
      <c r="Y1337" s="97"/>
      <c r="Z1337" s="89"/>
      <c r="AA1337" s="96"/>
      <c r="AB1337" s="89"/>
      <c r="AC1337" s="111"/>
      <c r="AD1337" s="89"/>
      <c r="AE1337" s="89"/>
      <c r="AF1337" s="98"/>
      <c r="AG1337" s="98"/>
      <c r="AH1337" s="98"/>
      <c r="AI1337" s="99"/>
      <c r="AJ1337" s="99"/>
      <c r="AK1337" s="99"/>
      <c r="AL1337" s="45" t="s">
        <v>68</v>
      </c>
      <c r="AM1337" s="162" t="str">
        <f t="shared" si="160"/>
        <v>1/1900</v>
      </c>
      <c r="AN1337" s="45" t="e">
        <f t="shared" si="161"/>
        <v>#NUM!</v>
      </c>
      <c r="AO1337" s="45" t="str">
        <f t="shared" si="162"/>
        <v>1/1900</v>
      </c>
      <c r="AP1337" s="45" t="e">
        <f t="shared" si="163"/>
        <v>#NUM!</v>
      </c>
      <c r="AQ1337" s="45">
        <f t="shared" si="164"/>
        <v>0</v>
      </c>
      <c r="AR1337" s="45">
        <f t="shared" si="165"/>
        <v>0</v>
      </c>
      <c r="AS1337" s="45">
        <f t="shared" si="166"/>
        <v>0</v>
      </c>
      <c r="AT1337" s="45">
        <f t="shared" si="167"/>
        <v>0</v>
      </c>
      <c r="AU1337" s="45" t="str">
        <f>_xlfn.XLOOKUP(U1337,'Lista Suspensa'!$AA$20:$AA$23,'Lista Suspensa'!$AB$20:$AB$23,"N/A")</f>
        <v>S</v>
      </c>
    </row>
    <row r="1338" spans="1:47" ht="12" hidden="1" customHeight="1" x14ac:dyDescent="0.3">
      <c r="A1338" s="87"/>
      <c r="B1338" s="88"/>
      <c r="C1338" s="89"/>
      <c r="D1338" s="89"/>
      <c r="E1338" s="90"/>
      <c r="F1338" s="184"/>
      <c r="G1338" s="91"/>
      <c r="H1338" s="92"/>
      <c r="I1338" s="89"/>
      <c r="J1338" s="89"/>
      <c r="K1338" s="89"/>
      <c r="L1338" s="89"/>
      <c r="M1338" s="89"/>
      <c r="N1338" s="89"/>
      <c r="O1338" s="93"/>
      <c r="P1338" s="94"/>
      <c r="Q1338" s="112"/>
      <c r="R1338" s="95"/>
      <c r="S1338" s="96"/>
      <c r="T1338" s="96"/>
      <c r="U1338" s="96"/>
      <c r="V1338" s="92"/>
      <c r="W1338" s="92"/>
      <c r="X1338" s="92"/>
      <c r="Y1338" s="97"/>
      <c r="Z1338" s="89"/>
      <c r="AA1338" s="96"/>
      <c r="AB1338" s="89"/>
      <c r="AC1338" s="111"/>
      <c r="AD1338" s="89"/>
      <c r="AE1338" s="89"/>
      <c r="AF1338" s="98"/>
      <c r="AG1338" s="98"/>
      <c r="AH1338" s="98"/>
      <c r="AI1338" s="99"/>
      <c r="AJ1338" s="99"/>
      <c r="AK1338" s="99"/>
      <c r="AL1338" s="45" t="s">
        <v>68</v>
      </c>
      <c r="AM1338" s="162" t="str">
        <f t="shared" si="160"/>
        <v>1/1900</v>
      </c>
      <c r="AN1338" s="45" t="e">
        <f t="shared" si="161"/>
        <v>#NUM!</v>
      </c>
      <c r="AO1338" s="45" t="str">
        <f t="shared" si="162"/>
        <v>1/1900</v>
      </c>
      <c r="AP1338" s="45" t="e">
        <f t="shared" si="163"/>
        <v>#NUM!</v>
      </c>
      <c r="AQ1338" s="45">
        <f t="shared" si="164"/>
        <v>0</v>
      </c>
      <c r="AR1338" s="45">
        <f t="shared" si="165"/>
        <v>0</v>
      </c>
      <c r="AS1338" s="45">
        <f t="shared" si="166"/>
        <v>0</v>
      </c>
      <c r="AT1338" s="45">
        <f t="shared" si="167"/>
        <v>0</v>
      </c>
      <c r="AU1338" s="45" t="str">
        <f>_xlfn.XLOOKUP(U1338,'Lista Suspensa'!$AA$20:$AA$23,'Lista Suspensa'!$AB$20:$AB$23,"N/A")</f>
        <v>S</v>
      </c>
    </row>
    <row r="1339" spans="1:47" ht="12" hidden="1" customHeight="1" x14ac:dyDescent="0.3">
      <c r="A1339" s="87"/>
      <c r="B1339" s="88"/>
      <c r="C1339" s="89"/>
      <c r="D1339" s="89"/>
      <c r="E1339" s="90"/>
      <c r="F1339" s="184"/>
      <c r="G1339" s="91"/>
      <c r="H1339" s="92"/>
      <c r="I1339" s="89"/>
      <c r="J1339" s="89"/>
      <c r="K1339" s="89"/>
      <c r="L1339" s="89"/>
      <c r="M1339" s="89"/>
      <c r="N1339" s="89"/>
      <c r="O1339" s="93"/>
      <c r="P1339" s="94"/>
      <c r="Q1339" s="112"/>
      <c r="R1339" s="95"/>
      <c r="S1339" s="96"/>
      <c r="T1339" s="96"/>
      <c r="U1339" s="96"/>
      <c r="V1339" s="92"/>
      <c r="W1339" s="92"/>
      <c r="X1339" s="92"/>
      <c r="Y1339" s="97"/>
      <c r="Z1339" s="89"/>
      <c r="AA1339" s="96"/>
      <c r="AB1339" s="89"/>
      <c r="AC1339" s="111"/>
      <c r="AD1339" s="89"/>
      <c r="AE1339" s="89"/>
      <c r="AF1339" s="98"/>
      <c r="AG1339" s="98"/>
      <c r="AH1339" s="98"/>
      <c r="AI1339" s="99"/>
      <c r="AJ1339" s="99"/>
      <c r="AK1339" s="99"/>
      <c r="AL1339" s="45" t="s">
        <v>68</v>
      </c>
      <c r="AM1339" s="162" t="str">
        <f t="shared" si="160"/>
        <v>1/1900</v>
      </c>
      <c r="AN1339" s="45" t="e">
        <f t="shared" si="161"/>
        <v>#NUM!</v>
      </c>
      <c r="AO1339" s="45" t="str">
        <f t="shared" si="162"/>
        <v>1/1900</v>
      </c>
      <c r="AP1339" s="45" t="e">
        <f t="shared" si="163"/>
        <v>#NUM!</v>
      </c>
      <c r="AQ1339" s="45">
        <f t="shared" si="164"/>
        <v>0</v>
      </c>
      <c r="AR1339" s="45">
        <f t="shared" si="165"/>
        <v>0</v>
      </c>
      <c r="AS1339" s="45">
        <f t="shared" si="166"/>
        <v>0</v>
      </c>
      <c r="AT1339" s="45">
        <f t="shared" si="167"/>
        <v>0</v>
      </c>
      <c r="AU1339" s="45" t="str">
        <f>_xlfn.XLOOKUP(U1339,'Lista Suspensa'!$AA$20:$AA$23,'Lista Suspensa'!$AB$20:$AB$23,"N/A")</f>
        <v>S</v>
      </c>
    </row>
    <row r="1340" spans="1:47" ht="12" hidden="1" customHeight="1" x14ac:dyDescent="0.3">
      <c r="A1340" s="87"/>
      <c r="B1340" s="88"/>
      <c r="C1340" s="89"/>
      <c r="D1340" s="89"/>
      <c r="E1340" s="90"/>
      <c r="F1340" s="184"/>
      <c r="G1340" s="91"/>
      <c r="H1340" s="92"/>
      <c r="I1340" s="89"/>
      <c r="J1340" s="89"/>
      <c r="K1340" s="89"/>
      <c r="L1340" s="89"/>
      <c r="M1340" s="89"/>
      <c r="N1340" s="89"/>
      <c r="O1340" s="93"/>
      <c r="P1340" s="94"/>
      <c r="Q1340" s="112"/>
      <c r="R1340" s="95"/>
      <c r="S1340" s="96"/>
      <c r="T1340" s="96"/>
      <c r="U1340" s="96"/>
      <c r="V1340" s="92"/>
      <c r="W1340" s="92"/>
      <c r="X1340" s="92"/>
      <c r="Y1340" s="97"/>
      <c r="Z1340" s="89"/>
      <c r="AA1340" s="96"/>
      <c r="AB1340" s="89"/>
      <c r="AC1340" s="111"/>
      <c r="AD1340" s="89"/>
      <c r="AE1340" s="89"/>
      <c r="AF1340" s="98"/>
      <c r="AG1340" s="98"/>
      <c r="AH1340" s="98"/>
      <c r="AI1340" s="99"/>
      <c r="AJ1340" s="99"/>
      <c r="AK1340" s="99"/>
      <c r="AL1340" s="45" t="s">
        <v>68</v>
      </c>
      <c r="AM1340" s="162" t="str">
        <f t="shared" si="160"/>
        <v>1/1900</v>
      </c>
      <c r="AN1340" s="45" t="e">
        <f t="shared" si="161"/>
        <v>#NUM!</v>
      </c>
      <c r="AO1340" s="45" t="str">
        <f t="shared" si="162"/>
        <v>1/1900</v>
      </c>
      <c r="AP1340" s="45" t="e">
        <f t="shared" si="163"/>
        <v>#NUM!</v>
      </c>
      <c r="AQ1340" s="45">
        <f t="shared" si="164"/>
        <v>0</v>
      </c>
      <c r="AR1340" s="45">
        <f t="shared" si="165"/>
        <v>0</v>
      </c>
      <c r="AS1340" s="45">
        <f t="shared" si="166"/>
        <v>0</v>
      </c>
      <c r="AT1340" s="45">
        <f t="shared" si="167"/>
        <v>0</v>
      </c>
      <c r="AU1340" s="45" t="str">
        <f>_xlfn.XLOOKUP(U1340,'Lista Suspensa'!$AA$20:$AA$23,'Lista Suspensa'!$AB$20:$AB$23,"N/A")</f>
        <v>S</v>
      </c>
    </row>
    <row r="1341" spans="1:47" ht="12" hidden="1" customHeight="1" x14ac:dyDescent="0.3">
      <c r="A1341" s="87"/>
      <c r="B1341" s="88"/>
      <c r="C1341" s="89"/>
      <c r="D1341" s="89"/>
      <c r="E1341" s="90"/>
      <c r="F1341" s="184"/>
      <c r="G1341" s="91"/>
      <c r="H1341" s="92"/>
      <c r="I1341" s="89"/>
      <c r="J1341" s="89"/>
      <c r="K1341" s="89"/>
      <c r="L1341" s="89"/>
      <c r="M1341" s="89"/>
      <c r="N1341" s="89"/>
      <c r="O1341" s="93"/>
      <c r="P1341" s="94"/>
      <c r="Q1341" s="112"/>
      <c r="R1341" s="95"/>
      <c r="S1341" s="96"/>
      <c r="T1341" s="96"/>
      <c r="U1341" s="96"/>
      <c r="V1341" s="92"/>
      <c r="W1341" s="92"/>
      <c r="X1341" s="92"/>
      <c r="Y1341" s="97"/>
      <c r="Z1341" s="89"/>
      <c r="AA1341" s="96"/>
      <c r="AB1341" s="89"/>
      <c r="AC1341" s="111"/>
      <c r="AD1341" s="89"/>
      <c r="AE1341" s="89"/>
      <c r="AF1341" s="98"/>
      <c r="AG1341" s="98"/>
      <c r="AH1341" s="98"/>
      <c r="AI1341" s="99"/>
      <c r="AJ1341" s="99"/>
      <c r="AK1341" s="99"/>
      <c r="AL1341" s="45" t="s">
        <v>68</v>
      </c>
      <c r="AM1341" s="162" t="str">
        <f t="shared" si="160"/>
        <v>1/1900</v>
      </c>
      <c r="AN1341" s="45" t="e">
        <f t="shared" si="161"/>
        <v>#NUM!</v>
      </c>
      <c r="AO1341" s="45" t="str">
        <f t="shared" si="162"/>
        <v>1/1900</v>
      </c>
      <c r="AP1341" s="45" t="e">
        <f t="shared" si="163"/>
        <v>#NUM!</v>
      </c>
      <c r="AQ1341" s="45">
        <f t="shared" si="164"/>
        <v>0</v>
      </c>
      <c r="AR1341" s="45">
        <f t="shared" si="165"/>
        <v>0</v>
      </c>
      <c r="AS1341" s="45">
        <f t="shared" si="166"/>
        <v>0</v>
      </c>
      <c r="AT1341" s="45">
        <f t="shared" si="167"/>
        <v>0</v>
      </c>
      <c r="AU1341" s="45" t="str">
        <f>_xlfn.XLOOKUP(U1341,'Lista Suspensa'!$AA$20:$AA$23,'Lista Suspensa'!$AB$20:$AB$23,"N/A")</f>
        <v>S</v>
      </c>
    </row>
    <row r="1342" spans="1:47" ht="12" hidden="1" customHeight="1" x14ac:dyDescent="0.3">
      <c r="A1342" s="87"/>
      <c r="B1342" s="88"/>
      <c r="C1342" s="89"/>
      <c r="D1342" s="89"/>
      <c r="E1342" s="90"/>
      <c r="F1342" s="184"/>
      <c r="G1342" s="91"/>
      <c r="H1342" s="92"/>
      <c r="I1342" s="89"/>
      <c r="J1342" s="89"/>
      <c r="K1342" s="89"/>
      <c r="L1342" s="89"/>
      <c r="M1342" s="89"/>
      <c r="N1342" s="89"/>
      <c r="O1342" s="93"/>
      <c r="P1342" s="94"/>
      <c r="Q1342" s="112"/>
      <c r="R1342" s="95"/>
      <c r="S1342" s="96"/>
      <c r="T1342" s="96"/>
      <c r="U1342" s="96"/>
      <c r="V1342" s="92"/>
      <c r="W1342" s="92"/>
      <c r="X1342" s="92"/>
      <c r="Y1342" s="97"/>
      <c r="Z1342" s="89"/>
      <c r="AA1342" s="96"/>
      <c r="AB1342" s="89"/>
      <c r="AC1342" s="111"/>
      <c r="AD1342" s="89"/>
      <c r="AE1342" s="89"/>
      <c r="AF1342" s="98"/>
      <c r="AG1342" s="98"/>
      <c r="AH1342" s="98"/>
      <c r="AI1342" s="99"/>
      <c r="AJ1342" s="99"/>
      <c r="AK1342" s="99"/>
      <c r="AL1342" s="45" t="s">
        <v>68</v>
      </c>
      <c r="AM1342" s="162" t="str">
        <f t="shared" si="160"/>
        <v>1/1900</v>
      </c>
      <c r="AN1342" s="45" t="e">
        <f t="shared" si="161"/>
        <v>#NUM!</v>
      </c>
      <c r="AO1342" s="45" t="str">
        <f t="shared" si="162"/>
        <v>1/1900</v>
      </c>
      <c r="AP1342" s="45" t="e">
        <f t="shared" si="163"/>
        <v>#NUM!</v>
      </c>
      <c r="AQ1342" s="45">
        <f t="shared" si="164"/>
        <v>0</v>
      </c>
      <c r="AR1342" s="45">
        <f t="shared" si="165"/>
        <v>0</v>
      </c>
      <c r="AS1342" s="45">
        <f t="shared" si="166"/>
        <v>0</v>
      </c>
      <c r="AT1342" s="45">
        <f t="shared" si="167"/>
        <v>0</v>
      </c>
      <c r="AU1342" s="45" t="str">
        <f>_xlfn.XLOOKUP(U1342,'Lista Suspensa'!$AA$20:$AA$23,'Lista Suspensa'!$AB$20:$AB$23,"N/A")</f>
        <v>S</v>
      </c>
    </row>
    <row r="1343" spans="1:47" ht="12" hidden="1" customHeight="1" x14ac:dyDescent="0.3">
      <c r="A1343" s="87"/>
      <c r="B1343" s="88"/>
      <c r="C1343" s="89"/>
      <c r="D1343" s="89"/>
      <c r="E1343" s="90"/>
      <c r="F1343" s="184"/>
      <c r="G1343" s="91"/>
      <c r="H1343" s="92"/>
      <c r="I1343" s="89"/>
      <c r="J1343" s="89"/>
      <c r="K1343" s="89"/>
      <c r="L1343" s="89"/>
      <c r="M1343" s="89"/>
      <c r="N1343" s="89"/>
      <c r="O1343" s="93"/>
      <c r="P1343" s="94"/>
      <c r="Q1343" s="112"/>
      <c r="R1343" s="95"/>
      <c r="S1343" s="96"/>
      <c r="T1343" s="96"/>
      <c r="U1343" s="96"/>
      <c r="V1343" s="92"/>
      <c r="W1343" s="92"/>
      <c r="X1343" s="92"/>
      <c r="Y1343" s="97"/>
      <c r="Z1343" s="89"/>
      <c r="AA1343" s="96"/>
      <c r="AB1343" s="89"/>
      <c r="AC1343" s="111"/>
      <c r="AD1343" s="89"/>
      <c r="AE1343" s="89"/>
      <c r="AF1343" s="98"/>
      <c r="AG1343" s="98"/>
      <c r="AH1343" s="98"/>
      <c r="AI1343" s="99"/>
      <c r="AJ1343" s="99"/>
      <c r="AK1343" s="99"/>
      <c r="AL1343" s="45" t="s">
        <v>68</v>
      </c>
      <c r="AM1343" s="162" t="str">
        <f t="shared" si="160"/>
        <v>1/1900</v>
      </c>
      <c r="AN1343" s="45" t="e">
        <f t="shared" si="161"/>
        <v>#NUM!</v>
      </c>
      <c r="AO1343" s="45" t="str">
        <f t="shared" si="162"/>
        <v>1/1900</v>
      </c>
      <c r="AP1343" s="45" t="e">
        <f t="shared" si="163"/>
        <v>#NUM!</v>
      </c>
      <c r="AQ1343" s="45">
        <f t="shared" si="164"/>
        <v>0</v>
      </c>
      <c r="AR1343" s="45">
        <f t="shared" si="165"/>
        <v>0</v>
      </c>
      <c r="AS1343" s="45">
        <f t="shared" si="166"/>
        <v>0</v>
      </c>
      <c r="AT1343" s="45">
        <f t="shared" si="167"/>
        <v>0</v>
      </c>
      <c r="AU1343" s="45" t="str">
        <f>_xlfn.XLOOKUP(U1343,'Lista Suspensa'!$AA$20:$AA$23,'Lista Suspensa'!$AB$20:$AB$23,"N/A")</f>
        <v>S</v>
      </c>
    </row>
    <row r="1344" spans="1:47" ht="12" hidden="1" customHeight="1" x14ac:dyDescent="0.3">
      <c r="A1344" s="87"/>
      <c r="B1344" s="88"/>
      <c r="C1344" s="89"/>
      <c r="D1344" s="89"/>
      <c r="E1344" s="90"/>
      <c r="F1344" s="184"/>
      <c r="G1344" s="91"/>
      <c r="H1344" s="92"/>
      <c r="I1344" s="89"/>
      <c r="J1344" s="89"/>
      <c r="K1344" s="89"/>
      <c r="L1344" s="89"/>
      <c r="M1344" s="89"/>
      <c r="N1344" s="89"/>
      <c r="O1344" s="93"/>
      <c r="P1344" s="94"/>
      <c r="Q1344" s="112"/>
      <c r="R1344" s="95"/>
      <c r="S1344" s="96"/>
      <c r="T1344" s="96"/>
      <c r="U1344" s="96"/>
      <c r="V1344" s="92"/>
      <c r="W1344" s="92"/>
      <c r="X1344" s="92"/>
      <c r="Y1344" s="97"/>
      <c r="Z1344" s="89"/>
      <c r="AA1344" s="96"/>
      <c r="AB1344" s="89"/>
      <c r="AC1344" s="111"/>
      <c r="AD1344" s="89"/>
      <c r="AE1344" s="89"/>
      <c r="AF1344" s="98"/>
      <c r="AG1344" s="98"/>
      <c r="AH1344" s="98"/>
      <c r="AI1344" s="99"/>
      <c r="AJ1344" s="99"/>
      <c r="AK1344" s="99"/>
      <c r="AL1344" s="45" t="s">
        <v>68</v>
      </c>
      <c r="AM1344" s="162" t="str">
        <f t="shared" si="160"/>
        <v>1/1900</v>
      </c>
      <c r="AN1344" s="45" t="e">
        <f t="shared" si="161"/>
        <v>#NUM!</v>
      </c>
      <c r="AO1344" s="45" t="str">
        <f t="shared" si="162"/>
        <v>1/1900</v>
      </c>
      <c r="AP1344" s="45" t="e">
        <f t="shared" si="163"/>
        <v>#NUM!</v>
      </c>
      <c r="AQ1344" s="45">
        <f t="shared" si="164"/>
        <v>0</v>
      </c>
      <c r="AR1344" s="45">
        <f t="shared" si="165"/>
        <v>0</v>
      </c>
      <c r="AS1344" s="45">
        <f t="shared" si="166"/>
        <v>0</v>
      </c>
      <c r="AT1344" s="45">
        <f t="shared" si="167"/>
        <v>0</v>
      </c>
      <c r="AU1344" s="45" t="str">
        <f>_xlfn.XLOOKUP(U1344,'Lista Suspensa'!$AA$20:$AA$23,'Lista Suspensa'!$AB$20:$AB$23,"N/A")</f>
        <v>S</v>
      </c>
    </row>
    <row r="1345" spans="1:47" ht="12" hidden="1" customHeight="1" x14ac:dyDescent="0.3">
      <c r="A1345" s="87"/>
      <c r="B1345" s="88"/>
      <c r="C1345" s="89"/>
      <c r="D1345" s="89"/>
      <c r="E1345" s="90"/>
      <c r="F1345" s="184"/>
      <c r="G1345" s="91"/>
      <c r="H1345" s="92"/>
      <c r="I1345" s="89"/>
      <c r="J1345" s="89"/>
      <c r="K1345" s="89"/>
      <c r="L1345" s="89"/>
      <c r="M1345" s="89"/>
      <c r="N1345" s="89"/>
      <c r="O1345" s="93"/>
      <c r="P1345" s="94"/>
      <c r="Q1345" s="112"/>
      <c r="R1345" s="95"/>
      <c r="S1345" s="96"/>
      <c r="T1345" s="96"/>
      <c r="U1345" s="96"/>
      <c r="V1345" s="92"/>
      <c r="W1345" s="92"/>
      <c r="X1345" s="92"/>
      <c r="Y1345" s="97"/>
      <c r="Z1345" s="89"/>
      <c r="AA1345" s="96"/>
      <c r="AB1345" s="89"/>
      <c r="AC1345" s="111"/>
      <c r="AD1345" s="89"/>
      <c r="AE1345" s="89"/>
      <c r="AF1345" s="98"/>
      <c r="AG1345" s="98"/>
      <c r="AH1345" s="98"/>
      <c r="AI1345" s="99"/>
      <c r="AJ1345" s="99"/>
      <c r="AK1345" s="99"/>
      <c r="AL1345" s="45" t="s">
        <v>68</v>
      </c>
      <c r="AM1345" s="162" t="str">
        <f t="shared" si="160"/>
        <v>1/1900</v>
      </c>
      <c r="AN1345" s="45" t="e">
        <f t="shared" si="161"/>
        <v>#NUM!</v>
      </c>
      <c r="AO1345" s="45" t="str">
        <f t="shared" si="162"/>
        <v>1/1900</v>
      </c>
      <c r="AP1345" s="45" t="e">
        <f t="shared" si="163"/>
        <v>#NUM!</v>
      </c>
      <c r="AQ1345" s="45">
        <f t="shared" si="164"/>
        <v>0</v>
      </c>
      <c r="AR1345" s="45">
        <f t="shared" si="165"/>
        <v>0</v>
      </c>
      <c r="AS1345" s="45">
        <f t="shared" si="166"/>
        <v>0</v>
      </c>
      <c r="AT1345" s="45">
        <f t="shared" si="167"/>
        <v>0</v>
      </c>
      <c r="AU1345" s="45" t="str">
        <f>_xlfn.XLOOKUP(U1345,'Lista Suspensa'!$AA$20:$AA$23,'Lista Suspensa'!$AB$20:$AB$23,"N/A")</f>
        <v>S</v>
      </c>
    </row>
    <row r="1346" spans="1:47" ht="12" hidden="1" customHeight="1" x14ac:dyDescent="0.3">
      <c r="A1346" s="87"/>
      <c r="B1346" s="88"/>
      <c r="C1346" s="89"/>
      <c r="D1346" s="89"/>
      <c r="E1346" s="90"/>
      <c r="F1346" s="184"/>
      <c r="G1346" s="91"/>
      <c r="H1346" s="92"/>
      <c r="I1346" s="89"/>
      <c r="J1346" s="89"/>
      <c r="K1346" s="89"/>
      <c r="L1346" s="89"/>
      <c r="M1346" s="89"/>
      <c r="N1346" s="89"/>
      <c r="O1346" s="93"/>
      <c r="P1346" s="94"/>
      <c r="Q1346" s="112"/>
      <c r="R1346" s="95"/>
      <c r="S1346" s="96"/>
      <c r="T1346" s="96"/>
      <c r="U1346" s="96"/>
      <c r="V1346" s="92"/>
      <c r="W1346" s="92"/>
      <c r="X1346" s="92"/>
      <c r="Y1346" s="97"/>
      <c r="Z1346" s="89"/>
      <c r="AA1346" s="96"/>
      <c r="AB1346" s="89"/>
      <c r="AC1346" s="111"/>
      <c r="AD1346" s="89"/>
      <c r="AE1346" s="89"/>
      <c r="AF1346" s="98"/>
      <c r="AG1346" s="98"/>
      <c r="AH1346" s="98"/>
      <c r="AI1346" s="99"/>
      <c r="AJ1346" s="99"/>
      <c r="AK1346" s="99"/>
      <c r="AL1346" s="45" t="s">
        <v>68</v>
      </c>
      <c r="AM1346" s="162" t="str">
        <f t="shared" ref="AM1346:AM1409" si="168">MONTH(B1346)&amp;"/"&amp;YEAR(B1346)</f>
        <v>1/1900</v>
      </c>
      <c r="AN1346" s="45" t="e">
        <f t="shared" ref="AN1346:AN1409" si="169">WEEKNUM(B1346)-WEEKNUM(EOMONTH(B1346,-1)+1)+1</f>
        <v>#NUM!</v>
      </c>
      <c r="AO1346" s="45" t="str">
        <f t="shared" ref="AO1346:AO1409" si="170">MONTH(R1346)&amp;"/"&amp;YEAR(R1346)</f>
        <v>1/1900</v>
      </c>
      <c r="AP1346" s="45" t="e">
        <f t="shared" ref="AP1346:AP1409" si="171">WEEKNUM(R1346)-WEEKNUM(EOMONTH(R1346,-1)+1)+1</f>
        <v>#NUM!</v>
      </c>
      <c r="AQ1346" s="45">
        <f t="shared" ref="AQ1346:AQ1409" si="172">IF(AU1346="S",IF(Q1346="1. Aceitou o programa",R1346-B1346,0),0)</f>
        <v>0</v>
      </c>
      <c r="AR1346" s="45">
        <f t="shared" ref="AR1346:AR1409" si="173">IF(AU1346="S",IF(AND(S1346&lt;&gt;"",R1346&lt;&gt;""),S1346-R1346,0),0)</f>
        <v>0</v>
      </c>
      <c r="AS1346" s="45">
        <f t="shared" ref="AS1346:AS1409" si="174">IF(AU1346="S",IF(Q1346="1. Aceitou o programa",IF(OR(X1346="Não se Aplica",X1346=""),IF(OR(W1346="Não se Aplica",W1346=""),0,W1346-V1346),AVERAGE(X1346-W1346,W1346-V1346)),0),0)</f>
        <v>0</v>
      </c>
      <c r="AT1346" s="45">
        <f t="shared" ref="AT1346:AT1409" si="175">IF(AU1346="S",IF(AND(Q1346="1. Aceitou o programa",AB1346="Realizada"),IFERROR(IF(AA1346="",0,AA1346-R1346),0),0),0)</f>
        <v>0</v>
      </c>
      <c r="AU1346" s="45" t="str">
        <f>_xlfn.XLOOKUP(U1346,'Lista Suspensa'!$AA$20:$AA$23,'Lista Suspensa'!$AB$20:$AB$23,"N/A")</f>
        <v>S</v>
      </c>
    </row>
    <row r="1347" spans="1:47" ht="12" hidden="1" customHeight="1" x14ac:dyDescent="0.3">
      <c r="A1347" s="87"/>
      <c r="B1347" s="88"/>
      <c r="C1347" s="89"/>
      <c r="D1347" s="89"/>
      <c r="E1347" s="90"/>
      <c r="F1347" s="184"/>
      <c r="G1347" s="91"/>
      <c r="H1347" s="92"/>
      <c r="I1347" s="89"/>
      <c r="J1347" s="89"/>
      <c r="K1347" s="89"/>
      <c r="L1347" s="89"/>
      <c r="M1347" s="89"/>
      <c r="N1347" s="89"/>
      <c r="O1347" s="93"/>
      <c r="P1347" s="94"/>
      <c r="Q1347" s="112"/>
      <c r="R1347" s="95"/>
      <c r="S1347" s="96"/>
      <c r="T1347" s="96"/>
      <c r="U1347" s="96"/>
      <c r="V1347" s="92"/>
      <c r="W1347" s="92"/>
      <c r="X1347" s="92"/>
      <c r="Y1347" s="97"/>
      <c r="Z1347" s="89"/>
      <c r="AA1347" s="96"/>
      <c r="AB1347" s="89"/>
      <c r="AC1347" s="111"/>
      <c r="AD1347" s="89"/>
      <c r="AE1347" s="89"/>
      <c r="AF1347" s="98"/>
      <c r="AG1347" s="98"/>
      <c r="AH1347" s="98"/>
      <c r="AI1347" s="99"/>
      <c r="AJ1347" s="99"/>
      <c r="AK1347" s="99"/>
      <c r="AL1347" s="45" t="s">
        <v>68</v>
      </c>
      <c r="AM1347" s="162" t="str">
        <f t="shared" si="168"/>
        <v>1/1900</v>
      </c>
      <c r="AN1347" s="45" t="e">
        <f t="shared" si="169"/>
        <v>#NUM!</v>
      </c>
      <c r="AO1347" s="45" t="str">
        <f t="shared" si="170"/>
        <v>1/1900</v>
      </c>
      <c r="AP1347" s="45" t="e">
        <f t="shared" si="171"/>
        <v>#NUM!</v>
      </c>
      <c r="AQ1347" s="45">
        <f t="shared" si="172"/>
        <v>0</v>
      </c>
      <c r="AR1347" s="45">
        <f t="shared" si="173"/>
        <v>0</v>
      </c>
      <c r="AS1347" s="45">
        <f t="shared" si="174"/>
        <v>0</v>
      </c>
      <c r="AT1347" s="45">
        <f t="shared" si="175"/>
        <v>0</v>
      </c>
      <c r="AU1347" s="45" t="str">
        <f>_xlfn.XLOOKUP(U1347,'Lista Suspensa'!$AA$20:$AA$23,'Lista Suspensa'!$AB$20:$AB$23,"N/A")</f>
        <v>S</v>
      </c>
    </row>
    <row r="1348" spans="1:47" ht="12" hidden="1" customHeight="1" x14ac:dyDescent="0.3">
      <c r="A1348" s="87"/>
      <c r="B1348" s="88"/>
      <c r="C1348" s="89"/>
      <c r="D1348" s="89"/>
      <c r="E1348" s="90"/>
      <c r="F1348" s="184"/>
      <c r="G1348" s="91"/>
      <c r="H1348" s="92"/>
      <c r="I1348" s="89"/>
      <c r="J1348" s="89"/>
      <c r="K1348" s="89"/>
      <c r="L1348" s="89"/>
      <c r="M1348" s="89"/>
      <c r="N1348" s="89"/>
      <c r="O1348" s="93"/>
      <c r="P1348" s="94"/>
      <c r="Q1348" s="112"/>
      <c r="R1348" s="95"/>
      <c r="S1348" s="96"/>
      <c r="T1348" s="96"/>
      <c r="U1348" s="96"/>
      <c r="V1348" s="92"/>
      <c r="W1348" s="92"/>
      <c r="X1348" s="92"/>
      <c r="Y1348" s="97"/>
      <c r="Z1348" s="89"/>
      <c r="AA1348" s="96"/>
      <c r="AB1348" s="89"/>
      <c r="AC1348" s="111"/>
      <c r="AD1348" s="89"/>
      <c r="AE1348" s="89"/>
      <c r="AF1348" s="98"/>
      <c r="AG1348" s="98"/>
      <c r="AH1348" s="98"/>
      <c r="AI1348" s="99"/>
      <c r="AJ1348" s="99"/>
      <c r="AK1348" s="99"/>
      <c r="AL1348" s="45" t="s">
        <v>68</v>
      </c>
      <c r="AM1348" s="162" t="str">
        <f t="shared" si="168"/>
        <v>1/1900</v>
      </c>
      <c r="AN1348" s="45" t="e">
        <f t="shared" si="169"/>
        <v>#NUM!</v>
      </c>
      <c r="AO1348" s="45" t="str">
        <f t="shared" si="170"/>
        <v>1/1900</v>
      </c>
      <c r="AP1348" s="45" t="e">
        <f t="shared" si="171"/>
        <v>#NUM!</v>
      </c>
      <c r="AQ1348" s="45">
        <f t="shared" si="172"/>
        <v>0</v>
      </c>
      <c r="AR1348" s="45">
        <f t="shared" si="173"/>
        <v>0</v>
      </c>
      <c r="AS1348" s="45">
        <f t="shared" si="174"/>
        <v>0</v>
      </c>
      <c r="AT1348" s="45">
        <f t="shared" si="175"/>
        <v>0</v>
      </c>
      <c r="AU1348" s="45" t="str">
        <f>_xlfn.XLOOKUP(U1348,'Lista Suspensa'!$AA$20:$AA$23,'Lista Suspensa'!$AB$20:$AB$23,"N/A")</f>
        <v>S</v>
      </c>
    </row>
    <row r="1349" spans="1:47" ht="12" hidden="1" customHeight="1" x14ac:dyDescent="0.3">
      <c r="A1349" s="87"/>
      <c r="B1349" s="88"/>
      <c r="C1349" s="89"/>
      <c r="D1349" s="89"/>
      <c r="E1349" s="90"/>
      <c r="F1349" s="184"/>
      <c r="G1349" s="91"/>
      <c r="H1349" s="92"/>
      <c r="I1349" s="89"/>
      <c r="J1349" s="89"/>
      <c r="K1349" s="89"/>
      <c r="L1349" s="89"/>
      <c r="M1349" s="89"/>
      <c r="N1349" s="89"/>
      <c r="O1349" s="93"/>
      <c r="P1349" s="94"/>
      <c r="Q1349" s="112"/>
      <c r="R1349" s="95"/>
      <c r="S1349" s="96"/>
      <c r="T1349" s="96"/>
      <c r="U1349" s="96"/>
      <c r="V1349" s="92"/>
      <c r="W1349" s="92"/>
      <c r="X1349" s="92"/>
      <c r="Y1349" s="97"/>
      <c r="Z1349" s="89"/>
      <c r="AA1349" s="96"/>
      <c r="AB1349" s="89"/>
      <c r="AC1349" s="111"/>
      <c r="AD1349" s="89"/>
      <c r="AE1349" s="89"/>
      <c r="AF1349" s="98"/>
      <c r="AG1349" s="98"/>
      <c r="AH1349" s="98"/>
      <c r="AI1349" s="99"/>
      <c r="AJ1349" s="99"/>
      <c r="AK1349" s="99"/>
      <c r="AL1349" s="45" t="s">
        <v>68</v>
      </c>
      <c r="AM1349" s="162" t="str">
        <f t="shared" si="168"/>
        <v>1/1900</v>
      </c>
      <c r="AN1349" s="45" t="e">
        <f t="shared" si="169"/>
        <v>#NUM!</v>
      </c>
      <c r="AO1349" s="45" t="str">
        <f t="shared" si="170"/>
        <v>1/1900</v>
      </c>
      <c r="AP1349" s="45" t="e">
        <f t="shared" si="171"/>
        <v>#NUM!</v>
      </c>
      <c r="AQ1349" s="45">
        <f t="shared" si="172"/>
        <v>0</v>
      </c>
      <c r="AR1349" s="45">
        <f t="shared" si="173"/>
        <v>0</v>
      </c>
      <c r="AS1349" s="45">
        <f t="shared" si="174"/>
        <v>0</v>
      </c>
      <c r="AT1349" s="45">
        <f t="shared" si="175"/>
        <v>0</v>
      </c>
      <c r="AU1349" s="45" t="str">
        <f>_xlfn.XLOOKUP(U1349,'Lista Suspensa'!$AA$20:$AA$23,'Lista Suspensa'!$AB$20:$AB$23,"N/A")</f>
        <v>S</v>
      </c>
    </row>
    <row r="1350" spans="1:47" ht="12" hidden="1" customHeight="1" x14ac:dyDescent="0.3">
      <c r="A1350" s="87"/>
      <c r="B1350" s="88"/>
      <c r="C1350" s="89"/>
      <c r="D1350" s="89"/>
      <c r="E1350" s="90"/>
      <c r="F1350" s="184"/>
      <c r="G1350" s="91"/>
      <c r="H1350" s="92"/>
      <c r="I1350" s="89"/>
      <c r="J1350" s="89"/>
      <c r="K1350" s="89"/>
      <c r="L1350" s="89"/>
      <c r="M1350" s="89"/>
      <c r="N1350" s="89"/>
      <c r="O1350" s="93"/>
      <c r="P1350" s="94"/>
      <c r="Q1350" s="112"/>
      <c r="R1350" s="95"/>
      <c r="S1350" s="96"/>
      <c r="T1350" s="96"/>
      <c r="U1350" s="96"/>
      <c r="V1350" s="92"/>
      <c r="W1350" s="92"/>
      <c r="X1350" s="92"/>
      <c r="Y1350" s="97"/>
      <c r="Z1350" s="89"/>
      <c r="AA1350" s="96"/>
      <c r="AB1350" s="89"/>
      <c r="AC1350" s="111"/>
      <c r="AD1350" s="89"/>
      <c r="AE1350" s="89"/>
      <c r="AF1350" s="98"/>
      <c r="AG1350" s="98"/>
      <c r="AH1350" s="98"/>
      <c r="AI1350" s="99"/>
      <c r="AJ1350" s="99"/>
      <c r="AK1350" s="99"/>
      <c r="AL1350" s="45" t="s">
        <v>68</v>
      </c>
      <c r="AM1350" s="162" t="str">
        <f t="shared" si="168"/>
        <v>1/1900</v>
      </c>
      <c r="AN1350" s="45" t="e">
        <f t="shared" si="169"/>
        <v>#NUM!</v>
      </c>
      <c r="AO1350" s="45" t="str">
        <f t="shared" si="170"/>
        <v>1/1900</v>
      </c>
      <c r="AP1350" s="45" t="e">
        <f t="shared" si="171"/>
        <v>#NUM!</v>
      </c>
      <c r="AQ1350" s="45">
        <f t="shared" si="172"/>
        <v>0</v>
      </c>
      <c r="AR1350" s="45">
        <f t="shared" si="173"/>
        <v>0</v>
      </c>
      <c r="AS1350" s="45">
        <f t="shared" si="174"/>
        <v>0</v>
      </c>
      <c r="AT1350" s="45">
        <f t="shared" si="175"/>
        <v>0</v>
      </c>
      <c r="AU1350" s="45" t="str">
        <f>_xlfn.XLOOKUP(U1350,'Lista Suspensa'!$AA$20:$AA$23,'Lista Suspensa'!$AB$20:$AB$23,"N/A")</f>
        <v>S</v>
      </c>
    </row>
    <row r="1351" spans="1:47" ht="12" hidden="1" customHeight="1" x14ac:dyDescent="0.3">
      <c r="A1351" s="87"/>
      <c r="B1351" s="88"/>
      <c r="C1351" s="89"/>
      <c r="D1351" s="89"/>
      <c r="E1351" s="90"/>
      <c r="F1351" s="184"/>
      <c r="G1351" s="91"/>
      <c r="H1351" s="92"/>
      <c r="I1351" s="89"/>
      <c r="J1351" s="89"/>
      <c r="K1351" s="89"/>
      <c r="L1351" s="89"/>
      <c r="M1351" s="89"/>
      <c r="N1351" s="89"/>
      <c r="O1351" s="93"/>
      <c r="P1351" s="94"/>
      <c r="Q1351" s="112"/>
      <c r="R1351" s="95"/>
      <c r="S1351" s="96"/>
      <c r="T1351" s="96"/>
      <c r="U1351" s="96"/>
      <c r="V1351" s="92"/>
      <c r="W1351" s="92"/>
      <c r="X1351" s="92"/>
      <c r="Y1351" s="97"/>
      <c r="Z1351" s="89"/>
      <c r="AA1351" s="96"/>
      <c r="AB1351" s="89"/>
      <c r="AC1351" s="111"/>
      <c r="AD1351" s="89"/>
      <c r="AE1351" s="89"/>
      <c r="AF1351" s="98"/>
      <c r="AG1351" s="98"/>
      <c r="AH1351" s="98"/>
      <c r="AI1351" s="99"/>
      <c r="AJ1351" s="99"/>
      <c r="AK1351" s="99"/>
      <c r="AL1351" s="45" t="s">
        <v>68</v>
      </c>
      <c r="AM1351" s="162" t="str">
        <f t="shared" si="168"/>
        <v>1/1900</v>
      </c>
      <c r="AN1351" s="45" t="e">
        <f t="shared" si="169"/>
        <v>#NUM!</v>
      </c>
      <c r="AO1351" s="45" t="str">
        <f t="shared" si="170"/>
        <v>1/1900</v>
      </c>
      <c r="AP1351" s="45" t="e">
        <f t="shared" si="171"/>
        <v>#NUM!</v>
      </c>
      <c r="AQ1351" s="45">
        <f t="shared" si="172"/>
        <v>0</v>
      </c>
      <c r="AR1351" s="45">
        <f t="shared" si="173"/>
        <v>0</v>
      </c>
      <c r="AS1351" s="45">
        <f t="shared" si="174"/>
        <v>0</v>
      </c>
      <c r="AT1351" s="45">
        <f t="shared" si="175"/>
        <v>0</v>
      </c>
      <c r="AU1351" s="45" t="str">
        <f>_xlfn.XLOOKUP(U1351,'Lista Suspensa'!$AA$20:$AA$23,'Lista Suspensa'!$AB$20:$AB$23,"N/A")</f>
        <v>S</v>
      </c>
    </row>
    <row r="1352" spans="1:47" ht="12" hidden="1" customHeight="1" x14ac:dyDescent="0.3">
      <c r="A1352" s="87"/>
      <c r="B1352" s="88"/>
      <c r="C1352" s="89"/>
      <c r="D1352" s="89"/>
      <c r="E1352" s="90"/>
      <c r="F1352" s="184"/>
      <c r="G1352" s="91"/>
      <c r="H1352" s="92"/>
      <c r="I1352" s="89"/>
      <c r="J1352" s="89"/>
      <c r="K1352" s="89"/>
      <c r="L1352" s="89"/>
      <c r="M1352" s="89"/>
      <c r="N1352" s="89"/>
      <c r="O1352" s="93"/>
      <c r="P1352" s="94"/>
      <c r="Q1352" s="112"/>
      <c r="R1352" s="95"/>
      <c r="S1352" s="96"/>
      <c r="T1352" s="96"/>
      <c r="U1352" s="96"/>
      <c r="V1352" s="92"/>
      <c r="W1352" s="92"/>
      <c r="X1352" s="92"/>
      <c r="Y1352" s="97"/>
      <c r="Z1352" s="89"/>
      <c r="AA1352" s="96"/>
      <c r="AB1352" s="89"/>
      <c r="AC1352" s="111"/>
      <c r="AD1352" s="89"/>
      <c r="AE1352" s="89"/>
      <c r="AF1352" s="98"/>
      <c r="AG1352" s="98"/>
      <c r="AH1352" s="98"/>
      <c r="AI1352" s="99"/>
      <c r="AJ1352" s="99"/>
      <c r="AK1352" s="99"/>
      <c r="AL1352" s="45" t="s">
        <v>68</v>
      </c>
      <c r="AM1352" s="162" t="str">
        <f t="shared" si="168"/>
        <v>1/1900</v>
      </c>
      <c r="AN1352" s="45" t="e">
        <f t="shared" si="169"/>
        <v>#NUM!</v>
      </c>
      <c r="AO1352" s="45" t="str">
        <f t="shared" si="170"/>
        <v>1/1900</v>
      </c>
      <c r="AP1352" s="45" t="e">
        <f t="shared" si="171"/>
        <v>#NUM!</v>
      </c>
      <c r="AQ1352" s="45">
        <f t="shared" si="172"/>
        <v>0</v>
      </c>
      <c r="AR1352" s="45">
        <f t="shared" si="173"/>
        <v>0</v>
      </c>
      <c r="AS1352" s="45">
        <f t="shared" si="174"/>
        <v>0</v>
      </c>
      <c r="AT1352" s="45">
        <f t="shared" si="175"/>
        <v>0</v>
      </c>
      <c r="AU1352" s="45" t="str">
        <f>_xlfn.XLOOKUP(U1352,'Lista Suspensa'!$AA$20:$AA$23,'Lista Suspensa'!$AB$20:$AB$23,"N/A")</f>
        <v>S</v>
      </c>
    </row>
    <row r="1353" spans="1:47" ht="12" hidden="1" customHeight="1" x14ac:dyDescent="0.3">
      <c r="A1353" s="87"/>
      <c r="B1353" s="88"/>
      <c r="C1353" s="89"/>
      <c r="D1353" s="89"/>
      <c r="E1353" s="90"/>
      <c r="F1353" s="184"/>
      <c r="G1353" s="91"/>
      <c r="H1353" s="92"/>
      <c r="I1353" s="89"/>
      <c r="J1353" s="89"/>
      <c r="K1353" s="89"/>
      <c r="L1353" s="89"/>
      <c r="M1353" s="89"/>
      <c r="N1353" s="89"/>
      <c r="O1353" s="93"/>
      <c r="P1353" s="94"/>
      <c r="Q1353" s="112"/>
      <c r="R1353" s="95"/>
      <c r="S1353" s="96"/>
      <c r="T1353" s="96"/>
      <c r="U1353" s="96"/>
      <c r="V1353" s="92"/>
      <c r="W1353" s="92"/>
      <c r="X1353" s="92"/>
      <c r="Y1353" s="97"/>
      <c r="Z1353" s="89"/>
      <c r="AA1353" s="96"/>
      <c r="AB1353" s="89"/>
      <c r="AC1353" s="111"/>
      <c r="AD1353" s="89"/>
      <c r="AE1353" s="89"/>
      <c r="AF1353" s="98"/>
      <c r="AG1353" s="98"/>
      <c r="AH1353" s="98"/>
      <c r="AI1353" s="99"/>
      <c r="AJ1353" s="99"/>
      <c r="AK1353" s="99"/>
      <c r="AL1353" s="45" t="s">
        <v>68</v>
      </c>
      <c r="AM1353" s="162" t="str">
        <f t="shared" si="168"/>
        <v>1/1900</v>
      </c>
      <c r="AN1353" s="45" t="e">
        <f t="shared" si="169"/>
        <v>#NUM!</v>
      </c>
      <c r="AO1353" s="45" t="str">
        <f t="shared" si="170"/>
        <v>1/1900</v>
      </c>
      <c r="AP1353" s="45" t="e">
        <f t="shared" si="171"/>
        <v>#NUM!</v>
      </c>
      <c r="AQ1353" s="45">
        <f t="shared" si="172"/>
        <v>0</v>
      </c>
      <c r="AR1353" s="45">
        <f t="shared" si="173"/>
        <v>0</v>
      </c>
      <c r="AS1353" s="45">
        <f t="shared" si="174"/>
        <v>0</v>
      </c>
      <c r="AT1353" s="45">
        <f t="shared" si="175"/>
        <v>0</v>
      </c>
      <c r="AU1353" s="45" t="str">
        <f>_xlfn.XLOOKUP(U1353,'Lista Suspensa'!$AA$20:$AA$23,'Lista Suspensa'!$AB$20:$AB$23,"N/A")</f>
        <v>S</v>
      </c>
    </row>
    <row r="1354" spans="1:47" ht="12" hidden="1" customHeight="1" x14ac:dyDescent="0.3">
      <c r="A1354" s="87"/>
      <c r="B1354" s="88"/>
      <c r="C1354" s="89"/>
      <c r="D1354" s="89"/>
      <c r="E1354" s="90"/>
      <c r="F1354" s="184"/>
      <c r="G1354" s="91"/>
      <c r="H1354" s="92"/>
      <c r="I1354" s="89"/>
      <c r="J1354" s="89"/>
      <c r="K1354" s="89"/>
      <c r="L1354" s="89"/>
      <c r="M1354" s="89"/>
      <c r="N1354" s="89"/>
      <c r="O1354" s="93"/>
      <c r="P1354" s="94"/>
      <c r="Q1354" s="112"/>
      <c r="R1354" s="95"/>
      <c r="S1354" s="96"/>
      <c r="T1354" s="96"/>
      <c r="U1354" s="96"/>
      <c r="V1354" s="92"/>
      <c r="W1354" s="92"/>
      <c r="X1354" s="92"/>
      <c r="Y1354" s="97"/>
      <c r="Z1354" s="89"/>
      <c r="AA1354" s="96"/>
      <c r="AB1354" s="89"/>
      <c r="AC1354" s="111"/>
      <c r="AD1354" s="89"/>
      <c r="AE1354" s="89"/>
      <c r="AF1354" s="98"/>
      <c r="AG1354" s="98"/>
      <c r="AH1354" s="98"/>
      <c r="AI1354" s="99"/>
      <c r="AJ1354" s="99"/>
      <c r="AK1354" s="99"/>
      <c r="AL1354" s="45" t="s">
        <v>68</v>
      </c>
      <c r="AM1354" s="162" t="str">
        <f t="shared" si="168"/>
        <v>1/1900</v>
      </c>
      <c r="AN1354" s="45" t="e">
        <f t="shared" si="169"/>
        <v>#NUM!</v>
      </c>
      <c r="AO1354" s="45" t="str">
        <f t="shared" si="170"/>
        <v>1/1900</v>
      </c>
      <c r="AP1354" s="45" t="e">
        <f t="shared" si="171"/>
        <v>#NUM!</v>
      </c>
      <c r="AQ1354" s="45">
        <f t="shared" si="172"/>
        <v>0</v>
      </c>
      <c r="AR1354" s="45">
        <f t="shared" si="173"/>
        <v>0</v>
      </c>
      <c r="AS1354" s="45">
        <f t="shared" si="174"/>
        <v>0</v>
      </c>
      <c r="AT1354" s="45">
        <f t="shared" si="175"/>
        <v>0</v>
      </c>
      <c r="AU1354" s="45" t="str">
        <f>_xlfn.XLOOKUP(U1354,'Lista Suspensa'!$AA$20:$AA$23,'Lista Suspensa'!$AB$20:$AB$23,"N/A")</f>
        <v>S</v>
      </c>
    </row>
    <row r="1355" spans="1:47" ht="12" hidden="1" customHeight="1" x14ac:dyDescent="0.3">
      <c r="A1355" s="87"/>
      <c r="B1355" s="88"/>
      <c r="C1355" s="89"/>
      <c r="D1355" s="89"/>
      <c r="E1355" s="90"/>
      <c r="F1355" s="184"/>
      <c r="G1355" s="91"/>
      <c r="H1355" s="92"/>
      <c r="I1355" s="89"/>
      <c r="J1355" s="89"/>
      <c r="K1355" s="89"/>
      <c r="L1355" s="89"/>
      <c r="M1355" s="89"/>
      <c r="N1355" s="89"/>
      <c r="O1355" s="93"/>
      <c r="P1355" s="94"/>
      <c r="Q1355" s="112"/>
      <c r="R1355" s="95"/>
      <c r="S1355" s="96"/>
      <c r="T1355" s="96"/>
      <c r="U1355" s="96"/>
      <c r="V1355" s="92"/>
      <c r="W1355" s="92"/>
      <c r="X1355" s="92"/>
      <c r="Y1355" s="97"/>
      <c r="Z1355" s="89"/>
      <c r="AA1355" s="96"/>
      <c r="AB1355" s="89"/>
      <c r="AC1355" s="111"/>
      <c r="AD1355" s="89"/>
      <c r="AE1355" s="89"/>
      <c r="AF1355" s="98"/>
      <c r="AG1355" s="98"/>
      <c r="AH1355" s="98"/>
      <c r="AI1355" s="99"/>
      <c r="AJ1355" s="99"/>
      <c r="AK1355" s="99"/>
      <c r="AL1355" s="45" t="s">
        <v>68</v>
      </c>
      <c r="AM1355" s="162" t="str">
        <f t="shared" si="168"/>
        <v>1/1900</v>
      </c>
      <c r="AN1355" s="45" t="e">
        <f t="shared" si="169"/>
        <v>#NUM!</v>
      </c>
      <c r="AO1355" s="45" t="str">
        <f t="shared" si="170"/>
        <v>1/1900</v>
      </c>
      <c r="AP1355" s="45" t="e">
        <f t="shared" si="171"/>
        <v>#NUM!</v>
      </c>
      <c r="AQ1355" s="45">
        <f t="shared" si="172"/>
        <v>0</v>
      </c>
      <c r="AR1355" s="45">
        <f t="shared" si="173"/>
        <v>0</v>
      </c>
      <c r="AS1355" s="45">
        <f t="shared" si="174"/>
        <v>0</v>
      </c>
      <c r="AT1355" s="45">
        <f t="shared" si="175"/>
        <v>0</v>
      </c>
      <c r="AU1355" s="45" t="str">
        <f>_xlfn.XLOOKUP(U1355,'Lista Suspensa'!$AA$20:$AA$23,'Lista Suspensa'!$AB$20:$AB$23,"N/A")</f>
        <v>S</v>
      </c>
    </row>
    <row r="1356" spans="1:47" ht="12" hidden="1" customHeight="1" x14ac:dyDescent="0.3">
      <c r="A1356" s="87"/>
      <c r="B1356" s="88"/>
      <c r="C1356" s="89"/>
      <c r="D1356" s="89"/>
      <c r="E1356" s="90"/>
      <c r="F1356" s="184"/>
      <c r="G1356" s="91"/>
      <c r="H1356" s="92"/>
      <c r="I1356" s="89"/>
      <c r="J1356" s="89"/>
      <c r="K1356" s="89"/>
      <c r="L1356" s="89"/>
      <c r="M1356" s="89"/>
      <c r="N1356" s="89"/>
      <c r="O1356" s="93"/>
      <c r="P1356" s="94"/>
      <c r="Q1356" s="112"/>
      <c r="R1356" s="95"/>
      <c r="S1356" s="96"/>
      <c r="T1356" s="96"/>
      <c r="U1356" s="96"/>
      <c r="V1356" s="92"/>
      <c r="W1356" s="92"/>
      <c r="X1356" s="92"/>
      <c r="Y1356" s="97"/>
      <c r="Z1356" s="89"/>
      <c r="AA1356" s="96"/>
      <c r="AB1356" s="89"/>
      <c r="AC1356" s="111"/>
      <c r="AD1356" s="89"/>
      <c r="AE1356" s="89"/>
      <c r="AF1356" s="98"/>
      <c r="AG1356" s="98"/>
      <c r="AH1356" s="98"/>
      <c r="AI1356" s="99"/>
      <c r="AJ1356" s="99"/>
      <c r="AK1356" s="99"/>
      <c r="AL1356" s="45" t="s">
        <v>68</v>
      </c>
      <c r="AM1356" s="162" t="str">
        <f t="shared" si="168"/>
        <v>1/1900</v>
      </c>
      <c r="AN1356" s="45" t="e">
        <f t="shared" si="169"/>
        <v>#NUM!</v>
      </c>
      <c r="AO1356" s="45" t="str">
        <f t="shared" si="170"/>
        <v>1/1900</v>
      </c>
      <c r="AP1356" s="45" t="e">
        <f t="shared" si="171"/>
        <v>#NUM!</v>
      </c>
      <c r="AQ1356" s="45">
        <f t="shared" si="172"/>
        <v>0</v>
      </c>
      <c r="AR1356" s="45">
        <f t="shared" si="173"/>
        <v>0</v>
      </c>
      <c r="AS1356" s="45">
        <f t="shared" si="174"/>
        <v>0</v>
      </c>
      <c r="AT1356" s="45">
        <f t="shared" si="175"/>
        <v>0</v>
      </c>
      <c r="AU1356" s="45" t="str">
        <f>_xlfn.XLOOKUP(U1356,'Lista Suspensa'!$AA$20:$AA$23,'Lista Suspensa'!$AB$20:$AB$23,"N/A")</f>
        <v>S</v>
      </c>
    </row>
    <row r="1357" spans="1:47" ht="12" hidden="1" customHeight="1" x14ac:dyDescent="0.3">
      <c r="A1357" s="87"/>
      <c r="B1357" s="88"/>
      <c r="C1357" s="89"/>
      <c r="D1357" s="89"/>
      <c r="E1357" s="90"/>
      <c r="F1357" s="184"/>
      <c r="G1357" s="91"/>
      <c r="H1357" s="92"/>
      <c r="I1357" s="89"/>
      <c r="J1357" s="89"/>
      <c r="K1357" s="89"/>
      <c r="L1357" s="89"/>
      <c r="M1357" s="89"/>
      <c r="N1357" s="89"/>
      <c r="O1357" s="93"/>
      <c r="P1357" s="94"/>
      <c r="Q1357" s="112"/>
      <c r="R1357" s="95"/>
      <c r="S1357" s="96"/>
      <c r="T1357" s="96"/>
      <c r="U1357" s="96"/>
      <c r="V1357" s="92"/>
      <c r="W1357" s="92"/>
      <c r="X1357" s="92"/>
      <c r="Y1357" s="97"/>
      <c r="Z1357" s="89"/>
      <c r="AA1357" s="96"/>
      <c r="AB1357" s="89"/>
      <c r="AC1357" s="111"/>
      <c r="AD1357" s="89"/>
      <c r="AE1357" s="89"/>
      <c r="AF1357" s="98"/>
      <c r="AG1357" s="98"/>
      <c r="AH1357" s="98"/>
      <c r="AI1357" s="99"/>
      <c r="AJ1357" s="99"/>
      <c r="AK1357" s="99"/>
      <c r="AL1357" s="45" t="s">
        <v>68</v>
      </c>
      <c r="AM1357" s="162" t="str">
        <f t="shared" si="168"/>
        <v>1/1900</v>
      </c>
      <c r="AN1357" s="45" t="e">
        <f t="shared" si="169"/>
        <v>#NUM!</v>
      </c>
      <c r="AO1357" s="45" t="str">
        <f t="shared" si="170"/>
        <v>1/1900</v>
      </c>
      <c r="AP1357" s="45" t="e">
        <f t="shared" si="171"/>
        <v>#NUM!</v>
      </c>
      <c r="AQ1357" s="45">
        <f t="shared" si="172"/>
        <v>0</v>
      </c>
      <c r="AR1357" s="45">
        <f t="shared" si="173"/>
        <v>0</v>
      </c>
      <c r="AS1357" s="45">
        <f t="shared" si="174"/>
        <v>0</v>
      </c>
      <c r="AT1357" s="45">
        <f t="shared" si="175"/>
        <v>0</v>
      </c>
      <c r="AU1357" s="45" t="str">
        <f>_xlfn.XLOOKUP(U1357,'Lista Suspensa'!$AA$20:$AA$23,'Lista Suspensa'!$AB$20:$AB$23,"N/A")</f>
        <v>S</v>
      </c>
    </row>
    <row r="1358" spans="1:47" ht="12" hidden="1" customHeight="1" x14ac:dyDescent="0.3">
      <c r="A1358" s="87"/>
      <c r="B1358" s="88"/>
      <c r="C1358" s="89"/>
      <c r="D1358" s="89"/>
      <c r="E1358" s="90"/>
      <c r="F1358" s="184"/>
      <c r="G1358" s="91"/>
      <c r="H1358" s="92"/>
      <c r="I1358" s="89"/>
      <c r="J1358" s="89"/>
      <c r="K1358" s="89"/>
      <c r="L1358" s="89"/>
      <c r="M1358" s="89"/>
      <c r="N1358" s="89"/>
      <c r="O1358" s="93"/>
      <c r="P1358" s="94"/>
      <c r="Q1358" s="112"/>
      <c r="R1358" s="95"/>
      <c r="S1358" s="96"/>
      <c r="T1358" s="96"/>
      <c r="U1358" s="96"/>
      <c r="V1358" s="92"/>
      <c r="W1358" s="92"/>
      <c r="X1358" s="92"/>
      <c r="Y1358" s="97"/>
      <c r="Z1358" s="89"/>
      <c r="AA1358" s="96"/>
      <c r="AB1358" s="89"/>
      <c r="AC1358" s="111"/>
      <c r="AD1358" s="89"/>
      <c r="AE1358" s="89"/>
      <c r="AF1358" s="98"/>
      <c r="AG1358" s="98"/>
      <c r="AH1358" s="98"/>
      <c r="AI1358" s="99"/>
      <c r="AJ1358" s="99"/>
      <c r="AK1358" s="99"/>
      <c r="AL1358" s="45" t="s">
        <v>68</v>
      </c>
      <c r="AM1358" s="162" t="str">
        <f t="shared" si="168"/>
        <v>1/1900</v>
      </c>
      <c r="AN1358" s="45" t="e">
        <f t="shared" si="169"/>
        <v>#NUM!</v>
      </c>
      <c r="AO1358" s="45" t="str">
        <f t="shared" si="170"/>
        <v>1/1900</v>
      </c>
      <c r="AP1358" s="45" t="e">
        <f t="shared" si="171"/>
        <v>#NUM!</v>
      </c>
      <c r="AQ1358" s="45">
        <f t="shared" si="172"/>
        <v>0</v>
      </c>
      <c r="AR1358" s="45">
        <f t="shared" si="173"/>
        <v>0</v>
      </c>
      <c r="AS1358" s="45">
        <f t="shared" si="174"/>
        <v>0</v>
      </c>
      <c r="AT1358" s="45">
        <f t="shared" si="175"/>
        <v>0</v>
      </c>
      <c r="AU1358" s="45" t="str">
        <f>_xlfn.XLOOKUP(U1358,'Lista Suspensa'!$AA$20:$AA$23,'Lista Suspensa'!$AB$20:$AB$23,"N/A")</f>
        <v>S</v>
      </c>
    </row>
    <row r="1359" spans="1:47" ht="12" hidden="1" customHeight="1" x14ac:dyDescent="0.3">
      <c r="A1359" s="87"/>
      <c r="B1359" s="88"/>
      <c r="C1359" s="89"/>
      <c r="D1359" s="89"/>
      <c r="E1359" s="90"/>
      <c r="F1359" s="184"/>
      <c r="G1359" s="91"/>
      <c r="H1359" s="92"/>
      <c r="I1359" s="89"/>
      <c r="J1359" s="89"/>
      <c r="K1359" s="89"/>
      <c r="L1359" s="89"/>
      <c r="M1359" s="89"/>
      <c r="N1359" s="89"/>
      <c r="O1359" s="93"/>
      <c r="P1359" s="94"/>
      <c r="Q1359" s="112"/>
      <c r="R1359" s="95"/>
      <c r="S1359" s="96"/>
      <c r="T1359" s="96"/>
      <c r="U1359" s="96"/>
      <c r="V1359" s="92"/>
      <c r="W1359" s="92"/>
      <c r="X1359" s="92"/>
      <c r="Y1359" s="97"/>
      <c r="Z1359" s="89"/>
      <c r="AA1359" s="96"/>
      <c r="AB1359" s="89"/>
      <c r="AC1359" s="111"/>
      <c r="AD1359" s="89"/>
      <c r="AE1359" s="89"/>
      <c r="AF1359" s="98"/>
      <c r="AG1359" s="98"/>
      <c r="AH1359" s="98"/>
      <c r="AI1359" s="99"/>
      <c r="AJ1359" s="99"/>
      <c r="AK1359" s="99"/>
      <c r="AL1359" s="45" t="s">
        <v>68</v>
      </c>
      <c r="AM1359" s="162" t="str">
        <f t="shared" si="168"/>
        <v>1/1900</v>
      </c>
      <c r="AN1359" s="45" t="e">
        <f t="shared" si="169"/>
        <v>#NUM!</v>
      </c>
      <c r="AO1359" s="45" t="str">
        <f t="shared" si="170"/>
        <v>1/1900</v>
      </c>
      <c r="AP1359" s="45" t="e">
        <f t="shared" si="171"/>
        <v>#NUM!</v>
      </c>
      <c r="AQ1359" s="45">
        <f t="shared" si="172"/>
        <v>0</v>
      </c>
      <c r="AR1359" s="45">
        <f t="shared" si="173"/>
        <v>0</v>
      </c>
      <c r="AS1359" s="45">
        <f t="shared" si="174"/>
        <v>0</v>
      </c>
      <c r="AT1359" s="45">
        <f t="shared" si="175"/>
        <v>0</v>
      </c>
      <c r="AU1359" s="45" t="str">
        <f>_xlfn.XLOOKUP(U1359,'Lista Suspensa'!$AA$20:$AA$23,'Lista Suspensa'!$AB$20:$AB$23,"N/A")</f>
        <v>S</v>
      </c>
    </row>
    <row r="1360" spans="1:47" ht="12" hidden="1" customHeight="1" x14ac:dyDescent="0.3">
      <c r="A1360" s="87"/>
      <c r="B1360" s="88"/>
      <c r="C1360" s="89"/>
      <c r="D1360" s="89"/>
      <c r="E1360" s="90"/>
      <c r="F1360" s="184"/>
      <c r="G1360" s="91"/>
      <c r="H1360" s="92"/>
      <c r="I1360" s="89"/>
      <c r="J1360" s="89"/>
      <c r="K1360" s="89"/>
      <c r="L1360" s="89"/>
      <c r="M1360" s="89"/>
      <c r="N1360" s="89"/>
      <c r="O1360" s="93"/>
      <c r="P1360" s="94"/>
      <c r="Q1360" s="112"/>
      <c r="R1360" s="95"/>
      <c r="S1360" s="96"/>
      <c r="T1360" s="96"/>
      <c r="U1360" s="96"/>
      <c r="V1360" s="92"/>
      <c r="W1360" s="92"/>
      <c r="X1360" s="92"/>
      <c r="Y1360" s="97"/>
      <c r="Z1360" s="89"/>
      <c r="AA1360" s="96"/>
      <c r="AB1360" s="89"/>
      <c r="AC1360" s="111"/>
      <c r="AD1360" s="89"/>
      <c r="AE1360" s="89"/>
      <c r="AF1360" s="98"/>
      <c r="AG1360" s="98"/>
      <c r="AH1360" s="98"/>
      <c r="AI1360" s="99"/>
      <c r="AJ1360" s="99"/>
      <c r="AK1360" s="99"/>
      <c r="AL1360" s="45" t="s">
        <v>68</v>
      </c>
      <c r="AM1360" s="162" t="str">
        <f t="shared" si="168"/>
        <v>1/1900</v>
      </c>
      <c r="AN1360" s="45" t="e">
        <f t="shared" si="169"/>
        <v>#NUM!</v>
      </c>
      <c r="AO1360" s="45" t="str">
        <f t="shared" si="170"/>
        <v>1/1900</v>
      </c>
      <c r="AP1360" s="45" t="e">
        <f t="shared" si="171"/>
        <v>#NUM!</v>
      </c>
      <c r="AQ1360" s="45">
        <f t="shared" si="172"/>
        <v>0</v>
      </c>
      <c r="AR1360" s="45">
        <f t="shared" si="173"/>
        <v>0</v>
      </c>
      <c r="AS1360" s="45">
        <f t="shared" si="174"/>
        <v>0</v>
      </c>
      <c r="AT1360" s="45">
        <f t="shared" si="175"/>
        <v>0</v>
      </c>
      <c r="AU1360" s="45" t="str">
        <f>_xlfn.XLOOKUP(U1360,'Lista Suspensa'!$AA$20:$AA$23,'Lista Suspensa'!$AB$20:$AB$23,"N/A")</f>
        <v>S</v>
      </c>
    </row>
    <row r="1361" spans="1:47" ht="12" hidden="1" customHeight="1" x14ac:dyDescent="0.3">
      <c r="A1361" s="87"/>
      <c r="B1361" s="88"/>
      <c r="C1361" s="89"/>
      <c r="D1361" s="89"/>
      <c r="E1361" s="90"/>
      <c r="F1361" s="184"/>
      <c r="G1361" s="91"/>
      <c r="H1361" s="92"/>
      <c r="I1361" s="89"/>
      <c r="J1361" s="89"/>
      <c r="K1361" s="89"/>
      <c r="L1361" s="89"/>
      <c r="M1361" s="89"/>
      <c r="N1361" s="89"/>
      <c r="O1361" s="93"/>
      <c r="P1361" s="94"/>
      <c r="Q1361" s="112"/>
      <c r="R1361" s="95"/>
      <c r="S1361" s="96"/>
      <c r="T1361" s="96"/>
      <c r="U1361" s="96"/>
      <c r="V1361" s="92"/>
      <c r="W1361" s="92"/>
      <c r="X1361" s="92"/>
      <c r="Y1361" s="97"/>
      <c r="Z1361" s="89"/>
      <c r="AA1361" s="96"/>
      <c r="AB1361" s="89"/>
      <c r="AC1361" s="111"/>
      <c r="AD1361" s="89"/>
      <c r="AE1361" s="89"/>
      <c r="AF1361" s="98"/>
      <c r="AG1361" s="98"/>
      <c r="AH1361" s="98"/>
      <c r="AI1361" s="99"/>
      <c r="AJ1361" s="99"/>
      <c r="AK1361" s="99"/>
      <c r="AL1361" s="45" t="s">
        <v>68</v>
      </c>
      <c r="AM1361" s="162" t="str">
        <f t="shared" si="168"/>
        <v>1/1900</v>
      </c>
      <c r="AN1361" s="45" t="e">
        <f t="shared" si="169"/>
        <v>#NUM!</v>
      </c>
      <c r="AO1361" s="45" t="str">
        <f t="shared" si="170"/>
        <v>1/1900</v>
      </c>
      <c r="AP1361" s="45" t="e">
        <f t="shared" si="171"/>
        <v>#NUM!</v>
      </c>
      <c r="AQ1361" s="45">
        <f t="shared" si="172"/>
        <v>0</v>
      </c>
      <c r="AR1361" s="45">
        <f t="shared" si="173"/>
        <v>0</v>
      </c>
      <c r="AS1361" s="45">
        <f t="shared" si="174"/>
        <v>0</v>
      </c>
      <c r="AT1361" s="45">
        <f t="shared" si="175"/>
        <v>0</v>
      </c>
      <c r="AU1361" s="45" t="str">
        <f>_xlfn.XLOOKUP(U1361,'Lista Suspensa'!$AA$20:$AA$23,'Lista Suspensa'!$AB$20:$AB$23,"N/A")</f>
        <v>S</v>
      </c>
    </row>
    <row r="1362" spans="1:47" ht="12" hidden="1" customHeight="1" x14ac:dyDescent="0.3">
      <c r="A1362" s="87"/>
      <c r="B1362" s="88"/>
      <c r="C1362" s="89"/>
      <c r="D1362" s="89"/>
      <c r="E1362" s="90"/>
      <c r="F1362" s="184"/>
      <c r="G1362" s="91"/>
      <c r="H1362" s="92"/>
      <c r="I1362" s="89"/>
      <c r="J1362" s="89"/>
      <c r="K1362" s="89"/>
      <c r="L1362" s="89"/>
      <c r="M1362" s="89"/>
      <c r="N1362" s="89"/>
      <c r="O1362" s="93"/>
      <c r="P1362" s="94"/>
      <c r="Q1362" s="112"/>
      <c r="R1362" s="95"/>
      <c r="S1362" s="96"/>
      <c r="T1362" s="96"/>
      <c r="U1362" s="96"/>
      <c r="V1362" s="92"/>
      <c r="W1362" s="92"/>
      <c r="X1362" s="92"/>
      <c r="Y1362" s="97"/>
      <c r="Z1362" s="89"/>
      <c r="AA1362" s="96"/>
      <c r="AB1362" s="89"/>
      <c r="AC1362" s="111"/>
      <c r="AD1362" s="89"/>
      <c r="AE1362" s="89"/>
      <c r="AF1362" s="98"/>
      <c r="AG1362" s="98"/>
      <c r="AH1362" s="98"/>
      <c r="AI1362" s="99"/>
      <c r="AJ1362" s="99"/>
      <c r="AK1362" s="99"/>
      <c r="AL1362" s="45" t="s">
        <v>68</v>
      </c>
      <c r="AM1362" s="162" t="str">
        <f t="shared" si="168"/>
        <v>1/1900</v>
      </c>
      <c r="AN1362" s="45" t="e">
        <f t="shared" si="169"/>
        <v>#NUM!</v>
      </c>
      <c r="AO1362" s="45" t="str">
        <f t="shared" si="170"/>
        <v>1/1900</v>
      </c>
      <c r="AP1362" s="45" t="e">
        <f t="shared" si="171"/>
        <v>#NUM!</v>
      </c>
      <c r="AQ1362" s="45">
        <f t="shared" si="172"/>
        <v>0</v>
      </c>
      <c r="AR1362" s="45">
        <f t="shared" si="173"/>
        <v>0</v>
      </c>
      <c r="AS1362" s="45">
        <f t="shared" si="174"/>
        <v>0</v>
      </c>
      <c r="AT1362" s="45">
        <f t="shared" si="175"/>
        <v>0</v>
      </c>
      <c r="AU1362" s="45" t="str">
        <f>_xlfn.XLOOKUP(U1362,'Lista Suspensa'!$AA$20:$AA$23,'Lista Suspensa'!$AB$20:$AB$23,"N/A")</f>
        <v>S</v>
      </c>
    </row>
    <row r="1363" spans="1:47" ht="12" hidden="1" customHeight="1" x14ac:dyDescent="0.3">
      <c r="A1363" s="87"/>
      <c r="B1363" s="88"/>
      <c r="C1363" s="89"/>
      <c r="D1363" s="89"/>
      <c r="E1363" s="90"/>
      <c r="F1363" s="184"/>
      <c r="G1363" s="91"/>
      <c r="H1363" s="92"/>
      <c r="I1363" s="89"/>
      <c r="J1363" s="89"/>
      <c r="K1363" s="89"/>
      <c r="L1363" s="89"/>
      <c r="M1363" s="89"/>
      <c r="N1363" s="89"/>
      <c r="O1363" s="93"/>
      <c r="P1363" s="94"/>
      <c r="Q1363" s="112"/>
      <c r="R1363" s="95"/>
      <c r="S1363" s="96"/>
      <c r="T1363" s="96"/>
      <c r="U1363" s="96"/>
      <c r="V1363" s="92"/>
      <c r="W1363" s="92"/>
      <c r="X1363" s="92"/>
      <c r="Y1363" s="97"/>
      <c r="Z1363" s="89"/>
      <c r="AA1363" s="96"/>
      <c r="AB1363" s="89"/>
      <c r="AC1363" s="111"/>
      <c r="AD1363" s="89"/>
      <c r="AE1363" s="89"/>
      <c r="AF1363" s="98"/>
      <c r="AG1363" s="98"/>
      <c r="AH1363" s="98"/>
      <c r="AI1363" s="99"/>
      <c r="AJ1363" s="99"/>
      <c r="AK1363" s="99"/>
      <c r="AL1363" s="45" t="s">
        <v>68</v>
      </c>
      <c r="AM1363" s="162" t="str">
        <f t="shared" si="168"/>
        <v>1/1900</v>
      </c>
      <c r="AN1363" s="45" t="e">
        <f t="shared" si="169"/>
        <v>#NUM!</v>
      </c>
      <c r="AO1363" s="45" t="str">
        <f t="shared" si="170"/>
        <v>1/1900</v>
      </c>
      <c r="AP1363" s="45" t="e">
        <f t="shared" si="171"/>
        <v>#NUM!</v>
      </c>
      <c r="AQ1363" s="45">
        <f t="shared" si="172"/>
        <v>0</v>
      </c>
      <c r="AR1363" s="45">
        <f t="shared" si="173"/>
        <v>0</v>
      </c>
      <c r="AS1363" s="45">
        <f t="shared" si="174"/>
        <v>0</v>
      </c>
      <c r="AT1363" s="45">
        <f t="shared" si="175"/>
        <v>0</v>
      </c>
      <c r="AU1363" s="45" t="str">
        <f>_xlfn.XLOOKUP(U1363,'Lista Suspensa'!$AA$20:$AA$23,'Lista Suspensa'!$AB$20:$AB$23,"N/A")</f>
        <v>S</v>
      </c>
    </row>
    <row r="1364" spans="1:47" ht="12" hidden="1" customHeight="1" x14ac:dyDescent="0.3">
      <c r="A1364" s="87"/>
      <c r="B1364" s="88"/>
      <c r="C1364" s="89"/>
      <c r="D1364" s="89"/>
      <c r="E1364" s="90"/>
      <c r="F1364" s="184"/>
      <c r="G1364" s="91"/>
      <c r="H1364" s="92"/>
      <c r="I1364" s="89"/>
      <c r="J1364" s="89"/>
      <c r="K1364" s="89"/>
      <c r="L1364" s="89"/>
      <c r="M1364" s="89"/>
      <c r="N1364" s="89"/>
      <c r="O1364" s="93"/>
      <c r="P1364" s="94"/>
      <c r="Q1364" s="112"/>
      <c r="R1364" s="95"/>
      <c r="S1364" s="96"/>
      <c r="T1364" s="96"/>
      <c r="U1364" s="96"/>
      <c r="V1364" s="92"/>
      <c r="W1364" s="92"/>
      <c r="X1364" s="92"/>
      <c r="Y1364" s="97"/>
      <c r="Z1364" s="89"/>
      <c r="AA1364" s="96"/>
      <c r="AB1364" s="89"/>
      <c r="AC1364" s="111"/>
      <c r="AD1364" s="89"/>
      <c r="AE1364" s="89"/>
      <c r="AF1364" s="98"/>
      <c r="AG1364" s="98"/>
      <c r="AH1364" s="98"/>
      <c r="AI1364" s="99"/>
      <c r="AJ1364" s="99"/>
      <c r="AK1364" s="99"/>
      <c r="AL1364" s="45" t="s">
        <v>68</v>
      </c>
      <c r="AM1364" s="162" t="str">
        <f t="shared" si="168"/>
        <v>1/1900</v>
      </c>
      <c r="AN1364" s="45" t="e">
        <f t="shared" si="169"/>
        <v>#NUM!</v>
      </c>
      <c r="AO1364" s="45" t="str">
        <f t="shared" si="170"/>
        <v>1/1900</v>
      </c>
      <c r="AP1364" s="45" t="e">
        <f t="shared" si="171"/>
        <v>#NUM!</v>
      </c>
      <c r="AQ1364" s="45">
        <f t="shared" si="172"/>
        <v>0</v>
      </c>
      <c r="AR1364" s="45">
        <f t="shared" si="173"/>
        <v>0</v>
      </c>
      <c r="AS1364" s="45">
        <f t="shared" si="174"/>
        <v>0</v>
      </c>
      <c r="AT1364" s="45">
        <f t="shared" si="175"/>
        <v>0</v>
      </c>
      <c r="AU1364" s="45" t="str">
        <f>_xlfn.XLOOKUP(U1364,'Lista Suspensa'!$AA$20:$AA$23,'Lista Suspensa'!$AB$20:$AB$23,"N/A")</f>
        <v>S</v>
      </c>
    </row>
    <row r="1365" spans="1:47" ht="12" hidden="1" customHeight="1" x14ac:dyDescent="0.3">
      <c r="A1365" s="87"/>
      <c r="B1365" s="88"/>
      <c r="C1365" s="89"/>
      <c r="D1365" s="89"/>
      <c r="E1365" s="90"/>
      <c r="F1365" s="184"/>
      <c r="G1365" s="91"/>
      <c r="H1365" s="92"/>
      <c r="I1365" s="89"/>
      <c r="J1365" s="89"/>
      <c r="K1365" s="89"/>
      <c r="L1365" s="89"/>
      <c r="M1365" s="89"/>
      <c r="N1365" s="89"/>
      <c r="O1365" s="93"/>
      <c r="P1365" s="94"/>
      <c r="Q1365" s="112"/>
      <c r="R1365" s="95"/>
      <c r="S1365" s="96"/>
      <c r="T1365" s="96"/>
      <c r="U1365" s="96"/>
      <c r="V1365" s="92"/>
      <c r="W1365" s="92"/>
      <c r="X1365" s="92"/>
      <c r="Y1365" s="97"/>
      <c r="Z1365" s="89"/>
      <c r="AA1365" s="96"/>
      <c r="AB1365" s="89"/>
      <c r="AC1365" s="111"/>
      <c r="AD1365" s="89"/>
      <c r="AE1365" s="89"/>
      <c r="AF1365" s="98"/>
      <c r="AG1365" s="98"/>
      <c r="AH1365" s="98"/>
      <c r="AI1365" s="99"/>
      <c r="AJ1365" s="99"/>
      <c r="AK1365" s="99"/>
      <c r="AL1365" s="45" t="s">
        <v>68</v>
      </c>
      <c r="AM1365" s="162" t="str">
        <f t="shared" si="168"/>
        <v>1/1900</v>
      </c>
      <c r="AN1365" s="45" t="e">
        <f t="shared" si="169"/>
        <v>#NUM!</v>
      </c>
      <c r="AO1365" s="45" t="str">
        <f t="shared" si="170"/>
        <v>1/1900</v>
      </c>
      <c r="AP1365" s="45" t="e">
        <f t="shared" si="171"/>
        <v>#NUM!</v>
      </c>
      <c r="AQ1365" s="45">
        <f t="shared" si="172"/>
        <v>0</v>
      </c>
      <c r="AR1365" s="45">
        <f t="shared" si="173"/>
        <v>0</v>
      </c>
      <c r="AS1365" s="45">
        <f t="shared" si="174"/>
        <v>0</v>
      </c>
      <c r="AT1365" s="45">
        <f t="shared" si="175"/>
        <v>0</v>
      </c>
      <c r="AU1365" s="45" t="str">
        <f>_xlfn.XLOOKUP(U1365,'Lista Suspensa'!$AA$20:$AA$23,'Lista Suspensa'!$AB$20:$AB$23,"N/A")</f>
        <v>S</v>
      </c>
    </row>
    <row r="1366" spans="1:47" ht="12" hidden="1" customHeight="1" x14ac:dyDescent="0.3">
      <c r="A1366" s="87"/>
      <c r="B1366" s="88"/>
      <c r="C1366" s="89"/>
      <c r="D1366" s="89"/>
      <c r="E1366" s="90"/>
      <c r="F1366" s="184"/>
      <c r="G1366" s="91"/>
      <c r="H1366" s="92"/>
      <c r="I1366" s="89"/>
      <c r="J1366" s="89"/>
      <c r="K1366" s="89"/>
      <c r="L1366" s="89"/>
      <c r="M1366" s="89"/>
      <c r="N1366" s="89"/>
      <c r="O1366" s="93"/>
      <c r="P1366" s="94"/>
      <c r="Q1366" s="112"/>
      <c r="R1366" s="95"/>
      <c r="S1366" s="96"/>
      <c r="T1366" s="96"/>
      <c r="U1366" s="96"/>
      <c r="V1366" s="92"/>
      <c r="W1366" s="92"/>
      <c r="X1366" s="92"/>
      <c r="Y1366" s="97"/>
      <c r="Z1366" s="89"/>
      <c r="AA1366" s="96"/>
      <c r="AB1366" s="89"/>
      <c r="AC1366" s="111"/>
      <c r="AD1366" s="89"/>
      <c r="AE1366" s="89"/>
      <c r="AF1366" s="98"/>
      <c r="AG1366" s="98"/>
      <c r="AH1366" s="98"/>
      <c r="AI1366" s="99"/>
      <c r="AJ1366" s="99"/>
      <c r="AK1366" s="99"/>
      <c r="AL1366" s="45" t="s">
        <v>68</v>
      </c>
      <c r="AM1366" s="162" t="str">
        <f t="shared" si="168"/>
        <v>1/1900</v>
      </c>
      <c r="AN1366" s="45" t="e">
        <f t="shared" si="169"/>
        <v>#NUM!</v>
      </c>
      <c r="AO1366" s="45" t="str">
        <f t="shared" si="170"/>
        <v>1/1900</v>
      </c>
      <c r="AP1366" s="45" t="e">
        <f t="shared" si="171"/>
        <v>#NUM!</v>
      </c>
      <c r="AQ1366" s="45">
        <f t="shared" si="172"/>
        <v>0</v>
      </c>
      <c r="AR1366" s="45">
        <f t="shared" si="173"/>
        <v>0</v>
      </c>
      <c r="AS1366" s="45">
        <f t="shared" si="174"/>
        <v>0</v>
      </c>
      <c r="AT1366" s="45">
        <f t="shared" si="175"/>
        <v>0</v>
      </c>
      <c r="AU1366" s="45" t="str">
        <f>_xlfn.XLOOKUP(U1366,'Lista Suspensa'!$AA$20:$AA$23,'Lista Suspensa'!$AB$20:$AB$23,"N/A")</f>
        <v>S</v>
      </c>
    </row>
    <row r="1367" spans="1:47" ht="12" hidden="1" customHeight="1" x14ac:dyDescent="0.3">
      <c r="A1367" s="87"/>
      <c r="B1367" s="88"/>
      <c r="C1367" s="89"/>
      <c r="D1367" s="89"/>
      <c r="E1367" s="90"/>
      <c r="F1367" s="184"/>
      <c r="G1367" s="91"/>
      <c r="H1367" s="92"/>
      <c r="I1367" s="89"/>
      <c r="J1367" s="89"/>
      <c r="K1367" s="89"/>
      <c r="L1367" s="89"/>
      <c r="M1367" s="89"/>
      <c r="N1367" s="89"/>
      <c r="O1367" s="93"/>
      <c r="P1367" s="94"/>
      <c r="Q1367" s="112"/>
      <c r="R1367" s="95"/>
      <c r="S1367" s="96"/>
      <c r="T1367" s="96"/>
      <c r="U1367" s="96"/>
      <c r="V1367" s="92"/>
      <c r="W1367" s="92"/>
      <c r="X1367" s="92"/>
      <c r="Y1367" s="97"/>
      <c r="Z1367" s="89"/>
      <c r="AA1367" s="96"/>
      <c r="AB1367" s="89"/>
      <c r="AC1367" s="111"/>
      <c r="AD1367" s="89"/>
      <c r="AE1367" s="89"/>
      <c r="AF1367" s="98"/>
      <c r="AG1367" s="98"/>
      <c r="AH1367" s="98"/>
      <c r="AI1367" s="99"/>
      <c r="AJ1367" s="99"/>
      <c r="AK1367" s="99"/>
      <c r="AL1367" s="45" t="s">
        <v>68</v>
      </c>
      <c r="AM1367" s="162" t="str">
        <f t="shared" si="168"/>
        <v>1/1900</v>
      </c>
      <c r="AN1367" s="45" t="e">
        <f t="shared" si="169"/>
        <v>#NUM!</v>
      </c>
      <c r="AO1367" s="45" t="str">
        <f t="shared" si="170"/>
        <v>1/1900</v>
      </c>
      <c r="AP1367" s="45" t="e">
        <f t="shared" si="171"/>
        <v>#NUM!</v>
      </c>
      <c r="AQ1367" s="45">
        <f t="shared" si="172"/>
        <v>0</v>
      </c>
      <c r="AR1367" s="45">
        <f t="shared" si="173"/>
        <v>0</v>
      </c>
      <c r="AS1367" s="45">
        <f t="shared" si="174"/>
        <v>0</v>
      </c>
      <c r="AT1367" s="45">
        <f t="shared" si="175"/>
        <v>0</v>
      </c>
      <c r="AU1367" s="45" t="str">
        <f>_xlfn.XLOOKUP(U1367,'Lista Suspensa'!$AA$20:$AA$23,'Lista Suspensa'!$AB$20:$AB$23,"N/A")</f>
        <v>S</v>
      </c>
    </row>
    <row r="1368" spans="1:47" ht="12" hidden="1" customHeight="1" x14ac:dyDescent="0.3">
      <c r="A1368" s="87"/>
      <c r="B1368" s="88"/>
      <c r="C1368" s="89"/>
      <c r="D1368" s="89"/>
      <c r="E1368" s="90"/>
      <c r="F1368" s="184"/>
      <c r="G1368" s="91"/>
      <c r="H1368" s="92"/>
      <c r="I1368" s="89"/>
      <c r="J1368" s="89"/>
      <c r="K1368" s="89"/>
      <c r="L1368" s="89"/>
      <c r="M1368" s="89"/>
      <c r="N1368" s="89"/>
      <c r="O1368" s="93"/>
      <c r="P1368" s="94"/>
      <c r="Q1368" s="112"/>
      <c r="R1368" s="95"/>
      <c r="S1368" s="96"/>
      <c r="T1368" s="96"/>
      <c r="U1368" s="96"/>
      <c r="V1368" s="92"/>
      <c r="W1368" s="92"/>
      <c r="X1368" s="92"/>
      <c r="Y1368" s="97"/>
      <c r="Z1368" s="89"/>
      <c r="AA1368" s="96"/>
      <c r="AB1368" s="89"/>
      <c r="AC1368" s="111"/>
      <c r="AD1368" s="89"/>
      <c r="AE1368" s="89"/>
      <c r="AF1368" s="98"/>
      <c r="AG1368" s="98"/>
      <c r="AH1368" s="98"/>
      <c r="AI1368" s="99"/>
      <c r="AJ1368" s="99"/>
      <c r="AK1368" s="99"/>
      <c r="AL1368" s="45" t="s">
        <v>68</v>
      </c>
      <c r="AM1368" s="162" t="str">
        <f t="shared" si="168"/>
        <v>1/1900</v>
      </c>
      <c r="AN1368" s="45" t="e">
        <f t="shared" si="169"/>
        <v>#NUM!</v>
      </c>
      <c r="AO1368" s="45" t="str">
        <f t="shared" si="170"/>
        <v>1/1900</v>
      </c>
      <c r="AP1368" s="45" t="e">
        <f t="shared" si="171"/>
        <v>#NUM!</v>
      </c>
      <c r="AQ1368" s="45">
        <f t="shared" si="172"/>
        <v>0</v>
      </c>
      <c r="AR1368" s="45">
        <f t="shared" si="173"/>
        <v>0</v>
      </c>
      <c r="AS1368" s="45">
        <f t="shared" si="174"/>
        <v>0</v>
      </c>
      <c r="AT1368" s="45">
        <f t="shared" si="175"/>
        <v>0</v>
      </c>
      <c r="AU1368" s="45" t="str">
        <f>_xlfn.XLOOKUP(U1368,'Lista Suspensa'!$AA$20:$AA$23,'Lista Suspensa'!$AB$20:$AB$23,"N/A")</f>
        <v>S</v>
      </c>
    </row>
    <row r="1369" spans="1:47" ht="12" hidden="1" customHeight="1" x14ac:dyDescent="0.3">
      <c r="A1369" s="87"/>
      <c r="B1369" s="88"/>
      <c r="C1369" s="89"/>
      <c r="D1369" s="89"/>
      <c r="E1369" s="90"/>
      <c r="F1369" s="184"/>
      <c r="G1369" s="91"/>
      <c r="H1369" s="92"/>
      <c r="I1369" s="89"/>
      <c r="J1369" s="89"/>
      <c r="K1369" s="89"/>
      <c r="L1369" s="89"/>
      <c r="M1369" s="89"/>
      <c r="N1369" s="89"/>
      <c r="O1369" s="93"/>
      <c r="P1369" s="94"/>
      <c r="Q1369" s="112"/>
      <c r="R1369" s="95"/>
      <c r="S1369" s="96"/>
      <c r="T1369" s="96"/>
      <c r="U1369" s="96"/>
      <c r="V1369" s="92"/>
      <c r="W1369" s="92"/>
      <c r="X1369" s="92"/>
      <c r="Y1369" s="97"/>
      <c r="Z1369" s="89"/>
      <c r="AA1369" s="96"/>
      <c r="AB1369" s="89"/>
      <c r="AC1369" s="111"/>
      <c r="AD1369" s="89"/>
      <c r="AE1369" s="89"/>
      <c r="AF1369" s="98"/>
      <c r="AG1369" s="98"/>
      <c r="AH1369" s="98"/>
      <c r="AI1369" s="99"/>
      <c r="AJ1369" s="99"/>
      <c r="AK1369" s="99"/>
      <c r="AL1369" s="45" t="s">
        <v>68</v>
      </c>
      <c r="AM1369" s="162" t="str">
        <f t="shared" si="168"/>
        <v>1/1900</v>
      </c>
      <c r="AN1369" s="45" t="e">
        <f t="shared" si="169"/>
        <v>#NUM!</v>
      </c>
      <c r="AO1369" s="45" t="str">
        <f t="shared" si="170"/>
        <v>1/1900</v>
      </c>
      <c r="AP1369" s="45" t="e">
        <f t="shared" si="171"/>
        <v>#NUM!</v>
      </c>
      <c r="AQ1369" s="45">
        <f t="shared" si="172"/>
        <v>0</v>
      </c>
      <c r="AR1369" s="45">
        <f t="shared" si="173"/>
        <v>0</v>
      </c>
      <c r="AS1369" s="45">
        <f t="shared" si="174"/>
        <v>0</v>
      </c>
      <c r="AT1369" s="45">
        <f t="shared" si="175"/>
        <v>0</v>
      </c>
      <c r="AU1369" s="45" t="str">
        <f>_xlfn.XLOOKUP(U1369,'Lista Suspensa'!$AA$20:$AA$23,'Lista Suspensa'!$AB$20:$AB$23,"N/A")</f>
        <v>S</v>
      </c>
    </row>
    <row r="1370" spans="1:47" ht="12" hidden="1" customHeight="1" x14ac:dyDescent="0.3">
      <c r="A1370" s="87"/>
      <c r="B1370" s="88"/>
      <c r="C1370" s="89"/>
      <c r="D1370" s="89"/>
      <c r="E1370" s="90"/>
      <c r="F1370" s="184"/>
      <c r="G1370" s="91"/>
      <c r="H1370" s="92"/>
      <c r="I1370" s="89"/>
      <c r="J1370" s="89"/>
      <c r="K1370" s="89"/>
      <c r="L1370" s="89"/>
      <c r="M1370" s="89"/>
      <c r="N1370" s="89"/>
      <c r="O1370" s="93"/>
      <c r="P1370" s="94"/>
      <c r="Q1370" s="112"/>
      <c r="R1370" s="95"/>
      <c r="S1370" s="96"/>
      <c r="T1370" s="96"/>
      <c r="U1370" s="96"/>
      <c r="V1370" s="92"/>
      <c r="W1370" s="92"/>
      <c r="X1370" s="92"/>
      <c r="Y1370" s="97"/>
      <c r="Z1370" s="89"/>
      <c r="AA1370" s="96"/>
      <c r="AB1370" s="89"/>
      <c r="AC1370" s="111"/>
      <c r="AD1370" s="89"/>
      <c r="AE1370" s="89"/>
      <c r="AF1370" s="98"/>
      <c r="AG1370" s="98"/>
      <c r="AH1370" s="98"/>
      <c r="AI1370" s="99"/>
      <c r="AJ1370" s="99"/>
      <c r="AK1370" s="99"/>
      <c r="AL1370" s="45" t="s">
        <v>68</v>
      </c>
      <c r="AM1370" s="162" t="str">
        <f t="shared" si="168"/>
        <v>1/1900</v>
      </c>
      <c r="AN1370" s="45" t="e">
        <f t="shared" si="169"/>
        <v>#NUM!</v>
      </c>
      <c r="AO1370" s="45" t="str">
        <f t="shared" si="170"/>
        <v>1/1900</v>
      </c>
      <c r="AP1370" s="45" t="e">
        <f t="shared" si="171"/>
        <v>#NUM!</v>
      </c>
      <c r="AQ1370" s="45">
        <f t="shared" si="172"/>
        <v>0</v>
      </c>
      <c r="AR1370" s="45">
        <f t="shared" si="173"/>
        <v>0</v>
      </c>
      <c r="AS1370" s="45">
        <f t="shared" si="174"/>
        <v>0</v>
      </c>
      <c r="AT1370" s="45">
        <f t="shared" si="175"/>
        <v>0</v>
      </c>
      <c r="AU1370" s="45" t="str">
        <f>_xlfn.XLOOKUP(U1370,'Lista Suspensa'!$AA$20:$AA$23,'Lista Suspensa'!$AB$20:$AB$23,"N/A")</f>
        <v>S</v>
      </c>
    </row>
    <row r="1371" spans="1:47" ht="12" hidden="1" customHeight="1" x14ac:dyDescent="0.3">
      <c r="A1371" s="87"/>
      <c r="B1371" s="88"/>
      <c r="C1371" s="89"/>
      <c r="D1371" s="89"/>
      <c r="E1371" s="90"/>
      <c r="F1371" s="184"/>
      <c r="G1371" s="91"/>
      <c r="H1371" s="92"/>
      <c r="I1371" s="89"/>
      <c r="J1371" s="89"/>
      <c r="K1371" s="89"/>
      <c r="L1371" s="89"/>
      <c r="M1371" s="89"/>
      <c r="N1371" s="89"/>
      <c r="O1371" s="93"/>
      <c r="P1371" s="94"/>
      <c r="Q1371" s="112"/>
      <c r="R1371" s="95"/>
      <c r="S1371" s="96"/>
      <c r="T1371" s="96"/>
      <c r="U1371" s="96"/>
      <c r="V1371" s="92"/>
      <c r="W1371" s="92"/>
      <c r="X1371" s="92"/>
      <c r="Y1371" s="97"/>
      <c r="Z1371" s="89"/>
      <c r="AA1371" s="96"/>
      <c r="AB1371" s="89"/>
      <c r="AC1371" s="111"/>
      <c r="AD1371" s="89"/>
      <c r="AE1371" s="89"/>
      <c r="AF1371" s="98"/>
      <c r="AG1371" s="98"/>
      <c r="AH1371" s="98"/>
      <c r="AI1371" s="99"/>
      <c r="AJ1371" s="99"/>
      <c r="AK1371" s="99"/>
      <c r="AL1371" s="45" t="s">
        <v>68</v>
      </c>
      <c r="AM1371" s="162" t="str">
        <f t="shared" si="168"/>
        <v>1/1900</v>
      </c>
      <c r="AN1371" s="45" t="e">
        <f t="shared" si="169"/>
        <v>#NUM!</v>
      </c>
      <c r="AO1371" s="45" t="str">
        <f t="shared" si="170"/>
        <v>1/1900</v>
      </c>
      <c r="AP1371" s="45" t="e">
        <f t="shared" si="171"/>
        <v>#NUM!</v>
      </c>
      <c r="AQ1371" s="45">
        <f t="shared" si="172"/>
        <v>0</v>
      </c>
      <c r="AR1371" s="45">
        <f t="shared" si="173"/>
        <v>0</v>
      </c>
      <c r="AS1371" s="45">
        <f t="shared" si="174"/>
        <v>0</v>
      </c>
      <c r="AT1371" s="45">
        <f t="shared" si="175"/>
        <v>0</v>
      </c>
      <c r="AU1371" s="45" t="str">
        <f>_xlfn.XLOOKUP(U1371,'Lista Suspensa'!$AA$20:$AA$23,'Lista Suspensa'!$AB$20:$AB$23,"N/A")</f>
        <v>S</v>
      </c>
    </row>
    <row r="1372" spans="1:47" ht="12" hidden="1" customHeight="1" x14ac:dyDescent="0.3">
      <c r="A1372" s="87"/>
      <c r="B1372" s="88"/>
      <c r="C1372" s="89"/>
      <c r="D1372" s="89"/>
      <c r="E1372" s="90"/>
      <c r="F1372" s="184"/>
      <c r="G1372" s="91"/>
      <c r="H1372" s="92"/>
      <c r="I1372" s="89"/>
      <c r="J1372" s="89"/>
      <c r="K1372" s="89"/>
      <c r="L1372" s="89"/>
      <c r="M1372" s="89"/>
      <c r="N1372" s="89"/>
      <c r="O1372" s="93"/>
      <c r="P1372" s="94"/>
      <c r="Q1372" s="112"/>
      <c r="R1372" s="95"/>
      <c r="S1372" s="96"/>
      <c r="T1372" s="96"/>
      <c r="U1372" s="96"/>
      <c r="V1372" s="92"/>
      <c r="W1372" s="92"/>
      <c r="X1372" s="92"/>
      <c r="Y1372" s="97"/>
      <c r="Z1372" s="89"/>
      <c r="AA1372" s="96"/>
      <c r="AB1372" s="89"/>
      <c r="AC1372" s="111"/>
      <c r="AD1372" s="89"/>
      <c r="AE1372" s="89"/>
      <c r="AF1372" s="98"/>
      <c r="AG1372" s="98"/>
      <c r="AH1372" s="98"/>
      <c r="AI1372" s="99"/>
      <c r="AJ1372" s="99"/>
      <c r="AK1372" s="99"/>
      <c r="AL1372" s="45" t="s">
        <v>68</v>
      </c>
      <c r="AM1372" s="162" t="str">
        <f t="shared" si="168"/>
        <v>1/1900</v>
      </c>
      <c r="AN1372" s="45" t="e">
        <f t="shared" si="169"/>
        <v>#NUM!</v>
      </c>
      <c r="AO1372" s="45" t="str">
        <f t="shared" si="170"/>
        <v>1/1900</v>
      </c>
      <c r="AP1372" s="45" t="e">
        <f t="shared" si="171"/>
        <v>#NUM!</v>
      </c>
      <c r="AQ1372" s="45">
        <f t="shared" si="172"/>
        <v>0</v>
      </c>
      <c r="AR1372" s="45">
        <f t="shared" si="173"/>
        <v>0</v>
      </c>
      <c r="AS1372" s="45">
        <f t="shared" si="174"/>
        <v>0</v>
      </c>
      <c r="AT1372" s="45">
        <f t="shared" si="175"/>
        <v>0</v>
      </c>
      <c r="AU1372" s="45" t="str">
        <f>_xlfn.XLOOKUP(U1372,'Lista Suspensa'!$AA$20:$AA$23,'Lista Suspensa'!$AB$20:$AB$23,"N/A")</f>
        <v>S</v>
      </c>
    </row>
    <row r="1373" spans="1:47" ht="12" hidden="1" customHeight="1" x14ac:dyDescent="0.3">
      <c r="A1373" s="87"/>
      <c r="B1373" s="88"/>
      <c r="C1373" s="89"/>
      <c r="D1373" s="89"/>
      <c r="E1373" s="90"/>
      <c r="F1373" s="184"/>
      <c r="G1373" s="91"/>
      <c r="H1373" s="92"/>
      <c r="I1373" s="89"/>
      <c r="J1373" s="89"/>
      <c r="K1373" s="89"/>
      <c r="L1373" s="89"/>
      <c r="M1373" s="89"/>
      <c r="N1373" s="89"/>
      <c r="O1373" s="93"/>
      <c r="P1373" s="94"/>
      <c r="Q1373" s="112"/>
      <c r="R1373" s="95"/>
      <c r="S1373" s="96"/>
      <c r="T1373" s="96"/>
      <c r="U1373" s="96"/>
      <c r="V1373" s="92"/>
      <c r="W1373" s="92"/>
      <c r="X1373" s="92"/>
      <c r="Y1373" s="97"/>
      <c r="Z1373" s="89"/>
      <c r="AA1373" s="96"/>
      <c r="AB1373" s="89"/>
      <c r="AC1373" s="111"/>
      <c r="AD1373" s="89"/>
      <c r="AE1373" s="89"/>
      <c r="AF1373" s="98"/>
      <c r="AG1373" s="98"/>
      <c r="AH1373" s="98"/>
      <c r="AI1373" s="99"/>
      <c r="AJ1373" s="99"/>
      <c r="AK1373" s="99"/>
      <c r="AL1373" s="45" t="s">
        <v>68</v>
      </c>
      <c r="AM1373" s="162" t="str">
        <f t="shared" si="168"/>
        <v>1/1900</v>
      </c>
      <c r="AN1373" s="45" t="e">
        <f t="shared" si="169"/>
        <v>#NUM!</v>
      </c>
      <c r="AO1373" s="45" t="str">
        <f t="shared" si="170"/>
        <v>1/1900</v>
      </c>
      <c r="AP1373" s="45" t="e">
        <f t="shared" si="171"/>
        <v>#NUM!</v>
      </c>
      <c r="AQ1373" s="45">
        <f t="shared" si="172"/>
        <v>0</v>
      </c>
      <c r="AR1373" s="45">
        <f t="shared" si="173"/>
        <v>0</v>
      </c>
      <c r="AS1373" s="45">
        <f t="shared" si="174"/>
        <v>0</v>
      </c>
      <c r="AT1373" s="45">
        <f t="shared" si="175"/>
        <v>0</v>
      </c>
      <c r="AU1373" s="45" t="str">
        <f>_xlfn.XLOOKUP(U1373,'Lista Suspensa'!$AA$20:$AA$23,'Lista Suspensa'!$AB$20:$AB$23,"N/A")</f>
        <v>S</v>
      </c>
    </row>
    <row r="1374" spans="1:47" ht="12" hidden="1" customHeight="1" x14ac:dyDescent="0.3">
      <c r="A1374" s="87"/>
      <c r="B1374" s="88"/>
      <c r="C1374" s="89"/>
      <c r="D1374" s="89"/>
      <c r="E1374" s="90"/>
      <c r="F1374" s="184"/>
      <c r="G1374" s="91"/>
      <c r="H1374" s="92"/>
      <c r="I1374" s="89"/>
      <c r="J1374" s="89"/>
      <c r="K1374" s="89"/>
      <c r="L1374" s="89"/>
      <c r="M1374" s="89"/>
      <c r="N1374" s="89"/>
      <c r="O1374" s="93"/>
      <c r="P1374" s="94"/>
      <c r="Q1374" s="112"/>
      <c r="R1374" s="95"/>
      <c r="S1374" s="96"/>
      <c r="T1374" s="96"/>
      <c r="U1374" s="96"/>
      <c r="V1374" s="92"/>
      <c r="W1374" s="92"/>
      <c r="X1374" s="92"/>
      <c r="Y1374" s="97"/>
      <c r="Z1374" s="89"/>
      <c r="AA1374" s="96"/>
      <c r="AB1374" s="89"/>
      <c r="AC1374" s="111"/>
      <c r="AD1374" s="89"/>
      <c r="AE1374" s="89"/>
      <c r="AF1374" s="98"/>
      <c r="AG1374" s="98"/>
      <c r="AH1374" s="98"/>
      <c r="AI1374" s="99"/>
      <c r="AJ1374" s="99"/>
      <c r="AK1374" s="99"/>
      <c r="AL1374" s="45" t="s">
        <v>68</v>
      </c>
      <c r="AM1374" s="162" t="str">
        <f t="shared" si="168"/>
        <v>1/1900</v>
      </c>
      <c r="AN1374" s="45" t="e">
        <f t="shared" si="169"/>
        <v>#NUM!</v>
      </c>
      <c r="AO1374" s="45" t="str">
        <f t="shared" si="170"/>
        <v>1/1900</v>
      </c>
      <c r="AP1374" s="45" t="e">
        <f t="shared" si="171"/>
        <v>#NUM!</v>
      </c>
      <c r="AQ1374" s="45">
        <f t="shared" si="172"/>
        <v>0</v>
      </c>
      <c r="AR1374" s="45">
        <f t="shared" si="173"/>
        <v>0</v>
      </c>
      <c r="AS1374" s="45">
        <f t="shared" si="174"/>
        <v>0</v>
      </c>
      <c r="AT1374" s="45">
        <f t="shared" si="175"/>
        <v>0</v>
      </c>
      <c r="AU1374" s="45" t="str">
        <f>_xlfn.XLOOKUP(U1374,'Lista Suspensa'!$AA$20:$AA$23,'Lista Suspensa'!$AB$20:$AB$23,"N/A")</f>
        <v>S</v>
      </c>
    </row>
    <row r="1375" spans="1:47" ht="12" hidden="1" customHeight="1" x14ac:dyDescent="0.3">
      <c r="A1375" s="87"/>
      <c r="B1375" s="88"/>
      <c r="C1375" s="89"/>
      <c r="D1375" s="89"/>
      <c r="E1375" s="90"/>
      <c r="F1375" s="184"/>
      <c r="G1375" s="91"/>
      <c r="H1375" s="92"/>
      <c r="I1375" s="89"/>
      <c r="J1375" s="89"/>
      <c r="K1375" s="89"/>
      <c r="L1375" s="89"/>
      <c r="M1375" s="89"/>
      <c r="N1375" s="89"/>
      <c r="O1375" s="93"/>
      <c r="P1375" s="94"/>
      <c r="Q1375" s="112"/>
      <c r="R1375" s="95"/>
      <c r="S1375" s="96"/>
      <c r="T1375" s="96"/>
      <c r="U1375" s="96"/>
      <c r="V1375" s="92"/>
      <c r="W1375" s="92"/>
      <c r="X1375" s="92"/>
      <c r="Y1375" s="97"/>
      <c r="Z1375" s="89"/>
      <c r="AA1375" s="96"/>
      <c r="AB1375" s="89"/>
      <c r="AC1375" s="111"/>
      <c r="AD1375" s="89"/>
      <c r="AE1375" s="89"/>
      <c r="AF1375" s="98"/>
      <c r="AG1375" s="98"/>
      <c r="AH1375" s="98"/>
      <c r="AI1375" s="99"/>
      <c r="AJ1375" s="99"/>
      <c r="AK1375" s="99"/>
      <c r="AL1375" s="45" t="s">
        <v>68</v>
      </c>
      <c r="AM1375" s="162" t="str">
        <f t="shared" si="168"/>
        <v>1/1900</v>
      </c>
      <c r="AN1375" s="45" t="e">
        <f t="shared" si="169"/>
        <v>#NUM!</v>
      </c>
      <c r="AO1375" s="45" t="str">
        <f t="shared" si="170"/>
        <v>1/1900</v>
      </c>
      <c r="AP1375" s="45" t="e">
        <f t="shared" si="171"/>
        <v>#NUM!</v>
      </c>
      <c r="AQ1375" s="45">
        <f t="shared" si="172"/>
        <v>0</v>
      </c>
      <c r="AR1375" s="45">
        <f t="shared" si="173"/>
        <v>0</v>
      </c>
      <c r="AS1375" s="45">
        <f t="shared" si="174"/>
        <v>0</v>
      </c>
      <c r="AT1375" s="45">
        <f t="shared" si="175"/>
        <v>0</v>
      </c>
      <c r="AU1375" s="45" t="str">
        <f>_xlfn.XLOOKUP(U1375,'Lista Suspensa'!$AA$20:$AA$23,'Lista Suspensa'!$AB$20:$AB$23,"N/A")</f>
        <v>S</v>
      </c>
    </row>
    <row r="1376" spans="1:47" ht="12" hidden="1" customHeight="1" x14ac:dyDescent="0.3">
      <c r="A1376" s="87"/>
      <c r="B1376" s="88"/>
      <c r="C1376" s="89"/>
      <c r="D1376" s="89"/>
      <c r="E1376" s="90"/>
      <c r="F1376" s="184"/>
      <c r="G1376" s="91"/>
      <c r="H1376" s="92"/>
      <c r="I1376" s="89"/>
      <c r="J1376" s="89"/>
      <c r="K1376" s="89"/>
      <c r="L1376" s="89"/>
      <c r="M1376" s="89"/>
      <c r="N1376" s="89"/>
      <c r="O1376" s="93"/>
      <c r="P1376" s="94"/>
      <c r="Q1376" s="112"/>
      <c r="R1376" s="95"/>
      <c r="S1376" s="96"/>
      <c r="T1376" s="96"/>
      <c r="U1376" s="96"/>
      <c r="V1376" s="92"/>
      <c r="W1376" s="92"/>
      <c r="X1376" s="92"/>
      <c r="Y1376" s="97"/>
      <c r="Z1376" s="89"/>
      <c r="AA1376" s="96"/>
      <c r="AB1376" s="89"/>
      <c r="AC1376" s="111"/>
      <c r="AD1376" s="89"/>
      <c r="AE1376" s="89"/>
      <c r="AF1376" s="98"/>
      <c r="AG1376" s="98"/>
      <c r="AH1376" s="98"/>
      <c r="AI1376" s="99"/>
      <c r="AJ1376" s="99"/>
      <c r="AK1376" s="99"/>
      <c r="AL1376" s="45" t="s">
        <v>68</v>
      </c>
      <c r="AM1376" s="162" t="str">
        <f t="shared" si="168"/>
        <v>1/1900</v>
      </c>
      <c r="AN1376" s="45" t="e">
        <f t="shared" si="169"/>
        <v>#NUM!</v>
      </c>
      <c r="AO1376" s="45" t="str">
        <f t="shared" si="170"/>
        <v>1/1900</v>
      </c>
      <c r="AP1376" s="45" t="e">
        <f t="shared" si="171"/>
        <v>#NUM!</v>
      </c>
      <c r="AQ1376" s="45">
        <f t="shared" si="172"/>
        <v>0</v>
      </c>
      <c r="AR1376" s="45">
        <f t="shared" si="173"/>
        <v>0</v>
      </c>
      <c r="AS1376" s="45">
        <f t="shared" si="174"/>
        <v>0</v>
      </c>
      <c r="AT1376" s="45">
        <f t="shared" si="175"/>
        <v>0</v>
      </c>
      <c r="AU1376" s="45" t="str">
        <f>_xlfn.XLOOKUP(U1376,'Lista Suspensa'!$AA$20:$AA$23,'Lista Suspensa'!$AB$20:$AB$23,"N/A")</f>
        <v>S</v>
      </c>
    </row>
    <row r="1377" spans="1:47" ht="12" hidden="1" customHeight="1" x14ac:dyDescent="0.3">
      <c r="A1377" s="87"/>
      <c r="B1377" s="88"/>
      <c r="C1377" s="89"/>
      <c r="D1377" s="89"/>
      <c r="E1377" s="90"/>
      <c r="F1377" s="184"/>
      <c r="G1377" s="91"/>
      <c r="H1377" s="92"/>
      <c r="I1377" s="89"/>
      <c r="J1377" s="89"/>
      <c r="K1377" s="89"/>
      <c r="L1377" s="89"/>
      <c r="M1377" s="89"/>
      <c r="N1377" s="89"/>
      <c r="O1377" s="93"/>
      <c r="P1377" s="94"/>
      <c r="Q1377" s="112"/>
      <c r="R1377" s="95"/>
      <c r="S1377" s="96"/>
      <c r="T1377" s="96"/>
      <c r="U1377" s="96"/>
      <c r="V1377" s="92"/>
      <c r="W1377" s="92"/>
      <c r="X1377" s="92"/>
      <c r="Y1377" s="97"/>
      <c r="Z1377" s="89"/>
      <c r="AA1377" s="96"/>
      <c r="AB1377" s="89"/>
      <c r="AC1377" s="111"/>
      <c r="AD1377" s="89"/>
      <c r="AE1377" s="89"/>
      <c r="AF1377" s="98"/>
      <c r="AG1377" s="98"/>
      <c r="AH1377" s="98"/>
      <c r="AI1377" s="99"/>
      <c r="AJ1377" s="99"/>
      <c r="AK1377" s="99"/>
      <c r="AL1377" s="45" t="s">
        <v>68</v>
      </c>
      <c r="AM1377" s="162" t="str">
        <f t="shared" si="168"/>
        <v>1/1900</v>
      </c>
      <c r="AN1377" s="45" t="e">
        <f t="shared" si="169"/>
        <v>#NUM!</v>
      </c>
      <c r="AO1377" s="45" t="str">
        <f t="shared" si="170"/>
        <v>1/1900</v>
      </c>
      <c r="AP1377" s="45" t="e">
        <f t="shared" si="171"/>
        <v>#NUM!</v>
      </c>
      <c r="AQ1377" s="45">
        <f t="shared" si="172"/>
        <v>0</v>
      </c>
      <c r="AR1377" s="45">
        <f t="shared" si="173"/>
        <v>0</v>
      </c>
      <c r="AS1377" s="45">
        <f t="shared" si="174"/>
        <v>0</v>
      </c>
      <c r="AT1377" s="45">
        <f t="shared" si="175"/>
        <v>0</v>
      </c>
      <c r="AU1377" s="45" t="str">
        <f>_xlfn.XLOOKUP(U1377,'Lista Suspensa'!$AA$20:$AA$23,'Lista Suspensa'!$AB$20:$AB$23,"N/A")</f>
        <v>S</v>
      </c>
    </row>
    <row r="1378" spans="1:47" ht="12" hidden="1" customHeight="1" x14ac:dyDescent="0.3">
      <c r="A1378" s="87"/>
      <c r="B1378" s="88"/>
      <c r="C1378" s="89"/>
      <c r="D1378" s="89"/>
      <c r="E1378" s="90"/>
      <c r="F1378" s="184"/>
      <c r="G1378" s="91"/>
      <c r="H1378" s="92"/>
      <c r="I1378" s="89"/>
      <c r="J1378" s="89"/>
      <c r="K1378" s="89"/>
      <c r="L1378" s="89"/>
      <c r="M1378" s="89"/>
      <c r="N1378" s="89"/>
      <c r="O1378" s="93"/>
      <c r="P1378" s="94"/>
      <c r="Q1378" s="112"/>
      <c r="R1378" s="95"/>
      <c r="S1378" s="96"/>
      <c r="T1378" s="96"/>
      <c r="U1378" s="96"/>
      <c r="V1378" s="92"/>
      <c r="W1378" s="92"/>
      <c r="X1378" s="92"/>
      <c r="Y1378" s="97"/>
      <c r="Z1378" s="89"/>
      <c r="AA1378" s="96"/>
      <c r="AB1378" s="89"/>
      <c r="AC1378" s="111"/>
      <c r="AD1378" s="89"/>
      <c r="AE1378" s="89"/>
      <c r="AF1378" s="98"/>
      <c r="AG1378" s="98"/>
      <c r="AH1378" s="98"/>
      <c r="AI1378" s="99"/>
      <c r="AJ1378" s="99"/>
      <c r="AK1378" s="99"/>
      <c r="AL1378" s="45" t="s">
        <v>68</v>
      </c>
      <c r="AM1378" s="162" t="str">
        <f t="shared" si="168"/>
        <v>1/1900</v>
      </c>
      <c r="AN1378" s="45" t="e">
        <f t="shared" si="169"/>
        <v>#NUM!</v>
      </c>
      <c r="AO1378" s="45" t="str">
        <f t="shared" si="170"/>
        <v>1/1900</v>
      </c>
      <c r="AP1378" s="45" t="e">
        <f t="shared" si="171"/>
        <v>#NUM!</v>
      </c>
      <c r="AQ1378" s="45">
        <f t="shared" si="172"/>
        <v>0</v>
      </c>
      <c r="AR1378" s="45">
        <f t="shared" si="173"/>
        <v>0</v>
      </c>
      <c r="AS1378" s="45">
        <f t="shared" si="174"/>
        <v>0</v>
      </c>
      <c r="AT1378" s="45">
        <f t="shared" si="175"/>
        <v>0</v>
      </c>
      <c r="AU1378" s="45" t="str">
        <f>_xlfn.XLOOKUP(U1378,'Lista Suspensa'!$AA$20:$AA$23,'Lista Suspensa'!$AB$20:$AB$23,"N/A")</f>
        <v>S</v>
      </c>
    </row>
    <row r="1379" spans="1:47" ht="12" hidden="1" customHeight="1" x14ac:dyDescent="0.3">
      <c r="A1379" s="87"/>
      <c r="B1379" s="88"/>
      <c r="C1379" s="89"/>
      <c r="D1379" s="89"/>
      <c r="E1379" s="90"/>
      <c r="F1379" s="184"/>
      <c r="G1379" s="91"/>
      <c r="H1379" s="92"/>
      <c r="I1379" s="89"/>
      <c r="J1379" s="89"/>
      <c r="K1379" s="89"/>
      <c r="L1379" s="89"/>
      <c r="M1379" s="89"/>
      <c r="N1379" s="89"/>
      <c r="O1379" s="93"/>
      <c r="P1379" s="94"/>
      <c r="Q1379" s="112"/>
      <c r="R1379" s="95"/>
      <c r="S1379" s="96"/>
      <c r="T1379" s="96"/>
      <c r="U1379" s="96"/>
      <c r="V1379" s="92"/>
      <c r="W1379" s="92"/>
      <c r="X1379" s="92"/>
      <c r="Y1379" s="97"/>
      <c r="Z1379" s="89"/>
      <c r="AA1379" s="96"/>
      <c r="AB1379" s="89"/>
      <c r="AC1379" s="111"/>
      <c r="AD1379" s="89"/>
      <c r="AE1379" s="89"/>
      <c r="AF1379" s="98"/>
      <c r="AG1379" s="98"/>
      <c r="AH1379" s="98"/>
      <c r="AI1379" s="99"/>
      <c r="AJ1379" s="99"/>
      <c r="AK1379" s="99"/>
      <c r="AL1379" s="45" t="s">
        <v>68</v>
      </c>
      <c r="AM1379" s="162" t="str">
        <f t="shared" si="168"/>
        <v>1/1900</v>
      </c>
      <c r="AN1379" s="45" t="e">
        <f t="shared" si="169"/>
        <v>#NUM!</v>
      </c>
      <c r="AO1379" s="45" t="str">
        <f t="shared" si="170"/>
        <v>1/1900</v>
      </c>
      <c r="AP1379" s="45" t="e">
        <f t="shared" si="171"/>
        <v>#NUM!</v>
      </c>
      <c r="AQ1379" s="45">
        <f t="shared" si="172"/>
        <v>0</v>
      </c>
      <c r="AR1379" s="45">
        <f t="shared" si="173"/>
        <v>0</v>
      </c>
      <c r="AS1379" s="45">
        <f t="shared" si="174"/>
        <v>0</v>
      </c>
      <c r="AT1379" s="45">
        <f t="shared" si="175"/>
        <v>0</v>
      </c>
      <c r="AU1379" s="45" t="str">
        <f>_xlfn.XLOOKUP(U1379,'Lista Suspensa'!$AA$20:$AA$23,'Lista Suspensa'!$AB$20:$AB$23,"N/A")</f>
        <v>S</v>
      </c>
    </row>
    <row r="1380" spans="1:47" ht="12" hidden="1" customHeight="1" x14ac:dyDescent="0.3">
      <c r="A1380" s="87"/>
      <c r="B1380" s="88"/>
      <c r="C1380" s="89"/>
      <c r="D1380" s="89"/>
      <c r="E1380" s="90"/>
      <c r="F1380" s="184"/>
      <c r="G1380" s="91"/>
      <c r="H1380" s="92"/>
      <c r="I1380" s="89"/>
      <c r="J1380" s="89"/>
      <c r="K1380" s="89"/>
      <c r="L1380" s="89"/>
      <c r="M1380" s="89"/>
      <c r="N1380" s="89"/>
      <c r="O1380" s="93"/>
      <c r="P1380" s="94"/>
      <c r="Q1380" s="112"/>
      <c r="R1380" s="95"/>
      <c r="S1380" s="96"/>
      <c r="T1380" s="96"/>
      <c r="U1380" s="96"/>
      <c r="V1380" s="92"/>
      <c r="W1380" s="92"/>
      <c r="X1380" s="92"/>
      <c r="Y1380" s="97"/>
      <c r="Z1380" s="89"/>
      <c r="AA1380" s="96"/>
      <c r="AB1380" s="89"/>
      <c r="AC1380" s="111"/>
      <c r="AD1380" s="89"/>
      <c r="AE1380" s="89"/>
      <c r="AF1380" s="98"/>
      <c r="AG1380" s="98"/>
      <c r="AH1380" s="98"/>
      <c r="AI1380" s="99"/>
      <c r="AJ1380" s="99"/>
      <c r="AK1380" s="99"/>
      <c r="AL1380" s="45" t="s">
        <v>68</v>
      </c>
      <c r="AM1380" s="162" t="str">
        <f t="shared" si="168"/>
        <v>1/1900</v>
      </c>
      <c r="AN1380" s="45" t="e">
        <f t="shared" si="169"/>
        <v>#NUM!</v>
      </c>
      <c r="AO1380" s="45" t="str">
        <f t="shared" si="170"/>
        <v>1/1900</v>
      </c>
      <c r="AP1380" s="45" t="e">
        <f t="shared" si="171"/>
        <v>#NUM!</v>
      </c>
      <c r="AQ1380" s="45">
        <f t="shared" si="172"/>
        <v>0</v>
      </c>
      <c r="AR1380" s="45">
        <f t="shared" si="173"/>
        <v>0</v>
      </c>
      <c r="AS1380" s="45">
        <f t="shared" si="174"/>
        <v>0</v>
      </c>
      <c r="AT1380" s="45">
        <f t="shared" si="175"/>
        <v>0</v>
      </c>
      <c r="AU1380" s="45" t="str">
        <f>_xlfn.XLOOKUP(U1380,'Lista Suspensa'!$AA$20:$AA$23,'Lista Suspensa'!$AB$20:$AB$23,"N/A")</f>
        <v>S</v>
      </c>
    </row>
    <row r="1381" spans="1:47" ht="12" hidden="1" customHeight="1" x14ac:dyDescent="0.3">
      <c r="A1381" s="87"/>
      <c r="B1381" s="88"/>
      <c r="C1381" s="89"/>
      <c r="D1381" s="89"/>
      <c r="E1381" s="90"/>
      <c r="F1381" s="184"/>
      <c r="G1381" s="91"/>
      <c r="H1381" s="92"/>
      <c r="I1381" s="89"/>
      <c r="J1381" s="89"/>
      <c r="K1381" s="89"/>
      <c r="L1381" s="89"/>
      <c r="M1381" s="89"/>
      <c r="N1381" s="89"/>
      <c r="O1381" s="93"/>
      <c r="P1381" s="94"/>
      <c r="Q1381" s="112"/>
      <c r="R1381" s="95"/>
      <c r="S1381" s="96"/>
      <c r="T1381" s="96"/>
      <c r="U1381" s="96"/>
      <c r="V1381" s="92"/>
      <c r="W1381" s="92"/>
      <c r="X1381" s="92"/>
      <c r="Y1381" s="97"/>
      <c r="Z1381" s="89"/>
      <c r="AA1381" s="96"/>
      <c r="AB1381" s="89"/>
      <c r="AC1381" s="111"/>
      <c r="AD1381" s="89"/>
      <c r="AE1381" s="89"/>
      <c r="AF1381" s="98"/>
      <c r="AG1381" s="98"/>
      <c r="AH1381" s="98"/>
      <c r="AI1381" s="99"/>
      <c r="AJ1381" s="99"/>
      <c r="AK1381" s="99"/>
      <c r="AL1381" s="45" t="s">
        <v>68</v>
      </c>
      <c r="AM1381" s="162" t="str">
        <f t="shared" si="168"/>
        <v>1/1900</v>
      </c>
      <c r="AN1381" s="45" t="e">
        <f t="shared" si="169"/>
        <v>#NUM!</v>
      </c>
      <c r="AO1381" s="45" t="str">
        <f t="shared" si="170"/>
        <v>1/1900</v>
      </c>
      <c r="AP1381" s="45" t="e">
        <f t="shared" si="171"/>
        <v>#NUM!</v>
      </c>
      <c r="AQ1381" s="45">
        <f t="shared" si="172"/>
        <v>0</v>
      </c>
      <c r="AR1381" s="45">
        <f t="shared" si="173"/>
        <v>0</v>
      </c>
      <c r="AS1381" s="45">
        <f t="shared" si="174"/>
        <v>0</v>
      </c>
      <c r="AT1381" s="45">
        <f t="shared" si="175"/>
        <v>0</v>
      </c>
      <c r="AU1381" s="45" t="str">
        <f>_xlfn.XLOOKUP(U1381,'Lista Suspensa'!$AA$20:$AA$23,'Lista Suspensa'!$AB$20:$AB$23,"N/A")</f>
        <v>S</v>
      </c>
    </row>
    <row r="1382" spans="1:47" ht="12" hidden="1" customHeight="1" x14ac:dyDescent="0.3">
      <c r="A1382" s="87"/>
      <c r="B1382" s="88"/>
      <c r="C1382" s="89"/>
      <c r="D1382" s="89"/>
      <c r="E1382" s="90"/>
      <c r="F1382" s="184"/>
      <c r="G1382" s="91"/>
      <c r="H1382" s="92"/>
      <c r="I1382" s="89"/>
      <c r="J1382" s="89"/>
      <c r="K1382" s="89"/>
      <c r="L1382" s="89"/>
      <c r="M1382" s="89"/>
      <c r="N1382" s="89"/>
      <c r="O1382" s="93"/>
      <c r="P1382" s="94"/>
      <c r="Q1382" s="112"/>
      <c r="R1382" s="95"/>
      <c r="S1382" s="96"/>
      <c r="T1382" s="96"/>
      <c r="U1382" s="96"/>
      <c r="V1382" s="92"/>
      <c r="W1382" s="92"/>
      <c r="X1382" s="92"/>
      <c r="Y1382" s="97"/>
      <c r="Z1382" s="89"/>
      <c r="AA1382" s="96"/>
      <c r="AB1382" s="89"/>
      <c r="AC1382" s="111"/>
      <c r="AD1382" s="89"/>
      <c r="AE1382" s="89"/>
      <c r="AF1382" s="98"/>
      <c r="AG1382" s="98"/>
      <c r="AH1382" s="98"/>
      <c r="AI1382" s="99"/>
      <c r="AJ1382" s="99"/>
      <c r="AK1382" s="99"/>
      <c r="AL1382" s="45" t="s">
        <v>68</v>
      </c>
      <c r="AM1382" s="162" t="str">
        <f t="shared" si="168"/>
        <v>1/1900</v>
      </c>
      <c r="AN1382" s="45" t="e">
        <f t="shared" si="169"/>
        <v>#NUM!</v>
      </c>
      <c r="AO1382" s="45" t="str">
        <f t="shared" si="170"/>
        <v>1/1900</v>
      </c>
      <c r="AP1382" s="45" t="e">
        <f t="shared" si="171"/>
        <v>#NUM!</v>
      </c>
      <c r="AQ1382" s="45">
        <f t="shared" si="172"/>
        <v>0</v>
      </c>
      <c r="AR1382" s="45">
        <f t="shared" si="173"/>
        <v>0</v>
      </c>
      <c r="AS1382" s="45">
        <f t="shared" si="174"/>
        <v>0</v>
      </c>
      <c r="AT1382" s="45">
        <f t="shared" si="175"/>
        <v>0</v>
      </c>
      <c r="AU1382" s="45" t="str">
        <f>_xlfn.XLOOKUP(U1382,'Lista Suspensa'!$AA$20:$AA$23,'Lista Suspensa'!$AB$20:$AB$23,"N/A")</f>
        <v>S</v>
      </c>
    </row>
    <row r="1383" spans="1:47" ht="12" hidden="1" customHeight="1" x14ac:dyDescent="0.3">
      <c r="A1383" s="87"/>
      <c r="B1383" s="88"/>
      <c r="C1383" s="89"/>
      <c r="D1383" s="89"/>
      <c r="E1383" s="90"/>
      <c r="F1383" s="184"/>
      <c r="G1383" s="91"/>
      <c r="H1383" s="92"/>
      <c r="I1383" s="89"/>
      <c r="J1383" s="89"/>
      <c r="K1383" s="89"/>
      <c r="L1383" s="89"/>
      <c r="M1383" s="89"/>
      <c r="N1383" s="89"/>
      <c r="O1383" s="93"/>
      <c r="P1383" s="94"/>
      <c r="Q1383" s="112"/>
      <c r="R1383" s="95"/>
      <c r="S1383" s="96"/>
      <c r="T1383" s="96"/>
      <c r="U1383" s="96"/>
      <c r="V1383" s="92"/>
      <c r="W1383" s="92"/>
      <c r="X1383" s="92"/>
      <c r="Y1383" s="97"/>
      <c r="Z1383" s="89"/>
      <c r="AA1383" s="96"/>
      <c r="AB1383" s="89"/>
      <c r="AC1383" s="111"/>
      <c r="AD1383" s="89"/>
      <c r="AE1383" s="89"/>
      <c r="AF1383" s="98"/>
      <c r="AG1383" s="98"/>
      <c r="AH1383" s="98"/>
      <c r="AI1383" s="99"/>
      <c r="AJ1383" s="99"/>
      <c r="AK1383" s="99"/>
      <c r="AL1383" s="45" t="s">
        <v>68</v>
      </c>
      <c r="AM1383" s="162" t="str">
        <f t="shared" si="168"/>
        <v>1/1900</v>
      </c>
      <c r="AN1383" s="45" t="e">
        <f t="shared" si="169"/>
        <v>#NUM!</v>
      </c>
      <c r="AO1383" s="45" t="str">
        <f t="shared" si="170"/>
        <v>1/1900</v>
      </c>
      <c r="AP1383" s="45" t="e">
        <f t="shared" si="171"/>
        <v>#NUM!</v>
      </c>
      <c r="AQ1383" s="45">
        <f t="shared" si="172"/>
        <v>0</v>
      </c>
      <c r="AR1383" s="45">
        <f t="shared" si="173"/>
        <v>0</v>
      </c>
      <c r="AS1383" s="45">
        <f t="shared" si="174"/>
        <v>0</v>
      </c>
      <c r="AT1383" s="45">
        <f t="shared" si="175"/>
        <v>0</v>
      </c>
      <c r="AU1383" s="45" t="str">
        <f>_xlfn.XLOOKUP(U1383,'Lista Suspensa'!$AA$20:$AA$23,'Lista Suspensa'!$AB$20:$AB$23,"N/A")</f>
        <v>S</v>
      </c>
    </row>
    <row r="1384" spans="1:47" ht="12" hidden="1" customHeight="1" x14ac:dyDescent="0.3">
      <c r="A1384" s="87"/>
      <c r="B1384" s="88"/>
      <c r="C1384" s="89"/>
      <c r="D1384" s="89"/>
      <c r="E1384" s="90"/>
      <c r="F1384" s="184"/>
      <c r="G1384" s="91"/>
      <c r="H1384" s="92"/>
      <c r="I1384" s="89"/>
      <c r="J1384" s="89"/>
      <c r="K1384" s="89"/>
      <c r="L1384" s="89"/>
      <c r="M1384" s="89"/>
      <c r="N1384" s="89"/>
      <c r="O1384" s="93"/>
      <c r="P1384" s="94"/>
      <c r="Q1384" s="112"/>
      <c r="R1384" s="95"/>
      <c r="S1384" s="96"/>
      <c r="T1384" s="96"/>
      <c r="U1384" s="96"/>
      <c r="V1384" s="92"/>
      <c r="W1384" s="92"/>
      <c r="X1384" s="92"/>
      <c r="Y1384" s="97"/>
      <c r="Z1384" s="89"/>
      <c r="AA1384" s="96"/>
      <c r="AB1384" s="89"/>
      <c r="AC1384" s="111"/>
      <c r="AD1384" s="89"/>
      <c r="AE1384" s="89"/>
      <c r="AF1384" s="98"/>
      <c r="AG1384" s="98"/>
      <c r="AH1384" s="98"/>
      <c r="AI1384" s="99"/>
      <c r="AJ1384" s="99"/>
      <c r="AK1384" s="99"/>
      <c r="AL1384" s="45" t="s">
        <v>68</v>
      </c>
      <c r="AM1384" s="162" t="str">
        <f t="shared" si="168"/>
        <v>1/1900</v>
      </c>
      <c r="AN1384" s="45" t="e">
        <f t="shared" si="169"/>
        <v>#NUM!</v>
      </c>
      <c r="AO1384" s="45" t="str">
        <f t="shared" si="170"/>
        <v>1/1900</v>
      </c>
      <c r="AP1384" s="45" t="e">
        <f t="shared" si="171"/>
        <v>#NUM!</v>
      </c>
      <c r="AQ1384" s="45">
        <f t="shared" si="172"/>
        <v>0</v>
      </c>
      <c r="AR1384" s="45">
        <f t="shared" si="173"/>
        <v>0</v>
      </c>
      <c r="AS1384" s="45">
        <f t="shared" si="174"/>
        <v>0</v>
      </c>
      <c r="AT1384" s="45">
        <f t="shared" si="175"/>
        <v>0</v>
      </c>
      <c r="AU1384" s="45" t="str">
        <f>_xlfn.XLOOKUP(U1384,'Lista Suspensa'!$AA$20:$AA$23,'Lista Suspensa'!$AB$20:$AB$23,"N/A")</f>
        <v>S</v>
      </c>
    </row>
    <row r="1385" spans="1:47" ht="12" hidden="1" customHeight="1" x14ac:dyDescent="0.3">
      <c r="A1385" s="87"/>
      <c r="B1385" s="88"/>
      <c r="C1385" s="89"/>
      <c r="D1385" s="89"/>
      <c r="E1385" s="90"/>
      <c r="F1385" s="184"/>
      <c r="G1385" s="91"/>
      <c r="H1385" s="92"/>
      <c r="I1385" s="89"/>
      <c r="J1385" s="89"/>
      <c r="K1385" s="89"/>
      <c r="L1385" s="89"/>
      <c r="M1385" s="89"/>
      <c r="N1385" s="89"/>
      <c r="O1385" s="93"/>
      <c r="P1385" s="94"/>
      <c r="Q1385" s="112"/>
      <c r="R1385" s="95"/>
      <c r="S1385" s="96"/>
      <c r="T1385" s="96"/>
      <c r="U1385" s="96"/>
      <c r="V1385" s="92"/>
      <c r="W1385" s="92"/>
      <c r="X1385" s="92"/>
      <c r="Y1385" s="97"/>
      <c r="Z1385" s="89"/>
      <c r="AA1385" s="96"/>
      <c r="AB1385" s="89"/>
      <c r="AC1385" s="111"/>
      <c r="AD1385" s="89"/>
      <c r="AE1385" s="89"/>
      <c r="AF1385" s="98"/>
      <c r="AG1385" s="98"/>
      <c r="AH1385" s="98"/>
      <c r="AI1385" s="99"/>
      <c r="AJ1385" s="99"/>
      <c r="AK1385" s="99"/>
      <c r="AL1385" s="45" t="s">
        <v>68</v>
      </c>
      <c r="AM1385" s="162" t="str">
        <f t="shared" si="168"/>
        <v>1/1900</v>
      </c>
      <c r="AN1385" s="45" t="e">
        <f t="shared" si="169"/>
        <v>#NUM!</v>
      </c>
      <c r="AO1385" s="45" t="str">
        <f t="shared" si="170"/>
        <v>1/1900</v>
      </c>
      <c r="AP1385" s="45" t="e">
        <f t="shared" si="171"/>
        <v>#NUM!</v>
      </c>
      <c r="AQ1385" s="45">
        <f t="shared" si="172"/>
        <v>0</v>
      </c>
      <c r="AR1385" s="45">
        <f t="shared" si="173"/>
        <v>0</v>
      </c>
      <c r="AS1385" s="45">
        <f t="shared" si="174"/>
        <v>0</v>
      </c>
      <c r="AT1385" s="45">
        <f t="shared" si="175"/>
        <v>0</v>
      </c>
      <c r="AU1385" s="45" t="str">
        <f>_xlfn.XLOOKUP(U1385,'Lista Suspensa'!$AA$20:$AA$23,'Lista Suspensa'!$AB$20:$AB$23,"N/A")</f>
        <v>S</v>
      </c>
    </row>
    <row r="1386" spans="1:47" ht="12" hidden="1" customHeight="1" x14ac:dyDescent="0.3">
      <c r="AL1386" s="45" t="s">
        <v>68</v>
      </c>
      <c r="AM1386" s="162" t="str">
        <f t="shared" si="168"/>
        <v>1/1900</v>
      </c>
      <c r="AN1386" s="45" t="e">
        <f t="shared" si="169"/>
        <v>#NUM!</v>
      </c>
      <c r="AO1386" s="45" t="str">
        <f t="shared" si="170"/>
        <v>1/1900</v>
      </c>
      <c r="AP1386" s="45" t="e">
        <f t="shared" si="171"/>
        <v>#NUM!</v>
      </c>
      <c r="AQ1386" s="45">
        <f t="shared" si="172"/>
        <v>0</v>
      </c>
      <c r="AR1386" s="45">
        <f t="shared" si="173"/>
        <v>0</v>
      </c>
      <c r="AS1386" s="45">
        <f t="shared" si="174"/>
        <v>0</v>
      </c>
      <c r="AT1386" s="45">
        <f t="shared" si="175"/>
        <v>0</v>
      </c>
      <c r="AU1386" s="45" t="str">
        <f>_xlfn.XLOOKUP(U1386,'Lista Suspensa'!$AA$20:$AA$23,'Lista Suspensa'!$AB$20:$AB$23,"N/A")</f>
        <v>S</v>
      </c>
    </row>
    <row r="1387" spans="1:47" ht="12" hidden="1" customHeight="1" x14ac:dyDescent="0.3">
      <c r="AL1387" s="45" t="s">
        <v>68</v>
      </c>
      <c r="AM1387" s="162" t="str">
        <f t="shared" si="168"/>
        <v>1/1900</v>
      </c>
      <c r="AN1387" s="45" t="e">
        <f t="shared" si="169"/>
        <v>#NUM!</v>
      </c>
      <c r="AO1387" s="45" t="str">
        <f t="shared" si="170"/>
        <v>1/1900</v>
      </c>
      <c r="AP1387" s="45" t="e">
        <f t="shared" si="171"/>
        <v>#NUM!</v>
      </c>
      <c r="AQ1387" s="45">
        <f t="shared" si="172"/>
        <v>0</v>
      </c>
      <c r="AR1387" s="45">
        <f t="shared" si="173"/>
        <v>0</v>
      </c>
      <c r="AS1387" s="45">
        <f t="shared" si="174"/>
        <v>0</v>
      </c>
      <c r="AT1387" s="45">
        <f t="shared" si="175"/>
        <v>0</v>
      </c>
      <c r="AU1387" s="45" t="str">
        <f>_xlfn.XLOOKUP(U1387,'Lista Suspensa'!$AA$20:$AA$23,'Lista Suspensa'!$AB$20:$AB$23,"N/A")</f>
        <v>S</v>
      </c>
    </row>
    <row r="1388" spans="1:47" ht="12" hidden="1" customHeight="1" x14ac:dyDescent="0.3">
      <c r="AL1388" s="45" t="s">
        <v>68</v>
      </c>
      <c r="AM1388" s="162" t="str">
        <f t="shared" si="168"/>
        <v>1/1900</v>
      </c>
      <c r="AN1388" s="45" t="e">
        <f t="shared" si="169"/>
        <v>#NUM!</v>
      </c>
      <c r="AO1388" s="45" t="str">
        <f t="shared" si="170"/>
        <v>1/1900</v>
      </c>
      <c r="AP1388" s="45" t="e">
        <f t="shared" si="171"/>
        <v>#NUM!</v>
      </c>
      <c r="AQ1388" s="45">
        <f t="shared" si="172"/>
        <v>0</v>
      </c>
      <c r="AR1388" s="45">
        <f t="shared" si="173"/>
        <v>0</v>
      </c>
      <c r="AS1388" s="45">
        <f t="shared" si="174"/>
        <v>0</v>
      </c>
      <c r="AT1388" s="45">
        <f t="shared" si="175"/>
        <v>0</v>
      </c>
      <c r="AU1388" s="45" t="str">
        <f>_xlfn.XLOOKUP(U1388,'Lista Suspensa'!$AA$20:$AA$23,'Lista Suspensa'!$AB$20:$AB$23,"N/A")</f>
        <v>S</v>
      </c>
    </row>
    <row r="1389" spans="1:47" ht="12" hidden="1" customHeight="1" x14ac:dyDescent="0.3">
      <c r="AL1389" s="45" t="s">
        <v>68</v>
      </c>
      <c r="AM1389" s="162" t="str">
        <f t="shared" si="168"/>
        <v>1/1900</v>
      </c>
      <c r="AN1389" s="45" t="e">
        <f t="shared" si="169"/>
        <v>#NUM!</v>
      </c>
      <c r="AO1389" s="45" t="str">
        <f t="shared" si="170"/>
        <v>1/1900</v>
      </c>
      <c r="AP1389" s="45" t="e">
        <f t="shared" si="171"/>
        <v>#NUM!</v>
      </c>
      <c r="AQ1389" s="45">
        <f t="shared" si="172"/>
        <v>0</v>
      </c>
      <c r="AR1389" s="45">
        <f t="shared" si="173"/>
        <v>0</v>
      </c>
      <c r="AS1389" s="45">
        <f t="shared" si="174"/>
        <v>0</v>
      </c>
      <c r="AT1389" s="45">
        <f t="shared" si="175"/>
        <v>0</v>
      </c>
      <c r="AU1389" s="45" t="str">
        <f>_xlfn.XLOOKUP(U1389,'Lista Suspensa'!$AA$20:$AA$23,'Lista Suspensa'!$AB$20:$AB$23,"N/A")</f>
        <v>S</v>
      </c>
    </row>
    <row r="1390" spans="1:47" ht="12" hidden="1" customHeight="1" x14ac:dyDescent="0.3">
      <c r="AL1390" s="45" t="s">
        <v>68</v>
      </c>
      <c r="AM1390" s="162" t="str">
        <f t="shared" si="168"/>
        <v>1/1900</v>
      </c>
      <c r="AN1390" s="45" t="e">
        <f t="shared" si="169"/>
        <v>#NUM!</v>
      </c>
      <c r="AO1390" s="45" t="str">
        <f t="shared" si="170"/>
        <v>1/1900</v>
      </c>
      <c r="AP1390" s="45" t="e">
        <f t="shared" si="171"/>
        <v>#NUM!</v>
      </c>
      <c r="AQ1390" s="45">
        <f t="shared" si="172"/>
        <v>0</v>
      </c>
      <c r="AR1390" s="45">
        <f t="shared" si="173"/>
        <v>0</v>
      </c>
      <c r="AS1390" s="45">
        <f t="shared" si="174"/>
        <v>0</v>
      </c>
      <c r="AT1390" s="45">
        <f t="shared" si="175"/>
        <v>0</v>
      </c>
      <c r="AU1390" s="45" t="str">
        <f>_xlfn.XLOOKUP(U1390,'Lista Suspensa'!$AA$20:$AA$23,'Lista Suspensa'!$AB$20:$AB$23,"N/A")</f>
        <v>S</v>
      </c>
    </row>
    <row r="1391" spans="1:47" ht="12" hidden="1" customHeight="1" x14ac:dyDescent="0.3">
      <c r="AL1391" s="45" t="s">
        <v>68</v>
      </c>
      <c r="AM1391" s="162" t="str">
        <f t="shared" si="168"/>
        <v>1/1900</v>
      </c>
      <c r="AN1391" s="45" t="e">
        <f t="shared" si="169"/>
        <v>#NUM!</v>
      </c>
      <c r="AO1391" s="45" t="str">
        <f t="shared" si="170"/>
        <v>1/1900</v>
      </c>
      <c r="AP1391" s="45" t="e">
        <f t="shared" si="171"/>
        <v>#NUM!</v>
      </c>
      <c r="AQ1391" s="45">
        <f t="shared" si="172"/>
        <v>0</v>
      </c>
      <c r="AR1391" s="45">
        <f t="shared" si="173"/>
        <v>0</v>
      </c>
      <c r="AS1391" s="45">
        <f t="shared" si="174"/>
        <v>0</v>
      </c>
      <c r="AT1391" s="45">
        <f t="shared" si="175"/>
        <v>0</v>
      </c>
      <c r="AU1391" s="45" t="str">
        <f>_xlfn.XLOOKUP(U1391,'Lista Suspensa'!$AA$20:$AA$23,'Lista Suspensa'!$AB$20:$AB$23,"N/A")</f>
        <v>S</v>
      </c>
    </row>
    <row r="1392" spans="1:47" ht="12" hidden="1" customHeight="1" x14ac:dyDescent="0.3">
      <c r="AL1392" s="45" t="s">
        <v>68</v>
      </c>
      <c r="AM1392" s="162" t="str">
        <f t="shared" si="168"/>
        <v>1/1900</v>
      </c>
      <c r="AN1392" s="45" t="e">
        <f t="shared" si="169"/>
        <v>#NUM!</v>
      </c>
      <c r="AO1392" s="45" t="str">
        <f t="shared" si="170"/>
        <v>1/1900</v>
      </c>
      <c r="AP1392" s="45" t="e">
        <f t="shared" si="171"/>
        <v>#NUM!</v>
      </c>
      <c r="AQ1392" s="45">
        <f t="shared" si="172"/>
        <v>0</v>
      </c>
      <c r="AR1392" s="45">
        <f t="shared" si="173"/>
        <v>0</v>
      </c>
      <c r="AS1392" s="45">
        <f t="shared" si="174"/>
        <v>0</v>
      </c>
      <c r="AT1392" s="45">
        <f t="shared" si="175"/>
        <v>0</v>
      </c>
      <c r="AU1392" s="45" t="str">
        <f>_xlfn.XLOOKUP(U1392,'Lista Suspensa'!$AA$20:$AA$23,'Lista Suspensa'!$AB$20:$AB$23,"N/A")</f>
        <v>S</v>
      </c>
    </row>
    <row r="1393" spans="38:47" ht="12" hidden="1" customHeight="1" x14ac:dyDescent="0.3">
      <c r="AL1393" s="45" t="s">
        <v>68</v>
      </c>
      <c r="AM1393" s="162" t="str">
        <f t="shared" si="168"/>
        <v>1/1900</v>
      </c>
      <c r="AN1393" s="45" t="e">
        <f t="shared" si="169"/>
        <v>#NUM!</v>
      </c>
      <c r="AO1393" s="45" t="str">
        <f t="shared" si="170"/>
        <v>1/1900</v>
      </c>
      <c r="AP1393" s="45" t="e">
        <f t="shared" si="171"/>
        <v>#NUM!</v>
      </c>
      <c r="AQ1393" s="45">
        <f t="shared" si="172"/>
        <v>0</v>
      </c>
      <c r="AR1393" s="45">
        <f t="shared" si="173"/>
        <v>0</v>
      </c>
      <c r="AS1393" s="45">
        <f t="shared" si="174"/>
        <v>0</v>
      </c>
      <c r="AT1393" s="45">
        <f t="shared" si="175"/>
        <v>0</v>
      </c>
      <c r="AU1393" s="45" t="str">
        <f>_xlfn.XLOOKUP(U1393,'Lista Suspensa'!$AA$20:$AA$23,'Lista Suspensa'!$AB$20:$AB$23,"N/A")</f>
        <v>S</v>
      </c>
    </row>
    <row r="1394" spans="38:47" ht="12" hidden="1" customHeight="1" x14ac:dyDescent="0.3">
      <c r="AL1394" s="45" t="s">
        <v>68</v>
      </c>
      <c r="AM1394" s="162" t="str">
        <f t="shared" si="168"/>
        <v>1/1900</v>
      </c>
      <c r="AN1394" s="45" t="e">
        <f t="shared" si="169"/>
        <v>#NUM!</v>
      </c>
      <c r="AO1394" s="45" t="str">
        <f t="shared" si="170"/>
        <v>1/1900</v>
      </c>
      <c r="AP1394" s="45" t="e">
        <f t="shared" si="171"/>
        <v>#NUM!</v>
      </c>
      <c r="AQ1394" s="45">
        <f t="shared" si="172"/>
        <v>0</v>
      </c>
      <c r="AR1394" s="45">
        <f t="shared" si="173"/>
        <v>0</v>
      </c>
      <c r="AS1394" s="45">
        <f t="shared" si="174"/>
        <v>0</v>
      </c>
      <c r="AT1394" s="45">
        <f t="shared" si="175"/>
        <v>0</v>
      </c>
      <c r="AU1394" s="45" t="str">
        <f>_xlfn.XLOOKUP(U1394,'Lista Suspensa'!$AA$20:$AA$23,'Lista Suspensa'!$AB$20:$AB$23,"N/A")</f>
        <v>S</v>
      </c>
    </row>
    <row r="1395" spans="38:47" ht="12" hidden="1" customHeight="1" x14ac:dyDescent="0.3">
      <c r="AL1395" s="45" t="s">
        <v>68</v>
      </c>
      <c r="AM1395" s="162" t="str">
        <f t="shared" si="168"/>
        <v>1/1900</v>
      </c>
      <c r="AN1395" s="45" t="e">
        <f t="shared" si="169"/>
        <v>#NUM!</v>
      </c>
      <c r="AO1395" s="45" t="str">
        <f t="shared" si="170"/>
        <v>1/1900</v>
      </c>
      <c r="AP1395" s="45" t="e">
        <f t="shared" si="171"/>
        <v>#NUM!</v>
      </c>
      <c r="AQ1395" s="45">
        <f t="shared" si="172"/>
        <v>0</v>
      </c>
      <c r="AR1395" s="45">
        <f t="shared" si="173"/>
        <v>0</v>
      </c>
      <c r="AS1395" s="45">
        <f t="shared" si="174"/>
        <v>0</v>
      </c>
      <c r="AT1395" s="45">
        <f t="shared" si="175"/>
        <v>0</v>
      </c>
      <c r="AU1395" s="45" t="str">
        <f>_xlfn.XLOOKUP(U1395,'Lista Suspensa'!$AA$20:$AA$23,'Lista Suspensa'!$AB$20:$AB$23,"N/A")</f>
        <v>S</v>
      </c>
    </row>
    <row r="1396" spans="38:47" ht="12" hidden="1" customHeight="1" x14ac:dyDescent="0.3">
      <c r="AL1396" s="45" t="s">
        <v>68</v>
      </c>
      <c r="AM1396" s="162" t="str">
        <f t="shared" si="168"/>
        <v>1/1900</v>
      </c>
      <c r="AN1396" s="45" t="e">
        <f t="shared" si="169"/>
        <v>#NUM!</v>
      </c>
      <c r="AO1396" s="45" t="str">
        <f t="shared" si="170"/>
        <v>1/1900</v>
      </c>
      <c r="AP1396" s="45" t="e">
        <f t="shared" si="171"/>
        <v>#NUM!</v>
      </c>
      <c r="AQ1396" s="45">
        <f t="shared" si="172"/>
        <v>0</v>
      </c>
      <c r="AR1396" s="45">
        <f t="shared" si="173"/>
        <v>0</v>
      </c>
      <c r="AS1396" s="45">
        <f t="shared" si="174"/>
        <v>0</v>
      </c>
      <c r="AT1396" s="45">
        <f t="shared" si="175"/>
        <v>0</v>
      </c>
      <c r="AU1396" s="45" t="str">
        <f>_xlfn.XLOOKUP(U1396,'Lista Suspensa'!$AA$20:$AA$23,'Lista Suspensa'!$AB$20:$AB$23,"N/A")</f>
        <v>S</v>
      </c>
    </row>
    <row r="1397" spans="38:47" ht="12" hidden="1" customHeight="1" x14ac:dyDescent="0.3">
      <c r="AL1397" s="45" t="s">
        <v>68</v>
      </c>
      <c r="AM1397" s="162" t="str">
        <f t="shared" si="168"/>
        <v>1/1900</v>
      </c>
      <c r="AN1397" s="45" t="e">
        <f t="shared" si="169"/>
        <v>#NUM!</v>
      </c>
      <c r="AO1397" s="45" t="str">
        <f t="shared" si="170"/>
        <v>1/1900</v>
      </c>
      <c r="AP1397" s="45" t="e">
        <f t="shared" si="171"/>
        <v>#NUM!</v>
      </c>
      <c r="AQ1397" s="45">
        <f t="shared" si="172"/>
        <v>0</v>
      </c>
      <c r="AR1397" s="45">
        <f t="shared" si="173"/>
        <v>0</v>
      </c>
      <c r="AS1397" s="45">
        <f t="shared" si="174"/>
        <v>0</v>
      </c>
      <c r="AT1397" s="45">
        <f t="shared" si="175"/>
        <v>0</v>
      </c>
      <c r="AU1397" s="45" t="str">
        <f>_xlfn.XLOOKUP(U1397,'Lista Suspensa'!$AA$20:$AA$23,'Lista Suspensa'!$AB$20:$AB$23,"N/A")</f>
        <v>S</v>
      </c>
    </row>
    <row r="1398" spans="38:47" ht="12" hidden="1" customHeight="1" x14ac:dyDescent="0.3">
      <c r="AL1398" s="45" t="s">
        <v>68</v>
      </c>
      <c r="AM1398" s="162" t="str">
        <f t="shared" si="168"/>
        <v>1/1900</v>
      </c>
      <c r="AN1398" s="45" t="e">
        <f t="shared" si="169"/>
        <v>#NUM!</v>
      </c>
      <c r="AO1398" s="45" t="str">
        <f t="shared" si="170"/>
        <v>1/1900</v>
      </c>
      <c r="AP1398" s="45" t="e">
        <f t="shared" si="171"/>
        <v>#NUM!</v>
      </c>
      <c r="AQ1398" s="45">
        <f t="shared" si="172"/>
        <v>0</v>
      </c>
      <c r="AR1398" s="45">
        <f t="shared" si="173"/>
        <v>0</v>
      </c>
      <c r="AS1398" s="45">
        <f t="shared" si="174"/>
        <v>0</v>
      </c>
      <c r="AT1398" s="45">
        <f t="shared" si="175"/>
        <v>0</v>
      </c>
      <c r="AU1398" s="45" t="str">
        <f>_xlfn.XLOOKUP(U1398,'Lista Suspensa'!$AA$20:$AA$23,'Lista Suspensa'!$AB$20:$AB$23,"N/A")</f>
        <v>S</v>
      </c>
    </row>
    <row r="1399" spans="38:47" ht="12" hidden="1" customHeight="1" x14ac:dyDescent="0.3">
      <c r="AL1399" s="45" t="s">
        <v>68</v>
      </c>
      <c r="AM1399" s="162" t="str">
        <f t="shared" si="168"/>
        <v>1/1900</v>
      </c>
      <c r="AN1399" s="45" t="e">
        <f t="shared" si="169"/>
        <v>#NUM!</v>
      </c>
      <c r="AO1399" s="45" t="str">
        <f t="shared" si="170"/>
        <v>1/1900</v>
      </c>
      <c r="AP1399" s="45" t="e">
        <f t="shared" si="171"/>
        <v>#NUM!</v>
      </c>
      <c r="AQ1399" s="45">
        <f t="shared" si="172"/>
        <v>0</v>
      </c>
      <c r="AR1399" s="45">
        <f t="shared" si="173"/>
        <v>0</v>
      </c>
      <c r="AS1399" s="45">
        <f t="shared" si="174"/>
        <v>0</v>
      </c>
      <c r="AT1399" s="45">
        <f t="shared" si="175"/>
        <v>0</v>
      </c>
      <c r="AU1399" s="45" t="str">
        <f>_xlfn.XLOOKUP(U1399,'Lista Suspensa'!$AA$20:$AA$23,'Lista Suspensa'!$AB$20:$AB$23,"N/A")</f>
        <v>S</v>
      </c>
    </row>
    <row r="1400" spans="38:47" ht="12" hidden="1" customHeight="1" x14ac:dyDescent="0.3">
      <c r="AL1400" s="45" t="s">
        <v>68</v>
      </c>
      <c r="AM1400" s="162" t="str">
        <f t="shared" si="168"/>
        <v>1/1900</v>
      </c>
      <c r="AN1400" s="45" t="e">
        <f t="shared" si="169"/>
        <v>#NUM!</v>
      </c>
      <c r="AO1400" s="45" t="str">
        <f t="shared" si="170"/>
        <v>1/1900</v>
      </c>
      <c r="AP1400" s="45" t="e">
        <f t="shared" si="171"/>
        <v>#NUM!</v>
      </c>
      <c r="AQ1400" s="45">
        <f t="shared" si="172"/>
        <v>0</v>
      </c>
      <c r="AR1400" s="45">
        <f t="shared" si="173"/>
        <v>0</v>
      </c>
      <c r="AS1400" s="45">
        <f t="shared" si="174"/>
        <v>0</v>
      </c>
      <c r="AT1400" s="45">
        <f t="shared" si="175"/>
        <v>0</v>
      </c>
      <c r="AU1400" s="45" t="str">
        <f>_xlfn.XLOOKUP(U1400,'Lista Suspensa'!$AA$20:$AA$23,'Lista Suspensa'!$AB$20:$AB$23,"N/A")</f>
        <v>S</v>
      </c>
    </row>
    <row r="1401" spans="38:47" ht="12" hidden="1" customHeight="1" x14ac:dyDescent="0.3">
      <c r="AL1401" s="45" t="s">
        <v>68</v>
      </c>
      <c r="AM1401" s="162" t="str">
        <f t="shared" si="168"/>
        <v>1/1900</v>
      </c>
      <c r="AN1401" s="45" t="e">
        <f t="shared" si="169"/>
        <v>#NUM!</v>
      </c>
      <c r="AO1401" s="45" t="str">
        <f t="shared" si="170"/>
        <v>1/1900</v>
      </c>
      <c r="AP1401" s="45" t="e">
        <f t="shared" si="171"/>
        <v>#NUM!</v>
      </c>
      <c r="AQ1401" s="45">
        <f t="shared" si="172"/>
        <v>0</v>
      </c>
      <c r="AR1401" s="45">
        <f t="shared" si="173"/>
        <v>0</v>
      </c>
      <c r="AS1401" s="45">
        <f t="shared" si="174"/>
        <v>0</v>
      </c>
      <c r="AT1401" s="45">
        <f t="shared" si="175"/>
        <v>0</v>
      </c>
      <c r="AU1401" s="45" t="str">
        <f>_xlfn.XLOOKUP(U1401,'Lista Suspensa'!$AA$20:$AA$23,'Lista Suspensa'!$AB$20:$AB$23,"N/A")</f>
        <v>S</v>
      </c>
    </row>
    <row r="1402" spans="38:47" ht="12" hidden="1" customHeight="1" x14ac:dyDescent="0.3">
      <c r="AL1402" s="45" t="s">
        <v>68</v>
      </c>
      <c r="AM1402" s="162" t="str">
        <f t="shared" si="168"/>
        <v>1/1900</v>
      </c>
      <c r="AN1402" s="45" t="e">
        <f t="shared" si="169"/>
        <v>#NUM!</v>
      </c>
      <c r="AO1402" s="45" t="str">
        <f t="shared" si="170"/>
        <v>1/1900</v>
      </c>
      <c r="AP1402" s="45" t="e">
        <f t="shared" si="171"/>
        <v>#NUM!</v>
      </c>
      <c r="AQ1402" s="45">
        <f t="shared" si="172"/>
        <v>0</v>
      </c>
      <c r="AR1402" s="45">
        <f t="shared" si="173"/>
        <v>0</v>
      </c>
      <c r="AS1402" s="45">
        <f t="shared" si="174"/>
        <v>0</v>
      </c>
      <c r="AT1402" s="45">
        <f t="shared" si="175"/>
        <v>0</v>
      </c>
      <c r="AU1402" s="45" t="str">
        <f>_xlfn.XLOOKUP(U1402,'Lista Suspensa'!$AA$20:$AA$23,'Lista Suspensa'!$AB$20:$AB$23,"N/A")</f>
        <v>S</v>
      </c>
    </row>
    <row r="1403" spans="38:47" ht="12" hidden="1" customHeight="1" x14ac:dyDescent="0.3">
      <c r="AL1403" s="45" t="s">
        <v>68</v>
      </c>
      <c r="AM1403" s="162" t="str">
        <f t="shared" si="168"/>
        <v>1/1900</v>
      </c>
      <c r="AN1403" s="45" t="e">
        <f t="shared" si="169"/>
        <v>#NUM!</v>
      </c>
      <c r="AO1403" s="45" t="str">
        <f t="shared" si="170"/>
        <v>1/1900</v>
      </c>
      <c r="AP1403" s="45" t="e">
        <f t="shared" si="171"/>
        <v>#NUM!</v>
      </c>
      <c r="AQ1403" s="45">
        <f t="shared" si="172"/>
        <v>0</v>
      </c>
      <c r="AR1403" s="45">
        <f t="shared" si="173"/>
        <v>0</v>
      </c>
      <c r="AS1403" s="45">
        <f t="shared" si="174"/>
        <v>0</v>
      </c>
      <c r="AT1403" s="45">
        <f t="shared" si="175"/>
        <v>0</v>
      </c>
      <c r="AU1403" s="45" t="str">
        <f>_xlfn.XLOOKUP(U1403,'Lista Suspensa'!$AA$20:$AA$23,'Lista Suspensa'!$AB$20:$AB$23,"N/A")</f>
        <v>S</v>
      </c>
    </row>
    <row r="1404" spans="38:47" ht="12" hidden="1" customHeight="1" x14ac:dyDescent="0.3">
      <c r="AL1404" s="45" t="s">
        <v>68</v>
      </c>
      <c r="AM1404" s="162" t="str">
        <f t="shared" si="168"/>
        <v>1/1900</v>
      </c>
      <c r="AN1404" s="45" t="e">
        <f t="shared" si="169"/>
        <v>#NUM!</v>
      </c>
      <c r="AO1404" s="45" t="str">
        <f t="shared" si="170"/>
        <v>1/1900</v>
      </c>
      <c r="AP1404" s="45" t="e">
        <f t="shared" si="171"/>
        <v>#NUM!</v>
      </c>
      <c r="AQ1404" s="45">
        <f t="shared" si="172"/>
        <v>0</v>
      </c>
      <c r="AR1404" s="45">
        <f t="shared" si="173"/>
        <v>0</v>
      </c>
      <c r="AS1404" s="45">
        <f t="shared" si="174"/>
        <v>0</v>
      </c>
      <c r="AT1404" s="45">
        <f t="shared" si="175"/>
        <v>0</v>
      </c>
      <c r="AU1404" s="45" t="str">
        <f>_xlfn.XLOOKUP(U1404,'Lista Suspensa'!$AA$20:$AA$23,'Lista Suspensa'!$AB$20:$AB$23,"N/A")</f>
        <v>S</v>
      </c>
    </row>
    <row r="1405" spans="38:47" ht="12" hidden="1" customHeight="1" x14ac:dyDescent="0.3">
      <c r="AL1405" s="45" t="s">
        <v>68</v>
      </c>
      <c r="AM1405" s="162" t="str">
        <f t="shared" si="168"/>
        <v>1/1900</v>
      </c>
      <c r="AN1405" s="45" t="e">
        <f t="shared" si="169"/>
        <v>#NUM!</v>
      </c>
      <c r="AO1405" s="45" t="str">
        <f t="shared" si="170"/>
        <v>1/1900</v>
      </c>
      <c r="AP1405" s="45" t="e">
        <f t="shared" si="171"/>
        <v>#NUM!</v>
      </c>
      <c r="AQ1405" s="45">
        <f t="shared" si="172"/>
        <v>0</v>
      </c>
      <c r="AR1405" s="45">
        <f t="shared" si="173"/>
        <v>0</v>
      </c>
      <c r="AS1405" s="45">
        <f t="shared" si="174"/>
        <v>0</v>
      </c>
      <c r="AT1405" s="45">
        <f t="shared" si="175"/>
        <v>0</v>
      </c>
      <c r="AU1405" s="45" t="str">
        <f>_xlfn.XLOOKUP(U1405,'Lista Suspensa'!$AA$20:$AA$23,'Lista Suspensa'!$AB$20:$AB$23,"N/A")</f>
        <v>S</v>
      </c>
    </row>
    <row r="1406" spans="38:47" ht="12" hidden="1" customHeight="1" x14ac:dyDescent="0.3">
      <c r="AL1406" s="45" t="s">
        <v>68</v>
      </c>
      <c r="AM1406" s="162" t="str">
        <f t="shared" si="168"/>
        <v>1/1900</v>
      </c>
      <c r="AN1406" s="45" t="e">
        <f t="shared" si="169"/>
        <v>#NUM!</v>
      </c>
      <c r="AO1406" s="45" t="str">
        <f t="shared" si="170"/>
        <v>1/1900</v>
      </c>
      <c r="AP1406" s="45" t="e">
        <f t="shared" si="171"/>
        <v>#NUM!</v>
      </c>
      <c r="AQ1406" s="45">
        <f t="shared" si="172"/>
        <v>0</v>
      </c>
      <c r="AR1406" s="45">
        <f t="shared" si="173"/>
        <v>0</v>
      </c>
      <c r="AS1406" s="45">
        <f t="shared" si="174"/>
        <v>0</v>
      </c>
      <c r="AT1406" s="45">
        <f t="shared" si="175"/>
        <v>0</v>
      </c>
      <c r="AU1406" s="45" t="str">
        <f>_xlfn.XLOOKUP(U1406,'Lista Suspensa'!$AA$20:$AA$23,'Lista Suspensa'!$AB$20:$AB$23,"N/A")</f>
        <v>S</v>
      </c>
    </row>
    <row r="1407" spans="38:47" ht="12" hidden="1" customHeight="1" x14ac:dyDescent="0.3">
      <c r="AL1407" s="45" t="s">
        <v>68</v>
      </c>
      <c r="AM1407" s="162" t="str">
        <f t="shared" si="168"/>
        <v>1/1900</v>
      </c>
      <c r="AN1407" s="45" t="e">
        <f t="shared" si="169"/>
        <v>#NUM!</v>
      </c>
      <c r="AO1407" s="45" t="str">
        <f t="shared" si="170"/>
        <v>1/1900</v>
      </c>
      <c r="AP1407" s="45" t="e">
        <f t="shared" si="171"/>
        <v>#NUM!</v>
      </c>
      <c r="AQ1407" s="45">
        <f t="shared" si="172"/>
        <v>0</v>
      </c>
      <c r="AR1407" s="45">
        <f t="shared" si="173"/>
        <v>0</v>
      </c>
      <c r="AS1407" s="45">
        <f t="shared" si="174"/>
        <v>0</v>
      </c>
      <c r="AT1407" s="45">
        <f t="shared" si="175"/>
        <v>0</v>
      </c>
      <c r="AU1407" s="45" t="str">
        <f>_xlfn.XLOOKUP(U1407,'Lista Suspensa'!$AA$20:$AA$23,'Lista Suspensa'!$AB$20:$AB$23,"N/A")</f>
        <v>S</v>
      </c>
    </row>
    <row r="1408" spans="38:47" ht="12" hidden="1" customHeight="1" x14ac:dyDescent="0.3">
      <c r="AL1408" s="45" t="s">
        <v>68</v>
      </c>
      <c r="AM1408" s="162" t="str">
        <f t="shared" si="168"/>
        <v>1/1900</v>
      </c>
      <c r="AN1408" s="45" t="e">
        <f t="shared" si="169"/>
        <v>#NUM!</v>
      </c>
      <c r="AO1408" s="45" t="str">
        <f t="shared" si="170"/>
        <v>1/1900</v>
      </c>
      <c r="AP1408" s="45" t="e">
        <f t="shared" si="171"/>
        <v>#NUM!</v>
      </c>
      <c r="AQ1408" s="45">
        <f t="shared" si="172"/>
        <v>0</v>
      </c>
      <c r="AR1408" s="45">
        <f t="shared" si="173"/>
        <v>0</v>
      </c>
      <c r="AS1408" s="45">
        <f t="shared" si="174"/>
        <v>0</v>
      </c>
      <c r="AT1408" s="45">
        <f t="shared" si="175"/>
        <v>0</v>
      </c>
      <c r="AU1408" s="45" t="str">
        <f>_xlfn.XLOOKUP(U1408,'Lista Suspensa'!$AA$20:$AA$23,'Lista Suspensa'!$AB$20:$AB$23,"N/A")</f>
        <v>S</v>
      </c>
    </row>
    <row r="1409" spans="38:47" ht="12" hidden="1" customHeight="1" x14ac:dyDescent="0.3">
      <c r="AL1409" s="45" t="s">
        <v>68</v>
      </c>
      <c r="AM1409" s="162" t="str">
        <f t="shared" si="168"/>
        <v>1/1900</v>
      </c>
      <c r="AN1409" s="45" t="e">
        <f t="shared" si="169"/>
        <v>#NUM!</v>
      </c>
      <c r="AO1409" s="45" t="str">
        <f t="shared" si="170"/>
        <v>1/1900</v>
      </c>
      <c r="AP1409" s="45" t="e">
        <f t="shared" si="171"/>
        <v>#NUM!</v>
      </c>
      <c r="AQ1409" s="45">
        <f t="shared" si="172"/>
        <v>0</v>
      </c>
      <c r="AR1409" s="45">
        <f t="shared" si="173"/>
        <v>0</v>
      </c>
      <c r="AS1409" s="45">
        <f t="shared" si="174"/>
        <v>0</v>
      </c>
      <c r="AT1409" s="45">
        <f t="shared" si="175"/>
        <v>0</v>
      </c>
      <c r="AU1409" s="45" t="str">
        <f>_xlfn.XLOOKUP(U1409,'Lista Suspensa'!$AA$20:$AA$23,'Lista Suspensa'!$AB$20:$AB$23,"N/A")</f>
        <v>S</v>
      </c>
    </row>
    <row r="1410" spans="38:47" ht="12" hidden="1" customHeight="1" x14ac:dyDescent="0.3">
      <c r="AL1410" s="45" t="s">
        <v>68</v>
      </c>
      <c r="AM1410" s="162" t="str">
        <f t="shared" ref="AM1410:AM1441" si="176">MONTH(B1410)&amp;"/"&amp;YEAR(B1410)</f>
        <v>1/1900</v>
      </c>
      <c r="AN1410" s="45" t="e">
        <f t="shared" ref="AN1410:AN1441" si="177">WEEKNUM(B1410)-WEEKNUM(EOMONTH(B1410,-1)+1)+1</f>
        <v>#NUM!</v>
      </c>
      <c r="AO1410" s="45" t="str">
        <f t="shared" ref="AO1410:AO1441" si="178">MONTH(R1410)&amp;"/"&amp;YEAR(R1410)</f>
        <v>1/1900</v>
      </c>
      <c r="AP1410" s="45" t="e">
        <f t="shared" ref="AP1410:AP1441" si="179">WEEKNUM(R1410)-WEEKNUM(EOMONTH(R1410,-1)+1)+1</f>
        <v>#NUM!</v>
      </c>
      <c r="AQ1410" s="45">
        <f t="shared" ref="AQ1410:AQ1441" si="180">IF(AU1410="S",IF(Q1410="1. Aceitou o programa",R1410-B1410,0),0)</f>
        <v>0</v>
      </c>
      <c r="AR1410" s="45">
        <f t="shared" ref="AR1410:AR1441" si="181">IF(AU1410="S",IF(AND(S1410&lt;&gt;"",R1410&lt;&gt;""),S1410-R1410,0),0)</f>
        <v>0</v>
      </c>
      <c r="AS1410" s="45">
        <f t="shared" ref="AS1410:AS1441" si="182">IF(AU1410="S",IF(Q1410="1. Aceitou o programa",IF(OR(X1410="Não se Aplica",X1410=""),IF(OR(W1410="Não se Aplica",W1410=""),0,W1410-V1410),AVERAGE(X1410-W1410,W1410-V1410)),0),0)</f>
        <v>0</v>
      </c>
      <c r="AT1410" s="45">
        <f t="shared" ref="AT1410:AT1473" si="183">IF(AU1410="S",IF(AND(Q1410="1. Aceitou o programa",AB1410="Realizada"),IFERROR(IF(AA1410="",0,AA1410-R1410),0),0),0)</f>
        <v>0</v>
      </c>
      <c r="AU1410" s="45" t="str">
        <f>_xlfn.XLOOKUP(U1410,'Lista Suspensa'!$AA$20:$AA$23,'Lista Suspensa'!$AB$20:$AB$23,"N/A")</f>
        <v>S</v>
      </c>
    </row>
    <row r="1411" spans="38:47" ht="12" hidden="1" customHeight="1" x14ac:dyDescent="0.3">
      <c r="AL1411" s="45" t="s">
        <v>68</v>
      </c>
      <c r="AM1411" s="162" t="str">
        <f t="shared" si="176"/>
        <v>1/1900</v>
      </c>
      <c r="AN1411" s="45" t="e">
        <f t="shared" si="177"/>
        <v>#NUM!</v>
      </c>
      <c r="AO1411" s="45" t="str">
        <f t="shared" si="178"/>
        <v>1/1900</v>
      </c>
      <c r="AP1411" s="45" t="e">
        <f t="shared" si="179"/>
        <v>#NUM!</v>
      </c>
      <c r="AQ1411" s="45">
        <f t="shared" si="180"/>
        <v>0</v>
      </c>
      <c r="AR1411" s="45">
        <f t="shared" si="181"/>
        <v>0</v>
      </c>
      <c r="AS1411" s="45">
        <f t="shared" si="182"/>
        <v>0</v>
      </c>
      <c r="AT1411" s="45">
        <f t="shared" si="183"/>
        <v>0</v>
      </c>
      <c r="AU1411" s="45" t="str">
        <f>_xlfn.XLOOKUP(U1411,'Lista Suspensa'!$AA$20:$AA$23,'Lista Suspensa'!$AB$20:$AB$23,"N/A")</f>
        <v>S</v>
      </c>
    </row>
    <row r="1412" spans="38:47" ht="12" hidden="1" customHeight="1" x14ac:dyDescent="0.3">
      <c r="AL1412" s="45" t="s">
        <v>68</v>
      </c>
      <c r="AM1412" s="162" t="str">
        <f t="shared" si="176"/>
        <v>1/1900</v>
      </c>
      <c r="AN1412" s="45" t="e">
        <f t="shared" si="177"/>
        <v>#NUM!</v>
      </c>
      <c r="AO1412" s="45" t="str">
        <f t="shared" si="178"/>
        <v>1/1900</v>
      </c>
      <c r="AP1412" s="45" t="e">
        <f t="shared" si="179"/>
        <v>#NUM!</v>
      </c>
      <c r="AQ1412" s="45">
        <f t="shared" si="180"/>
        <v>0</v>
      </c>
      <c r="AR1412" s="45">
        <f t="shared" si="181"/>
        <v>0</v>
      </c>
      <c r="AS1412" s="45">
        <f t="shared" si="182"/>
        <v>0</v>
      </c>
      <c r="AT1412" s="45">
        <f t="shared" si="183"/>
        <v>0</v>
      </c>
      <c r="AU1412" s="45" t="str">
        <f>_xlfn.XLOOKUP(U1412,'Lista Suspensa'!$AA$20:$AA$23,'Lista Suspensa'!$AB$20:$AB$23,"N/A")</f>
        <v>S</v>
      </c>
    </row>
    <row r="1413" spans="38:47" ht="12" hidden="1" customHeight="1" x14ac:dyDescent="0.3">
      <c r="AL1413" s="45" t="s">
        <v>68</v>
      </c>
      <c r="AM1413" s="162" t="str">
        <f t="shared" si="176"/>
        <v>1/1900</v>
      </c>
      <c r="AN1413" s="45" t="e">
        <f t="shared" si="177"/>
        <v>#NUM!</v>
      </c>
      <c r="AO1413" s="45" t="str">
        <f t="shared" si="178"/>
        <v>1/1900</v>
      </c>
      <c r="AP1413" s="45" t="e">
        <f t="shared" si="179"/>
        <v>#NUM!</v>
      </c>
      <c r="AQ1413" s="45">
        <f t="shared" si="180"/>
        <v>0</v>
      </c>
      <c r="AR1413" s="45">
        <f t="shared" si="181"/>
        <v>0</v>
      </c>
      <c r="AS1413" s="45">
        <f t="shared" si="182"/>
        <v>0</v>
      </c>
      <c r="AT1413" s="45">
        <f t="shared" si="183"/>
        <v>0</v>
      </c>
      <c r="AU1413" s="45" t="str">
        <f>_xlfn.XLOOKUP(U1413,'Lista Suspensa'!$AA$20:$AA$23,'Lista Suspensa'!$AB$20:$AB$23,"N/A")</f>
        <v>S</v>
      </c>
    </row>
    <row r="1414" spans="38:47" ht="12" hidden="1" customHeight="1" x14ac:dyDescent="0.3">
      <c r="AL1414" s="45" t="s">
        <v>68</v>
      </c>
      <c r="AM1414" s="162" t="str">
        <f t="shared" si="176"/>
        <v>1/1900</v>
      </c>
      <c r="AN1414" s="45" t="e">
        <f t="shared" si="177"/>
        <v>#NUM!</v>
      </c>
      <c r="AO1414" s="45" t="str">
        <f t="shared" si="178"/>
        <v>1/1900</v>
      </c>
      <c r="AP1414" s="45" t="e">
        <f t="shared" si="179"/>
        <v>#NUM!</v>
      </c>
      <c r="AQ1414" s="45">
        <f t="shared" si="180"/>
        <v>0</v>
      </c>
      <c r="AR1414" s="45">
        <f t="shared" si="181"/>
        <v>0</v>
      </c>
      <c r="AS1414" s="45">
        <f t="shared" si="182"/>
        <v>0</v>
      </c>
      <c r="AT1414" s="45">
        <f t="shared" si="183"/>
        <v>0</v>
      </c>
      <c r="AU1414" s="45" t="str">
        <f>_xlfn.XLOOKUP(U1414,'Lista Suspensa'!$AA$20:$AA$23,'Lista Suspensa'!$AB$20:$AB$23,"N/A")</f>
        <v>S</v>
      </c>
    </row>
    <row r="1415" spans="38:47" ht="12" hidden="1" customHeight="1" x14ac:dyDescent="0.3">
      <c r="AL1415" s="45" t="s">
        <v>68</v>
      </c>
      <c r="AM1415" s="162" t="str">
        <f t="shared" si="176"/>
        <v>1/1900</v>
      </c>
      <c r="AN1415" s="45" t="e">
        <f t="shared" si="177"/>
        <v>#NUM!</v>
      </c>
      <c r="AO1415" s="45" t="str">
        <f t="shared" si="178"/>
        <v>1/1900</v>
      </c>
      <c r="AP1415" s="45" t="e">
        <f t="shared" si="179"/>
        <v>#NUM!</v>
      </c>
      <c r="AQ1415" s="45">
        <f t="shared" si="180"/>
        <v>0</v>
      </c>
      <c r="AR1415" s="45">
        <f t="shared" si="181"/>
        <v>0</v>
      </c>
      <c r="AS1415" s="45">
        <f t="shared" si="182"/>
        <v>0</v>
      </c>
      <c r="AT1415" s="45">
        <f t="shared" si="183"/>
        <v>0</v>
      </c>
      <c r="AU1415" s="45" t="str">
        <f>_xlfn.XLOOKUP(U1415,'Lista Suspensa'!$AA$20:$AA$23,'Lista Suspensa'!$AB$20:$AB$23,"N/A")</f>
        <v>S</v>
      </c>
    </row>
    <row r="1416" spans="38:47" ht="12" hidden="1" customHeight="1" x14ac:dyDescent="0.3">
      <c r="AL1416" s="45" t="s">
        <v>68</v>
      </c>
      <c r="AM1416" s="162" t="str">
        <f t="shared" si="176"/>
        <v>1/1900</v>
      </c>
      <c r="AN1416" s="45" t="e">
        <f t="shared" si="177"/>
        <v>#NUM!</v>
      </c>
      <c r="AO1416" s="45" t="str">
        <f t="shared" si="178"/>
        <v>1/1900</v>
      </c>
      <c r="AP1416" s="45" t="e">
        <f t="shared" si="179"/>
        <v>#NUM!</v>
      </c>
      <c r="AQ1416" s="45">
        <f t="shared" si="180"/>
        <v>0</v>
      </c>
      <c r="AR1416" s="45">
        <f t="shared" si="181"/>
        <v>0</v>
      </c>
      <c r="AS1416" s="45">
        <f t="shared" si="182"/>
        <v>0</v>
      </c>
      <c r="AT1416" s="45">
        <f t="shared" si="183"/>
        <v>0</v>
      </c>
      <c r="AU1416" s="45" t="str">
        <f>_xlfn.XLOOKUP(U1416,'Lista Suspensa'!$AA$20:$AA$23,'Lista Suspensa'!$AB$20:$AB$23,"N/A")</f>
        <v>S</v>
      </c>
    </row>
    <row r="1417" spans="38:47" ht="12" hidden="1" customHeight="1" x14ac:dyDescent="0.3">
      <c r="AL1417" s="45" t="s">
        <v>68</v>
      </c>
      <c r="AM1417" s="162" t="str">
        <f t="shared" si="176"/>
        <v>1/1900</v>
      </c>
      <c r="AN1417" s="45" t="e">
        <f t="shared" si="177"/>
        <v>#NUM!</v>
      </c>
      <c r="AO1417" s="45" t="str">
        <f t="shared" si="178"/>
        <v>1/1900</v>
      </c>
      <c r="AP1417" s="45" t="e">
        <f t="shared" si="179"/>
        <v>#NUM!</v>
      </c>
      <c r="AQ1417" s="45">
        <f t="shared" si="180"/>
        <v>0</v>
      </c>
      <c r="AR1417" s="45">
        <f t="shared" si="181"/>
        <v>0</v>
      </c>
      <c r="AS1417" s="45">
        <f t="shared" si="182"/>
        <v>0</v>
      </c>
      <c r="AT1417" s="45">
        <f t="shared" si="183"/>
        <v>0</v>
      </c>
      <c r="AU1417" s="45" t="str">
        <f>_xlfn.XLOOKUP(U1417,'Lista Suspensa'!$AA$20:$AA$23,'Lista Suspensa'!$AB$20:$AB$23,"N/A")</f>
        <v>S</v>
      </c>
    </row>
    <row r="1418" spans="38:47" ht="12" hidden="1" customHeight="1" x14ac:dyDescent="0.3">
      <c r="AL1418" s="45" t="s">
        <v>68</v>
      </c>
      <c r="AM1418" s="162" t="str">
        <f t="shared" si="176"/>
        <v>1/1900</v>
      </c>
      <c r="AN1418" s="45" t="e">
        <f t="shared" si="177"/>
        <v>#NUM!</v>
      </c>
      <c r="AO1418" s="45" t="str">
        <f t="shared" si="178"/>
        <v>1/1900</v>
      </c>
      <c r="AP1418" s="45" t="e">
        <f t="shared" si="179"/>
        <v>#NUM!</v>
      </c>
      <c r="AQ1418" s="45">
        <f t="shared" si="180"/>
        <v>0</v>
      </c>
      <c r="AR1418" s="45">
        <f t="shared" si="181"/>
        <v>0</v>
      </c>
      <c r="AS1418" s="45">
        <f t="shared" si="182"/>
        <v>0</v>
      </c>
      <c r="AT1418" s="45">
        <f t="shared" si="183"/>
        <v>0</v>
      </c>
      <c r="AU1418" s="45" t="str">
        <f>_xlfn.XLOOKUP(U1418,'Lista Suspensa'!$AA$20:$AA$23,'Lista Suspensa'!$AB$20:$AB$23,"N/A")</f>
        <v>S</v>
      </c>
    </row>
    <row r="1419" spans="38:47" ht="12" hidden="1" customHeight="1" x14ac:dyDescent="0.3">
      <c r="AL1419" s="45" t="s">
        <v>68</v>
      </c>
      <c r="AM1419" s="162" t="str">
        <f t="shared" si="176"/>
        <v>1/1900</v>
      </c>
      <c r="AN1419" s="45" t="e">
        <f t="shared" si="177"/>
        <v>#NUM!</v>
      </c>
      <c r="AO1419" s="45" t="str">
        <f t="shared" si="178"/>
        <v>1/1900</v>
      </c>
      <c r="AP1419" s="45" t="e">
        <f t="shared" si="179"/>
        <v>#NUM!</v>
      </c>
      <c r="AQ1419" s="45">
        <f t="shared" si="180"/>
        <v>0</v>
      </c>
      <c r="AR1419" s="45">
        <f t="shared" si="181"/>
        <v>0</v>
      </c>
      <c r="AS1419" s="45">
        <f t="shared" si="182"/>
        <v>0</v>
      </c>
      <c r="AT1419" s="45">
        <f t="shared" si="183"/>
        <v>0</v>
      </c>
      <c r="AU1419" s="45" t="str">
        <f>_xlfn.XLOOKUP(U1419,'Lista Suspensa'!$AA$20:$AA$23,'Lista Suspensa'!$AB$20:$AB$23,"N/A")</f>
        <v>S</v>
      </c>
    </row>
    <row r="1420" spans="38:47" ht="12" hidden="1" customHeight="1" x14ac:dyDescent="0.3">
      <c r="AL1420" s="45" t="s">
        <v>68</v>
      </c>
      <c r="AM1420" s="162" t="str">
        <f t="shared" si="176"/>
        <v>1/1900</v>
      </c>
      <c r="AN1420" s="45" t="e">
        <f t="shared" si="177"/>
        <v>#NUM!</v>
      </c>
      <c r="AO1420" s="45" t="str">
        <f t="shared" si="178"/>
        <v>1/1900</v>
      </c>
      <c r="AP1420" s="45" t="e">
        <f t="shared" si="179"/>
        <v>#NUM!</v>
      </c>
      <c r="AQ1420" s="45">
        <f t="shared" si="180"/>
        <v>0</v>
      </c>
      <c r="AR1420" s="45">
        <f t="shared" si="181"/>
        <v>0</v>
      </c>
      <c r="AS1420" s="45">
        <f t="shared" si="182"/>
        <v>0</v>
      </c>
      <c r="AT1420" s="45">
        <f t="shared" si="183"/>
        <v>0</v>
      </c>
      <c r="AU1420" s="45" t="str">
        <f>_xlfn.XLOOKUP(U1420,'Lista Suspensa'!$AA$20:$AA$23,'Lista Suspensa'!$AB$20:$AB$23,"N/A")</f>
        <v>S</v>
      </c>
    </row>
    <row r="1421" spans="38:47" ht="12" hidden="1" customHeight="1" x14ac:dyDescent="0.3">
      <c r="AL1421" s="45" t="s">
        <v>68</v>
      </c>
      <c r="AM1421" s="162" t="str">
        <f t="shared" si="176"/>
        <v>1/1900</v>
      </c>
      <c r="AN1421" s="45" t="e">
        <f t="shared" si="177"/>
        <v>#NUM!</v>
      </c>
      <c r="AO1421" s="45" t="str">
        <f t="shared" si="178"/>
        <v>1/1900</v>
      </c>
      <c r="AP1421" s="45" t="e">
        <f t="shared" si="179"/>
        <v>#NUM!</v>
      </c>
      <c r="AQ1421" s="45">
        <f t="shared" si="180"/>
        <v>0</v>
      </c>
      <c r="AR1421" s="45">
        <f t="shared" si="181"/>
        <v>0</v>
      </c>
      <c r="AS1421" s="45">
        <f t="shared" si="182"/>
        <v>0</v>
      </c>
      <c r="AT1421" s="45">
        <f t="shared" si="183"/>
        <v>0</v>
      </c>
      <c r="AU1421" s="45" t="str">
        <f>_xlfn.XLOOKUP(U1421,'Lista Suspensa'!$AA$20:$AA$23,'Lista Suspensa'!$AB$20:$AB$23,"N/A")</f>
        <v>S</v>
      </c>
    </row>
    <row r="1422" spans="38:47" ht="12" hidden="1" customHeight="1" x14ac:dyDescent="0.3">
      <c r="AL1422" s="45" t="s">
        <v>68</v>
      </c>
      <c r="AM1422" s="162" t="str">
        <f t="shared" si="176"/>
        <v>1/1900</v>
      </c>
      <c r="AN1422" s="45" t="e">
        <f t="shared" si="177"/>
        <v>#NUM!</v>
      </c>
      <c r="AO1422" s="45" t="str">
        <f t="shared" si="178"/>
        <v>1/1900</v>
      </c>
      <c r="AP1422" s="45" t="e">
        <f t="shared" si="179"/>
        <v>#NUM!</v>
      </c>
      <c r="AQ1422" s="45">
        <f t="shared" si="180"/>
        <v>0</v>
      </c>
      <c r="AR1422" s="45">
        <f t="shared" si="181"/>
        <v>0</v>
      </c>
      <c r="AS1422" s="45">
        <f t="shared" si="182"/>
        <v>0</v>
      </c>
      <c r="AT1422" s="45">
        <f t="shared" si="183"/>
        <v>0</v>
      </c>
      <c r="AU1422" s="45" t="str">
        <f>_xlfn.XLOOKUP(U1422,'Lista Suspensa'!$AA$20:$AA$23,'Lista Suspensa'!$AB$20:$AB$23,"N/A")</f>
        <v>S</v>
      </c>
    </row>
    <row r="1423" spans="38:47" ht="12" hidden="1" customHeight="1" x14ac:dyDescent="0.3">
      <c r="AL1423" s="45" t="s">
        <v>68</v>
      </c>
      <c r="AM1423" s="162" t="str">
        <f t="shared" si="176"/>
        <v>1/1900</v>
      </c>
      <c r="AN1423" s="45" t="e">
        <f t="shared" si="177"/>
        <v>#NUM!</v>
      </c>
      <c r="AO1423" s="45" t="str">
        <f t="shared" si="178"/>
        <v>1/1900</v>
      </c>
      <c r="AP1423" s="45" t="e">
        <f t="shared" si="179"/>
        <v>#NUM!</v>
      </c>
      <c r="AQ1423" s="45">
        <f t="shared" si="180"/>
        <v>0</v>
      </c>
      <c r="AR1423" s="45">
        <f t="shared" si="181"/>
        <v>0</v>
      </c>
      <c r="AS1423" s="45">
        <f t="shared" si="182"/>
        <v>0</v>
      </c>
      <c r="AT1423" s="45">
        <f t="shared" si="183"/>
        <v>0</v>
      </c>
      <c r="AU1423" s="45" t="str">
        <f>_xlfn.XLOOKUP(U1423,'Lista Suspensa'!$AA$20:$AA$23,'Lista Suspensa'!$AB$20:$AB$23,"N/A")</f>
        <v>S</v>
      </c>
    </row>
    <row r="1424" spans="38:47" ht="12" hidden="1" customHeight="1" x14ac:dyDescent="0.3">
      <c r="AL1424" s="45" t="s">
        <v>68</v>
      </c>
      <c r="AM1424" s="162" t="str">
        <f t="shared" si="176"/>
        <v>1/1900</v>
      </c>
      <c r="AN1424" s="45" t="e">
        <f t="shared" si="177"/>
        <v>#NUM!</v>
      </c>
      <c r="AO1424" s="45" t="str">
        <f t="shared" si="178"/>
        <v>1/1900</v>
      </c>
      <c r="AP1424" s="45" t="e">
        <f t="shared" si="179"/>
        <v>#NUM!</v>
      </c>
      <c r="AQ1424" s="45">
        <f t="shared" si="180"/>
        <v>0</v>
      </c>
      <c r="AR1424" s="45">
        <f t="shared" si="181"/>
        <v>0</v>
      </c>
      <c r="AS1424" s="45">
        <f t="shared" si="182"/>
        <v>0</v>
      </c>
      <c r="AT1424" s="45">
        <f t="shared" si="183"/>
        <v>0</v>
      </c>
      <c r="AU1424" s="45" t="str">
        <f>_xlfn.XLOOKUP(U1424,'Lista Suspensa'!$AA$20:$AA$23,'Lista Suspensa'!$AB$20:$AB$23,"N/A")</f>
        <v>S</v>
      </c>
    </row>
    <row r="1425" spans="38:47" ht="12" hidden="1" customHeight="1" x14ac:dyDescent="0.3">
      <c r="AL1425" s="45" t="s">
        <v>68</v>
      </c>
      <c r="AM1425" s="162" t="str">
        <f t="shared" si="176"/>
        <v>1/1900</v>
      </c>
      <c r="AN1425" s="45" t="e">
        <f t="shared" si="177"/>
        <v>#NUM!</v>
      </c>
      <c r="AO1425" s="45" t="str">
        <f t="shared" si="178"/>
        <v>1/1900</v>
      </c>
      <c r="AP1425" s="45" t="e">
        <f t="shared" si="179"/>
        <v>#NUM!</v>
      </c>
      <c r="AQ1425" s="45">
        <f t="shared" si="180"/>
        <v>0</v>
      </c>
      <c r="AR1425" s="45">
        <f t="shared" si="181"/>
        <v>0</v>
      </c>
      <c r="AS1425" s="45">
        <f t="shared" si="182"/>
        <v>0</v>
      </c>
      <c r="AT1425" s="45">
        <f t="shared" si="183"/>
        <v>0</v>
      </c>
      <c r="AU1425" s="45" t="str">
        <f>_xlfn.XLOOKUP(U1425,'Lista Suspensa'!$AA$20:$AA$23,'Lista Suspensa'!$AB$20:$AB$23,"N/A")</f>
        <v>S</v>
      </c>
    </row>
    <row r="1426" spans="38:47" ht="12" hidden="1" customHeight="1" x14ac:dyDescent="0.3">
      <c r="AL1426" s="45" t="s">
        <v>68</v>
      </c>
      <c r="AM1426" s="162" t="str">
        <f t="shared" si="176"/>
        <v>1/1900</v>
      </c>
      <c r="AN1426" s="45" t="e">
        <f t="shared" si="177"/>
        <v>#NUM!</v>
      </c>
      <c r="AO1426" s="45" t="str">
        <f t="shared" si="178"/>
        <v>1/1900</v>
      </c>
      <c r="AP1426" s="45" t="e">
        <f t="shared" si="179"/>
        <v>#NUM!</v>
      </c>
      <c r="AQ1426" s="45">
        <f t="shared" si="180"/>
        <v>0</v>
      </c>
      <c r="AR1426" s="45">
        <f t="shared" si="181"/>
        <v>0</v>
      </c>
      <c r="AS1426" s="45">
        <f t="shared" si="182"/>
        <v>0</v>
      </c>
      <c r="AT1426" s="45">
        <f t="shared" si="183"/>
        <v>0</v>
      </c>
      <c r="AU1426" s="45" t="str">
        <f>_xlfn.XLOOKUP(U1426,'Lista Suspensa'!$AA$20:$AA$23,'Lista Suspensa'!$AB$20:$AB$23,"N/A")</f>
        <v>S</v>
      </c>
    </row>
    <row r="1427" spans="38:47" ht="12" hidden="1" customHeight="1" x14ac:dyDescent="0.3">
      <c r="AL1427" s="45" t="s">
        <v>68</v>
      </c>
      <c r="AM1427" s="162" t="str">
        <f t="shared" si="176"/>
        <v>1/1900</v>
      </c>
      <c r="AN1427" s="45" t="e">
        <f t="shared" si="177"/>
        <v>#NUM!</v>
      </c>
      <c r="AO1427" s="45" t="str">
        <f t="shared" si="178"/>
        <v>1/1900</v>
      </c>
      <c r="AP1427" s="45" t="e">
        <f t="shared" si="179"/>
        <v>#NUM!</v>
      </c>
      <c r="AQ1427" s="45">
        <f t="shared" si="180"/>
        <v>0</v>
      </c>
      <c r="AR1427" s="45">
        <f t="shared" si="181"/>
        <v>0</v>
      </c>
      <c r="AS1427" s="45">
        <f t="shared" si="182"/>
        <v>0</v>
      </c>
      <c r="AT1427" s="45">
        <f t="shared" si="183"/>
        <v>0</v>
      </c>
      <c r="AU1427" s="45" t="str">
        <f>_xlfn.XLOOKUP(U1427,'Lista Suspensa'!$AA$20:$AA$23,'Lista Suspensa'!$AB$20:$AB$23,"N/A")</f>
        <v>S</v>
      </c>
    </row>
    <row r="1428" spans="38:47" ht="12" hidden="1" customHeight="1" x14ac:dyDescent="0.3">
      <c r="AL1428" s="45" t="s">
        <v>68</v>
      </c>
      <c r="AM1428" s="162" t="str">
        <f t="shared" si="176"/>
        <v>1/1900</v>
      </c>
      <c r="AN1428" s="45" t="e">
        <f t="shared" si="177"/>
        <v>#NUM!</v>
      </c>
      <c r="AO1428" s="45" t="str">
        <f t="shared" si="178"/>
        <v>1/1900</v>
      </c>
      <c r="AP1428" s="45" t="e">
        <f t="shared" si="179"/>
        <v>#NUM!</v>
      </c>
      <c r="AQ1428" s="45">
        <f t="shared" si="180"/>
        <v>0</v>
      </c>
      <c r="AR1428" s="45">
        <f t="shared" si="181"/>
        <v>0</v>
      </c>
      <c r="AS1428" s="45">
        <f t="shared" si="182"/>
        <v>0</v>
      </c>
      <c r="AT1428" s="45">
        <f t="shared" si="183"/>
        <v>0</v>
      </c>
      <c r="AU1428" s="45" t="str">
        <f>_xlfn.XLOOKUP(U1428,'Lista Suspensa'!$AA$20:$AA$23,'Lista Suspensa'!$AB$20:$AB$23,"N/A")</f>
        <v>S</v>
      </c>
    </row>
    <row r="1429" spans="38:47" ht="12" hidden="1" customHeight="1" x14ac:dyDescent="0.3">
      <c r="AL1429" s="45" t="s">
        <v>68</v>
      </c>
      <c r="AM1429" s="162" t="str">
        <f t="shared" si="176"/>
        <v>1/1900</v>
      </c>
      <c r="AN1429" s="45" t="e">
        <f t="shared" si="177"/>
        <v>#NUM!</v>
      </c>
      <c r="AO1429" s="45" t="str">
        <f t="shared" si="178"/>
        <v>1/1900</v>
      </c>
      <c r="AP1429" s="45" t="e">
        <f t="shared" si="179"/>
        <v>#NUM!</v>
      </c>
      <c r="AQ1429" s="45">
        <f t="shared" si="180"/>
        <v>0</v>
      </c>
      <c r="AR1429" s="45">
        <f t="shared" si="181"/>
        <v>0</v>
      </c>
      <c r="AS1429" s="45">
        <f t="shared" si="182"/>
        <v>0</v>
      </c>
      <c r="AT1429" s="45">
        <f t="shared" si="183"/>
        <v>0</v>
      </c>
      <c r="AU1429" s="45" t="str">
        <f>_xlfn.XLOOKUP(U1429,'Lista Suspensa'!$AA$20:$AA$23,'Lista Suspensa'!$AB$20:$AB$23,"N/A")</f>
        <v>S</v>
      </c>
    </row>
    <row r="1430" spans="38:47" ht="12" hidden="1" customHeight="1" x14ac:dyDescent="0.3">
      <c r="AL1430" s="45" t="s">
        <v>68</v>
      </c>
      <c r="AM1430" s="162" t="str">
        <f t="shared" si="176"/>
        <v>1/1900</v>
      </c>
      <c r="AN1430" s="45" t="e">
        <f t="shared" si="177"/>
        <v>#NUM!</v>
      </c>
      <c r="AO1430" s="45" t="str">
        <f t="shared" si="178"/>
        <v>1/1900</v>
      </c>
      <c r="AP1430" s="45" t="e">
        <f t="shared" si="179"/>
        <v>#NUM!</v>
      </c>
      <c r="AQ1430" s="45">
        <f t="shared" si="180"/>
        <v>0</v>
      </c>
      <c r="AR1430" s="45">
        <f t="shared" si="181"/>
        <v>0</v>
      </c>
      <c r="AS1430" s="45">
        <f t="shared" si="182"/>
        <v>0</v>
      </c>
      <c r="AT1430" s="45">
        <f t="shared" si="183"/>
        <v>0</v>
      </c>
      <c r="AU1430" s="45" t="str">
        <f>_xlfn.XLOOKUP(U1430,'Lista Suspensa'!$AA$20:$AA$23,'Lista Suspensa'!$AB$20:$AB$23,"N/A")</f>
        <v>S</v>
      </c>
    </row>
    <row r="1431" spans="38:47" ht="12" hidden="1" customHeight="1" x14ac:dyDescent="0.3">
      <c r="AL1431" s="45" t="s">
        <v>68</v>
      </c>
      <c r="AM1431" s="162" t="str">
        <f t="shared" si="176"/>
        <v>1/1900</v>
      </c>
      <c r="AN1431" s="45" t="e">
        <f t="shared" si="177"/>
        <v>#NUM!</v>
      </c>
      <c r="AO1431" s="45" t="str">
        <f t="shared" si="178"/>
        <v>1/1900</v>
      </c>
      <c r="AP1431" s="45" t="e">
        <f t="shared" si="179"/>
        <v>#NUM!</v>
      </c>
      <c r="AQ1431" s="45">
        <f t="shared" si="180"/>
        <v>0</v>
      </c>
      <c r="AR1431" s="45">
        <f t="shared" si="181"/>
        <v>0</v>
      </c>
      <c r="AS1431" s="45">
        <f t="shared" si="182"/>
        <v>0</v>
      </c>
      <c r="AT1431" s="45">
        <f t="shared" si="183"/>
        <v>0</v>
      </c>
      <c r="AU1431" s="45" t="str">
        <f>_xlfn.XLOOKUP(U1431,'Lista Suspensa'!$AA$20:$AA$23,'Lista Suspensa'!$AB$20:$AB$23,"N/A")</f>
        <v>S</v>
      </c>
    </row>
    <row r="1432" spans="38:47" ht="12" hidden="1" customHeight="1" x14ac:dyDescent="0.3">
      <c r="AL1432" s="45" t="s">
        <v>68</v>
      </c>
      <c r="AM1432" s="162" t="str">
        <f t="shared" si="176"/>
        <v>1/1900</v>
      </c>
      <c r="AN1432" s="45" t="e">
        <f t="shared" si="177"/>
        <v>#NUM!</v>
      </c>
      <c r="AO1432" s="45" t="str">
        <f t="shared" si="178"/>
        <v>1/1900</v>
      </c>
      <c r="AP1432" s="45" t="e">
        <f t="shared" si="179"/>
        <v>#NUM!</v>
      </c>
      <c r="AQ1432" s="45">
        <f t="shared" si="180"/>
        <v>0</v>
      </c>
      <c r="AR1432" s="45">
        <f t="shared" si="181"/>
        <v>0</v>
      </c>
      <c r="AS1432" s="45">
        <f t="shared" si="182"/>
        <v>0</v>
      </c>
      <c r="AT1432" s="45">
        <f t="shared" si="183"/>
        <v>0</v>
      </c>
      <c r="AU1432" s="45" t="str">
        <f>_xlfn.XLOOKUP(U1432,'Lista Suspensa'!$AA$20:$AA$23,'Lista Suspensa'!$AB$20:$AB$23,"N/A")</f>
        <v>S</v>
      </c>
    </row>
    <row r="1433" spans="38:47" ht="12" hidden="1" customHeight="1" x14ac:dyDescent="0.3">
      <c r="AL1433" s="45" t="s">
        <v>68</v>
      </c>
      <c r="AM1433" s="162" t="str">
        <f t="shared" si="176"/>
        <v>1/1900</v>
      </c>
      <c r="AN1433" s="45" t="e">
        <f t="shared" si="177"/>
        <v>#NUM!</v>
      </c>
      <c r="AO1433" s="45" t="str">
        <f t="shared" si="178"/>
        <v>1/1900</v>
      </c>
      <c r="AP1433" s="45" t="e">
        <f t="shared" si="179"/>
        <v>#NUM!</v>
      </c>
      <c r="AQ1433" s="45">
        <f t="shared" si="180"/>
        <v>0</v>
      </c>
      <c r="AR1433" s="45">
        <f t="shared" si="181"/>
        <v>0</v>
      </c>
      <c r="AS1433" s="45">
        <f t="shared" si="182"/>
        <v>0</v>
      </c>
      <c r="AT1433" s="45">
        <f t="shared" si="183"/>
        <v>0</v>
      </c>
      <c r="AU1433" s="45" t="str">
        <f>_xlfn.XLOOKUP(U1433,'Lista Suspensa'!$AA$20:$AA$23,'Lista Suspensa'!$AB$20:$AB$23,"N/A")</f>
        <v>S</v>
      </c>
    </row>
    <row r="1434" spans="38:47" ht="12" hidden="1" customHeight="1" x14ac:dyDescent="0.3">
      <c r="AL1434" s="45" t="s">
        <v>68</v>
      </c>
      <c r="AM1434" s="162" t="str">
        <f t="shared" si="176"/>
        <v>1/1900</v>
      </c>
      <c r="AN1434" s="45" t="e">
        <f t="shared" si="177"/>
        <v>#NUM!</v>
      </c>
      <c r="AO1434" s="45" t="str">
        <f t="shared" si="178"/>
        <v>1/1900</v>
      </c>
      <c r="AP1434" s="45" t="e">
        <f t="shared" si="179"/>
        <v>#NUM!</v>
      </c>
      <c r="AQ1434" s="45">
        <f t="shared" si="180"/>
        <v>0</v>
      </c>
      <c r="AR1434" s="45">
        <f t="shared" si="181"/>
        <v>0</v>
      </c>
      <c r="AS1434" s="45">
        <f t="shared" si="182"/>
        <v>0</v>
      </c>
      <c r="AT1434" s="45">
        <f t="shared" si="183"/>
        <v>0</v>
      </c>
      <c r="AU1434" s="45" t="str">
        <f>_xlfn.XLOOKUP(U1434,'Lista Suspensa'!$AA$20:$AA$23,'Lista Suspensa'!$AB$20:$AB$23,"N/A")</f>
        <v>S</v>
      </c>
    </row>
    <row r="1435" spans="38:47" ht="12" hidden="1" customHeight="1" x14ac:dyDescent="0.3">
      <c r="AL1435" s="45" t="s">
        <v>68</v>
      </c>
      <c r="AM1435" s="162" t="str">
        <f t="shared" si="176"/>
        <v>1/1900</v>
      </c>
      <c r="AN1435" s="45" t="e">
        <f t="shared" si="177"/>
        <v>#NUM!</v>
      </c>
      <c r="AO1435" s="45" t="str">
        <f t="shared" si="178"/>
        <v>1/1900</v>
      </c>
      <c r="AP1435" s="45" t="e">
        <f t="shared" si="179"/>
        <v>#NUM!</v>
      </c>
      <c r="AQ1435" s="45">
        <f t="shared" si="180"/>
        <v>0</v>
      </c>
      <c r="AR1435" s="45">
        <f t="shared" si="181"/>
        <v>0</v>
      </c>
      <c r="AS1435" s="45">
        <f t="shared" si="182"/>
        <v>0</v>
      </c>
      <c r="AT1435" s="45">
        <f t="shared" si="183"/>
        <v>0</v>
      </c>
      <c r="AU1435" s="45" t="str">
        <f>_xlfn.XLOOKUP(U1435,'Lista Suspensa'!$AA$20:$AA$23,'Lista Suspensa'!$AB$20:$AB$23,"N/A")</f>
        <v>S</v>
      </c>
    </row>
    <row r="1436" spans="38:47" ht="12" hidden="1" customHeight="1" x14ac:dyDescent="0.3">
      <c r="AL1436" s="45" t="s">
        <v>68</v>
      </c>
      <c r="AM1436" s="162" t="str">
        <f t="shared" si="176"/>
        <v>1/1900</v>
      </c>
      <c r="AN1436" s="45" t="e">
        <f t="shared" si="177"/>
        <v>#NUM!</v>
      </c>
      <c r="AO1436" s="45" t="str">
        <f t="shared" si="178"/>
        <v>1/1900</v>
      </c>
      <c r="AP1436" s="45" t="e">
        <f t="shared" si="179"/>
        <v>#NUM!</v>
      </c>
      <c r="AQ1436" s="45">
        <f t="shared" si="180"/>
        <v>0</v>
      </c>
      <c r="AR1436" s="45">
        <f t="shared" si="181"/>
        <v>0</v>
      </c>
      <c r="AS1436" s="45">
        <f t="shared" si="182"/>
        <v>0</v>
      </c>
      <c r="AT1436" s="45">
        <f t="shared" si="183"/>
        <v>0</v>
      </c>
      <c r="AU1436" s="45" t="str">
        <f>_xlfn.XLOOKUP(U1436,'Lista Suspensa'!$AA$20:$AA$23,'Lista Suspensa'!$AB$20:$AB$23,"N/A")</f>
        <v>S</v>
      </c>
    </row>
    <row r="1437" spans="38:47" ht="12" hidden="1" customHeight="1" x14ac:dyDescent="0.3">
      <c r="AL1437" s="45" t="s">
        <v>68</v>
      </c>
      <c r="AM1437" s="162" t="str">
        <f t="shared" si="176"/>
        <v>1/1900</v>
      </c>
      <c r="AN1437" s="45" t="e">
        <f t="shared" si="177"/>
        <v>#NUM!</v>
      </c>
      <c r="AO1437" s="45" t="str">
        <f t="shared" si="178"/>
        <v>1/1900</v>
      </c>
      <c r="AP1437" s="45" t="e">
        <f t="shared" si="179"/>
        <v>#NUM!</v>
      </c>
      <c r="AQ1437" s="45">
        <f t="shared" si="180"/>
        <v>0</v>
      </c>
      <c r="AR1437" s="45">
        <f t="shared" si="181"/>
        <v>0</v>
      </c>
      <c r="AS1437" s="45">
        <f t="shared" si="182"/>
        <v>0</v>
      </c>
      <c r="AT1437" s="45">
        <f t="shared" si="183"/>
        <v>0</v>
      </c>
      <c r="AU1437" s="45" t="str">
        <f>_xlfn.XLOOKUP(U1437,'Lista Suspensa'!$AA$20:$AA$23,'Lista Suspensa'!$AB$20:$AB$23,"N/A")</f>
        <v>S</v>
      </c>
    </row>
    <row r="1438" spans="38:47" ht="12" hidden="1" customHeight="1" x14ac:dyDescent="0.3">
      <c r="AL1438" s="45" t="s">
        <v>68</v>
      </c>
      <c r="AM1438" s="162" t="str">
        <f t="shared" si="176"/>
        <v>1/1900</v>
      </c>
      <c r="AN1438" s="45" t="e">
        <f t="shared" si="177"/>
        <v>#NUM!</v>
      </c>
      <c r="AO1438" s="45" t="str">
        <f t="shared" si="178"/>
        <v>1/1900</v>
      </c>
      <c r="AP1438" s="45" t="e">
        <f t="shared" si="179"/>
        <v>#NUM!</v>
      </c>
      <c r="AQ1438" s="45">
        <f t="shared" si="180"/>
        <v>0</v>
      </c>
      <c r="AR1438" s="45">
        <f t="shared" si="181"/>
        <v>0</v>
      </c>
      <c r="AS1438" s="45">
        <f t="shared" si="182"/>
        <v>0</v>
      </c>
      <c r="AT1438" s="45">
        <f t="shared" si="183"/>
        <v>0</v>
      </c>
      <c r="AU1438" s="45" t="str">
        <f>_xlfn.XLOOKUP(U1438,'Lista Suspensa'!$AA$20:$AA$23,'Lista Suspensa'!$AB$20:$AB$23,"N/A")</f>
        <v>S</v>
      </c>
    </row>
    <row r="1439" spans="38:47" ht="12" hidden="1" customHeight="1" x14ac:dyDescent="0.3">
      <c r="AL1439" s="45" t="s">
        <v>68</v>
      </c>
      <c r="AM1439" s="162" t="str">
        <f t="shared" si="176"/>
        <v>1/1900</v>
      </c>
      <c r="AN1439" s="45" t="e">
        <f t="shared" si="177"/>
        <v>#NUM!</v>
      </c>
      <c r="AO1439" s="45" t="str">
        <f t="shared" si="178"/>
        <v>1/1900</v>
      </c>
      <c r="AP1439" s="45" t="e">
        <f t="shared" si="179"/>
        <v>#NUM!</v>
      </c>
      <c r="AQ1439" s="45">
        <f t="shared" si="180"/>
        <v>0</v>
      </c>
      <c r="AR1439" s="45">
        <f t="shared" si="181"/>
        <v>0</v>
      </c>
      <c r="AS1439" s="45">
        <f t="shared" si="182"/>
        <v>0</v>
      </c>
      <c r="AT1439" s="45">
        <f t="shared" si="183"/>
        <v>0</v>
      </c>
      <c r="AU1439" s="45" t="str">
        <f>_xlfn.XLOOKUP(U1439,'Lista Suspensa'!$AA$20:$AA$23,'Lista Suspensa'!$AB$20:$AB$23,"N/A")</f>
        <v>S</v>
      </c>
    </row>
    <row r="1440" spans="38:47" ht="12" hidden="1" customHeight="1" x14ac:dyDescent="0.3">
      <c r="AL1440" s="45" t="s">
        <v>68</v>
      </c>
      <c r="AM1440" s="162" t="str">
        <f t="shared" si="176"/>
        <v>1/1900</v>
      </c>
      <c r="AN1440" s="45" t="e">
        <f t="shared" si="177"/>
        <v>#NUM!</v>
      </c>
      <c r="AO1440" s="45" t="str">
        <f t="shared" si="178"/>
        <v>1/1900</v>
      </c>
      <c r="AP1440" s="45" t="e">
        <f t="shared" si="179"/>
        <v>#NUM!</v>
      </c>
      <c r="AQ1440" s="45">
        <f t="shared" si="180"/>
        <v>0</v>
      </c>
      <c r="AR1440" s="45">
        <f t="shared" si="181"/>
        <v>0</v>
      </c>
      <c r="AS1440" s="45">
        <f t="shared" si="182"/>
        <v>0</v>
      </c>
      <c r="AT1440" s="45">
        <f t="shared" si="183"/>
        <v>0</v>
      </c>
      <c r="AU1440" s="45" t="str">
        <f>_xlfn.XLOOKUP(U1440,'Lista Suspensa'!$AA$20:$AA$23,'Lista Suspensa'!$AB$20:$AB$23,"N/A")</f>
        <v>S</v>
      </c>
    </row>
    <row r="1441" spans="38:47" ht="12" hidden="1" customHeight="1" x14ac:dyDescent="0.3">
      <c r="AL1441" s="45" t="s">
        <v>68</v>
      </c>
      <c r="AM1441" s="162" t="str">
        <f t="shared" si="176"/>
        <v>1/1900</v>
      </c>
      <c r="AN1441" s="45" t="e">
        <f t="shared" si="177"/>
        <v>#NUM!</v>
      </c>
      <c r="AO1441" s="45" t="str">
        <f t="shared" si="178"/>
        <v>1/1900</v>
      </c>
      <c r="AP1441" s="45" t="e">
        <f t="shared" si="179"/>
        <v>#NUM!</v>
      </c>
      <c r="AQ1441" s="45">
        <f t="shared" si="180"/>
        <v>0</v>
      </c>
      <c r="AR1441" s="45">
        <f t="shared" si="181"/>
        <v>0</v>
      </c>
      <c r="AS1441" s="45">
        <f t="shared" si="182"/>
        <v>0</v>
      </c>
      <c r="AT1441" s="45">
        <f t="shared" si="183"/>
        <v>0</v>
      </c>
      <c r="AU1441" s="45" t="str">
        <f>_xlfn.XLOOKUP(U1441,'Lista Suspensa'!$AA$20:$AA$23,'Lista Suspensa'!$AB$20:$AB$23,"N/A")</f>
        <v>S</v>
      </c>
    </row>
    <row r="1442" spans="38:47" ht="12" hidden="1" customHeight="1" x14ac:dyDescent="0.3">
      <c r="AU1442" s="45"/>
    </row>
    <row r="1443" spans="38:47" ht="12" hidden="1" customHeight="1" x14ac:dyDescent="0.3">
      <c r="AU1443" s="45"/>
    </row>
    <row r="1444" spans="38:47" ht="12" hidden="1" customHeight="1" x14ac:dyDescent="0.3">
      <c r="AU1444" s="45"/>
    </row>
    <row r="1445" spans="38:47" ht="12" hidden="1" customHeight="1" x14ac:dyDescent="0.3">
      <c r="AU1445" s="45"/>
    </row>
    <row r="1446" spans="38:47" ht="12" hidden="1" customHeight="1" x14ac:dyDescent="0.3">
      <c r="AU1446" s="45"/>
    </row>
    <row r="1447" spans="38:47" ht="12" hidden="1" customHeight="1" x14ac:dyDescent="0.3">
      <c r="AU1447" s="45"/>
    </row>
    <row r="1448" spans="38:47" ht="12" hidden="1" customHeight="1" x14ac:dyDescent="0.3">
      <c r="AU1448" s="45"/>
    </row>
    <row r="1449" spans="38:47" ht="12" hidden="1" customHeight="1" x14ac:dyDescent="0.3">
      <c r="AU1449" s="45"/>
    </row>
    <row r="1450" spans="38:47" ht="12" hidden="1" customHeight="1" x14ac:dyDescent="0.3">
      <c r="AU1450" s="45"/>
    </row>
    <row r="1451" spans="38:47" ht="12" hidden="1" customHeight="1" x14ac:dyDescent="0.3">
      <c r="AU1451" s="45"/>
    </row>
    <row r="1452" spans="38:47" ht="12" hidden="1" customHeight="1" x14ac:dyDescent="0.3">
      <c r="AU1452" s="45"/>
    </row>
    <row r="1453" spans="38:47" ht="12" hidden="1" customHeight="1" x14ac:dyDescent="0.3">
      <c r="AU1453" s="45"/>
    </row>
    <row r="1454" spans="38:47" ht="12" hidden="1" customHeight="1" x14ac:dyDescent="0.3">
      <c r="AU1454" s="45"/>
    </row>
    <row r="1455" spans="38:47" ht="12" hidden="1" customHeight="1" x14ac:dyDescent="0.3">
      <c r="AU1455" s="45"/>
    </row>
    <row r="1456" spans="38:47" ht="12" hidden="1" customHeight="1" x14ac:dyDescent="0.3">
      <c r="AU1456" s="45"/>
    </row>
    <row r="1457" spans="47:47" ht="12" hidden="1" customHeight="1" x14ac:dyDescent="0.3">
      <c r="AU1457" s="45"/>
    </row>
    <row r="1458" spans="47:47" ht="12" hidden="1" customHeight="1" x14ac:dyDescent="0.3">
      <c r="AU1458" s="45"/>
    </row>
    <row r="1459" spans="47:47" ht="12" hidden="1" customHeight="1" x14ac:dyDescent="0.3">
      <c r="AU1459" s="45"/>
    </row>
    <row r="1460" spans="47:47" ht="12" hidden="1" customHeight="1" x14ac:dyDescent="0.3">
      <c r="AU1460" s="45"/>
    </row>
    <row r="1461" spans="47:47" ht="12" hidden="1" customHeight="1" x14ac:dyDescent="0.3">
      <c r="AU1461" s="45"/>
    </row>
    <row r="1462" spans="47:47" ht="12" hidden="1" customHeight="1" x14ac:dyDescent="0.3">
      <c r="AU1462" s="45"/>
    </row>
    <row r="1463" spans="47:47" ht="12" hidden="1" customHeight="1" x14ac:dyDescent="0.3">
      <c r="AU1463" s="45"/>
    </row>
    <row r="1464" spans="47:47" ht="12" hidden="1" customHeight="1" x14ac:dyDescent="0.3">
      <c r="AU1464" s="45"/>
    </row>
    <row r="1465" spans="47:47" ht="12" hidden="1" customHeight="1" x14ac:dyDescent="0.3">
      <c r="AU1465" s="45"/>
    </row>
    <row r="1466" spans="47:47" ht="12" hidden="1" customHeight="1" x14ac:dyDescent="0.3">
      <c r="AU1466" s="45"/>
    </row>
    <row r="1467" spans="47:47" ht="12" hidden="1" customHeight="1" x14ac:dyDescent="0.3">
      <c r="AU1467" s="45"/>
    </row>
    <row r="1468" spans="47:47" ht="12" hidden="1" customHeight="1" x14ac:dyDescent="0.3">
      <c r="AU1468" s="45"/>
    </row>
    <row r="1469" spans="47:47" ht="12" hidden="1" customHeight="1" x14ac:dyDescent="0.3">
      <c r="AU1469" s="45"/>
    </row>
    <row r="1470" spans="47:47" ht="12" hidden="1" customHeight="1" x14ac:dyDescent="0.3">
      <c r="AU1470" s="45"/>
    </row>
    <row r="1471" spans="47:47" ht="12" hidden="1" customHeight="1" x14ac:dyDescent="0.3">
      <c r="AU1471" s="45"/>
    </row>
    <row r="1472" spans="47:47" ht="12" hidden="1" customHeight="1" x14ac:dyDescent="0.3">
      <c r="AU1472" s="45"/>
    </row>
    <row r="1473" spans="47:47" ht="12" hidden="1" customHeight="1" x14ac:dyDescent="0.3">
      <c r="AU1473" s="45"/>
    </row>
    <row r="1474" spans="47:47" ht="12" hidden="1" customHeight="1" x14ac:dyDescent="0.3">
      <c r="AU1474" s="45"/>
    </row>
    <row r="1475" spans="47:47" ht="12" hidden="1" customHeight="1" x14ac:dyDescent="0.3">
      <c r="AU1475" s="45"/>
    </row>
    <row r="1476" spans="47:47" ht="12" hidden="1" customHeight="1" x14ac:dyDescent="0.3">
      <c r="AU1476" s="45"/>
    </row>
    <row r="1477" spans="47:47" ht="12" hidden="1" customHeight="1" x14ac:dyDescent="0.3">
      <c r="AU1477" s="45"/>
    </row>
    <row r="1478" spans="47:47" ht="12" hidden="1" customHeight="1" x14ac:dyDescent="0.3">
      <c r="AU1478" s="45"/>
    </row>
    <row r="1479" spans="47:47" ht="12" hidden="1" customHeight="1" x14ac:dyDescent="0.3">
      <c r="AU1479" s="45"/>
    </row>
    <row r="1480" spans="47:47" ht="12" hidden="1" customHeight="1" x14ac:dyDescent="0.3">
      <c r="AU1480" s="45"/>
    </row>
    <row r="1481" spans="47:47" ht="12" hidden="1" customHeight="1" x14ac:dyDescent="0.3">
      <c r="AU1481" s="45"/>
    </row>
    <row r="1482" spans="47:47" ht="12" hidden="1" customHeight="1" x14ac:dyDescent="0.3">
      <c r="AU1482" s="45"/>
    </row>
    <row r="1483" spans="47:47" ht="12" hidden="1" customHeight="1" x14ac:dyDescent="0.3">
      <c r="AU1483" s="45"/>
    </row>
    <row r="1484" spans="47:47" ht="12" hidden="1" customHeight="1" x14ac:dyDescent="0.3">
      <c r="AU1484" s="45"/>
    </row>
    <row r="1485" spans="47:47" ht="12" hidden="1" customHeight="1" x14ac:dyDescent="0.3">
      <c r="AU1485" s="45"/>
    </row>
    <row r="1486" spans="47:47" ht="12" hidden="1" customHeight="1" x14ac:dyDescent="0.3">
      <c r="AU1486" s="45"/>
    </row>
    <row r="1487" spans="47:47" ht="12" hidden="1" customHeight="1" x14ac:dyDescent="0.3">
      <c r="AU1487" s="45"/>
    </row>
    <row r="1488" spans="47:47" ht="12" hidden="1" customHeight="1" x14ac:dyDescent="0.3">
      <c r="AU1488" s="45"/>
    </row>
    <row r="1489" spans="47:47" ht="12" hidden="1" customHeight="1" x14ac:dyDescent="0.3">
      <c r="AU1489" s="45"/>
    </row>
    <row r="1490" spans="47:47" ht="12" hidden="1" customHeight="1" x14ac:dyDescent="0.3">
      <c r="AU1490" s="45"/>
    </row>
    <row r="1491" spans="47:47" ht="12" hidden="1" customHeight="1" x14ac:dyDescent="0.3">
      <c r="AU1491" s="45"/>
    </row>
    <row r="1492" spans="47:47" ht="12" hidden="1" customHeight="1" x14ac:dyDescent="0.3">
      <c r="AU1492" s="45"/>
    </row>
    <row r="1493" spans="47:47" ht="12" hidden="1" customHeight="1" x14ac:dyDescent="0.3">
      <c r="AU1493" s="45"/>
    </row>
    <row r="1494" spans="47:47" ht="12" hidden="1" customHeight="1" x14ac:dyDescent="0.3">
      <c r="AU1494" s="45"/>
    </row>
    <row r="1495" spans="47:47" ht="12" hidden="1" customHeight="1" x14ac:dyDescent="0.3">
      <c r="AU1495" s="45"/>
    </row>
    <row r="1496" spans="47:47" ht="12" hidden="1" customHeight="1" x14ac:dyDescent="0.3">
      <c r="AU1496" s="45"/>
    </row>
    <row r="1497" spans="47:47" ht="12" hidden="1" customHeight="1" x14ac:dyDescent="0.3">
      <c r="AU1497" s="45"/>
    </row>
    <row r="1498" spans="47:47" ht="12" hidden="1" customHeight="1" x14ac:dyDescent="0.3">
      <c r="AU1498" s="45"/>
    </row>
    <row r="1499" spans="47:47" ht="12" hidden="1" customHeight="1" x14ac:dyDescent="0.3">
      <c r="AU1499" s="45"/>
    </row>
    <row r="1500" spans="47:47" ht="12" hidden="1" customHeight="1" x14ac:dyDescent="0.3">
      <c r="AU1500" s="45"/>
    </row>
    <row r="1501" spans="47:47" ht="12" hidden="1" customHeight="1" x14ac:dyDescent="0.3">
      <c r="AU1501" s="45"/>
    </row>
    <row r="1502" spans="47:47" ht="12" hidden="1" customHeight="1" x14ac:dyDescent="0.3">
      <c r="AU1502" s="45"/>
    </row>
    <row r="1503" spans="47:47" ht="12" hidden="1" customHeight="1" x14ac:dyDescent="0.3">
      <c r="AU1503" s="45"/>
    </row>
    <row r="1504" spans="47:47" ht="12" hidden="1" customHeight="1" x14ac:dyDescent="0.3">
      <c r="AU1504" s="45"/>
    </row>
    <row r="1505" spans="47:47" ht="12" hidden="1" customHeight="1" x14ac:dyDescent="0.3">
      <c r="AU1505" s="45"/>
    </row>
    <row r="1506" spans="47:47" ht="12" hidden="1" customHeight="1" x14ac:dyDescent="0.3">
      <c r="AU1506" s="45"/>
    </row>
    <row r="1507" spans="47:47" ht="12" hidden="1" customHeight="1" x14ac:dyDescent="0.3">
      <c r="AU1507" s="45"/>
    </row>
    <row r="1508" spans="47:47" ht="12" hidden="1" customHeight="1" x14ac:dyDescent="0.3">
      <c r="AU1508" s="45"/>
    </row>
    <row r="1509" spans="47:47" ht="12" hidden="1" customHeight="1" x14ac:dyDescent="0.3">
      <c r="AU1509" s="45"/>
    </row>
    <row r="1510" spans="47:47" ht="12" hidden="1" customHeight="1" x14ac:dyDescent="0.3">
      <c r="AU1510" s="45"/>
    </row>
    <row r="1511" spans="47:47" ht="12" hidden="1" customHeight="1" x14ac:dyDescent="0.3">
      <c r="AU1511" s="45"/>
    </row>
    <row r="1512" spans="47:47" ht="12" hidden="1" customHeight="1" x14ac:dyDescent="0.3">
      <c r="AU1512" s="45"/>
    </row>
    <row r="1513" spans="47:47" ht="12" hidden="1" customHeight="1" x14ac:dyDescent="0.3">
      <c r="AU1513" s="45"/>
    </row>
    <row r="1514" spans="47:47" ht="12" hidden="1" customHeight="1" x14ac:dyDescent="0.3">
      <c r="AU1514" s="45"/>
    </row>
    <row r="1515" spans="47:47" ht="12" hidden="1" customHeight="1" x14ac:dyDescent="0.3">
      <c r="AU1515" s="45"/>
    </row>
    <row r="1516" spans="47:47" ht="12" hidden="1" customHeight="1" x14ac:dyDescent="0.3">
      <c r="AU1516" s="45"/>
    </row>
    <row r="1517" spans="47:47" ht="12" hidden="1" customHeight="1" x14ac:dyDescent="0.3">
      <c r="AU1517" s="45"/>
    </row>
    <row r="1518" spans="47:47" ht="12" hidden="1" customHeight="1" x14ac:dyDescent="0.3">
      <c r="AU1518" s="45"/>
    </row>
    <row r="1519" spans="47:47" ht="12" hidden="1" customHeight="1" x14ac:dyDescent="0.3">
      <c r="AU1519" s="45"/>
    </row>
    <row r="1520" spans="47:47" ht="12" hidden="1" customHeight="1" x14ac:dyDescent="0.3">
      <c r="AU1520" s="45"/>
    </row>
    <row r="1521" spans="47:47" ht="12" hidden="1" customHeight="1" x14ac:dyDescent="0.3">
      <c r="AU1521" s="45"/>
    </row>
    <row r="1522" spans="47:47" ht="12" hidden="1" customHeight="1" x14ac:dyDescent="0.3">
      <c r="AU1522" s="45"/>
    </row>
    <row r="1523" spans="47:47" ht="12" hidden="1" customHeight="1" x14ac:dyDescent="0.3">
      <c r="AU1523" s="45"/>
    </row>
    <row r="1524" spans="47:47" ht="12" hidden="1" customHeight="1" x14ac:dyDescent="0.3">
      <c r="AU1524" s="45"/>
    </row>
    <row r="1525" spans="47:47" ht="12" hidden="1" customHeight="1" x14ac:dyDescent="0.3">
      <c r="AU1525" s="45"/>
    </row>
    <row r="1526" spans="47:47" ht="12" hidden="1" customHeight="1" x14ac:dyDescent="0.3">
      <c r="AU1526" s="45"/>
    </row>
    <row r="1527" spans="47:47" ht="12" hidden="1" customHeight="1" x14ac:dyDescent="0.3">
      <c r="AU1527" s="45"/>
    </row>
    <row r="1528" spans="47:47" ht="12" hidden="1" customHeight="1" x14ac:dyDescent="0.3">
      <c r="AU1528" s="45"/>
    </row>
    <row r="1529" spans="47:47" ht="12" hidden="1" customHeight="1" x14ac:dyDescent="0.3">
      <c r="AU1529" s="45"/>
    </row>
    <row r="1530" spans="47:47" ht="12" hidden="1" customHeight="1" x14ac:dyDescent="0.3">
      <c r="AU1530" s="45"/>
    </row>
    <row r="1531" spans="47:47" ht="12" hidden="1" customHeight="1" x14ac:dyDescent="0.3">
      <c r="AU1531" s="45"/>
    </row>
    <row r="1532" spans="47:47" ht="12" hidden="1" customHeight="1" x14ac:dyDescent="0.3">
      <c r="AU1532" s="45"/>
    </row>
    <row r="1533" spans="47:47" ht="12" hidden="1" customHeight="1" x14ac:dyDescent="0.3">
      <c r="AU1533" s="45"/>
    </row>
    <row r="1534" spans="47:47" ht="12" hidden="1" customHeight="1" x14ac:dyDescent="0.3">
      <c r="AU1534" s="45"/>
    </row>
    <row r="1535" spans="47:47" ht="12" hidden="1" customHeight="1" x14ac:dyDescent="0.3">
      <c r="AU1535" s="45"/>
    </row>
    <row r="1536" spans="47:47" ht="12" hidden="1" customHeight="1" x14ac:dyDescent="0.3">
      <c r="AU1536" s="45"/>
    </row>
    <row r="1537" spans="47:47" ht="12" hidden="1" customHeight="1" x14ac:dyDescent="0.3">
      <c r="AU1537" s="45"/>
    </row>
    <row r="1538" spans="47:47" ht="12" hidden="1" customHeight="1" x14ac:dyDescent="0.3">
      <c r="AU1538" s="45"/>
    </row>
    <row r="1539" spans="47:47" ht="12" hidden="1" customHeight="1" x14ac:dyDescent="0.3">
      <c r="AU1539" s="45"/>
    </row>
    <row r="1540" spans="47:47" ht="12" hidden="1" customHeight="1" x14ac:dyDescent="0.3">
      <c r="AU1540" s="45"/>
    </row>
    <row r="1541" spans="47:47" ht="12" hidden="1" customHeight="1" x14ac:dyDescent="0.3">
      <c r="AU1541" s="45"/>
    </row>
    <row r="1542" spans="47:47" ht="12" hidden="1" customHeight="1" x14ac:dyDescent="0.3">
      <c r="AU1542" s="45"/>
    </row>
    <row r="1543" spans="47:47" ht="12" hidden="1" customHeight="1" x14ac:dyDescent="0.3">
      <c r="AU1543" s="45"/>
    </row>
    <row r="1544" spans="47:47" ht="12" hidden="1" customHeight="1" x14ac:dyDescent="0.3">
      <c r="AU1544" s="45"/>
    </row>
    <row r="1545" spans="47:47" ht="12" hidden="1" customHeight="1" x14ac:dyDescent="0.3">
      <c r="AU1545" s="45"/>
    </row>
    <row r="1546" spans="47:47" ht="12" hidden="1" customHeight="1" x14ac:dyDescent="0.3">
      <c r="AU1546" s="45"/>
    </row>
    <row r="1547" spans="47:47" ht="12" hidden="1" customHeight="1" x14ac:dyDescent="0.3">
      <c r="AU1547" s="45"/>
    </row>
    <row r="1548" spans="47:47" ht="12" hidden="1" customHeight="1" x14ac:dyDescent="0.3">
      <c r="AU1548" s="45"/>
    </row>
    <row r="1549" spans="47:47" ht="12" hidden="1" customHeight="1" x14ac:dyDescent="0.3">
      <c r="AU1549" s="45"/>
    </row>
    <row r="1550" spans="47:47" ht="12" hidden="1" customHeight="1" x14ac:dyDescent="0.3">
      <c r="AU1550" s="45"/>
    </row>
    <row r="1551" spans="47:47" ht="12" hidden="1" customHeight="1" x14ac:dyDescent="0.3">
      <c r="AU1551" s="45"/>
    </row>
    <row r="1552" spans="47:47" ht="12" hidden="1" customHeight="1" x14ac:dyDescent="0.3">
      <c r="AU1552" s="45"/>
    </row>
    <row r="1553" spans="47:47" ht="12" hidden="1" customHeight="1" x14ac:dyDescent="0.3">
      <c r="AU1553" s="45"/>
    </row>
    <row r="1554" spans="47:47" ht="12" hidden="1" customHeight="1" x14ac:dyDescent="0.3">
      <c r="AU1554" s="45"/>
    </row>
    <row r="1555" spans="47:47" ht="12" hidden="1" customHeight="1" x14ac:dyDescent="0.3">
      <c r="AU1555" s="45"/>
    </row>
    <row r="1556" spans="47:47" ht="12" hidden="1" customHeight="1" x14ac:dyDescent="0.3">
      <c r="AU1556" s="45"/>
    </row>
    <row r="1557" spans="47:47" ht="12" hidden="1" customHeight="1" x14ac:dyDescent="0.3">
      <c r="AU1557" s="45"/>
    </row>
    <row r="1558" spans="47:47" ht="12" hidden="1" customHeight="1" x14ac:dyDescent="0.3">
      <c r="AU1558" s="45"/>
    </row>
    <row r="1559" spans="47:47" ht="12" hidden="1" customHeight="1" x14ac:dyDescent="0.3">
      <c r="AU1559" s="45"/>
    </row>
    <row r="1560" spans="47:47" ht="12" hidden="1" customHeight="1" x14ac:dyDescent="0.3">
      <c r="AU1560" s="45"/>
    </row>
    <row r="1561" spans="47:47" ht="12" hidden="1" customHeight="1" x14ac:dyDescent="0.3">
      <c r="AU1561" s="45"/>
    </row>
    <row r="1562" spans="47:47" ht="12" hidden="1" customHeight="1" x14ac:dyDescent="0.3">
      <c r="AU1562" s="45"/>
    </row>
    <row r="1563" spans="47:47" ht="12" hidden="1" customHeight="1" x14ac:dyDescent="0.3">
      <c r="AU1563" s="45"/>
    </row>
    <row r="1564" spans="47:47" ht="12" hidden="1" customHeight="1" x14ac:dyDescent="0.3">
      <c r="AU1564" s="45"/>
    </row>
    <row r="1565" spans="47:47" ht="12" hidden="1" customHeight="1" x14ac:dyDescent="0.3">
      <c r="AU1565" s="45"/>
    </row>
    <row r="1566" spans="47:47" ht="12" hidden="1" customHeight="1" x14ac:dyDescent="0.3">
      <c r="AU1566" s="45"/>
    </row>
    <row r="1567" spans="47:47" ht="12" hidden="1" customHeight="1" x14ac:dyDescent="0.3">
      <c r="AU1567" s="45"/>
    </row>
    <row r="1568" spans="47:47" ht="12" hidden="1" customHeight="1" x14ac:dyDescent="0.3">
      <c r="AU1568" s="45"/>
    </row>
    <row r="1569" spans="47:47" ht="12" hidden="1" customHeight="1" x14ac:dyDescent="0.3">
      <c r="AU1569" s="45"/>
    </row>
    <row r="1570" spans="47:47" ht="12" hidden="1" customHeight="1" x14ac:dyDescent="0.3">
      <c r="AU1570" s="45"/>
    </row>
    <row r="1571" spans="47:47" ht="12" hidden="1" customHeight="1" x14ac:dyDescent="0.3">
      <c r="AU1571" s="45"/>
    </row>
    <row r="1572" spans="47:47" ht="12" hidden="1" customHeight="1" x14ac:dyDescent="0.3">
      <c r="AU1572" s="45"/>
    </row>
    <row r="1573" spans="47:47" ht="12" hidden="1" customHeight="1" x14ac:dyDescent="0.3">
      <c r="AU1573" s="45"/>
    </row>
    <row r="1574" spans="47:47" ht="12" hidden="1" customHeight="1" x14ac:dyDescent="0.3">
      <c r="AU1574" s="45"/>
    </row>
    <row r="1575" spans="47:47" ht="12" hidden="1" customHeight="1" x14ac:dyDescent="0.3">
      <c r="AU1575" s="45"/>
    </row>
    <row r="1576" spans="47:47" ht="12" hidden="1" customHeight="1" x14ac:dyDescent="0.3">
      <c r="AU1576" s="45"/>
    </row>
    <row r="1577" spans="47:47" ht="12" hidden="1" customHeight="1" x14ac:dyDescent="0.3">
      <c r="AU1577" s="45"/>
    </row>
    <row r="1578" spans="47:47" ht="12" hidden="1" customHeight="1" x14ac:dyDescent="0.3">
      <c r="AU1578" s="45"/>
    </row>
    <row r="1579" spans="47:47" ht="12" hidden="1" customHeight="1" x14ac:dyDescent="0.3">
      <c r="AU1579" s="45"/>
    </row>
    <row r="1580" spans="47:47" ht="12" hidden="1" customHeight="1" x14ac:dyDescent="0.3">
      <c r="AU1580" s="45"/>
    </row>
    <row r="1581" spans="47:47" ht="12" hidden="1" customHeight="1" x14ac:dyDescent="0.3">
      <c r="AU1581" s="45"/>
    </row>
    <row r="1582" spans="47:47" ht="12" hidden="1" customHeight="1" x14ac:dyDescent="0.3">
      <c r="AU1582" s="45"/>
    </row>
    <row r="1583" spans="47:47" ht="12" hidden="1" customHeight="1" x14ac:dyDescent="0.3">
      <c r="AU1583" s="45"/>
    </row>
    <row r="1584" spans="47:47" ht="12" hidden="1" customHeight="1" x14ac:dyDescent="0.3">
      <c r="AU1584" s="45"/>
    </row>
    <row r="1585" spans="47:47" ht="12" hidden="1" customHeight="1" x14ac:dyDescent="0.3">
      <c r="AU1585" s="45"/>
    </row>
    <row r="1586" spans="47:47" ht="12" hidden="1" customHeight="1" x14ac:dyDescent="0.3">
      <c r="AU1586" s="45"/>
    </row>
    <row r="1587" spans="47:47" ht="12" hidden="1" customHeight="1" x14ac:dyDescent="0.3">
      <c r="AU1587" s="45"/>
    </row>
    <row r="1588" spans="47:47" ht="12" hidden="1" customHeight="1" x14ac:dyDescent="0.3">
      <c r="AU1588" s="45"/>
    </row>
    <row r="1589" spans="47:47" ht="12" hidden="1" customHeight="1" x14ac:dyDescent="0.3">
      <c r="AU1589" s="45"/>
    </row>
    <row r="1590" spans="47:47" ht="12" hidden="1" customHeight="1" x14ac:dyDescent="0.3">
      <c r="AU1590" s="45"/>
    </row>
    <row r="1591" spans="47:47" ht="12" hidden="1" customHeight="1" x14ac:dyDescent="0.3">
      <c r="AU1591" s="45"/>
    </row>
    <row r="1592" spans="47:47" ht="12" hidden="1" customHeight="1" x14ac:dyDescent="0.3">
      <c r="AU1592" s="45"/>
    </row>
    <row r="1593" spans="47:47" ht="12" hidden="1" customHeight="1" x14ac:dyDescent="0.3">
      <c r="AU1593" s="45"/>
    </row>
    <row r="1594" spans="47:47" ht="12" hidden="1" customHeight="1" x14ac:dyDescent="0.3">
      <c r="AU1594" s="45"/>
    </row>
    <row r="1595" spans="47:47" ht="12" hidden="1" customHeight="1" x14ac:dyDescent="0.3">
      <c r="AU1595" s="45"/>
    </row>
    <row r="1596" spans="47:47" ht="12" hidden="1" customHeight="1" x14ac:dyDescent="0.3">
      <c r="AU1596" s="45"/>
    </row>
    <row r="1597" spans="47:47" ht="12" hidden="1" customHeight="1" x14ac:dyDescent="0.3">
      <c r="AU1597" s="45"/>
    </row>
    <row r="1598" spans="47:47" ht="12" hidden="1" customHeight="1" x14ac:dyDescent="0.3">
      <c r="AU1598" s="45"/>
    </row>
    <row r="1599" spans="47:47" ht="12" hidden="1" customHeight="1" x14ac:dyDescent="0.3">
      <c r="AU1599" s="45"/>
    </row>
    <row r="1600" spans="47:47" ht="12" hidden="1" customHeight="1" x14ac:dyDescent="0.3">
      <c r="AU1600" s="45"/>
    </row>
    <row r="1601" spans="47:47" ht="12" hidden="1" customHeight="1" x14ac:dyDescent="0.3">
      <c r="AU1601" s="45"/>
    </row>
    <row r="1602" spans="47:47" ht="12" hidden="1" customHeight="1" x14ac:dyDescent="0.3">
      <c r="AU1602" s="45"/>
    </row>
    <row r="1603" spans="47:47" ht="12" hidden="1" customHeight="1" x14ac:dyDescent="0.3">
      <c r="AU1603" s="45"/>
    </row>
    <row r="1604" spans="47:47" ht="12" hidden="1" customHeight="1" x14ac:dyDescent="0.3">
      <c r="AU1604" s="45"/>
    </row>
    <row r="1605" spans="47:47" ht="12" hidden="1" customHeight="1" x14ac:dyDescent="0.3">
      <c r="AU1605" s="45"/>
    </row>
    <row r="1606" spans="47:47" ht="12" hidden="1" customHeight="1" x14ac:dyDescent="0.3">
      <c r="AU1606" s="45"/>
    </row>
    <row r="1607" spans="47:47" ht="12" hidden="1" customHeight="1" x14ac:dyDescent="0.3">
      <c r="AU1607" s="45"/>
    </row>
    <row r="1608" spans="47:47" ht="12" hidden="1" customHeight="1" x14ac:dyDescent="0.3">
      <c r="AU1608" s="45"/>
    </row>
    <row r="1609" spans="47:47" ht="12" hidden="1" customHeight="1" x14ac:dyDescent="0.3">
      <c r="AU1609" s="45"/>
    </row>
    <row r="1610" spans="47:47" ht="12" hidden="1" customHeight="1" x14ac:dyDescent="0.3">
      <c r="AU1610" s="45"/>
    </row>
    <row r="1611" spans="47:47" ht="12" hidden="1" customHeight="1" x14ac:dyDescent="0.3">
      <c r="AU1611" s="45"/>
    </row>
    <row r="1612" spans="47:47" ht="12" hidden="1" customHeight="1" x14ac:dyDescent="0.3">
      <c r="AU1612" s="45"/>
    </row>
    <row r="1613" spans="47:47" ht="12" hidden="1" customHeight="1" x14ac:dyDescent="0.3">
      <c r="AU1613" s="45"/>
    </row>
    <row r="1614" spans="47:47" ht="12" hidden="1" customHeight="1" x14ac:dyDescent="0.3">
      <c r="AU1614" s="45"/>
    </row>
    <row r="1615" spans="47:47" ht="12" hidden="1" customHeight="1" x14ac:dyDescent="0.3">
      <c r="AU1615" s="45"/>
    </row>
    <row r="1616" spans="47:47" ht="12" hidden="1" customHeight="1" x14ac:dyDescent="0.3">
      <c r="AU1616" s="45"/>
    </row>
    <row r="1617" spans="47:47" ht="12" hidden="1" customHeight="1" x14ac:dyDescent="0.3">
      <c r="AU1617" s="45"/>
    </row>
    <row r="1618" spans="47:47" ht="12" hidden="1" customHeight="1" x14ac:dyDescent="0.3">
      <c r="AU1618" s="45"/>
    </row>
    <row r="1619" spans="47:47" ht="12" hidden="1" customHeight="1" x14ac:dyDescent="0.3">
      <c r="AU1619" s="45"/>
    </row>
    <row r="1620" spans="47:47" ht="12" hidden="1" customHeight="1" x14ac:dyDescent="0.3">
      <c r="AU1620" s="45"/>
    </row>
    <row r="1621" spans="47:47" ht="12" hidden="1" customHeight="1" x14ac:dyDescent="0.3">
      <c r="AU1621" s="45"/>
    </row>
    <row r="1622" spans="47:47" ht="12" hidden="1" customHeight="1" x14ac:dyDescent="0.3">
      <c r="AU1622" s="45"/>
    </row>
    <row r="1623" spans="47:47" ht="12" hidden="1" customHeight="1" x14ac:dyDescent="0.3">
      <c r="AU1623" s="45"/>
    </row>
    <row r="1624" spans="47:47" ht="12" hidden="1" customHeight="1" x14ac:dyDescent="0.3">
      <c r="AU1624" s="45"/>
    </row>
    <row r="1625" spans="47:47" ht="12" hidden="1" customHeight="1" x14ac:dyDescent="0.3">
      <c r="AU1625" s="45"/>
    </row>
    <row r="1626" spans="47:47" ht="12" hidden="1" customHeight="1" x14ac:dyDescent="0.3">
      <c r="AU1626" s="45"/>
    </row>
    <row r="1627" spans="47:47" ht="12" hidden="1" customHeight="1" x14ac:dyDescent="0.3">
      <c r="AU1627" s="45"/>
    </row>
    <row r="1628" spans="47:47" ht="12" hidden="1" customHeight="1" x14ac:dyDescent="0.3">
      <c r="AU1628" s="45"/>
    </row>
    <row r="1629" spans="47:47" ht="12" hidden="1" customHeight="1" x14ac:dyDescent="0.3">
      <c r="AU1629" s="45"/>
    </row>
    <row r="1630" spans="47:47" ht="12" hidden="1" customHeight="1" x14ac:dyDescent="0.3">
      <c r="AU1630" s="45"/>
    </row>
    <row r="1631" spans="47:47" ht="12" hidden="1" customHeight="1" x14ac:dyDescent="0.3">
      <c r="AU1631" s="45"/>
    </row>
    <row r="1632" spans="47:47" ht="12" hidden="1" customHeight="1" x14ac:dyDescent="0.3">
      <c r="AU1632" s="45"/>
    </row>
    <row r="1633" spans="47:47" ht="12" hidden="1" customHeight="1" x14ac:dyDescent="0.3">
      <c r="AU1633" s="45"/>
    </row>
    <row r="1634" spans="47:47" ht="12" hidden="1" customHeight="1" x14ac:dyDescent="0.3">
      <c r="AU1634" s="45"/>
    </row>
    <row r="1635" spans="47:47" ht="12" hidden="1" customHeight="1" x14ac:dyDescent="0.3">
      <c r="AU1635" s="45"/>
    </row>
    <row r="1636" spans="47:47" ht="12" hidden="1" customHeight="1" x14ac:dyDescent="0.3">
      <c r="AU1636" s="45"/>
    </row>
    <row r="1637" spans="47:47" ht="12" hidden="1" customHeight="1" x14ac:dyDescent="0.3">
      <c r="AU1637" s="45"/>
    </row>
    <row r="1638" spans="47:47" ht="12" hidden="1" customHeight="1" x14ac:dyDescent="0.3">
      <c r="AU1638" s="45"/>
    </row>
    <row r="1639" spans="47:47" ht="12" hidden="1" customHeight="1" x14ac:dyDescent="0.3">
      <c r="AU1639" s="45"/>
    </row>
    <row r="1640" spans="47:47" ht="12" hidden="1" customHeight="1" x14ac:dyDescent="0.3">
      <c r="AU1640" s="45"/>
    </row>
    <row r="1641" spans="47:47" ht="12" hidden="1" customHeight="1" x14ac:dyDescent="0.3">
      <c r="AU1641" s="45"/>
    </row>
    <row r="1642" spans="47:47" ht="12" hidden="1" customHeight="1" x14ac:dyDescent="0.3">
      <c r="AU1642" s="45"/>
    </row>
    <row r="1643" spans="47:47" ht="12" hidden="1" customHeight="1" x14ac:dyDescent="0.3">
      <c r="AU1643" s="45"/>
    </row>
    <row r="1644" spans="47:47" ht="12" hidden="1" customHeight="1" x14ac:dyDescent="0.3">
      <c r="AU1644" s="45"/>
    </row>
    <row r="1645" spans="47:47" ht="12" hidden="1" customHeight="1" x14ac:dyDescent="0.3">
      <c r="AU1645" s="45"/>
    </row>
    <row r="1646" spans="47:47" ht="12" hidden="1" customHeight="1" x14ac:dyDescent="0.3">
      <c r="AU1646" s="45"/>
    </row>
    <row r="1647" spans="47:47" ht="12" hidden="1" customHeight="1" x14ac:dyDescent="0.3">
      <c r="AU1647" s="45"/>
    </row>
    <row r="1648" spans="47:47" ht="12" hidden="1" customHeight="1" x14ac:dyDescent="0.3">
      <c r="AU1648" s="45"/>
    </row>
    <row r="1649" spans="47:47" ht="12" hidden="1" customHeight="1" x14ac:dyDescent="0.3">
      <c r="AU1649" s="45"/>
    </row>
    <row r="1650" spans="47:47" ht="12" hidden="1" customHeight="1" x14ac:dyDescent="0.3">
      <c r="AU1650" s="45"/>
    </row>
    <row r="1651" spans="47:47" ht="12" hidden="1" customHeight="1" x14ac:dyDescent="0.3">
      <c r="AU1651" s="45"/>
    </row>
    <row r="1652" spans="47:47" ht="12" hidden="1" customHeight="1" x14ac:dyDescent="0.3">
      <c r="AU1652" s="45"/>
    </row>
    <row r="1653" spans="47:47" ht="12" hidden="1" customHeight="1" x14ac:dyDescent="0.3">
      <c r="AU1653" s="45"/>
    </row>
    <row r="1654" spans="47:47" ht="12" hidden="1" customHeight="1" x14ac:dyDescent="0.3">
      <c r="AU1654" s="45"/>
    </row>
    <row r="1655" spans="47:47" ht="12" hidden="1" customHeight="1" x14ac:dyDescent="0.3">
      <c r="AU1655" s="45"/>
    </row>
    <row r="1656" spans="47:47" ht="12" hidden="1" customHeight="1" x14ac:dyDescent="0.3">
      <c r="AU1656" s="45"/>
    </row>
    <row r="1657" spans="47:47" ht="12" hidden="1" customHeight="1" x14ac:dyDescent="0.3">
      <c r="AU1657" s="45"/>
    </row>
    <row r="1658" spans="47:47" ht="12" hidden="1" customHeight="1" x14ac:dyDescent="0.3">
      <c r="AU1658" s="45"/>
    </row>
    <row r="1659" spans="47:47" ht="12" hidden="1" customHeight="1" x14ac:dyDescent="0.3">
      <c r="AU1659" s="45"/>
    </row>
    <row r="1660" spans="47:47" ht="12" hidden="1" customHeight="1" x14ac:dyDescent="0.3">
      <c r="AU1660" s="45"/>
    </row>
    <row r="1661" spans="47:47" ht="12" hidden="1" customHeight="1" x14ac:dyDescent="0.3">
      <c r="AU1661" s="45"/>
    </row>
    <row r="1662" spans="47:47" ht="12" hidden="1" customHeight="1" x14ac:dyDescent="0.3">
      <c r="AU1662" s="45"/>
    </row>
    <row r="1663" spans="47:47" ht="12" hidden="1" customHeight="1" x14ac:dyDescent="0.3">
      <c r="AU1663" s="45"/>
    </row>
    <row r="1664" spans="47:47" ht="12" hidden="1" customHeight="1" x14ac:dyDescent="0.3">
      <c r="AU1664" s="45"/>
    </row>
    <row r="1665" spans="47:47" ht="12" hidden="1" customHeight="1" x14ac:dyDescent="0.3">
      <c r="AU1665" s="45"/>
    </row>
    <row r="1666" spans="47:47" ht="12" hidden="1" customHeight="1" x14ac:dyDescent="0.3">
      <c r="AU1666" s="45"/>
    </row>
    <row r="1667" spans="47:47" ht="12" hidden="1" customHeight="1" x14ac:dyDescent="0.3">
      <c r="AU1667" s="45"/>
    </row>
    <row r="1668" spans="47:47" ht="12" hidden="1" customHeight="1" x14ac:dyDescent="0.3">
      <c r="AU1668" s="45"/>
    </row>
    <row r="1669" spans="47:47" ht="12" hidden="1" customHeight="1" x14ac:dyDescent="0.3">
      <c r="AU1669" s="45"/>
    </row>
    <row r="1670" spans="47:47" ht="12" hidden="1" customHeight="1" x14ac:dyDescent="0.3">
      <c r="AU1670" s="45"/>
    </row>
    <row r="1671" spans="47:47" ht="12" hidden="1" customHeight="1" x14ac:dyDescent="0.3">
      <c r="AU1671" s="45"/>
    </row>
    <row r="1672" spans="47:47" ht="12" hidden="1" customHeight="1" x14ac:dyDescent="0.3">
      <c r="AU1672" s="45"/>
    </row>
    <row r="1673" spans="47:47" ht="12" hidden="1" customHeight="1" x14ac:dyDescent="0.3">
      <c r="AU1673" s="45"/>
    </row>
    <row r="1674" spans="47:47" ht="12" hidden="1" customHeight="1" x14ac:dyDescent="0.3">
      <c r="AU1674" s="45"/>
    </row>
    <row r="1675" spans="47:47" ht="12" hidden="1" customHeight="1" x14ac:dyDescent="0.3">
      <c r="AU1675" s="45"/>
    </row>
    <row r="1676" spans="47:47" ht="12" hidden="1" customHeight="1" x14ac:dyDescent="0.3">
      <c r="AU1676" s="45"/>
    </row>
    <row r="1677" spans="47:47" ht="12" hidden="1" customHeight="1" x14ac:dyDescent="0.3">
      <c r="AU1677" s="45"/>
    </row>
    <row r="1678" spans="47:47" ht="12" hidden="1" customHeight="1" x14ac:dyDescent="0.3">
      <c r="AU1678" s="45"/>
    </row>
    <row r="1679" spans="47:47" ht="12" hidden="1" customHeight="1" x14ac:dyDescent="0.3">
      <c r="AU1679" s="45"/>
    </row>
    <row r="1680" spans="47:47" ht="12" hidden="1" customHeight="1" x14ac:dyDescent="0.3">
      <c r="AU1680" s="45"/>
    </row>
    <row r="1681" spans="47:47" ht="12" hidden="1" customHeight="1" x14ac:dyDescent="0.3">
      <c r="AU1681" s="45"/>
    </row>
    <row r="1682" spans="47:47" ht="12" hidden="1" customHeight="1" x14ac:dyDescent="0.3">
      <c r="AU1682" s="45"/>
    </row>
    <row r="1683" spans="47:47" ht="12" hidden="1" customHeight="1" x14ac:dyDescent="0.3">
      <c r="AU1683" s="45"/>
    </row>
    <row r="1684" spans="47:47" ht="12" hidden="1" customHeight="1" x14ac:dyDescent="0.3">
      <c r="AU1684" s="45"/>
    </row>
    <row r="1685" spans="47:47" ht="12" hidden="1" customHeight="1" x14ac:dyDescent="0.3">
      <c r="AU1685" s="45"/>
    </row>
    <row r="1686" spans="47:47" ht="12" hidden="1" customHeight="1" x14ac:dyDescent="0.3">
      <c r="AU1686" s="45"/>
    </row>
    <row r="1687" spans="47:47" ht="12" hidden="1" customHeight="1" x14ac:dyDescent="0.3">
      <c r="AU1687" s="45"/>
    </row>
    <row r="1688" spans="47:47" ht="12" hidden="1" customHeight="1" x14ac:dyDescent="0.3">
      <c r="AU1688" s="45"/>
    </row>
    <row r="1689" spans="47:47" ht="12" hidden="1" customHeight="1" x14ac:dyDescent="0.3">
      <c r="AU1689" s="45"/>
    </row>
    <row r="1690" spans="47:47" ht="12" hidden="1" customHeight="1" x14ac:dyDescent="0.3">
      <c r="AU1690" s="45"/>
    </row>
    <row r="1691" spans="47:47" ht="12" hidden="1" customHeight="1" x14ac:dyDescent="0.3">
      <c r="AU1691" s="45"/>
    </row>
    <row r="1692" spans="47:47" ht="12" hidden="1" customHeight="1" x14ac:dyDescent="0.3">
      <c r="AU1692" s="45"/>
    </row>
    <row r="1693" spans="47:47" ht="12" hidden="1" customHeight="1" x14ac:dyDescent="0.3">
      <c r="AU1693" s="45"/>
    </row>
    <row r="1694" spans="47:47" ht="12" hidden="1" customHeight="1" x14ac:dyDescent="0.3">
      <c r="AU1694" s="45"/>
    </row>
    <row r="1695" spans="47:47" ht="12" hidden="1" customHeight="1" x14ac:dyDescent="0.3">
      <c r="AU1695" s="45"/>
    </row>
    <row r="1696" spans="47:47" ht="12" hidden="1" customHeight="1" x14ac:dyDescent="0.3">
      <c r="AU1696" s="45"/>
    </row>
    <row r="1697" spans="47:47" ht="12" hidden="1" customHeight="1" x14ac:dyDescent="0.3">
      <c r="AU1697" s="45"/>
    </row>
    <row r="1698" spans="47:47" ht="12" hidden="1" customHeight="1" x14ac:dyDescent="0.3">
      <c r="AU1698" s="45"/>
    </row>
    <row r="1699" spans="47:47" ht="12" hidden="1" customHeight="1" x14ac:dyDescent="0.3">
      <c r="AU1699" s="45"/>
    </row>
    <row r="1700" spans="47:47" ht="12" hidden="1" customHeight="1" x14ac:dyDescent="0.3">
      <c r="AU1700" s="45"/>
    </row>
    <row r="1701" spans="47:47" ht="12" hidden="1" customHeight="1" x14ac:dyDescent="0.3">
      <c r="AU1701" s="45"/>
    </row>
    <row r="1702" spans="47:47" ht="12" hidden="1" customHeight="1" x14ac:dyDescent="0.3">
      <c r="AU1702" s="45"/>
    </row>
    <row r="1703" spans="47:47" ht="12" hidden="1" customHeight="1" x14ac:dyDescent="0.3">
      <c r="AU1703" s="45"/>
    </row>
    <row r="1704" spans="47:47" ht="12" hidden="1" customHeight="1" x14ac:dyDescent="0.3">
      <c r="AU1704" s="45"/>
    </row>
    <row r="1705" spans="47:47" ht="12" hidden="1" customHeight="1" x14ac:dyDescent="0.3">
      <c r="AU1705" s="45"/>
    </row>
    <row r="1706" spans="47:47" ht="12" hidden="1" customHeight="1" x14ac:dyDescent="0.3">
      <c r="AU1706" s="45"/>
    </row>
    <row r="1707" spans="47:47" ht="12" hidden="1" customHeight="1" x14ac:dyDescent="0.3">
      <c r="AU1707" s="45"/>
    </row>
    <row r="1708" spans="47:47" ht="12" hidden="1" customHeight="1" x14ac:dyDescent="0.3">
      <c r="AU1708" s="45"/>
    </row>
    <row r="1709" spans="47:47" ht="12" hidden="1" customHeight="1" x14ac:dyDescent="0.3">
      <c r="AU1709" s="45"/>
    </row>
    <row r="1710" spans="47:47" ht="12" hidden="1" customHeight="1" x14ac:dyDescent="0.3">
      <c r="AU1710" s="45"/>
    </row>
    <row r="1711" spans="47:47" ht="12" hidden="1" customHeight="1" x14ac:dyDescent="0.3">
      <c r="AU1711" s="45"/>
    </row>
    <row r="1712" spans="47:47" ht="12" hidden="1" customHeight="1" x14ac:dyDescent="0.3">
      <c r="AU1712" s="45"/>
    </row>
    <row r="1713" spans="47:47" ht="12" hidden="1" customHeight="1" x14ac:dyDescent="0.3">
      <c r="AU1713" s="45"/>
    </row>
    <row r="1714" spans="47:47" ht="12" hidden="1" customHeight="1" x14ac:dyDescent="0.3">
      <c r="AU1714" s="45"/>
    </row>
    <row r="1715" spans="47:47" ht="12" hidden="1" customHeight="1" x14ac:dyDescent="0.3">
      <c r="AU1715" s="45"/>
    </row>
    <row r="1716" spans="47:47" ht="12" hidden="1" customHeight="1" x14ac:dyDescent="0.3">
      <c r="AU1716" s="45"/>
    </row>
    <row r="1717" spans="47:47" ht="12" hidden="1" customHeight="1" x14ac:dyDescent="0.3">
      <c r="AU1717" s="45"/>
    </row>
    <row r="1718" spans="47:47" ht="12" hidden="1" customHeight="1" x14ac:dyDescent="0.3">
      <c r="AU1718" s="45"/>
    </row>
    <row r="1719" spans="47:47" ht="12" hidden="1" customHeight="1" x14ac:dyDescent="0.3">
      <c r="AU1719" s="45"/>
    </row>
    <row r="1720" spans="47:47" ht="12" hidden="1" customHeight="1" x14ac:dyDescent="0.3">
      <c r="AU1720" s="45"/>
    </row>
    <row r="1721" spans="47:47" ht="12" hidden="1" customHeight="1" x14ac:dyDescent="0.3">
      <c r="AU1721" s="45"/>
    </row>
    <row r="1722" spans="47:47" ht="12" hidden="1" customHeight="1" x14ac:dyDescent="0.3">
      <c r="AU1722" s="45"/>
    </row>
    <row r="1723" spans="47:47" ht="12" hidden="1" customHeight="1" x14ac:dyDescent="0.3">
      <c r="AU1723" s="45"/>
    </row>
    <row r="1724" spans="47:47" ht="12" hidden="1" customHeight="1" x14ac:dyDescent="0.3">
      <c r="AU1724" s="45"/>
    </row>
    <row r="1725" spans="47:47" ht="12" hidden="1" customHeight="1" x14ac:dyDescent="0.3">
      <c r="AU1725" s="45"/>
    </row>
    <row r="1726" spans="47:47" ht="12" hidden="1" customHeight="1" x14ac:dyDescent="0.3">
      <c r="AU1726" s="45"/>
    </row>
    <row r="1727" spans="47:47" ht="12" hidden="1" customHeight="1" x14ac:dyDescent="0.3">
      <c r="AU1727" s="45"/>
    </row>
    <row r="1728" spans="47:47" ht="12" hidden="1" customHeight="1" x14ac:dyDescent="0.3">
      <c r="AU1728" s="45"/>
    </row>
    <row r="1729" spans="47:47" ht="12" hidden="1" customHeight="1" x14ac:dyDescent="0.3">
      <c r="AU1729" s="45"/>
    </row>
    <row r="1730" spans="47:47" ht="12" hidden="1" customHeight="1" x14ac:dyDescent="0.3">
      <c r="AU1730" s="45"/>
    </row>
    <row r="1731" spans="47:47" ht="12" hidden="1" customHeight="1" x14ac:dyDescent="0.3">
      <c r="AU1731" s="45"/>
    </row>
    <row r="1732" spans="47:47" ht="12" hidden="1" customHeight="1" x14ac:dyDescent="0.3">
      <c r="AU1732" s="45"/>
    </row>
    <row r="1733" spans="47:47" ht="12" hidden="1" customHeight="1" x14ac:dyDescent="0.3">
      <c r="AU1733" s="45"/>
    </row>
    <row r="1734" spans="47:47" ht="12" hidden="1" customHeight="1" x14ac:dyDescent="0.3">
      <c r="AU1734" s="45"/>
    </row>
    <row r="1735" spans="47:47" ht="12" hidden="1" customHeight="1" x14ac:dyDescent="0.3">
      <c r="AU1735" s="45"/>
    </row>
    <row r="1736" spans="47:47" ht="12" hidden="1" customHeight="1" x14ac:dyDescent="0.3">
      <c r="AU1736" s="45"/>
    </row>
    <row r="1737" spans="47:47" ht="12" hidden="1" customHeight="1" x14ac:dyDescent="0.3">
      <c r="AU1737" s="45"/>
    </row>
    <row r="1738" spans="47:47" ht="12" hidden="1" customHeight="1" x14ac:dyDescent="0.3">
      <c r="AU1738" s="45"/>
    </row>
    <row r="1739" spans="47:47" ht="12" hidden="1" customHeight="1" x14ac:dyDescent="0.3">
      <c r="AU1739" s="45"/>
    </row>
    <row r="1740" spans="47:47" ht="12" hidden="1" customHeight="1" x14ac:dyDescent="0.3">
      <c r="AU1740" s="45"/>
    </row>
    <row r="1741" spans="47:47" ht="12" hidden="1" customHeight="1" x14ac:dyDescent="0.3">
      <c r="AU1741" s="45"/>
    </row>
    <row r="1742" spans="47:47" ht="12" hidden="1" customHeight="1" x14ac:dyDescent="0.3">
      <c r="AU1742" s="45"/>
    </row>
    <row r="1743" spans="47:47" ht="12" hidden="1" customHeight="1" x14ac:dyDescent="0.3">
      <c r="AU1743" s="45"/>
    </row>
    <row r="1744" spans="47:47" ht="12" hidden="1" customHeight="1" x14ac:dyDescent="0.3">
      <c r="AU1744" s="45"/>
    </row>
    <row r="1745" spans="47:47" ht="12" hidden="1" customHeight="1" x14ac:dyDescent="0.3">
      <c r="AU1745" s="45"/>
    </row>
    <row r="1746" spans="47:47" ht="12" hidden="1" customHeight="1" x14ac:dyDescent="0.3">
      <c r="AU1746" s="45"/>
    </row>
    <row r="1747" spans="47:47" ht="12" hidden="1" customHeight="1" x14ac:dyDescent="0.3">
      <c r="AU1747" s="45"/>
    </row>
    <row r="1748" spans="47:47" ht="12" hidden="1" customHeight="1" x14ac:dyDescent="0.3">
      <c r="AU1748" s="45"/>
    </row>
    <row r="1749" spans="47:47" ht="12" hidden="1" customHeight="1" x14ac:dyDescent="0.3">
      <c r="AU1749" s="45"/>
    </row>
    <row r="1750" spans="47:47" ht="12" hidden="1" customHeight="1" x14ac:dyDescent="0.3">
      <c r="AU1750" s="45"/>
    </row>
    <row r="1751" spans="47:47" ht="12" hidden="1" customHeight="1" x14ac:dyDescent="0.3">
      <c r="AU1751" s="45"/>
    </row>
    <row r="1752" spans="47:47" ht="12" hidden="1" customHeight="1" x14ac:dyDescent="0.3">
      <c r="AU1752" s="45"/>
    </row>
    <row r="1753" spans="47:47" ht="12" hidden="1" customHeight="1" x14ac:dyDescent="0.3">
      <c r="AU1753" s="45"/>
    </row>
    <row r="1754" spans="47:47" ht="12" hidden="1" customHeight="1" x14ac:dyDescent="0.3">
      <c r="AU1754" s="45"/>
    </row>
    <row r="1755" spans="47:47" ht="12" hidden="1" customHeight="1" x14ac:dyDescent="0.3">
      <c r="AU1755" s="45"/>
    </row>
    <row r="1756" spans="47:47" ht="12" hidden="1" customHeight="1" x14ac:dyDescent="0.3">
      <c r="AU1756" s="45"/>
    </row>
    <row r="1757" spans="47:47" ht="12" hidden="1" customHeight="1" x14ac:dyDescent="0.3">
      <c r="AU1757" s="45"/>
    </row>
    <row r="1758" spans="47:47" ht="12" hidden="1" customHeight="1" x14ac:dyDescent="0.3">
      <c r="AU1758" s="45"/>
    </row>
    <row r="1759" spans="47:47" ht="12" hidden="1" customHeight="1" x14ac:dyDescent="0.3">
      <c r="AU1759" s="45"/>
    </row>
    <row r="1760" spans="47:47" ht="12" hidden="1" customHeight="1" x14ac:dyDescent="0.3">
      <c r="AU1760" s="45"/>
    </row>
    <row r="1761" spans="47:47" ht="12" hidden="1" customHeight="1" x14ac:dyDescent="0.3">
      <c r="AU1761" s="45"/>
    </row>
    <row r="1762" spans="47:47" ht="12" hidden="1" customHeight="1" x14ac:dyDescent="0.3">
      <c r="AU1762" s="45"/>
    </row>
    <row r="1763" spans="47:47" ht="12" hidden="1" customHeight="1" x14ac:dyDescent="0.3">
      <c r="AU1763" s="45"/>
    </row>
    <row r="1764" spans="47:47" ht="12" hidden="1" customHeight="1" x14ac:dyDescent="0.3">
      <c r="AU1764" s="45"/>
    </row>
    <row r="1765" spans="47:47" ht="12" hidden="1" customHeight="1" x14ac:dyDescent="0.3">
      <c r="AU1765" s="45"/>
    </row>
    <row r="1766" spans="47:47" ht="12" hidden="1" customHeight="1" x14ac:dyDescent="0.3">
      <c r="AU1766" s="45"/>
    </row>
    <row r="1767" spans="47:47" ht="12" hidden="1" customHeight="1" x14ac:dyDescent="0.3">
      <c r="AU1767" s="45"/>
    </row>
    <row r="1768" spans="47:47" ht="12" hidden="1" customHeight="1" x14ac:dyDescent="0.3">
      <c r="AU1768" s="45"/>
    </row>
    <row r="1769" spans="47:47" ht="12" hidden="1" customHeight="1" x14ac:dyDescent="0.3">
      <c r="AU1769" s="45"/>
    </row>
    <row r="1770" spans="47:47" ht="12" hidden="1" customHeight="1" x14ac:dyDescent="0.3">
      <c r="AU1770" s="45"/>
    </row>
    <row r="1771" spans="47:47" ht="12" hidden="1" customHeight="1" x14ac:dyDescent="0.3">
      <c r="AU1771" s="45"/>
    </row>
    <row r="1772" spans="47:47" ht="12" hidden="1" customHeight="1" x14ac:dyDescent="0.3">
      <c r="AU1772" s="45"/>
    </row>
    <row r="1773" spans="47:47" ht="12" hidden="1" customHeight="1" x14ac:dyDescent="0.3">
      <c r="AU1773" s="45"/>
    </row>
    <row r="1774" spans="47:47" ht="12" hidden="1" customHeight="1" x14ac:dyDescent="0.3">
      <c r="AU1774" s="45"/>
    </row>
    <row r="1775" spans="47:47" ht="12" hidden="1" customHeight="1" x14ac:dyDescent="0.3">
      <c r="AU1775" s="45"/>
    </row>
    <row r="1776" spans="47:47" ht="12" hidden="1" customHeight="1" x14ac:dyDescent="0.3">
      <c r="AU1776" s="45"/>
    </row>
    <row r="1777" spans="47:47" ht="12" hidden="1" customHeight="1" x14ac:dyDescent="0.3">
      <c r="AU1777" s="45"/>
    </row>
    <row r="1778" spans="47:47" ht="12" hidden="1" customHeight="1" x14ac:dyDescent="0.3">
      <c r="AU1778" s="45"/>
    </row>
    <row r="1779" spans="47:47" ht="12" hidden="1" customHeight="1" x14ac:dyDescent="0.3">
      <c r="AU1779" s="45"/>
    </row>
    <row r="1780" spans="47:47" ht="12" hidden="1" customHeight="1" x14ac:dyDescent="0.3">
      <c r="AU1780" s="45"/>
    </row>
    <row r="1781" spans="47:47" ht="12" hidden="1" customHeight="1" x14ac:dyDescent="0.3">
      <c r="AU1781" s="45"/>
    </row>
    <row r="1782" spans="47:47" ht="12" hidden="1" customHeight="1" x14ac:dyDescent="0.3">
      <c r="AU1782" s="45"/>
    </row>
    <row r="1783" spans="47:47" ht="12" hidden="1" customHeight="1" x14ac:dyDescent="0.3">
      <c r="AU1783" s="45"/>
    </row>
    <row r="1784" spans="47:47" ht="12" hidden="1" customHeight="1" x14ac:dyDescent="0.3">
      <c r="AU1784" s="45"/>
    </row>
    <row r="1785" spans="47:47" ht="12" hidden="1" customHeight="1" x14ac:dyDescent="0.3">
      <c r="AU1785" s="45"/>
    </row>
    <row r="1786" spans="47:47" ht="12" hidden="1" customHeight="1" x14ac:dyDescent="0.3">
      <c r="AU1786" s="45"/>
    </row>
    <row r="1787" spans="47:47" ht="12" hidden="1" customHeight="1" x14ac:dyDescent="0.3">
      <c r="AU1787" s="45"/>
    </row>
    <row r="1788" spans="47:47" ht="12" hidden="1" customHeight="1" x14ac:dyDescent="0.3">
      <c r="AU1788" s="45"/>
    </row>
    <row r="1789" spans="47:47" ht="12" hidden="1" customHeight="1" x14ac:dyDescent="0.3">
      <c r="AU1789" s="45"/>
    </row>
    <row r="1790" spans="47:47" ht="12" hidden="1" customHeight="1" x14ac:dyDescent="0.3">
      <c r="AU1790" s="45"/>
    </row>
    <row r="1791" spans="47:47" ht="12" hidden="1" customHeight="1" x14ac:dyDescent="0.3">
      <c r="AU1791" s="45"/>
    </row>
    <row r="1792" spans="47:47" ht="12" hidden="1" customHeight="1" x14ac:dyDescent="0.3">
      <c r="AU1792" s="45"/>
    </row>
    <row r="1793" spans="47:47" ht="12" hidden="1" customHeight="1" x14ac:dyDescent="0.3">
      <c r="AU1793" s="45"/>
    </row>
    <row r="1794" spans="47:47" ht="12" hidden="1" customHeight="1" x14ac:dyDescent="0.3">
      <c r="AU1794" s="45"/>
    </row>
    <row r="1795" spans="47:47" ht="12" hidden="1" customHeight="1" x14ac:dyDescent="0.3">
      <c r="AU1795" s="45"/>
    </row>
    <row r="1796" spans="47:47" ht="12" hidden="1" customHeight="1" x14ac:dyDescent="0.3">
      <c r="AU1796" s="45"/>
    </row>
    <row r="1797" spans="47:47" ht="12" hidden="1" customHeight="1" x14ac:dyDescent="0.3">
      <c r="AU1797" s="45"/>
    </row>
    <row r="1798" spans="47:47" ht="12" hidden="1" customHeight="1" x14ac:dyDescent="0.3">
      <c r="AU1798" s="45"/>
    </row>
    <row r="1799" spans="47:47" ht="12" hidden="1" customHeight="1" x14ac:dyDescent="0.3">
      <c r="AU1799" s="45"/>
    </row>
    <row r="1800" spans="47:47" ht="12" hidden="1" customHeight="1" x14ac:dyDescent="0.3">
      <c r="AU1800" s="45"/>
    </row>
    <row r="1801" spans="47:47" ht="12" hidden="1" customHeight="1" x14ac:dyDescent="0.3">
      <c r="AU1801" s="45"/>
    </row>
    <row r="1802" spans="47:47" ht="12" hidden="1" customHeight="1" x14ac:dyDescent="0.3">
      <c r="AU1802" s="45"/>
    </row>
    <row r="1803" spans="47:47" ht="12" hidden="1" customHeight="1" x14ac:dyDescent="0.3">
      <c r="AU1803" s="45"/>
    </row>
    <row r="1804" spans="47:47" ht="12" hidden="1" customHeight="1" x14ac:dyDescent="0.3">
      <c r="AU1804" s="45"/>
    </row>
    <row r="1805" spans="47:47" ht="12" hidden="1" customHeight="1" x14ac:dyDescent="0.3">
      <c r="AU1805" s="45"/>
    </row>
    <row r="1806" spans="47:47" ht="12" hidden="1" customHeight="1" x14ac:dyDescent="0.3">
      <c r="AU1806" s="45"/>
    </row>
    <row r="1807" spans="47:47" ht="12" hidden="1" customHeight="1" x14ac:dyDescent="0.3">
      <c r="AU1807" s="45"/>
    </row>
    <row r="1808" spans="47:47" ht="12" hidden="1" customHeight="1" x14ac:dyDescent="0.3">
      <c r="AU1808" s="45"/>
    </row>
    <row r="1809" spans="47:47" ht="12" hidden="1" customHeight="1" x14ac:dyDescent="0.3">
      <c r="AU1809" s="45"/>
    </row>
    <row r="1810" spans="47:47" ht="12" hidden="1" customHeight="1" x14ac:dyDescent="0.3">
      <c r="AU1810" s="45"/>
    </row>
    <row r="1811" spans="47:47" ht="12" hidden="1" customHeight="1" x14ac:dyDescent="0.3">
      <c r="AU1811" s="45"/>
    </row>
    <row r="1812" spans="47:47" ht="12" hidden="1" customHeight="1" x14ac:dyDescent="0.3">
      <c r="AU1812" s="45"/>
    </row>
    <row r="1813" spans="47:47" ht="12" hidden="1" customHeight="1" x14ac:dyDescent="0.3">
      <c r="AU1813" s="45"/>
    </row>
    <row r="1814" spans="47:47" ht="12" hidden="1" customHeight="1" x14ac:dyDescent="0.3">
      <c r="AU1814" s="45"/>
    </row>
    <row r="1815" spans="47:47" ht="12" hidden="1" customHeight="1" x14ac:dyDescent="0.3">
      <c r="AU1815" s="45"/>
    </row>
    <row r="1816" spans="47:47" ht="12" hidden="1" customHeight="1" x14ac:dyDescent="0.3">
      <c r="AU1816" s="45"/>
    </row>
    <row r="1817" spans="47:47" ht="12" hidden="1" customHeight="1" x14ac:dyDescent="0.3">
      <c r="AU1817" s="45"/>
    </row>
    <row r="1818" spans="47:47" ht="12" hidden="1" customHeight="1" x14ac:dyDescent="0.3">
      <c r="AU1818" s="45"/>
    </row>
    <row r="1819" spans="47:47" ht="12" hidden="1" customHeight="1" x14ac:dyDescent="0.3">
      <c r="AU1819" s="45"/>
    </row>
    <row r="1820" spans="47:47" ht="12" hidden="1" customHeight="1" x14ac:dyDescent="0.3">
      <c r="AU1820" s="45"/>
    </row>
    <row r="1821" spans="47:47" ht="12" hidden="1" customHeight="1" x14ac:dyDescent="0.3">
      <c r="AU1821" s="45"/>
    </row>
    <row r="1822" spans="47:47" ht="12" hidden="1" customHeight="1" x14ac:dyDescent="0.3">
      <c r="AU1822" s="45"/>
    </row>
    <row r="1823" spans="47:47" ht="12" hidden="1" customHeight="1" x14ac:dyDescent="0.3">
      <c r="AU1823" s="45"/>
    </row>
    <row r="1824" spans="47:47" ht="12" hidden="1" customHeight="1" x14ac:dyDescent="0.3">
      <c r="AU1824" s="45"/>
    </row>
    <row r="1825" spans="47:47" ht="12" hidden="1" customHeight="1" x14ac:dyDescent="0.3">
      <c r="AU1825" s="45"/>
    </row>
    <row r="1826" spans="47:47" ht="12" hidden="1" customHeight="1" x14ac:dyDescent="0.3">
      <c r="AU1826" s="45"/>
    </row>
    <row r="1827" spans="47:47" ht="12" hidden="1" customHeight="1" x14ac:dyDescent="0.3">
      <c r="AU1827" s="45"/>
    </row>
    <row r="1828" spans="47:47" ht="12" hidden="1" customHeight="1" x14ac:dyDescent="0.3">
      <c r="AU1828" s="45"/>
    </row>
    <row r="1829" spans="47:47" ht="12" hidden="1" customHeight="1" x14ac:dyDescent="0.3">
      <c r="AU1829" s="45"/>
    </row>
    <row r="1830" spans="47:47" ht="12" hidden="1" customHeight="1" x14ac:dyDescent="0.3">
      <c r="AU1830" s="45"/>
    </row>
    <row r="1831" spans="47:47" ht="12" hidden="1" customHeight="1" x14ac:dyDescent="0.3">
      <c r="AU1831" s="45"/>
    </row>
    <row r="1832" spans="47:47" ht="12" hidden="1" customHeight="1" x14ac:dyDescent="0.3">
      <c r="AU1832" s="45"/>
    </row>
    <row r="1833" spans="47:47" ht="12" hidden="1" customHeight="1" x14ac:dyDescent="0.3">
      <c r="AU1833" s="45"/>
    </row>
    <row r="1834" spans="47:47" ht="12" hidden="1" customHeight="1" x14ac:dyDescent="0.3">
      <c r="AU1834" s="45"/>
    </row>
    <row r="1835" spans="47:47" ht="12" hidden="1" customHeight="1" x14ac:dyDescent="0.3">
      <c r="AU1835" s="45"/>
    </row>
    <row r="1836" spans="47:47" ht="12" hidden="1" customHeight="1" x14ac:dyDescent="0.3">
      <c r="AU1836" s="45"/>
    </row>
    <row r="1837" spans="47:47" ht="12" hidden="1" customHeight="1" x14ac:dyDescent="0.3">
      <c r="AU1837" s="45"/>
    </row>
    <row r="1838" spans="47:47" ht="12" hidden="1" customHeight="1" x14ac:dyDescent="0.3">
      <c r="AU1838" s="45"/>
    </row>
    <row r="1839" spans="47:47" ht="12" hidden="1" customHeight="1" x14ac:dyDescent="0.3">
      <c r="AU1839" s="45"/>
    </row>
    <row r="1840" spans="47:47" ht="12" hidden="1" customHeight="1" x14ac:dyDescent="0.3">
      <c r="AU1840" s="45"/>
    </row>
    <row r="1841" spans="47:47" ht="12" hidden="1" customHeight="1" x14ac:dyDescent="0.3">
      <c r="AU1841" s="45"/>
    </row>
    <row r="1842" spans="47:47" ht="12" hidden="1" customHeight="1" x14ac:dyDescent="0.3">
      <c r="AU1842" s="45"/>
    </row>
    <row r="1843" spans="47:47" ht="12" hidden="1" customHeight="1" x14ac:dyDescent="0.3">
      <c r="AU1843" s="45"/>
    </row>
    <row r="1844" spans="47:47" ht="12" hidden="1" customHeight="1" x14ac:dyDescent="0.3">
      <c r="AU1844" s="45"/>
    </row>
    <row r="1845" spans="47:47" ht="12" hidden="1" customHeight="1" x14ac:dyDescent="0.3">
      <c r="AU1845" s="45"/>
    </row>
    <row r="1846" spans="47:47" ht="12" hidden="1" customHeight="1" x14ac:dyDescent="0.3">
      <c r="AU1846" s="45"/>
    </row>
    <row r="1847" spans="47:47" ht="12" hidden="1" customHeight="1" x14ac:dyDescent="0.3">
      <c r="AU1847" s="45"/>
    </row>
    <row r="1848" spans="47:47" ht="12" hidden="1" customHeight="1" x14ac:dyDescent="0.3">
      <c r="AU1848" s="45"/>
    </row>
    <row r="1849" spans="47:47" ht="12" hidden="1" customHeight="1" x14ac:dyDescent="0.3">
      <c r="AU1849" s="45"/>
    </row>
    <row r="1850" spans="47:47" ht="12" hidden="1" customHeight="1" x14ac:dyDescent="0.3">
      <c r="AU1850" s="45"/>
    </row>
    <row r="1851" spans="47:47" ht="12" hidden="1" customHeight="1" x14ac:dyDescent="0.3">
      <c r="AU1851" s="45"/>
    </row>
    <row r="1852" spans="47:47" ht="12" hidden="1" customHeight="1" x14ac:dyDescent="0.3">
      <c r="AU1852" s="45"/>
    </row>
    <row r="1853" spans="47:47" ht="12" hidden="1" customHeight="1" x14ac:dyDescent="0.3">
      <c r="AU1853" s="45"/>
    </row>
    <row r="1854" spans="47:47" ht="12" hidden="1" customHeight="1" x14ac:dyDescent="0.3">
      <c r="AU1854" s="45"/>
    </row>
    <row r="1855" spans="47:47" ht="12" hidden="1" customHeight="1" x14ac:dyDescent="0.3">
      <c r="AU1855" s="45"/>
    </row>
    <row r="1856" spans="47:47" ht="12" hidden="1" customHeight="1" x14ac:dyDescent="0.3">
      <c r="AU1856" s="45"/>
    </row>
    <row r="1857" spans="47:47" ht="12" hidden="1" customHeight="1" x14ac:dyDescent="0.3">
      <c r="AU1857" s="45"/>
    </row>
    <row r="1858" spans="47:47" ht="12" hidden="1" customHeight="1" x14ac:dyDescent="0.3">
      <c r="AU1858" s="45"/>
    </row>
    <row r="1859" spans="47:47" ht="12" hidden="1" customHeight="1" x14ac:dyDescent="0.3">
      <c r="AU1859" s="45"/>
    </row>
    <row r="1860" spans="47:47" ht="12" hidden="1" customHeight="1" x14ac:dyDescent="0.3">
      <c r="AU1860" s="45"/>
    </row>
    <row r="1861" spans="47:47" ht="12" hidden="1" customHeight="1" x14ac:dyDescent="0.3">
      <c r="AU1861" s="45"/>
    </row>
    <row r="1862" spans="47:47" ht="12" hidden="1" customHeight="1" x14ac:dyDescent="0.3">
      <c r="AU1862" s="45"/>
    </row>
    <row r="1863" spans="47:47" ht="12" hidden="1" customHeight="1" x14ac:dyDescent="0.3">
      <c r="AU1863" s="45"/>
    </row>
    <row r="1864" spans="47:47" ht="12" hidden="1" customHeight="1" x14ac:dyDescent="0.3">
      <c r="AU1864" s="45"/>
    </row>
    <row r="1865" spans="47:47" ht="12" hidden="1" customHeight="1" x14ac:dyDescent="0.3">
      <c r="AU1865" s="45"/>
    </row>
    <row r="1866" spans="47:47" ht="12" hidden="1" customHeight="1" x14ac:dyDescent="0.3">
      <c r="AU1866" s="45"/>
    </row>
    <row r="1867" spans="47:47" ht="12" hidden="1" customHeight="1" x14ac:dyDescent="0.3">
      <c r="AU1867" s="45"/>
    </row>
    <row r="1868" spans="47:47" ht="12" hidden="1" customHeight="1" x14ac:dyDescent="0.3">
      <c r="AU1868" s="45"/>
    </row>
    <row r="1869" spans="47:47" ht="12" hidden="1" customHeight="1" x14ac:dyDescent="0.3">
      <c r="AU1869" s="45"/>
    </row>
    <row r="1870" spans="47:47" ht="12" hidden="1" customHeight="1" x14ac:dyDescent="0.3">
      <c r="AU1870" s="45"/>
    </row>
    <row r="1871" spans="47:47" ht="12" hidden="1" customHeight="1" x14ac:dyDescent="0.3">
      <c r="AU1871" s="45"/>
    </row>
    <row r="1872" spans="47:47" ht="12" hidden="1" customHeight="1" x14ac:dyDescent="0.3">
      <c r="AU1872" s="45"/>
    </row>
    <row r="1873" spans="47:47" ht="12" hidden="1" customHeight="1" x14ac:dyDescent="0.3">
      <c r="AU1873" s="45"/>
    </row>
    <row r="1874" spans="47:47" ht="12" hidden="1" customHeight="1" x14ac:dyDescent="0.3">
      <c r="AU1874" s="45"/>
    </row>
    <row r="1875" spans="47:47" ht="12" hidden="1" customHeight="1" x14ac:dyDescent="0.3">
      <c r="AU1875" s="45"/>
    </row>
    <row r="1876" spans="47:47" ht="12" hidden="1" customHeight="1" x14ac:dyDescent="0.3">
      <c r="AU1876" s="45"/>
    </row>
    <row r="1877" spans="47:47" ht="12" hidden="1" customHeight="1" x14ac:dyDescent="0.3">
      <c r="AU1877" s="45"/>
    </row>
    <row r="1878" spans="47:47" ht="12" hidden="1" customHeight="1" x14ac:dyDescent="0.3">
      <c r="AU1878" s="45"/>
    </row>
    <row r="1879" spans="47:47" ht="12" hidden="1" customHeight="1" x14ac:dyDescent="0.3">
      <c r="AU1879" s="45"/>
    </row>
    <row r="1880" spans="47:47" ht="12" hidden="1" customHeight="1" x14ac:dyDescent="0.3">
      <c r="AU1880" s="45"/>
    </row>
    <row r="1881" spans="47:47" ht="12" hidden="1" customHeight="1" x14ac:dyDescent="0.3">
      <c r="AU1881" s="45"/>
    </row>
    <row r="1882" spans="47:47" ht="12" hidden="1" customHeight="1" x14ac:dyDescent="0.3">
      <c r="AU1882" s="45"/>
    </row>
    <row r="1883" spans="47:47" ht="12" hidden="1" customHeight="1" x14ac:dyDescent="0.3">
      <c r="AU1883" s="45"/>
    </row>
    <row r="1884" spans="47:47" ht="12" hidden="1" customHeight="1" x14ac:dyDescent="0.3">
      <c r="AU1884" s="45"/>
    </row>
    <row r="1885" spans="47:47" ht="12" hidden="1" customHeight="1" x14ac:dyDescent="0.3">
      <c r="AU1885" s="45"/>
    </row>
    <row r="1886" spans="47:47" ht="12" hidden="1" customHeight="1" x14ac:dyDescent="0.3">
      <c r="AU1886" s="45"/>
    </row>
    <row r="1887" spans="47:47" ht="12" hidden="1" customHeight="1" x14ac:dyDescent="0.3">
      <c r="AU1887" s="45"/>
    </row>
    <row r="1888" spans="47:47" ht="12" hidden="1" customHeight="1" x14ac:dyDescent="0.3">
      <c r="AU1888" s="45"/>
    </row>
    <row r="1889" spans="47:47" ht="12" hidden="1" customHeight="1" x14ac:dyDescent="0.3">
      <c r="AU1889" s="45"/>
    </row>
    <row r="1890" spans="47:47" ht="12" hidden="1" customHeight="1" x14ac:dyDescent="0.3">
      <c r="AU1890" s="45"/>
    </row>
    <row r="1891" spans="47:47" ht="12" hidden="1" customHeight="1" x14ac:dyDescent="0.3">
      <c r="AU1891" s="45"/>
    </row>
    <row r="1892" spans="47:47" ht="12" hidden="1" customHeight="1" x14ac:dyDescent="0.3">
      <c r="AU1892" s="45"/>
    </row>
    <row r="1893" spans="47:47" ht="12" hidden="1" customHeight="1" x14ac:dyDescent="0.3">
      <c r="AU1893" s="45"/>
    </row>
    <row r="1894" spans="47:47" ht="12" hidden="1" customHeight="1" x14ac:dyDescent="0.3">
      <c r="AU1894" s="45"/>
    </row>
    <row r="1895" spans="47:47" ht="12" hidden="1" customHeight="1" x14ac:dyDescent="0.3">
      <c r="AU1895" s="45"/>
    </row>
    <row r="1896" spans="47:47" ht="12" hidden="1" customHeight="1" x14ac:dyDescent="0.3">
      <c r="AU1896" s="45"/>
    </row>
    <row r="1897" spans="47:47" ht="12" hidden="1" customHeight="1" x14ac:dyDescent="0.3">
      <c r="AU1897" s="45"/>
    </row>
    <row r="1898" spans="47:47" ht="12" hidden="1" customHeight="1" x14ac:dyDescent="0.3">
      <c r="AU1898" s="45"/>
    </row>
    <row r="1899" spans="47:47" ht="12" hidden="1" customHeight="1" x14ac:dyDescent="0.3">
      <c r="AU1899" s="45"/>
    </row>
    <row r="1900" spans="47:47" ht="12" hidden="1" customHeight="1" x14ac:dyDescent="0.3">
      <c r="AU1900" s="45"/>
    </row>
    <row r="1901" spans="47:47" ht="12" hidden="1" customHeight="1" x14ac:dyDescent="0.3">
      <c r="AU1901" s="45"/>
    </row>
    <row r="1902" spans="47:47" ht="12" hidden="1" customHeight="1" x14ac:dyDescent="0.3">
      <c r="AU1902" s="45"/>
    </row>
    <row r="1903" spans="47:47" ht="12" hidden="1" customHeight="1" x14ac:dyDescent="0.3">
      <c r="AU1903" s="45"/>
    </row>
    <row r="1904" spans="47:47" ht="12" hidden="1" customHeight="1" x14ac:dyDescent="0.3">
      <c r="AU1904" s="45"/>
    </row>
    <row r="1905" spans="47:47" ht="12" hidden="1" customHeight="1" x14ac:dyDescent="0.3">
      <c r="AU1905" s="45"/>
    </row>
    <row r="1906" spans="47:47" ht="12" hidden="1" customHeight="1" x14ac:dyDescent="0.3">
      <c r="AU1906" s="45"/>
    </row>
    <row r="1907" spans="47:47" ht="12" hidden="1" customHeight="1" x14ac:dyDescent="0.3">
      <c r="AU1907" s="45"/>
    </row>
    <row r="1908" spans="47:47" ht="12" hidden="1" customHeight="1" x14ac:dyDescent="0.3">
      <c r="AU1908" s="45"/>
    </row>
    <row r="1909" spans="47:47" ht="12" hidden="1" customHeight="1" x14ac:dyDescent="0.3">
      <c r="AU1909" s="45"/>
    </row>
    <row r="1910" spans="47:47" ht="12" hidden="1" customHeight="1" x14ac:dyDescent="0.3">
      <c r="AU1910" s="45"/>
    </row>
    <row r="1911" spans="47:47" ht="12" hidden="1" customHeight="1" x14ac:dyDescent="0.3">
      <c r="AU1911" s="45"/>
    </row>
    <row r="1912" spans="47:47" ht="12" hidden="1" customHeight="1" x14ac:dyDescent="0.3">
      <c r="AU1912" s="45"/>
    </row>
    <row r="1913" spans="47:47" ht="12" hidden="1" customHeight="1" x14ac:dyDescent="0.3">
      <c r="AU1913" s="45"/>
    </row>
    <row r="1914" spans="47:47" ht="12" hidden="1" customHeight="1" x14ac:dyDescent="0.3">
      <c r="AU1914" s="45"/>
    </row>
    <row r="1915" spans="47:47" ht="12" hidden="1" customHeight="1" x14ac:dyDescent="0.3">
      <c r="AU1915" s="45"/>
    </row>
    <row r="1916" spans="47:47" ht="12" hidden="1" customHeight="1" x14ac:dyDescent="0.3">
      <c r="AU1916" s="45"/>
    </row>
    <row r="1917" spans="47:47" ht="12" hidden="1" customHeight="1" x14ac:dyDescent="0.3">
      <c r="AU1917" s="45"/>
    </row>
    <row r="1918" spans="47:47" ht="12" hidden="1" customHeight="1" x14ac:dyDescent="0.3">
      <c r="AU1918" s="45"/>
    </row>
    <row r="1919" spans="47:47" ht="12" hidden="1" customHeight="1" x14ac:dyDescent="0.3">
      <c r="AU1919" s="45"/>
    </row>
    <row r="1920" spans="47:47" ht="12" hidden="1" customHeight="1" x14ac:dyDescent="0.3">
      <c r="AU1920" s="45"/>
    </row>
    <row r="1921" spans="47:47" ht="12" hidden="1" customHeight="1" x14ac:dyDescent="0.3">
      <c r="AU1921" s="45"/>
    </row>
    <row r="1922" spans="47:47" ht="12" hidden="1" customHeight="1" x14ac:dyDescent="0.3">
      <c r="AU1922" s="45"/>
    </row>
    <row r="1923" spans="47:47" ht="12" hidden="1" customHeight="1" x14ac:dyDescent="0.3">
      <c r="AU1923" s="45"/>
    </row>
    <row r="1924" spans="47:47" ht="12" hidden="1" customHeight="1" x14ac:dyDescent="0.3">
      <c r="AU1924" s="45"/>
    </row>
    <row r="1925" spans="47:47" ht="12" hidden="1" customHeight="1" x14ac:dyDescent="0.3">
      <c r="AU1925" s="45"/>
    </row>
    <row r="1926" spans="47:47" ht="12" hidden="1" customHeight="1" x14ac:dyDescent="0.3">
      <c r="AU1926" s="45"/>
    </row>
    <row r="1927" spans="47:47" ht="12" hidden="1" customHeight="1" x14ac:dyDescent="0.3">
      <c r="AU1927" s="45"/>
    </row>
    <row r="1928" spans="47:47" ht="12" hidden="1" customHeight="1" x14ac:dyDescent="0.3">
      <c r="AU1928" s="45"/>
    </row>
    <row r="1929" spans="47:47" ht="12" hidden="1" customHeight="1" x14ac:dyDescent="0.3">
      <c r="AU1929" s="45"/>
    </row>
    <row r="1930" spans="47:47" ht="12" hidden="1" customHeight="1" x14ac:dyDescent="0.3">
      <c r="AU1930" s="45"/>
    </row>
    <row r="1931" spans="47:47" ht="12" hidden="1" customHeight="1" x14ac:dyDescent="0.3">
      <c r="AU1931" s="45"/>
    </row>
    <row r="1932" spans="47:47" ht="12" hidden="1" customHeight="1" x14ac:dyDescent="0.3">
      <c r="AU1932" s="45"/>
    </row>
    <row r="1933" spans="47:47" ht="12" hidden="1" customHeight="1" x14ac:dyDescent="0.3">
      <c r="AU1933" s="45"/>
    </row>
    <row r="1934" spans="47:47" ht="12" hidden="1" customHeight="1" x14ac:dyDescent="0.3">
      <c r="AU1934" s="45"/>
    </row>
    <row r="1935" spans="47:47" ht="12" hidden="1" customHeight="1" x14ac:dyDescent="0.3">
      <c r="AU1935" s="45"/>
    </row>
    <row r="1936" spans="47:47" ht="12" hidden="1" customHeight="1" x14ac:dyDescent="0.3">
      <c r="AU1936" s="45"/>
    </row>
    <row r="1937" spans="47:47" ht="12" hidden="1" customHeight="1" x14ac:dyDescent="0.3">
      <c r="AU1937" s="45"/>
    </row>
    <row r="1938" spans="47:47" ht="12" hidden="1" customHeight="1" x14ac:dyDescent="0.3">
      <c r="AU1938" s="45"/>
    </row>
    <row r="1939" spans="47:47" ht="12" hidden="1" customHeight="1" x14ac:dyDescent="0.3">
      <c r="AU1939" s="45"/>
    </row>
    <row r="1940" spans="47:47" ht="12" hidden="1" customHeight="1" x14ac:dyDescent="0.3">
      <c r="AU1940" s="45"/>
    </row>
    <row r="1941" spans="47:47" ht="12" hidden="1" customHeight="1" x14ac:dyDescent="0.3">
      <c r="AU1941" s="45"/>
    </row>
    <row r="1942" spans="47:47" ht="12" hidden="1" customHeight="1" x14ac:dyDescent="0.3">
      <c r="AU1942" s="45"/>
    </row>
    <row r="1943" spans="47:47" ht="12" hidden="1" customHeight="1" x14ac:dyDescent="0.3">
      <c r="AU1943" s="45"/>
    </row>
    <row r="1944" spans="47:47" ht="12" hidden="1" customHeight="1" x14ac:dyDescent="0.3">
      <c r="AU1944" s="45"/>
    </row>
    <row r="1945" spans="47:47" ht="12" hidden="1" customHeight="1" x14ac:dyDescent="0.3">
      <c r="AU1945" s="45"/>
    </row>
    <row r="1946" spans="47:47" ht="12" hidden="1" customHeight="1" x14ac:dyDescent="0.3">
      <c r="AU1946" s="45"/>
    </row>
    <row r="1947" spans="47:47" ht="12" hidden="1" customHeight="1" x14ac:dyDescent="0.3">
      <c r="AU1947" s="45"/>
    </row>
    <row r="1948" spans="47:47" ht="12" hidden="1" customHeight="1" x14ac:dyDescent="0.3">
      <c r="AU1948" s="45"/>
    </row>
    <row r="1949" spans="47:47" ht="12" hidden="1" customHeight="1" x14ac:dyDescent="0.3">
      <c r="AU1949" s="45"/>
    </row>
    <row r="1950" spans="47:47" ht="12" hidden="1" customHeight="1" x14ac:dyDescent="0.3">
      <c r="AU1950" s="45"/>
    </row>
    <row r="1951" spans="47:47" ht="12" hidden="1" customHeight="1" x14ac:dyDescent="0.3">
      <c r="AU1951" s="45"/>
    </row>
    <row r="1952" spans="47:47" ht="12" hidden="1" customHeight="1" x14ac:dyDescent="0.3">
      <c r="AU1952" s="45"/>
    </row>
    <row r="1953" spans="47:47" ht="12" hidden="1" customHeight="1" x14ac:dyDescent="0.3">
      <c r="AU1953" s="45"/>
    </row>
    <row r="1954" spans="47:47" ht="12" hidden="1" customHeight="1" x14ac:dyDescent="0.3">
      <c r="AU1954" s="45"/>
    </row>
    <row r="1955" spans="47:47" ht="12" hidden="1" customHeight="1" x14ac:dyDescent="0.3">
      <c r="AU1955" s="45"/>
    </row>
    <row r="1956" spans="47:47" ht="12" hidden="1" customHeight="1" x14ac:dyDescent="0.3">
      <c r="AU1956" s="45"/>
    </row>
    <row r="1957" spans="47:47" ht="12" hidden="1" customHeight="1" x14ac:dyDescent="0.3">
      <c r="AU1957" s="45"/>
    </row>
    <row r="1958" spans="47:47" ht="12" hidden="1" customHeight="1" x14ac:dyDescent="0.3">
      <c r="AU1958" s="45"/>
    </row>
    <row r="1959" spans="47:47" ht="12" hidden="1" customHeight="1" x14ac:dyDescent="0.3">
      <c r="AU1959" s="45"/>
    </row>
    <row r="1960" spans="47:47" ht="12" hidden="1" customHeight="1" x14ac:dyDescent="0.3">
      <c r="AU1960" s="45"/>
    </row>
    <row r="1961" spans="47:47" ht="12" hidden="1" customHeight="1" x14ac:dyDescent="0.3">
      <c r="AU1961" s="45"/>
    </row>
    <row r="1962" spans="47:47" ht="12" hidden="1" customHeight="1" x14ac:dyDescent="0.3">
      <c r="AU1962" s="45"/>
    </row>
    <row r="1963" spans="47:47" ht="12" hidden="1" customHeight="1" x14ac:dyDescent="0.3">
      <c r="AU1963" s="45"/>
    </row>
    <row r="1964" spans="47:47" ht="12" hidden="1" customHeight="1" x14ac:dyDescent="0.3">
      <c r="AU1964" s="45"/>
    </row>
    <row r="1965" spans="47:47" ht="12" hidden="1" customHeight="1" x14ac:dyDescent="0.3">
      <c r="AU1965" s="45"/>
    </row>
    <row r="1966" spans="47:47" ht="12" hidden="1" customHeight="1" x14ac:dyDescent="0.3">
      <c r="AU1966" s="45"/>
    </row>
    <row r="1967" spans="47:47" ht="12" hidden="1" customHeight="1" x14ac:dyDescent="0.3">
      <c r="AU1967" s="45"/>
    </row>
    <row r="1968" spans="47:47" ht="12" hidden="1" customHeight="1" x14ac:dyDescent="0.3">
      <c r="AU1968" s="45"/>
    </row>
    <row r="1969" spans="47:47" ht="12" hidden="1" customHeight="1" x14ac:dyDescent="0.3">
      <c r="AU1969" s="45"/>
    </row>
    <row r="1970" spans="47:47" ht="12" hidden="1" customHeight="1" x14ac:dyDescent="0.3">
      <c r="AU1970" s="45"/>
    </row>
    <row r="1971" spans="47:47" ht="12" hidden="1" customHeight="1" x14ac:dyDescent="0.3">
      <c r="AU1971" s="45"/>
    </row>
    <row r="1972" spans="47:47" ht="12" hidden="1" customHeight="1" x14ac:dyDescent="0.3">
      <c r="AU1972" s="45"/>
    </row>
    <row r="1973" spans="47:47" ht="12" hidden="1" customHeight="1" x14ac:dyDescent="0.3">
      <c r="AU1973" s="45"/>
    </row>
    <row r="1974" spans="47:47" ht="12" hidden="1" customHeight="1" x14ac:dyDescent="0.3">
      <c r="AU1974" s="45"/>
    </row>
    <row r="1975" spans="47:47" ht="12" hidden="1" customHeight="1" x14ac:dyDescent="0.3">
      <c r="AU1975" s="45"/>
    </row>
    <row r="1976" spans="47:47" ht="12" hidden="1" customHeight="1" x14ac:dyDescent="0.3">
      <c r="AU1976" s="45"/>
    </row>
    <row r="1977" spans="47:47" ht="12" hidden="1" customHeight="1" x14ac:dyDescent="0.3">
      <c r="AU1977" s="45"/>
    </row>
    <row r="1978" spans="47:47" ht="12" hidden="1" customHeight="1" x14ac:dyDescent="0.3">
      <c r="AU1978" s="45"/>
    </row>
    <row r="1979" spans="47:47" ht="12" hidden="1" customHeight="1" x14ac:dyDescent="0.3">
      <c r="AU1979" s="45"/>
    </row>
    <row r="1980" spans="47:47" ht="12" hidden="1" customHeight="1" x14ac:dyDescent="0.3">
      <c r="AU1980" s="45"/>
    </row>
    <row r="1981" spans="47:47" ht="12" hidden="1" customHeight="1" x14ac:dyDescent="0.3">
      <c r="AU1981" s="45"/>
    </row>
    <row r="1982" spans="47:47" ht="12" hidden="1" customHeight="1" x14ac:dyDescent="0.3">
      <c r="AU1982" s="45"/>
    </row>
    <row r="1983" spans="47:47" ht="12" hidden="1" customHeight="1" x14ac:dyDescent="0.3">
      <c r="AU1983" s="45"/>
    </row>
    <row r="1984" spans="47:47" ht="12" hidden="1" customHeight="1" x14ac:dyDescent="0.3">
      <c r="AU1984" s="45"/>
    </row>
    <row r="1985" spans="47:47" ht="12" hidden="1" customHeight="1" x14ac:dyDescent="0.3">
      <c r="AU1985" s="45"/>
    </row>
    <row r="1986" spans="47:47" ht="12" hidden="1" customHeight="1" x14ac:dyDescent="0.3">
      <c r="AU1986" s="45"/>
    </row>
    <row r="1987" spans="47:47" ht="12" hidden="1" customHeight="1" x14ac:dyDescent="0.3">
      <c r="AU1987" s="45"/>
    </row>
    <row r="1988" spans="47:47" ht="12" hidden="1" customHeight="1" x14ac:dyDescent="0.3">
      <c r="AU1988" s="45"/>
    </row>
    <row r="1989" spans="47:47" ht="12" hidden="1" customHeight="1" x14ac:dyDescent="0.3">
      <c r="AU1989" s="45"/>
    </row>
    <row r="1990" spans="47:47" ht="12" hidden="1" customHeight="1" x14ac:dyDescent="0.3">
      <c r="AU1990" s="45"/>
    </row>
    <row r="1991" spans="47:47" ht="12" hidden="1" customHeight="1" x14ac:dyDescent="0.3">
      <c r="AU1991" s="45"/>
    </row>
    <row r="1992" spans="47:47" ht="12" hidden="1" customHeight="1" x14ac:dyDescent="0.3">
      <c r="AU1992" s="45"/>
    </row>
    <row r="1993" spans="47:47" ht="12" hidden="1" customHeight="1" x14ac:dyDescent="0.3">
      <c r="AU1993" s="45"/>
    </row>
    <row r="1994" spans="47:47" ht="12" hidden="1" customHeight="1" x14ac:dyDescent="0.3">
      <c r="AU1994" s="45"/>
    </row>
    <row r="1995" spans="47:47" ht="12" hidden="1" customHeight="1" x14ac:dyDescent="0.3">
      <c r="AU1995" s="45"/>
    </row>
    <row r="1996" spans="47:47" ht="12" hidden="1" customHeight="1" x14ac:dyDescent="0.3">
      <c r="AU1996" s="45"/>
    </row>
    <row r="1997" spans="47:47" ht="12" hidden="1" customHeight="1" x14ac:dyDescent="0.3">
      <c r="AU1997" s="45"/>
    </row>
    <row r="1998" spans="47:47" ht="12" hidden="1" customHeight="1" x14ac:dyDescent="0.3">
      <c r="AU1998" s="45"/>
    </row>
    <row r="1999" spans="47:47" ht="12" hidden="1" customHeight="1" x14ac:dyDescent="0.3">
      <c r="AU1999" s="45"/>
    </row>
    <row r="2000" spans="47:47" ht="12" hidden="1" customHeight="1" x14ac:dyDescent="0.3">
      <c r="AU2000" s="45"/>
    </row>
    <row r="2001" spans="47:47" ht="12" hidden="1" customHeight="1" x14ac:dyDescent="0.3">
      <c r="AU2001" s="45"/>
    </row>
    <row r="2002" spans="47:47" ht="12" hidden="1" customHeight="1" x14ac:dyDescent="0.3">
      <c r="AU2002" s="45"/>
    </row>
    <row r="2003" spans="47:47" ht="12" hidden="1" customHeight="1" x14ac:dyDescent="0.3">
      <c r="AU2003" s="45"/>
    </row>
    <row r="2004" spans="47:47" ht="12" hidden="1" customHeight="1" x14ac:dyDescent="0.3">
      <c r="AU2004" s="45"/>
    </row>
    <row r="2005" spans="47:47" ht="12" hidden="1" customHeight="1" x14ac:dyDescent="0.3">
      <c r="AU2005" s="45"/>
    </row>
    <row r="2006" spans="47:47" ht="12" hidden="1" customHeight="1" x14ac:dyDescent="0.3">
      <c r="AU2006" s="45"/>
    </row>
    <row r="2007" spans="47:47" ht="12" hidden="1" customHeight="1" x14ac:dyDescent="0.3">
      <c r="AU2007" s="45"/>
    </row>
    <row r="2008" spans="47:47" ht="12" hidden="1" customHeight="1" x14ac:dyDescent="0.3">
      <c r="AU2008" s="45"/>
    </row>
    <row r="2009" spans="47:47" ht="12" hidden="1" customHeight="1" x14ac:dyDescent="0.3">
      <c r="AU2009" s="45"/>
    </row>
    <row r="2010" spans="47:47" ht="12" hidden="1" customHeight="1" x14ac:dyDescent="0.3">
      <c r="AU2010" s="45"/>
    </row>
    <row r="2011" spans="47:47" ht="12" hidden="1" customHeight="1" x14ac:dyDescent="0.3">
      <c r="AU2011" s="45"/>
    </row>
    <row r="2012" spans="47:47" ht="12" hidden="1" customHeight="1" x14ac:dyDescent="0.3">
      <c r="AU2012" s="45"/>
    </row>
    <row r="2013" spans="47:47" ht="12" hidden="1" customHeight="1" x14ac:dyDescent="0.3">
      <c r="AU2013" s="45"/>
    </row>
    <row r="2014" spans="47:47" ht="12" hidden="1" customHeight="1" x14ac:dyDescent="0.3">
      <c r="AU2014" s="45"/>
    </row>
    <row r="2015" spans="47:47" ht="12" hidden="1" customHeight="1" x14ac:dyDescent="0.3">
      <c r="AU2015" s="45"/>
    </row>
    <row r="2016" spans="47:47" ht="12" hidden="1" customHeight="1" x14ac:dyDescent="0.3">
      <c r="AU2016" s="45"/>
    </row>
    <row r="2017" spans="47:47" ht="12" hidden="1" customHeight="1" x14ac:dyDescent="0.3">
      <c r="AU2017" s="45"/>
    </row>
    <row r="2018" spans="47:47" ht="12" hidden="1" customHeight="1" x14ac:dyDescent="0.3">
      <c r="AU2018" s="45"/>
    </row>
    <row r="2019" spans="47:47" ht="12" hidden="1" customHeight="1" x14ac:dyDescent="0.3">
      <c r="AU2019" s="45"/>
    </row>
    <row r="2020" spans="47:47" ht="12" hidden="1" customHeight="1" x14ac:dyDescent="0.3">
      <c r="AU2020" s="45"/>
    </row>
    <row r="2021" spans="47:47" ht="12" hidden="1" customHeight="1" x14ac:dyDescent="0.3">
      <c r="AU2021" s="45"/>
    </row>
    <row r="2022" spans="47:47" ht="12" hidden="1" customHeight="1" x14ac:dyDescent="0.3">
      <c r="AU2022" s="45"/>
    </row>
    <row r="2023" spans="47:47" ht="12" hidden="1" customHeight="1" x14ac:dyDescent="0.3">
      <c r="AU2023" s="45"/>
    </row>
    <row r="2024" spans="47:47" ht="12" hidden="1" customHeight="1" x14ac:dyDescent="0.3">
      <c r="AU2024" s="45"/>
    </row>
    <row r="2025" spans="47:47" ht="12" hidden="1" customHeight="1" x14ac:dyDescent="0.3">
      <c r="AU2025" s="45"/>
    </row>
    <row r="2026" spans="47:47" ht="12" hidden="1" customHeight="1" x14ac:dyDescent="0.3">
      <c r="AU2026" s="45"/>
    </row>
    <row r="2027" spans="47:47" ht="12" hidden="1" customHeight="1" x14ac:dyDescent="0.3">
      <c r="AU2027" s="45"/>
    </row>
    <row r="2028" spans="47:47" ht="12" hidden="1" customHeight="1" x14ac:dyDescent="0.3">
      <c r="AU2028" s="45"/>
    </row>
    <row r="2029" spans="47:47" ht="12" hidden="1" customHeight="1" x14ac:dyDescent="0.3">
      <c r="AU2029" s="45"/>
    </row>
    <row r="2030" spans="47:47" ht="12" hidden="1" customHeight="1" x14ac:dyDescent="0.3">
      <c r="AU2030" s="45"/>
    </row>
    <row r="2031" spans="47:47" ht="12" hidden="1" customHeight="1" x14ac:dyDescent="0.3">
      <c r="AU2031" s="45"/>
    </row>
    <row r="2032" spans="47:47" ht="12" hidden="1" customHeight="1" x14ac:dyDescent="0.3">
      <c r="AU2032" s="45"/>
    </row>
    <row r="2033" spans="47:47" ht="12" hidden="1" customHeight="1" x14ac:dyDescent="0.3">
      <c r="AU2033" s="45"/>
    </row>
    <row r="2034" spans="47:47" ht="12" hidden="1" customHeight="1" x14ac:dyDescent="0.3">
      <c r="AU2034" s="45"/>
    </row>
    <row r="2035" spans="47:47" ht="12" hidden="1" customHeight="1" x14ac:dyDescent="0.3">
      <c r="AU2035" s="45"/>
    </row>
    <row r="2036" spans="47:47" ht="12" hidden="1" customHeight="1" x14ac:dyDescent="0.3">
      <c r="AU2036" s="45"/>
    </row>
    <row r="2037" spans="47:47" ht="12" hidden="1" customHeight="1" x14ac:dyDescent="0.3">
      <c r="AU2037" s="45"/>
    </row>
    <row r="2038" spans="47:47" ht="12" hidden="1" customHeight="1" x14ac:dyDescent="0.3">
      <c r="AU2038" s="45"/>
    </row>
    <row r="2039" spans="47:47" ht="12" hidden="1" customHeight="1" x14ac:dyDescent="0.3">
      <c r="AU2039" s="45"/>
    </row>
    <row r="2040" spans="47:47" ht="12" hidden="1" customHeight="1" x14ac:dyDescent="0.3">
      <c r="AU2040" s="45"/>
    </row>
    <row r="2041" spans="47:47" ht="12" hidden="1" customHeight="1" x14ac:dyDescent="0.3">
      <c r="AU2041" s="45"/>
    </row>
    <row r="2042" spans="47:47" ht="12" hidden="1" customHeight="1" x14ac:dyDescent="0.3">
      <c r="AU2042" s="45"/>
    </row>
    <row r="2043" spans="47:47" ht="12" hidden="1" customHeight="1" x14ac:dyDescent="0.3">
      <c r="AU2043" s="45"/>
    </row>
    <row r="2044" spans="47:47" ht="12" hidden="1" customHeight="1" x14ac:dyDescent="0.3">
      <c r="AU2044" s="45"/>
    </row>
    <row r="2045" spans="47:47" ht="12" hidden="1" customHeight="1" x14ac:dyDescent="0.3">
      <c r="AU2045" s="45"/>
    </row>
    <row r="2046" spans="47:47" ht="12" hidden="1" customHeight="1" x14ac:dyDescent="0.3">
      <c r="AU2046" s="45"/>
    </row>
    <row r="2047" spans="47:47" ht="12" hidden="1" customHeight="1" x14ac:dyDescent="0.3">
      <c r="AU2047" s="45"/>
    </row>
    <row r="2048" spans="47:47" ht="12" hidden="1" customHeight="1" x14ac:dyDescent="0.3">
      <c r="AU2048" s="45"/>
    </row>
    <row r="2049" spans="47:47" ht="12" hidden="1" customHeight="1" x14ac:dyDescent="0.3">
      <c r="AU2049" s="45"/>
    </row>
    <row r="2050" spans="47:47" ht="12" hidden="1" customHeight="1" x14ac:dyDescent="0.3">
      <c r="AU2050" s="45"/>
    </row>
    <row r="2051" spans="47:47" ht="12" hidden="1" customHeight="1" x14ac:dyDescent="0.3">
      <c r="AU2051" s="45"/>
    </row>
    <row r="2052" spans="47:47" ht="12" hidden="1" customHeight="1" x14ac:dyDescent="0.3">
      <c r="AU2052" s="45"/>
    </row>
    <row r="2053" spans="47:47" ht="12" hidden="1" customHeight="1" x14ac:dyDescent="0.3">
      <c r="AU2053" s="45"/>
    </row>
    <row r="2054" spans="47:47" ht="12" hidden="1" customHeight="1" x14ac:dyDescent="0.3">
      <c r="AU2054" s="45"/>
    </row>
    <row r="2055" spans="47:47" ht="12" hidden="1" customHeight="1" x14ac:dyDescent="0.3">
      <c r="AU2055" s="45"/>
    </row>
    <row r="2056" spans="47:47" ht="12" hidden="1" customHeight="1" x14ac:dyDescent="0.3">
      <c r="AU2056" s="45"/>
    </row>
    <row r="2057" spans="47:47" ht="12" hidden="1" customHeight="1" x14ac:dyDescent="0.3">
      <c r="AU2057" s="45"/>
    </row>
    <row r="2058" spans="47:47" ht="12" hidden="1" customHeight="1" x14ac:dyDescent="0.3">
      <c r="AU2058" s="45"/>
    </row>
    <row r="2059" spans="47:47" ht="12" hidden="1" customHeight="1" x14ac:dyDescent="0.3">
      <c r="AU2059" s="45"/>
    </row>
    <row r="2060" spans="47:47" ht="12" hidden="1" customHeight="1" x14ac:dyDescent="0.3">
      <c r="AU2060" s="45"/>
    </row>
    <row r="2061" spans="47:47" ht="12" hidden="1" customHeight="1" x14ac:dyDescent="0.3">
      <c r="AU2061" s="45"/>
    </row>
    <row r="2062" spans="47:47" ht="12" hidden="1" customHeight="1" x14ac:dyDescent="0.3">
      <c r="AU2062" s="45"/>
    </row>
    <row r="2063" spans="47:47" ht="12" hidden="1" customHeight="1" x14ac:dyDescent="0.3">
      <c r="AU2063" s="45"/>
    </row>
    <row r="2064" spans="47:47" ht="12" hidden="1" customHeight="1" x14ac:dyDescent="0.3">
      <c r="AU2064" s="45"/>
    </row>
    <row r="2065" spans="47:47" ht="12" hidden="1" customHeight="1" x14ac:dyDescent="0.3">
      <c r="AU2065" s="45"/>
    </row>
    <row r="2066" spans="47:47" ht="12" hidden="1" customHeight="1" x14ac:dyDescent="0.3">
      <c r="AU2066" s="45"/>
    </row>
    <row r="2067" spans="47:47" ht="12" hidden="1" customHeight="1" x14ac:dyDescent="0.3">
      <c r="AU2067" s="45"/>
    </row>
    <row r="2068" spans="47:47" ht="12" hidden="1" customHeight="1" x14ac:dyDescent="0.3">
      <c r="AU2068" s="45"/>
    </row>
    <row r="2069" spans="47:47" ht="12" hidden="1" customHeight="1" x14ac:dyDescent="0.3">
      <c r="AU2069" s="45"/>
    </row>
    <row r="2070" spans="47:47" ht="12" hidden="1" customHeight="1" x14ac:dyDescent="0.3">
      <c r="AU2070" s="45"/>
    </row>
    <row r="2071" spans="47:47" ht="12" hidden="1" customHeight="1" x14ac:dyDescent="0.3">
      <c r="AU2071" s="45"/>
    </row>
    <row r="2072" spans="47:47" ht="12" hidden="1" customHeight="1" x14ac:dyDescent="0.3">
      <c r="AU2072" s="45"/>
    </row>
    <row r="2073" spans="47:47" ht="12" hidden="1" customHeight="1" x14ac:dyDescent="0.3">
      <c r="AU2073" s="45"/>
    </row>
    <row r="2074" spans="47:47" ht="12" hidden="1" customHeight="1" x14ac:dyDescent="0.3">
      <c r="AU2074" s="45"/>
    </row>
    <row r="2075" spans="47:47" ht="12" hidden="1" customHeight="1" x14ac:dyDescent="0.3">
      <c r="AU2075" s="45"/>
    </row>
    <row r="2076" spans="47:47" ht="12" hidden="1" customHeight="1" x14ac:dyDescent="0.3">
      <c r="AU2076" s="45"/>
    </row>
    <row r="2077" spans="47:47" ht="12" hidden="1" customHeight="1" x14ac:dyDescent="0.3">
      <c r="AU2077" s="45"/>
    </row>
    <row r="2078" spans="47:47" ht="12" hidden="1" customHeight="1" x14ac:dyDescent="0.3">
      <c r="AU2078" s="45"/>
    </row>
    <row r="2079" spans="47:47" ht="12" hidden="1" customHeight="1" x14ac:dyDescent="0.3">
      <c r="AU2079" s="45"/>
    </row>
    <row r="2080" spans="47:47" ht="12" hidden="1" customHeight="1" x14ac:dyDescent="0.3">
      <c r="AU2080" s="45"/>
    </row>
    <row r="2081" spans="47:47" ht="12" hidden="1" customHeight="1" x14ac:dyDescent="0.3">
      <c r="AU2081" s="45"/>
    </row>
    <row r="2082" spans="47:47" ht="12" hidden="1" customHeight="1" x14ac:dyDescent="0.3">
      <c r="AU2082" s="45"/>
    </row>
    <row r="2083" spans="47:47" ht="12" hidden="1" customHeight="1" x14ac:dyDescent="0.3">
      <c r="AU2083" s="45"/>
    </row>
    <row r="2084" spans="47:47" ht="12" hidden="1" customHeight="1" x14ac:dyDescent="0.3">
      <c r="AU2084" s="45"/>
    </row>
    <row r="2085" spans="47:47" ht="12" hidden="1" customHeight="1" x14ac:dyDescent="0.3">
      <c r="AU2085" s="45"/>
    </row>
    <row r="2086" spans="47:47" ht="12" hidden="1" customHeight="1" x14ac:dyDescent="0.3">
      <c r="AU2086" s="45"/>
    </row>
    <row r="2087" spans="47:47" ht="12" hidden="1" customHeight="1" x14ac:dyDescent="0.3">
      <c r="AU2087" s="45"/>
    </row>
    <row r="2088" spans="47:47" ht="12" hidden="1" customHeight="1" x14ac:dyDescent="0.3">
      <c r="AU2088" s="45"/>
    </row>
    <row r="2089" spans="47:47" ht="12" hidden="1" customHeight="1" x14ac:dyDescent="0.3">
      <c r="AU2089" s="45"/>
    </row>
    <row r="2090" spans="47:47" ht="12" hidden="1" customHeight="1" x14ac:dyDescent="0.3">
      <c r="AU2090" s="45"/>
    </row>
    <row r="2091" spans="47:47" ht="12" hidden="1" customHeight="1" x14ac:dyDescent="0.3">
      <c r="AU2091" s="45"/>
    </row>
    <row r="2092" spans="47:47" ht="12" hidden="1" customHeight="1" x14ac:dyDescent="0.3">
      <c r="AU2092" s="45"/>
    </row>
    <row r="2093" spans="47:47" ht="12" hidden="1" customHeight="1" x14ac:dyDescent="0.3">
      <c r="AU2093" s="45"/>
    </row>
    <row r="2094" spans="47:47" ht="12" hidden="1" customHeight="1" x14ac:dyDescent="0.3">
      <c r="AU2094" s="45"/>
    </row>
    <row r="2095" spans="47:47" ht="12" hidden="1" customHeight="1" x14ac:dyDescent="0.3">
      <c r="AU2095" s="45"/>
    </row>
    <row r="2096" spans="47:47" ht="12" hidden="1" customHeight="1" x14ac:dyDescent="0.3">
      <c r="AU2096" s="45"/>
    </row>
    <row r="2097" spans="47:47" ht="12" hidden="1" customHeight="1" x14ac:dyDescent="0.3">
      <c r="AU2097" s="45"/>
    </row>
    <row r="2098" spans="47:47" ht="12" hidden="1" customHeight="1" x14ac:dyDescent="0.3">
      <c r="AU2098" s="45"/>
    </row>
    <row r="2099" spans="47:47" ht="12" hidden="1" customHeight="1" x14ac:dyDescent="0.3">
      <c r="AU2099" s="45"/>
    </row>
    <row r="2100" spans="47:47" ht="12" hidden="1" customHeight="1" x14ac:dyDescent="0.3">
      <c r="AU2100" s="45"/>
    </row>
    <row r="2101" spans="47:47" ht="12" hidden="1" customHeight="1" x14ac:dyDescent="0.3">
      <c r="AU2101" s="45"/>
    </row>
    <row r="2102" spans="47:47" ht="12" hidden="1" customHeight="1" x14ac:dyDescent="0.3">
      <c r="AU2102" s="45"/>
    </row>
    <row r="2103" spans="47:47" ht="12" hidden="1" customHeight="1" x14ac:dyDescent="0.3">
      <c r="AU2103" s="45"/>
    </row>
    <row r="2104" spans="47:47" ht="12" hidden="1" customHeight="1" x14ac:dyDescent="0.3">
      <c r="AU2104" s="45"/>
    </row>
    <row r="2105" spans="47:47" ht="12" hidden="1" customHeight="1" x14ac:dyDescent="0.3">
      <c r="AU2105" s="45"/>
    </row>
    <row r="2106" spans="47:47" ht="12" hidden="1" customHeight="1" x14ac:dyDescent="0.3">
      <c r="AU2106" s="45"/>
    </row>
    <row r="2107" spans="47:47" ht="12" hidden="1" customHeight="1" x14ac:dyDescent="0.3">
      <c r="AU2107" s="45"/>
    </row>
    <row r="2108" spans="47:47" ht="12" hidden="1" customHeight="1" x14ac:dyDescent="0.3">
      <c r="AU2108" s="45"/>
    </row>
    <row r="2109" spans="47:47" ht="12" hidden="1" customHeight="1" x14ac:dyDescent="0.3">
      <c r="AU2109" s="45"/>
    </row>
    <row r="2110" spans="47:47" ht="12" hidden="1" customHeight="1" x14ac:dyDescent="0.3">
      <c r="AU2110" s="45"/>
    </row>
    <row r="2111" spans="47:47" ht="12" hidden="1" customHeight="1" x14ac:dyDescent="0.3">
      <c r="AU2111" s="45"/>
    </row>
    <row r="2112" spans="47:47" ht="12" hidden="1" customHeight="1" x14ac:dyDescent="0.3">
      <c r="AU2112" s="45"/>
    </row>
    <row r="2113" spans="47:47" ht="12" hidden="1" customHeight="1" x14ac:dyDescent="0.3">
      <c r="AU2113" s="45"/>
    </row>
    <row r="2114" spans="47:47" ht="12" hidden="1" customHeight="1" x14ac:dyDescent="0.3">
      <c r="AU2114" s="45"/>
    </row>
    <row r="2115" spans="47:47" ht="12" hidden="1" customHeight="1" x14ac:dyDescent="0.3">
      <c r="AU2115" s="45"/>
    </row>
    <row r="2116" spans="47:47" ht="12" hidden="1" customHeight="1" x14ac:dyDescent="0.3">
      <c r="AU2116" s="45"/>
    </row>
    <row r="2117" spans="47:47" ht="12" hidden="1" customHeight="1" x14ac:dyDescent="0.3">
      <c r="AU2117" s="45"/>
    </row>
    <row r="2118" spans="47:47" ht="12" hidden="1" customHeight="1" x14ac:dyDescent="0.3">
      <c r="AU2118" s="45"/>
    </row>
    <row r="2119" spans="47:47" ht="12" hidden="1" customHeight="1" x14ac:dyDescent="0.3">
      <c r="AU2119" s="45"/>
    </row>
    <row r="2120" spans="47:47" ht="12" hidden="1" customHeight="1" x14ac:dyDescent="0.3">
      <c r="AU2120" s="45"/>
    </row>
    <row r="2121" spans="47:47" ht="12" hidden="1" customHeight="1" x14ac:dyDescent="0.3">
      <c r="AU2121" s="45"/>
    </row>
    <row r="2122" spans="47:47" ht="12" hidden="1" customHeight="1" x14ac:dyDescent="0.3">
      <c r="AU2122" s="45"/>
    </row>
    <row r="2123" spans="47:47" ht="12" hidden="1" customHeight="1" x14ac:dyDescent="0.3">
      <c r="AU2123" s="45"/>
    </row>
    <row r="2124" spans="47:47" ht="12" hidden="1" customHeight="1" x14ac:dyDescent="0.3">
      <c r="AU2124" s="45"/>
    </row>
    <row r="2125" spans="47:47" ht="12" hidden="1" customHeight="1" x14ac:dyDescent="0.3">
      <c r="AU2125" s="45"/>
    </row>
    <row r="2126" spans="47:47" ht="12" hidden="1" customHeight="1" x14ac:dyDescent="0.3">
      <c r="AU2126" s="45"/>
    </row>
    <row r="2127" spans="47:47" ht="12" hidden="1" customHeight="1" x14ac:dyDescent="0.3">
      <c r="AU2127" s="45"/>
    </row>
    <row r="2128" spans="47:47" ht="12" hidden="1" customHeight="1" x14ac:dyDescent="0.3">
      <c r="AU2128" s="45"/>
    </row>
    <row r="2129" spans="47:47" ht="12" hidden="1" customHeight="1" x14ac:dyDescent="0.3">
      <c r="AU2129" s="45"/>
    </row>
    <row r="2130" spans="47:47" ht="12" hidden="1" customHeight="1" x14ac:dyDescent="0.3">
      <c r="AU2130" s="45"/>
    </row>
    <row r="2131" spans="47:47" ht="12" hidden="1" customHeight="1" x14ac:dyDescent="0.3">
      <c r="AU2131" s="45"/>
    </row>
    <row r="2132" spans="47:47" ht="12" hidden="1" customHeight="1" x14ac:dyDescent="0.3">
      <c r="AU2132" s="45"/>
    </row>
    <row r="2133" spans="47:47" ht="12" hidden="1" customHeight="1" x14ac:dyDescent="0.3">
      <c r="AU2133" s="45"/>
    </row>
    <row r="2134" spans="47:47" ht="12" hidden="1" customHeight="1" x14ac:dyDescent="0.3">
      <c r="AU2134" s="45"/>
    </row>
    <row r="2135" spans="47:47" ht="12" hidden="1" customHeight="1" x14ac:dyDescent="0.3">
      <c r="AU2135" s="45"/>
    </row>
    <row r="2136" spans="47:47" ht="12" hidden="1" customHeight="1" x14ac:dyDescent="0.3">
      <c r="AU2136" s="45"/>
    </row>
    <row r="2137" spans="47:47" ht="12" hidden="1" customHeight="1" x14ac:dyDescent="0.3">
      <c r="AU2137" s="45"/>
    </row>
    <row r="2138" spans="47:47" ht="12" hidden="1" customHeight="1" x14ac:dyDescent="0.3">
      <c r="AU2138" s="45"/>
    </row>
    <row r="2139" spans="47:47" ht="12" hidden="1" customHeight="1" x14ac:dyDescent="0.3">
      <c r="AU2139" s="45"/>
    </row>
    <row r="2140" spans="47:47" ht="12" hidden="1" customHeight="1" x14ac:dyDescent="0.3">
      <c r="AU2140" s="45"/>
    </row>
    <row r="2141" spans="47:47" ht="12" hidden="1" customHeight="1" x14ac:dyDescent="0.3">
      <c r="AU2141" s="45"/>
    </row>
    <row r="2142" spans="47:47" ht="12" hidden="1" customHeight="1" x14ac:dyDescent="0.3">
      <c r="AU2142" s="45"/>
    </row>
    <row r="2143" spans="47:47" ht="12" hidden="1" customHeight="1" x14ac:dyDescent="0.3">
      <c r="AU2143" s="45"/>
    </row>
    <row r="2144" spans="47:47" ht="12" hidden="1" customHeight="1" x14ac:dyDescent="0.3">
      <c r="AU2144" s="45"/>
    </row>
    <row r="2145" spans="47:47" ht="12" hidden="1" customHeight="1" x14ac:dyDescent="0.3">
      <c r="AU2145" s="45"/>
    </row>
    <row r="2146" spans="47:47" ht="12" hidden="1" customHeight="1" x14ac:dyDescent="0.3">
      <c r="AU2146" s="45"/>
    </row>
    <row r="2147" spans="47:47" ht="12" hidden="1" customHeight="1" x14ac:dyDescent="0.3">
      <c r="AU2147" s="45"/>
    </row>
    <row r="2148" spans="47:47" ht="12" hidden="1" customHeight="1" x14ac:dyDescent="0.3">
      <c r="AU2148" s="45"/>
    </row>
    <row r="2149" spans="47:47" ht="12" hidden="1" customHeight="1" x14ac:dyDescent="0.3">
      <c r="AU2149" s="45"/>
    </row>
    <row r="2150" spans="47:47" ht="12" hidden="1" customHeight="1" x14ac:dyDescent="0.3">
      <c r="AU2150" s="45"/>
    </row>
    <row r="2151" spans="47:47" ht="12" hidden="1" customHeight="1" x14ac:dyDescent="0.3">
      <c r="AU2151" s="45"/>
    </row>
    <row r="2152" spans="47:47" ht="12" hidden="1" customHeight="1" x14ac:dyDescent="0.3">
      <c r="AU2152" s="45"/>
    </row>
    <row r="2153" spans="47:47" ht="12" hidden="1" customHeight="1" x14ac:dyDescent="0.3">
      <c r="AU2153" s="45"/>
    </row>
    <row r="2154" spans="47:47" ht="12" hidden="1" customHeight="1" x14ac:dyDescent="0.3">
      <c r="AU2154" s="45"/>
    </row>
    <row r="2155" spans="47:47" ht="12" hidden="1" customHeight="1" x14ac:dyDescent="0.3">
      <c r="AU2155" s="45"/>
    </row>
    <row r="2156" spans="47:47" ht="12" hidden="1" customHeight="1" x14ac:dyDescent="0.3">
      <c r="AU2156" s="45"/>
    </row>
    <row r="2157" spans="47:47" ht="12" hidden="1" customHeight="1" x14ac:dyDescent="0.3">
      <c r="AU2157" s="45"/>
    </row>
    <row r="2158" spans="47:47" ht="12" hidden="1" customHeight="1" x14ac:dyDescent="0.3">
      <c r="AU2158" s="45"/>
    </row>
    <row r="2159" spans="47:47" ht="12" hidden="1" customHeight="1" x14ac:dyDescent="0.3">
      <c r="AU2159" s="45"/>
    </row>
    <row r="2160" spans="47:47" ht="12" hidden="1" customHeight="1" x14ac:dyDescent="0.3">
      <c r="AU2160" s="45"/>
    </row>
    <row r="2161" spans="47:47" ht="12" hidden="1" customHeight="1" x14ac:dyDescent="0.3">
      <c r="AU2161" s="45"/>
    </row>
    <row r="2162" spans="47:47" ht="12" hidden="1" customHeight="1" x14ac:dyDescent="0.3">
      <c r="AU2162" s="45"/>
    </row>
    <row r="2163" spans="47:47" ht="12" hidden="1" customHeight="1" x14ac:dyDescent="0.3">
      <c r="AU2163" s="45"/>
    </row>
    <row r="2164" spans="47:47" ht="12" hidden="1" customHeight="1" x14ac:dyDescent="0.3">
      <c r="AU2164" s="45"/>
    </row>
    <row r="2165" spans="47:47" ht="12" hidden="1" customHeight="1" x14ac:dyDescent="0.3">
      <c r="AU2165" s="45"/>
    </row>
    <row r="2166" spans="47:47" ht="12" hidden="1" customHeight="1" x14ac:dyDescent="0.3">
      <c r="AU2166" s="45"/>
    </row>
    <row r="2167" spans="47:47" ht="12" hidden="1" customHeight="1" x14ac:dyDescent="0.3">
      <c r="AU2167" s="45"/>
    </row>
    <row r="2168" spans="47:47" ht="12" hidden="1" customHeight="1" x14ac:dyDescent="0.3">
      <c r="AU2168" s="45"/>
    </row>
    <row r="2169" spans="47:47" ht="12" hidden="1" customHeight="1" x14ac:dyDescent="0.3">
      <c r="AU2169" s="45"/>
    </row>
    <row r="2170" spans="47:47" ht="12" hidden="1" customHeight="1" x14ac:dyDescent="0.3">
      <c r="AU2170" s="45"/>
    </row>
    <row r="2171" spans="47:47" ht="12" hidden="1" customHeight="1" x14ac:dyDescent="0.3">
      <c r="AU2171" s="45"/>
    </row>
    <row r="2172" spans="47:47" ht="12" hidden="1" customHeight="1" x14ac:dyDescent="0.3">
      <c r="AU2172" s="45"/>
    </row>
    <row r="2173" spans="47:47" ht="12" hidden="1" customHeight="1" x14ac:dyDescent="0.3">
      <c r="AU2173" s="45"/>
    </row>
    <row r="2174" spans="47:47" ht="12" hidden="1" customHeight="1" x14ac:dyDescent="0.3">
      <c r="AU2174" s="45"/>
    </row>
    <row r="2175" spans="47:47" ht="12" hidden="1" customHeight="1" x14ac:dyDescent="0.3">
      <c r="AU2175" s="45"/>
    </row>
    <row r="2176" spans="47:47" ht="12" hidden="1" customHeight="1" x14ac:dyDescent="0.3">
      <c r="AU2176" s="45"/>
    </row>
    <row r="2177" spans="47:47" ht="12" hidden="1" customHeight="1" x14ac:dyDescent="0.3">
      <c r="AU2177" s="45"/>
    </row>
    <row r="2178" spans="47:47" ht="12" hidden="1" customHeight="1" x14ac:dyDescent="0.3">
      <c r="AU2178" s="45"/>
    </row>
    <row r="2179" spans="47:47" ht="12" hidden="1" customHeight="1" x14ac:dyDescent="0.3">
      <c r="AU2179" s="45"/>
    </row>
    <row r="2180" spans="47:47" ht="12" hidden="1" customHeight="1" x14ac:dyDescent="0.3">
      <c r="AU2180" s="45"/>
    </row>
    <row r="2181" spans="47:47" ht="12" hidden="1" customHeight="1" x14ac:dyDescent="0.3">
      <c r="AU2181" s="45"/>
    </row>
    <row r="2182" spans="47:47" ht="12" hidden="1" customHeight="1" x14ac:dyDescent="0.3">
      <c r="AU2182" s="45"/>
    </row>
    <row r="2183" spans="47:47" ht="12" hidden="1" customHeight="1" x14ac:dyDescent="0.3">
      <c r="AU2183" s="45"/>
    </row>
    <row r="2184" spans="47:47" ht="12" hidden="1" customHeight="1" x14ac:dyDescent="0.3">
      <c r="AU2184" s="45"/>
    </row>
    <row r="2185" spans="47:47" ht="12" hidden="1" customHeight="1" x14ac:dyDescent="0.3">
      <c r="AU2185" s="45"/>
    </row>
    <row r="2186" spans="47:47" ht="12" hidden="1" customHeight="1" x14ac:dyDescent="0.3">
      <c r="AU2186" s="45"/>
    </row>
    <row r="2187" spans="47:47" ht="12" hidden="1" customHeight="1" x14ac:dyDescent="0.3">
      <c r="AU2187" s="45"/>
    </row>
    <row r="2188" spans="47:47" ht="12" hidden="1" customHeight="1" x14ac:dyDescent="0.3">
      <c r="AU2188" s="45"/>
    </row>
    <row r="2189" spans="47:47" ht="12" hidden="1" customHeight="1" x14ac:dyDescent="0.3">
      <c r="AU2189" s="45"/>
    </row>
    <row r="2190" spans="47:47" ht="12" hidden="1" customHeight="1" x14ac:dyDescent="0.3">
      <c r="AU2190" s="45"/>
    </row>
    <row r="2191" spans="47:47" ht="12" hidden="1" customHeight="1" x14ac:dyDescent="0.3">
      <c r="AU2191" s="45"/>
    </row>
    <row r="2192" spans="47:47" ht="12" hidden="1" customHeight="1" x14ac:dyDescent="0.3">
      <c r="AU2192" s="45"/>
    </row>
    <row r="2193" spans="47:47" ht="12" hidden="1" customHeight="1" x14ac:dyDescent="0.3">
      <c r="AU2193" s="45"/>
    </row>
    <row r="2194" spans="47:47" ht="12" hidden="1" customHeight="1" x14ac:dyDescent="0.3">
      <c r="AU2194" s="45"/>
    </row>
    <row r="2195" spans="47:47" ht="12" hidden="1" customHeight="1" x14ac:dyDescent="0.3">
      <c r="AU2195" s="45"/>
    </row>
    <row r="2196" spans="47:47" ht="12" hidden="1" customHeight="1" x14ac:dyDescent="0.3">
      <c r="AU2196" s="45"/>
    </row>
    <row r="2197" spans="47:47" ht="12" hidden="1" customHeight="1" x14ac:dyDescent="0.3">
      <c r="AU2197" s="45"/>
    </row>
    <row r="2198" spans="47:47" ht="12" hidden="1" customHeight="1" x14ac:dyDescent="0.3">
      <c r="AU2198" s="45"/>
    </row>
    <row r="2199" spans="47:47" ht="12" hidden="1" customHeight="1" x14ac:dyDescent="0.3">
      <c r="AU2199" s="45"/>
    </row>
    <row r="2200" spans="47:47" ht="12" hidden="1" customHeight="1" x14ac:dyDescent="0.3">
      <c r="AU2200" s="45"/>
    </row>
    <row r="2201" spans="47:47" ht="12" hidden="1" customHeight="1" x14ac:dyDescent="0.3">
      <c r="AU2201" s="45"/>
    </row>
    <row r="2202" spans="47:47" ht="12" hidden="1" customHeight="1" x14ac:dyDescent="0.3">
      <c r="AU2202" s="45"/>
    </row>
    <row r="2203" spans="47:47" ht="12" hidden="1" customHeight="1" x14ac:dyDescent="0.3">
      <c r="AU2203" s="45"/>
    </row>
    <row r="2204" spans="47:47" ht="12" hidden="1" customHeight="1" x14ac:dyDescent="0.3">
      <c r="AU2204" s="45"/>
    </row>
    <row r="2205" spans="47:47" ht="12" hidden="1" customHeight="1" x14ac:dyDescent="0.3">
      <c r="AU2205" s="45"/>
    </row>
    <row r="2206" spans="47:47" ht="12" hidden="1" customHeight="1" x14ac:dyDescent="0.3">
      <c r="AU2206" s="45"/>
    </row>
    <row r="2207" spans="47:47" ht="12" hidden="1" customHeight="1" x14ac:dyDescent="0.3">
      <c r="AU2207" s="45"/>
    </row>
    <row r="2208" spans="47:47" ht="12" hidden="1" customHeight="1" x14ac:dyDescent="0.3">
      <c r="AU2208" s="45"/>
    </row>
    <row r="2209" spans="47:47" ht="12" hidden="1" customHeight="1" x14ac:dyDescent="0.3">
      <c r="AU2209" s="45"/>
    </row>
    <row r="2210" spans="47:47" ht="12" hidden="1" customHeight="1" x14ac:dyDescent="0.3">
      <c r="AU2210" s="45"/>
    </row>
    <row r="2211" spans="47:47" ht="12" hidden="1" customHeight="1" x14ac:dyDescent="0.3">
      <c r="AU2211" s="45"/>
    </row>
    <row r="2212" spans="47:47" ht="12" hidden="1" customHeight="1" x14ac:dyDescent="0.3">
      <c r="AU2212" s="45"/>
    </row>
    <row r="2213" spans="47:47" ht="12" hidden="1" customHeight="1" x14ac:dyDescent="0.3">
      <c r="AU2213" s="45"/>
    </row>
    <row r="2214" spans="47:47" ht="12" hidden="1" customHeight="1" x14ac:dyDescent="0.3">
      <c r="AU2214" s="45"/>
    </row>
    <row r="2215" spans="47:47" ht="12" hidden="1" customHeight="1" x14ac:dyDescent="0.3">
      <c r="AU2215" s="45"/>
    </row>
    <row r="2216" spans="47:47" ht="12" hidden="1" customHeight="1" x14ac:dyDescent="0.3">
      <c r="AU2216" s="45"/>
    </row>
    <row r="2217" spans="47:47" ht="12" hidden="1" customHeight="1" x14ac:dyDescent="0.3">
      <c r="AU2217" s="45"/>
    </row>
    <row r="2218" spans="47:47" ht="12" hidden="1" customHeight="1" x14ac:dyDescent="0.3">
      <c r="AU2218" s="45"/>
    </row>
    <row r="2219" spans="47:47" ht="12" hidden="1" customHeight="1" x14ac:dyDescent="0.3">
      <c r="AU2219" s="45"/>
    </row>
    <row r="2220" spans="47:47" ht="12" hidden="1" customHeight="1" x14ac:dyDescent="0.3">
      <c r="AU2220" s="45"/>
    </row>
    <row r="2221" spans="47:47" ht="12" hidden="1" customHeight="1" x14ac:dyDescent="0.3">
      <c r="AU2221" s="45"/>
    </row>
    <row r="2222" spans="47:47" ht="12" hidden="1" customHeight="1" x14ac:dyDescent="0.3">
      <c r="AU2222" s="45"/>
    </row>
    <row r="2223" spans="47:47" ht="12" hidden="1" customHeight="1" x14ac:dyDescent="0.3">
      <c r="AU2223" s="45"/>
    </row>
    <row r="2224" spans="47:47" ht="12" hidden="1" customHeight="1" x14ac:dyDescent="0.3">
      <c r="AU2224" s="45"/>
    </row>
    <row r="2225" spans="47:47" ht="12" hidden="1" customHeight="1" x14ac:dyDescent="0.3">
      <c r="AU2225" s="45"/>
    </row>
    <row r="2226" spans="47:47" ht="12" hidden="1" customHeight="1" x14ac:dyDescent="0.3">
      <c r="AU2226" s="45"/>
    </row>
    <row r="2227" spans="47:47" ht="12" hidden="1" customHeight="1" x14ac:dyDescent="0.3">
      <c r="AU2227" s="45"/>
    </row>
    <row r="2228" spans="47:47" ht="12" hidden="1" customHeight="1" x14ac:dyDescent="0.3">
      <c r="AU2228" s="45"/>
    </row>
    <row r="2229" spans="47:47" ht="12" hidden="1" customHeight="1" x14ac:dyDescent="0.3">
      <c r="AU2229" s="45"/>
    </row>
    <row r="2230" spans="47:47" ht="12" hidden="1" customHeight="1" x14ac:dyDescent="0.3">
      <c r="AU2230" s="45"/>
    </row>
    <row r="2231" spans="47:47" ht="12" hidden="1" customHeight="1" x14ac:dyDescent="0.3">
      <c r="AU2231" s="45"/>
    </row>
    <row r="2232" spans="47:47" ht="12" hidden="1" customHeight="1" x14ac:dyDescent="0.3">
      <c r="AU2232" s="45"/>
    </row>
    <row r="2233" spans="47:47" ht="12" hidden="1" customHeight="1" x14ac:dyDescent="0.3">
      <c r="AU2233" s="45"/>
    </row>
    <row r="2234" spans="47:47" ht="12" hidden="1" customHeight="1" x14ac:dyDescent="0.3">
      <c r="AU2234" s="45"/>
    </row>
    <row r="2235" spans="47:47" ht="12" hidden="1" customHeight="1" x14ac:dyDescent="0.3">
      <c r="AU2235" s="45"/>
    </row>
    <row r="2236" spans="47:47" ht="12" hidden="1" customHeight="1" x14ac:dyDescent="0.3">
      <c r="AU2236" s="45"/>
    </row>
    <row r="2237" spans="47:47" ht="12" hidden="1" customHeight="1" x14ac:dyDescent="0.3">
      <c r="AU2237" s="45"/>
    </row>
    <row r="2238" spans="47:47" ht="12" hidden="1" customHeight="1" x14ac:dyDescent="0.3">
      <c r="AU2238" s="45"/>
    </row>
    <row r="2239" spans="47:47" ht="12" hidden="1" customHeight="1" x14ac:dyDescent="0.3">
      <c r="AU2239" s="45"/>
    </row>
    <row r="2240" spans="47:47" ht="12" hidden="1" customHeight="1" x14ac:dyDescent="0.3">
      <c r="AU2240" s="45"/>
    </row>
    <row r="2241" spans="47:47" ht="12" hidden="1" customHeight="1" x14ac:dyDescent="0.3">
      <c r="AU2241" s="45"/>
    </row>
    <row r="2242" spans="47:47" ht="12" hidden="1" customHeight="1" x14ac:dyDescent="0.3">
      <c r="AU2242" s="45"/>
    </row>
    <row r="2243" spans="47:47" ht="12" hidden="1" customHeight="1" x14ac:dyDescent="0.3">
      <c r="AU2243" s="45"/>
    </row>
    <row r="2244" spans="47:47" ht="12" hidden="1" customHeight="1" x14ac:dyDescent="0.3">
      <c r="AU2244" s="45"/>
    </row>
    <row r="2245" spans="47:47" ht="12" hidden="1" customHeight="1" x14ac:dyDescent="0.3">
      <c r="AU2245" s="45"/>
    </row>
    <row r="2246" spans="47:47" ht="12" hidden="1" customHeight="1" x14ac:dyDescent="0.3">
      <c r="AU2246" s="45"/>
    </row>
    <row r="2247" spans="47:47" ht="12" hidden="1" customHeight="1" x14ac:dyDescent="0.3">
      <c r="AU2247" s="45"/>
    </row>
    <row r="2248" spans="47:47" ht="12" hidden="1" customHeight="1" x14ac:dyDescent="0.3">
      <c r="AU2248" s="45"/>
    </row>
    <row r="2249" spans="47:47" ht="12" hidden="1" customHeight="1" x14ac:dyDescent="0.3">
      <c r="AU2249" s="45"/>
    </row>
    <row r="2250" spans="47:47" ht="12" hidden="1" customHeight="1" x14ac:dyDescent="0.3">
      <c r="AU2250" s="45"/>
    </row>
    <row r="2251" spans="47:47" ht="12" hidden="1" customHeight="1" x14ac:dyDescent="0.3">
      <c r="AU2251" s="45"/>
    </row>
    <row r="2252" spans="47:47" ht="12" hidden="1" customHeight="1" x14ac:dyDescent="0.3">
      <c r="AU2252" s="45"/>
    </row>
    <row r="2253" spans="47:47" ht="12" hidden="1" customHeight="1" x14ac:dyDescent="0.3">
      <c r="AU2253" s="45"/>
    </row>
    <row r="2254" spans="47:47" ht="12" hidden="1" customHeight="1" x14ac:dyDescent="0.3">
      <c r="AU2254" s="45"/>
    </row>
    <row r="2255" spans="47:47" ht="12" hidden="1" customHeight="1" x14ac:dyDescent="0.3">
      <c r="AU2255" s="45"/>
    </row>
    <row r="2256" spans="47:47" ht="12" hidden="1" customHeight="1" x14ac:dyDescent="0.3">
      <c r="AU2256" s="45"/>
    </row>
    <row r="2257" spans="47:47" ht="12" hidden="1" customHeight="1" x14ac:dyDescent="0.3">
      <c r="AU2257" s="45"/>
    </row>
    <row r="2258" spans="47:47" ht="12" hidden="1" customHeight="1" x14ac:dyDescent="0.3">
      <c r="AU2258" s="45"/>
    </row>
    <row r="2259" spans="47:47" ht="12" hidden="1" customHeight="1" x14ac:dyDescent="0.3">
      <c r="AU2259" s="45"/>
    </row>
    <row r="2260" spans="47:47" ht="12" hidden="1" customHeight="1" x14ac:dyDescent="0.3">
      <c r="AU2260" s="45"/>
    </row>
    <row r="2261" spans="47:47" ht="12" hidden="1" customHeight="1" x14ac:dyDescent="0.3">
      <c r="AU2261" s="45"/>
    </row>
    <row r="2262" spans="47:47" ht="12" hidden="1" customHeight="1" x14ac:dyDescent="0.3">
      <c r="AU2262" s="45"/>
    </row>
    <row r="2263" spans="47:47" ht="12" hidden="1" customHeight="1" x14ac:dyDescent="0.3">
      <c r="AU2263" s="45"/>
    </row>
    <row r="2264" spans="47:47" ht="12" hidden="1" customHeight="1" x14ac:dyDescent="0.3">
      <c r="AU2264" s="45"/>
    </row>
    <row r="2265" spans="47:47" ht="12" hidden="1" customHeight="1" x14ac:dyDescent="0.3">
      <c r="AU2265" s="45"/>
    </row>
    <row r="2266" spans="47:47" ht="12" hidden="1" customHeight="1" x14ac:dyDescent="0.3">
      <c r="AU2266" s="45"/>
    </row>
    <row r="2267" spans="47:47" ht="12" hidden="1" customHeight="1" x14ac:dyDescent="0.3">
      <c r="AU2267" s="45"/>
    </row>
    <row r="2268" spans="47:47" ht="12" hidden="1" customHeight="1" x14ac:dyDescent="0.3">
      <c r="AU2268" s="45"/>
    </row>
    <row r="2269" spans="47:47" ht="12" hidden="1" customHeight="1" x14ac:dyDescent="0.3">
      <c r="AU2269" s="45"/>
    </row>
    <row r="2270" spans="47:47" ht="12" hidden="1" customHeight="1" x14ac:dyDescent="0.3">
      <c r="AU2270" s="45"/>
    </row>
    <row r="2271" spans="47:47" ht="12" hidden="1" customHeight="1" x14ac:dyDescent="0.3">
      <c r="AU2271" s="45"/>
    </row>
    <row r="2272" spans="47:47" ht="12" hidden="1" customHeight="1" x14ac:dyDescent="0.3">
      <c r="AU2272" s="45"/>
    </row>
    <row r="2273" spans="47:47" ht="12" hidden="1" customHeight="1" x14ac:dyDescent="0.3">
      <c r="AU2273" s="45"/>
    </row>
    <row r="2274" spans="47:47" ht="12" hidden="1" customHeight="1" x14ac:dyDescent="0.3">
      <c r="AU2274" s="45"/>
    </row>
    <row r="2275" spans="47:47" ht="12" hidden="1" customHeight="1" x14ac:dyDescent="0.3">
      <c r="AU2275" s="45"/>
    </row>
    <row r="2276" spans="47:47" ht="12" hidden="1" customHeight="1" x14ac:dyDescent="0.3">
      <c r="AU2276" s="45"/>
    </row>
    <row r="2277" spans="47:47" ht="12" hidden="1" customHeight="1" x14ac:dyDescent="0.3">
      <c r="AU2277" s="45"/>
    </row>
    <row r="2278" spans="47:47" ht="12" hidden="1" customHeight="1" x14ac:dyDescent="0.3">
      <c r="AU2278" s="45"/>
    </row>
    <row r="2279" spans="47:47" ht="12" hidden="1" customHeight="1" x14ac:dyDescent="0.3">
      <c r="AU2279" s="45"/>
    </row>
    <row r="2280" spans="47:47" ht="12" hidden="1" customHeight="1" x14ac:dyDescent="0.3">
      <c r="AU2280" s="45"/>
    </row>
    <row r="2281" spans="47:47" ht="12" hidden="1" customHeight="1" x14ac:dyDescent="0.3">
      <c r="AU2281" s="45"/>
    </row>
    <row r="2282" spans="47:47" ht="12" hidden="1" customHeight="1" x14ac:dyDescent="0.3">
      <c r="AU2282" s="45"/>
    </row>
    <row r="2283" spans="47:47" ht="12" hidden="1" customHeight="1" x14ac:dyDescent="0.3">
      <c r="AU2283" s="45"/>
    </row>
    <row r="2284" spans="47:47" ht="12" hidden="1" customHeight="1" x14ac:dyDescent="0.3">
      <c r="AU2284" s="45"/>
    </row>
    <row r="2285" spans="47:47" ht="12" hidden="1" customHeight="1" x14ac:dyDescent="0.3">
      <c r="AU2285" s="45"/>
    </row>
    <row r="2286" spans="47:47" ht="12" hidden="1" customHeight="1" x14ac:dyDescent="0.3">
      <c r="AU2286" s="45"/>
    </row>
    <row r="2287" spans="47:47" ht="12" hidden="1" customHeight="1" x14ac:dyDescent="0.3">
      <c r="AU2287" s="45"/>
    </row>
    <row r="2288" spans="47:47" ht="12" hidden="1" customHeight="1" x14ac:dyDescent="0.3">
      <c r="AU2288" s="45"/>
    </row>
    <row r="2289" spans="47:47" ht="12" hidden="1" customHeight="1" x14ac:dyDescent="0.3">
      <c r="AU2289" s="45"/>
    </row>
    <row r="2290" spans="47:47" ht="12" hidden="1" customHeight="1" x14ac:dyDescent="0.3">
      <c r="AU2290" s="45"/>
    </row>
    <row r="2291" spans="47:47" ht="12" hidden="1" customHeight="1" x14ac:dyDescent="0.3">
      <c r="AU2291" s="45"/>
    </row>
    <row r="2292" spans="47:47" ht="12" hidden="1" customHeight="1" x14ac:dyDescent="0.3">
      <c r="AU2292" s="45"/>
    </row>
    <row r="2293" spans="47:47" ht="12" hidden="1" customHeight="1" x14ac:dyDescent="0.3">
      <c r="AU2293" s="45"/>
    </row>
    <row r="2294" spans="47:47" ht="12" hidden="1" customHeight="1" x14ac:dyDescent="0.3">
      <c r="AU2294" s="45"/>
    </row>
    <row r="2295" spans="47:47" ht="12" hidden="1" customHeight="1" x14ac:dyDescent="0.3">
      <c r="AU2295" s="45"/>
    </row>
    <row r="2296" spans="47:47" ht="12" hidden="1" customHeight="1" x14ac:dyDescent="0.3">
      <c r="AU2296" s="45"/>
    </row>
    <row r="2297" spans="47:47" ht="12" hidden="1" customHeight="1" x14ac:dyDescent="0.3">
      <c r="AU2297" s="45"/>
    </row>
    <row r="2298" spans="47:47" ht="12" hidden="1" customHeight="1" x14ac:dyDescent="0.3">
      <c r="AU2298" s="45"/>
    </row>
    <row r="2299" spans="47:47" ht="12" hidden="1" customHeight="1" x14ac:dyDescent="0.3">
      <c r="AU2299" s="45"/>
    </row>
    <row r="2300" spans="47:47" ht="12" hidden="1" customHeight="1" x14ac:dyDescent="0.3">
      <c r="AU2300" s="45"/>
    </row>
    <row r="2301" spans="47:47" ht="12" hidden="1" customHeight="1" x14ac:dyDescent="0.3">
      <c r="AU2301" s="45"/>
    </row>
    <row r="2302" spans="47:47" ht="12" hidden="1" customHeight="1" x14ac:dyDescent="0.3">
      <c r="AU2302" s="45"/>
    </row>
    <row r="2303" spans="47:47" ht="12" hidden="1" customHeight="1" x14ac:dyDescent="0.3">
      <c r="AU2303" s="45"/>
    </row>
    <row r="2304" spans="47:47" ht="12" hidden="1" customHeight="1" x14ac:dyDescent="0.3">
      <c r="AU2304" s="45"/>
    </row>
    <row r="2305" spans="47:47" ht="12" hidden="1" customHeight="1" x14ac:dyDescent="0.3">
      <c r="AU2305" s="45"/>
    </row>
    <row r="2306" spans="47:47" ht="12" hidden="1" customHeight="1" x14ac:dyDescent="0.3">
      <c r="AU2306" s="45"/>
    </row>
    <row r="2307" spans="47:47" ht="12" hidden="1" customHeight="1" x14ac:dyDescent="0.3">
      <c r="AU2307" s="45"/>
    </row>
    <row r="2308" spans="47:47" ht="12" hidden="1" customHeight="1" x14ac:dyDescent="0.3">
      <c r="AU2308" s="45"/>
    </row>
    <row r="2309" spans="47:47" ht="12" hidden="1" customHeight="1" x14ac:dyDescent="0.3">
      <c r="AU2309" s="45"/>
    </row>
    <row r="2310" spans="47:47" ht="12" hidden="1" customHeight="1" x14ac:dyDescent="0.3">
      <c r="AU2310" s="45"/>
    </row>
    <row r="2311" spans="47:47" ht="12" hidden="1" customHeight="1" x14ac:dyDescent="0.3">
      <c r="AU2311" s="45"/>
    </row>
    <row r="2312" spans="47:47" ht="12" hidden="1" customHeight="1" x14ac:dyDescent="0.3">
      <c r="AU2312" s="45"/>
    </row>
    <row r="2313" spans="47:47" ht="12" hidden="1" customHeight="1" x14ac:dyDescent="0.3">
      <c r="AU2313" s="45"/>
    </row>
    <row r="2314" spans="47:47" ht="12" hidden="1" customHeight="1" x14ac:dyDescent="0.3">
      <c r="AU2314" s="45"/>
    </row>
    <row r="2315" spans="47:47" ht="12" hidden="1" customHeight="1" x14ac:dyDescent="0.3">
      <c r="AU2315" s="45"/>
    </row>
    <row r="2316" spans="47:47" ht="12" hidden="1" customHeight="1" x14ac:dyDescent="0.3">
      <c r="AU2316" s="45"/>
    </row>
    <row r="2317" spans="47:47" ht="12" hidden="1" customHeight="1" x14ac:dyDescent="0.3">
      <c r="AU2317" s="45"/>
    </row>
    <row r="2318" spans="47:47" ht="12" hidden="1" customHeight="1" x14ac:dyDescent="0.3">
      <c r="AU2318" s="45"/>
    </row>
    <row r="2319" spans="47:47" ht="12" hidden="1" customHeight="1" x14ac:dyDescent="0.3">
      <c r="AU2319" s="45"/>
    </row>
    <row r="2320" spans="47:47" ht="12" hidden="1" customHeight="1" x14ac:dyDescent="0.3">
      <c r="AU2320" s="45"/>
    </row>
    <row r="2321" spans="47:47" ht="12" hidden="1" customHeight="1" x14ac:dyDescent="0.3">
      <c r="AU2321" s="45"/>
    </row>
    <row r="2322" spans="47:47" ht="12" hidden="1" customHeight="1" x14ac:dyDescent="0.3">
      <c r="AU2322" s="45"/>
    </row>
    <row r="2323" spans="47:47" ht="12" hidden="1" customHeight="1" x14ac:dyDescent="0.3">
      <c r="AU2323" s="45"/>
    </row>
    <row r="2324" spans="47:47" ht="12" hidden="1" customHeight="1" x14ac:dyDescent="0.3">
      <c r="AU2324" s="45"/>
    </row>
    <row r="2325" spans="47:47" ht="12" hidden="1" customHeight="1" x14ac:dyDescent="0.3">
      <c r="AU2325" s="45"/>
    </row>
    <row r="2326" spans="47:47" ht="12" hidden="1" customHeight="1" x14ac:dyDescent="0.3">
      <c r="AU2326" s="45"/>
    </row>
    <row r="2327" spans="47:47" ht="12" hidden="1" customHeight="1" x14ac:dyDescent="0.3">
      <c r="AU2327" s="45"/>
    </row>
    <row r="2328" spans="47:47" ht="12" hidden="1" customHeight="1" x14ac:dyDescent="0.3">
      <c r="AU2328" s="45"/>
    </row>
    <row r="2329" spans="47:47" ht="12" hidden="1" customHeight="1" x14ac:dyDescent="0.3">
      <c r="AU2329" s="45"/>
    </row>
    <row r="2330" spans="47:47" ht="12" hidden="1" customHeight="1" x14ac:dyDescent="0.3">
      <c r="AU2330" s="45"/>
    </row>
    <row r="2331" spans="47:47" ht="12" hidden="1" customHeight="1" x14ac:dyDescent="0.3">
      <c r="AU2331" s="45"/>
    </row>
    <row r="2332" spans="47:47" ht="12" hidden="1" customHeight="1" x14ac:dyDescent="0.3">
      <c r="AU2332" s="45"/>
    </row>
    <row r="2333" spans="47:47" ht="12" hidden="1" customHeight="1" x14ac:dyDescent="0.3">
      <c r="AU2333" s="45"/>
    </row>
    <row r="2334" spans="47:47" ht="12" hidden="1" customHeight="1" x14ac:dyDescent="0.3">
      <c r="AU2334" s="45"/>
    </row>
    <row r="2335" spans="47:47" ht="12" hidden="1" customHeight="1" x14ac:dyDescent="0.3">
      <c r="AU2335" s="45"/>
    </row>
    <row r="2336" spans="47:47" ht="12" hidden="1" customHeight="1" x14ac:dyDescent="0.3">
      <c r="AU2336" s="45"/>
    </row>
    <row r="2337" spans="47:47" ht="12" hidden="1" customHeight="1" x14ac:dyDescent="0.3">
      <c r="AU2337" s="45"/>
    </row>
    <row r="2338" spans="47:47" ht="12" hidden="1" customHeight="1" x14ac:dyDescent="0.3">
      <c r="AU2338" s="45"/>
    </row>
    <row r="2339" spans="47:47" ht="12" hidden="1" customHeight="1" x14ac:dyDescent="0.3">
      <c r="AU2339" s="45"/>
    </row>
    <row r="2340" spans="47:47" ht="12" hidden="1" customHeight="1" x14ac:dyDescent="0.3">
      <c r="AU2340" s="45"/>
    </row>
    <row r="2341" spans="47:47" ht="12" hidden="1" customHeight="1" x14ac:dyDescent="0.3">
      <c r="AU2341" s="45"/>
    </row>
    <row r="2342" spans="47:47" ht="12" hidden="1" customHeight="1" x14ac:dyDescent="0.3">
      <c r="AU2342" s="45"/>
    </row>
    <row r="2343" spans="47:47" ht="12" hidden="1" customHeight="1" x14ac:dyDescent="0.3">
      <c r="AU2343" s="45"/>
    </row>
    <row r="2344" spans="47:47" ht="12" hidden="1" customHeight="1" x14ac:dyDescent="0.3">
      <c r="AU2344" s="45"/>
    </row>
    <row r="2345" spans="47:47" ht="12" hidden="1" customHeight="1" x14ac:dyDescent="0.3">
      <c r="AU2345" s="45"/>
    </row>
    <row r="2346" spans="47:47" ht="12" hidden="1" customHeight="1" x14ac:dyDescent="0.3">
      <c r="AU2346" s="45"/>
    </row>
    <row r="2347" spans="47:47" ht="12" hidden="1" customHeight="1" x14ac:dyDescent="0.3">
      <c r="AU2347" s="45"/>
    </row>
    <row r="2348" spans="47:47" ht="12" hidden="1" customHeight="1" x14ac:dyDescent="0.3">
      <c r="AU2348" s="45"/>
    </row>
    <row r="2349" spans="47:47" ht="12" hidden="1" customHeight="1" x14ac:dyDescent="0.3">
      <c r="AU2349" s="45"/>
    </row>
    <row r="2350" spans="47:47" ht="12" hidden="1" customHeight="1" x14ac:dyDescent="0.3">
      <c r="AU2350" s="45"/>
    </row>
    <row r="2351" spans="47:47" ht="12" hidden="1" customHeight="1" x14ac:dyDescent="0.3">
      <c r="AU2351" s="45"/>
    </row>
    <row r="2352" spans="47:47" ht="12" hidden="1" customHeight="1" x14ac:dyDescent="0.3">
      <c r="AU2352" s="45"/>
    </row>
    <row r="2353" spans="47:47" ht="12" hidden="1" customHeight="1" x14ac:dyDescent="0.3">
      <c r="AU2353" s="45"/>
    </row>
    <row r="2354" spans="47:47" ht="12" hidden="1" customHeight="1" x14ac:dyDescent="0.3">
      <c r="AU2354" s="45"/>
    </row>
    <row r="2355" spans="47:47" ht="12" hidden="1" customHeight="1" x14ac:dyDescent="0.3">
      <c r="AU2355" s="45"/>
    </row>
    <row r="2356" spans="47:47" ht="12" hidden="1" customHeight="1" x14ac:dyDescent="0.3">
      <c r="AU2356" s="45"/>
    </row>
    <row r="2357" spans="47:47" ht="12" hidden="1" customHeight="1" x14ac:dyDescent="0.3">
      <c r="AU2357" s="45"/>
    </row>
    <row r="2358" spans="47:47" ht="12" hidden="1" customHeight="1" x14ac:dyDescent="0.3">
      <c r="AU2358" s="45"/>
    </row>
    <row r="2359" spans="47:47" ht="12" hidden="1" customHeight="1" x14ac:dyDescent="0.3">
      <c r="AU2359" s="45"/>
    </row>
    <row r="2360" spans="47:47" ht="12" hidden="1" customHeight="1" x14ac:dyDescent="0.3">
      <c r="AU2360" s="45"/>
    </row>
    <row r="2361" spans="47:47" ht="12" hidden="1" customHeight="1" x14ac:dyDescent="0.3">
      <c r="AU2361" s="45"/>
    </row>
    <row r="2362" spans="47:47" ht="12" hidden="1" customHeight="1" x14ac:dyDescent="0.3">
      <c r="AU2362" s="45"/>
    </row>
    <row r="2363" spans="47:47" ht="12" hidden="1" customHeight="1" x14ac:dyDescent="0.3">
      <c r="AU2363" s="45"/>
    </row>
    <row r="2364" spans="47:47" ht="12" hidden="1" customHeight="1" x14ac:dyDescent="0.3">
      <c r="AU2364" s="45"/>
    </row>
    <row r="2365" spans="47:47" ht="12" hidden="1" customHeight="1" x14ac:dyDescent="0.3">
      <c r="AU2365" s="45"/>
    </row>
    <row r="2366" spans="47:47" ht="12" hidden="1" customHeight="1" x14ac:dyDescent="0.3">
      <c r="AU2366" s="45"/>
    </row>
    <row r="2367" spans="47:47" ht="12" hidden="1" customHeight="1" x14ac:dyDescent="0.3">
      <c r="AU2367" s="45"/>
    </row>
    <row r="2368" spans="47:47" ht="12" hidden="1" customHeight="1" x14ac:dyDescent="0.3">
      <c r="AU2368" s="45"/>
    </row>
    <row r="2369" spans="47:47" ht="12" hidden="1" customHeight="1" x14ac:dyDescent="0.3">
      <c r="AU2369" s="45"/>
    </row>
    <row r="2370" spans="47:47" ht="12" hidden="1" customHeight="1" x14ac:dyDescent="0.3">
      <c r="AU2370" s="45"/>
    </row>
    <row r="2371" spans="47:47" ht="12" hidden="1" customHeight="1" x14ac:dyDescent="0.3">
      <c r="AU2371" s="45"/>
    </row>
    <row r="2372" spans="47:47" ht="12" hidden="1" customHeight="1" x14ac:dyDescent="0.3">
      <c r="AU2372" s="45"/>
    </row>
    <row r="2373" spans="47:47" ht="12" hidden="1" customHeight="1" x14ac:dyDescent="0.3">
      <c r="AU2373" s="45"/>
    </row>
    <row r="2374" spans="47:47" ht="12" hidden="1" customHeight="1" x14ac:dyDescent="0.3">
      <c r="AU2374" s="45"/>
    </row>
    <row r="2375" spans="47:47" ht="12" hidden="1" customHeight="1" x14ac:dyDescent="0.3">
      <c r="AU2375" s="45"/>
    </row>
    <row r="2376" spans="47:47" ht="12" hidden="1" customHeight="1" x14ac:dyDescent="0.3">
      <c r="AU2376" s="45"/>
    </row>
    <row r="2377" spans="47:47" ht="12" hidden="1" customHeight="1" x14ac:dyDescent="0.3">
      <c r="AU2377" s="45"/>
    </row>
    <row r="2378" spans="47:47" ht="12" hidden="1" customHeight="1" x14ac:dyDescent="0.3">
      <c r="AU2378" s="45"/>
    </row>
    <row r="2379" spans="47:47" ht="12" hidden="1" customHeight="1" x14ac:dyDescent="0.3">
      <c r="AU2379" s="45"/>
    </row>
    <row r="2380" spans="47:47" ht="12" hidden="1" customHeight="1" x14ac:dyDescent="0.3">
      <c r="AU2380" s="45"/>
    </row>
    <row r="2381" spans="47:47" ht="12" hidden="1" customHeight="1" x14ac:dyDescent="0.3">
      <c r="AU2381" s="45"/>
    </row>
    <row r="2382" spans="47:47" ht="12" hidden="1" customHeight="1" x14ac:dyDescent="0.3">
      <c r="AU2382" s="45"/>
    </row>
    <row r="2383" spans="47:47" ht="12" hidden="1" customHeight="1" x14ac:dyDescent="0.3">
      <c r="AU2383" s="45"/>
    </row>
    <row r="2384" spans="47:47" ht="12" hidden="1" customHeight="1" x14ac:dyDescent="0.3">
      <c r="AU2384" s="45"/>
    </row>
    <row r="2385" spans="47:47" ht="12" hidden="1" customHeight="1" x14ac:dyDescent="0.3">
      <c r="AU2385" s="45"/>
    </row>
    <row r="2386" spans="47:47" ht="12" hidden="1" customHeight="1" x14ac:dyDescent="0.3">
      <c r="AU2386" s="45"/>
    </row>
    <row r="2387" spans="47:47" ht="12" hidden="1" customHeight="1" x14ac:dyDescent="0.3">
      <c r="AU2387" s="45"/>
    </row>
    <row r="2388" spans="47:47" ht="12" hidden="1" customHeight="1" x14ac:dyDescent="0.3">
      <c r="AU2388" s="45"/>
    </row>
    <row r="2389" spans="47:47" ht="12" hidden="1" customHeight="1" x14ac:dyDescent="0.3">
      <c r="AU2389" s="45"/>
    </row>
    <row r="2390" spans="47:47" ht="12" hidden="1" customHeight="1" x14ac:dyDescent="0.3">
      <c r="AU2390" s="45"/>
    </row>
    <row r="2391" spans="47:47" ht="12" hidden="1" customHeight="1" x14ac:dyDescent="0.3">
      <c r="AU2391" s="45"/>
    </row>
    <row r="2392" spans="47:47" ht="12" hidden="1" customHeight="1" x14ac:dyDescent="0.3">
      <c r="AU2392" s="45"/>
    </row>
    <row r="2393" spans="47:47" ht="12" hidden="1" customHeight="1" x14ac:dyDescent="0.3">
      <c r="AU2393" s="45"/>
    </row>
    <row r="2394" spans="47:47" ht="12" hidden="1" customHeight="1" x14ac:dyDescent="0.3">
      <c r="AU2394" s="45"/>
    </row>
    <row r="2395" spans="47:47" ht="12" hidden="1" customHeight="1" x14ac:dyDescent="0.3">
      <c r="AU2395" s="45"/>
    </row>
    <row r="2396" spans="47:47" ht="12" hidden="1" customHeight="1" x14ac:dyDescent="0.3">
      <c r="AU2396" s="45"/>
    </row>
    <row r="2397" spans="47:47" ht="12" hidden="1" customHeight="1" x14ac:dyDescent="0.3">
      <c r="AU2397" s="45"/>
    </row>
    <row r="2398" spans="47:47" ht="12" hidden="1" customHeight="1" x14ac:dyDescent="0.3">
      <c r="AU2398" s="45"/>
    </row>
    <row r="2399" spans="47:47" ht="12" hidden="1" customHeight="1" x14ac:dyDescent="0.3">
      <c r="AU2399" s="45"/>
    </row>
    <row r="2400" spans="47:47" ht="12" hidden="1" customHeight="1" x14ac:dyDescent="0.3">
      <c r="AU2400" s="45"/>
    </row>
    <row r="2401" spans="47:47" ht="12" hidden="1" customHeight="1" x14ac:dyDescent="0.3">
      <c r="AU2401" s="45"/>
    </row>
    <row r="2402" spans="47:47" ht="12" hidden="1" customHeight="1" x14ac:dyDescent="0.3">
      <c r="AU2402" s="45"/>
    </row>
    <row r="2403" spans="47:47" ht="12" hidden="1" customHeight="1" x14ac:dyDescent="0.3">
      <c r="AU2403" s="45"/>
    </row>
    <row r="2404" spans="47:47" ht="12" hidden="1" customHeight="1" x14ac:dyDescent="0.3">
      <c r="AU2404" s="45"/>
    </row>
    <row r="2405" spans="47:47" ht="12" hidden="1" customHeight="1" x14ac:dyDescent="0.3">
      <c r="AU2405" s="45"/>
    </row>
    <row r="2406" spans="47:47" ht="12" hidden="1" customHeight="1" x14ac:dyDescent="0.3">
      <c r="AU2406" s="45"/>
    </row>
    <row r="2407" spans="47:47" ht="12" hidden="1" customHeight="1" x14ac:dyDescent="0.3">
      <c r="AU2407" s="45"/>
    </row>
    <row r="2408" spans="47:47" ht="12" hidden="1" customHeight="1" x14ac:dyDescent="0.3">
      <c r="AU2408" s="45"/>
    </row>
    <row r="2409" spans="47:47" ht="12" hidden="1" customHeight="1" x14ac:dyDescent="0.3">
      <c r="AU2409" s="45"/>
    </row>
    <row r="2410" spans="47:47" ht="12" hidden="1" customHeight="1" x14ac:dyDescent="0.3">
      <c r="AU2410" s="45"/>
    </row>
    <row r="2411" spans="47:47" ht="12" hidden="1" customHeight="1" x14ac:dyDescent="0.3">
      <c r="AU2411" s="45"/>
    </row>
    <row r="2412" spans="47:47" ht="12" hidden="1" customHeight="1" x14ac:dyDescent="0.3">
      <c r="AU2412" s="45"/>
    </row>
    <row r="2413" spans="47:47" ht="12" hidden="1" customHeight="1" x14ac:dyDescent="0.3">
      <c r="AU2413" s="45"/>
    </row>
    <row r="2414" spans="47:47" ht="12" hidden="1" customHeight="1" x14ac:dyDescent="0.3">
      <c r="AU2414" s="45"/>
    </row>
    <row r="2415" spans="47:47" ht="12" hidden="1" customHeight="1" x14ac:dyDescent="0.3">
      <c r="AU2415" s="45"/>
    </row>
    <row r="2416" spans="47:47" ht="12" hidden="1" customHeight="1" x14ac:dyDescent="0.3">
      <c r="AU2416" s="45"/>
    </row>
    <row r="2417" spans="47:47" ht="12" hidden="1" customHeight="1" x14ac:dyDescent="0.3">
      <c r="AU2417" s="45"/>
    </row>
    <row r="2418" spans="47:47" ht="12" hidden="1" customHeight="1" x14ac:dyDescent="0.3">
      <c r="AU2418" s="45"/>
    </row>
    <row r="2419" spans="47:47" ht="12" hidden="1" customHeight="1" x14ac:dyDescent="0.3">
      <c r="AU2419" s="45"/>
    </row>
    <row r="2420" spans="47:47" ht="12" hidden="1" customHeight="1" x14ac:dyDescent="0.3">
      <c r="AU2420" s="45"/>
    </row>
    <row r="2421" spans="47:47" ht="12" hidden="1" customHeight="1" x14ac:dyDescent="0.3">
      <c r="AU2421" s="45"/>
    </row>
    <row r="2422" spans="47:47" ht="12" hidden="1" customHeight="1" x14ac:dyDescent="0.3">
      <c r="AU2422" s="45"/>
    </row>
    <row r="2423" spans="47:47" ht="12" hidden="1" customHeight="1" x14ac:dyDescent="0.3">
      <c r="AU2423" s="45"/>
    </row>
    <row r="2424" spans="47:47" ht="12" hidden="1" customHeight="1" x14ac:dyDescent="0.3">
      <c r="AU2424" s="45"/>
    </row>
    <row r="2425" spans="47:47" ht="12" hidden="1" customHeight="1" x14ac:dyDescent="0.3">
      <c r="AU2425" s="45"/>
    </row>
    <row r="2426" spans="47:47" ht="12" hidden="1" customHeight="1" x14ac:dyDescent="0.3">
      <c r="AU2426" s="45"/>
    </row>
    <row r="2427" spans="47:47" ht="12" hidden="1" customHeight="1" x14ac:dyDescent="0.3">
      <c r="AU2427" s="45"/>
    </row>
    <row r="2428" spans="47:47" ht="12" hidden="1" customHeight="1" x14ac:dyDescent="0.3">
      <c r="AU2428" s="45"/>
    </row>
    <row r="2429" spans="47:47" ht="12" hidden="1" customHeight="1" x14ac:dyDescent="0.3">
      <c r="AU2429" s="45"/>
    </row>
    <row r="2430" spans="47:47" ht="12" hidden="1" customHeight="1" x14ac:dyDescent="0.3">
      <c r="AU2430" s="45"/>
    </row>
    <row r="2431" spans="47:47" ht="12" hidden="1" customHeight="1" x14ac:dyDescent="0.3">
      <c r="AU2431" s="45"/>
    </row>
    <row r="2432" spans="47:47" ht="12" hidden="1" customHeight="1" x14ac:dyDescent="0.3">
      <c r="AU2432" s="45"/>
    </row>
    <row r="2433" spans="47:47" ht="12" hidden="1" customHeight="1" x14ac:dyDescent="0.3">
      <c r="AU2433" s="45"/>
    </row>
    <row r="2434" spans="47:47" ht="12" hidden="1" customHeight="1" x14ac:dyDescent="0.3">
      <c r="AU2434" s="45"/>
    </row>
    <row r="2435" spans="47:47" ht="12" hidden="1" customHeight="1" x14ac:dyDescent="0.3">
      <c r="AU2435" s="45"/>
    </row>
    <row r="2436" spans="47:47" ht="12" hidden="1" customHeight="1" x14ac:dyDescent="0.3">
      <c r="AU2436" s="45"/>
    </row>
    <row r="2437" spans="47:47" ht="12" hidden="1" customHeight="1" x14ac:dyDescent="0.3">
      <c r="AU2437" s="45"/>
    </row>
    <row r="2438" spans="47:47" ht="12" hidden="1" customHeight="1" x14ac:dyDescent="0.3">
      <c r="AU2438" s="45"/>
    </row>
    <row r="2439" spans="47:47" ht="12" hidden="1" customHeight="1" x14ac:dyDescent="0.3">
      <c r="AU2439" s="45"/>
    </row>
    <row r="2440" spans="47:47" ht="12" hidden="1" customHeight="1" x14ac:dyDescent="0.3">
      <c r="AU2440" s="45"/>
    </row>
    <row r="2441" spans="47:47" ht="12" hidden="1" customHeight="1" x14ac:dyDescent="0.3">
      <c r="AU2441" s="45"/>
    </row>
    <row r="2442" spans="47:47" ht="12" hidden="1" customHeight="1" x14ac:dyDescent="0.3">
      <c r="AU2442" s="45"/>
    </row>
    <row r="2443" spans="47:47" ht="12" hidden="1" customHeight="1" x14ac:dyDescent="0.3">
      <c r="AU2443" s="45"/>
    </row>
    <row r="2444" spans="47:47" ht="12" hidden="1" customHeight="1" x14ac:dyDescent="0.3">
      <c r="AU2444" s="45"/>
    </row>
    <row r="2445" spans="47:47" ht="12" hidden="1" customHeight="1" x14ac:dyDescent="0.3">
      <c r="AU2445" s="45"/>
    </row>
    <row r="2446" spans="47:47" ht="12" hidden="1" customHeight="1" x14ac:dyDescent="0.3">
      <c r="AU2446" s="45"/>
    </row>
    <row r="2447" spans="47:47" ht="12" hidden="1" customHeight="1" x14ac:dyDescent="0.3">
      <c r="AU2447" s="45"/>
    </row>
    <row r="2448" spans="47:47" ht="12" hidden="1" customHeight="1" x14ac:dyDescent="0.3">
      <c r="AU2448" s="45"/>
    </row>
    <row r="2449" spans="47:47" ht="12" hidden="1" customHeight="1" x14ac:dyDescent="0.3">
      <c r="AU2449" s="45"/>
    </row>
    <row r="2450" spans="47:47" ht="12" hidden="1" customHeight="1" x14ac:dyDescent="0.3">
      <c r="AU2450" s="45"/>
    </row>
    <row r="2451" spans="47:47" ht="12" hidden="1" customHeight="1" x14ac:dyDescent="0.3">
      <c r="AU2451" s="45"/>
    </row>
    <row r="2452" spans="47:47" ht="12" hidden="1" customHeight="1" x14ac:dyDescent="0.3">
      <c r="AU2452" s="45"/>
    </row>
    <row r="2453" spans="47:47" ht="12" hidden="1" customHeight="1" x14ac:dyDescent="0.3">
      <c r="AU2453" s="45"/>
    </row>
    <row r="2454" spans="47:47" ht="12" hidden="1" customHeight="1" x14ac:dyDescent="0.3">
      <c r="AU2454" s="45"/>
    </row>
    <row r="2455" spans="47:47" ht="12" hidden="1" customHeight="1" x14ac:dyDescent="0.3">
      <c r="AU2455" s="45"/>
    </row>
    <row r="2456" spans="47:47" ht="12" hidden="1" customHeight="1" x14ac:dyDescent="0.3">
      <c r="AU2456" s="45"/>
    </row>
    <row r="2457" spans="47:47" ht="12" hidden="1" customHeight="1" x14ac:dyDescent="0.3">
      <c r="AU2457" s="45"/>
    </row>
    <row r="2458" spans="47:47" ht="12" hidden="1" customHeight="1" x14ac:dyDescent="0.3">
      <c r="AU2458" s="45"/>
    </row>
    <row r="2459" spans="47:47" ht="12" hidden="1" customHeight="1" x14ac:dyDescent="0.3">
      <c r="AU2459" s="45"/>
    </row>
    <row r="2460" spans="47:47" ht="12" hidden="1" customHeight="1" x14ac:dyDescent="0.3">
      <c r="AU2460" s="45"/>
    </row>
    <row r="2461" spans="47:47" ht="12" hidden="1" customHeight="1" x14ac:dyDescent="0.3">
      <c r="AU2461" s="45"/>
    </row>
    <row r="2462" spans="47:47" ht="12" hidden="1" customHeight="1" x14ac:dyDescent="0.3">
      <c r="AU2462" s="45"/>
    </row>
    <row r="2463" spans="47:47" ht="12" hidden="1" customHeight="1" x14ac:dyDescent="0.3">
      <c r="AU2463" s="45"/>
    </row>
    <row r="2464" spans="47:47" ht="12" hidden="1" customHeight="1" x14ac:dyDescent="0.3">
      <c r="AU2464" s="45"/>
    </row>
    <row r="2465" spans="47:47" ht="12" hidden="1" customHeight="1" x14ac:dyDescent="0.3">
      <c r="AU2465" s="45"/>
    </row>
    <row r="2466" spans="47:47" ht="12" hidden="1" customHeight="1" x14ac:dyDescent="0.3">
      <c r="AU2466" s="45"/>
    </row>
    <row r="2467" spans="47:47" ht="12" hidden="1" customHeight="1" x14ac:dyDescent="0.3">
      <c r="AU2467" s="45"/>
    </row>
    <row r="2468" spans="47:47" ht="12" hidden="1" customHeight="1" x14ac:dyDescent="0.3">
      <c r="AU2468" s="45"/>
    </row>
    <row r="2469" spans="47:47" ht="12" hidden="1" customHeight="1" x14ac:dyDescent="0.3">
      <c r="AU2469" s="45"/>
    </row>
    <row r="2470" spans="47:47" ht="12" hidden="1" customHeight="1" x14ac:dyDescent="0.3">
      <c r="AU2470" s="45"/>
    </row>
    <row r="2471" spans="47:47" ht="12" hidden="1" customHeight="1" x14ac:dyDescent="0.3">
      <c r="AU2471" s="45"/>
    </row>
    <row r="2472" spans="47:47" ht="12" hidden="1" customHeight="1" x14ac:dyDescent="0.3">
      <c r="AU2472" s="45"/>
    </row>
    <row r="2473" spans="47:47" ht="12" hidden="1" customHeight="1" x14ac:dyDescent="0.3">
      <c r="AU2473" s="45"/>
    </row>
    <row r="2474" spans="47:47" ht="12" hidden="1" customHeight="1" x14ac:dyDescent="0.3">
      <c r="AU2474" s="45"/>
    </row>
    <row r="2475" spans="47:47" ht="12" hidden="1" customHeight="1" x14ac:dyDescent="0.3">
      <c r="AU2475" s="45"/>
    </row>
    <row r="2476" spans="47:47" ht="12" hidden="1" customHeight="1" x14ac:dyDescent="0.3">
      <c r="AU2476" s="45"/>
    </row>
    <row r="2477" spans="47:47" ht="12" hidden="1" customHeight="1" x14ac:dyDescent="0.3">
      <c r="AU2477" s="45"/>
    </row>
    <row r="2478" spans="47:47" ht="12" hidden="1" customHeight="1" x14ac:dyDescent="0.3">
      <c r="AU2478" s="45"/>
    </row>
    <row r="2479" spans="47:47" ht="12" hidden="1" customHeight="1" x14ac:dyDescent="0.3">
      <c r="AU2479" s="45"/>
    </row>
    <row r="2480" spans="47:47" ht="12" hidden="1" customHeight="1" x14ac:dyDescent="0.3">
      <c r="AU2480" s="45"/>
    </row>
    <row r="2481" spans="47:47" ht="12" hidden="1" customHeight="1" x14ac:dyDescent="0.3">
      <c r="AU2481" s="45"/>
    </row>
    <row r="2482" spans="47:47" ht="12" hidden="1" customHeight="1" x14ac:dyDescent="0.3">
      <c r="AU2482" s="45"/>
    </row>
    <row r="2483" spans="47:47" ht="12" hidden="1" customHeight="1" x14ac:dyDescent="0.3">
      <c r="AU2483" s="45"/>
    </row>
    <row r="2484" spans="47:47" ht="12" hidden="1" customHeight="1" x14ac:dyDescent="0.3">
      <c r="AU2484" s="45"/>
    </row>
    <row r="2485" spans="47:47" ht="12" hidden="1" customHeight="1" x14ac:dyDescent="0.3">
      <c r="AU2485" s="45"/>
    </row>
    <row r="2486" spans="47:47" ht="12" hidden="1" customHeight="1" x14ac:dyDescent="0.3">
      <c r="AU2486" s="45"/>
    </row>
    <row r="2487" spans="47:47" ht="12" hidden="1" customHeight="1" x14ac:dyDescent="0.3">
      <c r="AU2487" s="45"/>
    </row>
    <row r="2488" spans="47:47" ht="12" hidden="1" customHeight="1" x14ac:dyDescent="0.3">
      <c r="AU2488" s="45"/>
    </row>
    <row r="2489" spans="47:47" ht="12" hidden="1" customHeight="1" x14ac:dyDescent="0.3">
      <c r="AU2489" s="45"/>
    </row>
    <row r="2490" spans="47:47" ht="12" hidden="1" customHeight="1" x14ac:dyDescent="0.3">
      <c r="AU2490" s="45"/>
    </row>
    <row r="2491" spans="47:47" ht="12" hidden="1" customHeight="1" x14ac:dyDescent="0.3">
      <c r="AU2491" s="45"/>
    </row>
    <row r="2492" spans="47:47" ht="12" hidden="1" customHeight="1" x14ac:dyDescent="0.3">
      <c r="AU2492" s="45"/>
    </row>
    <row r="2493" spans="47:47" ht="12" hidden="1" customHeight="1" x14ac:dyDescent="0.3">
      <c r="AU2493" s="45"/>
    </row>
    <row r="2494" spans="47:47" ht="12" hidden="1" customHeight="1" x14ac:dyDescent="0.3">
      <c r="AU2494" s="45"/>
    </row>
    <row r="2495" spans="47:47" ht="12" hidden="1" customHeight="1" x14ac:dyDescent="0.3">
      <c r="AU2495" s="45"/>
    </row>
    <row r="2496" spans="47:47" ht="12" hidden="1" customHeight="1" x14ac:dyDescent="0.3">
      <c r="AU2496" s="45"/>
    </row>
    <row r="2497" spans="47:47" ht="12" hidden="1" customHeight="1" x14ac:dyDescent="0.3">
      <c r="AU2497" s="45"/>
    </row>
    <row r="2498" spans="47:47" ht="12" hidden="1" customHeight="1" x14ac:dyDescent="0.3">
      <c r="AU2498" s="45"/>
    </row>
    <row r="2499" spans="47:47" ht="12" hidden="1" customHeight="1" x14ac:dyDescent="0.3">
      <c r="AU2499" s="45"/>
    </row>
    <row r="2500" spans="47:47" ht="12" hidden="1" customHeight="1" x14ac:dyDescent="0.3">
      <c r="AU2500" s="45"/>
    </row>
    <row r="2501" spans="47:47" ht="12" hidden="1" customHeight="1" x14ac:dyDescent="0.3">
      <c r="AU2501" s="45"/>
    </row>
    <row r="2502" spans="47:47" ht="12" hidden="1" customHeight="1" x14ac:dyDescent="0.3">
      <c r="AU2502" s="45"/>
    </row>
    <row r="2503" spans="47:47" ht="12" hidden="1" customHeight="1" x14ac:dyDescent="0.3">
      <c r="AU2503" s="45"/>
    </row>
    <row r="2504" spans="47:47" ht="12" hidden="1" customHeight="1" x14ac:dyDescent="0.3">
      <c r="AU2504" s="45"/>
    </row>
    <row r="2505" spans="47:47" ht="12" hidden="1" customHeight="1" x14ac:dyDescent="0.3">
      <c r="AU2505" s="45"/>
    </row>
    <row r="2506" spans="47:47" ht="12" hidden="1" customHeight="1" x14ac:dyDescent="0.3">
      <c r="AU2506" s="45"/>
    </row>
    <row r="2507" spans="47:47" ht="12" hidden="1" customHeight="1" x14ac:dyDescent="0.3">
      <c r="AU2507" s="45"/>
    </row>
    <row r="2508" spans="47:47" ht="12" hidden="1" customHeight="1" x14ac:dyDescent="0.3">
      <c r="AU2508" s="45"/>
    </row>
    <row r="2509" spans="47:47" ht="12" hidden="1" customHeight="1" x14ac:dyDescent="0.3">
      <c r="AU2509" s="45"/>
    </row>
    <row r="2510" spans="47:47" ht="12" hidden="1" customHeight="1" x14ac:dyDescent="0.3">
      <c r="AU2510" s="45"/>
    </row>
    <row r="2511" spans="47:47" ht="12" hidden="1" customHeight="1" x14ac:dyDescent="0.3">
      <c r="AU2511" s="45"/>
    </row>
    <row r="2512" spans="47:47" ht="12" hidden="1" customHeight="1" x14ac:dyDescent="0.3">
      <c r="AU2512" s="45"/>
    </row>
    <row r="2513" spans="47:47" ht="12" hidden="1" customHeight="1" x14ac:dyDescent="0.3">
      <c r="AU2513" s="45"/>
    </row>
    <row r="2514" spans="47:47" ht="12" hidden="1" customHeight="1" x14ac:dyDescent="0.3">
      <c r="AU2514" s="45"/>
    </row>
    <row r="2515" spans="47:47" ht="12" hidden="1" customHeight="1" x14ac:dyDescent="0.3">
      <c r="AU2515" s="45"/>
    </row>
    <row r="2516" spans="47:47" ht="12" hidden="1" customHeight="1" x14ac:dyDescent="0.3">
      <c r="AU2516" s="45"/>
    </row>
    <row r="2517" spans="47:47" ht="12" hidden="1" customHeight="1" x14ac:dyDescent="0.3">
      <c r="AU2517" s="45"/>
    </row>
    <row r="2518" spans="47:47" ht="12" hidden="1" customHeight="1" x14ac:dyDescent="0.3">
      <c r="AU2518" s="45"/>
    </row>
    <row r="2519" spans="47:47" ht="12" hidden="1" customHeight="1" x14ac:dyDescent="0.3">
      <c r="AU2519" s="45"/>
    </row>
    <row r="2520" spans="47:47" ht="12" hidden="1" customHeight="1" x14ac:dyDescent="0.3">
      <c r="AU2520" s="45"/>
    </row>
    <row r="2521" spans="47:47" ht="12" hidden="1" customHeight="1" x14ac:dyDescent="0.3">
      <c r="AU2521" s="45"/>
    </row>
    <row r="2522" spans="47:47" ht="12" hidden="1" customHeight="1" x14ac:dyDescent="0.3">
      <c r="AU2522" s="45"/>
    </row>
    <row r="2523" spans="47:47" ht="12" hidden="1" customHeight="1" x14ac:dyDescent="0.3">
      <c r="AU2523" s="45"/>
    </row>
    <row r="2524" spans="47:47" ht="12" hidden="1" customHeight="1" x14ac:dyDescent="0.3">
      <c r="AU2524" s="45"/>
    </row>
    <row r="2525" spans="47:47" ht="12" hidden="1" customHeight="1" x14ac:dyDescent="0.3">
      <c r="AU2525" s="45"/>
    </row>
    <row r="2526" spans="47:47" ht="12" hidden="1" customHeight="1" x14ac:dyDescent="0.3">
      <c r="AU2526" s="45"/>
    </row>
    <row r="2527" spans="47:47" ht="12" hidden="1" customHeight="1" x14ac:dyDescent="0.3">
      <c r="AU2527" s="45"/>
    </row>
    <row r="2528" spans="47:47" ht="12" hidden="1" customHeight="1" x14ac:dyDescent="0.3">
      <c r="AU2528" s="45"/>
    </row>
    <row r="2529" spans="47:47" ht="12" hidden="1" customHeight="1" x14ac:dyDescent="0.3">
      <c r="AU2529" s="45"/>
    </row>
    <row r="2530" spans="47:47" ht="12" hidden="1" customHeight="1" x14ac:dyDescent="0.3">
      <c r="AU2530" s="45"/>
    </row>
    <row r="2531" spans="47:47" ht="12" hidden="1" customHeight="1" x14ac:dyDescent="0.3">
      <c r="AU2531" s="45"/>
    </row>
    <row r="2532" spans="47:47" ht="12" hidden="1" customHeight="1" x14ac:dyDescent="0.3">
      <c r="AU2532" s="45"/>
    </row>
    <row r="2533" spans="47:47" ht="12" hidden="1" customHeight="1" x14ac:dyDescent="0.3">
      <c r="AU2533" s="45"/>
    </row>
    <row r="2534" spans="47:47" ht="12" hidden="1" customHeight="1" x14ac:dyDescent="0.3">
      <c r="AU2534" s="45"/>
    </row>
    <row r="2535" spans="47:47" ht="12" hidden="1" customHeight="1" x14ac:dyDescent="0.3">
      <c r="AU2535" s="45"/>
    </row>
    <row r="2536" spans="47:47" ht="12" hidden="1" customHeight="1" x14ac:dyDescent="0.3">
      <c r="AU2536" s="45"/>
    </row>
    <row r="2537" spans="47:47" ht="12" hidden="1" customHeight="1" x14ac:dyDescent="0.3">
      <c r="AU2537" s="45"/>
    </row>
    <row r="2538" spans="47:47" ht="12" hidden="1" customHeight="1" x14ac:dyDescent="0.3">
      <c r="AU2538" s="45"/>
    </row>
    <row r="2539" spans="47:47" ht="12" hidden="1" customHeight="1" x14ac:dyDescent="0.3">
      <c r="AU2539" s="45"/>
    </row>
    <row r="2540" spans="47:47" ht="12" hidden="1" customHeight="1" x14ac:dyDescent="0.3">
      <c r="AU2540" s="45"/>
    </row>
    <row r="2541" spans="47:47" ht="12" hidden="1" customHeight="1" x14ac:dyDescent="0.3">
      <c r="AU2541" s="45"/>
    </row>
    <row r="2542" spans="47:47" ht="12" hidden="1" customHeight="1" x14ac:dyDescent="0.3">
      <c r="AU2542" s="45"/>
    </row>
    <row r="2543" spans="47:47" ht="12" hidden="1" customHeight="1" x14ac:dyDescent="0.3">
      <c r="AU2543" s="45"/>
    </row>
    <row r="2544" spans="47:47" ht="12" hidden="1" customHeight="1" x14ac:dyDescent="0.3">
      <c r="AU2544" s="45"/>
    </row>
    <row r="2545" spans="47:47" ht="12" hidden="1" customHeight="1" x14ac:dyDescent="0.3">
      <c r="AU2545" s="45"/>
    </row>
    <row r="2546" spans="47:47" ht="12" hidden="1" customHeight="1" x14ac:dyDescent="0.3">
      <c r="AU2546" s="45"/>
    </row>
    <row r="2547" spans="47:47" ht="12" hidden="1" customHeight="1" x14ac:dyDescent="0.3">
      <c r="AU2547" s="45"/>
    </row>
    <row r="2548" spans="47:47" ht="12" hidden="1" customHeight="1" x14ac:dyDescent="0.3">
      <c r="AU2548" s="45"/>
    </row>
    <row r="2549" spans="47:47" ht="12" hidden="1" customHeight="1" x14ac:dyDescent="0.3">
      <c r="AU2549" s="45"/>
    </row>
    <row r="2550" spans="47:47" ht="12" hidden="1" customHeight="1" x14ac:dyDescent="0.3">
      <c r="AU2550" s="45"/>
    </row>
    <row r="2551" spans="47:47" ht="12" hidden="1" customHeight="1" x14ac:dyDescent="0.3">
      <c r="AU2551" s="45"/>
    </row>
    <row r="2552" spans="47:47" ht="12" hidden="1" customHeight="1" x14ac:dyDescent="0.3">
      <c r="AU2552" s="45"/>
    </row>
    <row r="2553" spans="47:47" ht="12" hidden="1" customHeight="1" x14ac:dyDescent="0.3">
      <c r="AU2553" s="45"/>
    </row>
    <row r="2554" spans="47:47" ht="12" hidden="1" customHeight="1" x14ac:dyDescent="0.3">
      <c r="AU2554" s="45"/>
    </row>
    <row r="2555" spans="47:47" ht="12" hidden="1" customHeight="1" x14ac:dyDescent="0.3">
      <c r="AU2555" s="45"/>
    </row>
    <row r="2556" spans="47:47" ht="12" hidden="1" customHeight="1" x14ac:dyDescent="0.3">
      <c r="AU2556" s="45"/>
    </row>
    <row r="2557" spans="47:47" ht="12" hidden="1" customHeight="1" x14ac:dyDescent="0.3">
      <c r="AU2557" s="45"/>
    </row>
    <row r="2558" spans="47:47" ht="12" hidden="1" customHeight="1" x14ac:dyDescent="0.3">
      <c r="AU2558" s="45"/>
    </row>
    <row r="2559" spans="47:47" ht="12" hidden="1" customHeight="1" x14ac:dyDescent="0.3">
      <c r="AU2559" s="45"/>
    </row>
    <row r="2560" spans="47:47" ht="12" hidden="1" customHeight="1" x14ac:dyDescent="0.3">
      <c r="AU2560" s="45"/>
    </row>
    <row r="2561" spans="47:47" ht="12" hidden="1" customHeight="1" x14ac:dyDescent="0.3">
      <c r="AU2561" s="45"/>
    </row>
    <row r="2562" spans="47:47" ht="12" hidden="1" customHeight="1" x14ac:dyDescent="0.3">
      <c r="AU2562" s="45"/>
    </row>
    <row r="2563" spans="47:47" ht="12" hidden="1" customHeight="1" x14ac:dyDescent="0.3">
      <c r="AU2563" s="45"/>
    </row>
    <row r="2564" spans="47:47" ht="12" hidden="1" customHeight="1" x14ac:dyDescent="0.3">
      <c r="AU2564" s="45"/>
    </row>
    <row r="2565" spans="47:47" ht="12" hidden="1" customHeight="1" x14ac:dyDescent="0.3">
      <c r="AU2565" s="45"/>
    </row>
    <row r="2566" spans="47:47" ht="12" hidden="1" customHeight="1" x14ac:dyDescent="0.3">
      <c r="AU2566" s="45"/>
    </row>
    <row r="2567" spans="47:47" ht="12" hidden="1" customHeight="1" x14ac:dyDescent="0.3">
      <c r="AU2567" s="45"/>
    </row>
    <row r="2568" spans="47:47" ht="12" hidden="1" customHeight="1" x14ac:dyDescent="0.3">
      <c r="AU2568" s="45"/>
    </row>
    <row r="2569" spans="47:47" ht="12" hidden="1" customHeight="1" x14ac:dyDescent="0.3">
      <c r="AU2569" s="45"/>
    </row>
    <row r="2570" spans="47:47" ht="12" hidden="1" customHeight="1" x14ac:dyDescent="0.3">
      <c r="AU2570" s="45"/>
    </row>
    <row r="2571" spans="47:47" ht="12" hidden="1" customHeight="1" x14ac:dyDescent="0.3">
      <c r="AU2571" s="45"/>
    </row>
    <row r="2572" spans="47:47" ht="12" hidden="1" customHeight="1" x14ac:dyDescent="0.3">
      <c r="AU2572" s="45"/>
    </row>
    <row r="2573" spans="47:47" ht="12" hidden="1" customHeight="1" x14ac:dyDescent="0.3">
      <c r="AU2573" s="45"/>
    </row>
    <row r="2574" spans="47:47" ht="12" hidden="1" customHeight="1" x14ac:dyDescent="0.3">
      <c r="AU2574" s="45"/>
    </row>
    <row r="2575" spans="47:47" ht="12" hidden="1" customHeight="1" x14ac:dyDescent="0.3">
      <c r="AU2575" s="45"/>
    </row>
    <row r="2576" spans="47:47" ht="12" hidden="1" customHeight="1" x14ac:dyDescent="0.3">
      <c r="AU2576" s="45"/>
    </row>
    <row r="2577" spans="47:47" ht="12" hidden="1" customHeight="1" x14ac:dyDescent="0.3">
      <c r="AU2577" s="45"/>
    </row>
    <row r="2578" spans="47:47" ht="12" hidden="1" customHeight="1" x14ac:dyDescent="0.3">
      <c r="AU2578" s="45"/>
    </row>
    <row r="2579" spans="47:47" ht="12" hidden="1" customHeight="1" x14ac:dyDescent="0.3">
      <c r="AU2579" s="45"/>
    </row>
    <row r="2580" spans="47:47" ht="12" hidden="1" customHeight="1" x14ac:dyDescent="0.3">
      <c r="AU2580" s="45"/>
    </row>
    <row r="2581" spans="47:47" ht="12" hidden="1" customHeight="1" x14ac:dyDescent="0.3">
      <c r="AU2581" s="45"/>
    </row>
    <row r="2582" spans="47:47" ht="12" hidden="1" customHeight="1" x14ac:dyDescent="0.3">
      <c r="AU2582" s="45"/>
    </row>
    <row r="2583" spans="47:47" ht="12" hidden="1" customHeight="1" x14ac:dyDescent="0.3">
      <c r="AU2583" s="45"/>
    </row>
    <row r="2584" spans="47:47" ht="12" hidden="1" customHeight="1" x14ac:dyDescent="0.3">
      <c r="AU2584" s="45"/>
    </row>
    <row r="2585" spans="47:47" ht="12" hidden="1" customHeight="1" x14ac:dyDescent="0.3">
      <c r="AU2585" s="45"/>
    </row>
    <row r="2586" spans="47:47" ht="12" hidden="1" customHeight="1" x14ac:dyDescent="0.3">
      <c r="AU2586" s="45"/>
    </row>
    <row r="2587" spans="47:47" ht="12" hidden="1" customHeight="1" x14ac:dyDescent="0.3">
      <c r="AU2587" s="45"/>
    </row>
    <row r="2588" spans="47:47" ht="12" hidden="1" customHeight="1" x14ac:dyDescent="0.3">
      <c r="AU2588" s="45"/>
    </row>
    <row r="2589" spans="47:47" ht="12" hidden="1" customHeight="1" x14ac:dyDescent="0.3">
      <c r="AU2589" s="45"/>
    </row>
    <row r="2590" spans="47:47" ht="12" hidden="1" customHeight="1" x14ac:dyDescent="0.3">
      <c r="AU2590" s="45"/>
    </row>
    <row r="2591" spans="47:47" ht="12" hidden="1" customHeight="1" x14ac:dyDescent="0.3">
      <c r="AU2591" s="45"/>
    </row>
    <row r="2592" spans="47:47" ht="12" hidden="1" customHeight="1" x14ac:dyDescent="0.3">
      <c r="AU2592" s="45"/>
    </row>
    <row r="2593" spans="47:47" ht="12" hidden="1" customHeight="1" x14ac:dyDescent="0.3">
      <c r="AU2593" s="45"/>
    </row>
    <row r="2594" spans="47:47" ht="12" hidden="1" customHeight="1" x14ac:dyDescent="0.3">
      <c r="AU2594" s="45"/>
    </row>
    <row r="2595" spans="47:47" ht="12" hidden="1" customHeight="1" x14ac:dyDescent="0.3">
      <c r="AU2595" s="45"/>
    </row>
    <row r="2596" spans="47:47" ht="12" hidden="1" customHeight="1" x14ac:dyDescent="0.3">
      <c r="AU2596" s="45"/>
    </row>
    <row r="2597" spans="47:47" ht="12" hidden="1" customHeight="1" x14ac:dyDescent="0.3">
      <c r="AU2597" s="45"/>
    </row>
    <row r="2598" spans="47:47" ht="12" hidden="1" customHeight="1" x14ac:dyDescent="0.3">
      <c r="AU2598" s="45"/>
    </row>
    <row r="2599" spans="47:47" ht="12" hidden="1" customHeight="1" x14ac:dyDescent="0.3">
      <c r="AU2599" s="45"/>
    </row>
    <row r="2600" spans="47:47" ht="12" hidden="1" customHeight="1" x14ac:dyDescent="0.3">
      <c r="AU2600" s="45"/>
    </row>
    <row r="2601" spans="47:47" ht="12" hidden="1" customHeight="1" x14ac:dyDescent="0.3">
      <c r="AU2601" s="45"/>
    </row>
    <row r="2602" spans="47:47" ht="12" hidden="1" customHeight="1" x14ac:dyDescent="0.3">
      <c r="AU2602" s="45"/>
    </row>
    <row r="2603" spans="47:47" ht="12" hidden="1" customHeight="1" x14ac:dyDescent="0.3">
      <c r="AU2603" s="45"/>
    </row>
    <row r="2604" spans="47:47" ht="12" hidden="1" customHeight="1" x14ac:dyDescent="0.3">
      <c r="AU2604" s="45"/>
    </row>
    <row r="2605" spans="47:47" ht="12" hidden="1" customHeight="1" x14ac:dyDescent="0.3">
      <c r="AU2605" s="45"/>
    </row>
    <row r="2606" spans="47:47" ht="12" hidden="1" customHeight="1" x14ac:dyDescent="0.3">
      <c r="AU2606" s="45"/>
    </row>
    <row r="2607" spans="47:47" ht="12" hidden="1" customHeight="1" x14ac:dyDescent="0.3">
      <c r="AU2607" s="45"/>
    </row>
    <row r="2608" spans="47:47" ht="12" hidden="1" customHeight="1" x14ac:dyDescent="0.3">
      <c r="AU2608" s="45"/>
    </row>
    <row r="2609" spans="47:47" ht="12" hidden="1" customHeight="1" x14ac:dyDescent="0.3">
      <c r="AU2609" s="45"/>
    </row>
    <row r="2610" spans="47:47" ht="12" hidden="1" customHeight="1" x14ac:dyDescent="0.3">
      <c r="AU2610" s="45"/>
    </row>
    <row r="2611" spans="47:47" ht="12" hidden="1" customHeight="1" x14ac:dyDescent="0.3">
      <c r="AU2611" s="45"/>
    </row>
    <row r="2612" spans="47:47" ht="12" hidden="1" customHeight="1" x14ac:dyDescent="0.3">
      <c r="AU2612" s="45"/>
    </row>
    <row r="2613" spans="47:47" ht="12" hidden="1" customHeight="1" x14ac:dyDescent="0.3">
      <c r="AU2613" s="45"/>
    </row>
    <row r="2614" spans="47:47" ht="12" hidden="1" customHeight="1" x14ac:dyDescent="0.3">
      <c r="AU2614" s="45"/>
    </row>
    <row r="2615" spans="47:47" ht="12" hidden="1" customHeight="1" x14ac:dyDescent="0.3">
      <c r="AU2615" s="45"/>
    </row>
    <row r="2616" spans="47:47" ht="12" hidden="1" customHeight="1" x14ac:dyDescent="0.3">
      <c r="AU2616" s="45"/>
    </row>
    <row r="2617" spans="47:47" ht="12" hidden="1" customHeight="1" x14ac:dyDescent="0.3">
      <c r="AU2617" s="45"/>
    </row>
    <row r="2618" spans="47:47" ht="12" hidden="1" customHeight="1" x14ac:dyDescent="0.3">
      <c r="AU2618" s="45"/>
    </row>
    <row r="2619" spans="47:47" ht="12" hidden="1" customHeight="1" x14ac:dyDescent="0.3">
      <c r="AU2619" s="45"/>
    </row>
    <row r="2620" spans="47:47" ht="12" hidden="1" customHeight="1" x14ac:dyDescent="0.3">
      <c r="AU2620" s="45"/>
    </row>
    <row r="2621" spans="47:47" ht="12" hidden="1" customHeight="1" x14ac:dyDescent="0.3">
      <c r="AU2621" s="45"/>
    </row>
    <row r="2622" spans="47:47" ht="12" hidden="1" customHeight="1" x14ac:dyDescent="0.3">
      <c r="AU2622" s="45"/>
    </row>
    <row r="2623" spans="47:47" ht="12" hidden="1" customHeight="1" x14ac:dyDescent="0.3">
      <c r="AU2623" s="45"/>
    </row>
    <row r="2624" spans="47:47" ht="12" hidden="1" customHeight="1" x14ac:dyDescent="0.3">
      <c r="AU2624" s="45"/>
    </row>
    <row r="2625" spans="47:47" ht="12" hidden="1" customHeight="1" x14ac:dyDescent="0.3">
      <c r="AU2625" s="45"/>
    </row>
    <row r="2626" spans="47:47" ht="12" hidden="1" customHeight="1" x14ac:dyDescent="0.3">
      <c r="AU2626" s="45"/>
    </row>
    <row r="2627" spans="47:47" ht="12" hidden="1" customHeight="1" x14ac:dyDescent="0.3">
      <c r="AU2627" s="45"/>
    </row>
    <row r="2628" spans="47:47" ht="12" hidden="1" customHeight="1" x14ac:dyDescent="0.3">
      <c r="AU2628" s="45"/>
    </row>
    <row r="2629" spans="47:47" ht="12" hidden="1" customHeight="1" x14ac:dyDescent="0.3">
      <c r="AU2629" s="45"/>
    </row>
    <row r="2630" spans="47:47" ht="12" hidden="1" customHeight="1" x14ac:dyDescent="0.3">
      <c r="AU2630" s="45"/>
    </row>
    <row r="2631" spans="47:47" ht="12" hidden="1" customHeight="1" x14ac:dyDescent="0.3">
      <c r="AU2631" s="45"/>
    </row>
    <row r="2632" spans="47:47" ht="12" hidden="1" customHeight="1" x14ac:dyDescent="0.3">
      <c r="AU2632" s="45"/>
    </row>
    <row r="2633" spans="47:47" ht="12" hidden="1" customHeight="1" x14ac:dyDescent="0.3">
      <c r="AU2633" s="45"/>
    </row>
    <row r="2634" spans="47:47" ht="12" hidden="1" customHeight="1" x14ac:dyDescent="0.3">
      <c r="AU2634" s="45"/>
    </row>
    <row r="2635" spans="47:47" ht="12" hidden="1" customHeight="1" x14ac:dyDescent="0.3">
      <c r="AU2635" s="45"/>
    </row>
    <row r="2636" spans="47:47" ht="12" hidden="1" customHeight="1" x14ac:dyDescent="0.3">
      <c r="AU2636" s="45"/>
    </row>
    <row r="2637" spans="47:47" ht="12" hidden="1" customHeight="1" x14ac:dyDescent="0.3">
      <c r="AU2637" s="45"/>
    </row>
    <row r="2638" spans="47:47" ht="12" hidden="1" customHeight="1" x14ac:dyDescent="0.3">
      <c r="AU2638" s="45"/>
    </row>
    <row r="2639" spans="47:47" ht="12" hidden="1" customHeight="1" x14ac:dyDescent="0.3">
      <c r="AU2639" s="45"/>
    </row>
    <row r="2640" spans="47:47" ht="12" hidden="1" customHeight="1" x14ac:dyDescent="0.3">
      <c r="AU2640" s="45"/>
    </row>
    <row r="2641" spans="47:47" ht="12" hidden="1" customHeight="1" x14ac:dyDescent="0.3">
      <c r="AU2641" s="45"/>
    </row>
    <row r="2642" spans="47:47" ht="12" hidden="1" customHeight="1" x14ac:dyDescent="0.3">
      <c r="AU2642" s="45"/>
    </row>
    <row r="2643" spans="47:47" ht="12" hidden="1" customHeight="1" x14ac:dyDescent="0.3">
      <c r="AU2643" s="45"/>
    </row>
    <row r="2644" spans="47:47" ht="12" hidden="1" customHeight="1" x14ac:dyDescent="0.3">
      <c r="AU2644" s="45"/>
    </row>
    <row r="2645" spans="47:47" ht="12" hidden="1" customHeight="1" x14ac:dyDescent="0.3">
      <c r="AU2645" s="45"/>
    </row>
    <row r="2646" spans="47:47" ht="12" hidden="1" customHeight="1" x14ac:dyDescent="0.3">
      <c r="AU2646" s="45"/>
    </row>
    <row r="2647" spans="47:47" ht="12" hidden="1" customHeight="1" x14ac:dyDescent="0.3">
      <c r="AU2647" s="45"/>
    </row>
    <row r="2648" spans="47:47" ht="12" hidden="1" customHeight="1" x14ac:dyDescent="0.3">
      <c r="AU2648" s="45"/>
    </row>
    <row r="2649" spans="47:47" ht="12" hidden="1" customHeight="1" x14ac:dyDescent="0.3">
      <c r="AU2649" s="45"/>
    </row>
    <row r="2650" spans="47:47" ht="12" hidden="1" customHeight="1" x14ac:dyDescent="0.3">
      <c r="AU2650" s="45"/>
    </row>
    <row r="2651" spans="47:47" ht="12" hidden="1" customHeight="1" x14ac:dyDescent="0.3">
      <c r="AU2651" s="45"/>
    </row>
    <row r="2652" spans="47:47" ht="12" hidden="1" customHeight="1" x14ac:dyDescent="0.3">
      <c r="AU2652" s="45"/>
    </row>
    <row r="2653" spans="47:47" ht="12" hidden="1" customHeight="1" x14ac:dyDescent="0.3">
      <c r="AU2653" s="45"/>
    </row>
    <row r="2654" spans="47:47" ht="12" hidden="1" customHeight="1" x14ac:dyDescent="0.3">
      <c r="AU2654" s="45"/>
    </row>
    <row r="2655" spans="47:47" ht="12" hidden="1" customHeight="1" x14ac:dyDescent="0.3">
      <c r="AU2655" s="45"/>
    </row>
    <row r="2656" spans="47:47" ht="12" hidden="1" customHeight="1" x14ac:dyDescent="0.3">
      <c r="AU2656" s="45"/>
    </row>
    <row r="2657" spans="47:47" ht="12" hidden="1" customHeight="1" x14ac:dyDescent="0.3">
      <c r="AU2657" s="45"/>
    </row>
    <row r="2658" spans="47:47" ht="12" hidden="1" customHeight="1" x14ac:dyDescent="0.3">
      <c r="AU2658" s="45"/>
    </row>
    <row r="2659" spans="47:47" ht="12" hidden="1" customHeight="1" x14ac:dyDescent="0.3">
      <c r="AU2659" s="45"/>
    </row>
    <row r="2660" spans="47:47" ht="12" hidden="1" customHeight="1" x14ac:dyDescent="0.3">
      <c r="AU2660" s="45"/>
    </row>
    <row r="2661" spans="47:47" ht="12" hidden="1" customHeight="1" x14ac:dyDescent="0.3">
      <c r="AU2661" s="45"/>
    </row>
    <row r="2662" spans="47:47" ht="12" hidden="1" customHeight="1" x14ac:dyDescent="0.3">
      <c r="AU2662" s="45"/>
    </row>
    <row r="2663" spans="47:47" ht="12" hidden="1" customHeight="1" x14ac:dyDescent="0.3">
      <c r="AU2663" s="45"/>
    </row>
    <row r="2664" spans="47:47" ht="12" hidden="1" customHeight="1" x14ac:dyDescent="0.3">
      <c r="AU2664" s="45"/>
    </row>
    <row r="2665" spans="47:47" ht="12" hidden="1" customHeight="1" x14ac:dyDescent="0.3">
      <c r="AU2665" s="45"/>
    </row>
    <row r="2666" spans="47:47" ht="12" hidden="1" customHeight="1" x14ac:dyDescent="0.3">
      <c r="AU2666" s="45"/>
    </row>
    <row r="2667" spans="47:47" ht="12" hidden="1" customHeight="1" x14ac:dyDescent="0.3">
      <c r="AU2667" s="45"/>
    </row>
    <row r="2668" spans="47:47" ht="12" hidden="1" customHeight="1" x14ac:dyDescent="0.3">
      <c r="AU2668" s="45"/>
    </row>
    <row r="2669" spans="47:47" ht="12" hidden="1" customHeight="1" x14ac:dyDescent="0.3">
      <c r="AU2669" s="45"/>
    </row>
    <row r="2670" spans="47:47" ht="12" hidden="1" customHeight="1" x14ac:dyDescent="0.3">
      <c r="AU2670" s="45"/>
    </row>
    <row r="2671" spans="47:47" ht="12" hidden="1" customHeight="1" x14ac:dyDescent="0.3">
      <c r="AU2671" s="45"/>
    </row>
    <row r="2672" spans="47:47" ht="12" hidden="1" customHeight="1" x14ac:dyDescent="0.3">
      <c r="AU2672" s="45"/>
    </row>
    <row r="2673" spans="47:47" ht="12" hidden="1" customHeight="1" x14ac:dyDescent="0.3">
      <c r="AU2673" s="45"/>
    </row>
    <row r="2674" spans="47:47" ht="12" hidden="1" customHeight="1" x14ac:dyDescent="0.3">
      <c r="AU2674" s="45"/>
    </row>
    <row r="2675" spans="47:47" ht="12" hidden="1" customHeight="1" x14ac:dyDescent="0.3">
      <c r="AU2675" s="45"/>
    </row>
    <row r="2676" spans="47:47" ht="12" hidden="1" customHeight="1" x14ac:dyDescent="0.3">
      <c r="AU2676" s="45"/>
    </row>
    <row r="2677" spans="47:47" ht="12" hidden="1" customHeight="1" x14ac:dyDescent="0.3">
      <c r="AU2677" s="45"/>
    </row>
    <row r="2678" spans="47:47" ht="12" hidden="1" customHeight="1" x14ac:dyDescent="0.3">
      <c r="AU2678" s="45"/>
    </row>
    <row r="2679" spans="47:47" ht="12" hidden="1" customHeight="1" x14ac:dyDescent="0.3">
      <c r="AU2679" s="45"/>
    </row>
    <row r="2680" spans="47:47" ht="12" hidden="1" customHeight="1" x14ac:dyDescent="0.3">
      <c r="AU2680" s="45"/>
    </row>
    <row r="2681" spans="47:47" ht="12" hidden="1" customHeight="1" x14ac:dyDescent="0.3">
      <c r="AU2681" s="45"/>
    </row>
    <row r="2682" spans="47:47" ht="12" hidden="1" customHeight="1" x14ac:dyDescent="0.3">
      <c r="AU2682" s="45"/>
    </row>
    <row r="2683" spans="47:47" ht="12" hidden="1" customHeight="1" x14ac:dyDescent="0.3">
      <c r="AU2683" s="45"/>
    </row>
    <row r="2684" spans="47:47" ht="12" hidden="1" customHeight="1" x14ac:dyDescent="0.3">
      <c r="AU2684" s="45"/>
    </row>
    <row r="2685" spans="47:47" ht="12" hidden="1" customHeight="1" x14ac:dyDescent="0.3">
      <c r="AU2685" s="45"/>
    </row>
    <row r="2686" spans="47:47" ht="12" hidden="1" customHeight="1" x14ac:dyDescent="0.3">
      <c r="AU2686" s="45"/>
    </row>
    <row r="2687" spans="47:47" ht="12" hidden="1" customHeight="1" x14ac:dyDescent="0.3">
      <c r="AU2687" s="45"/>
    </row>
    <row r="2688" spans="47:47" ht="12" hidden="1" customHeight="1" x14ac:dyDescent="0.3">
      <c r="AU2688" s="45"/>
    </row>
    <row r="2689" spans="47:47" ht="12" hidden="1" customHeight="1" x14ac:dyDescent="0.3">
      <c r="AU2689" s="45"/>
    </row>
    <row r="2690" spans="47:47" ht="12" hidden="1" customHeight="1" x14ac:dyDescent="0.3">
      <c r="AU2690" s="45"/>
    </row>
    <row r="2691" spans="47:47" ht="12" hidden="1" customHeight="1" x14ac:dyDescent="0.3">
      <c r="AU2691" s="45"/>
    </row>
    <row r="2692" spans="47:47" ht="12" hidden="1" customHeight="1" x14ac:dyDescent="0.3">
      <c r="AU2692" s="45"/>
    </row>
    <row r="2693" spans="47:47" ht="12" hidden="1" customHeight="1" x14ac:dyDescent="0.3">
      <c r="AU2693" s="45"/>
    </row>
    <row r="2694" spans="47:47" ht="12" hidden="1" customHeight="1" x14ac:dyDescent="0.3">
      <c r="AU2694" s="45"/>
    </row>
    <row r="2695" spans="47:47" ht="12" hidden="1" customHeight="1" x14ac:dyDescent="0.3">
      <c r="AU2695" s="45"/>
    </row>
    <row r="2696" spans="47:47" ht="12" hidden="1" customHeight="1" x14ac:dyDescent="0.3">
      <c r="AU2696" s="45"/>
    </row>
    <row r="2697" spans="47:47" ht="12" hidden="1" customHeight="1" x14ac:dyDescent="0.3">
      <c r="AU2697" s="45"/>
    </row>
    <row r="2698" spans="47:47" ht="12" hidden="1" customHeight="1" x14ac:dyDescent="0.3">
      <c r="AU2698" s="45"/>
    </row>
    <row r="2699" spans="47:47" ht="12" hidden="1" customHeight="1" x14ac:dyDescent="0.3">
      <c r="AU2699" s="45"/>
    </row>
    <row r="2700" spans="47:47" ht="12" hidden="1" customHeight="1" x14ac:dyDescent="0.3">
      <c r="AU2700" s="45"/>
    </row>
    <row r="2701" spans="47:47" ht="12" hidden="1" customHeight="1" x14ac:dyDescent="0.3">
      <c r="AU2701" s="45"/>
    </row>
    <row r="2702" spans="47:47" ht="12" hidden="1" customHeight="1" x14ac:dyDescent="0.3">
      <c r="AU2702" s="45"/>
    </row>
    <row r="2703" spans="47:47" ht="12" hidden="1" customHeight="1" x14ac:dyDescent="0.3">
      <c r="AU2703" s="45"/>
    </row>
    <row r="2704" spans="47:47" ht="12" hidden="1" customHeight="1" x14ac:dyDescent="0.3">
      <c r="AU2704" s="45"/>
    </row>
    <row r="2705" spans="47:47" ht="12" hidden="1" customHeight="1" x14ac:dyDescent="0.3">
      <c r="AU2705" s="45"/>
    </row>
    <row r="2706" spans="47:47" ht="12" hidden="1" customHeight="1" x14ac:dyDescent="0.3">
      <c r="AU2706" s="45"/>
    </row>
    <row r="2707" spans="47:47" ht="12" hidden="1" customHeight="1" x14ac:dyDescent="0.3">
      <c r="AU2707" s="45"/>
    </row>
    <row r="2708" spans="47:47" ht="12" hidden="1" customHeight="1" x14ac:dyDescent="0.3">
      <c r="AU2708" s="45"/>
    </row>
    <row r="2709" spans="47:47" ht="12" hidden="1" customHeight="1" x14ac:dyDescent="0.3">
      <c r="AU2709" s="45"/>
    </row>
    <row r="2710" spans="47:47" ht="12" hidden="1" customHeight="1" x14ac:dyDescent="0.3">
      <c r="AU2710" s="45"/>
    </row>
    <row r="2711" spans="47:47" ht="12" hidden="1" customHeight="1" x14ac:dyDescent="0.3">
      <c r="AU2711" s="45"/>
    </row>
    <row r="2712" spans="47:47" ht="12" hidden="1" customHeight="1" x14ac:dyDescent="0.3">
      <c r="AU2712" s="45"/>
    </row>
    <row r="2713" spans="47:47" ht="12" hidden="1" customHeight="1" x14ac:dyDescent="0.3">
      <c r="AU2713" s="45"/>
    </row>
    <row r="2714" spans="47:47" ht="12" hidden="1" customHeight="1" x14ac:dyDescent="0.3">
      <c r="AU2714" s="45"/>
    </row>
    <row r="2715" spans="47:47" ht="12" hidden="1" customHeight="1" x14ac:dyDescent="0.3">
      <c r="AU2715" s="45"/>
    </row>
    <row r="2716" spans="47:47" ht="12" hidden="1" customHeight="1" x14ac:dyDescent="0.3">
      <c r="AU2716" s="45"/>
    </row>
    <row r="2717" spans="47:47" ht="12" hidden="1" customHeight="1" x14ac:dyDescent="0.3">
      <c r="AU2717" s="45"/>
    </row>
    <row r="2718" spans="47:47" ht="12" hidden="1" customHeight="1" x14ac:dyDescent="0.3">
      <c r="AU2718" s="45"/>
    </row>
    <row r="2719" spans="47:47" ht="12" hidden="1" customHeight="1" x14ac:dyDescent="0.3">
      <c r="AU2719" s="45"/>
    </row>
    <row r="2720" spans="47:47" ht="12" hidden="1" customHeight="1" x14ac:dyDescent="0.3">
      <c r="AU2720" s="45"/>
    </row>
    <row r="2721" spans="47:47" ht="12" hidden="1" customHeight="1" x14ac:dyDescent="0.3">
      <c r="AU2721" s="45"/>
    </row>
    <row r="2722" spans="47:47" ht="12" hidden="1" customHeight="1" x14ac:dyDescent="0.3">
      <c r="AU2722" s="45"/>
    </row>
    <row r="2723" spans="47:47" ht="12" hidden="1" customHeight="1" x14ac:dyDescent="0.3">
      <c r="AU2723" s="45"/>
    </row>
    <row r="2724" spans="47:47" ht="12" hidden="1" customHeight="1" x14ac:dyDescent="0.3">
      <c r="AU2724" s="45"/>
    </row>
    <row r="2725" spans="47:47" ht="12" hidden="1" customHeight="1" x14ac:dyDescent="0.3">
      <c r="AU2725" s="45"/>
    </row>
    <row r="2726" spans="47:47" ht="12" hidden="1" customHeight="1" x14ac:dyDescent="0.3">
      <c r="AU2726" s="45"/>
    </row>
    <row r="2727" spans="47:47" ht="12" hidden="1" customHeight="1" x14ac:dyDescent="0.3">
      <c r="AU2727" s="45"/>
    </row>
    <row r="2728" spans="47:47" ht="12" hidden="1" customHeight="1" x14ac:dyDescent="0.3">
      <c r="AU2728" s="45"/>
    </row>
    <row r="2729" spans="47:47" ht="12" hidden="1" customHeight="1" x14ac:dyDescent="0.3">
      <c r="AU2729" s="45"/>
    </row>
    <row r="2730" spans="47:47" ht="12" hidden="1" customHeight="1" x14ac:dyDescent="0.3">
      <c r="AU2730" s="45"/>
    </row>
    <row r="2731" spans="47:47" ht="12" hidden="1" customHeight="1" x14ac:dyDescent="0.3">
      <c r="AU2731" s="45"/>
    </row>
    <row r="2732" spans="47:47" ht="12" hidden="1" customHeight="1" x14ac:dyDescent="0.3">
      <c r="AU2732" s="45"/>
    </row>
    <row r="2733" spans="47:47" ht="12" hidden="1" customHeight="1" x14ac:dyDescent="0.3">
      <c r="AU2733" s="45"/>
    </row>
    <row r="2734" spans="47:47" ht="12" hidden="1" customHeight="1" x14ac:dyDescent="0.3">
      <c r="AU2734" s="45"/>
    </row>
    <row r="2735" spans="47:47" ht="12" hidden="1" customHeight="1" x14ac:dyDescent="0.3">
      <c r="AU2735" s="45"/>
    </row>
    <row r="2736" spans="47:47" ht="12" hidden="1" customHeight="1" x14ac:dyDescent="0.3">
      <c r="AU2736" s="45"/>
    </row>
    <row r="2737" spans="47:47" ht="12" hidden="1" customHeight="1" x14ac:dyDescent="0.3">
      <c r="AU2737" s="45"/>
    </row>
    <row r="2738" spans="47:47" ht="12" hidden="1" customHeight="1" x14ac:dyDescent="0.3">
      <c r="AU2738" s="45"/>
    </row>
    <row r="2739" spans="47:47" ht="12" hidden="1" customHeight="1" x14ac:dyDescent="0.3">
      <c r="AU2739" s="45"/>
    </row>
    <row r="2740" spans="47:47" ht="12" hidden="1" customHeight="1" x14ac:dyDescent="0.3">
      <c r="AU2740" s="45"/>
    </row>
    <row r="2741" spans="47:47" ht="12" hidden="1" customHeight="1" x14ac:dyDescent="0.3">
      <c r="AU2741" s="45"/>
    </row>
    <row r="2742" spans="47:47" ht="12" hidden="1" customHeight="1" x14ac:dyDescent="0.3">
      <c r="AU2742" s="45"/>
    </row>
    <row r="2743" spans="47:47" ht="12" hidden="1" customHeight="1" x14ac:dyDescent="0.3">
      <c r="AU2743" s="45"/>
    </row>
    <row r="2744" spans="47:47" ht="12" hidden="1" customHeight="1" x14ac:dyDescent="0.3">
      <c r="AU2744" s="45"/>
    </row>
    <row r="2745" spans="47:47" ht="12" hidden="1" customHeight="1" x14ac:dyDescent="0.3">
      <c r="AU2745" s="45"/>
    </row>
    <row r="2746" spans="47:47" ht="12" hidden="1" customHeight="1" x14ac:dyDescent="0.3">
      <c r="AU2746" s="45"/>
    </row>
    <row r="2747" spans="47:47" ht="12" hidden="1" customHeight="1" x14ac:dyDescent="0.3">
      <c r="AU2747" s="45"/>
    </row>
    <row r="2748" spans="47:47" ht="12" hidden="1" customHeight="1" x14ac:dyDescent="0.3">
      <c r="AU2748" s="45"/>
    </row>
    <row r="2749" spans="47:47" ht="12" hidden="1" customHeight="1" x14ac:dyDescent="0.3">
      <c r="AU2749" s="45"/>
    </row>
    <row r="2750" spans="47:47" ht="12" hidden="1" customHeight="1" x14ac:dyDescent="0.3">
      <c r="AU2750" s="45"/>
    </row>
    <row r="2751" spans="47:47" ht="12" hidden="1" customHeight="1" x14ac:dyDescent="0.3">
      <c r="AU2751" s="45"/>
    </row>
    <row r="2752" spans="47:47" ht="12" hidden="1" customHeight="1" x14ac:dyDescent="0.3">
      <c r="AU2752" s="45"/>
    </row>
    <row r="2753" spans="47:47" ht="12" hidden="1" customHeight="1" x14ac:dyDescent="0.3">
      <c r="AU2753" s="45"/>
    </row>
    <row r="2754" spans="47:47" ht="12" hidden="1" customHeight="1" x14ac:dyDescent="0.3">
      <c r="AU2754" s="45"/>
    </row>
    <row r="2755" spans="47:47" ht="12" hidden="1" customHeight="1" x14ac:dyDescent="0.3">
      <c r="AU2755" s="45"/>
    </row>
    <row r="2756" spans="47:47" ht="12" hidden="1" customHeight="1" x14ac:dyDescent="0.3">
      <c r="AU2756" s="45"/>
    </row>
    <row r="2757" spans="47:47" ht="12" hidden="1" customHeight="1" x14ac:dyDescent="0.3">
      <c r="AU2757" s="45"/>
    </row>
    <row r="2758" spans="47:47" ht="12" hidden="1" customHeight="1" x14ac:dyDescent="0.3">
      <c r="AU2758" s="45"/>
    </row>
    <row r="2759" spans="47:47" ht="12" hidden="1" customHeight="1" x14ac:dyDescent="0.3">
      <c r="AU2759" s="45"/>
    </row>
    <row r="2760" spans="47:47" ht="12" hidden="1" customHeight="1" x14ac:dyDescent="0.3">
      <c r="AU2760" s="45"/>
    </row>
    <row r="2761" spans="47:47" ht="12" hidden="1" customHeight="1" x14ac:dyDescent="0.3">
      <c r="AU2761" s="45"/>
    </row>
    <row r="2762" spans="47:47" ht="12" hidden="1" customHeight="1" x14ac:dyDescent="0.3">
      <c r="AU2762" s="45"/>
    </row>
    <row r="2763" spans="47:47" ht="12" hidden="1" customHeight="1" x14ac:dyDescent="0.3">
      <c r="AU2763" s="45"/>
    </row>
    <row r="2764" spans="47:47" ht="12" hidden="1" customHeight="1" x14ac:dyDescent="0.3">
      <c r="AU2764" s="45"/>
    </row>
    <row r="2765" spans="47:47" ht="12" hidden="1" customHeight="1" x14ac:dyDescent="0.3">
      <c r="AU2765" s="45"/>
    </row>
    <row r="2766" spans="47:47" ht="12" hidden="1" customHeight="1" x14ac:dyDescent="0.3">
      <c r="AU2766" s="45"/>
    </row>
    <row r="2767" spans="47:47" ht="12" hidden="1" customHeight="1" x14ac:dyDescent="0.3">
      <c r="AU2767" s="45"/>
    </row>
    <row r="2768" spans="47:47" ht="12" hidden="1" customHeight="1" x14ac:dyDescent="0.3">
      <c r="AU2768" s="45"/>
    </row>
    <row r="2769" spans="47:47" ht="12" hidden="1" customHeight="1" x14ac:dyDescent="0.3">
      <c r="AU2769" s="45"/>
    </row>
    <row r="2770" spans="47:47" ht="12" hidden="1" customHeight="1" x14ac:dyDescent="0.3">
      <c r="AU2770" s="45"/>
    </row>
    <row r="2771" spans="47:47" ht="12" hidden="1" customHeight="1" x14ac:dyDescent="0.3">
      <c r="AU2771" s="45"/>
    </row>
    <row r="2772" spans="47:47" ht="12" hidden="1" customHeight="1" x14ac:dyDescent="0.3">
      <c r="AU2772" s="45"/>
    </row>
    <row r="2773" spans="47:47" ht="12" hidden="1" customHeight="1" x14ac:dyDescent="0.3">
      <c r="AU2773" s="45"/>
    </row>
    <row r="2774" spans="47:47" ht="12" hidden="1" customHeight="1" x14ac:dyDescent="0.3">
      <c r="AU2774" s="45"/>
    </row>
    <row r="2775" spans="47:47" ht="12" hidden="1" customHeight="1" x14ac:dyDescent="0.3">
      <c r="AU2775" s="45"/>
    </row>
    <row r="2776" spans="47:47" ht="12" hidden="1" customHeight="1" x14ac:dyDescent="0.3">
      <c r="AU2776" s="45"/>
    </row>
    <row r="2777" spans="47:47" ht="12" hidden="1" customHeight="1" x14ac:dyDescent="0.3">
      <c r="AU2777" s="45"/>
    </row>
    <row r="2778" spans="47:47" ht="12" hidden="1" customHeight="1" x14ac:dyDescent="0.3">
      <c r="AU2778" s="45"/>
    </row>
    <row r="2779" spans="47:47" ht="12" hidden="1" customHeight="1" x14ac:dyDescent="0.3">
      <c r="AU2779" s="45"/>
    </row>
    <row r="2780" spans="47:47" ht="12" hidden="1" customHeight="1" x14ac:dyDescent="0.3">
      <c r="AU2780" s="45"/>
    </row>
    <row r="2781" spans="47:47" ht="12" hidden="1" customHeight="1" x14ac:dyDescent="0.3">
      <c r="AU2781" s="45"/>
    </row>
    <row r="2782" spans="47:47" ht="12" hidden="1" customHeight="1" x14ac:dyDescent="0.3">
      <c r="AU2782" s="45"/>
    </row>
    <row r="2783" spans="47:47" ht="12" hidden="1" customHeight="1" x14ac:dyDescent="0.3">
      <c r="AU2783" s="45"/>
    </row>
    <row r="2784" spans="47:47" ht="12" hidden="1" customHeight="1" x14ac:dyDescent="0.3">
      <c r="AU2784" s="45"/>
    </row>
    <row r="2785" spans="47:47" ht="12" hidden="1" customHeight="1" x14ac:dyDescent="0.3">
      <c r="AU2785" s="45"/>
    </row>
    <row r="2786" spans="47:47" ht="12" hidden="1" customHeight="1" x14ac:dyDescent="0.3">
      <c r="AU2786" s="45"/>
    </row>
    <row r="2787" spans="47:47" ht="12" hidden="1" customHeight="1" x14ac:dyDescent="0.3">
      <c r="AU2787" s="45"/>
    </row>
    <row r="2788" spans="47:47" ht="12" hidden="1" customHeight="1" x14ac:dyDescent="0.3">
      <c r="AU2788" s="45"/>
    </row>
    <row r="2789" spans="47:47" ht="12" hidden="1" customHeight="1" x14ac:dyDescent="0.3">
      <c r="AU2789" s="45"/>
    </row>
    <row r="2790" spans="47:47" ht="12" hidden="1" customHeight="1" x14ac:dyDescent="0.3">
      <c r="AU2790" s="45"/>
    </row>
    <row r="2791" spans="47:47" ht="12" hidden="1" customHeight="1" x14ac:dyDescent="0.3">
      <c r="AU2791" s="45"/>
    </row>
    <row r="2792" spans="47:47" ht="12" hidden="1" customHeight="1" x14ac:dyDescent="0.3">
      <c r="AU2792" s="45"/>
    </row>
    <row r="2793" spans="47:47" ht="12" hidden="1" customHeight="1" x14ac:dyDescent="0.3">
      <c r="AU2793" s="45"/>
    </row>
    <row r="2794" spans="47:47" ht="12" hidden="1" customHeight="1" x14ac:dyDescent="0.3">
      <c r="AU2794" s="45"/>
    </row>
    <row r="2795" spans="47:47" ht="12" hidden="1" customHeight="1" x14ac:dyDescent="0.3">
      <c r="AU2795" s="45"/>
    </row>
    <row r="2796" spans="47:47" ht="12" hidden="1" customHeight="1" x14ac:dyDescent="0.3">
      <c r="AU2796" s="45"/>
    </row>
    <row r="2797" spans="47:47" ht="12" hidden="1" customHeight="1" x14ac:dyDescent="0.3">
      <c r="AU2797" s="45"/>
    </row>
    <row r="2798" spans="47:47" ht="12" hidden="1" customHeight="1" x14ac:dyDescent="0.3">
      <c r="AU2798" s="45"/>
    </row>
    <row r="2799" spans="47:47" ht="12" hidden="1" customHeight="1" x14ac:dyDescent="0.3">
      <c r="AU2799" s="45"/>
    </row>
    <row r="2800" spans="47:47" ht="12" hidden="1" customHeight="1" x14ac:dyDescent="0.3">
      <c r="AU2800" s="45"/>
    </row>
    <row r="2801" spans="47:47" ht="12" hidden="1" customHeight="1" x14ac:dyDescent="0.3">
      <c r="AU2801" s="45"/>
    </row>
    <row r="2802" spans="47:47" ht="12" hidden="1" customHeight="1" x14ac:dyDescent="0.3">
      <c r="AU2802" s="45"/>
    </row>
    <row r="2803" spans="47:47" ht="12" hidden="1" customHeight="1" x14ac:dyDescent="0.3">
      <c r="AU2803" s="45"/>
    </row>
    <row r="2804" spans="47:47" ht="12" hidden="1" customHeight="1" x14ac:dyDescent="0.3">
      <c r="AU2804" s="45"/>
    </row>
    <row r="2805" spans="47:47" ht="12" hidden="1" customHeight="1" x14ac:dyDescent="0.3">
      <c r="AU2805" s="45"/>
    </row>
    <row r="2806" spans="47:47" ht="12" hidden="1" customHeight="1" x14ac:dyDescent="0.3">
      <c r="AU2806" s="45"/>
    </row>
    <row r="2807" spans="47:47" ht="12" hidden="1" customHeight="1" x14ac:dyDescent="0.3">
      <c r="AU2807" s="45"/>
    </row>
    <row r="2808" spans="47:47" ht="12" hidden="1" customHeight="1" x14ac:dyDescent="0.3">
      <c r="AU2808" s="45"/>
    </row>
    <row r="2809" spans="47:47" ht="12" hidden="1" customHeight="1" x14ac:dyDescent="0.3">
      <c r="AU2809" s="45"/>
    </row>
    <row r="2810" spans="47:47" ht="12" hidden="1" customHeight="1" x14ac:dyDescent="0.3">
      <c r="AU2810" s="45"/>
    </row>
    <row r="2811" spans="47:47" ht="12" hidden="1" customHeight="1" x14ac:dyDescent="0.3">
      <c r="AU2811" s="45"/>
    </row>
    <row r="2812" spans="47:47" ht="12" hidden="1" customHeight="1" x14ac:dyDescent="0.3">
      <c r="AU2812" s="45"/>
    </row>
    <row r="2813" spans="47:47" ht="12" hidden="1" customHeight="1" x14ac:dyDescent="0.3">
      <c r="AU2813" s="45"/>
    </row>
    <row r="2814" spans="47:47" ht="12" hidden="1" customHeight="1" x14ac:dyDescent="0.3">
      <c r="AU2814" s="45"/>
    </row>
    <row r="2815" spans="47:47" ht="12" hidden="1" customHeight="1" x14ac:dyDescent="0.3">
      <c r="AU2815" s="45"/>
    </row>
    <row r="2816" spans="47:47" ht="12" hidden="1" customHeight="1" x14ac:dyDescent="0.3">
      <c r="AU2816" s="45"/>
    </row>
    <row r="2817" spans="47:47" ht="12" hidden="1" customHeight="1" x14ac:dyDescent="0.3">
      <c r="AU2817" s="45"/>
    </row>
    <row r="2818" spans="47:47" ht="12" hidden="1" customHeight="1" x14ac:dyDescent="0.3">
      <c r="AU2818" s="45"/>
    </row>
    <row r="2819" spans="47:47" ht="12" hidden="1" customHeight="1" x14ac:dyDescent="0.3">
      <c r="AU2819" s="45"/>
    </row>
    <row r="2820" spans="47:47" ht="12" hidden="1" customHeight="1" x14ac:dyDescent="0.3">
      <c r="AU2820" s="45"/>
    </row>
    <row r="2821" spans="47:47" ht="12" hidden="1" customHeight="1" x14ac:dyDescent="0.3">
      <c r="AU2821" s="45"/>
    </row>
    <row r="2822" spans="47:47" ht="12" hidden="1" customHeight="1" x14ac:dyDescent="0.3">
      <c r="AU2822" s="45"/>
    </row>
    <row r="2823" spans="47:47" ht="12" hidden="1" customHeight="1" x14ac:dyDescent="0.3">
      <c r="AU2823" s="45"/>
    </row>
    <row r="2824" spans="47:47" ht="12" hidden="1" customHeight="1" x14ac:dyDescent="0.3">
      <c r="AU2824" s="45"/>
    </row>
    <row r="2825" spans="47:47" ht="12" hidden="1" customHeight="1" x14ac:dyDescent="0.3">
      <c r="AU2825" s="45"/>
    </row>
    <row r="2826" spans="47:47" ht="12" hidden="1" customHeight="1" x14ac:dyDescent="0.3">
      <c r="AU2826" s="45"/>
    </row>
    <row r="2827" spans="47:47" ht="12" hidden="1" customHeight="1" x14ac:dyDescent="0.3">
      <c r="AU2827" s="45"/>
    </row>
    <row r="2828" spans="47:47" ht="12" hidden="1" customHeight="1" x14ac:dyDescent="0.3">
      <c r="AU2828" s="45"/>
    </row>
    <row r="2829" spans="47:47" ht="12" hidden="1" customHeight="1" x14ac:dyDescent="0.3">
      <c r="AU2829" s="45"/>
    </row>
    <row r="2830" spans="47:47" ht="12" hidden="1" customHeight="1" x14ac:dyDescent="0.3">
      <c r="AU2830" s="45"/>
    </row>
    <row r="2831" spans="47:47" ht="12" hidden="1" customHeight="1" x14ac:dyDescent="0.3">
      <c r="AU2831" s="45"/>
    </row>
    <row r="2832" spans="47:47" ht="12" hidden="1" customHeight="1" x14ac:dyDescent="0.3">
      <c r="AU2832" s="45"/>
    </row>
    <row r="2833" spans="47:47" ht="12" hidden="1" customHeight="1" x14ac:dyDescent="0.3">
      <c r="AU2833" s="45"/>
    </row>
    <row r="2834" spans="47:47" ht="12" hidden="1" customHeight="1" x14ac:dyDescent="0.3">
      <c r="AU2834" s="45"/>
    </row>
    <row r="2835" spans="47:47" ht="12" hidden="1" customHeight="1" x14ac:dyDescent="0.3">
      <c r="AU2835" s="45"/>
    </row>
    <row r="2836" spans="47:47" ht="12" hidden="1" customHeight="1" x14ac:dyDescent="0.3">
      <c r="AU2836" s="45"/>
    </row>
    <row r="2837" spans="47:47" ht="12" hidden="1" customHeight="1" x14ac:dyDescent="0.3">
      <c r="AU2837" s="45"/>
    </row>
    <row r="2838" spans="47:47" ht="12" hidden="1" customHeight="1" x14ac:dyDescent="0.3">
      <c r="AU2838" s="45"/>
    </row>
    <row r="2839" spans="47:47" ht="12" hidden="1" customHeight="1" x14ac:dyDescent="0.3">
      <c r="AU2839" s="45"/>
    </row>
    <row r="2840" spans="47:47" ht="12" hidden="1" customHeight="1" x14ac:dyDescent="0.3">
      <c r="AU2840" s="45"/>
    </row>
    <row r="2841" spans="47:47" ht="12" hidden="1" customHeight="1" x14ac:dyDescent="0.3">
      <c r="AU2841" s="45"/>
    </row>
    <row r="2842" spans="47:47" ht="12" hidden="1" customHeight="1" x14ac:dyDescent="0.3">
      <c r="AU2842" s="45"/>
    </row>
    <row r="2843" spans="47:47" ht="12" hidden="1" customHeight="1" x14ac:dyDescent="0.3">
      <c r="AU2843" s="45"/>
    </row>
    <row r="2844" spans="47:47" ht="12" hidden="1" customHeight="1" x14ac:dyDescent="0.3">
      <c r="AU2844" s="45"/>
    </row>
    <row r="2845" spans="47:47" ht="12" hidden="1" customHeight="1" x14ac:dyDescent="0.3">
      <c r="AU2845" s="45"/>
    </row>
    <row r="2846" spans="47:47" ht="12" hidden="1" customHeight="1" x14ac:dyDescent="0.3">
      <c r="AU2846" s="45"/>
    </row>
    <row r="2847" spans="47:47" ht="12" hidden="1" customHeight="1" x14ac:dyDescent="0.3">
      <c r="AU2847" s="45"/>
    </row>
    <row r="2848" spans="47:47" ht="12" hidden="1" customHeight="1" x14ac:dyDescent="0.3">
      <c r="AU2848" s="45"/>
    </row>
    <row r="2849" spans="47:47" ht="12" hidden="1" customHeight="1" x14ac:dyDescent="0.3">
      <c r="AU2849" s="45"/>
    </row>
    <row r="2850" spans="47:47" ht="12" hidden="1" customHeight="1" x14ac:dyDescent="0.3">
      <c r="AU2850" s="45"/>
    </row>
    <row r="2851" spans="47:47" ht="12" hidden="1" customHeight="1" x14ac:dyDescent="0.3">
      <c r="AU2851" s="45"/>
    </row>
    <row r="2852" spans="47:47" ht="12" hidden="1" customHeight="1" x14ac:dyDescent="0.3">
      <c r="AU2852" s="45"/>
    </row>
    <row r="2853" spans="47:47" ht="12" hidden="1" customHeight="1" x14ac:dyDescent="0.3">
      <c r="AU2853" s="45"/>
    </row>
    <row r="2854" spans="47:47" ht="12" hidden="1" customHeight="1" x14ac:dyDescent="0.3">
      <c r="AU2854" s="45"/>
    </row>
    <row r="2855" spans="47:47" ht="12" hidden="1" customHeight="1" x14ac:dyDescent="0.3">
      <c r="AU2855" s="45"/>
    </row>
    <row r="2856" spans="47:47" ht="12" hidden="1" customHeight="1" x14ac:dyDescent="0.3">
      <c r="AU2856" s="45"/>
    </row>
    <row r="2857" spans="47:47" ht="12" hidden="1" customHeight="1" x14ac:dyDescent="0.3">
      <c r="AU2857" s="45"/>
    </row>
    <row r="2858" spans="47:47" ht="12" hidden="1" customHeight="1" x14ac:dyDescent="0.3">
      <c r="AU2858" s="45"/>
    </row>
    <row r="2859" spans="47:47" ht="12" hidden="1" customHeight="1" x14ac:dyDescent="0.3">
      <c r="AU2859" s="45"/>
    </row>
    <row r="2860" spans="47:47" ht="12" hidden="1" customHeight="1" x14ac:dyDescent="0.3">
      <c r="AU2860" s="45"/>
    </row>
    <row r="2861" spans="47:47" ht="12" hidden="1" customHeight="1" x14ac:dyDescent="0.3">
      <c r="AU2861" s="45"/>
    </row>
    <row r="2862" spans="47:47" ht="12" hidden="1" customHeight="1" x14ac:dyDescent="0.3">
      <c r="AU2862" s="45"/>
    </row>
    <row r="2863" spans="47:47" ht="12" hidden="1" customHeight="1" x14ac:dyDescent="0.3">
      <c r="AU2863" s="45"/>
    </row>
    <row r="2864" spans="47:47" ht="12" hidden="1" customHeight="1" x14ac:dyDescent="0.3">
      <c r="AU2864" s="45"/>
    </row>
    <row r="2865" spans="47:47" ht="12" hidden="1" customHeight="1" x14ac:dyDescent="0.3">
      <c r="AU2865" s="45"/>
    </row>
    <row r="2866" spans="47:47" ht="12" hidden="1" customHeight="1" x14ac:dyDescent="0.3">
      <c r="AU2866" s="45"/>
    </row>
    <row r="2867" spans="47:47" ht="12" hidden="1" customHeight="1" x14ac:dyDescent="0.3">
      <c r="AU2867" s="45"/>
    </row>
    <row r="2868" spans="47:47" ht="12" hidden="1" customHeight="1" x14ac:dyDescent="0.3">
      <c r="AU2868" s="45"/>
    </row>
    <row r="2869" spans="47:47" ht="12" hidden="1" customHeight="1" x14ac:dyDescent="0.3">
      <c r="AU2869" s="45"/>
    </row>
    <row r="2870" spans="47:47" ht="12" hidden="1" customHeight="1" x14ac:dyDescent="0.3">
      <c r="AU2870" s="45"/>
    </row>
    <row r="2871" spans="47:47" ht="12" hidden="1" customHeight="1" x14ac:dyDescent="0.3">
      <c r="AU2871" s="45"/>
    </row>
    <row r="2872" spans="47:47" ht="12" hidden="1" customHeight="1" x14ac:dyDescent="0.3">
      <c r="AU2872" s="45"/>
    </row>
    <row r="2873" spans="47:47" ht="12" hidden="1" customHeight="1" x14ac:dyDescent="0.3">
      <c r="AU2873" s="45"/>
    </row>
    <row r="2874" spans="47:47" ht="12" hidden="1" customHeight="1" x14ac:dyDescent="0.3">
      <c r="AU2874" s="45"/>
    </row>
    <row r="2875" spans="47:47" ht="12" hidden="1" customHeight="1" x14ac:dyDescent="0.3">
      <c r="AU2875" s="45"/>
    </row>
    <row r="2876" spans="47:47" ht="12" hidden="1" customHeight="1" x14ac:dyDescent="0.3">
      <c r="AU2876" s="45"/>
    </row>
    <row r="2877" spans="47:47" ht="12" hidden="1" customHeight="1" x14ac:dyDescent="0.3">
      <c r="AU2877" s="45"/>
    </row>
    <row r="2878" spans="47:47" ht="12" hidden="1" customHeight="1" x14ac:dyDescent="0.3">
      <c r="AU2878" s="45"/>
    </row>
    <row r="2879" spans="47:47" ht="12" hidden="1" customHeight="1" x14ac:dyDescent="0.3">
      <c r="AU2879" s="45"/>
    </row>
    <row r="2880" spans="47:47" ht="12" hidden="1" customHeight="1" x14ac:dyDescent="0.3">
      <c r="AU2880" s="45"/>
    </row>
    <row r="2881" spans="47:47" ht="12" hidden="1" customHeight="1" x14ac:dyDescent="0.3">
      <c r="AU2881" s="45"/>
    </row>
    <row r="2882" spans="47:47" ht="12" hidden="1" customHeight="1" x14ac:dyDescent="0.3">
      <c r="AU2882" s="45"/>
    </row>
    <row r="2883" spans="47:47" ht="12" hidden="1" customHeight="1" x14ac:dyDescent="0.3">
      <c r="AU2883" s="45"/>
    </row>
    <row r="2884" spans="47:47" ht="12" hidden="1" customHeight="1" x14ac:dyDescent="0.3">
      <c r="AU2884" s="45"/>
    </row>
    <row r="2885" spans="47:47" ht="12" hidden="1" customHeight="1" x14ac:dyDescent="0.3">
      <c r="AU2885" s="45"/>
    </row>
    <row r="2886" spans="47:47" ht="12" hidden="1" customHeight="1" x14ac:dyDescent="0.3">
      <c r="AU2886" s="45"/>
    </row>
    <row r="2887" spans="47:47" ht="12" hidden="1" customHeight="1" x14ac:dyDescent="0.3">
      <c r="AU2887" s="45"/>
    </row>
    <row r="2888" spans="47:47" ht="12" hidden="1" customHeight="1" x14ac:dyDescent="0.3">
      <c r="AU2888" s="45"/>
    </row>
    <row r="2889" spans="47:47" ht="12" hidden="1" customHeight="1" x14ac:dyDescent="0.3">
      <c r="AU2889" s="45"/>
    </row>
    <row r="2890" spans="47:47" ht="12" hidden="1" customHeight="1" x14ac:dyDescent="0.3">
      <c r="AU2890" s="45"/>
    </row>
    <row r="2891" spans="47:47" ht="12" hidden="1" customHeight="1" x14ac:dyDescent="0.3">
      <c r="AU2891" s="45"/>
    </row>
    <row r="2892" spans="47:47" ht="12" hidden="1" customHeight="1" x14ac:dyDescent="0.3">
      <c r="AU2892" s="45"/>
    </row>
    <row r="2893" spans="47:47" ht="12" hidden="1" customHeight="1" x14ac:dyDescent="0.3">
      <c r="AU2893" s="45"/>
    </row>
    <row r="2894" spans="47:47" ht="12" hidden="1" customHeight="1" x14ac:dyDescent="0.3">
      <c r="AU2894" s="45"/>
    </row>
    <row r="2895" spans="47:47" ht="12" hidden="1" customHeight="1" x14ac:dyDescent="0.3">
      <c r="AU2895" s="45"/>
    </row>
    <row r="2896" spans="47:47" ht="12" hidden="1" customHeight="1" x14ac:dyDescent="0.3">
      <c r="AU2896" s="45"/>
    </row>
    <row r="2897" spans="47:47" ht="12" hidden="1" customHeight="1" x14ac:dyDescent="0.3">
      <c r="AU2897" s="45"/>
    </row>
    <row r="2898" spans="47:47" ht="12" hidden="1" customHeight="1" x14ac:dyDescent="0.3">
      <c r="AU2898" s="45"/>
    </row>
    <row r="2899" spans="47:47" ht="12" hidden="1" customHeight="1" x14ac:dyDescent="0.3">
      <c r="AU2899" s="45"/>
    </row>
    <row r="2900" spans="47:47" ht="12" hidden="1" customHeight="1" x14ac:dyDescent="0.3">
      <c r="AU2900" s="45"/>
    </row>
    <row r="2901" spans="47:47" ht="12" hidden="1" customHeight="1" x14ac:dyDescent="0.3">
      <c r="AU2901" s="45"/>
    </row>
    <row r="2902" spans="47:47" ht="12" hidden="1" customHeight="1" x14ac:dyDescent="0.3">
      <c r="AU2902" s="45"/>
    </row>
    <row r="2903" spans="47:47" ht="12" hidden="1" customHeight="1" x14ac:dyDescent="0.3">
      <c r="AU2903" s="45"/>
    </row>
    <row r="2904" spans="47:47" ht="12" hidden="1" customHeight="1" x14ac:dyDescent="0.3">
      <c r="AU2904" s="45"/>
    </row>
    <row r="2905" spans="47:47" ht="12" hidden="1" customHeight="1" x14ac:dyDescent="0.3">
      <c r="AU2905" s="45"/>
    </row>
    <row r="2906" spans="47:47" ht="12" hidden="1" customHeight="1" x14ac:dyDescent="0.3">
      <c r="AU2906" s="45"/>
    </row>
    <row r="2907" spans="47:47" ht="12" hidden="1" customHeight="1" x14ac:dyDescent="0.3">
      <c r="AU2907" s="45"/>
    </row>
    <row r="2908" spans="47:47" ht="12" hidden="1" customHeight="1" x14ac:dyDescent="0.3">
      <c r="AU2908" s="45"/>
    </row>
    <row r="2909" spans="47:47" ht="12" hidden="1" customHeight="1" x14ac:dyDescent="0.3">
      <c r="AU2909" s="45"/>
    </row>
    <row r="2910" spans="47:47" ht="12" hidden="1" customHeight="1" x14ac:dyDescent="0.3">
      <c r="AU2910" s="45"/>
    </row>
    <row r="2911" spans="47:47" ht="12" hidden="1" customHeight="1" x14ac:dyDescent="0.3">
      <c r="AU2911" s="45"/>
    </row>
    <row r="2912" spans="47:47" ht="12" hidden="1" customHeight="1" x14ac:dyDescent="0.3">
      <c r="AU2912" s="45"/>
    </row>
    <row r="2913" spans="47:47" ht="12" hidden="1" customHeight="1" x14ac:dyDescent="0.3">
      <c r="AU2913" s="45"/>
    </row>
    <row r="2914" spans="47:47" ht="12" hidden="1" customHeight="1" x14ac:dyDescent="0.3">
      <c r="AU2914" s="45"/>
    </row>
    <row r="2915" spans="47:47" ht="12" hidden="1" customHeight="1" x14ac:dyDescent="0.3">
      <c r="AU2915" s="45"/>
    </row>
    <row r="2916" spans="47:47" ht="12" hidden="1" customHeight="1" x14ac:dyDescent="0.3">
      <c r="AU2916" s="45"/>
    </row>
    <row r="2917" spans="47:47" ht="12" hidden="1" customHeight="1" x14ac:dyDescent="0.3">
      <c r="AU2917" s="45"/>
    </row>
    <row r="2918" spans="47:47" ht="12" hidden="1" customHeight="1" x14ac:dyDescent="0.3">
      <c r="AU2918" s="45"/>
    </row>
    <row r="2919" spans="47:47" ht="12" hidden="1" customHeight="1" x14ac:dyDescent="0.3">
      <c r="AU2919" s="45"/>
    </row>
    <row r="2920" spans="47:47" ht="12" hidden="1" customHeight="1" x14ac:dyDescent="0.3">
      <c r="AU2920" s="45"/>
    </row>
    <row r="2921" spans="47:47" ht="12" hidden="1" customHeight="1" x14ac:dyDescent="0.3">
      <c r="AU2921" s="45"/>
    </row>
    <row r="2922" spans="47:47" ht="12" hidden="1" customHeight="1" x14ac:dyDescent="0.3">
      <c r="AU2922" s="45"/>
    </row>
    <row r="2923" spans="47:47" ht="12" hidden="1" customHeight="1" x14ac:dyDescent="0.3">
      <c r="AU2923" s="45"/>
    </row>
    <row r="2924" spans="47:47" ht="12" hidden="1" customHeight="1" x14ac:dyDescent="0.3">
      <c r="AU2924" s="45"/>
    </row>
    <row r="2925" spans="47:47" ht="12" hidden="1" customHeight="1" x14ac:dyDescent="0.3">
      <c r="AU2925" s="45"/>
    </row>
    <row r="2926" spans="47:47" ht="12" hidden="1" customHeight="1" x14ac:dyDescent="0.3">
      <c r="AU2926" s="45"/>
    </row>
    <row r="2927" spans="47:47" ht="12" hidden="1" customHeight="1" x14ac:dyDescent="0.3">
      <c r="AU2927" s="45"/>
    </row>
    <row r="2928" spans="47:47" ht="12" hidden="1" customHeight="1" x14ac:dyDescent="0.3">
      <c r="AU2928" s="45"/>
    </row>
    <row r="2929" spans="47:47" ht="12" hidden="1" customHeight="1" x14ac:dyDescent="0.3">
      <c r="AU2929" s="45"/>
    </row>
    <row r="2930" spans="47:47" ht="12" hidden="1" customHeight="1" x14ac:dyDescent="0.3">
      <c r="AU2930" s="45"/>
    </row>
    <row r="2931" spans="47:47" ht="12" hidden="1" customHeight="1" x14ac:dyDescent="0.3">
      <c r="AU2931" s="45"/>
    </row>
    <row r="2932" spans="47:47" ht="12" hidden="1" customHeight="1" x14ac:dyDescent="0.3">
      <c r="AU2932" s="45"/>
    </row>
    <row r="2933" spans="47:47" ht="12" hidden="1" customHeight="1" x14ac:dyDescent="0.3">
      <c r="AU2933" s="45"/>
    </row>
    <row r="2934" spans="47:47" ht="12" hidden="1" customHeight="1" x14ac:dyDescent="0.3">
      <c r="AU2934" s="45"/>
    </row>
    <row r="2935" spans="47:47" ht="12" hidden="1" customHeight="1" x14ac:dyDescent="0.3">
      <c r="AU2935" s="45"/>
    </row>
    <row r="2936" spans="47:47" ht="12" hidden="1" customHeight="1" x14ac:dyDescent="0.3">
      <c r="AU2936" s="45"/>
    </row>
    <row r="2937" spans="47:47" ht="12" hidden="1" customHeight="1" x14ac:dyDescent="0.3">
      <c r="AU2937" s="45"/>
    </row>
    <row r="2938" spans="47:47" ht="12" hidden="1" customHeight="1" x14ac:dyDescent="0.3">
      <c r="AU2938" s="45"/>
    </row>
    <row r="2939" spans="47:47" ht="12" hidden="1" customHeight="1" x14ac:dyDescent="0.3">
      <c r="AU2939" s="45"/>
    </row>
    <row r="2940" spans="47:47" ht="12" hidden="1" customHeight="1" x14ac:dyDescent="0.3">
      <c r="AU2940" s="45"/>
    </row>
    <row r="2941" spans="47:47" ht="12" hidden="1" customHeight="1" x14ac:dyDescent="0.3">
      <c r="AU2941" s="45"/>
    </row>
    <row r="2942" spans="47:47" ht="12" hidden="1" customHeight="1" x14ac:dyDescent="0.3">
      <c r="AU2942" s="45"/>
    </row>
    <row r="2943" spans="47:47" ht="12" hidden="1" customHeight="1" x14ac:dyDescent="0.3">
      <c r="AU2943" s="45"/>
    </row>
    <row r="2944" spans="47:47" ht="12" hidden="1" customHeight="1" x14ac:dyDescent="0.3">
      <c r="AU2944" s="45"/>
    </row>
    <row r="2945" spans="47:47" ht="12" hidden="1" customHeight="1" x14ac:dyDescent="0.3">
      <c r="AU2945" s="45"/>
    </row>
    <row r="2946" spans="47:47" ht="12" hidden="1" customHeight="1" x14ac:dyDescent="0.3">
      <c r="AU2946" s="45"/>
    </row>
    <row r="2947" spans="47:47" ht="12" hidden="1" customHeight="1" x14ac:dyDescent="0.3">
      <c r="AU2947" s="45"/>
    </row>
    <row r="2948" spans="47:47" ht="12" hidden="1" customHeight="1" x14ac:dyDescent="0.3">
      <c r="AU2948" s="45"/>
    </row>
    <row r="2949" spans="47:47" ht="12" hidden="1" customHeight="1" x14ac:dyDescent="0.3">
      <c r="AU2949" s="45"/>
    </row>
    <row r="2950" spans="47:47" ht="12" hidden="1" customHeight="1" x14ac:dyDescent="0.3">
      <c r="AU2950" s="45"/>
    </row>
    <row r="2951" spans="47:47" ht="12" hidden="1" customHeight="1" x14ac:dyDescent="0.3">
      <c r="AU2951" s="45"/>
    </row>
    <row r="2952" spans="47:47" ht="12" hidden="1" customHeight="1" x14ac:dyDescent="0.3">
      <c r="AU2952" s="45"/>
    </row>
    <row r="2953" spans="47:47" ht="12" hidden="1" customHeight="1" x14ac:dyDescent="0.3">
      <c r="AU2953" s="45"/>
    </row>
    <row r="2954" spans="47:47" ht="12" hidden="1" customHeight="1" x14ac:dyDescent="0.3">
      <c r="AU2954" s="45"/>
    </row>
    <row r="2955" spans="47:47" ht="12" hidden="1" customHeight="1" x14ac:dyDescent="0.3">
      <c r="AU2955" s="45"/>
    </row>
    <row r="2956" spans="47:47" ht="12" hidden="1" customHeight="1" x14ac:dyDescent="0.3">
      <c r="AU2956" s="45"/>
    </row>
    <row r="2957" spans="47:47" ht="12" hidden="1" customHeight="1" x14ac:dyDescent="0.3">
      <c r="AU2957" s="45"/>
    </row>
    <row r="2958" spans="47:47" ht="12" hidden="1" customHeight="1" x14ac:dyDescent="0.3">
      <c r="AU2958" s="45"/>
    </row>
    <row r="2959" spans="47:47" ht="12" hidden="1" customHeight="1" x14ac:dyDescent="0.3">
      <c r="AU2959" s="45"/>
    </row>
    <row r="2960" spans="47:47" ht="12" hidden="1" customHeight="1" x14ac:dyDescent="0.3">
      <c r="AU2960" s="45"/>
    </row>
    <row r="2961" spans="47:47" ht="12" hidden="1" customHeight="1" x14ac:dyDescent="0.3">
      <c r="AU2961" s="45"/>
    </row>
    <row r="2962" spans="47:47" ht="12" hidden="1" customHeight="1" x14ac:dyDescent="0.3">
      <c r="AU2962" s="45"/>
    </row>
    <row r="2963" spans="47:47" ht="12" hidden="1" customHeight="1" x14ac:dyDescent="0.3">
      <c r="AU2963" s="45"/>
    </row>
    <row r="2964" spans="47:47" ht="12" hidden="1" customHeight="1" x14ac:dyDescent="0.3">
      <c r="AU2964" s="45"/>
    </row>
    <row r="2965" spans="47:47" ht="12" hidden="1" customHeight="1" x14ac:dyDescent="0.3">
      <c r="AU2965" s="45"/>
    </row>
    <row r="2966" spans="47:47" ht="12" hidden="1" customHeight="1" x14ac:dyDescent="0.3">
      <c r="AU2966" s="45"/>
    </row>
    <row r="2967" spans="47:47" ht="12" hidden="1" customHeight="1" x14ac:dyDescent="0.3">
      <c r="AU2967" s="45"/>
    </row>
    <row r="2968" spans="47:47" ht="12" hidden="1" customHeight="1" x14ac:dyDescent="0.3">
      <c r="AU2968" s="45"/>
    </row>
    <row r="2969" spans="47:47" ht="12" hidden="1" customHeight="1" x14ac:dyDescent="0.3">
      <c r="AU2969" s="45"/>
    </row>
    <row r="2970" spans="47:47" ht="12" hidden="1" customHeight="1" x14ac:dyDescent="0.3">
      <c r="AU2970" s="45"/>
    </row>
    <row r="2971" spans="47:47" ht="12" hidden="1" customHeight="1" x14ac:dyDescent="0.3">
      <c r="AU2971" s="45"/>
    </row>
    <row r="2972" spans="47:47" ht="12" hidden="1" customHeight="1" x14ac:dyDescent="0.3">
      <c r="AU2972" s="45"/>
    </row>
    <row r="2973" spans="47:47" ht="12" hidden="1" customHeight="1" x14ac:dyDescent="0.3">
      <c r="AU2973" s="45"/>
    </row>
    <row r="2974" spans="47:47" ht="12" hidden="1" customHeight="1" x14ac:dyDescent="0.3">
      <c r="AU2974" s="45"/>
    </row>
    <row r="2975" spans="47:47" ht="12" hidden="1" customHeight="1" x14ac:dyDescent="0.3">
      <c r="AU2975" s="45"/>
    </row>
    <row r="2976" spans="47:47" ht="12" hidden="1" customHeight="1" x14ac:dyDescent="0.3">
      <c r="AU2976" s="45"/>
    </row>
    <row r="2977" spans="47:47" ht="12" hidden="1" customHeight="1" x14ac:dyDescent="0.3">
      <c r="AU2977" s="45"/>
    </row>
    <row r="2978" spans="47:47" ht="12" hidden="1" customHeight="1" x14ac:dyDescent="0.3">
      <c r="AU2978" s="45"/>
    </row>
    <row r="2979" spans="47:47" ht="12" hidden="1" customHeight="1" x14ac:dyDescent="0.3">
      <c r="AU2979" s="45"/>
    </row>
    <row r="2980" spans="47:47" ht="12" hidden="1" customHeight="1" x14ac:dyDescent="0.3">
      <c r="AU2980" s="45"/>
    </row>
    <row r="2981" spans="47:47" ht="12" hidden="1" customHeight="1" x14ac:dyDescent="0.3">
      <c r="AU2981" s="45"/>
    </row>
    <row r="2982" spans="47:47" ht="12" hidden="1" customHeight="1" x14ac:dyDescent="0.3">
      <c r="AU2982" s="45"/>
    </row>
    <row r="2983" spans="47:47" ht="12" hidden="1" customHeight="1" x14ac:dyDescent="0.3">
      <c r="AU2983" s="45"/>
    </row>
    <row r="2984" spans="47:47" ht="12" hidden="1" customHeight="1" x14ac:dyDescent="0.3">
      <c r="AU2984" s="45"/>
    </row>
    <row r="2985" spans="47:47" ht="12" hidden="1" customHeight="1" x14ac:dyDescent="0.3">
      <c r="AU2985" s="45"/>
    </row>
    <row r="2986" spans="47:47" ht="12" hidden="1" customHeight="1" x14ac:dyDescent="0.3">
      <c r="AU2986" s="45"/>
    </row>
    <row r="2987" spans="47:47" ht="12" hidden="1" customHeight="1" x14ac:dyDescent="0.3">
      <c r="AU2987" s="45"/>
    </row>
    <row r="2988" spans="47:47" ht="12" hidden="1" customHeight="1" x14ac:dyDescent="0.3">
      <c r="AU2988" s="45"/>
    </row>
    <row r="2989" spans="47:47" ht="12" hidden="1" customHeight="1" x14ac:dyDescent="0.3">
      <c r="AU2989" s="45"/>
    </row>
    <row r="2990" spans="47:47" ht="12" hidden="1" customHeight="1" x14ac:dyDescent="0.3">
      <c r="AU2990" s="45"/>
    </row>
    <row r="2991" spans="47:47" ht="12" hidden="1" customHeight="1" x14ac:dyDescent="0.3">
      <c r="AU2991" s="45"/>
    </row>
    <row r="2992" spans="47:47" ht="12" hidden="1" customHeight="1" x14ac:dyDescent="0.3">
      <c r="AU2992" s="45"/>
    </row>
    <row r="2993" spans="47:47" ht="12" hidden="1" customHeight="1" x14ac:dyDescent="0.3">
      <c r="AU2993" s="45"/>
    </row>
    <row r="2994" spans="47:47" ht="12" hidden="1" customHeight="1" x14ac:dyDescent="0.3">
      <c r="AU2994" s="45"/>
    </row>
    <row r="2995" spans="47:47" ht="12" hidden="1" customHeight="1" x14ac:dyDescent="0.3">
      <c r="AU2995" s="45"/>
    </row>
    <row r="2996" spans="47:47" ht="12" hidden="1" customHeight="1" x14ac:dyDescent="0.3">
      <c r="AU2996" s="45"/>
    </row>
    <row r="2997" spans="47:47" ht="12" hidden="1" customHeight="1" x14ac:dyDescent="0.3">
      <c r="AU2997" s="45"/>
    </row>
    <row r="2998" spans="47:47" ht="12" hidden="1" customHeight="1" x14ac:dyDescent="0.3">
      <c r="AU2998" s="45"/>
    </row>
    <row r="2999" spans="47:47" ht="12" hidden="1" customHeight="1" x14ac:dyDescent="0.3">
      <c r="AU2999" s="45"/>
    </row>
    <row r="3000" spans="47:47" ht="12" hidden="1" customHeight="1" x14ac:dyDescent="0.3">
      <c r="AU3000" s="45"/>
    </row>
    <row r="3001" spans="47:47" ht="12" hidden="1" customHeight="1" x14ac:dyDescent="0.3">
      <c r="AU3001" s="45"/>
    </row>
    <row r="3002" spans="47:47" ht="12" hidden="1" customHeight="1" x14ac:dyDescent="0.3">
      <c r="AU3002" s="45"/>
    </row>
    <row r="3003" spans="47:47" ht="12" hidden="1" customHeight="1" x14ac:dyDescent="0.3">
      <c r="AU3003" s="45"/>
    </row>
    <row r="3004" spans="47:47" ht="12" hidden="1" customHeight="1" x14ac:dyDescent="0.3">
      <c r="AU3004" s="45"/>
    </row>
    <row r="3005" spans="47:47" ht="12" hidden="1" customHeight="1" x14ac:dyDescent="0.3">
      <c r="AU3005" s="45"/>
    </row>
    <row r="3006" spans="47:47" ht="12" hidden="1" customHeight="1" x14ac:dyDescent="0.3">
      <c r="AU3006" s="45"/>
    </row>
    <row r="3007" spans="47:47" ht="12" hidden="1" customHeight="1" x14ac:dyDescent="0.3">
      <c r="AU3007" s="45"/>
    </row>
    <row r="3008" spans="47:47" ht="12" hidden="1" customHeight="1" x14ac:dyDescent="0.3">
      <c r="AU3008" s="45"/>
    </row>
    <row r="3009" spans="47:47" ht="12" hidden="1" customHeight="1" x14ac:dyDescent="0.3">
      <c r="AU3009" s="45"/>
    </row>
    <row r="3010" spans="47:47" ht="12" hidden="1" customHeight="1" x14ac:dyDescent="0.3">
      <c r="AU3010" s="45"/>
    </row>
    <row r="3011" spans="47:47" ht="12" hidden="1" customHeight="1" x14ac:dyDescent="0.3">
      <c r="AU3011" s="45"/>
    </row>
    <row r="3012" spans="47:47" ht="12" hidden="1" customHeight="1" x14ac:dyDescent="0.3">
      <c r="AU3012" s="45"/>
    </row>
    <row r="3013" spans="47:47" ht="12" hidden="1" customHeight="1" x14ac:dyDescent="0.3">
      <c r="AU3013" s="45"/>
    </row>
    <row r="3014" spans="47:47" ht="12" hidden="1" customHeight="1" x14ac:dyDescent="0.3">
      <c r="AU3014" s="45"/>
    </row>
    <row r="3015" spans="47:47" ht="12" hidden="1" customHeight="1" x14ac:dyDescent="0.3">
      <c r="AU3015" s="45"/>
    </row>
    <row r="3016" spans="47:47" ht="12" hidden="1" customHeight="1" x14ac:dyDescent="0.3">
      <c r="AU3016" s="45"/>
    </row>
    <row r="3017" spans="47:47" ht="12" hidden="1" customHeight="1" x14ac:dyDescent="0.3">
      <c r="AU3017" s="45"/>
    </row>
    <row r="3018" spans="47:47" ht="12" hidden="1" customHeight="1" x14ac:dyDescent="0.3">
      <c r="AU3018" s="45"/>
    </row>
    <row r="3019" spans="47:47" ht="12" hidden="1" customHeight="1" x14ac:dyDescent="0.3">
      <c r="AU3019" s="45"/>
    </row>
    <row r="3020" spans="47:47" ht="12" hidden="1" customHeight="1" x14ac:dyDescent="0.3">
      <c r="AU3020" s="45"/>
    </row>
    <row r="3021" spans="47:47" ht="12" hidden="1" customHeight="1" x14ac:dyDescent="0.3">
      <c r="AU3021" s="45"/>
    </row>
    <row r="3022" spans="47:47" ht="12" hidden="1" customHeight="1" x14ac:dyDescent="0.3">
      <c r="AU3022" s="45"/>
    </row>
    <row r="3023" spans="47:47" ht="12" hidden="1" customHeight="1" x14ac:dyDescent="0.3">
      <c r="AU3023" s="45"/>
    </row>
    <row r="3024" spans="47:47" ht="12" hidden="1" customHeight="1" x14ac:dyDescent="0.3">
      <c r="AU3024" s="45"/>
    </row>
    <row r="3025" spans="47:47" ht="12" hidden="1" customHeight="1" x14ac:dyDescent="0.3">
      <c r="AU3025" s="45"/>
    </row>
    <row r="3026" spans="47:47" ht="12" hidden="1" customHeight="1" x14ac:dyDescent="0.3">
      <c r="AU3026" s="45"/>
    </row>
    <row r="3027" spans="47:47" ht="12" hidden="1" customHeight="1" x14ac:dyDescent="0.3">
      <c r="AU3027" s="45"/>
    </row>
    <row r="3028" spans="47:47" ht="12" hidden="1" customHeight="1" x14ac:dyDescent="0.3">
      <c r="AU3028" s="45"/>
    </row>
    <row r="3029" spans="47:47" ht="12" hidden="1" customHeight="1" x14ac:dyDescent="0.3">
      <c r="AU3029" s="45"/>
    </row>
    <row r="3030" spans="47:47" ht="12" hidden="1" customHeight="1" x14ac:dyDescent="0.3">
      <c r="AU3030" s="45"/>
    </row>
    <row r="3031" spans="47:47" ht="12" hidden="1" customHeight="1" x14ac:dyDescent="0.3">
      <c r="AU3031" s="45"/>
    </row>
    <row r="3032" spans="47:47" ht="12" hidden="1" customHeight="1" x14ac:dyDescent="0.3">
      <c r="AU3032" s="45"/>
    </row>
    <row r="3033" spans="47:47" ht="12" hidden="1" customHeight="1" x14ac:dyDescent="0.3">
      <c r="AU3033" s="45"/>
    </row>
    <row r="3034" spans="47:47" ht="12" hidden="1" customHeight="1" x14ac:dyDescent="0.3">
      <c r="AU3034" s="45"/>
    </row>
    <row r="3035" spans="47:47" ht="12" hidden="1" customHeight="1" x14ac:dyDescent="0.3">
      <c r="AU3035" s="45"/>
    </row>
    <row r="3036" spans="47:47" ht="12" hidden="1" customHeight="1" x14ac:dyDescent="0.3">
      <c r="AU3036" s="45"/>
    </row>
    <row r="3037" spans="47:47" ht="12" hidden="1" customHeight="1" x14ac:dyDescent="0.3">
      <c r="AU3037" s="45"/>
    </row>
    <row r="3038" spans="47:47" ht="12" hidden="1" customHeight="1" x14ac:dyDescent="0.3">
      <c r="AU3038" s="45"/>
    </row>
    <row r="3039" spans="47:47" ht="12" hidden="1" customHeight="1" x14ac:dyDescent="0.3">
      <c r="AU3039" s="45"/>
    </row>
    <row r="3040" spans="47:47" ht="12" hidden="1" customHeight="1" x14ac:dyDescent="0.3">
      <c r="AU3040" s="45"/>
    </row>
    <row r="3041" spans="47:47" ht="12" hidden="1" customHeight="1" x14ac:dyDescent="0.3">
      <c r="AU3041" s="45"/>
    </row>
    <row r="3042" spans="47:47" ht="12" hidden="1" customHeight="1" x14ac:dyDescent="0.3">
      <c r="AU3042" s="45"/>
    </row>
    <row r="3043" spans="47:47" ht="12" hidden="1" customHeight="1" x14ac:dyDescent="0.3">
      <c r="AU3043" s="45"/>
    </row>
    <row r="3044" spans="47:47" ht="12" hidden="1" customHeight="1" x14ac:dyDescent="0.3">
      <c r="AU3044" s="45"/>
    </row>
    <row r="3045" spans="47:47" ht="12" hidden="1" customHeight="1" x14ac:dyDescent="0.3">
      <c r="AU3045" s="45"/>
    </row>
    <row r="3046" spans="47:47" ht="12" hidden="1" customHeight="1" x14ac:dyDescent="0.3">
      <c r="AU3046" s="45"/>
    </row>
    <row r="3047" spans="47:47" ht="12" hidden="1" customHeight="1" x14ac:dyDescent="0.3">
      <c r="AU3047" s="45"/>
    </row>
    <row r="3048" spans="47:47" ht="12" hidden="1" customHeight="1" x14ac:dyDescent="0.3">
      <c r="AU3048" s="45"/>
    </row>
    <row r="3049" spans="47:47" ht="12" hidden="1" customHeight="1" x14ac:dyDescent="0.3">
      <c r="AU3049" s="45"/>
    </row>
    <row r="3050" spans="47:47" ht="12" hidden="1" customHeight="1" x14ac:dyDescent="0.3">
      <c r="AU3050" s="45"/>
    </row>
    <row r="3051" spans="47:47" ht="12" hidden="1" customHeight="1" x14ac:dyDescent="0.3">
      <c r="AU3051" s="45"/>
    </row>
    <row r="3052" spans="47:47" ht="12" hidden="1" customHeight="1" x14ac:dyDescent="0.3">
      <c r="AU3052" s="45"/>
    </row>
    <row r="3053" spans="47:47" ht="12" hidden="1" customHeight="1" x14ac:dyDescent="0.3">
      <c r="AU3053" s="45"/>
    </row>
    <row r="3054" spans="47:47" ht="12" hidden="1" customHeight="1" x14ac:dyDescent="0.3">
      <c r="AU3054" s="45"/>
    </row>
    <row r="3055" spans="47:47" ht="12" hidden="1" customHeight="1" x14ac:dyDescent="0.3">
      <c r="AU3055" s="45"/>
    </row>
    <row r="3056" spans="47:47" ht="12" hidden="1" customHeight="1" x14ac:dyDescent="0.3">
      <c r="AU3056" s="45"/>
    </row>
    <row r="3057" spans="47:47" ht="12" hidden="1" customHeight="1" x14ac:dyDescent="0.3">
      <c r="AU3057" s="45"/>
    </row>
    <row r="3058" spans="47:47" ht="12" hidden="1" customHeight="1" x14ac:dyDescent="0.3">
      <c r="AU3058" s="45"/>
    </row>
    <row r="3059" spans="47:47" ht="12" hidden="1" customHeight="1" x14ac:dyDescent="0.3">
      <c r="AU3059" s="45"/>
    </row>
    <row r="3060" spans="47:47" ht="12" hidden="1" customHeight="1" x14ac:dyDescent="0.3">
      <c r="AU3060" s="45"/>
    </row>
    <row r="3061" spans="47:47" ht="12" hidden="1" customHeight="1" x14ac:dyDescent="0.3">
      <c r="AU3061" s="45"/>
    </row>
    <row r="3062" spans="47:47" ht="12" hidden="1" customHeight="1" x14ac:dyDescent="0.3">
      <c r="AU3062" s="45"/>
    </row>
    <row r="3063" spans="47:47" ht="12" hidden="1" customHeight="1" x14ac:dyDescent="0.3">
      <c r="AU3063" s="45"/>
    </row>
    <row r="3064" spans="47:47" ht="12" hidden="1" customHeight="1" x14ac:dyDescent="0.3">
      <c r="AU3064" s="45"/>
    </row>
    <row r="3065" spans="47:47" ht="12" hidden="1" customHeight="1" x14ac:dyDescent="0.3">
      <c r="AU3065" s="45"/>
    </row>
    <row r="3066" spans="47:47" ht="12" hidden="1" customHeight="1" x14ac:dyDescent="0.3">
      <c r="AU3066" s="45"/>
    </row>
    <row r="3067" spans="47:47" ht="12" hidden="1" customHeight="1" x14ac:dyDescent="0.3">
      <c r="AU3067" s="45"/>
    </row>
    <row r="3068" spans="47:47" ht="12" hidden="1" customHeight="1" x14ac:dyDescent="0.3">
      <c r="AU3068" s="45"/>
    </row>
    <row r="3069" spans="47:47" ht="12" hidden="1" customHeight="1" x14ac:dyDescent="0.3">
      <c r="AU3069" s="45"/>
    </row>
    <row r="3070" spans="47:47" ht="12" hidden="1" customHeight="1" x14ac:dyDescent="0.3">
      <c r="AU3070" s="45"/>
    </row>
    <row r="3071" spans="47:47" ht="12" hidden="1" customHeight="1" x14ac:dyDescent="0.3">
      <c r="AU3071" s="45"/>
    </row>
    <row r="3072" spans="47:47" ht="12" hidden="1" customHeight="1" x14ac:dyDescent="0.3">
      <c r="AU3072" s="45"/>
    </row>
    <row r="3073" spans="47:47" ht="12" hidden="1" customHeight="1" x14ac:dyDescent="0.3">
      <c r="AU3073" s="45"/>
    </row>
    <row r="3074" spans="47:47" ht="12" hidden="1" customHeight="1" x14ac:dyDescent="0.3">
      <c r="AU3074" s="45"/>
    </row>
    <row r="3075" spans="47:47" ht="12" hidden="1" customHeight="1" x14ac:dyDescent="0.3">
      <c r="AU3075" s="45"/>
    </row>
    <row r="3076" spans="47:47" ht="12" hidden="1" customHeight="1" x14ac:dyDescent="0.3">
      <c r="AU3076" s="45"/>
    </row>
    <row r="3077" spans="47:47" ht="12" hidden="1" customHeight="1" x14ac:dyDescent="0.3">
      <c r="AU3077" s="45"/>
    </row>
    <row r="3078" spans="47:47" ht="12" hidden="1" customHeight="1" x14ac:dyDescent="0.3">
      <c r="AU3078" s="45"/>
    </row>
    <row r="3079" spans="47:47" ht="12" hidden="1" customHeight="1" x14ac:dyDescent="0.3">
      <c r="AU3079" s="45"/>
    </row>
    <row r="3080" spans="47:47" ht="12" hidden="1" customHeight="1" x14ac:dyDescent="0.3">
      <c r="AU3080" s="45"/>
    </row>
    <row r="3081" spans="47:47" ht="12" hidden="1" customHeight="1" x14ac:dyDescent="0.3">
      <c r="AU3081" s="45"/>
    </row>
    <row r="3082" spans="47:47" ht="12" hidden="1" customHeight="1" x14ac:dyDescent="0.3">
      <c r="AU3082" s="45"/>
    </row>
    <row r="3083" spans="47:47" ht="12" hidden="1" customHeight="1" x14ac:dyDescent="0.3">
      <c r="AU3083" s="45"/>
    </row>
    <row r="3084" spans="47:47" ht="12" hidden="1" customHeight="1" x14ac:dyDescent="0.3">
      <c r="AU3084" s="45"/>
    </row>
    <row r="3085" spans="47:47" ht="12" hidden="1" customHeight="1" x14ac:dyDescent="0.3">
      <c r="AU3085" s="45"/>
    </row>
    <row r="3086" spans="47:47" ht="12" hidden="1" customHeight="1" x14ac:dyDescent="0.3">
      <c r="AU3086" s="45"/>
    </row>
    <row r="3087" spans="47:47" ht="12" hidden="1" customHeight="1" x14ac:dyDescent="0.3">
      <c r="AU3087" s="45"/>
    </row>
    <row r="3088" spans="47:47" ht="12" hidden="1" customHeight="1" x14ac:dyDescent="0.3">
      <c r="AU3088" s="45"/>
    </row>
    <row r="3089" spans="47:47" ht="12" hidden="1" customHeight="1" x14ac:dyDescent="0.3">
      <c r="AU3089" s="45"/>
    </row>
    <row r="3090" spans="47:47" ht="12" hidden="1" customHeight="1" x14ac:dyDescent="0.3">
      <c r="AU3090" s="45"/>
    </row>
    <row r="3091" spans="47:47" ht="12" hidden="1" customHeight="1" x14ac:dyDescent="0.3">
      <c r="AU3091" s="45"/>
    </row>
    <row r="3092" spans="47:47" ht="12" hidden="1" customHeight="1" x14ac:dyDescent="0.3">
      <c r="AU3092" s="45"/>
    </row>
    <row r="3093" spans="47:47" ht="12" hidden="1" customHeight="1" x14ac:dyDescent="0.3">
      <c r="AU3093" s="45"/>
    </row>
    <row r="3094" spans="47:47" ht="12" hidden="1" customHeight="1" x14ac:dyDescent="0.3">
      <c r="AU3094" s="45"/>
    </row>
    <row r="3095" spans="47:47" ht="12" hidden="1" customHeight="1" x14ac:dyDescent="0.3">
      <c r="AU3095" s="45"/>
    </row>
    <row r="3096" spans="47:47" ht="12" hidden="1" customHeight="1" x14ac:dyDescent="0.3">
      <c r="AU3096" s="45"/>
    </row>
    <row r="3097" spans="47:47" ht="12" hidden="1" customHeight="1" x14ac:dyDescent="0.3">
      <c r="AU3097" s="45"/>
    </row>
    <row r="3098" spans="47:47" ht="12" hidden="1" customHeight="1" x14ac:dyDescent="0.3">
      <c r="AU3098" s="45"/>
    </row>
    <row r="3099" spans="47:47" ht="12" hidden="1" customHeight="1" x14ac:dyDescent="0.3">
      <c r="AU3099" s="45"/>
    </row>
    <row r="3100" spans="47:47" ht="12" hidden="1" customHeight="1" x14ac:dyDescent="0.3">
      <c r="AU3100" s="45"/>
    </row>
    <row r="3101" spans="47:47" ht="12" hidden="1" customHeight="1" x14ac:dyDescent="0.3">
      <c r="AU3101" s="45"/>
    </row>
    <row r="3102" spans="47:47" ht="12" hidden="1" customHeight="1" x14ac:dyDescent="0.3">
      <c r="AU3102" s="45"/>
    </row>
    <row r="3103" spans="47:47" ht="12" hidden="1" customHeight="1" x14ac:dyDescent="0.3">
      <c r="AU3103" s="45"/>
    </row>
    <row r="3104" spans="47:47" ht="12" hidden="1" customHeight="1" x14ac:dyDescent="0.3">
      <c r="AU3104" s="45"/>
    </row>
    <row r="3105" spans="47:47" ht="12" hidden="1" customHeight="1" x14ac:dyDescent="0.3">
      <c r="AU3105" s="45"/>
    </row>
    <row r="3106" spans="47:47" ht="12" hidden="1" customHeight="1" x14ac:dyDescent="0.3">
      <c r="AU3106" s="45"/>
    </row>
    <row r="3107" spans="47:47" ht="12" hidden="1" customHeight="1" x14ac:dyDescent="0.3">
      <c r="AU3107" s="45"/>
    </row>
    <row r="3108" spans="47:47" ht="12" hidden="1" customHeight="1" x14ac:dyDescent="0.3">
      <c r="AU3108" s="45"/>
    </row>
    <row r="3109" spans="47:47" ht="12" hidden="1" customHeight="1" x14ac:dyDescent="0.3">
      <c r="AU3109" s="45"/>
    </row>
    <row r="3110" spans="47:47" ht="12" hidden="1" customHeight="1" x14ac:dyDescent="0.3">
      <c r="AU3110" s="45"/>
    </row>
    <row r="3111" spans="47:47" ht="12" hidden="1" customHeight="1" x14ac:dyDescent="0.3">
      <c r="AU3111" s="45"/>
    </row>
    <row r="3112" spans="47:47" ht="12" hidden="1" customHeight="1" x14ac:dyDescent="0.3">
      <c r="AU3112" s="45"/>
    </row>
    <row r="3113" spans="47:47" ht="12" hidden="1" customHeight="1" x14ac:dyDescent="0.3">
      <c r="AU3113" s="45"/>
    </row>
    <row r="3114" spans="47:47" ht="12" hidden="1" customHeight="1" x14ac:dyDescent="0.3">
      <c r="AU3114" s="45"/>
    </row>
    <row r="3115" spans="47:47" ht="12" hidden="1" customHeight="1" x14ac:dyDescent="0.3">
      <c r="AU3115" s="45"/>
    </row>
    <row r="3116" spans="47:47" ht="12" hidden="1" customHeight="1" x14ac:dyDescent="0.3">
      <c r="AU3116" s="45"/>
    </row>
    <row r="3117" spans="47:47" ht="12" hidden="1" customHeight="1" x14ac:dyDescent="0.3">
      <c r="AU3117" s="45"/>
    </row>
    <row r="3118" spans="47:47" ht="12" hidden="1" customHeight="1" x14ac:dyDescent="0.3">
      <c r="AU3118" s="45"/>
    </row>
    <row r="3119" spans="47:47" ht="12" hidden="1" customHeight="1" x14ac:dyDescent="0.3">
      <c r="AU3119" s="45"/>
    </row>
    <row r="3120" spans="47:47" ht="12" hidden="1" customHeight="1" x14ac:dyDescent="0.3">
      <c r="AU3120" s="45"/>
    </row>
    <row r="3121" spans="47:47" ht="12" hidden="1" customHeight="1" x14ac:dyDescent="0.3">
      <c r="AU3121" s="45"/>
    </row>
    <row r="3122" spans="47:47" ht="12" hidden="1" customHeight="1" x14ac:dyDescent="0.3">
      <c r="AU3122" s="45"/>
    </row>
    <row r="3123" spans="47:47" ht="12" hidden="1" customHeight="1" x14ac:dyDescent="0.3">
      <c r="AU3123" s="45"/>
    </row>
    <row r="3124" spans="47:47" ht="12" hidden="1" customHeight="1" x14ac:dyDescent="0.3">
      <c r="AU3124" s="45"/>
    </row>
    <row r="3125" spans="47:47" ht="12" hidden="1" customHeight="1" x14ac:dyDescent="0.3">
      <c r="AU3125" s="45"/>
    </row>
    <row r="3126" spans="47:47" ht="12" hidden="1" customHeight="1" x14ac:dyDescent="0.3">
      <c r="AU3126" s="45"/>
    </row>
    <row r="3127" spans="47:47" ht="12" hidden="1" customHeight="1" x14ac:dyDescent="0.3">
      <c r="AU3127" s="45"/>
    </row>
    <row r="3128" spans="47:47" ht="12" hidden="1" customHeight="1" x14ac:dyDescent="0.3">
      <c r="AU3128" s="45"/>
    </row>
    <row r="3129" spans="47:47" ht="12" hidden="1" customHeight="1" x14ac:dyDescent="0.3">
      <c r="AU3129" s="45"/>
    </row>
    <row r="3130" spans="47:47" ht="12" hidden="1" customHeight="1" x14ac:dyDescent="0.3">
      <c r="AU3130" s="45"/>
    </row>
    <row r="3131" spans="47:47" ht="12" hidden="1" customHeight="1" x14ac:dyDescent="0.3">
      <c r="AU3131" s="45"/>
    </row>
    <row r="3132" spans="47:47" ht="12" hidden="1" customHeight="1" x14ac:dyDescent="0.3">
      <c r="AU3132" s="45"/>
    </row>
    <row r="3133" spans="47:47" ht="12" hidden="1" customHeight="1" x14ac:dyDescent="0.3">
      <c r="AU3133" s="45"/>
    </row>
    <row r="3134" spans="47:47" ht="12" hidden="1" customHeight="1" x14ac:dyDescent="0.3">
      <c r="AU3134" s="45"/>
    </row>
    <row r="3135" spans="47:47" ht="12" hidden="1" customHeight="1" x14ac:dyDescent="0.3">
      <c r="AU3135" s="45"/>
    </row>
    <row r="3136" spans="47:47" ht="12" hidden="1" customHeight="1" x14ac:dyDescent="0.3">
      <c r="AU3136" s="45"/>
    </row>
    <row r="3137" spans="47:47" ht="12" hidden="1" customHeight="1" x14ac:dyDescent="0.3">
      <c r="AU3137" s="45"/>
    </row>
    <row r="3138" spans="47:47" ht="12" hidden="1" customHeight="1" x14ac:dyDescent="0.3">
      <c r="AU3138" s="45"/>
    </row>
    <row r="3139" spans="47:47" ht="12" hidden="1" customHeight="1" x14ac:dyDescent="0.3">
      <c r="AU3139" s="45"/>
    </row>
    <row r="3140" spans="47:47" ht="12" hidden="1" customHeight="1" x14ac:dyDescent="0.3">
      <c r="AU3140" s="45"/>
    </row>
    <row r="3141" spans="47:47" ht="12" hidden="1" customHeight="1" x14ac:dyDescent="0.3">
      <c r="AU3141" s="45"/>
    </row>
    <row r="3142" spans="47:47" ht="12" hidden="1" customHeight="1" x14ac:dyDescent="0.3">
      <c r="AU3142" s="45"/>
    </row>
    <row r="3143" spans="47:47" ht="12" hidden="1" customHeight="1" x14ac:dyDescent="0.3">
      <c r="AU3143" s="45"/>
    </row>
    <row r="3144" spans="47:47" ht="12" hidden="1" customHeight="1" x14ac:dyDescent="0.3">
      <c r="AU3144" s="45"/>
    </row>
    <row r="3145" spans="47:47" ht="12" hidden="1" customHeight="1" x14ac:dyDescent="0.3">
      <c r="AU3145" s="45"/>
    </row>
    <row r="3146" spans="47:47" ht="12" hidden="1" customHeight="1" x14ac:dyDescent="0.3">
      <c r="AU3146" s="45"/>
    </row>
    <row r="3147" spans="47:47" ht="12" hidden="1" customHeight="1" x14ac:dyDescent="0.3">
      <c r="AU3147" s="45"/>
    </row>
    <row r="3148" spans="47:47" ht="12" hidden="1" customHeight="1" x14ac:dyDescent="0.3">
      <c r="AU3148" s="45"/>
    </row>
    <row r="3149" spans="47:47" ht="12" hidden="1" customHeight="1" x14ac:dyDescent="0.3">
      <c r="AU3149" s="45"/>
    </row>
    <row r="3150" spans="47:47" ht="12" hidden="1" customHeight="1" x14ac:dyDescent="0.3">
      <c r="AU3150" s="45"/>
    </row>
    <row r="3151" spans="47:47" ht="12" hidden="1" customHeight="1" x14ac:dyDescent="0.3">
      <c r="AU3151" s="45"/>
    </row>
    <row r="3152" spans="47:47" ht="12" hidden="1" customHeight="1" x14ac:dyDescent="0.3">
      <c r="AU3152" s="45"/>
    </row>
    <row r="3153" spans="47:47" ht="12" hidden="1" customHeight="1" x14ac:dyDescent="0.3">
      <c r="AU3153" s="45"/>
    </row>
    <row r="3154" spans="47:47" ht="12" hidden="1" customHeight="1" x14ac:dyDescent="0.3">
      <c r="AU3154" s="45"/>
    </row>
    <row r="3155" spans="47:47" ht="12" hidden="1" customHeight="1" x14ac:dyDescent="0.3">
      <c r="AU3155" s="45"/>
    </row>
    <row r="3156" spans="47:47" ht="12" hidden="1" customHeight="1" x14ac:dyDescent="0.3">
      <c r="AU3156" s="45"/>
    </row>
    <row r="3157" spans="47:47" ht="12" hidden="1" customHeight="1" x14ac:dyDescent="0.3">
      <c r="AU3157" s="45"/>
    </row>
    <row r="3158" spans="47:47" ht="12" hidden="1" customHeight="1" x14ac:dyDescent="0.3">
      <c r="AU3158" s="45"/>
    </row>
    <row r="3159" spans="47:47" ht="12" hidden="1" customHeight="1" x14ac:dyDescent="0.3">
      <c r="AU3159" s="45"/>
    </row>
    <row r="3160" spans="47:47" ht="12" hidden="1" customHeight="1" x14ac:dyDescent="0.3">
      <c r="AU3160" s="45"/>
    </row>
    <row r="3161" spans="47:47" ht="12" hidden="1" customHeight="1" x14ac:dyDescent="0.3">
      <c r="AU3161" s="45"/>
    </row>
    <row r="3162" spans="47:47" ht="12" hidden="1" customHeight="1" x14ac:dyDescent="0.3">
      <c r="AU3162" s="45"/>
    </row>
    <row r="3163" spans="47:47" ht="12" hidden="1" customHeight="1" x14ac:dyDescent="0.3">
      <c r="AU3163" s="45"/>
    </row>
    <row r="3164" spans="47:47" ht="12" hidden="1" customHeight="1" x14ac:dyDescent="0.3">
      <c r="AU3164" s="45"/>
    </row>
    <row r="3165" spans="47:47" ht="12" hidden="1" customHeight="1" x14ac:dyDescent="0.3">
      <c r="AU3165" s="45"/>
    </row>
    <row r="3166" spans="47:47" ht="12" hidden="1" customHeight="1" x14ac:dyDescent="0.3">
      <c r="AU3166" s="45"/>
    </row>
    <row r="3167" spans="47:47" ht="12" hidden="1" customHeight="1" x14ac:dyDescent="0.3">
      <c r="AU3167" s="45"/>
    </row>
    <row r="3168" spans="47:47" ht="12" hidden="1" customHeight="1" x14ac:dyDescent="0.3">
      <c r="AU3168" s="45"/>
    </row>
    <row r="3169" spans="47:47" ht="12" hidden="1" customHeight="1" x14ac:dyDescent="0.3">
      <c r="AU3169" s="45"/>
    </row>
    <row r="3170" spans="47:47" ht="12" hidden="1" customHeight="1" x14ac:dyDescent="0.3">
      <c r="AU3170" s="45"/>
    </row>
    <row r="3171" spans="47:47" ht="12" hidden="1" customHeight="1" x14ac:dyDescent="0.3">
      <c r="AU3171" s="45"/>
    </row>
    <row r="3172" spans="47:47" ht="12" hidden="1" customHeight="1" x14ac:dyDescent="0.3">
      <c r="AU3172" s="45"/>
    </row>
    <row r="3173" spans="47:47" ht="12" hidden="1" customHeight="1" x14ac:dyDescent="0.3">
      <c r="AU3173" s="45"/>
    </row>
    <row r="3174" spans="47:47" ht="12" hidden="1" customHeight="1" x14ac:dyDescent="0.3">
      <c r="AU3174" s="45"/>
    </row>
    <row r="3175" spans="47:47" ht="12" hidden="1" customHeight="1" x14ac:dyDescent="0.3">
      <c r="AU3175" s="45"/>
    </row>
    <row r="3176" spans="47:47" ht="12" hidden="1" customHeight="1" x14ac:dyDescent="0.3">
      <c r="AU3176" s="45"/>
    </row>
    <row r="3177" spans="47:47" ht="12" hidden="1" customHeight="1" x14ac:dyDescent="0.3">
      <c r="AU3177" s="45"/>
    </row>
    <row r="3178" spans="47:47" ht="12" hidden="1" customHeight="1" x14ac:dyDescent="0.3">
      <c r="AU3178" s="45"/>
    </row>
    <row r="3179" spans="47:47" ht="12" hidden="1" customHeight="1" x14ac:dyDescent="0.3">
      <c r="AU3179" s="45"/>
    </row>
    <row r="3180" spans="47:47" ht="12" hidden="1" customHeight="1" x14ac:dyDescent="0.3">
      <c r="AU3180" s="45"/>
    </row>
    <row r="3181" spans="47:47" ht="12" hidden="1" customHeight="1" x14ac:dyDescent="0.3">
      <c r="AU3181" s="45"/>
    </row>
    <row r="3182" spans="47:47" ht="12" hidden="1" customHeight="1" x14ac:dyDescent="0.3">
      <c r="AU3182" s="45"/>
    </row>
    <row r="3183" spans="47:47" ht="12" hidden="1" customHeight="1" x14ac:dyDescent="0.3">
      <c r="AU3183" s="45"/>
    </row>
    <row r="3184" spans="47:47" ht="12" hidden="1" customHeight="1" x14ac:dyDescent="0.3">
      <c r="AU3184" s="45"/>
    </row>
    <row r="3185" spans="47:47" ht="12" hidden="1" customHeight="1" x14ac:dyDescent="0.3">
      <c r="AU3185" s="45"/>
    </row>
    <row r="3186" spans="47:47" ht="12" hidden="1" customHeight="1" x14ac:dyDescent="0.3">
      <c r="AU3186" s="45"/>
    </row>
    <row r="3187" spans="47:47" ht="12" hidden="1" customHeight="1" x14ac:dyDescent="0.3">
      <c r="AU3187" s="45"/>
    </row>
    <row r="3188" spans="47:47" ht="12" hidden="1" customHeight="1" x14ac:dyDescent="0.3">
      <c r="AU3188" s="45"/>
    </row>
    <row r="3189" spans="47:47" ht="12" hidden="1" customHeight="1" x14ac:dyDescent="0.3">
      <c r="AU3189" s="45"/>
    </row>
    <row r="3190" spans="47:47" ht="12" hidden="1" customHeight="1" x14ac:dyDescent="0.3">
      <c r="AU3190" s="45"/>
    </row>
    <row r="3191" spans="47:47" ht="12" hidden="1" customHeight="1" x14ac:dyDescent="0.3">
      <c r="AU3191" s="45"/>
    </row>
    <row r="3192" spans="47:47" ht="12" hidden="1" customHeight="1" x14ac:dyDescent="0.3">
      <c r="AU3192" s="45"/>
    </row>
    <row r="3193" spans="47:47" ht="12" hidden="1" customHeight="1" x14ac:dyDescent="0.3">
      <c r="AU3193" s="45"/>
    </row>
    <row r="3194" spans="47:47" ht="12" hidden="1" customHeight="1" x14ac:dyDescent="0.3">
      <c r="AU3194" s="45"/>
    </row>
    <row r="3195" spans="47:47" ht="12" hidden="1" customHeight="1" x14ac:dyDescent="0.3">
      <c r="AU3195" s="45"/>
    </row>
    <row r="3196" spans="47:47" ht="12" hidden="1" customHeight="1" x14ac:dyDescent="0.3">
      <c r="AU3196" s="45"/>
    </row>
    <row r="3197" spans="47:47" ht="12" hidden="1" customHeight="1" x14ac:dyDescent="0.3">
      <c r="AU3197" s="45"/>
    </row>
    <row r="3198" spans="47:47" ht="12" hidden="1" customHeight="1" x14ac:dyDescent="0.3">
      <c r="AU3198" s="45"/>
    </row>
    <row r="3199" spans="47:47" ht="12" hidden="1" customHeight="1" x14ac:dyDescent="0.3">
      <c r="AU3199" s="45"/>
    </row>
    <row r="3200" spans="47:47" ht="12" hidden="1" customHeight="1" x14ac:dyDescent="0.3">
      <c r="AU3200" s="45"/>
    </row>
    <row r="3201" spans="47:47" ht="12" hidden="1" customHeight="1" x14ac:dyDescent="0.3">
      <c r="AU3201" s="45"/>
    </row>
    <row r="3202" spans="47:47" ht="12" hidden="1" customHeight="1" x14ac:dyDescent="0.3">
      <c r="AU3202" s="45"/>
    </row>
    <row r="3203" spans="47:47" ht="12" hidden="1" customHeight="1" x14ac:dyDescent="0.3">
      <c r="AU3203" s="45"/>
    </row>
    <row r="3204" spans="47:47" ht="12" hidden="1" customHeight="1" x14ac:dyDescent="0.3">
      <c r="AU3204" s="45"/>
    </row>
    <row r="3205" spans="47:47" ht="12" hidden="1" customHeight="1" x14ac:dyDescent="0.3">
      <c r="AU3205" s="45"/>
    </row>
    <row r="3206" spans="47:47" ht="12" hidden="1" customHeight="1" x14ac:dyDescent="0.3">
      <c r="AU3206" s="45"/>
    </row>
    <row r="3207" spans="47:47" ht="12" hidden="1" customHeight="1" x14ac:dyDescent="0.3">
      <c r="AU3207" s="45"/>
    </row>
    <row r="3208" spans="47:47" ht="12" hidden="1" customHeight="1" x14ac:dyDescent="0.3">
      <c r="AU3208" s="45"/>
    </row>
    <row r="3209" spans="47:47" ht="12" hidden="1" customHeight="1" x14ac:dyDescent="0.3">
      <c r="AU3209" s="45"/>
    </row>
    <row r="3210" spans="47:47" ht="12" hidden="1" customHeight="1" x14ac:dyDescent="0.3">
      <c r="AU3210" s="45"/>
    </row>
    <row r="3211" spans="47:47" ht="12" hidden="1" customHeight="1" x14ac:dyDescent="0.3">
      <c r="AU3211" s="45"/>
    </row>
    <row r="3212" spans="47:47" ht="12" hidden="1" customHeight="1" x14ac:dyDescent="0.3">
      <c r="AU3212" s="45"/>
    </row>
    <row r="3213" spans="47:47" ht="12" hidden="1" customHeight="1" x14ac:dyDescent="0.3">
      <c r="AU3213" s="45"/>
    </row>
    <row r="3214" spans="47:47" ht="12" hidden="1" customHeight="1" x14ac:dyDescent="0.3">
      <c r="AU3214" s="45"/>
    </row>
    <row r="3215" spans="47:47" ht="12" hidden="1" customHeight="1" x14ac:dyDescent="0.3">
      <c r="AU3215" s="45"/>
    </row>
    <row r="3216" spans="47:47" ht="12" hidden="1" customHeight="1" x14ac:dyDescent="0.3">
      <c r="AU3216" s="45"/>
    </row>
    <row r="3217" spans="47:47" ht="12" hidden="1" customHeight="1" x14ac:dyDescent="0.3">
      <c r="AU3217" s="45"/>
    </row>
    <row r="3218" spans="47:47" ht="12" hidden="1" customHeight="1" x14ac:dyDescent="0.3">
      <c r="AU3218" s="45"/>
    </row>
    <row r="3219" spans="47:47" ht="12" hidden="1" customHeight="1" x14ac:dyDescent="0.3">
      <c r="AU3219" s="45"/>
    </row>
    <row r="3220" spans="47:47" ht="12" hidden="1" customHeight="1" x14ac:dyDescent="0.3">
      <c r="AU3220" s="45"/>
    </row>
    <row r="3221" spans="47:47" ht="12" hidden="1" customHeight="1" x14ac:dyDescent="0.3">
      <c r="AU3221" s="45"/>
    </row>
    <row r="3222" spans="47:47" ht="12" hidden="1" customHeight="1" x14ac:dyDescent="0.3">
      <c r="AU3222" s="45"/>
    </row>
    <row r="3223" spans="47:47" ht="12" hidden="1" customHeight="1" x14ac:dyDescent="0.3">
      <c r="AU3223" s="45"/>
    </row>
    <row r="3224" spans="47:47" ht="12" hidden="1" customHeight="1" x14ac:dyDescent="0.3">
      <c r="AU3224" s="45"/>
    </row>
    <row r="3225" spans="47:47" ht="12" hidden="1" customHeight="1" x14ac:dyDescent="0.3">
      <c r="AU3225" s="45"/>
    </row>
    <row r="3226" spans="47:47" ht="12" hidden="1" customHeight="1" x14ac:dyDescent="0.3">
      <c r="AU3226" s="45"/>
    </row>
    <row r="3227" spans="47:47" ht="12" hidden="1" customHeight="1" x14ac:dyDescent="0.3">
      <c r="AU3227" s="45"/>
    </row>
    <row r="3228" spans="47:47" ht="12" hidden="1" customHeight="1" x14ac:dyDescent="0.3">
      <c r="AU3228" s="45"/>
    </row>
    <row r="3229" spans="47:47" ht="12" hidden="1" customHeight="1" x14ac:dyDescent="0.3">
      <c r="AU3229" s="45"/>
    </row>
    <row r="3230" spans="47:47" ht="12" hidden="1" customHeight="1" x14ac:dyDescent="0.3">
      <c r="AU3230" s="45"/>
    </row>
    <row r="3231" spans="47:47" ht="12" hidden="1" customHeight="1" x14ac:dyDescent="0.3">
      <c r="AU3231" s="45"/>
    </row>
    <row r="3232" spans="47:47" ht="12" hidden="1" customHeight="1" x14ac:dyDescent="0.3">
      <c r="AU3232" s="45"/>
    </row>
    <row r="3233" spans="47:47" ht="12" hidden="1" customHeight="1" x14ac:dyDescent="0.3">
      <c r="AU3233" s="45"/>
    </row>
    <row r="3234" spans="47:47" ht="12" hidden="1" customHeight="1" x14ac:dyDescent="0.3">
      <c r="AU3234" s="45"/>
    </row>
    <row r="3235" spans="47:47" ht="12" hidden="1" customHeight="1" x14ac:dyDescent="0.3">
      <c r="AU3235" s="45"/>
    </row>
    <row r="3236" spans="47:47" ht="12" hidden="1" customHeight="1" x14ac:dyDescent="0.3">
      <c r="AU3236" s="45"/>
    </row>
    <row r="3237" spans="47:47" ht="12" hidden="1" customHeight="1" x14ac:dyDescent="0.3">
      <c r="AU3237" s="45"/>
    </row>
    <row r="3238" spans="47:47" ht="12" hidden="1" customHeight="1" x14ac:dyDescent="0.3">
      <c r="AU3238" s="45"/>
    </row>
    <row r="3239" spans="47:47" ht="12" hidden="1" customHeight="1" x14ac:dyDescent="0.3">
      <c r="AU3239" s="45"/>
    </row>
    <row r="3240" spans="47:47" ht="12" hidden="1" customHeight="1" x14ac:dyDescent="0.3">
      <c r="AU3240" s="45"/>
    </row>
    <row r="3241" spans="47:47" ht="12" hidden="1" customHeight="1" x14ac:dyDescent="0.3">
      <c r="AU3241" s="45"/>
    </row>
    <row r="3242" spans="47:47" ht="12" hidden="1" customHeight="1" x14ac:dyDescent="0.3">
      <c r="AU3242" s="45"/>
    </row>
    <row r="3243" spans="47:47" ht="12" hidden="1" customHeight="1" x14ac:dyDescent="0.3">
      <c r="AU3243" s="45"/>
    </row>
    <row r="3244" spans="47:47" ht="12" hidden="1" customHeight="1" x14ac:dyDescent="0.3">
      <c r="AU3244" s="45"/>
    </row>
    <row r="3245" spans="47:47" ht="12" hidden="1" customHeight="1" x14ac:dyDescent="0.3">
      <c r="AU3245" s="45"/>
    </row>
    <row r="3246" spans="47:47" ht="12" hidden="1" customHeight="1" x14ac:dyDescent="0.3">
      <c r="AU3246" s="45"/>
    </row>
    <row r="3247" spans="47:47" ht="12" hidden="1" customHeight="1" x14ac:dyDescent="0.3">
      <c r="AU3247" s="45"/>
    </row>
    <row r="3248" spans="47:47" ht="12" hidden="1" customHeight="1" x14ac:dyDescent="0.3">
      <c r="AU3248" s="45"/>
    </row>
    <row r="3249" spans="47:47" ht="12" hidden="1" customHeight="1" x14ac:dyDescent="0.3">
      <c r="AU3249" s="45"/>
    </row>
    <row r="3250" spans="47:47" ht="12" hidden="1" customHeight="1" x14ac:dyDescent="0.3">
      <c r="AU3250" s="45"/>
    </row>
    <row r="3251" spans="47:47" ht="12" hidden="1" customHeight="1" x14ac:dyDescent="0.3">
      <c r="AU3251" s="45"/>
    </row>
    <row r="3252" spans="47:47" ht="12" hidden="1" customHeight="1" x14ac:dyDescent="0.3">
      <c r="AU3252" s="45"/>
    </row>
    <row r="3253" spans="47:47" ht="12" hidden="1" customHeight="1" x14ac:dyDescent="0.3">
      <c r="AU3253" s="45"/>
    </row>
    <row r="3254" spans="47:47" ht="12" hidden="1" customHeight="1" x14ac:dyDescent="0.3">
      <c r="AU3254" s="45"/>
    </row>
    <row r="3255" spans="47:47" ht="12" hidden="1" customHeight="1" x14ac:dyDescent="0.3">
      <c r="AU3255" s="45"/>
    </row>
    <row r="3256" spans="47:47" ht="12" hidden="1" customHeight="1" x14ac:dyDescent="0.3">
      <c r="AU3256" s="45"/>
    </row>
    <row r="3257" spans="47:47" ht="12" hidden="1" customHeight="1" x14ac:dyDescent="0.3">
      <c r="AU3257" s="45"/>
    </row>
    <row r="3258" spans="47:47" ht="12" hidden="1" customHeight="1" x14ac:dyDescent="0.3">
      <c r="AU3258" s="45"/>
    </row>
    <row r="3259" spans="47:47" ht="12" hidden="1" customHeight="1" x14ac:dyDescent="0.3">
      <c r="AU3259" s="45"/>
    </row>
    <row r="3260" spans="47:47" ht="12" hidden="1" customHeight="1" x14ac:dyDescent="0.3">
      <c r="AU3260" s="45"/>
    </row>
    <row r="3261" spans="47:47" ht="12" hidden="1" customHeight="1" x14ac:dyDescent="0.3">
      <c r="AU3261" s="45"/>
    </row>
    <row r="3262" spans="47:47" ht="12" hidden="1" customHeight="1" x14ac:dyDescent="0.3">
      <c r="AU3262" s="45"/>
    </row>
    <row r="3263" spans="47:47" ht="12" hidden="1" customHeight="1" x14ac:dyDescent="0.3">
      <c r="AU3263" s="45"/>
    </row>
    <row r="3264" spans="47:47" ht="12" hidden="1" customHeight="1" x14ac:dyDescent="0.3">
      <c r="AU3264" s="45"/>
    </row>
    <row r="3265" spans="47:47" ht="12" hidden="1" customHeight="1" x14ac:dyDescent="0.3">
      <c r="AU3265" s="45"/>
    </row>
    <row r="3266" spans="47:47" ht="12" hidden="1" customHeight="1" x14ac:dyDescent="0.3">
      <c r="AU3266" s="45"/>
    </row>
    <row r="3267" spans="47:47" ht="12" hidden="1" customHeight="1" x14ac:dyDescent="0.3">
      <c r="AU3267" s="45"/>
    </row>
    <row r="3268" spans="47:47" ht="12" hidden="1" customHeight="1" x14ac:dyDescent="0.3">
      <c r="AU3268" s="45"/>
    </row>
    <row r="3269" spans="47:47" ht="12" hidden="1" customHeight="1" x14ac:dyDescent="0.3">
      <c r="AU3269" s="45"/>
    </row>
    <row r="3270" spans="47:47" ht="12" hidden="1" customHeight="1" x14ac:dyDescent="0.3">
      <c r="AU3270" s="45"/>
    </row>
    <row r="3271" spans="47:47" ht="12" hidden="1" customHeight="1" x14ac:dyDescent="0.3">
      <c r="AU3271" s="45"/>
    </row>
    <row r="3272" spans="47:47" ht="12" hidden="1" customHeight="1" x14ac:dyDescent="0.3">
      <c r="AU3272" s="45"/>
    </row>
    <row r="3273" spans="47:47" ht="12" hidden="1" customHeight="1" x14ac:dyDescent="0.3">
      <c r="AU3273" s="45"/>
    </row>
    <row r="3274" spans="47:47" ht="12" hidden="1" customHeight="1" x14ac:dyDescent="0.3">
      <c r="AU3274" s="45"/>
    </row>
    <row r="3275" spans="47:47" ht="12" hidden="1" customHeight="1" x14ac:dyDescent="0.3">
      <c r="AU3275" s="45"/>
    </row>
    <row r="3276" spans="47:47" ht="12" hidden="1" customHeight="1" x14ac:dyDescent="0.3">
      <c r="AU3276" s="45"/>
    </row>
    <row r="3277" spans="47:47" ht="12" hidden="1" customHeight="1" x14ac:dyDescent="0.3">
      <c r="AU3277" s="45"/>
    </row>
    <row r="3278" spans="47:47" ht="12" hidden="1" customHeight="1" x14ac:dyDescent="0.3">
      <c r="AU3278" s="45"/>
    </row>
    <row r="3279" spans="47:47" ht="12" hidden="1" customHeight="1" x14ac:dyDescent="0.3">
      <c r="AU3279" s="45"/>
    </row>
    <row r="3280" spans="47:47" ht="12" hidden="1" customHeight="1" x14ac:dyDescent="0.3">
      <c r="AU3280" s="45"/>
    </row>
    <row r="3281" spans="47:47" ht="12" hidden="1" customHeight="1" x14ac:dyDescent="0.3">
      <c r="AU3281" s="45"/>
    </row>
    <row r="3282" spans="47:47" ht="12" hidden="1" customHeight="1" x14ac:dyDescent="0.3">
      <c r="AU3282" s="45"/>
    </row>
    <row r="3283" spans="47:47" ht="12" hidden="1" customHeight="1" x14ac:dyDescent="0.3">
      <c r="AU3283" s="45"/>
    </row>
    <row r="3284" spans="47:47" ht="12" hidden="1" customHeight="1" x14ac:dyDescent="0.3">
      <c r="AU3284" s="45"/>
    </row>
    <row r="3285" spans="47:47" ht="12" hidden="1" customHeight="1" x14ac:dyDescent="0.3">
      <c r="AU3285" s="45"/>
    </row>
    <row r="3286" spans="47:47" ht="12" hidden="1" customHeight="1" x14ac:dyDescent="0.3">
      <c r="AU3286" s="45"/>
    </row>
    <row r="3287" spans="47:47" ht="12" hidden="1" customHeight="1" x14ac:dyDescent="0.3">
      <c r="AU3287" s="45"/>
    </row>
    <row r="3288" spans="47:47" ht="12" hidden="1" customHeight="1" x14ac:dyDescent="0.3">
      <c r="AU3288" s="45"/>
    </row>
    <row r="3289" spans="47:47" ht="12" hidden="1" customHeight="1" x14ac:dyDescent="0.3">
      <c r="AU3289" s="45"/>
    </row>
    <row r="3290" spans="47:47" ht="12" hidden="1" customHeight="1" x14ac:dyDescent="0.3">
      <c r="AU3290" s="45"/>
    </row>
    <row r="3291" spans="47:47" ht="12" hidden="1" customHeight="1" x14ac:dyDescent="0.3">
      <c r="AU3291" s="45"/>
    </row>
    <row r="3292" spans="47:47" ht="12" hidden="1" customHeight="1" x14ac:dyDescent="0.3">
      <c r="AU3292" s="45"/>
    </row>
    <row r="3293" spans="47:47" ht="12" hidden="1" customHeight="1" x14ac:dyDescent="0.3">
      <c r="AU3293" s="45"/>
    </row>
    <row r="3294" spans="47:47" ht="12" hidden="1" customHeight="1" x14ac:dyDescent="0.3">
      <c r="AU3294" s="45"/>
    </row>
    <row r="3295" spans="47:47" ht="12" hidden="1" customHeight="1" x14ac:dyDescent="0.3">
      <c r="AU3295" s="45"/>
    </row>
    <row r="3296" spans="47:47" ht="12" hidden="1" customHeight="1" x14ac:dyDescent="0.3">
      <c r="AU3296" s="45"/>
    </row>
    <row r="3297" spans="47:47" ht="12" hidden="1" customHeight="1" x14ac:dyDescent="0.3">
      <c r="AU3297" s="45"/>
    </row>
    <row r="3298" spans="47:47" ht="12" hidden="1" customHeight="1" x14ac:dyDescent="0.3">
      <c r="AU3298" s="45"/>
    </row>
    <row r="3299" spans="47:47" ht="12" hidden="1" customHeight="1" x14ac:dyDescent="0.3">
      <c r="AU3299" s="45"/>
    </row>
    <row r="3300" spans="47:47" ht="12" hidden="1" customHeight="1" x14ac:dyDescent="0.3">
      <c r="AU3300" s="45"/>
    </row>
    <row r="3301" spans="47:47" ht="12" hidden="1" customHeight="1" x14ac:dyDescent="0.3">
      <c r="AU3301" s="45"/>
    </row>
    <row r="3302" spans="47:47" ht="12" hidden="1" customHeight="1" x14ac:dyDescent="0.3">
      <c r="AU3302" s="45"/>
    </row>
    <row r="3303" spans="47:47" ht="12" hidden="1" customHeight="1" x14ac:dyDescent="0.3">
      <c r="AU3303" s="45"/>
    </row>
    <row r="3304" spans="47:47" ht="12" hidden="1" customHeight="1" x14ac:dyDescent="0.3">
      <c r="AU3304" s="45"/>
    </row>
    <row r="3305" spans="47:47" ht="12" hidden="1" customHeight="1" x14ac:dyDescent="0.3">
      <c r="AU3305" s="45"/>
    </row>
    <row r="3306" spans="47:47" ht="12" hidden="1" customHeight="1" x14ac:dyDescent="0.3">
      <c r="AU3306" s="45"/>
    </row>
    <row r="3307" spans="47:47" ht="12" hidden="1" customHeight="1" x14ac:dyDescent="0.3">
      <c r="AU3307" s="45"/>
    </row>
    <row r="3308" spans="47:47" ht="12" hidden="1" customHeight="1" x14ac:dyDescent="0.3">
      <c r="AU3308" s="45"/>
    </row>
    <row r="3309" spans="47:47" ht="12" hidden="1" customHeight="1" x14ac:dyDescent="0.3">
      <c r="AU3309" s="45"/>
    </row>
    <row r="3310" spans="47:47" ht="12" hidden="1" customHeight="1" x14ac:dyDescent="0.3">
      <c r="AU3310" s="45"/>
    </row>
    <row r="3311" spans="47:47" ht="12" hidden="1" customHeight="1" x14ac:dyDescent="0.3">
      <c r="AU3311" s="45"/>
    </row>
    <row r="3312" spans="47:47" ht="12" hidden="1" customHeight="1" x14ac:dyDescent="0.3">
      <c r="AU3312" s="45"/>
    </row>
    <row r="3313" spans="47:47" ht="12" hidden="1" customHeight="1" x14ac:dyDescent="0.3">
      <c r="AU3313" s="45"/>
    </row>
    <row r="3314" spans="47:47" ht="12" hidden="1" customHeight="1" x14ac:dyDescent="0.3">
      <c r="AU3314" s="45"/>
    </row>
    <row r="3315" spans="47:47" ht="12" hidden="1" customHeight="1" x14ac:dyDescent="0.3">
      <c r="AU3315" s="45"/>
    </row>
    <row r="3316" spans="47:47" ht="12" hidden="1" customHeight="1" x14ac:dyDescent="0.3">
      <c r="AU3316" s="45"/>
    </row>
    <row r="3317" spans="47:47" ht="12" hidden="1" customHeight="1" x14ac:dyDescent="0.3">
      <c r="AU3317" s="45"/>
    </row>
    <row r="3318" spans="47:47" ht="12" hidden="1" customHeight="1" x14ac:dyDescent="0.3">
      <c r="AU3318" s="45"/>
    </row>
    <row r="3319" spans="47:47" ht="12" hidden="1" customHeight="1" x14ac:dyDescent="0.3">
      <c r="AU3319" s="45"/>
    </row>
    <row r="3320" spans="47:47" ht="12" hidden="1" customHeight="1" x14ac:dyDescent="0.3">
      <c r="AU3320" s="45"/>
    </row>
    <row r="3321" spans="47:47" ht="12" hidden="1" customHeight="1" x14ac:dyDescent="0.3">
      <c r="AU3321" s="45"/>
    </row>
    <row r="3322" spans="47:47" ht="12" hidden="1" customHeight="1" x14ac:dyDescent="0.3">
      <c r="AU3322" s="45"/>
    </row>
    <row r="3323" spans="47:47" ht="12" hidden="1" customHeight="1" x14ac:dyDescent="0.3">
      <c r="AU3323" s="45"/>
    </row>
    <row r="3324" spans="47:47" ht="12" hidden="1" customHeight="1" x14ac:dyDescent="0.3">
      <c r="AU3324" s="45"/>
    </row>
    <row r="3325" spans="47:47" ht="12" hidden="1" customHeight="1" x14ac:dyDescent="0.3">
      <c r="AU3325" s="45"/>
    </row>
    <row r="3326" spans="47:47" ht="12" hidden="1" customHeight="1" x14ac:dyDescent="0.3">
      <c r="AU3326" s="45"/>
    </row>
    <row r="3327" spans="47:47" ht="12" hidden="1" customHeight="1" x14ac:dyDescent="0.3">
      <c r="AU3327" s="45"/>
    </row>
    <row r="3328" spans="47:47" ht="12" hidden="1" customHeight="1" x14ac:dyDescent="0.3">
      <c r="AU3328" s="45"/>
    </row>
    <row r="3329" spans="47:47" ht="12" hidden="1" customHeight="1" x14ac:dyDescent="0.3">
      <c r="AU3329" s="45"/>
    </row>
    <row r="3330" spans="47:47" ht="12" hidden="1" customHeight="1" x14ac:dyDescent="0.3">
      <c r="AU3330" s="45"/>
    </row>
    <row r="3331" spans="47:47" ht="12" hidden="1" customHeight="1" x14ac:dyDescent="0.3">
      <c r="AU3331" s="45"/>
    </row>
    <row r="3332" spans="47:47" ht="12" hidden="1" customHeight="1" x14ac:dyDescent="0.3">
      <c r="AU3332" s="45"/>
    </row>
    <row r="3333" spans="47:47" ht="12" hidden="1" customHeight="1" x14ac:dyDescent="0.3">
      <c r="AU3333" s="45"/>
    </row>
    <row r="3334" spans="47:47" ht="12" hidden="1" customHeight="1" x14ac:dyDescent="0.3">
      <c r="AU3334" s="45"/>
    </row>
    <row r="3335" spans="47:47" ht="12" hidden="1" customHeight="1" x14ac:dyDescent="0.3">
      <c r="AU3335" s="45"/>
    </row>
    <row r="3336" spans="47:47" ht="12" hidden="1" customHeight="1" x14ac:dyDescent="0.3">
      <c r="AU3336" s="45"/>
    </row>
    <row r="3337" spans="47:47" ht="12" hidden="1" customHeight="1" x14ac:dyDescent="0.3">
      <c r="AU3337" s="45"/>
    </row>
    <row r="3338" spans="47:47" ht="12" hidden="1" customHeight="1" x14ac:dyDescent="0.3">
      <c r="AU3338" s="45"/>
    </row>
    <row r="3339" spans="47:47" ht="12" hidden="1" customHeight="1" x14ac:dyDescent="0.3">
      <c r="AU3339" s="45"/>
    </row>
    <row r="3340" spans="47:47" ht="12" hidden="1" customHeight="1" x14ac:dyDescent="0.3">
      <c r="AU3340" s="45"/>
    </row>
    <row r="3341" spans="47:47" ht="12" hidden="1" customHeight="1" x14ac:dyDescent="0.3">
      <c r="AU3341" s="45"/>
    </row>
    <row r="3342" spans="47:47" ht="12" hidden="1" customHeight="1" x14ac:dyDescent="0.3">
      <c r="AU3342" s="45"/>
    </row>
    <row r="3343" spans="47:47" ht="12" hidden="1" customHeight="1" x14ac:dyDescent="0.3">
      <c r="AU3343" s="45"/>
    </row>
    <row r="3344" spans="47:47" ht="12" hidden="1" customHeight="1" x14ac:dyDescent="0.3">
      <c r="AU3344" s="45"/>
    </row>
    <row r="3345" spans="47:47" ht="12" hidden="1" customHeight="1" x14ac:dyDescent="0.3">
      <c r="AU3345" s="45"/>
    </row>
    <row r="3346" spans="47:47" ht="12" hidden="1" customHeight="1" x14ac:dyDescent="0.3">
      <c r="AU3346" s="45"/>
    </row>
    <row r="3347" spans="47:47" ht="12" hidden="1" customHeight="1" x14ac:dyDescent="0.3">
      <c r="AU3347" s="45"/>
    </row>
    <row r="3348" spans="47:47" ht="12" hidden="1" customHeight="1" x14ac:dyDescent="0.3">
      <c r="AU3348" s="45"/>
    </row>
    <row r="3349" spans="47:47" ht="12" hidden="1" customHeight="1" x14ac:dyDescent="0.3">
      <c r="AU3349" s="45"/>
    </row>
    <row r="3350" spans="47:47" ht="12" hidden="1" customHeight="1" x14ac:dyDescent="0.3">
      <c r="AU3350" s="45"/>
    </row>
    <row r="3351" spans="47:47" ht="12" hidden="1" customHeight="1" x14ac:dyDescent="0.3">
      <c r="AU3351" s="45"/>
    </row>
    <row r="3352" spans="47:47" ht="12" hidden="1" customHeight="1" x14ac:dyDescent="0.3">
      <c r="AU3352" s="45"/>
    </row>
    <row r="3353" spans="47:47" ht="12" hidden="1" customHeight="1" x14ac:dyDescent="0.3">
      <c r="AU3353" s="45"/>
    </row>
    <row r="3354" spans="47:47" ht="12" hidden="1" customHeight="1" x14ac:dyDescent="0.3">
      <c r="AU3354" s="45"/>
    </row>
    <row r="3355" spans="47:47" ht="12" hidden="1" customHeight="1" x14ac:dyDescent="0.3">
      <c r="AU3355" s="45"/>
    </row>
    <row r="3356" spans="47:47" ht="12" hidden="1" customHeight="1" x14ac:dyDescent="0.3">
      <c r="AU3356" s="45"/>
    </row>
    <row r="3357" spans="47:47" ht="12" hidden="1" customHeight="1" x14ac:dyDescent="0.3">
      <c r="AU3357" s="45"/>
    </row>
    <row r="3358" spans="47:47" ht="12" hidden="1" customHeight="1" x14ac:dyDescent="0.3">
      <c r="AU3358" s="45"/>
    </row>
    <row r="3359" spans="47:47" ht="12" hidden="1" customHeight="1" x14ac:dyDescent="0.3">
      <c r="AU3359" s="45"/>
    </row>
    <row r="3360" spans="47:47" ht="12" hidden="1" customHeight="1" x14ac:dyDescent="0.3">
      <c r="AU3360" s="45"/>
    </row>
    <row r="3361" spans="47:47" ht="12" hidden="1" customHeight="1" x14ac:dyDescent="0.3">
      <c r="AU3361" s="45"/>
    </row>
    <row r="3362" spans="47:47" ht="12" hidden="1" customHeight="1" x14ac:dyDescent="0.3">
      <c r="AU3362" s="45"/>
    </row>
    <row r="3363" spans="47:47" ht="12" hidden="1" customHeight="1" x14ac:dyDescent="0.3">
      <c r="AU3363" s="45"/>
    </row>
    <row r="3364" spans="47:47" ht="12" hidden="1" customHeight="1" x14ac:dyDescent="0.3">
      <c r="AU3364" s="45"/>
    </row>
    <row r="3365" spans="47:47" ht="12" hidden="1" customHeight="1" x14ac:dyDescent="0.3">
      <c r="AU3365" s="45"/>
    </row>
    <row r="3366" spans="47:47" ht="12" hidden="1" customHeight="1" x14ac:dyDescent="0.3">
      <c r="AU3366" s="45"/>
    </row>
    <row r="3367" spans="47:47" ht="12" hidden="1" customHeight="1" x14ac:dyDescent="0.3">
      <c r="AU3367" s="45"/>
    </row>
    <row r="3368" spans="47:47" ht="12" hidden="1" customHeight="1" x14ac:dyDescent="0.3">
      <c r="AU3368" s="45"/>
    </row>
    <row r="3369" spans="47:47" ht="12" hidden="1" customHeight="1" x14ac:dyDescent="0.3">
      <c r="AU3369" s="45"/>
    </row>
    <row r="3370" spans="47:47" ht="12" hidden="1" customHeight="1" x14ac:dyDescent="0.3">
      <c r="AU3370" s="45"/>
    </row>
    <row r="3371" spans="47:47" ht="12" hidden="1" customHeight="1" x14ac:dyDescent="0.3">
      <c r="AU3371" s="45"/>
    </row>
    <row r="3372" spans="47:47" ht="12" hidden="1" customHeight="1" x14ac:dyDescent="0.3">
      <c r="AU3372" s="45"/>
    </row>
    <row r="3373" spans="47:47" ht="12" hidden="1" customHeight="1" x14ac:dyDescent="0.3">
      <c r="AU3373" s="45"/>
    </row>
    <row r="3374" spans="47:47" ht="12" hidden="1" customHeight="1" x14ac:dyDescent="0.3">
      <c r="AU3374" s="45"/>
    </row>
    <row r="3375" spans="47:47" ht="12" hidden="1" customHeight="1" x14ac:dyDescent="0.3">
      <c r="AU3375" s="45"/>
    </row>
    <row r="3376" spans="47:47" ht="12" hidden="1" customHeight="1" x14ac:dyDescent="0.3">
      <c r="AU3376" s="45"/>
    </row>
    <row r="3377" spans="47:47" ht="12" hidden="1" customHeight="1" x14ac:dyDescent="0.3">
      <c r="AU3377" s="45"/>
    </row>
    <row r="3378" spans="47:47" ht="12" hidden="1" customHeight="1" x14ac:dyDescent="0.3">
      <c r="AU3378" s="45"/>
    </row>
    <row r="3379" spans="47:47" ht="12" hidden="1" customHeight="1" x14ac:dyDescent="0.3">
      <c r="AU3379" s="45"/>
    </row>
    <row r="3380" spans="47:47" ht="12" hidden="1" customHeight="1" x14ac:dyDescent="0.3">
      <c r="AU3380" s="45"/>
    </row>
    <row r="3381" spans="47:47" ht="12" hidden="1" customHeight="1" x14ac:dyDescent="0.3">
      <c r="AU3381" s="45"/>
    </row>
    <row r="3382" spans="47:47" ht="12" hidden="1" customHeight="1" x14ac:dyDescent="0.3">
      <c r="AU3382" s="45"/>
    </row>
    <row r="3383" spans="47:47" ht="12" hidden="1" customHeight="1" x14ac:dyDescent="0.3">
      <c r="AU3383" s="45"/>
    </row>
    <row r="3384" spans="47:47" ht="12" hidden="1" customHeight="1" x14ac:dyDescent="0.3">
      <c r="AU3384" s="45"/>
    </row>
    <row r="3385" spans="47:47" ht="12" hidden="1" customHeight="1" x14ac:dyDescent="0.3">
      <c r="AU3385" s="45"/>
    </row>
    <row r="3386" spans="47:47" ht="12" hidden="1" customHeight="1" x14ac:dyDescent="0.3">
      <c r="AU3386" s="45"/>
    </row>
    <row r="3387" spans="47:47" ht="12" hidden="1" customHeight="1" x14ac:dyDescent="0.3">
      <c r="AU3387" s="45"/>
    </row>
    <row r="3388" spans="47:47" ht="12" hidden="1" customHeight="1" x14ac:dyDescent="0.3">
      <c r="AU3388" s="45"/>
    </row>
    <row r="3389" spans="47:47" ht="12" hidden="1" customHeight="1" x14ac:dyDescent="0.3">
      <c r="AU3389" s="45"/>
    </row>
    <row r="3390" spans="47:47" ht="12" hidden="1" customHeight="1" x14ac:dyDescent="0.3">
      <c r="AU3390" s="45"/>
    </row>
    <row r="3391" spans="47:47" ht="12" hidden="1" customHeight="1" x14ac:dyDescent="0.3">
      <c r="AU3391" s="45"/>
    </row>
    <row r="3392" spans="47:47" ht="12" hidden="1" customHeight="1" x14ac:dyDescent="0.3">
      <c r="AU3392" s="45"/>
    </row>
    <row r="3393" spans="47:47" ht="12" hidden="1" customHeight="1" x14ac:dyDescent="0.3">
      <c r="AU3393" s="45"/>
    </row>
    <row r="3394" spans="47:47" ht="12" hidden="1" customHeight="1" x14ac:dyDescent="0.3">
      <c r="AU3394" s="45"/>
    </row>
    <row r="3395" spans="47:47" ht="12" hidden="1" customHeight="1" x14ac:dyDescent="0.3">
      <c r="AU3395" s="45"/>
    </row>
    <row r="3396" spans="47:47" ht="12" hidden="1" customHeight="1" x14ac:dyDescent="0.3">
      <c r="AU3396" s="45"/>
    </row>
    <row r="3397" spans="47:47" ht="12" hidden="1" customHeight="1" x14ac:dyDescent="0.3">
      <c r="AU3397" s="45"/>
    </row>
    <row r="3398" spans="47:47" ht="12" hidden="1" customHeight="1" x14ac:dyDescent="0.3">
      <c r="AU3398" s="45"/>
    </row>
    <row r="3399" spans="47:47" ht="12" hidden="1" customHeight="1" x14ac:dyDescent="0.3">
      <c r="AU3399" s="45"/>
    </row>
    <row r="3400" spans="47:47" ht="12" hidden="1" customHeight="1" x14ac:dyDescent="0.3">
      <c r="AU3400" s="45"/>
    </row>
    <row r="3401" spans="47:47" ht="12" hidden="1" customHeight="1" x14ac:dyDescent="0.3">
      <c r="AU3401" s="45"/>
    </row>
    <row r="3402" spans="47:47" ht="12" hidden="1" customHeight="1" x14ac:dyDescent="0.3">
      <c r="AU3402" s="45"/>
    </row>
    <row r="3403" spans="47:47" ht="12" hidden="1" customHeight="1" x14ac:dyDescent="0.3">
      <c r="AU3403" s="45"/>
    </row>
    <row r="3404" spans="47:47" ht="12" hidden="1" customHeight="1" x14ac:dyDescent="0.3">
      <c r="AU3404" s="45"/>
    </row>
    <row r="3405" spans="47:47" ht="12" hidden="1" customHeight="1" x14ac:dyDescent="0.3">
      <c r="AU3405" s="45"/>
    </row>
    <row r="3406" spans="47:47" ht="12" hidden="1" customHeight="1" x14ac:dyDescent="0.3">
      <c r="AU3406" s="45"/>
    </row>
    <row r="3407" spans="47:47" ht="12" hidden="1" customHeight="1" x14ac:dyDescent="0.3">
      <c r="AU3407" s="45"/>
    </row>
    <row r="3408" spans="47:47" ht="12" hidden="1" customHeight="1" x14ac:dyDescent="0.3">
      <c r="AU3408" s="45"/>
    </row>
    <row r="3409" spans="47:47" ht="12" hidden="1" customHeight="1" x14ac:dyDescent="0.3">
      <c r="AU3409" s="45"/>
    </row>
    <row r="3410" spans="47:47" ht="12" hidden="1" customHeight="1" x14ac:dyDescent="0.3">
      <c r="AU3410" s="45"/>
    </row>
    <row r="3411" spans="47:47" ht="12" hidden="1" customHeight="1" x14ac:dyDescent="0.3">
      <c r="AU3411" s="45"/>
    </row>
    <row r="3412" spans="47:47" ht="12" hidden="1" customHeight="1" x14ac:dyDescent="0.3">
      <c r="AU3412" s="45"/>
    </row>
    <row r="3413" spans="47:47" ht="12" hidden="1" customHeight="1" x14ac:dyDescent="0.3">
      <c r="AU3413" s="45"/>
    </row>
    <row r="3414" spans="47:47" ht="12" hidden="1" customHeight="1" x14ac:dyDescent="0.3">
      <c r="AU3414" s="45"/>
    </row>
    <row r="3415" spans="47:47" ht="12" hidden="1" customHeight="1" x14ac:dyDescent="0.3">
      <c r="AU3415" s="45"/>
    </row>
    <row r="3416" spans="47:47" ht="12" hidden="1" customHeight="1" x14ac:dyDescent="0.3">
      <c r="AU3416" s="45"/>
    </row>
    <row r="3417" spans="47:47" ht="12" hidden="1" customHeight="1" x14ac:dyDescent="0.3">
      <c r="AU3417" s="45"/>
    </row>
    <row r="3418" spans="47:47" ht="12" hidden="1" customHeight="1" x14ac:dyDescent="0.3">
      <c r="AU3418" s="45"/>
    </row>
    <row r="3419" spans="47:47" ht="12" hidden="1" customHeight="1" x14ac:dyDescent="0.3">
      <c r="AU3419" s="45"/>
    </row>
    <row r="3420" spans="47:47" ht="12" hidden="1" customHeight="1" x14ac:dyDescent="0.3">
      <c r="AU3420" s="45"/>
    </row>
    <row r="3421" spans="47:47" ht="12" hidden="1" customHeight="1" x14ac:dyDescent="0.3">
      <c r="AU3421" s="45"/>
    </row>
    <row r="3422" spans="47:47" ht="12" hidden="1" customHeight="1" x14ac:dyDescent="0.3">
      <c r="AU3422" s="45"/>
    </row>
    <row r="3423" spans="47:47" ht="12" hidden="1" customHeight="1" x14ac:dyDescent="0.3">
      <c r="AU3423" s="45"/>
    </row>
    <row r="3424" spans="47:47" ht="12" hidden="1" customHeight="1" x14ac:dyDescent="0.3">
      <c r="AU3424" s="45"/>
    </row>
    <row r="3425" spans="47:47" ht="12" hidden="1" customHeight="1" x14ac:dyDescent="0.3">
      <c r="AU3425" s="45"/>
    </row>
    <row r="3426" spans="47:47" ht="12" hidden="1" customHeight="1" x14ac:dyDescent="0.3">
      <c r="AU3426" s="45"/>
    </row>
    <row r="3427" spans="47:47" ht="12" hidden="1" customHeight="1" x14ac:dyDescent="0.3">
      <c r="AU3427" s="45"/>
    </row>
    <row r="3428" spans="47:47" ht="12" hidden="1" customHeight="1" x14ac:dyDescent="0.3">
      <c r="AU3428" s="45"/>
    </row>
    <row r="3429" spans="47:47" ht="12" hidden="1" customHeight="1" x14ac:dyDescent="0.3">
      <c r="AU3429" s="45"/>
    </row>
    <row r="3430" spans="47:47" ht="12" hidden="1" customHeight="1" x14ac:dyDescent="0.3">
      <c r="AU3430" s="45"/>
    </row>
    <row r="3431" spans="47:47" ht="12" hidden="1" customHeight="1" x14ac:dyDescent="0.3">
      <c r="AU3431" s="45"/>
    </row>
    <row r="3432" spans="47:47" ht="12" hidden="1" customHeight="1" x14ac:dyDescent="0.3">
      <c r="AU3432" s="45"/>
    </row>
    <row r="3433" spans="47:47" ht="12" hidden="1" customHeight="1" x14ac:dyDescent="0.3">
      <c r="AU3433" s="45"/>
    </row>
    <row r="3434" spans="47:47" ht="12" hidden="1" customHeight="1" x14ac:dyDescent="0.3">
      <c r="AU3434" s="45"/>
    </row>
    <row r="3435" spans="47:47" ht="12" hidden="1" customHeight="1" x14ac:dyDescent="0.3">
      <c r="AU3435" s="45"/>
    </row>
    <row r="3436" spans="47:47" ht="12" hidden="1" customHeight="1" x14ac:dyDescent="0.3">
      <c r="AU3436" s="45"/>
    </row>
    <row r="3437" spans="47:47" ht="12" hidden="1" customHeight="1" x14ac:dyDescent="0.3">
      <c r="AU3437" s="45"/>
    </row>
    <row r="3438" spans="47:47" ht="12" hidden="1" customHeight="1" x14ac:dyDescent="0.3">
      <c r="AU3438" s="45"/>
    </row>
    <row r="3439" spans="47:47" ht="12" hidden="1" customHeight="1" x14ac:dyDescent="0.3">
      <c r="AU3439" s="45"/>
    </row>
    <row r="3440" spans="47:47" ht="12" hidden="1" customHeight="1" x14ac:dyDescent="0.3">
      <c r="AU3440" s="45"/>
    </row>
    <row r="3441" spans="47:47" ht="12" hidden="1" customHeight="1" x14ac:dyDescent="0.3">
      <c r="AU3441" s="45"/>
    </row>
    <row r="3442" spans="47:47" ht="12" hidden="1" customHeight="1" x14ac:dyDescent="0.3">
      <c r="AU3442" s="45"/>
    </row>
    <row r="3443" spans="47:47" ht="12" hidden="1" customHeight="1" x14ac:dyDescent="0.3">
      <c r="AU3443" s="45"/>
    </row>
    <row r="3444" spans="47:47" ht="12" hidden="1" customHeight="1" x14ac:dyDescent="0.3">
      <c r="AU3444" s="45"/>
    </row>
    <row r="3445" spans="47:47" ht="12" hidden="1" customHeight="1" x14ac:dyDescent="0.3">
      <c r="AU3445" s="45"/>
    </row>
    <row r="3446" spans="47:47" ht="12" hidden="1" customHeight="1" x14ac:dyDescent="0.3">
      <c r="AU3446" s="45"/>
    </row>
    <row r="3447" spans="47:47" ht="12" hidden="1" customHeight="1" x14ac:dyDescent="0.3">
      <c r="AU3447" s="45"/>
    </row>
    <row r="3448" spans="47:47" ht="12" hidden="1" customHeight="1" x14ac:dyDescent="0.3">
      <c r="AU3448" s="45"/>
    </row>
    <row r="3449" spans="47:47" ht="12" hidden="1" customHeight="1" x14ac:dyDescent="0.3">
      <c r="AU3449" s="45"/>
    </row>
    <row r="3450" spans="47:47" ht="12" hidden="1" customHeight="1" x14ac:dyDescent="0.3">
      <c r="AU3450" s="45"/>
    </row>
    <row r="3451" spans="47:47" ht="12" hidden="1" customHeight="1" x14ac:dyDescent="0.3">
      <c r="AU3451" s="45"/>
    </row>
    <row r="3452" spans="47:47" ht="12" hidden="1" customHeight="1" x14ac:dyDescent="0.3">
      <c r="AU3452" s="45"/>
    </row>
    <row r="3453" spans="47:47" ht="12" hidden="1" customHeight="1" x14ac:dyDescent="0.3">
      <c r="AU3453" s="45"/>
    </row>
    <row r="3454" spans="47:47" ht="12" hidden="1" customHeight="1" x14ac:dyDescent="0.3">
      <c r="AU3454" s="45"/>
    </row>
    <row r="3455" spans="47:47" ht="12" hidden="1" customHeight="1" x14ac:dyDescent="0.3">
      <c r="AU3455" s="45"/>
    </row>
    <row r="3456" spans="47:47" ht="12" hidden="1" customHeight="1" x14ac:dyDescent="0.3">
      <c r="AU3456" s="45"/>
    </row>
    <row r="3457" spans="47:47" ht="12" hidden="1" customHeight="1" x14ac:dyDescent="0.3">
      <c r="AU3457" s="45"/>
    </row>
    <row r="3458" spans="47:47" ht="12" hidden="1" customHeight="1" x14ac:dyDescent="0.3">
      <c r="AU3458" s="45"/>
    </row>
    <row r="3459" spans="47:47" ht="12" hidden="1" customHeight="1" x14ac:dyDescent="0.3">
      <c r="AU3459" s="45"/>
    </row>
    <row r="3460" spans="47:47" ht="12" hidden="1" customHeight="1" x14ac:dyDescent="0.3">
      <c r="AU3460" s="45"/>
    </row>
    <row r="3461" spans="47:47" ht="12" hidden="1" customHeight="1" x14ac:dyDescent="0.3">
      <c r="AU3461" s="45"/>
    </row>
    <row r="3462" spans="47:47" ht="12" hidden="1" customHeight="1" x14ac:dyDescent="0.3">
      <c r="AU3462" s="45"/>
    </row>
    <row r="3463" spans="47:47" ht="12" hidden="1" customHeight="1" x14ac:dyDescent="0.3">
      <c r="AU3463" s="45"/>
    </row>
    <row r="3464" spans="47:47" ht="12" hidden="1" customHeight="1" x14ac:dyDescent="0.3">
      <c r="AU3464" s="45"/>
    </row>
    <row r="3465" spans="47:47" ht="12" hidden="1" customHeight="1" x14ac:dyDescent="0.3">
      <c r="AU3465" s="45"/>
    </row>
    <row r="3466" spans="47:47" ht="12" hidden="1" customHeight="1" x14ac:dyDescent="0.3">
      <c r="AU3466" s="45"/>
    </row>
    <row r="3467" spans="47:47" ht="12" hidden="1" customHeight="1" x14ac:dyDescent="0.3">
      <c r="AU3467" s="45"/>
    </row>
    <row r="3468" spans="47:47" ht="12" hidden="1" customHeight="1" x14ac:dyDescent="0.3">
      <c r="AU3468" s="45"/>
    </row>
    <row r="3469" spans="47:47" ht="12" hidden="1" customHeight="1" x14ac:dyDescent="0.3">
      <c r="AU3469" s="45"/>
    </row>
    <row r="3470" spans="47:47" ht="12" hidden="1" customHeight="1" x14ac:dyDescent="0.3">
      <c r="AU3470" s="45"/>
    </row>
    <row r="3471" spans="47:47" ht="12" hidden="1" customHeight="1" x14ac:dyDescent="0.3">
      <c r="AU3471" s="45"/>
    </row>
    <row r="3472" spans="47:47" ht="12" hidden="1" customHeight="1" x14ac:dyDescent="0.3">
      <c r="AU3472" s="45"/>
    </row>
    <row r="3473" spans="47:47" ht="12" hidden="1" customHeight="1" x14ac:dyDescent="0.3">
      <c r="AU3473" s="45"/>
    </row>
    <row r="3474" spans="47:47" ht="12" hidden="1" customHeight="1" x14ac:dyDescent="0.3">
      <c r="AU3474" s="45"/>
    </row>
    <row r="3475" spans="47:47" ht="12" hidden="1" customHeight="1" x14ac:dyDescent="0.3">
      <c r="AU3475" s="45"/>
    </row>
    <row r="3476" spans="47:47" ht="12" hidden="1" customHeight="1" x14ac:dyDescent="0.3">
      <c r="AU3476" s="45"/>
    </row>
    <row r="3477" spans="47:47" ht="12" hidden="1" customHeight="1" x14ac:dyDescent="0.3">
      <c r="AU3477" s="45"/>
    </row>
    <row r="3478" spans="47:47" ht="12" hidden="1" customHeight="1" x14ac:dyDescent="0.3">
      <c r="AU3478" s="45"/>
    </row>
    <row r="3479" spans="47:47" ht="12" hidden="1" customHeight="1" x14ac:dyDescent="0.3">
      <c r="AU3479" s="45"/>
    </row>
    <row r="3480" spans="47:47" ht="12" hidden="1" customHeight="1" x14ac:dyDescent="0.3">
      <c r="AU3480" s="45"/>
    </row>
    <row r="3481" spans="47:47" ht="12" hidden="1" customHeight="1" x14ac:dyDescent="0.3">
      <c r="AU3481" s="45"/>
    </row>
    <row r="3482" spans="47:47" ht="12" hidden="1" customHeight="1" x14ac:dyDescent="0.3">
      <c r="AU3482" s="45"/>
    </row>
    <row r="3483" spans="47:47" ht="12" hidden="1" customHeight="1" x14ac:dyDescent="0.3">
      <c r="AU3483" s="45"/>
    </row>
    <row r="3484" spans="47:47" ht="12" hidden="1" customHeight="1" x14ac:dyDescent="0.3">
      <c r="AU3484" s="45"/>
    </row>
    <row r="3485" spans="47:47" ht="12" hidden="1" customHeight="1" x14ac:dyDescent="0.3">
      <c r="AU3485" s="45"/>
    </row>
    <row r="3486" spans="47:47" ht="12" hidden="1" customHeight="1" x14ac:dyDescent="0.3">
      <c r="AU3486" s="45"/>
    </row>
    <row r="3487" spans="47:47" ht="12" hidden="1" customHeight="1" x14ac:dyDescent="0.3">
      <c r="AU3487" s="45"/>
    </row>
    <row r="3488" spans="47:47" ht="12" hidden="1" customHeight="1" x14ac:dyDescent="0.3">
      <c r="AU3488" s="45"/>
    </row>
    <row r="3489" spans="47:47" ht="12" hidden="1" customHeight="1" x14ac:dyDescent="0.3">
      <c r="AU3489" s="45"/>
    </row>
    <row r="3490" spans="47:47" ht="12" hidden="1" customHeight="1" x14ac:dyDescent="0.3">
      <c r="AU3490" s="45"/>
    </row>
    <row r="3491" spans="47:47" ht="12" hidden="1" customHeight="1" x14ac:dyDescent="0.3">
      <c r="AU3491" s="45"/>
    </row>
    <row r="3492" spans="47:47" ht="12" hidden="1" customHeight="1" x14ac:dyDescent="0.3">
      <c r="AU3492" s="45"/>
    </row>
    <row r="3493" spans="47:47" ht="12" hidden="1" customHeight="1" x14ac:dyDescent="0.3">
      <c r="AU3493" s="45"/>
    </row>
    <row r="3494" spans="47:47" ht="12" hidden="1" customHeight="1" x14ac:dyDescent="0.3">
      <c r="AU3494" s="45"/>
    </row>
    <row r="3495" spans="47:47" ht="12" hidden="1" customHeight="1" x14ac:dyDescent="0.3">
      <c r="AU3495" s="45"/>
    </row>
    <row r="3496" spans="47:47" ht="12" hidden="1" customHeight="1" x14ac:dyDescent="0.3">
      <c r="AU3496" s="45"/>
    </row>
    <row r="3497" spans="47:47" ht="12" hidden="1" customHeight="1" x14ac:dyDescent="0.3">
      <c r="AU3497" s="45"/>
    </row>
    <row r="3498" spans="47:47" ht="12" hidden="1" customHeight="1" x14ac:dyDescent="0.3">
      <c r="AU3498" s="45"/>
    </row>
    <row r="3499" spans="47:47" ht="12" hidden="1" customHeight="1" x14ac:dyDescent="0.3">
      <c r="AU3499" s="45"/>
    </row>
    <row r="3500" spans="47:47" ht="12" hidden="1" customHeight="1" x14ac:dyDescent="0.3">
      <c r="AU3500" s="45"/>
    </row>
    <row r="3501" spans="47:47" ht="12" hidden="1" customHeight="1" x14ac:dyDescent="0.3">
      <c r="AU3501" s="45"/>
    </row>
    <row r="3502" spans="47:47" ht="12" hidden="1" customHeight="1" x14ac:dyDescent="0.3">
      <c r="AU3502" s="45"/>
    </row>
    <row r="3503" spans="47:47" ht="12" hidden="1" customHeight="1" x14ac:dyDescent="0.3">
      <c r="AU3503" s="45"/>
    </row>
    <row r="3504" spans="47:47" ht="12" hidden="1" customHeight="1" x14ac:dyDescent="0.3">
      <c r="AU3504" s="45"/>
    </row>
    <row r="3505" spans="47:47" ht="12" hidden="1" customHeight="1" x14ac:dyDescent="0.3">
      <c r="AU3505" s="45"/>
    </row>
    <row r="3506" spans="47:47" ht="12" hidden="1" customHeight="1" x14ac:dyDescent="0.3">
      <c r="AU3506" s="45"/>
    </row>
    <row r="3507" spans="47:47" ht="12" hidden="1" customHeight="1" x14ac:dyDescent="0.3">
      <c r="AU3507" s="45"/>
    </row>
    <row r="3508" spans="47:47" ht="12" hidden="1" customHeight="1" x14ac:dyDescent="0.3">
      <c r="AU3508" s="45"/>
    </row>
    <row r="3509" spans="47:47" ht="12" hidden="1" customHeight="1" x14ac:dyDescent="0.3">
      <c r="AU3509" s="45"/>
    </row>
    <row r="3510" spans="47:47" ht="12" hidden="1" customHeight="1" x14ac:dyDescent="0.3">
      <c r="AU3510" s="45"/>
    </row>
    <row r="3511" spans="47:47" ht="12" hidden="1" customHeight="1" x14ac:dyDescent="0.3">
      <c r="AU3511" s="45"/>
    </row>
    <row r="3512" spans="47:47" ht="12" hidden="1" customHeight="1" x14ac:dyDescent="0.3">
      <c r="AU3512" s="45"/>
    </row>
    <row r="3513" spans="47:47" ht="12" hidden="1" customHeight="1" x14ac:dyDescent="0.3">
      <c r="AU3513" s="45"/>
    </row>
    <row r="3514" spans="47:47" ht="12" hidden="1" customHeight="1" x14ac:dyDescent="0.3">
      <c r="AU3514" s="45"/>
    </row>
    <row r="3515" spans="47:47" ht="12" hidden="1" customHeight="1" x14ac:dyDescent="0.3">
      <c r="AU3515" s="45"/>
    </row>
    <row r="3516" spans="47:47" ht="12" hidden="1" customHeight="1" x14ac:dyDescent="0.3">
      <c r="AU3516" s="45"/>
    </row>
    <row r="3517" spans="47:47" ht="12" hidden="1" customHeight="1" x14ac:dyDescent="0.3">
      <c r="AU3517" s="45"/>
    </row>
    <row r="3518" spans="47:47" ht="12" hidden="1" customHeight="1" x14ac:dyDescent="0.3">
      <c r="AU3518" s="45"/>
    </row>
    <row r="3519" spans="47:47" ht="12" hidden="1" customHeight="1" x14ac:dyDescent="0.3">
      <c r="AU3519" s="45"/>
    </row>
    <row r="3520" spans="47:47" ht="12" hidden="1" customHeight="1" x14ac:dyDescent="0.3">
      <c r="AU3520" s="45"/>
    </row>
    <row r="3521" spans="47:47" ht="12" hidden="1" customHeight="1" x14ac:dyDescent="0.3">
      <c r="AU3521" s="45"/>
    </row>
    <row r="3522" spans="47:47" ht="12" hidden="1" customHeight="1" x14ac:dyDescent="0.3">
      <c r="AU3522" s="45"/>
    </row>
    <row r="3523" spans="47:47" ht="12" hidden="1" customHeight="1" x14ac:dyDescent="0.3">
      <c r="AU3523" s="45"/>
    </row>
    <row r="3524" spans="47:47" ht="12" hidden="1" customHeight="1" x14ac:dyDescent="0.3">
      <c r="AU3524" s="45"/>
    </row>
    <row r="3525" spans="47:47" ht="12" hidden="1" customHeight="1" x14ac:dyDescent="0.3">
      <c r="AU3525" s="45"/>
    </row>
    <row r="3526" spans="47:47" ht="12" hidden="1" customHeight="1" x14ac:dyDescent="0.3">
      <c r="AU3526" s="45"/>
    </row>
    <row r="3527" spans="47:47" ht="12" hidden="1" customHeight="1" x14ac:dyDescent="0.3">
      <c r="AU3527" s="45"/>
    </row>
    <row r="3528" spans="47:47" ht="12" hidden="1" customHeight="1" x14ac:dyDescent="0.3">
      <c r="AU3528" s="45"/>
    </row>
    <row r="3529" spans="47:47" ht="12" hidden="1" customHeight="1" x14ac:dyDescent="0.3">
      <c r="AU3529" s="45"/>
    </row>
    <row r="3530" spans="47:47" ht="12" hidden="1" customHeight="1" x14ac:dyDescent="0.3">
      <c r="AU3530" s="45"/>
    </row>
    <row r="3531" spans="47:47" ht="12" hidden="1" customHeight="1" x14ac:dyDescent="0.3">
      <c r="AU3531" s="45"/>
    </row>
    <row r="3532" spans="47:47" ht="12" hidden="1" customHeight="1" x14ac:dyDescent="0.3">
      <c r="AU3532" s="45"/>
    </row>
    <row r="3533" spans="47:47" ht="12" hidden="1" customHeight="1" x14ac:dyDescent="0.3">
      <c r="AU3533" s="45"/>
    </row>
    <row r="3534" spans="47:47" ht="12" hidden="1" customHeight="1" x14ac:dyDescent="0.3">
      <c r="AU3534" s="45"/>
    </row>
    <row r="3535" spans="47:47" ht="12" hidden="1" customHeight="1" x14ac:dyDescent="0.3">
      <c r="AU3535" s="45"/>
    </row>
    <row r="3536" spans="47:47" ht="12" hidden="1" customHeight="1" x14ac:dyDescent="0.3">
      <c r="AU3536" s="45"/>
    </row>
    <row r="3537" spans="47:47" ht="12" hidden="1" customHeight="1" x14ac:dyDescent="0.3">
      <c r="AU3537" s="45"/>
    </row>
    <row r="3538" spans="47:47" ht="12" hidden="1" customHeight="1" x14ac:dyDescent="0.3">
      <c r="AU3538" s="45"/>
    </row>
    <row r="3539" spans="47:47" ht="12" hidden="1" customHeight="1" x14ac:dyDescent="0.3">
      <c r="AU3539" s="45"/>
    </row>
    <row r="3540" spans="47:47" ht="12" hidden="1" customHeight="1" x14ac:dyDescent="0.3">
      <c r="AU3540" s="45"/>
    </row>
    <row r="3541" spans="47:47" ht="12" hidden="1" customHeight="1" x14ac:dyDescent="0.3">
      <c r="AU3541" s="45"/>
    </row>
    <row r="3542" spans="47:47" ht="12" hidden="1" customHeight="1" x14ac:dyDescent="0.3">
      <c r="AU3542" s="45"/>
    </row>
    <row r="3543" spans="47:47" ht="12" hidden="1" customHeight="1" x14ac:dyDescent="0.3">
      <c r="AU3543" s="45"/>
    </row>
    <row r="3544" spans="47:47" ht="12" hidden="1" customHeight="1" x14ac:dyDescent="0.3">
      <c r="AU3544" s="45"/>
    </row>
    <row r="3545" spans="47:47" ht="12" hidden="1" customHeight="1" x14ac:dyDescent="0.3">
      <c r="AU3545" s="45"/>
    </row>
    <row r="3546" spans="47:47" ht="12" hidden="1" customHeight="1" x14ac:dyDescent="0.3">
      <c r="AU3546" s="45"/>
    </row>
    <row r="3547" spans="47:47" ht="12" hidden="1" customHeight="1" x14ac:dyDescent="0.3">
      <c r="AU3547" s="45"/>
    </row>
    <row r="3548" spans="47:47" ht="12" hidden="1" customHeight="1" x14ac:dyDescent="0.3">
      <c r="AU3548" s="45"/>
    </row>
    <row r="3549" spans="47:47" ht="12" hidden="1" customHeight="1" x14ac:dyDescent="0.3">
      <c r="AU3549" s="45"/>
    </row>
    <row r="3550" spans="47:47" ht="12" hidden="1" customHeight="1" x14ac:dyDescent="0.3">
      <c r="AU3550" s="45"/>
    </row>
    <row r="3551" spans="47:47" ht="12" hidden="1" customHeight="1" x14ac:dyDescent="0.3">
      <c r="AU3551" s="45"/>
    </row>
    <row r="3552" spans="47:47" ht="12" hidden="1" customHeight="1" x14ac:dyDescent="0.3">
      <c r="AU3552" s="45"/>
    </row>
    <row r="3553" spans="47:47" ht="12" hidden="1" customHeight="1" x14ac:dyDescent="0.3">
      <c r="AU3553" s="45"/>
    </row>
    <row r="3554" spans="47:47" ht="12" hidden="1" customHeight="1" x14ac:dyDescent="0.3">
      <c r="AU3554" s="45"/>
    </row>
    <row r="3555" spans="47:47" ht="12" hidden="1" customHeight="1" x14ac:dyDescent="0.3">
      <c r="AU3555" s="45"/>
    </row>
    <row r="3556" spans="47:47" ht="12" hidden="1" customHeight="1" x14ac:dyDescent="0.3">
      <c r="AU3556" s="45"/>
    </row>
    <row r="3557" spans="47:47" ht="12" hidden="1" customHeight="1" x14ac:dyDescent="0.3">
      <c r="AU3557" s="45"/>
    </row>
    <row r="3558" spans="47:47" ht="12" hidden="1" customHeight="1" x14ac:dyDescent="0.3">
      <c r="AU3558" s="45"/>
    </row>
    <row r="3559" spans="47:47" ht="12" hidden="1" customHeight="1" x14ac:dyDescent="0.3">
      <c r="AU3559" s="45"/>
    </row>
    <row r="3560" spans="47:47" ht="12" hidden="1" customHeight="1" x14ac:dyDescent="0.3">
      <c r="AU3560" s="45"/>
    </row>
    <row r="3561" spans="47:47" ht="12" hidden="1" customHeight="1" x14ac:dyDescent="0.3">
      <c r="AU3561" s="45"/>
    </row>
    <row r="3562" spans="47:47" ht="12" hidden="1" customHeight="1" x14ac:dyDescent="0.3">
      <c r="AU3562" s="45"/>
    </row>
    <row r="3563" spans="47:47" ht="12" hidden="1" customHeight="1" x14ac:dyDescent="0.3">
      <c r="AU3563" s="45"/>
    </row>
    <row r="3564" spans="47:47" ht="12" hidden="1" customHeight="1" x14ac:dyDescent="0.3">
      <c r="AU3564" s="45"/>
    </row>
    <row r="3565" spans="47:47" ht="12" hidden="1" customHeight="1" x14ac:dyDescent="0.3">
      <c r="AU3565" s="45"/>
    </row>
    <row r="3566" spans="47:47" ht="12" hidden="1" customHeight="1" x14ac:dyDescent="0.3">
      <c r="AU3566" s="45"/>
    </row>
    <row r="3567" spans="47:47" ht="12" hidden="1" customHeight="1" x14ac:dyDescent="0.3">
      <c r="AU3567" s="45"/>
    </row>
    <row r="3568" spans="47:47" ht="12" hidden="1" customHeight="1" x14ac:dyDescent="0.3">
      <c r="AU3568" s="45"/>
    </row>
    <row r="3569" spans="47:47" ht="12" hidden="1" customHeight="1" x14ac:dyDescent="0.3">
      <c r="AU3569" s="45"/>
    </row>
    <row r="3570" spans="47:47" ht="12" hidden="1" customHeight="1" x14ac:dyDescent="0.3">
      <c r="AU3570" s="45"/>
    </row>
    <row r="3571" spans="47:47" ht="12" hidden="1" customHeight="1" x14ac:dyDescent="0.3">
      <c r="AU3571" s="45"/>
    </row>
    <row r="3572" spans="47:47" ht="12" hidden="1" customHeight="1" x14ac:dyDescent="0.3">
      <c r="AU3572" s="45"/>
    </row>
    <row r="3573" spans="47:47" ht="12" hidden="1" customHeight="1" x14ac:dyDescent="0.3">
      <c r="AU3573" s="45"/>
    </row>
    <row r="3574" spans="47:47" ht="12" hidden="1" customHeight="1" x14ac:dyDescent="0.3">
      <c r="AU3574" s="45"/>
    </row>
    <row r="3575" spans="47:47" ht="12" hidden="1" customHeight="1" x14ac:dyDescent="0.3">
      <c r="AU3575" s="45"/>
    </row>
    <row r="3576" spans="47:47" ht="12" hidden="1" customHeight="1" x14ac:dyDescent="0.3">
      <c r="AU3576" s="45"/>
    </row>
    <row r="3577" spans="47:47" ht="12" hidden="1" customHeight="1" x14ac:dyDescent="0.3">
      <c r="AU3577" s="45"/>
    </row>
    <row r="3578" spans="47:47" ht="12" hidden="1" customHeight="1" x14ac:dyDescent="0.3">
      <c r="AU3578" s="45"/>
    </row>
    <row r="3579" spans="47:47" ht="12" hidden="1" customHeight="1" x14ac:dyDescent="0.3">
      <c r="AU3579" s="45"/>
    </row>
    <row r="3580" spans="47:47" ht="12" hidden="1" customHeight="1" x14ac:dyDescent="0.3">
      <c r="AU3580" s="45"/>
    </row>
    <row r="3581" spans="47:47" ht="12" hidden="1" customHeight="1" x14ac:dyDescent="0.3">
      <c r="AU3581" s="45"/>
    </row>
    <row r="3582" spans="47:47" ht="12" hidden="1" customHeight="1" x14ac:dyDescent="0.3">
      <c r="AU3582" s="45"/>
    </row>
    <row r="3583" spans="47:47" ht="12" hidden="1" customHeight="1" x14ac:dyDescent="0.3">
      <c r="AU3583" s="45"/>
    </row>
    <row r="3584" spans="47:47" ht="12" hidden="1" customHeight="1" x14ac:dyDescent="0.3">
      <c r="AU3584" s="45"/>
    </row>
    <row r="3585" spans="47:47" ht="12" hidden="1" customHeight="1" x14ac:dyDescent="0.3">
      <c r="AU3585" s="45"/>
    </row>
    <row r="3586" spans="47:47" ht="12" hidden="1" customHeight="1" x14ac:dyDescent="0.3">
      <c r="AU3586" s="45"/>
    </row>
    <row r="3587" spans="47:47" ht="12" hidden="1" customHeight="1" x14ac:dyDescent="0.3">
      <c r="AU3587" s="45"/>
    </row>
    <row r="3588" spans="47:47" ht="12" hidden="1" customHeight="1" x14ac:dyDescent="0.3">
      <c r="AU3588" s="45"/>
    </row>
    <row r="3589" spans="47:47" ht="12" hidden="1" customHeight="1" x14ac:dyDescent="0.3">
      <c r="AU3589" s="45"/>
    </row>
    <row r="3590" spans="47:47" ht="12" hidden="1" customHeight="1" x14ac:dyDescent="0.3">
      <c r="AU3590" s="45"/>
    </row>
    <row r="3591" spans="47:47" ht="12" hidden="1" customHeight="1" x14ac:dyDescent="0.3">
      <c r="AU3591" s="45"/>
    </row>
    <row r="3592" spans="47:47" ht="12" hidden="1" customHeight="1" x14ac:dyDescent="0.3">
      <c r="AU3592" s="45"/>
    </row>
    <row r="3593" spans="47:47" ht="12" hidden="1" customHeight="1" x14ac:dyDescent="0.3">
      <c r="AU3593" s="45"/>
    </row>
    <row r="3594" spans="47:47" ht="12" hidden="1" customHeight="1" x14ac:dyDescent="0.3">
      <c r="AU3594" s="45"/>
    </row>
    <row r="3595" spans="47:47" ht="12" hidden="1" customHeight="1" x14ac:dyDescent="0.3">
      <c r="AU3595" s="45"/>
    </row>
    <row r="3596" spans="47:47" ht="12" hidden="1" customHeight="1" x14ac:dyDescent="0.3">
      <c r="AU3596" s="45"/>
    </row>
    <row r="3597" spans="47:47" ht="12" hidden="1" customHeight="1" x14ac:dyDescent="0.3">
      <c r="AU3597" s="45"/>
    </row>
    <row r="3598" spans="47:47" ht="12" hidden="1" customHeight="1" x14ac:dyDescent="0.3">
      <c r="AU3598" s="45"/>
    </row>
    <row r="3599" spans="47:47" ht="12" hidden="1" customHeight="1" x14ac:dyDescent="0.3">
      <c r="AU3599" s="45"/>
    </row>
    <row r="3600" spans="47:47" ht="12" hidden="1" customHeight="1" x14ac:dyDescent="0.3">
      <c r="AU3600" s="45"/>
    </row>
    <row r="3601" spans="47:47" ht="12" hidden="1" customHeight="1" x14ac:dyDescent="0.3">
      <c r="AU3601" s="45"/>
    </row>
    <row r="3602" spans="47:47" ht="12" hidden="1" customHeight="1" x14ac:dyDescent="0.3">
      <c r="AU3602" s="45"/>
    </row>
    <row r="3603" spans="47:47" ht="12" hidden="1" customHeight="1" x14ac:dyDescent="0.3">
      <c r="AU3603" s="45"/>
    </row>
    <row r="3604" spans="47:47" ht="12" hidden="1" customHeight="1" x14ac:dyDescent="0.3">
      <c r="AU3604" s="45"/>
    </row>
    <row r="3605" spans="47:47" ht="12" hidden="1" customHeight="1" x14ac:dyDescent="0.3">
      <c r="AU3605" s="45"/>
    </row>
    <row r="3606" spans="47:47" ht="12" hidden="1" customHeight="1" x14ac:dyDescent="0.3">
      <c r="AU3606" s="45"/>
    </row>
    <row r="3607" spans="47:47" ht="12" hidden="1" customHeight="1" x14ac:dyDescent="0.3">
      <c r="AU3607" s="45"/>
    </row>
    <row r="3608" spans="47:47" ht="12" hidden="1" customHeight="1" x14ac:dyDescent="0.3">
      <c r="AU3608" s="45"/>
    </row>
    <row r="3609" spans="47:47" ht="12" hidden="1" customHeight="1" x14ac:dyDescent="0.3">
      <c r="AU3609" s="45"/>
    </row>
    <row r="3610" spans="47:47" ht="12" hidden="1" customHeight="1" x14ac:dyDescent="0.3">
      <c r="AU3610" s="45"/>
    </row>
    <row r="3611" spans="47:47" ht="12" hidden="1" customHeight="1" x14ac:dyDescent="0.3">
      <c r="AU3611" s="45"/>
    </row>
    <row r="3612" spans="47:47" ht="12" hidden="1" customHeight="1" x14ac:dyDescent="0.3">
      <c r="AU3612" s="45"/>
    </row>
    <row r="3613" spans="47:47" ht="12" hidden="1" customHeight="1" x14ac:dyDescent="0.3">
      <c r="AU3613" s="45"/>
    </row>
    <row r="3614" spans="47:47" ht="12" hidden="1" customHeight="1" x14ac:dyDescent="0.3">
      <c r="AU3614" s="45"/>
    </row>
    <row r="3615" spans="47:47" ht="12" hidden="1" customHeight="1" x14ac:dyDescent="0.3">
      <c r="AU3615" s="45"/>
    </row>
    <row r="3616" spans="47:47" ht="12" hidden="1" customHeight="1" x14ac:dyDescent="0.3">
      <c r="AU3616" s="45"/>
    </row>
    <row r="3617" spans="47:47" ht="12" hidden="1" customHeight="1" x14ac:dyDescent="0.3">
      <c r="AU3617" s="45"/>
    </row>
    <row r="3618" spans="47:47" ht="12" hidden="1" customHeight="1" x14ac:dyDescent="0.3">
      <c r="AU3618" s="45"/>
    </row>
    <row r="3619" spans="47:47" ht="12" hidden="1" customHeight="1" x14ac:dyDescent="0.3">
      <c r="AU3619" s="45"/>
    </row>
    <row r="3620" spans="47:47" ht="12" hidden="1" customHeight="1" x14ac:dyDescent="0.3">
      <c r="AU3620" s="45"/>
    </row>
    <row r="3621" spans="47:47" ht="12" hidden="1" customHeight="1" x14ac:dyDescent="0.3">
      <c r="AU3621" s="45"/>
    </row>
    <row r="3622" spans="47:47" ht="12" hidden="1" customHeight="1" x14ac:dyDescent="0.3">
      <c r="AU3622" s="45"/>
    </row>
    <row r="3623" spans="47:47" ht="12" hidden="1" customHeight="1" x14ac:dyDescent="0.3">
      <c r="AU3623" s="45"/>
    </row>
    <row r="3624" spans="47:47" ht="12" hidden="1" customHeight="1" x14ac:dyDescent="0.3">
      <c r="AU3624" s="45"/>
    </row>
    <row r="3625" spans="47:47" ht="12" hidden="1" customHeight="1" x14ac:dyDescent="0.3">
      <c r="AU3625" s="45"/>
    </row>
    <row r="3626" spans="47:47" ht="12" hidden="1" customHeight="1" x14ac:dyDescent="0.3">
      <c r="AU3626" s="45"/>
    </row>
    <row r="3627" spans="47:47" ht="12" hidden="1" customHeight="1" x14ac:dyDescent="0.3">
      <c r="AU3627" s="45"/>
    </row>
    <row r="3628" spans="47:47" ht="12" hidden="1" customHeight="1" x14ac:dyDescent="0.3">
      <c r="AU3628" s="45"/>
    </row>
    <row r="3629" spans="47:47" ht="12" hidden="1" customHeight="1" x14ac:dyDescent="0.3">
      <c r="AU3629" s="45"/>
    </row>
    <row r="3630" spans="47:47" ht="12" hidden="1" customHeight="1" x14ac:dyDescent="0.3">
      <c r="AU3630" s="45"/>
    </row>
    <row r="3631" spans="47:47" ht="12" hidden="1" customHeight="1" x14ac:dyDescent="0.3">
      <c r="AU3631" s="45"/>
    </row>
    <row r="3632" spans="47:47" ht="12" hidden="1" customHeight="1" x14ac:dyDescent="0.3">
      <c r="AU3632" s="45"/>
    </row>
    <row r="3633" spans="47:47" ht="12" hidden="1" customHeight="1" x14ac:dyDescent="0.3">
      <c r="AU3633" s="45"/>
    </row>
    <row r="3634" spans="47:47" ht="12" hidden="1" customHeight="1" x14ac:dyDescent="0.3">
      <c r="AU3634" s="45"/>
    </row>
    <row r="3635" spans="47:47" ht="12" hidden="1" customHeight="1" x14ac:dyDescent="0.3">
      <c r="AU3635" s="45"/>
    </row>
    <row r="3636" spans="47:47" ht="12" hidden="1" customHeight="1" x14ac:dyDescent="0.3">
      <c r="AU3636" s="45"/>
    </row>
    <row r="3637" spans="47:47" ht="12" hidden="1" customHeight="1" x14ac:dyDescent="0.3">
      <c r="AU3637" s="45"/>
    </row>
    <row r="3638" spans="47:47" ht="12" hidden="1" customHeight="1" x14ac:dyDescent="0.3">
      <c r="AU3638" s="45"/>
    </row>
    <row r="3639" spans="47:47" ht="12" hidden="1" customHeight="1" x14ac:dyDescent="0.3">
      <c r="AU3639" s="45"/>
    </row>
    <row r="3640" spans="47:47" ht="12" hidden="1" customHeight="1" x14ac:dyDescent="0.3">
      <c r="AU3640" s="45"/>
    </row>
    <row r="3641" spans="47:47" ht="12" hidden="1" customHeight="1" x14ac:dyDescent="0.3">
      <c r="AU3641" s="45"/>
    </row>
    <row r="3642" spans="47:47" ht="12" hidden="1" customHeight="1" x14ac:dyDescent="0.3">
      <c r="AU3642" s="45"/>
    </row>
    <row r="3643" spans="47:47" ht="12" hidden="1" customHeight="1" x14ac:dyDescent="0.3">
      <c r="AU3643" s="45"/>
    </row>
    <row r="3644" spans="47:47" ht="12" hidden="1" customHeight="1" x14ac:dyDescent="0.3">
      <c r="AU3644" s="45"/>
    </row>
    <row r="3645" spans="47:47" ht="12" hidden="1" customHeight="1" x14ac:dyDescent="0.3">
      <c r="AU3645" s="45"/>
    </row>
    <row r="3646" spans="47:47" ht="12" hidden="1" customHeight="1" x14ac:dyDescent="0.3">
      <c r="AU3646" s="45"/>
    </row>
    <row r="3647" spans="47:47" ht="12" hidden="1" customHeight="1" x14ac:dyDescent="0.3">
      <c r="AU3647" s="45"/>
    </row>
    <row r="3648" spans="47:47" ht="12" hidden="1" customHeight="1" x14ac:dyDescent="0.3">
      <c r="AU3648" s="45"/>
    </row>
    <row r="3649" spans="47:47" ht="12" hidden="1" customHeight="1" x14ac:dyDescent="0.3">
      <c r="AU3649" s="45"/>
    </row>
    <row r="3650" spans="47:47" ht="12" hidden="1" customHeight="1" x14ac:dyDescent="0.3">
      <c r="AU3650" s="45"/>
    </row>
    <row r="3651" spans="47:47" ht="12" hidden="1" customHeight="1" x14ac:dyDescent="0.3">
      <c r="AU3651" s="45"/>
    </row>
    <row r="3652" spans="47:47" ht="12" hidden="1" customHeight="1" x14ac:dyDescent="0.3">
      <c r="AU3652" s="45"/>
    </row>
    <row r="3653" spans="47:47" ht="12" hidden="1" customHeight="1" x14ac:dyDescent="0.3">
      <c r="AU3653" s="45"/>
    </row>
    <row r="3654" spans="47:47" ht="12" hidden="1" customHeight="1" x14ac:dyDescent="0.3">
      <c r="AU3654" s="45"/>
    </row>
    <row r="3655" spans="47:47" ht="12" hidden="1" customHeight="1" x14ac:dyDescent="0.3">
      <c r="AU3655" s="45"/>
    </row>
    <row r="3656" spans="47:47" ht="12" hidden="1" customHeight="1" x14ac:dyDescent="0.3">
      <c r="AU3656" s="45"/>
    </row>
    <row r="3657" spans="47:47" ht="12" hidden="1" customHeight="1" x14ac:dyDescent="0.3">
      <c r="AU3657" s="45"/>
    </row>
    <row r="3658" spans="47:47" ht="12" hidden="1" customHeight="1" x14ac:dyDescent="0.3">
      <c r="AU3658" s="45"/>
    </row>
    <row r="3659" spans="47:47" ht="12" hidden="1" customHeight="1" x14ac:dyDescent="0.3">
      <c r="AU3659" s="45"/>
    </row>
    <row r="3660" spans="47:47" ht="12" hidden="1" customHeight="1" x14ac:dyDescent="0.3">
      <c r="AU3660" s="45"/>
    </row>
    <row r="3661" spans="47:47" ht="12" hidden="1" customHeight="1" x14ac:dyDescent="0.3">
      <c r="AU3661" s="45"/>
    </row>
    <row r="3662" spans="47:47" ht="12" hidden="1" customHeight="1" x14ac:dyDescent="0.3">
      <c r="AU3662" s="45"/>
    </row>
    <row r="3663" spans="47:47" ht="12" hidden="1" customHeight="1" x14ac:dyDescent="0.3">
      <c r="AU3663" s="45"/>
    </row>
    <row r="3664" spans="47:47" ht="12" hidden="1" customHeight="1" x14ac:dyDescent="0.3">
      <c r="AU3664" s="45"/>
    </row>
    <row r="3665" spans="47:47" ht="12" hidden="1" customHeight="1" x14ac:dyDescent="0.3">
      <c r="AU3665" s="45"/>
    </row>
    <row r="3666" spans="47:47" ht="12" hidden="1" customHeight="1" x14ac:dyDescent="0.3">
      <c r="AU3666" s="45"/>
    </row>
    <row r="3667" spans="47:47" ht="12" hidden="1" customHeight="1" x14ac:dyDescent="0.3">
      <c r="AU3667" s="45"/>
    </row>
    <row r="3668" spans="47:47" ht="12" hidden="1" customHeight="1" x14ac:dyDescent="0.3">
      <c r="AU3668" s="45"/>
    </row>
    <row r="3669" spans="47:47" ht="12" hidden="1" customHeight="1" x14ac:dyDescent="0.3">
      <c r="AU3669" s="45"/>
    </row>
    <row r="3670" spans="47:47" ht="12" hidden="1" customHeight="1" x14ac:dyDescent="0.3">
      <c r="AU3670" s="45"/>
    </row>
    <row r="3671" spans="47:47" ht="12" hidden="1" customHeight="1" x14ac:dyDescent="0.3">
      <c r="AU3671" s="45"/>
    </row>
    <row r="3672" spans="47:47" ht="12" hidden="1" customHeight="1" x14ac:dyDescent="0.3">
      <c r="AU3672" s="45"/>
    </row>
    <row r="3673" spans="47:47" ht="12" hidden="1" customHeight="1" x14ac:dyDescent="0.3">
      <c r="AU3673" s="45"/>
    </row>
    <row r="3674" spans="47:47" ht="12" hidden="1" customHeight="1" x14ac:dyDescent="0.3">
      <c r="AU3674" s="45"/>
    </row>
    <row r="3675" spans="47:47" ht="12" hidden="1" customHeight="1" x14ac:dyDescent="0.3">
      <c r="AU3675" s="45"/>
    </row>
    <row r="3676" spans="47:47" ht="12" hidden="1" customHeight="1" x14ac:dyDescent="0.3">
      <c r="AU3676" s="45"/>
    </row>
    <row r="3677" spans="47:47" ht="12" hidden="1" customHeight="1" x14ac:dyDescent="0.3">
      <c r="AU3677" s="45"/>
    </row>
    <row r="3678" spans="47:47" ht="12" hidden="1" customHeight="1" x14ac:dyDescent="0.3">
      <c r="AU3678" s="45"/>
    </row>
    <row r="3679" spans="47:47" ht="12" hidden="1" customHeight="1" x14ac:dyDescent="0.3">
      <c r="AU3679" s="45"/>
    </row>
    <row r="3680" spans="47:47" ht="12" hidden="1" customHeight="1" x14ac:dyDescent="0.3">
      <c r="AU3680" s="45"/>
    </row>
    <row r="3681" spans="47:47" ht="12" hidden="1" customHeight="1" x14ac:dyDescent="0.3">
      <c r="AU3681" s="45"/>
    </row>
    <row r="3682" spans="47:47" ht="12" hidden="1" customHeight="1" x14ac:dyDescent="0.3">
      <c r="AU3682" s="45"/>
    </row>
    <row r="3683" spans="47:47" ht="12" hidden="1" customHeight="1" x14ac:dyDescent="0.3">
      <c r="AU3683" s="45"/>
    </row>
    <row r="3684" spans="47:47" ht="12" hidden="1" customHeight="1" x14ac:dyDescent="0.3">
      <c r="AU3684" s="45"/>
    </row>
    <row r="3685" spans="47:47" ht="12" hidden="1" customHeight="1" x14ac:dyDescent="0.3">
      <c r="AU3685" s="45"/>
    </row>
    <row r="3686" spans="47:47" ht="12" hidden="1" customHeight="1" x14ac:dyDescent="0.3">
      <c r="AU3686" s="45"/>
    </row>
    <row r="3687" spans="47:47" ht="12" hidden="1" customHeight="1" x14ac:dyDescent="0.3">
      <c r="AU3687" s="45"/>
    </row>
    <row r="3688" spans="47:47" ht="12" hidden="1" customHeight="1" x14ac:dyDescent="0.3">
      <c r="AU3688" s="45"/>
    </row>
    <row r="3689" spans="47:47" ht="12" hidden="1" customHeight="1" x14ac:dyDescent="0.3">
      <c r="AU3689" s="45"/>
    </row>
    <row r="3690" spans="47:47" ht="12" hidden="1" customHeight="1" x14ac:dyDescent="0.3">
      <c r="AU3690" s="45"/>
    </row>
    <row r="3691" spans="47:47" ht="12" hidden="1" customHeight="1" x14ac:dyDescent="0.3">
      <c r="AU3691" s="45"/>
    </row>
    <row r="3692" spans="47:47" ht="12" hidden="1" customHeight="1" x14ac:dyDescent="0.3">
      <c r="AU3692" s="45"/>
    </row>
    <row r="3693" spans="47:47" ht="12" hidden="1" customHeight="1" x14ac:dyDescent="0.3">
      <c r="AU3693" s="45"/>
    </row>
    <row r="3694" spans="47:47" ht="12" hidden="1" customHeight="1" x14ac:dyDescent="0.3">
      <c r="AU3694" s="45"/>
    </row>
    <row r="3695" spans="47:47" ht="12" hidden="1" customHeight="1" x14ac:dyDescent="0.3">
      <c r="AU3695" s="45"/>
    </row>
    <row r="3696" spans="47:47" ht="12" hidden="1" customHeight="1" x14ac:dyDescent="0.3">
      <c r="AU3696" s="45"/>
    </row>
    <row r="3697" spans="47:47" ht="12" hidden="1" customHeight="1" x14ac:dyDescent="0.3">
      <c r="AU3697" s="45"/>
    </row>
    <row r="3698" spans="47:47" ht="12" hidden="1" customHeight="1" x14ac:dyDescent="0.3">
      <c r="AU3698" s="45"/>
    </row>
    <row r="3699" spans="47:47" ht="12" hidden="1" customHeight="1" x14ac:dyDescent="0.3">
      <c r="AU3699" s="45"/>
    </row>
    <row r="3700" spans="47:47" ht="12" hidden="1" customHeight="1" x14ac:dyDescent="0.3">
      <c r="AU3700" s="45"/>
    </row>
    <row r="3701" spans="47:47" ht="12" hidden="1" customHeight="1" x14ac:dyDescent="0.3">
      <c r="AU3701" s="45"/>
    </row>
    <row r="3702" spans="47:47" ht="12" hidden="1" customHeight="1" x14ac:dyDescent="0.3">
      <c r="AU3702" s="45"/>
    </row>
    <row r="3703" spans="47:47" ht="12" hidden="1" customHeight="1" x14ac:dyDescent="0.3">
      <c r="AU3703" s="45"/>
    </row>
    <row r="3704" spans="47:47" ht="12" hidden="1" customHeight="1" x14ac:dyDescent="0.3">
      <c r="AU3704" s="45"/>
    </row>
    <row r="3705" spans="47:47" ht="12" hidden="1" customHeight="1" x14ac:dyDescent="0.3">
      <c r="AU3705" s="45"/>
    </row>
    <row r="3706" spans="47:47" ht="12" hidden="1" customHeight="1" x14ac:dyDescent="0.3">
      <c r="AU3706" s="45"/>
    </row>
    <row r="3707" spans="47:47" ht="12" hidden="1" customHeight="1" x14ac:dyDescent="0.3">
      <c r="AU3707" s="45"/>
    </row>
    <row r="3708" spans="47:47" ht="12" hidden="1" customHeight="1" x14ac:dyDescent="0.3">
      <c r="AU3708" s="45"/>
    </row>
    <row r="3709" spans="47:47" ht="12" hidden="1" customHeight="1" x14ac:dyDescent="0.3">
      <c r="AU3709" s="45"/>
    </row>
    <row r="3710" spans="47:47" ht="12" hidden="1" customHeight="1" x14ac:dyDescent="0.3">
      <c r="AU3710" s="45"/>
    </row>
    <row r="3711" spans="47:47" ht="12" hidden="1" customHeight="1" x14ac:dyDescent="0.3">
      <c r="AU3711" s="45"/>
    </row>
    <row r="3712" spans="47:47" ht="12" hidden="1" customHeight="1" x14ac:dyDescent="0.3">
      <c r="AU3712" s="45"/>
    </row>
    <row r="3713" spans="47:47" ht="12" hidden="1" customHeight="1" x14ac:dyDescent="0.3">
      <c r="AU3713" s="45"/>
    </row>
    <row r="3714" spans="47:47" ht="12" hidden="1" customHeight="1" x14ac:dyDescent="0.3">
      <c r="AU3714" s="45"/>
    </row>
    <row r="3715" spans="47:47" ht="12" hidden="1" customHeight="1" x14ac:dyDescent="0.3">
      <c r="AU3715" s="45"/>
    </row>
    <row r="3716" spans="47:47" ht="12" hidden="1" customHeight="1" x14ac:dyDescent="0.3">
      <c r="AU3716" s="45"/>
    </row>
    <row r="3717" spans="47:47" ht="12" hidden="1" customHeight="1" x14ac:dyDescent="0.3">
      <c r="AU3717" s="45"/>
    </row>
    <row r="3718" spans="47:47" ht="12" hidden="1" customHeight="1" x14ac:dyDescent="0.3">
      <c r="AU3718" s="45"/>
    </row>
    <row r="3719" spans="47:47" ht="12" hidden="1" customHeight="1" x14ac:dyDescent="0.3">
      <c r="AU3719" s="45"/>
    </row>
    <row r="3720" spans="47:47" ht="12" hidden="1" customHeight="1" x14ac:dyDescent="0.3">
      <c r="AU3720" s="45"/>
    </row>
    <row r="3721" spans="47:47" ht="12" hidden="1" customHeight="1" x14ac:dyDescent="0.3">
      <c r="AU3721" s="45"/>
    </row>
    <row r="3722" spans="47:47" ht="12" hidden="1" customHeight="1" x14ac:dyDescent="0.3">
      <c r="AU3722" s="45"/>
    </row>
    <row r="3723" spans="47:47" ht="12" hidden="1" customHeight="1" x14ac:dyDescent="0.3">
      <c r="AU3723" s="45"/>
    </row>
    <row r="3724" spans="47:47" ht="12" hidden="1" customHeight="1" x14ac:dyDescent="0.3">
      <c r="AU3724" s="45"/>
    </row>
    <row r="3725" spans="47:47" ht="12" hidden="1" customHeight="1" x14ac:dyDescent="0.3">
      <c r="AU3725" s="45"/>
    </row>
    <row r="3726" spans="47:47" ht="12" hidden="1" customHeight="1" x14ac:dyDescent="0.3">
      <c r="AU3726" s="45"/>
    </row>
    <row r="3727" spans="47:47" ht="12" hidden="1" customHeight="1" x14ac:dyDescent="0.3">
      <c r="AU3727" s="45"/>
    </row>
    <row r="3728" spans="47:47" ht="12" hidden="1" customHeight="1" x14ac:dyDescent="0.3">
      <c r="AU3728" s="45"/>
    </row>
    <row r="3729" spans="47:47" ht="12" hidden="1" customHeight="1" x14ac:dyDescent="0.3">
      <c r="AU3729" s="45"/>
    </row>
    <row r="3730" spans="47:47" ht="12" hidden="1" customHeight="1" x14ac:dyDescent="0.3">
      <c r="AU3730" s="45"/>
    </row>
    <row r="3731" spans="47:47" ht="12" hidden="1" customHeight="1" x14ac:dyDescent="0.3">
      <c r="AU3731" s="45"/>
    </row>
    <row r="3732" spans="47:47" ht="12" hidden="1" customHeight="1" x14ac:dyDescent="0.3">
      <c r="AU3732" s="45"/>
    </row>
    <row r="3733" spans="47:47" ht="12" hidden="1" customHeight="1" x14ac:dyDescent="0.3">
      <c r="AU3733" s="45"/>
    </row>
    <row r="3734" spans="47:47" ht="12" hidden="1" customHeight="1" x14ac:dyDescent="0.3">
      <c r="AU3734" s="45"/>
    </row>
    <row r="3735" spans="47:47" ht="12" hidden="1" customHeight="1" x14ac:dyDescent="0.3">
      <c r="AU3735" s="45"/>
    </row>
    <row r="3736" spans="47:47" ht="12" hidden="1" customHeight="1" x14ac:dyDescent="0.3">
      <c r="AU3736" s="45"/>
    </row>
    <row r="3737" spans="47:47" ht="12" hidden="1" customHeight="1" x14ac:dyDescent="0.3">
      <c r="AU3737" s="45"/>
    </row>
    <row r="3738" spans="47:47" ht="12" hidden="1" customHeight="1" x14ac:dyDescent="0.3">
      <c r="AU3738" s="45"/>
    </row>
    <row r="3739" spans="47:47" ht="12" hidden="1" customHeight="1" x14ac:dyDescent="0.3">
      <c r="AU3739" s="45"/>
    </row>
    <row r="3740" spans="47:47" ht="12" hidden="1" customHeight="1" x14ac:dyDescent="0.3">
      <c r="AU3740" s="45"/>
    </row>
    <row r="3741" spans="47:47" ht="12" hidden="1" customHeight="1" x14ac:dyDescent="0.3">
      <c r="AU3741" s="45"/>
    </row>
    <row r="3742" spans="47:47" ht="12" hidden="1" customHeight="1" x14ac:dyDescent="0.3">
      <c r="AU3742" s="45"/>
    </row>
    <row r="3743" spans="47:47" ht="12" hidden="1" customHeight="1" x14ac:dyDescent="0.3">
      <c r="AU3743" s="45"/>
    </row>
    <row r="3744" spans="47:47" ht="12" hidden="1" customHeight="1" x14ac:dyDescent="0.3">
      <c r="AU3744" s="45"/>
    </row>
    <row r="3745" spans="47:47" ht="12" hidden="1" customHeight="1" x14ac:dyDescent="0.3">
      <c r="AU3745" s="45"/>
    </row>
    <row r="3746" spans="47:47" ht="12" hidden="1" customHeight="1" x14ac:dyDescent="0.3">
      <c r="AU3746" s="45"/>
    </row>
    <row r="3747" spans="47:47" ht="12" hidden="1" customHeight="1" x14ac:dyDescent="0.3">
      <c r="AU3747" s="45"/>
    </row>
    <row r="3748" spans="47:47" ht="12" hidden="1" customHeight="1" x14ac:dyDescent="0.3">
      <c r="AU3748" s="45"/>
    </row>
    <row r="3749" spans="47:47" ht="12" hidden="1" customHeight="1" x14ac:dyDescent="0.3">
      <c r="AU3749" s="45"/>
    </row>
    <row r="3750" spans="47:47" ht="12" hidden="1" customHeight="1" x14ac:dyDescent="0.3">
      <c r="AU3750" s="45"/>
    </row>
    <row r="3751" spans="47:47" ht="12" hidden="1" customHeight="1" x14ac:dyDescent="0.3">
      <c r="AU3751" s="45"/>
    </row>
    <row r="3752" spans="47:47" ht="12" hidden="1" customHeight="1" x14ac:dyDescent="0.3">
      <c r="AU3752" s="45"/>
    </row>
    <row r="3753" spans="47:47" ht="12" hidden="1" customHeight="1" x14ac:dyDescent="0.3">
      <c r="AU3753" s="45"/>
    </row>
    <row r="3754" spans="47:47" ht="12" hidden="1" customHeight="1" x14ac:dyDescent="0.3">
      <c r="AU3754" s="45"/>
    </row>
    <row r="3755" spans="47:47" ht="12" hidden="1" customHeight="1" x14ac:dyDescent="0.3">
      <c r="AU3755" s="45"/>
    </row>
    <row r="3756" spans="47:47" ht="12" hidden="1" customHeight="1" x14ac:dyDescent="0.3">
      <c r="AU3756" s="45"/>
    </row>
    <row r="3757" spans="47:47" ht="12" hidden="1" customHeight="1" x14ac:dyDescent="0.3">
      <c r="AU3757" s="45"/>
    </row>
    <row r="3758" spans="47:47" ht="12" hidden="1" customHeight="1" x14ac:dyDescent="0.3">
      <c r="AU3758" s="45"/>
    </row>
    <row r="3759" spans="47:47" ht="12" hidden="1" customHeight="1" x14ac:dyDescent="0.3">
      <c r="AU3759" s="45"/>
    </row>
    <row r="3760" spans="47:47" ht="12" hidden="1" customHeight="1" x14ac:dyDescent="0.3">
      <c r="AU3760" s="45"/>
    </row>
    <row r="3761" spans="47:47" ht="12" hidden="1" customHeight="1" x14ac:dyDescent="0.3">
      <c r="AU3761" s="45"/>
    </row>
    <row r="3762" spans="47:47" ht="12" hidden="1" customHeight="1" x14ac:dyDescent="0.3">
      <c r="AU3762" s="45"/>
    </row>
    <row r="3763" spans="47:47" ht="12" hidden="1" customHeight="1" x14ac:dyDescent="0.3">
      <c r="AU3763" s="45"/>
    </row>
    <row r="3764" spans="47:47" ht="12" hidden="1" customHeight="1" x14ac:dyDescent="0.3">
      <c r="AU3764" s="45"/>
    </row>
    <row r="3765" spans="47:47" ht="12" hidden="1" customHeight="1" x14ac:dyDescent="0.3">
      <c r="AU3765" s="45"/>
    </row>
    <row r="3766" spans="47:47" ht="12" hidden="1" customHeight="1" x14ac:dyDescent="0.3">
      <c r="AU3766" s="45"/>
    </row>
    <row r="3767" spans="47:47" ht="12" hidden="1" customHeight="1" x14ac:dyDescent="0.3">
      <c r="AU3767" s="45"/>
    </row>
    <row r="3768" spans="47:47" ht="12" hidden="1" customHeight="1" x14ac:dyDescent="0.3">
      <c r="AU3768" s="45"/>
    </row>
    <row r="3769" spans="47:47" ht="12" hidden="1" customHeight="1" x14ac:dyDescent="0.3">
      <c r="AU3769" s="45"/>
    </row>
    <row r="3770" spans="47:47" ht="12" hidden="1" customHeight="1" x14ac:dyDescent="0.3">
      <c r="AU3770" s="45"/>
    </row>
    <row r="3771" spans="47:47" ht="12" hidden="1" customHeight="1" x14ac:dyDescent="0.3">
      <c r="AU3771" s="45"/>
    </row>
    <row r="3772" spans="47:47" ht="12" hidden="1" customHeight="1" x14ac:dyDescent="0.3">
      <c r="AU3772" s="45"/>
    </row>
    <row r="3773" spans="47:47" ht="12" hidden="1" customHeight="1" x14ac:dyDescent="0.3">
      <c r="AU3773" s="45"/>
    </row>
    <row r="3774" spans="47:47" ht="12" hidden="1" customHeight="1" x14ac:dyDescent="0.3">
      <c r="AU3774" s="45"/>
    </row>
    <row r="3775" spans="47:47" ht="12" hidden="1" customHeight="1" x14ac:dyDescent="0.3">
      <c r="AU3775" s="45"/>
    </row>
    <row r="3776" spans="47:47" ht="12" hidden="1" customHeight="1" x14ac:dyDescent="0.3">
      <c r="AU3776" s="45"/>
    </row>
    <row r="3777" spans="47:47" ht="12" hidden="1" customHeight="1" x14ac:dyDescent="0.3">
      <c r="AU3777" s="45"/>
    </row>
    <row r="3778" spans="47:47" ht="12" hidden="1" customHeight="1" x14ac:dyDescent="0.3">
      <c r="AU3778" s="45"/>
    </row>
    <row r="3779" spans="47:47" ht="12" hidden="1" customHeight="1" x14ac:dyDescent="0.3">
      <c r="AU3779" s="45"/>
    </row>
    <row r="3780" spans="47:47" ht="12" hidden="1" customHeight="1" x14ac:dyDescent="0.3">
      <c r="AU3780" s="45"/>
    </row>
    <row r="3781" spans="47:47" ht="12" hidden="1" customHeight="1" x14ac:dyDescent="0.3">
      <c r="AU3781" s="45"/>
    </row>
    <row r="3782" spans="47:47" ht="12" hidden="1" customHeight="1" x14ac:dyDescent="0.3">
      <c r="AU3782" s="45"/>
    </row>
    <row r="3783" spans="47:47" ht="12" hidden="1" customHeight="1" x14ac:dyDescent="0.3">
      <c r="AU3783" s="45"/>
    </row>
    <row r="3784" spans="47:47" ht="12" hidden="1" customHeight="1" x14ac:dyDescent="0.3">
      <c r="AU3784" s="45"/>
    </row>
    <row r="3785" spans="47:47" ht="12" hidden="1" customHeight="1" x14ac:dyDescent="0.3">
      <c r="AU3785" s="45"/>
    </row>
    <row r="3786" spans="47:47" ht="12" hidden="1" customHeight="1" x14ac:dyDescent="0.3">
      <c r="AU3786" s="45"/>
    </row>
    <row r="3787" spans="47:47" ht="12" hidden="1" customHeight="1" x14ac:dyDescent="0.3">
      <c r="AU3787" s="45"/>
    </row>
    <row r="3788" spans="47:47" ht="12" hidden="1" customHeight="1" x14ac:dyDescent="0.3">
      <c r="AU3788" s="45"/>
    </row>
    <row r="3789" spans="47:47" ht="12" hidden="1" customHeight="1" x14ac:dyDescent="0.3">
      <c r="AU3789" s="45"/>
    </row>
    <row r="3790" spans="47:47" ht="12" hidden="1" customHeight="1" x14ac:dyDescent="0.3">
      <c r="AU3790" s="45"/>
    </row>
    <row r="3791" spans="47:47" ht="12" hidden="1" customHeight="1" x14ac:dyDescent="0.3">
      <c r="AU3791" s="45"/>
    </row>
    <row r="3792" spans="47:47" ht="12" hidden="1" customHeight="1" x14ac:dyDescent="0.3">
      <c r="AU3792" s="45"/>
    </row>
    <row r="3793" spans="47:47" ht="12" hidden="1" customHeight="1" x14ac:dyDescent="0.3">
      <c r="AU3793" s="45"/>
    </row>
    <row r="3794" spans="47:47" ht="12" hidden="1" customHeight="1" x14ac:dyDescent="0.3">
      <c r="AU3794" s="45"/>
    </row>
    <row r="3795" spans="47:47" ht="12" hidden="1" customHeight="1" x14ac:dyDescent="0.3">
      <c r="AU3795" s="45"/>
    </row>
    <row r="3796" spans="47:47" ht="12" hidden="1" customHeight="1" x14ac:dyDescent="0.3">
      <c r="AU3796" s="45"/>
    </row>
    <row r="3797" spans="47:47" ht="12" hidden="1" customHeight="1" x14ac:dyDescent="0.3">
      <c r="AU3797" s="45"/>
    </row>
    <row r="3798" spans="47:47" ht="12" hidden="1" customHeight="1" x14ac:dyDescent="0.3">
      <c r="AU3798" s="45"/>
    </row>
    <row r="3799" spans="47:47" ht="12" hidden="1" customHeight="1" x14ac:dyDescent="0.3">
      <c r="AU3799" s="45"/>
    </row>
    <row r="3800" spans="47:47" ht="12" hidden="1" customHeight="1" x14ac:dyDescent="0.3">
      <c r="AU3800" s="45"/>
    </row>
    <row r="3801" spans="47:47" ht="12" hidden="1" customHeight="1" x14ac:dyDescent="0.3">
      <c r="AU3801" s="45"/>
    </row>
    <row r="3802" spans="47:47" ht="12" hidden="1" customHeight="1" x14ac:dyDescent="0.3">
      <c r="AU3802" s="45"/>
    </row>
    <row r="3803" spans="47:47" ht="12" hidden="1" customHeight="1" x14ac:dyDescent="0.3">
      <c r="AU3803" s="45"/>
    </row>
    <row r="3804" spans="47:47" ht="12" hidden="1" customHeight="1" x14ac:dyDescent="0.3">
      <c r="AU3804" s="45"/>
    </row>
    <row r="3805" spans="47:47" ht="12" hidden="1" customHeight="1" x14ac:dyDescent="0.3">
      <c r="AU3805" s="45"/>
    </row>
    <row r="3806" spans="47:47" ht="12" hidden="1" customHeight="1" x14ac:dyDescent="0.3">
      <c r="AU3806" s="45"/>
    </row>
    <row r="3807" spans="47:47" ht="12" hidden="1" customHeight="1" x14ac:dyDescent="0.3">
      <c r="AU3807" s="45"/>
    </row>
    <row r="3808" spans="47:47" ht="12" hidden="1" customHeight="1" x14ac:dyDescent="0.3">
      <c r="AU3808" s="45"/>
    </row>
    <row r="3809" spans="47:47" ht="12" hidden="1" customHeight="1" x14ac:dyDescent="0.3">
      <c r="AU3809" s="45"/>
    </row>
    <row r="3810" spans="47:47" ht="12" hidden="1" customHeight="1" x14ac:dyDescent="0.3">
      <c r="AU3810" s="45"/>
    </row>
    <row r="3811" spans="47:47" ht="12" hidden="1" customHeight="1" x14ac:dyDescent="0.3">
      <c r="AU3811" s="45"/>
    </row>
    <row r="3812" spans="47:47" ht="12" hidden="1" customHeight="1" x14ac:dyDescent="0.3">
      <c r="AU3812" s="45"/>
    </row>
    <row r="3813" spans="47:47" ht="12" hidden="1" customHeight="1" x14ac:dyDescent="0.3">
      <c r="AU3813" s="45"/>
    </row>
    <row r="3814" spans="47:47" ht="12" hidden="1" customHeight="1" x14ac:dyDescent="0.3">
      <c r="AU3814" s="45"/>
    </row>
    <row r="3815" spans="47:47" ht="12" hidden="1" customHeight="1" x14ac:dyDescent="0.3">
      <c r="AU3815" s="45"/>
    </row>
    <row r="3816" spans="47:47" ht="12" hidden="1" customHeight="1" x14ac:dyDescent="0.3">
      <c r="AU3816" s="45"/>
    </row>
    <row r="3817" spans="47:47" ht="12" hidden="1" customHeight="1" x14ac:dyDescent="0.3">
      <c r="AU3817" s="45"/>
    </row>
    <row r="3818" spans="47:47" ht="12" hidden="1" customHeight="1" x14ac:dyDescent="0.3">
      <c r="AU3818" s="45"/>
    </row>
    <row r="3819" spans="47:47" ht="12" hidden="1" customHeight="1" x14ac:dyDescent="0.3">
      <c r="AU3819" s="45"/>
    </row>
    <row r="3820" spans="47:47" ht="12" hidden="1" customHeight="1" x14ac:dyDescent="0.3">
      <c r="AU3820" s="45"/>
    </row>
    <row r="3821" spans="47:47" ht="12" hidden="1" customHeight="1" x14ac:dyDescent="0.3">
      <c r="AU3821" s="45"/>
    </row>
    <row r="3822" spans="47:47" ht="12" hidden="1" customHeight="1" x14ac:dyDescent="0.3">
      <c r="AU3822" s="45"/>
    </row>
    <row r="3823" spans="47:47" ht="12" hidden="1" customHeight="1" x14ac:dyDescent="0.3">
      <c r="AU3823" s="45"/>
    </row>
    <row r="3824" spans="47:47" ht="12" hidden="1" customHeight="1" x14ac:dyDescent="0.3">
      <c r="AU3824" s="45"/>
    </row>
    <row r="3825" spans="47:47" ht="12" hidden="1" customHeight="1" x14ac:dyDescent="0.3">
      <c r="AU3825" s="45"/>
    </row>
    <row r="3826" spans="47:47" ht="12" hidden="1" customHeight="1" x14ac:dyDescent="0.3">
      <c r="AU3826" s="45"/>
    </row>
    <row r="3827" spans="47:47" ht="12" hidden="1" customHeight="1" x14ac:dyDescent="0.3">
      <c r="AU3827" s="45"/>
    </row>
    <row r="3828" spans="47:47" ht="12" hidden="1" customHeight="1" x14ac:dyDescent="0.3">
      <c r="AU3828" s="45"/>
    </row>
    <row r="3829" spans="47:47" ht="12" hidden="1" customHeight="1" x14ac:dyDescent="0.3">
      <c r="AU3829" s="45"/>
    </row>
    <row r="3830" spans="47:47" ht="12" hidden="1" customHeight="1" x14ac:dyDescent="0.3">
      <c r="AU3830" s="45"/>
    </row>
    <row r="3831" spans="47:47" ht="12" hidden="1" customHeight="1" x14ac:dyDescent="0.3">
      <c r="AU3831" s="45"/>
    </row>
    <row r="3832" spans="47:47" ht="12" hidden="1" customHeight="1" x14ac:dyDescent="0.3">
      <c r="AU3832" s="45"/>
    </row>
    <row r="3833" spans="47:47" ht="12" hidden="1" customHeight="1" x14ac:dyDescent="0.3">
      <c r="AU3833" s="45"/>
    </row>
    <row r="3834" spans="47:47" ht="12" hidden="1" customHeight="1" x14ac:dyDescent="0.3">
      <c r="AU3834" s="45"/>
    </row>
    <row r="3835" spans="47:47" ht="12" hidden="1" customHeight="1" x14ac:dyDescent="0.3">
      <c r="AU3835" s="45"/>
    </row>
    <row r="3836" spans="47:47" ht="12" hidden="1" customHeight="1" x14ac:dyDescent="0.3">
      <c r="AU3836" s="45"/>
    </row>
    <row r="3837" spans="47:47" ht="12" hidden="1" customHeight="1" x14ac:dyDescent="0.3">
      <c r="AU3837" s="45"/>
    </row>
    <row r="3838" spans="47:47" ht="12" hidden="1" customHeight="1" x14ac:dyDescent="0.3">
      <c r="AU3838" s="45"/>
    </row>
    <row r="3839" spans="47:47" ht="12" hidden="1" customHeight="1" x14ac:dyDescent="0.3">
      <c r="AU3839" s="45"/>
    </row>
    <row r="3840" spans="47:47" ht="12" hidden="1" customHeight="1" x14ac:dyDescent="0.3">
      <c r="AU3840" s="45"/>
    </row>
    <row r="3841" spans="47:47" ht="12" hidden="1" customHeight="1" x14ac:dyDescent="0.3">
      <c r="AU3841" s="45"/>
    </row>
    <row r="3842" spans="47:47" ht="12" hidden="1" customHeight="1" x14ac:dyDescent="0.3">
      <c r="AU3842" s="45"/>
    </row>
    <row r="3843" spans="47:47" ht="12" hidden="1" customHeight="1" x14ac:dyDescent="0.3">
      <c r="AU3843" s="45"/>
    </row>
    <row r="3844" spans="47:47" ht="12" hidden="1" customHeight="1" x14ac:dyDescent="0.3">
      <c r="AU3844" s="45"/>
    </row>
    <row r="3845" spans="47:47" ht="12" hidden="1" customHeight="1" x14ac:dyDescent="0.3">
      <c r="AU3845" s="45"/>
    </row>
    <row r="3846" spans="47:47" ht="12" hidden="1" customHeight="1" x14ac:dyDescent="0.3">
      <c r="AU3846" s="45"/>
    </row>
    <row r="3847" spans="47:47" ht="12" hidden="1" customHeight="1" x14ac:dyDescent="0.3">
      <c r="AU3847" s="45"/>
    </row>
    <row r="3848" spans="47:47" ht="12" hidden="1" customHeight="1" x14ac:dyDescent="0.3">
      <c r="AU3848" s="45"/>
    </row>
    <row r="3849" spans="47:47" ht="12" hidden="1" customHeight="1" x14ac:dyDescent="0.3">
      <c r="AU3849" s="45"/>
    </row>
    <row r="3850" spans="47:47" ht="12" hidden="1" customHeight="1" x14ac:dyDescent="0.3">
      <c r="AU3850" s="45"/>
    </row>
    <row r="3851" spans="47:47" ht="12" hidden="1" customHeight="1" x14ac:dyDescent="0.3">
      <c r="AU3851" s="45"/>
    </row>
    <row r="3852" spans="47:47" ht="12" hidden="1" customHeight="1" x14ac:dyDescent="0.3">
      <c r="AU3852" s="45"/>
    </row>
    <row r="3853" spans="47:47" ht="12" hidden="1" customHeight="1" x14ac:dyDescent="0.3">
      <c r="AU3853" s="45"/>
    </row>
    <row r="3854" spans="47:47" ht="12" hidden="1" customHeight="1" x14ac:dyDescent="0.3">
      <c r="AU3854" s="45"/>
    </row>
    <row r="3855" spans="47:47" ht="12" hidden="1" customHeight="1" x14ac:dyDescent="0.3">
      <c r="AU3855" s="45"/>
    </row>
    <row r="3856" spans="47:47" ht="12" hidden="1" customHeight="1" x14ac:dyDescent="0.3">
      <c r="AU3856" s="45"/>
    </row>
    <row r="3857" spans="47:47" ht="12" hidden="1" customHeight="1" x14ac:dyDescent="0.3">
      <c r="AU3857" s="45"/>
    </row>
    <row r="3858" spans="47:47" ht="12" hidden="1" customHeight="1" x14ac:dyDescent="0.3">
      <c r="AU3858" s="45"/>
    </row>
    <row r="3859" spans="47:47" ht="12" hidden="1" customHeight="1" x14ac:dyDescent="0.3">
      <c r="AU3859" s="45"/>
    </row>
    <row r="3860" spans="47:47" ht="12" hidden="1" customHeight="1" x14ac:dyDescent="0.3">
      <c r="AU3860" s="45"/>
    </row>
    <row r="3861" spans="47:47" ht="12" hidden="1" customHeight="1" x14ac:dyDescent="0.3">
      <c r="AU3861" s="45"/>
    </row>
    <row r="3862" spans="47:47" ht="12" hidden="1" customHeight="1" x14ac:dyDescent="0.3">
      <c r="AU3862" s="45"/>
    </row>
    <row r="3863" spans="47:47" ht="12" hidden="1" customHeight="1" x14ac:dyDescent="0.3">
      <c r="AU3863" s="45"/>
    </row>
    <row r="3864" spans="47:47" ht="12" hidden="1" customHeight="1" x14ac:dyDescent="0.3">
      <c r="AU3864" s="45"/>
    </row>
    <row r="3865" spans="47:47" ht="12" hidden="1" customHeight="1" x14ac:dyDescent="0.3">
      <c r="AU3865" s="45"/>
    </row>
    <row r="3866" spans="47:47" ht="12" hidden="1" customHeight="1" x14ac:dyDescent="0.3">
      <c r="AU3866" s="45"/>
    </row>
    <row r="3867" spans="47:47" ht="12" hidden="1" customHeight="1" x14ac:dyDescent="0.3">
      <c r="AU3867" s="45"/>
    </row>
    <row r="3868" spans="47:47" ht="12" hidden="1" customHeight="1" x14ac:dyDescent="0.3">
      <c r="AU3868" s="45"/>
    </row>
    <row r="3869" spans="47:47" ht="12" hidden="1" customHeight="1" x14ac:dyDescent="0.3">
      <c r="AU3869" s="45"/>
    </row>
    <row r="3870" spans="47:47" ht="12" hidden="1" customHeight="1" x14ac:dyDescent="0.3">
      <c r="AU3870" s="45"/>
    </row>
    <row r="3871" spans="47:47" ht="12" hidden="1" customHeight="1" x14ac:dyDescent="0.3">
      <c r="AU3871" s="45"/>
    </row>
    <row r="3872" spans="47:47" ht="12" hidden="1" customHeight="1" x14ac:dyDescent="0.3">
      <c r="AU3872" s="45"/>
    </row>
    <row r="3873" spans="47:47" ht="12" hidden="1" customHeight="1" x14ac:dyDescent="0.3">
      <c r="AU3873" s="45"/>
    </row>
    <row r="3874" spans="47:47" ht="12" hidden="1" customHeight="1" x14ac:dyDescent="0.3">
      <c r="AU3874" s="45"/>
    </row>
    <row r="3875" spans="47:47" ht="12" hidden="1" customHeight="1" x14ac:dyDescent="0.3">
      <c r="AU3875" s="45"/>
    </row>
    <row r="3876" spans="47:47" ht="12" hidden="1" customHeight="1" x14ac:dyDescent="0.3">
      <c r="AU3876" s="45"/>
    </row>
    <row r="3877" spans="47:47" ht="12" hidden="1" customHeight="1" x14ac:dyDescent="0.3">
      <c r="AU3877" s="45"/>
    </row>
    <row r="3878" spans="47:47" ht="12" hidden="1" customHeight="1" x14ac:dyDescent="0.3">
      <c r="AU3878" s="45"/>
    </row>
    <row r="3879" spans="47:47" ht="12" hidden="1" customHeight="1" x14ac:dyDescent="0.3">
      <c r="AU3879" s="45"/>
    </row>
    <row r="3880" spans="47:47" ht="12" hidden="1" customHeight="1" x14ac:dyDescent="0.3">
      <c r="AU3880" s="45"/>
    </row>
    <row r="3881" spans="47:47" ht="12" hidden="1" customHeight="1" x14ac:dyDescent="0.3">
      <c r="AU3881" s="45"/>
    </row>
    <row r="3882" spans="47:47" ht="12" hidden="1" customHeight="1" x14ac:dyDescent="0.3">
      <c r="AU3882" s="45"/>
    </row>
    <row r="3883" spans="47:47" ht="12" hidden="1" customHeight="1" x14ac:dyDescent="0.3">
      <c r="AU3883" s="45"/>
    </row>
    <row r="3884" spans="47:47" ht="12" hidden="1" customHeight="1" x14ac:dyDescent="0.3">
      <c r="AU3884" s="45"/>
    </row>
    <row r="3885" spans="47:47" ht="12" hidden="1" customHeight="1" x14ac:dyDescent="0.3">
      <c r="AU3885" s="45"/>
    </row>
    <row r="3886" spans="47:47" ht="12" hidden="1" customHeight="1" x14ac:dyDescent="0.3">
      <c r="AU3886" s="45"/>
    </row>
    <row r="3887" spans="47:47" ht="12" hidden="1" customHeight="1" x14ac:dyDescent="0.3">
      <c r="AU3887" s="45"/>
    </row>
    <row r="3888" spans="47:47" ht="12" hidden="1" customHeight="1" x14ac:dyDescent="0.3">
      <c r="AU3888" s="45"/>
    </row>
    <row r="3889" spans="47:47" ht="12" hidden="1" customHeight="1" x14ac:dyDescent="0.3">
      <c r="AU3889" s="45"/>
    </row>
    <row r="3890" spans="47:47" ht="12" hidden="1" customHeight="1" x14ac:dyDescent="0.3">
      <c r="AU3890" s="45"/>
    </row>
    <row r="3891" spans="47:47" ht="12" hidden="1" customHeight="1" x14ac:dyDescent="0.3">
      <c r="AU3891" s="45"/>
    </row>
    <row r="3892" spans="47:47" ht="12" hidden="1" customHeight="1" x14ac:dyDescent="0.3">
      <c r="AU3892" s="45"/>
    </row>
    <row r="3893" spans="47:47" ht="12" hidden="1" customHeight="1" x14ac:dyDescent="0.3">
      <c r="AU3893" s="45"/>
    </row>
    <row r="3894" spans="47:47" ht="12" hidden="1" customHeight="1" x14ac:dyDescent="0.3">
      <c r="AU3894" s="45"/>
    </row>
    <row r="3895" spans="47:47" ht="12" hidden="1" customHeight="1" x14ac:dyDescent="0.3">
      <c r="AU3895" s="45"/>
    </row>
    <row r="3896" spans="47:47" ht="12" hidden="1" customHeight="1" x14ac:dyDescent="0.3">
      <c r="AU3896" s="45"/>
    </row>
    <row r="3897" spans="47:47" ht="12" hidden="1" customHeight="1" x14ac:dyDescent="0.3">
      <c r="AU3897" s="45"/>
    </row>
    <row r="3898" spans="47:47" ht="12" hidden="1" customHeight="1" x14ac:dyDescent="0.3">
      <c r="AU3898" s="45"/>
    </row>
    <row r="3899" spans="47:47" ht="12" hidden="1" customHeight="1" x14ac:dyDescent="0.3">
      <c r="AU3899" s="45"/>
    </row>
    <row r="3900" spans="47:47" ht="12" hidden="1" customHeight="1" x14ac:dyDescent="0.3">
      <c r="AU3900" s="45"/>
    </row>
    <row r="3901" spans="47:47" ht="12" hidden="1" customHeight="1" x14ac:dyDescent="0.3">
      <c r="AU3901" s="45"/>
    </row>
    <row r="3902" spans="47:47" ht="12" hidden="1" customHeight="1" x14ac:dyDescent="0.3">
      <c r="AU3902" s="45"/>
    </row>
    <row r="3903" spans="47:47" ht="12" hidden="1" customHeight="1" x14ac:dyDescent="0.3">
      <c r="AU3903" s="45"/>
    </row>
    <row r="3904" spans="47:47" ht="12" hidden="1" customHeight="1" x14ac:dyDescent="0.3">
      <c r="AU3904" s="45"/>
    </row>
    <row r="3905" spans="47:47" ht="12" hidden="1" customHeight="1" x14ac:dyDescent="0.3">
      <c r="AU3905" s="45"/>
    </row>
    <row r="3906" spans="47:47" ht="12" hidden="1" customHeight="1" x14ac:dyDescent="0.3">
      <c r="AU3906" s="45"/>
    </row>
    <row r="3907" spans="47:47" ht="12" hidden="1" customHeight="1" x14ac:dyDescent="0.3">
      <c r="AU3907" s="45"/>
    </row>
    <row r="3908" spans="47:47" ht="12" hidden="1" customHeight="1" x14ac:dyDescent="0.3">
      <c r="AU3908" s="45"/>
    </row>
    <row r="3909" spans="47:47" ht="12" hidden="1" customHeight="1" x14ac:dyDescent="0.3">
      <c r="AU3909" s="45"/>
    </row>
    <row r="3910" spans="47:47" ht="12" hidden="1" customHeight="1" x14ac:dyDescent="0.3">
      <c r="AU3910" s="45"/>
    </row>
    <row r="3911" spans="47:47" ht="12" hidden="1" customHeight="1" x14ac:dyDescent="0.3">
      <c r="AU3911" s="45"/>
    </row>
    <row r="3912" spans="47:47" ht="12" hidden="1" customHeight="1" x14ac:dyDescent="0.3">
      <c r="AU3912" s="45"/>
    </row>
    <row r="3913" spans="47:47" ht="12" hidden="1" customHeight="1" x14ac:dyDescent="0.3">
      <c r="AU3913" s="45"/>
    </row>
    <row r="3914" spans="47:47" ht="12" hidden="1" customHeight="1" x14ac:dyDescent="0.3">
      <c r="AU3914" s="45"/>
    </row>
    <row r="3915" spans="47:47" ht="12" hidden="1" customHeight="1" x14ac:dyDescent="0.3">
      <c r="AU3915" s="45"/>
    </row>
    <row r="3916" spans="47:47" ht="12" hidden="1" customHeight="1" x14ac:dyDescent="0.3">
      <c r="AU3916" s="45"/>
    </row>
    <row r="3917" spans="47:47" ht="12" hidden="1" customHeight="1" x14ac:dyDescent="0.3">
      <c r="AU3917" s="45"/>
    </row>
    <row r="3918" spans="47:47" ht="12" hidden="1" customHeight="1" x14ac:dyDescent="0.3">
      <c r="AU3918" s="45"/>
    </row>
    <row r="3919" spans="47:47" ht="12" hidden="1" customHeight="1" x14ac:dyDescent="0.3">
      <c r="AU3919" s="45"/>
    </row>
    <row r="3920" spans="47:47" ht="12" hidden="1" customHeight="1" x14ac:dyDescent="0.3">
      <c r="AU3920" s="45"/>
    </row>
    <row r="3921" spans="47:47" ht="12" hidden="1" customHeight="1" x14ac:dyDescent="0.3">
      <c r="AU3921" s="45"/>
    </row>
    <row r="3922" spans="47:47" ht="12" hidden="1" customHeight="1" x14ac:dyDescent="0.3">
      <c r="AU3922" s="45"/>
    </row>
    <row r="3923" spans="47:47" ht="12" hidden="1" customHeight="1" x14ac:dyDescent="0.3">
      <c r="AU3923" s="45"/>
    </row>
    <row r="3924" spans="47:47" ht="12" hidden="1" customHeight="1" x14ac:dyDescent="0.3">
      <c r="AU3924" s="45"/>
    </row>
    <row r="3925" spans="47:47" ht="12" hidden="1" customHeight="1" x14ac:dyDescent="0.3">
      <c r="AU3925" s="45"/>
    </row>
    <row r="3926" spans="47:47" ht="12" hidden="1" customHeight="1" x14ac:dyDescent="0.3">
      <c r="AU3926" s="45"/>
    </row>
    <row r="3927" spans="47:47" ht="12" hidden="1" customHeight="1" x14ac:dyDescent="0.3">
      <c r="AU3927" s="45"/>
    </row>
    <row r="3928" spans="47:47" ht="12" hidden="1" customHeight="1" x14ac:dyDescent="0.3">
      <c r="AU3928" s="45"/>
    </row>
    <row r="3929" spans="47:47" ht="12" hidden="1" customHeight="1" x14ac:dyDescent="0.3">
      <c r="AU3929" s="45"/>
    </row>
    <row r="3930" spans="47:47" ht="12" hidden="1" customHeight="1" x14ac:dyDescent="0.3">
      <c r="AU3930" s="45"/>
    </row>
    <row r="3931" spans="47:47" ht="12" hidden="1" customHeight="1" x14ac:dyDescent="0.3">
      <c r="AU3931" s="45"/>
    </row>
    <row r="3932" spans="47:47" ht="12" hidden="1" customHeight="1" x14ac:dyDescent="0.3">
      <c r="AU3932" s="45"/>
    </row>
    <row r="3933" spans="47:47" ht="12" hidden="1" customHeight="1" x14ac:dyDescent="0.3">
      <c r="AU3933" s="45"/>
    </row>
    <row r="3934" spans="47:47" ht="12" hidden="1" customHeight="1" x14ac:dyDescent="0.3">
      <c r="AU3934" s="45"/>
    </row>
    <row r="3935" spans="47:47" ht="12" hidden="1" customHeight="1" x14ac:dyDescent="0.3">
      <c r="AU3935" s="45"/>
    </row>
    <row r="3936" spans="47:47" ht="12" hidden="1" customHeight="1" x14ac:dyDescent="0.3">
      <c r="AU3936" s="45"/>
    </row>
    <row r="3937" spans="47:47" ht="12" hidden="1" customHeight="1" x14ac:dyDescent="0.3">
      <c r="AU3937" s="45"/>
    </row>
    <row r="3938" spans="47:47" ht="12" hidden="1" customHeight="1" x14ac:dyDescent="0.3">
      <c r="AU3938" s="45"/>
    </row>
    <row r="3939" spans="47:47" ht="12" hidden="1" customHeight="1" x14ac:dyDescent="0.3">
      <c r="AU3939" s="45"/>
    </row>
    <row r="3940" spans="47:47" ht="12" hidden="1" customHeight="1" x14ac:dyDescent="0.3">
      <c r="AU3940" s="45"/>
    </row>
    <row r="3941" spans="47:47" ht="12" hidden="1" customHeight="1" x14ac:dyDescent="0.3">
      <c r="AU3941" s="45"/>
    </row>
    <row r="3942" spans="47:47" ht="12" hidden="1" customHeight="1" x14ac:dyDescent="0.3">
      <c r="AU3942" s="45"/>
    </row>
    <row r="3943" spans="47:47" ht="12" hidden="1" customHeight="1" x14ac:dyDescent="0.3">
      <c r="AU3943" s="45"/>
    </row>
    <row r="3944" spans="47:47" ht="12" hidden="1" customHeight="1" x14ac:dyDescent="0.3">
      <c r="AU3944" s="45"/>
    </row>
    <row r="3945" spans="47:47" ht="12" hidden="1" customHeight="1" x14ac:dyDescent="0.3">
      <c r="AU3945" s="45"/>
    </row>
    <row r="3946" spans="47:47" ht="12" hidden="1" customHeight="1" x14ac:dyDescent="0.3">
      <c r="AU3946" s="45"/>
    </row>
    <row r="3947" spans="47:47" ht="12" hidden="1" customHeight="1" x14ac:dyDescent="0.3">
      <c r="AU3947" s="45"/>
    </row>
    <row r="3948" spans="47:47" ht="12" hidden="1" customHeight="1" x14ac:dyDescent="0.3">
      <c r="AU3948" s="45"/>
    </row>
    <row r="3949" spans="47:47" ht="12" hidden="1" customHeight="1" x14ac:dyDescent="0.3">
      <c r="AU3949" s="45"/>
    </row>
    <row r="3950" spans="47:47" ht="12" hidden="1" customHeight="1" x14ac:dyDescent="0.3">
      <c r="AU3950" s="45"/>
    </row>
    <row r="3951" spans="47:47" ht="12" hidden="1" customHeight="1" x14ac:dyDescent="0.3">
      <c r="AU3951" s="45"/>
    </row>
    <row r="3952" spans="47:47" ht="12" hidden="1" customHeight="1" x14ac:dyDescent="0.3">
      <c r="AU3952" s="45"/>
    </row>
    <row r="3953" spans="47:47" ht="12" hidden="1" customHeight="1" x14ac:dyDescent="0.3">
      <c r="AU3953" s="45"/>
    </row>
    <row r="3954" spans="47:47" ht="12" hidden="1" customHeight="1" x14ac:dyDescent="0.3">
      <c r="AU3954" s="45"/>
    </row>
    <row r="3955" spans="47:47" ht="12" hidden="1" customHeight="1" x14ac:dyDescent="0.3">
      <c r="AU3955" s="45"/>
    </row>
    <row r="3956" spans="47:47" ht="12" hidden="1" customHeight="1" x14ac:dyDescent="0.3">
      <c r="AU3956" s="45"/>
    </row>
    <row r="3957" spans="47:47" ht="12" hidden="1" customHeight="1" x14ac:dyDescent="0.3">
      <c r="AU3957" s="45"/>
    </row>
    <row r="3958" spans="47:47" ht="12" hidden="1" customHeight="1" x14ac:dyDescent="0.3">
      <c r="AU3958" s="45"/>
    </row>
    <row r="3959" spans="47:47" ht="12" hidden="1" customHeight="1" x14ac:dyDescent="0.3">
      <c r="AU3959" s="45"/>
    </row>
    <row r="3960" spans="47:47" ht="12" hidden="1" customHeight="1" x14ac:dyDescent="0.3">
      <c r="AU3960" s="45"/>
    </row>
    <row r="3961" spans="47:47" ht="12" hidden="1" customHeight="1" x14ac:dyDescent="0.3">
      <c r="AU3961" s="45"/>
    </row>
    <row r="3962" spans="47:47" ht="12" hidden="1" customHeight="1" x14ac:dyDescent="0.3">
      <c r="AU3962" s="45"/>
    </row>
    <row r="3963" spans="47:47" ht="12" hidden="1" customHeight="1" x14ac:dyDescent="0.3">
      <c r="AU3963" s="45"/>
    </row>
    <row r="3964" spans="47:47" ht="12" hidden="1" customHeight="1" x14ac:dyDescent="0.3">
      <c r="AU3964" s="45"/>
    </row>
    <row r="3965" spans="47:47" ht="12" hidden="1" customHeight="1" x14ac:dyDescent="0.3">
      <c r="AU3965" s="45"/>
    </row>
    <row r="3966" spans="47:47" ht="12" hidden="1" customHeight="1" x14ac:dyDescent="0.3">
      <c r="AU3966" s="45"/>
    </row>
    <row r="3967" spans="47:47" ht="12" hidden="1" customHeight="1" x14ac:dyDescent="0.3">
      <c r="AU3967" s="45"/>
    </row>
    <row r="3968" spans="47:47" ht="12" hidden="1" customHeight="1" x14ac:dyDescent="0.3">
      <c r="AU3968" s="45"/>
    </row>
    <row r="3969" spans="47:47" ht="12" hidden="1" customHeight="1" x14ac:dyDescent="0.3">
      <c r="AU3969" s="45"/>
    </row>
    <row r="3970" spans="47:47" ht="12" hidden="1" customHeight="1" x14ac:dyDescent="0.3">
      <c r="AU3970" s="45"/>
    </row>
    <row r="3971" spans="47:47" ht="12" hidden="1" customHeight="1" x14ac:dyDescent="0.3">
      <c r="AU3971" s="45"/>
    </row>
    <row r="3972" spans="47:47" ht="12" hidden="1" customHeight="1" x14ac:dyDescent="0.3">
      <c r="AU3972" s="45"/>
    </row>
    <row r="3973" spans="47:47" ht="12" hidden="1" customHeight="1" x14ac:dyDescent="0.3">
      <c r="AU3973" s="45"/>
    </row>
    <row r="3974" spans="47:47" ht="12" hidden="1" customHeight="1" x14ac:dyDescent="0.3">
      <c r="AU3974" s="45"/>
    </row>
    <row r="3975" spans="47:47" ht="12" hidden="1" customHeight="1" x14ac:dyDescent="0.3">
      <c r="AU3975" s="45"/>
    </row>
    <row r="3976" spans="47:47" ht="12" hidden="1" customHeight="1" x14ac:dyDescent="0.3">
      <c r="AU3976" s="45"/>
    </row>
    <row r="3977" spans="47:47" ht="12" hidden="1" customHeight="1" x14ac:dyDescent="0.3">
      <c r="AU3977" s="45"/>
    </row>
    <row r="3978" spans="47:47" ht="12" hidden="1" customHeight="1" x14ac:dyDescent="0.3">
      <c r="AU3978" s="45"/>
    </row>
    <row r="3979" spans="47:47" ht="12" hidden="1" customHeight="1" x14ac:dyDescent="0.3">
      <c r="AU3979" s="45"/>
    </row>
    <row r="3980" spans="47:47" ht="12" hidden="1" customHeight="1" x14ac:dyDescent="0.3">
      <c r="AU3980" s="45"/>
    </row>
    <row r="3981" spans="47:47" ht="12" hidden="1" customHeight="1" x14ac:dyDescent="0.3">
      <c r="AU3981" s="45"/>
    </row>
    <row r="3982" spans="47:47" ht="12" hidden="1" customHeight="1" x14ac:dyDescent="0.3">
      <c r="AU3982" s="45"/>
    </row>
    <row r="3983" spans="47:47" ht="12" hidden="1" customHeight="1" x14ac:dyDescent="0.3">
      <c r="AU3983" s="45"/>
    </row>
    <row r="3984" spans="47:47" ht="12" hidden="1" customHeight="1" x14ac:dyDescent="0.3">
      <c r="AU3984" s="45"/>
    </row>
    <row r="3985" spans="47:47" ht="12" hidden="1" customHeight="1" x14ac:dyDescent="0.3">
      <c r="AU3985" s="45"/>
    </row>
    <row r="3986" spans="47:47" ht="12" hidden="1" customHeight="1" x14ac:dyDescent="0.3">
      <c r="AU3986" s="45"/>
    </row>
    <row r="3987" spans="47:47" ht="12" hidden="1" customHeight="1" x14ac:dyDescent="0.3">
      <c r="AU3987" s="45"/>
    </row>
    <row r="3988" spans="47:47" ht="12" hidden="1" customHeight="1" x14ac:dyDescent="0.3">
      <c r="AU3988" s="45"/>
    </row>
    <row r="3989" spans="47:47" ht="12" hidden="1" customHeight="1" x14ac:dyDescent="0.3">
      <c r="AU3989" s="45"/>
    </row>
    <row r="3990" spans="47:47" ht="12" hidden="1" customHeight="1" x14ac:dyDescent="0.3">
      <c r="AU3990" s="45"/>
    </row>
    <row r="3991" spans="47:47" ht="12" hidden="1" customHeight="1" x14ac:dyDescent="0.3">
      <c r="AU3991" s="45"/>
    </row>
    <row r="3992" spans="47:47" ht="12" hidden="1" customHeight="1" x14ac:dyDescent="0.3">
      <c r="AU3992" s="45"/>
    </row>
    <row r="3993" spans="47:47" ht="12" hidden="1" customHeight="1" x14ac:dyDescent="0.3">
      <c r="AU3993" s="45"/>
    </row>
    <row r="3994" spans="47:47" ht="12" hidden="1" customHeight="1" x14ac:dyDescent="0.3">
      <c r="AU3994" s="45"/>
    </row>
    <row r="3995" spans="47:47" ht="12" hidden="1" customHeight="1" x14ac:dyDescent="0.3">
      <c r="AU3995" s="45"/>
    </row>
    <row r="3996" spans="47:47" ht="12" hidden="1" customHeight="1" x14ac:dyDescent="0.3">
      <c r="AU3996" s="45"/>
    </row>
    <row r="3997" spans="47:47" ht="12" hidden="1" customHeight="1" x14ac:dyDescent="0.3">
      <c r="AU3997" s="45"/>
    </row>
    <row r="3998" spans="47:47" ht="12" hidden="1" customHeight="1" x14ac:dyDescent="0.3">
      <c r="AU3998" s="45"/>
    </row>
    <row r="3999" spans="47:47" ht="12" hidden="1" customHeight="1" x14ac:dyDescent="0.3">
      <c r="AU3999" s="45"/>
    </row>
    <row r="4000" spans="47:47" ht="12" hidden="1" customHeight="1" x14ac:dyDescent="0.3">
      <c r="AU4000" s="45"/>
    </row>
    <row r="4001" spans="47:47" ht="12" hidden="1" customHeight="1" x14ac:dyDescent="0.3">
      <c r="AU4001" s="45"/>
    </row>
    <row r="4002" spans="47:47" ht="12" hidden="1" customHeight="1" x14ac:dyDescent="0.3">
      <c r="AU4002" s="45"/>
    </row>
    <row r="4003" spans="47:47" ht="12" hidden="1" customHeight="1" x14ac:dyDescent="0.3">
      <c r="AU4003" s="45"/>
    </row>
    <row r="4004" spans="47:47" ht="12" hidden="1" customHeight="1" x14ac:dyDescent="0.3">
      <c r="AU4004" s="45"/>
    </row>
    <row r="4005" spans="47:47" ht="12" hidden="1" customHeight="1" x14ac:dyDescent="0.3">
      <c r="AU4005" s="45"/>
    </row>
    <row r="4006" spans="47:47" ht="12" hidden="1" customHeight="1" x14ac:dyDescent="0.3">
      <c r="AU4006" s="45"/>
    </row>
    <row r="4007" spans="47:47" ht="12" hidden="1" customHeight="1" x14ac:dyDescent="0.3">
      <c r="AU4007" s="45"/>
    </row>
    <row r="4008" spans="47:47" ht="12" hidden="1" customHeight="1" x14ac:dyDescent="0.3">
      <c r="AU4008" s="45"/>
    </row>
    <row r="4009" spans="47:47" ht="12" hidden="1" customHeight="1" x14ac:dyDescent="0.3">
      <c r="AU4009" s="45"/>
    </row>
    <row r="4010" spans="47:47" ht="12" hidden="1" customHeight="1" x14ac:dyDescent="0.3">
      <c r="AU4010" s="45"/>
    </row>
    <row r="4011" spans="47:47" ht="12" hidden="1" customHeight="1" x14ac:dyDescent="0.3">
      <c r="AU4011" s="45"/>
    </row>
    <row r="4012" spans="47:47" ht="12" hidden="1" customHeight="1" x14ac:dyDescent="0.3">
      <c r="AU4012" s="45"/>
    </row>
    <row r="4013" spans="47:47" ht="12" hidden="1" customHeight="1" x14ac:dyDescent="0.3">
      <c r="AU4013" s="45"/>
    </row>
    <row r="4014" spans="47:47" ht="12" hidden="1" customHeight="1" x14ac:dyDescent="0.3">
      <c r="AU4014" s="45"/>
    </row>
    <row r="4015" spans="47:47" ht="12" hidden="1" customHeight="1" x14ac:dyDescent="0.3">
      <c r="AU4015" s="45"/>
    </row>
    <row r="4016" spans="47:47" ht="12" hidden="1" customHeight="1" x14ac:dyDescent="0.3">
      <c r="AU4016" s="45"/>
    </row>
    <row r="4017" spans="47:47" ht="12" hidden="1" customHeight="1" x14ac:dyDescent="0.3">
      <c r="AU4017" s="45"/>
    </row>
    <row r="4018" spans="47:47" ht="12" hidden="1" customHeight="1" x14ac:dyDescent="0.3">
      <c r="AU4018" s="45"/>
    </row>
    <row r="4019" spans="47:47" ht="12" hidden="1" customHeight="1" x14ac:dyDescent="0.3">
      <c r="AU4019" s="45"/>
    </row>
    <row r="4020" spans="47:47" ht="12" hidden="1" customHeight="1" x14ac:dyDescent="0.3">
      <c r="AU4020" s="45"/>
    </row>
    <row r="4021" spans="47:47" ht="12" hidden="1" customHeight="1" x14ac:dyDescent="0.3">
      <c r="AU4021" s="45"/>
    </row>
    <row r="4022" spans="47:47" ht="12" hidden="1" customHeight="1" x14ac:dyDescent="0.3">
      <c r="AU4022" s="45"/>
    </row>
    <row r="4023" spans="47:47" ht="12" hidden="1" customHeight="1" x14ac:dyDescent="0.3">
      <c r="AU4023" s="45"/>
    </row>
    <row r="4024" spans="47:47" ht="12" hidden="1" customHeight="1" x14ac:dyDescent="0.3">
      <c r="AU4024" s="45"/>
    </row>
    <row r="4025" spans="47:47" ht="12" hidden="1" customHeight="1" x14ac:dyDescent="0.3">
      <c r="AU4025" s="45"/>
    </row>
    <row r="4026" spans="47:47" ht="12" hidden="1" customHeight="1" x14ac:dyDescent="0.3">
      <c r="AU4026" s="45"/>
    </row>
    <row r="4027" spans="47:47" ht="12" hidden="1" customHeight="1" x14ac:dyDescent="0.3">
      <c r="AU4027" s="45"/>
    </row>
    <row r="4028" spans="47:47" ht="12" hidden="1" customHeight="1" x14ac:dyDescent="0.3">
      <c r="AU4028" s="45"/>
    </row>
    <row r="4029" spans="47:47" ht="12" hidden="1" customHeight="1" x14ac:dyDescent="0.3">
      <c r="AU4029" s="45"/>
    </row>
    <row r="4030" spans="47:47" ht="12" hidden="1" customHeight="1" x14ac:dyDescent="0.3">
      <c r="AU4030" s="45"/>
    </row>
    <row r="4031" spans="47:47" ht="12" hidden="1" customHeight="1" x14ac:dyDescent="0.3">
      <c r="AU4031" s="45"/>
    </row>
    <row r="4032" spans="47:47" ht="12" hidden="1" customHeight="1" x14ac:dyDescent="0.3">
      <c r="AU4032" s="45"/>
    </row>
    <row r="4033" spans="47:47" ht="12" hidden="1" customHeight="1" x14ac:dyDescent="0.3">
      <c r="AU4033" s="45"/>
    </row>
    <row r="4034" spans="47:47" ht="12" hidden="1" customHeight="1" x14ac:dyDescent="0.3">
      <c r="AU4034" s="45"/>
    </row>
    <row r="4035" spans="47:47" ht="12" hidden="1" customHeight="1" x14ac:dyDescent="0.3">
      <c r="AU4035" s="45"/>
    </row>
    <row r="4036" spans="47:47" ht="12" hidden="1" customHeight="1" x14ac:dyDescent="0.3">
      <c r="AU4036" s="45"/>
    </row>
    <row r="4037" spans="47:47" ht="12" hidden="1" customHeight="1" x14ac:dyDescent="0.3">
      <c r="AU4037" s="45"/>
    </row>
    <row r="4038" spans="47:47" ht="12" hidden="1" customHeight="1" x14ac:dyDescent="0.3">
      <c r="AU4038" s="45"/>
    </row>
    <row r="4039" spans="47:47" ht="12" hidden="1" customHeight="1" x14ac:dyDescent="0.3">
      <c r="AU4039" s="45"/>
    </row>
    <row r="4040" spans="47:47" ht="12" hidden="1" customHeight="1" x14ac:dyDescent="0.3">
      <c r="AU4040" s="45"/>
    </row>
    <row r="4041" spans="47:47" ht="12" hidden="1" customHeight="1" x14ac:dyDescent="0.3">
      <c r="AU4041" s="45"/>
    </row>
    <row r="4042" spans="47:47" ht="12" hidden="1" customHeight="1" x14ac:dyDescent="0.3">
      <c r="AU4042" s="45"/>
    </row>
    <row r="4043" spans="47:47" ht="12" hidden="1" customHeight="1" x14ac:dyDescent="0.3">
      <c r="AU4043" s="45"/>
    </row>
    <row r="4044" spans="47:47" ht="12" hidden="1" customHeight="1" x14ac:dyDescent="0.3">
      <c r="AU4044" s="45"/>
    </row>
    <row r="4045" spans="47:47" ht="12" hidden="1" customHeight="1" x14ac:dyDescent="0.3">
      <c r="AU4045" s="45"/>
    </row>
    <row r="4046" spans="47:47" ht="12" hidden="1" customHeight="1" x14ac:dyDescent="0.3">
      <c r="AU4046" s="45"/>
    </row>
    <row r="4047" spans="47:47" ht="12" hidden="1" customHeight="1" x14ac:dyDescent="0.3">
      <c r="AU4047" s="45"/>
    </row>
    <row r="4048" spans="47:47" ht="12" hidden="1" customHeight="1" x14ac:dyDescent="0.3">
      <c r="AU4048" s="45"/>
    </row>
    <row r="4049" spans="47:47" ht="12" hidden="1" customHeight="1" x14ac:dyDescent="0.3">
      <c r="AU4049" s="45"/>
    </row>
    <row r="4050" spans="47:47" ht="12" hidden="1" customHeight="1" x14ac:dyDescent="0.3">
      <c r="AU4050" s="45"/>
    </row>
    <row r="4051" spans="47:47" ht="12" hidden="1" customHeight="1" x14ac:dyDescent="0.3">
      <c r="AU4051" s="45"/>
    </row>
    <row r="4052" spans="47:47" ht="12" hidden="1" customHeight="1" x14ac:dyDescent="0.3">
      <c r="AU4052" s="45"/>
    </row>
    <row r="4053" spans="47:47" ht="12" hidden="1" customHeight="1" x14ac:dyDescent="0.3">
      <c r="AU4053" s="45"/>
    </row>
    <row r="4054" spans="47:47" ht="12" hidden="1" customHeight="1" x14ac:dyDescent="0.3">
      <c r="AU4054" s="45"/>
    </row>
    <row r="4055" spans="47:47" ht="12" hidden="1" customHeight="1" x14ac:dyDescent="0.3">
      <c r="AU4055" s="45"/>
    </row>
    <row r="4056" spans="47:47" ht="12" hidden="1" customHeight="1" x14ac:dyDescent="0.3">
      <c r="AU4056" s="45"/>
    </row>
    <row r="4057" spans="47:47" ht="12" hidden="1" customHeight="1" x14ac:dyDescent="0.3">
      <c r="AU4057" s="45"/>
    </row>
    <row r="4058" spans="47:47" ht="12" hidden="1" customHeight="1" x14ac:dyDescent="0.3">
      <c r="AU4058" s="45"/>
    </row>
    <row r="4059" spans="47:47" ht="12" hidden="1" customHeight="1" x14ac:dyDescent="0.3">
      <c r="AU4059" s="45"/>
    </row>
    <row r="4060" spans="47:47" ht="12" hidden="1" customHeight="1" x14ac:dyDescent="0.3">
      <c r="AU4060" s="45"/>
    </row>
    <row r="4061" spans="47:47" ht="12" hidden="1" customHeight="1" x14ac:dyDescent="0.3">
      <c r="AU4061" s="45"/>
    </row>
    <row r="4062" spans="47:47" ht="12" hidden="1" customHeight="1" x14ac:dyDescent="0.3">
      <c r="AU4062" s="45"/>
    </row>
    <row r="4063" spans="47:47" ht="12" hidden="1" customHeight="1" x14ac:dyDescent="0.3">
      <c r="AU4063" s="45"/>
    </row>
    <row r="4064" spans="47:47" ht="12" hidden="1" customHeight="1" x14ac:dyDescent="0.3">
      <c r="AU4064" s="45"/>
    </row>
    <row r="4065" spans="47:47" ht="12" hidden="1" customHeight="1" x14ac:dyDescent="0.3">
      <c r="AU4065" s="45"/>
    </row>
    <row r="4066" spans="47:47" ht="12" hidden="1" customHeight="1" x14ac:dyDescent="0.3">
      <c r="AU4066" s="45"/>
    </row>
    <row r="4067" spans="47:47" ht="12" hidden="1" customHeight="1" x14ac:dyDescent="0.3">
      <c r="AU4067" s="45"/>
    </row>
    <row r="4068" spans="47:47" ht="12" hidden="1" customHeight="1" x14ac:dyDescent="0.3">
      <c r="AU4068" s="45"/>
    </row>
    <row r="4069" spans="47:47" ht="12" hidden="1" customHeight="1" x14ac:dyDescent="0.3">
      <c r="AU4069" s="45"/>
    </row>
    <row r="4070" spans="47:47" ht="12" hidden="1" customHeight="1" x14ac:dyDescent="0.3">
      <c r="AU4070" s="45"/>
    </row>
    <row r="4071" spans="47:47" ht="12" hidden="1" customHeight="1" x14ac:dyDescent="0.3">
      <c r="AU4071" s="45"/>
    </row>
    <row r="4072" spans="47:47" ht="12" hidden="1" customHeight="1" x14ac:dyDescent="0.3">
      <c r="AU4072" s="45"/>
    </row>
    <row r="4073" spans="47:47" ht="12" hidden="1" customHeight="1" x14ac:dyDescent="0.3">
      <c r="AU4073" s="45"/>
    </row>
    <row r="4074" spans="47:47" ht="12" hidden="1" customHeight="1" x14ac:dyDescent="0.3">
      <c r="AU4074" s="45"/>
    </row>
    <row r="4075" spans="47:47" ht="12" hidden="1" customHeight="1" x14ac:dyDescent="0.3">
      <c r="AU4075" s="45"/>
    </row>
    <row r="4076" spans="47:47" ht="12" hidden="1" customHeight="1" x14ac:dyDescent="0.3">
      <c r="AU4076" s="45"/>
    </row>
    <row r="4077" spans="47:47" ht="12" hidden="1" customHeight="1" x14ac:dyDescent="0.3">
      <c r="AU4077" s="45"/>
    </row>
    <row r="4078" spans="47:47" ht="12" hidden="1" customHeight="1" x14ac:dyDescent="0.3">
      <c r="AU4078" s="45"/>
    </row>
    <row r="4079" spans="47:47" ht="12" hidden="1" customHeight="1" x14ac:dyDescent="0.3">
      <c r="AU4079" s="45"/>
    </row>
    <row r="4080" spans="47:47" ht="12" hidden="1" customHeight="1" x14ac:dyDescent="0.3">
      <c r="AU4080" s="45"/>
    </row>
    <row r="4081" spans="47:47" ht="12" hidden="1" customHeight="1" x14ac:dyDescent="0.3">
      <c r="AU4081" s="45"/>
    </row>
    <row r="4082" spans="47:47" ht="12" hidden="1" customHeight="1" x14ac:dyDescent="0.3">
      <c r="AU4082" s="45"/>
    </row>
    <row r="4083" spans="47:47" ht="12" hidden="1" customHeight="1" x14ac:dyDescent="0.3">
      <c r="AU4083" s="45"/>
    </row>
    <row r="4084" spans="47:47" ht="12" hidden="1" customHeight="1" x14ac:dyDescent="0.3">
      <c r="AU4084" s="45"/>
    </row>
    <row r="4085" spans="47:47" ht="12" hidden="1" customHeight="1" x14ac:dyDescent="0.3">
      <c r="AU4085" s="45"/>
    </row>
    <row r="4086" spans="47:47" ht="12" hidden="1" customHeight="1" x14ac:dyDescent="0.3">
      <c r="AU4086" s="45"/>
    </row>
    <row r="4087" spans="47:47" ht="12" hidden="1" customHeight="1" x14ac:dyDescent="0.3">
      <c r="AU4087" s="45"/>
    </row>
    <row r="4088" spans="47:47" ht="12" hidden="1" customHeight="1" x14ac:dyDescent="0.3">
      <c r="AU4088" s="45"/>
    </row>
    <row r="4089" spans="47:47" ht="12" hidden="1" customHeight="1" x14ac:dyDescent="0.3">
      <c r="AU4089" s="45"/>
    </row>
    <row r="4090" spans="47:47" ht="12" hidden="1" customHeight="1" x14ac:dyDescent="0.3">
      <c r="AU4090" s="45"/>
    </row>
    <row r="4091" spans="47:47" ht="12" hidden="1" customHeight="1" x14ac:dyDescent="0.3">
      <c r="AU4091" s="45"/>
    </row>
    <row r="4092" spans="47:47" ht="12" hidden="1" customHeight="1" x14ac:dyDescent="0.3">
      <c r="AU4092" s="45"/>
    </row>
    <row r="4093" spans="47:47" ht="12" hidden="1" customHeight="1" x14ac:dyDescent="0.3">
      <c r="AU4093" s="45"/>
    </row>
    <row r="4094" spans="47:47" ht="12" hidden="1" customHeight="1" x14ac:dyDescent="0.3">
      <c r="AU4094" s="45"/>
    </row>
    <row r="4095" spans="47:47" ht="12" hidden="1" customHeight="1" x14ac:dyDescent="0.3">
      <c r="AU4095" s="45"/>
    </row>
    <row r="4096" spans="47:47" ht="12" hidden="1" customHeight="1" x14ac:dyDescent="0.3">
      <c r="AU4096" s="45"/>
    </row>
    <row r="4097" spans="47:47" ht="12" hidden="1" customHeight="1" x14ac:dyDescent="0.3">
      <c r="AU4097" s="45"/>
    </row>
    <row r="4098" spans="47:47" ht="12" hidden="1" customHeight="1" x14ac:dyDescent="0.3">
      <c r="AU4098" s="45"/>
    </row>
    <row r="4099" spans="47:47" ht="12" hidden="1" customHeight="1" x14ac:dyDescent="0.3">
      <c r="AU4099" s="45"/>
    </row>
    <row r="4100" spans="47:47" ht="12" hidden="1" customHeight="1" x14ac:dyDescent="0.3">
      <c r="AU4100" s="45"/>
    </row>
    <row r="4101" spans="47:47" ht="12" hidden="1" customHeight="1" x14ac:dyDescent="0.3">
      <c r="AU4101" s="45"/>
    </row>
    <row r="4102" spans="47:47" ht="12" hidden="1" customHeight="1" x14ac:dyDescent="0.3">
      <c r="AU4102" s="45"/>
    </row>
    <row r="4103" spans="47:47" ht="12" hidden="1" customHeight="1" x14ac:dyDescent="0.3">
      <c r="AU4103" s="45"/>
    </row>
    <row r="4104" spans="47:47" ht="12" hidden="1" customHeight="1" x14ac:dyDescent="0.3">
      <c r="AU4104" s="45"/>
    </row>
    <row r="4105" spans="47:47" ht="12" hidden="1" customHeight="1" x14ac:dyDescent="0.3">
      <c r="AU4105" s="45"/>
    </row>
    <row r="4106" spans="47:47" ht="12" hidden="1" customHeight="1" x14ac:dyDescent="0.3">
      <c r="AU4106" s="45"/>
    </row>
    <row r="4107" spans="47:47" ht="12" hidden="1" customHeight="1" x14ac:dyDescent="0.3">
      <c r="AU4107" s="45"/>
    </row>
    <row r="4108" spans="47:47" ht="12" hidden="1" customHeight="1" x14ac:dyDescent="0.3">
      <c r="AU4108" s="45"/>
    </row>
    <row r="4109" spans="47:47" ht="12" hidden="1" customHeight="1" x14ac:dyDescent="0.3">
      <c r="AU4109" s="45"/>
    </row>
    <row r="4110" spans="47:47" ht="12" hidden="1" customHeight="1" x14ac:dyDescent="0.3">
      <c r="AU4110" s="45"/>
    </row>
    <row r="4111" spans="47:47" ht="12" hidden="1" customHeight="1" x14ac:dyDescent="0.3">
      <c r="AU4111" s="45"/>
    </row>
    <row r="4112" spans="47:47" ht="12" hidden="1" customHeight="1" x14ac:dyDescent="0.3">
      <c r="AU4112" s="45"/>
    </row>
    <row r="4113" spans="47:47" ht="12" hidden="1" customHeight="1" x14ac:dyDescent="0.3">
      <c r="AU4113" s="45"/>
    </row>
    <row r="4114" spans="47:47" ht="12" hidden="1" customHeight="1" x14ac:dyDescent="0.3">
      <c r="AU4114" s="45"/>
    </row>
    <row r="4115" spans="47:47" ht="12" hidden="1" customHeight="1" x14ac:dyDescent="0.3">
      <c r="AU4115" s="45"/>
    </row>
    <row r="4116" spans="47:47" ht="12" hidden="1" customHeight="1" x14ac:dyDescent="0.3">
      <c r="AU4116" s="45"/>
    </row>
    <row r="4117" spans="47:47" ht="12" hidden="1" customHeight="1" x14ac:dyDescent="0.3">
      <c r="AU4117" s="45"/>
    </row>
    <row r="4118" spans="47:47" ht="12" hidden="1" customHeight="1" x14ac:dyDescent="0.3">
      <c r="AU4118" s="45"/>
    </row>
    <row r="4119" spans="47:47" ht="12" hidden="1" customHeight="1" x14ac:dyDescent="0.3">
      <c r="AU4119" s="45"/>
    </row>
    <row r="4120" spans="47:47" ht="12" hidden="1" customHeight="1" x14ac:dyDescent="0.3">
      <c r="AU4120" s="45"/>
    </row>
    <row r="4121" spans="47:47" ht="12" hidden="1" customHeight="1" x14ac:dyDescent="0.3">
      <c r="AU4121" s="45"/>
    </row>
    <row r="4122" spans="47:47" ht="12" hidden="1" customHeight="1" x14ac:dyDescent="0.3">
      <c r="AU4122" s="45"/>
    </row>
    <row r="4123" spans="47:47" ht="12" hidden="1" customHeight="1" x14ac:dyDescent="0.3">
      <c r="AU4123" s="45"/>
    </row>
    <row r="4124" spans="47:47" ht="12" hidden="1" customHeight="1" x14ac:dyDescent="0.3">
      <c r="AU4124" s="45"/>
    </row>
    <row r="4125" spans="47:47" ht="12" hidden="1" customHeight="1" x14ac:dyDescent="0.3">
      <c r="AU4125" s="45"/>
    </row>
    <row r="4126" spans="47:47" ht="12" hidden="1" customHeight="1" x14ac:dyDescent="0.3">
      <c r="AU4126" s="45"/>
    </row>
    <row r="4127" spans="47:47" ht="12" hidden="1" customHeight="1" x14ac:dyDescent="0.3">
      <c r="AU4127" s="45"/>
    </row>
    <row r="4128" spans="47:47" ht="12" hidden="1" customHeight="1" x14ac:dyDescent="0.3">
      <c r="AU4128" s="45"/>
    </row>
    <row r="4129" spans="47:47" ht="12" hidden="1" customHeight="1" x14ac:dyDescent="0.3">
      <c r="AU4129" s="45"/>
    </row>
    <row r="4130" spans="47:47" ht="12" hidden="1" customHeight="1" x14ac:dyDescent="0.3">
      <c r="AU4130" s="45"/>
    </row>
    <row r="4131" spans="47:47" ht="12" hidden="1" customHeight="1" x14ac:dyDescent="0.3">
      <c r="AU4131" s="45"/>
    </row>
    <row r="4132" spans="47:47" ht="12" hidden="1" customHeight="1" x14ac:dyDescent="0.3">
      <c r="AU4132" s="45"/>
    </row>
    <row r="4133" spans="47:47" ht="12" hidden="1" customHeight="1" x14ac:dyDescent="0.3">
      <c r="AU4133" s="45"/>
    </row>
    <row r="4134" spans="47:47" ht="12" hidden="1" customHeight="1" x14ac:dyDescent="0.3">
      <c r="AU4134" s="45"/>
    </row>
    <row r="4135" spans="47:47" ht="12" hidden="1" customHeight="1" x14ac:dyDescent="0.3">
      <c r="AU4135" s="45"/>
    </row>
    <row r="4136" spans="47:47" ht="12" hidden="1" customHeight="1" x14ac:dyDescent="0.3">
      <c r="AU4136" s="45"/>
    </row>
    <row r="4137" spans="47:47" ht="12" hidden="1" customHeight="1" x14ac:dyDescent="0.3">
      <c r="AU4137" s="45"/>
    </row>
    <row r="4138" spans="47:47" ht="12" hidden="1" customHeight="1" x14ac:dyDescent="0.3">
      <c r="AU4138" s="45"/>
    </row>
    <row r="4139" spans="47:47" ht="12" hidden="1" customHeight="1" x14ac:dyDescent="0.3">
      <c r="AU4139" s="45"/>
    </row>
    <row r="4140" spans="47:47" ht="12" hidden="1" customHeight="1" x14ac:dyDescent="0.3">
      <c r="AU4140" s="45"/>
    </row>
    <row r="4141" spans="47:47" ht="12" hidden="1" customHeight="1" x14ac:dyDescent="0.3">
      <c r="AU4141" s="45"/>
    </row>
    <row r="4142" spans="47:47" ht="12" hidden="1" customHeight="1" x14ac:dyDescent="0.3">
      <c r="AU4142" s="45"/>
    </row>
    <row r="4143" spans="47:47" ht="12" hidden="1" customHeight="1" x14ac:dyDescent="0.3">
      <c r="AU4143" s="45"/>
    </row>
    <row r="4144" spans="47:47" ht="12" hidden="1" customHeight="1" x14ac:dyDescent="0.3">
      <c r="AU4144" s="45"/>
    </row>
    <row r="4145" spans="47:47" ht="12" hidden="1" customHeight="1" x14ac:dyDescent="0.3">
      <c r="AU4145" s="45"/>
    </row>
    <row r="4146" spans="47:47" ht="12" hidden="1" customHeight="1" x14ac:dyDescent="0.3">
      <c r="AU4146" s="45"/>
    </row>
    <row r="4147" spans="47:47" ht="12" hidden="1" customHeight="1" x14ac:dyDescent="0.3">
      <c r="AU4147" s="45"/>
    </row>
    <row r="4148" spans="47:47" ht="12" hidden="1" customHeight="1" x14ac:dyDescent="0.3">
      <c r="AU4148" s="45"/>
    </row>
    <row r="4149" spans="47:47" ht="12" hidden="1" customHeight="1" x14ac:dyDescent="0.3">
      <c r="AU4149" s="45"/>
    </row>
    <row r="4150" spans="47:47" ht="12" hidden="1" customHeight="1" x14ac:dyDescent="0.3">
      <c r="AU4150" s="45"/>
    </row>
    <row r="4151" spans="47:47" ht="12" hidden="1" customHeight="1" x14ac:dyDescent="0.3">
      <c r="AU4151" s="45"/>
    </row>
    <row r="4152" spans="47:47" ht="12" hidden="1" customHeight="1" x14ac:dyDescent="0.3">
      <c r="AU4152" s="45"/>
    </row>
    <row r="4153" spans="47:47" ht="12" hidden="1" customHeight="1" x14ac:dyDescent="0.3">
      <c r="AU4153" s="45"/>
    </row>
    <row r="4154" spans="47:47" ht="12" hidden="1" customHeight="1" x14ac:dyDescent="0.3">
      <c r="AU4154" s="45"/>
    </row>
    <row r="4155" spans="47:47" ht="12" hidden="1" customHeight="1" x14ac:dyDescent="0.3">
      <c r="AU4155" s="45"/>
    </row>
    <row r="4156" spans="47:47" ht="12" hidden="1" customHeight="1" x14ac:dyDescent="0.3">
      <c r="AU4156" s="45"/>
    </row>
    <row r="4157" spans="47:47" ht="12" hidden="1" customHeight="1" x14ac:dyDescent="0.3">
      <c r="AU4157" s="45"/>
    </row>
    <row r="4158" spans="47:47" ht="12" hidden="1" customHeight="1" x14ac:dyDescent="0.3">
      <c r="AU4158" s="45"/>
    </row>
    <row r="4159" spans="47:47" ht="12" hidden="1" customHeight="1" x14ac:dyDescent="0.3">
      <c r="AU4159" s="45"/>
    </row>
    <row r="4160" spans="47:47" ht="12" hidden="1" customHeight="1" x14ac:dyDescent="0.3">
      <c r="AU4160" s="45"/>
    </row>
    <row r="4161" spans="47:47" ht="12" hidden="1" customHeight="1" x14ac:dyDescent="0.3">
      <c r="AU4161" s="45"/>
    </row>
    <row r="4162" spans="47:47" ht="12" hidden="1" customHeight="1" x14ac:dyDescent="0.3">
      <c r="AU4162" s="45"/>
    </row>
    <row r="4163" spans="47:47" ht="12" hidden="1" customHeight="1" x14ac:dyDescent="0.3">
      <c r="AU4163" s="45"/>
    </row>
    <row r="4164" spans="47:47" ht="12" hidden="1" customHeight="1" x14ac:dyDescent="0.3">
      <c r="AU4164" s="45"/>
    </row>
    <row r="4165" spans="47:47" ht="12" hidden="1" customHeight="1" x14ac:dyDescent="0.3">
      <c r="AU4165" s="45"/>
    </row>
    <row r="4166" spans="47:47" ht="12" hidden="1" customHeight="1" x14ac:dyDescent="0.3">
      <c r="AU4166" s="45"/>
    </row>
    <row r="4167" spans="47:47" ht="12" hidden="1" customHeight="1" x14ac:dyDescent="0.3">
      <c r="AU4167" s="45"/>
    </row>
    <row r="4168" spans="47:47" ht="12" hidden="1" customHeight="1" x14ac:dyDescent="0.3">
      <c r="AU4168" s="45"/>
    </row>
    <row r="4169" spans="47:47" ht="12" hidden="1" customHeight="1" x14ac:dyDescent="0.3">
      <c r="AU4169" s="45"/>
    </row>
    <row r="4170" spans="47:47" ht="12" hidden="1" customHeight="1" x14ac:dyDescent="0.3">
      <c r="AU4170" s="45"/>
    </row>
    <row r="4171" spans="47:47" ht="12" hidden="1" customHeight="1" x14ac:dyDescent="0.3">
      <c r="AU4171" s="45"/>
    </row>
    <row r="4172" spans="47:47" ht="12" hidden="1" customHeight="1" x14ac:dyDescent="0.3">
      <c r="AU4172" s="45"/>
    </row>
    <row r="4173" spans="47:47" ht="12" hidden="1" customHeight="1" x14ac:dyDescent="0.3">
      <c r="AU4173" s="45"/>
    </row>
    <row r="4174" spans="47:47" ht="12" hidden="1" customHeight="1" x14ac:dyDescent="0.3">
      <c r="AU4174" s="45"/>
    </row>
    <row r="4175" spans="47:47" ht="12" hidden="1" customHeight="1" x14ac:dyDescent="0.3">
      <c r="AU4175" s="45"/>
    </row>
    <row r="4176" spans="47:47" ht="12" hidden="1" customHeight="1" x14ac:dyDescent="0.3">
      <c r="AU4176" s="45"/>
    </row>
    <row r="4177" spans="47:47" ht="12" hidden="1" customHeight="1" x14ac:dyDescent="0.3">
      <c r="AU4177" s="45"/>
    </row>
    <row r="4178" spans="47:47" ht="12" hidden="1" customHeight="1" x14ac:dyDescent="0.3">
      <c r="AU4178" s="45"/>
    </row>
    <row r="4179" spans="47:47" ht="12" hidden="1" customHeight="1" x14ac:dyDescent="0.3">
      <c r="AU4179" s="45"/>
    </row>
    <row r="4180" spans="47:47" ht="12" hidden="1" customHeight="1" x14ac:dyDescent="0.3">
      <c r="AU4180" s="45"/>
    </row>
    <row r="4181" spans="47:47" ht="12" hidden="1" customHeight="1" x14ac:dyDescent="0.3">
      <c r="AU4181" s="45"/>
    </row>
    <row r="4182" spans="47:47" ht="12" hidden="1" customHeight="1" x14ac:dyDescent="0.3">
      <c r="AU4182" s="45"/>
    </row>
    <row r="4183" spans="47:47" ht="12" hidden="1" customHeight="1" x14ac:dyDescent="0.3">
      <c r="AU4183" s="45"/>
    </row>
    <row r="4184" spans="47:47" ht="12" hidden="1" customHeight="1" x14ac:dyDescent="0.3">
      <c r="AU4184" s="45"/>
    </row>
    <row r="4185" spans="47:47" ht="12" hidden="1" customHeight="1" x14ac:dyDescent="0.3">
      <c r="AU4185" s="45"/>
    </row>
    <row r="4186" spans="47:47" ht="12" hidden="1" customHeight="1" x14ac:dyDescent="0.3">
      <c r="AU4186" s="45"/>
    </row>
    <row r="4187" spans="47:47" ht="12" hidden="1" customHeight="1" x14ac:dyDescent="0.3">
      <c r="AU4187" s="45"/>
    </row>
    <row r="4188" spans="47:47" ht="12" hidden="1" customHeight="1" x14ac:dyDescent="0.3">
      <c r="AU4188" s="45"/>
    </row>
    <row r="4189" spans="47:47" ht="12" hidden="1" customHeight="1" x14ac:dyDescent="0.3">
      <c r="AU4189" s="45"/>
    </row>
    <row r="4190" spans="47:47" ht="12" hidden="1" customHeight="1" x14ac:dyDescent="0.3">
      <c r="AU4190" s="45"/>
    </row>
    <row r="4191" spans="47:47" ht="12" hidden="1" customHeight="1" x14ac:dyDescent="0.3">
      <c r="AU4191" s="45"/>
    </row>
    <row r="4192" spans="47:47" ht="12" hidden="1" customHeight="1" x14ac:dyDescent="0.3">
      <c r="AU4192" s="45"/>
    </row>
    <row r="4193" spans="47:47" ht="12" hidden="1" customHeight="1" x14ac:dyDescent="0.3">
      <c r="AU4193" s="45"/>
    </row>
    <row r="4194" spans="47:47" ht="12" hidden="1" customHeight="1" x14ac:dyDescent="0.3">
      <c r="AU4194" s="45"/>
    </row>
    <row r="4195" spans="47:47" ht="12" hidden="1" customHeight="1" x14ac:dyDescent="0.3">
      <c r="AU4195" s="45"/>
    </row>
    <row r="4196" spans="47:47" ht="12" hidden="1" customHeight="1" x14ac:dyDescent="0.3">
      <c r="AU4196" s="45"/>
    </row>
    <row r="4197" spans="47:47" ht="12" hidden="1" customHeight="1" x14ac:dyDescent="0.3">
      <c r="AU4197" s="45"/>
    </row>
    <row r="4198" spans="47:47" ht="12" hidden="1" customHeight="1" x14ac:dyDescent="0.3">
      <c r="AU4198" s="45"/>
    </row>
    <row r="4199" spans="47:47" ht="12" hidden="1" customHeight="1" x14ac:dyDescent="0.3">
      <c r="AU4199" s="45"/>
    </row>
    <row r="4200" spans="47:47" ht="12" hidden="1" customHeight="1" x14ac:dyDescent="0.3">
      <c r="AU4200" s="45"/>
    </row>
    <row r="4201" spans="47:47" ht="12" hidden="1" customHeight="1" x14ac:dyDescent="0.3">
      <c r="AU4201" s="45"/>
    </row>
    <row r="4202" spans="47:47" ht="12" hidden="1" customHeight="1" x14ac:dyDescent="0.3">
      <c r="AU4202" s="45"/>
    </row>
    <row r="4203" spans="47:47" ht="12" hidden="1" customHeight="1" x14ac:dyDescent="0.3">
      <c r="AU4203" s="45"/>
    </row>
    <row r="4204" spans="47:47" ht="12" hidden="1" customHeight="1" x14ac:dyDescent="0.3">
      <c r="AU4204" s="45"/>
    </row>
    <row r="4205" spans="47:47" ht="12" hidden="1" customHeight="1" x14ac:dyDescent="0.3">
      <c r="AU4205" s="45"/>
    </row>
    <row r="4206" spans="47:47" ht="12" hidden="1" customHeight="1" x14ac:dyDescent="0.3">
      <c r="AU4206" s="45"/>
    </row>
    <row r="4207" spans="47:47" ht="12" hidden="1" customHeight="1" x14ac:dyDescent="0.3">
      <c r="AU4207" s="45"/>
    </row>
    <row r="4208" spans="47:47" ht="12" hidden="1" customHeight="1" x14ac:dyDescent="0.3">
      <c r="AU4208" s="45"/>
    </row>
    <row r="4209" spans="47:47" ht="12" hidden="1" customHeight="1" x14ac:dyDescent="0.3">
      <c r="AU4209" s="45"/>
    </row>
    <row r="4210" spans="47:47" ht="12" hidden="1" customHeight="1" x14ac:dyDescent="0.3">
      <c r="AU4210" s="45"/>
    </row>
    <row r="4211" spans="47:47" ht="12" hidden="1" customHeight="1" x14ac:dyDescent="0.3">
      <c r="AU4211" s="45"/>
    </row>
    <row r="4212" spans="47:47" ht="12" hidden="1" customHeight="1" x14ac:dyDescent="0.3">
      <c r="AU4212" s="45"/>
    </row>
    <row r="4213" spans="47:47" ht="12" hidden="1" customHeight="1" x14ac:dyDescent="0.3">
      <c r="AU4213" s="45"/>
    </row>
    <row r="4214" spans="47:47" ht="12" hidden="1" customHeight="1" x14ac:dyDescent="0.3">
      <c r="AU4214" s="45"/>
    </row>
    <row r="4215" spans="47:47" ht="12" hidden="1" customHeight="1" x14ac:dyDescent="0.3">
      <c r="AU4215" s="45"/>
    </row>
    <row r="4216" spans="47:47" ht="12" hidden="1" customHeight="1" x14ac:dyDescent="0.3">
      <c r="AU4216" s="45"/>
    </row>
    <row r="4217" spans="47:47" ht="12" hidden="1" customHeight="1" x14ac:dyDescent="0.3">
      <c r="AU4217" s="45"/>
    </row>
    <row r="4218" spans="47:47" ht="12" hidden="1" customHeight="1" x14ac:dyDescent="0.3">
      <c r="AU4218" s="45"/>
    </row>
    <row r="4219" spans="47:47" ht="12" hidden="1" customHeight="1" x14ac:dyDescent="0.3">
      <c r="AU4219" s="45"/>
    </row>
    <row r="4220" spans="47:47" ht="12" hidden="1" customHeight="1" x14ac:dyDescent="0.3">
      <c r="AU4220" s="45"/>
    </row>
    <row r="4221" spans="47:47" ht="12" hidden="1" customHeight="1" x14ac:dyDescent="0.3">
      <c r="AU4221" s="45"/>
    </row>
    <row r="4222" spans="47:47" ht="12" hidden="1" customHeight="1" x14ac:dyDescent="0.3">
      <c r="AU4222" s="45"/>
    </row>
    <row r="4223" spans="47:47" ht="12" hidden="1" customHeight="1" x14ac:dyDescent="0.3">
      <c r="AU4223" s="45"/>
    </row>
    <row r="4224" spans="47:47" ht="12" hidden="1" customHeight="1" x14ac:dyDescent="0.3">
      <c r="AU4224" s="45"/>
    </row>
    <row r="4225" spans="47:47" ht="12" hidden="1" customHeight="1" x14ac:dyDescent="0.3">
      <c r="AU4225" s="45"/>
    </row>
    <row r="4226" spans="47:47" ht="12" hidden="1" customHeight="1" x14ac:dyDescent="0.3">
      <c r="AU4226" s="45"/>
    </row>
    <row r="4227" spans="47:47" ht="12" hidden="1" customHeight="1" x14ac:dyDescent="0.3">
      <c r="AU4227" s="45"/>
    </row>
    <row r="4228" spans="47:47" ht="12" hidden="1" customHeight="1" x14ac:dyDescent="0.3">
      <c r="AU4228" s="45"/>
    </row>
    <row r="4229" spans="47:47" ht="12" hidden="1" customHeight="1" x14ac:dyDescent="0.3">
      <c r="AU4229" s="45"/>
    </row>
    <row r="4230" spans="47:47" ht="12" hidden="1" customHeight="1" x14ac:dyDescent="0.3">
      <c r="AU4230" s="45"/>
    </row>
    <row r="4231" spans="47:47" ht="12" hidden="1" customHeight="1" x14ac:dyDescent="0.3">
      <c r="AU4231" s="45"/>
    </row>
    <row r="4232" spans="47:47" ht="12" hidden="1" customHeight="1" x14ac:dyDescent="0.3">
      <c r="AU4232" s="45"/>
    </row>
    <row r="4233" spans="47:47" ht="12" hidden="1" customHeight="1" x14ac:dyDescent="0.3">
      <c r="AU4233" s="45"/>
    </row>
    <row r="4234" spans="47:47" ht="12" hidden="1" customHeight="1" x14ac:dyDescent="0.3">
      <c r="AU4234" s="45"/>
    </row>
    <row r="4235" spans="47:47" ht="12" hidden="1" customHeight="1" x14ac:dyDescent="0.3">
      <c r="AU4235" s="45"/>
    </row>
    <row r="4236" spans="47:47" ht="12" hidden="1" customHeight="1" x14ac:dyDescent="0.3">
      <c r="AU4236" s="45"/>
    </row>
    <row r="4237" spans="47:47" ht="12" hidden="1" customHeight="1" x14ac:dyDescent="0.3">
      <c r="AU4237" s="45"/>
    </row>
    <row r="4238" spans="47:47" ht="12" hidden="1" customHeight="1" x14ac:dyDescent="0.3">
      <c r="AU4238" s="45"/>
    </row>
    <row r="4239" spans="47:47" ht="12" hidden="1" customHeight="1" x14ac:dyDescent="0.3">
      <c r="AU4239" s="45"/>
    </row>
    <row r="4240" spans="47:47" ht="12" hidden="1" customHeight="1" x14ac:dyDescent="0.3">
      <c r="AU4240" s="45"/>
    </row>
    <row r="4241" spans="47:47" ht="12" hidden="1" customHeight="1" x14ac:dyDescent="0.3">
      <c r="AU4241" s="45"/>
    </row>
    <row r="4242" spans="47:47" ht="12" hidden="1" customHeight="1" x14ac:dyDescent="0.3">
      <c r="AU4242" s="45"/>
    </row>
    <row r="4243" spans="47:47" ht="12" hidden="1" customHeight="1" x14ac:dyDescent="0.3">
      <c r="AU4243" s="45"/>
    </row>
    <row r="4244" spans="47:47" ht="12" hidden="1" customHeight="1" x14ac:dyDescent="0.3">
      <c r="AU4244" s="45"/>
    </row>
    <row r="4245" spans="47:47" ht="12" hidden="1" customHeight="1" x14ac:dyDescent="0.3">
      <c r="AU4245" s="45"/>
    </row>
    <row r="4246" spans="47:47" ht="12" hidden="1" customHeight="1" x14ac:dyDescent="0.3">
      <c r="AU4246" s="45"/>
    </row>
    <row r="4247" spans="47:47" ht="12" hidden="1" customHeight="1" x14ac:dyDescent="0.3">
      <c r="AU4247" s="45"/>
    </row>
    <row r="4248" spans="47:47" ht="12" hidden="1" customHeight="1" x14ac:dyDescent="0.3">
      <c r="AU4248" s="45"/>
    </row>
    <row r="4249" spans="47:47" ht="12" hidden="1" customHeight="1" x14ac:dyDescent="0.3">
      <c r="AU4249" s="45"/>
    </row>
    <row r="4250" spans="47:47" ht="12" hidden="1" customHeight="1" x14ac:dyDescent="0.3">
      <c r="AU4250" s="45"/>
    </row>
    <row r="4251" spans="47:47" ht="12" hidden="1" customHeight="1" x14ac:dyDescent="0.3">
      <c r="AU4251" s="45"/>
    </row>
    <row r="4252" spans="47:47" ht="12" hidden="1" customHeight="1" x14ac:dyDescent="0.3">
      <c r="AU4252" s="45"/>
    </row>
    <row r="4253" spans="47:47" ht="12" hidden="1" customHeight="1" x14ac:dyDescent="0.3">
      <c r="AU4253" s="45"/>
    </row>
    <row r="4254" spans="47:47" ht="12" hidden="1" customHeight="1" x14ac:dyDescent="0.3">
      <c r="AU4254" s="45"/>
    </row>
    <row r="4255" spans="47:47" ht="12" hidden="1" customHeight="1" x14ac:dyDescent="0.3">
      <c r="AU4255" s="45"/>
    </row>
    <row r="4256" spans="47:47" ht="12" hidden="1" customHeight="1" x14ac:dyDescent="0.3">
      <c r="AU4256" s="45"/>
    </row>
    <row r="4257" spans="47:47" ht="12" hidden="1" customHeight="1" x14ac:dyDescent="0.3">
      <c r="AU4257" s="45"/>
    </row>
    <row r="4258" spans="47:47" ht="12" hidden="1" customHeight="1" x14ac:dyDescent="0.3">
      <c r="AU4258" s="45"/>
    </row>
    <row r="4259" spans="47:47" ht="12" hidden="1" customHeight="1" x14ac:dyDescent="0.3">
      <c r="AU4259" s="45"/>
    </row>
    <row r="4260" spans="47:47" ht="12" hidden="1" customHeight="1" x14ac:dyDescent="0.3">
      <c r="AU4260" s="45"/>
    </row>
    <row r="4261" spans="47:47" ht="12" hidden="1" customHeight="1" x14ac:dyDescent="0.3">
      <c r="AU4261" s="45"/>
    </row>
    <row r="4262" spans="47:47" ht="12" hidden="1" customHeight="1" x14ac:dyDescent="0.3">
      <c r="AU4262" s="45"/>
    </row>
    <row r="4263" spans="47:47" ht="12" hidden="1" customHeight="1" x14ac:dyDescent="0.3">
      <c r="AU4263" s="45"/>
    </row>
    <row r="4264" spans="47:47" ht="12" hidden="1" customHeight="1" x14ac:dyDescent="0.3">
      <c r="AU4264" s="45"/>
    </row>
    <row r="4265" spans="47:47" ht="12" hidden="1" customHeight="1" x14ac:dyDescent="0.3">
      <c r="AU4265" s="45"/>
    </row>
    <row r="4266" spans="47:47" ht="12" hidden="1" customHeight="1" x14ac:dyDescent="0.3">
      <c r="AU4266" s="45"/>
    </row>
    <row r="4267" spans="47:47" ht="12" hidden="1" customHeight="1" x14ac:dyDescent="0.3">
      <c r="AU4267" s="45"/>
    </row>
    <row r="4268" spans="47:47" ht="12" hidden="1" customHeight="1" x14ac:dyDescent="0.3">
      <c r="AU4268" s="45"/>
    </row>
    <row r="4269" spans="47:47" ht="12" hidden="1" customHeight="1" x14ac:dyDescent="0.3">
      <c r="AU4269" s="45"/>
    </row>
    <row r="4270" spans="47:47" ht="12" hidden="1" customHeight="1" x14ac:dyDescent="0.3">
      <c r="AU4270" s="45"/>
    </row>
    <row r="4271" spans="47:47" ht="12" hidden="1" customHeight="1" x14ac:dyDescent="0.3">
      <c r="AU4271" s="45"/>
    </row>
    <row r="4272" spans="47:47" ht="12" hidden="1" customHeight="1" x14ac:dyDescent="0.3">
      <c r="AU4272" s="45"/>
    </row>
    <row r="4273" spans="47:47" ht="12" hidden="1" customHeight="1" x14ac:dyDescent="0.3">
      <c r="AU4273" s="45"/>
    </row>
    <row r="4274" spans="47:47" ht="12" hidden="1" customHeight="1" x14ac:dyDescent="0.3">
      <c r="AU4274" s="45"/>
    </row>
    <row r="4275" spans="47:47" ht="12" hidden="1" customHeight="1" x14ac:dyDescent="0.3">
      <c r="AU4275" s="45"/>
    </row>
    <row r="4276" spans="47:47" ht="12" hidden="1" customHeight="1" x14ac:dyDescent="0.3">
      <c r="AU4276" s="45"/>
    </row>
    <row r="4277" spans="47:47" ht="12" hidden="1" customHeight="1" x14ac:dyDescent="0.3">
      <c r="AU4277" s="45"/>
    </row>
    <row r="4278" spans="47:47" ht="12" hidden="1" customHeight="1" x14ac:dyDescent="0.3">
      <c r="AU4278" s="45"/>
    </row>
    <row r="4279" spans="47:47" ht="12" hidden="1" customHeight="1" x14ac:dyDescent="0.3">
      <c r="AU4279" s="45"/>
    </row>
    <row r="4280" spans="47:47" ht="12" hidden="1" customHeight="1" x14ac:dyDescent="0.3">
      <c r="AU4280" s="45"/>
    </row>
    <row r="4281" spans="47:47" ht="12" hidden="1" customHeight="1" x14ac:dyDescent="0.3">
      <c r="AU4281" s="45"/>
    </row>
    <row r="4282" spans="47:47" ht="12" hidden="1" customHeight="1" x14ac:dyDescent="0.3">
      <c r="AU4282" s="45"/>
    </row>
    <row r="4283" spans="47:47" ht="12" hidden="1" customHeight="1" x14ac:dyDescent="0.3">
      <c r="AU4283" s="45"/>
    </row>
    <row r="4284" spans="47:47" ht="12" hidden="1" customHeight="1" x14ac:dyDescent="0.3">
      <c r="AU4284" s="45"/>
    </row>
    <row r="4285" spans="47:47" ht="12" hidden="1" customHeight="1" x14ac:dyDescent="0.3">
      <c r="AU4285" s="45"/>
    </row>
    <row r="4286" spans="47:47" ht="12" hidden="1" customHeight="1" x14ac:dyDescent="0.3">
      <c r="AU4286" s="45"/>
    </row>
    <row r="4287" spans="47:47" ht="12" hidden="1" customHeight="1" x14ac:dyDescent="0.3">
      <c r="AU4287" s="45"/>
    </row>
    <row r="4288" spans="47:47" ht="12" hidden="1" customHeight="1" x14ac:dyDescent="0.3">
      <c r="AU4288" s="45"/>
    </row>
    <row r="4289" spans="47:47" ht="12" hidden="1" customHeight="1" x14ac:dyDescent="0.3">
      <c r="AU4289" s="45"/>
    </row>
    <row r="4290" spans="47:47" ht="12" hidden="1" customHeight="1" x14ac:dyDescent="0.3">
      <c r="AU4290" s="45"/>
    </row>
    <row r="4291" spans="47:47" ht="12" hidden="1" customHeight="1" x14ac:dyDescent="0.3">
      <c r="AU4291" s="45"/>
    </row>
    <row r="4292" spans="47:47" ht="12" hidden="1" customHeight="1" x14ac:dyDescent="0.3">
      <c r="AU4292" s="45"/>
    </row>
    <row r="4293" spans="47:47" ht="12" hidden="1" customHeight="1" x14ac:dyDescent="0.3">
      <c r="AU4293" s="45"/>
    </row>
    <row r="4294" spans="47:47" ht="12" hidden="1" customHeight="1" x14ac:dyDescent="0.3">
      <c r="AU4294" s="45"/>
    </row>
    <row r="4295" spans="47:47" ht="12" hidden="1" customHeight="1" x14ac:dyDescent="0.3">
      <c r="AU4295" s="45"/>
    </row>
    <row r="4296" spans="47:47" ht="12" hidden="1" customHeight="1" x14ac:dyDescent="0.3">
      <c r="AU4296" s="45"/>
    </row>
    <row r="4297" spans="47:47" ht="12" hidden="1" customHeight="1" x14ac:dyDescent="0.3">
      <c r="AU4297" s="45"/>
    </row>
    <row r="4298" spans="47:47" ht="12" hidden="1" customHeight="1" x14ac:dyDescent="0.3">
      <c r="AU4298" s="45"/>
    </row>
    <row r="4299" spans="47:47" ht="12" hidden="1" customHeight="1" x14ac:dyDescent="0.3">
      <c r="AU4299" s="45"/>
    </row>
    <row r="4300" spans="47:47" ht="12" hidden="1" customHeight="1" x14ac:dyDescent="0.3">
      <c r="AU4300" s="45"/>
    </row>
    <row r="4301" spans="47:47" ht="12" hidden="1" customHeight="1" x14ac:dyDescent="0.3">
      <c r="AU4301" s="45"/>
    </row>
    <row r="4302" spans="47:47" ht="12" hidden="1" customHeight="1" x14ac:dyDescent="0.3">
      <c r="AU4302" s="45"/>
    </row>
    <row r="4303" spans="47:47" ht="12" hidden="1" customHeight="1" x14ac:dyDescent="0.3">
      <c r="AU4303" s="45"/>
    </row>
    <row r="4304" spans="47:47" ht="12" hidden="1" customHeight="1" x14ac:dyDescent="0.3">
      <c r="AU4304" s="45"/>
    </row>
    <row r="4305" spans="47:47" ht="12" hidden="1" customHeight="1" x14ac:dyDescent="0.3">
      <c r="AU4305" s="45"/>
    </row>
    <row r="4306" spans="47:47" ht="12" hidden="1" customHeight="1" x14ac:dyDescent="0.3">
      <c r="AU4306" s="45"/>
    </row>
    <row r="4307" spans="47:47" ht="12" hidden="1" customHeight="1" x14ac:dyDescent="0.3">
      <c r="AU4307" s="45"/>
    </row>
    <row r="4308" spans="47:47" ht="12" hidden="1" customHeight="1" x14ac:dyDescent="0.3">
      <c r="AU4308" s="45"/>
    </row>
    <row r="4309" spans="47:47" ht="12" hidden="1" customHeight="1" x14ac:dyDescent="0.3">
      <c r="AU4309" s="45"/>
    </row>
    <row r="4310" spans="47:47" ht="12" hidden="1" customHeight="1" x14ac:dyDescent="0.3">
      <c r="AU4310" s="45"/>
    </row>
    <row r="4311" spans="47:47" ht="12" hidden="1" customHeight="1" x14ac:dyDescent="0.3">
      <c r="AU4311" s="45"/>
    </row>
    <row r="4312" spans="47:47" ht="12" hidden="1" customHeight="1" x14ac:dyDescent="0.3">
      <c r="AU4312" s="45"/>
    </row>
    <row r="4313" spans="47:47" ht="12" hidden="1" customHeight="1" x14ac:dyDescent="0.3">
      <c r="AU4313" s="45"/>
    </row>
    <row r="4314" spans="47:47" ht="12" hidden="1" customHeight="1" x14ac:dyDescent="0.3">
      <c r="AU4314" s="45"/>
    </row>
    <row r="4315" spans="47:47" ht="12" hidden="1" customHeight="1" x14ac:dyDescent="0.3">
      <c r="AU4315" s="45"/>
    </row>
    <row r="4316" spans="47:47" ht="12" hidden="1" customHeight="1" x14ac:dyDescent="0.3">
      <c r="AU4316" s="45"/>
    </row>
    <row r="4317" spans="47:47" ht="12" hidden="1" customHeight="1" x14ac:dyDescent="0.3">
      <c r="AU4317" s="45"/>
    </row>
    <row r="4318" spans="47:47" ht="12" hidden="1" customHeight="1" x14ac:dyDescent="0.3">
      <c r="AU4318" s="45"/>
    </row>
    <row r="4319" spans="47:47" ht="12" hidden="1" customHeight="1" x14ac:dyDescent="0.3">
      <c r="AU4319" s="45"/>
    </row>
    <row r="4320" spans="47:47" ht="12" hidden="1" customHeight="1" x14ac:dyDescent="0.3">
      <c r="AU4320" s="45"/>
    </row>
    <row r="4321" spans="47:47" ht="12" hidden="1" customHeight="1" x14ac:dyDescent="0.3">
      <c r="AU4321" s="45"/>
    </row>
    <row r="4322" spans="47:47" ht="12" hidden="1" customHeight="1" x14ac:dyDescent="0.3">
      <c r="AU4322" s="45"/>
    </row>
    <row r="4323" spans="47:47" ht="12" hidden="1" customHeight="1" x14ac:dyDescent="0.3">
      <c r="AU4323" s="45"/>
    </row>
    <row r="4324" spans="47:47" ht="12" hidden="1" customHeight="1" x14ac:dyDescent="0.3">
      <c r="AU4324" s="45"/>
    </row>
    <row r="4325" spans="47:47" ht="12" hidden="1" customHeight="1" x14ac:dyDescent="0.3">
      <c r="AU4325" s="45"/>
    </row>
    <row r="4326" spans="47:47" ht="12" hidden="1" customHeight="1" x14ac:dyDescent="0.3">
      <c r="AU4326" s="45"/>
    </row>
    <row r="4327" spans="47:47" ht="12" hidden="1" customHeight="1" x14ac:dyDescent="0.3">
      <c r="AU4327" s="45"/>
    </row>
    <row r="4328" spans="47:47" ht="12" hidden="1" customHeight="1" x14ac:dyDescent="0.3">
      <c r="AU4328" s="45"/>
    </row>
    <row r="4329" spans="47:47" ht="12" hidden="1" customHeight="1" x14ac:dyDescent="0.3">
      <c r="AU4329" s="45"/>
    </row>
    <row r="4330" spans="47:47" ht="12" hidden="1" customHeight="1" x14ac:dyDescent="0.3">
      <c r="AU4330" s="45"/>
    </row>
    <row r="4331" spans="47:47" ht="12" hidden="1" customHeight="1" x14ac:dyDescent="0.3">
      <c r="AU4331" s="45"/>
    </row>
    <row r="4332" spans="47:47" ht="12" hidden="1" customHeight="1" x14ac:dyDescent="0.3">
      <c r="AU4332" s="45"/>
    </row>
    <row r="4333" spans="47:47" ht="12" hidden="1" customHeight="1" x14ac:dyDescent="0.3">
      <c r="AU4333" s="45"/>
    </row>
    <row r="4334" spans="47:47" ht="12" hidden="1" customHeight="1" x14ac:dyDescent="0.3">
      <c r="AU4334" s="45"/>
    </row>
    <row r="4335" spans="47:47" ht="12" hidden="1" customHeight="1" x14ac:dyDescent="0.3">
      <c r="AU4335" s="45"/>
    </row>
    <row r="4336" spans="47:47" ht="12" hidden="1" customHeight="1" x14ac:dyDescent="0.3">
      <c r="AU4336" s="45"/>
    </row>
    <row r="4337" spans="47:47" ht="12" hidden="1" customHeight="1" x14ac:dyDescent="0.3">
      <c r="AU4337" s="45"/>
    </row>
    <row r="4338" spans="47:47" ht="12" hidden="1" customHeight="1" x14ac:dyDescent="0.3">
      <c r="AU4338" s="45"/>
    </row>
    <row r="4339" spans="47:47" ht="12" hidden="1" customHeight="1" x14ac:dyDescent="0.3">
      <c r="AU4339" s="45"/>
    </row>
    <row r="4340" spans="47:47" ht="12" hidden="1" customHeight="1" x14ac:dyDescent="0.3">
      <c r="AU4340" s="45"/>
    </row>
    <row r="4341" spans="47:47" ht="12" hidden="1" customHeight="1" x14ac:dyDescent="0.3">
      <c r="AU4341" s="45"/>
    </row>
    <row r="4342" spans="47:47" ht="12" hidden="1" customHeight="1" x14ac:dyDescent="0.3">
      <c r="AU4342" s="45"/>
    </row>
    <row r="4343" spans="47:47" ht="12" hidden="1" customHeight="1" x14ac:dyDescent="0.3">
      <c r="AU4343" s="45"/>
    </row>
    <row r="4344" spans="47:47" ht="12" hidden="1" customHeight="1" x14ac:dyDescent="0.3">
      <c r="AU4344" s="45"/>
    </row>
    <row r="4345" spans="47:47" ht="12" hidden="1" customHeight="1" x14ac:dyDescent="0.3">
      <c r="AU4345" s="45"/>
    </row>
    <row r="4346" spans="47:47" ht="12" hidden="1" customHeight="1" x14ac:dyDescent="0.3">
      <c r="AU4346" s="45"/>
    </row>
    <row r="4347" spans="47:47" ht="12" hidden="1" customHeight="1" x14ac:dyDescent="0.3">
      <c r="AU4347" s="45"/>
    </row>
    <row r="4348" spans="47:47" ht="12" hidden="1" customHeight="1" x14ac:dyDescent="0.3">
      <c r="AU4348" s="45"/>
    </row>
    <row r="4349" spans="47:47" ht="12" hidden="1" customHeight="1" x14ac:dyDescent="0.3">
      <c r="AU4349" s="45"/>
    </row>
    <row r="4350" spans="47:47" ht="12" hidden="1" customHeight="1" x14ac:dyDescent="0.3">
      <c r="AU4350" s="45"/>
    </row>
    <row r="4351" spans="47:47" ht="12" hidden="1" customHeight="1" x14ac:dyDescent="0.3">
      <c r="AU4351" s="45"/>
    </row>
    <row r="4352" spans="47:47" ht="12" hidden="1" customHeight="1" x14ac:dyDescent="0.3">
      <c r="AU4352" s="45"/>
    </row>
    <row r="4353" spans="47:47" ht="12" hidden="1" customHeight="1" x14ac:dyDescent="0.3">
      <c r="AU4353" s="45"/>
    </row>
    <row r="4354" spans="47:47" ht="12" hidden="1" customHeight="1" x14ac:dyDescent="0.3">
      <c r="AU4354" s="45"/>
    </row>
    <row r="4355" spans="47:47" ht="12" hidden="1" customHeight="1" x14ac:dyDescent="0.3">
      <c r="AU4355" s="45"/>
    </row>
    <row r="4356" spans="47:47" ht="12" hidden="1" customHeight="1" x14ac:dyDescent="0.3">
      <c r="AU4356" s="45"/>
    </row>
    <row r="4357" spans="47:47" ht="12" hidden="1" customHeight="1" x14ac:dyDescent="0.3">
      <c r="AU4357" s="45"/>
    </row>
    <row r="4358" spans="47:47" ht="12" hidden="1" customHeight="1" x14ac:dyDescent="0.3">
      <c r="AU4358" s="45"/>
    </row>
    <row r="4359" spans="47:47" ht="12" hidden="1" customHeight="1" x14ac:dyDescent="0.3">
      <c r="AU4359" s="45"/>
    </row>
    <row r="4360" spans="47:47" ht="12" hidden="1" customHeight="1" x14ac:dyDescent="0.3">
      <c r="AU4360" s="45"/>
    </row>
    <row r="4361" spans="47:47" ht="12" hidden="1" customHeight="1" x14ac:dyDescent="0.3">
      <c r="AU4361" s="45"/>
    </row>
    <row r="4362" spans="47:47" ht="12" hidden="1" customHeight="1" x14ac:dyDescent="0.3">
      <c r="AU4362" s="45"/>
    </row>
    <row r="4363" spans="47:47" ht="12" hidden="1" customHeight="1" x14ac:dyDescent="0.3">
      <c r="AU4363" s="45"/>
    </row>
    <row r="4364" spans="47:47" ht="12" hidden="1" customHeight="1" x14ac:dyDescent="0.3">
      <c r="AU4364" s="45"/>
    </row>
    <row r="4365" spans="47:47" ht="12" hidden="1" customHeight="1" x14ac:dyDescent="0.3">
      <c r="AU4365" s="45"/>
    </row>
    <row r="4366" spans="47:47" ht="12" hidden="1" customHeight="1" x14ac:dyDescent="0.3">
      <c r="AU4366" s="45"/>
    </row>
    <row r="4367" spans="47:47" ht="12" hidden="1" customHeight="1" x14ac:dyDescent="0.3">
      <c r="AU4367" s="45"/>
    </row>
    <row r="4368" spans="47:47" ht="12" hidden="1" customHeight="1" x14ac:dyDescent="0.3">
      <c r="AU4368" s="45"/>
    </row>
    <row r="4369" spans="47:47" ht="12" hidden="1" customHeight="1" x14ac:dyDescent="0.3">
      <c r="AU4369" s="45"/>
    </row>
    <row r="4370" spans="47:47" ht="12" hidden="1" customHeight="1" x14ac:dyDescent="0.3">
      <c r="AU4370" s="45"/>
    </row>
    <row r="4371" spans="47:47" ht="12" hidden="1" customHeight="1" x14ac:dyDescent="0.3">
      <c r="AU4371" s="45"/>
    </row>
    <row r="4372" spans="47:47" ht="12" hidden="1" customHeight="1" x14ac:dyDescent="0.3">
      <c r="AU4372" s="45"/>
    </row>
    <row r="4373" spans="47:47" ht="12" hidden="1" customHeight="1" x14ac:dyDescent="0.3">
      <c r="AU4373" s="45"/>
    </row>
    <row r="4374" spans="47:47" ht="12" hidden="1" customHeight="1" x14ac:dyDescent="0.3">
      <c r="AU4374" s="45"/>
    </row>
    <row r="4375" spans="47:47" ht="12" hidden="1" customHeight="1" x14ac:dyDescent="0.3">
      <c r="AU4375" s="45"/>
    </row>
    <row r="4376" spans="47:47" ht="12" hidden="1" customHeight="1" x14ac:dyDescent="0.3">
      <c r="AU4376" s="45"/>
    </row>
    <row r="4377" spans="47:47" ht="12" hidden="1" customHeight="1" x14ac:dyDescent="0.3">
      <c r="AU4377" s="45"/>
    </row>
    <row r="4378" spans="47:47" ht="12" hidden="1" customHeight="1" x14ac:dyDescent="0.3">
      <c r="AU4378" s="45"/>
    </row>
    <row r="4379" spans="47:47" ht="12" hidden="1" customHeight="1" x14ac:dyDescent="0.3">
      <c r="AU4379" s="45"/>
    </row>
    <row r="4380" spans="47:47" ht="12" hidden="1" customHeight="1" x14ac:dyDescent="0.3">
      <c r="AU4380" s="45"/>
    </row>
    <row r="4381" spans="47:47" ht="12" hidden="1" customHeight="1" x14ac:dyDescent="0.3">
      <c r="AU4381" s="45"/>
    </row>
    <row r="4382" spans="47:47" ht="12" hidden="1" customHeight="1" x14ac:dyDescent="0.3">
      <c r="AU4382" s="45"/>
    </row>
    <row r="4383" spans="47:47" ht="12" hidden="1" customHeight="1" x14ac:dyDescent="0.3">
      <c r="AU4383" s="45"/>
    </row>
    <row r="4384" spans="47:47" ht="12" hidden="1" customHeight="1" x14ac:dyDescent="0.3">
      <c r="AU4384" s="45"/>
    </row>
    <row r="4385" spans="47:47" ht="12" hidden="1" customHeight="1" x14ac:dyDescent="0.3">
      <c r="AU4385" s="45"/>
    </row>
    <row r="4386" spans="47:47" ht="12" hidden="1" customHeight="1" x14ac:dyDescent="0.3">
      <c r="AU4386" s="45"/>
    </row>
    <row r="4387" spans="47:47" ht="12" hidden="1" customHeight="1" x14ac:dyDescent="0.3">
      <c r="AU4387" s="45"/>
    </row>
    <row r="4388" spans="47:47" ht="12" hidden="1" customHeight="1" x14ac:dyDescent="0.3">
      <c r="AU4388" s="45"/>
    </row>
    <row r="4389" spans="47:47" ht="12" hidden="1" customHeight="1" x14ac:dyDescent="0.3">
      <c r="AU4389" s="45"/>
    </row>
    <row r="4390" spans="47:47" ht="12" hidden="1" customHeight="1" x14ac:dyDescent="0.3">
      <c r="AU4390" s="45"/>
    </row>
    <row r="4391" spans="47:47" ht="12" hidden="1" customHeight="1" x14ac:dyDescent="0.3">
      <c r="AU4391" s="45"/>
    </row>
    <row r="4392" spans="47:47" ht="12" hidden="1" customHeight="1" x14ac:dyDescent="0.3">
      <c r="AU4392" s="45"/>
    </row>
    <row r="4393" spans="47:47" ht="12" hidden="1" customHeight="1" x14ac:dyDescent="0.3">
      <c r="AU4393" s="45"/>
    </row>
    <row r="4394" spans="47:47" ht="12" hidden="1" customHeight="1" x14ac:dyDescent="0.3">
      <c r="AU4394" s="45"/>
    </row>
    <row r="4395" spans="47:47" ht="12" hidden="1" customHeight="1" x14ac:dyDescent="0.3">
      <c r="AU4395" s="45"/>
    </row>
    <row r="4396" spans="47:47" ht="12" hidden="1" customHeight="1" x14ac:dyDescent="0.3">
      <c r="AU4396" s="45"/>
    </row>
    <row r="4397" spans="47:47" ht="12" hidden="1" customHeight="1" x14ac:dyDescent="0.3">
      <c r="AU4397" s="45"/>
    </row>
    <row r="4398" spans="47:47" ht="12" hidden="1" customHeight="1" x14ac:dyDescent="0.3">
      <c r="AU4398" s="45"/>
    </row>
    <row r="4399" spans="47:47" ht="12" hidden="1" customHeight="1" x14ac:dyDescent="0.3">
      <c r="AU4399" s="45"/>
    </row>
    <row r="4400" spans="47:47" ht="12" hidden="1" customHeight="1" x14ac:dyDescent="0.3">
      <c r="AU4400" s="45"/>
    </row>
    <row r="4401" spans="47:47" ht="12" hidden="1" customHeight="1" x14ac:dyDescent="0.3">
      <c r="AU4401" s="45"/>
    </row>
    <row r="4402" spans="47:47" ht="12" hidden="1" customHeight="1" x14ac:dyDescent="0.3">
      <c r="AU4402" s="45"/>
    </row>
    <row r="4403" spans="47:47" ht="12" hidden="1" customHeight="1" x14ac:dyDescent="0.3">
      <c r="AU4403" s="45"/>
    </row>
    <row r="4404" spans="47:47" ht="12" hidden="1" customHeight="1" x14ac:dyDescent="0.3">
      <c r="AU4404" s="45"/>
    </row>
    <row r="4405" spans="47:47" ht="12" hidden="1" customHeight="1" x14ac:dyDescent="0.3">
      <c r="AU4405" s="45"/>
    </row>
    <row r="4406" spans="47:47" ht="12" hidden="1" customHeight="1" x14ac:dyDescent="0.3">
      <c r="AU4406" s="45"/>
    </row>
    <row r="4407" spans="47:47" ht="12" hidden="1" customHeight="1" x14ac:dyDescent="0.3">
      <c r="AU4407" s="45"/>
    </row>
    <row r="4408" spans="47:47" ht="12" hidden="1" customHeight="1" x14ac:dyDescent="0.3">
      <c r="AU4408" s="45"/>
    </row>
    <row r="4409" spans="47:47" ht="12" hidden="1" customHeight="1" x14ac:dyDescent="0.3">
      <c r="AU4409" s="45"/>
    </row>
    <row r="4410" spans="47:47" ht="12" hidden="1" customHeight="1" x14ac:dyDescent="0.3">
      <c r="AU4410" s="45"/>
    </row>
    <row r="4411" spans="47:47" ht="12" hidden="1" customHeight="1" x14ac:dyDescent="0.3">
      <c r="AU4411" s="45"/>
    </row>
    <row r="4412" spans="47:47" ht="12" hidden="1" customHeight="1" x14ac:dyDescent="0.3">
      <c r="AU4412" s="45"/>
    </row>
    <row r="4413" spans="47:47" ht="12" hidden="1" customHeight="1" x14ac:dyDescent="0.3">
      <c r="AU4413" s="45"/>
    </row>
    <row r="4414" spans="47:47" ht="12" hidden="1" customHeight="1" x14ac:dyDescent="0.3">
      <c r="AU4414" s="45"/>
    </row>
    <row r="4415" spans="47:47" ht="12" hidden="1" customHeight="1" x14ac:dyDescent="0.3">
      <c r="AU4415" s="45"/>
    </row>
    <row r="4416" spans="47:47" ht="12" hidden="1" customHeight="1" x14ac:dyDescent="0.3">
      <c r="AU4416" s="45"/>
    </row>
    <row r="4417" spans="47:47" ht="12" hidden="1" customHeight="1" x14ac:dyDescent="0.3">
      <c r="AU4417" s="45"/>
    </row>
    <row r="4418" spans="47:47" ht="12" hidden="1" customHeight="1" x14ac:dyDescent="0.3">
      <c r="AU4418" s="45"/>
    </row>
    <row r="4419" spans="47:47" ht="12" hidden="1" customHeight="1" x14ac:dyDescent="0.3">
      <c r="AU4419" s="45"/>
    </row>
    <row r="4420" spans="47:47" ht="12" hidden="1" customHeight="1" x14ac:dyDescent="0.3">
      <c r="AU4420" s="45"/>
    </row>
    <row r="4421" spans="47:47" ht="12" hidden="1" customHeight="1" x14ac:dyDescent="0.3">
      <c r="AU4421" s="45"/>
    </row>
    <row r="4422" spans="47:47" ht="12" hidden="1" customHeight="1" x14ac:dyDescent="0.3">
      <c r="AU4422" s="45"/>
    </row>
    <row r="4423" spans="47:47" ht="12" hidden="1" customHeight="1" x14ac:dyDescent="0.3">
      <c r="AU4423" s="45"/>
    </row>
    <row r="4424" spans="47:47" ht="12" hidden="1" customHeight="1" x14ac:dyDescent="0.3">
      <c r="AU4424" s="45"/>
    </row>
    <row r="4425" spans="47:47" ht="12" hidden="1" customHeight="1" x14ac:dyDescent="0.3">
      <c r="AU4425" s="45"/>
    </row>
    <row r="4426" spans="47:47" ht="12" hidden="1" customHeight="1" x14ac:dyDescent="0.3">
      <c r="AU4426" s="45"/>
    </row>
    <row r="4427" spans="47:47" ht="12" hidden="1" customHeight="1" x14ac:dyDescent="0.3">
      <c r="AU4427" s="45"/>
    </row>
    <row r="4428" spans="47:47" ht="12" hidden="1" customHeight="1" x14ac:dyDescent="0.3">
      <c r="AU4428" s="45"/>
    </row>
    <row r="4429" spans="47:47" ht="12" hidden="1" customHeight="1" x14ac:dyDescent="0.3">
      <c r="AU4429" s="45"/>
    </row>
    <row r="4430" spans="47:47" ht="12" hidden="1" customHeight="1" x14ac:dyDescent="0.3">
      <c r="AU4430" s="45"/>
    </row>
    <row r="4431" spans="47:47" ht="12" hidden="1" customHeight="1" x14ac:dyDescent="0.3">
      <c r="AU4431" s="45"/>
    </row>
    <row r="4432" spans="47:47" ht="12" hidden="1" customHeight="1" x14ac:dyDescent="0.3">
      <c r="AU4432" s="45"/>
    </row>
    <row r="4433" spans="47:47" ht="12" hidden="1" customHeight="1" x14ac:dyDescent="0.3">
      <c r="AU4433" s="45"/>
    </row>
    <row r="4434" spans="47:47" ht="12" hidden="1" customHeight="1" x14ac:dyDescent="0.3">
      <c r="AU4434" s="45"/>
    </row>
    <row r="4435" spans="47:47" ht="12" hidden="1" customHeight="1" x14ac:dyDescent="0.3">
      <c r="AU4435" s="45"/>
    </row>
    <row r="4436" spans="47:47" ht="12" hidden="1" customHeight="1" x14ac:dyDescent="0.3">
      <c r="AU4436" s="45"/>
    </row>
    <row r="4437" spans="47:47" ht="12" hidden="1" customHeight="1" x14ac:dyDescent="0.3">
      <c r="AU4437" s="45"/>
    </row>
    <row r="4438" spans="47:47" ht="12" hidden="1" customHeight="1" x14ac:dyDescent="0.3">
      <c r="AU4438" s="45"/>
    </row>
    <row r="4439" spans="47:47" ht="12" hidden="1" customHeight="1" x14ac:dyDescent="0.3">
      <c r="AU4439" s="45"/>
    </row>
    <row r="4440" spans="47:47" ht="12" hidden="1" customHeight="1" x14ac:dyDescent="0.3">
      <c r="AU4440" s="45"/>
    </row>
    <row r="4441" spans="47:47" ht="12" hidden="1" customHeight="1" x14ac:dyDescent="0.3">
      <c r="AU4441" s="45"/>
    </row>
    <row r="4442" spans="47:47" ht="12" hidden="1" customHeight="1" x14ac:dyDescent="0.3">
      <c r="AU4442" s="45"/>
    </row>
    <row r="4443" spans="47:47" ht="12" hidden="1" customHeight="1" x14ac:dyDescent="0.3">
      <c r="AU4443" s="45"/>
    </row>
    <row r="4444" spans="47:47" ht="12" hidden="1" customHeight="1" x14ac:dyDescent="0.3">
      <c r="AU4444" s="45"/>
    </row>
    <row r="4445" spans="47:47" ht="12" hidden="1" customHeight="1" x14ac:dyDescent="0.3">
      <c r="AU4445" s="45"/>
    </row>
    <row r="4446" spans="47:47" ht="12" hidden="1" customHeight="1" x14ac:dyDescent="0.3">
      <c r="AU4446" s="45"/>
    </row>
    <row r="4447" spans="47:47" ht="12" hidden="1" customHeight="1" x14ac:dyDescent="0.3">
      <c r="AU4447" s="45"/>
    </row>
    <row r="4448" spans="47:47" ht="12" hidden="1" customHeight="1" x14ac:dyDescent="0.3">
      <c r="AU4448" s="45"/>
    </row>
    <row r="4449" spans="47:47" ht="12" hidden="1" customHeight="1" x14ac:dyDescent="0.3">
      <c r="AU4449" s="45"/>
    </row>
    <row r="4450" spans="47:47" ht="12" hidden="1" customHeight="1" x14ac:dyDescent="0.3">
      <c r="AU4450" s="45"/>
    </row>
    <row r="4451" spans="47:47" ht="12" hidden="1" customHeight="1" x14ac:dyDescent="0.3">
      <c r="AU4451" s="45"/>
    </row>
    <row r="4452" spans="47:47" ht="12" hidden="1" customHeight="1" x14ac:dyDescent="0.3">
      <c r="AU4452" s="45"/>
    </row>
    <row r="4453" spans="47:47" ht="12" hidden="1" customHeight="1" x14ac:dyDescent="0.3">
      <c r="AU4453" s="45"/>
    </row>
    <row r="4454" spans="47:47" ht="12" hidden="1" customHeight="1" x14ac:dyDescent="0.3">
      <c r="AU4454" s="45"/>
    </row>
    <row r="4455" spans="47:47" ht="12" hidden="1" customHeight="1" x14ac:dyDescent="0.3">
      <c r="AU4455" s="45"/>
    </row>
    <row r="4456" spans="47:47" ht="12" hidden="1" customHeight="1" x14ac:dyDescent="0.3">
      <c r="AU4456" s="45"/>
    </row>
    <row r="4457" spans="47:47" ht="12" hidden="1" customHeight="1" x14ac:dyDescent="0.3">
      <c r="AU4457" s="45"/>
    </row>
    <row r="4458" spans="47:47" ht="12" hidden="1" customHeight="1" x14ac:dyDescent="0.3">
      <c r="AU4458" s="45"/>
    </row>
    <row r="4459" spans="47:47" ht="12" hidden="1" customHeight="1" x14ac:dyDescent="0.3">
      <c r="AU4459" s="45"/>
    </row>
    <row r="4460" spans="47:47" ht="12" hidden="1" customHeight="1" x14ac:dyDescent="0.3">
      <c r="AU4460" s="45"/>
    </row>
    <row r="4461" spans="47:47" ht="12" hidden="1" customHeight="1" x14ac:dyDescent="0.3">
      <c r="AU4461" s="45"/>
    </row>
    <row r="4462" spans="47:47" ht="12" hidden="1" customHeight="1" x14ac:dyDescent="0.3">
      <c r="AU4462" s="45"/>
    </row>
    <row r="4463" spans="47:47" ht="12" hidden="1" customHeight="1" x14ac:dyDescent="0.3">
      <c r="AU4463" s="45"/>
    </row>
    <row r="4464" spans="47:47" ht="12" hidden="1" customHeight="1" x14ac:dyDescent="0.3">
      <c r="AU4464" s="45"/>
    </row>
    <row r="4465" spans="47:47" ht="12" hidden="1" customHeight="1" x14ac:dyDescent="0.3">
      <c r="AU4465" s="45"/>
    </row>
    <row r="4466" spans="47:47" ht="12" hidden="1" customHeight="1" x14ac:dyDescent="0.3">
      <c r="AU4466" s="45"/>
    </row>
    <row r="4467" spans="47:47" ht="12" hidden="1" customHeight="1" x14ac:dyDescent="0.3">
      <c r="AU4467" s="45"/>
    </row>
    <row r="4468" spans="47:47" ht="12" hidden="1" customHeight="1" x14ac:dyDescent="0.3">
      <c r="AU4468" s="45"/>
    </row>
    <row r="4469" spans="47:47" ht="12" hidden="1" customHeight="1" x14ac:dyDescent="0.3">
      <c r="AU4469" s="45"/>
    </row>
    <row r="4470" spans="47:47" ht="12" hidden="1" customHeight="1" x14ac:dyDescent="0.3">
      <c r="AU4470" s="45"/>
    </row>
    <row r="4471" spans="47:47" ht="12" hidden="1" customHeight="1" x14ac:dyDescent="0.3">
      <c r="AU4471" s="45"/>
    </row>
    <row r="4472" spans="47:47" ht="12" hidden="1" customHeight="1" x14ac:dyDescent="0.3">
      <c r="AU4472" s="45"/>
    </row>
    <row r="4473" spans="47:47" ht="12" hidden="1" customHeight="1" x14ac:dyDescent="0.3">
      <c r="AU4473" s="45"/>
    </row>
    <row r="4474" spans="47:47" ht="12" hidden="1" customHeight="1" x14ac:dyDescent="0.3">
      <c r="AU4474" s="45"/>
    </row>
    <row r="4475" spans="47:47" ht="12" hidden="1" customHeight="1" x14ac:dyDescent="0.3">
      <c r="AU4475" s="45"/>
    </row>
    <row r="4476" spans="47:47" ht="12" hidden="1" customHeight="1" x14ac:dyDescent="0.3">
      <c r="AU4476" s="45"/>
    </row>
    <row r="4477" spans="47:47" ht="12" hidden="1" customHeight="1" x14ac:dyDescent="0.3">
      <c r="AU4477" s="45"/>
    </row>
    <row r="4478" spans="47:47" ht="12" hidden="1" customHeight="1" x14ac:dyDescent="0.3">
      <c r="AU4478" s="45"/>
    </row>
    <row r="4479" spans="47:47" ht="12" hidden="1" customHeight="1" x14ac:dyDescent="0.3">
      <c r="AU4479" s="45"/>
    </row>
    <row r="4480" spans="47:47" ht="12" hidden="1" customHeight="1" x14ac:dyDescent="0.3">
      <c r="AU4480" s="45"/>
    </row>
    <row r="4481" spans="47:47" ht="12" hidden="1" customHeight="1" x14ac:dyDescent="0.3">
      <c r="AU4481" s="45"/>
    </row>
    <row r="4482" spans="47:47" ht="12" hidden="1" customHeight="1" x14ac:dyDescent="0.3">
      <c r="AU4482" s="45"/>
    </row>
    <row r="4483" spans="47:47" ht="12" hidden="1" customHeight="1" x14ac:dyDescent="0.3">
      <c r="AU4483" s="45"/>
    </row>
    <row r="4484" spans="47:47" ht="12" hidden="1" customHeight="1" x14ac:dyDescent="0.3">
      <c r="AU4484" s="45"/>
    </row>
    <row r="4485" spans="47:47" ht="12" hidden="1" customHeight="1" x14ac:dyDescent="0.3">
      <c r="AU4485" s="45"/>
    </row>
    <row r="4486" spans="47:47" ht="12" hidden="1" customHeight="1" x14ac:dyDescent="0.3">
      <c r="AU4486" s="45"/>
    </row>
    <row r="4487" spans="47:47" ht="12" hidden="1" customHeight="1" x14ac:dyDescent="0.3">
      <c r="AU4487" s="45"/>
    </row>
    <row r="4488" spans="47:47" ht="12" hidden="1" customHeight="1" x14ac:dyDescent="0.3">
      <c r="AU4488" s="45"/>
    </row>
    <row r="4489" spans="47:47" ht="12" hidden="1" customHeight="1" x14ac:dyDescent="0.3">
      <c r="AU4489" s="45"/>
    </row>
    <row r="4490" spans="47:47" ht="12" hidden="1" customHeight="1" x14ac:dyDescent="0.3">
      <c r="AU4490" s="45"/>
    </row>
    <row r="4491" spans="47:47" ht="12" hidden="1" customHeight="1" x14ac:dyDescent="0.3">
      <c r="AU4491" s="45"/>
    </row>
    <row r="4492" spans="47:47" ht="12" hidden="1" customHeight="1" x14ac:dyDescent="0.3">
      <c r="AU4492" s="45"/>
    </row>
    <row r="4493" spans="47:47" ht="12" hidden="1" customHeight="1" x14ac:dyDescent="0.3">
      <c r="AU4493" s="45"/>
    </row>
    <row r="4494" spans="47:47" ht="12" hidden="1" customHeight="1" x14ac:dyDescent="0.3">
      <c r="AU4494" s="45"/>
    </row>
    <row r="4495" spans="47:47" ht="12" hidden="1" customHeight="1" x14ac:dyDescent="0.3">
      <c r="AU4495" s="45"/>
    </row>
    <row r="4496" spans="47:47" ht="12" hidden="1" customHeight="1" x14ac:dyDescent="0.3">
      <c r="AU4496" s="45"/>
    </row>
    <row r="4497" spans="47:47" ht="12" hidden="1" customHeight="1" x14ac:dyDescent="0.3">
      <c r="AU4497" s="45"/>
    </row>
    <row r="4498" spans="47:47" ht="12" hidden="1" customHeight="1" x14ac:dyDescent="0.3">
      <c r="AU4498" s="45"/>
    </row>
    <row r="4499" spans="47:47" ht="12" hidden="1" customHeight="1" x14ac:dyDescent="0.3">
      <c r="AU4499" s="45"/>
    </row>
    <row r="4500" spans="47:47" ht="12" hidden="1" customHeight="1" x14ac:dyDescent="0.3">
      <c r="AU4500" s="45"/>
    </row>
    <row r="4501" spans="47:47" ht="12" hidden="1" customHeight="1" x14ac:dyDescent="0.3">
      <c r="AU4501" s="45"/>
    </row>
    <row r="4502" spans="47:47" ht="12" hidden="1" customHeight="1" x14ac:dyDescent="0.3">
      <c r="AU4502" s="45"/>
    </row>
    <row r="4503" spans="47:47" ht="12" hidden="1" customHeight="1" x14ac:dyDescent="0.3">
      <c r="AU4503" s="45"/>
    </row>
    <row r="4504" spans="47:47" ht="12" hidden="1" customHeight="1" x14ac:dyDescent="0.3">
      <c r="AU4504" s="45"/>
    </row>
    <row r="4505" spans="47:47" ht="12" hidden="1" customHeight="1" x14ac:dyDescent="0.3">
      <c r="AU4505" s="45"/>
    </row>
    <row r="4506" spans="47:47" ht="12" hidden="1" customHeight="1" x14ac:dyDescent="0.3">
      <c r="AU4506" s="45"/>
    </row>
    <row r="4507" spans="47:47" ht="12" hidden="1" customHeight="1" x14ac:dyDescent="0.3">
      <c r="AU4507" s="45"/>
    </row>
    <row r="4508" spans="47:47" ht="12" hidden="1" customHeight="1" x14ac:dyDescent="0.3">
      <c r="AU4508" s="45"/>
    </row>
    <row r="4509" spans="47:47" ht="12" hidden="1" customHeight="1" x14ac:dyDescent="0.3">
      <c r="AU4509" s="45"/>
    </row>
    <row r="4510" spans="47:47" ht="12" hidden="1" customHeight="1" x14ac:dyDescent="0.3">
      <c r="AU4510" s="45"/>
    </row>
    <row r="4511" spans="47:47" ht="12" hidden="1" customHeight="1" x14ac:dyDescent="0.3">
      <c r="AU4511" s="45"/>
    </row>
    <row r="4512" spans="47:47" ht="12" hidden="1" customHeight="1" x14ac:dyDescent="0.3">
      <c r="AU4512" s="45"/>
    </row>
    <row r="4513" spans="47:47" ht="12" hidden="1" customHeight="1" x14ac:dyDescent="0.3">
      <c r="AU4513" s="45"/>
    </row>
    <row r="4514" spans="47:47" ht="12" hidden="1" customHeight="1" x14ac:dyDescent="0.3">
      <c r="AU4514" s="45"/>
    </row>
    <row r="4515" spans="47:47" ht="12" hidden="1" customHeight="1" x14ac:dyDescent="0.3">
      <c r="AU4515" s="45"/>
    </row>
    <row r="4516" spans="47:47" ht="12" hidden="1" customHeight="1" x14ac:dyDescent="0.3">
      <c r="AU4516" s="45"/>
    </row>
    <row r="4517" spans="47:47" ht="12" hidden="1" customHeight="1" x14ac:dyDescent="0.3">
      <c r="AU4517" s="45"/>
    </row>
    <row r="4518" spans="47:47" ht="12" hidden="1" customHeight="1" x14ac:dyDescent="0.3">
      <c r="AU4518" s="45"/>
    </row>
    <row r="4519" spans="47:47" ht="12" hidden="1" customHeight="1" x14ac:dyDescent="0.3">
      <c r="AU4519" s="45"/>
    </row>
    <row r="4520" spans="47:47" ht="12" hidden="1" customHeight="1" x14ac:dyDescent="0.3">
      <c r="AU4520" s="45"/>
    </row>
    <row r="4521" spans="47:47" ht="12" hidden="1" customHeight="1" x14ac:dyDescent="0.3">
      <c r="AU4521" s="45"/>
    </row>
    <row r="4522" spans="47:47" ht="12" hidden="1" customHeight="1" x14ac:dyDescent="0.3">
      <c r="AU4522" s="45"/>
    </row>
    <row r="4523" spans="47:47" ht="12" hidden="1" customHeight="1" x14ac:dyDescent="0.3">
      <c r="AU4523" s="45"/>
    </row>
    <row r="4524" spans="47:47" ht="12" hidden="1" customHeight="1" x14ac:dyDescent="0.3">
      <c r="AU4524" s="45"/>
    </row>
    <row r="4525" spans="47:47" ht="12" hidden="1" customHeight="1" x14ac:dyDescent="0.3">
      <c r="AU4525" s="45"/>
    </row>
    <row r="4526" spans="47:47" ht="12" hidden="1" customHeight="1" x14ac:dyDescent="0.3">
      <c r="AU4526" s="45"/>
    </row>
    <row r="4527" spans="47:47" ht="12" hidden="1" customHeight="1" x14ac:dyDescent="0.3">
      <c r="AU4527" s="45"/>
    </row>
    <row r="4528" spans="47:47" ht="12" hidden="1" customHeight="1" x14ac:dyDescent="0.3">
      <c r="AU4528" s="45"/>
    </row>
    <row r="4529" spans="47:47" ht="12" hidden="1" customHeight="1" x14ac:dyDescent="0.3">
      <c r="AU4529" s="45"/>
    </row>
    <row r="4530" spans="47:47" ht="12" hidden="1" customHeight="1" x14ac:dyDescent="0.3">
      <c r="AU4530" s="45"/>
    </row>
    <row r="4531" spans="47:47" ht="12" hidden="1" customHeight="1" x14ac:dyDescent="0.3">
      <c r="AU4531" s="45"/>
    </row>
    <row r="4532" spans="47:47" ht="12" hidden="1" customHeight="1" x14ac:dyDescent="0.3">
      <c r="AU4532" s="45"/>
    </row>
    <row r="4533" spans="47:47" ht="12" hidden="1" customHeight="1" x14ac:dyDescent="0.3">
      <c r="AU4533" s="45"/>
    </row>
    <row r="4534" spans="47:47" ht="12" hidden="1" customHeight="1" x14ac:dyDescent="0.3">
      <c r="AU4534" s="45"/>
    </row>
    <row r="4535" spans="47:47" ht="12" hidden="1" customHeight="1" x14ac:dyDescent="0.3">
      <c r="AU4535" s="45"/>
    </row>
    <row r="4536" spans="47:47" ht="12" hidden="1" customHeight="1" x14ac:dyDescent="0.3">
      <c r="AU4536" s="45"/>
    </row>
    <row r="4537" spans="47:47" ht="12" hidden="1" customHeight="1" x14ac:dyDescent="0.3">
      <c r="AU4537" s="45"/>
    </row>
    <row r="4538" spans="47:47" ht="12" hidden="1" customHeight="1" x14ac:dyDescent="0.3">
      <c r="AU4538" s="45"/>
    </row>
    <row r="4539" spans="47:47" ht="12" hidden="1" customHeight="1" x14ac:dyDescent="0.3">
      <c r="AU4539" s="45"/>
    </row>
    <row r="4540" spans="47:47" ht="12" hidden="1" customHeight="1" x14ac:dyDescent="0.3">
      <c r="AU4540" s="45"/>
    </row>
    <row r="4541" spans="47:47" ht="12" hidden="1" customHeight="1" x14ac:dyDescent="0.3">
      <c r="AU4541" s="45"/>
    </row>
    <row r="4542" spans="47:47" ht="12" hidden="1" customHeight="1" x14ac:dyDescent="0.3">
      <c r="AU4542" s="45"/>
    </row>
    <row r="4543" spans="47:47" ht="12" hidden="1" customHeight="1" x14ac:dyDescent="0.3">
      <c r="AU4543" s="45"/>
    </row>
    <row r="4544" spans="47:47" ht="12" hidden="1" customHeight="1" x14ac:dyDescent="0.3">
      <c r="AU4544" s="45"/>
    </row>
    <row r="4545" spans="47:47" ht="12" hidden="1" customHeight="1" x14ac:dyDescent="0.3">
      <c r="AU4545" s="45"/>
    </row>
    <row r="4546" spans="47:47" ht="12" hidden="1" customHeight="1" x14ac:dyDescent="0.3">
      <c r="AU4546" s="45"/>
    </row>
    <row r="4547" spans="47:47" ht="12" hidden="1" customHeight="1" x14ac:dyDescent="0.3">
      <c r="AU4547" s="45"/>
    </row>
    <row r="4548" spans="47:47" ht="12" hidden="1" customHeight="1" x14ac:dyDescent="0.3">
      <c r="AU4548" s="45"/>
    </row>
    <row r="4549" spans="47:47" ht="12" hidden="1" customHeight="1" x14ac:dyDescent="0.3">
      <c r="AU4549" s="45"/>
    </row>
    <row r="4550" spans="47:47" ht="12" hidden="1" customHeight="1" x14ac:dyDescent="0.3">
      <c r="AU4550" s="45"/>
    </row>
    <row r="4551" spans="47:47" ht="12" hidden="1" customHeight="1" x14ac:dyDescent="0.3">
      <c r="AU4551" s="45"/>
    </row>
    <row r="4552" spans="47:47" ht="12" hidden="1" customHeight="1" x14ac:dyDescent="0.3">
      <c r="AU4552" s="45"/>
    </row>
    <row r="4553" spans="47:47" ht="12" hidden="1" customHeight="1" x14ac:dyDescent="0.3">
      <c r="AU4553" s="45"/>
    </row>
    <row r="4554" spans="47:47" ht="12" hidden="1" customHeight="1" x14ac:dyDescent="0.3">
      <c r="AU4554" s="45"/>
    </row>
    <row r="4555" spans="47:47" ht="12" hidden="1" customHeight="1" x14ac:dyDescent="0.3">
      <c r="AU4555" s="45"/>
    </row>
    <row r="4556" spans="47:47" ht="12" hidden="1" customHeight="1" x14ac:dyDescent="0.3">
      <c r="AU4556" s="45"/>
    </row>
    <row r="4557" spans="47:47" ht="12" hidden="1" customHeight="1" x14ac:dyDescent="0.3">
      <c r="AU4557" s="45"/>
    </row>
    <row r="4558" spans="47:47" ht="12" hidden="1" customHeight="1" x14ac:dyDescent="0.3">
      <c r="AU4558" s="45"/>
    </row>
    <row r="4559" spans="47:47" ht="12" hidden="1" customHeight="1" x14ac:dyDescent="0.3">
      <c r="AU4559" s="45"/>
    </row>
    <row r="4560" spans="47:47" ht="12" hidden="1" customHeight="1" x14ac:dyDescent="0.3">
      <c r="AU4560" s="45"/>
    </row>
    <row r="4561" spans="47:47" ht="12" hidden="1" customHeight="1" x14ac:dyDescent="0.3">
      <c r="AU4561" s="45"/>
    </row>
    <row r="4562" spans="47:47" ht="12" hidden="1" customHeight="1" x14ac:dyDescent="0.3">
      <c r="AU4562" s="45"/>
    </row>
    <row r="4563" spans="47:47" ht="12" hidden="1" customHeight="1" x14ac:dyDescent="0.3">
      <c r="AU4563" s="45"/>
    </row>
    <row r="4564" spans="47:47" ht="12" hidden="1" customHeight="1" x14ac:dyDescent="0.3">
      <c r="AU4564" s="45"/>
    </row>
    <row r="4565" spans="47:47" ht="12" hidden="1" customHeight="1" x14ac:dyDescent="0.3">
      <c r="AU4565" s="45"/>
    </row>
    <row r="4566" spans="47:47" ht="12" hidden="1" customHeight="1" x14ac:dyDescent="0.3">
      <c r="AU4566" s="45"/>
    </row>
    <row r="4567" spans="47:47" ht="12" hidden="1" customHeight="1" x14ac:dyDescent="0.3">
      <c r="AU4567" s="45"/>
    </row>
    <row r="4568" spans="47:47" ht="12" hidden="1" customHeight="1" x14ac:dyDescent="0.3">
      <c r="AU4568" s="45"/>
    </row>
    <row r="4569" spans="47:47" ht="12" hidden="1" customHeight="1" x14ac:dyDescent="0.3">
      <c r="AU4569" s="45"/>
    </row>
    <row r="4570" spans="47:47" ht="12" hidden="1" customHeight="1" x14ac:dyDescent="0.3">
      <c r="AU4570" s="45"/>
    </row>
    <row r="4571" spans="47:47" ht="12" hidden="1" customHeight="1" x14ac:dyDescent="0.3">
      <c r="AU4571" s="45"/>
    </row>
    <row r="4572" spans="47:47" ht="12" hidden="1" customHeight="1" x14ac:dyDescent="0.3">
      <c r="AU4572" s="45"/>
    </row>
    <row r="4573" spans="47:47" ht="12" hidden="1" customHeight="1" x14ac:dyDescent="0.3">
      <c r="AU4573" s="45"/>
    </row>
    <row r="4574" spans="47:47" ht="12" hidden="1" customHeight="1" x14ac:dyDescent="0.3">
      <c r="AU4574" s="45"/>
    </row>
    <row r="4575" spans="47:47" ht="12" hidden="1" customHeight="1" x14ac:dyDescent="0.3">
      <c r="AU4575" s="45"/>
    </row>
    <row r="4576" spans="47:47" ht="12" hidden="1" customHeight="1" x14ac:dyDescent="0.3">
      <c r="AU4576" s="45"/>
    </row>
    <row r="4577" spans="47:47" ht="12" hidden="1" customHeight="1" x14ac:dyDescent="0.3">
      <c r="AU4577" s="45"/>
    </row>
    <row r="4578" spans="47:47" ht="12" hidden="1" customHeight="1" x14ac:dyDescent="0.3">
      <c r="AU4578" s="45"/>
    </row>
    <row r="4579" spans="47:47" ht="12" hidden="1" customHeight="1" x14ac:dyDescent="0.3">
      <c r="AU4579" s="45"/>
    </row>
    <row r="4580" spans="47:47" ht="12" hidden="1" customHeight="1" x14ac:dyDescent="0.3">
      <c r="AU4580" s="45"/>
    </row>
    <row r="4581" spans="47:47" ht="12" hidden="1" customHeight="1" x14ac:dyDescent="0.3">
      <c r="AU4581" s="45"/>
    </row>
    <row r="4582" spans="47:47" ht="12" hidden="1" customHeight="1" x14ac:dyDescent="0.3">
      <c r="AU4582" s="45"/>
    </row>
    <row r="4583" spans="47:47" ht="12" hidden="1" customHeight="1" x14ac:dyDescent="0.3">
      <c r="AU4583" s="45"/>
    </row>
    <row r="4584" spans="47:47" ht="12" hidden="1" customHeight="1" x14ac:dyDescent="0.3">
      <c r="AU4584" s="45"/>
    </row>
    <row r="4585" spans="47:47" ht="12" hidden="1" customHeight="1" x14ac:dyDescent="0.3">
      <c r="AU4585" s="45"/>
    </row>
    <row r="4586" spans="47:47" ht="12" hidden="1" customHeight="1" x14ac:dyDescent="0.3">
      <c r="AU4586" s="45"/>
    </row>
    <row r="4587" spans="47:47" ht="12" hidden="1" customHeight="1" x14ac:dyDescent="0.3">
      <c r="AU4587" s="45"/>
    </row>
    <row r="4588" spans="47:47" ht="12" hidden="1" customHeight="1" x14ac:dyDescent="0.3">
      <c r="AU4588" s="45"/>
    </row>
    <row r="4589" spans="47:47" ht="12" hidden="1" customHeight="1" x14ac:dyDescent="0.3">
      <c r="AU4589" s="45"/>
    </row>
    <row r="4590" spans="47:47" ht="12" hidden="1" customHeight="1" x14ac:dyDescent="0.3">
      <c r="AU4590" s="45"/>
    </row>
    <row r="4591" spans="47:47" ht="12" hidden="1" customHeight="1" x14ac:dyDescent="0.3">
      <c r="AU4591" s="45"/>
    </row>
    <row r="4592" spans="47:47" ht="12" hidden="1" customHeight="1" x14ac:dyDescent="0.3">
      <c r="AU4592" s="45"/>
    </row>
    <row r="4593" spans="47:47" ht="12" hidden="1" customHeight="1" x14ac:dyDescent="0.3">
      <c r="AU4593" s="45"/>
    </row>
    <row r="4594" spans="47:47" ht="12" hidden="1" customHeight="1" x14ac:dyDescent="0.3">
      <c r="AU4594" s="45"/>
    </row>
    <row r="4595" spans="47:47" ht="12" hidden="1" customHeight="1" x14ac:dyDescent="0.3">
      <c r="AU4595" s="45"/>
    </row>
    <row r="4596" spans="47:47" ht="12" hidden="1" customHeight="1" x14ac:dyDescent="0.3">
      <c r="AU4596" s="45"/>
    </row>
    <row r="4597" spans="47:47" ht="12" hidden="1" customHeight="1" x14ac:dyDescent="0.3">
      <c r="AU4597" s="45"/>
    </row>
    <row r="4598" spans="47:47" ht="12" hidden="1" customHeight="1" x14ac:dyDescent="0.3">
      <c r="AU4598" s="45"/>
    </row>
    <row r="4599" spans="47:47" ht="12" hidden="1" customHeight="1" x14ac:dyDescent="0.3">
      <c r="AU4599" s="45"/>
    </row>
    <row r="4600" spans="47:47" ht="12" hidden="1" customHeight="1" x14ac:dyDescent="0.3">
      <c r="AU4600" s="45"/>
    </row>
    <row r="4601" spans="47:47" ht="12" hidden="1" customHeight="1" x14ac:dyDescent="0.3">
      <c r="AU4601" s="45"/>
    </row>
    <row r="4602" spans="47:47" ht="12" hidden="1" customHeight="1" x14ac:dyDescent="0.3">
      <c r="AU4602" s="45"/>
    </row>
    <row r="4603" spans="47:47" ht="12" hidden="1" customHeight="1" x14ac:dyDescent="0.3">
      <c r="AU4603" s="45"/>
    </row>
    <row r="4604" spans="47:47" ht="12" hidden="1" customHeight="1" x14ac:dyDescent="0.3">
      <c r="AU4604" s="45"/>
    </row>
    <row r="4605" spans="47:47" ht="12" hidden="1" customHeight="1" x14ac:dyDescent="0.3">
      <c r="AU4605" s="45"/>
    </row>
    <row r="4606" spans="47:47" ht="12" hidden="1" customHeight="1" x14ac:dyDescent="0.3">
      <c r="AU4606" s="45"/>
    </row>
    <row r="4607" spans="47:47" ht="12" hidden="1" customHeight="1" x14ac:dyDescent="0.3">
      <c r="AU4607" s="45"/>
    </row>
    <row r="4608" spans="47:47" ht="12" hidden="1" customHeight="1" x14ac:dyDescent="0.3">
      <c r="AU4608" s="45"/>
    </row>
    <row r="4609" spans="47:47" ht="12" hidden="1" customHeight="1" x14ac:dyDescent="0.3">
      <c r="AU4609" s="45"/>
    </row>
    <row r="4610" spans="47:47" ht="12" hidden="1" customHeight="1" x14ac:dyDescent="0.3">
      <c r="AU4610" s="45"/>
    </row>
    <row r="4611" spans="47:47" ht="12" hidden="1" customHeight="1" x14ac:dyDescent="0.3">
      <c r="AU4611" s="45"/>
    </row>
    <row r="4612" spans="47:47" ht="12" hidden="1" customHeight="1" x14ac:dyDescent="0.3">
      <c r="AU4612" s="45"/>
    </row>
    <row r="4613" spans="47:47" ht="12" hidden="1" customHeight="1" x14ac:dyDescent="0.3">
      <c r="AU4613" s="45"/>
    </row>
    <row r="4614" spans="47:47" ht="12" hidden="1" customHeight="1" x14ac:dyDescent="0.3">
      <c r="AU4614" s="45"/>
    </row>
    <row r="4615" spans="47:47" ht="12" hidden="1" customHeight="1" x14ac:dyDescent="0.3">
      <c r="AU4615" s="45"/>
    </row>
    <row r="4616" spans="47:47" ht="12" hidden="1" customHeight="1" x14ac:dyDescent="0.3">
      <c r="AU4616" s="45"/>
    </row>
    <row r="4617" spans="47:47" ht="12" hidden="1" customHeight="1" x14ac:dyDescent="0.3">
      <c r="AU4617" s="45"/>
    </row>
    <row r="4618" spans="47:47" ht="12" hidden="1" customHeight="1" x14ac:dyDescent="0.3">
      <c r="AU4618" s="45"/>
    </row>
    <row r="4619" spans="47:47" ht="12" hidden="1" customHeight="1" x14ac:dyDescent="0.3">
      <c r="AU4619" s="45"/>
    </row>
    <row r="4620" spans="47:47" ht="12" hidden="1" customHeight="1" x14ac:dyDescent="0.3">
      <c r="AU4620" s="45"/>
    </row>
    <row r="4621" spans="47:47" ht="12" hidden="1" customHeight="1" x14ac:dyDescent="0.3">
      <c r="AU4621" s="45"/>
    </row>
    <row r="4622" spans="47:47" ht="12" hidden="1" customHeight="1" x14ac:dyDescent="0.3">
      <c r="AU4622" s="45"/>
    </row>
    <row r="4623" spans="47:47" ht="12" hidden="1" customHeight="1" x14ac:dyDescent="0.3">
      <c r="AU4623" s="45"/>
    </row>
    <row r="4624" spans="47:47" ht="12" hidden="1" customHeight="1" x14ac:dyDescent="0.3">
      <c r="AU4624" s="45"/>
    </row>
    <row r="4625" spans="47:47" ht="12" hidden="1" customHeight="1" x14ac:dyDescent="0.3">
      <c r="AU4625" s="45"/>
    </row>
    <row r="4626" spans="47:47" ht="12" hidden="1" customHeight="1" x14ac:dyDescent="0.3">
      <c r="AU4626" s="45"/>
    </row>
    <row r="4627" spans="47:47" ht="12" hidden="1" customHeight="1" x14ac:dyDescent="0.3">
      <c r="AU4627" s="45"/>
    </row>
    <row r="4628" spans="47:47" ht="12" hidden="1" customHeight="1" x14ac:dyDescent="0.3">
      <c r="AU4628" s="45"/>
    </row>
    <row r="4629" spans="47:47" ht="12" hidden="1" customHeight="1" x14ac:dyDescent="0.3">
      <c r="AU4629" s="45"/>
    </row>
    <row r="4630" spans="47:47" ht="12" hidden="1" customHeight="1" x14ac:dyDescent="0.3">
      <c r="AU4630" s="45"/>
    </row>
    <row r="4631" spans="47:47" ht="12" hidden="1" customHeight="1" x14ac:dyDescent="0.3">
      <c r="AU4631" s="45"/>
    </row>
    <row r="4632" spans="47:47" ht="12" hidden="1" customHeight="1" x14ac:dyDescent="0.3">
      <c r="AU4632" s="45"/>
    </row>
    <row r="4633" spans="47:47" ht="12" hidden="1" customHeight="1" x14ac:dyDescent="0.3">
      <c r="AU4633" s="45"/>
    </row>
    <row r="4634" spans="47:47" ht="12" hidden="1" customHeight="1" x14ac:dyDescent="0.3">
      <c r="AU4634" s="45"/>
    </row>
    <row r="4635" spans="47:47" ht="12" hidden="1" customHeight="1" x14ac:dyDescent="0.3">
      <c r="AU4635" s="45"/>
    </row>
    <row r="4636" spans="47:47" ht="12" hidden="1" customHeight="1" x14ac:dyDescent="0.3">
      <c r="AU4636" s="45"/>
    </row>
    <row r="4637" spans="47:47" ht="12" hidden="1" customHeight="1" x14ac:dyDescent="0.3">
      <c r="AU4637" s="45"/>
    </row>
    <row r="4638" spans="47:47" ht="12" hidden="1" customHeight="1" x14ac:dyDescent="0.3">
      <c r="AU4638" s="45"/>
    </row>
    <row r="4639" spans="47:47" ht="12" hidden="1" customHeight="1" x14ac:dyDescent="0.3">
      <c r="AU4639" s="45"/>
    </row>
    <row r="4640" spans="47:47" ht="12" hidden="1" customHeight="1" x14ac:dyDescent="0.3">
      <c r="AU4640" s="45"/>
    </row>
    <row r="4641" spans="47:47" ht="12" hidden="1" customHeight="1" x14ac:dyDescent="0.3">
      <c r="AU4641" s="45"/>
    </row>
    <row r="4642" spans="47:47" ht="12" hidden="1" customHeight="1" x14ac:dyDescent="0.3">
      <c r="AU4642" s="45"/>
    </row>
    <row r="4643" spans="47:47" ht="12" hidden="1" customHeight="1" x14ac:dyDescent="0.3">
      <c r="AU4643" s="45"/>
    </row>
    <row r="4644" spans="47:47" ht="12" hidden="1" customHeight="1" x14ac:dyDescent="0.3">
      <c r="AU4644" s="45"/>
    </row>
    <row r="4645" spans="47:47" ht="12" hidden="1" customHeight="1" x14ac:dyDescent="0.3">
      <c r="AU4645" s="45"/>
    </row>
    <row r="4646" spans="47:47" ht="12" hidden="1" customHeight="1" x14ac:dyDescent="0.3">
      <c r="AU4646" s="45"/>
    </row>
    <row r="4647" spans="47:47" ht="12" hidden="1" customHeight="1" x14ac:dyDescent="0.3">
      <c r="AU4647" s="45"/>
    </row>
    <row r="4648" spans="47:47" ht="12" hidden="1" customHeight="1" x14ac:dyDescent="0.3">
      <c r="AU4648" s="45"/>
    </row>
    <row r="4649" spans="47:47" ht="12" hidden="1" customHeight="1" x14ac:dyDescent="0.3">
      <c r="AU4649" s="45"/>
    </row>
    <row r="4650" spans="47:47" ht="12" hidden="1" customHeight="1" x14ac:dyDescent="0.3">
      <c r="AU4650" s="45"/>
    </row>
    <row r="4651" spans="47:47" ht="12" hidden="1" customHeight="1" x14ac:dyDescent="0.3">
      <c r="AU4651" s="45"/>
    </row>
    <row r="4652" spans="47:47" ht="12" hidden="1" customHeight="1" x14ac:dyDescent="0.3">
      <c r="AU4652" s="45"/>
    </row>
    <row r="4653" spans="47:47" ht="12" hidden="1" customHeight="1" x14ac:dyDescent="0.3">
      <c r="AU4653" s="45"/>
    </row>
    <row r="4654" spans="47:47" ht="12" hidden="1" customHeight="1" x14ac:dyDescent="0.3">
      <c r="AU4654" s="45"/>
    </row>
    <row r="4655" spans="47:47" ht="12" hidden="1" customHeight="1" x14ac:dyDescent="0.3">
      <c r="AU4655" s="45"/>
    </row>
    <row r="4656" spans="47:47" ht="12" hidden="1" customHeight="1" x14ac:dyDescent="0.3">
      <c r="AU4656" s="45"/>
    </row>
    <row r="4657" spans="47:47" ht="12" hidden="1" customHeight="1" x14ac:dyDescent="0.3">
      <c r="AU4657" s="45"/>
    </row>
    <row r="4658" spans="47:47" ht="12" hidden="1" customHeight="1" x14ac:dyDescent="0.3">
      <c r="AU4658" s="45"/>
    </row>
    <row r="4659" spans="47:47" ht="12" hidden="1" customHeight="1" x14ac:dyDescent="0.3">
      <c r="AU4659" s="45"/>
    </row>
    <row r="4660" spans="47:47" ht="12" hidden="1" customHeight="1" x14ac:dyDescent="0.3">
      <c r="AU4660" s="45"/>
    </row>
    <row r="4661" spans="47:47" ht="12" hidden="1" customHeight="1" x14ac:dyDescent="0.3">
      <c r="AU4661" s="45"/>
    </row>
    <row r="4662" spans="47:47" ht="12" hidden="1" customHeight="1" x14ac:dyDescent="0.3">
      <c r="AU4662" s="45"/>
    </row>
    <row r="4663" spans="47:47" ht="12" hidden="1" customHeight="1" x14ac:dyDescent="0.3">
      <c r="AU4663" s="45"/>
    </row>
    <row r="4664" spans="47:47" ht="12" hidden="1" customHeight="1" x14ac:dyDescent="0.3">
      <c r="AU4664" s="45"/>
    </row>
    <row r="4665" spans="47:47" ht="12" hidden="1" customHeight="1" x14ac:dyDescent="0.3">
      <c r="AU4665" s="45"/>
    </row>
    <row r="4666" spans="47:47" ht="12" hidden="1" customHeight="1" x14ac:dyDescent="0.3">
      <c r="AU4666" s="45"/>
    </row>
    <row r="4667" spans="47:47" ht="12" hidden="1" customHeight="1" x14ac:dyDescent="0.3">
      <c r="AU4667" s="45"/>
    </row>
    <row r="4668" spans="47:47" ht="12" hidden="1" customHeight="1" x14ac:dyDescent="0.3">
      <c r="AU4668" s="45"/>
    </row>
    <row r="4669" spans="47:47" ht="12" hidden="1" customHeight="1" x14ac:dyDescent="0.3">
      <c r="AU4669" s="45"/>
    </row>
    <row r="4670" spans="47:47" ht="12" hidden="1" customHeight="1" x14ac:dyDescent="0.3">
      <c r="AU4670" s="45"/>
    </row>
    <row r="4671" spans="47:47" ht="12" hidden="1" customHeight="1" x14ac:dyDescent="0.3">
      <c r="AU4671" s="45"/>
    </row>
    <row r="4672" spans="47:47" ht="12" hidden="1" customHeight="1" x14ac:dyDescent="0.3">
      <c r="AU4672" s="45"/>
    </row>
    <row r="4673" spans="47:47" ht="12" hidden="1" customHeight="1" x14ac:dyDescent="0.3">
      <c r="AU4673" s="45"/>
    </row>
    <row r="4674" spans="47:47" ht="12" hidden="1" customHeight="1" x14ac:dyDescent="0.3">
      <c r="AU4674" s="45"/>
    </row>
    <row r="4675" spans="47:47" ht="12" hidden="1" customHeight="1" x14ac:dyDescent="0.3">
      <c r="AU4675" s="45"/>
    </row>
    <row r="4676" spans="47:47" ht="12" hidden="1" customHeight="1" x14ac:dyDescent="0.3">
      <c r="AU4676" s="45"/>
    </row>
    <row r="4677" spans="47:47" ht="12" hidden="1" customHeight="1" x14ac:dyDescent="0.3">
      <c r="AU4677" s="45"/>
    </row>
    <row r="4678" spans="47:47" ht="12" hidden="1" customHeight="1" x14ac:dyDescent="0.3">
      <c r="AU4678" s="45"/>
    </row>
    <row r="4679" spans="47:47" ht="12" hidden="1" customHeight="1" x14ac:dyDescent="0.3">
      <c r="AU4679" s="45"/>
    </row>
    <row r="4680" spans="47:47" ht="12" hidden="1" customHeight="1" x14ac:dyDescent="0.3">
      <c r="AU4680" s="45"/>
    </row>
    <row r="4681" spans="47:47" ht="12" hidden="1" customHeight="1" x14ac:dyDescent="0.3">
      <c r="AU4681" s="45"/>
    </row>
    <row r="4682" spans="47:47" ht="12" hidden="1" customHeight="1" x14ac:dyDescent="0.3">
      <c r="AU4682" s="45"/>
    </row>
    <row r="4683" spans="47:47" ht="12" hidden="1" customHeight="1" x14ac:dyDescent="0.3">
      <c r="AU4683" s="45"/>
    </row>
    <row r="4684" spans="47:47" ht="12" hidden="1" customHeight="1" x14ac:dyDescent="0.3">
      <c r="AU4684" s="45"/>
    </row>
    <row r="4685" spans="47:47" ht="12" hidden="1" customHeight="1" x14ac:dyDescent="0.3">
      <c r="AU4685" s="45"/>
    </row>
    <row r="4686" spans="47:47" ht="12" hidden="1" customHeight="1" x14ac:dyDescent="0.3">
      <c r="AU4686" s="45"/>
    </row>
    <row r="4687" spans="47:47" ht="12" hidden="1" customHeight="1" x14ac:dyDescent="0.3">
      <c r="AU4687" s="45"/>
    </row>
    <row r="4688" spans="47:47" ht="12" hidden="1" customHeight="1" x14ac:dyDescent="0.3">
      <c r="AU4688" s="45"/>
    </row>
    <row r="4689" spans="47:47" ht="12" hidden="1" customHeight="1" x14ac:dyDescent="0.3">
      <c r="AU4689" s="45"/>
    </row>
    <row r="4690" spans="47:47" ht="12" hidden="1" customHeight="1" x14ac:dyDescent="0.3">
      <c r="AU4690" s="45"/>
    </row>
    <row r="4691" spans="47:47" ht="12" hidden="1" customHeight="1" x14ac:dyDescent="0.3">
      <c r="AU4691" s="45"/>
    </row>
    <row r="4692" spans="47:47" ht="12" hidden="1" customHeight="1" x14ac:dyDescent="0.3">
      <c r="AU4692" s="45"/>
    </row>
    <row r="4693" spans="47:47" ht="12" hidden="1" customHeight="1" x14ac:dyDescent="0.3">
      <c r="AU4693" s="45"/>
    </row>
    <row r="4694" spans="47:47" ht="12" hidden="1" customHeight="1" x14ac:dyDescent="0.3">
      <c r="AU4694" s="45"/>
    </row>
    <row r="4695" spans="47:47" ht="12" hidden="1" customHeight="1" x14ac:dyDescent="0.3">
      <c r="AU4695" s="45"/>
    </row>
    <row r="4696" spans="47:47" ht="12" hidden="1" customHeight="1" x14ac:dyDescent="0.3">
      <c r="AU4696" s="45"/>
    </row>
    <row r="4697" spans="47:47" ht="12" hidden="1" customHeight="1" x14ac:dyDescent="0.3">
      <c r="AU4697" s="45"/>
    </row>
    <row r="4698" spans="47:47" ht="12" hidden="1" customHeight="1" x14ac:dyDescent="0.3">
      <c r="AU4698" s="45"/>
    </row>
    <row r="4699" spans="47:47" ht="12" hidden="1" customHeight="1" x14ac:dyDescent="0.3">
      <c r="AU4699" s="45"/>
    </row>
    <row r="4700" spans="47:47" ht="12" hidden="1" customHeight="1" x14ac:dyDescent="0.3">
      <c r="AU4700" s="45"/>
    </row>
    <row r="4701" spans="47:47" ht="12" hidden="1" customHeight="1" x14ac:dyDescent="0.3">
      <c r="AU4701" s="45"/>
    </row>
    <row r="4702" spans="47:47" ht="12" hidden="1" customHeight="1" x14ac:dyDescent="0.3">
      <c r="AU4702" s="45"/>
    </row>
    <row r="4703" spans="47:47" ht="12" hidden="1" customHeight="1" x14ac:dyDescent="0.3">
      <c r="AU4703" s="45"/>
    </row>
    <row r="4704" spans="47:47" ht="12" hidden="1" customHeight="1" x14ac:dyDescent="0.3">
      <c r="AU4704" s="45"/>
    </row>
    <row r="4705" spans="47:47" ht="12" hidden="1" customHeight="1" x14ac:dyDescent="0.3">
      <c r="AU4705" s="45"/>
    </row>
    <row r="4706" spans="47:47" ht="12" hidden="1" customHeight="1" x14ac:dyDescent="0.3">
      <c r="AU4706" s="45"/>
    </row>
    <row r="4707" spans="47:47" ht="12" hidden="1" customHeight="1" x14ac:dyDescent="0.3">
      <c r="AU4707" s="45"/>
    </row>
    <row r="4708" spans="47:47" ht="12" hidden="1" customHeight="1" x14ac:dyDescent="0.3">
      <c r="AU4708" s="45"/>
    </row>
    <row r="4709" spans="47:47" ht="12" hidden="1" customHeight="1" x14ac:dyDescent="0.3">
      <c r="AU4709" s="45"/>
    </row>
    <row r="4710" spans="47:47" ht="12" hidden="1" customHeight="1" x14ac:dyDescent="0.3">
      <c r="AU4710" s="45"/>
    </row>
    <row r="4711" spans="47:47" ht="12" hidden="1" customHeight="1" x14ac:dyDescent="0.3">
      <c r="AU4711" s="45"/>
    </row>
    <row r="4712" spans="47:47" ht="12" hidden="1" customHeight="1" x14ac:dyDescent="0.3">
      <c r="AU4712" s="45"/>
    </row>
    <row r="4713" spans="47:47" ht="12" hidden="1" customHeight="1" x14ac:dyDescent="0.3">
      <c r="AU4713" s="45"/>
    </row>
    <row r="4714" spans="47:47" ht="12" hidden="1" customHeight="1" x14ac:dyDescent="0.3">
      <c r="AU4714" s="45"/>
    </row>
    <row r="4715" spans="47:47" ht="12" hidden="1" customHeight="1" x14ac:dyDescent="0.3">
      <c r="AU4715" s="45"/>
    </row>
    <row r="4716" spans="47:47" ht="12" hidden="1" customHeight="1" x14ac:dyDescent="0.3">
      <c r="AU4716" s="45"/>
    </row>
    <row r="4717" spans="47:47" ht="12" hidden="1" customHeight="1" x14ac:dyDescent="0.3">
      <c r="AU4717" s="45"/>
    </row>
    <row r="4718" spans="47:47" ht="12" hidden="1" customHeight="1" x14ac:dyDescent="0.3">
      <c r="AU4718" s="45"/>
    </row>
    <row r="4719" spans="47:47" ht="12" hidden="1" customHeight="1" x14ac:dyDescent="0.3">
      <c r="AU4719" s="45"/>
    </row>
    <row r="4720" spans="47:47" ht="12" hidden="1" customHeight="1" x14ac:dyDescent="0.3">
      <c r="AU4720" s="45"/>
    </row>
    <row r="4721" spans="47:47" ht="12" hidden="1" customHeight="1" x14ac:dyDescent="0.3">
      <c r="AU4721" s="45"/>
    </row>
    <row r="4722" spans="47:47" ht="12" hidden="1" customHeight="1" x14ac:dyDescent="0.3">
      <c r="AU4722" s="45"/>
    </row>
    <row r="4723" spans="47:47" ht="12" hidden="1" customHeight="1" x14ac:dyDescent="0.3">
      <c r="AU4723" s="45"/>
    </row>
    <row r="4724" spans="47:47" ht="12" hidden="1" customHeight="1" x14ac:dyDescent="0.3">
      <c r="AU4724" s="45"/>
    </row>
    <row r="4725" spans="47:47" ht="12" hidden="1" customHeight="1" x14ac:dyDescent="0.3">
      <c r="AU4725" s="45"/>
    </row>
    <row r="4726" spans="47:47" ht="12" hidden="1" customHeight="1" x14ac:dyDescent="0.3">
      <c r="AU4726" s="45"/>
    </row>
    <row r="4727" spans="47:47" ht="12" hidden="1" customHeight="1" x14ac:dyDescent="0.3">
      <c r="AU4727" s="45"/>
    </row>
    <row r="4728" spans="47:47" ht="12" hidden="1" customHeight="1" x14ac:dyDescent="0.3">
      <c r="AU4728" s="45"/>
    </row>
    <row r="4729" spans="47:47" ht="12" hidden="1" customHeight="1" x14ac:dyDescent="0.3">
      <c r="AU4729" s="45"/>
    </row>
    <row r="4730" spans="47:47" ht="12" hidden="1" customHeight="1" x14ac:dyDescent="0.3">
      <c r="AU4730" s="45"/>
    </row>
    <row r="4731" spans="47:47" ht="12" hidden="1" customHeight="1" x14ac:dyDescent="0.3">
      <c r="AU4731" s="45"/>
    </row>
    <row r="4732" spans="47:47" ht="12" hidden="1" customHeight="1" x14ac:dyDescent="0.3">
      <c r="AU4732" s="45"/>
    </row>
    <row r="4733" spans="47:47" ht="12" hidden="1" customHeight="1" x14ac:dyDescent="0.3">
      <c r="AU4733" s="45"/>
    </row>
    <row r="4734" spans="47:47" ht="12" hidden="1" customHeight="1" x14ac:dyDescent="0.3">
      <c r="AU4734" s="45"/>
    </row>
    <row r="4735" spans="47:47" ht="12" hidden="1" customHeight="1" x14ac:dyDescent="0.3">
      <c r="AU4735" s="45"/>
    </row>
    <row r="4736" spans="47:47" ht="12" hidden="1" customHeight="1" x14ac:dyDescent="0.3">
      <c r="AU4736" s="45"/>
    </row>
    <row r="4737" spans="47:47" ht="12" hidden="1" customHeight="1" x14ac:dyDescent="0.3">
      <c r="AU4737" s="45"/>
    </row>
    <row r="4738" spans="47:47" ht="12" hidden="1" customHeight="1" x14ac:dyDescent="0.3">
      <c r="AU4738" s="45"/>
    </row>
    <row r="4739" spans="47:47" ht="12" hidden="1" customHeight="1" x14ac:dyDescent="0.3">
      <c r="AU4739" s="45"/>
    </row>
    <row r="4740" spans="47:47" ht="12" hidden="1" customHeight="1" x14ac:dyDescent="0.3">
      <c r="AU4740" s="45"/>
    </row>
    <row r="4741" spans="47:47" ht="12" hidden="1" customHeight="1" x14ac:dyDescent="0.3">
      <c r="AU4741" s="45"/>
    </row>
    <row r="4742" spans="47:47" ht="12" hidden="1" customHeight="1" x14ac:dyDescent="0.3">
      <c r="AU4742" s="45"/>
    </row>
    <row r="4743" spans="47:47" ht="12" hidden="1" customHeight="1" x14ac:dyDescent="0.3">
      <c r="AU4743" s="45"/>
    </row>
    <row r="4744" spans="47:47" ht="12" hidden="1" customHeight="1" x14ac:dyDescent="0.3">
      <c r="AU4744" s="45"/>
    </row>
    <row r="4745" spans="47:47" ht="12" hidden="1" customHeight="1" x14ac:dyDescent="0.3">
      <c r="AU4745" s="45"/>
    </row>
    <row r="4746" spans="47:47" ht="12" hidden="1" customHeight="1" x14ac:dyDescent="0.3">
      <c r="AU4746" s="45"/>
    </row>
    <row r="4747" spans="47:47" ht="12" hidden="1" customHeight="1" x14ac:dyDescent="0.3">
      <c r="AU4747" s="45"/>
    </row>
    <row r="4748" spans="47:47" ht="12" hidden="1" customHeight="1" x14ac:dyDescent="0.3">
      <c r="AU4748" s="45"/>
    </row>
    <row r="4749" spans="47:47" ht="12" hidden="1" customHeight="1" x14ac:dyDescent="0.3">
      <c r="AU4749" s="45"/>
    </row>
    <row r="4750" spans="47:47" ht="12" hidden="1" customHeight="1" x14ac:dyDescent="0.3">
      <c r="AU4750" s="45"/>
    </row>
    <row r="4751" spans="47:47" ht="12" hidden="1" customHeight="1" x14ac:dyDescent="0.3">
      <c r="AU4751" s="45"/>
    </row>
    <row r="4752" spans="47:47" ht="12" hidden="1" customHeight="1" x14ac:dyDescent="0.3">
      <c r="AU4752" s="45"/>
    </row>
    <row r="4753" spans="47:47" ht="12" hidden="1" customHeight="1" x14ac:dyDescent="0.3">
      <c r="AU4753" s="45"/>
    </row>
    <row r="4754" spans="47:47" ht="12" hidden="1" customHeight="1" x14ac:dyDescent="0.3">
      <c r="AU4754" s="45"/>
    </row>
    <row r="4755" spans="47:47" ht="12" hidden="1" customHeight="1" x14ac:dyDescent="0.3">
      <c r="AU4755" s="45"/>
    </row>
    <row r="4756" spans="47:47" ht="12" hidden="1" customHeight="1" x14ac:dyDescent="0.3">
      <c r="AU4756" s="45"/>
    </row>
    <row r="4757" spans="47:47" ht="12" hidden="1" customHeight="1" x14ac:dyDescent="0.3">
      <c r="AU4757" s="45"/>
    </row>
    <row r="4758" spans="47:47" ht="12" hidden="1" customHeight="1" x14ac:dyDescent="0.3">
      <c r="AU4758" s="45"/>
    </row>
    <row r="4759" spans="47:47" ht="12" hidden="1" customHeight="1" x14ac:dyDescent="0.3">
      <c r="AU4759" s="45"/>
    </row>
    <row r="4760" spans="47:47" ht="12" hidden="1" customHeight="1" x14ac:dyDescent="0.3">
      <c r="AU4760" s="45"/>
    </row>
    <row r="4761" spans="47:47" ht="12" hidden="1" customHeight="1" x14ac:dyDescent="0.3">
      <c r="AU4761" s="45"/>
    </row>
    <row r="4762" spans="47:47" ht="12" hidden="1" customHeight="1" x14ac:dyDescent="0.3">
      <c r="AU4762" s="45"/>
    </row>
    <row r="4763" spans="47:47" ht="12" hidden="1" customHeight="1" x14ac:dyDescent="0.3">
      <c r="AU4763" s="45"/>
    </row>
    <row r="4764" spans="47:47" ht="12" hidden="1" customHeight="1" x14ac:dyDescent="0.3">
      <c r="AU4764" s="45"/>
    </row>
    <row r="4765" spans="47:47" ht="12" hidden="1" customHeight="1" x14ac:dyDescent="0.3">
      <c r="AU4765" s="45"/>
    </row>
    <row r="4766" spans="47:47" ht="12" hidden="1" customHeight="1" x14ac:dyDescent="0.3">
      <c r="AU4766" s="45"/>
    </row>
    <row r="4767" spans="47:47" ht="12" hidden="1" customHeight="1" x14ac:dyDescent="0.3">
      <c r="AU4767" s="45"/>
    </row>
    <row r="4768" spans="47:47" ht="12" hidden="1" customHeight="1" x14ac:dyDescent="0.3">
      <c r="AU4768" s="45"/>
    </row>
    <row r="4769" spans="47:47" ht="12" hidden="1" customHeight="1" x14ac:dyDescent="0.3">
      <c r="AU4769" s="45"/>
    </row>
    <row r="4770" spans="47:47" ht="12" hidden="1" customHeight="1" x14ac:dyDescent="0.3">
      <c r="AU4770" s="45"/>
    </row>
    <row r="4771" spans="47:47" ht="12" hidden="1" customHeight="1" x14ac:dyDescent="0.3">
      <c r="AU4771" s="45"/>
    </row>
    <row r="4772" spans="47:47" ht="12" hidden="1" customHeight="1" x14ac:dyDescent="0.3">
      <c r="AU4772" s="45"/>
    </row>
    <row r="4773" spans="47:47" ht="12" hidden="1" customHeight="1" x14ac:dyDescent="0.3">
      <c r="AU4773" s="45"/>
    </row>
    <row r="4774" spans="47:47" ht="12" hidden="1" customHeight="1" x14ac:dyDescent="0.3">
      <c r="AU4774" s="45"/>
    </row>
    <row r="4775" spans="47:47" ht="12" hidden="1" customHeight="1" x14ac:dyDescent="0.3">
      <c r="AU4775" s="45"/>
    </row>
    <row r="4776" spans="47:47" ht="12" hidden="1" customHeight="1" x14ac:dyDescent="0.3">
      <c r="AU4776" s="45"/>
    </row>
    <row r="4777" spans="47:47" ht="12" hidden="1" customHeight="1" x14ac:dyDescent="0.3">
      <c r="AU4777" s="45"/>
    </row>
    <row r="4778" spans="47:47" ht="12" hidden="1" customHeight="1" x14ac:dyDescent="0.3">
      <c r="AU4778" s="45"/>
    </row>
    <row r="4779" spans="47:47" ht="12" hidden="1" customHeight="1" x14ac:dyDescent="0.3">
      <c r="AU4779" s="45"/>
    </row>
    <row r="4780" spans="47:47" ht="12" hidden="1" customHeight="1" x14ac:dyDescent="0.3">
      <c r="AU4780" s="45"/>
    </row>
    <row r="4781" spans="47:47" ht="12" hidden="1" customHeight="1" x14ac:dyDescent="0.3">
      <c r="AU4781" s="45"/>
    </row>
    <row r="4782" spans="47:47" ht="12" hidden="1" customHeight="1" x14ac:dyDescent="0.3">
      <c r="AU4782" s="45"/>
    </row>
    <row r="4783" spans="47:47" ht="12" hidden="1" customHeight="1" x14ac:dyDescent="0.3">
      <c r="AU4783" s="45"/>
    </row>
    <row r="4784" spans="47:47" ht="12" hidden="1" customHeight="1" x14ac:dyDescent="0.3">
      <c r="AU4784" s="45"/>
    </row>
    <row r="4785" spans="47:47" ht="12" hidden="1" customHeight="1" x14ac:dyDescent="0.3">
      <c r="AU4785" s="45"/>
    </row>
    <row r="4786" spans="47:47" ht="12" hidden="1" customHeight="1" x14ac:dyDescent="0.3">
      <c r="AU4786" s="45"/>
    </row>
    <row r="4787" spans="47:47" ht="12" hidden="1" customHeight="1" x14ac:dyDescent="0.3">
      <c r="AU4787" s="45"/>
    </row>
    <row r="4788" spans="47:47" ht="12" hidden="1" customHeight="1" x14ac:dyDescent="0.3">
      <c r="AU4788" s="45"/>
    </row>
    <row r="4789" spans="47:47" ht="12" hidden="1" customHeight="1" x14ac:dyDescent="0.3">
      <c r="AU4789" s="45"/>
    </row>
    <row r="4790" spans="47:47" ht="12" hidden="1" customHeight="1" x14ac:dyDescent="0.3">
      <c r="AU4790" s="45"/>
    </row>
    <row r="4791" spans="47:47" ht="12" hidden="1" customHeight="1" x14ac:dyDescent="0.3">
      <c r="AU4791" s="45"/>
    </row>
    <row r="4792" spans="47:47" ht="12" hidden="1" customHeight="1" x14ac:dyDescent="0.3">
      <c r="AU4792" s="45"/>
    </row>
    <row r="4793" spans="47:47" ht="12" hidden="1" customHeight="1" x14ac:dyDescent="0.3">
      <c r="AU4793" s="45"/>
    </row>
    <row r="4794" spans="47:47" ht="12" hidden="1" customHeight="1" x14ac:dyDescent="0.3">
      <c r="AU4794" s="45"/>
    </row>
    <row r="4795" spans="47:47" ht="12" hidden="1" customHeight="1" x14ac:dyDescent="0.3">
      <c r="AU4795" s="45"/>
    </row>
    <row r="4796" spans="47:47" ht="12" hidden="1" customHeight="1" x14ac:dyDescent="0.3">
      <c r="AU4796" s="45"/>
    </row>
    <row r="4797" spans="47:47" ht="12" hidden="1" customHeight="1" x14ac:dyDescent="0.3">
      <c r="AU4797" s="45"/>
    </row>
    <row r="4798" spans="47:47" ht="12" hidden="1" customHeight="1" x14ac:dyDescent="0.3">
      <c r="AU4798" s="45"/>
    </row>
    <row r="4799" spans="47:47" ht="12" hidden="1" customHeight="1" x14ac:dyDescent="0.3">
      <c r="AU4799" s="45"/>
    </row>
    <row r="4800" spans="47:47" ht="12" hidden="1" customHeight="1" x14ac:dyDescent="0.3">
      <c r="AU4800" s="45"/>
    </row>
    <row r="4801" spans="47:47" ht="12" hidden="1" customHeight="1" x14ac:dyDescent="0.3">
      <c r="AU4801" s="45"/>
    </row>
    <row r="4802" spans="47:47" ht="12" hidden="1" customHeight="1" x14ac:dyDescent="0.3">
      <c r="AU4802" s="45"/>
    </row>
    <row r="4803" spans="47:47" ht="12" hidden="1" customHeight="1" x14ac:dyDescent="0.3">
      <c r="AU4803" s="45"/>
    </row>
    <row r="4804" spans="47:47" ht="12" hidden="1" customHeight="1" x14ac:dyDescent="0.3">
      <c r="AU4804" s="45"/>
    </row>
    <row r="4805" spans="47:47" ht="12" hidden="1" customHeight="1" x14ac:dyDescent="0.3">
      <c r="AU4805" s="45"/>
    </row>
    <row r="4806" spans="47:47" ht="12" hidden="1" customHeight="1" x14ac:dyDescent="0.3">
      <c r="AU4806" s="45"/>
    </row>
    <row r="4807" spans="47:47" ht="12" hidden="1" customHeight="1" x14ac:dyDescent="0.3">
      <c r="AU4807" s="45"/>
    </row>
    <row r="4808" spans="47:47" ht="12" hidden="1" customHeight="1" x14ac:dyDescent="0.3">
      <c r="AU4808" s="45"/>
    </row>
    <row r="4809" spans="47:47" ht="12" hidden="1" customHeight="1" x14ac:dyDescent="0.3">
      <c r="AU4809" s="45"/>
    </row>
    <row r="4810" spans="47:47" ht="12" hidden="1" customHeight="1" x14ac:dyDescent="0.3">
      <c r="AU4810" s="45"/>
    </row>
    <row r="4811" spans="47:47" ht="12" hidden="1" customHeight="1" x14ac:dyDescent="0.3">
      <c r="AU4811" s="45"/>
    </row>
    <row r="4812" spans="47:47" ht="12" hidden="1" customHeight="1" x14ac:dyDescent="0.3">
      <c r="AU4812" s="45"/>
    </row>
    <row r="4813" spans="47:47" ht="12" hidden="1" customHeight="1" x14ac:dyDescent="0.3">
      <c r="AU4813" s="45"/>
    </row>
    <row r="4814" spans="47:47" ht="12" hidden="1" customHeight="1" x14ac:dyDescent="0.3">
      <c r="AU4814" s="45"/>
    </row>
    <row r="4815" spans="47:47" ht="12" hidden="1" customHeight="1" x14ac:dyDescent="0.3">
      <c r="AU4815" s="45"/>
    </row>
    <row r="4816" spans="47:47" ht="12" hidden="1" customHeight="1" x14ac:dyDescent="0.3">
      <c r="AU4816" s="45"/>
    </row>
    <row r="4817" spans="47:47" ht="12" hidden="1" customHeight="1" x14ac:dyDescent="0.3">
      <c r="AU4817" s="45"/>
    </row>
    <row r="4818" spans="47:47" ht="12" hidden="1" customHeight="1" x14ac:dyDescent="0.3">
      <c r="AU4818" s="45"/>
    </row>
    <row r="4819" spans="47:47" ht="12" hidden="1" customHeight="1" x14ac:dyDescent="0.3">
      <c r="AU4819" s="45"/>
    </row>
    <row r="4820" spans="47:47" ht="12" hidden="1" customHeight="1" x14ac:dyDescent="0.3">
      <c r="AU4820" s="45"/>
    </row>
    <row r="4821" spans="47:47" ht="12" hidden="1" customHeight="1" x14ac:dyDescent="0.3">
      <c r="AU4821" s="45"/>
    </row>
    <row r="4822" spans="47:47" ht="12" hidden="1" customHeight="1" x14ac:dyDescent="0.3">
      <c r="AU4822" s="45"/>
    </row>
    <row r="4823" spans="47:47" ht="12" hidden="1" customHeight="1" x14ac:dyDescent="0.3">
      <c r="AU4823" s="45"/>
    </row>
    <row r="4824" spans="47:47" ht="12" hidden="1" customHeight="1" x14ac:dyDescent="0.3">
      <c r="AU4824" s="45"/>
    </row>
    <row r="4825" spans="47:47" ht="12" hidden="1" customHeight="1" x14ac:dyDescent="0.3">
      <c r="AU4825" s="45"/>
    </row>
    <row r="4826" spans="47:47" ht="12" hidden="1" customHeight="1" x14ac:dyDescent="0.3">
      <c r="AU4826" s="45"/>
    </row>
    <row r="4827" spans="47:47" ht="12" hidden="1" customHeight="1" x14ac:dyDescent="0.3">
      <c r="AU4827" s="45"/>
    </row>
    <row r="4828" spans="47:47" ht="12" hidden="1" customHeight="1" x14ac:dyDescent="0.3">
      <c r="AU4828" s="45"/>
    </row>
    <row r="4829" spans="47:47" ht="12" hidden="1" customHeight="1" x14ac:dyDescent="0.3">
      <c r="AU4829" s="45"/>
    </row>
    <row r="4830" spans="47:47" ht="12" hidden="1" customHeight="1" x14ac:dyDescent="0.3">
      <c r="AU4830" s="45"/>
    </row>
    <row r="4831" spans="47:47" ht="12" hidden="1" customHeight="1" x14ac:dyDescent="0.3">
      <c r="AU4831" s="45"/>
    </row>
    <row r="4832" spans="47:47" ht="12" hidden="1" customHeight="1" x14ac:dyDescent="0.3">
      <c r="AU4832" s="45"/>
    </row>
    <row r="4833" spans="47:47" ht="12" hidden="1" customHeight="1" x14ac:dyDescent="0.3">
      <c r="AU4833" s="45"/>
    </row>
    <row r="4834" spans="47:47" ht="12" hidden="1" customHeight="1" x14ac:dyDescent="0.3">
      <c r="AU4834" s="45"/>
    </row>
    <row r="4835" spans="47:47" ht="12" hidden="1" customHeight="1" x14ac:dyDescent="0.3">
      <c r="AU4835" s="45"/>
    </row>
    <row r="4836" spans="47:47" ht="12" hidden="1" customHeight="1" x14ac:dyDescent="0.3">
      <c r="AU4836" s="45"/>
    </row>
    <row r="4837" spans="47:47" ht="12" hidden="1" customHeight="1" x14ac:dyDescent="0.3">
      <c r="AU4837" s="45"/>
    </row>
    <row r="4838" spans="47:47" ht="12" hidden="1" customHeight="1" x14ac:dyDescent="0.3">
      <c r="AU4838" s="45"/>
    </row>
    <row r="4839" spans="47:47" ht="12" hidden="1" customHeight="1" x14ac:dyDescent="0.3">
      <c r="AU4839" s="45"/>
    </row>
    <row r="4840" spans="47:47" ht="12" hidden="1" customHeight="1" x14ac:dyDescent="0.3">
      <c r="AU4840" s="45"/>
    </row>
    <row r="4841" spans="47:47" ht="12" hidden="1" customHeight="1" x14ac:dyDescent="0.3">
      <c r="AU4841" s="45"/>
    </row>
    <row r="4842" spans="47:47" ht="12" hidden="1" customHeight="1" x14ac:dyDescent="0.3">
      <c r="AU4842" s="45"/>
    </row>
    <row r="4843" spans="47:47" ht="12" hidden="1" customHeight="1" x14ac:dyDescent="0.3">
      <c r="AU4843" s="45"/>
    </row>
    <row r="4844" spans="47:47" ht="12" hidden="1" customHeight="1" x14ac:dyDescent="0.3">
      <c r="AU4844" s="45"/>
    </row>
    <row r="4845" spans="47:47" ht="12" hidden="1" customHeight="1" x14ac:dyDescent="0.3">
      <c r="AU4845" s="45"/>
    </row>
    <row r="4846" spans="47:47" ht="12" hidden="1" customHeight="1" x14ac:dyDescent="0.3">
      <c r="AU4846" s="45"/>
    </row>
    <row r="4847" spans="47:47" ht="12" hidden="1" customHeight="1" x14ac:dyDescent="0.3">
      <c r="AU4847" s="45"/>
    </row>
    <row r="4848" spans="47:47" ht="12" hidden="1" customHeight="1" x14ac:dyDescent="0.3">
      <c r="AU4848" s="45"/>
    </row>
    <row r="4849" spans="47:47" ht="12" hidden="1" customHeight="1" x14ac:dyDescent="0.3">
      <c r="AU4849" s="45"/>
    </row>
    <row r="4850" spans="47:47" ht="12" hidden="1" customHeight="1" x14ac:dyDescent="0.3">
      <c r="AU4850" s="45"/>
    </row>
    <row r="4851" spans="47:47" ht="12" hidden="1" customHeight="1" x14ac:dyDescent="0.3">
      <c r="AU4851" s="45"/>
    </row>
    <row r="4852" spans="47:47" ht="12" hidden="1" customHeight="1" x14ac:dyDescent="0.3">
      <c r="AU4852" s="45"/>
    </row>
    <row r="4853" spans="47:47" ht="12" hidden="1" customHeight="1" x14ac:dyDescent="0.3">
      <c r="AU4853" s="45"/>
    </row>
    <row r="4854" spans="47:47" ht="12" hidden="1" customHeight="1" x14ac:dyDescent="0.3">
      <c r="AU4854" s="45"/>
    </row>
    <row r="4855" spans="47:47" ht="12" hidden="1" customHeight="1" x14ac:dyDescent="0.3">
      <c r="AU4855" s="45"/>
    </row>
    <row r="4856" spans="47:47" ht="12" hidden="1" customHeight="1" x14ac:dyDescent="0.3">
      <c r="AU4856" s="45"/>
    </row>
    <row r="4857" spans="47:47" ht="12" hidden="1" customHeight="1" x14ac:dyDescent="0.3">
      <c r="AU4857" s="45"/>
    </row>
    <row r="4858" spans="47:47" ht="12" hidden="1" customHeight="1" x14ac:dyDescent="0.3">
      <c r="AU4858" s="45"/>
    </row>
    <row r="4859" spans="47:47" ht="12" hidden="1" customHeight="1" x14ac:dyDescent="0.3">
      <c r="AU4859" s="45"/>
    </row>
    <row r="4860" spans="47:47" ht="12" hidden="1" customHeight="1" x14ac:dyDescent="0.3">
      <c r="AU4860" s="45"/>
    </row>
    <row r="4861" spans="47:47" ht="12" hidden="1" customHeight="1" x14ac:dyDescent="0.3">
      <c r="AU4861" s="45"/>
    </row>
    <row r="4862" spans="47:47" ht="12" hidden="1" customHeight="1" x14ac:dyDescent="0.3">
      <c r="AU4862" s="45"/>
    </row>
    <row r="4863" spans="47:47" ht="12" hidden="1" customHeight="1" x14ac:dyDescent="0.3">
      <c r="AU4863" s="45"/>
    </row>
    <row r="4864" spans="47:47" ht="12" hidden="1" customHeight="1" x14ac:dyDescent="0.3">
      <c r="AU4864" s="45"/>
    </row>
    <row r="4865" spans="47:47" ht="12" hidden="1" customHeight="1" x14ac:dyDescent="0.3">
      <c r="AU4865" s="45"/>
    </row>
    <row r="4866" spans="47:47" ht="12" hidden="1" customHeight="1" x14ac:dyDescent="0.3">
      <c r="AU4866" s="45"/>
    </row>
    <row r="4867" spans="47:47" ht="12" hidden="1" customHeight="1" x14ac:dyDescent="0.3">
      <c r="AU4867" s="45"/>
    </row>
    <row r="4868" spans="47:47" ht="12" hidden="1" customHeight="1" x14ac:dyDescent="0.3">
      <c r="AU4868" s="45"/>
    </row>
    <row r="4869" spans="47:47" ht="12" hidden="1" customHeight="1" x14ac:dyDescent="0.3">
      <c r="AU4869" s="45"/>
    </row>
    <row r="4870" spans="47:47" ht="12" hidden="1" customHeight="1" x14ac:dyDescent="0.3">
      <c r="AU4870" s="45"/>
    </row>
    <row r="4871" spans="47:47" ht="12" hidden="1" customHeight="1" x14ac:dyDescent="0.3">
      <c r="AU4871" s="45"/>
    </row>
    <row r="4872" spans="47:47" ht="12" hidden="1" customHeight="1" x14ac:dyDescent="0.3">
      <c r="AU4872" s="45"/>
    </row>
    <row r="4873" spans="47:47" ht="12" hidden="1" customHeight="1" x14ac:dyDescent="0.3">
      <c r="AU4873" s="45"/>
    </row>
    <row r="4874" spans="47:47" ht="12" hidden="1" customHeight="1" x14ac:dyDescent="0.3">
      <c r="AU4874" s="45"/>
    </row>
    <row r="4875" spans="47:47" ht="12" hidden="1" customHeight="1" x14ac:dyDescent="0.3">
      <c r="AU4875" s="45"/>
    </row>
    <row r="4876" spans="47:47" ht="12" hidden="1" customHeight="1" x14ac:dyDescent="0.3">
      <c r="AU4876" s="45"/>
    </row>
    <row r="4877" spans="47:47" ht="12" hidden="1" customHeight="1" x14ac:dyDescent="0.3">
      <c r="AU4877" s="45"/>
    </row>
    <row r="4878" spans="47:47" ht="12" hidden="1" customHeight="1" x14ac:dyDescent="0.3">
      <c r="AU4878" s="45"/>
    </row>
    <row r="4879" spans="47:47" ht="12" hidden="1" customHeight="1" x14ac:dyDescent="0.3">
      <c r="AU4879" s="45"/>
    </row>
    <row r="4880" spans="47:47" ht="12" hidden="1" customHeight="1" x14ac:dyDescent="0.3">
      <c r="AU4880" s="45"/>
    </row>
    <row r="4881" spans="47:47" ht="12" hidden="1" customHeight="1" x14ac:dyDescent="0.3">
      <c r="AU4881" s="45"/>
    </row>
    <row r="4882" spans="47:47" ht="12" hidden="1" customHeight="1" x14ac:dyDescent="0.3">
      <c r="AU4882" s="45"/>
    </row>
    <row r="4883" spans="47:47" ht="12" hidden="1" customHeight="1" x14ac:dyDescent="0.3">
      <c r="AU4883" s="45"/>
    </row>
    <row r="4884" spans="47:47" ht="12" hidden="1" customHeight="1" x14ac:dyDescent="0.3">
      <c r="AU4884" s="45"/>
    </row>
    <row r="4885" spans="47:47" ht="12" hidden="1" customHeight="1" x14ac:dyDescent="0.3">
      <c r="AU4885" s="45"/>
    </row>
    <row r="4886" spans="47:47" ht="12" hidden="1" customHeight="1" x14ac:dyDescent="0.3">
      <c r="AU4886" s="45"/>
    </row>
    <row r="4887" spans="47:47" ht="12" hidden="1" customHeight="1" x14ac:dyDescent="0.3">
      <c r="AU4887" s="45"/>
    </row>
    <row r="4888" spans="47:47" ht="12" hidden="1" customHeight="1" x14ac:dyDescent="0.3">
      <c r="AU4888" s="45"/>
    </row>
    <row r="4889" spans="47:47" ht="12" hidden="1" customHeight="1" x14ac:dyDescent="0.3">
      <c r="AU4889" s="45"/>
    </row>
    <row r="4890" spans="47:47" ht="12" hidden="1" customHeight="1" x14ac:dyDescent="0.3">
      <c r="AU4890" s="45"/>
    </row>
    <row r="4891" spans="47:47" ht="12" hidden="1" customHeight="1" x14ac:dyDescent="0.3">
      <c r="AU4891" s="45"/>
    </row>
    <row r="4892" spans="47:47" ht="12" hidden="1" customHeight="1" x14ac:dyDescent="0.3">
      <c r="AU4892" s="45"/>
    </row>
    <row r="4893" spans="47:47" ht="12" hidden="1" customHeight="1" x14ac:dyDescent="0.3">
      <c r="AU4893" s="45"/>
    </row>
    <row r="4894" spans="47:47" ht="12" hidden="1" customHeight="1" x14ac:dyDescent="0.3">
      <c r="AU4894" s="45"/>
    </row>
    <row r="4895" spans="47:47" ht="12" hidden="1" customHeight="1" x14ac:dyDescent="0.3">
      <c r="AU4895" s="45"/>
    </row>
    <row r="4896" spans="47:47" ht="12" hidden="1" customHeight="1" x14ac:dyDescent="0.3">
      <c r="AU4896" s="45"/>
    </row>
    <row r="4897" spans="47:47" ht="12" hidden="1" customHeight="1" x14ac:dyDescent="0.3">
      <c r="AU4897" s="45"/>
    </row>
    <row r="4898" spans="47:47" ht="12" hidden="1" customHeight="1" x14ac:dyDescent="0.3">
      <c r="AU4898" s="45"/>
    </row>
    <row r="4899" spans="47:47" ht="12" hidden="1" customHeight="1" x14ac:dyDescent="0.3">
      <c r="AU4899" s="45"/>
    </row>
    <row r="4900" spans="47:47" ht="12" hidden="1" customHeight="1" x14ac:dyDescent="0.3">
      <c r="AU4900" s="45"/>
    </row>
    <row r="4901" spans="47:47" ht="12" hidden="1" customHeight="1" x14ac:dyDescent="0.3">
      <c r="AU4901" s="45"/>
    </row>
    <row r="4902" spans="47:47" ht="12" hidden="1" customHeight="1" x14ac:dyDescent="0.3">
      <c r="AU4902" s="45"/>
    </row>
    <row r="4903" spans="47:47" ht="12" hidden="1" customHeight="1" x14ac:dyDescent="0.3">
      <c r="AU4903" s="45"/>
    </row>
    <row r="4904" spans="47:47" ht="12" hidden="1" customHeight="1" x14ac:dyDescent="0.3">
      <c r="AU4904" s="45"/>
    </row>
    <row r="4905" spans="47:47" ht="12" hidden="1" customHeight="1" x14ac:dyDescent="0.3">
      <c r="AU4905" s="45"/>
    </row>
    <row r="4906" spans="47:47" ht="12" hidden="1" customHeight="1" x14ac:dyDescent="0.3">
      <c r="AU4906" s="45"/>
    </row>
    <row r="4907" spans="47:47" ht="12" hidden="1" customHeight="1" x14ac:dyDescent="0.3">
      <c r="AU4907" s="45"/>
    </row>
    <row r="4908" spans="47:47" ht="12" hidden="1" customHeight="1" x14ac:dyDescent="0.3">
      <c r="AU4908" s="45"/>
    </row>
    <row r="4909" spans="47:47" ht="12" hidden="1" customHeight="1" x14ac:dyDescent="0.3">
      <c r="AU4909" s="45"/>
    </row>
    <row r="4910" spans="47:47" ht="12" hidden="1" customHeight="1" x14ac:dyDescent="0.3">
      <c r="AU4910" s="45"/>
    </row>
    <row r="4911" spans="47:47" ht="12" hidden="1" customHeight="1" x14ac:dyDescent="0.3">
      <c r="AU4911" s="45"/>
    </row>
    <row r="4912" spans="47:47" ht="12" hidden="1" customHeight="1" x14ac:dyDescent="0.3">
      <c r="AU4912" s="45"/>
    </row>
    <row r="4913" spans="47:47" ht="12" hidden="1" customHeight="1" x14ac:dyDescent="0.3">
      <c r="AU4913" s="45"/>
    </row>
    <row r="4914" spans="47:47" ht="12" hidden="1" customHeight="1" x14ac:dyDescent="0.3">
      <c r="AU4914" s="45"/>
    </row>
    <row r="4915" spans="47:47" ht="12" hidden="1" customHeight="1" x14ac:dyDescent="0.3">
      <c r="AU4915" s="45"/>
    </row>
    <row r="4916" spans="47:47" ht="12" hidden="1" customHeight="1" x14ac:dyDescent="0.3">
      <c r="AU4916" s="45"/>
    </row>
    <row r="4917" spans="47:47" ht="12" hidden="1" customHeight="1" x14ac:dyDescent="0.3">
      <c r="AU4917" s="45"/>
    </row>
    <row r="4918" spans="47:47" ht="12" hidden="1" customHeight="1" x14ac:dyDescent="0.3">
      <c r="AU4918" s="45"/>
    </row>
    <row r="4919" spans="47:47" ht="12" hidden="1" customHeight="1" x14ac:dyDescent="0.3">
      <c r="AU4919" s="45"/>
    </row>
    <row r="4920" spans="47:47" ht="12" hidden="1" customHeight="1" x14ac:dyDescent="0.3">
      <c r="AU4920" s="45"/>
    </row>
    <row r="4921" spans="47:47" ht="12" hidden="1" customHeight="1" x14ac:dyDescent="0.3">
      <c r="AU4921" s="45"/>
    </row>
    <row r="4922" spans="47:47" ht="12" hidden="1" customHeight="1" x14ac:dyDescent="0.3">
      <c r="AU4922" s="45"/>
    </row>
    <row r="4923" spans="47:47" ht="12" hidden="1" customHeight="1" x14ac:dyDescent="0.3">
      <c r="AU4923" s="45"/>
    </row>
    <row r="4924" spans="47:47" ht="12" hidden="1" customHeight="1" x14ac:dyDescent="0.3">
      <c r="AU4924" s="45"/>
    </row>
    <row r="4925" spans="47:47" ht="12" hidden="1" customHeight="1" x14ac:dyDescent="0.3">
      <c r="AU4925" s="45"/>
    </row>
    <row r="4926" spans="47:47" ht="12" hidden="1" customHeight="1" x14ac:dyDescent="0.3">
      <c r="AU4926" s="45"/>
    </row>
    <row r="4927" spans="47:47" ht="12" hidden="1" customHeight="1" x14ac:dyDescent="0.3">
      <c r="AU4927" s="45"/>
    </row>
    <row r="4928" spans="47:47" ht="12" hidden="1" customHeight="1" x14ac:dyDescent="0.3">
      <c r="AU4928" s="45"/>
    </row>
    <row r="4929" spans="47:47" ht="12" hidden="1" customHeight="1" x14ac:dyDescent="0.3">
      <c r="AU4929" s="45"/>
    </row>
    <row r="4930" spans="47:47" ht="12" hidden="1" customHeight="1" x14ac:dyDescent="0.3">
      <c r="AU4930" s="45"/>
    </row>
    <row r="4931" spans="47:47" ht="12" hidden="1" customHeight="1" x14ac:dyDescent="0.3">
      <c r="AU4931" s="45"/>
    </row>
    <row r="4932" spans="47:47" ht="12" hidden="1" customHeight="1" x14ac:dyDescent="0.3">
      <c r="AU4932" s="45"/>
    </row>
    <row r="4933" spans="47:47" ht="12" hidden="1" customHeight="1" x14ac:dyDescent="0.3">
      <c r="AU4933" s="45"/>
    </row>
    <row r="4934" spans="47:47" ht="12" hidden="1" customHeight="1" x14ac:dyDescent="0.3">
      <c r="AU4934" s="45"/>
    </row>
    <row r="4935" spans="47:47" ht="12" hidden="1" customHeight="1" x14ac:dyDescent="0.3">
      <c r="AU4935" s="45"/>
    </row>
    <row r="4936" spans="47:47" ht="12" hidden="1" customHeight="1" x14ac:dyDescent="0.3">
      <c r="AU4936" s="45"/>
    </row>
    <row r="4937" spans="47:47" ht="12" hidden="1" customHeight="1" x14ac:dyDescent="0.3">
      <c r="AU4937" s="45"/>
    </row>
    <row r="4938" spans="47:47" ht="12" hidden="1" customHeight="1" x14ac:dyDescent="0.3">
      <c r="AU4938" s="45"/>
    </row>
    <row r="4939" spans="47:47" ht="12" hidden="1" customHeight="1" x14ac:dyDescent="0.3">
      <c r="AU4939" s="45"/>
    </row>
    <row r="4940" spans="47:47" ht="12" hidden="1" customHeight="1" x14ac:dyDescent="0.3">
      <c r="AU4940" s="45"/>
    </row>
    <row r="4941" spans="47:47" ht="12" hidden="1" customHeight="1" x14ac:dyDescent="0.3">
      <c r="AU4941" s="45"/>
    </row>
    <row r="4942" spans="47:47" ht="12" hidden="1" customHeight="1" x14ac:dyDescent="0.3">
      <c r="AU4942" s="45"/>
    </row>
    <row r="4943" spans="47:47" ht="12" hidden="1" customHeight="1" x14ac:dyDescent="0.3">
      <c r="AU4943" s="45"/>
    </row>
    <row r="4944" spans="47:47" ht="12" hidden="1" customHeight="1" x14ac:dyDescent="0.3">
      <c r="AU4944" s="45"/>
    </row>
    <row r="4945" spans="47:47" ht="12" hidden="1" customHeight="1" x14ac:dyDescent="0.3">
      <c r="AU4945" s="45"/>
    </row>
    <row r="4946" spans="47:47" ht="12" hidden="1" customHeight="1" x14ac:dyDescent="0.3">
      <c r="AU4946" s="45"/>
    </row>
    <row r="4947" spans="47:47" ht="12" hidden="1" customHeight="1" x14ac:dyDescent="0.3">
      <c r="AU4947" s="45"/>
    </row>
    <row r="4948" spans="47:47" ht="12" hidden="1" customHeight="1" x14ac:dyDescent="0.3">
      <c r="AU4948" s="45"/>
    </row>
    <row r="4949" spans="47:47" ht="12" hidden="1" customHeight="1" x14ac:dyDescent="0.3">
      <c r="AU4949" s="45"/>
    </row>
    <row r="4950" spans="47:47" ht="12" hidden="1" customHeight="1" x14ac:dyDescent="0.3">
      <c r="AU4950" s="45"/>
    </row>
    <row r="4951" spans="47:47" ht="12" hidden="1" customHeight="1" x14ac:dyDescent="0.3">
      <c r="AU4951" s="45"/>
    </row>
    <row r="4952" spans="47:47" ht="12" hidden="1" customHeight="1" x14ac:dyDescent="0.3">
      <c r="AU4952" s="45"/>
    </row>
    <row r="4953" spans="47:47" ht="12" hidden="1" customHeight="1" x14ac:dyDescent="0.3">
      <c r="AU4953" s="45"/>
    </row>
    <row r="4954" spans="47:47" ht="12" hidden="1" customHeight="1" x14ac:dyDescent="0.3">
      <c r="AU4954" s="45"/>
    </row>
    <row r="4955" spans="47:47" ht="12" hidden="1" customHeight="1" x14ac:dyDescent="0.3">
      <c r="AU4955" s="45"/>
    </row>
    <row r="4956" spans="47:47" ht="12" hidden="1" customHeight="1" x14ac:dyDescent="0.3">
      <c r="AU4956" s="45"/>
    </row>
    <row r="4957" spans="47:47" ht="12" hidden="1" customHeight="1" x14ac:dyDescent="0.3">
      <c r="AU4957" s="45"/>
    </row>
    <row r="4958" spans="47:47" ht="12" hidden="1" customHeight="1" x14ac:dyDescent="0.3">
      <c r="AU4958" s="45"/>
    </row>
    <row r="4959" spans="47:47" ht="12" hidden="1" customHeight="1" x14ac:dyDescent="0.3">
      <c r="AU4959" s="45"/>
    </row>
    <row r="4960" spans="47:47" ht="12" hidden="1" customHeight="1" x14ac:dyDescent="0.3">
      <c r="AU4960" s="45"/>
    </row>
    <row r="4961" spans="47:47" ht="12" hidden="1" customHeight="1" x14ac:dyDescent="0.3">
      <c r="AU4961" s="45"/>
    </row>
    <row r="4962" spans="47:47" ht="12" hidden="1" customHeight="1" x14ac:dyDescent="0.3">
      <c r="AU4962" s="45"/>
    </row>
    <row r="4963" spans="47:47" ht="12" hidden="1" customHeight="1" x14ac:dyDescent="0.3">
      <c r="AU4963" s="45"/>
    </row>
    <row r="4964" spans="47:47" ht="12" hidden="1" customHeight="1" x14ac:dyDescent="0.3">
      <c r="AU4964" s="45"/>
    </row>
    <row r="4965" spans="47:47" ht="12" hidden="1" customHeight="1" x14ac:dyDescent="0.3">
      <c r="AU4965" s="45"/>
    </row>
    <row r="4966" spans="47:47" ht="12" hidden="1" customHeight="1" x14ac:dyDescent="0.3">
      <c r="AU4966" s="45"/>
    </row>
    <row r="4967" spans="47:47" ht="12" hidden="1" customHeight="1" x14ac:dyDescent="0.3">
      <c r="AU4967" s="45"/>
    </row>
    <row r="4968" spans="47:47" ht="12" hidden="1" customHeight="1" x14ac:dyDescent="0.3">
      <c r="AU4968" s="45"/>
    </row>
    <row r="4969" spans="47:47" ht="12" hidden="1" customHeight="1" x14ac:dyDescent="0.3">
      <c r="AU4969" s="45"/>
    </row>
    <row r="4970" spans="47:47" ht="12" hidden="1" customHeight="1" x14ac:dyDescent="0.3">
      <c r="AU4970" s="45"/>
    </row>
    <row r="4971" spans="47:47" ht="12" hidden="1" customHeight="1" x14ac:dyDescent="0.3">
      <c r="AU4971" s="45"/>
    </row>
    <row r="4972" spans="47:47" ht="12" hidden="1" customHeight="1" x14ac:dyDescent="0.3">
      <c r="AU4972" s="45"/>
    </row>
    <row r="4973" spans="47:47" ht="12" hidden="1" customHeight="1" x14ac:dyDescent="0.3">
      <c r="AU4973" s="45"/>
    </row>
    <row r="4974" spans="47:47" ht="12" hidden="1" customHeight="1" x14ac:dyDescent="0.3">
      <c r="AU4974" s="45"/>
    </row>
    <row r="4975" spans="47:47" ht="12" hidden="1" customHeight="1" x14ac:dyDescent="0.3">
      <c r="AU4975" s="45"/>
    </row>
    <row r="4976" spans="47:47" ht="12" hidden="1" customHeight="1" x14ac:dyDescent="0.3">
      <c r="AU4976" s="45"/>
    </row>
    <row r="4977" spans="47:47" ht="12" hidden="1" customHeight="1" x14ac:dyDescent="0.3">
      <c r="AU4977" s="45"/>
    </row>
    <row r="4978" spans="47:47" ht="12" hidden="1" customHeight="1" x14ac:dyDescent="0.3">
      <c r="AU4978" s="45"/>
    </row>
    <row r="4979" spans="47:47" ht="12" hidden="1" customHeight="1" x14ac:dyDescent="0.3">
      <c r="AU4979" s="45"/>
    </row>
    <row r="4980" spans="47:47" ht="12" hidden="1" customHeight="1" x14ac:dyDescent="0.3">
      <c r="AU4980" s="45"/>
    </row>
    <row r="4981" spans="47:47" ht="12" hidden="1" customHeight="1" x14ac:dyDescent="0.3">
      <c r="AU4981" s="45"/>
    </row>
    <row r="4982" spans="47:47" ht="12" hidden="1" customHeight="1" x14ac:dyDescent="0.3">
      <c r="AU4982" s="45"/>
    </row>
    <row r="4983" spans="47:47" ht="12" hidden="1" customHeight="1" x14ac:dyDescent="0.3">
      <c r="AU4983" s="45"/>
    </row>
    <row r="4984" spans="47:47" ht="12" hidden="1" customHeight="1" x14ac:dyDescent="0.3">
      <c r="AU4984" s="45"/>
    </row>
    <row r="4985" spans="47:47" ht="12" hidden="1" customHeight="1" x14ac:dyDescent="0.3">
      <c r="AU4985" s="45"/>
    </row>
    <row r="4986" spans="47:47" ht="12" hidden="1" customHeight="1" x14ac:dyDescent="0.3">
      <c r="AU4986" s="45"/>
    </row>
    <row r="4987" spans="47:47" ht="12" hidden="1" customHeight="1" x14ac:dyDescent="0.3">
      <c r="AU4987" s="45"/>
    </row>
    <row r="4988" spans="47:47" ht="12" hidden="1" customHeight="1" x14ac:dyDescent="0.3">
      <c r="AU4988" s="45"/>
    </row>
    <row r="4989" spans="47:47" ht="12" hidden="1" customHeight="1" x14ac:dyDescent="0.3">
      <c r="AU4989" s="45"/>
    </row>
    <row r="4990" spans="47:47" ht="12" hidden="1" customHeight="1" x14ac:dyDescent="0.3">
      <c r="AU4990" s="45"/>
    </row>
    <row r="4991" spans="47:47" ht="12" hidden="1" customHeight="1" x14ac:dyDescent="0.3">
      <c r="AU4991" s="45"/>
    </row>
    <row r="4992" spans="47:47" ht="12" hidden="1" customHeight="1" x14ac:dyDescent="0.3">
      <c r="AU4992" s="45"/>
    </row>
    <row r="4993" spans="47:47" ht="12" hidden="1" customHeight="1" x14ac:dyDescent="0.3">
      <c r="AU4993" s="45"/>
    </row>
    <row r="4994" spans="47:47" ht="12" hidden="1" customHeight="1" x14ac:dyDescent="0.3">
      <c r="AU4994" s="45"/>
    </row>
    <row r="4995" spans="47:47" ht="12" hidden="1" customHeight="1" x14ac:dyDescent="0.3">
      <c r="AU4995" s="45"/>
    </row>
    <row r="4996" spans="47:47" ht="12" hidden="1" customHeight="1" x14ac:dyDescent="0.3">
      <c r="AU4996" s="45"/>
    </row>
    <row r="4997" spans="47:47" ht="12" hidden="1" customHeight="1" x14ac:dyDescent="0.3">
      <c r="AU4997" s="45"/>
    </row>
    <row r="4998" spans="47:47" ht="12" hidden="1" customHeight="1" x14ac:dyDescent="0.3">
      <c r="AU4998" s="45"/>
    </row>
    <row r="4999" spans="47:47" ht="12" hidden="1" customHeight="1" x14ac:dyDescent="0.3">
      <c r="AU4999" s="45"/>
    </row>
    <row r="5000" spans="47:47" ht="12" hidden="1" customHeight="1" x14ac:dyDescent="0.3">
      <c r="AU5000" s="45"/>
    </row>
    <row r="5001" spans="47:47" ht="12" hidden="1" customHeight="1" x14ac:dyDescent="0.3">
      <c r="AU5001" s="45"/>
    </row>
    <row r="5002" spans="47:47" ht="12" hidden="1" customHeight="1" x14ac:dyDescent="0.3">
      <c r="AU5002" s="45"/>
    </row>
    <row r="5003" spans="47:47" ht="12" hidden="1" customHeight="1" x14ac:dyDescent="0.3">
      <c r="AU5003" s="45"/>
    </row>
    <row r="5004" spans="47:47" ht="12" hidden="1" customHeight="1" x14ac:dyDescent="0.3">
      <c r="AU5004" s="45"/>
    </row>
    <row r="5005" spans="47:47" ht="12" hidden="1" customHeight="1" x14ac:dyDescent="0.3">
      <c r="AU5005" s="45"/>
    </row>
    <row r="5006" spans="47:47" ht="12" hidden="1" customHeight="1" x14ac:dyDescent="0.3">
      <c r="AU5006" s="45"/>
    </row>
    <row r="5007" spans="47:47" ht="12" hidden="1" customHeight="1" x14ac:dyDescent="0.3">
      <c r="AU5007" s="45"/>
    </row>
    <row r="5008" spans="47:47" ht="12" hidden="1" customHeight="1" x14ac:dyDescent="0.3">
      <c r="AU5008" s="45"/>
    </row>
    <row r="5009" spans="47:47" ht="12" hidden="1" customHeight="1" x14ac:dyDescent="0.3">
      <c r="AU5009" s="45"/>
    </row>
    <row r="5010" spans="47:47" ht="12" hidden="1" customHeight="1" x14ac:dyDescent="0.3">
      <c r="AU5010" s="45"/>
    </row>
    <row r="5011" spans="47:47" ht="12" hidden="1" customHeight="1" x14ac:dyDescent="0.3">
      <c r="AU5011" s="45"/>
    </row>
    <row r="5012" spans="47:47" ht="12" hidden="1" customHeight="1" x14ac:dyDescent="0.3">
      <c r="AU5012" s="45"/>
    </row>
    <row r="5013" spans="47:47" ht="12" hidden="1" customHeight="1" x14ac:dyDescent="0.3">
      <c r="AU5013" s="45"/>
    </row>
    <row r="5014" spans="47:47" ht="12" hidden="1" customHeight="1" x14ac:dyDescent="0.3">
      <c r="AU5014" s="45"/>
    </row>
    <row r="5015" spans="47:47" ht="12" hidden="1" customHeight="1" x14ac:dyDescent="0.3">
      <c r="AU5015" s="45"/>
    </row>
    <row r="5016" spans="47:47" ht="12" hidden="1" customHeight="1" x14ac:dyDescent="0.3">
      <c r="AU5016" s="45"/>
    </row>
    <row r="5017" spans="47:47" ht="12" hidden="1" customHeight="1" x14ac:dyDescent="0.3">
      <c r="AU5017" s="45"/>
    </row>
    <row r="5018" spans="47:47" ht="12" hidden="1" customHeight="1" x14ac:dyDescent="0.3">
      <c r="AU5018" s="45"/>
    </row>
    <row r="5019" spans="47:47" ht="12" hidden="1" customHeight="1" x14ac:dyDescent="0.3">
      <c r="AU5019" s="45"/>
    </row>
    <row r="5020" spans="47:47" ht="12" hidden="1" customHeight="1" x14ac:dyDescent="0.3">
      <c r="AU5020" s="45"/>
    </row>
    <row r="5021" spans="47:47" ht="12" hidden="1" customHeight="1" x14ac:dyDescent="0.3">
      <c r="AU5021" s="45"/>
    </row>
    <row r="5022" spans="47:47" ht="12" hidden="1" customHeight="1" x14ac:dyDescent="0.3">
      <c r="AU5022" s="45"/>
    </row>
    <row r="5023" spans="47:47" ht="12" hidden="1" customHeight="1" x14ac:dyDescent="0.3">
      <c r="AU5023" s="45"/>
    </row>
    <row r="5024" spans="47:47" ht="12" hidden="1" customHeight="1" x14ac:dyDescent="0.3">
      <c r="AU5024" s="45"/>
    </row>
    <row r="5025" spans="47:47" ht="12" hidden="1" customHeight="1" x14ac:dyDescent="0.3">
      <c r="AU5025" s="45"/>
    </row>
    <row r="5026" spans="47:47" ht="12" hidden="1" customHeight="1" x14ac:dyDescent="0.3">
      <c r="AU5026" s="45"/>
    </row>
    <row r="5027" spans="47:47" ht="12" hidden="1" customHeight="1" x14ac:dyDescent="0.3">
      <c r="AU5027" s="45"/>
    </row>
    <row r="5028" spans="47:47" ht="12" hidden="1" customHeight="1" x14ac:dyDescent="0.3">
      <c r="AU5028" s="45"/>
    </row>
    <row r="5029" spans="47:47" ht="12" hidden="1" customHeight="1" x14ac:dyDescent="0.3">
      <c r="AU5029" s="45"/>
    </row>
    <row r="5030" spans="47:47" ht="12" hidden="1" customHeight="1" x14ac:dyDescent="0.3">
      <c r="AU5030" s="45"/>
    </row>
    <row r="5031" spans="47:47" ht="12" hidden="1" customHeight="1" x14ac:dyDescent="0.3">
      <c r="AU5031" s="45"/>
    </row>
    <row r="5032" spans="47:47" ht="12" hidden="1" customHeight="1" x14ac:dyDescent="0.3">
      <c r="AU5032" s="45"/>
    </row>
    <row r="5033" spans="47:47" ht="12" hidden="1" customHeight="1" x14ac:dyDescent="0.3">
      <c r="AU5033" s="45"/>
    </row>
    <row r="5034" spans="47:47" ht="12" hidden="1" customHeight="1" x14ac:dyDescent="0.3">
      <c r="AU5034" s="45"/>
    </row>
    <row r="5035" spans="47:47" ht="12" hidden="1" customHeight="1" x14ac:dyDescent="0.3">
      <c r="AU5035" s="45"/>
    </row>
    <row r="5036" spans="47:47" ht="12" hidden="1" customHeight="1" x14ac:dyDescent="0.3">
      <c r="AU5036" s="45"/>
    </row>
    <row r="5037" spans="47:47" ht="12" hidden="1" customHeight="1" x14ac:dyDescent="0.3">
      <c r="AU5037" s="45"/>
    </row>
    <row r="5038" spans="47:47" ht="12" hidden="1" customHeight="1" x14ac:dyDescent="0.3">
      <c r="AU5038" s="45"/>
    </row>
    <row r="5039" spans="47:47" ht="12" hidden="1" customHeight="1" x14ac:dyDescent="0.3">
      <c r="AU5039" s="45"/>
    </row>
    <row r="5040" spans="47:47" ht="12" hidden="1" customHeight="1" x14ac:dyDescent="0.3">
      <c r="AU5040" s="45"/>
    </row>
    <row r="5041" spans="47:47" ht="12" hidden="1" customHeight="1" x14ac:dyDescent="0.3">
      <c r="AU5041" s="45"/>
    </row>
    <row r="5042" spans="47:47" ht="12" hidden="1" customHeight="1" x14ac:dyDescent="0.3">
      <c r="AU5042" s="45"/>
    </row>
    <row r="5043" spans="47:47" ht="12" hidden="1" customHeight="1" x14ac:dyDescent="0.3">
      <c r="AU5043" s="45"/>
    </row>
    <row r="5044" spans="47:47" ht="12" hidden="1" customHeight="1" x14ac:dyDescent="0.3">
      <c r="AU5044" s="45"/>
    </row>
    <row r="5045" spans="47:47" ht="12" hidden="1" customHeight="1" x14ac:dyDescent="0.3">
      <c r="AU5045" s="45"/>
    </row>
    <row r="5046" spans="47:47" ht="12" hidden="1" customHeight="1" x14ac:dyDescent="0.3">
      <c r="AU5046" s="45"/>
    </row>
    <row r="5047" spans="47:47" ht="12" hidden="1" customHeight="1" x14ac:dyDescent="0.3">
      <c r="AU5047" s="45"/>
    </row>
    <row r="5048" spans="47:47" ht="12" hidden="1" customHeight="1" x14ac:dyDescent="0.3">
      <c r="AU5048" s="45"/>
    </row>
    <row r="5049" spans="47:47" ht="12" hidden="1" customHeight="1" x14ac:dyDescent="0.3">
      <c r="AU5049" s="45"/>
    </row>
    <row r="5050" spans="47:47" ht="12" hidden="1" customHeight="1" x14ac:dyDescent="0.3">
      <c r="AU5050" s="45"/>
    </row>
    <row r="5051" spans="47:47" ht="12" hidden="1" customHeight="1" x14ac:dyDescent="0.3">
      <c r="AU5051" s="45"/>
    </row>
    <row r="5052" spans="47:47" ht="12" hidden="1" customHeight="1" x14ac:dyDescent="0.3">
      <c r="AU5052" s="45"/>
    </row>
    <row r="5053" spans="47:47" ht="12" hidden="1" customHeight="1" x14ac:dyDescent="0.3">
      <c r="AU5053" s="45"/>
    </row>
    <row r="5054" spans="47:47" ht="12" hidden="1" customHeight="1" x14ac:dyDescent="0.3">
      <c r="AU5054" s="45"/>
    </row>
    <row r="5055" spans="47:47" ht="12" hidden="1" customHeight="1" x14ac:dyDescent="0.3">
      <c r="AU5055" s="45"/>
    </row>
    <row r="5056" spans="47:47" ht="12" hidden="1" customHeight="1" x14ac:dyDescent="0.3">
      <c r="AU5056" s="45"/>
    </row>
    <row r="5057" spans="47:47" ht="12" hidden="1" customHeight="1" x14ac:dyDescent="0.3">
      <c r="AU5057" s="45"/>
    </row>
    <row r="5058" spans="47:47" ht="12" hidden="1" customHeight="1" x14ac:dyDescent="0.3">
      <c r="AU5058" s="45"/>
    </row>
    <row r="5059" spans="47:47" ht="12" hidden="1" customHeight="1" x14ac:dyDescent="0.3">
      <c r="AU5059" s="45"/>
    </row>
    <row r="5060" spans="47:47" ht="12" hidden="1" customHeight="1" x14ac:dyDescent="0.3">
      <c r="AU5060" s="45"/>
    </row>
    <row r="5061" spans="47:47" ht="12" hidden="1" customHeight="1" x14ac:dyDescent="0.3">
      <c r="AU5061" s="45"/>
    </row>
    <row r="5062" spans="47:47" ht="12" hidden="1" customHeight="1" x14ac:dyDescent="0.3">
      <c r="AU5062" s="45"/>
    </row>
    <row r="5063" spans="47:47" ht="12" hidden="1" customHeight="1" x14ac:dyDescent="0.3">
      <c r="AU5063" s="45"/>
    </row>
    <row r="5064" spans="47:47" ht="12" hidden="1" customHeight="1" x14ac:dyDescent="0.3">
      <c r="AU5064" s="45"/>
    </row>
    <row r="5065" spans="47:47" ht="12" hidden="1" customHeight="1" x14ac:dyDescent="0.3">
      <c r="AU5065" s="45"/>
    </row>
    <row r="5066" spans="47:47" ht="12" hidden="1" customHeight="1" x14ac:dyDescent="0.3">
      <c r="AU5066" s="45"/>
    </row>
    <row r="5067" spans="47:47" ht="12" hidden="1" customHeight="1" x14ac:dyDescent="0.3">
      <c r="AU5067" s="45"/>
    </row>
    <row r="5068" spans="47:47" ht="12" hidden="1" customHeight="1" x14ac:dyDescent="0.3">
      <c r="AU5068" s="45"/>
    </row>
    <row r="5069" spans="47:47" ht="12" hidden="1" customHeight="1" x14ac:dyDescent="0.3">
      <c r="AU5069" s="45"/>
    </row>
    <row r="5070" spans="47:47" ht="12" hidden="1" customHeight="1" x14ac:dyDescent="0.3">
      <c r="AU5070" s="45"/>
    </row>
    <row r="5071" spans="47:47" ht="12" hidden="1" customHeight="1" x14ac:dyDescent="0.3">
      <c r="AU5071" s="45"/>
    </row>
    <row r="5072" spans="47:47" ht="12" hidden="1" customHeight="1" x14ac:dyDescent="0.3">
      <c r="AU5072" s="45"/>
    </row>
    <row r="5073" spans="47:47" ht="12" hidden="1" customHeight="1" x14ac:dyDescent="0.3">
      <c r="AU5073" s="45"/>
    </row>
    <row r="5074" spans="47:47" ht="12" hidden="1" customHeight="1" x14ac:dyDescent="0.3">
      <c r="AU5074" s="45"/>
    </row>
    <row r="5075" spans="47:47" ht="12" hidden="1" customHeight="1" x14ac:dyDescent="0.3">
      <c r="AU5075" s="45"/>
    </row>
    <row r="5076" spans="47:47" ht="12" hidden="1" customHeight="1" x14ac:dyDescent="0.3">
      <c r="AU5076" s="45"/>
    </row>
    <row r="5077" spans="47:47" ht="12" hidden="1" customHeight="1" x14ac:dyDescent="0.3">
      <c r="AU5077" s="45"/>
    </row>
    <row r="5078" spans="47:47" ht="12" hidden="1" customHeight="1" x14ac:dyDescent="0.3">
      <c r="AU5078" s="45"/>
    </row>
    <row r="5079" spans="47:47" ht="12" hidden="1" customHeight="1" x14ac:dyDescent="0.3">
      <c r="AU5079" s="45"/>
    </row>
    <row r="5080" spans="47:47" ht="12" hidden="1" customHeight="1" x14ac:dyDescent="0.3">
      <c r="AU5080" s="45"/>
    </row>
    <row r="5081" spans="47:47" ht="12" hidden="1" customHeight="1" x14ac:dyDescent="0.3">
      <c r="AU5081" s="45"/>
    </row>
    <row r="5082" spans="47:47" ht="12" hidden="1" customHeight="1" x14ac:dyDescent="0.3">
      <c r="AU5082" s="45"/>
    </row>
    <row r="5083" spans="47:47" ht="12" hidden="1" customHeight="1" x14ac:dyDescent="0.3">
      <c r="AU5083" s="45"/>
    </row>
    <row r="5084" spans="47:47" ht="12" hidden="1" customHeight="1" x14ac:dyDescent="0.3">
      <c r="AU5084" s="45"/>
    </row>
    <row r="5085" spans="47:47" ht="12" hidden="1" customHeight="1" x14ac:dyDescent="0.3">
      <c r="AU5085" s="45"/>
    </row>
    <row r="5086" spans="47:47" ht="12" hidden="1" customHeight="1" x14ac:dyDescent="0.3">
      <c r="AU5086" s="45"/>
    </row>
    <row r="5087" spans="47:47" ht="12" hidden="1" customHeight="1" x14ac:dyDescent="0.3">
      <c r="AU5087" s="45"/>
    </row>
    <row r="5088" spans="47:47" ht="12" hidden="1" customHeight="1" x14ac:dyDescent="0.3">
      <c r="AU5088" s="45"/>
    </row>
    <row r="5089" spans="47:47" ht="12" hidden="1" customHeight="1" x14ac:dyDescent="0.3">
      <c r="AU5089" s="45"/>
    </row>
    <row r="5090" spans="47:47" ht="12" hidden="1" customHeight="1" x14ac:dyDescent="0.3">
      <c r="AU5090" s="45"/>
    </row>
    <row r="5091" spans="47:47" ht="12" hidden="1" customHeight="1" x14ac:dyDescent="0.3">
      <c r="AU5091" s="45"/>
    </row>
    <row r="5092" spans="47:47" ht="12" hidden="1" customHeight="1" x14ac:dyDescent="0.3">
      <c r="AU5092" s="45"/>
    </row>
    <row r="5093" spans="47:47" ht="12" hidden="1" customHeight="1" x14ac:dyDescent="0.3">
      <c r="AU5093" s="45"/>
    </row>
    <row r="5094" spans="47:47" ht="12" hidden="1" customHeight="1" x14ac:dyDescent="0.3">
      <c r="AU5094" s="45"/>
    </row>
    <row r="5095" spans="47:47" ht="12" hidden="1" customHeight="1" x14ac:dyDescent="0.3">
      <c r="AU5095" s="45"/>
    </row>
    <row r="5096" spans="47:47" ht="12" hidden="1" customHeight="1" x14ac:dyDescent="0.3">
      <c r="AU5096" s="45"/>
    </row>
    <row r="5097" spans="47:47" ht="12" hidden="1" customHeight="1" x14ac:dyDescent="0.3">
      <c r="AU5097" s="45"/>
    </row>
    <row r="5098" spans="47:47" ht="12" hidden="1" customHeight="1" x14ac:dyDescent="0.3">
      <c r="AU5098" s="45"/>
    </row>
    <row r="5099" spans="47:47" ht="12" hidden="1" customHeight="1" x14ac:dyDescent="0.3">
      <c r="AU5099" s="45"/>
    </row>
    <row r="5100" spans="47:47" ht="12" hidden="1" customHeight="1" x14ac:dyDescent="0.3">
      <c r="AU5100" s="45"/>
    </row>
    <row r="5101" spans="47:47" ht="12" hidden="1" customHeight="1" x14ac:dyDescent="0.3">
      <c r="AU5101" s="45"/>
    </row>
    <row r="5102" spans="47:47" ht="12" hidden="1" customHeight="1" x14ac:dyDescent="0.3">
      <c r="AU5102" s="45"/>
    </row>
    <row r="5103" spans="47:47" ht="12" hidden="1" customHeight="1" x14ac:dyDescent="0.3">
      <c r="AU5103" s="45"/>
    </row>
    <row r="5104" spans="47:47" ht="12" hidden="1" customHeight="1" x14ac:dyDescent="0.3">
      <c r="AU5104" s="45"/>
    </row>
    <row r="5105" spans="47:47" ht="12" hidden="1" customHeight="1" x14ac:dyDescent="0.3">
      <c r="AU5105" s="45"/>
    </row>
    <row r="5106" spans="47:47" ht="12" hidden="1" customHeight="1" x14ac:dyDescent="0.3">
      <c r="AU5106" s="45"/>
    </row>
    <row r="5107" spans="47:47" ht="12" hidden="1" customHeight="1" x14ac:dyDescent="0.3">
      <c r="AU5107" s="45"/>
    </row>
    <row r="5108" spans="47:47" ht="12" hidden="1" customHeight="1" x14ac:dyDescent="0.3">
      <c r="AU5108" s="45"/>
    </row>
    <row r="5109" spans="47:47" ht="12" hidden="1" customHeight="1" x14ac:dyDescent="0.3">
      <c r="AU5109" s="45"/>
    </row>
    <row r="5110" spans="47:47" ht="12" hidden="1" customHeight="1" x14ac:dyDescent="0.3">
      <c r="AU5110" s="45"/>
    </row>
    <row r="5111" spans="47:47" ht="12" hidden="1" customHeight="1" x14ac:dyDescent="0.3">
      <c r="AU5111" s="45"/>
    </row>
    <row r="5112" spans="47:47" ht="12" hidden="1" customHeight="1" x14ac:dyDescent="0.3">
      <c r="AU5112" s="45"/>
    </row>
    <row r="5113" spans="47:47" ht="12" hidden="1" customHeight="1" x14ac:dyDescent="0.3">
      <c r="AU5113" s="45"/>
    </row>
    <row r="5114" spans="47:47" ht="12" hidden="1" customHeight="1" x14ac:dyDescent="0.3">
      <c r="AU5114" s="45"/>
    </row>
    <row r="5115" spans="47:47" ht="12" hidden="1" customHeight="1" x14ac:dyDescent="0.3">
      <c r="AU5115" s="45"/>
    </row>
    <row r="5116" spans="47:47" ht="12" hidden="1" customHeight="1" x14ac:dyDescent="0.3">
      <c r="AU5116" s="45"/>
    </row>
    <row r="5117" spans="47:47" ht="12" hidden="1" customHeight="1" x14ac:dyDescent="0.3">
      <c r="AU5117" s="45"/>
    </row>
    <row r="5118" spans="47:47" ht="12" hidden="1" customHeight="1" x14ac:dyDescent="0.3">
      <c r="AU5118" s="45"/>
    </row>
    <row r="5119" spans="47:47" ht="12" hidden="1" customHeight="1" x14ac:dyDescent="0.3">
      <c r="AU5119" s="45"/>
    </row>
    <row r="5120" spans="47:47" ht="12" hidden="1" customHeight="1" x14ac:dyDescent="0.3">
      <c r="AU5120" s="45"/>
    </row>
    <row r="5121" spans="47:47" ht="12" hidden="1" customHeight="1" x14ac:dyDescent="0.3">
      <c r="AU5121" s="45"/>
    </row>
    <row r="5122" spans="47:47" ht="12" hidden="1" customHeight="1" x14ac:dyDescent="0.3">
      <c r="AU5122" s="45"/>
    </row>
    <row r="5123" spans="47:47" ht="12" hidden="1" customHeight="1" x14ac:dyDescent="0.3">
      <c r="AU5123" s="45"/>
    </row>
    <row r="5124" spans="47:47" ht="12" hidden="1" customHeight="1" x14ac:dyDescent="0.3">
      <c r="AU5124" s="45"/>
    </row>
    <row r="5125" spans="47:47" ht="12" hidden="1" customHeight="1" x14ac:dyDescent="0.3">
      <c r="AU5125" s="45"/>
    </row>
    <row r="5126" spans="47:47" ht="12" hidden="1" customHeight="1" x14ac:dyDescent="0.3">
      <c r="AU5126" s="45"/>
    </row>
    <row r="5127" spans="47:47" ht="12" hidden="1" customHeight="1" x14ac:dyDescent="0.3">
      <c r="AU5127" s="45"/>
    </row>
    <row r="5128" spans="47:47" ht="12" hidden="1" customHeight="1" x14ac:dyDescent="0.3">
      <c r="AU5128" s="45"/>
    </row>
    <row r="5129" spans="47:47" ht="12" hidden="1" customHeight="1" x14ac:dyDescent="0.3">
      <c r="AU5129" s="45"/>
    </row>
    <row r="5130" spans="47:47" ht="12" hidden="1" customHeight="1" x14ac:dyDescent="0.3">
      <c r="AU5130" s="45"/>
    </row>
    <row r="5131" spans="47:47" ht="12" hidden="1" customHeight="1" x14ac:dyDescent="0.3">
      <c r="AU5131" s="45"/>
    </row>
    <row r="5132" spans="47:47" ht="12" hidden="1" customHeight="1" x14ac:dyDescent="0.3">
      <c r="AU5132" s="45"/>
    </row>
    <row r="5133" spans="47:47" ht="12" hidden="1" customHeight="1" x14ac:dyDescent="0.3">
      <c r="AU5133" s="45"/>
    </row>
    <row r="5134" spans="47:47" ht="12" hidden="1" customHeight="1" x14ac:dyDescent="0.3">
      <c r="AU5134" s="45"/>
    </row>
    <row r="5135" spans="47:47" ht="12" hidden="1" customHeight="1" x14ac:dyDescent="0.3">
      <c r="AU5135" s="45"/>
    </row>
    <row r="5136" spans="47:47" ht="12" hidden="1" customHeight="1" x14ac:dyDescent="0.3">
      <c r="AU5136" s="45"/>
    </row>
    <row r="5137" spans="47:47" ht="12" hidden="1" customHeight="1" x14ac:dyDescent="0.3">
      <c r="AU5137" s="45"/>
    </row>
    <row r="5138" spans="47:47" ht="12" hidden="1" customHeight="1" x14ac:dyDescent="0.3">
      <c r="AU5138" s="45"/>
    </row>
    <row r="5139" spans="47:47" ht="12" hidden="1" customHeight="1" x14ac:dyDescent="0.3">
      <c r="AU5139" s="45"/>
    </row>
    <row r="5140" spans="47:47" ht="12" hidden="1" customHeight="1" x14ac:dyDescent="0.3">
      <c r="AU5140" s="45"/>
    </row>
    <row r="5141" spans="47:47" ht="12" hidden="1" customHeight="1" x14ac:dyDescent="0.3">
      <c r="AU5141" s="45"/>
    </row>
    <row r="5142" spans="47:47" ht="12" hidden="1" customHeight="1" x14ac:dyDescent="0.3">
      <c r="AU5142" s="45"/>
    </row>
    <row r="5143" spans="47:47" ht="12" hidden="1" customHeight="1" x14ac:dyDescent="0.3">
      <c r="AU5143" s="45"/>
    </row>
    <row r="5144" spans="47:47" ht="12" hidden="1" customHeight="1" x14ac:dyDescent="0.3">
      <c r="AU5144" s="45"/>
    </row>
    <row r="5145" spans="47:47" ht="12" hidden="1" customHeight="1" x14ac:dyDescent="0.3">
      <c r="AU5145" s="45"/>
    </row>
    <row r="5146" spans="47:47" ht="12" hidden="1" customHeight="1" x14ac:dyDescent="0.3">
      <c r="AU5146" s="45"/>
    </row>
    <row r="5147" spans="47:47" ht="12" hidden="1" customHeight="1" x14ac:dyDescent="0.3">
      <c r="AU5147" s="45"/>
    </row>
    <row r="5148" spans="47:47" ht="12" hidden="1" customHeight="1" x14ac:dyDescent="0.3">
      <c r="AU5148" s="45"/>
    </row>
    <row r="5149" spans="47:47" ht="12" hidden="1" customHeight="1" x14ac:dyDescent="0.3">
      <c r="AU5149" s="45"/>
    </row>
    <row r="5150" spans="47:47" ht="12" hidden="1" customHeight="1" x14ac:dyDescent="0.3">
      <c r="AU5150" s="45"/>
    </row>
    <row r="5151" spans="47:47" ht="12" hidden="1" customHeight="1" x14ac:dyDescent="0.3">
      <c r="AU5151" s="45"/>
    </row>
    <row r="5152" spans="47:47" ht="12" hidden="1" customHeight="1" x14ac:dyDescent="0.3">
      <c r="AU5152" s="45"/>
    </row>
    <row r="5153" spans="47:47" ht="12" hidden="1" customHeight="1" x14ac:dyDescent="0.3">
      <c r="AU5153" s="45"/>
    </row>
    <row r="5154" spans="47:47" ht="12" hidden="1" customHeight="1" x14ac:dyDescent="0.3">
      <c r="AU5154" s="45"/>
    </row>
    <row r="5155" spans="47:47" ht="12" hidden="1" customHeight="1" x14ac:dyDescent="0.3">
      <c r="AU5155" s="45"/>
    </row>
    <row r="5156" spans="47:47" ht="12" hidden="1" customHeight="1" x14ac:dyDescent="0.3">
      <c r="AU5156" s="45"/>
    </row>
    <row r="5157" spans="47:47" ht="12" hidden="1" customHeight="1" x14ac:dyDescent="0.3">
      <c r="AU5157" s="45"/>
    </row>
    <row r="5158" spans="47:47" ht="12" hidden="1" customHeight="1" x14ac:dyDescent="0.3">
      <c r="AU5158" s="45"/>
    </row>
    <row r="5159" spans="47:47" ht="12" hidden="1" customHeight="1" x14ac:dyDescent="0.3">
      <c r="AU5159" s="45"/>
    </row>
    <row r="5160" spans="47:47" ht="12" hidden="1" customHeight="1" x14ac:dyDescent="0.3">
      <c r="AU5160" s="45"/>
    </row>
    <row r="5161" spans="47:47" ht="12" hidden="1" customHeight="1" x14ac:dyDescent="0.3">
      <c r="AU5161" s="45"/>
    </row>
    <row r="5162" spans="47:47" ht="12" hidden="1" customHeight="1" x14ac:dyDescent="0.3">
      <c r="AU5162" s="45"/>
    </row>
    <row r="5163" spans="47:47" ht="12" hidden="1" customHeight="1" x14ac:dyDescent="0.3">
      <c r="AU5163" s="45"/>
    </row>
    <row r="5164" spans="47:47" ht="12" hidden="1" customHeight="1" x14ac:dyDescent="0.3">
      <c r="AU5164" s="45"/>
    </row>
    <row r="5165" spans="47:47" ht="12" hidden="1" customHeight="1" x14ac:dyDescent="0.3">
      <c r="AU5165" s="45"/>
    </row>
    <row r="5166" spans="47:47" ht="12" hidden="1" customHeight="1" x14ac:dyDescent="0.3">
      <c r="AU5166" s="45"/>
    </row>
    <row r="5167" spans="47:47" ht="12" hidden="1" customHeight="1" x14ac:dyDescent="0.3">
      <c r="AU5167" s="45"/>
    </row>
    <row r="5168" spans="47:47" ht="12" hidden="1" customHeight="1" x14ac:dyDescent="0.3">
      <c r="AU5168" s="45"/>
    </row>
    <row r="5169" spans="47:47" ht="12" hidden="1" customHeight="1" x14ac:dyDescent="0.3">
      <c r="AU5169" s="45"/>
    </row>
    <row r="5170" spans="47:47" ht="12" hidden="1" customHeight="1" x14ac:dyDescent="0.3">
      <c r="AU5170" s="45"/>
    </row>
    <row r="5171" spans="47:47" ht="12" hidden="1" customHeight="1" x14ac:dyDescent="0.3">
      <c r="AU5171" s="45"/>
    </row>
    <row r="5172" spans="47:47" ht="12" hidden="1" customHeight="1" x14ac:dyDescent="0.3">
      <c r="AU5172" s="45"/>
    </row>
    <row r="5173" spans="47:47" ht="12" hidden="1" customHeight="1" x14ac:dyDescent="0.3">
      <c r="AU5173" s="45"/>
    </row>
    <row r="5174" spans="47:47" ht="12" hidden="1" customHeight="1" x14ac:dyDescent="0.3">
      <c r="AU5174" s="45"/>
    </row>
    <row r="5175" spans="47:47" ht="12" hidden="1" customHeight="1" x14ac:dyDescent="0.3">
      <c r="AU5175" s="45"/>
    </row>
    <row r="5176" spans="47:47" ht="12" hidden="1" customHeight="1" x14ac:dyDescent="0.3">
      <c r="AU5176" s="45"/>
    </row>
    <row r="5177" spans="47:47" ht="12" hidden="1" customHeight="1" x14ac:dyDescent="0.3">
      <c r="AU5177" s="45"/>
    </row>
    <row r="5178" spans="47:47" ht="12" hidden="1" customHeight="1" x14ac:dyDescent="0.3">
      <c r="AU5178" s="45"/>
    </row>
    <row r="5179" spans="47:47" ht="12" hidden="1" customHeight="1" x14ac:dyDescent="0.3">
      <c r="AU5179" s="45"/>
    </row>
    <row r="5180" spans="47:47" ht="12" hidden="1" customHeight="1" x14ac:dyDescent="0.3">
      <c r="AU5180" s="45"/>
    </row>
    <row r="5181" spans="47:47" ht="12" hidden="1" customHeight="1" x14ac:dyDescent="0.3">
      <c r="AU5181" s="45"/>
    </row>
    <row r="5182" spans="47:47" ht="12" hidden="1" customHeight="1" x14ac:dyDescent="0.3">
      <c r="AU5182" s="45"/>
    </row>
    <row r="5183" spans="47:47" ht="12" hidden="1" customHeight="1" x14ac:dyDescent="0.3">
      <c r="AU5183" s="45"/>
    </row>
    <row r="5184" spans="47:47" ht="12" hidden="1" customHeight="1" x14ac:dyDescent="0.3">
      <c r="AU5184" s="45"/>
    </row>
    <row r="5185" spans="47:47" ht="12" hidden="1" customHeight="1" x14ac:dyDescent="0.3">
      <c r="AU5185" s="45"/>
    </row>
    <row r="5186" spans="47:47" ht="12" hidden="1" customHeight="1" x14ac:dyDescent="0.3">
      <c r="AU5186" s="45"/>
    </row>
    <row r="5187" spans="47:47" ht="12" hidden="1" customHeight="1" x14ac:dyDescent="0.3">
      <c r="AU5187" s="45"/>
    </row>
    <row r="5188" spans="47:47" ht="12" hidden="1" customHeight="1" x14ac:dyDescent="0.3">
      <c r="AU5188" s="45"/>
    </row>
    <row r="5189" spans="47:47" ht="12" hidden="1" customHeight="1" x14ac:dyDescent="0.3">
      <c r="AU5189" s="45"/>
    </row>
    <row r="5190" spans="47:47" ht="12" hidden="1" customHeight="1" x14ac:dyDescent="0.3">
      <c r="AU5190" s="45"/>
    </row>
    <row r="5191" spans="47:47" ht="12" hidden="1" customHeight="1" x14ac:dyDescent="0.3">
      <c r="AU5191" s="45"/>
    </row>
    <row r="5192" spans="47:47" ht="12" hidden="1" customHeight="1" x14ac:dyDescent="0.3">
      <c r="AU5192" s="45"/>
    </row>
    <row r="5193" spans="47:47" ht="12" hidden="1" customHeight="1" x14ac:dyDescent="0.3">
      <c r="AU5193" s="45"/>
    </row>
    <row r="5194" spans="47:47" ht="12" hidden="1" customHeight="1" x14ac:dyDescent="0.3">
      <c r="AU5194" s="45"/>
    </row>
    <row r="5195" spans="47:47" ht="12" hidden="1" customHeight="1" x14ac:dyDescent="0.3">
      <c r="AU5195" s="45"/>
    </row>
    <row r="5196" spans="47:47" ht="12" hidden="1" customHeight="1" x14ac:dyDescent="0.3">
      <c r="AU5196" s="45"/>
    </row>
    <row r="5197" spans="47:47" ht="12" hidden="1" customHeight="1" x14ac:dyDescent="0.3">
      <c r="AU5197" s="45"/>
    </row>
    <row r="5198" spans="47:47" ht="12" hidden="1" customHeight="1" x14ac:dyDescent="0.3">
      <c r="AU5198" s="45"/>
    </row>
    <row r="5199" spans="47:47" ht="12" hidden="1" customHeight="1" x14ac:dyDescent="0.3">
      <c r="AU5199" s="45"/>
    </row>
    <row r="5200" spans="47:47" ht="12" hidden="1" customHeight="1" x14ac:dyDescent="0.3">
      <c r="AU5200" s="45"/>
    </row>
    <row r="5201" spans="47:47" ht="12" hidden="1" customHeight="1" x14ac:dyDescent="0.3">
      <c r="AU5201" s="45"/>
    </row>
    <row r="5202" spans="47:47" ht="12" hidden="1" customHeight="1" x14ac:dyDescent="0.3">
      <c r="AU5202" s="45"/>
    </row>
    <row r="5203" spans="47:47" ht="12" hidden="1" customHeight="1" x14ac:dyDescent="0.3">
      <c r="AU5203" s="45"/>
    </row>
    <row r="5204" spans="47:47" ht="12" hidden="1" customHeight="1" x14ac:dyDescent="0.3">
      <c r="AU5204" s="45"/>
    </row>
    <row r="5205" spans="47:47" ht="12" hidden="1" customHeight="1" x14ac:dyDescent="0.3">
      <c r="AU5205" s="45"/>
    </row>
    <row r="5206" spans="47:47" ht="12" hidden="1" customHeight="1" x14ac:dyDescent="0.3">
      <c r="AU5206" s="45"/>
    </row>
    <row r="5207" spans="47:47" ht="12" hidden="1" customHeight="1" x14ac:dyDescent="0.3">
      <c r="AU5207" s="45"/>
    </row>
    <row r="5208" spans="47:47" ht="12" hidden="1" customHeight="1" x14ac:dyDescent="0.3">
      <c r="AU5208" s="45"/>
    </row>
    <row r="5209" spans="47:47" ht="12" hidden="1" customHeight="1" x14ac:dyDescent="0.3">
      <c r="AU5209" s="45"/>
    </row>
    <row r="5210" spans="47:47" ht="12" hidden="1" customHeight="1" x14ac:dyDescent="0.3">
      <c r="AU5210" s="45"/>
    </row>
    <row r="5211" spans="47:47" ht="12" hidden="1" customHeight="1" x14ac:dyDescent="0.3">
      <c r="AU5211" s="45"/>
    </row>
    <row r="5212" spans="47:47" ht="12" hidden="1" customHeight="1" x14ac:dyDescent="0.3">
      <c r="AU5212" s="45"/>
    </row>
    <row r="5213" spans="47:47" ht="12" hidden="1" customHeight="1" x14ac:dyDescent="0.3">
      <c r="AU5213" s="45"/>
    </row>
    <row r="5214" spans="47:47" ht="12" hidden="1" customHeight="1" x14ac:dyDescent="0.3">
      <c r="AU5214" s="45"/>
    </row>
    <row r="5215" spans="47:47" ht="12" hidden="1" customHeight="1" x14ac:dyDescent="0.3">
      <c r="AU5215" s="45"/>
    </row>
    <row r="5216" spans="47:47" ht="12" hidden="1" customHeight="1" x14ac:dyDescent="0.3">
      <c r="AU5216" s="45"/>
    </row>
    <row r="5217" spans="47:47" ht="12" hidden="1" customHeight="1" x14ac:dyDescent="0.3">
      <c r="AU5217" s="45"/>
    </row>
    <row r="5218" spans="47:47" ht="12" hidden="1" customHeight="1" x14ac:dyDescent="0.3">
      <c r="AU5218" s="45"/>
    </row>
    <row r="5219" spans="47:47" ht="12" hidden="1" customHeight="1" x14ac:dyDescent="0.3">
      <c r="AU5219" s="45"/>
    </row>
    <row r="5220" spans="47:47" ht="12" hidden="1" customHeight="1" x14ac:dyDescent="0.3">
      <c r="AU5220" s="45"/>
    </row>
    <row r="5221" spans="47:47" ht="12" hidden="1" customHeight="1" x14ac:dyDescent="0.3">
      <c r="AU5221" s="45"/>
    </row>
    <row r="5222" spans="47:47" ht="12" hidden="1" customHeight="1" x14ac:dyDescent="0.3">
      <c r="AU5222" s="45"/>
    </row>
    <row r="5223" spans="47:47" ht="12" hidden="1" customHeight="1" x14ac:dyDescent="0.3">
      <c r="AU5223" s="45"/>
    </row>
    <row r="5224" spans="47:47" ht="12" hidden="1" customHeight="1" x14ac:dyDescent="0.3">
      <c r="AU5224" s="45"/>
    </row>
    <row r="5225" spans="47:47" ht="12" hidden="1" customHeight="1" x14ac:dyDescent="0.3">
      <c r="AU5225" s="45"/>
    </row>
    <row r="5226" spans="47:47" ht="12" hidden="1" customHeight="1" x14ac:dyDescent="0.3">
      <c r="AU5226" s="45"/>
    </row>
    <row r="5227" spans="47:47" ht="12" hidden="1" customHeight="1" x14ac:dyDescent="0.3">
      <c r="AU5227" s="45"/>
    </row>
    <row r="5228" spans="47:47" ht="12" hidden="1" customHeight="1" x14ac:dyDescent="0.3">
      <c r="AU5228" s="45"/>
    </row>
    <row r="5229" spans="47:47" ht="12" hidden="1" customHeight="1" x14ac:dyDescent="0.3">
      <c r="AU5229" s="45"/>
    </row>
    <row r="5230" spans="47:47" ht="12" hidden="1" customHeight="1" x14ac:dyDescent="0.3">
      <c r="AU5230" s="45"/>
    </row>
    <row r="5231" spans="47:47" ht="12" hidden="1" customHeight="1" x14ac:dyDescent="0.3">
      <c r="AU5231" s="45"/>
    </row>
    <row r="5232" spans="47:47" ht="12" hidden="1" customHeight="1" x14ac:dyDescent="0.3">
      <c r="AU5232" s="45"/>
    </row>
    <row r="5233" spans="47:47" ht="12" hidden="1" customHeight="1" x14ac:dyDescent="0.3">
      <c r="AU5233" s="45"/>
    </row>
    <row r="5234" spans="47:47" ht="12" hidden="1" customHeight="1" x14ac:dyDescent="0.3">
      <c r="AU5234" s="45"/>
    </row>
    <row r="5235" spans="47:47" ht="12" hidden="1" customHeight="1" x14ac:dyDescent="0.3">
      <c r="AU5235" s="45"/>
    </row>
    <row r="5236" spans="47:47" ht="12" hidden="1" customHeight="1" x14ac:dyDescent="0.3">
      <c r="AU5236" s="45"/>
    </row>
    <row r="5237" spans="47:47" ht="12" hidden="1" customHeight="1" x14ac:dyDescent="0.3">
      <c r="AU5237" s="45"/>
    </row>
    <row r="5238" spans="47:47" ht="12" hidden="1" customHeight="1" x14ac:dyDescent="0.3">
      <c r="AU5238" s="45"/>
    </row>
    <row r="5239" spans="47:47" ht="12" hidden="1" customHeight="1" x14ac:dyDescent="0.3">
      <c r="AU5239" s="45"/>
    </row>
    <row r="5240" spans="47:47" ht="12" hidden="1" customHeight="1" x14ac:dyDescent="0.3">
      <c r="AU5240" s="45"/>
    </row>
    <row r="5241" spans="47:47" ht="12" hidden="1" customHeight="1" x14ac:dyDescent="0.3">
      <c r="AU5241" s="45"/>
    </row>
    <row r="5242" spans="47:47" ht="12" hidden="1" customHeight="1" x14ac:dyDescent="0.3">
      <c r="AU5242" s="45"/>
    </row>
    <row r="5243" spans="47:47" ht="12" hidden="1" customHeight="1" x14ac:dyDescent="0.3">
      <c r="AU5243" s="45"/>
    </row>
    <row r="5244" spans="47:47" ht="12" hidden="1" customHeight="1" x14ac:dyDescent="0.3">
      <c r="AU5244" s="45"/>
    </row>
    <row r="5245" spans="47:47" ht="12" hidden="1" customHeight="1" x14ac:dyDescent="0.3">
      <c r="AU5245" s="45"/>
    </row>
    <row r="5246" spans="47:47" ht="12" hidden="1" customHeight="1" x14ac:dyDescent="0.3">
      <c r="AU5246" s="45"/>
    </row>
    <row r="5247" spans="47:47" ht="12" hidden="1" customHeight="1" x14ac:dyDescent="0.3">
      <c r="AU5247" s="45"/>
    </row>
    <row r="5248" spans="47:47" ht="12" hidden="1" customHeight="1" x14ac:dyDescent="0.3">
      <c r="AU5248" s="45"/>
    </row>
    <row r="5249" spans="47:47" ht="12" hidden="1" customHeight="1" x14ac:dyDescent="0.3">
      <c r="AU5249" s="45"/>
    </row>
    <row r="5250" spans="47:47" ht="12" hidden="1" customHeight="1" x14ac:dyDescent="0.3">
      <c r="AU5250" s="45"/>
    </row>
    <row r="5251" spans="47:47" ht="12" hidden="1" customHeight="1" x14ac:dyDescent="0.3">
      <c r="AU5251" s="45"/>
    </row>
    <row r="5252" spans="47:47" ht="12" hidden="1" customHeight="1" x14ac:dyDescent="0.3">
      <c r="AU5252" s="45"/>
    </row>
    <row r="5253" spans="47:47" ht="12" hidden="1" customHeight="1" x14ac:dyDescent="0.3">
      <c r="AU5253" s="45"/>
    </row>
    <row r="5254" spans="47:47" ht="12" hidden="1" customHeight="1" x14ac:dyDescent="0.3">
      <c r="AU5254" s="45"/>
    </row>
    <row r="5255" spans="47:47" ht="12" hidden="1" customHeight="1" x14ac:dyDescent="0.3">
      <c r="AU5255" s="45"/>
    </row>
    <row r="5256" spans="47:47" ht="12" hidden="1" customHeight="1" x14ac:dyDescent="0.3">
      <c r="AU5256" s="45"/>
    </row>
    <row r="5257" spans="47:47" ht="12" hidden="1" customHeight="1" x14ac:dyDescent="0.3">
      <c r="AU5257" s="45"/>
    </row>
    <row r="5258" spans="47:47" ht="12" hidden="1" customHeight="1" x14ac:dyDescent="0.3">
      <c r="AU5258" s="45"/>
    </row>
    <row r="5259" spans="47:47" ht="12" hidden="1" customHeight="1" x14ac:dyDescent="0.3">
      <c r="AU5259" s="45"/>
    </row>
    <row r="5260" spans="47:47" ht="12" hidden="1" customHeight="1" x14ac:dyDescent="0.3">
      <c r="AU5260" s="45"/>
    </row>
    <row r="5261" spans="47:47" ht="12" hidden="1" customHeight="1" x14ac:dyDescent="0.3">
      <c r="AU5261" s="45"/>
    </row>
    <row r="5262" spans="47:47" ht="12" hidden="1" customHeight="1" x14ac:dyDescent="0.3">
      <c r="AU5262" s="45"/>
    </row>
    <row r="5263" spans="47:47" ht="12" hidden="1" customHeight="1" x14ac:dyDescent="0.3">
      <c r="AU5263" s="45"/>
    </row>
    <row r="5264" spans="47:47" ht="12" hidden="1" customHeight="1" x14ac:dyDescent="0.3">
      <c r="AU5264" s="45"/>
    </row>
    <row r="5265" spans="47:47" ht="12" hidden="1" customHeight="1" x14ac:dyDescent="0.3">
      <c r="AU5265" s="45"/>
    </row>
    <row r="5266" spans="47:47" ht="12" hidden="1" customHeight="1" x14ac:dyDescent="0.3">
      <c r="AU5266" s="45"/>
    </row>
    <row r="5267" spans="47:47" ht="12" hidden="1" customHeight="1" x14ac:dyDescent="0.3">
      <c r="AU5267" s="45"/>
    </row>
    <row r="5268" spans="47:47" ht="12" hidden="1" customHeight="1" x14ac:dyDescent="0.3">
      <c r="AU5268" s="45"/>
    </row>
    <row r="5269" spans="47:47" ht="12" hidden="1" customHeight="1" x14ac:dyDescent="0.3">
      <c r="AU5269" s="45"/>
    </row>
    <row r="5270" spans="47:47" ht="12" hidden="1" customHeight="1" x14ac:dyDescent="0.3">
      <c r="AU5270" s="45"/>
    </row>
    <row r="5271" spans="47:47" ht="12" hidden="1" customHeight="1" x14ac:dyDescent="0.3">
      <c r="AU5271" s="45"/>
    </row>
    <row r="5272" spans="47:47" ht="12" hidden="1" customHeight="1" x14ac:dyDescent="0.3">
      <c r="AU5272" s="45"/>
    </row>
    <row r="5273" spans="47:47" ht="12" hidden="1" customHeight="1" x14ac:dyDescent="0.3">
      <c r="AU5273" s="45"/>
    </row>
    <row r="5274" spans="47:47" ht="12" hidden="1" customHeight="1" x14ac:dyDescent="0.3">
      <c r="AU5274" s="45"/>
    </row>
    <row r="5275" spans="47:47" ht="12" hidden="1" customHeight="1" x14ac:dyDescent="0.3">
      <c r="AU5275" s="45"/>
    </row>
    <row r="5276" spans="47:47" ht="12" hidden="1" customHeight="1" x14ac:dyDescent="0.3">
      <c r="AU5276" s="45"/>
    </row>
    <row r="5277" spans="47:47" ht="12" hidden="1" customHeight="1" x14ac:dyDescent="0.3">
      <c r="AU5277" s="45"/>
    </row>
    <row r="5278" spans="47:47" ht="12" hidden="1" customHeight="1" x14ac:dyDescent="0.3">
      <c r="AU5278" s="45"/>
    </row>
    <row r="5279" spans="47:47" ht="12" hidden="1" customHeight="1" x14ac:dyDescent="0.3">
      <c r="AU5279" s="45"/>
    </row>
    <row r="5280" spans="47:47" ht="12" hidden="1" customHeight="1" x14ac:dyDescent="0.3">
      <c r="AU5280" s="45"/>
    </row>
    <row r="5281" spans="47:47" ht="12" hidden="1" customHeight="1" x14ac:dyDescent="0.3">
      <c r="AU5281" s="45"/>
    </row>
    <row r="5282" spans="47:47" ht="12" hidden="1" customHeight="1" x14ac:dyDescent="0.3">
      <c r="AU5282" s="45"/>
    </row>
    <row r="5283" spans="47:47" ht="12" hidden="1" customHeight="1" x14ac:dyDescent="0.3">
      <c r="AU5283" s="45"/>
    </row>
    <row r="5284" spans="47:47" ht="12" hidden="1" customHeight="1" x14ac:dyDescent="0.3">
      <c r="AU5284" s="45"/>
    </row>
    <row r="5285" spans="47:47" ht="12" hidden="1" customHeight="1" x14ac:dyDescent="0.3">
      <c r="AU5285" s="45"/>
    </row>
    <row r="5286" spans="47:47" ht="12" hidden="1" customHeight="1" x14ac:dyDescent="0.3">
      <c r="AU5286" s="45"/>
    </row>
    <row r="5287" spans="47:47" ht="12" hidden="1" customHeight="1" x14ac:dyDescent="0.3">
      <c r="AU5287" s="45"/>
    </row>
    <row r="5288" spans="47:47" ht="12" hidden="1" customHeight="1" x14ac:dyDescent="0.3">
      <c r="AU5288" s="45"/>
    </row>
    <row r="5289" spans="47:47" ht="12" hidden="1" customHeight="1" x14ac:dyDescent="0.3">
      <c r="AU5289" s="45"/>
    </row>
    <row r="5290" spans="47:47" ht="12" hidden="1" customHeight="1" x14ac:dyDescent="0.3">
      <c r="AU5290" s="45"/>
    </row>
    <row r="5291" spans="47:47" ht="12" hidden="1" customHeight="1" x14ac:dyDescent="0.3">
      <c r="AU5291" s="45"/>
    </row>
    <row r="5292" spans="47:47" ht="12" hidden="1" customHeight="1" x14ac:dyDescent="0.3">
      <c r="AU5292" s="45"/>
    </row>
    <row r="5293" spans="47:47" ht="12" hidden="1" customHeight="1" x14ac:dyDescent="0.3">
      <c r="AU5293" s="45"/>
    </row>
    <row r="5294" spans="47:47" ht="12" hidden="1" customHeight="1" x14ac:dyDescent="0.3">
      <c r="AU5294" s="45"/>
    </row>
    <row r="5295" spans="47:47" ht="12" hidden="1" customHeight="1" x14ac:dyDescent="0.3">
      <c r="AU5295" s="45"/>
    </row>
    <row r="5296" spans="47:47" ht="12" hidden="1" customHeight="1" x14ac:dyDescent="0.3">
      <c r="AU5296" s="45"/>
    </row>
    <row r="5297" spans="47:47" ht="12" hidden="1" customHeight="1" x14ac:dyDescent="0.3">
      <c r="AU5297" s="45"/>
    </row>
    <row r="5298" spans="47:47" ht="12" hidden="1" customHeight="1" x14ac:dyDescent="0.3">
      <c r="AU5298" s="45"/>
    </row>
    <row r="5299" spans="47:47" ht="12" hidden="1" customHeight="1" x14ac:dyDescent="0.3">
      <c r="AU5299" s="45"/>
    </row>
    <row r="5300" spans="47:47" ht="12" hidden="1" customHeight="1" x14ac:dyDescent="0.3">
      <c r="AU5300" s="45"/>
    </row>
    <row r="5301" spans="47:47" ht="12" hidden="1" customHeight="1" x14ac:dyDescent="0.3">
      <c r="AU5301" s="45"/>
    </row>
    <row r="5302" spans="47:47" ht="12" hidden="1" customHeight="1" x14ac:dyDescent="0.3">
      <c r="AU5302" s="45"/>
    </row>
    <row r="5303" spans="47:47" ht="12" hidden="1" customHeight="1" x14ac:dyDescent="0.3">
      <c r="AU5303" s="45"/>
    </row>
    <row r="5304" spans="47:47" ht="12" hidden="1" customHeight="1" x14ac:dyDescent="0.3">
      <c r="AU5304" s="45"/>
    </row>
    <row r="5305" spans="47:47" ht="12" hidden="1" customHeight="1" x14ac:dyDescent="0.3">
      <c r="AU5305" s="45"/>
    </row>
    <row r="5306" spans="47:47" ht="12" hidden="1" customHeight="1" x14ac:dyDescent="0.3">
      <c r="AU5306" s="45"/>
    </row>
    <row r="5307" spans="47:47" ht="12" hidden="1" customHeight="1" x14ac:dyDescent="0.3">
      <c r="AU5307" s="45"/>
    </row>
    <row r="5308" spans="47:47" ht="12" hidden="1" customHeight="1" x14ac:dyDescent="0.3">
      <c r="AU5308" s="45"/>
    </row>
    <row r="5309" spans="47:47" ht="12" hidden="1" customHeight="1" x14ac:dyDescent="0.3">
      <c r="AU5309" s="45"/>
    </row>
    <row r="5310" spans="47:47" ht="12" hidden="1" customHeight="1" x14ac:dyDescent="0.3">
      <c r="AU5310" s="45"/>
    </row>
    <row r="5311" spans="47:47" ht="12" hidden="1" customHeight="1" x14ac:dyDescent="0.3">
      <c r="AU5311" s="45"/>
    </row>
    <row r="5312" spans="47:47" ht="12" hidden="1" customHeight="1" x14ac:dyDescent="0.3">
      <c r="AU5312" s="45"/>
    </row>
    <row r="5313" spans="47:47" ht="12" hidden="1" customHeight="1" x14ac:dyDescent="0.3">
      <c r="AU5313" s="45"/>
    </row>
    <row r="5314" spans="47:47" ht="12" hidden="1" customHeight="1" x14ac:dyDescent="0.3">
      <c r="AU5314" s="45"/>
    </row>
    <row r="5315" spans="47:47" ht="12" hidden="1" customHeight="1" x14ac:dyDescent="0.3">
      <c r="AU5315" s="45"/>
    </row>
    <row r="5316" spans="47:47" ht="12" hidden="1" customHeight="1" x14ac:dyDescent="0.3">
      <c r="AU5316" s="45"/>
    </row>
    <row r="5317" spans="47:47" ht="12" hidden="1" customHeight="1" x14ac:dyDescent="0.3">
      <c r="AU5317" s="45"/>
    </row>
    <row r="5318" spans="47:47" ht="12" hidden="1" customHeight="1" x14ac:dyDescent="0.3">
      <c r="AU5318" s="45"/>
    </row>
    <row r="5319" spans="47:47" ht="12" hidden="1" customHeight="1" x14ac:dyDescent="0.3">
      <c r="AU5319" s="45"/>
    </row>
    <row r="5320" spans="47:47" ht="12" hidden="1" customHeight="1" x14ac:dyDescent="0.3">
      <c r="AU5320" s="45"/>
    </row>
    <row r="5321" spans="47:47" ht="12" hidden="1" customHeight="1" x14ac:dyDescent="0.3">
      <c r="AU5321" s="45"/>
    </row>
    <row r="5322" spans="47:47" ht="12" hidden="1" customHeight="1" x14ac:dyDescent="0.3">
      <c r="AU5322" s="45"/>
    </row>
    <row r="5323" spans="47:47" ht="12" hidden="1" customHeight="1" x14ac:dyDescent="0.3">
      <c r="AU5323" s="45"/>
    </row>
    <row r="5324" spans="47:47" ht="12" hidden="1" customHeight="1" x14ac:dyDescent="0.3">
      <c r="AU5324" s="45"/>
    </row>
    <row r="5325" spans="47:47" ht="12" hidden="1" customHeight="1" x14ac:dyDescent="0.3">
      <c r="AU5325" s="45"/>
    </row>
    <row r="5326" spans="47:47" ht="12" hidden="1" customHeight="1" x14ac:dyDescent="0.3">
      <c r="AU5326" s="45"/>
    </row>
    <row r="5327" spans="47:47" ht="12" hidden="1" customHeight="1" x14ac:dyDescent="0.3">
      <c r="AU5327" s="45"/>
    </row>
    <row r="5328" spans="47:47" ht="12" hidden="1" customHeight="1" x14ac:dyDescent="0.3">
      <c r="AU5328" s="45"/>
    </row>
    <row r="5329" spans="47:47" ht="12" hidden="1" customHeight="1" x14ac:dyDescent="0.3">
      <c r="AU5329" s="45"/>
    </row>
    <row r="5330" spans="47:47" ht="12" hidden="1" customHeight="1" x14ac:dyDescent="0.3">
      <c r="AU5330" s="45"/>
    </row>
    <row r="5331" spans="47:47" ht="12" hidden="1" customHeight="1" x14ac:dyDescent="0.3">
      <c r="AU5331" s="45"/>
    </row>
    <row r="5332" spans="47:47" ht="12" hidden="1" customHeight="1" x14ac:dyDescent="0.3">
      <c r="AU5332" s="45"/>
    </row>
    <row r="5333" spans="47:47" ht="12" hidden="1" customHeight="1" x14ac:dyDescent="0.3">
      <c r="AU5333" s="45"/>
    </row>
    <row r="5334" spans="47:47" ht="12" hidden="1" customHeight="1" x14ac:dyDescent="0.3">
      <c r="AU5334" s="45"/>
    </row>
    <row r="5335" spans="47:47" ht="12" hidden="1" customHeight="1" x14ac:dyDescent="0.3">
      <c r="AU5335" s="45"/>
    </row>
    <row r="5336" spans="47:47" ht="12" hidden="1" customHeight="1" x14ac:dyDescent="0.3">
      <c r="AU5336" s="45"/>
    </row>
    <row r="5337" spans="47:47" ht="12" hidden="1" customHeight="1" x14ac:dyDescent="0.3">
      <c r="AU5337" s="45"/>
    </row>
    <row r="5338" spans="47:47" ht="12" hidden="1" customHeight="1" x14ac:dyDescent="0.3">
      <c r="AU5338" s="45"/>
    </row>
    <row r="5339" spans="47:47" ht="12" hidden="1" customHeight="1" x14ac:dyDescent="0.3">
      <c r="AU5339" s="45"/>
    </row>
    <row r="5340" spans="47:47" ht="12" hidden="1" customHeight="1" x14ac:dyDescent="0.3">
      <c r="AU5340" s="45"/>
    </row>
    <row r="5341" spans="47:47" ht="12" hidden="1" customHeight="1" x14ac:dyDescent="0.3">
      <c r="AU5341" s="45"/>
    </row>
    <row r="5342" spans="47:47" ht="12" hidden="1" customHeight="1" x14ac:dyDescent="0.3">
      <c r="AU5342" s="45"/>
    </row>
    <row r="5343" spans="47:47" ht="12" hidden="1" customHeight="1" x14ac:dyDescent="0.3">
      <c r="AU5343" s="45"/>
    </row>
    <row r="5344" spans="47:47" ht="12" hidden="1" customHeight="1" x14ac:dyDescent="0.3">
      <c r="AU5344" s="45"/>
    </row>
    <row r="5345" spans="47:47" ht="12" hidden="1" customHeight="1" x14ac:dyDescent="0.3">
      <c r="AU5345" s="45"/>
    </row>
    <row r="5346" spans="47:47" ht="12" hidden="1" customHeight="1" x14ac:dyDescent="0.3">
      <c r="AU5346" s="45"/>
    </row>
    <row r="5347" spans="47:47" ht="12" hidden="1" customHeight="1" x14ac:dyDescent="0.3">
      <c r="AU5347" s="45"/>
    </row>
    <row r="5348" spans="47:47" ht="12" hidden="1" customHeight="1" x14ac:dyDescent="0.3">
      <c r="AU5348" s="45"/>
    </row>
    <row r="5349" spans="47:47" ht="12" hidden="1" customHeight="1" x14ac:dyDescent="0.3">
      <c r="AU5349" s="45"/>
    </row>
    <row r="5350" spans="47:47" ht="12" hidden="1" customHeight="1" x14ac:dyDescent="0.3">
      <c r="AU5350" s="45"/>
    </row>
    <row r="5351" spans="47:47" ht="12" hidden="1" customHeight="1" x14ac:dyDescent="0.3">
      <c r="AU5351" s="45"/>
    </row>
    <row r="5352" spans="47:47" ht="12" hidden="1" customHeight="1" x14ac:dyDescent="0.3">
      <c r="AU5352" s="45"/>
    </row>
    <row r="5353" spans="47:47" ht="12" hidden="1" customHeight="1" x14ac:dyDescent="0.3">
      <c r="AU5353" s="45"/>
    </row>
    <row r="5354" spans="47:47" ht="12" hidden="1" customHeight="1" x14ac:dyDescent="0.3">
      <c r="AU5354" s="45"/>
    </row>
    <row r="5355" spans="47:47" ht="12" hidden="1" customHeight="1" x14ac:dyDescent="0.3">
      <c r="AU5355" s="45"/>
    </row>
    <row r="5356" spans="47:47" ht="12" hidden="1" customHeight="1" x14ac:dyDescent="0.3">
      <c r="AU5356" s="45"/>
    </row>
    <row r="5357" spans="47:47" ht="12" hidden="1" customHeight="1" x14ac:dyDescent="0.3">
      <c r="AU5357" s="45"/>
    </row>
    <row r="5358" spans="47:47" ht="12" hidden="1" customHeight="1" x14ac:dyDescent="0.3">
      <c r="AU5358" s="45"/>
    </row>
    <row r="5359" spans="47:47" ht="12" hidden="1" customHeight="1" x14ac:dyDescent="0.3">
      <c r="AU5359" s="45"/>
    </row>
    <row r="5360" spans="47:47" ht="12" hidden="1" customHeight="1" x14ac:dyDescent="0.3">
      <c r="AU5360" s="45"/>
    </row>
    <row r="5361" spans="47:47" ht="12" hidden="1" customHeight="1" x14ac:dyDescent="0.3">
      <c r="AU5361" s="45"/>
    </row>
    <row r="5362" spans="47:47" ht="12" hidden="1" customHeight="1" x14ac:dyDescent="0.3">
      <c r="AU5362" s="45"/>
    </row>
    <row r="5363" spans="47:47" ht="12" hidden="1" customHeight="1" x14ac:dyDescent="0.3">
      <c r="AU5363" s="45"/>
    </row>
    <row r="5364" spans="47:47" ht="12" hidden="1" customHeight="1" x14ac:dyDescent="0.3">
      <c r="AU5364" s="45"/>
    </row>
    <row r="5365" spans="47:47" ht="12" hidden="1" customHeight="1" x14ac:dyDescent="0.3">
      <c r="AU5365" s="45"/>
    </row>
    <row r="5366" spans="47:47" ht="12" hidden="1" customHeight="1" x14ac:dyDescent="0.3">
      <c r="AU5366" s="45"/>
    </row>
    <row r="5367" spans="47:47" ht="12" hidden="1" customHeight="1" x14ac:dyDescent="0.3">
      <c r="AU5367" s="45"/>
    </row>
    <row r="5368" spans="47:47" ht="12" hidden="1" customHeight="1" x14ac:dyDescent="0.3">
      <c r="AU5368" s="45"/>
    </row>
    <row r="5369" spans="47:47" ht="12" hidden="1" customHeight="1" x14ac:dyDescent="0.3">
      <c r="AU5369" s="45"/>
    </row>
    <row r="5370" spans="47:47" ht="12" hidden="1" customHeight="1" x14ac:dyDescent="0.3">
      <c r="AU5370" s="45"/>
    </row>
    <row r="5371" spans="47:47" ht="12" hidden="1" customHeight="1" x14ac:dyDescent="0.3">
      <c r="AU5371" s="45"/>
    </row>
    <row r="5372" spans="47:47" ht="12" hidden="1" customHeight="1" x14ac:dyDescent="0.3">
      <c r="AU5372" s="45"/>
    </row>
    <row r="5373" spans="47:47" ht="12" hidden="1" customHeight="1" x14ac:dyDescent="0.3">
      <c r="AU5373" s="45"/>
    </row>
    <row r="5374" spans="47:47" ht="12" hidden="1" customHeight="1" x14ac:dyDescent="0.3">
      <c r="AU5374" s="45"/>
    </row>
    <row r="5375" spans="47:47" ht="12" hidden="1" customHeight="1" x14ac:dyDescent="0.3">
      <c r="AU5375" s="45"/>
    </row>
    <row r="5376" spans="47:47" ht="12" hidden="1" customHeight="1" x14ac:dyDescent="0.3">
      <c r="AU5376" s="45"/>
    </row>
    <row r="5377" spans="47:47" ht="12" hidden="1" customHeight="1" x14ac:dyDescent="0.3">
      <c r="AU5377" s="45"/>
    </row>
    <row r="5378" spans="47:47" ht="12" hidden="1" customHeight="1" x14ac:dyDescent="0.3">
      <c r="AU5378" s="45"/>
    </row>
    <row r="5379" spans="47:47" ht="12" hidden="1" customHeight="1" x14ac:dyDescent="0.3">
      <c r="AU5379" s="45"/>
    </row>
    <row r="5380" spans="47:47" ht="12" hidden="1" customHeight="1" x14ac:dyDescent="0.3">
      <c r="AU5380" s="45"/>
    </row>
    <row r="5381" spans="47:47" ht="12" hidden="1" customHeight="1" x14ac:dyDescent="0.3">
      <c r="AU5381" s="45"/>
    </row>
    <row r="5382" spans="47:47" ht="12" hidden="1" customHeight="1" x14ac:dyDescent="0.3">
      <c r="AU5382" s="45"/>
    </row>
    <row r="5383" spans="47:47" ht="12" hidden="1" customHeight="1" x14ac:dyDescent="0.3">
      <c r="AU5383" s="45"/>
    </row>
    <row r="5384" spans="47:47" ht="12" hidden="1" customHeight="1" x14ac:dyDescent="0.3">
      <c r="AU5384" s="45"/>
    </row>
    <row r="5385" spans="47:47" ht="12" hidden="1" customHeight="1" x14ac:dyDescent="0.3">
      <c r="AU5385" s="45"/>
    </row>
    <row r="5386" spans="47:47" ht="12" hidden="1" customHeight="1" x14ac:dyDescent="0.3">
      <c r="AU5386" s="45"/>
    </row>
    <row r="5387" spans="47:47" ht="12" hidden="1" customHeight="1" x14ac:dyDescent="0.3">
      <c r="AU5387" s="45"/>
    </row>
    <row r="5388" spans="47:47" ht="12" hidden="1" customHeight="1" x14ac:dyDescent="0.3">
      <c r="AU5388" s="45"/>
    </row>
    <row r="5389" spans="47:47" ht="12" hidden="1" customHeight="1" x14ac:dyDescent="0.3">
      <c r="AU5389" s="45"/>
    </row>
    <row r="5390" spans="47:47" ht="12" hidden="1" customHeight="1" x14ac:dyDescent="0.3">
      <c r="AU5390" s="45"/>
    </row>
    <row r="5391" spans="47:47" ht="12" hidden="1" customHeight="1" x14ac:dyDescent="0.3">
      <c r="AU5391" s="45"/>
    </row>
    <row r="5392" spans="47:47" ht="12" hidden="1" customHeight="1" x14ac:dyDescent="0.3">
      <c r="AU5392" s="45"/>
    </row>
    <row r="5393" spans="47:47" ht="12" hidden="1" customHeight="1" x14ac:dyDescent="0.3">
      <c r="AU5393" s="45"/>
    </row>
    <row r="5394" spans="47:47" ht="12" hidden="1" customHeight="1" x14ac:dyDescent="0.3">
      <c r="AU5394" s="45"/>
    </row>
    <row r="5395" spans="47:47" ht="12" hidden="1" customHeight="1" x14ac:dyDescent="0.3">
      <c r="AU5395" s="45"/>
    </row>
    <row r="5396" spans="47:47" ht="12" hidden="1" customHeight="1" x14ac:dyDescent="0.3">
      <c r="AU5396" s="45"/>
    </row>
    <row r="5397" spans="47:47" ht="12" hidden="1" customHeight="1" x14ac:dyDescent="0.3">
      <c r="AU5397" s="45"/>
    </row>
    <row r="5398" spans="47:47" ht="12" hidden="1" customHeight="1" x14ac:dyDescent="0.3">
      <c r="AU5398" s="45"/>
    </row>
    <row r="5399" spans="47:47" ht="12" hidden="1" customHeight="1" x14ac:dyDescent="0.3">
      <c r="AU5399" s="45"/>
    </row>
    <row r="5400" spans="47:47" ht="12" hidden="1" customHeight="1" x14ac:dyDescent="0.3">
      <c r="AU5400" s="45"/>
    </row>
    <row r="5401" spans="47:47" ht="12" hidden="1" customHeight="1" x14ac:dyDescent="0.3">
      <c r="AU5401" s="45"/>
    </row>
    <row r="5402" spans="47:47" ht="12" hidden="1" customHeight="1" x14ac:dyDescent="0.3">
      <c r="AU5402" s="45"/>
    </row>
    <row r="5403" spans="47:47" ht="12" hidden="1" customHeight="1" x14ac:dyDescent="0.3">
      <c r="AU5403" s="45"/>
    </row>
    <row r="5404" spans="47:47" ht="12" hidden="1" customHeight="1" x14ac:dyDescent="0.3">
      <c r="AU5404" s="45"/>
    </row>
    <row r="5405" spans="47:47" ht="12" hidden="1" customHeight="1" x14ac:dyDescent="0.3">
      <c r="AU5405" s="45"/>
    </row>
    <row r="5406" spans="47:47" ht="12" hidden="1" customHeight="1" x14ac:dyDescent="0.3">
      <c r="AU5406" s="45"/>
    </row>
    <row r="5407" spans="47:47" ht="12" hidden="1" customHeight="1" x14ac:dyDescent="0.3">
      <c r="AU5407" s="45"/>
    </row>
    <row r="5408" spans="47:47" ht="12" hidden="1" customHeight="1" x14ac:dyDescent="0.3">
      <c r="AU5408" s="45"/>
    </row>
    <row r="5409" spans="47:47" ht="12" hidden="1" customHeight="1" x14ac:dyDescent="0.3">
      <c r="AU5409" s="45"/>
    </row>
    <row r="5410" spans="47:47" ht="12" hidden="1" customHeight="1" x14ac:dyDescent="0.3">
      <c r="AU5410" s="45"/>
    </row>
    <row r="5411" spans="47:47" ht="12" hidden="1" customHeight="1" x14ac:dyDescent="0.3">
      <c r="AU5411" s="45"/>
    </row>
    <row r="5412" spans="47:47" ht="12" hidden="1" customHeight="1" x14ac:dyDescent="0.3">
      <c r="AU5412" s="45"/>
    </row>
    <row r="5413" spans="47:47" ht="12" hidden="1" customHeight="1" x14ac:dyDescent="0.3">
      <c r="AU5413" s="45"/>
    </row>
    <row r="5414" spans="47:47" ht="12" hidden="1" customHeight="1" x14ac:dyDescent="0.3">
      <c r="AU5414" s="45"/>
    </row>
    <row r="5415" spans="47:47" ht="12" hidden="1" customHeight="1" x14ac:dyDescent="0.3">
      <c r="AU5415" s="45"/>
    </row>
    <row r="5416" spans="47:47" ht="12" hidden="1" customHeight="1" x14ac:dyDescent="0.3">
      <c r="AU5416" s="45"/>
    </row>
    <row r="5417" spans="47:47" ht="12" hidden="1" customHeight="1" x14ac:dyDescent="0.3">
      <c r="AU5417" s="45"/>
    </row>
    <row r="5418" spans="47:47" ht="12" hidden="1" customHeight="1" x14ac:dyDescent="0.3">
      <c r="AU5418" s="45"/>
    </row>
    <row r="5419" spans="47:47" ht="12" hidden="1" customHeight="1" x14ac:dyDescent="0.3">
      <c r="AU5419" s="45"/>
    </row>
    <row r="5420" spans="47:47" ht="12" hidden="1" customHeight="1" x14ac:dyDescent="0.3">
      <c r="AU5420" s="45"/>
    </row>
    <row r="5421" spans="47:47" ht="12" hidden="1" customHeight="1" x14ac:dyDescent="0.3">
      <c r="AU5421" s="45"/>
    </row>
    <row r="5422" spans="47:47" ht="12" hidden="1" customHeight="1" x14ac:dyDescent="0.3">
      <c r="AU5422" s="45"/>
    </row>
    <row r="5423" spans="47:47" ht="12" hidden="1" customHeight="1" x14ac:dyDescent="0.3">
      <c r="AU5423" s="45"/>
    </row>
    <row r="5424" spans="47:47" ht="12" hidden="1" customHeight="1" x14ac:dyDescent="0.3">
      <c r="AU5424" s="45"/>
    </row>
    <row r="5425" spans="47:47" ht="12" hidden="1" customHeight="1" x14ac:dyDescent="0.3">
      <c r="AU5425" s="45"/>
    </row>
    <row r="5426" spans="47:47" ht="12" hidden="1" customHeight="1" x14ac:dyDescent="0.3">
      <c r="AU5426" s="45"/>
    </row>
    <row r="5427" spans="47:47" ht="12" hidden="1" customHeight="1" x14ac:dyDescent="0.3">
      <c r="AU5427" s="45"/>
    </row>
    <row r="5428" spans="47:47" ht="12" hidden="1" customHeight="1" x14ac:dyDescent="0.3">
      <c r="AU5428" s="45"/>
    </row>
    <row r="5429" spans="47:47" ht="12" hidden="1" customHeight="1" x14ac:dyDescent="0.3">
      <c r="AU5429" s="45"/>
    </row>
    <row r="5430" spans="47:47" ht="12" hidden="1" customHeight="1" x14ac:dyDescent="0.3">
      <c r="AU5430" s="45"/>
    </row>
    <row r="5431" spans="47:47" ht="12" hidden="1" customHeight="1" x14ac:dyDescent="0.3">
      <c r="AU5431" s="45"/>
    </row>
    <row r="5432" spans="47:47" ht="12" hidden="1" customHeight="1" x14ac:dyDescent="0.3">
      <c r="AU5432" s="45"/>
    </row>
    <row r="5433" spans="47:47" ht="12" hidden="1" customHeight="1" x14ac:dyDescent="0.3">
      <c r="AU5433" s="45"/>
    </row>
    <row r="5434" spans="47:47" ht="12" hidden="1" customHeight="1" x14ac:dyDescent="0.3">
      <c r="AU5434" s="45"/>
    </row>
    <row r="5435" spans="47:47" ht="12" hidden="1" customHeight="1" x14ac:dyDescent="0.3">
      <c r="AU5435" s="45"/>
    </row>
    <row r="5436" spans="47:47" ht="12" hidden="1" customHeight="1" x14ac:dyDescent="0.3">
      <c r="AU5436" s="45"/>
    </row>
    <row r="5437" spans="47:47" ht="12" hidden="1" customHeight="1" x14ac:dyDescent="0.3">
      <c r="AU5437" s="45"/>
    </row>
    <row r="5438" spans="47:47" ht="12" hidden="1" customHeight="1" x14ac:dyDescent="0.3">
      <c r="AU5438" s="45"/>
    </row>
    <row r="5439" spans="47:47" ht="12" hidden="1" customHeight="1" x14ac:dyDescent="0.3">
      <c r="AU5439" s="45"/>
    </row>
    <row r="5440" spans="47:47" ht="12" hidden="1" customHeight="1" x14ac:dyDescent="0.3">
      <c r="AU5440" s="45"/>
    </row>
    <row r="5441" spans="47:47" ht="12" hidden="1" customHeight="1" x14ac:dyDescent="0.3">
      <c r="AU5441" s="45"/>
    </row>
    <row r="5442" spans="47:47" ht="12" hidden="1" customHeight="1" x14ac:dyDescent="0.3">
      <c r="AU5442" s="45"/>
    </row>
    <row r="5443" spans="47:47" ht="12" hidden="1" customHeight="1" x14ac:dyDescent="0.3">
      <c r="AU5443" s="45"/>
    </row>
    <row r="5444" spans="47:47" ht="12" hidden="1" customHeight="1" x14ac:dyDescent="0.3">
      <c r="AU5444" s="45"/>
    </row>
    <row r="5445" spans="47:47" ht="12" hidden="1" customHeight="1" x14ac:dyDescent="0.3">
      <c r="AU5445" s="45"/>
    </row>
    <row r="5446" spans="47:47" ht="12" hidden="1" customHeight="1" x14ac:dyDescent="0.3">
      <c r="AU5446" s="45"/>
    </row>
    <row r="5447" spans="47:47" ht="12" hidden="1" customHeight="1" x14ac:dyDescent="0.3">
      <c r="AU5447" s="45"/>
    </row>
    <row r="5448" spans="47:47" ht="12" hidden="1" customHeight="1" x14ac:dyDescent="0.3">
      <c r="AU5448" s="45"/>
    </row>
    <row r="5449" spans="47:47" ht="12" hidden="1" customHeight="1" x14ac:dyDescent="0.3">
      <c r="AU5449" s="45"/>
    </row>
    <row r="5450" spans="47:47" ht="12" hidden="1" customHeight="1" x14ac:dyDescent="0.3">
      <c r="AU5450" s="45"/>
    </row>
    <row r="5451" spans="47:47" ht="12" hidden="1" customHeight="1" x14ac:dyDescent="0.3">
      <c r="AU5451" s="45"/>
    </row>
    <row r="5452" spans="47:47" ht="12" hidden="1" customHeight="1" x14ac:dyDescent="0.3">
      <c r="AU5452" s="45"/>
    </row>
    <row r="5453" spans="47:47" ht="12" hidden="1" customHeight="1" x14ac:dyDescent="0.3">
      <c r="AU5453" s="45"/>
    </row>
    <row r="5454" spans="47:47" ht="12" hidden="1" customHeight="1" x14ac:dyDescent="0.3">
      <c r="AU5454" s="45"/>
    </row>
    <row r="5455" spans="47:47" ht="12" hidden="1" customHeight="1" x14ac:dyDescent="0.3">
      <c r="AU5455" s="45"/>
    </row>
    <row r="5456" spans="47:47" ht="12" hidden="1" customHeight="1" x14ac:dyDescent="0.3">
      <c r="AU5456" s="45"/>
    </row>
    <row r="5457" spans="47:47" ht="12" hidden="1" customHeight="1" x14ac:dyDescent="0.3">
      <c r="AU5457" s="45"/>
    </row>
    <row r="5458" spans="47:47" ht="12" hidden="1" customHeight="1" x14ac:dyDescent="0.3">
      <c r="AU5458" s="45"/>
    </row>
    <row r="5459" spans="47:47" ht="12" hidden="1" customHeight="1" x14ac:dyDescent="0.3">
      <c r="AU5459" s="45"/>
    </row>
    <row r="5460" spans="47:47" ht="12" hidden="1" customHeight="1" x14ac:dyDescent="0.3">
      <c r="AU5460" s="45"/>
    </row>
    <row r="5461" spans="47:47" ht="12" hidden="1" customHeight="1" x14ac:dyDescent="0.3">
      <c r="AU5461" s="45"/>
    </row>
    <row r="5462" spans="47:47" ht="12" hidden="1" customHeight="1" x14ac:dyDescent="0.3">
      <c r="AU5462" s="45"/>
    </row>
    <row r="5463" spans="47:47" ht="12" hidden="1" customHeight="1" x14ac:dyDescent="0.3">
      <c r="AU5463" s="45"/>
    </row>
    <row r="5464" spans="47:47" ht="12" hidden="1" customHeight="1" x14ac:dyDescent="0.3">
      <c r="AU5464" s="45"/>
    </row>
    <row r="5465" spans="47:47" ht="12" hidden="1" customHeight="1" x14ac:dyDescent="0.3">
      <c r="AU5465" s="45"/>
    </row>
    <row r="5466" spans="47:47" ht="12" hidden="1" customHeight="1" x14ac:dyDescent="0.3">
      <c r="AU5466" s="45"/>
    </row>
    <row r="5467" spans="47:47" ht="12" hidden="1" customHeight="1" x14ac:dyDescent="0.3">
      <c r="AU5467" s="45"/>
    </row>
    <row r="5468" spans="47:47" ht="12" hidden="1" customHeight="1" x14ac:dyDescent="0.3">
      <c r="AU5468" s="45"/>
    </row>
    <row r="5469" spans="47:47" ht="12" hidden="1" customHeight="1" x14ac:dyDescent="0.3">
      <c r="AU5469" s="45"/>
    </row>
    <row r="5470" spans="47:47" ht="12" hidden="1" customHeight="1" x14ac:dyDescent="0.3">
      <c r="AU5470" s="45"/>
    </row>
    <row r="5471" spans="47:47" ht="12" hidden="1" customHeight="1" x14ac:dyDescent="0.3">
      <c r="AU5471" s="45"/>
    </row>
    <row r="5472" spans="47:47" ht="12" hidden="1" customHeight="1" x14ac:dyDescent="0.3">
      <c r="AU5472" s="45"/>
    </row>
    <row r="5473" spans="47:47" ht="12" hidden="1" customHeight="1" x14ac:dyDescent="0.3">
      <c r="AU5473" s="45"/>
    </row>
    <row r="5474" spans="47:47" ht="12" hidden="1" customHeight="1" x14ac:dyDescent="0.3">
      <c r="AU5474" s="45"/>
    </row>
    <row r="5475" spans="47:47" ht="12" hidden="1" customHeight="1" x14ac:dyDescent="0.3">
      <c r="AU5475" s="45"/>
    </row>
    <row r="5476" spans="47:47" ht="12" hidden="1" customHeight="1" x14ac:dyDescent="0.3">
      <c r="AU5476" s="45"/>
    </row>
    <row r="5477" spans="47:47" ht="12" hidden="1" customHeight="1" x14ac:dyDescent="0.3">
      <c r="AU5477" s="45"/>
    </row>
    <row r="5478" spans="47:47" ht="12" hidden="1" customHeight="1" x14ac:dyDescent="0.3">
      <c r="AU5478" s="45"/>
    </row>
    <row r="5479" spans="47:47" ht="12" hidden="1" customHeight="1" x14ac:dyDescent="0.3">
      <c r="AU5479" s="45"/>
    </row>
    <row r="5480" spans="47:47" ht="12" hidden="1" customHeight="1" x14ac:dyDescent="0.3">
      <c r="AU5480" s="45"/>
    </row>
    <row r="5481" spans="47:47" ht="12" hidden="1" customHeight="1" x14ac:dyDescent="0.3">
      <c r="AU5481" s="45"/>
    </row>
    <row r="5482" spans="47:47" ht="12" hidden="1" customHeight="1" x14ac:dyDescent="0.3">
      <c r="AU5482" s="45"/>
    </row>
    <row r="5483" spans="47:47" ht="12" hidden="1" customHeight="1" x14ac:dyDescent="0.3">
      <c r="AU5483" s="45"/>
    </row>
    <row r="5484" spans="47:47" ht="12" hidden="1" customHeight="1" x14ac:dyDescent="0.3">
      <c r="AU5484" s="45"/>
    </row>
    <row r="5485" spans="47:47" ht="12" hidden="1" customHeight="1" x14ac:dyDescent="0.3">
      <c r="AU5485" s="45"/>
    </row>
    <row r="5486" spans="47:47" ht="12" hidden="1" customHeight="1" x14ac:dyDescent="0.3">
      <c r="AU5486" s="45"/>
    </row>
    <row r="5487" spans="47:47" ht="12" hidden="1" customHeight="1" x14ac:dyDescent="0.3">
      <c r="AU5487" s="45"/>
    </row>
    <row r="5488" spans="47:47" ht="12" hidden="1" customHeight="1" x14ac:dyDescent="0.3">
      <c r="AU5488" s="45"/>
    </row>
    <row r="5489" spans="47:47" ht="12" hidden="1" customHeight="1" x14ac:dyDescent="0.3">
      <c r="AU5489" s="45"/>
    </row>
    <row r="5490" spans="47:47" ht="12" hidden="1" customHeight="1" x14ac:dyDescent="0.3">
      <c r="AU5490" s="45"/>
    </row>
    <row r="5491" spans="47:47" ht="12" hidden="1" customHeight="1" x14ac:dyDescent="0.3">
      <c r="AU5491" s="45"/>
    </row>
    <row r="5492" spans="47:47" ht="12" hidden="1" customHeight="1" x14ac:dyDescent="0.3">
      <c r="AU5492" s="45"/>
    </row>
    <row r="5493" spans="47:47" ht="12" hidden="1" customHeight="1" x14ac:dyDescent="0.3">
      <c r="AU5493" s="45"/>
    </row>
    <row r="5494" spans="47:47" ht="12" hidden="1" customHeight="1" x14ac:dyDescent="0.3">
      <c r="AU5494" s="45"/>
    </row>
    <row r="5495" spans="47:47" ht="12" hidden="1" customHeight="1" x14ac:dyDescent="0.3">
      <c r="AU5495" s="45"/>
    </row>
    <row r="5496" spans="47:47" ht="12" hidden="1" customHeight="1" x14ac:dyDescent="0.3">
      <c r="AU5496" s="45"/>
    </row>
    <row r="5497" spans="47:47" ht="12" hidden="1" customHeight="1" x14ac:dyDescent="0.3">
      <c r="AU5497" s="45"/>
    </row>
    <row r="5498" spans="47:47" ht="12" hidden="1" customHeight="1" x14ac:dyDescent="0.3">
      <c r="AU5498" s="45"/>
    </row>
    <row r="5499" spans="47:47" ht="12" hidden="1" customHeight="1" x14ac:dyDescent="0.3">
      <c r="AU5499" s="45"/>
    </row>
    <row r="5500" spans="47:47" ht="12" hidden="1" customHeight="1" x14ac:dyDescent="0.3">
      <c r="AU5500" s="45"/>
    </row>
    <row r="5501" spans="47:47" ht="12" hidden="1" customHeight="1" x14ac:dyDescent="0.3">
      <c r="AU5501" s="45"/>
    </row>
    <row r="5502" spans="47:47" ht="12" hidden="1" customHeight="1" x14ac:dyDescent="0.3">
      <c r="AU5502" s="45"/>
    </row>
    <row r="5503" spans="47:47" ht="12" hidden="1" customHeight="1" x14ac:dyDescent="0.3">
      <c r="AU5503" s="45"/>
    </row>
    <row r="5504" spans="47:47" ht="12" hidden="1" customHeight="1" x14ac:dyDescent="0.3">
      <c r="AU5504" s="45"/>
    </row>
    <row r="5505" spans="47:47" ht="12" hidden="1" customHeight="1" x14ac:dyDescent="0.3">
      <c r="AU5505" s="45"/>
    </row>
    <row r="5506" spans="47:47" ht="12" hidden="1" customHeight="1" x14ac:dyDescent="0.3">
      <c r="AU5506" s="45"/>
    </row>
    <row r="5507" spans="47:47" ht="12" hidden="1" customHeight="1" x14ac:dyDescent="0.3">
      <c r="AU5507" s="45"/>
    </row>
    <row r="5508" spans="47:47" ht="12" hidden="1" customHeight="1" x14ac:dyDescent="0.3">
      <c r="AU5508" s="45"/>
    </row>
    <row r="5509" spans="47:47" ht="12" hidden="1" customHeight="1" x14ac:dyDescent="0.3">
      <c r="AU5509" s="45"/>
    </row>
    <row r="5510" spans="47:47" ht="12" hidden="1" customHeight="1" x14ac:dyDescent="0.3">
      <c r="AU5510" s="45"/>
    </row>
    <row r="5511" spans="47:47" ht="12" hidden="1" customHeight="1" x14ac:dyDescent="0.3">
      <c r="AU5511" s="45"/>
    </row>
    <row r="5512" spans="47:47" ht="12" hidden="1" customHeight="1" x14ac:dyDescent="0.3">
      <c r="AU5512" s="45"/>
    </row>
    <row r="5513" spans="47:47" ht="12" hidden="1" customHeight="1" x14ac:dyDescent="0.3">
      <c r="AU5513" s="45"/>
    </row>
    <row r="5514" spans="47:47" ht="12" hidden="1" customHeight="1" x14ac:dyDescent="0.3">
      <c r="AU5514" s="45"/>
    </row>
    <row r="5515" spans="47:47" ht="12" hidden="1" customHeight="1" x14ac:dyDescent="0.3">
      <c r="AU5515" s="45"/>
    </row>
    <row r="5516" spans="47:47" ht="12" hidden="1" customHeight="1" x14ac:dyDescent="0.3">
      <c r="AU5516" s="45"/>
    </row>
    <row r="5517" spans="47:47" ht="12" hidden="1" customHeight="1" x14ac:dyDescent="0.3">
      <c r="AU5517" s="45"/>
    </row>
    <row r="5518" spans="47:47" ht="12" hidden="1" customHeight="1" x14ac:dyDescent="0.3">
      <c r="AU5518" s="45"/>
    </row>
    <row r="5519" spans="47:47" ht="12" hidden="1" customHeight="1" x14ac:dyDescent="0.3">
      <c r="AU5519" s="45"/>
    </row>
    <row r="5520" spans="47:47" ht="12" hidden="1" customHeight="1" x14ac:dyDescent="0.3">
      <c r="AU5520" s="45"/>
    </row>
    <row r="5521" spans="47:47" ht="12" hidden="1" customHeight="1" x14ac:dyDescent="0.3">
      <c r="AU5521" s="45"/>
    </row>
    <row r="5522" spans="47:47" ht="12" hidden="1" customHeight="1" x14ac:dyDescent="0.3">
      <c r="AU5522" s="45"/>
    </row>
    <row r="5523" spans="47:47" ht="12" hidden="1" customHeight="1" x14ac:dyDescent="0.3">
      <c r="AU5523" s="45"/>
    </row>
    <row r="5524" spans="47:47" ht="12" hidden="1" customHeight="1" x14ac:dyDescent="0.3">
      <c r="AU5524" s="45"/>
    </row>
    <row r="5525" spans="47:47" ht="12" hidden="1" customHeight="1" x14ac:dyDescent="0.3">
      <c r="AU5525" s="45"/>
    </row>
    <row r="5526" spans="47:47" ht="12" hidden="1" customHeight="1" x14ac:dyDescent="0.3">
      <c r="AU5526" s="45"/>
    </row>
    <row r="5527" spans="47:47" ht="12" hidden="1" customHeight="1" x14ac:dyDescent="0.3">
      <c r="AU5527" s="45"/>
    </row>
    <row r="5528" spans="47:47" ht="12" hidden="1" customHeight="1" x14ac:dyDescent="0.3">
      <c r="AU5528" s="45"/>
    </row>
    <row r="5529" spans="47:47" ht="12" hidden="1" customHeight="1" x14ac:dyDescent="0.3">
      <c r="AU5529" s="45"/>
    </row>
    <row r="5530" spans="47:47" ht="12" hidden="1" customHeight="1" x14ac:dyDescent="0.3">
      <c r="AU5530" s="45"/>
    </row>
    <row r="5531" spans="47:47" ht="12" hidden="1" customHeight="1" x14ac:dyDescent="0.3">
      <c r="AU5531" s="45"/>
    </row>
    <row r="5532" spans="47:47" ht="12" hidden="1" customHeight="1" x14ac:dyDescent="0.3">
      <c r="AU5532" s="45"/>
    </row>
    <row r="5533" spans="47:47" ht="12" hidden="1" customHeight="1" x14ac:dyDescent="0.3">
      <c r="AU5533" s="45"/>
    </row>
    <row r="5534" spans="47:47" ht="12" hidden="1" customHeight="1" x14ac:dyDescent="0.3">
      <c r="AU5534" s="45"/>
    </row>
    <row r="5535" spans="47:47" ht="12" hidden="1" customHeight="1" x14ac:dyDescent="0.3">
      <c r="AU5535" s="45"/>
    </row>
    <row r="5536" spans="47:47" ht="12" hidden="1" customHeight="1" x14ac:dyDescent="0.3">
      <c r="AU5536" s="45"/>
    </row>
    <row r="5537" spans="47:47" ht="12" hidden="1" customHeight="1" x14ac:dyDescent="0.3">
      <c r="AU5537" s="45"/>
    </row>
    <row r="5538" spans="47:47" ht="12" hidden="1" customHeight="1" x14ac:dyDescent="0.3">
      <c r="AU5538" s="45"/>
    </row>
    <row r="5539" spans="47:47" ht="12" hidden="1" customHeight="1" x14ac:dyDescent="0.3">
      <c r="AU5539" s="45"/>
    </row>
    <row r="5540" spans="47:47" ht="12" hidden="1" customHeight="1" x14ac:dyDescent="0.3">
      <c r="AU5540" s="45"/>
    </row>
    <row r="5541" spans="47:47" ht="12" hidden="1" customHeight="1" x14ac:dyDescent="0.3">
      <c r="AU5541" s="45"/>
    </row>
    <row r="5542" spans="47:47" ht="12" hidden="1" customHeight="1" x14ac:dyDescent="0.3">
      <c r="AU5542" s="45"/>
    </row>
    <row r="5543" spans="47:47" ht="12" hidden="1" customHeight="1" x14ac:dyDescent="0.3">
      <c r="AU5543" s="45"/>
    </row>
    <row r="5544" spans="47:47" ht="12" hidden="1" customHeight="1" x14ac:dyDescent="0.3">
      <c r="AU5544" s="45"/>
    </row>
    <row r="5545" spans="47:47" ht="12" hidden="1" customHeight="1" x14ac:dyDescent="0.3">
      <c r="AU5545" s="45"/>
    </row>
    <row r="5546" spans="47:47" ht="12" hidden="1" customHeight="1" x14ac:dyDescent="0.3">
      <c r="AU5546" s="45"/>
    </row>
    <row r="5547" spans="47:47" ht="12" hidden="1" customHeight="1" x14ac:dyDescent="0.3">
      <c r="AU5547" s="45"/>
    </row>
    <row r="5548" spans="47:47" ht="12" hidden="1" customHeight="1" x14ac:dyDescent="0.3">
      <c r="AU5548" s="45"/>
    </row>
    <row r="5549" spans="47:47" ht="12" hidden="1" customHeight="1" x14ac:dyDescent="0.3">
      <c r="AU5549" s="45"/>
    </row>
    <row r="5550" spans="47:47" ht="12" hidden="1" customHeight="1" x14ac:dyDescent="0.3">
      <c r="AU5550" s="45"/>
    </row>
    <row r="5551" spans="47:47" ht="12" hidden="1" customHeight="1" x14ac:dyDescent="0.3">
      <c r="AU5551" s="45"/>
    </row>
    <row r="5552" spans="47:47" ht="12" hidden="1" customHeight="1" x14ac:dyDescent="0.3">
      <c r="AU5552" s="45"/>
    </row>
    <row r="5553" spans="47:47" ht="12" hidden="1" customHeight="1" x14ac:dyDescent="0.3">
      <c r="AU5553" s="45"/>
    </row>
    <row r="5554" spans="47:47" ht="12" hidden="1" customHeight="1" x14ac:dyDescent="0.3">
      <c r="AU5554" s="45"/>
    </row>
    <row r="5555" spans="47:47" ht="12" hidden="1" customHeight="1" x14ac:dyDescent="0.3">
      <c r="AU5555" s="45"/>
    </row>
    <row r="5556" spans="47:47" ht="12" hidden="1" customHeight="1" x14ac:dyDescent="0.3">
      <c r="AU5556" s="45"/>
    </row>
    <row r="5557" spans="47:47" ht="12" hidden="1" customHeight="1" x14ac:dyDescent="0.3">
      <c r="AU5557" s="45"/>
    </row>
    <row r="5558" spans="47:47" ht="12" hidden="1" customHeight="1" x14ac:dyDescent="0.3">
      <c r="AU5558" s="45"/>
    </row>
    <row r="5559" spans="47:47" ht="12" hidden="1" customHeight="1" x14ac:dyDescent="0.3">
      <c r="AU5559" s="45"/>
    </row>
    <row r="5560" spans="47:47" ht="12" hidden="1" customHeight="1" x14ac:dyDescent="0.3">
      <c r="AU5560" s="45"/>
    </row>
    <row r="5561" spans="47:47" ht="12" hidden="1" customHeight="1" x14ac:dyDescent="0.3">
      <c r="AU5561" s="45"/>
    </row>
    <row r="5562" spans="47:47" ht="12" hidden="1" customHeight="1" x14ac:dyDescent="0.3">
      <c r="AU5562" s="45"/>
    </row>
    <row r="5563" spans="47:47" ht="12" hidden="1" customHeight="1" x14ac:dyDescent="0.3">
      <c r="AU5563" s="45"/>
    </row>
    <row r="5564" spans="47:47" ht="12" hidden="1" customHeight="1" x14ac:dyDescent="0.3">
      <c r="AU5564" s="45"/>
    </row>
    <row r="5565" spans="47:47" ht="12" hidden="1" customHeight="1" x14ac:dyDescent="0.3">
      <c r="AU5565" s="45"/>
    </row>
    <row r="5566" spans="47:47" ht="12" hidden="1" customHeight="1" x14ac:dyDescent="0.3">
      <c r="AU5566" s="45"/>
    </row>
    <row r="5567" spans="47:47" ht="12" hidden="1" customHeight="1" x14ac:dyDescent="0.3">
      <c r="AU5567" s="45"/>
    </row>
    <row r="5568" spans="47:47" ht="12" hidden="1" customHeight="1" x14ac:dyDescent="0.3">
      <c r="AU5568" s="45"/>
    </row>
    <row r="5569" spans="47:47" ht="12" hidden="1" customHeight="1" x14ac:dyDescent="0.3">
      <c r="AU5569" s="45"/>
    </row>
    <row r="5570" spans="47:47" ht="12" hidden="1" customHeight="1" x14ac:dyDescent="0.3">
      <c r="AU5570" s="45"/>
    </row>
    <row r="5571" spans="47:47" ht="12" hidden="1" customHeight="1" x14ac:dyDescent="0.3">
      <c r="AU5571" s="45"/>
    </row>
    <row r="5572" spans="47:47" ht="12" hidden="1" customHeight="1" x14ac:dyDescent="0.3">
      <c r="AU5572" s="45"/>
    </row>
    <row r="5573" spans="47:47" ht="12" hidden="1" customHeight="1" x14ac:dyDescent="0.3">
      <c r="AU5573" s="45"/>
    </row>
    <row r="5574" spans="47:47" ht="12" hidden="1" customHeight="1" x14ac:dyDescent="0.3">
      <c r="AU5574" s="45"/>
    </row>
    <row r="5575" spans="47:47" ht="12" hidden="1" customHeight="1" x14ac:dyDescent="0.3">
      <c r="AU5575" s="45"/>
    </row>
    <row r="5576" spans="47:47" ht="12" hidden="1" customHeight="1" x14ac:dyDescent="0.3">
      <c r="AU5576" s="45"/>
    </row>
    <row r="5577" spans="47:47" ht="12" hidden="1" customHeight="1" x14ac:dyDescent="0.3">
      <c r="AU5577" s="45"/>
    </row>
    <row r="5578" spans="47:47" ht="12" hidden="1" customHeight="1" x14ac:dyDescent="0.3">
      <c r="AU5578" s="45"/>
    </row>
    <row r="5579" spans="47:47" ht="12" hidden="1" customHeight="1" x14ac:dyDescent="0.3">
      <c r="AU5579" s="45"/>
    </row>
    <row r="5580" spans="47:47" ht="12" hidden="1" customHeight="1" x14ac:dyDescent="0.3">
      <c r="AU5580" s="45"/>
    </row>
    <row r="5581" spans="47:47" ht="12" hidden="1" customHeight="1" x14ac:dyDescent="0.3">
      <c r="AU5581" s="45"/>
    </row>
    <row r="5582" spans="47:47" ht="12" hidden="1" customHeight="1" x14ac:dyDescent="0.3">
      <c r="AU5582" s="45"/>
    </row>
    <row r="5583" spans="47:47" ht="12" hidden="1" customHeight="1" x14ac:dyDescent="0.3">
      <c r="AU5583" s="45"/>
    </row>
    <row r="5584" spans="47:47" ht="12" hidden="1" customHeight="1" x14ac:dyDescent="0.3">
      <c r="AU5584" s="45"/>
    </row>
    <row r="5585" spans="47:47" ht="12" hidden="1" customHeight="1" x14ac:dyDescent="0.3">
      <c r="AU5585" s="45"/>
    </row>
    <row r="5586" spans="47:47" ht="12" hidden="1" customHeight="1" x14ac:dyDescent="0.3">
      <c r="AU5586" s="45"/>
    </row>
    <row r="5587" spans="47:47" ht="12" hidden="1" customHeight="1" x14ac:dyDescent="0.3">
      <c r="AU5587" s="45"/>
    </row>
    <row r="5588" spans="47:47" ht="12" hidden="1" customHeight="1" x14ac:dyDescent="0.3">
      <c r="AU5588" s="45"/>
    </row>
    <row r="5589" spans="47:47" ht="12" hidden="1" customHeight="1" x14ac:dyDescent="0.3">
      <c r="AU5589" s="45"/>
    </row>
    <row r="5590" spans="47:47" ht="12" hidden="1" customHeight="1" x14ac:dyDescent="0.3">
      <c r="AU5590" s="45"/>
    </row>
    <row r="5591" spans="47:47" ht="12" hidden="1" customHeight="1" x14ac:dyDescent="0.3">
      <c r="AU5591" s="45"/>
    </row>
    <row r="5592" spans="47:47" ht="12" hidden="1" customHeight="1" x14ac:dyDescent="0.3">
      <c r="AU5592" s="45"/>
    </row>
    <row r="5593" spans="47:47" ht="12" hidden="1" customHeight="1" x14ac:dyDescent="0.3">
      <c r="AU5593" s="45"/>
    </row>
    <row r="5594" spans="47:47" ht="12" hidden="1" customHeight="1" x14ac:dyDescent="0.3">
      <c r="AU5594" s="45"/>
    </row>
    <row r="5595" spans="47:47" ht="12" hidden="1" customHeight="1" x14ac:dyDescent="0.3">
      <c r="AU5595" s="45"/>
    </row>
    <row r="5596" spans="47:47" ht="12" hidden="1" customHeight="1" x14ac:dyDescent="0.3">
      <c r="AU5596" s="45"/>
    </row>
    <row r="5597" spans="47:47" ht="12" hidden="1" customHeight="1" x14ac:dyDescent="0.3">
      <c r="AU5597" s="45"/>
    </row>
    <row r="5598" spans="47:47" ht="12" hidden="1" customHeight="1" x14ac:dyDescent="0.3">
      <c r="AU5598" s="45"/>
    </row>
    <row r="5599" spans="47:47" ht="12" hidden="1" customHeight="1" x14ac:dyDescent="0.3">
      <c r="AU5599" s="45"/>
    </row>
    <row r="5600" spans="47:47" ht="12" hidden="1" customHeight="1" x14ac:dyDescent="0.3">
      <c r="AU5600" s="45"/>
    </row>
    <row r="5601" spans="47:47" ht="12" hidden="1" customHeight="1" x14ac:dyDescent="0.3">
      <c r="AU5601" s="45"/>
    </row>
    <row r="5602" spans="47:47" ht="12" hidden="1" customHeight="1" x14ac:dyDescent="0.3">
      <c r="AU5602" s="45"/>
    </row>
    <row r="5603" spans="47:47" ht="12" hidden="1" customHeight="1" x14ac:dyDescent="0.3">
      <c r="AU5603" s="45"/>
    </row>
    <row r="5604" spans="47:47" ht="12" hidden="1" customHeight="1" x14ac:dyDescent="0.3">
      <c r="AU5604" s="45"/>
    </row>
    <row r="5605" spans="47:47" ht="12" hidden="1" customHeight="1" x14ac:dyDescent="0.3">
      <c r="AU5605" s="45"/>
    </row>
    <row r="5606" spans="47:47" ht="12" hidden="1" customHeight="1" x14ac:dyDescent="0.3">
      <c r="AU5606" s="45"/>
    </row>
    <row r="5607" spans="47:47" ht="12" hidden="1" customHeight="1" x14ac:dyDescent="0.3">
      <c r="AU5607" s="45"/>
    </row>
    <row r="5608" spans="47:47" ht="12" hidden="1" customHeight="1" x14ac:dyDescent="0.3">
      <c r="AU5608" s="45"/>
    </row>
    <row r="5609" spans="47:47" ht="12" hidden="1" customHeight="1" x14ac:dyDescent="0.3">
      <c r="AU5609" s="45"/>
    </row>
    <row r="5610" spans="47:47" ht="12" hidden="1" customHeight="1" x14ac:dyDescent="0.3">
      <c r="AU5610" s="45"/>
    </row>
    <row r="5611" spans="47:47" ht="12" hidden="1" customHeight="1" x14ac:dyDescent="0.3">
      <c r="AU5611" s="45"/>
    </row>
    <row r="5612" spans="47:47" ht="12" hidden="1" customHeight="1" x14ac:dyDescent="0.3">
      <c r="AU5612" s="45"/>
    </row>
    <row r="5613" spans="47:47" ht="12" hidden="1" customHeight="1" x14ac:dyDescent="0.3">
      <c r="AU5613" s="45"/>
    </row>
    <row r="5614" spans="47:47" ht="12" hidden="1" customHeight="1" x14ac:dyDescent="0.3">
      <c r="AU5614" s="45"/>
    </row>
    <row r="5615" spans="47:47" ht="12" hidden="1" customHeight="1" x14ac:dyDescent="0.3">
      <c r="AU5615" s="45"/>
    </row>
    <row r="5616" spans="47:47" ht="12" hidden="1" customHeight="1" x14ac:dyDescent="0.3">
      <c r="AU5616" s="45"/>
    </row>
    <row r="5617" spans="47:47" ht="12" hidden="1" customHeight="1" x14ac:dyDescent="0.3">
      <c r="AU5617" s="45"/>
    </row>
    <row r="5618" spans="47:47" ht="12" hidden="1" customHeight="1" x14ac:dyDescent="0.3">
      <c r="AU5618" s="45"/>
    </row>
    <row r="5619" spans="47:47" ht="12" hidden="1" customHeight="1" x14ac:dyDescent="0.3">
      <c r="AU5619" s="45"/>
    </row>
    <row r="5620" spans="47:47" ht="12" hidden="1" customHeight="1" x14ac:dyDescent="0.3">
      <c r="AU5620" s="45"/>
    </row>
    <row r="5621" spans="47:47" ht="12" hidden="1" customHeight="1" x14ac:dyDescent="0.3">
      <c r="AU5621" s="45"/>
    </row>
    <row r="5622" spans="47:47" ht="12" hidden="1" customHeight="1" x14ac:dyDescent="0.3">
      <c r="AU5622" s="45"/>
    </row>
    <row r="5623" spans="47:47" ht="12" hidden="1" customHeight="1" x14ac:dyDescent="0.3">
      <c r="AU5623" s="45"/>
    </row>
    <row r="5624" spans="47:47" ht="12" hidden="1" customHeight="1" x14ac:dyDescent="0.3">
      <c r="AU5624" s="45"/>
    </row>
    <row r="5625" spans="47:47" ht="12" hidden="1" customHeight="1" x14ac:dyDescent="0.3">
      <c r="AU5625" s="45"/>
    </row>
    <row r="5626" spans="47:47" ht="12" hidden="1" customHeight="1" x14ac:dyDescent="0.3">
      <c r="AU5626" s="45"/>
    </row>
    <row r="5627" spans="47:47" ht="12" hidden="1" customHeight="1" x14ac:dyDescent="0.3">
      <c r="AU5627" s="45"/>
    </row>
    <row r="5628" spans="47:47" ht="12" hidden="1" customHeight="1" x14ac:dyDescent="0.3">
      <c r="AU5628" s="45"/>
    </row>
    <row r="5629" spans="47:47" ht="12" hidden="1" customHeight="1" x14ac:dyDescent="0.3">
      <c r="AU5629" s="45"/>
    </row>
    <row r="5630" spans="47:47" ht="12" hidden="1" customHeight="1" x14ac:dyDescent="0.3">
      <c r="AU5630" s="45"/>
    </row>
    <row r="5631" spans="47:47" ht="12" hidden="1" customHeight="1" x14ac:dyDescent="0.3">
      <c r="AU5631" s="45"/>
    </row>
    <row r="5632" spans="47:47" ht="12" hidden="1" customHeight="1" x14ac:dyDescent="0.3">
      <c r="AU5632" s="45"/>
    </row>
    <row r="5633" spans="47:47" ht="12" hidden="1" customHeight="1" x14ac:dyDescent="0.3">
      <c r="AU5633" s="45"/>
    </row>
    <row r="5634" spans="47:47" ht="12" hidden="1" customHeight="1" x14ac:dyDescent="0.3">
      <c r="AU5634" s="45"/>
    </row>
    <row r="5635" spans="47:47" ht="12" hidden="1" customHeight="1" x14ac:dyDescent="0.3">
      <c r="AU5635" s="45"/>
    </row>
    <row r="5636" spans="47:47" ht="12" hidden="1" customHeight="1" x14ac:dyDescent="0.3">
      <c r="AU5636" s="45"/>
    </row>
    <row r="5637" spans="47:47" ht="12" hidden="1" customHeight="1" x14ac:dyDescent="0.3">
      <c r="AU5637" s="45"/>
    </row>
    <row r="5638" spans="47:47" ht="12" hidden="1" customHeight="1" x14ac:dyDescent="0.3">
      <c r="AU5638" s="45"/>
    </row>
    <row r="5639" spans="47:47" ht="12" hidden="1" customHeight="1" x14ac:dyDescent="0.3">
      <c r="AU5639" s="45"/>
    </row>
    <row r="5640" spans="47:47" ht="12" hidden="1" customHeight="1" x14ac:dyDescent="0.3">
      <c r="AU5640" s="45"/>
    </row>
    <row r="5641" spans="47:47" ht="12" hidden="1" customHeight="1" x14ac:dyDescent="0.3">
      <c r="AU5641" s="45"/>
    </row>
    <row r="5642" spans="47:47" ht="12" hidden="1" customHeight="1" x14ac:dyDescent="0.3">
      <c r="AU5642" s="45"/>
    </row>
    <row r="5643" spans="47:47" ht="12" hidden="1" customHeight="1" x14ac:dyDescent="0.3">
      <c r="AU5643" s="45"/>
    </row>
    <row r="5644" spans="47:47" ht="12" hidden="1" customHeight="1" x14ac:dyDescent="0.3">
      <c r="AU5644" s="45"/>
    </row>
    <row r="5645" spans="47:47" ht="12" hidden="1" customHeight="1" x14ac:dyDescent="0.3">
      <c r="AU5645" s="45"/>
    </row>
    <row r="5646" spans="47:47" ht="12" hidden="1" customHeight="1" x14ac:dyDescent="0.3">
      <c r="AU5646" s="45"/>
    </row>
    <row r="5647" spans="47:47" ht="12" hidden="1" customHeight="1" x14ac:dyDescent="0.3">
      <c r="AU5647" s="45"/>
    </row>
    <row r="5648" spans="47:47" ht="12" hidden="1" customHeight="1" x14ac:dyDescent="0.3">
      <c r="AU5648" s="45"/>
    </row>
    <row r="5649" spans="47:47" ht="12" hidden="1" customHeight="1" x14ac:dyDescent="0.3">
      <c r="AU5649" s="45"/>
    </row>
    <row r="5650" spans="47:47" ht="12" hidden="1" customHeight="1" x14ac:dyDescent="0.3">
      <c r="AU5650" s="45"/>
    </row>
    <row r="5651" spans="47:47" ht="12" hidden="1" customHeight="1" x14ac:dyDescent="0.3">
      <c r="AU5651" s="45"/>
    </row>
    <row r="5652" spans="47:47" ht="12" hidden="1" customHeight="1" x14ac:dyDescent="0.3">
      <c r="AU5652" s="45"/>
    </row>
    <row r="5653" spans="47:47" ht="12" hidden="1" customHeight="1" x14ac:dyDescent="0.3">
      <c r="AU5653" s="45"/>
    </row>
    <row r="5654" spans="47:47" ht="12" hidden="1" customHeight="1" x14ac:dyDescent="0.3">
      <c r="AU5654" s="45"/>
    </row>
    <row r="5655" spans="47:47" ht="12" hidden="1" customHeight="1" x14ac:dyDescent="0.3">
      <c r="AU5655" s="45"/>
    </row>
    <row r="5656" spans="47:47" ht="12" hidden="1" customHeight="1" x14ac:dyDescent="0.3">
      <c r="AU5656" s="45"/>
    </row>
    <row r="5657" spans="47:47" ht="12" hidden="1" customHeight="1" x14ac:dyDescent="0.3">
      <c r="AU5657" s="45"/>
    </row>
    <row r="5658" spans="47:47" ht="12" hidden="1" customHeight="1" x14ac:dyDescent="0.3">
      <c r="AU5658" s="45"/>
    </row>
    <row r="5659" spans="47:47" ht="12" hidden="1" customHeight="1" x14ac:dyDescent="0.3">
      <c r="AU5659" s="45"/>
    </row>
    <row r="5660" spans="47:47" ht="12" hidden="1" customHeight="1" x14ac:dyDescent="0.3">
      <c r="AU5660" s="45"/>
    </row>
    <row r="5661" spans="47:47" ht="12" hidden="1" customHeight="1" x14ac:dyDescent="0.3">
      <c r="AU5661" s="45"/>
    </row>
    <row r="5662" spans="47:47" ht="12" hidden="1" customHeight="1" x14ac:dyDescent="0.3">
      <c r="AU5662" s="45"/>
    </row>
    <row r="5663" spans="47:47" ht="12" hidden="1" customHeight="1" x14ac:dyDescent="0.3">
      <c r="AU5663" s="45"/>
    </row>
    <row r="5664" spans="47:47" ht="12" hidden="1" customHeight="1" x14ac:dyDescent="0.3">
      <c r="AU5664" s="45"/>
    </row>
    <row r="5665" spans="47:47" ht="12" hidden="1" customHeight="1" x14ac:dyDescent="0.3">
      <c r="AU5665" s="45"/>
    </row>
    <row r="5666" spans="47:47" ht="12" hidden="1" customHeight="1" x14ac:dyDescent="0.3">
      <c r="AU5666" s="45"/>
    </row>
    <row r="5667" spans="47:47" ht="12" hidden="1" customHeight="1" x14ac:dyDescent="0.3">
      <c r="AU5667" s="45"/>
    </row>
    <row r="5668" spans="47:47" ht="12" hidden="1" customHeight="1" x14ac:dyDescent="0.3">
      <c r="AU5668" s="45"/>
    </row>
    <row r="5669" spans="47:47" ht="12" hidden="1" customHeight="1" x14ac:dyDescent="0.3">
      <c r="AU5669" s="45"/>
    </row>
    <row r="5670" spans="47:47" ht="12" hidden="1" customHeight="1" x14ac:dyDescent="0.3">
      <c r="AU5670" s="45"/>
    </row>
    <row r="5671" spans="47:47" ht="12" hidden="1" customHeight="1" x14ac:dyDescent="0.3">
      <c r="AU5671" s="45"/>
    </row>
    <row r="5672" spans="47:47" ht="12" hidden="1" customHeight="1" x14ac:dyDescent="0.3">
      <c r="AU5672" s="45"/>
    </row>
    <row r="5673" spans="47:47" ht="12" hidden="1" customHeight="1" x14ac:dyDescent="0.3">
      <c r="AU5673" s="45"/>
    </row>
    <row r="5674" spans="47:47" ht="12" hidden="1" customHeight="1" x14ac:dyDescent="0.3">
      <c r="AU5674" s="45"/>
    </row>
    <row r="5675" spans="47:47" ht="12" hidden="1" customHeight="1" x14ac:dyDescent="0.3">
      <c r="AU5675" s="45"/>
    </row>
    <row r="5676" spans="47:47" ht="12" hidden="1" customHeight="1" x14ac:dyDescent="0.3">
      <c r="AU5676" s="45"/>
    </row>
    <row r="5677" spans="47:47" ht="12" hidden="1" customHeight="1" x14ac:dyDescent="0.3">
      <c r="AU5677" s="45"/>
    </row>
    <row r="5678" spans="47:47" ht="12" hidden="1" customHeight="1" x14ac:dyDescent="0.3">
      <c r="AU5678" s="45"/>
    </row>
    <row r="5679" spans="47:47" ht="12" hidden="1" customHeight="1" x14ac:dyDescent="0.3">
      <c r="AU5679" s="45"/>
    </row>
    <row r="5680" spans="47:47" ht="12" hidden="1" customHeight="1" x14ac:dyDescent="0.3">
      <c r="AU5680" s="45"/>
    </row>
    <row r="5681" spans="47:47" ht="12" hidden="1" customHeight="1" x14ac:dyDescent="0.3">
      <c r="AU5681" s="45"/>
    </row>
    <row r="5682" spans="47:47" ht="12" hidden="1" customHeight="1" x14ac:dyDescent="0.3">
      <c r="AU5682" s="45"/>
    </row>
    <row r="5683" spans="47:47" ht="12" hidden="1" customHeight="1" x14ac:dyDescent="0.3">
      <c r="AU5683" s="45"/>
    </row>
    <row r="5684" spans="47:47" ht="12" hidden="1" customHeight="1" x14ac:dyDescent="0.3">
      <c r="AU5684" s="45"/>
    </row>
    <row r="5685" spans="47:47" ht="12" hidden="1" customHeight="1" x14ac:dyDescent="0.3">
      <c r="AU5685" s="45"/>
    </row>
    <row r="5686" spans="47:47" ht="12" hidden="1" customHeight="1" x14ac:dyDescent="0.3">
      <c r="AU5686" s="45"/>
    </row>
    <row r="5687" spans="47:47" ht="12" hidden="1" customHeight="1" x14ac:dyDescent="0.3">
      <c r="AU5687" s="45"/>
    </row>
    <row r="5688" spans="47:47" ht="12" hidden="1" customHeight="1" x14ac:dyDescent="0.3">
      <c r="AU5688" s="45"/>
    </row>
    <row r="5689" spans="47:47" ht="12" hidden="1" customHeight="1" x14ac:dyDescent="0.3">
      <c r="AU5689" s="45"/>
    </row>
    <row r="5690" spans="47:47" ht="12" hidden="1" customHeight="1" x14ac:dyDescent="0.3">
      <c r="AU5690" s="45"/>
    </row>
    <row r="5691" spans="47:47" ht="12" hidden="1" customHeight="1" x14ac:dyDescent="0.3">
      <c r="AU5691" s="45"/>
    </row>
    <row r="5692" spans="47:47" ht="12" hidden="1" customHeight="1" x14ac:dyDescent="0.3">
      <c r="AU5692" s="45"/>
    </row>
    <row r="5693" spans="47:47" ht="12" hidden="1" customHeight="1" x14ac:dyDescent="0.3">
      <c r="AU5693" s="45"/>
    </row>
    <row r="5694" spans="47:47" ht="12" hidden="1" customHeight="1" x14ac:dyDescent="0.3">
      <c r="AU5694" s="45"/>
    </row>
    <row r="5695" spans="47:47" ht="12" hidden="1" customHeight="1" x14ac:dyDescent="0.3">
      <c r="AU5695" s="45"/>
    </row>
    <row r="5696" spans="47:47" ht="12" hidden="1" customHeight="1" x14ac:dyDescent="0.3">
      <c r="AU5696" s="45"/>
    </row>
    <row r="5697" spans="47:47" ht="12" hidden="1" customHeight="1" x14ac:dyDescent="0.3">
      <c r="AU5697" s="45"/>
    </row>
    <row r="5698" spans="47:47" ht="12" hidden="1" customHeight="1" x14ac:dyDescent="0.3">
      <c r="AU5698" s="45"/>
    </row>
    <row r="5699" spans="47:47" ht="12" hidden="1" customHeight="1" x14ac:dyDescent="0.3">
      <c r="AU5699" s="45"/>
    </row>
    <row r="5700" spans="47:47" ht="12" hidden="1" customHeight="1" x14ac:dyDescent="0.3">
      <c r="AU5700" s="45"/>
    </row>
    <row r="5701" spans="47:47" ht="12" hidden="1" customHeight="1" x14ac:dyDescent="0.3">
      <c r="AU5701" s="45"/>
    </row>
    <row r="5702" spans="47:47" ht="12" hidden="1" customHeight="1" x14ac:dyDescent="0.3">
      <c r="AU5702" s="45"/>
    </row>
    <row r="5703" spans="47:47" ht="12" hidden="1" customHeight="1" x14ac:dyDescent="0.3">
      <c r="AU5703" s="45"/>
    </row>
    <row r="5704" spans="47:47" ht="12" hidden="1" customHeight="1" x14ac:dyDescent="0.3">
      <c r="AU5704" s="45"/>
    </row>
    <row r="5705" spans="47:47" ht="12" hidden="1" customHeight="1" x14ac:dyDescent="0.3">
      <c r="AU5705" s="45"/>
    </row>
    <row r="5706" spans="47:47" ht="12" hidden="1" customHeight="1" x14ac:dyDescent="0.3">
      <c r="AU5706" s="45"/>
    </row>
    <row r="5707" spans="47:47" ht="12" hidden="1" customHeight="1" x14ac:dyDescent="0.3">
      <c r="AU5707" s="45"/>
    </row>
    <row r="5708" spans="47:47" ht="12" hidden="1" customHeight="1" x14ac:dyDescent="0.3">
      <c r="AU5708" s="45"/>
    </row>
    <row r="5709" spans="47:47" ht="12" hidden="1" customHeight="1" x14ac:dyDescent="0.3">
      <c r="AU5709" s="45"/>
    </row>
    <row r="5710" spans="47:47" ht="12" hidden="1" customHeight="1" x14ac:dyDescent="0.3">
      <c r="AU5710" s="45"/>
    </row>
    <row r="5711" spans="47:47" ht="12" hidden="1" customHeight="1" x14ac:dyDescent="0.3">
      <c r="AU5711" s="45"/>
    </row>
    <row r="5712" spans="47:47" ht="12" hidden="1" customHeight="1" x14ac:dyDescent="0.3">
      <c r="AU5712" s="45"/>
    </row>
    <row r="5713" spans="47:47" ht="12" hidden="1" customHeight="1" x14ac:dyDescent="0.3">
      <c r="AU5713" s="45"/>
    </row>
    <row r="5714" spans="47:47" ht="12" hidden="1" customHeight="1" x14ac:dyDescent="0.3">
      <c r="AU5714" s="45"/>
    </row>
    <row r="5715" spans="47:47" ht="12" hidden="1" customHeight="1" x14ac:dyDescent="0.3">
      <c r="AU5715" s="45"/>
    </row>
    <row r="5716" spans="47:47" ht="12" hidden="1" customHeight="1" x14ac:dyDescent="0.3">
      <c r="AU5716" s="45"/>
    </row>
    <row r="5717" spans="47:47" ht="12" hidden="1" customHeight="1" x14ac:dyDescent="0.3">
      <c r="AU5717" s="45"/>
    </row>
    <row r="5718" spans="47:47" ht="12" hidden="1" customHeight="1" x14ac:dyDescent="0.3">
      <c r="AU5718" s="45"/>
    </row>
    <row r="5719" spans="47:47" ht="12" hidden="1" customHeight="1" x14ac:dyDescent="0.3">
      <c r="AU5719" s="45"/>
    </row>
    <row r="5720" spans="47:47" ht="12" hidden="1" customHeight="1" x14ac:dyDescent="0.3">
      <c r="AU5720" s="45"/>
    </row>
    <row r="5721" spans="47:47" ht="12" hidden="1" customHeight="1" x14ac:dyDescent="0.3">
      <c r="AU5721" s="45"/>
    </row>
    <row r="5722" spans="47:47" ht="12" hidden="1" customHeight="1" x14ac:dyDescent="0.3">
      <c r="AU5722" s="45"/>
    </row>
    <row r="5723" spans="47:47" ht="12" hidden="1" customHeight="1" x14ac:dyDescent="0.3">
      <c r="AU5723" s="45"/>
    </row>
    <row r="5724" spans="47:47" ht="12" hidden="1" customHeight="1" x14ac:dyDescent="0.3">
      <c r="AU5724" s="45"/>
    </row>
    <row r="5725" spans="47:47" ht="12" hidden="1" customHeight="1" x14ac:dyDescent="0.3">
      <c r="AU5725" s="45"/>
    </row>
    <row r="5726" spans="47:47" ht="12" hidden="1" customHeight="1" x14ac:dyDescent="0.3">
      <c r="AU5726" s="45"/>
    </row>
    <row r="5727" spans="47:47" ht="12" hidden="1" customHeight="1" x14ac:dyDescent="0.3">
      <c r="AU5727" s="45"/>
    </row>
    <row r="5728" spans="47:47" ht="12" hidden="1" customHeight="1" x14ac:dyDescent="0.3">
      <c r="AU5728" s="45"/>
    </row>
    <row r="5729" spans="47:47" ht="12" hidden="1" customHeight="1" x14ac:dyDescent="0.3">
      <c r="AU5729" s="45"/>
    </row>
    <row r="5730" spans="47:47" ht="12" hidden="1" customHeight="1" x14ac:dyDescent="0.3">
      <c r="AU5730" s="45"/>
    </row>
    <row r="5731" spans="47:47" ht="12" hidden="1" customHeight="1" x14ac:dyDescent="0.3">
      <c r="AU5731" s="45"/>
    </row>
    <row r="5732" spans="47:47" ht="12" hidden="1" customHeight="1" x14ac:dyDescent="0.3">
      <c r="AU5732" s="45"/>
    </row>
    <row r="5733" spans="47:47" ht="12" hidden="1" customHeight="1" x14ac:dyDescent="0.3">
      <c r="AU5733" s="45"/>
    </row>
    <row r="5734" spans="47:47" ht="12" hidden="1" customHeight="1" x14ac:dyDescent="0.3">
      <c r="AU5734" s="45"/>
    </row>
    <row r="5735" spans="47:47" ht="12" hidden="1" customHeight="1" x14ac:dyDescent="0.3">
      <c r="AU5735" s="45"/>
    </row>
    <row r="5736" spans="47:47" ht="12" hidden="1" customHeight="1" x14ac:dyDescent="0.3">
      <c r="AU5736" s="45"/>
    </row>
    <row r="5737" spans="47:47" ht="12" hidden="1" customHeight="1" x14ac:dyDescent="0.3">
      <c r="AU5737" s="45"/>
    </row>
    <row r="5738" spans="47:47" ht="12" hidden="1" customHeight="1" x14ac:dyDescent="0.3">
      <c r="AU5738" s="45"/>
    </row>
    <row r="5739" spans="47:47" ht="12" hidden="1" customHeight="1" x14ac:dyDescent="0.3">
      <c r="AU5739" s="45"/>
    </row>
    <row r="5740" spans="47:47" ht="12" hidden="1" customHeight="1" x14ac:dyDescent="0.3">
      <c r="AU5740" s="45"/>
    </row>
    <row r="5741" spans="47:47" ht="12" hidden="1" customHeight="1" x14ac:dyDescent="0.3">
      <c r="AU5741" s="45"/>
    </row>
    <row r="5742" spans="47:47" ht="12" hidden="1" customHeight="1" x14ac:dyDescent="0.3">
      <c r="AU5742" s="45"/>
    </row>
    <row r="5743" spans="47:47" ht="12" hidden="1" customHeight="1" x14ac:dyDescent="0.3">
      <c r="AU5743" s="45"/>
    </row>
    <row r="5744" spans="47:47" ht="12" hidden="1" customHeight="1" x14ac:dyDescent="0.3">
      <c r="AU5744" s="45"/>
    </row>
    <row r="5745" spans="47:47" ht="12" hidden="1" customHeight="1" x14ac:dyDescent="0.3">
      <c r="AU5745" s="45"/>
    </row>
    <row r="5746" spans="47:47" ht="12" hidden="1" customHeight="1" x14ac:dyDescent="0.3">
      <c r="AU5746" s="45"/>
    </row>
    <row r="5747" spans="47:47" ht="12" hidden="1" customHeight="1" x14ac:dyDescent="0.3">
      <c r="AU5747" s="45"/>
    </row>
    <row r="5748" spans="47:47" ht="12" hidden="1" customHeight="1" x14ac:dyDescent="0.3">
      <c r="AU5748" s="45"/>
    </row>
    <row r="5749" spans="47:47" ht="12" hidden="1" customHeight="1" x14ac:dyDescent="0.3">
      <c r="AU5749" s="45"/>
    </row>
    <row r="5750" spans="47:47" ht="12" hidden="1" customHeight="1" x14ac:dyDescent="0.3">
      <c r="AU5750" s="45"/>
    </row>
    <row r="5751" spans="47:47" ht="12" hidden="1" customHeight="1" x14ac:dyDescent="0.3">
      <c r="AU5751" s="45"/>
    </row>
    <row r="5752" spans="47:47" ht="12" hidden="1" customHeight="1" x14ac:dyDescent="0.3">
      <c r="AU5752" s="45"/>
    </row>
    <row r="5753" spans="47:47" ht="12" hidden="1" customHeight="1" x14ac:dyDescent="0.3">
      <c r="AU5753" s="45"/>
    </row>
    <row r="5754" spans="47:47" ht="12" hidden="1" customHeight="1" x14ac:dyDescent="0.3">
      <c r="AU5754" s="45"/>
    </row>
    <row r="5755" spans="47:47" ht="12" hidden="1" customHeight="1" x14ac:dyDescent="0.3">
      <c r="AU5755" s="45"/>
    </row>
    <row r="5756" spans="47:47" ht="12" hidden="1" customHeight="1" x14ac:dyDescent="0.3">
      <c r="AU5756" s="45"/>
    </row>
    <row r="5757" spans="47:47" ht="12" hidden="1" customHeight="1" x14ac:dyDescent="0.3">
      <c r="AU5757" s="45"/>
    </row>
    <row r="5758" spans="47:47" ht="12" hidden="1" customHeight="1" x14ac:dyDescent="0.3">
      <c r="AU5758" s="45"/>
    </row>
    <row r="5759" spans="47:47" ht="12" hidden="1" customHeight="1" x14ac:dyDescent="0.3">
      <c r="AU5759" s="45"/>
    </row>
    <row r="5760" spans="47:47" ht="12" hidden="1" customHeight="1" x14ac:dyDescent="0.3">
      <c r="AU5760" s="45"/>
    </row>
    <row r="5761" spans="47:47" ht="12" hidden="1" customHeight="1" x14ac:dyDescent="0.3">
      <c r="AU5761" s="45"/>
    </row>
    <row r="5762" spans="47:47" ht="12" hidden="1" customHeight="1" x14ac:dyDescent="0.3">
      <c r="AU5762" s="45"/>
    </row>
    <row r="5763" spans="47:47" ht="12" hidden="1" customHeight="1" x14ac:dyDescent="0.3">
      <c r="AU5763" s="45"/>
    </row>
    <row r="5764" spans="47:47" ht="12" hidden="1" customHeight="1" x14ac:dyDescent="0.3">
      <c r="AU5764" s="45"/>
    </row>
    <row r="5765" spans="47:47" ht="12" hidden="1" customHeight="1" x14ac:dyDescent="0.3">
      <c r="AU5765" s="45"/>
    </row>
    <row r="5766" spans="47:47" ht="12" hidden="1" customHeight="1" x14ac:dyDescent="0.3">
      <c r="AU5766" s="45"/>
    </row>
    <row r="5767" spans="47:47" ht="12" hidden="1" customHeight="1" x14ac:dyDescent="0.3">
      <c r="AU5767" s="45"/>
    </row>
    <row r="5768" spans="47:47" ht="12" hidden="1" customHeight="1" x14ac:dyDescent="0.3">
      <c r="AU5768" s="45"/>
    </row>
    <row r="5769" spans="47:47" ht="12" hidden="1" customHeight="1" x14ac:dyDescent="0.3">
      <c r="AU5769" s="45"/>
    </row>
    <row r="5770" spans="47:47" ht="12" hidden="1" customHeight="1" x14ac:dyDescent="0.3">
      <c r="AU5770" s="45"/>
    </row>
    <row r="5771" spans="47:47" ht="12" hidden="1" customHeight="1" x14ac:dyDescent="0.3">
      <c r="AU5771" s="45"/>
    </row>
    <row r="5772" spans="47:47" ht="12" hidden="1" customHeight="1" x14ac:dyDescent="0.3">
      <c r="AU5772" s="45"/>
    </row>
    <row r="5773" spans="47:47" ht="12" hidden="1" customHeight="1" x14ac:dyDescent="0.3">
      <c r="AU5773" s="45"/>
    </row>
    <row r="5774" spans="47:47" ht="12" hidden="1" customHeight="1" x14ac:dyDescent="0.3">
      <c r="AU5774" s="45"/>
    </row>
    <row r="5775" spans="47:47" ht="12" hidden="1" customHeight="1" x14ac:dyDescent="0.3">
      <c r="AU5775" s="45"/>
    </row>
    <row r="5776" spans="47:47" ht="12" hidden="1" customHeight="1" x14ac:dyDescent="0.3">
      <c r="AU5776" s="45"/>
    </row>
    <row r="5777" spans="47:47" ht="12" hidden="1" customHeight="1" x14ac:dyDescent="0.3">
      <c r="AU5777" s="45"/>
    </row>
    <row r="5778" spans="47:47" ht="12" hidden="1" customHeight="1" x14ac:dyDescent="0.3">
      <c r="AU5778" s="45"/>
    </row>
    <row r="5779" spans="47:47" ht="12" hidden="1" customHeight="1" x14ac:dyDescent="0.3">
      <c r="AU5779" s="45"/>
    </row>
    <row r="5780" spans="47:47" ht="12" hidden="1" customHeight="1" x14ac:dyDescent="0.3">
      <c r="AU5780" s="45"/>
    </row>
    <row r="5781" spans="47:47" ht="12" hidden="1" customHeight="1" x14ac:dyDescent="0.3">
      <c r="AU5781" s="45"/>
    </row>
    <row r="5782" spans="47:47" ht="12" hidden="1" customHeight="1" x14ac:dyDescent="0.3">
      <c r="AU5782" s="45"/>
    </row>
    <row r="5783" spans="47:47" ht="12" hidden="1" customHeight="1" x14ac:dyDescent="0.3">
      <c r="AU5783" s="45"/>
    </row>
    <row r="5784" spans="47:47" ht="12" hidden="1" customHeight="1" x14ac:dyDescent="0.3">
      <c r="AU5784" s="45"/>
    </row>
    <row r="5785" spans="47:47" ht="12" hidden="1" customHeight="1" x14ac:dyDescent="0.3">
      <c r="AU5785" s="45"/>
    </row>
    <row r="5786" spans="47:47" ht="12" hidden="1" customHeight="1" x14ac:dyDescent="0.3">
      <c r="AU5786" s="45"/>
    </row>
    <row r="5787" spans="47:47" ht="12" hidden="1" customHeight="1" x14ac:dyDescent="0.3">
      <c r="AU5787" s="45"/>
    </row>
    <row r="5788" spans="47:47" ht="12" hidden="1" customHeight="1" x14ac:dyDescent="0.3">
      <c r="AU5788" s="45"/>
    </row>
    <row r="5789" spans="47:47" ht="12" hidden="1" customHeight="1" x14ac:dyDescent="0.3">
      <c r="AU5789" s="45"/>
    </row>
    <row r="5790" spans="47:47" ht="12" hidden="1" customHeight="1" x14ac:dyDescent="0.3">
      <c r="AU5790" s="45"/>
    </row>
    <row r="5791" spans="47:47" ht="12" hidden="1" customHeight="1" x14ac:dyDescent="0.3">
      <c r="AU5791" s="45"/>
    </row>
    <row r="5792" spans="47:47" ht="12" hidden="1" customHeight="1" x14ac:dyDescent="0.3">
      <c r="AU5792" s="45"/>
    </row>
    <row r="5793" spans="47:47" ht="12" hidden="1" customHeight="1" x14ac:dyDescent="0.3">
      <c r="AU5793" s="45"/>
    </row>
    <row r="5794" spans="47:47" ht="12" hidden="1" customHeight="1" x14ac:dyDescent="0.3">
      <c r="AU5794" s="45"/>
    </row>
    <row r="5795" spans="47:47" ht="12" hidden="1" customHeight="1" x14ac:dyDescent="0.3">
      <c r="AU5795" s="45"/>
    </row>
    <row r="5796" spans="47:47" ht="12" hidden="1" customHeight="1" x14ac:dyDescent="0.3">
      <c r="AU5796" s="45"/>
    </row>
    <row r="5797" spans="47:47" ht="12" hidden="1" customHeight="1" x14ac:dyDescent="0.3">
      <c r="AU5797" s="45"/>
    </row>
    <row r="5798" spans="47:47" ht="12" hidden="1" customHeight="1" x14ac:dyDescent="0.3">
      <c r="AU5798" s="45"/>
    </row>
    <row r="5799" spans="47:47" ht="12" hidden="1" customHeight="1" x14ac:dyDescent="0.3">
      <c r="AU5799" s="45"/>
    </row>
    <row r="5800" spans="47:47" ht="12" hidden="1" customHeight="1" x14ac:dyDescent="0.3">
      <c r="AU5800" s="45"/>
    </row>
    <row r="5801" spans="47:47" ht="12" hidden="1" customHeight="1" x14ac:dyDescent="0.3">
      <c r="AU5801" s="45"/>
    </row>
    <row r="5802" spans="47:47" ht="12" hidden="1" customHeight="1" x14ac:dyDescent="0.3">
      <c r="AU5802" s="45"/>
    </row>
    <row r="5803" spans="47:47" ht="12" hidden="1" customHeight="1" x14ac:dyDescent="0.3">
      <c r="AU5803" s="45"/>
    </row>
    <row r="5804" spans="47:47" ht="12" hidden="1" customHeight="1" x14ac:dyDescent="0.3">
      <c r="AU5804" s="45"/>
    </row>
    <row r="5805" spans="47:47" ht="12" hidden="1" customHeight="1" x14ac:dyDescent="0.3">
      <c r="AU5805" s="45"/>
    </row>
    <row r="5806" spans="47:47" ht="12" hidden="1" customHeight="1" x14ac:dyDescent="0.3">
      <c r="AU5806" s="45"/>
    </row>
    <row r="5807" spans="47:47" ht="12" hidden="1" customHeight="1" x14ac:dyDescent="0.3">
      <c r="AU5807" s="45"/>
    </row>
    <row r="5808" spans="47:47" ht="12" hidden="1" customHeight="1" x14ac:dyDescent="0.3">
      <c r="AU5808" s="45"/>
    </row>
    <row r="5809" spans="47:47" ht="12" hidden="1" customHeight="1" x14ac:dyDescent="0.3">
      <c r="AU5809" s="45"/>
    </row>
    <row r="5810" spans="47:47" ht="12" hidden="1" customHeight="1" x14ac:dyDescent="0.3">
      <c r="AU5810" s="45"/>
    </row>
    <row r="5811" spans="47:47" ht="12" hidden="1" customHeight="1" x14ac:dyDescent="0.3">
      <c r="AU5811" s="45"/>
    </row>
    <row r="5812" spans="47:47" ht="12" hidden="1" customHeight="1" x14ac:dyDescent="0.3">
      <c r="AU5812" s="45"/>
    </row>
    <row r="5813" spans="47:47" ht="12" hidden="1" customHeight="1" x14ac:dyDescent="0.3">
      <c r="AU5813" s="45"/>
    </row>
    <row r="5814" spans="47:47" ht="12" hidden="1" customHeight="1" x14ac:dyDescent="0.3">
      <c r="AU5814" s="45"/>
    </row>
    <row r="5815" spans="47:47" ht="12" hidden="1" customHeight="1" x14ac:dyDescent="0.3">
      <c r="AU5815" s="45"/>
    </row>
    <row r="5816" spans="47:47" ht="12" hidden="1" customHeight="1" x14ac:dyDescent="0.3">
      <c r="AU5816" s="45"/>
    </row>
    <row r="5817" spans="47:47" ht="12" hidden="1" customHeight="1" x14ac:dyDescent="0.3">
      <c r="AU5817" s="45"/>
    </row>
    <row r="5818" spans="47:47" ht="12" hidden="1" customHeight="1" x14ac:dyDescent="0.3">
      <c r="AU5818" s="45"/>
    </row>
    <row r="5819" spans="47:47" ht="12" hidden="1" customHeight="1" x14ac:dyDescent="0.3">
      <c r="AU5819" s="45"/>
    </row>
    <row r="5820" spans="47:47" ht="12" hidden="1" customHeight="1" x14ac:dyDescent="0.3">
      <c r="AU5820" s="45"/>
    </row>
    <row r="5821" spans="47:47" ht="12" hidden="1" customHeight="1" x14ac:dyDescent="0.3">
      <c r="AU5821" s="45"/>
    </row>
    <row r="5822" spans="47:47" ht="12" hidden="1" customHeight="1" x14ac:dyDescent="0.3">
      <c r="AU5822" s="45"/>
    </row>
    <row r="5823" spans="47:47" ht="12" hidden="1" customHeight="1" x14ac:dyDescent="0.3">
      <c r="AU5823" s="45"/>
    </row>
    <row r="5824" spans="47:47" ht="12" hidden="1" customHeight="1" x14ac:dyDescent="0.3">
      <c r="AU5824" s="45"/>
    </row>
    <row r="5825" spans="47:47" ht="12" hidden="1" customHeight="1" x14ac:dyDescent="0.3">
      <c r="AU5825" s="45"/>
    </row>
    <row r="5826" spans="47:47" ht="12" hidden="1" customHeight="1" x14ac:dyDescent="0.3">
      <c r="AU5826" s="45"/>
    </row>
    <row r="5827" spans="47:47" ht="12" hidden="1" customHeight="1" x14ac:dyDescent="0.3">
      <c r="AU5827" s="45"/>
    </row>
    <row r="5828" spans="47:47" ht="12" hidden="1" customHeight="1" x14ac:dyDescent="0.3">
      <c r="AU5828" s="45"/>
    </row>
    <row r="5829" spans="47:47" ht="12" hidden="1" customHeight="1" x14ac:dyDescent="0.3">
      <c r="AU5829" s="45"/>
    </row>
    <row r="5830" spans="47:47" ht="12" hidden="1" customHeight="1" x14ac:dyDescent="0.3">
      <c r="AU5830" s="45"/>
    </row>
    <row r="5831" spans="47:47" ht="12" hidden="1" customHeight="1" x14ac:dyDescent="0.3">
      <c r="AU5831" s="45"/>
    </row>
    <row r="5832" spans="47:47" ht="12" hidden="1" customHeight="1" x14ac:dyDescent="0.3">
      <c r="AU5832" s="45"/>
    </row>
    <row r="5833" spans="47:47" ht="12" hidden="1" customHeight="1" x14ac:dyDescent="0.3">
      <c r="AU5833" s="45"/>
    </row>
    <row r="5834" spans="47:47" ht="12" hidden="1" customHeight="1" x14ac:dyDescent="0.3">
      <c r="AU5834" s="45"/>
    </row>
    <row r="5835" spans="47:47" ht="12" hidden="1" customHeight="1" x14ac:dyDescent="0.3">
      <c r="AU5835" s="45"/>
    </row>
    <row r="5836" spans="47:47" ht="12" hidden="1" customHeight="1" x14ac:dyDescent="0.3">
      <c r="AU5836" s="45"/>
    </row>
    <row r="5837" spans="47:47" ht="12" hidden="1" customHeight="1" x14ac:dyDescent="0.3">
      <c r="AU5837" s="45"/>
    </row>
    <row r="5838" spans="47:47" ht="12" hidden="1" customHeight="1" x14ac:dyDescent="0.3">
      <c r="AU5838" s="45"/>
    </row>
    <row r="5839" spans="47:47" ht="12" hidden="1" customHeight="1" x14ac:dyDescent="0.3">
      <c r="AU5839" s="45"/>
    </row>
    <row r="5840" spans="47:47" ht="12" hidden="1" customHeight="1" x14ac:dyDescent="0.3">
      <c r="AU5840" s="45"/>
    </row>
    <row r="5841" spans="47:47" ht="12" hidden="1" customHeight="1" x14ac:dyDescent="0.3">
      <c r="AU5841" s="45"/>
    </row>
    <row r="5842" spans="47:47" ht="12" hidden="1" customHeight="1" x14ac:dyDescent="0.3">
      <c r="AU5842" s="45"/>
    </row>
    <row r="5843" spans="47:47" ht="12" hidden="1" customHeight="1" x14ac:dyDescent="0.3">
      <c r="AU5843" s="45"/>
    </row>
    <row r="5844" spans="47:47" ht="12" hidden="1" customHeight="1" x14ac:dyDescent="0.3">
      <c r="AU5844" s="45"/>
    </row>
    <row r="5845" spans="47:47" ht="12" hidden="1" customHeight="1" x14ac:dyDescent="0.3">
      <c r="AU5845" s="45"/>
    </row>
    <row r="5846" spans="47:47" ht="12" hidden="1" customHeight="1" x14ac:dyDescent="0.3">
      <c r="AU5846" s="45"/>
    </row>
    <row r="5847" spans="47:47" ht="12" hidden="1" customHeight="1" x14ac:dyDescent="0.3">
      <c r="AU5847" s="45"/>
    </row>
    <row r="5848" spans="47:47" ht="12" hidden="1" customHeight="1" x14ac:dyDescent="0.3">
      <c r="AU5848" s="45"/>
    </row>
    <row r="5849" spans="47:47" ht="12" hidden="1" customHeight="1" x14ac:dyDescent="0.3">
      <c r="AU5849" s="45"/>
    </row>
    <row r="5850" spans="47:47" ht="12" hidden="1" customHeight="1" x14ac:dyDescent="0.3">
      <c r="AU5850" s="45"/>
    </row>
    <row r="5851" spans="47:47" ht="12" hidden="1" customHeight="1" x14ac:dyDescent="0.3">
      <c r="AU5851" s="45"/>
    </row>
    <row r="5852" spans="47:47" ht="12" hidden="1" customHeight="1" x14ac:dyDescent="0.3">
      <c r="AU5852" s="45"/>
    </row>
    <row r="5853" spans="47:47" ht="12" hidden="1" customHeight="1" x14ac:dyDescent="0.3">
      <c r="AU5853" s="45"/>
    </row>
    <row r="5854" spans="47:47" ht="12" hidden="1" customHeight="1" x14ac:dyDescent="0.3">
      <c r="AU5854" s="45"/>
    </row>
    <row r="5855" spans="47:47" ht="12" hidden="1" customHeight="1" x14ac:dyDescent="0.3">
      <c r="AU5855" s="45"/>
    </row>
    <row r="5856" spans="47:47" ht="12" hidden="1" customHeight="1" x14ac:dyDescent="0.3">
      <c r="AU5856" s="45"/>
    </row>
    <row r="5857" spans="47:47" ht="12" hidden="1" customHeight="1" x14ac:dyDescent="0.3">
      <c r="AU5857" s="45"/>
    </row>
    <row r="5858" spans="47:47" ht="12" hidden="1" customHeight="1" x14ac:dyDescent="0.3">
      <c r="AU5858" s="45"/>
    </row>
    <row r="5859" spans="47:47" ht="12" hidden="1" customHeight="1" x14ac:dyDescent="0.3">
      <c r="AU5859" s="45"/>
    </row>
    <row r="5860" spans="47:47" ht="12" hidden="1" customHeight="1" x14ac:dyDescent="0.3">
      <c r="AU5860" s="45"/>
    </row>
    <row r="5861" spans="47:47" ht="12" hidden="1" customHeight="1" x14ac:dyDescent="0.3">
      <c r="AU5861" s="45"/>
    </row>
    <row r="5862" spans="47:47" ht="12" hidden="1" customHeight="1" x14ac:dyDescent="0.3">
      <c r="AU5862" s="45"/>
    </row>
    <row r="5863" spans="47:47" ht="12" hidden="1" customHeight="1" x14ac:dyDescent="0.3">
      <c r="AU5863" s="45"/>
    </row>
    <row r="5864" spans="47:47" ht="12" hidden="1" customHeight="1" x14ac:dyDescent="0.3">
      <c r="AU5864" s="45"/>
    </row>
    <row r="5865" spans="47:47" ht="12" hidden="1" customHeight="1" x14ac:dyDescent="0.3">
      <c r="AU5865" s="45"/>
    </row>
    <row r="5866" spans="47:47" ht="12" hidden="1" customHeight="1" x14ac:dyDescent="0.3">
      <c r="AU5866" s="45"/>
    </row>
    <row r="5867" spans="47:47" ht="12" hidden="1" customHeight="1" x14ac:dyDescent="0.3">
      <c r="AU5867" s="45"/>
    </row>
    <row r="5868" spans="47:47" ht="12" hidden="1" customHeight="1" x14ac:dyDescent="0.3">
      <c r="AU5868" s="45"/>
    </row>
    <row r="5869" spans="47:47" ht="12" hidden="1" customHeight="1" x14ac:dyDescent="0.3">
      <c r="AU5869" s="45"/>
    </row>
    <row r="5870" spans="47:47" ht="12" hidden="1" customHeight="1" x14ac:dyDescent="0.3">
      <c r="AU5870" s="45"/>
    </row>
    <row r="5871" spans="47:47" ht="12" hidden="1" customHeight="1" x14ac:dyDescent="0.3">
      <c r="AU5871" s="45"/>
    </row>
    <row r="5872" spans="47:47" ht="12" hidden="1" customHeight="1" x14ac:dyDescent="0.3">
      <c r="AU5872" s="45"/>
    </row>
    <row r="5873" spans="47:47" ht="12" hidden="1" customHeight="1" x14ac:dyDescent="0.3">
      <c r="AU5873" s="45"/>
    </row>
    <row r="5874" spans="47:47" ht="12" hidden="1" customHeight="1" x14ac:dyDescent="0.3">
      <c r="AU5874" s="45"/>
    </row>
    <row r="5875" spans="47:47" ht="12" hidden="1" customHeight="1" x14ac:dyDescent="0.3">
      <c r="AU5875" s="45"/>
    </row>
    <row r="5876" spans="47:47" ht="12" hidden="1" customHeight="1" x14ac:dyDescent="0.3">
      <c r="AU5876" s="45"/>
    </row>
    <row r="5877" spans="47:47" ht="12" hidden="1" customHeight="1" x14ac:dyDescent="0.3">
      <c r="AU5877" s="45"/>
    </row>
    <row r="5878" spans="47:47" ht="12" hidden="1" customHeight="1" x14ac:dyDescent="0.3">
      <c r="AU5878" s="45"/>
    </row>
    <row r="5879" spans="47:47" ht="12" hidden="1" customHeight="1" x14ac:dyDescent="0.3">
      <c r="AU5879" s="45"/>
    </row>
    <row r="5880" spans="47:47" ht="12" hidden="1" customHeight="1" x14ac:dyDescent="0.3">
      <c r="AU5880" s="45"/>
    </row>
    <row r="5881" spans="47:47" ht="12" hidden="1" customHeight="1" x14ac:dyDescent="0.3">
      <c r="AU5881" s="45"/>
    </row>
    <row r="5882" spans="47:47" ht="12" hidden="1" customHeight="1" x14ac:dyDescent="0.3">
      <c r="AU5882" s="45"/>
    </row>
    <row r="5883" spans="47:47" ht="12" hidden="1" customHeight="1" x14ac:dyDescent="0.3">
      <c r="AU5883" s="45"/>
    </row>
    <row r="5884" spans="47:47" ht="12" hidden="1" customHeight="1" x14ac:dyDescent="0.3">
      <c r="AU5884" s="45"/>
    </row>
    <row r="5885" spans="47:47" ht="12" hidden="1" customHeight="1" x14ac:dyDescent="0.3">
      <c r="AU5885" s="45"/>
    </row>
    <row r="5886" spans="47:47" ht="12" hidden="1" customHeight="1" x14ac:dyDescent="0.3">
      <c r="AU5886" s="45"/>
    </row>
    <row r="5887" spans="47:47" ht="12" hidden="1" customHeight="1" x14ac:dyDescent="0.3">
      <c r="AU5887" s="45"/>
    </row>
    <row r="5888" spans="47:47" ht="12" hidden="1" customHeight="1" x14ac:dyDescent="0.3">
      <c r="AU5888" s="45"/>
    </row>
    <row r="5889" spans="47:47" ht="12" hidden="1" customHeight="1" x14ac:dyDescent="0.3">
      <c r="AU5889" s="45"/>
    </row>
    <row r="5890" spans="47:47" ht="12" hidden="1" customHeight="1" x14ac:dyDescent="0.3">
      <c r="AU5890" s="45"/>
    </row>
    <row r="5891" spans="47:47" ht="12" hidden="1" customHeight="1" x14ac:dyDescent="0.3">
      <c r="AU5891" s="45"/>
    </row>
    <row r="5892" spans="47:47" ht="12" hidden="1" customHeight="1" x14ac:dyDescent="0.3">
      <c r="AU5892" s="45"/>
    </row>
    <row r="5893" spans="47:47" ht="12" hidden="1" customHeight="1" x14ac:dyDescent="0.3">
      <c r="AU5893" s="45"/>
    </row>
    <row r="5894" spans="47:47" ht="12" hidden="1" customHeight="1" x14ac:dyDescent="0.3">
      <c r="AU5894" s="45"/>
    </row>
    <row r="5895" spans="47:47" ht="12" hidden="1" customHeight="1" x14ac:dyDescent="0.3">
      <c r="AU5895" s="45"/>
    </row>
    <row r="5896" spans="47:47" ht="12" hidden="1" customHeight="1" x14ac:dyDescent="0.3">
      <c r="AU5896" s="45"/>
    </row>
    <row r="5897" spans="47:47" ht="12" hidden="1" customHeight="1" x14ac:dyDescent="0.3">
      <c r="AU5897" s="45"/>
    </row>
    <row r="5898" spans="47:47" ht="12" hidden="1" customHeight="1" x14ac:dyDescent="0.3">
      <c r="AU5898" s="45"/>
    </row>
    <row r="5899" spans="47:47" ht="12" hidden="1" customHeight="1" x14ac:dyDescent="0.3">
      <c r="AU5899" s="45"/>
    </row>
    <row r="5900" spans="47:47" ht="12" hidden="1" customHeight="1" x14ac:dyDescent="0.3">
      <c r="AU5900" s="45"/>
    </row>
    <row r="5901" spans="47:47" ht="12" hidden="1" customHeight="1" x14ac:dyDescent="0.3">
      <c r="AU5901" s="45"/>
    </row>
    <row r="5902" spans="47:47" ht="12" hidden="1" customHeight="1" x14ac:dyDescent="0.3">
      <c r="AU5902" s="45"/>
    </row>
    <row r="5903" spans="47:47" ht="12" hidden="1" customHeight="1" x14ac:dyDescent="0.3">
      <c r="AU5903" s="45"/>
    </row>
    <row r="5904" spans="47:47" ht="12" hidden="1" customHeight="1" x14ac:dyDescent="0.3">
      <c r="AU5904" s="45"/>
    </row>
    <row r="5905" spans="47:47" ht="12" hidden="1" customHeight="1" x14ac:dyDescent="0.3">
      <c r="AU5905" s="45"/>
    </row>
    <row r="5906" spans="47:47" ht="12" hidden="1" customHeight="1" x14ac:dyDescent="0.3">
      <c r="AU5906" s="45"/>
    </row>
    <row r="5907" spans="47:47" ht="12" hidden="1" customHeight="1" x14ac:dyDescent="0.3">
      <c r="AU5907" s="45"/>
    </row>
    <row r="5908" spans="47:47" ht="12" hidden="1" customHeight="1" x14ac:dyDescent="0.3">
      <c r="AU5908" s="45"/>
    </row>
    <row r="5909" spans="47:47" ht="12" hidden="1" customHeight="1" x14ac:dyDescent="0.3">
      <c r="AU5909" s="45"/>
    </row>
    <row r="5910" spans="47:47" ht="12" hidden="1" customHeight="1" x14ac:dyDescent="0.3">
      <c r="AU5910" s="45"/>
    </row>
    <row r="5911" spans="47:47" ht="12" hidden="1" customHeight="1" x14ac:dyDescent="0.3">
      <c r="AU5911" s="45"/>
    </row>
    <row r="5912" spans="47:47" ht="12" hidden="1" customHeight="1" x14ac:dyDescent="0.3">
      <c r="AU5912" s="45"/>
    </row>
    <row r="5913" spans="47:47" ht="12" hidden="1" customHeight="1" x14ac:dyDescent="0.3">
      <c r="AU5913" s="45"/>
    </row>
    <row r="5914" spans="47:47" ht="12" hidden="1" customHeight="1" x14ac:dyDescent="0.3">
      <c r="AU5914" s="45"/>
    </row>
    <row r="5915" spans="47:47" ht="12" hidden="1" customHeight="1" x14ac:dyDescent="0.3">
      <c r="AU5915" s="45"/>
    </row>
    <row r="5916" spans="47:47" ht="12" hidden="1" customHeight="1" x14ac:dyDescent="0.3">
      <c r="AU5916" s="45"/>
    </row>
    <row r="5917" spans="47:47" ht="12" hidden="1" customHeight="1" x14ac:dyDescent="0.3">
      <c r="AU5917" s="45"/>
    </row>
    <row r="5918" spans="47:47" ht="12" hidden="1" customHeight="1" x14ac:dyDescent="0.3">
      <c r="AU5918" s="45"/>
    </row>
    <row r="5919" spans="47:47" ht="12" hidden="1" customHeight="1" x14ac:dyDescent="0.3">
      <c r="AU5919" s="45"/>
    </row>
    <row r="5920" spans="47:47" ht="12" hidden="1" customHeight="1" x14ac:dyDescent="0.3">
      <c r="AU5920" s="45"/>
    </row>
    <row r="5921" spans="47:47" ht="12" hidden="1" customHeight="1" x14ac:dyDescent="0.3">
      <c r="AU5921" s="45"/>
    </row>
    <row r="5922" spans="47:47" ht="12" hidden="1" customHeight="1" x14ac:dyDescent="0.3">
      <c r="AU5922" s="45"/>
    </row>
    <row r="5923" spans="47:47" ht="12" hidden="1" customHeight="1" x14ac:dyDescent="0.3">
      <c r="AU5923" s="45"/>
    </row>
    <row r="5924" spans="47:47" ht="12" hidden="1" customHeight="1" x14ac:dyDescent="0.3">
      <c r="AU5924" s="45"/>
    </row>
    <row r="5925" spans="47:47" ht="12" hidden="1" customHeight="1" x14ac:dyDescent="0.3">
      <c r="AU5925" s="45"/>
    </row>
    <row r="5926" spans="47:47" ht="12" hidden="1" customHeight="1" x14ac:dyDescent="0.3">
      <c r="AU5926" s="45"/>
    </row>
    <row r="5927" spans="47:47" ht="12" hidden="1" customHeight="1" x14ac:dyDescent="0.3">
      <c r="AU5927" s="45"/>
    </row>
    <row r="5928" spans="47:47" ht="12" hidden="1" customHeight="1" x14ac:dyDescent="0.3">
      <c r="AU5928" s="45"/>
    </row>
    <row r="5929" spans="47:47" ht="12" hidden="1" customHeight="1" x14ac:dyDescent="0.3">
      <c r="AU5929" s="45"/>
    </row>
    <row r="5930" spans="47:47" ht="12" hidden="1" customHeight="1" x14ac:dyDescent="0.3">
      <c r="AU5930" s="45"/>
    </row>
    <row r="5931" spans="47:47" ht="12" hidden="1" customHeight="1" x14ac:dyDescent="0.3">
      <c r="AU5931" s="45"/>
    </row>
    <row r="5932" spans="47:47" ht="12" hidden="1" customHeight="1" x14ac:dyDescent="0.3">
      <c r="AU5932" s="45"/>
    </row>
    <row r="5933" spans="47:47" ht="12" hidden="1" customHeight="1" x14ac:dyDescent="0.3">
      <c r="AU5933" s="45"/>
    </row>
    <row r="5934" spans="47:47" ht="12" hidden="1" customHeight="1" x14ac:dyDescent="0.3">
      <c r="AU5934" s="45"/>
    </row>
    <row r="5935" spans="47:47" ht="12" hidden="1" customHeight="1" x14ac:dyDescent="0.3">
      <c r="AU5935" s="45"/>
    </row>
    <row r="5936" spans="47:47" ht="12" hidden="1" customHeight="1" x14ac:dyDescent="0.3">
      <c r="AU5936" s="45"/>
    </row>
    <row r="5937" spans="47:47" ht="12" hidden="1" customHeight="1" x14ac:dyDescent="0.3">
      <c r="AU5937" s="45"/>
    </row>
    <row r="5938" spans="47:47" ht="12" hidden="1" customHeight="1" x14ac:dyDescent="0.3">
      <c r="AU5938" s="45"/>
    </row>
    <row r="5939" spans="47:47" ht="12" hidden="1" customHeight="1" x14ac:dyDescent="0.3">
      <c r="AU5939" s="45"/>
    </row>
    <row r="5940" spans="47:47" ht="12" hidden="1" customHeight="1" x14ac:dyDescent="0.3">
      <c r="AU5940" s="45"/>
    </row>
    <row r="5941" spans="47:47" ht="12" hidden="1" customHeight="1" x14ac:dyDescent="0.3">
      <c r="AU5941" s="45"/>
    </row>
    <row r="5942" spans="47:47" ht="12" hidden="1" customHeight="1" x14ac:dyDescent="0.3">
      <c r="AU5942" s="45"/>
    </row>
    <row r="5943" spans="47:47" ht="12" hidden="1" customHeight="1" x14ac:dyDescent="0.3">
      <c r="AU5943" s="45"/>
    </row>
    <row r="5944" spans="47:47" ht="12" hidden="1" customHeight="1" x14ac:dyDescent="0.3">
      <c r="AU5944" s="45"/>
    </row>
    <row r="5945" spans="47:47" ht="12" hidden="1" customHeight="1" x14ac:dyDescent="0.3">
      <c r="AU5945" s="45"/>
    </row>
    <row r="5946" spans="47:47" ht="12" hidden="1" customHeight="1" x14ac:dyDescent="0.3">
      <c r="AU5946" s="45"/>
    </row>
    <row r="5947" spans="47:47" ht="12" hidden="1" customHeight="1" x14ac:dyDescent="0.3">
      <c r="AU5947" s="45"/>
    </row>
    <row r="5948" spans="47:47" ht="12" hidden="1" customHeight="1" x14ac:dyDescent="0.3">
      <c r="AU5948" s="45"/>
    </row>
    <row r="5949" spans="47:47" ht="12" hidden="1" customHeight="1" x14ac:dyDescent="0.3">
      <c r="AU5949" s="45"/>
    </row>
    <row r="5950" spans="47:47" ht="12" hidden="1" customHeight="1" x14ac:dyDescent="0.3">
      <c r="AU5950" s="45"/>
    </row>
    <row r="5951" spans="47:47" ht="12" hidden="1" customHeight="1" x14ac:dyDescent="0.3">
      <c r="AU5951" s="45"/>
    </row>
    <row r="5952" spans="47:47" ht="12" hidden="1" customHeight="1" x14ac:dyDescent="0.3">
      <c r="AU5952" s="45"/>
    </row>
    <row r="5953" spans="47:47" ht="12" hidden="1" customHeight="1" x14ac:dyDescent="0.3">
      <c r="AU5953" s="45"/>
    </row>
    <row r="5954" spans="47:47" ht="12" hidden="1" customHeight="1" x14ac:dyDescent="0.3">
      <c r="AU5954" s="45"/>
    </row>
    <row r="5955" spans="47:47" ht="12" hidden="1" customHeight="1" x14ac:dyDescent="0.3">
      <c r="AU5955" s="45"/>
    </row>
    <row r="5956" spans="47:47" ht="12" hidden="1" customHeight="1" x14ac:dyDescent="0.3">
      <c r="AU5956" s="45"/>
    </row>
    <row r="5957" spans="47:47" ht="12" hidden="1" customHeight="1" x14ac:dyDescent="0.3">
      <c r="AU5957" s="45"/>
    </row>
    <row r="5958" spans="47:47" ht="12" hidden="1" customHeight="1" x14ac:dyDescent="0.3">
      <c r="AU5958" s="45"/>
    </row>
    <row r="5959" spans="47:47" ht="12" hidden="1" customHeight="1" x14ac:dyDescent="0.3">
      <c r="AU5959" s="45"/>
    </row>
    <row r="5960" spans="47:47" ht="12" hidden="1" customHeight="1" x14ac:dyDescent="0.3">
      <c r="AU5960" s="45"/>
    </row>
    <row r="5961" spans="47:47" ht="12" hidden="1" customHeight="1" x14ac:dyDescent="0.3">
      <c r="AU5961" s="45"/>
    </row>
    <row r="5962" spans="47:47" ht="12" hidden="1" customHeight="1" x14ac:dyDescent="0.3">
      <c r="AU5962" s="45"/>
    </row>
    <row r="5963" spans="47:47" ht="12" hidden="1" customHeight="1" x14ac:dyDescent="0.3">
      <c r="AU5963" s="45"/>
    </row>
    <row r="5964" spans="47:47" ht="12" hidden="1" customHeight="1" x14ac:dyDescent="0.3">
      <c r="AU5964" s="45"/>
    </row>
    <row r="5965" spans="47:47" ht="12" hidden="1" customHeight="1" x14ac:dyDescent="0.3">
      <c r="AU5965" s="45"/>
    </row>
    <row r="5966" spans="47:47" ht="12" hidden="1" customHeight="1" x14ac:dyDescent="0.3">
      <c r="AU5966" s="45"/>
    </row>
    <row r="5967" spans="47:47" ht="12" hidden="1" customHeight="1" x14ac:dyDescent="0.3">
      <c r="AU5967" s="45"/>
    </row>
    <row r="5968" spans="47:47" ht="12" hidden="1" customHeight="1" x14ac:dyDescent="0.3">
      <c r="AU5968" s="45"/>
    </row>
    <row r="5969" spans="47:47" ht="12" hidden="1" customHeight="1" x14ac:dyDescent="0.3">
      <c r="AU5969" s="45"/>
    </row>
    <row r="5970" spans="47:47" ht="12" hidden="1" customHeight="1" x14ac:dyDescent="0.3">
      <c r="AU5970" s="45"/>
    </row>
    <row r="5971" spans="47:47" ht="12" hidden="1" customHeight="1" x14ac:dyDescent="0.3">
      <c r="AU5971" s="45"/>
    </row>
    <row r="5972" spans="47:47" ht="12" hidden="1" customHeight="1" x14ac:dyDescent="0.3">
      <c r="AU5972" s="45"/>
    </row>
    <row r="5973" spans="47:47" ht="12" hidden="1" customHeight="1" x14ac:dyDescent="0.3">
      <c r="AU5973" s="45"/>
    </row>
    <row r="5974" spans="47:47" ht="12" hidden="1" customHeight="1" x14ac:dyDescent="0.3">
      <c r="AU5974" s="45"/>
    </row>
    <row r="5975" spans="47:47" ht="12" hidden="1" customHeight="1" x14ac:dyDescent="0.3">
      <c r="AU5975" s="45"/>
    </row>
    <row r="5976" spans="47:47" ht="12" hidden="1" customHeight="1" x14ac:dyDescent="0.3">
      <c r="AU5976" s="45"/>
    </row>
    <row r="5977" spans="47:47" ht="12" hidden="1" customHeight="1" x14ac:dyDescent="0.3">
      <c r="AU5977" s="45"/>
    </row>
    <row r="5978" spans="47:47" ht="12" hidden="1" customHeight="1" x14ac:dyDescent="0.3">
      <c r="AU5978" s="45"/>
    </row>
    <row r="5979" spans="47:47" ht="12" hidden="1" customHeight="1" x14ac:dyDescent="0.3">
      <c r="AU5979" s="45"/>
    </row>
    <row r="5980" spans="47:47" ht="12" hidden="1" customHeight="1" x14ac:dyDescent="0.3">
      <c r="AU5980" s="45"/>
    </row>
    <row r="5981" spans="47:47" ht="12" hidden="1" customHeight="1" x14ac:dyDescent="0.3">
      <c r="AU5981" s="45"/>
    </row>
    <row r="5982" spans="47:47" ht="12" hidden="1" customHeight="1" x14ac:dyDescent="0.3">
      <c r="AU5982" s="45"/>
    </row>
    <row r="5983" spans="47:47" ht="12" hidden="1" customHeight="1" x14ac:dyDescent="0.3">
      <c r="AU5983" s="45"/>
    </row>
    <row r="5984" spans="47:47" ht="12" hidden="1" customHeight="1" x14ac:dyDescent="0.3">
      <c r="AU5984" s="45"/>
    </row>
    <row r="5985" spans="47:47" ht="12" hidden="1" customHeight="1" x14ac:dyDescent="0.3">
      <c r="AU5985" s="45"/>
    </row>
    <row r="5986" spans="47:47" ht="12" hidden="1" customHeight="1" x14ac:dyDescent="0.3">
      <c r="AU5986" s="45"/>
    </row>
    <row r="5987" spans="47:47" ht="12" hidden="1" customHeight="1" x14ac:dyDescent="0.3">
      <c r="AU5987" s="45"/>
    </row>
    <row r="5988" spans="47:47" ht="12" hidden="1" customHeight="1" x14ac:dyDescent="0.3">
      <c r="AU5988" s="45"/>
    </row>
    <row r="5989" spans="47:47" ht="12" hidden="1" customHeight="1" x14ac:dyDescent="0.3">
      <c r="AU5989" s="45"/>
    </row>
    <row r="5990" spans="47:47" ht="12" hidden="1" customHeight="1" x14ac:dyDescent="0.3">
      <c r="AU5990" s="45"/>
    </row>
    <row r="5991" spans="47:47" ht="12" hidden="1" customHeight="1" x14ac:dyDescent="0.3">
      <c r="AU5991" s="45"/>
    </row>
    <row r="5992" spans="47:47" ht="12" hidden="1" customHeight="1" x14ac:dyDescent="0.3">
      <c r="AU5992" s="45"/>
    </row>
    <row r="5993" spans="47:47" ht="12" hidden="1" customHeight="1" x14ac:dyDescent="0.3">
      <c r="AU5993" s="45"/>
    </row>
    <row r="5994" spans="47:47" ht="12" hidden="1" customHeight="1" x14ac:dyDescent="0.3">
      <c r="AU5994" s="45"/>
    </row>
    <row r="5995" spans="47:47" ht="12" hidden="1" customHeight="1" x14ac:dyDescent="0.3">
      <c r="AU5995" s="45"/>
    </row>
    <row r="5996" spans="47:47" ht="12" hidden="1" customHeight="1" x14ac:dyDescent="0.3">
      <c r="AU5996" s="45"/>
    </row>
    <row r="5997" spans="47:47" ht="12" hidden="1" customHeight="1" x14ac:dyDescent="0.3">
      <c r="AU5997" s="45"/>
    </row>
    <row r="5998" spans="47:47" ht="12" hidden="1" customHeight="1" x14ac:dyDescent="0.3">
      <c r="AU5998" s="45"/>
    </row>
    <row r="5999" spans="47:47" ht="12" hidden="1" customHeight="1" x14ac:dyDescent="0.3">
      <c r="AU5999" s="45"/>
    </row>
    <row r="6000" spans="47:47" ht="12" hidden="1" customHeight="1" x14ac:dyDescent="0.3">
      <c r="AU6000" s="45"/>
    </row>
    <row r="6001" spans="47:47" ht="12" hidden="1" customHeight="1" x14ac:dyDescent="0.3">
      <c r="AU6001" s="45"/>
    </row>
    <row r="6002" spans="47:47" ht="12" hidden="1" customHeight="1" x14ac:dyDescent="0.3">
      <c r="AU6002" s="45"/>
    </row>
    <row r="6003" spans="47:47" ht="12" hidden="1" customHeight="1" x14ac:dyDescent="0.3">
      <c r="AU6003" s="45"/>
    </row>
    <row r="6004" spans="47:47" ht="12" hidden="1" customHeight="1" x14ac:dyDescent="0.3">
      <c r="AU6004" s="45"/>
    </row>
    <row r="6005" spans="47:47" ht="12" hidden="1" customHeight="1" x14ac:dyDescent="0.3">
      <c r="AU6005" s="45"/>
    </row>
    <row r="6006" spans="47:47" ht="12" hidden="1" customHeight="1" x14ac:dyDescent="0.3">
      <c r="AU6006" s="45"/>
    </row>
    <row r="6007" spans="47:47" ht="12" hidden="1" customHeight="1" x14ac:dyDescent="0.3">
      <c r="AU6007" s="45"/>
    </row>
    <row r="6008" spans="47:47" ht="12" hidden="1" customHeight="1" x14ac:dyDescent="0.3">
      <c r="AU6008" s="45"/>
    </row>
    <row r="6009" spans="47:47" ht="12" hidden="1" customHeight="1" x14ac:dyDescent="0.3">
      <c r="AU6009" s="45"/>
    </row>
    <row r="6010" spans="47:47" ht="12" hidden="1" customHeight="1" x14ac:dyDescent="0.3">
      <c r="AU6010" s="45"/>
    </row>
    <row r="6011" spans="47:47" ht="12" hidden="1" customHeight="1" x14ac:dyDescent="0.3">
      <c r="AU6011" s="45"/>
    </row>
    <row r="6012" spans="47:47" ht="12" hidden="1" customHeight="1" x14ac:dyDescent="0.3">
      <c r="AU6012" s="45"/>
    </row>
    <row r="6013" spans="47:47" ht="12" hidden="1" customHeight="1" x14ac:dyDescent="0.3">
      <c r="AU6013" s="45"/>
    </row>
    <row r="6014" spans="47:47" ht="12" hidden="1" customHeight="1" x14ac:dyDescent="0.3">
      <c r="AU6014" s="45"/>
    </row>
    <row r="6015" spans="47:47" ht="12" hidden="1" customHeight="1" x14ac:dyDescent="0.3">
      <c r="AU6015" s="45"/>
    </row>
    <row r="6016" spans="47:47" ht="12" hidden="1" customHeight="1" x14ac:dyDescent="0.3">
      <c r="AU6016" s="45"/>
    </row>
    <row r="6017" spans="47:47" ht="12" hidden="1" customHeight="1" x14ac:dyDescent="0.3">
      <c r="AU6017" s="45"/>
    </row>
    <row r="6018" spans="47:47" ht="12" hidden="1" customHeight="1" x14ac:dyDescent="0.3">
      <c r="AU6018" s="45"/>
    </row>
    <row r="6019" spans="47:47" ht="12" hidden="1" customHeight="1" x14ac:dyDescent="0.3">
      <c r="AU6019" s="45"/>
    </row>
    <row r="6020" spans="47:47" ht="12" hidden="1" customHeight="1" x14ac:dyDescent="0.3">
      <c r="AU6020" s="45"/>
    </row>
    <row r="6021" spans="47:47" ht="12" hidden="1" customHeight="1" x14ac:dyDescent="0.3">
      <c r="AU6021" s="45"/>
    </row>
    <row r="6022" spans="47:47" ht="12" hidden="1" customHeight="1" x14ac:dyDescent="0.3">
      <c r="AU6022" s="45"/>
    </row>
    <row r="6023" spans="47:47" ht="12" hidden="1" customHeight="1" x14ac:dyDescent="0.3">
      <c r="AU6023" s="45"/>
    </row>
    <row r="6024" spans="47:47" ht="12" hidden="1" customHeight="1" x14ac:dyDescent="0.3">
      <c r="AU6024" s="45"/>
    </row>
    <row r="6025" spans="47:47" ht="12" hidden="1" customHeight="1" x14ac:dyDescent="0.3">
      <c r="AU6025" s="45"/>
    </row>
    <row r="6026" spans="47:47" ht="12" hidden="1" customHeight="1" x14ac:dyDescent="0.3">
      <c r="AU6026" s="45"/>
    </row>
    <row r="6027" spans="47:47" ht="12" hidden="1" customHeight="1" x14ac:dyDescent="0.3">
      <c r="AU6027" s="45"/>
    </row>
    <row r="6028" spans="47:47" ht="12" hidden="1" customHeight="1" x14ac:dyDescent="0.3">
      <c r="AU6028" s="45"/>
    </row>
    <row r="6029" spans="47:47" ht="12" hidden="1" customHeight="1" x14ac:dyDescent="0.3">
      <c r="AU6029" s="45"/>
    </row>
    <row r="6030" spans="47:47" ht="12" hidden="1" customHeight="1" x14ac:dyDescent="0.3">
      <c r="AU6030" s="45"/>
    </row>
    <row r="6031" spans="47:47" ht="12" hidden="1" customHeight="1" x14ac:dyDescent="0.3">
      <c r="AU6031" s="45"/>
    </row>
    <row r="6032" spans="47:47" ht="12" hidden="1" customHeight="1" x14ac:dyDescent="0.3">
      <c r="AU6032" s="45"/>
    </row>
    <row r="6033" spans="47:47" ht="12" hidden="1" customHeight="1" x14ac:dyDescent="0.3">
      <c r="AU6033" s="45"/>
    </row>
    <row r="6034" spans="47:47" ht="12" hidden="1" customHeight="1" x14ac:dyDescent="0.3">
      <c r="AU6034" s="45"/>
    </row>
    <row r="6035" spans="47:47" ht="12" hidden="1" customHeight="1" x14ac:dyDescent="0.3">
      <c r="AU6035" s="45"/>
    </row>
    <row r="6036" spans="47:47" ht="12" hidden="1" customHeight="1" x14ac:dyDescent="0.3">
      <c r="AU6036" s="45"/>
    </row>
    <row r="6037" spans="47:47" ht="12" hidden="1" customHeight="1" x14ac:dyDescent="0.3">
      <c r="AU6037" s="45"/>
    </row>
    <row r="6038" spans="47:47" ht="12" hidden="1" customHeight="1" x14ac:dyDescent="0.3">
      <c r="AU6038" s="45"/>
    </row>
    <row r="6039" spans="47:47" ht="12" hidden="1" customHeight="1" x14ac:dyDescent="0.3">
      <c r="AU6039" s="45"/>
    </row>
    <row r="6040" spans="47:47" ht="12" hidden="1" customHeight="1" x14ac:dyDescent="0.3">
      <c r="AU6040" s="45"/>
    </row>
    <row r="6041" spans="47:47" ht="12" hidden="1" customHeight="1" x14ac:dyDescent="0.3">
      <c r="AU6041" s="45"/>
    </row>
    <row r="6042" spans="47:47" ht="12" hidden="1" customHeight="1" x14ac:dyDescent="0.3">
      <c r="AU6042" s="45"/>
    </row>
    <row r="6043" spans="47:47" ht="12" hidden="1" customHeight="1" x14ac:dyDescent="0.3">
      <c r="AU6043" s="45"/>
    </row>
    <row r="6044" spans="47:47" ht="12" hidden="1" customHeight="1" x14ac:dyDescent="0.3">
      <c r="AU6044" s="45"/>
    </row>
    <row r="6045" spans="47:47" ht="12" hidden="1" customHeight="1" x14ac:dyDescent="0.3">
      <c r="AU6045" s="45"/>
    </row>
    <row r="6046" spans="47:47" ht="12" hidden="1" customHeight="1" x14ac:dyDescent="0.3">
      <c r="AU6046" s="45"/>
    </row>
    <row r="6047" spans="47:47" ht="12" hidden="1" customHeight="1" x14ac:dyDescent="0.3">
      <c r="AU6047" s="45"/>
    </row>
    <row r="6048" spans="47:47" ht="12" hidden="1" customHeight="1" x14ac:dyDescent="0.3">
      <c r="AU6048" s="45"/>
    </row>
    <row r="6049" spans="47:47" ht="12" hidden="1" customHeight="1" x14ac:dyDescent="0.3">
      <c r="AU6049" s="45"/>
    </row>
    <row r="6050" spans="47:47" ht="12" hidden="1" customHeight="1" x14ac:dyDescent="0.3">
      <c r="AU6050" s="45"/>
    </row>
    <row r="6051" spans="47:47" ht="12" hidden="1" customHeight="1" x14ac:dyDescent="0.3">
      <c r="AU6051" s="45"/>
    </row>
    <row r="6052" spans="47:47" ht="12" hidden="1" customHeight="1" x14ac:dyDescent="0.3">
      <c r="AU6052" s="45"/>
    </row>
    <row r="6053" spans="47:47" ht="12" hidden="1" customHeight="1" x14ac:dyDescent="0.3">
      <c r="AU6053" s="45"/>
    </row>
    <row r="6054" spans="47:47" ht="12" hidden="1" customHeight="1" x14ac:dyDescent="0.3">
      <c r="AU6054" s="45"/>
    </row>
    <row r="6055" spans="47:47" ht="12" hidden="1" customHeight="1" x14ac:dyDescent="0.3">
      <c r="AU6055" s="45"/>
    </row>
    <row r="6056" spans="47:47" ht="12" hidden="1" customHeight="1" x14ac:dyDescent="0.3">
      <c r="AU6056" s="45"/>
    </row>
    <row r="6057" spans="47:47" ht="12" hidden="1" customHeight="1" x14ac:dyDescent="0.3">
      <c r="AU6057" s="45"/>
    </row>
    <row r="6058" spans="47:47" ht="12" hidden="1" customHeight="1" x14ac:dyDescent="0.3">
      <c r="AU6058" s="45"/>
    </row>
    <row r="6059" spans="47:47" ht="12" hidden="1" customHeight="1" x14ac:dyDescent="0.3">
      <c r="AU6059" s="45"/>
    </row>
    <row r="6060" spans="47:47" ht="12" hidden="1" customHeight="1" x14ac:dyDescent="0.3">
      <c r="AU6060" s="45"/>
    </row>
    <row r="6061" spans="47:47" ht="12" hidden="1" customHeight="1" x14ac:dyDescent="0.3">
      <c r="AU6061" s="45"/>
    </row>
    <row r="6062" spans="47:47" ht="12" hidden="1" customHeight="1" x14ac:dyDescent="0.3">
      <c r="AU6062" s="45"/>
    </row>
    <row r="6063" spans="47:47" ht="12" hidden="1" customHeight="1" x14ac:dyDescent="0.3">
      <c r="AU6063" s="45"/>
    </row>
    <row r="6064" spans="47:47" ht="12" hidden="1" customHeight="1" x14ac:dyDescent="0.3">
      <c r="AU6064" s="45"/>
    </row>
    <row r="6065" spans="47:47" ht="12" hidden="1" customHeight="1" x14ac:dyDescent="0.3">
      <c r="AU6065" s="45"/>
    </row>
    <row r="6066" spans="47:47" ht="12" hidden="1" customHeight="1" x14ac:dyDescent="0.3">
      <c r="AU6066" s="45"/>
    </row>
    <row r="6067" spans="47:47" ht="12" hidden="1" customHeight="1" x14ac:dyDescent="0.3">
      <c r="AU6067" s="45"/>
    </row>
    <row r="6068" spans="47:47" ht="12" hidden="1" customHeight="1" x14ac:dyDescent="0.3">
      <c r="AU6068" s="45"/>
    </row>
    <row r="6069" spans="47:47" ht="12" hidden="1" customHeight="1" x14ac:dyDescent="0.3">
      <c r="AU6069" s="45"/>
    </row>
    <row r="6070" spans="47:47" ht="12" hidden="1" customHeight="1" x14ac:dyDescent="0.3">
      <c r="AU6070" s="45"/>
    </row>
    <row r="6071" spans="47:47" ht="12" hidden="1" customHeight="1" x14ac:dyDescent="0.3">
      <c r="AU6071" s="45"/>
    </row>
    <row r="6072" spans="47:47" ht="12" hidden="1" customHeight="1" x14ac:dyDescent="0.3">
      <c r="AU6072" s="45"/>
    </row>
    <row r="6073" spans="47:47" ht="12" hidden="1" customHeight="1" x14ac:dyDescent="0.3">
      <c r="AU6073" s="45"/>
    </row>
    <row r="6074" spans="47:47" ht="12" hidden="1" customHeight="1" x14ac:dyDescent="0.3">
      <c r="AU6074" s="45"/>
    </row>
    <row r="6075" spans="47:47" ht="12" hidden="1" customHeight="1" x14ac:dyDescent="0.3">
      <c r="AU6075" s="45"/>
    </row>
    <row r="6076" spans="47:47" ht="12" hidden="1" customHeight="1" x14ac:dyDescent="0.3">
      <c r="AU6076" s="45"/>
    </row>
    <row r="6077" spans="47:47" ht="12" hidden="1" customHeight="1" x14ac:dyDescent="0.3">
      <c r="AU6077" s="45"/>
    </row>
    <row r="6078" spans="47:47" ht="12" hidden="1" customHeight="1" x14ac:dyDescent="0.3">
      <c r="AU6078" s="45"/>
    </row>
    <row r="6079" spans="47:47" ht="12" hidden="1" customHeight="1" x14ac:dyDescent="0.3">
      <c r="AU6079" s="45"/>
    </row>
    <row r="6080" spans="47:47" ht="12" hidden="1" customHeight="1" x14ac:dyDescent="0.3">
      <c r="AU6080" s="45"/>
    </row>
    <row r="6081" spans="47:47" ht="12" hidden="1" customHeight="1" x14ac:dyDescent="0.3">
      <c r="AU6081" s="45"/>
    </row>
    <row r="6082" spans="47:47" ht="12" hidden="1" customHeight="1" x14ac:dyDescent="0.3">
      <c r="AU6082" s="45"/>
    </row>
    <row r="6083" spans="47:47" ht="12" hidden="1" customHeight="1" x14ac:dyDescent="0.3">
      <c r="AU6083" s="45"/>
    </row>
    <row r="6084" spans="47:47" ht="12" hidden="1" customHeight="1" x14ac:dyDescent="0.3">
      <c r="AU6084" s="45"/>
    </row>
    <row r="6085" spans="47:47" ht="12" hidden="1" customHeight="1" x14ac:dyDescent="0.3">
      <c r="AU6085" s="45"/>
    </row>
    <row r="6086" spans="47:47" ht="12" hidden="1" customHeight="1" x14ac:dyDescent="0.3">
      <c r="AU6086" s="45"/>
    </row>
    <row r="6087" spans="47:47" ht="12" hidden="1" customHeight="1" x14ac:dyDescent="0.3">
      <c r="AU6087" s="45"/>
    </row>
    <row r="6088" spans="47:47" ht="12" hidden="1" customHeight="1" x14ac:dyDescent="0.3">
      <c r="AU6088" s="45"/>
    </row>
    <row r="6089" spans="47:47" ht="12" hidden="1" customHeight="1" x14ac:dyDescent="0.3">
      <c r="AU6089" s="45"/>
    </row>
    <row r="6090" spans="47:47" ht="12" hidden="1" customHeight="1" x14ac:dyDescent="0.3">
      <c r="AU6090" s="45"/>
    </row>
    <row r="6091" spans="47:47" ht="12" hidden="1" customHeight="1" x14ac:dyDescent="0.3">
      <c r="AU6091" s="45"/>
    </row>
    <row r="6092" spans="47:47" ht="12" hidden="1" customHeight="1" x14ac:dyDescent="0.3">
      <c r="AU6092" s="45"/>
    </row>
    <row r="6093" spans="47:47" ht="12" hidden="1" customHeight="1" x14ac:dyDescent="0.3">
      <c r="AU6093" s="45"/>
    </row>
    <row r="6094" spans="47:47" ht="12" hidden="1" customHeight="1" x14ac:dyDescent="0.3">
      <c r="AU6094" s="45"/>
    </row>
    <row r="6095" spans="47:47" ht="12" hidden="1" customHeight="1" x14ac:dyDescent="0.3">
      <c r="AU6095" s="45"/>
    </row>
    <row r="6096" spans="47:47" ht="12" hidden="1" customHeight="1" x14ac:dyDescent="0.3">
      <c r="AU6096" s="45"/>
    </row>
    <row r="6097" spans="47:47" ht="12" hidden="1" customHeight="1" x14ac:dyDescent="0.3">
      <c r="AU6097" s="45"/>
    </row>
    <row r="6098" spans="47:47" ht="12" hidden="1" customHeight="1" x14ac:dyDescent="0.3">
      <c r="AU6098" s="45"/>
    </row>
    <row r="6099" spans="47:47" ht="12" hidden="1" customHeight="1" x14ac:dyDescent="0.3">
      <c r="AU6099" s="45"/>
    </row>
    <row r="6100" spans="47:47" ht="12" hidden="1" customHeight="1" x14ac:dyDescent="0.3">
      <c r="AU6100" s="45"/>
    </row>
    <row r="6101" spans="47:47" ht="12" hidden="1" customHeight="1" x14ac:dyDescent="0.3">
      <c r="AU6101" s="45"/>
    </row>
    <row r="6102" spans="47:47" ht="12" hidden="1" customHeight="1" x14ac:dyDescent="0.3">
      <c r="AU6102" s="45"/>
    </row>
    <row r="6103" spans="47:47" ht="12" hidden="1" customHeight="1" x14ac:dyDescent="0.3">
      <c r="AU6103" s="45"/>
    </row>
    <row r="6104" spans="47:47" ht="12" hidden="1" customHeight="1" x14ac:dyDescent="0.3">
      <c r="AU6104" s="45"/>
    </row>
    <row r="6105" spans="47:47" ht="12" hidden="1" customHeight="1" x14ac:dyDescent="0.3">
      <c r="AU6105" s="45"/>
    </row>
    <row r="6106" spans="47:47" ht="12" hidden="1" customHeight="1" x14ac:dyDescent="0.3">
      <c r="AU6106" s="45"/>
    </row>
    <row r="6107" spans="47:47" ht="12" hidden="1" customHeight="1" x14ac:dyDescent="0.3">
      <c r="AU6107" s="45"/>
    </row>
    <row r="6108" spans="47:47" ht="12" hidden="1" customHeight="1" x14ac:dyDescent="0.3">
      <c r="AU6108" s="45"/>
    </row>
    <row r="6109" spans="47:47" ht="12" hidden="1" customHeight="1" x14ac:dyDescent="0.3">
      <c r="AU6109" s="45"/>
    </row>
    <row r="6110" spans="47:47" ht="12" hidden="1" customHeight="1" x14ac:dyDescent="0.3">
      <c r="AU6110" s="45"/>
    </row>
    <row r="6111" spans="47:47" ht="12" hidden="1" customHeight="1" x14ac:dyDescent="0.3">
      <c r="AU6111" s="45"/>
    </row>
    <row r="6112" spans="47:47" ht="12" hidden="1" customHeight="1" x14ac:dyDescent="0.3">
      <c r="AU6112" s="45"/>
    </row>
    <row r="6113" spans="47:47" ht="12" hidden="1" customHeight="1" x14ac:dyDescent="0.3">
      <c r="AU6113" s="45"/>
    </row>
    <row r="6114" spans="47:47" ht="12" hidden="1" customHeight="1" x14ac:dyDescent="0.3">
      <c r="AU6114" s="45"/>
    </row>
    <row r="6115" spans="47:47" ht="12" hidden="1" customHeight="1" x14ac:dyDescent="0.3">
      <c r="AU6115" s="45"/>
    </row>
    <row r="6116" spans="47:47" ht="12" hidden="1" customHeight="1" x14ac:dyDescent="0.3">
      <c r="AU6116" s="45"/>
    </row>
    <row r="6117" spans="47:47" ht="12" hidden="1" customHeight="1" x14ac:dyDescent="0.3">
      <c r="AU6117" s="45"/>
    </row>
    <row r="6118" spans="47:47" ht="12" hidden="1" customHeight="1" x14ac:dyDescent="0.3">
      <c r="AU6118" s="45"/>
    </row>
    <row r="6119" spans="47:47" ht="12" hidden="1" customHeight="1" x14ac:dyDescent="0.3">
      <c r="AU6119" s="45"/>
    </row>
    <row r="6120" spans="47:47" ht="12" hidden="1" customHeight="1" x14ac:dyDescent="0.3">
      <c r="AU6120" s="45"/>
    </row>
    <row r="6121" spans="47:47" ht="12" hidden="1" customHeight="1" x14ac:dyDescent="0.3">
      <c r="AU6121" s="45"/>
    </row>
    <row r="6122" spans="47:47" ht="12" hidden="1" customHeight="1" x14ac:dyDescent="0.3">
      <c r="AU6122" s="45"/>
    </row>
    <row r="6123" spans="47:47" ht="12" hidden="1" customHeight="1" x14ac:dyDescent="0.3">
      <c r="AU6123" s="45"/>
    </row>
    <row r="6124" spans="47:47" ht="12" hidden="1" customHeight="1" x14ac:dyDescent="0.3">
      <c r="AU6124" s="45"/>
    </row>
    <row r="6125" spans="47:47" ht="12" hidden="1" customHeight="1" x14ac:dyDescent="0.3">
      <c r="AU6125" s="45"/>
    </row>
    <row r="6126" spans="47:47" ht="12" hidden="1" customHeight="1" x14ac:dyDescent="0.3">
      <c r="AU6126" s="45"/>
    </row>
    <row r="6127" spans="47:47" ht="12" hidden="1" customHeight="1" x14ac:dyDescent="0.3">
      <c r="AU6127" s="45"/>
    </row>
    <row r="6128" spans="47:47" ht="12" hidden="1" customHeight="1" x14ac:dyDescent="0.3">
      <c r="AU6128" s="45"/>
    </row>
    <row r="6129" spans="47:47" ht="12" hidden="1" customHeight="1" x14ac:dyDescent="0.3">
      <c r="AU6129" s="45"/>
    </row>
    <row r="6130" spans="47:47" ht="12" hidden="1" customHeight="1" x14ac:dyDescent="0.3">
      <c r="AU6130" s="45"/>
    </row>
    <row r="6131" spans="47:47" ht="12" hidden="1" customHeight="1" x14ac:dyDescent="0.3">
      <c r="AU6131" s="45"/>
    </row>
    <row r="6132" spans="47:47" ht="12" hidden="1" customHeight="1" x14ac:dyDescent="0.3">
      <c r="AU6132" s="45"/>
    </row>
    <row r="6133" spans="47:47" ht="12" hidden="1" customHeight="1" x14ac:dyDescent="0.3">
      <c r="AU6133" s="45"/>
    </row>
    <row r="6134" spans="47:47" ht="12" hidden="1" customHeight="1" x14ac:dyDescent="0.3">
      <c r="AU6134" s="45"/>
    </row>
    <row r="6135" spans="47:47" ht="12" hidden="1" customHeight="1" x14ac:dyDescent="0.3">
      <c r="AU6135" s="45"/>
    </row>
    <row r="6136" spans="47:47" ht="12" hidden="1" customHeight="1" x14ac:dyDescent="0.3">
      <c r="AU6136" s="45"/>
    </row>
    <row r="6137" spans="47:47" ht="12" hidden="1" customHeight="1" x14ac:dyDescent="0.3">
      <c r="AU6137" s="45"/>
    </row>
    <row r="6138" spans="47:47" ht="12" hidden="1" customHeight="1" x14ac:dyDescent="0.3">
      <c r="AU6138" s="45"/>
    </row>
    <row r="6139" spans="47:47" ht="12" hidden="1" customHeight="1" x14ac:dyDescent="0.3">
      <c r="AU6139" s="45"/>
    </row>
    <row r="6140" spans="47:47" ht="12" hidden="1" customHeight="1" x14ac:dyDescent="0.3">
      <c r="AU6140" s="45"/>
    </row>
    <row r="6141" spans="47:47" ht="12" hidden="1" customHeight="1" x14ac:dyDescent="0.3">
      <c r="AU6141" s="45"/>
    </row>
    <row r="6142" spans="47:47" ht="12" hidden="1" customHeight="1" x14ac:dyDescent="0.3">
      <c r="AU6142" s="45"/>
    </row>
    <row r="6143" spans="47:47" ht="12" hidden="1" customHeight="1" x14ac:dyDescent="0.3">
      <c r="AU6143" s="45"/>
    </row>
    <row r="6144" spans="47:47" ht="12" hidden="1" customHeight="1" x14ac:dyDescent="0.3">
      <c r="AU6144" s="45"/>
    </row>
    <row r="6145" spans="47:47" ht="12" hidden="1" customHeight="1" x14ac:dyDescent="0.3">
      <c r="AU6145" s="45"/>
    </row>
    <row r="6146" spans="47:47" ht="12" hidden="1" customHeight="1" x14ac:dyDescent="0.3">
      <c r="AU6146" s="45"/>
    </row>
    <row r="6147" spans="47:47" ht="12" hidden="1" customHeight="1" x14ac:dyDescent="0.3">
      <c r="AU6147" s="45"/>
    </row>
    <row r="6148" spans="47:47" ht="12" hidden="1" customHeight="1" x14ac:dyDescent="0.3">
      <c r="AU6148" s="45"/>
    </row>
    <row r="6149" spans="47:47" ht="12" hidden="1" customHeight="1" x14ac:dyDescent="0.3">
      <c r="AU6149" s="45"/>
    </row>
    <row r="6150" spans="47:47" ht="12" hidden="1" customHeight="1" x14ac:dyDescent="0.3">
      <c r="AU6150" s="45"/>
    </row>
    <row r="6151" spans="47:47" ht="12" hidden="1" customHeight="1" x14ac:dyDescent="0.3">
      <c r="AU6151" s="45"/>
    </row>
    <row r="6152" spans="47:47" ht="12" hidden="1" customHeight="1" x14ac:dyDescent="0.3">
      <c r="AU6152" s="45"/>
    </row>
    <row r="6153" spans="47:47" ht="12" hidden="1" customHeight="1" x14ac:dyDescent="0.3">
      <c r="AU6153" s="45"/>
    </row>
    <row r="6154" spans="47:47" ht="12" hidden="1" customHeight="1" x14ac:dyDescent="0.3">
      <c r="AU6154" s="45"/>
    </row>
    <row r="6155" spans="47:47" ht="12" hidden="1" customHeight="1" x14ac:dyDescent="0.3">
      <c r="AU6155" s="45"/>
    </row>
    <row r="6156" spans="47:47" ht="12" hidden="1" customHeight="1" x14ac:dyDescent="0.3">
      <c r="AU6156" s="45"/>
    </row>
    <row r="6157" spans="47:47" ht="12" hidden="1" customHeight="1" x14ac:dyDescent="0.3">
      <c r="AU6157" s="45"/>
    </row>
    <row r="6158" spans="47:47" ht="12" hidden="1" customHeight="1" x14ac:dyDescent="0.3">
      <c r="AU6158" s="45"/>
    </row>
    <row r="6159" spans="47:47" ht="12" hidden="1" customHeight="1" x14ac:dyDescent="0.3">
      <c r="AU6159" s="45"/>
    </row>
    <row r="6160" spans="47:47" ht="12" hidden="1" customHeight="1" x14ac:dyDescent="0.3">
      <c r="AU6160" s="45"/>
    </row>
    <row r="6161" spans="47:47" ht="12" hidden="1" customHeight="1" x14ac:dyDescent="0.3">
      <c r="AU6161" s="45"/>
    </row>
    <row r="6162" spans="47:47" ht="12" hidden="1" customHeight="1" x14ac:dyDescent="0.3">
      <c r="AU6162" s="45"/>
    </row>
    <row r="6163" spans="47:47" ht="12" hidden="1" customHeight="1" x14ac:dyDescent="0.3">
      <c r="AU6163" s="45"/>
    </row>
    <row r="6164" spans="47:47" ht="12" hidden="1" customHeight="1" x14ac:dyDescent="0.3">
      <c r="AU6164" s="45"/>
    </row>
    <row r="6165" spans="47:47" ht="12" hidden="1" customHeight="1" x14ac:dyDescent="0.3">
      <c r="AU6165" s="45"/>
    </row>
    <row r="6166" spans="47:47" ht="12" hidden="1" customHeight="1" x14ac:dyDescent="0.3">
      <c r="AU6166" s="45"/>
    </row>
    <row r="6167" spans="47:47" ht="12" hidden="1" customHeight="1" x14ac:dyDescent="0.3">
      <c r="AU6167" s="45"/>
    </row>
    <row r="6168" spans="47:47" ht="12" hidden="1" customHeight="1" x14ac:dyDescent="0.3">
      <c r="AU6168" s="45"/>
    </row>
    <row r="6169" spans="47:47" ht="12" hidden="1" customHeight="1" x14ac:dyDescent="0.3">
      <c r="AU6169" s="45"/>
    </row>
    <row r="6170" spans="47:47" ht="12" hidden="1" customHeight="1" x14ac:dyDescent="0.3">
      <c r="AU6170" s="45"/>
    </row>
    <row r="6171" spans="47:47" ht="12" hidden="1" customHeight="1" x14ac:dyDescent="0.3">
      <c r="AU6171" s="45"/>
    </row>
    <row r="6172" spans="47:47" ht="12" hidden="1" customHeight="1" x14ac:dyDescent="0.3">
      <c r="AU6172" s="45"/>
    </row>
    <row r="6173" spans="47:47" ht="12" hidden="1" customHeight="1" x14ac:dyDescent="0.3">
      <c r="AU6173" s="45"/>
    </row>
    <row r="6174" spans="47:47" ht="12" hidden="1" customHeight="1" x14ac:dyDescent="0.3">
      <c r="AU6174" s="45"/>
    </row>
    <row r="6175" spans="47:47" ht="12" hidden="1" customHeight="1" x14ac:dyDescent="0.3">
      <c r="AU6175" s="45"/>
    </row>
    <row r="6176" spans="47:47" ht="12" hidden="1" customHeight="1" x14ac:dyDescent="0.3">
      <c r="AU6176" s="45"/>
    </row>
    <row r="6177" spans="47:47" ht="12" hidden="1" customHeight="1" x14ac:dyDescent="0.3">
      <c r="AU6177" s="45"/>
    </row>
    <row r="6178" spans="47:47" ht="12" hidden="1" customHeight="1" x14ac:dyDescent="0.3">
      <c r="AU6178" s="45"/>
    </row>
    <row r="6179" spans="47:47" ht="12" hidden="1" customHeight="1" x14ac:dyDescent="0.3">
      <c r="AU6179" s="45"/>
    </row>
    <row r="6180" spans="47:47" ht="12" hidden="1" customHeight="1" x14ac:dyDescent="0.3">
      <c r="AU6180" s="45"/>
    </row>
    <row r="6181" spans="47:47" ht="12" hidden="1" customHeight="1" x14ac:dyDescent="0.3">
      <c r="AU6181" s="45"/>
    </row>
    <row r="6182" spans="47:47" ht="12" hidden="1" customHeight="1" x14ac:dyDescent="0.3">
      <c r="AU6182" s="45"/>
    </row>
    <row r="6183" spans="47:47" ht="12" hidden="1" customHeight="1" x14ac:dyDescent="0.3">
      <c r="AU6183" s="45"/>
    </row>
    <row r="6184" spans="47:47" ht="12" hidden="1" customHeight="1" x14ac:dyDescent="0.3">
      <c r="AU6184" s="45"/>
    </row>
    <row r="6185" spans="47:47" ht="12" hidden="1" customHeight="1" x14ac:dyDescent="0.3">
      <c r="AU6185" s="45"/>
    </row>
    <row r="6186" spans="47:47" ht="12" hidden="1" customHeight="1" x14ac:dyDescent="0.3">
      <c r="AU6186" s="45"/>
    </row>
    <row r="6187" spans="47:47" ht="12" hidden="1" customHeight="1" x14ac:dyDescent="0.3">
      <c r="AU6187" s="45"/>
    </row>
    <row r="6188" spans="47:47" ht="12" hidden="1" customHeight="1" x14ac:dyDescent="0.3">
      <c r="AU6188" s="45"/>
    </row>
    <row r="6189" spans="47:47" ht="12" hidden="1" customHeight="1" x14ac:dyDescent="0.3">
      <c r="AU6189" s="45"/>
    </row>
    <row r="6190" spans="47:47" ht="12" hidden="1" customHeight="1" x14ac:dyDescent="0.3">
      <c r="AU6190" s="45"/>
    </row>
    <row r="6191" spans="47:47" ht="12" hidden="1" customHeight="1" x14ac:dyDescent="0.3">
      <c r="AU6191" s="45"/>
    </row>
    <row r="6192" spans="47:47" ht="12" hidden="1" customHeight="1" x14ac:dyDescent="0.3">
      <c r="AU6192" s="45"/>
    </row>
    <row r="6193" spans="47:47" ht="12" hidden="1" customHeight="1" x14ac:dyDescent="0.3">
      <c r="AU6193" s="45"/>
    </row>
    <row r="6194" spans="47:47" ht="12" hidden="1" customHeight="1" x14ac:dyDescent="0.3">
      <c r="AU6194" s="45"/>
    </row>
    <row r="6195" spans="47:47" ht="12" hidden="1" customHeight="1" x14ac:dyDescent="0.3">
      <c r="AU6195" s="45"/>
    </row>
    <row r="6196" spans="47:47" ht="12" hidden="1" customHeight="1" x14ac:dyDescent="0.3">
      <c r="AU6196" s="45"/>
    </row>
    <row r="6197" spans="47:47" ht="12" hidden="1" customHeight="1" x14ac:dyDescent="0.3">
      <c r="AU6197" s="45"/>
    </row>
    <row r="6198" spans="47:47" ht="12" hidden="1" customHeight="1" x14ac:dyDescent="0.3">
      <c r="AU6198" s="45"/>
    </row>
    <row r="6199" spans="47:47" ht="12" hidden="1" customHeight="1" x14ac:dyDescent="0.3">
      <c r="AU6199" s="45"/>
    </row>
    <row r="6200" spans="47:47" ht="12" hidden="1" customHeight="1" x14ac:dyDescent="0.3">
      <c r="AU6200" s="45"/>
    </row>
    <row r="6201" spans="47:47" ht="12" hidden="1" customHeight="1" x14ac:dyDescent="0.3">
      <c r="AU6201" s="45"/>
    </row>
    <row r="6202" spans="47:47" ht="12" hidden="1" customHeight="1" x14ac:dyDescent="0.3">
      <c r="AU6202" s="45"/>
    </row>
    <row r="6203" spans="47:47" ht="12" hidden="1" customHeight="1" x14ac:dyDescent="0.3">
      <c r="AU6203" s="45"/>
    </row>
    <row r="6204" spans="47:47" ht="12" hidden="1" customHeight="1" x14ac:dyDescent="0.3">
      <c r="AU6204" s="45"/>
    </row>
    <row r="6205" spans="47:47" ht="12" hidden="1" customHeight="1" x14ac:dyDescent="0.3">
      <c r="AU6205" s="45"/>
    </row>
    <row r="6206" spans="47:47" ht="12" hidden="1" customHeight="1" x14ac:dyDescent="0.3">
      <c r="AU6206" s="45"/>
    </row>
    <row r="6207" spans="47:47" ht="12" hidden="1" customHeight="1" x14ac:dyDescent="0.3">
      <c r="AU6207" s="45"/>
    </row>
    <row r="6208" spans="47:47" ht="12" hidden="1" customHeight="1" x14ac:dyDescent="0.3">
      <c r="AU6208" s="45"/>
    </row>
    <row r="6209" spans="47:47" ht="12" hidden="1" customHeight="1" x14ac:dyDescent="0.3">
      <c r="AU6209" s="45"/>
    </row>
    <row r="6210" spans="47:47" ht="12" hidden="1" customHeight="1" x14ac:dyDescent="0.3">
      <c r="AU6210" s="45"/>
    </row>
    <row r="6211" spans="47:47" ht="12" hidden="1" customHeight="1" x14ac:dyDescent="0.3">
      <c r="AU6211" s="45"/>
    </row>
    <row r="6212" spans="47:47" ht="12" hidden="1" customHeight="1" x14ac:dyDescent="0.3">
      <c r="AU6212" s="45"/>
    </row>
    <row r="6213" spans="47:47" ht="12" hidden="1" customHeight="1" x14ac:dyDescent="0.3">
      <c r="AU6213" s="45"/>
    </row>
    <row r="6214" spans="47:47" ht="12" hidden="1" customHeight="1" x14ac:dyDescent="0.3">
      <c r="AU6214" s="45"/>
    </row>
    <row r="6215" spans="47:47" ht="12" hidden="1" customHeight="1" x14ac:dyDescent="0.3">
      <c r="AU6215" s="45"/>
    </row>
    <row r="6216" spans="47:47" ht="12" hidden="1" customHeight="1" x14ac:dyDescent="0.3">
      <c r="AU6216" s="45"/>
    </row>
    <row r="6217" spans="47:47" ht="12" hidden="1" customHeight="1" x14ac:dyDescent="0.3">
      <c r="AU6217" s="45"/>
    </row>
    <row r="6218" spans="47:47" ht="12" hidden="1" customHeight="1" x14ac:dyDescent="0.3">
      <c r="AU6218" s="45"/>
    </row>
    <row r="6219" spans="47:47" ht="12" hidden="1" customHeight="1" x14ac:dyDescent="0.3">
      <c r="AU6219" s="45"/>
    </row>
    <row r="6220" spans="47:47" ht="12" hidden="1" customHeight="1" x14ac:dyDescent="0.3">
      <c r="AU6220" s="45"/>
    </row>
    <row r="6221" spans="47:47" ht="12" hidden="1" customHeight="1" x14ac:dyDescent="0.3">
      <c r="AU6221" s="45"/>
    </row>
    <row r="6222" spans="47:47" ht="12" hidden="1" customHeight="1" x14ac:dyDescent="0.3">
      <c r="AU6222" s="45"/>
    </row>
    <row r="6223" spans="47:47" ht="12" hidden="1" customHeight="1" x14ac:dyDescent="0.3">
      <c r="AU6223" s="45"/>
    </row>
    <row r="6224" spans="47:47" ht="12" hidden="1" customHeight="1" x14ac:dyDescent="0.3">
      <c r="AU6224" s="45"/>
    </row>
    <row r="6225" spans="47:47" ht="12" hidden="1" customHeight="1" x14ac:dyDescent="0.3">
      <c r="AU6225" s="45"/>
    </row>
    <row r="6226" spans="47:47" ht="12" hidden="1" customHeight="1" x14ac:dyDescent="0.3">
      <c r="AU6226" s="45"/>
    </row>
    <row r="6227" spans="47:47" ht="12" hidden="1" customHeight="1" x14ac:dyDescent="0.3">
      <c r="AU6227" s="45"/>
    </row>
    <row r="6228" spans="47:47" ht="12" hidden="1" customHeight="1" x14ac:dyDescent="0.3">
      <c r="AU6228" s="45"/>
    </row>
    <row r="6229" spans="47:47" ht="12" hidden="1" customHeight="1" x14ac:dyDescent="0.3">
      <c r="AU6229" s="45"/>
    </row>
    <row r="6230" spans="47:47" ht="12" hidden="1" customHeight="1" x14ac:dyDescent="0.3">
      <c r="AU6230" s="45"/>
    </row>
    <row r="6231" spans="47:47" ht="12" hidden="1" customHeight="1" x14ac:dyDescent="0.3">
      <c r="AU6231" s="45"/>
    </row>
    <row r="6232" spans="47:47" ht="12" hidden="1" customHeight="1" x14ac:dyDescent="0.3">
      <c r="AU6232" s="45"/>
    </row>
    <row r="6233" spans="47:47" ht="12" hidden="1" customHeight="1" x14ac:dyDescent="0.3">
      <c r="AU6233" s="45"/>
    </row>
    <row r="6234" spans="47:47" ht="12" hidden="1" customHeight="1" x14ac:dyDescent="0.3">
      <c r="AU6234" s="45"/>
    </row>
    <row r="6235" spans="47:47" ht="12" hidden="1" customHeight="1" x14ac:dyDescent="0.3">
      <c r="AU6235" s="45"/>
    </row>
    <row r="6236" spans="47:47" ht="12" hidden="1" customHeight="1" x14ac:dyDescent="0.3">
      <c r="AU6236" s="45"/>
    </row>
    <row r="6237" spans="47:47" ht="12" hidden="1" customHeight="1" x14ac:dyDescent="0.3">
      <c r="AU6237" s="45"/>
    </row>
    <row r="6238" spans="47:47" ht="12" hidden="1" customHeight="1" x14ac:dyDescent="0.3">
      <c r="AU6238" s="45"/>
    </row>
    <row r="6239" spans="47:47" ht="12" hidden="1" customHeight="1" x14ac:dyDescent="0.3">
      <c r="AU6239" s="45"/>
    </row>
    <row r="6240" spans="47:47" ht="12" hidden="1" customHeight="1" x14ac:dyDescent="0.3">
      <c r="AU6240" s="45"/>
    </row>
    <row r="6241" spans="47:47" ht="12" hidden="1" customHeight="1" x14ac:dyDescent="0.3">
      <c r="AU6241" s="45"/>
    </row>
    <row r="6242" spans="47:47" ht="12" hidden="1" customHeight="1" x14ac:dyDescent="0.3">
      <c r="AU6242" s="45"/>
    </row>
    <row r="6243" spans="47:47" ht="12" hidden="1" customHeight="1" x14ac:dyDescent="0.3">
      <c r="AU6243" s="45"/>
    </row>
    <row r="6244" spans="47:47" ht="12" hidden="1" customHeight="1" x14ac:dyDescent="0.3">
      <c r="AU6244" s="45"/>
    </row>
    <row r="6245" spans="47:47" ht="12" hidden="1" customHeight="1" x14ac:dyDescent="0.3">
      <c r="AU6245" s="45"/>
    </row>
    <row r="6246" spans="47:47" ht="12" hidden="1" customHeight="1" x14ac:dyDescent="0.3">
      <c r="AU6246" s="45"/>
    </row>
    <row r="6247" spans="47:47" ht="12" hidden="1" customHeight="1" x14ac:dyDescent="0.3">
      <c r="AU6247" s="45"/>
    </row>
    <row r="6248" spans="47:47" ht="12" hidden="1" customHeight="1" x14ac:dyDescent="0.3">
      <c r="AU6248" s="45"/>
    </row>
    <row r="6249" spans="47:47" ht="12" hidden="1" customHeight="1" x14ac:dyDescent="0.3">
      <c r="AU6249" s="45"/>
    </row>
    <row r="6250" spans="47:47" ht="12" hidden="1" customHeight="1" x14ac:dyDescent="0.3">
      <c r="AU6250" s="45"/>
    </row>
    <row r="6251" spans="47:47" ht="12" hidden="1" customHeight="1" x14ac:dyDescent="0.3">
      <c r="AU6251" s="45"/>
    </row>
    <row r="6252" spans="47:47" ht="12" hidden="1" customHeight="1" x14ac:dyDescent="0.3">
      <c r="AU6252" s="45"/>
    </row>
    <row r="6253" spans="47:47" ht="12" hidden="1" customHeight="1" x14ac:dyDescent="0.3">
      <c r="AU6253" s="45"/>
    </row>
    <row r="6254" spans="47:47" ht="12" hidden="1" customHeight="1" x14ac:dyDescent="0.3">
      <c r="AU6254" s="45"/>
    </row>
    <row r="6255" spans="47:47" ht="12" hidden="1" customHeight="1" x14ac:dyDescent="0.3">
      <c r="AU6255" s="45"/>
    </row>
    <row r="6256" spans="47:47" ht="12" hidden="1" customHeight="1" x14ac:dyDescent="0.3">
      <c r="AU6256" s="45"/>
    </row>
    <row r="6257" spans="47:47" ht="12" hidden="1" customHeight="1" x14ac:dyDescent="0.3">
      <c r="AU6257" s="45"/>
    </row>
    <row r="6258" spans="47:47" ht="12" hidden="1" customHeight="1" x14ac:dyDescent="0.3">
      <c r="AU6258" s="45"/>
    </row>
    <row r="6259" spans="47:47" ht="12" hidden="1" customHeight="1" x14ac:dyDescent="0.3">
      <c r="AU6259" s="45"/>
    </row>
    <row r="6260" spans="47:47" ht="12" hidden="1" customHeight="1" x14ac:dyDescent="0.3">
      <c r="AU6260" s="45"/>
    </row>
    <row r="6261" spans="47:47" ht="12" hidden="1" customHeight="1" x14ac:dyDescent="0.3">
      <c r="AU6261" s="45"/>
    </row>
    <row r="6262" spans="47:47" ht="12" hidden="1" customHeight="1" x14ac:dyDescent="0.3">
      <c r="AU6262" s="45"/>
    </row>
    <row r="6263" spans="47:47" ht="12" hidden="1" customHeight="1" x14ac:dyDescent="0.3">
      <c r="AU6263" s="45"/>
    </row>
    <row r="6264" spans="47:47" ht="12" hidden="1" customHeight="1" x14ac:dyDescent="0.3">
      <c r="AU6264" s="45"/>
    </row>
    <row r="6265" spans="47:47" ht="12" hidden="1" customHeight="1" x14ac:dyDescent="0.3">
      <c r="AU6265" s="45"/>
    </row>
    <row r="6266" spans="47:47" ht="12" hidden="1" customHeight="1" x14ac:dyDescent="0.3">
      <c r="AU6266" s="45"/>
    </row>
    <row r="6267" spans="47:47" ht="12" hidden="1" customHeight="1" x14ac:dyDescent="0.3">
      <c r="AU6267" s="45"/>
    </row>
    <row r="6268" spans="47:47" ht="12" hidden="1" customHeight="1" x14ac:dyDescent="0.3">
      <c r="AU6268" s="45"/>
    </row>
    <row r="6269" spans="47:47" ht="12" hidden="1" customHeight="1" x14ac:dyDescent="0.3">
      <c r="AU6269" s="45"/>
    </row>
    <row r="6270" spans="47:47" ht="12" hidden="1" customHeight="1" x14ac:dyDescent="0.3">
      <c r="AU6270" s="45"/>
    </row>
    <row r="6271" spans="47:47" ht="12" hidden="1" customHeight="1" x14ac:dyDescent="0.3">
      <c r="AU6271" s="45"/>
    </row>
    <row r="6272" spans="47:47" ht="12" hidden="1" customHeight="1" x14ac:dyDescent="0.3">
      <c r="AU6272" s="45"/>
    </row>
    <row r="6273" spans="47:47" ht="12" hidden="1" customHeight="1" x14ac:dyDescent="0.3">
      <c r="AU6273" s="45"/>
    </row>
    <row r="6274" spans="47:47" ht="12" hidden="1" customHeight="1" x14ac:dyDescent="0.3">
      <c r="AU6274" s="45"/>
    </row>
    <row r="6275" spans="47:47" ht="12" hidden="1" customHeight="1" x14ac:dyDescent="0.3">
      <c r="AU6275" s="45"/>
    </row>
    <row r="6276" spans="47:47" ht="12" hidden="1" customHeight="1" x14ac:dyDescent="0.3">
      <c r="AU6276" s="45"/>
    </row>
    <row r="6277" spans="47:47" ht="12" hidden="1" customHeight="1" x14ac:dyDescent="0.3">
      <c r="AU6277" s="45"/>
    </row>
    <row r="6278" spans="47:47" ht="12" hidden="1" customHeight="1" x14ac:dyDescent="0.3">
      <c r="AU6278" s="45"/>
    </row>
    <row r="6279" spans="47:47" ht="12" hidden="1" customHeight="1" x14ac:dyDescent="0.3">
      <c r="AU6279" s="45"/>
    </row>
    <row r="6280" spans="47:47" ht="12" hidden="1" customHeight="1" x14ac:dyDescent="0.3">
      <c r="AU6280" s="45"/>
    </row>
    <row r="6281" spans="47:47" ht="12" hidden="1" customHeight="1" x14ac:dyDescent="0.3">
      <c r="AU6281" s="45"/>
    </row>
    <row r="6282" spans="47:47" ht="12" hidden="1" customHeight="1" x14ac:dyDescent="0.3">
      <c r="AU6282" s="45"/>
    </row>
    <row r="6283" spans="47:47" ht="12" hidden="1" customHeight="1" x14ac:dyDescent="0.3">
      <c r="AU6283" s="45"/>
    </row>
    <row r="6284" spans="47:47" ht="12" hidden="1" customHeight="1" x14ac:dyDescent="0.3">
      <c r="AU6284" s="45"/>
    </row>
    <row r="6285" spans="47:47" ht="12" hidden="1" customHeight="1" x14ac:dyDescent="0.3">
      <c r="AU6285" s="45"/>
    </row>
    <row r="6286" spans="47:47" ht="12" hidden="1" customHeight="1" x14ac:dyDescent="0.3">
      <c r="AU6286" s="45"/>
    </row>
    <row r="6287" spans="47:47" ht="12" hidden="1" customHeight="1" x14ac:dyDescent="0.3">
      <c r="AU6287" s="45"/>
    </row>
    <row r="6288" spans="47:47" ht="12" hidden="1" customHeight="1" x14ac:dyDescent="0.3">
      <c r="AU6288" s="45"/>
    </row>
    <row r="6289" spans="47:47" ht="12" hidden="1" customHeight="1" x14ac:dyDescent="0.3">
      <c r="AU6289" s="45"/>
    </row>
    <row r="6290" spans="47:47" ht="12" hidden="1" customHeight="1" x14ac:dyDescent="0.3">
      <c r="AU6290" s="45"/>
    </row>
    <row r="6291" spans="47:47" ht="12" hidden="1" customHeight="1" x14ac:dyDescent="0.3">
      <c r="AU6291" s="45"/>
    </row>
    <row r="6292" spans="47:47" ht="12" hidden="1" customHeight="1" x14ac:dyDescent="0.3">
      <c r="AU6292" s="45"/>
    </row>
    <row r="6293" spans="47:47" ht="12" hidden="1" customHeight="1" x14ac:dyDescent="0.3">
      <c r="AU6293" s="45"/>
    </row>
    <row r="6294" spans="47:47" ht="12" hidden="1" customHeight="1" x14ac:dyDescent="0.3">
      <c r="AU6294" s="45"/>
    </row>
    <row r="6295" spans="47:47" ht="12" hidden="1" customHeight="1" x14ac:dyDescent="0.3">
      <c r="AU6295" s="45"/>
    </row>
    <row r="6296" spans="47:47" ht="12" hidden="1" customHeight="1" x14ac:dyDescent="0.3">
      <c r="AU6296" s="45"/>
    </row>
    <row r="6297" spans="47:47" ht="12" hidden="1" customHeight="1" x14ac:dyDescent="0.3">
      <c r="AU6297" s="45"/>
    </row>
    <row r="6298" spans="47:47" ht="12" hidden="1" customHeight="1" x14ac:dyDescent="0.3">
      <c r="AU6298" s="45"/>
    </row>
    <row r="6299" spans="47:47" ht="12" hidden="1" customHeight="1" x14ac:dyDescent="0.3">
      <c r="AU6299" s="45"/>
    </row>
    <row r="6300" spans="47:47" ht="12" hidden="1" customHeight="1" x14ac:dyDescent="0.3">
      <c r="AU6300" s="45"/>
    </row>
    <row r="6301" spans="47:47" ht="12" hidden="1" customHeight="1" x14ac:dyDescent="0.3">
      <c r="AU6301" s="45"/>
    </row>
    <row r="6302" spans="47:47" ht="12" hidden="1" customHeight="1" x14ac:dyDescent="0.3">
      <c r="AU6302" s="45"/>
    </row>
    <row r="6303" spans="47:47" ht="12" hidden="1" customHeight="1" x14ac:dyDescent="0.3">
      <c r="AU6303" s="45"/>
    </row>
    <row r="6304" spans="47:47" ht="12" hidden="1" customHeight="1" x14ac:dyDescent="0.3">
      <c r="AU6304" s="45"/>
    </row>
    <row r="6305" spans="47:47" ht="12" hidden="1" customHeight="1" x14ac:dyDescent="0.3">
      <c r="AU6305" s="45"/>
    </row>
    <row r="6306" spans="47:47" ht="12" hidden="1" customHeight="1" x14ac:dyDescent="0.3">
      <c r="AU6306" s="45"/>
    </row>
    <row r="6307" spans="47:47" ht="12" hidden="1" customHeight="1" x14ac:dyDescent="0.3">
      <c r="AU6307" s="45"/>
    </row>
    <row r="6308" spans="47:47" ht="12" hidden="1" customHeight="1" x14ac:dyDescent="0.3">
      <c r="AU6308" s="45"/>
    </row>
    <row r="6309" spans="47:47" ht="12" hidden="1" customHeight="1" x14ac:dyDescent="0.3">
      <c r="AU6309" s="45"/>
    </row>
    <row r="6310" spans="47:47" ht="12" hidden="1" customHeight="1" x14ac:dyDescent="0.3">
      <c r="AU6310" s="45"/>
    </row>
    <row r="6311" spans="47:47" ht="12" hidden="1" customHeight="1" x14ac:dyDescent="0.3">
      <c r="AU6311" s="45"/>
    </row>
    <row r="6312" spans="47:47" ht="12" hidden="1" customHeight="1" x14ac:dyDescent="0.3">
      <c r="AU6312" s="45"/>
    </row>
    <row r="6313" spans="47:47" ht="12" hidden="1" customHeight="1" x14ac:dyDescent="0.3">
      <c r="AU6313" s="45"/>
    </row>
    <row r="6314" spans="47:47" ht="12" hidden="1" customHeight="1" x14ac:dyDescent="0.3">
      <c r="AU6314" s="45"/>
    </row>
    <row r="6315" spans="47:47" ht="12" hidden="1" customHeight="1" x14ac:dyDescent="0.3">
      <c r="AU6315" s="45"/>
    </row>
    <row r="6316" spans="47:47" ht="12" hidden="1" customHeight="1" x14ac:dyDescent="0.3">
      <c r="AU6316" s="45"/>
    </row>
    <row r="6317" spans="47:47" ht="12" hidden="1" customHeight="1" x14ac:dyDescent="0.3">
      <c r="AU6317" s="45"/>
    </row>
    <row r="6318" spans="47:47" ht="12" hidden="1" customHeight="1" x14ac:dyDescent="0.3">
      <c r="AU6318" s="45"/>
    </row>
    <row r="6319" spans="47:47" ht="12" hidden="1" customHeight="1" x14ac:dyDescent="0.3">
      <c r="AU6319" s="45"/>
    </row>
    <row r="6320" spans="47:47" ht="12" hidden="1" customHeight="1" x14ac:dyDescent="0.3">
      <c r="AU6320" s="45"/>
    </row>
    <row r="6321" spans="47:47" ht="12" hidden="1" customHeight="1" x14ac:dyDescent="0.3">
      <c r="AU6321" s="45"/>
    </row>
    <row r="6322" spans="47:47" ht="12" hidden="1" customHeight="1" x14ac:dyDescent="0.3">
      <c r="AU6322" s="45"/>
    </row>
    <row r="6323" spans="47:47" ht="12" hidden="1" customHeight="1" x14ac:dyDescent="0.3">
      <c r="AU6323" s="45"/>
    </row>
    <row r="6324" spans="47:47" ht="12" hidden="1" customHeight="1" x14ac:dyDescent="0.3">
      <c r="AU6324" s="45"/>
    </row>
    <row r="6325" spans="47:47" ht="12" hidden="1" customHeight="1" x14ac:dyDescent="0.3">
      <c r="AU6325" s="45"/>
    </row>
    <row r="6326" spans="47:47" ht="12" hidden="1" customHeight="1" x14ac:dyDescent="0.3">
      <c r="AU6326" s="45"/>
    </row>
    <row r="6327" spans="47:47" ht="12" hidden="1" customHeight="1" x14ac:dyDescent="0.3">
      <c r="AU6327" s="45"/>
    </row>
    <row r="6328" spans="47:47" ht="12" hidden="1" customHeight="1" x14ac:dyDescent="0.3">
      <c r="AU6328" s="45"/>
    </row>
    <row r="6329" spans="47:47" ht="12" hidden="1" customHeight="1" x14ac:dyDescent="0.3">
      <c r="AU6329" s="45"/>
    </row>
    <row r="6330" spans="47:47" ht="12" hidden="1" customHeight="1" x14ac:dyDescent="0.3">
      <c r="AU6330" s="45"/>
    </row>
    <row r="6331" spans="47:47" ht="12" hidden="1" customHeight="1" x14ac:dyDescent="0.3">
      <c r="AU6331" s="45"/>
    </row>
    <row r="6332" spans="47:47" ht="12" hidden="1" customHeight="1" x14ac:dyDescent="0.3">
      <c r="AU6332" s="45"/>
    </row>
    <row r="6333" spans="47:47" ht="12" hidden="1" customHeight="1" x14ac:dyDescent="0.3">
      <c r="AU6333" s="45"/>
    </row>
    <row r="6334" spans="47:47" ht="12" hidden="1" customHeight="1" x14ac:dyDescent="0.3">
      <c r="AU6334" s="45"/>
    </row>
    <row r="6335" spans="47:47" ht="12" hidden="1" customHeight="1" x14ac:dyDescent="0.3">
      <c r="AU6335" s="45"/>
    </row>
    <row r="6336" spans="47:47" ht="12" hidden="1" customHeight="1" x14ac:dyDescent="0.3">
      <c r="AU6336" s="45"/>
    </row>
    <row r="6337" spans="47:47" ht="12" hidden="1" customHeight="1" x14ac:dyDescent="0.3">
      <c r="AU6337" s="45"/>
    </row>
    <row r="6338" spans="47:47" ht="12" hidden="1" customHeight="1" x14ac:dyDescent="0.3">
      <c r="AU6338" s="45"/>
    </row>
    <row r="6339" spans="47:47" ht="12" hidden="1" customHeight="1" x14ac:dyDescent="0.3">
      <c r="AU6339" s="45"/>
    </row>
    <row r="6340" spans="47:47" ht="12" hidden="1" customHeight="1" x14ac:dyDescent="0.3">
      <c r="AU6340" s="45"/>
    </row>
    <row r="6341" spans="47:47" ht="12" hidden="1" customHeight="1" x14ac:dyDescent="0.3">
      <c r="AU6341" s="45"/>
    </row>
    <row r="6342" spans="47:47" ht="12" hidden="1" customHeight="1" x14ac:dyDescent="0.3">
      <c r="AU6342" s="45"/>
    </row>
    <row r="6343" spans="47:47" ht="12" hidden="1" customHeight="1" x14ac:dyDescent="0.3">
      <c r="AU6343" s="45"/>
    </row>
    <row r="6344" spans="47:47" ht="12" hidden="1" customHeight="1" x14ac:dyDescent="0.3">
      <c r="AU6344" s="45"/>
    </row>
    <row r="6345" spans="47:47" ht="12" hidden="1" customHeight="1" x14ac:dyDescent="0.3">
      <c r="AU6345" s="45"/>
    </row>
    <row r="6346" spans="47:47" ht="12" hidden="1" customHeight="1" x14ac:dyDescent="0.3">
      <c r="AU6346" s="45"/>
    </row>
    <row r="6347" spans="47:47" ht="12" hidden="1" customHeight="1" x14ac:dyDescent="0.3">
      <c r="AU6347" s="45"/>
    </row>
    <row r="6348" spans="47:47" ht="12" hidden="1" customHeight="1" x14ac:dyDescent="0.3">
      <c r="AU6348" s="45"/>
    </row>
    <row r="6349" spans="47:47" ht="12" hidden="1" customHeight="1" x14ac:dyDescent="0.3">
      <c r="AU6349" s="45"/>
    </row>
    <row r="6350" spans="47:47" ht="12" hidden="1" customHeight="1" x14ac:dyDescent="0.3">
      <c r="AU6350" s="45"/>
    </row>
    <row r="6351" spans="47:47" ht="12" hidden="1" customHeight="1" x14ac:dyDescent="0.3">
      <c r="AU6351" s="45"/>
    </row>
    <row r="6352" spans="47:47" ht="12" hidden="1" customHeight="1" x14ac:dyDescent="0.3">
      <c r="AU6352" s="45"/>
    </row>
    <row r="6353" spans="47:47" ht="12" hidden="1" customHeight="1" x14ac:dyDescent="0.3">
      <c r="AU6353" s="45"/>
    </row>
    <row r="6354" spans="47:47" ht="12" hidden="1" customHeight="1" x14ac:dyDescent="0.3">
      <c r="AU6354" s="45"/>
    </row>
    <row r="6355" spans="47:47" ht="12" hidden="1" customHeight="1" x14ac:dyDescent="0.3">
      <c r="AU6355" s="45"/>
    </row>
    <row r="6356" spans="47:47" ht="12" hidden="1" customHeight="1" x14ac:dyDescent="0.3">
      <c r="AU6356" s="45"/>
    </row>
    <row r="6357" spans="47:47" ht="12" hidden="1" customHeight="1" x14ac:dyDescent="0.3">
      <c r="AU6357" s="45"/>
    </row>
    <row r="6358" spans="47:47" ht="12" hidden="1" customHeight="1" x14ac:dyDescent="0.3">
      <c r="AU6358" s="45"/>
    </row>
    <row r="6359" spans="47:47" ht="12" hidden="1" customHeight="1" x14ac:dyDescent="0.3">
      <c r="AU6359" s="45"/>
    </row>
    <row r="6360" spans="47:47" ht="12" hidden="1" customHeight="1" x14ac:dyDescent="0.3">
      <c r="AU6360" s="45"/>
    </row>
    <row r="6361" spans="47:47" ht="12" hidden="1" customHeight="1" x14ac:dyDescent="0.3">
      <c r="AU6361" s="45"/>
    </row>
    <row r="6362" spans="47:47" ht="12" hidden="1" customHeight="1" x14ac:dyDescent="0.3">
      <c r="AU6362" s="45"/>
    </row>
    <row r="6363" spans="47:47" ht="12" hidden="1" customHeight="1" x14ac:dyDescent="0.3">
      <c r="AU6363" s="45"/>
    </row>
    <row r="6364" spans="47:47" ht="12" hidden="1" customHeight="1" x14ac:dyDescent="0.3">
      <c r="AU6364" s="45"/>
    </row>
    <row r="6365" spans="47:47" ht="12" hidden="1" customHeight="1" x14ac:dyDescent="0.3">
      <c r="AU6365" s="45"/>
    </row>
    <row r="6366" spans="47:47" ht="12" hidden="1" customHeight="1" x14ac:dyDescent="0.3">
      <c r="AU6366" s="45"/>
    </row>
    <row r="6367" spans="47:47" ht="12" hidden="1" customHeight="1" x14ac:dyDescent="0.3">
      <c r="AU6367" s="45"/>
    </row>
    <row r="6368" spans="47:47" ht="12" hidden="1" customHeight="1" x14ac:dyDescent="0.3">
      <c r="AU6368" s="45"/>
    </row>
    <row r="6369" spans="47:47" ht="12" hidden="1" customHeight="1" x14ac:dyDescent="0.3">
      <c r="AU6369" s="45"/>
    </row>
    <row r="6370" spans="47:47" ht="12" hidden="1" customHeight="1" x14ac:dyDescent="0.3">
      <c r="AU6370" s="45"/>
    </row>
    <row r="6371" spans="47:47" ht="12" hidden="1" customHeight="1" x14ac:dyDescent="0.3">
      <c r="AU6371" s="45"/>
    </row>
    <row r="6372" spans="47:47" ht="12" hidden="1" customHeight="1" x14ac:dyDescent="0.3">
      <c r="AU6372" s="45"/>
    </row>
    <row r="6373" spans="47:47" ht="12" hidden="1" customHeight="1" x14ac:dyDescent="0.3">
      <c r="AU6373" s="45"/>
    </row>
    <row r="6374" spans="47:47" ht="12" hidden="1" customHeight="1" x14ac:dyDescent="0.3">
      <c r="AU6374" s="45"/>
    </row>
    <row r="6375" spans="47:47" ht="12" hidden="1" customHeight="1" x14ac:dyDescent="0.3">
      <c r="AU6375" s="45"/>
    </row>
    <row r="6376" spans="47:47" ht="12" hidden="1" customHeight="1" x14ac:dyDescent="0.3">
      <c r="AU6376" s="45"/>
    </row>
    <row r="6377" spans="47:47" ht="12" hidden="1" customHeight="1" x14ac:dyDescent="0.3">
      <c r="AU6377" s="45"/>
    </row>
    <row r="6378" spans="47:47" ht="12" hidden="1" customHeight="1" x14ac:dyDescent="0.3">
      <c r="AU6378" s="45"/>
    </row>
    <row r="6379" spans="47:47" ht="12" hidden="1" customHeight="1" x14ac:dyDescent="0.3">
      <c r="AU6379" s="45"/>
    </row>
    <row r="6380" spans="47:47" ht="12" hidden="1" customHeight="1" x14ac:dyDescent="0.3">
      <c r="AU6380" s="45"/>
    </row>
    <row r="6381" spans="47:47" ht="12" hidden="1" customHeight="1" x14ac:dyDescent="0.3">
      <c r="AU6381" s="45"/>
    </row>
    <row r="6382" spans="47:47" ht="12" hidden="1" customHeight="1" x14ac:dyDescent="0.3">
      <c r="AU6382" s="45"/>
    </row>
    <row r="6383" spans="47:47" ht="12" hidden="1" customHeight="1" x14ac:dyDescent="0.3">
      <c r="AU6383" s="45"/>
    </row>
    <row r="6384" spans="47:47" ht="12" hidden="1" customHeight="1" x14ac:dyDescent="0.3">
      <c r="AU6384" s="45"/>
    </row>
    <row r="6385" spans="47:47" ht="12" hidden="1" customHeight="1" x14ac:dyDescent="0.3">
      <c r="AU6385" s="45"/>
    </row>
    <row r="6386" spans="47:47" ht="12" hidden="1" customHeight="1" x14ac:dyDescent="0.3">
      <c r="AU6386" s="45"/>
    </row>
    <row r="6387" spans="47:47" ht="12" hidden="1" customHeight="1" x14ac:dyDescent="0.3">
      <c r="AU6387" s="45"/>
    </row>
    <row r="6388" spans="47:47" ht="12" hidden="1" customHeight="1" x14ac:dyDescent="0.3">
      <c r="AU6388" s="45"/>
    </row>
    <row r="6389" spans="47:47" ht="12" hidden="1" customHeight="1" x14ac:dyDescent="0.3">
      <c r="AU6389" s="45"/>
    </row>
    <row r="6390" spans="47:47" ht="12" hidden="1" customHeight="1" x14ac:dyDescent="0.3">
      <c r="AU6390" s="45"/>
    </row>
    <row r="6391" spans="47:47" ht="12" hidden="1" customHeight="1" x14ac:dyDescent="0.3">
      <c r="AU6391" s="45"/>
    </row>
    <row r="6392" spans="47:47" ht="12" hidden="1" customHeight="1" x14ac:dyDescent="0.3">
      <c r="AU6392" s="45"/>
    </row>
    <row r="6393" spans="47:47" ht="12" hidden="1" customHeight="1" x14ac:dyDescent="0.3">
      <c r="AU6393" s="45"/>
    </row>
    <row r="6394" spans="47:47" ht="12" hidden="1" customHeight="1" x14ac:dyDescent="0.3">
      <c r="AU6394" s="45"/>
    </row>
    <row r="6395" spans="47:47" ht="12" hidden="1" customHeight="1" x14ac:dyDescent="0.3">
      <c r="AU6395" s="45"/>
    </row>
    <row r="6396" spans="47:47" ht="12" hidden="1" customHeight="1" x14ac:dyDescent="0.3">
      <c r="AU6396" s="45"/>
    </row>
    <row r="6397" spans="47:47" ht="12" hidden="1" customHeight="1" x14ac:dyDescent="0.3">
      <c r="AU6397" s="45"/>
    </row>
    <row r="6398" spans="47:47" ht="12" hidden="1" customHeight="1" x14ac:dyDescent="0.3">
      <c r="AU6398" s="45"/>
    </row>
    <row r="6399" spans="47:47" ht="12" hidden="1" customHeight="1" x14ac:dyDescent="0.3">
      <c r="AU6399" s="45"/>
    </row>
    <row r="6400" spans="47:47" ht="12" hidden="1" customHeight="1" x14ac:dyDescent="0.3">
      <c r="AU6400" s="45"/>
    </row>
    <row r="6401" spans="47:47" ht="12" hidden="1" customHeight="1" x14ac:dyDescent="0.3">
      <c r="AU6401" s="45"/>
    </row>
    <row r="6402" spans="47:47" ht="12" hidden="1" customHeight="1" x14ac:dyDescent="0.3">
      <c r="AU6402" s="45"/>
    </row>
    <row r="6403" spans="47:47" ht="12" hidden="1" customHeight="1" x14ac:dyDescent="0.3">
      <c r="AU6403" s="45"/>
    </row>
    <row r="6404" spans="47:47" ht="12" hidden="1" customHeight="1" x14ac:dyDescent="0.3">
      <c r="AU6404" s="45"/>
    </row>
    <row r="6405" spans="47:47" ht="12" hidden="1" customHeight="1" x14ac:dyDescent="0.3">
      <c r="AU6405" s="45"/>
    </row>
    <row r="6406" spans="47:47" ht="12" hidden="1" customHeight="1" x14ac:dyDescent="0.3">
      <c r="AU6406" s="45"/>
    </row>
    <row r="6407" spans="47:47" ht="12" hidden="1" customHeight="1" x14ac:dyDescent="0.3">
      <c r="AU6407" s="45"/>
    </row>
    <row r="6408" spans="47:47" ht="12" hidden="1" customHeight="1" x14ac:dyDescent="0.3">
      <c r="AU6408" s="45"/>
    </row>
    <row r="6409" spans="47:47" ht="12" hidden="1" customHeight="1" x14ac:dyDescent="0.3">
      <c r="AU6409" s="45"/>
    </row>
    <row r="6410" spans="47:47" ht="12" hidden="1" customHeight="1" x14ac:dyDescent="0.3">
      <c r="AU6410" s="45"/>
    </row>
    <row r="6411" spans="47:47" ht="12" hidden="1" customHeight="1" x14ac:dyDescent="0.3">
      <c r="AU6411" s="45"/>
    </row>
    <row r="6412" spans="47:47" ht="12" hidden="1" customHeight="1" x14ac:dyDescent="0.3">
      <c r="AU6412" s="45"/>
    </row>
    <row r="6413" spans="47:47" ht="12" hidden="1" customHeight="1" x14ac:dyDescent="0.3">
      <c r="AU6413" s="45"/>
    </row>
    <row r="6414" spans="47:47" ht="12" hidden="1" customHeight="1" x14ac:dyDescent="0.3">
      <c r="AU6414" s="45"/>
    </row>
    <row r="6415" spans="47:47" ht="12" hidden="1" customHeight="1" x14ac:dyDescent="0.3">
      <c r="AU6415" s="45"/>
    </row>
    <row r="6416" spans="47:47" ht="12" hidden="1" customHeight="1" x14ac:dyDescent="0.3">
      <c r="AU6416" s="45"/>
    </row>
    <row r="6417" spans="47:47" ht="12" hidden="1" customHeight="1" x14ac:dyDescent="0.3">
      <c r="AU6417" s="45"/>
    </row>
    <row r="6418" spans="47:47" ht="12" hidden="1" customHeight="1" x14ac:dyDescent="0.3">
      <c r="AU6418" s="45"/>
    </row>
    <row r="6419" spans="47:47" ht="12" hidden="1" customHeight="1" x14ac:dyDescent="0.3">
      <c r="AU6419" s="45"/>
    </row>
    <row r="6420" spans="47:47" ht="12" hidden="1" customHeight="1" x14ac:dyDescent="0.3">
      <c r="AU6420" s="45"/>
    </row>
    <row r="6421" spans="47:47" ht="12" hidden="1" customHeight="1" x14ac:dyDescent="0.3">
      <c r="AU6421" s="45"/>
    </row>
    <row r="6422" spans="47:47" ht="12" hidden="1" customHeight="1" x14ac:dyDescent="0.3">
      <c r="AU6422" s="45"/>
    </row>
    <row r="6423" spans="47:47" ht="12" hidden="1" customHeight="1" x14ac:dyDescent="0.3">
      <c r="AU6423" s="45"/>
    </row>
    <row r="6424" spans="47:47" ht="12" hidden="1" customHeight="1" x14ac:dyDescent="0.3">
      <c r="AU6424" s="45"/>
    </row>
    <row r="6425" spans="47:47" ht="12" hidden="1" customHeight="1" x14ac:dyDescent="0.3">
      <c r="AU6425" s="45"/>
    </row>
    <row r="6426" spans="47:47" ht="12" hidden="1" customHeight="1" x14ac:dyDescent="0.3">
      <c r="AU6426" s="45"/>
    </row>
    <row r="6427" spans="47:47" ht="12" hidden="1" customHeight="1" x14ac:dyDescent="0.3">
      <c r="AU6427" s="45"/>
    </row>
    <row r="6428" spans="47:47" ht="12" hidden="1" customHeight="1" x14ac:dyDescent="0.3">
      <c r="AU6428" s="45"/>
    </row>
    <row r="6429" spans="47:47" ht="12" hidden="1" customHeight="1" x14ac:dyDescent="0.3">
      <c r="AU6429" s="45"/>
    </row>
    <row r="6430" spans="47:47" ht="12" hidden="1" customHeight="1" x14ac:dyDescent="0.3">
      <c r="AU6430" s="45"/>
    </row>
    <row r="6431" spans="47:47" ht="12" hidden="1" customHeight="1" x14ac:dyDescent="0.3">
      <c r="AU6431" s="45"/>
    </row>
    <row r="6432" spans="47:47" ht="12" hidden="1" customHeight="1" x14ac:dyDescent="0.3">
      <c r="AU6432" s="45"/>
    </row>
    <row r="6433" spans="47:47" ht="12" hidden="1" customHeight="1" x14ac:dyDescent="0.3">
      <c r="AU6433" s="45"/>
    </row>
    <row r="6434" spans="47:47" ht="12" hidden="1" customHeight="1" x14ac:dyDescent="0.3">
      <c r="AU6434" s="45"/>
    </row>
    <row r="6435" spans="47:47" ht="12" hidden="1" customHeight="1" x14ac:dyDescent="0.3">
      <c r="AU6435" s="45"/>
    </row>
    <row r="6436" spans="47:47" ht="12" hidden="1" customHeight="1" x14ac:dyDescent="0.3">
      <c r="AU6436" s="45"/>
    </row>
    <row r="6437" spans="47:47" ht="12" hidden="1" customHeight="1" x14ac:dyDescent="0.3">
      <c r="AU6437" s="45"/>
    </row>
    <row r="6438" spans="47:47" ht="12" hidden="1" customHeight="1" x14ac:dyDescent="0.3">
      <c r="AU6438" s="45"/>
    </row>
    <row r="6439" spans="47:47" ht="12" hidden="1" customHeight="1" x14ac:dyDescent="0.3">
      <c r="AU6439" s="45"/>
    </row>
    <row r="6440" spans="47:47" ht="12" hidden="1" customHeight="1" x14ac:dyDescent="0.3">
      <c r="AU6440" s="45"/>
    </row>
    <row r="6441" spans="47:47" ht="12" hidden="1" customHeight="1" x14ac:dyDescent="0.3">
      <c r="AU6441" s="45"/>
    </row>
    <row r="6442" spans="47:47" ht="12" hidden="1" customHeight="1" x14ac:dyDescent="0.3">
      <c r="AU6442" s="45"/>
    </row>
    <row r="6443" spans="47:47" ht="12" hidden="1" customHeight="1" x14ac:dyDescent="0.3">
      <c r="AU6443" s="45"/>
    </row>
    <row r="6444" spans="47:47" ht="12" hidden="1" customHeight="1" x14ac:dyDescent="0.3">
      <c r="AU6444" s="45"/>
    </row>
    <row r="6445" spans="47:47" ht="12" hidden="1" customHeight="1" x14ac:dyDescent="0.3">
      <c r="AU6445" s="45"/>
    </row>
    <row r="6446" spans="47:47" ht="12" hidden="1" customHeight="1" x14ac:dyDescent="0.3">
      <c r="AU6446" s="45"/>
    </row>
    <row r="6447" spans="47:47" ht="12" hidden="1" customHeight="1" x14ac:dyDescent="0.3">
      <c r="AU6447" s="45"/>
    </row>
    <row r="6448" spans="47:47" ht="12" hidden="1" customHeight="1" x14ac:dyDescent="0.3">
      <c r="AU6448" s="45"/>
    </row>
    <row r="6449" spans="47:47" ht="12" hidden="1" customHeight="1" x14ac:dyDescent="0.3">
      <c r="AU6449" s="45"/>
    </row>
    <row r="6450" spans="47:47" ht="12" hidden="1" customHeight="1" x14ac:dyDescent="0.3">
      <c r="AU6450" s="45"/>
    </row>
    <row r="6451" spans="47:47" ht="12" hidden="1" customHeight="1" x14ac:dyDescent="0.3">
      <c r="AU6451" s="45"/>
    </row>
    <row r="6452" spans="47:47" ht="12" hidden="1" customHeight="1" x14ac:dyDescent="0.3">
      <c r="AU6452" s="45"/>
    </row>
    <row r="6453" spans="47:47" ht="12" hidden="1" customHeight="1" x14ac:dyDescent="0.3">
      <c r="AU6453" s="45"/>
    </row>
    <row r="6454" spans="47:47" ht="12" hidden="1" customHeight="1" x14ac:dyDescent="0.3">
      <c r="AU6454" s="45"/>
    </row>
    <row r="6455" spans="47:47" ht="12" hidden="1" customHeight="1" x14ac:dyDescent="0.3">
      <c r="AU6455" s="45"/>
    </row>
    <row r="6456" spans="47:47" ht="12" hidden="1" customHeight="1" x14ac:dyDescent="0.3">
      <c r="AU6456" s="45"/>
    </row>
    <row r="6457" spans="47:47" ht="12" hidden="1" customHeight="1" x14ac:dyDescent="0.3">
      <c r="AU6457" s="45"/>
    </row>
    <row r="6458" spans="47:47" ht="12" hidden="1" customHeight="1" x14ac:dyDescent="0.3">
      <c r="AU6458" s="45"/>
    </row>
    <row r="6459" spans="47:47" ht="12" hidden="1" customHeight="1" x14ac:dyDescent="0.3">
      <c r="AU6459" s="45"/>
    </row>
    <row r="6460" spans="47:47" ht="12" hidden="1" customHeight="1" x14ac:dyDescent="0.3">
      <c r="AU6460" s="45"/>
    </row>
    <row r="6461" spans="47:47" ht="12" hidden="1" customHeight="1" x14ac:dyDescent="0.3">
      <c r="AU6461" s="45"/>
    </row>
    <row r="6462" spans="47:47" ht="12" hidden="1" customHeight="1" x14ac:dyDescent="0.3">
      <c r="AU6462" s="45"/>
    </row>
    <row r="6463" spans="47:47" ht="12" hidden="1" customHeight="1" x14ac:dyDescent="0.3">
      <c r="AU6463" s="45"/>
    </row>
    <row r="6464" spans="47:47" ht="12" hidden="1" customHeight="1" x14ac:dyDescent="0.3">
      <c r="AU6464" s="45"/>
    </row>
    <row r="6465" spans="47:47" ht="12" hidden="1" customHeight="1" x14ac:dyDescent="0.3">
      <c r="AU6465" s="45"/>
    </row>
    <row r="6466" spans="47:47" ht="12" hidden="1" customHeight="1" x14ac:dyDescent="0.3">
      <c r="AU6466" s="45"/>
    </row>
    <row r="6467" spans="47:47" ht="12" hidden="1" customHeight="1" x14ac:dyDescent="0.3">
      <c r="AU6467" s="45"/>
    </row>
    <row r="6468" spans="47:47" ht="12" hidden="1" customHeight="1" x14ac:dyDescent="0.3">
      <c r="AU6468" s="45"/>
    </row>
    <row r="6469" spans="47:47" ht="12" hidden="1" customHeight="1" x14ac:dyDescent="0.3">
      <c r="AU6469" s="45"/>
    </row>
    <row r="6470" spans="47:47" ht="12" hidden="1" customHeight="1" x14ac:dyDescent="0.3">
      <c r="AU6470" s="45"/>
    </row>
    <row r="6471" spans="47:47" ht="12" hidden="1" customHeight="1" x14ac:dyDescent="0.3">
      <c r="AU6471" s="45"/>
    </row>
    <row r="6472" spans="47:47" ht="12" hidden="1" customHeight="1" x14ac:dyDescent="0.3">
      <c r="AU6472" s="45"/>
    </row>
    <row r="6473" spans="47:47" ht="12" hidden="1" customHeight="1" x14ac:dyDescent="0.3">
      <c r="AU6473" s="45"/>
    </row>
    <row r="6474" spans="47:47" ht="12" hidden="1" customHeight="1" x14ac:dyDescent="0.3">
      <c r="AU6474" s="45"/>
    </row>
    <row r="6475" spans="47:47" ht="12" hidden="1" customHeight="1" x14ac:dyDescent="0.3">
      <c r="AU6475" s="45"/>
    </row>
    <row r="6476" spans="47:47" ht="12" hidden="1" customHeight="1" x14ac:dyDescent="0.3">
      <c r="AU6476" s="45"/>
    </row>
    <row r="6477" spans="47:47" ht="12" hidden="1" customHeight="1" x14ac:dyDescent="0.3">
      <c r="AU6477" s="45"/>
    </row>
    <row r="6478" spans="47:47" ht="12" hidden="1" customHeight="1" x14ac:dyDescent="0.3">
      <c r="AU6478" s="45"/>
    </row>
    <row r="6479" spans="47:47" ht="12" hidden="1" customHeight="1" x14ac:dyDescent="0.3">
      <c r="AU6479" s="45"/>
    </row>
    <row r="6480" spans="47:47" ht="12" hidden="1" customHeight="1" x14ac:dyDescent="0.3">
      <c r="AU6480" s="45"/>
    </row>
    <row r="6481" spans="47:47" ht="12" hidden="1" customHeight="1" x14ac:dyDescent="0.3">
      <c r="AU6481" s="45"/>
    </row>
    <row r="6482" spans="47:47" ht="12" hidden="1" customHeight="1" x14ac:dyDescent="0.3">
      <c r="AU6482" s="45"/>
    </row>
    <row r="6483" spans="47:47" ht="12" hidden="1" customHeight="1" x14ac:dyDescent="0.3">
      <c r="AU6483" s="45"/>
    </row>
    <row r="6484" spans="47:47" ht="12" hidden="1" customHeight="1" x14ac:dyDescent="0.3">
      <c r="AU6484" s="45"/>
    </row>
    <row r="6485" spans="47:47" ht="12" hidden="1" customHeight="1" x14ac:dyDescent="0.3">
      <c r="AU6485" s="45"/>
    </row>
    <row r="6486" spans="47:47" ht="12" hidden="1" customHeight="1" x14ac:dyDescent="0.3">
      <c r="AU6486" s="45"/>
    </row>
    <row r="6487" spans="47:47" ht="12" hidden="1" customHeight="1" x14ac:dyDescent="0.3">
      <c r="AU6487" s="45"/>
    </row>
    <row r="6488" spans="47:47" ht="12" hidden="1" customHeight="1" x14ac:dyDescent="0.3">
      <c r="AU6488" s="45"/>
    </row>
    <row r="6489" spans="47:47" ht="12" hidden="1" customHeight="1" x14ac:dyDescent="0.3">
      <c r="AU6489" s="45"/>
    </row>
    <row r="6490" spans="47:47" ht="12" hidden="1" customHeight="1" x14ac:dyDescent="0.3">
      <c r="AU6490" s="45"/>
    </row>
    <row r="6491" spans="47:47" ht="12" hidden="1" customHeight="1" x14ac:dyDescent="0.3">
      <c r="AU6491" s="45"/>
    </row>
    <row r="6492" spans="47:47" ht="12" hidden="1" customHeight="1" x14ac:dyDescent="0.3">
      <c r="AU6492" s="45"/>
    </row>
    <row r="6493" spans="47:47" ht="12" hidden="1" customHeight="1" x14ac:dyDescent="0.3">
      <c r="AU6493" s="45"/>
    </row>
    <row r="6494" spans="47:47" ht="12" hidden="1" customHeight="1" x14ac:dyDescent="0.3">
      <c r="AU6494" s="45"/>
    </row>
    <row r="6495" spans="47:47" ht="12" hidden="1" customHeight="1" x14ac:dyDescent="0.3">
      <c r="AU6495" s="45"/>
    </row>
    <row r="6496" spans="47:47" ht="12" hidden="1" customHeight="1" x14ac:dyDescent="0.3">
      <c r="AU6496" s="45"/>
    </row>
    <row r="6497" spans="47:47" ht="12" hidden="1" customHeight="1" x14ac:dyDescent="0.3">
      <c r="AU6497" s="45"/>
    </row>
    <row r="6498" spans="47:47" ht="12" hidden="1" customHeight="1" x14ac:dyDescent="0.3">
      <c r="AU6498" s="45"/>
    </row>
    <row r="6499" spans="47:47" ht="12" hidden="1" customHeight="1" x14ac:dyDescent="0.3">
      <c r="AU6499" s="45"/>
    </row>
    <row r="6500" spans="47:47" ht="12" hidden="1" customHeight="1" x14ac:dyDescent="0.3">
      <c r="AU6500" s="45"/>
    </row>
    <row r="6501" spans="47:47" ht="12" hidden="1" customHeight="1" x14ac:dyDescent="0.3">
      <c r="AU6501" s="45"/>
    </row>
    <row r="6502" spans="47:47" ht="12" hidden="1" customHeight="1" x14ac:dyDescent="0.3">
      <c r="AU6502" s="45"/>
    </row>
    <row r="6503" spans="47:47" ht="12" hidden="1" customHeight="1" x14ac:dyDescent="0.3">
      <c r="AU6503" s="45"/>
    </row>
    <row r="6504" spans="47:47" ht="12" hidden="1" customHeight="1" x14ac:dyDescent="0.3">
      <c r="AU6504" s="45"/>
    </row>
    <row r="6505" spans="47:47" ht="12" hidden="1" customHeight="1" x14ac:dyDescent="0.3">
      <c r="AU6505" s="45"/>
    </row>
    <row r="6506" spans="47:47" ht="12" hidden="1" customHeight="1" x14ac:dyDescent="0.3">
      <c r="AU6506" s="45"/>
    </row>
    <row r="6507" spans="47:47" ht="12" hidden="1" customHeight="1" x14ac:dyDescent="0.3">
      <c r="AU6507" s="45"/>
    </row>
    <row r="6508" spans="47:47" ht="12" hidden="1" customHeight="1" x14ac:dyDescent="0.3">
      <c r="AU6508" s="45"/>
    </row>
    <row r="6509" spans="47:47" ht="12" hidden="1" customHeight="1" x14ac:dyDescent="0.3">
      <c r="AU6509" s="45"/>
    </row>
    <row r="6510" spans="47:47" ht="12" hidden="1" customHeight="1" x14ac:dyDescent="0.3">
      <c r="AU6510" s="45"/>
    </row>
    <row r="6511" spans="47:47" ht="12" hidden="1" customHeight="1" x14ac:dyDescent="0.3">
      <c r="AU6511" s="45"/>
    </row>
    <row r="6512" spans="47:47" ht="12" hidden="1" customHeight="1" x14ac:dyDescent="0.3">
      <c r="AU6512" s="45"/>
    </row>
    <row r="6513" spans="47:47" ht="12" hidden="1" customHeight="1" x14ac:dyDescent="0.3">
      <c r="AU6513" s="45"/>
    </row>
    <row r="6514" spans="47:47" ht="12" hidden="1" customHeight="1" x14ac:dyDescent="0.3">
      <c r="AU6514" s="45"/>
    </row>
    <row r="6515" spans="47:47" ht="12" hidden="1" customHeight="1" x14ac:dyDescent="0.3">
      <c r="AU6515" s="45"/>
    </row>
    <row r="6516" spans="47:47" ht="12" hidden="1" customHeight="1" x14ac:dyDescent="0.3">
      <c r="AU6516" s="45"/>
    </row>
    <row r="6517" spans="47:47" ht="12" hidden="1" customHeight="1" x14ac:dyDescent="0.3">
      <c r="AU6517" s="45"/>
    </row>
    <row r="6518" spans="47:47" ht="12" hidden="1" customHeight="1" x14ac:dyDescent="0.3">
      <c r="AU6518" s="45"/>
    </row>
    <row r="6519" spans="47:47" ht="12" hidden="1" customHeight="1" x14ac:dyDescent="0.3">
      <c r="AU6519" s="45"/>
    </row>
    <row r="6520" spans="47:47" ht="12" hidden="1" customHeight="1" x14ac:dyDescent="0.3">
      <c r="AU6520" s="45"/>
    </row>
    <row r="6521" spans="47:47" ht="12" hidden="1" customHeight="1" x14ac:dyDescent="0.3">
      <c r="AU6521" s="45"/>
    </row>
    <row r="6522" spans="47:47" ht="12" hidden="1" customHeight="1" x14ac:dyDescent="0.3">
      <c r="AU6522" s="45"/>
    </row>
    <row r="6523" spans="47:47" ht="12" hidden="1" customHeight="1" x14ac:dyDescent="0.3">
      <c r="AU6523" s="45"/>
    </row>
    <row r="6524" spans="47:47" ht="12" hidden="1" customHeight="1" x14ac:dyDescent="0.3">
      <c r="AU6524" s="45"/>
    </row>
    <row r="6525" spans="47:47" ht="12" hidden="1" customHeight="1" x14ac:dyDescent="0.3">
      <c r="AU6525" s="45"/>
    </row>
    <row r="6526" spans="47:47" ht="12" hidden="1" customHeight="1" x14ac:dyDescent="0.3">
      <c r="AU6526" s="45"/>
    </row>
    <row r="6527" spans="47:47" ht="12" hidden="1" customHeight="1" x14ac:dyDescent="0.3">
      <c r="AU6527" s="45"/>
    </row>
    <row r="6528" spans="47:47" ht="12" hidden="1" customHeight="1" x14ac:dyDescent="0.3">
      <c r="AU6528" s="45"/>
    </row>
    <row r="6529" spans="47:47" ht="12" hidden="1" customHeight="1" x14ac:dyDescent="0.3">
      <c r="AU6529" s="45"/>
    </row>
    <row r="6530" spans="47:47" ht="12" hidden="1" customHeight="1" x14ac:dyDescent="0.3">
      <c r="AU6530" s="45"/>
    </row>
    <row r="6531" spans="47:47" ht="12" hidden="1" customHeight="1" x14ac:dyDescent="0.3">
      <c r="AU6531" s="45"/>
    </row>
    <row r="6532" spans="47:47" ht="12" hidden="1" customHeight="1" x14ac:dyDescent="0.3">
      <c r="AU6532" s="45"/>
    </row>
    <row r="6533" spans="47:47" ht="12" hidden="1" customHeight="1" x14ac:dyDescent="0.3">
      <c r="AU6533" s="45"/>
    </row>
    <row r="6534" spans="47:47" ht="12" hidden="1" customHeight="1" x14ac:dyDescent="0.3">
      <c r="AU6534" s="45"/>
    </row>
    <row r="6535" spans="47:47" ht="12" hidden="1" customHeight="1" x14ac:dyDescent="0.3">
      <c r="AU6535" s="45"/>
    </row>
    <row r="6536" spans="47:47" ht="12" hidden="1" customHeight="1" x14ac:dyDescent="0.3">
      <c r="AU6536" s="45"/>
    </row>
    <row r="6537" spans="47:47" ht="12" hidden="1" customHeight="1" x14ac:dyDescent="0.3">
      <c r="AU6537" s="45"/>
    </row>
    <row r="6538" spans="47:47" ht="12" hidden="1" customHeight="1" x14ac:dyDescent="0.3">
      <c r="AU6538" s="45"/>
    </row>
    <row r="6539" spans="47:47" ht="12" hidden="1" customHeight="1" x14ac:dyDescent="0.3">
      <c r="AU6539" s="45"/>
    </row>
    <row r="6540" spans="47:47" ht="12" hidden="1" customHeight="1" x14ac:dyDescent="0.3">
      <c r="AU6540" s="45"/>
    </row>
    <row r="6541" spans="47:47" ht="12" hidden="1" customHeight="1" x14ac:dyDescent="0.3">
      <c r="AU6541" s="45"/>
    </row>
    <row r="6542" spans="47:47" ht="12" hidden="1" customHeight="1" x14ac:dyDescent="0.3">
      <c r="AU6542" s="45"/>
    </row>
    <row r="6543" spans="47:47" ht="12" hidden="1" customHeight="1" x14ac:dyDescent="0.3">
      <c r="AU6543" s="45"/>
    </row>
    <row r="6544" spans="47:47" ht="12" hidden="1" customHeight="1" x14ac:dyDescent="0.3">
      <c r="AU6544" s="45"/>
    </row>
    <row r="6545" spans="47:47" ht="12" hidden="1" customHeight="1" x14ac:dyDescent="0.3">
      <c r="AU6545" s="45"/>
    </row>
    <row r="6546" spans="47:47" ht="12" hidden="1" customHeight="1" x14ac:dyDescent="0.3">
      <c r="AU6546" s="45"/>
    </row>
    <row r="6547" spans="47:47" ht="12" hidden="1" customHeight="1" x14ac:dyDescent="0.3">
      <c r="AU6547" s="45"/>
    </row>
    <row r="6548" spans="47:47" ht="12" hidden="1" customHeight="1" x14ac:dyDescent="0.3">
      <c r="AU6548" s="45"/>
    </row>
    <row r="6549" spans="47:47" ht="12" hidden="1" customHeight="1" x14ac:dyDescent="0.3">
      <c r="AU6549" s="45"/>
    </row>
    <row r="6550" spans="47:47" ht="12" hidden="1" customHeight="1" x14ac:dyDescent="0.3">
      <c r="AU6550" s="45"/>
    </row>
    <row r="6551" spans="47:47" ht="12" hidden="1" customHeight="1" x14ac:dyDescent="0.3">
      <c r="AU6551" s="45"/>
    </row>
    <row r="6552" spans="47:47" ht="12" hidden="1" customHeight="1" x14ac:dyDescent="0.3">
      <c r="AU6552" s="45"/>
    </row>
    <row r="6553" spans="47:47" ht="12" hidden="1" customHeight="1" x14ac:dyDescent="0.3">
      <c r="AU6553" s="45"/>
    </row>
    <row r="6554" spans="47:47" ht="12" hidden="1" customHeight="1" x14ac:dyDescent="0.3">
      <c r="AU6554" s="45"/>
    </row>
    <row r="6555" spans="47:47" ht="12" hidden="1" customHeight="1" x14ac:dyDescent="0.3">
      <c r="AU6555" s="45"/>
    </row>
    <row r="6556" spans="47:47" ht="12" hidden="1" customHeight="1" x14ac:dyDescent="0.3">
      <c r="AU6556" s="45"/>
    </row>
    <row r="6557" spans="47:47" ht="12" hidden="1" customHeight="1" x14ac:dyDescent="0.3">
      <c r="AU6557" s="45"/>
    </row>
    <row r="6558" spans="47:47" ht="12" hidden="1" customHeight="1" x14ac:dyDescent="0.3">
      <c r="AU6558" s="45"/>
    </row>
    <row r="6559" spans="47:47" ht="12" hidden="1" customHeight="1" x14ac:dyDescent="0.3">
      <c r="AU6559" s="45"/>
    </row>
    <row r="6560" spans="47:47" ht="12" hidden="1" customHeight="1" x14ac:dyDescent="0.3">
      <c r="AU6560" s="45"/>
    </row>
    <row r="6561" spans="47:47" ht="12" hidden="1" customHeight="1" x14ac:dyDescent="0.3">
      <c r="AU6561" s="45"/>
    </row>
    <row r="6562" spans="47:47" ht="12" hidden="1" customHeight="1" x14ac:dyDescent="0.3">
      <c r="AU6562" s="45"/>
    </row>
    <row r="6563" spans="47:47" ht="12" hidden="1" customHeight="1" x14ac:dyDescent="0.3">
      <c r="AU6563" s="45"/>
    </row>
    <row r="6564" spans="47:47" ht="12" hidden="1" customHeight="1" x14ac:dyDescent="0.3">
      <c r="AU6564" s="45"/>
    </row>
    <row r="6565" spans="47:47" ht="12" hidden="1" customHeight="1" x14ac:dyDescent="0.3">
      <c r="AU6565" s="45"/>
    </row>
    <row r="6566" spans="47:47" ht="12" hidden="1" customHeight="1" x14ac:dyDescent="0.3">
      <c r="AU6566" s="45"/>
    </row>
    <row r="6567" spans="47:47" ht="12" hidden="1" customHeight="1" x14ac:dyDescent="0.3">
      <c r="AU6567" s="45"/>
    </row>
    <row r="6568" spans="47:47" ht="12" hidden="1" customHeight="1" x14ac:dyDescent="0.3">
      <c r="AU6568" s="45"/>
    </row>
    <row r="6569" spans="47:47" ht="12" hidden="1" customHeight="1" x14ac:dyDescent="0.3">
      <c r="AU6569" s="45"/>
    </row>
    <row r="6570" spans="47:47" ht="12" hidden="1" customHeight="1" x14ac:dyDescent="0.3">
      <c r="AU6570" s="45"/>
    </row>
    <row r="6571" spans="47:47" ht="12" hidden="1" customHeight="1" x14ac:dyDescent="0.3">
      <c r="AU6571" s="45"/>
    </row>
    <row r="6572" spans="47:47" ht="12" hidden="1" customHeight="1" x14ac:dyDescent="0.3">
      <c r="AU6572" s="45"/>
    </row>
    <row r="6573" spans="47:47" ht="12" hidden="1" customHeight="1" x14ac:dyDescent="0.3">
      <c r="AU6573" s="45"/>
    </row>
    <row r="6574" spans="47:47" ht="12" hidden="1" customHeight="1" x14ac:dyDescent="0.3">
      <c r="AU6574" s="45"/>
    </row>
    <row r="6575" spans="47:47" ht="12" hidden="1" customHeight="1" x14ac:dyDescent="0.3">
      <c r="AU6575" s="45"/>
    </row>
    <row r="6576" spans="47:47" ht="12" hidden="1" customHeight="1" x14ac:dyDescent="0.3">
      <c r="AU6576" s="45"/>
    </row>
    <row r="6577" spans="47:47" ht="12" hidden="1" customHeight="1" x14ac:dyDescent="0.3">
      <c r="AU6577" s="45"/>
    </row>
    <row r="6578" spans="47:47" ht="12" hidden="1" customHeight="1" x14ac:dyDescent="0.3">
      <c r="AU6578" s="45"/>
    </row>
    <row r="6579" spans="47:47" ht="12" hidden="1" customHeight="1" x14ac:dyDescent="0.3">
      <c r="AU6579" s="45"/>
    </row>
    <row r="6580" spans="47:47" ht="12" hidden="1" customHeight="1" x14ac:dyDescent="0.3">
      <c r="AU6580" s="45"/>
    </row>
    <row r="6581" spans="47:47" ht="12" hidden="1" customHeight="1" x14ac:dyDescent="0.3">
      <c r="AU6581" s="45"/>
    </row>
    <row r="6582" spans="47:47" ht="12" hidden="1" customHeight="1" x14ac:dyDescent="0.3">
      <c r="AU6582" s="45"/>
    </row>
    <row r="6583" spans="47:47" ht="12" hidden="1" customHeight="1" x14ac:dyDescent="0.3">
      <c r="AU6583" s="45"/>
    </row>
    <row r="6584" spans="47:47" ht="12" hidden="1" customHeight="1" x14ac:dyDescent="0.3">
      <c r="AU6584" s="45"/>
    </row>
    <row r="6585" spans="47:47" ht="12" hidden="1" customHeight="1" x14ac:dyDescent="0.3">
      <c r="AU6585" s="45"/>
    </row>
    <row r="6586" spans="47:47" ht="12" hidden="1" customHeight="1" x14ac:dyDescent="0.3">
      <c r="AU6586" s="45"/>
    </row>
    <row r="6587" spans="47:47" ht="12" hidden="1" customHeight="1" x14ac:dyDescent="0.3">
      <c r="AU6587" s="45"/>
    </row>
    <row r="6588" spans="47:47" ht="12" hidden="1" customHeight="1" x14ac:dyDescent="0.3">
      <c r="AU6588" s="45"/>
    </row>
    <row r="6589" spans="47:47" ht="12" hidden="1" customHeight="1" x14ac:dyDescent="0.3">
      <c r="AU6589" s="45"/>
    </row>
    <row r="6590" spans="47:47" ht="12" hidden="1" customHeight="1" x14ac:dyDescent="0.3">
      <c r="AU6590" s="45"/>
    </row>
    <row r="6591" spans="47:47" ht="12" hidden="1" customHeight="1" x14ac:dyDescent="0.3">
      <c r="AU6591" s="45"/>
    </row>
    <row r="6592" spans="47:47" ht="12" hidden="1" customHeight="1" x14ac:dyDescent="0.3">
      <c r="AU6592" s="45"/>
    </row>
    <row r="6593" spans="47:47" ht="12" hidden="1" customHeight="1" x14ac:dyDescent="0.3">
      <c r="AU6593" s="45"/>
    </row>
    <row r="6594" spans="47:47" ht="12" hidden="1" customHeight="1" x14ac:dyDescent="0.3">
      <c r="AU6594" s="45"/>
    </row>
    <row r="6595" spans="47:47" ht="12" hidden="1" customHeight="1" x14ac:dyDescent="0.3">
      <c r="AU6595" s="45"/>
    </row>
    <row r="6596" spans="47:47" ht="12" hidden="1" customHeight="1" x14ac:dyDescent="0.3">
      <c r="AU6596" s="45"/>
    </row>
    <row r="6597" spans="47:47" ht="12" hidden="1" customHeight="1" x14ac:dyDescent="0.3">
      <c r="AU6597" s="45"/>
    </row>
    <row r="6598" spans="47:47" ht="12" hidden="1" customHeight="1" x14ac:dyDescent="0.3">
      <c r="AU6598" s="45"/>
    </row>
    <row r="6599" spans="47:47" ht="12" hidden="1" customHeight="1" x14ac:dyDescent="0.3">
      <c r="AU6599" s="45"/>
    </row>
    <row r="6600" spans="47:47" ht="12" hidden="1" customHeight="1" x14ac:dyDescent="0.3">
      <c r="AU6600" s="45"/>
    </row>
    <row r="6601" spans="47:47" ht="12" hidden="1" customHeight="1" x14ac:dyDescent="0.3">
      <c r="AU6601" s="45"/>
    </row>
    <row r="6602" spans="47:47" ht="12" hidden="1" customHeight="1" x14ac:dyDescent="0.3">
      <c r="AU6602" s="45"/>
    </row>
    <row r="6603" spans="47:47" ht="12" hidden="1" customHeight="1" x14ac:dyDescent="0.3">
      <c r="AU6603" s="45"/>
    </row>
    <row r="6604" spans="47:47" ht="12" hidden="1" customHeight="1" x14ac:dyDescent="0.3">
      <c r="AU6604" s="45"/>
    </row>
    <row r="6605" spans="47:47" ht="12" hidden="1" customHeight="1" x14ac:dyDescent="0.3">
      <c r="AU6605" s="45"/>
    </row>
    <row r="6606" spans="47:47" ht="12" hidden="1" customHeight="1" x14ac:dyDescent="0.3">
      <c r="AU6606" s="45"/>
    </row>
    <row r="6607" spans="47:47" ht="12" hidden="1" customHeight="1" x14ac:dyDescent="0.3">
      <c r="AU6607" s="45"/>
    </row>
    <row r="6608" spans="47:47" ht="12" hidden="1" customHeight="1" x14ac:dyDescent="0.3">
      <c r="AU6608" s="45"/>
    </row>
    <row r="6609" spans="47:47" ht="12" hidden="1" customHeight="1" x14ac:dyDescent="0.3">
      <c r="AU6609" s="45"/>
    </row>
    <row r="6610" spans="47:47" ht="12" hidden="1" customHeight="1" x14ac:dyDescent="0.3">
      <c r="AU6610" s="45"/>
    </row>
    <row r="6611" spans="47:47" ht="12" hidden="1" customHeight="1" x14ac:dyDescent="0.3">
      <c r="AU6611" s="45"/>
    </row>
    <row r="6612" spans="47:47" ht="12" hidden="1" customHeight="1" x14ac:dyDescent="0.3">
      <c r="AU6612" s="45"/>
    </row>
    <row r="6613" spans="47:47" ht="12" hidden="1" customHeight="1" x14ac:dyDescent="0.3">
      <c r="AU6613" s="45"/>
    </row>
    <row r="6614" spans="47:47" ht="12" hidden="1" customHeight="1" x14ac:dyDescent="0.3">
      <c r="AU6614" s="45"/>
    </row>
    <row r="6615" spans="47:47" ht="12" hidden="1" customHeight="1" x14ac:dyDescent="0.3">
      <c r="AU6615" s="45"/>
    </row>
    <row r="6616" spans="47:47" ht="12" hidden="1" customHeight="1" x14ac:dyDescent="0.3">
      <c r="AU6616" s="45"/>
    </row>
    <row r="6617" spans="47:47" ht="12" hidden="1" customHeight="1" x14ac:dyDescent="0.3">
      <c r="AU6617" s="45"/>
    </row>
    <row r="6618" spans="47:47" ht="12" hidden="1" customHeight="1" x14ac:dyDescent="0.3">
      <c r="AU6618" s="45"/>
    </row>
    <row r="6619" spans="47:47" ht="12" hidden="1" customHeight="1" x14ac:dyDescent="0.3">
      <c r="AU6619" s="45"/>
    </row>
    <row r="6620" spans="47:47" ht="12" hidden="1" customHeight="1" x14ac:dyDescent="0.3">
      <c r="AU6620" s="45"/>
    </row>
    <row r="6621" spans="47:47" ht="12" hidden="1" customHeight="1" x14ac:dyDescent="0.3">
      <c r="AU6621" s="45"/>
    </row>
    <row r="6622" spans="47:47" ht="12" hidden="1" customHeight="1" x14ac:dyDescent="0.3">
      <c r="AU6622" s="45"/>
    </row>
    <row r="6623" spans="47:47" ht="12" hidden="1" customHeight="1" x14ac:dyDescent="0.3">
      <c r="AU6623" s="45"/>
    </row>
    <row r="6624" spans="47:47" ht="12" hidden="1" customHeight="1" x14ac:dyDescent="0.3">
      <c r="AU6624" s="45"/>
    </row>
    <row r="6625" spans="47:47" ht="12" hidden="1" customHeight="1" x14ac:dyDescent="0.3">
      <c r="AU6625" s="45"/>
    </row>
    <row r="6626" spans="47:47" ht="12" hidden="1" customHeight="1" x14ac:dyDescent="0.3">
      <c r="AU6626" s="45"/>
    </row>
    <row r="6627" spans="47:47" ht="12" hidden="1" customHeight="1" x14ac:dyDescent="0.3">
      <c r="AU6627" s="45"/>
    </row>
    <row r="6628" spans="47:47" ht="12" hidden="1" customHeight="1" x14ac:dyDescent="0.3">
      <c r="AU6628" s="45"/>
    </row>
    <row r="6629" spans="47:47" ht="12" hidden="1" customHeight="1" x14ac:dyDescent="0.3">
      <c r="AU6629" s="45"/>
    </row>
    <row r="6630" spans="47:47" ht="12" hidden="1" customHeight="1" x14ac:dyDescent="0.3">
      <c r="AU6630" s="45"/>
    </row>
    <row r="6631" spans="47:47" ht="12" hidden="1" customHeight="1" x14ac:dyDescent="0.3">
      <c r="AU6631" s="45"/>
    </row>
    <row r="6632" spans="47:47" ht="12" hidden="1" customHeight="1" x14ac:dyDescent="0.3">
      <c r="AU6632" s="45"/>
    </row>
    <row r="6633" spans="47:47" ht="12" hidden="1" customHeight="1" x14ac:dyDescent="0.3">
      <c r="AU6633" s="45"/>
    </row>
    <row r="6634" spans="47:47" ht="12" hidden="1" customHeight="1" x14ac:dyDescent="0.3">
      <c r="AU6634" s="45"/>
    </row>
    <row r="6635" spans="47:47" ht="12" hidden="1" customHeight="1" x14ac:dyDescent="0.3">
      <c r="AU6635" s="45"/>
    </row>
    <row r="6636" spans="47:47" ht="12" hidden="1" customHeight="1" x14ac:dyDescent="0.3">
      <c r="AU6636" s="45"/>
    </row>
    <row r="6637" spans="47:47" ht="12" hidden="1" customHeight="1" x14ac:dyDescent="0.3">
      <c r="AU6637" s="45"/>
    </row>
    <row r="6638" spans="47:47" ht="12" hidden="1" customHeight="1" x14ac:dyDescent="0.3">
      <c r="AU6638" s="45"/>
    </row>
    <row r="6639" spans="47:47" ht="12" hidden="1" customHeight="1" x14ac:dyDescent="0.3">
      <c r="AU6639" s="45"/>
    </row>
    <row r="6640" spans="47:47" ht="12" hidden="1" customHeight="1" x14ac:dyDescent="0.3">
      <c r="AU6640" s="45"/>
    </row>
    <row r="6641" spans="47:47" ht="12" hidden="1" customHeight="1" x14ac:dyDescent="0.3">
      <c r="AU6641" s="45"/>
    </row>
    <row r="6642" spans="47:47" ht="12" hidden="1" customHeight="1" x14ac:dyDescent="0.3">
      <c r="AU6642" s="45"/>
    </row>
    <row r="6643" spans="47:47" ht="12" hidden="1" customHeight="1" x14ac:dyDescent="0.3">
      <c r="AU6643" s="45"/>
    </row>
    <row r="6644" spans="47:47" ht="12" hidden="1" customHeight="1" x14ac:dyDescent="0.3">
      <c r="AU6644" s="45"/>
    </row>
    <row r="6645" spans="47:47" ht="12" hidden="1" customHeight="1" x14ac:dyDescent="0.3">
      <c r="AU6645" s="45"/>
    </row>
    <row r="6646" spans="47:47" ht="12" hidden="1" customHeight="1" x14ac:dyDescent="0.3">
      <c r="AU6646" s="45"/>
    </row>
    <row r="6647" spans="47:47" ht="12" hidden="1" customHeight="1" x14ac:dyDescent="0.3">
      <c r="AU6647" s="45"/>
    </row>
    <row r="6648" spans="47:47" ht="12" hidden="1" customHeight="1" x14ac:dyDescent="0.3">
      <c r="AU6648" s="45"/>
    </row>
    <row r="6649" spans="47:47" ht="12" hidden="1" customHeight="1" x14ac:dyDescent="0.3">
      <c r="AU6649" s="45"/>
    </row>
    <row r="6650" spans="47:47" ht="12" hidden="1" customHeight="1" x14ac:dyDescent="0.3">
      <c r="AU6650" s="45"/>
    </row>
    <row r="6651" spans="47:47" ht="12" hidden="1" customHeight="1" x14ac:dyDescent="0.3">
      <c r="AU6651" s="45"/>
    </row>
    <row r="6652" spans="47:47" ht="12" hidden="1" customHeight="1" x14ac:dyDescent="0.3">
      <c r="AU6652" s="45"/>
    </row>
    <row r="6653" spans="47:47" ht="12" hidden="1" customHeight="1" x14ac:dyDescent="0.3">
      <c r="AU6653" s="45"/>
    </row>
    <row r="6654" spans="47:47" ht="12" hidden="1" customHeight="1" x14ac:dyDescent="0.3">
      <c r="AU6654" s="45"/>
    </row>
    <row r="6655" spans="47:47" ht="12" hidden="1" customHeight="1" x14ac:dyDescent="0.3">
      <c r="AU6655" s="45"/>
    </row>
    <row r="6656" spans="47:47" ht="12" hidden="1" customHeight="1" x14ac:dyDescent="0.3">
      <c r="AU6656" s="45"/>
    </row>
    <row r="6657" spans="47:47" ht="12" hidden="1" customHeight="1" x14ac:dyDescent="0.3">
      <c r="AU6657" s="45"/>
    </row>
    <row r="6658" spans="47:47" ht="12" hidden="1" customHeight="1" x14ac:dyDescent="0.3">
      <c r="AU6658" s="45"/>
    </row>
    <row r="6659" spans="47:47" ht="12" hidden="1" customHeight="1" x14ac:dyDescent="0.3">
      <c r="AU6659" s="45"/>
    </row>
    <row r="6660" spans="47:47" ht="12" hidden="1" customHeight="1" x14ac:dyDescent="0.3">
      <c r="AU6660" s="45"/>
    </row>
    <row r="6661" spans="47:47" ht="12" hidden="1" customHeight="1" x14ac:dyDescent="0.3">
      <c r="AU6661" s="45"/>
    </row>
    <row r="6662" spans="47:47" ht="12" hidden="1" customHeight="1" x14ac:dyDescent="0.3">
      <c r="AU6662" s="45"/>
    </row>
    <row r="6663" spans="47:47" ht="12" hidden="1" customHeight="1" x14ac:dyDescent="0.3">
      <c r="AU6663" s="45"/>
    </row>
    <row r="6664" spans="47:47" ht="12" hidden="1" customHeight="1" x14ac:dyDescent="0.3">
      <c r="AU6664" s="45"/>
    </row>
    <row r="6665" spans="47:47" ht="12" hidden="1" customHeight="1" x14ac:dyDescent="0.3">
      <c r="AU6665" s="45"/>
    </row>
    <row r="6666" spans="47:47" ht="12" hidden="1" customHeight="1" x14ac:dyDescent="0.3">
      <c r="AU6666" s="45"/>
    </row>
    <row r="6667" spans="47:47" ht="12" hidden="1" customHeight="1" x14ac:dyDescent="0.3">
      <c r="AU6667" s="45"/>
    </row>
    <row r="6668" spans="47:47" ht="12" hidden="1" customHeight="1" x14ac:dyDescent="0.3">
      <c r="AU6668" s="45"/>
    </row>
    <row r="6669" spans="47:47" ht="12" hidden="1" customHeight="1" x14ac:dyDescent="0.3">
      <c r="AU6669" s="45"/>
    </row>
    <row r="6670" spans="47:47" ht="12" hidden="1" customHeight="1" x14ac:dyDescent="0.3">
      <c r="AU6670" s="45"/>
    </row>
    <row r="6671" spans="47:47" ht="12" hidden="1" customHeight="1" x14ac:dyDescent="0.3">
      <c r="AU6671" s="45"/>
    </row>
    <row r="6672" spans="47:47" ht="12" hidden="1" customHeight="1" x14ac:dyDescent="0.3">
      <c r="AU6672" s="45"/>
    </row>
    <row r="6673" spans="47:47" ht="12" hidden="1" customHeight="1" x14ac:dyDescent="0.3">
      <c r="AU6673" s="45"/>
    </row>
    <row r="6674" spans="47:47" ht="12" hidden="1" customHeight="1" x14ac:dyDescent="0.3">
      <c r="AU6674" s="45"/>
    </row>
    <row r="6675" spans="47:47" ht="12" hidden="1" customHeight="1" x14ac:dyDescent="0.3">
      <c r="AU6675" s="45"/>
    </row>
    <row r="6676" spans="47:47" ht="12" hidden="1" customHeight="1" x14ac:dyDescent="0.3">
      <c r="AU6676" s="45"/>
    </row>
    <row r="6677" spans="47:47" ht="12" hidden="1" customHeight="1" x14ac:dyDescent="0.3">
      <c r="AU6677" s="45"/>
    </row>
    <row r="6678" spans="47:47" ht="12" hidden="1" customHeight="1" x14ac:dyDescent="0.3">
      <c r="AU6678" s="45"/>
    </row>
    <row r="6679" spans="47:47" ht="12" hidden="1" customHeight="1" x14ac:dyDescent="0.3">
      <c r="AU6679" s="45"/>
    </row>
    <row r="6680" spans="47:47" ht="12" hidden="1" customHeight="1" x14ac:dyDescent="0.3">
      <c r="AU6680" s="45"/>
    </row>
    <row r="6681" spans="47:47" ht="12" hidden="1" customHeight="1" x14ac:dyDescent="0.3">
      <c r="AU6681" s="45"/>
    </row>
    <row r="6682" spans="47:47" ht="12" hidden="1" customHeight="1" x14ac:dyDescent="0.3">
      <c r="AU6682" s="45"/>
    </row>
    <row r="6683" spans="47:47" ht="12" hidden="1" customHeight="1" x14ac:dyDescent="0.3">
      <c r="AU6683" s="45"/>
    </row>
    <row r="6684" spans="47:47" ht="12" hidden="1" customHeight="1" x14ac:dyDescent="0.3">
      <c r="AU6684" s="45"/>
    </row>
    <row r="6685" spans="47:47" ht="12" hidden="1" customHeight="1" x14ac:dyDescent="0.3">
      <c r="AU6685" s="45"/>
    </row>
    <row r="6686" spans="47:47" ht="12" hidden="1" customHeight="1" x14ac:dyDescent="0.3">
      <c r="AU6686" s="45"/>
    </row>
    <row r="6687" spans="47:47" ht="12" hidden="1" customHeight="1" x14ac:dyDescent="0.3">
      <c r="AU6687" s="45"/>
    </row>
    <row r="6688" spans="47:47" ht="12" hidden="1" customHeight="1" x14ac:dyDescent="0.3">
      <c r="AU6688" s="45"/>
    </row>
    <row r="6689" spans="47:47" ht="12" hidden="1" customHeight="1" x14ac:dyDescent="0.3">
      <c r="AU6689" s="45"/>
    </row>
    <row r="6690" spans="47:47" ht="12" hidden="1" customHeight="1" x14ac:dyDescent="0.3">
      <c r="AU6690" s="45"/>
    </row>
    <row r="6691" spans="47:47" ht="12" hidden="1" customHeight="1" x14ac:dyDescent="0.3">
      <c r="AU6691" s="45"/>
    </row>
    <row r="6692" spans="47:47" ht="12" hidden="1" customHeight="1" x14ac:dyDescent="0.3">
      <c r="AU6692" s="45"/>
    </row>
    <row r="6693" spans="47:47" ht="12" hidden="1" customHeight="1" x14ac:dyDescent="0.3">
      <c r="AU6693" s="45"/>
    </row>
    <row r="6694" spans="47:47" ht="12" hidden="1" customHeight="1" x14ac:dyDescent="0.3">
      <c r="AU6694" s="45"/>
    </row>
    <row r="6695" spans="47:47" ht="12" hidden="1" customHeight="1" x14ac:dyDescent="0.3">
      <c r="AU6695" s="45"/>
    </row>
    <row r="6696" spans="47:47" ht="12" hidden="1" customHeight="1" x14ac:dyDescent="0.3">
      <c r="AU6696" s="45"/>
    </row>
    <row r="6697" spans="47:47" ht="12" hidden="1" customHeight="1" x14ac:dyDescent="0.3">
      <c r="AU6697" s="45"/>
    </row>
    <row r="6698" spans="47:47" ht="12" hidden="1" customHeight="1" x14ac:dyDescent="0.3">
      <c r="AU6698" s="45"/>
    </row>
    <row r="6699" spans="47:47" ht="12" hidden="1" customHeight="1" x14ac:dyDescent="0.3">
      <c r="AU6699" s="45"/>
    </row>
    <row r="6700" spans="47:47" ht="12" hidden="1" customHeight="1" x14ac:dyDescent="0.3">
      <c r="AU6700" s="45"/>
    </row>
    <row r="6701" spans="47:47" ht="12" hidden="1" customHeight="1" x14ac:dyDescent="0.3">
      <c r="AU6701" s="45"/>
    </row>
    <row r="6702" spans="47:47" ht="12" hidden="1" customHeight="1" x14ac:dyDescent="0.3">
      <c r="AU6702" s="45"/>
    </row>
    <row r="6703" spans="47:47" ht="12" hidden="1" customHeight="1" x14ac:dyDescent="0.3">
      <c r="AU6703" s="45"/>
    </row>
    <row r="6704" spans="47:47" ht="12" hidden="1" customHeight="1" x14ac:dyDescent="0.3">
      <c r="AU6704" s="45"/>
    </row>
    <row r="6705" spans="47:47" ht="12" hidden="1" customHeight="1" x14ac:dyDescent="0.3">
      <c r="AU6705" s="45"/>
    </row>
    <row r="6706" spans="47:47" ht="12" hidden="1" customHeight="1" x14ac:dyDescent="0.3">
      <c r="AU6706" s="45"/>
    </row>
    <row r="6707" spans="47:47" ht="12" hidden="1" customHeight="1" x14ac:dyDescent="0.3">
      <c r="AU6707" s="45"/>
    </row>
    <row r="6708" spans="47:47" ht="12" hidden="1" customHeight="1" x14ac:dyDescent="0.3">
      <c r="AU6708" s="45"/>
    </row>
    <row r="6709" spans="47:47" ht="12" hidden="1" customHeight="1" x14ac:dyDescent="0.3">
      <c r="AU6709" s="45"/>
    </row>
    <row r="6710" spans="47:47" ht="12" hidden="1" customHeight="1" x14ac:dyDescent="0.3">
      <c r="AU6710" s="45"/>
    </row>
    <row r="6711" spans="47:47" ht="12" hidden="1" customHeight="1" x14ac:dyDescent="0.3">
      <c r="AU6711" s="45"/>
    </row>
    <row r="6712" spans="47:47" ht="12" hidden="1" customHeight="1" x14ac:dyDescent="0.3">
      <c r="AU6712" s="45"/>
    </row>
    <row r="6713" spans="47:47" ht="12" hidden="1" customHeight="1" x14ac:dyDescent="0.3">
      <c r="AU6713" s="45"/>
    </row>
    <row r="6714" spans="47:47" ht="12" hidden="1" customHeight="1" x14ac:dyDescent="0.3">
      <c r="AU6714" s="45"/>
    </row>
    <row r="6715" spans="47:47" ht="12" hidden="1" customHeight="1" x14ac:dyDescent="0.3">
      <c r="AU6715" s="45"/>
    </row>
    <row r="6716" spans="47:47" ht="12" hidden="1" customHeight="1" x14ac:dyDescent="0.3">
      <c r="AU6716" s="45"/>
    </row>
    <row r="6717" spans="47:47" ht="12" hidden="1" customHeight="1" x14ac:dyDescent="0.3">
      <c r="AU6717" s="45"/>
    </row>
    <row r="6718" spans="47:47" ht="12" hidden="1" customHeight="1" x14ac:dyDescent="0.3">
      <c r="AU6718" s="45"/>
    </row>
    <row r="6719" spans="47:47" ht="12" hidden="1" customHeight="1" x14ac:dyDescent="0.3">
      <c r="AU6719" s="45"/>
    </row>
    <row r="6720" spans="47:47" ht="12" hidden="1" customHeight="1" x14ac:dyDescent="0.3">
      <c r="AU6720" s="45"/>
    </row>
    <row r="6721" spans="47:47" ht="12" hidden="1" customHeight="1" x14ac:dyDescent="0.3">
      <c r="AU6721" s="45"/>
    </row>
    <row r="6722" spans="47:47" ht="12" hidden="1" customHeight="1" x14ac:dyDescent="0.3">
      <c r="AU6722" s="45"/>
    </row>
    <row r="6723" spans="47:47" ht="12" hidden="1" customHeight="1" x14ac:dyDescent="0.3">
      <c r="AU6723" s="45"/>
    </row>
    <row r="6724" spans="47:47" ht="12" hidden="1" customHeight="1" x14ac:dyDescent="0.3">
      <c r="AU6724" s="45"/>
    </row>
    <row r="6725" spans="47:47" ht="12" hidden="1" customHeight="1" x14ac:dyDescent="0.3">
      <c r="AU6725" s="45"/>
    </row>
    <row r="6726" spans="47:47" ht="12" hidden="1" customHeight="1" x14ac:dyDescent="0.3">
      <c r="AU6726" s="45"/>
    </row>
    <row r="6727" spans="47:47" ht="12" hidden="1" customHeight="1" x14ac:dyDescent="0.3">
      <c r="AU6727" s="45"/>
    </row>
    <row r="6728" spans="47:47" ht="12" hidden="1" customHeight="1" x14ac:dyDescent="0.3">
      <c r="AU6728" s="45"/>
    </row>
    <row r="6729" spans="47:47" ht="12" hidden="1" customHeight="1" x14ac:dyDescent="0.3">
      <c r="AU6729" s="45"/>
    </row>
    <row r="6730" spans="47:47" ht="12" hidden="1" customHeight="1" x14ac:dyDescent="0.3">
      <c r="AU6730" s="45"/>
    </row>
    <row r="6731" spans="47:47" ht="12" hidden="1" customHeight="1" x14ac:dyDescent="0.3">
      <c r="AU6731" s="45"/>
    </row>
    <row r="6732" spans="47:47" ht="12" hidden="1" customHeight="1" x14ac:dyDescent="0.3">
      <c r="AU6732" s="45"/>
    </row>
    <row r="6733" spans="47:47" ht="12" hidden="1" customHeight="1" x14ac:dyDescent="0.3">
      <c r="AU6733" s="45"/>
    </row>
    <row r="6734" spans="47:47" ht="12" hidden="1" customHeight="1" x14ac:dyDescent="0.3">
      <c r="AU6734" s="45"/>
    </row>
    <row r="6735" spans="47:47" ht="12" hidden="1" customHeight="1" x14ac:dyDescent="0.3">
      <c r="AU6735" s="45"/>
    </row>
    <row r="6736" spans="47:47" ht="12" hidden="1" customHeight="1" x14ac:dyDescent="0.3">
      <c r="AU6736" s="45"/>
    </row>
    <row r="6737" spans="47:47" ht="12" hidden="1" customHeight="1" x14ac:dyDescent="0.3">
      <c r="AU6737" s="45"/>
    </row>
    <row r="6738" spans="47:47" ht="12" hidden="1" customHeight="1" x14ac:dyDescent="0.3">
      <c r="AU6738" s="45"/>
    </row>
    <row r="6739" spans="47:47" ht="12" hidden="1" customHeight="1" x14ac:dyDescent="0.3">
      <c r="AU6739" s="45"/>
    </row>
    <row r="6740" spans="47:47" ht="12" hidden="1" customHeight="1" x14ac:dyDescent="0.3">
      <c r="AU6740" s="45"/>
    </row>
    <row r="6741" spans="47:47" ht="12" hidden="1" customHeight="1" x14ac:dyDescent="0.3">
      <c r="AU6741" s="45"/>
    </row>
    <row r="6742" spans="47:47" ht="12" hidden="1" customHeight="1" x14ac:dyDescent="0.3">
      <c r="AU6742" s="45"/>
    </row>
    <row r="6743" spans="47:47" ht="12" hidden="1" customHeight="1" x14ac:dyDescent="0.3">
      <c r="AU6743" s="45"/>
    </row>
    <row r="6744" spans="47:47" ht="12" hidden="1" customHeight="1" x14ac:dyDescent="0.3">
      <c r="AU6744" s="45"/>
    </row>
    <row r="6745" spans="47:47" ht="12" hidden="1" customHeight="1" x14ac:dyDescent="0.3">
      <c r="AU6745" s="45"/>
    </row>
    <row r="6746" spans="47:47" ht="12" hidden="1" customHeight="1" x14ac:dyDescent="0.3">
      <c r="AU6746" s="45"/>
    </row>
    <row r="6747" spans="47:47" ht="12" hidden="1" customHeight="1" x14ac:dyDescent="0.3">
      <c r="AU6747" s="45"/>
    </row>
    <row r="6748" spans="47:47" ht="12" hidden="1" customHeight="1" x14ac:dyDescent="0.3">
      <c r="AU6748" s="45"/>
    </row>
    <row r="6749" spans="47:47" ht="12" hidden="1" customHeight="1" x14ac:dyDescent="0.3">
      <c r="AU6749" s="45"/>
    </row>
    <row r="6750" spans="47:47" ht="12" hidden="1" customHeight="1" x14ac:dyDescent="0.3">
      <c r="AU6750" s="45"/>
    </row>
    <row r="6751" spans="47:47" ht="12" hidden="1" customHeight="1" x14ac:dyDescent="0.3">
      <c r="AU6751" s="45"/>
    </row>
    <row r="6752" spans="47:47" ht="12" hidden="1" customHeight="1" x14ac:dyDescent="0.3">
      <c r="AU6752" s="45"/>
    </row>
    <row r="6753" spans="47:47" ht="12" hidden="1" customHeight="1" x14ac:dyDescent="0.3">
      <c r="AU6753" s="45"/>
    </row>
    <row r="6754" spans="47:47" ht="12" hidden="1" customHeight="1" x14ac:dyDescent="0.3">
      <c r="AU6754" s="45"/>
    </row>
    <row r="6755" spans="47:47" ht="12" hidden="1" customHeight="1" x14ac:dyDescent="0.3">
      <c r="AU6755" s="45"/>
    </row>
    <row r="6756" spans="47:47" ht="12" hidden="1" customHeight="1" x14ac:dyDescent="0.3">
      <c r="AU6756" s="45"/>
    </row>
    <row r="6757" spans="47:47" ht="12" hidden="1" customHeight="1" x14ac:dyDescent="0.3">
      <c r="AU6757" s="45"/>
    </row>
    <row r="6758" spans="47:47" ht="12" hidden="1" customHeight="1" x14ac:dyDescent="0.3">
      <c r="AU6758" s="45"/>
    </row>
    <row r="6759" spans="47:47" ht="12" hidden="1" customHeight="1" x14ac:dyDescent="0.3">
      <c r="AU6759" s="45"/>
    </row>
    <row r="6760" spans="47:47" ht="12" hidden="1" customHeight="1" x14ac:dyDescent="0.3">
      <c r="AU6760" s="45"/>
    </row>
    <row r="6761" spans="47:47" ht="12" hidden="1" customHeight="1" x14ac:dyDescent="0.3">
      <c r="AU6761" s="45"/>
    </row>
    <row r="6762" spans="47:47" ht="12" hidden="1" customHeight="1" x14ac:dyDescent="0.3">
      <c r="AU6762" s="45"/>
    </row>
    <row r="6763" spans="47:47" ht="12" hidden="1" customHeight="1" x14ac:dyDescent="0.3">
      <c r="AU6763" s="45"/>
    </row>
    <row r="6764" spans="47:47" ht="12" hidden="1" customHeight="1" x14ac:dyDescent="0.3">
      <c r="AU6764" s="45"/>
    </row>
    <row r="6765" spans="47:47" ht="12" hidden="1" customHeight="1" x14ac:dyDescent="0.3">
      <c r="AU6765" s="45"/>
    </row>
    <row r="6766" spans="47:47" ht="12" hidden="1" customHeight="1" x14ac:dyDescent="0.3">
      <c r="AU6766" s="45"/>
    </row>
    <row r="6767" spans="47:47" ht="12" hidden="1" customHeight="1" x14ac:dyDescent="0.3">
      <c r="AU6767" s="45"/>
    </row>
    <row r="6768" spans="47:47" ht="12" hidden="1" customHeight="1" x14ac:dyDescent="0.3">
      <c r="AU6768" s="45"/>
    </row>
    <row r="6769" spans="47:47" ht="12" hidden="1" customHeight="1" x14ac:dyDescent="0.3">
      <c r="AU6769" s="45"/>
    </row>
    <row r="6770" spans="47:47" ht="12" hidden="1" customHeight="1" x14ac:dyDescent="0.3">
      <c r="AU6770" s="45"/>
    </row>
    <row r="6771" spans="47:47" ht="12" hidden="1" customHeight="1" x14ac:dyDescent="0.3">
      <c r="AU6771" s="45"/>
    </row>
    <row r="6772" spans="47:47" ht="12" hidden="1" customHeight="1" x14ac:dyDescent="0.3">
      <c r="AU6772" s="45"/>
    </row>
    <row r="6773" spans="47:47" ht="12" hidden="1" customHeight="1" x14ac:dyDescent="0.3">
      <c r="AU6773" s="45"/>
    </row>
    <row r="6774" spans="47:47" ht="12" hidden="1" customHeight="1" x14ac:dyDescent="0.3">
      <c r="AU6774" s="45"/>
    </row>
    <row r="6775" spans="47:47" ht="12" hidden="1" customHeight="1" x14ac:dyDescent="0.3">
      <c r="AU6775" s="45"/>
    </row>
    <row r="6776" spans="47:47" ht="12" hidden="1" customHeight="1" x14ac:dyDescent="0.3">
      <c r="AU6776" s="45"/>
    </row>
    <row r="6777" spans="47:47" ht="12" hidden="1" customHeight="1" x14ac:dyDescent="0.3">
      <c r="AU6777" s="45"/>
    </row>
    <row r="6778" spans="47:47" ht="12" hidden="1" customHeight="1" x14ac:dyDescent="0.3">
      <c r="AU6778" s="45"/>
    </row>
    <row r="6779" spans="47:47" ht="12" hidden="1" customHeight="1" x14ac:dyDescent="0.3">
      <c r="AU6779" s="45"/>
    </row>
    <row r="6780" spans="47:47" ht="12" hidden="1" customHeight="1" x14ac:dyDescent="0.3">
      <c r="AU6780" s="45"/>
    </row>
    <row r="6781" spans="47:47" ht="12" hidden="1" customHeight="1" x14ac:dyDescent="0.3">
      <c r="AU6781" s="45"/>
    </row>
    <row r="6782" spans="47:47" ht="12" hidden="1" customHeight="1" x14ac:dyDescent="0.3">
      <c r="AU6782" s="45"/>
    </row>
    <row r="6783" spans="47:47" ht="12" hidden="1" customHeight="1" x14ac:dyDescent="0.3">
      <c r="AU6783" s="45"/>
    </row>
    <row r="6784" spans="47:47" ht="12" hidden="1" customHeight="1" x14ac:dyDescent="0.3">
      <c r="AU6784" s="45"/>
    </row>
    <row r="6785" spans="47:47" ht="12" hidden="1" customHeight="1" x14ac:dyDescent="0.3">
      <c r="AU6785" s="45"/>
    </row>
    <row r="6786" spans="47:47" ht="12" hidden="1" customHeight="1" x14ac:dyDescent="0.3">
      <c r="AU6786" s="45"/>
    </row>
    <row r="6787" spans="47:47" ht="12" hidden="1" customHeight="1" x14ac:dyDescent="0.3">
      <c r="AU6787" s="45"/>
    </row>
    <row r="6788" spans="47:47" ht="12" hidden="1" customHeight="1" x14ac:dyDescent="0.3">
      <c r="AU6788" s="45"/>
    </row>
    <row r="6789" spans="47:47" ht="12" hidden="1" customHeight="1" x14ac:dyDescent="0.3">
      <c r="AU6789" s="45"/>
    </row>
    <row r="6790" spans="47:47" ht="12" hidden="1" customHeight="1" x14ac:dyDescent="0.3">
      <c r="AU6790" s="45"/>
    </row>
    <row r="6791" spans="47:47" ht="12" hidden="1" customHeight="1" x14ac:dyDescent="0.3">
      <c r="AU6791" s="45"/>
    </row>
    <row r="6792" spans="47:47" ht="12" hidden="1" customHeight="1" x14ac:dyDescent="0.3">
      <c r="AU6792" s="45"/>
    </row>
    <row r="6793" spans="47:47" ht="12" hidden="1" customHeight="1" x14ac:dyDescent="0.3">
      <c r="AU6793" s="45"/>
    </row>
    <row r="6794" spans="47:47" ht="12" hidden="1" customHeight="1" x14ac:dyDescent="0.3">
      <c r="AU6794" s="45"/>
    </row>
    <row r="6795" spans="47:47" ht="12" hidden="1" customHeight="1" x14ac:dyDescent="0.3">
      <c r="AU6795" s="45"/>
    </row>
    <row r="6796" spans="47:47" ht="12" hidden="1" customHeight="1" x14ac:dyDescent="0.3">
      <c r="AU6796" s="45"/>
    </row>
    <row r="6797" spans="47:47" ht="12" hidden="1" customHeight="1" x14ac:dyDescent="0.3">
      <c r="AU6797" s="45"/>
    </row>
    <row r="6798" spans="47:47" ht="12" hidden="1" customHeight="1" x14ac:dyDescent="0.3">
      <c r="AU6798" s="45"/>
    </row>
    <row r="6799" spans="47:47" ht="12" hidden="1" customHeight="1" x14ac:dyDescent="0.3">
      <c r="AU6799" s="45"/>
    </row>
    <row r="6800" spans="47:47" ht="12" hidden="1" customHeight="1" x14ac:dyDescent="0.3">
      <c r="AU6800" s="45"/>
    </row>
    <row r="6801" spans="47:47" ht="12" hidden="1" customHeight="1" x14ac:dyDescent="0.3">
      <c r="AU6801" s="45"/>
    </row>
    <row r="6802" spans="47:47" ht="12" hidden="1" customHeight="1" x14ac:dyDescent="0.3">
      <c r="AU6802" s="45"/>
    </row>
    <row r="6803" spans="47:47" ht="12" hidden="1" customHeight="1" x14ac:dyDescent="0.3">
      <c r="AU6803" s="45"/>
    </row>
    <row r="6804" spans="47:47" ht="12" hidden="1" customHeight="1" x14ac:dyDescent="0.3">
      <c r="AU6804" s="45"/>
    </row>
    <row r="6805" spans="47:47" ht="12" hidden="1" customHeight="1" x14ac:dyDescent="0.3">
      <c r="AU6805" s="45"/>
    </row>
    <row r="6806" spans="47:47" ht="12" hidden="1" customHeight="1" x14ac:dyDescent="0.3">
      <c r="AU6806" s="45"/>
    </row>
    <row r="6807" spans="47:47" ht="12" hidden="1" customHeight="1" x14ac:dyDescent="0.3">
      <c r="AU6807" s="45"/>
    </row>
    <row r="6808" spans="47:47" ht="12" hidden="1" customHeight="1" x14ac:dyDescent="0.3">
      <c r="AU6808" s="45"/>
    </row>
    <row r="6809" spans="47:47" ht="12" hidden="1" customHeight="1" x14ac:dyDescent="0.3">
      <c r="AU6809" s="45"/>
    </row>
    <row r="6810" spans="47:47" ht="12" hidden="1" customHeight="1" x14ac:dyDescent="0.3">
      <c r="AU6810" s="45"/>
    </row>
    <row r="6811" spans="47:47" ht="12" hidden="1" customHeight="1" x14ac:dyDescent="0.3">
      <c r="AU6811" s="45"/>
    </row>
    <row r="6812" spans="47:47" ht="12" hidden="1" customHeight="1" x14ac:dyDescent="0.3">
      <c r="AU6812" s="45"/>
    </row>
    <row r="6813" spans="47:47" ht="12" hidden="1" customHeight="1" x14ac:dyDescent="0.3">
      <c r="AU6813" s="45"/>
    </row>
    <row r="6814" spans="47:47" ht="12" hidden="1" customHeight="1" x14ac:dyDescent="0.3">
      <c r="AU6814" s="45"/>
    </row>
    <row r="6815" spans="47:47" ht="12" hidden="1" customHeight="1" x14ac:dyDescent="0.3">
      <c r="AU6815" s="45"/>
    </row>
    <row r="6816" spans="47:47" ht="12" hidden="1" customHeight="1" x14ac:dyDescent="0.3">
      <c r="AU6816" s="45"/>
    </row>
    <row r="6817" spans="47:47" ht="12" hidden="1" customHeight="1" x14ac:dyDescent="0.3">
      <c r="AU6817" s="45"/>
    </row>
    <row r="6818" spans="47:47" ht="12" hidden="1" customHeight="1" x14ac:dyDescent="0.3">
      <c r="AU6818" s="45"/>
    </row>
    <row r="6819" spans="47:47" ht="12" hidden="1" customHeight="1" x14ac:dyDescent="0.3">
      <c r="AU6819" s="45"/>
    </row>
    <row r="6820" spans="47:47" ht="12" hidden="1" customHeight="1" x14ac:dyDescent="0.3">
      <c r="AU6820" s="45"/>
    </row>
    <row r="6821" spans="47:47" ht="12" hidden="1" customHeight="1" x14ac:dyDescent="0.3">
      <c r="AU6821" s="45"/>
    </row>
    <row r="6822" spans="47:47" ht="12" hidden="1" customHeight="1" x14ac:dyDescent="0.3">
      <c r="AU6822" s="45"/>
    </row>
    <row r="6823" spans="47:47" ht="12" hidden="1" customHeight="1" x14ac:dyDescent="0.3">
      <c r="AU6823" s="45"/>
    </row>
    <row r="6824" spans="47:47" ht="12" hidden="1" customHeight="1" x14ac:dyDescent="0.3">
      <c r="AU6824" s="45"/>
    </row>
    <row r="6825" spans="47:47" ht="12" hidden="1" customHeight="1" x14ac:dyDescent="0.3">
      <c r="AU6825" s="45"/>
    </row>
    <row r="6826" spans="47:47" ht="12" hidden="1" customHeight="1" x14ac:dyDescent="0.3">
      <c r="AU6826" s="45"/>
    </row>
    <row r="6827" spans="47:47" ht="12" hidden="1" customHeight="1" x14ac:dyDescent="0.3">
      <c r="AU6827" s="45"/>
    </row>
    <row r="6828" spans="47:47" ht="12" hidden="1" customHeight="1" x14ac:dyDescent="0.3">
      <c r="AU6828" s="45"/>
    </row>
    <row r="6829" spans="47:47" ht="12" hidden="1" customHeight="1" x14ac:dyDescent="0.3">
      <c r="AU6829" s="45"/>
    </row>
    <row r="6830" spans="47:47" ht="12" hidden="1" customHeight="1" x14ac:dyDescent="0.3">
      <c r="AU6830" s="45"/>
    </row>
    <row r="6831" spans="47:47" ht="12" hidden="1" customHeight="1" x14ac:dyDescent="0.3">
      <c r="AU6831" s="45"/>
    </row>
    <row r="6832" spans="47:47" ht="12" hidden="1" customHeight="1" x14ac:dyDescent="0.3">
      <c r="AU6832" s="45"/>
    </row>
    <row r="6833" spans="47:47" ht="12" hidden="1" customHeight="1" x14ac:dyDescent="0.3">
      <c r="AU6833" s="45"/>
    </row>
    <row r="6834" spans="47:47" ht="12" hidden="1" customHeight="1" x14ac:dyDescent="0.3">
      <c r="AU6834" s="45"/>
    </row>
    <row r="6835" spans="47:47" ht="12" hidden="1" customHeight="1" x14ac:dyDescent="0.3">
      <c r="AU6835" s="45"/>
    </row>
    <row r="6836" spans="47:47" ht="12" hidden="1" customHeight="1" x14ac:dyDescent="0.3">
      <c r="AU6836" s="45"/>
    </row>
    <row r="6837" spans="47:47" ht="12" hidden="1" customHeight="1" x14ac:dyDescent="0.3">
      <c r="AU6837" s="45"/>
    </row>
    <row r="6838" spans="47:47" ht="12" hidden="1" customHeight="1" x14ac:dyDescent="0.3">
      <c r="AU6838" s="45"/>
    </row>
    <row r="6839" spans="47:47" ht="12" hidden="1" customHeight="1" x14ac:dyDescent="0.3">
      <c r="AU6839" s="45"/>
    </row>
    <row r="6840" spans="47:47" ht="12" hidden="1" customHeight="1" x14ac:dyDescent="0.3">
      <c r="AU6840" s="45"/>
    </row>
    <row r="6841" spans="47:47" ht="12" hidden="1" customHeight="1" x14ac:dyDescent="0.3">
      <c r="AU6841" s="45"/>
    </row>
    <row r="6842" spans="47:47" ht="12" hidden="1" customHeight="1" x14ac:dyDescent="0.3">
      <c r="AU6842" s="45"/>
    </row>
    <row r="6843" spans="47:47" ht="12" hidden="1" customHeight="1" x14ac:dyDescent="0.3">
      <c r="AU6843" s="45"/>
    </row>
    <row r="6844" spans="47:47" ht="12" hidden="1" customHeight="1" x14ac:dyDescent="0.3">
      <c r="AU6844" s="45"/>
    </row>
    <row r="6845" spans="47:47" ht="12" hidden="1" customHeight="1" x14ac:dyDescent="0.3">
      <c r="AU6845" s="45"/>
    </row>
    <row r="6846" spans="47:47" ht="12" hidden="1" customHeight="1" x14ac:dyDescent="0.3">
      <c r="AU6846" s="45"/>
    </row>
    <row r="6847" spans="47:47" ht="12" hidden="1" customHeight="1" x14ac:dyDescent="0.3">
      <c r="AU6847" s="45"/>
    </row>
    <row r="6848" spans="47:47" ht="12" hidden="1" customHeight="1" x14ac:dyDescent="0.3">
      <c r="AU6848" s="45"/>
    </row>
    <row r="6849" spans="47:47" ht="12" hidden="1" customHeight="1" x14ac:dyDescent="0.3">
      <c r="AU6849" s="45"/>
    </row>
    <row r="6850" spans="47:47" ht="12" hidden="1" customHeight="1" x14ac:dyDescent="0.3">
      <c r="AU6850" s="45"/>
    </row>
    <row r="6851" spans="47:47" ht="12" hidden="1" customHeight="1" x14ac:dyDescent="0.3">
      <c r="AU6851" s="45"/>
    </row>
    <row r="6852" spans="47:47" ht="12" hidden="1" customHeight="1" x14ac:dyDescent="0.3">
      <c r="AU6852" s="45"/>
    </row>
    <row r="6853" spans="47:47" ht="12" hidden="1" customHeight="1" x14ac:dyDescent="0.3">
      <c r="AU6853" s="45"/>
    </row>
    <row r="6854" spans="47:47" ht="12" hidden="1" customHeight="1" x14ac:dyDescent="0.3">
      <c r="AU6854" s="45"/>
    </row>
    <row r="6855" spans="47:47" ht="12" hidden="1" customHeight="1" x14ac:dyDescent="0.3">
      <c r="AU6855" s="45"/>
    </row>
    <row r="6856" spans="47:47" ht="12" hidden="1" customHeight="1" x14ac:dyDescent="0.3">
      <c r="AU6856" s="45"/>
    </row>
    <row r="6857" spans="47:47" ht="12" hidden="1" customHeight="1" x14ac:dyDescent="0.3">
      <c r="AU6857" s="45"/>
    </row>
    <row r="6858" spans="47:47" ht="12" hidden="1" customHeight="1" x14ac:dyDescent="0.3">
      <c r="AU6858" s="45"/>
    </row>
    <row r="6859" spans="47:47" ht="12" hidden="1" customHeight="1" x14ac:dyDescent="0.3">
      <c r="AU6859" s="45"/>
    </row>
    <row r="6860" spans="47:47" ht="12" hidden="1" customHeight="1" x14ac:dyDescent="0.3">
      <c r="AU6860" s="45"/>
    </row>
    <row r="6861" spans="47:47" ht="12" hidden="1" customHeight="1" x14ac:dyDescent="0.3">
      <c r="AU6861" s="45"/>
    </row>
    <row r="6862" spans="47:47" ht="12" hidden="1" customHeight="1" x14ac:dyDescent="0.3">
      <c r="AU6862" s="45"/>
    </row>
    <row r="6863" spans="47:47" ht="12" hidden="1" customHeight="1" x14ac:dyDescent="0.3">
      <c r="AU6863" s="45"/>
    </row>
  </sheetData>
  <autoFilter ref="A1:AU6863" xr:uid="{9931A248-8A11-4D8E-BACD-A0C0D59E4D18}">
    <filterColumn colId="16">
      <filters>
        <filter val="1. Aceitou o programa"/>
      </filters>
    </filterColumn>
  </autoFilter>
  <conditionalFormatting sqref="A1:A1385">
    <cfRule type="containsText" dxfId="28" priority="6" operator="containsText" text="Sim">
      <formula>NOT(ISERROR(SEARCH("Sim",A1)))</formula>
    </cfRule>
  </conditionalFormatting>
  <conditionalFormatting sqref="E1">
    <cfRule type="duplicateValues" dxfId="27" priority="8"/>
  </conditionalFormatting>
  <conditionalFormatting sqref="E568:E1048576">
    <cfRule type="duplicateValues" dxfId="26" priority="141"/>
  </conditionalFormatting>
  <conditionalFormatting sqref="E1:F1">
    <cfRule type="duplicateValues" dxfId="25" priority="10"/>
    <cfRule type="duplicateValues" dxfId="24" priority="11"/>
    <cfRule type="duplicateValues" dxfId="23" priority="12"/>
  </conditionalFormatting>
  <conditionalFormatting sqref="E2:F1306">
    <cfRule type="duplicateValues" dxfId="22" priority="223"/>
  </conditionalFormatting>
  <conditionalFormatting sqref="E1307:F1307">
    <cfRule type="duplicateValues" dxfId="21" priority="3"/>
  </conditionalFormatting>
  <conditionalFormatting sqref="E1308:F1320">
    <cfRule type="duplicateValues" dxfId="20" priority="2"/>
  </conditionalFormatting>
  <conditionalFormatting sqref="E1321:F1385">
    <cfRule type="duplicateValues" dxfId="19" priority="1"/>
  </conditionalFormatting>
  <conditionalFormatting sqref="F1">
    <cfRule type="duplicateValues" dxfId="18" priority="7"/>
    <cfRule type="duplicateValues" dxfId="17" priority="9"/>
  </conditionalFormatting>
  <conditionalFormatting sqref="F2:F1385">
    <cfRule type="duplicateValues" dxfId="16" priority="225"/>
  </conditionalFormatting>
  <conditionalFormatting sqref="F23:F394">
    <cfRule type="duplicateValues" dxfId="15" priority="148"/>
  </conditionalFormatting>
  <conditionalFormatting sqref="F395:F494">
    <cfRule type="duplicateValues" dxfId="14" priority="22"/>
    <cfRule type="duplicateValues" dxfId="13" priority="23"/>
  </conditionalFormatting>
  <conditionalFormatting sqref="F495:F567">
    <cfRule type="duplicateValues" dxfId="12" priority="24"/>
  </conditionalFormatting>
  <conditionalFormatting sqref="F568:F1048576">
    <cfRule type="duplicateValues" dxfId="11" priority="144"/>
    <cfRule type="duplicateValues" dxfId="10" priority="145"/>
  </conditionalFormatting>
  <conditionalFormatting sqref="J1:J1048576">
    <cfRule type="containsText" dxfId="9" priority="4" operator="containsText" text="M">
      <formula>NOT(ISERROR(SEARCH("M",J1)))</formula>
    </cfRule>
    <cfRule type="containsText" dxfId="8" priority="5" operator="containsText" text="F">
      <formula>NOT(ISERROR(SEARCH("F",J1)))</formula>
    </cfRule>
  </conditionalFormatting>
  <conditionalFormatting sqref="K23:K394">
    <cfRule type="containsText" dxfId="7" priority="19" operator="containsText" text="RJ">
      <formula>NOT(ISERROR(SEARCH("RJ",K23)))</formula>
    </cfRule>
  </conditionalFormatting>
  <conditionalFormatting sqref="AJ2:AJ1048576">
    <cfRule type="containsText" dxfId="6" priority="13" operator="containsText" text="Pendente">
      <formula>NOT(ISERROR(SEARCH("Pendente",AJ2)))</formula>
    </cfRule>
    <cfRule type="containsText" dxfId="5" priority="14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11727F12-144F-4468-9F80-2D2474DBDC3B}">
          <x14:formula1>
            <xm:f>'Lista Suspensa'!$K$2:$K$54</xm:f>
          </x14:formula1>
          <xm:sqref>AG75 AG1117 AF2:AF1048576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AG1118:AG1048576 AG2:AG74 AG76:AG1116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U2:U1048576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0053F904-F7A0-43EF-BFE3-FB04FD5D7519}">
          <x14:formula1>
            <xm:f>'Lista Suspensa'!$AD$2:$AD$6</xm:f>
          </x14:formula1>
          <xm:sqref>AB2:AB1048576</xm:sqref>
        </x14:dataValidation>
        <x14:dataValidation type="list" allowBlank="1" showInputMessage="1" showErrorMessage="1" xr:uid="{7139C0CB-DDC2-452C-8AFB-E6BFBC83039A}">
          <x14:formula1>
            <xm:f>'Lista Suspensa'!$AF$2:$AF$5</xm:f>
          </x14:formula1>
          <xm:sqref>AD2:AD1048576</xm:sqref>
        </x14:dataValidation>
        <x14:dataValidation type="list" allowBlank="1" showInputMessage="1" showErrorMessage="1" xr:uid="{65E2CBA2-87FB-422D-9BE7-DCEE57D02C45}">
          <x14:formula1>
            <xm:f>'Lista Suspensa'!$T$2:$T$6</xm:f>
          </x14:formula1>
          <xm:sqref>AH2:AH1048576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AI2:AI1048576 AK41 AK43 AK198 AK211 AK225 AK280 AK319 AK341 AK350 AK352 AK370 AK391 AK419 AK437 AK453 AK460 AK467 AK469 AK480 AK487 AK494 AK513:AK515 AK532 AK542 AK544 AK560 AK581 AK627 AK643 AK649 AK652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AK2:AK40 AK42 AK44:AK197 AK199:AK210 AK212:AK224 AK226:AK279 AK281:AK318 AK320:AK340 AK342:AK349 AK351 AK353:AK369 AK371:AK390 AK392:AK418 AK420:AK436 AK438:AK452 AK454:AK459 AK461:AK466 AK468 AK470:AK479 AK481:AK486 AK488:AK493 AK495:AK512 AK516:AK531 AK533:AK541 AK543 AK545:AK559 AK561:AK580 AK582:AK626 AK628:AK642 AK644:AK648 AK650:AK651 AK653:AK1048576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1"/>
  <sheetViews>
    <sheetView showGridLines="0" workbookViewId="0">
      <pane ySplit="9" topLeftCell="A10" activePane="bottomLeft" state="frozen"/>
      <selection pane="bottomLeft" activeCell="C11" sqref="C11"/>
    </sheetView>
  </sheetViews>
  <sheetFormatPr defaultRowHeight="14.4" x14ac:dyDescent="0.3"/>
  <cols>
    <col min="1" max="1" width="3.44140625" customWidth="1"/>
    <col min="2" max="2" width="42.109375" customWidth="1"/>
    <col min="3" max="3" width="16.33203125" customWidth="1"/>
    <col min="4" max="9" width="12.88671875" customWidth="1"/>
    <col min="10" max="10" width="5.5546875" bestFit="1" customWidth="1"/>
    <col min="11" max="11" width="31.33203125" bestFit="1" customWidth="1"/>
    <col min="12" max="17" width="12.6640625" customWidth="1"/>
    <col min="18" max="18" width="5.5546875" bestFit="1" customWidth="1"/>
    <col min="19" max="19" width="40.33203125" bestFit="1" customWidth="1"/>
    <col min="20" max="21" width="12.33203125" customWidth="1"/>
    <col min="22" max="22" width="5.5546875" bestFit="1" customWidth="1"/>
    <col min="23" max="25" width="14.5546875" customWidth="1"/>
    <col min="26" max="26" width="13.44140625" customWidth="1"/>
    <col min="27" max="29" width="18.6640625" customWidth="1"/>
  </cols>
  <sheetData>
    <row r="2" spans="1:31" x14ac:dyDescent="0.3">
      <c r="B2" s="174" t="s">
        <v>37</v>
      </c>
      <c r="C2" s="81" t="s">
        <v>68</v>
      </c>
    </row>
    <row r="3" spans="1:31" x14ac:dyDescent="0.3">
      <c r="B3" s="174" t="s">
        <v>2</v>
      </c>
      <c r="C3" s="81"/>
      <c r="F3" s="40"/>
    </row>
    <row r="4" spans="1:31" x14ac:dyDescent="0.3">
      <c r="B4" s="174" t="s">
        <v>3743</v>
      </c>
      <c r="C4" s="81" t="s">
        <v>3744</v>
      </c>
      <c r="F4" s="40"/>
    </row>
    <row r="5" spans="1:31" x14ac:dyDescent="0.3">
      <c r="F5" s="40"/>
    </row>
    <row r="6" spans="1:31" x14ac:dyDescent="0.3">
      <c r="F6" s="40"/>
    </row>
    <row r="7" spans="1:31" x14ac:dyDescent="0.3">
      <c r="B7" s="175" t="s">
        <v>38</v>
      </c>
      <c r="C7" s="82">
        <v>46143</v>
      </c>
      <c r="D7" t="s">
        <v>3745</v>
      </c>
    </row>
    <row r="9" spans="1:31" x14ac:dyDescent="0.3">
      <c r="B9" s="176" t="s">
        <v>3746</v>
      </c>
      <c r="C9" s="78">
        <v>46143</v>
      </c>
    </row>
    <row r="10" spans="1:31" ht="14.25" customHeight="1" x14ac:dyDescent="0.3">
      <c r="B10" s="176" t="s">
        <v>3747</v>
      </c>
      <c r="C10" s="78">
        <v>46174</v>
      </c>
    </row>
    <row r="12" spans="1:31" s="182" customFormat="1" x14ac:dyDescent="0.3">
      <c r="A12" s="180"/>
      <c r="B12" s="181" t="s">
        <v>3748</v>
      </c>
      <c r="C12" s="180"/>
      <c r="D12" s="180"/>
      <c r="E12" s="180"/>
      <c r="F12" s="180"/>
      <c r="G12" s="180"/>
      <c r="H12" s="180"/>
      <c r="I12" s="180"/>
      <c r="J12" s="180"/>
      <c r="K12" s="180"/>
      <c r="L12" s="180"/>
      <c r="M12" s="180"/>
      <c r="N12" s="180"/>
      <c r="O12" s="180"/>
      <c r="P12" s="180"/>
      <c r="Q12" s="180"/>
      <c r="R12" s="180"/>
      <c r="S12" s="180"/>
      <c r="T12" s="180"/>
      <c r="U12" s="180"/>
      <c r="V12" s="180"/>
      <c r="W12" s="180"/>
      <c r="X12" s="180"/>
      <c r="Y12" s="180"/>
      <c r="Z12" s="180"/>
      <c r="AA12" s="180"/>
      <c r="AB12" s="180"/>
      <c r="AC12" s="180"/>
      <c r="AD12" s="180"/>
      <c r="AE12" s="180"/>
    </row>
    <row r="14" spans="1:31" x14ac:dyDescent="0.3">
      <c r="B14" s="202" t="s">
        <v>16</v>
      </c>
      <c r="C14" s="141" t="s">
        <v>39</v>
      </c>
      <c r="D14" s="141"/>
      <c r="E14" s="141"/>
      <c r="F14" s="141"/>
      <c r="G14" s="141"/>
      <c r="H14" s="141" t="s">
        <v>3749</v>
      </c>
      <c r="I14" s="141"/>
      <c r="K14" s="202" t="s">
        <v>3750</v>
      </c>
      <c r="L14" s="141" t="s">
        <v>39</v>
      </c>
      <c r="M14" s="141"/>
      <c r="N14" s="141"/>
      <c r="O14" s="141"/>
      <c r="P14" s="141"/>
      <c r="Q14" s="141"/>
      <c r="S14" s="77" t="s">
        <v>16</v>
      </c>
      <c r="T14" s="77" t="s">
        <v>3751</v>
      </c>
      <c r="U14" s="77" t="s">
        <v>3752</v>
      </c>
      <c r="W14" s="151" t="s">
        <v>3750</v>
      </c>
      <c r="X14" s="151"/>
      <c r="Y14" s="151"/>
    </row>
    <row r="15" spans="1:31" x14ac:dyDescent="0.3">
      <c r="B15" s="202"/>
      <c r="C15" s="37">
        <v>1</v>
      </c>
      <c r="D15" s="141">
        <v>2</v>
      </c>
      <c r="E15" s="141">
        <v>3</v>
      </c>
      <c r="F15" s="141">
        <v>4</v>
      </c>
      <c r="G15" s="141">
        <v>5</v>
      </c>
      <c r="H15" s="141" t="s">
        <v>3751</v>
      </c>
      <c r="I15" s="141" t="s">
        <v>3752</v>
      </c>
      <c r="K15" s="202"/>
      <c r="L15" s="142">
        <v>1</v>
      </c>
      <c r="M15" s="142">
        <v>2</v>
      </c>
      <c r="N15" s="142">
        <v>3</v>
      </c>
      <c r="O15" s="142">
        <v>4</v>
      </c>
      <c r="P15" s="142">
        <v>5</v>
      </c>
      <c r="Q15" s="141" t="s">
        <v>3749</v>
      </c>
      <c r="S15" s="157" t="s">
        <v>58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22</v>
      </c>
      <c r="U15" s="80">
        <f t="shared" ref="U15:U40" si="0">IFERROR(T15/$T$40,0)</f>
        <v>0.66666666666666663</v>
      </c>
      <c r="W15" s="152" t="s">
        <v>3753</v>
      </c>
      <c r="X15" s="152"/>
      <c r="Y15" s="153">
        <f>IFERROR(T15/T40,0)</f>
        <v>0.66666666666666663</v>
      </c>
    </row>
    <row r="16" spans="1:31" x14ac:dyDescent="0.3">
      <c r="B16" s="158" t="s">
        <v>58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7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3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5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7</v>
      </c>
      <c r="H16" s="44">
        <f>SUM(C16:G16)</f>
        <v>22</v>
      </c>
      <c r="I16" s="49">
        <f t="shared" ref="I16:I41" si="1">+IFERROR(H16/$H$41,0)</f>
        <v>0.66666666666666663</v>
      </c>
      <c r="K16" s="36" t="s">
        <v>3744</v>
      </c>
      <c r="L16" s="36">
        <f t="shared" ref="L16:Q16" si="2">+C41</f>
        <v>0</v>
      </c>
      <c r="M16" s="36">
        <f t="shared" si="2"/>
        <v>11</v>
      </c>
      <c r="N16" s="36">
        <f t="shared" si="2"/>
        <v>5</v>
      </c>
      <c r="O16" s="36">
        <f t="shared" si="2"/>
        <v>7</v>
      </c>
      <c r="P16" s="36">
        <f t="shared" si="2"/>
        <v>10</v>
      </c>
      <c r="Q16" s="44">
        <f t="shared" si="2"/>
        <v>33</v>
      </c>
      <c r="S16" s="169" t="s">
        <v>3754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48">
        <f t="shared" si="0"/>
        <v>0</v>
      </c>
      <c r="W16" s="171" t="s">
        <v>3755</v>
      </c>
      <c r="X16" s="171"/>
      <c r="Y16" s="173">
        <f>IFERROR(SUMIFS(Consolidado!AQ:AQ,Consolidado!$AL:$AL,IF(ISBLANK($C$2),"&lt;&gt;",$C$2),Consolidado!$B:$B,"&lt;="&amp;Análise!$C$10,Consolidado!$B:$B,"&gt;="&amp;Análise!$C$9,Consolidado!$C:$C,IF(ISBLANK($C$3),"&lt;&gt;",$C$3))/T15,0)</f>
        <v>8.3636363636363633</v>
      </c>
    </row>
    <row r="17" spans="2:25" x14ac:dyDescent="0.3">
      <c r="B17" s="159" t="s">
        <v>3754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59" t="s">
        <v>58</v>
      </c>
      <c r="L17" s="38">
        <f t="shared" ref="L17:Q17" si="4">+C16</f>
        <v>0</v>
      </c>
      <c r="M17" s="38">
        <f t="shared" si="4"/>
        <v>7</v>
      </c>
      <c r="N17" s="38">
        <f t="shared" si="4"/>
        <v>3</v>
      </c>
      <c r="O17" s="38">
        <f t="shared" si="4"/>
        <v>5</v>
      </c>
      <c r="P17" s="38">
        <f t="shared" si="4"/>
        <v>7</v>
      </c>
      <c r="Q17" s="39">
        <f t="shared" si="4"/>
        <v>22</v>
      </c>
      <c r="S17" s="157" t="s">
        <v>3756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52" t="s">
        <v>3757</v>
      </c>
      <c r="X17" s="152"/>
      <c r="Y17" s="154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5.875</v>
      </c>
    </row>
    <row r="18" spans="2:25" x14ac:dyDescent="0.3">
      <c r="B18" s="158" t="s">
        <v>3756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58" t="s">
        <v>3753</v>
      </c>
      <c r="L18" s="41" t="str">
        <f t="shared" ref="L18:Q18" si="5">IFERROR(L17/L16,"")</f>
        <v/>
      </c>
      <c r="M18" s="41">
        <f t="shared" si="5"/>
        <v>0.63636363636363635</v>
      </c>
      <c r="N18" s="41">
        <f t="shared" si="5"/>
        <v>0.6</v>
      </c>
      <c r="O18" s="41">
        <f t="shared" si="5"/>
        <v>0.7142857142857143</v>
      </c>
      <c r="P18" s="41">
        <f t="shared" si="5"/>
        <v>0.7</v>
      </c>
      <c r="Q18" s="49">
        <f t="shared" si="5"/>
        <v>0.66666666666666663</v>
      </c>
      <c r="S18" s="169" t="s">
        <v>3758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0</v>
      </c>
      <c r="U18" s="148">
        <f t="shared" si="0"/>
        <v>0</v>
      </c>
      <c r="W18" s="171" t="s">
        <v>3759</v>
      </c>
      <c r="X18" s="171"/>
      <c r="Y18" s="173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7.3710317460312842</v>
      </c>
    </row>
    <row r="19" spans="2:25" x14ac:dyDescent="0.3">
      <c r="B19" s="159" t="s">
        <v>3758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59" t="s">
        <v>3755</v>
      </c>
      <c r="L19" s="143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43">
        <f>IFERROR(SUMIFS(Consolidado!$AQ:$AQ,Consolidado!$AN:$AN,Análise!M15,Consolidado!$AM:$AM,Análise!$C$7,Consolidado!$AL:$AL,IF(ISBLANK($C$2),"&lt;&gt;",$C$2),Consolidado!$C:$C,IF(ISBLANK($C$3),"&lt;&gt;",$C$3))/M$17,0)</f>
        <v>5.7142857142857144</v>
      </c>
      <c r="N19" s="143">
        <f>IFERROR(SUMIFS(Consolidado!$AQ:$AQ,Consolidado!$AN:$AN,Análise!N15,Consolidado!$AM:$AM,Análise!$C$7,Consolidado!$AL:$AL,IF(ISBLANK($C$2),"&lt;&gt;",$C$2),Consolidado!$C:$C,IF(ISBLANK($C$3),"&lt;&gt;",$C$3))/N$17,0)</f>
        <v>16.666666666666668</v>
      </c>
      <c r="O19" s="143">
        <f>IFERROR(SUMIFS(Consolidado!$AQ:$AQ,Consolidado!$AN:$AN,Análise!O15,Consolidado!$AM:$AM,Análise!$C$7,Consolidado!$AL:$AL,IF(ISBLANK($C$2),"&lt;&gt;",$C$2),Consolidado!$C:$C,IF(ISBLANK($C$3),"&lt;&gt;",$C$3))/O$17,0)</f>
        <v>6</v>
      </c>
      <c r="P19" s="143">
        <f>IFERROR(SUMIFS(Consolidado!$AQ:$AQ,Consolidado!$AN:$AN,Análise!P15,Consolidado!$AM:$AM,Análise!$C$7,Consolidado!$AL:$AL,IF(ISBLANK($C$2),"&lt;&gt;",$C$2),Consolidado!$C:$C,IF(ISBLANK($C$3),"&lt;&gt;",$C$3))/P$17,0)</f>
        <v>9.1428571428571423</v>
      </c>
      <c r="Q19" s="146">
        <f>IFERROR(SUMIFS(Consolidado!AQ:AQ,Consolidado!$AM:$AM,Análise!$C$7,Consolidado!$AL:$AL,IF(ISBLANK($C$2),"&lt;&gt;",$C$2),Consolidado!$C:$C,IF(ISBLANK($C$3),"&lt;&gt;",$C$3))/$Q17,0)</f>
        <v>8.3636363636363633</v>
      </c>
      <c r="S19" s="157" t="s">
        <v>2828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52" t="s">
        <v>3760</v>
      </c>
      <c r="X19" s="152"/>
      <c r="Y19" s="154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10</v>
      </c>
    </row>
    <row r="20" spans="2:25" x14ac:dyDescent="0.3">
      <c r="B20" s="158" t="s">
        <v>2828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58" t="s">
        <v>3757</v>
      </c>
      <c r="L20" s="144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44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4.25</v>
      </c>
      <c r="N20" s="144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5</v>
      </c>
      <c r="O20" s="144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6</v>
      </c>
      <c r="P20" s="144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7</v>
      </c>
      <c r="Q20" s="147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5.875</v>
      </c>
      <c r="S20" s="169" t="s">
        <v>3761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48">
        <f t="shared" si="0"/>
        <v>0</v>
      </c>
      <c r="W20" s="171" t="s">
        <v>3762</v>
      </c>
      <c r="X20" s="171"/>
      <c r="Y20" s="172">
        <f>IFERROR((T15+T37)/T40,"")</f>
        <v>0.84848484848484851</v>
      </c>
    </row>
    <row r="21" spans="2:25" x14ac:dyDescent="0.3">
      <c r="B21" s="159" t="s">
        <v>3761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59" t="s">
        <v>3759</v>
      </c>
      <c r="L21" s="143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43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2.7986111111094942</v>
      </c>
      <c r="N21" s="143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12</v>
      </c>
      <c r="O21" s="143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7</v>
      </c>
      <c r="P21" s="143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10</v>
      </c>
      <c r="Q21" s="146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7.3710317460312842</v>
      </c>
      <c r="S21" s="157" t="s">
        <v>3763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 x14ac:dyDescent="0.3">
      <c r="B22" s="158" t="s">
        <v>3763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169" t="s">
        <v>3764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48">
        <f t="shared" si="0"/>
        <v>0</v>
      </c>
      <c r="W22" s="77" t="s">
        <v>3765</v>
      </c>
      <c r="X22" s="77" t="s">
        <v>3751</v>
      </c>
      <c r="Y22" s="77" t="s">
        <v>3752</v>
      </c>
    </row>
    <row r="23" spans="2:25" x14ac:dyDescent="0.3">
      <c r="B23" s="159" t="s">
        <v>3764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57" t="s">
        <v>3766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0</v>
      </c>
      <c r="U23" s="80">
        <f t="shared" si="0"/>
        <v>0</v>
      </c>
      <c r="W23" s="150" t="s">
        <v>70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7</v>
      </c>
      <c r="Y23" s="80">
        <f>IFERROR(X23/SUM($X$23:$X$24),"")</f>
        <v>0.31818181818181818</v>
      </c>
    </row>
    <row r="24" spans="2:25" x14ac:dyDescent="0.3">
      <c r="B24" s="158" t="s">
        <v>3766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02" t="s">
        <v>3750</v>
      </c>
      <c r="L24" s="141" t="s">
        <v>39</v>
      </c>
      <c r="M24" s="141"/>
      <c r="N24" s="141"/>
      <c r="O24" s="141"/>
      <c r="P24" s="141"/>
      <c r="Q24" s="141"/>
      <c r="S24" s="169" t="s">
        <v>3767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48">
        <f t="shared" si="0"/>
        <v>0</v>
      </c>
      <c r="W24" s="170" t="s">
        <v>51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15</v>
      </c>
      <c r="Y24" s="148">
        <f>IFERROR(X24/SUM($X$23:$X$24),"")</f>
        <v>0.68181818181818177</v>
      </c>
    </row>
    <row r="25" spans="2:25" x14ac:dyDescent="0.3">
      <c r="B25" s="159" t="s">
        <v>3767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02"/>
      <c r="L25" s="142">
        <v>1</v>
      </c>
      <c r="M25" s="142">
        <v>2</v>
      </c>
      <c r="N25" s="142">
        <v>3</v>
      </c>
      <c r="O25" s="142">
        <v>4</v>
      </c>
      <c r="P25" s="142">
        <v>5</v>
      </c>
      <c r="Q25" s="141" t="s">
        <v>3749</v>
      </c>
      <c r="S25" s="157" t="s">
        <v>3768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 x14ac:dyDescent="0.3">
      <c r="B26" s="158" t="s">
        <v>3768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3760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1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19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45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10</v>
      </c>
      <c r="S26" s="169" t="s">
        <v>3769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48">
        <f t="shared" si="0"/>
        <v>0</v>
      </c>
    </row>
    <row r="27" spans="2:25" x14ac:dyDescent="0.3">
      <c r="B27" s="159" t="s">
        <v>3769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57" t="s">
        <v>1393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 x14ac:dyDescent="0.3">
      <c r="B28" s="158" t="s">
        <v>1393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169" t="s">
        <v>745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1</v>
      </c>
      <c r="U28" s="148">
        <f t="shared" si="0"/>
        <v>3.0303030303030304E-2</v>
      </c>
    </row>
    <row r="29" spans="2:25" x14ac:dyDescent="0.3">
      <c r="B29" s="159" t="s">
        <v>745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0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1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9">
        <f t="shared" si="3"/>
        <v>1</v>
      </c>
      <c r="I29" s="43">
        <f t="shared" si="1"/>
        <v>3.0303030303030304E-2</v>
      </c>
      <c r="K29" s="202" t="s">
        <v>3750</v>
      </c>
      <c r="L29" s="141" t="s">
        <v>39</v>
      </c>
      <c r="M29" s="141"/>
      <c r="N29" s="141"/>
      <c r="O29" s="141"/>
      <c r="P29" s="141"/>
      <c r="Q29" s="141"/>
      <c r="S29" s="157" t="s">
        <v>78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 x14ac:dyDescent="0.3">
      <c r="B30" s="158" t="s">
        <v>78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02"/>
      <c r="L30" s="142">
        <v>1</v>
      </c>
      <c r="M30" s="142">
        <v>2</v>
      </c>
      <c r="N30" s="142">
        <v>3</v>
      </c>
      <c r="O30" s="142">
        <v>4</v>
      </c>
      <c r="P30" s="142">
        <v>5</v>
      </c>
      <c r="Q30" s="141" t="s">
        <v>3749</v>
      </c>
      <c r="S30" s="169" t="s">
        <v>3770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48">
        <f t="shared" si="0"/>
        <v>0</v>
      </c>
    </row>
    <row r="31" spans="2:25" x14ac:dyDescent="0.3">
      <c r="B31" s="159" t="s">
        <v>3770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3762</v>
      </c>
      <c r="L31" s="148" t="str">
        <f t="shared" ref="L31:Q31" si="6">IFERROR((C16+C38)/C41,"")</f>
        <v/>
      </c>
      <c r="M31" s="148">
        <f t="shared" si="6"/>
        <v>0.63636363636363635</v>
      </c>
      <c r="N31" s="148">
        <f t="shared" si="6"/>
        <v>1</v>
      </c>
      <c r="O31" s="148">
        <f t="shared" si="6"/>
        <v>0.8571428571428571</v>
      </c>
      <c r="P31" s="148">
        <f t="shared" si="6"/>
        <v>1</v>
      </c>
      <c r="Q31" s="149">
        <f t="shared" si="6"/>
        <v>0.84848484848484851</v>
      </c>
      <c r="S31" s="157" t="s">
        <v>941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0</v>
      </c>
      <c r="U31" s="80">
        <f t="shared" si="0"/>
        <v>0</v>
      </c>
    </row>
    <row r="32" spans="2:25" x14ac:dyDescent="0.3">
      <c r="B32" s="158" t="s">
        <v>941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169" t="s">
        <v>3771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48">
        <f t="shared" si="0"/>
        <v>0</v>
      </c>
    </row>
    <row r="33" spans="1:31" x14ac:dyDescent="0.3">
      <c r="B33" s="159" t="s">
        <v>3771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57" t="s">
        <v>2142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0</v>
      </c>
      <c r="U33" s="80">
        <f t="shared" si="0"/>
        <v>0</v>
      </c>
    </row>
    <row r="34" spans="1:31" x14ac:dyDescent="0.3">
      <c r="B34" s="158" t="s">
        <v>2142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3765</v>
      </c>
      <c r="L34" s="37" t="s">
        <v>3751</v>
      </c>
      <c r="M34" s="141" t="s">
        <v>3752</v>
      </c>
      <c r="S34" s="169" t="s">
        <v>2110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1</v>
      </c>
      <c r="U34" s="148">
        <f t="shared" si="0"/>
        <v>3.0303030303030304E-2</v>
      </c>
    </row>
    <row r="35" spans="1:31" x14ac:dyDescent="0.3">
      <c r="B35" s="159" t="s">
        <v>2110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1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1</v>
      </c>
      <c r="I35" s="43">
        <f t="shared" si="1"/>
        <v>3.0303030303030304E-2</v>
      </c>
      <c r="K35" s="36" t="s">
        <v>70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7</v>
      </c>
      <c r="M35" s="41">
        <f>IFERROR(L35/SUM($L$35:$L$36),"")</f>
        <v>0.31818181818181818</v>
      </c>
      <c r="S35" s="157" t="s">
        <v>3772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 x14ac:dyDescent="0.3">
      <c r="B36" s="158" t="s">
        <v>3772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51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15</v>
      </c>
      <c r="M36" s="42">
        <f>IFERROR(L36/SUM($L$35:$L$36),"")</f>
        <v>0.68181818181818177</v>
      </c>
      <c r="S36" s="169" t="s">
        <v>2211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3</v>
      </c>
      <c r="U36" s="148">
        <f t="shared" si="0"/>
        <v>9.0909090909090912E-2</v>
      </c>
    </row>
    <row r="37" spans="1:31" x14ac:dyDescent="0.3">
      <c r="B37" s="159" t="s">
        <v>2211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3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0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3</v>
      </c>
      <c r="I37" s="43">
        <f t="shared" si="1"/>
        <v>9.0909090909090912E-2</v>
      </c>
      <c r="S37" s="157" t="s">
        <v>3682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6</v>
      </c>
      <c r="U37" s="80">
        <f t="shared" si="0"/>
        <v>0.18181818181818182</v>
      </c>
    </row>
    <row r="38" spans="1:31" x14ac:dyDescent="0.3">
      <c r="B38" s="158" t="s">
        <v>3682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2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1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3</v>
      </c>
      <c r="H38" s="44">
        <f t="shared" si="3"/>
        <v>6</v>
      </c>
      <c r="I38" s="49">
        <f t="shared" si="1"/>
        <v>0.18181818181818182</v>
      </c>
      <c r="S38" s="169" t="s">
        <v>3773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48">
        <f t="shared" si="0"/>
        <v>0</v>
      </c>
    </row>
    <row r="39" spans="1:31" x14ac:dyDescent="0.3">
      <c r="B39" s="159" t="s">
        <v>3773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57" t="s">
        <v>3774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 x14ac:dyDescent="0.3">
      <c r="B40" s="158" t="s">
        <v>3774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170" t="s">
        <v>3744</v>
      </c>
      <c r="T40" s="39">
        <f>SUM(T15:T39)</f>
        <v>33</v>
      </c>
      <c r="U40" s="149">
        <f t="shared" si="0"/>
        <v>1</v>
      </c>
    </row>
    <row r="41" spans="1:31" x14ac:dyDescent="0.3">
      <c r="B41" s="39" t="s">
        <v>3744</v>
      </c>
      <c r="C41" s="39">
        <f t="shared" ref="C41:H41" si="7">SUM(C16:C40)</f>
        <v>0</v>
      </c>
      <c r="D41" s="39">
        <f t="shared" si="7"/>
        <v>11</v>
      </c>
      <c r="E41" s="39">
        <f t="shared" si="7"/>
        <v>5</v>
      </c>
      <c r="F41" s="39">
        <f t="shared" si="7"/>
        <v>7</v>
      </c>
      <c r="G41" s="39">
        <f t="shared" si="7"/>
        <v>10</v>
      </c>
      <c r="H41" s="39">
        <f t="shared" si="7"/>
        <v>33</v>
      </c>
      <c r="I41" s="43">
        <f t="shared" si="1"/>
        <v>1</v>
      </c>
    </row>
    <row r="43" spans="1:31" s="182" customFormat="1" x14ac:dyDescent="0.3">
      <c r="A43" s="180"/>
      <c r="B43" s="181" t="s">
        <v>3775</v>
      </c>
      <c r="C43" s="180"/>
      <c r="D43" s="180"/>
      <c r="E43" s="180"/>
      <c r="F43" s="180"/>
      <c r="G43" s="180"/>
      <c r="H43" s="180"/>
      <c r="I43" s="180"/>
      <c r="J43" s="180"/>
      <c r="K43" s="180"/>
      <c r="L43" s="180"/>
      <c r="M43" s="180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0"/>
      <c r="Y43" s="180"/>
      <c r="Z43" s="180"/>
      <c r="AA43" s="180"/>
      <c r="AB43" s="180"/>
      <c r="AC43" s="180"/>
      <c r="AD43" s="180"/>
      <c r="AE43" s="180"/>
    </row>
    <row r="45" spans="1:31" x14ac:dyDescent="0.3">
      <c r="B45" s="202" t="s">
        <v>16</v>
      </c>
      <c r="C45" s="141" t="s">
        <v>39</v>
      </c>
      <c r="D45" s="141"/>
      <c r="E45" s="141"/>
      <c r="F45" s="141"/>
      <c r="G45" s="141"/>
      <c r="H45" s="203" t="s">
        <v>3749</v>
      </c>
    </row>
    <row r="46" spans="1:31" x14ac:dyDescent="0.3">
      <c r="B46" s="202"/>
      <c r="C46" s="37">
        <v>1</v>
      </c>
      <c r="D46" s="141">
        <v>2</v>
      </c>
      <c r="E46" s="141">
        <v>3</v>
      </c>
      <c r="F46" s="141">
        <v>4</v>
      </c>
      <c r="G46" s="141">
        <v>5</v>
      </c>
      <c r="H46" s="204"/>
    </row>
    <row r="47" spans="1:31" x14ac:dyDescent="0.3">
      <c r="B47" s="158" t="s">
        <v>58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60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62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57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35</v>
      </c>
      <c r="H47" s="44">
        <f>SUM(C47:G47)</f>
        <v>214</v>
      </c>
    </row>
    <row r="49" spans="1:31" x14ac:dyDescent="0.3">
      <c r="B49" s="77" t="s">
        <v>16</v>
      </c>
      <c r="C49" s="77" t="s">
        <v>3776</v>
      </c>
    </row>
    <row r="50" spans="1:31" x14ac:dyDescent="0.3">
      <c r="B50" s="157" t="s">
        <v>58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214</v>
      </c>
    </row>
    <row r="52" spans="1:31" s="182" customFormat="1" x14ac:dyDescent="0.3">
      <c r="A52" s="180"/>
      <c r="B52" s="181" t="s">
        <v>3777</v>
      </c>
      <c r="C52" s="180"/>
      <c r="D52" s="180"/>
      <c r="E52" s="180"/>
      <c r="F52" s="180"/>
      <c r="G52" s="180"/>
      <c r="H52" s="180"/>
      <c r="I52" s="180"/>
      <c r="J52" s="180"/>
      <c r="K52" s="180"/>
      <c r="L52" s="180"/>
      <c r="M52" s="180"/>
      <c r="N52" s="180"/>
      <c r="O52" s="180"/>
      <c r="P52" s="180"/>
      <c r="Q52" s="180"/>
      <c r="R52" s="180"/>
      <c r="S52" s="180"/>
      <c r="T52" s="180"/>
      <c r="U52" s="180"/>
      <c r="V52" s="180"/>
      <c r="W52" s="180"/>
      <c r="X52" s="180"/>
      <c r="Y52" s="180"/>
      <c r="Z52" s="180"/>
      <c r="AA52" s="180"/>
      <c r="AB52" s="180"/>
      <c r="AC52" s="180"/>
      <c r="AD52" s="180"/>
      <c r="AE52" s="180"/>
    </row>
    <row r="54" spans="1:31" x14ac:dyDescent="0.3">
      <c r="B54" s="198" t="s">
        <v>3778</v>
      </c>
      <c r="C54" s="141" t="s">
        <v>39</v>
      </c>
      <c r="D54" s="141"/>
      <c r="E54" s="141"/>
      <c r="F54" s="141"/>
      <c r="G54" s="141"/>
      <c r="H54" s="141"/>
      <c r="K54" s="199" t="s">
        <v>3778</v>
      </c>
      <c r="L54" s="200" t="s">
        <v>3776</v>
      </c>
    </row>
    <row r="55" spans="1:31" x14ac:dyDescent="0.3">
      <c r="B55" s="198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3744</v>
      </c>
      <c r="K55" s="199"/>
      <c r="L55" s="201"/>
    </row>
    <row r="56" spans="1:31" x14ac:dyDescent="0.3">
      <c r="B56" s="47" t="s">
        <v>1999</v>
      </c>
      <c r="C56" s="36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36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0</v>
      </c>
      <c r="E56" s="36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0</v>
      </c>
      <c r="F56" s="36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0</v>
      </c>
      <c r="G56" s="36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44">
        <f>SUM(C56:G56)</f>
        <v>0</v>
      </c>
      <c r="K56" s="167" t="s">
        <v>1999</v>
      </c>
      <c r="L56" s="79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7" spans="1:31" x14ac:dyDescent="0.3">
      <c r="B57" s="48" t="s">
        <v>3779</v>
      </c>
      <c r="C57" s="38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38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0</v>
      </c>
      <c r="E57" s="38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38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38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39">
        <f t="shared" ref="H57:H62" si="8">SUM(C57:G57)</f>
        <v>0</v>
      </c>
      <c r="K57" s="48" t="s">
        <v>3779</v>
      </c>
      <c r="L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8" spans="1:31" x14ac:dyDescent="0.3">
      <c r="B58" s="47" t="s">
        <v>3780</v>
      </c>
      <c r="C58" s="36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36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36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36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36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44">
        <f t="shared" si="8"/>
        <v>0</v>
      </c>
      <c r="K58" s="167" t="s">
        <v>3780</v>
      </c>
      <c r="L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 x14ac:dyDescent="0.3">
      <c r="B59" s="48" t="s">
        <v>138</v>
      </c>
      <c r="C59" s="38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38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38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38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38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39">
        <f t="shared" si="8"/>
        <v>0</v>
      </c>
      <c r="K59" s="48" t="s">
        <v>138</v>
      </c>
      <c r="L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0" spans="1:31" x14ac:dyDescent="0.3">
      <c r="B60" s="47" t="s">
        <v>175</v>
      </c>
      <c r="C60" s="36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36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0</v>
      </c>
      <c r="E60" s="36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36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36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44">
        <f t="shared" si="8"/>
        <v>0</v>
      </c>
      <c r="K60" s="167" t="s">
        <v>175</v>
      </c>
      <c r="L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1" spans="1:31" x14ac:dyDescent="0.3">
      <c r="B61" s="48" t="s">
        <v>1912</v>
      </c>
      <c r="C61" s="38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38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0</v>
      </c>
      <c r="E61" s="38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0</v>
      </c>
      <c r="F61" s="38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0</v>
      </c>
      <c r="G61" s="38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39">
        <f t="shared" si="8"/>
        <v>0</v>
      </c>
      <c r="K61" s="48" t="s">
        <v>1912</v>
      </c>
      <c r="L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2" spans="1:31" x14ac:dyDescent="0.3">
      <c r="B62" s="47" t="s">
        <v>3744</v>
      </c>
      <c r="C62" s="44">
        <f>SUM(C56:C61)</f>
        <v>0</v>
      </c>
      <c r="D62" s="44">
        <f>SUM(D56:D61)</f>
        <v>0</v>
      </c>
      <c r="E62" s="44">
        <f>SUM(E56:E61)</f>
        <v>0</v>
      </c>
      <c r="F62" s="44">
        <f>SUM(F56:F61)</f>
        <v>0</v>
      </c>
      <c r="G62" s="44">
        <f>SUM(G56:G61)</f>
        <v>0</v>
      </c>
      <c r="H62" s="44">
        <f t="shared" si="8"/>
        <v>0</v>
      </c>
      <c r="K62" s="167" t="s">
        <v>3744</v>
      </c>
      <c r="L62" s="168">
        <f>SUM(L56:L61)</f>
        <v>0</v>
      </c>
    </row>
    <row r="64" spans="1:31" x14ac:dyDescent="0.3">
      <c r="B64" s="198" t="s">
        <v>3781</v>
      </c>
      <c r="C64" s="141" t="s">
        <v>39</v>
      </c>
      <c r="D64" s="141"/>
      <c r="E64" s="141"/>
      <c r="F64" s="141"/>
      <c r="G64" s="141"/>
      <c r="H64" s="141"/>
      <c r="K64" s="199" t="s">
        <v>3781</v>
      </c>
      <c r="L64" s="200" t="s">
        <v>3776</v>
      </c>
    </row>
    <row r="65" spans="1:31" x14ac:dyDescent="0.3">
      <c r="B65" s="198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3744</v>
      </c>
      <c r="K65" s="199"/>
      <c r="L65" s="201"/>
    </row>
    <row r="66" spans="1:31" x14ac:dyDescent="0.3">
      <c r="B66" s="47" t="s">
        <v>1999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 t="str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/>
      </c>
      <c r="E66" s="41" t="str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/>
      </c>
      <c r="F66" s="41" t="str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/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 t="str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/>
      </c>
      <c r="K66" s="167" t="s">
        <v>1999</v>
      </c>
      <c r="L66" s="80" t="str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/>
      </c>
    </row>
    <row r="67" spans="1:31" x14ac:dyDescent="0.3">
      <c r="B67" s="48" t="s">
        <v>3779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 t="str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/>
      </c>
      <c r="E67" s="42" t="str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/>
      </c>
      <c r="F67" s="42" t="str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/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 t="str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/>
      </c>
      <c r="K67" s="48" t="s">
        <v>3779</v>
      </c>
      <c r="L67" s="42" t="str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/>
      </c>
    </row>
    <row r="68" spans="1:31" x14ac:dyDescent="0.3">
      <c r="B68" s="47" t="s">
        <v>3782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 t="str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/>
      </c>
      <c r="E68" s="41" t="str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/>
      </c>
      <c r="F68" s="41" t="str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/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 t="str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/>
      </c>
      <c r="K68" s="167" t="s">
        <v>3782</v>
      </c>
      <c r="L68" s="80" t="str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/>
      </c>
    </row>
    <row r="70" spans="1:31" s="182" customFormat="1" x14ac:dyDescent="0.3">
      <c r="A70" s="180"/>
      <c r="B70" s="181" t="s">
        <v>3783</v>
      </c>
      <c r="C70" s="180"/>
      <c r="D70" s="180"/>
      <c r="E70" s="180"/>
      <c r="F70" s="180"/>
      <c r="G70" s="180"/>
      <c r="H70" s="180"/>
      <c r="I70" s="180"/>
      <c r="J70" s="180"/>
      <c r="K70" s="180"/>
      <c r="L70" s="180"/>
      <c r="M70" s="180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180"/>
      <c r="Y70" s="180"/>
      <c r="Z70" s="180"/>
      <c r="AA70" s="180"/>
      <c r="AB70" s="180"/>
      <c r="AC70" s="180"/>
      <c r="AD70" s="180"/>
      <c r="AE70" s="180"/>
    </row>
    <row r="72" spans="1:31" x14ac:dyDescent="0.3">
      <c r="B72" s="35" t="s">
        <v>3784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3749</v>
      </c>
      <c r="K72" s="76" t="s">
        <v>3784</v>
      </c>
      <c r="L72" s="177" t="s">
        <v>3776</v>
      </c>
    </row>
    <row r="73" spans="1:31" x14ac:dyDescent="0.3">
      <c r="B73" s="47" t="s">
        <v>1491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0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0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0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0</v>
      </c>
      <c r="K73" s="167" t="s">
        <v>1491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4" spans="1:31" x14ac:dyDescent="0.3">
      <c r="B74" s="48" t="s">
        <v>66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2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1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2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0</v>
      </c>
      <c r="H74" s="39">
        <f t="shared" ref="H74:H75" si="9">SUM(C74:G74)</f>
        <v>5</v>
      </c>
      <c r="K74" s="48" t="s">
        <v>66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5</v>
      </c>
    </row>
    <row r="75" spans="1:31" x14ac:dyDescent="0.3">
      <c r="B75" s="47" t="s">
        <v>139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167" t="s">
        <v>139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 x14ac:dyDescent="0.3">
      <c r="B76" s="48" t="s">
        <v>3744</v>
      </c>
      <c r="C76" s="39">
        <f>SUM(C73:C75)</f>
        <v>0</v>
      </c>
      <c r="D76" s="39">
        <f t="shared" ref="D76:H76" si="10">SUM(D73:D75)</f>
        <v>2</v>
      </c>
      <c r="E76" s="39">
        <f t="shared" si="10"/>
        <v>1</v>
      </c>
      <c r="F76" s="39">
        <f t="shared" si="10"/>
        <v>2</v>
      </c>
      <c r="G76" s="39">
        <f t="shared" si="10"/>
        <v>0</v>
      </c>
      <c r="H76" s="39">
        <f t="shared" si="10"/>
        <v>5</v>
      </c>
      <c r="K76" s="48" t="s">
        <v>3744</v>
      </c>
      <c r="L76" s="39">
        <f>SUM(L73:L75)</f>
        <v>5</v>
      </c>
    </row>
    <row r="78" spans="1:31" x14ac:dyDescent="0.3">
      <c r="B78" s="35" t="s">
        <v>3785</v>
      </c>
      <c r="C78" s="46" t="s">
        <v>3749</v>
      </c>
      <c r="K78" s="76" t="s">
        <v>3785</v>
      </c>
      <c r="L78" s="177" t="s">
        <v>3776</v>
      </c>
    </row>
    <row r="79" spans="1:31" x14ac:dyDescent="0.3">
      <c r="B79" s="47" t="s">
        <v>1491</v>
      </c>
      <c r="C79" s="49">
        <f>IFERROR(H73/$H$76,"")</f>
        <v>0</v>
      </c>
      <c r="K79" s="167" t="s">
        <v>1491</v>
      </c>
      <c r="L79" s="178">
        <f>IFERROR(L73/$L$76,"")</f>
        <v>0</v>
      </c>
    </row>
    <row r="80" spans="1:31" x14ac:dyDescent="0.3">
      <c r="B80" s="48" t="s">
        <v>66</v>
      </c>
      <c r="C80" s="50">
        <f>IFERROR(H74/$H$76,"")</f>
        <v>1</v>
      </c>
      <c r="K80" s="48" t="s">
        <v>66</v>
      </c>
      <c r="L80" s="50">
        <f>IFERROR(L74/$L$76,"")</f>
        <v>1</v>
      </c>
    </row>
    <row r="81" spans="1:31" x14ac:dyDescent="0.3">
      <c r="B81" s="47" t="s">
        <v>139</v>
      </c>
      <c r="C81" s="51">
        <f>IFERROR(H75/$H$76,"")</f>
        <v>0</v>
      </c>
      <c r="K81" s="167" t="s">
        <v>139</v>
      </c>
      <c r="L81" s="179">
        <f>IFERROR(L75/$L$76,"")</f>
        <v>0</v>
      </c>
    </row>
    <row r="83" spans="1:31" s="182" customFormat="1" x14ac:dyDescent="0.3">
      <c r="A83" s="180"/>
      <c r="B83" s="181" t="s">
        <v>3786</v>
      </c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180"/>
      <c r="Y83" s="180"/>
      <c r="Z83" s="180"/>
      <c r="AA83" s="180"/>
      <c r="AB83" s="180"/>
      <c r="AC83" s="180"/>
      <c r="AD83" s="180"/>
      <c r="AE83" s="180"/>
    </row>
    <row r="85" spans="1:31" x14ac:dyDescent="0.3">
      <c r="B85" s="35" t="s">
        <v>3787</v>
      </c>
      <c r="C85" s="46">
        <v>1</v>
      </c>
      <c r="D85" s="46">
        <v>2</v>
      </c>
      <c r="E85" s="46">
        <v>3</v>
      </c>
      <c r="F85" s="46">
        <v>4</v>
      </c>
      <c r="G85" s="46">
        <v>5</v>
      </c>
      <c r="H85" s="46" t="s">
        <v>3749</v>
      </c>
      <c r="K85" s="76" t="s">
        <v>3787</v>
      </c>
      <c r="L85" s="177" t="s">
        <v>3776</v>
      </c>
    </row>
    <row r="86" spans="1:31" x14ac:dyDescent="0.3">
      <c r="B86" s="47" t="s">
        <v>62</v>
      </c>
      <c r="C86" s="36">
        <f>COUNTIFS(Consolidado!$Z:$Z,$B86,Consolidado!$AL:$AL,IF(ISBLANK($C$2),"&lt;&gt;",$C$2),Consolidado!$AM:$AM,$C$7,Consolidado!$AN:$AN,Análise!C$55,Consolidado!$C:$C,IF(ISBLANK($C$3),"&lt;&gt;",$C$3),Consolidado!$AU:$AU,"S")</f>
        <v>0</v>
      </c>
      <c r="D86" s="36">
        <f>COUNTIFS(Consolidado!$Z:$Z,$B86,Consolidado!$AL:$AL,IF(ISBLANK($C$2),"&lt;&gt;",$C$2),Consolidado!$AM:$AM,$C$7,Consolidado!$AN:$AN,Análise!D$55,Consolidado!$C:$C,IF(ISBLANK($C$3),"&lt;&gt;",$C$3),Consolidado!$AU:$AU,"S")</f>
        <v>8</v>
      </c>
      <c r="E86" s="36">
        <f>COUNTIFS(Consolidado!$Z:$Z,$B86,Consolidado!$AL:$AL,IF(ISBLANK($C$2),"&lt;&gt;",$C$2),Consolidado!$AM:$AM,$C$7,Consolidado!$AN:$AN,Análise!E$55,Consolidado!$C:$C,IF(ISBLANK($C$3),"&lt;&gt;",$C$3),Consolidado!$AU:$AU,"S")</f>
        <v>3</v>
      </c>
      <c r="F86" s="36">
        <f>COUNTIFS(Consolidado!$Z:$Z,$B86,Consolidado!$AL:$AL,IF(ISBLANK($C$2),"&lt;&gt;",$C$2),Consolidado!$AM:$AM,$C$7,Consolidado!$AN:$AN,Análise!F$55,Consolidado!$C:$C,IF(ISBLANK($C$3),"&lt;&gt;",$C$3),Consolidado!$AU:$AU,"S")</f>
        <v>6</v>
      </c>
      <c r="G86" s="36">
        <f>COUNTIFS(Consolidado!$Z:$Z,$B86,Consolidado!$AL:$AL,IF(ISBLANK($C$2),"&lt;&gt;",$C$2),Consolidado!$AM:$AM,$C$7,Consolidado!$AN:$AN,Análise!G$55,Consolidado!$C:$C,IF(ISBLANK($C$3),"&lt;&gt;",$C$3),Consolidado!$AU:$AU,"S")</f>
        <v>6</v>
      </c>
      <c r="H86" s="44">
        <f>SUM(C86:G86)</f>
        <v>23</v>
      </c>
      <c r="K86" s="167" t="s">
        <v>62</v>
      </c>
      <c r="L86" s="79">
        <f>COUNTIFS(Consolidado!$Z:$Z,$B86,Consolidado!$AL:$AL,IF(ISBLANK($C$2),"&lt;&gt;",$C$2),Consolidado!$B:$B,"&lt;="&amp;Análise!$C$10,Consolidado!$B:$B,"&gt;="&amp;Análise!$C$9,Consolidado!$C:$C,IF(ISBLANK($C$3),"&lt;&gt;",$C$3),Consolidado!$AU:$AU,"S")</f>
        <v>23</v>
      </c>
    </row>
    <row r="87" spans="1:31" x14ac:dyDescent="0.3">
      <c r="B87" s="48" t="s">
        <v>3788</v>
      </c>
      <c r="C87" s="38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8">
        <f>COUNTIFS(Consolidado!$Z:$Z,$B87,Consolidado!$AL:$AL,IF(ISBLANK($C$2),"&lt;&gt;",$C$2),Consolidado!$AM:$AM,$C$7,Consolidado!$AN:$AN,Análise!D$55,Consolidado!$C:$C,IF(ISBLANK($C$3),"&lt;&gt;",$C$3),Consolidado!$AU:$AU,"S")</f>
        <v>0</v>
      </c>
      <c r="E87" s="38">
        <f>COUNTIFS(Consolidado!$Z:$Z,$B87,Consolidado!$AL:$AL,IF(ISBLANK($C$2),"&lt;&gt;",$C$2),Consolidado!$AM:$AM,$C$7,Consolidado!$AN:$AN,Análise!E$55,Consolidado!$C:$C,IF(ISBLANK($C$3),"&lt;&gt;",$C$3),Consolidado!$AU:$AU,"S")</f>
        <v>0</v>
      </c>
      <c r="F87" s="38">
        <f>COUNTIFS(Consolidado!$Z:$Z,$B87,Consolidado!$AL:$AL,IF(ISBLANK($C$2),"&lt;&gt;",$C$2),Consolidado!$AM:$AM,$C$7,Consolidado!$AN:$AN,Análise!F$55,Consolidado!$C:$C,IF(ISBLANK($C$3),"&lt;&gt;",$C$3),Consolidado!$AU:$AU,"S")</f>
        <v>0</v>
      </c>
      <c r="G87" s="38">
        <f>COUNTIFS(Consolidado!$Z:$Z,$B87,Consolidado!$AL:$AL,IF(ISBLANK($C$2),"&lt;&gt;",$C$2),Consolidado!$AM:$AM,$C$7,Consolidado!$AN:$AN,Análise!G$55,Consolidado!$C:$C,IF(ISBLANK($C$3),"&lt;&gt;",$C$3),Consolidado!$AU:$AU,"S")</f>
        <v>0</v>
      </c>
      <c r="H87" s="39">
        <f t="shared" ref="H87:H88" si="11">SUM(C87:G87)</f>
        <v>0</v>
      </c>
      <c r="K87" s="48" t="s">
        <v>3788</v>
      </c>
      <c r="L87" s="38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0</v>
      </c>
    </row>
    <row r="88" spans="1:31" x14ac:dyDescent="0.3">
      <c r="B88" s="47" t="s">
        <v>3789</v>
      </c>
      <c r="C88" s="36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6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6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6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6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44">
        <f t="shared" si="11"/>
        <v>0</v>
      </c>
      <c r="K88" s="167" t="s">
        <v>3789</v>
      </c>
      <c r="L88" s="79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 x14ac:dyDescent="0.3">
      <c r="B89" s="48" t="s">
        <v>3744</v>
      </c>
      <c r="C89" s="39">
        <f>SUM(C86:C88)</f>
        <v>0</v>
      </c>
      <c r="D89" s="39">
        <f t="shared" ref="D89:H89" si="12">SUM(D86:D88)</f>
        <v>8</v>
      </c>
      <c r="E89" s="39">
        <f t="shared" si="12"/>
        <v>3</v>
      </c>
      <c r="F89" s="39">
        <f t="shared" si="12"/>
        <v>6</v>
      </c>
      <c r="G89" s="39">
        <f t="shared" si="12"/>
        <v>6</v>
      </c>
      <c r="H89" s="39">
        <f t="shared" si="12"/>
        <v>23</v>
      </c>
      <c r="K89" s="48" t="s">
        <v>3744</v>
      </c>
      <c r="L89" s="39">
        <f>SUM(L86:L88)</f>
        <v>23</v>
      </c>
    </row>
    <row r="91" spans="1:31" x14ac:dyDescent="0.3">
      <c r="B91" s="35" t="s">
        <v>3790</v>
      </c>
      <c r="C91" s="46">
        <v>1</v>
      </c>
      <c r="D91" s="46">
        <v>2</v>
      </c>
      <c r="E91" s="46">
        <v>3</v>
      </c>
      <c r="F91" s="46">
        <v>4</v>
      </c>
      <c r="G91" s="46">
        <v>5</v>
      </c>
      <c r="H91" s="46" t="s">
        <v>3749</v>
      </c>
      <c r="K91" s="76" t="s">
        <v>3790</v>
      </c>
      <c r="L91" s="177" t="s">
        <v>3776</v>
      </c>
    </row>
    <row r="92" spans="1:31" x14ac:dyDescent="0.3">
      <c r="B92" s="47" t="s">
        <v>63</v>
      </c>
      <c r="C92" s="36">
        <f>COUNTIFS(Consolidado!$AB:$AB,$B92,Consolidado!$AL:$AL,IF(ISBLANK($C$2),"&lt;&gt;",$C$2),Consolidado!$AM:$AM,$C$7,Consolidado!$AN:$AN,C$91,Consolidado!$C:$C,IF(ISBLANK($C$3),"&lt;&gt;",$C$3),Consolidado!$Z:$Z,"Agendada",Consolidado!$AU:$AU,"S")</f>
        <v>0</v>
      </c>
      <c r="D92" s="36">
        <f>COUNTIFS(Consolidado!$AB:$AB,$B92,Consolidado!$AL:$AL,IF(ISBLANK($C$2),"&lt;&gt;",$C$2),Consolidado!$AM:$AM,$C$7,Consolidado!$AN:$AN,D$91,Consolidado!$C:$C,IF(ISBLANK($C$3),"&lt;&gt;",$C$3),Consolidado!$Z:$Z,"Agendada",Consolidado!$AU:$AU,"S")</f>
        <v>3</v>
      </c>
      <c r="E92" s="36">
        <f>COUNTIFS(Consolidado!$AB:$AB,$B92,Consolidado!$AL:$AL,IF(ISBLANK($C$2),"&lt;&gt;",$C$2),Consolidado!$AM:$AM,$C$7,Consolidado!$AN:$AN,E$91,Consolidado!$C:$C,IF(ISBLANK($C$3),"&lt;&gt;",$C$3),Consolidado!$Z:$Z,"Agendada",Consolidado!$AU:$AU,"S")</f>
        <v>1</v>
      </c>
      <c r="F92" s="36">
        <f>COUNTIFS(Consolidado!$AB:$AB,$B92,Consolidado!$AL:$AL,IF(ISBLANK($C$2),"&lt;&gt;",$C$2),Consolidado!$AM:$AM,$C$7,Consolidado!$AN:$AN,F$91,Consolidado!$C:$C,IF(ISBLANK($C$3),"&lt;&gt;",$C$3),Consolidado!$Z:$Z,"Agendada",Consolidado!$AU:$AU,"S")</f>
        <v>3</v>
      </c>
      <c r="G92" s="36">
        <f>COUNTIFS(Consolidado!$AB:$AB,$B92,Consolidado!$AL:$AL,IF(ISBLANK($C$2),"&lt;&gt;",$C$2),Consolidado!$AM:$AM,$C$7,Consolidado!$AN:$AN,G$91,Consolidado!$C:$C,IF(ISBLANK($C$3),"&lt;&gt;",$C$3),Consolidado!$Z:$Z,"Agendada",Consolidado!$AU:$AU,"S")</f>
        <v>2</v>
      </c>
      <c r="H92" s="44">
        <f t="shared" ref="H92:H97" si="13">SUM(C92:G92)</f>
        <v>9</v>
      </c>
      <c r="K92" s="167" t="s">
        <v>63</v>
      </c>
      <c r="L92" s="79">
        <f>COUNTIFS(Consolidado!$AB:$AB,$B92,Consolidado!$AL:$AL,IF(ISBLANK($C$2),"&lt;&gt;",$C$2),Consolidado!$B:$B,"&lt;="&amp;Análise!$C$10,Consolidado!$B:$B,"&gt;="&amp;Análise!$C$9,Consolidado!$C:$C,IF(ISBLANK($C$3),"&lt;&gt;",$C$3),Consolidado!$Z:$Z,"Agendada",Consolidado!$AU:$AU,"S")</f>
        <v>9</v>
      </c>
    </row>
    <row r="93" spans="1:31" x14ac:dyDescent="0.3">
      <c r="B93" s="48" t="s">
        <v>224</v>
      </c>
      <c r="C93" s="38">
        <f>COUNTIFS(Consolidado!$AB:$AB,$B93,Consolidado!$AL:$AL,IF(ISBLANK($C$2),"&lt;&gt;",$C$2),Consolidado!$AM:$AM,$C$7,Consolidado!$AN:$AN,C$91,Consolidado!$C:$C,IF(ISBLANK($C$3),"&lt;&gt;",$C$3),Consolidado!$Z:$Z,"Agendada",Consolidado!$AU:$AU,"S")</f>
        <v>0</v>
      </c>
      <c r="D93" s="38">
        <f>COUNTIFS(Consolidado!$AB:$AB,$B93,Consolidado!$AL:$AL,IF(ISBLANK($C$2),"&lt;&gt;",$C$2),Consolidado!$AM:$AM,$C$7,Consolidado!$AN:$AN,D$91,Consolidado!$C:$C,IF(ISBLANK($C$3),"&lt;&gt;",$C$3),Consolidado!$Z:$Z,"Agendada",Consolidado!$AU:$AU,"S")</f>
        <v>0</v>
      </c>
      <c r="E93" s="38">
        <f>COUNTIFS(Consolidado!$AB:$AB,$B93,Consolidado!$AL:$AL,IF(ISBLANK($C$2),"&lt;&gt;",$C$2),Consolidado!$AM:$AM,$C$7,Consolidado!$AN:$AN,E$91,Consolidado!$C:$C,IF(ISBLANK($C$3),"&lt;&gt;",$C$3),Consolidado!$Z:$Z,"Agendada",Consolidado!$AU:$AU,"S")</f>
        <v>0</v>
      </c>
      <c r="F93" s="38">
        <f>COUNTIFS(Consolidado!$AB:$AB,$B93,Consolidado!$AL:$AL,IF(ISBLANK($C$2),"&lt;&gt;",$C$2),Consolidado!$AM:$AM,$C$7,Consolidado!$AN:$AN,F$91,Consolidado!$C:$C,IF(ISBLANK($C$3),"&lt;&gt;",$C$3),Consolidado!$Z:$Z,"Agendada",Consolidado!$AU:$AU,"S")</f>
        <v>0</v>
      </c>
      <c r="G93" s="38">
        <f>COUNTIFS(Consolidado!$AB:$AB,$B93,Consolidado!$AL:$AL,IF(ISBLANK($C$2),"&lt;&gt;",$C$2),Consolidado!$AM:$AM,$C$7,Consolidado!$AN:$AN,G$91,Consolidado!$C:$C,IF(ISBLANK($C$3),"&lt;&gt;",$C$3),Consolidado!$Z:$Z,"Agendada",Consolidado!$AU:$AU,"S")</f>
        <v>0</v>
      </c>
      <c r="H93" s="39">
        <f t="shared" si="13"/>
        <v>0</v>
      </c>
      <c r="K93" s="48" t="s">
        <v>224</v>
      </c>
      <c r="L93" s="38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4" spans="1:31" x14ac:dyDescent="0.3">
      <c r="B94" s="47" t="s">
        <v>118</v>
      </c>
      <c r="C94" s="36">
        <f>COUNTIFS(Consolidado!$AB:$AB,$B94,Consolidado!$AL:$AL,IF(ISBLANK($C$2),"&lt;&gt;",$C$2),Consolidado!$AM:$AM,$C$7,Consolidado!$AN:$AN,C$91,Consolidado!$C:$C,IF(ISBLANK($C$3),"&lt;&gt;",$C$3),Consolidado!$Z:$Z,"Agendada",Consolidado!$AU:$AU,"S")</f>
        <v>0</v>
      </c>
      <c r="D94" s="36">
        <f>COUNTIFS(Consolidado!$AB:$AB,$B94,Consolidado!$AL:$AL,IF(ISBLANK($C$2),"&lt;&gt;",$C$2),Consolidado!$AM:$AM,$C$7,Consolidado!$AN:$AN,D$91,Consolidado!$C:$C,IF(ISBLANK($C$3),"&lt;&gt;",$C$3),Consolidado!$Z:$Z,"Agendada",Consolidado!$AU:$AU,"S")</f>
        <v>0</v>
      </c>
      <c r="E94" s="36">
        <f>COUNTIFS(Consolidado!$AB:$AB,$B94,Consolidado!$AL:$AL,IF(ISBLANK($C$2),"&lt;&gt;",$C$2),Consolidado!$AM:$AM,$C$7,Consolidado!$AN:$AN,E$91,Consolidado!$C:$C,IF(ISBLANK($C$3),"&lt;&gt;",$C$3),Consolidado!$Z:$Z,"Agendada",Consolidado!$AU:$AU,"S")</f>
        <v>0</v>
      </c>
      <c r="F94" s="36">
        <f>COUNTIFS(Consolidado!$AB:$AB,$B94,Consolidado!$AL:$AL,IF(ISBLANK($C$2),"&lt;&gt;",$C$2),Consolidado!$AM:$AM,$C$7,Consolidado!$AN:$AN,F$91,Consolidado!$C:$C,IF(ISBLANK($C$3),"&lt;&gt;",$C$3),Consolidado!$Z:$Z,"Agendada",Consolidado!$AU:$AU,"S")</f>
        <v>0</v>
      </c>
      <c r="G94" s="36">
        <f>COUNTIFS(Consolidado!$AB:$AB,$B94,Consolidado!$AL:$AL,IF(ISBLANK($C$2),"&lt;&gt;",$C$2),Consolidado!$AM:$AM,$C$7,Consolidado!$AN:$AN,G$91,Consolidado!$C:$C,IF(ISBLANK($C$3),"&lt;&gt;",$C$3),Consolidado!$Z:$Z,"Agendada",Consolidado!$AU:$AU,"S")</f>
        <v>0</v>
      </c>
      <c r="H94" s="44">
        <f t="shared" si="13"/>
        <v>0</v>
      </c>
      <c r="K94" s="167" t="s">
        <v>118</v>
      </c>
      <c r="L94" s="79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5" spans="1:31" x14ac:dyDescent="0.3">
      <c r="B95" s="48" t="s">
        <v>80</v>
      </c>
      <c r="C95" s="38">
        <f>COUNTIFS(Consolidado!$AB:$AB,$B95,Consolidado!$AL:$AL,IF(ISBLANK($C$2),"&lt;&gt;",$C$2),Consolidado!$AM:$AM,$C$7,Consolidado!$AN:$AN,C$91,Consolidado!$C:$C,IF(ISBLANK($C$3),"&lt;&gt;",$C$3),Consolidado!$Z:$Z,"Agendada",Consolidado!$AU:$AU,"S")</f>
        <v>0</v>
      </c>
      <c r="D95" s="38">
        <f>COUNTIFS(Consolidado!$AB:$AB,$B95,Consolidado!$AL:$AL,IF(ISBLANK($C$2),"&lt;&gt;",$C$2),Consolidado!$AM:$AM,$C$7,Consolidado!$AN:$AN,D$91,Consolidado!$C:$C,IF(ISBLANK($C$3),"&lt;&gt;",$C$3),Consolidado!$Z:$Z,"Agendada",Consolidado!$AU:$AU,"S")</f>
        <v>5</v>
      </c>
      <c r="E95" s="38">
        <f>COUNTIFS(Consolidado!$AB:$AB,$B95,Consolidado!$AL:$AL,IF(ISBLANK($C$2),"&lt;&gt;",$C$2),Consolidado!$AM:$AM,$C$7,Consolidado!$AN:$AN,E$91,Consolidado!$C:$C,IF(ISBLANK($C$3),"&lt;&gt;",$C$3),Consolidado!$Z:$Z,"Agendada",Consolidado!$AU:$AU,"S")</f>
        <v>1</v>
      </c>
      <c r="F95" s="38">
        <f>COUNTIFS(Consolidado!$AB:$AB,$B95,Consolidado!$AL:$AL,IF(ISBLANK($C$2),"&lt;&gt;",$C$2),Consolidado!$AM:$AM,$C$7,Consolidado!$AN:$AN,F$91,Consolidado!$C:$C,IF(ISBLANK($C$3),"&lt;&gt;",$C$3),Consolidado!$Z:$Z,"Agendada",Consolidado!$AU:$AU,"S")</f>
        <v>3</v>
      </c>
      <c r="G95" s="38">
        <f>COUNTIFS(Consolidado!$AB:$AB,$B95,Consolidado!$AL:$AL,IF(ISBLANK($C$2),"&lt;&gt;",$C$2),Consolidado!$AM:$AM,$C$7,Consolidado!$AN:$AN,G$91,Consolidado!$C:$C,IF(ISBLANK($C$3),"&lt;&gt;",$C$3),Consolidado!$Z:$Z,"Agendada",Consolidado!$AU:$AU,"S")</f>
        <v>0</v>
      </c>
      <c r="H95" s="39">
        <f t="shared" si="13"/>
        <v>9</v>
      </c>
      <c r="K95" s="48" t="s">
        <v>80</v>
      </c>
      <c r="L95" s="38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9</v>
      </c>
    </row>
    <row r="96" spans="1:31" x14ac:dyDescent="0.3">
      <c r="B96" s="47" t="s">
        <v>3789</v>
      </c>
      <c r="C96" s="36">
        <f>COUNTIFS(Consolidado!$AB:$AB,$B96,Consolidado!$AL:$AL,IF(ISBLANK($C$2),"&lt;&gt;",$C$2),Consolidado!$AM:$AM,$C$7,Consolidado!$AN:$AN,C$91,Consolidado!$C:$C,IF(ISBLANK($C$3),"&lt;&gt;",$C$3),Consolidado!$Z:$Z,"Agendada",Consolidado!$AU:$AU,"S")</f>
        <v>0</v>
      </c>
      <c r="D96" s="36">
        <f>COUNTIFS(Consolidado!$AB:$AB,$B96,Consolidado!$AL:$AL,IF(ISBLANK($C$2),"&lt;&gt;",$C$2),Consolidado!$AM:$AM,$C$7,Consolidado!$AN:$AN,D$91,Consolidado!$C:$C,IF(ISBLANK($C$3),"&lt;&gt;",$C$3),Consolidado!$Z:$Z,"Agendada",Consolidado!$AU:$AU,"S")</f>
        <v>0</v>
      </c>
      <c r="E96" s="36">
        <f>COUNTIFS(Consolidado!$AB:$AB,$B96,Consolidado!$AL:$AL,IF(ISBLANK($C$2),"&lt;&gt;",$C$2),Consolidado!$AM:$AM,$C$7,Consolidado!$AN:$AN,E$91,Consolidado!$C:$C,IF(ISBLANK($C$3),"&lt;&gt;",$C$3),Consolidado!$Z:$Z,"Agendada",Consolidado!$AU:$AU,"S")</f>
        <v>0</v>
      </c>
      <c r="F96" s="36">
        <f>COUNTIFS(Consolidado!$AB:$AB,$B96,Consolidado!$AL:$AL,IF(ISBLANK($C$2),"&lt;&gt;",$C$2),Consolidado!$AM:$AM,$C$7,Consolidado!$AN:$AN,F$91,Consolidado!$C:$C,IF(ISBLANK($C$3),"&lt;&gt;",$C$3),Consolidado!$Z:$Z,"Agendada",Consolidado!$AU:$AU,"S")</f>
        <v>0</v>
      </c>
      <c r="G96" s="36">
        <f>COUNTIFS(Consolidado!$AB:$AB,$B96,Consolidado!$AL:$AL,IF(ISBLANK($C$2),"&lt;&gt;",$C$2),Consolidado!$AM:$AM,$C$7,Consolidado!$AN:$AN,G$91,Consolidado!$C:$C,IF(ISBLANK($C$3),"&lt;&gt;",$C$3),Consolidado!$Z:$Z,"Agendada",Consolidado!$AU:$AU,"S")</f>
        <v>0</v>
      </c>
      <c r="H96" s="44">
        <f t="shared" si="13"/>
        <v>0</v>
      </c>
      <c r="K96" s="167" t="s">
        <v>3789</v>
      </c>
      <c r="L96" s="79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7" spans="1:31" x14ac:dyDescent="0.3">
      <c r="B97" s="48" t="s">
        <v>3791</v>
      </c>
      <c r="C97" s="38">
        <f>COUNTIFS(Consolidado!$AB:$AB,$B97,Consolidado!$AL:$AL,IF(ISBLANK($C$2),"&lt;&gt;",$C$2),Consolidado!$AM:$AM,$C$7,Consolidado!$AN:$AN,C$91,Consolidado!$C:$C,IF(ISBLANK($C$3),"&lt;&gt;",$C$3),Consolidado!$Z:$Z,"Agendada",Consolidado!$AU:$AU,"S")</f>
        <v>0</v>
      </c>
      <c r="D97" s="38">
        <f>COUNTIFS(Consolidado!$AB:$AB,$B97,Consolidado!$AL:$AL,IF(ISBLANK($C$2),"&lt;&gt;",$C$2),Consolidado!$AM:$AM,$C$7,Consolidado!$AN:$AN,D$91,Consolidado!$C:$C,IF(ISBLANK($C$3),"&lt;&gt;",$C$3),Consolidado!$Z:$Z,"Agendada",Consolidado!$AU:$AU,"S")</f>
        <v>0</v>
      </c>
      <c r="E97" s="38">
        <f>COUNTIFS(Consolidado!$AB:$AB,$B97,Consolidado!$AL:$AL,IF(ISBLANK($C$2),"&lt;&gt;",$C$2),Consolidado!$AM:$AM,$C$7,Consolidado!$AN:$AN,E$91,Consolidado!$C:$C,IF(ISBLANK($C$3),"&lt;&gt;",$C$3),Consolidado!$Z:$Z,"Agendada",Consolidado!$AU:$AU,"S")</f>
        <v>0</v>
      </c>
      <c r="F97" s="38">
        <f>COUNTIFS(Consolidado!$AB:$AB,$B97,Consolidado!$AL:$AL,IF(ISBLANK($C$2),"&lt;&gt;",$C$2),Consolidado!$AM:$AM,$C$7,Consolidado!$AN:$AN,F$91,Consolidado!$C:$C,IF(ISBLANK($C$3),"&lt;&gt;",$C$3),Consolidado!$Z:$Z,"Agendada",Consolidado!$AU:$AU,"S")</f>
        <v>0</v>
      </c>
      <c r="G97" s="38">
        <f>COUNTIFS(Consolidado!$AB:$AB,$B97,Consolidado!$AL:$AL,IF(ISBLANK($C$2),"&lt;&gt;",$C$2),Consolidado!$AM:$AM,$C$7,Consolidado!$AN:$AN,G$91,Consolidado!$C:$C,IF(ISBLANK($C$3),"&lt;&gt;",$C$3),Consolidado!$Z:$Z,"Agendada",Consolidado!$AU:$AU,"S")</f>
        <v>0</v>
      </c>
      <c r="H97" s="39">
        <f t="shared" si="13"/>
        <v>0</v>
      </c>
      <c r="K97" s="48" t="s">
        <v>3791</v>
      </c>
      <c r="L97" s="38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 x14ac:dyDescent="0.3">
      <c r="B98" s="47" t="s">
        <v>3744</v>
      </c>
      <c r="C98" s="44">
        <f t="shared" ref="C98:H98" si="14">SUM(C92:C97)</f>
        <v>0</v>
      </c>
      <c r="D98" s="44">
        <f t="shared" si="14"/>
        <v>8</v>
      </c>
      <c r="E98" s="44">
        <f t="shared" si="14"/>
        <v>2</v>
      </c>
      <c r="F98" s="44">
        <f t="shared" si="14"/>
        <v>6</v>
      </c>
      <c r="G98" s="44">
        <f t="shared" si="14"/>
        <v>2</v>
      </c>
      <c r="H98" s="44">
        <f t="shared" si="14"/>
        <v>18</v>
      </c>
      <c r="K98" s="167" t="s">
        <v>3744</v>
      </c>
      <c r="L98" s="168">
        <f>SUM(L92:L97)</f>
        <v>18</v>
      </c>
    </row>
    <row r="100" spans="1:31" s="182" customFormat="1" x14ac:dyDescent="0.3">
      <c r="A100" s="180"/>
      <c r="B100" s="181" t="s">
        <v>3792</v>
      </c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  <c r="Y100" s="180"/>
      <c r="Z100" s="180"/>
      <c r="AA100" s="180"/>
      <c r="AB100" s="180"/>
      <c r="AC100" s="180"/>
      <c r="AD100" s="180"/>
      <c r="AE100" s="180"/>
    </row>
    <row r="101" spans="1:31" x14ac:dyDescent="0.3">
      <c r="E101" s="40"/>
      <c r="F101" s="40"/>
    </row>
    <row r="102" spans="1:31" x14ac:dyDescent="0.3">
      <c r="B102" s="198" t="s">
        <v>3</v>
      </c>
      <c r="C102" s="141" t="s">
        <v>39</v>
      </c>
      <c r="D102" s="141"/>
      <c r="E102" s="141"/>
      <c r="F102" s="141"/>
      <c r="G102" s="141"/>
      <c r="H102" s="141"/>
      <c r="K102" s="199" t="s">
        <v>3</v>
      </c>
      <c r="L102" s="200" t="s">
        <v>3776</v>
      </c>
    </row>
    <row r="103" spans="1:31" x14ac:dyDescent="0.3">
      <c r="B103" s="198"/>
      <c r="C103" s="37">
        <v>1</v>
      </c>
      <c r="D103" s="37">
        <v>2</v>
      </c>
      <c r="E103" s="37">
        <v>3</v>
      </c>
      <c r="F103" s="37">
        <v>4</v>
      </c>
      <c r="G103" s="37">
        <v>5</v>
      </c>
      <c r="H103" s="37" t="s">
        <v>3744</v>
      </c>
      <c r="K103" s="199"/>
      <c r="L103" s="201"/>
    </row>
    <row r="104" spans="1:31" x14ac:dyDescent="0.3">
      <c r="B104" s="47" t="s">
        <v>49</v>
      </c>
      <c r="C104" s="36">
        <f>COUNTIFS(Consolidado!$D:$D,$B104,Consolidado!$AL:$AL,IF(ISBLANK($C$2),"&lt;&gt;",$C$2),Consolidado!$AM:$AM,$C$7,Consolidado!$AN:$AN,C$103,Consolidado!$C:$C,IF(ISBLANK($C$3),"&lt;&gt;",$C$3),Consolidado!$AU:$AU,"S")</f>
        <v>0</v>
      </c>
      <c r="D104" s="36">
        <f>COUNTIFS(Consolidado!$D:$D,$B104,Consolidado!$AL:$AL,IF(ISBLANK($C$2),"&lt;&gt;",$C$2),Consolidado!$AM:$AM,$C$7,Consolidado!$AN:$AN,D$103,Consolidado!$C:$C,IF(ISBLANK($C$3),"&lt;&gt;",$C$3),Consolidado!$AU:$AU,"S")</f>
        <v>7</v>
      </c>
      <c r="E104" s="36">
        <f>COUNTIFS(Consolidado!$D:$D,$B104,Consolidado!$AL:$AL,IF(ISBLANK($C$2),"&lt;&gt;",$C$2),Consolidado!$AM:$AM,$C$7,Consolidado!$AN:$AN,E$103,Consolidado!$C:$C,IF(ISBLANK($C$3),"&lt;&gt;",$C$3),Consolidado!$AU:$AU,"S")</f>
        <v>2</v>
      </c>
      <c r="F104" s="36">
        <f>COUNTIFS(Consolidado!$D:$D,$B104,Consolidado!$AL:$AL,IF(ISBLANK($C$2),"&lt;&gt;",$C$2),Consolidado!$AM:$AM,$C$7,Consolidado!$AN:$AN,F$103,Consolidado!$C:$C,IF(ISBLANK($C$3),"&lt;&gt;",$C$3),Consolidado!$AU:$AU,"S")</f>
        <v>2</v>
      </c>
      <c r="G104" s="36">
        <f>COUNTIFS(Consolidado!$D:$D,$B104,Consolidado!$AL:$AL,IF(ISBLANK($C$2),"&lt;&gt;",$C$2),Consolidado!$AM:$AM,$C$7,Consolidado!$AN:$AN,G$103,Consolidado!$C:$C,IF(ISBLANK($C$3),"&lt;&gt;",$C$3),Consolidado!$AU:$AU,"S")</f>
        <v>3</v>
      </c>
      <c r="H104" s="44">
        <f>SUM(C104:G104)</f>
        <v>14</v>
      </c>
      <c r="K104" s="167" t="s">
        <v>49</v>
      </c>
      <c r="L104" s="79">
        <f>COUNTIFS(Consolidado!$D:$D,$K104,Consolidado!$AL:$AL,IF(ISBLANK($C$2),"&lt;&gt;",$C$2),Consolidado!$B:$B,"&lt;="&amp;Análise!$C$10,Consolidado!$B:$B,"&gt;="&amp;Análise!$C$9,Consolidado!$C:$C,IF(ISBLANK($C$3),"&lt;&gt;",$C$3),Consolidado!$AU:$AU,"S")</f>
        <v>14</v>
      </c>
    </row>
    <row r="105" spans="1:31" x14ac:dyDescent="0.3">
      <c r="B105" s="48" t="s">
        <v>3793</v>
      </c>
      <c r="C105" s="38">
        <f>COUNTIFS(Consolidado!$D:$D,$B105,Consolidado!$AL:$AL,IF(ISBLANK($C$2),"&lt;&gt;",$C$2),Consolidado!$AM:$AM,$C$7,Consolidado!$AN:$AN,C$103,Consolidado!$C:$C,IF(ISBLANK($C$3),"&lt;&gt;",$C$3),Consolidado!$AU:$AU,"S")</f>
        <v>0</v>
      </c>
      <c r="D105" s="38">
        <f>COUNTIFS(Consolidado!$D:$D,$B105,Consolidado!$AL:$AL,IF(ISBLANK($C$2),"&lt;&gt;",$C$2),Consolidado!$AM:$AM,$C$7,Consolidado!$AN:$AN,D$103,Consolidado!$C:$C,IF(ISBLANK($C$3),"&lt;&gt;",$C$3),Consolidado!$AU:$AU,"S")</f>
        <v>0</v>
      </c>
      <c r="E105" s="38">
        <f>COUNTIFS(Consolidado!$D:$D,$B105,Consolidado!$AL:$AL,IF(ISBLANK($C$2),"&lt;&gt;",$C$2),Consolidado!$AM:$AM,$C$7,Consolidado!$AN:$AN,E$103,Consolidado!$C:$C,IF(ISBLANK($C$3),"&lt;&gt;",$C$3),Consolidado!$AU:$AU,"S")</f>
        <v>0</v>
      </c>
      <c r="F105" s="38">
        <f>COUNTIFS(Consolidado!$D:$D,$B105,Consolidado!$AL:$AL,IF(ISBLANK($C$2),"&lt;&gt;",$C$2),Consolidado!$AM:$AM,$C$7,Consolidado!$AN:$AN,F$103,Consolidado!$C:$C,IF(ISBLANK($C$3),"&lt;&gt;",$C$3),Consolidado!$AU:$AU,"S")</f>
        <v>0</v>
      </c>
      <c r="G105" s="38">
        <f>COUNTIFS(Consolidado!$D:$D,$B105,Consolidado!$AL:$AL,IF(ISBLANK($C$2),"&lt;&gt;",$C$2),Consolidado!$AM:$AM,$C$7,Consolidado!$AN:$AN,G$103,Consolidado!$C:$C,IF(ISBLANK($C$3),"&lt;&gt;",$C$3),Consolidado!$AU:$AU,"S")</f>
        <v>0</v>
      </c>
      <c r="H105" s="39">
        <f t="shared" ref="H105:H111" si="15">SUM(C105:G105)</f>
        <v>0</v>
      </c>
      <c r="K105" s="48" t="s">
        <v>3793</v>
      </c>
      <c r="L105" s="38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0</v>
      </c>
    </row>
    <row r="106" spans="1:31" x14ac:dyDescent="0.3">
      <c r="B106" s="47" t="s">
        <v>2000</v>
      </c>
      <c r="C106" s="36">
        <f>COUNTIFS(Consolidado!$D:$D,$B106,Consolidado!$AL:$AL,IF(ISBLANK($C$2),"&lt;&gt;",$C$2),Consolidado!$AM:$AM,$C$7,Consolidado!$AN:$AN,C$103,Consolidado!$C:$C,IF(ISBLANK($C$3),"&lt;&gt;",$C$3),Consolidado!$AU:$AU,"S")</f>
        <v>0</v>
      </c>
      <c r="D106" s="36">
        <f>COUNTIFS(Consolidado!$D:$D,$B106,Consolidado!$AL:$AL,IF(ISBLANK($C$2),"&lt;&gt;",$C$2),Consolidado!$AM:$AM,$C$7,Consolidado!$AN:$AN,D$103,Consolidado!$C:$C,IF(ISBLANK($C$3),"&lt;&gt;",$C$3),Consolidado!$AU:$AU,"S")</f>
        <v>4</v>
      </c>
      <c r="E106" s="36">
        <f>COUNTIFS(Consolidado!$D:$D,$B106,Consolidado!$AL:$AL,IF(ISBLANK($C$2),"&lt;&gt;",$C$2),Consolidado!$AM:$AM,$C$7,Consolidado!$AN:$AN,E$103,Consolidado!$C:$C,IF(ISBLANK($C$3),"&lt;&gt;",$C$3),Consolidado!$AU:$AU,"S")</f>
        <v>3</v>
      </c>
      <c r="F106" s="36">
        <f>COUNTIFS(Consolidado!$D:$D,$B106,Consolidado!$AL:$AL,IF(ISBLANK($C$2),"&lt;&gt;",$C$2),Consolidado!$AM:$AM,$C$7,Consolidado!$AN:$AN,F$103,Consolidado!$C:$C,IF(ISBLANK($C$3),"&lt;&gt;",$C$3),Consolidado!$AU:$AU,"S")</f>
        <v>5</v>
      </c>
      <c r="G106" s="36">
        <f>COUNTIFS(Consolidado!$D:$D,$B106,Consolidado!$AL:$AL,IF(ISBLANK($C$2),"&lt;&gt;",$C$2),Consolidado!$AM:$AM,$C$7,Consolidado!$AN:$AN,G$103,Consolidado!$C:$C,IF(ISBLANK($C$3),"&lt;&gt;",$C$3),Consolidado!$AU:$AU,"S")</f>
        <v>7</v>
      </c>
      <c r="H106" s="44">
        <f t="shared" si="15"/>
        <v>19</v>
      </c>
      <c r="K106" s="167" t="s">
        <v>2000</v>
      </c>
      <c r="L106" s="79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19</v>
      </c>
    </row>
    <row r="107" spans="1:31" x14ac:dyDescent="0.3">
      <c r="B107" s="48" t="s">
        <v>3794</v>
      </c>
      <c r="C107" s="38">
        <f>COUNTIFS(Consolidado!$D:$D,$B107,Consolidado!$AL:$AL,IF(ISBLANK($C$2),"&lt;&gt;",$C$2),Consolidado!$AM:$AM,$C$7,Consolidado!$AN:$AN,C$103,Consolidado!$C:$C,IF(ISBLANK($C$3),"&lt;&gt;",$C$3),Consolidado!$AU:$AU,"S")</f>
        <v>0</v>
      </c>
      <c r="D107" s="38">
        <f>COUNTIFS(Consolidado!$D:$D,$B107,Consolidado!$AL:$AL,IF(ISBLANK($C$2),"&lt;&gt;",$C$2),Consolidado!$AM:$AM,$C$7,Consolidado!$AN:$AN,D$103,Consolidado!$C:$C,IF(ISBLANK($C$3),"&lt;&gt;",$C$3),Consolidado!$AU:$AU,"S")</f>
        <v>0</v>
      </c>
      <c r="E107" s="38">
        <f>COUNTIFS(Consolidado!$D:$D,$B107,Consolidado!$AL:$AL,IF(ISBLANK($C$2),"&lt;&gt;",$C$2),Consolidado!$AM:$AM,$C$7,Consolidado!$AN:$AN,E$103,Consolidado!$C:$C,IF(ISBLANK($C$3),"&lt;&gt;",$C$3),Consolidado!$AU:$AU,"S")</f>
        <v>0</v>
      </c>
      <c r="F107" s="38">
        <f>COUNTIFS(Consolidado!$D:$D,$B107,Consolidado!$AL:$AL,IF(ISBLANK($C$2),"&lt;&gt;",$C$2),Consolidado!$AM:$AM,$C$7,Consolidado!$AN:$AN,F$103,Consolidado!$C:$C,IF(ISBLANK($C$3),"&lt;&gt;",$C$3),Consolidado!$AU:$AU,"S")</f>
        <v>0</v>
      </c>
      <c r="G107" s="38">
        <f>COUNTIFS(Consolidado!$D:$D,$B107,Consolidado!$AL:$AL,IF(ISBLANK($C$2),"&lt;&gt;",$C$2),Consolidado!$AM:$AM,$C$7,Consolidado!$AN:$AN,G$103,Consolidado!$C:$C,IF(ISBLANK($C$3),"&lt;&gt;",$C$3),Consolidado!$AU:$AU,"S")</f>
        <v>0</v>
      </c>
      <c r="H107" s="39">
        <f t="shared" si="15"/>
        <v>0</v>
      </c>
      <c r="K107" s="48" t="s">
        <v>3794</v>
      </c>
      <c r="L107" s="38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 x14ac:dyDescent="0.3">
      <c r="B108" s="47" t="s">
        <v>3795</v>
      </c>
      <c r="C108" s="36">
        <f>COUNTIFS(Consolidado!$D:$D,$B108,Consolidado!$AL:$AL,IF(ISBLANK($C$2),"&lt;&gt;",$C$2),Consolidado!$AM:$AM,$C$7,Consolidado!$AN:$AN,C$103,Consolidado!$C:$C,IF(ISBLANK($C$3),"&lt;&gt;",$C$3),Consolidado!$AU:$AU,"S")</f>
        <v>0</v>
      </c>
      <c r="D108" s="36">
        <f>COUNTIFS(Consolidado!$D:$D,$B108,Consolidado!$AL:$AL,IF(ISBLANK($C$2),"&lt;&gt;",$C$2),Consolidado!$AM:$AM,$C$7,Consolidado!$AN:$AN,D$103,Consolidado!$C:$C,IF(ISBLANK($C$3),"&lt;&gt;",$C$3),Consolidado!$AU:$AU,"S")</f>
        <v>0</v>
      </c>
      <c r="E108" s="36">
        <f>COUNTIFS(Consolidado!$D:$D,$B108,Consolidado!$AL:$AL,IF(ISBLANK($C$2),"&lt;&gt;",$C$2),Consolidado!$AM:$AM,$C$7,Consolidado!$AN:$AN,E$103,Consolidado!$C:$C,IF(ISBLANK($C$3),"&lt;&gt;",$C$3),Consolidado!$AU:$AU,"S")</f>
        <v>0</v>
      </c>
      <c r="F108" s="36">
        <f>COUNTIFS(Consolidado!$D:$D,$B108,Consolidado!$AL:$AL,IF(ISBLANK($C$2),"&lt;&gt;",$C$2),Consolidado!$AM:$AM,$C$7,Consolidado!$AN:$AN,F$103,Consolidado!$C:$C,IF(ISBLANK($C$3),"&lt;&gt;",$C$3),Consolidado!$AU:$AU,"S")</f>
        <v>0</v>
      </c>
      <c r="G108" s="36">
        <f>COUNTIFS(Consolidado!$D:$D,$B108,Consolidado!$AL:$AL,IF(ISBLANK($C$2),"&lt;&gt;",$C$2),Consolidado!$AM:$AM,$C$7,Consolidado!$AN:$AN,G$103,Consolidado!$C:$C,IF(ISBLANK($C$3),"&lt;&gt;",$C$3),Consolidado!$AU:$AU,"S")</f>
        <v>0</v>
      </c>
      <c r="H108" s="44">
        <f t="shared" si="15"/>
        <v>0</v>
      </c>
      <c r="K108" s="167" t="s">
        <v>3795</v>
      </c>
      <c r="L108" s="79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0</v>
      </c>
    </row>
    <row r="109" spans="1:31" x14ac:dyDescent="0.3">
      <c r="B109" s="48" t="s">
        <v>2021</v>
      </c>
      <c r="C109" s="38">
        <f>COUNTIFS(Consolidado!$D:$D,$B109,Consolidado!$AL:$AL,IF(ISBLANK($C$2),"&lt;&gt;",$C$2),Consolidado!$AM:$AM,$C$7,Consolidado!$AN:$AN,C$103,Consolidado!$C:$C,IF(ISBLANK($C$3),"&lt;&gt;",$C$3),Consolidado!$AU:$AU,"S")</f>
        <v>0</v>
      </c>
      <c r="D109" s="38">
        <f>COUNTIFS(Consolidado!$D:$D,$B109,Consolidado!$AL:$AL,IF(ISBLANK($C$2),"&lt;&gt;",$C$2),Consolidado!$AM:$AM,$C$7,Consolidado!$AN:$AN,D$103,Consolidado!$C:$C,IF(ISBLANK($C$3),"&lt;&gt;",$C$3),Consolidado!$AU:$AU,"S")</f>
        <v>0</v>
      </c>
      <c r="E109" s="38">
        <f>COUNTIFS(Consolidado!$D:$D,$B109,Consolidado!$AL:$AL,IF(ISBLANK($C$2),"&lt;&gt;",$C$2),Consolidado!$AM:$AM,$C$7,Consolidado!$AN:$AN,E$103,Consolidado!$C:$C,IF(ISBLANK($C$3),"&lt;&gt;",$C$3),Consolidado!$AU:$AU,"S")</f>
        <v>0</v>
      </c>
      <c r="F109" s="38">
        <f>COUNTIFS(Consolidado!$D:$D,$B109,Consolidado!$AL:$AL,IF(ISBLANK($C$2),"&lt;&gt;",$C$2),Consolidado!$AM:$AM,$C$7,Consolidado!$AN:$AN,F$103,Consolidado!$C:$C,IF(ISBLANK($C$3),"&lt;&gt;",$C$3),Consolidado!$AU:$AU,"S")</f>
        <v>0</v>
      </c>
      <c r="G109" s="38">
        <f>COUNTIFS(Consolidado!$D:$D,$B109,Consolidado!$AL:$AL,IF(ISBLANK($C$2),"&lt;&gt;",$C$2),Consolidado!$AM:$AM,$C$7,Consolidado!$AN:$AN,G$103,Consolidado!$C:$C,IF(ISBLANK($C$3),"&lt;&gt;",$C$3),Consolidado!$AU:$AU,"S")</f>
        <v>0</v>
      </c>
      <c r="H109" s="39">
        <f t="shared" si="15"/>
        <v>0</v>
      </c>
      <c r="K109" s="48" t="s">
        <v>2021</v>
      </c>
      <c r="L109" s="38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0</v>
      </c>
    </row>
    <row r="110" spans="1:31" x14ac:dyDescent="0.3">
      <c r="B110" s="47" t="s">
        <v>3796</v>
      </c>
      <c r="C110" s="36">
        <f>COUNTIFS(Consolidado!$D:$D,$B110,Consolidado!$AL:$AL,IF(ISBLANK($C$2),"&lt;&gt;",$C$2),Consolidado!$AM:$AM,$C$7,Consolidado!$AN:$AN,C$103,Consolidado!$C:$C,IF(ISBLANK($C$3),"&lt;&gt;",$C$3),Consolidado!$AU:$AU,"S")</f>
        <v>0</v>
      </c>
      <c r="D110" s="36">
        <f>COUNTIFS(Consolidado!$D:$D,$B110,Consolidado!$AL:$AL,IF(ISBLANK($C$2),"&lt;&gt;",$C$2),Consolidado!$AM:$AM,$C$7,Consolidado!$AN:$AN,D$103,Consolidado!$C:$C,IF(ISBLANK($C$3),"&lt;&gt;",$C$3),Consolidado!$AU:$AU,"S")</f>
        <v>0</v>
      </c>
      <c r="E110" s="36">
        <f>COUNTIFS(Consolidado!$D:$D,$B110,Consolidado!$AL:$AL,IF(ISBLANK($C$2),"&lt;&gt;",$C$2),Consolidado!$AM:$AM,$C$7,Consolidado!$AN:$AN,E$103,Consolidado!$C:$C,IF(ISBLANK($C$3),"&lt;&gt;",$C$3),Consolidado!$AU:$AU,"S")</f>
        <v>0</v>
      </c>
      <c r="F110" s="36">
        <f>COUNTIFS(Consolidado!$D:$D,$B110,Consolidado!$AL:$AL,IF(ISBLANK($C$2),"&lt;&gt;",$C$2),Consolidado!$AM:$AM,$C$7,Consolidado!$AN:$AN,F$103,Consolidado!$C:$C,IF(ISBLANK($C$3),"&lt;&gt;",$C$3),Consolidado!$AU:$AU,"S")</f>
        <v>0</v>
      </c>
      <c r="G110" s="36">
        <f>COUNTIFS(Consolidado!$D:$D,$B110,Consolidado!$AL:$AL,IF(ISBLANK($C$2),"&lt;&gt;",$C$2),Consolidado!$AM:$AM,$C$7,Consolidado!$AN:$AN,G$103,Consolidado!$C:$C,IF(ISBLANK($C$3),"&lt;&gt;",$C$3),Consolidado!$AU:$AU,"S")</f>
        <v>0</v>
      </c>
      <c r="H110" s="44">
        <f t="shared" si="15"/>
        <v>0</v>
      </c>
      <c r="K110" s="167" t="s">
        <v>3796</v>
      </c>
      <c r="L110" s="79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 x14ac:dyDescent="0.3">
      <c r="B111" s="48" t="s">
        <v>3744</v>
      </c>
      <c r="C111" s="39">
        <f>SUM(C104:C110)</f>
        <v>0</v>
      </c>
      <c r="D111" s="39">
        <f t="shared" ref="D111:G111" si="16">SUM(D104:D110)</f>
        <v>11</v>
      </c>
      <c r="E111" s="39">
        <f t="shared" si="16"/>
        <v>5</v>
      </c>
      <c r="F111" s="39">
        <f t="shared" si="16"/>
        <v>7</v>
      </c>
      <c r="G111" s="39">
        <f t="shared" si="16"/>
        <v>10</v>
      </c>
      <c r="H111" s="39">
        <f t="shared" si="15"/>
        <v>33</v>
      </c>
      <c r="K111" s="48" t="s">
        <v>3744</v>
      </c>
      <c r="L111" s="39">
        <f>SUM(L104:L110)</f>
        <v>33</v>
      </c>
    </row>
  </sheetData>
  <mergeCells count="15">
    <mergeCell ref="B102:B103"/>
    <mergeCell ref="K102:K103"/>
    <mergeCell ref="L102:L103"/>
    <mergeCell ref="B14:B15"/>
    <mergeCell ref="K14:K15"/>
    <mergeCell ref="K24:K25"/>
    <mergeCell ref="K29:K30"/>
    <mergeCell ref="B54:B55"/>
    <mergeCell ref="B64:B65"/>
    <mergeCell ref="K54:K55"/>
    <mergeCell ref="L54:L55"/>
    <mergeCell ref="K64:K65"/>
    <mergeCell ref="L64:L65"/>
    <mergeCell ref="B45:B46"/>
    <mergeCell ref="H45:H46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topLeftCell="A31" workbookViewId="0">
      <selection activeCell="H47" sqref="H47:I48"/>
    </sheetView>
  </sheetViews>
  <sheetFormatPr defaultColWidth="9.109375" defaultRowHeight="14.4" x14ac:dyDescent="0.3"/>
  <cols>
    <col min="1" max="1" width="9.109375" style="1"/>
    <col min="2" max="2" width="36.5546875" style="1" bestFit="1" customWidth="1"/>
    <col min="3" max="3" width="9.109375" style="1" customWidth="1"/>
    <col min="4" max="4" width="26.88671875" style="1" bestFit="1" customWidth="1"/>
    <col min="5" max="5" width="9.109375" style="1"/>
    <col min="6" max="6" width="45.6640625" style="1" customWidth="1"/>
    <col min="7" max="7" width="4.6640625" style="1" customWidth="1"/>
    <col min="8" max="8" width="14.33203125" style="1" bestFit="1" customWidth="1"/>
    <col min="9" max="9" width="44.44140625" style="1" bestFit="1" customWidth="1"/>
    <col min="10" max="10" width="9.109375" style="1"/>
    <col min="11" max="11" width="43.44140625" style="66" bestFit="1" customWidth="1"/>
    <col min="12" max="12" width="3.44140625" style="1" customWidth="1"/>
    <col min="13" max="13" width="15" style="1" bestFit="1" customWidth="1"/>
    <col min="14" max="14" width="53.44140625" style="1" bestFit="1" customWidth="1"/>
    <col min="15" max="15" width="9.109375" style="1"/>
    <col min="16" max="16" width="25.33203125" style="1" customWidth="1"/>
    <col min="17" max="17" width="9.109375" style="1"/>
    <col min="18" max="18" width="15" style="1" bestFit="1" customWidth="1"/>
    <col min="19" max="19" width="9.109375" style="1"/>
    <col min="20" max="20" width="15.44140625" style="1" bestFit="1" customWidth="1"/>
    <col min="21" max="21" width="9.109375" style="1"/>
    <col min="22" max="22" width="37.44140625" style="1" bestFit="1" customWidth="1"/>
    <col min="23" max="23" width="9.109375" style="1"/>
    <col min="24" max="24" width="20.109375" style="1" bestFit="1" customWidth="1"/>
    <col min="25" max="25" width="9.109375" style="1"/>
    <col min="26" max="26" width="16.5546875" style="1" customWidth="1"/>
    <col min="27" max="27" width="9.109375" style="1"/>
    <col min="28" max="28" width="25.109375" style="1" bestFit="1" customWidth="1"/>
    <col min="29" max="29" width="9.109375" style="1"/>
    <col min="30" max="30" width="25.88671875" bestFit="1" customWidth="1"/>
    <col min="31" max="31" width="9.109375" style="1"/>
    <col min="32" max="32" width="14" customWidth="1"/>
    <col min="33" max="33" width="9.109375" style="1"/>
    <col min="34" max="34" width="16.109375" customWidth="1"/>
    <col min="35" max="35" width="9.109375" style="1"/>
    <col min="36" max="36" width="10.109375" bestFit="1" customWidth="1"/>
    <col min="38" max="38" width="15.44140625" customWidth="1"/>
    <col min="39" max="39" width="9.109375" style="1"/>
    <col min="40" max="40" width="17.44140625" style="1" customWidth="1"/>
    <col min="41" max="16384" width="9.109375" style="1"/>
  </cols>
  <sheetData>
    <row r="1" spans="2:40" ht="29.4" thickBot="1" x14ac:dyDescent="0.35">
      <c r="D1" s="72" t="s">
        <v>2</v>
      </c>
      <c r="F1" s="67" t="s">
        <v>3797</v>
      </c>
      <c r="G1" s="53"/>
      <c r="H1" s="120" t="s">
        <v>37</v>
      </c>
      <c r="I1" s="119" t="s">
        <v>3798</v>
      </c>
      <c r="K1" s="71" t="s">
        <v>3799</v>
      </c>
      <c r="L1" s="53"/>
      <c r="M1" s="54" t="s">
        <v>37</v>
      </c>
      <c r="N1" s="55" t="s">
        <v>3800</v>
      </c>
      <c r="P1" s="123" t="s">
        <v>32</v>
      </c>
      <c r="R1" s="56" t="s">
        <v>3801</v>
      </c>
      <c r="T1" s="74" t="s">
        <v>3802</v>
      </c>
      <c r="V1" s="135" t="s">
        <v>16</v>
      </c>
      <c r="X1" s="133" t="s">
        <v>19</v>
      </c>
      <c r="Z1" s="188" t="s">
        <v>20</v>
      </c>
      <c r="AB1" s="131" t="s">
        <v>25</v>
      </c>
      <c r="AD1" s="129" t="s">
        <v>27</v>
      </c>
      <c r="AF1" s="129" t="s">
        <v>29</v>
      </c>
      <c r="AH1" s="126" t="s">
        <v>3803</v>
      </c>
      <c r="AJ1" s="127" t="s">
        <v>35</v>
      </c>
      <c r="AL1" s="126" t="s">
        <v>36</v>
      </c>
      <c r="AN1" s="138" t="s">
        <v>0</v>
      </c>
    </row>
    <row r="2" spans="2:40" ht="15" thickBot="1" x14ac:dyDescent="0.35">
      <c r="B2" s="52" t="s">
        <v>3804</v>
      </c>
      <c r="D2" s="113" t="s">
        <v>3805</v>
      </c>
      <c r="F2" s="70" t="str" cm="1">
        <f t="array" ref="F2:F10">IF(COUNTIF(Consolidado!$AL:$AL,"Emagrecimento")&lt;&gt;0,_xlfn._xlws.FILTER($I$2:$I$54,$H$2:$H$54&lt;&gt;""),_xlfn._xlws.FILTER($I$2:$I$54,$H$2:$H$54="Outras"))</f>
        <v>Captado pela Amil/Call Center</v>
      </c>
      <c r="H2" s="79" t="s">
        <v>3806</v>
      </c>
      <c r="I2" s="115" t="s">
        <v>49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3806</v>
      </c>
      <c r="N2" s="116" t="s">
        <v>1999</v>
      </c>
      <c r="P2" s="124" t="s">
        <v>1999</v>
      </c>
      <c r="R2" s="59" t="s">
        <v>3807</v>
      </c>
      <c r="T2" s="85" t="s">
        <v>1491</v>
      </c>
      <c r="V2" s="136" t="s">
        <v>58</v>
      </c>
      <c r="X2" s="134" t="s">
        <v>59</v>
      </c>
      <c r="Z2" s="189" t="s">
        <v>60</v>
      </c>
      <c r="AB2" s="113" t="s">
        <v>62</v>
      </c>
      <c r="AD2" s="124" t="s">
        <v>63</v>
      </c>
      <c r="AF2" s="124" t="s">
        <v>64</v>
      </c>
      <c r="AH2" s="124" t="s">
        <v>67</v>
      </c>
      <c r="AJ2" s="124" t="s">
        <v>197</v>
      </c>
      <c r="AL2" s="124" t="s">
        <v>67</v>
      </c>
      <c r="AN2" s="139" t="s">
        <v>67</v>
      </c>
    </row>
    <row r="3" spans="2:40" ht="15" thickBot="1" x14ac:dyDescent="0.35">
      <c r="D3" s="113" t="s">
        <v>211</v>
      </c>
      <c r="F3" s="68" t="str">
        <v>Casos Prioritário - E-mail</v>
      </c>
      <c r="H3" s="79" t="s">
        <v>3806</v>
      </c>
      <c r="I3" s="115" t="s">
        <v>3793</v>
      </c>
      <c r="K3" s="60" t="str">
        <v>Samaritano Higi</v>
      </c>
      <c r="M3" s="79" t="s">
        <v>3806</v>
      </c>
      <c r="N3" s="116" t="s">
        <v>3779</v>
      </c>
      <c r="P3" s="124" t="s">
        <v>3779</v>
      </c>
      <c r="R3" s="59" t="s">
        <v>3808</v>
      </c>
      <c r="T3" s="84" t="s">
        <v>66</v>
      </c>
      <c r="V3" s="136" t="s">
        <v>3754</v>
      </c>
      <c r="X3" s="113" t="s">
        <v>2212</v>
      </c>
      <c r="Z3" s="113" t="s">
        <v>746</v>
      </c>
      <c r="AB3" s="132" t="s">
        <v>3809</v>
      </c>
      <c r="AD3" s="124" t="s">
        <v>224</v>
      </c>
      <c r="AF3" s="130" t="s">
        <v>86</v>
      </c>
      <c r="AH3" s="124" t="s">
        <v>47</v>
      </c>
      <c r="AJ3" s="128" t="s">
        <v>81</v>
      </c>
      <c r="AL3" s="124" t="s">
        <v>47</v>
      </c>
      <c r="AN3" s="139" t="s">
        <v>47</v>
      </c>
    </row>
    <row r="4" spans="2:40" x14ac:dyDescent="0.3">
      <c r="D4" s="113" t="s">
        <v>48</v>
      </c>
      <c r="F4" s="68" t="str">
        <v>Forms Total Care</v>
      </c>
      <c r="H4" s="79" t="s">
        <v>3806</v>
      </c>
      <c r="I4" s="115" t="s">
        <v>2000</v>
      </c>
      <c r="K4" s="60" t="str">
        <v>COI -RJ</v>
      </c>
      <c r="M4" s="79" t="s">
        <v>3806</v>
      </c>
      <c r="N4" s="116" t="s">
        <v>3780</v>
      </c>
      <c r="P4" s="124" t="s">
        <v>3782</v>
      </c>
      <c r="R4" s="59" t="s">
        <v>3810</v>
      </c>
      <c r="T4" s="84" t="s">
        <v>139</v>
      </c>
      <c r="V4" s="136" t="s">
        <v>3756</v>
      </c>
      <c r="X4" s="132" t="s">
        <v>3811</v>
      </c>
      <c r="Z4" s="59" t="s">
        <v>79</v>
      </c>
      <c r="AD4" s="124" t="s">
        <v>118</v>
      </c>
      <c r="AF4" s="130" t="s">
        <v>265</v>
      </c>
      <c r="AH4" s="125"/>
      <c r="AJ4" s="125" t="s">
        <v>3812</v>
      </c>
      <c r="AL4" s="124" t="s">
        <v>3678</v>
      </c>
      <c r="AN4" s="140"/>
    </row>
    <row r="5" spans="2:40" x14ac:dyDescent="0.3">
      <c r="D5" s="73" t="s">
        <v>3813</v>
      </c>
      <c r="F5" s="68" t="str">
        <v>GSC</v>
      </c>
      <c r="H5" s="79" t="s">
        <v>3806</v>
      </c>
      <c r="I5" s="115" t="s">
        <v>3794</v>
      </c>
      <c r="K5" s="60" t="str">
        <v>Interno - Amil Geral</v>
      </c>
      <c r="M5" s="79" t="s">
        <v>3806</v>
      </c>
      <c r="N5" s="116" t="s">
        <v>138</v>
      </c>
      <c r="P5" s="125" t="s">
        <v>313</v>
      </c>
      <c r="R5" s="59" t="s">
        <v>3814</v>
      </c>
      <c r="T5" s="86" t="s">
        <v>3678</v>
      </c>
      <c r="V5" s="136" t="s">
        <v>3758</v>
      </c>
      <c r="Z5" s="59"/>
      <c r="AD5" s="124" t="s">
        <v>80</v>
      </c>
      <c r="AF5" s="125"/>
      <c r="AH5" s="83"/>
      <c r="AJ5" s="125" t="s">
        <v>47</v>
      </c>
      <c r="AL5" s="125"/>
    </row>
    <row r="6" spans="2:40" x14ac:dyDescent="0.3">
      <c r="D6" s="73" t="s">
        <v>3815</v>
      </c>
      <c r="F6" s="68" t="str">
        <v>Triggers</v>
      </c>
      <c r="H6" s="79" t="s">
        <v>3806</v>
      </c>
      <c r="I6" s="115" t="s">
        <v>3795</v>
      </c>
      <c r="K6" s="60" t="str">
        <v>Externo - Geral</v>
      </c>
      <c r="M6" s="79" t="s">
        <v>3806</v>
      </c>
      <c r="N6" s="116" t="s">
        <v>175</v>
      </c>
      <c r="R6" s="59" t="s">
        <v>3816</v>
      </c>
      <c r="V6" s="136" t="s">
        <v>2828</v>
      </c>
      <c r="Z6" s="187"/>
      <c r="AD6" s="125" t="s">
        <v>3789</v>
      </c>
      <c r="AF6" s="83"/>
      <c r="AH6" s="83"/>
      <c r="AJ6" s="83"/>
      <c r="AL6" s="83"/>
    </row>
    <row r="7" spans="2:40" x14ac:dyDescent="0.3">
      <c r="D7" s="73"/>
      <c r="F7" s="68" t="str">
        <v xml:space="preserve">Viva Bem </v>
      </c>
      <c r="H7" s="79" t="s">
        <v>3806</v>
      </c>
      <c r="I7" s="115" t="s">
        <v>2021</v>
      </c>
      <c r="K7" s="60" t="str">
        <v>Não Informou</v>
      </c>
      <c r="M7" s="79" t="s">
        <v>3806</v>
      </c>
      <c r="N7" s="116" t="s">
        <v>1912</v>
      </c>
      <c r="R7" s="59" t="s">
        <v>3817</v>
      </c>
      <c r="V7" s="136" t="s">
        <v>3761</v>
      </c>
      <c r="AD7" s="83"/>
      <c r="AF7" s="83"/>
      <c r="AH7" s="83"/>
      <c r="AJ7" s="83"/>
      <c r="AL7" s="83"/>
    </row>
    <row r="8" spans="2:40" x14ac:dyDescent="0.3">
      <c r="D8" s="73"/>
      <c r="F8" s="68" t="str">
        <v>Saúde Ocupacional</v>
      </c>
      <c r="H8" s="79" t="s">
        <v>3806</v>
      </c>
      <c r="I8" s="115" t="s">
        <v>3796</v>
      </c>
      <c r="K8" s="60" t="str">
        <v>CMDP - Centro Médico Dom Pedro</v>
      </c>
      <c r="M8" s="79" t="s">
        <v>3806</v>
      </c>
      <c r="N8" s="116" t="s">
        <v>3818</v>
      </c>
      <c r="R8" s="59" t="s">
        <v>3819</v>
      </c>
      <c r="V8" s="136" t="s">
        <v>3763</v>
      </c>
      <c r="AD8" s="83"/>
      <c r="AF8" s="83"/>
      <c r="AH8" s="83"/>
      <c r="AJ8" s="83"/>
      <c r="AL8" s="83"/>
    </row>
    <row r="9" spans="2:40" x14ac:dyDescent="0.3">
      <c r="D9" s="73"/>
      <c r="F9" s="68" t="str">
        <v>Optin</v>
      </c>
      <c r="H9" s="38" t="s">
        <v>3820</v>
      </c>
      <c r="I9" s="117" t="s">
        <v>3821</v>
      </c>
      <c r="K9" s="60" t="str">
        <v>Outros</v>
      </c>
      <c r="M9" s="79" t="s">
        <v>3806</v>
      </c>
      <c r="N9" s="116" t="s">
        <v>843</v>
      </c>
      <c r="R9" s="59" t="s">
        <v>3822</v>
      </c>
      <c r="V9" s="136" t="s">
        <v>3764</v>
      </c>
      <c r="Z9" s="1" t="s">
        <v>46</v>
      </c>
      <c r="AA9" s="1" t="s">
        <v>60</v>
      </c>
      <c r="AD9" s="83"/>
      <c r="AF9" s="83"/>
      <c r="AH9" s="83"/>
      <c r="AJ9" s="83"/>
      <c r="AL9" s="83"/>
    </row>
    <row r="10" spans="2:40" ht="15" thickBot="1" x14ac:dyDescent="0.35">
      <c r="D10" s="114"/>
      <c r="F10" s="68" t="str">
        <v>Captado Total Care</v>
      </c>
      <c r="H10" s="38" t="s">
        <v>3820</v>
      </c>
      <c r="I10" s="118" t="s">
        <v>3823</v>
      </c>
      <c r="K10" s="60" t="str">
        <v>Amil - Hospital Ipiranga Arujá - Ambulatório </v>
      </c>
      <c r="M10" s="79" t="s">
        <v>3806</v>
      </c>
      <c r="N10" s="116" t="s">
        <v>3824</v>
      </c>
      <c r="R10" s="59" t="s">
        <v>68</v>
      </c>
      <c r="V10" s="136" t="s">
        <v>3766</v>
      </c>
      <c r="Z10" s="1" t="s">
        <v>46</v>
      </c>
      <c r="AA10" s="1" t="s">
        <v>746</v>
      </c>
      <c r="AD10" s="83"/>
      <c r="AF10" s="83"/>
      <c r="AJ10" s="83"/>
      <c r="AL10" s="83"/>
    </row>
    <row r="11" spans="2:40" x14ac:dyDescent="0.3">
      <c r="F11" s="68"/>
      <c r="H11" s="38" t="s">
        <v>3820</v>
      </c>
      <c r="I11" s="118" t="s">
        <v>3825</v>
      </c>
      <c r="K11" s="60" t="str">
        <v>Amil - Hospital Ipiranga Mogi - Ambulatório </v>
      </c>
      <c r="M11" s="79" t="s">
        <v>3806</v>
      </c>
      <c r="N11" s="116" t="s">
        <v>3826</v>
      </c>
      <c r="R11" s="59" t="s">
        <v>3827</v>
      </c>
      <c r="V11" s="136" t="s">
        <v>3767</v>
      </c>
      <c r="Z11" s="1" t="s">
        <v>60</v>
      </c>
      <c r="AA11" s="1" t="s">
        <v>60</v>
      </c>
      <c r="AD11" s="83"/>
      <c r="AF11" s="83"/>
      <c r="AH11" s="83"/>
      <c r="AJ11" s="83"/>
      <c r="AL11" s="83"/>
    </row>
    <row r="12" spans="2:40" x14ac:dyDescent="0.3">
      <c r="F12" s="68"/>
      <c r="H12" s="38" t="s">
        <v>3820</v>
      </c>
      <c r="I12" s="118" t="s">
        <v>3828</v>
      </c>
      <c r="K12" s="60" t="str">
        <v>Amil - Hospital Metropolitano - Centro Médico </v>
      </c>
      <c r="M12" s="79" t="s">
        <v>3806</v>
      </c>
      <c r="N12" s="116" t="s">
        <v>3829</v>
      </c>
      <c r="R12" s="59" t="s">
        <v>3830</v>
      </c>
      <c r="V12" s="136" t="s">
        <v>3768</v>
      </c>
      <c r="Z12" s="1" t="s">
        <v>746</v>
      </c>
      <c r="AA12" s="1" t="s">
        <v>746</v>
      </c>
      <c r="AD12" s="83"/>
      <c r="AF12" s="83"/>
      <c r="AH12" s="83"/>
      <c r="AJ12" s="83"/>
      <c r="AL12" s="83"/>
    </row>
    <row r="13" spans="2:40" x14ac:dyDescent="0.3">
      <c r="F13" s="68"/>
      <c r="H13" s="38" t="s">
        <v>3820</v>
      </c>
      <c r="I13" s="118" t="s">
        <v>3831</v>
      </c>
      <c r="K13" s="60" t="str">
        <v>Amil - Hospital Paulistano - Ambulatório </v>
      </c>
      <c r="M13" s="79" t="s">
        <v>3806</v>
      </c>
      <c r="N13" s="116" t="s">
        <v>3832</v>
      </c>
      <c r="R13" s="59" t="s">
        <v>3833</v>
      </c>
      <c r="V13" s="136" t="s">
        <v>3769</v>
      </c>
      <c r="Z13" s="1" t="s">
        <v>79</v>
      </c>
      <c r="AA13" s="1" t="s">
        <v>79</v>
      </c>
      <c r="AD13" s="83"/>
      <c r="AF13" s="83"/>
      <c r="AH13" s="83"/>
      <c r="AJ13" s="83"/>
      <c r="AL13" s="83"/>
    </row>
    <row r="14" spans="2:40" x14ac:dyDescent="0.3">
      <c r="F14" s="68"/>
      <c r="H14" s="38" t="s">
        <v>3820</v>
      </c>
      <c r="I14" s="58" t="s">
        <v>3834</v>
      </c>
      <c r="K14" s="60" t="str">
        <v>Amil - Ud Cubatão Sp - Hospital Da Luz </v>
      </c>
      <c r="M14" s="79" t="s">
        <v>3806</v>
      </c>
      <c r="N14" s="116" t="s">
        <v>65</v>
      </c>
      <c r="R14" s="59" t="s">
        <v>3820</v>
      </c>
      <c r="V14" s="136" t="s">
        <v>1393</v>
      </c>
      <c r="Z14" s="1" t="s">
        <v>3744</v>
      </c>
      <c r="AA14" s="1" t="s">
        <v>60</v>
      </c>
      <c r="AD14" s="83"/>
      <c r="AF14" s="83"/>
      <c r="AH14" s="83"/>
      <c r="AJ14" s="83"/>
      <c r="AL14" s="83"/>
    </row>
    <row r="15" spans="2:40" x14ac:dyDescent="0.3">
      <c r="F15" s="68"/>
      <c r="H15" s="38" t="s">
        <v>3820</v>
      </c>
      <c r="I15" s="58" t="s">
        <v>3835</v>
      </c>
      <c r="K15" s="60" t="str">
        <v>Amil - Unidade Avançada Carlos Chagas </v>
      </c>
      <c r="M15" s="79" t="s">
        <v>3806</v>
      </c>
      <c r="N15" s="116" t="s">
        <v>1521</v>
      </c>
      <c r="R15" s="59" t="s">
        <v>3836</v>
      </c>
      <c r="V15" s="136" t="s">
        <v>745</v>
      </c>
      <c r="Z15" s="1" t="s">
        <v>3744</v>
      </c>
      <c r="AA15" s="1" t="s">
        <v>746</v>
      </c>
      <c r="AD15" s="83"/>
      <c r="AF15" s="83"/>
      <c r="AH15" s="83"/>
      <c r="AJ15" s="83"/>
      <c r="AL15" s="83"/>
    </row>
    <row r="16" spans="2:40" x14ac:dyDescent="0.3">
      <c r="F16" s="68"/>
      <c r="H16" s="38" t="s">
        <v>3820</v>
      </c>
      <c r="I16" s="58" t="s">
        <v>3837</v>
      </c>
      <c r="K16" s="60" t="str">
        <v>Amil - Unidade Avançada Luz Butantã </v>
      </c>
      <c r="M16" s="79" t="s">
        <v>3806</v>
      </c>
      <c r="N16" s="116" t="s">
        <v>403</v>
      </c>
      <c r="R16" s="59" t="s">
        <v>3838</v>
      </c>
      <c r="V16" s="136" t="s">
        <v>78</v>
      </c>
      <c r="Z16" s="1" t="s">
        <v>3744</v>
      </c>
      <c r="AA16" s="1" t="s">
        <v>79</v>
      </c>
      <c r="AD16" s="83"/>
      <c r="AF16" s="83"/>
      <c r="AH16" s="83"/>
      <c r="AJ16" s="83"/>
      <c r="AL16" s="83"/>
    </row>
    <row r="17" spans="6:38" x14ac:dyDescent="0.3">
      <c r="F17" s="68"/>
      <c r="H17" s="38" t="s">
        <v>3820</v>
      </c>
      <c r="I17" s="58" t="s">
        <v>3839</v>
      </c>
      <c r="K17" s="60" t="str">
        <v>Amil - Unidade Avançada Luz Joao Dias </v>
      </c>
      <c r="M17" s="79" t="s">
        <v>3806</v>
      </c>
      <c r="N17" s="116" t="s">
        <v>248</v>
      </c>
      <c r="R17" s="59" t="s">
        <v>3840</v>
      </c>
      <c r="V17" s="136" t="s">
        <v>3770</v>
      </c>
      <c r="AD17" s="83"/>
      <c r="AF17" s="83"/>
      <c r="AH17" s="83"/>
      <c r="AJ17" s="83"/>
      <c r="AL17" s="83"/>
    </row>
    <row r="18" spans="6:38" x14ac:dyDescent="0.3">
      <c r="F18" s="68"/>
      <c r="H18" s="38" t="s">
        <v>3820</v>
      </c>
      <c r="I18" s="58" t="s">
        <v>3841</v>
      </c>
      <c r="K18" s="60" t="str">
        <v>Amil - Unidade Avançada Vitoria </v>
      </c>
      <c r="M18" s="79" t="s">
        <v>3806</v>
      </c>
      <c r="N18" s="116" t="s">
        <v>178</v>
      </c>
      <c r="R18" s="59" t="s">
        <v>3842</v>
      </c>
      <c r="V18" s="136" t="s">
        <v>941</v>
      </c>
      <c r="AD18" s="83"/>
      <c r="AF18" s="83"/>
      <c r="AH18" s="83"/>
      <c r="AJ18" s="83"/>
      <c r="AL18" s="83"/>
    </row>
    <row r="19" spans="6:38" x14ac:dyDescent="0.3">
      <c r="F19" s="68"/>
      <c r="H19" s="38" t="s">
        <v>3820</v>
      </c>
      <c r="I19" s="58" t="s">
        <v>3843</v>
      </c>
      <c r="K19" s="60" t="str">
        <v>Amil Espaço Saúde - Ana Rosa </v>
      </c>
      <c r="M19" s="79" t="s">
        <v>3806</v>
      </c>
      <c r="N19" s="116" t="s">
        <v>296</v>
      </c>
      <c r="R19" s="59" t="s">
        <v>3844</v>
      </c>
      <c r="V19" s="136" t="s">
        <v>3771</v>
      </c>
      <c r="AD19" s="83"/>
      <c r="AF19" s="83"/>
      <c r="AH19" s="83"/>
      <c r="AJ19" s="83"/>
      <c r="AL19" s="83"/>
    </row>
    <row r="20" spans="6:38" x14ac:dyDescent="0.3">
      <c r="F20" s="68"/>
      <c r="H20" s="38" t="s">
        <v>3820</v>
      </c>
      <c r="I20" s="58" t="s">
        <v>3845</v>
      </c>
      <c r="K20" s="60" t="str">
        <v>Amil Espaço Saúde - Botafogo </v>
      </c>
      <c r="M20" s="79" t="s">
        <v>3806</v>
      </c>
      <c r="N20" s="116" t="s">
        <v>3846</v>
      </c>
      <c r="R20" s="59" t="s">
        <v>3847</v>
      </c>
      <c r="V20" s="136" t="s">
        <v>2142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3848</v>
      </c>
      <c r="AD20" s="83"/>
      <c r="AF20" s="83"/>
      <c r="AH20" s="83"/>
      <c r="AJ20" s="83"/>
      <c r="AL20" s="83"/>
    </row>
    <row r="21" spans="6:38" x14ac:dyDescent="0.3">
      <c r="F21" s="68"/>
      <c r="H21" s="38" t="s">
        <v>3820</v>
      </c>
      <c r="I21" s="58" t="s">
        <v>3849</v>
      </c>
      <c r="K21" s="60" t="str">
        <v>Amil Espaço Saúde - Campo Grande </v>
      </c>
      <c r="M21" s="79" t="s">
        <v>3806</v>
      </c>
      <c r="N21" s="116" t="s">
        <v>326</v>
      </c>
      <c r="R21" s="59" t="s">
        <v>3850</v>
      </c>
      <c r="V21" s="136" t="s">
        <v>2110</v>
      </c>
      <c r="AA21" s="1" t="str">
        <v>Inativo</v>
      </c>
      <c r="AB21" s="1" t="s">
        <v>3848</v>
      </c>
      <c r="AD21" s="83"/>
      <c r="AF21" s="83"/>
      <c r="AH21" s="83"/>
      <c r="AJ21" s="83"/>
      <c r="AL21" s="83"/>
    </row>
    <row r="22" spans="6:38" x14ac:dyDescent="0.3">
      <c r="F22" s="68"/>
      <c r="H22" s="38" t="s">
        <v>3820</v>
      </c>
      <c r="I22" s="58" t="s">
        <v>3851</v>
      </c>
      <c r="K22" s="60" t="str">
        <v>Amil Espaço Saúde - Caxias </v>
      </c>
      <c r="M22" s="79" t="s">
        <v>3806</v>
      </c>
      <c r="N22" s="116" t="s">
        <v>3852</v>
      </c>
      <c r="R22" s="59" t="s">
        <v>3853</v>
      </c>
      <c r="V22" s="136" t="s">
        <v>3772</v>
      </c>
      <c r="AA22" s="1" t="str">
        <v>Fora da Linha</v>
      </c>
      <c r="AB22" s="1" t="s">
        <v>3848</v>
      </c>
      <c r="AD22" s="83"/>
      <c r="AF22" s="83"/>
      <c r="AH22" s="83"/>
      <c r="AJ22" s="83"/>
      <c r="AL22" s="83"/>
    </row>
    <row r="23" spans="6:38" x14ac:dyDescent="0.3">
      <c r="F23" s="68"/>
      <c r="H23" s="38" t="s">
        <v>3820</v>
      </c>
      <c r="I23" s="58" t="s">
        <v>3854</v>
      </c>
      <c r="K23" s="60" t="str">
        <v>Amil Espaço Saúde - Guarulhos </v>
      </c>
      <c r="M23" s="79" t="s">
        <v>3806</v>
      </c>
      <c r="N23" s="116" t="s">
        <v>3855</v>
      </c>
      <c r="R23" s="59" t="s">
        <v>3856</v>
      </c>
      <c r="V23" s="136" t="s">
        <v>2211</v>
      </c>
      <c r="AB23" s="1" t="s">
        <v>3848</v>
      </c>
      <c r="AD23" s="83"/>
      <c r="AF23" s="83"/>
      <c r="AH23" s="83"/>
      <c r="AJ23" s="83"/>
      <c r="AL23" s="83"/>
    </row>
    <row r="24" spans="6:38" ht="15" thickBot="1" x14ac:dyDescent="0.35">
      <c r="F24" s="68"/>
      <c r="H24" s="38" t="s">
        <v>3820</v>
      </c>
      <c r="I24" s="58" t="s">
        <v>3857</v>
      </c>
      <c r="K24" s="60" t="str">
        <v>Amil Espaço Saúde - Niterói </v>
      </c>
      <c r="M24" s="79" t="s">
        <v>3806</v>
      </c>
      <c r="N24" s="116" t="s">
        <v>3858</v>
      </c>
      <c r="R24" s="61" t="s">
        <v>3859</v>
      </c>
      <c r="V24" s="136" t="s">
        <v>3682</v>
      </c>
      <c r="AD24" s="83"/>
      <c r="AF24" s="83"/>
      <c r="AH24" s="83"/>
      <c r="AJ24" s="83"/>
      <c r="AL24" s="83"/>
    </row>
    <row r="25" spans="6:38" x14ac:dyDescent="0.3">
      <c r="F25" s="68"/>
      <c r="H25" s="38" t="s">
        <v>3820</v>
      </c>
      <c r="I25" s="58" t="s">
        <v>3860</v>
      </c>
      <c r="K25" s="60" t="str">
        <v>Amil Espaço Saúde - Nova Iguaçu </v>
      </c>
      <c r="M25" s="79" t="s">
        <v>3806</v>
      </c>
      <c r="N25" s="116" t="s">
        <v>3861</v>
      </c>
      <c r="V25" s="136" t="s">
        <v>3773</v>
      </c>
      <c r="AD25" s="83"/>
      <c r="AF25" s="83"/>
      <c r="AH25" s="83"/>
      <c r="AJ25" s="83"/>
      <c r="AL25" s="83"/>
    </row>
    <row r="26" spans="6:38" ht="15" thickBot="1" x14ac:dyDescent="0.35">
      <c r="F26" s="68"/>
      <c r="H26" s="38" t="s">
        <v>3820</v>
      </c>
      <c r="I26" s="58" t="s">
        <v>3862</v>
      </c>
      <c r="K26" s="60" t="str">
        <v>Amil Espaço Saúde - Osasco </v>
      </c>
      <c r="M26" s="79" t="s">
        <v>3806</v>
      </c>
      <c r="N26" s="116" t="s">
        <v>3863</v>
      </c>
      <c r="V26" s="137" t="s">
        <v>3774</v>
      </c>
      <c r="AD26" s="83"/>
      <c r="AF26" s="83"/>
      <c r="AH26" s="83"/>
      <c r="AJ26" s="83"/>
      <c r="AL26" s="83"/>
    </row>
    <row r="27" spans="6:38" x14ac:dyDescent="0.3">
      <c r="F27" s="68"/>
      <c r="H27" s="38" t="s">
        <v>3820</v>
      </c>
      <c r="I27" s="58" t="s">
        <v>3864</v>
      </c>
      <c r="K27" s="60" t="str">
        <v>Amil Espaço Saúde - Santana </v>
      </c>
      <c r="M27" s="79" t="s">
        <v>3806</v>
      </c>
      <c r="N27" s="116" t="s">
        <v>3865</v>
      </c>
      <c r="Z27" s="1" t="s">
        <v>46</v>
      </c>
      <c r="AD27" s="83"/>
      <c r="AF27" s="83"/>
      <c r="AH27" s="83"/>
      <c r="AJ27" s="83"/>
      <c r="AL27" s="83"/>
    </row>
    <row r="28" spans="6:38" x14ac:dyDescent="0.3">
      <c r="F28" s="68"/>
      <c r="H28" s="38" t="s">
        <v>3820</v>
      </c>
      <c r="I28" s="58" t="s">
        <v>3866</v>
      </c>
      <c r="K28" s="60" t="str">
        <v>Amil Espaço Saúde - Tijuca </v>
      </c>
      <c r="M28" s="79" t="s">
        <v>3806</v>
      </c>
      <c r="N28" s="116" t="s">
        <v>126</v>
      </c>
      <c r="Z28" s="1" t="s">
        <v>60</v>
      </c>
    </row>
    <row r="29" spans="6:38" x14ac:dyDescent="0.3">
      <c r="F29" s="68"/>
      <c r="H29" s="38" t="s">
        <v>3820</v>
      </c>
      <c r="I29" s="58" t="s">
        <v>3867</v>
      </c>
      <c r="K29" s="60" t="str">
        <v>Amil Telemedicina </v>
      </c>
      <c r="M29" s="79" t="s">
        <v>3806</v>
      </c>
      <c r="N29" s="116" t="s">
        <v>3868</v>
      </c>
      <c r="Z29" s="1" t="s">
        <v>746</v>
      </c>
    </row>
    <row r="30" spans="6:38" x14ac:dyDescent="0.3">
      <c r="F30" s="68"/>
      <c r="H30" s="38" t="s">
        <v>3820</v>
      </c>
      <c r="I30" s="58" t="s">
        <v>3869</v>
      </c>
      <c r="K30" s="60" t="str">
        <v>Centro Médico Jardim </v>
      </c>
      <c r="M30" s="79" t="s">
        <v>3806</v>
      </c>
      <c r="N30" s="116" t="s">
        <v>3870</v>
      </c>
      <c r="Z30" s="1" t="s">
        <v>79</v>
      </c>
    </row>
    <row r="31" spans="6:38" x14ac:dyDescent="0.3">
      <c r="F31" s="68"/>
      <c r="H31" s="38" t="s">
        <v>3820</v>
      </c>
      <c r="I31" s="58" t="s">
        <v>3871</v>
      </c>
      <c r="K31" s="60" t="str">
        <v>Centro Médico Joao Azevedo - Sbc  II</v>
      </c>
      <c r="M31" s="79" t="s">
        <v>3806</v>
      </c>
      <c r="N31" s="116" t="s">
        <v>3872</v>
      </c>
      <c r="Z31" s="1" t="s">
        <v>3744</v>
      </c>
    </row>
    <row r="32" spans="6:38" x14ac:dyDescent="0.3">
      <c r="F32" s="68"/>
      <c r="H32" s="38" t="s">
        <v>3820</v>
      </c>
      <c r="I32" s="58" t="s">
        <v>3873</v>
      </c>
      <c r="K32" s="60" t="str">
        <v>Centro Médico João Azevedo - Sbc I  </v>
      </c>
      <c r="M32" s="79" t="s">
        <v>3806</v>
      </c>
      <c r="N32" s="116" t="s">
        <v>3874</v>
      </c>
    </row>
    <row r="33" spans="6:14" x14ac:dyDescent="0.3">
      <c r="F33" s="68"/>
      <c r="H33" s="38" t="s">
        <v>3820</v>
      </c>
      <c r="I33" s="58" t="s">
        <v>3875</v>
      </c>
      <c r="K33" s="60" t="str">
        <v>Centro Médico Luiz Ferreira - Sbc </v>
      </c>
      <c r="M33" s="79" t="s">
        <v>3806</v>
      </c>
      <c r="N33" s="116" t="s">
        <v>3876</v>
      </c>
    </row>
    <row r="34" spans="6:14" x14ac:dyDescent="0.3">
      <c r="F34" s="68"/>
      <c r="H34" s="38" t="s">
        <v>3820</v>
      </c>
      <c r="I34" s="58" t="s">
        <v>3877</v>
      </c>
      <c r="K34" s="60" t="str">
        <v>Centro Médico - Samaritano Higienópolis </v>
      </c>
      <c r="M34" s="79" t="s">
        <v>3806</v>
      </c>
      <c r="N34" s="116" t="s">
        <v>3878</v>
      </c>
    </row>
    <row r="35" spans="6:14" x14ac:dyDescent="0.3">
      <c r="F35" s="68"/>
      <c r="H35" s="38" t="s">
        <v>3820</v>
      </c>
      <c r="I35" s="58" t="s">
        <v>3879</v>
      </c>
      <c r="K35" s="60" t="str">
        <v>Centro Médico Hospital São Lucas </v>
      </c>
      <c r="M35" s="79" t="s">
        <v>3806</v>
      </c>
      <c r="N35" s="116" t="s">
        <v>3880</v>
      </c>
    </row>
    <row r="36" spans="6:14" x14ac:dyDescent="0.3">
      <c r="F36" s="68"/>
      <c r="H36" s="38" t="s">
        <v>3820</v>
      </c>
      <c r="I36" s="58" t="s">
        <v>3881</v>
      </c>
      <c r="K36" s="60" t="str">
        <v>Hospital Alvorada Ambulatório Arapanés </v>
      </c>
      <c r="M36" s="79" t="s">
        <v>3806</v>
      </c>
      <c r="N36" s="116" t="s">
        <v>3882</v>
      </c>
    </row>
    <row r="37" spans="6:14" x14ac:dyDescent="0.3">
      <c r="F37" s="68"/>
      <c r="H37" s="38" t="s">
        <v>3820</v>
      </c>
      <c r="I37" s="58" t="s">
        <v>3883</v>
      </c>
      <c r="K37" s="60" t="str">
        <v>Hospital Alvorada Moema </v>
      </c>
      <c r="M37" s="79" t="s">
        <v>3806</v>
      </c>
      <c r="N37" s="116" t="s">
        <v>3884</v>
      </c>
    </row>
    <row r="38" spans="6:14" x14ac:dyDescent="0.3">
      <c r="F38" s="68"/>
      <c r="H38" s="38" t="s">
        <v>3820</v>
      </c>
      <c r="I38" s="58" t="s">
        <v>3885</v>
      </c>
      <c r="K38" s="60" t="str">
        <v>Hospital Américas - Ambulatório </v>
      </c>
      <c r="M38" s="79" t="s">
        <v>3806</v>
      </c>
      <c r="N38" s="116" t="s">
        <v>3886</v>
      </c>
    </row>
    <row r="39" spans="6:14" x14ac:dyDescent="0.3">
      <c r="F39" s="68"/>
      <c r="H39" s="38" t="s">
        <v>3820</v>
      </c>
      <c r="I39" s="58" t="s">
        <v>3887</v>
      </c>
      <c r="K39" s="60" t="str">
        <v>Hospital Samaritano Paulista - Ambulatório </v>
      </c>
      <c r="M39" s="79" t="s">
        <v>3806</v>
      </c>
      <c r="N39" s="116" t="s">
        <v>3888</v>
      </c>
    </row>
    <row r="40" spans="6:14" x14ac:dyDescent="0.3">
      <c r="F40" s="68"/>
      <c r="H40" s="38" t="s">
        <v>3820</v>
      </c>
      <c r="I40" s="58" t="s">
        <v>3889</v>
      </c>
      <c r="K40" s="60" t="str">
        <v>Amil Espaço Saúde - Tatuapé</v>
      </c>
      <c r="M40" s="38" t="s">
        <v>3820</v>
      </c>
      <c r="N40" s="58" t="s">
        <v>3890</v>
      </c>
    </row>
    <row r="41" spans="6:14" x14ac:dyDescent="0.3">
      <c r="F41" s="68"/>
      <c r="H41" s="38" t="s">
        <v>3820</v>
      </c>
      <c r="I41" s="58" t="s">
        <v>3891</v>
      </c>
      <c r="K41" s="60" t="str">
        <v>Amil Espaço Saúde - Santo Amaro</v>
      </c>
      <c r="M41" s="38" t="s">
        <v>3820</v>
      </c>
      <c r="N41" s="58" t="s">
        <v>3892</v>
      </c>
    </row>
    <row r="42" spans="6:14" x14ac:dyDescent="0.3">
      <c r="F42" s="68"/>
      <c r="H42" s="38" t="s">
        <v>3820</v>
      </c>
      <c r="I42" s="58" t="s">
        <v>3718</v>
      </c>
      <c r="K42" s="60" t="str">
        <v>Amil Espaço Saúde - Guarulhos</v>
      </c>
      <c r="M42" s="38" t="s">
        <v>3820</v>
      </c>
      <c r="N42" s="58" t="s">
        <v>3893</v>
      </c>
    </row>
    <row r="43" spans="6:14" x14ac:dyDescent="0.3">
      <c r="F43" s="68"/>
      <c r="H43" s="38" t="s">
        <v>3820</v>
      </c>
      <c r="I43" s="58" t="s">
        <v>3894</v>
      </c>
      <c r="K43" s="60" t="str">
        <v xml:space="preserve">Amil Espaço Saúde - Santa Helena </v>
      </c>
      <c r="M43" s="38" t="s">
        <v>3820</v>
      </c>
      <c r="N43" s="58" t="s">
        <v>3895</v>
      </c>
    </row>
    <row r="44" spans="6:14" x14ac:dyDescent="0.3">
      <c r="F44" s="68"/>
      <c r="H44" s="38" t="s">
        <v>3820</v>
      </c>
      <c r="I44" s="58" t="s">
        <v>3896</v>
      </c>
      <c r="K44" s="60" t="str">
        <v>Hospital Samaritano - Não Especificado</v>
      </c>
      <c r="M44" s="38" t="s">
        <v>3820</v>
      </c>
      <c r="N44" s="58" t="s">
        <v>3897</v>
      </c>
    </row>
    <row r="45" spans="6:14" x14ac:dyDescent="0.3">
      <c r="F45" s="68"/>
      <c r="H45" s="38" t="s">
        <v>3820</v>
      </c>
      <c r="I45" s="58" t="s">
        <v>3898</v>
      </c>
      <c r="K45" s="60" t="str">
        <v>SUS</v>
      </c>
      <c r="M45" s="38" t="s">
        <v>3820</v>
      </c>
      <c r="N45" s="58" t="s">
        <v>3899</v>
      </c>
    </row>
    <row r="46" spans="6:14" x14ac:dyDescent="0.3">
      <c r="F46" s="68"/>
      <c r="H46" s="79" t="s">
        <v>3806</v>
      </c>
      <c r="I46" s="115" t="s">
        <v>3900</v>
      </c>
      <c r="K46" s="60"/>
      <c r="M46" s="38" t="s">
        <v>3820</v>
      </c>
      <c r="N46" s="58" t="s">
        <v>3901</v>
      </c>
    </row>
    <row r="47" spans="6:14" x14ac:dyDescent="0.3">
      <c r="F47" s="68"/>
      <c r="H47" s="194" t="s">
        <v>3820</v>
      </c>
      <c r="I47" s="195" t="s">
        <v>3902</v>
      </c>
      <c r="K47" s="60"/>
      <c r="M47" s="38" t="s">
        <v>3820</v>
      </c>
      <c r="N47" s="58" t="s">
        <v>3903</v>
      </c>
    </row>
    <row r="48" spans="6:14" x14ac:dyDescent="0.3">
      <c r="F48" s="68"/>
      <c r="H48" s="196" t="s">
        <v>3806</v>
      </c>
      <c r="I48" s="197" t="s">
        <v>3902</v>
      </c>
      <c r="K48" s="60"/>
      <c r="M48" s="38" t="s">
        <v>3820</v>
      </c>
      <c r="N48" s="58" t="s">
        <v>3904</v>
      </c>
    </row>
    <row r="49" spans="6:14" x14ac:dyDescent="0.3">
      <c r="F49" s="68"/>
      <c r="I49" s="62"/>
      <c r="K49" s="60"/>
      <c r="M49" s="38" t="s">
        <v>3820</v>
      </c>
      <c r="N49" s="58" t="s">
        <v>3905</v>
      </c>
    </row>
    <row r="50" spans="6:14" x14ac:dyDescent="0.3">
      <c r="F50" s="68"/>
      <c r="I50" s="62"/>
      <c r="K50" s="60"/>
      <c r="M50" s="38" t="s">
        <v>3820</v>
      </c>
      <c r="N50" s="58" t="s">
        <v>3906</v>
      </c>
    </row>
    <row r="51" spans="6:14" x14ac:dyDescent="0.3">
      <c r="F51" s="68"/>
      <c r="I51" s="62"/>
      <c r="K51" s="60"/>
      <c r="M51" s="38" t="s">
        <v>3820</v>
      </c>
      <c r="N51" s="58" t="s">
        <v>3907</v>
      </c>
    </row>
    <row r="52" spans="6:14" x14ac:dyDescent="0.3">
      <c r="F52" s="68"/>
      <c r="I52" s="62"/>
      <c r="K52" s="60"/>
      <c r="M52" s="38" t="s">
        <v>3820</v>
      </c>
      <c r="N52" s="58" t="s">
        <v>3908</v>
      </c>
    </row>
    <row r="53" spans="6:14" x14ac:dyDescent="0.3">
      <c r="F53" s="68"/>
      <c r="I53" s="62"/>
      <c r="K53" s="60"/>
      <c r="M53" s="38" t="s">
        <v>3820</v>
      </c>
      <c r="N53" s="58" t="s">
        <v>3909</v>
      </c>
    </row>
    <row r="54" spans="6:14" ht="15" thickBot="1" x14ac:dyDescent="0.35">
      <c r="F54" s="69"/>
      <c r="G54" s="64"/>
      <c r="H54" s="64"/>
      <c r="I54" s="65"/>
      <c r="K54" s="63"/>
      <c r="L54" s="64"/>
      <c r="M54" s="38" t="s">
        <v>3820</v>
      </c>
      <c r="N54" s="58" t="s">
        <v>3910</v>
      </c>
    </row>
    <row r="55" spans="6:14" ht="15" thickBot="1" x14ac:dyDescent="0.35">
      <c r="M55" s="121" t="s">
        <v>3820</v>
      </c>
      <c r="N55" s="122" t="s">
        <v>3818</v>
      </c>
    </row>
    <row r="56" spans="6:14" x14ac:dyDescent="0.3">
      <c r="M56" s="163" t="s">
        <v>3806</v>
      </c>
      <c r="N56" s="164" t="s">
        <v>215</v>
      </c>
    </row>
    <row r="57" spans="6:14" x14ac:dyDescent="0.3">
      <c r="M57" s="163" t="s">
        <v>3806</v>
      </c>
      <c r="N57" s="164" t="s">
        <v>528</v>
      </c>
    </row>
    <row r="58" spans="6:14" x14ac:dyDescent="0.3">
      <c r="M58" s="163" t="s">
        <v>3806</v>
      </c>
      <c r="N58" s="164" t="s">
        <v>341</v>
      </c>
    </row>
    <row r="59" spans="6:14" x14ac:dyDescent="0.3">
      <c r="M59" s="163" t="s">
        <v>3806</v>
      </c>
      <c r="N59" s="165" t="s">
        <v>3911</v>
      </c>
    </row>
    <row r="60" spans="6:14" x14ac:dyDescent="0.3">
      <c r="M60" s="163" t="s">
        <v>3806</v>
      </c>
      <c r="N60" s="166" t="s">
        <v>172</v>
      </c>
    </row>
    <row r="61" spans="6:14" x14ac:dyDescent="0.3">
      <c r="M61" s="163" t="s">
        <v>3806</v>
      </c>
      <c r="N61" s="166" t="s">
        <v>3912</v>
      </c>
    </row>
    <row r="170" ht="15.75" customHeight="1" x14ac:dyDescent="0.3"/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" x14ac:dyDescent="0.3"/>
  <cols>
    <col min="3" max="3" width="21.33203125" bestFit="1" customWidth="1"/>
    <col min="4" max="4" width="15.88671875" bestFit="1" customWidth="1"/>
    <col min="5" max="5" width="11.109375" customWidth="1"/>
    <col min="17" max="17" width="35.6640625" bestFit="1" customWidth="1"/>
    <col min="19" max="21" width="17.5546875" customWidth="1"/>
    <col min="22" max="22" width="11.109375" customWidth="1"/>
    <col min="25" max="25" width="12.33203125" customWidth="1"/>
    <col min="26" max="26" width="22.88671875" bestFit="1" customWidth="1"/>
    <col min="27" max="27" width="15.109375" customWidth="1"/>
    <col min="28" max="28" width="26.88671875" customWidth="1"/>
    <col min="29" max="29" width="22.44140625" customWidth="1"/>
    <col min="30" max="31" width="12.5546875" customWidth="1"/>
    <col min="32" max="32" width="33.109375" customWidth="1"/>
  </cols>
  <sheetData>
    <row r="1" spans="1:33" ht="57.6" x14ac:dyDescent="0.3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3913</v>
      </c>
      <c r="AF1" s="15" t="s">
        <v>3914</v>
      </c>
      <c r="AG1" s="16" t="s">
        <v>35</v>
      </c>
    </row>
    <row r="2" spans="1:33" x14ac:dyDescent="0.3">
      <c r="A2" s="17" t="s">
        <v>67</v>
      </c>
      <c r="B2" s="3"/>
      <c r="C2" s="3" t="s">
        <v>3915</v>
      </c>
      <c r="D2" s="18" t="s">
        <v>3825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58</v>
      </c>
      <c r="R2" s="20"/>
      <c r="S2" s="20"/>
      <c r="T2" s="20" t="s">
        <v>59</v>
      </c>
      <c r="U2" s="20" t="s">
        <v>60</v>
      </c>
      <c r="V2" s="20"/>
      <c r="W2" s="20"/>
      <c r="X2" s="20"/>
      <c r="Y2" s="20"/>
      <c r="Z2" s="3" t="s">
        <v>62</v>
      </c>
      <c r="AA2" s="20"/>
      <c r="AB2" s="3" t="s">
        <v>224</v>
      </c>
      <c r="AC2" s="3"/>
      <c r="AD2" s="3" t="s">
        <v>64</v>
      </c>
      <c r="AE2" s="3"/>
      <c r="AF2" s="3" t="s">
        <v>3916</v>
      </c>
      <c r="AG2" s="17" t="s">
        <v>197</v>
      </c>
    </row>
    <row r="3" spans="1:33" x14ac:dyDescent="0.3">
      <c r="A3" s="17" t="s">
        <v>47</v>
      </c>
      <c r="B3" s="3"/>
      <c r="C3" s="3" t="s">
        <v>3718</v>
      </c>
      <c r="D3" s="18" t="s">
        <v>2000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3754</v>
      </c>
      <c r="R3" s="3"/>
      <c r="S3" s="3"/>
      <c r="T3" s="3" t="s">
        <v>2212</v>
      </c>
      <c r="U3" s="3" t="s">
        <v>746</v>
      </c>
      <c r="V3" s="3"/>
      <c r="W3" s="3"/>
      <c r="X3" s="3"/>
      <c r="Y3" s="3"/>
      <c r="Z3" s="3" t="s">
        <v>3809</v>
      </c>
      <c r="AA3" s="3"/>
      <c r="AB3" s="3" t="s">
        <v>118</v>
      </c>
      <c r="AC3" s="3"/>
      <c r="AD3" s="3" t="s">
        <v>86</v>
      </c>
      <c r="AE3" s="3"/>
      <c r="AF3" s="3" t="s">
        <v>3917</v>
      </c>
      <c r="AG3" s="17" t="s">
        <v>3812</v>
      </c>
    </row>
    <row r="4" spans="1:33" x14ac:dyDescent="0.3">
      <c r="A4" s="3"/>
      <c r="B4" s="3"/>
      <c r="C4" s="3" t="s">
        <v>3918</v>
      </c>
      <c r="D4" s="18" t="s">
        <v>3795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3756</v>
      </c>
      <c r="R4" s="3"/>
      <c r="S4" s="3"/>
      <c r="T4" s="3" t="s">
        <v>3811</v>
      </c>
      <c r="U4" s="3"/>
      <c r="V4" s="3"/>
      <c r="W4" s="3"/>
      <c r="X4" s="3"/>
      <c r="Y4" s="3"/>
      <c r="Z4" s="3" t="s">
        <v>63</v>
      </c>
      <c r="AA4" s="3"/>
      <c r="AB4" s="21" t="s">
        <v>80</v>
      </c>
      <c r="AC4" s="3"/>
      <c r="AD4" s="3" t="s">
        <v>265</v>
      </c>
      <c r="AE4" s="3"/>
      <c r="AF4" s="3" t="s">
        <v>3919</v>
      </c>
      <c r="AG4" s="17" t="s">
        <v>47</v>
      </c>
    </row>
    <row r="5" spans="1:33" x14ac:dyDescent="0.3">
      <c r="M5" s="1"/>
      <c r="O5" s="1"/>
      <c r="Q5" s="22" t="s">
        <v>3758</v>
      </c>
      <c r="AB5" s="3" t="s">
        <v>63</v>
      </c>
      <c r="AF5" t="s">
        <v>3920</v>
      </c>
    </row>
    <row r="6" spans="1:33" x14ac:dyDescent="0.3">
      <c r="M6" s="1"/>
      <c r="O6" s="1"/>
      <c r="Q6" s="23" t="s">
        <v>2828</v>
      </c>
      <c r="AF6" t="s">
        <v>3921</v>
      </c>
    </row>
    <row r="7" spans="1:33" x14ac:dyDescent="0.3">
      <c r="M7" s="1"/>
      <c r="O7" s="1"/>
      <c r="Q7" s="23" t="s">
        <v>3761</v>
      </c>
      <c r="AF7" t="s">
        <v>3922</v>
      </c>
    </row>
    <row r="8" spans="1:33" x14ac:dyDescent="0.3">
      <c r="M8" s="1"/>
      <c r="O8" s="1"/>
      <c r="Q8" s="23" t="s">
        <v>3763</v>
      </c>
      <c r="AF8" t="s">
        <v>3923</v>
      </c>
    </row>
    <row r="9" spans="1:33" x14ac:dyDescent="0.3">
      <c r="M9" s="1"/>
      <c r="O9" s="1"/>
      <c r="Q9" s="23" t="s">
        <v>3764</v>
      </c>
      <c r="AF9" t="s">
        <v>3924</v>
      </c>
    </row>
    <row r="10" spans="1:33" x14ac:dyDescent="0.3">
      <c r="M10" s="1"/>
      <c r="O10" s="1"/>
      <c r="Q10" s="23" t="s">
        <v>3766</v>
      </c>
      <c r="AF10" t="s">
        <v>3925</v>
      </c>
      <c r="AG10" t="s">
        <v>3926</v>
      </c>
    </row>
    <row r="11" spans="1:33" x14ac:dyDescent="0.3">
      <c r="M11" s="1"/>
      <c r="O11" s="1"/>
      <c r="Q11" s="23" t="s">
        <v>3767</v>
      </c>
      <c r="AF11" t="s">
        <v>3927</v>
      </c>
    </row>
    <row r="12" spans="1:33" x14ac:dyDescent="0.3">
      <c r="M12" s="1"/>
      <c r="O12" s="1"/>
      <c r="Q12" s="23" t="s">
        <v>3768</v>
      </c>
    </row>
    <row r="13" spans="1:33" x14ac:dyDescent="0.3">
      <c r="M13" s="1"/>
      <c r="O13" s="1"/>
      <c r="Q13" s="23" t="s">
        <v>3769</v>
      </c>
    </row>
    <row r="14" spans="1:33" x14ac:dyDescent="0.3">
      <c r="M14" s="1"/>
      <c r="O14" s="1"/>
      <c r="Q14" s="23" t="s">
        <v>1393</v>
      </c>
    </row>
    <row r="15" spans="1:33" x14ac:dyDescent="0.3">
      <c r="M15" s="1"/>
      <c r="O15" s="1"/>
      <c r="Q15" s="23" t="s">
        <v>745</v>
      </c>
    </row>
    <row r="16" spans="1:33" x14ac:dyDescent="0.3">
      <c r="M16" s="1"/>
      <c r="O16" s="1"/>
      <c r="Q16" s="23" t="s">
        <v>78</v>
      </c>
    </row>
    <row r="17" spans="13:33" x14ac:dyDescent="0.3">
      <c r="M17" s="1"/>
      <c r="O17" s="1"/>
      <c r="Q17" s="23" t="s">
        <v>3770</v>
      </c>
      <c r="AF17" t="s">
        <v>3928</v>
      </c>
    </row>
    <row r="18" spans="13:33" ht="43.2" x14ac:dyDescent="0.3">
      <c r="M18" s="1"/>
      <c r="O18" s="1"/>
      <c r="Q18" s="23" t="s">
        <v>941</v>
      </c>
      <c r="AF18" s="24" t="s">
        <v>3914</v>
      </c>
      <c r="AG18" s="24" t="s">
        <v>3802</v>
      </c>
    </row>
    <row r="19" spans="13:33" x14ac:dyDescent="0.3">
      <c r="M19" s="1"/>
      <c r="O19" s="1"/>
      <c r="Q19" s="23" t="s">
        <v>3771</v>
      </c>
      <c r="AF19" t="s">
        <v>3929</v>
      </c>
      <c r="AG19" t="s">
        <v>67</v>
      </c>
    </row>
    <row r="20" spans="13:33" x14ac:dyDescent="0.3">
      <c r="M20" s="1"/>
      <c r="O20" s="1"/>
      <c r="Q20" s="23" t="s">
        <v>2142</v>
      </c>
      <c r="AF20" t="s">
        <v>3930</v>
      </c>
      <c r="AG20" t="s">
        <v>47</v>
      </c>
    </row>
    <row r="21" spans="13:33" x14ac:dyDescent="0.3">
      <c r="M21" s="1"/>
      <c r="O21" s="1"/>
      <c r="Q21" s="23" t="s">
        <v>2110</v>
      </c>
      <c r="AG21" t="s">
        <v>3931</v>
      </c>
    </row>
    <row r="22" spans="13:33" x14ac:dyDescent="0.3">
      <c r="M22" s="1"/>
      <c r="O22" s="1"/>
      <c r="Q22" s="23" t="s">
        <v>3772</v>
      </c>
    </row>
    <row r="23" spans="13:33" x14ac:dyDescent="0.3">
      <c r="M23" s="1"/>
      <c r="O23" s="1"/>
      <c r="Q23" s="23" t="s">
        <v>2211</v>
      </c>
    </row>
    <row r="24" spans="13:33" x14ac:dyDescent="0.3">
      <c r="M24" s="1"/>
      <c r="O24" s="1"/>
      <c r="Q24" s="23" t="s">
        <v>3682</v>
      </c>
    </row>
    <row r="25" spans="13:33" x14ac:dyDescent="0.3">
      <c r="M25" s="1"/>
      <c r="O25" s="1"/>
      <c r="Q25" s="23" t="s">
        <v>3773</v>
      </c>
    </row>
    <row r="26" spans="13:33" x14ac:dyDescent="0.3">
      <c r="M26" s="1"/>
      <c r="O26" s="1"/>
      <c r="Q26" s="23" t="s">
        <v>3774</v>
      </c>
    </row>
    <row r="27" spans="13:33" x14ac:dyDescent="0.3">
      <c r="M27" s="1"/>
      <c r="O27" s="1"/>
      <c r="Q27" s="2"/>
    </row>
    <row r="28" spans="13:33" x14ac:dyDescent="0.3">
      <c r="M28" s="1"/>
      <c r="O28" s="1"/>
      <c r="Q28" s="2"/>
    </row>
    <row r="29" spans="13:33" x14ac:dyDescent="0.3">
      <c r="M29" s="1"/>
      <c r="O29" s="1"/>
      <c r="Q29" s="2"/>
    </row>
    <row r="30" spans="13:33" x14ac:dyDescent="0.3">
      <c r="M30" s="1"/>
      <c r="O30" s="1"/>
      <c r="Q30" s="2"/>
    </row>
    <row r="31" spans="13:33" x14ac:dyDescent="0.3">
      <c r="M31" s="1"/>
      <c r="O31" s="1"/>
      <c r="Q31" s="2"/>
    </row>
    <row r="32" spans="13:33" x14ac:dyDescent="0.3">
      <c r="M32" s="1"/>
      <c r="O32" s="1"/>
    </row>
    <row r="33" spans="13:15" x14ac:dyDescent="0.3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7276F3-723F-45C7-96FF-74194C59BE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DEE90B0-5810-4985-9892-603D6D77939D}">
  <ds:schemaRefs>
    <ds:schemaRef ds:uri="http://schemas.microsoft.com/office/2006/metadata/properties"/>
    <ds:schemaRef ds:uri="http://schemas.microsoft.com/office/infopath/2007/PartnerControls"/>
    <ds:schemaRef ds:uri="f89f1a61-222e-42b3-980e-c03b4142086e"/>
    <ds:schemaRef ds:uri="245f25f3-ef55-4cde-9cd4-e19c029b0701"/>
  </ds:schemaRefs>
</ds:datastoreItem>
</file>

<file path=customXml/itemProps3.xml><?xml version="1.0" encoding="utf-8"?>
<ds:datastoreItem xmlns:ds="http://schemas.openxmlformats.org/officeDocument/2006/customXml" ds:itemID="{70F7B7A9-923F-47C9-B035-F75FFDCA5F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9f1a61-222e-42b3-980e-c03b4142086e"/>
    <ds:schemaRef ds:uri="245f25f3-ef55-4cde-9cd4-e19c029b0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Consolidado</vt:lpstr>
      <vt:lpstr>Análise</vt:lpstr>
      <vt:lpstr>Lista Suspensa</vt:lpstr>
      <vt:lpstr>MODELO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Renata Cavalheiro</cp:lastModifiedBy>
  <cp:revision/>
  <dcterms:created xsi:type="dcterms:W3CDTF">2025-04-02T18:38:02Z</dcterms:created>
  <dcterms:modified xsi:type="dcterms:W3CDTF">2026-06-10T20:43:46Z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