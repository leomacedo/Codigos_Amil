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563" documentId="8_{0E145C0C-2FC8-48E7-86B6-81D1B0DEFC11}" xr6:coauthVersionLast="47" xr6:coauthVersionMax="47" xr10:uidLastSave="{0CA0EEEC-592A-4CA8-A60C-CE6183CC6E3A}"/>
  <bookViews>
    <workbookView xWindow="-108" yWindow="-108" windowWidth="23256" windowHeight="13896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externalReferences>
    <externalReference r:id="rId5"/>
  </externalReferences>
  <definedNames>
    <definedName name="_xlnm._FilterDatabase" localSheetId="0" hidden="1">Consolidado!$A$1:$AW$332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32" i="32" l="1"/>
  <c r="AP332" i="32"/>
  <c r="AQ332" i="32"/>
  <c r="AR332" i="32"/>
  <c r="AW332" i="32"/>
  <c r="AS332" i="32" s="1"/>
  <c r="AO331" i="32"/>
  <c r="AP331" i="32"/>
  <c r="AQ331" i="32"/>
  <c r="AR331" i="32"/>
  <c r="AW331" i="32"/>
  <c r="AT331" i="32" s="1"/>
  <c r="AW327" i="32"/>
  <c r="AV327" i="32" s="1"/>
  <c r="AR327" i="32"/>
  <c r="AQ327" i="32"/>
  <c r="AP327" i="32"/>
  <c r="AO327" i="32"/>
  <c r="AW330" i="32"/>
  <c r="AS330" i="32" s="1"/>
  <c r="AR330" i="32"/>
  <c r="AQ330" i="32"/>
  <c r="AP330" i="32"/>
  <c r="AO330" i="32"/>
  <c r="AW329" i="32"/>
  <c r="AV329" i="32" s="1"/>
  <c r="AR329" i="32"/>
  <c r="AQ329" i="32"/>
  <c r="AP329" i="32"/>
  <c r="AO329" i="32"/>
  <c r="AO178" i="32"/>
  <c r="AP178" i="32"/>
  <c r="AQ178" i="32"/>
  <c r="AR178" i="32"/>
  <c r="AW178" i="32"/>
  <c r="AW326" i="32"/>
  <c r="AV326" i="32" s="1"/>
  <c r="AR326" i="32"/>
  <c r="AQ326" i="32"/>
  <c r="AP326" i="32"/>
  <c r="AO326" i="32"/>
  <c r="AW325" i="32"/>
  <c r="AV325" i="32" s="1"/>
  <c r="AR325" i="32"/>
  <c r="AQ325" i="32"/>
  <c r="AP325" i="32"/>
  <c r="AO325" i="32"/>
  <c r="AW177" i="32"/>
  <c r="AV177" i="32" s="1"/>
  <c r="AR177" i="32"/>
  <c r="AQ177" i="32"/>
  <c r="AP177" i="32"/>
  <c r="AO177" i="32"/>
  <c r="AW176" i="32"/>
  <c r="AV176" i="32" s="1"/>
  <c r="AR176" i="32"/>
  <c r="AQ176" i="32"/>
  <c r="AP176" i="32"/>
  <c r="AO176" i="32"/>
  <c r="AW187" i="32"/>
  <c r="AU187" i="32" s="1"/>
  <c r="AR187" i="32"/>
  <c r="AQ187" i="32"/>
  <c r="AP187" i="32"/>
  <c r="AO187" i="32"/>
  <c r="AW324" i="32"/>
  <c r="AV324" i="32" s="1"/>
  <c r="AR324" i="32"/>
  <c r="AQ324" i="32"/>
  <c r="AP324" i="32"/>
  <c r="AO324" i="32"/>
  <c r="AW209" i="32"/>
  <c r="AV209" i="32" s="1"/>
  <c r="AR209" i="32"/>
  <c r="AQ209" i="32"/>
  <c r="AP209" i="32"/>
  <c r="AO209" i="32"/>
  <c r="AW175" i="32"/>
  <c r="AU175" i="32" s="1"/>
  <c r="AR175" i="32"/>
  <c r="AQ175" i="32"/>
  <c r="AP175" i="32"/>
  <c r="AO175" i="32"/>
  <c r="AW193" i="32"/>
  <c r="AR193" i="32"/>
  <c r="AQ193" i="32"/>
  <c r="AP193" i="32"/>
  <c r="AO193" i="32"/>
  <c r="AW174" i="32"/>
  <c r="AT174" i="32" s="1"/>
  <c r="AR174" i="32"/>
  <c r="AQ174" i="32"/>
  <c r="AP174" i="32"/>
  <c r="AO174" i="32"/>
  <c r="AW22" i="32"/>
  <c r="AU22" i="32" s="1"/>
  <c r="AR22" i="32"/>
  <c r="AQ22" i="32"/>
  <c r="AP22" i="32"/>
  <c r="AO22" i="32"/>
  <c r="AW172" i="32"/>
  <c r="AV172" i="32" s="1"/>
  <c r="AR172" i="32"/>
  <c r="AQ172" i="32"/>
  <c r="AP172" i="32"/>
  <c r="AO172" i="32"/>
  <c r="AW115" i="32"/>
  <c r="AU115" i="32" s="1"/>
  <c r="AR115" i="32"/>
  <c r="AQ115" i="32"/>
  <c r="AP115" i="32"/>
  <c r="AO115" i="32"/>
  <c r="AW31" i="32"/>
  <c r="AV31" i="32" s="1"/>
  <c r="AR31" i="32"/>
  <c r="AQ31" i="32"/>
  <c r="AP31" i="32"/>
  <c r="AO31" i="32"/>
  <c r="AW170" i="32"/>
  <c r="AV170" i="32" s="1"/>
  <c r="AR170" i="32"/>
  <c r="AQ170" i="32"/>
  <c r="AP170" i="32"/>
  <c r="AO170" i="32"/>
  <c r="AW169" i="32"/>
  <c r="AV169" i="32" s="1"/>
  <c r="AR169" i="32"/>
  <c r="AQ169" i="32"/>
  <c r="AP169" i="32"/>
  <c r="AO169" i="32"/>
  <c r="AW168" i="32"/>
  <c r="AR168" i="32"/>
  <c r="AQ168" i="32"/>
  <c r="AP168" i="32"/>
  <c r="AO168" i="32"/>
  <c r="AW323" i="32"/>
  <c r="AT323" i="32" s="1"/>
  <c r="AR323" i="32"/>
  <c r="AQ323" i="32"/>
  <c r="AP323" i="32"/>
  <c r="AO323" i="32"/>
  <c r="AW322" i="32"/>
  <c r="AU322" i="32" s="1"/>
  <c r="AR322" i="32"/>
  <c r="AQ322" i="32"/>
  <c r="AP322" i="32"/>
  <c r="AO322" i="32"/>
  <c r="AW321" i="32"/>
  <c r="AV321" i="32" s="1"/>
  <c r="AR321" i="32"/>
  <c r="AQ321" i="32"/>
  <c r="AP321" i="32"/>
  <c r="AO321" i="32"/>
  <c r="AW17" i="32"/>
  <c r="AU17" i="32" s="1"/>
  <c r="AR17" i="32"/>
  <c r="AQ17" i="32"/>
  <c r="AP17" i="32"/>
  <c r="AO17" i="32"/>
  <c r="AW167" i="32"/>
  <c r="AV167" i="32" s="1"/>
  <c r="AR167" i="32"/>
  <c r="AQ167" i="32"/>
  <c r="AP167" i="32"/>
  <c r="AO167" i="32"/>
  <c r="AW320" i="32"/>
  <c r="AV320" i="32" s="1"/>
  <c r="AR320" i="32"/>
  <c r="AQ320" i="32"/>
  <c r="AP320" i="32"/>
  <c r="AO320" i="32"/>
  <c r="AW319" i="32"/>
  <c r="AV319" i="32" s="1"/>
  <c r="AR319" i="32"/>
  <c r="AQ319" i="32"/>
  <c r="AP319" i="32"/>
  <c r="AO319" i="32"/>
  <c r="AW318" i="32"/>
  <c r="AR318" i="32"/>
  <c r="AQ318" i="32"/>
  <c r="AP318" i="32"/>
  <c r="AO318" i="32"/>
  <c r="AW166" i="32"/>
  <c r="AT166" i="32" s="1"/>
  <c r="AR166" i="32"/>
  <c r="AQ166" i="32"/>
  <c r="AP166" i="32"/>
  <c r="AO166" i="32"/>
  <c r="AW165" i="32"/>
  <c r="AU165" i="32" s="1"/>
  <c r="AR165" i="32"/>
  <c r="AQ165" i="32"/>
  <c r="AP165" i="32"/>
  <c r="AO165" i="32"/>
  <c r="AW317" i="32"/>
  <c r="AV317" i="32" s="1"/>
  <c r="AR317" i="32"/>
  <c r="AQ317" i="32"/>
  <c r="AP317" i="32"/>
  <c r="AO317" i="32"/>
  <c r="AW164" i="32"/>
  <c r="AU164" i="32" s="1"/>
  <c r="AR164" i="32"/>
  <c r="AQ164" i="32"/>
  <c r="AP164" i="32"/>
  <c r="AO164" i="32"/>
  <c r="AW316" i="32"/>
  <c r="AV316" i="32" s="1"/>
  <c r="AR316" i="32"/>
  <c r="AQ316" i="32"/>
  <c r="AP316" i="32"/>
  <c r="AO316" i="32"/>
  <c r="AW16" i="32"/>
  <c r="AV16" i="32" s="1"/>
  <c r="AR16" i="32"/>
  <c r="AQ16" i="32"/>
  <c r="AP16" i="32"/>
  <c r="AO16" i="32"/>
  <c r="AW163" i="32"/>
  <c r="AV163" i="32" s="1"/>
  <c r="AR163" i="32"/>
  <c r="AQ163" i="32"/>
  <c r="AP163" i="32"/>
  <c r="AO163" i="32"/>
  <c r="AW162" i="32"/>
  <c r="AR162" i="32"/>
  <c r="AQ162" i="32"/>
  <c r="AP162" i="32"/>
  <c r="AO162" i="32"/>
  <c r="AW181" i="32"/>
  <c r="AT181" i="32" s="1"/>
  <c r="AR181" i="32"/>
  <c r="AQ181" i="32"/>
  <c r="AP181" i="32"/>
  <c r="AO181" i="32"/>
  <c r="AW15" i="32"/>
  <c r="AU15" i="32" s="1"/>
  <c r="AR15" i="32"/>
  <c r="AQ15" i="32"/>
  <c r="AP15" i="32"/>
  <c r="AO15" i="32"/>
  <c r="AW173" i="32"/>
  <c r="AV173" i="32" s="1"/>
  <c r="AR173" i="32"/>
  <c r="AQ173" i="32"/>
  <c r="AP173" i="32"/>
  <c r="AO173" i="32"/>
  <c r="AW315" i="32"/>
  <c r="AU315" i="32" s="1"/>
  <c r="AR315" i="32"/>
  <c r="AQ315" i="32"/>
  <c r="AP315" i="32"/>
  <c r="AO315" i="32"/>
  <c r="AW160" i="32"/>
  <c r="AV160" i="32" s="1"/>
  <c r="AR160" i="32"/>
  <c r="AQ160" i="32"/>
  <c r="AP160" i="32"/>
  <c r="AO160" i="32"/>
  <c r="AW159" i="32"/>
  <c r="AV159" i="32" s="1"/>
  <c r="AR159" i="32"/>
  <c r="AQ159" i="32"/>
  <c r="AP159" i="32"/>
  <c r="AO159" i="32"/>
  <c r="AW14" i="32"/>
  <c r="AV14" i="32" s="1"/>
  <c r="AR14" i="32"/>
  <c r="AQ14" i="32"/>
  <c r="AP14" i="32"/>
  <c r="AO14" i="32"/>
  <c r="AW314" i="32"/>
  <c r="AR314" i="32"/>
  <c r="AQ314" i="32"/>
  <c r="AP314" i="32"/>
  <c r="AO314" i="32"/>
  <c r="AW158" i="32"/>
  <c r="AT158" i="32" s="1"/>
  <c r="AR158" i="32"/>
  <c r="AQ158" i="32"/>
  <c r="AP158" i="32"/>
  <c r="AO158" i="32"/>
  <c r="AW157" i="32"/>
  <c r="AU157" i="32" s="1"/>
  <c r="AR157" i="32"/>
  <c r="AQ157" i="32"/>
  <c r="AP157" i="32"/>
  <c r="AO157" i="32"/>
  <c r="AW313" i="32"/>
  <c r="AV313" i="32" s="1"/>
  <c r="AR313" i="32"/>
  <c r="AQ313" i="32"/>
  <c r="AP313" i="32"/>
  <c r="AO313" i="32"/>
  <c r="AW312" i="32"/>
  <c r="AV312" i="32" s="1"/>
  <c r="AR312" i="32"/>
  <c r="AQ312" i="32"/>
  <c r="AP312" i="32"/>
  <c r="AO312" i="32"/>
  <c r="AW156" i="32"/>
  <c r="AV156" i="32" s="1"/>
  <c r="AR156" i="32"/>
  <c r="AQ156" i="32"/>
  <c r="AP156" i="32"/>
  <c r="AO156" i="32"/>
  <c r="AW155" i="32"/>
  <c r="AV155" i="32" s="1"/>
  <c r="AR155" i="32"/>
  <c r="AQ155" i="32"/>
  <c r="AP155" i="32"/>
  <c r="AO155" i="32"/>
  <c r="AW311" i="32"/>
  <c r="AU311" i="32" s="1"/>
  <c r="AR311" i="32"/>
  <c r="AQ311" i="32"/>
  <c r="AP311" i="32"/>
  <c r="AO311" i="32"/>
  <c r="AW154" i="32"/>
  <c r="AR154" i="32"/>
  <c r="AQ154" i="32"/>
  <c r="AP154" i="32"/>
  <c r="AO154" i="32"/>
  <c r="AW310" i="32"/>
  <c r="AT310" i="32" s="1"/>
  <c r="AR310" i="32"/>
  <c r="AQ310" i="32"/>
  <c r="AP310" i="32"/>
  <c r="AO310" i="32"/>
  <c r="AW309" i="32"/>
  <c r="AU309" i="32" s="1"/>
  <c r="AR309" i="32"/>
  <c r="AQ309" i="32"/>
  <c r="AP309" i="32"/>
  <c r="AO309" i="32"/>
  <c r="AW308" i="32"/>
  <c r="AV308" i="32" s="1"/>
  <c r="AR308" i="32"/>
  <c r="AQ308" i="32"/>
  <c r="AP308" i="32"/>
  <c r="AO308" i="32"/>
  <c r="AW153" i="32"/>
  <c r="AV153" i="32" s="1"/>
  <c r="AR153" i="32"/>
  <c r="AQ153" i="32"/>
  <c r="AP153" i="32"/>
  <c r="AO153" i="32"/>
  <c r="AW307" i="32"/>
  <c r="AV307" i="32" s="1"/>
  <c r="AR307" i="32"/>
  <c r="AQ307" i="32"/>
  <c r="AP307" i="32"/>
  <c r="AO307" i="32"/>
  <c r="AW152" i="32"/>
  <c r="AV152" i="32" s="1"/>
  <c r="AR152" i="32"/>
  <c r="AQ152" i="32"/>
  <c r="AP152" i="32"/>
  <c r="AO152" i="32"/>
  <c r="AW151" i="32"/>
  <c r="AU151" i="32" s="1"/>
  <c r="AR151" i="32"/>
  <c r="AQ151" i="32"/>
  <c r="AP151" i="32"/>
  <c r="AO151" i="32"/>
  <c r="AW306" i="32"/>
  <c r="AR306" i="32"/>
  <c r="AQ306" i="32"/>
  <c r="AP306" i="32"/>
  <c r="AO306" i="32"/>
  <c r="AW150" i="32"/>
  <c r="AT150" i="32" s="1"/>
  <c r="AR150" i="32"/>
  <c r="AQ150" i="32"/>
  <c r="AP150" i="32"/>
  <c r="AO150" i="32"/>
  <c r="AW149" i="32"/>
  <c r="AU149" i="32" s="1"/>
  <c r="AR149" i="32"/>
  <c r="AQ149" i="32"/>
  <c r="AP149" i="32"/>
  <c r="AO149" i="32"/>
  <c r="AW148" i="32"/>
  <c r="AV148" i="32" s="1"/>
  <c r="AR148" i="32"/>
  <c r="AQ148" i="32"/>
  <c r="AP148" i="32"/>
  <c r="AO148" i="32"/>
  <c r="AW147" i="32"/>
  <c r="AV147" i="32" s="1"/>
  <c r="AR147" i="32"/>
  <c r="AQ147" i="32"/>
  <c r="AP147" i="32"/>
  <c r="AO147" i="32"/>
  <c r="AW146" i="32"/>
  <c r="AV146" i="32" s="1"/>
  <c r="AR146" i="32"/>
  <c r="AQ146" i="32"/>
  <c r="AP146" i="32"/>
  <c r="AO146" i="32"/>
  <c r="AW305" i="32"/>
  <c r="AV305" i="32" s="1"/>
  <c r="AR305" i="32"/>
  <c r="AQ305" i="32"/>
  <c r="AP305" i="32"/>
  <c r="AO305" i="32"/>
  <c r="AW13" i="32"/>
  <c r="AU13" i="32" s="1"/>
  <c r="AR13" i="32"/>
  <c r="AQ13" i="32"/>
  <c r="AP13" i="32"/>
  <c r="AO13" i="32"/>
  <c r="AW145" i="32"/>
  <c r="AR145" i="32"/>
  <c r="AQ145" i="32"/>
  <c r="AP145" i="32"/>
  <c r="AO145" i="32"/>
  <c r="AW304" i="32"/>
  <c r="AT304" i="32" s="1"/>
  <c r="AR304" i="32"/>
  <c r="AQ304" i="32"/>
  <c r="AP304" i="32"/>
  <c r="AO304" i="32"/>
  <c r="AW144" i="32"/>
  <c r="AU144" i="32" s="1"/>
  <c r="AR144" i="32"/>
  <c r="AQ144" i="32"/>
  <c r="AP144" i="32"/>
  <c r="AO144" i="32"/>
  <c r="AW303" i="32"/>
  <c r="AV303" i="32" s="1"/>
  <c r="AR303" i="32"/>
  <c r="AQ303" i="32"/>
  <c r="AP303" i="32"/>
  <c r="AO303" i="32"/>
  <c r="AW143" i="32"/>
  <c r="AV143" i="32" s="1"/>
  <c r="AR143" i="32"/>
  <c r="AQ143" i="32"/>
  <c r="AP143" i="32"/>
  <c r="AO143" i="32"/>
  <c r="AW302" i="32"/>
  <c r="AV302" i="32" s="1"/>
  <c r="AR302" i="32"/>
  <c r="AQ302" i="32"/>
  <c r="AP302" i="32"/>
  <c r="AO302" i="32"/>
  <c r="AW301" i="32"/>
  <c r="AV301" i="32" s="1"/>
  <c r="AR301" i="32"/>
  <c r="AQ301" i="32"/>
  <c r="AP301" i="32"/>
  <c r="AO301" i="32"/>
  <c r="AW142" i="32"/>
  <c r="AU142" i="32" s="1"/>
  <c r="AR142" i="32"/>
  <c r="AQ142" i="32"/>
  <c r="AP142" i="32"/>
  <c r="AO142" i="32"/>
  <c r="AW300" i="32"/>
  <c r="AR300" i="32"/>
  <c r="AQ300" i="32"/>
  <c r="AP300" i="32"/>
  <c r="AO300" i="32"/>
  <c r="AW299" i="32"/>
  <c r="AT299" i="32" s="1"/>
  <c r="AR299" i="32"/>
  <c r="AQ299" i="32"/>
  <c r="AP299" i="32"/>
  <c r="AO299" i="32"/>
  <c r="AW141" i="32"/>
  <c r="AU141" i="32" s="1"/>
  <c r="AR141" i="32"/>
  <c r="AQ141" i="32"/>
  <c r="AP141" i="32"/>
  <c r="AO141" i="32"/>
  <c r="AW298" i="32"/>
  <c r="AV298" i="32" s="1"/>
  <c r="AR298" i="32"/>
  <c r="AQ298" i="32"/>
  <c r="AP298" i="32"/>
  <c r="AO298" i="32"/>
  <c r="AW214" i="32"/>
  <c r="AV214" i="32" s="1"/>
  <c r="AR214" i="32"/>
  <c r="AQ214" i="32"/>
  <c r="AP214" i="32"/>
  <c r="AO214" i="32"/>
  <c r="AW140" i="32"/>
  <c r="AV140" i="32" s="1"/>
  <c r="AR140" i="32"/>
  <c r="AQ140" i="32"/>
  <c r="AP140" i="32"/>
  <c r="AO140" i="32"/>
  <c r="AW12" i="32"/>
  <c r="AV12" i="32" s="1"/>
  <c r="AR12" i="32"/>
  <c r="AQ12" i="32"/>
  <c r="AP12" i="32"/>
  <c r="AO12" i="32"/>
  <c r="AW139" i="32"/>
  <c r="AU139" i="32" s="1"/>
  <c r="AR139" i="32"/>
  <c r="AQ139" i="32"/>
  <c r="AP139" i="32"/>
  <c r="AO139" i="32"/>
  <c r="AW297" i="32"/>
  <c r="AR297" i="32"/>
  <c r="AQ297" i="32"/>
  <c r="AP297" i="32"/>
  <c r="AO297" i="32"/>
  <c r="AW296" i="32"/>
  <c r="AT296" i="32" s="1"/>
  <c r="AR296" i="32"/>
  <c r="AQ296" i="32"/>
  <c r="AP296" i="32"/>
  <c r="AO296" i="32"/>
  <c r="AW196" i="32"/>
  <c r="AU196" i="32" s="1"/>
  <c r="AR196" i="32"/>
  <c r="AQ196" i="32"/>
  <c r="AP196" i="32"/>
  <c r="AO196" i="32"/>
  <c r="AW138" i="32"/>
  <c r="AV138" i="32" s="1"/>
  <c r="AR138" i="32"/>
  <c r="AQ138" i="32"/>
  <c r="AP138" i="32"/>
  <c r="AO138" i="32"/>
  <c r="AW137" i="32"/>
  <c r="AV137" i="32" s="1"/>
  <c r="AR137" i="32"/>
  <c r="AQ137" i="32"/>
  <c r="AP137" i="32"/>
  <c r="AO137" i="32"/>
  <c r="AW136" i="32"/>
  <c r="AV136" i="32" s="1"/>
  <c r="AR136" i="32"/>
  <c r="AQ136" i="32"/>
  <c r="AP136" i="32"/>
  <c r="AO136" i="32"/>
  <c r="AW295" i="32"/>
  <c r="AV295" i="32" s="1"/>
  <c r="AR295" i="32"/>
  <c r="AQ295" i="32"/>
  <c r="AP295" i="32"/>
  <c r="AO295" i="32"/>
  <c r="AW135" i="32"/>
  <c r="AU135" i="32" s="1"/>
  <c r="AR135" i="32"/>
  <c r="AQ135" i="32"/>
  <c r="AP135" i="32"/>
  <c r="AO135" i="32"/>
  <c r="AW134" i="32"/>
  <c r="AR134" i="32"/>
  <c r="AQ134" i="32"/>
  <c r="AP134" i="32"/>
  <c r="AO134" i="32"/>
  <c r="AW133" i="32"/>
  <c r="AT133" i="32" s="1"/>
  <c r="AR133" i="32"/>
  <c r="AQ133" i="32"/>
  <c r="AP133" i="32"/>
  <c r="AO133" i="32"/>
  <c r="AW294" i="32"/>
  <c r="AU294" i="32" s="1"/>
  <c r="AR294" i="32"/>
  <c r="AQ294" i="32"/>
  <c r="AP294" i="32"/>
  <c r="AO294" i="32"/>
  <c r="AW293" i="32"/>
  <c r="AV293" i="32" s="1"/>
  <c r="AR293" i="32"/>
  <c r="AQ293" i="32"/>
  <c r="AP293" i="32"/>
  <c r="AO293" i="32"/>
  <c r="AW292" i="32"/>
  <c r="AU292" i="32" s="1"/>
  <c r="AR292" i="32"/>
  <c r="AQ292" i="32"/>
  <c r="AP292" i="32"/>
  <c r="AO292" i="32"/>
  <c r="AW132" i="32"/>
  <c r="AV132" i="32" s="1"/>
  <c r="AR132" i="32"/>
  <c r="AQ132" i="32"/>
  <c r="AP132" i="32"/>
  <c r="AO132" i="32"/>
  <c r="AW11" i="32"/>
  <c r="AV11" i="32" s="1"/>
  <c r="AR11" i="32"/>
  <c r="AQ11" i="32"/>
  <c r="AP11" i="32"/>
  <c r="AO11" i="32"/>
  <c r="AW291" i="32"/>
  <c r="AU291" i="32" s="1"/>
  <c r="AR291" i="32"/>
  <c r="AQ291" i="32"/>
  <c r="AP291" i="32"/>
  <c r="AO291" i="32"/>
  <c r="AW290" i="32"/>
  <c r="AT290" i="32" s="1"/>
  <c r="AR290" i="32"/>
  <c r="AQ290" i="32"/>
  <c r="AP290" i="32"/>
  <c r="AO290" i="32"/>
  <c r="AW131" i="32"/>
  <c r="AT131" i="32" s="1"/>
  <c r="AR131" i="32"/>
  <c r="AQ131" i="32"/>
  <c r="AP131" i="32"/>
  <c r="AO131" i="32"/>
  <c r="AW289" i="32"/>
  <c r="AU289" i="32" s="1"/>
  <c r="AR289" i="32"/>
  <c r="AQ289" i="32"/>
  <c r="AP289" i="32"/>
  <c r="AO289" i="32"/>
  <c r="AW288" i="32"/>
  <c r="AR288" i="32"/>
  <c r="AQ288" i="32"/>
  <c r="AP288" i="32"/>
  <c r="AO288" i="32"/>
  <c r="AW130" i="32"/>
  <c r="AU130" i="32" s="1"/>
  <c r="AR130" i="32"/>
  <c r="AQ130" i="32"/>
  <c r="AP130" i="32"/>
  <c r="AO130" i="32"/>
  <c r="AW129" i="32"/>
  <c r="AV129" i="32" s="1"/>
  <c r="AR129" i="32"/>
  <c r="AQ129" i="32"/>
  <c r="AP129" i="32"/>
  <c r="AO129" i="32"/>
  <c r="AW128" i="32"/>
  <c r="AV128" i="32" s="1"/>
  <c r="AR128" i="32"/>
  <c r="AQ128" i="32"/>
  <c r="AP128" i="32"/>
  <c r="AO128" i="32"/>
  <c r="AW127" i="32"/>
  <c r="AU127" i="32" s="1"/>
  <c r="AR127" i="32"/>
  <c r="AQ127" i="32"/>
  <c r="AP127" i="32"/>
  <c r="AO127" i="32"/>
  <c r="AW287" i="32"/>
  <c r="AT287" i="32" s="1"/>
  <c r="AR287" i="32"/>
  <c r="AQ287" i="32"/>
  <c r="AP287" i="32"/>
  <c r="AO287" i="32"/>
  <c r="AW10" i="32"/>
  <c r="AT10" i="32" s="1"/>
  <c r="AR10" i="32"/>
  <c r="AQ10" i="32"/>
  <c r="AP10" i="32"/>
  <c r="AO10" i="32"/>
  <c r="AW126" i="32"/>
  <c r="AU126" i="32" s="1"/>
  <c r="AR126" i="32"/>
  <c r="AQ126" i="32"/>
  <c r="AP126" i="32"/>
  <c r="AO126" i="32"/>
  <c r="AW212" i="32"/>
  <c r="AR212" i="32"/>
  <c r="AQ212" i="32"/>
  <c r="AP212" i="32"/>
  <c r="AO212" i="32"/>
  <c r="AW286" i="32"/>
  <c r="AU286" i="32" s="1"/>
  <c r="AR286" i="32"/>
  <c r="AQ286" i="32"/>
  <c r="AP286" i="32"/>
  <c r="AO286" i="32"/>
  <c r="AW125" i="32"/>
  <c r="AV125" i="32" s="1"/>
  <c r="AR125" i="32"/>
  <c r="AQ125" i="32"/>
  <c r="AP125" i="32"/>
  <c r="AO125" i="32"/>
  <c r="AW180" i="32"/>
  <c r="AV180" i="32" s="1"/>
  <c r="AR180" i="32"/>
  <c r="AQ180" i="32"/>
  <c r="AP180" i="32"/>
  <c r="AO180" i="32"/>
  <c r="AW124" i="32"/>
  <c r="AU124" i="32" s="1"/>
  <c r="AR124" i="32"/>
  <c r="AQ124" i="32"/>
  <c r="AP124" i="32"/>
  <c r="AO124" i="32"/>
  <c r="AW123" i="32"/>
  <c r="AT123" i="32" s="1"/>
  <c r="AR123" i="32"/>
  <c r="AQ123" i="32"/>
  <c r="AP123" i="32"/>
  <c r="AO123" i="32"/>
  <c r="AW285" i="32"/>
  <c r="AT285" i="32" s="1"/>
  <c r="AR285" i="32"/>
  <c r="AQ285" i="32"/>
  <c r="AP285" i="32"/>
  <c r="AO285" i="32"/>
  <c r="AW122" i="32"/>
  <c r="AU122" i="32" s="1"/>
  <c r="AR122" i="32"/>
  <c r="AQ122" i="32"/>
  <c r="AP122" i="32"/>
  <c r="AO122" i="32"/>
  <c r="AW121" i="32"/>
  <c r="AR121" i="32"/>
  <c r="AQ121" i="32"/>
  <c r="AP121" i="32"/>
  <c r="AO121" i="32"/>
  <c r="AW284" i="32"/>
  <c r="AV284" i="32" s="1"/>
  <c r="AR284" i="32"/>
  <c r="AQ284" i="32"/>
  <c r="AP284" i="32"/>
  <c r="AO284" i="32"/>
  <c r="AW120" i="32"/>
  <c r="AV120" i="32" s="1"/>
  <c r="AR120" i="32"/>
  <c r="AQ120" i="32"/>
  <c r="AP120" i="32"/>
  <c r="AO120" i="32"/>
  <c r="AW119" i="32"/>
  <c r="AV119" i="32" s="1"/>
  <c r="AR119" i="32"/>
  <c r="AQ119" i="32"/>
  <c r="AP119" i="32"/>
  <c r="AO119" i="32"/>
  <c r="AW9" i="32"/>
  <c r="AU9" i="32" s="1"/>
  <c r="AR9" i="32"/>
  <c r="AQ9" i="32"/>
  <c r="AP9" i="32"/>
  <c r="AO9" i="32"/>
  <c r="AW118" i="32"/>
  <c r="AT118" i="32" s="1"/>
  <c r="AR118" i="32"/>
  <c r="AQ118" i="32"/>
  <c r="AP118" i="32"/>
  <c r="AO118" i="32"/>
  <c r="AW8" i="32"/>
  <c r="AT8" i="32" s="1"/>
  <c r="AR8" i="32"/>
  <c r="AQ8" i="32"/>
  <c r="AP8" i="32"/>
  <c r="AO8" i="32"/>
  <c r="AW206" i="32"/>
  <c r="AV206" i="32" s="1"/>
  <c r="AR206" i="32"/>
  <c r="AQ206" i="32"/>
  <c r="AP206" i="32"/>
  <c r="AO206" i="32"/>
  <c r="AW7" i="32"/>
  <c r="AR7" i="32"/>
  <c r="AQ7" i="32"/>
  <c r="AP7" i="32"/>
  <c r="AO7" i="32"/>
  <c r="AW117" i="32"/>
  <c r="AU117" i="32" s="1"/>
  <c r="AR117" i="32"/>
  <c r="AQ117" i="32"/>
  <c r="AP117" i="32"/>
  <c r="AO117" i="32"/>
  <c r="AW283" i="32"/>
  <c r="AV283" i="32" s="1"/>
  <c r="AR283" i="32"/>
  <c r="AQ283" i="32"/>
  <c r="AP283" i="32"/>
  <c r="AO283" i="32"/>
  <c r="AW282" i="32"/>
  <c r="AV282" i="32" s="1"/>
  <c r="AR282" i="32"/>
  <c r="AQ282" i="32"/>
  <c r="AP282" i="32"/>
  <c r="AO282" i="32"/>
  <c r="AW281" i="32"/>
  <c r="AU281" i="32" s="1"/>
  <c r="AR281" i="32"/>
  <c r="AQ281" i="32"/>
  <c r="AP281" i="32"/>
  <c r="AO281" i="32"/>
  <c r="AW280" i="32"/>
  <c r="AU280" i="32" s="1"/>
  <c r="AR280" i="32"/>
  <c r="AQ280" i="32"/>
  <c r="AP280" i="32"/>
  <c r="AO280" i="32"/>
  <c r="AW6" i="32"/>
  <c r="AT6" i="32" s="1"/>
  <c r="AR6" i="32"/>
  <c r="AQ6" i="32"/>
  <c r="AP6" i="32"/>
  <c r="AO6" i="32"/>
  <c r="AW205" i="32"/>
  <c r="AR205" i="32"/>
  <c r="AQ205" i="32"/>
  <c r="AP205" i="32"/>
  <c r="AO205" i="32"/>
  <c r="AW116" i="32"/>
  <c r="AR116" i="32"/>
  <c r="AQ116" i="32"/>
  <c r="AP116" i="32"/>
  <c r="AO116" i="32"/>
  <c r="AW100" i="32"/>
  <c r="AV100" i="32" s="1"/>
  <c r="AR100" i="32"/>
  <c r="AQ100" i="32"/>
  <c r="AP100" i="32"/>
  <c r="AO100" i="32"/>
  <c r="AW114" i="32"/>
  <c r="AV114" i="32" s="1"/>
  <c r="AR114" i="32"/>
  <c r="AQ114" i="32"/>
  <c r="AP114" i="32"/>
  <c r="AO114" i="32"/>
  <c r="AW113" i="32"/>
  <c r="AV113" i="32" s="1"/>
  <c r="AR113" i="32"/>
  <c r="AQ113" i="32"/>
  <c r="AP113" i="32"/>
  <c r="AO113" i="32"/>
  <c r="AW112" i="32"/>
  <c r="AU112" i="32" s="1"/>
  <c r="AR112" i="32"/>
  <c r="AQ112" i="32"/>
  <c r="AP112" i="32"/>
  <c r="AO112" i="32"/>
  <c r="AW5" i="32"/>
  <c r="AU5" i="32" s="1"/>
  <c r="AR5" i="32"/>
  <c r="AQ5" i="32"/>
  <c r="AP5" i="32"/>
  <c r="AO5" i="32"/>
  <c r="AW279" i="32"/>
  <c r="AT279" i="32" s="1"/>
  <c r="AR279" i="32"/>
  <c r="AQ279" i="32"/>
  <c r="AP279" i="32"/>
  <c r="AO279" i="32"/>
  <c r="AW278" i="32"/>
  <c r="AV278" i="32" s="1"/>
  <c r="AR278" i="32"/>
  <c r="AQ278" i="32"/>
  <c r="AP278" i="32"/>
  <c r="AO278" i="32"/>
  <c r="AW277" i="32"/>
  <c r="AR277" i="32"/>
  <c r="AQ277" i="32"/>
  <c r="AP277" i="32"/>
  <c r="AO277" i="32"/>
  <c r="AW111" i="32"/>
  <c r="AV111" i="32" s="1"/>
  <c r="AR111" i="32"/>
  <c r="AQ111" i="32"/>
  <c r="AP111" i="32"/>
  <c r="AO111" i="32"/>
  <c r="AW276" i="32"/>
  <c r="AV276" i="32" s="1"/>
  <c r="AR276" i="32"/>
  <c r="AQ276" i="32"/>
  <c r="AP276" i="32"/>
  <c r="AO276" i="32"/>
  <c r="AW275" i="32"/>
  <c r="AU275" i="32" s="1"/>
  <c r="AR275" i="32"/>
  <c r="AQ275" i="32"/>
  <c r="AP275" i="32"/>
  <c r="AO275" i="32"/>
  <c r="AW274" i="32"/>
  <c r="AU274" i="32" s="1"/>
  <c r="AR274" i="32"/>
  <c r="AQ274" i="32"/>
  <c r="AP274" i="32"/>
  <c r="AO274" i="32"/>
  <c r="AW110" i="32"/>
  <c r="AU110" i="32" s="1"/>
  <c r="AR110" i="32"/>
  <c r="AQ110" i="32"/>
  <c r="AP110" i="32"/>
  <c r="AO110" i="32"/>
  <c r="AW273" i="32"/>
  <c r="AT273" i="32" s="1"/>
  <c r="AR273" i="32"/>
  <c r="AQ273" i="32"/>
  <c r="AP273" i="32"/>
  <c r="AO273" i="32"/>
  <c r="AW182" i="32"/>
  <c r="AV182" i="32" s="1"/>
  <c r="AR182" i="32"/>
  <c r="AQ182" i="32"/>
  <c r="AP182" i="32"/>
  <c r="AO182" i="32"/>
  <c r="AW272" i="32"/>
  <c r="AR272" i="32"/>
  <c r="AQ272" i="32"/>
  <c r="AP272" i="32"/>
  <c r="AO272" i="32"/>
  <c r="AW109" i="32"/>
  <c r="AV109" i="32" s="1"/>
  <c r="AR109" i="32"/>
  <c r="AQ109" i="32"/>
  <c r="AP109" i="32"/>
  <c r="AO109" i="32"/>
  <c r="AW271" i="32"/>
  <c r="AV271" i="32" s="1"/>
  <c r="AR271" i="32"/>
  <c r="AQ271" i="32"/>
  <c r="AP271" i="32"/>
  <c r="AO271" i="32"/>
  <c r="AW270" i="32"/>
  <c r="AV270" i="32" s="1"/>
  <c r="AR270" i="32"/>
  <c r="AQ270" i="32"/>
  <c r="AP270" i="32"/>
  <c r="AO270" i="32"/>
  <c r="AW269" i="32"/>
  <c r="AU269" i="32" s="1"/>
  <c r="AR269" i="32"/>
  <c r="AQ269" i="32"/>
  <c r="AP269" i="32"/>
  <c r="AO269" i="32"/>
  <c r="AW108" i="32"/>
  <c r="AT108" i="32" s="1"/>
  <c r="AR108" i="32"/>
  <c r="AQ108" i="32"/>
  <c r="AP108" i="32"/>
  <c r="AO108" i="32"/>
  <c r="AW211" i="32"/>
  <c r="AT211" i="32" s="1"/>
  <c r="AR211" i="32"/>
  <c r="AQ211" i="32"/>
  <c r="AP211" i="32"/>
  <c r="AO211" i="32"/>
  <c r="AW4" i="32"/>
  <c r="AV4" i="32" s="1"/>
  <c r="AR4" i="32"/>
  <c r="AQ4" i="32"/>
  <c r="AP4" i="32"/>
  <c r="AO4" i="32"/>
  <c r="AW107" i="32"/>
  <c r="AR107" i="32"/>
  <c r="AQ107" i="32"/>
  <c r="AP107" i="32"/>
  <c r="AO107" i="32"/>
  <c r="AW268" i="32"/>
  <c r="AV268" i="32" s="1"/>
  <c r="AR268" i="32"/>
  <c r="AQ268" i="32"/>
  <c r="AP268" i="32"/>
  <c r="AO268" i="32"/>
  <c r="AW106" i="32"/>
  <c r="AV106" i="32" s="1"/>
  <c r="AR106" i="32"/>
  <c r="AQ106" i="32"/>
  <c r="AP106" i="32"/>
  <c r="AO106" i="32"/>
  <c r="AW267" i="32"/>
  <c r="AU267" i="32" s="1"/>
  <c r="AR267" i="32"/>
  <c r="AQ267" i="32"/>
  <c r="AP267" i="32"/>
  <c r="AO267" i="32"/>
  <c r="AW266" i="32"/>
  <c r="AU266" i="32" s="1"/>
  <c r="AR266" i="32"/>
  <c r="AQ266" i="32"/>
  <c r="AP266" i="32"/>
  <c r="AO266" i="32"/>
  <c r="AW210" i="32"/>
  <c r="AU210" i="32" s="1"/>
  <c r="AR210" i="32"/>
  <c r="AQ210" i="32"/>
  <c r="AP210" i="32"/>
  <c r="AO210" i="32"/>
  <c r="AW179" i="32"/>
  <c r="AT179" i="32" s="1"/>
  <c r="AR179" i="32"/>
  <c r="AQ179" i="32"/>
  <c r="AP179" i="32"/>
  <c r="AO179" i="32"/>
  <c r="AW105" i="32"/>
  <c r="AR105" i="32"/>
  <c r="AQ105" i="32"/>
  <c r="AP105" i="32"/>
  <c r="AO105" i="32"/>
  <c r="AW171" i="32"/>
  <c r="AS171" i="32" s="1"/>
  <c r="AR171" i="32"/>
  <c r="AQ171" i="32"/>
  <c r="AP171" i="32"/>
  <c r="AO171" i="32"/>
  <c r="AW265" i="32"/>
  <c r="AS265" i="32" s="1"/>
  <c r="AR265" i="32"/>
  <c r="AQ265" i="32"/>
  <c r="AP265" i="32"/>
  <c r="AO265" i="32"/>
  <c r="AW103" i="32"/>
  <c r="AV103" i="32" s="1"/>
  <c r="AR103" i="32"/>
  <c r="AQ103" i="32"/>
  <c r="AP103" i="32"/>
  <c r="AO103" i="32"/>
  <c r="AW102" i="32"/>
  <c r="AV102" i="32" s="1"/>
  <c r="AR102" i="32"/>
  <c r="AQ102" i="32"/>
  <c r="AP102" i="32"/>
  <c r="AO102" i="32"/>
  <c r="AW101" i="32"/>
  <c r="AU101" i="32" s="1"/>
  <c r="AR101" i="32"/>
  <c r="AQ101" i="32"/>
  <c r="AP101" i="32"/>
  <c r="AO101" i="32"/>
  <c r="AW203" i="32"/>
  <c r="AS203" i="32" s="1"/>
  <c r="AR203" i="32"/>
  <c r="AQ203" i="32"/>
  <c r="AP203" i="32"/>
  <c r="AO203" i="32"/>
  <c r="AW99" i="32"/>
  <c r="AT99" i="32" s="1"/>
  <c r="AR99" i="32"/>
  <c r="AQ99" i="32"/>
  <c r="AP99" i="32"/>
  <c r="AO99" i="32"/>
  <c r="AW98" i="32"/>
  <c r="AU98" i="32" s="1"/>
  <c r="AR98" i="32"/>
  <c r="AQ98" i="32"/>
  <c r="AP98" i="32"/>
  <c r="AO98" i="32"/>
  <c r="AW264" i="32"/>
  <c r="AU264" i="32" s="1"/>
  <c r="AR264" i="32"/>
  <c r="AQ264" i="32"/>
  <c r="AP264" i="32"/>
  <c r="AO264" i="32"/>
  <c r="AW263" i="32"/>
  <c r="AV263" i="32" s="1"/>
  <c r="AR263" i="32"/>
  <c r="AQ263" i="32"/>
  <c r="AP263" i="32"/>
  <c r="AO263" i="32"/>
  <c r="AW97" i="32"/>
  <c r="AV97" i="32" s="1"/>
  <c r="AR97" i="32"/>
  <c r="AQ97" i="32"/>
  <c r="AP97" i="32"/>
  <c r="AO97" i="32"/>
  <c r="AW104" i="32"/>
  <c r="AV104" i="32" s="1"/>
  <c r="AR104" i="32"/>
  <c r="AQ104" i="32"/>
  <c r="AP104" i="32"/>
  <c r="AO104" i="32"/>
  <c r="AW262" i="32"/>
  <c r="AV262" i="32" s="1"/>
  <c r="AR262" i="32"/>
  <c r="AQ262" i="32"/>
  <c r="AP262" i="32"/>
  <c r="AO262" i="32"/>
  <c r="AW261" i="32"/>
  <c r="AV261" i="32" s="1"/>
  <c r="AR261" i="32"/>
  <c r="AQ261" i="32"/>
  <c r="AP261" i="32"/>
  <c r="AO261" i="32"/>
  <c r="AW96" i="32"/>
  <c r="AT96" i="32" s="1"/>
  <c r="AR96" i="32"/>
  <c r="AQ96" i="32"/>
  <c r="AP96" i="32"/>
  <c r="AO96" i="32"/>
  <c r="AW260" i="32"/>
  <c r="AU260" i="32" s="1"/>
  <c r="AR260" i="32"/>
  <c r="AQ260" i="32"/>
  <c r="AP260" i="32"/>
  <c r="AO260" i="32"/>
  <c r="AW95" i="32"/>
  <c r="AU95" i="32" s="1"/>
  <c r="AR95" i="32"/>
  <c r="AQ95" i="32"/>
  <c r="AP95" i="32"/>
  <c r="AO95" i="32"/>
  <c r="AW94" i="32"/>
  <c r="AV94" i="32" s="1"/>
  <c r="AR94" i="32"/>
  <c r="AQ94" i="32"/>
  <c r="AP94" i="32"/>
  <c r="AO94" i="32"/>
  <c r="AW213" i="32"/>
  <c r="AV213" i="32" s="1"/>
  <c r="AR213" i="32"/>
  <c r="AQ213" i="32"/>
  <c r="AP213" i="32"/>
  <c r="AO213" i="32"/>
  <c r="AW194" i="32"/>
  <c r="AV194" i="32" s="1"/>
  <c r="AR194" i="32"/>
  <c r="AQ194" i="32"/>
  <c r="AP194" i="32"/>
  <c r="AO194" i="32"/>
  <c r="AW259" i="32"/>
  <c r="AV259" i="32" s="1"/>
  <c r="AR259" i="32"/>
  <c r="AQ259" i="32"/>
  <c r="AP259" i="32"/>
  <c r="AO259" i="32"/>
  <c r="AW258" i="32"/>
  <c r="AV258" i="32" s="1"/>
  <c r="AR258" i="32"/>
  <c r="AQ258" i="32"/>
  <c r="AP258" i="32"/>
  <c r="AO258" i="32"/>
  <c r="AW257" i="32"/>
  <c r="AT257" i="32" s="1"/>
  <c r="AR257" i="32"/>
  <c r="AQ257" i="32"/>
  <c r="AP257" i="32"/>
  <c r="AO257" i="32"/>
  <c r="AW161" i="32"/>
  <c r="AU161" i="32" s="1"/>
  <c r="AR161" i="32"/>
  <c r="AQ161" i="32"/>
  <c r="AP161" i="32"/>
  <c r="AO161" i="32"/>
  <c r="AW256" i="32"/>
  <c r="AU256" i="32" s="1"/>
  <c r="AR256" i="32"/>
  <c r="AQ256" i="32"/>
  <c r="AP256" i="32"/>
  <c r="AO256" i="32"/>
  <c r="AW92" i="32"/>
  <c r="AV92" i="32" s="1"/>
  <c r="AR92" i="32"/>
  <c r="AQ92" i="32"/>
  <c r="AP92" i="32"/>
  <c r="AO92" i="32"/>
  <c r="AW255" i="32"/>
  <c r="AV255" i="32" s="1"/>
  <c r="AR255" i="32"/>
  <c r="AQ255" i="32"/>
  <c r="AP255" i="32"/>
  <c r="AO255" i="32"/>
  <c r="AW3" i="32"/>
  <c r="AV3" i="32" s="1"/>
  <c r="AR3" i="32"/>
  <c r="AQ3" i="32"/>
  <c r="AP3" i="32"/>
  <c r="AO3" i="32"/>
  <c r="AW254" i="32"/>
  <c r="AV254" i="32" s="1"/>
  <c r="AR254" i="32"/>
  <c r="AQ254" i="32"/>
  <c r="AP254" i="32"/>
  <c r="AO254" i="32"/>
  <c r="AW91" i="32"/>
  <c r="AT91" i="32" s="1"/>
  <c r="AR91" i="32"/>
  <c r="AQ91" i="32"/>
  <c r="AP91" i="32"/>
  <c r="AO91" i="32"/>
  <c r="AW253" i="32"/>
  <c r="AT253" i="32" s="1"/>
  <c r="AR253" i="32"/>
  <c r="AQ253" i="32"/>
  <c r="AP253" i="32"/>
  <c r="AO253" i="32"/>
  <c r="AW252" i="32"/>
  <c r="AU252" i="32" s="1"/>
  <c r="AR252" i="32"/>
  <c r="AQ252" i="32"/>
  <c r="AP252" i="32"/>
  <c r="AO252" i="32"/>
  <c r="AW90" i="32"/>
  <c r="AU90" i="32" s="1"/>
  <c r="AR90" i="32"/>
  <c r="AQ90" i="32"/>
  <c r="AP90" i="32"/>
  <c r="AO90" i="32"/>
  <c r="AW89" i="32"/>
  <c r="AV89" i="32" s="1"/>
  <c r="AR89" i="32"/>
  <c r="AQ89" i="32"/>
  <c r="AP89" i="32"/>
  <c r="AO89" i="32"/>
  <c r="AW88" i="32"/>
  <c r="AV88" i="32" s="1"/>
  <c r="AR88" i="32"/>
  <c r="AQ88" i="32"/>
  <c r="AP88" i="32"/>
  <c r="AO88" i="32"/>
  <c r="AW87" i="32"/>
  <c r="AV87" i="32" s="1"/>
  <c r="AR87" i="32"/>
  <c r="AQ87" i="32"/>
  <c r="AP87" i="32"/>
  <c r="AO87" i="32"/>
  <c r="AW251" i="32"/>
  <c r="AV251" i="32" s="1"/>
  <c r="AR251" i="32"/>
  <c r="AQ251" i="32"/>
  <c r="AP251" i="32"/>
  <c r="AO251" i="32"/>
  <c r="AW2" i="32"/>
  <c r="AV2" i="32" s="1"/>
  <c r="AR2" i="32"/>
  <c r="AQ2" i="32"/>
  <c r="AP2" i="32"/>
  <c r="AO2" i="32"/>
  <c r="AW86" i="32"/>
  <c r="AT86" i="32" s="1"/>
  <c r="AR86" i="32"/>
  <c r="AQ86" i="32"/>
  <c r="AP86" i="32"/>
  <c r="AO86" i="32"/>
  <c r="AW85" i="32"/>
  <c r="AU85" i="32" s="1"/>
  <c r="AR85" i="32"/>
  <c r="AQ85" i="32"/>
  <c r="AP85" i="32"/>
  <c r="AO85" i="32"/>
  <c r="AW84" i="32"/>
  <c r="AU84" i="32" s="1"/>
  <c r="AR84" i="32"/>
  <c r="AQ84" i="32"/>
  <c r="AP84" i="32"/>
  <c r="AO84" i="32"/>
  <c r="AW217" i="32"/>
  <c r="AV217" i="32" s="1"/>
  <c r="AR217" i="32"/>
  <c r="AQ217" i="32"/>
  <c r="AP217" i="32"/>
  <c r="AO217" i="32"/>
  <c r="AW216" i="32"/>
  <c r="AV216" i="32" s="1"/>
  <c r="AR216" i="32"/>
  <c r="AQ216" i="32"/>
  <c r="AP216" i="32"/>
  <c r="AO216" i="32"/>
  <c r="AW83" i="32"/>
  <c r="AV83" i="32" s="1"/>
  <c r="AR83" i="32"/>
  <c r="AQ83" i="32"/>
  <c r="AP83" i="32"/>
  <c r="AO83" i="32"/>
  <c r="AW82" i="32"/>
  <c r="AV82" i="32" s="1"/>
  <c r="AR82" i="32"/>
  <c r="AQ82" i="32"/>
  <c r="AP82" i="32"/>
  <c r="AO82" i="32"/>
  <c r="AW250" i="32"/>
  <c r="AV250" i="32" s="1"/>
  <c r="AR250" i="32"/>
  <c r="AQ250" i="32"/>
  <c r="AP250" i="32"/>
  <c r="AO250" i="32"/>
  <c r="AW249" i="32"/>
  <c r="AT249" i="32" s="1"/>
  <c r="AR249" i="32"/>
  <c r="AQ249" i="32"/>
  <c r="AP249" i="32"/>
  <c r="AO249" i="32"/>
  <c r="AW183" i="32"/>
  <c r="AU183" i="32" s="1"/>
  <c r="AR183" i="32"/>
  <c r="AQ183" i="32"/>
  <c r="AP183" i="32"/>
  <c r="AO183" i="32"/>
  <c r="AW248" i="32"/>
  <c r="AU248" i="32" s="1"/>
  <c r="AR248" i="32"/>
  <c r="AQ248" i="32"/>
  <c r="AP248" i="32"/>
  <c r="AO248" i="32"/>
  <c r="AW81" i="32"/>
  <c r="AV81" i="32" s="1"/>
  <c r="AR81" i="32"/>
  <c r="AQ81" i="32"/>
  <c r="AP81" i="32"/>
  <c r="AO81" i="32"/>
  <c r="AW80" i="32"/>
  <c r="AV80" i="32" s="1"/>
  <c r="AR80" i="32"/>
  <c r="AQ80" i="32"/>
  <c r="AP80" i="32"/>
  <c r="AO80" i="32"/>
  <c r="AW79" i="32"/>
  <c r="AV79" i="32" s="1"/>
  <c r="AR79" i="32"/>
  <c r="AQ79" i="32"/>
  <c r="AP79" i="32"/>
  <c r="AO79" i="32"/>
  <c r="AW247" i="32"/>
  <c r="AV247" i="32" s="1"/>
  <c r="AR247" i="32"/>
  <c r="AQ247" i="32"/>
  <c r="AP247" i="32"/>
  <c r="AO247" i="32"/>
  <c r="AW78" i="32"/>
  <c r="AU78" i="32" s="1"/>
  <c r="AR78" i="32"/>
  <c r="AQ78" i="32"/>
  <c r="AP78" i="32"/>
  <c r="AO78" i="32"/>
  <c r="AW77" i="32"/>
  <c r="AT77" i="32" s="1"/>
  <c r="AR77" i="32"/>
  <c r="AQ77" i="32"/>
  <c r="AP77" i="32"/>
  <c r="AO77" i="32"/>
  <c r="AW76" i="32"/>
  <c r="AU76" i="32" s="1"/>
  <c r="AR76" i="32"/>
  <c r="AQ76" i="32"/>
  <c r="AP76" i="32"/>
  <c r="AO76" i="32"/>
  <c r="AW75" i="32"/>
  <c r="AU75" i="32" s="1"/>
  <c r="AR75" i="32"/>
  <c r="AQ75" i="32"/>
  <c r="AP75" i="32"/>
  <c r="AO75" i="32"/>
  <c r="AW246" i="32"/>
  <c r="AV246" i="32" s="1"/>
  <c r="AR246" i="32"/>
  <c r="AQ246" i="32"/>
  <c r="AP246" i="32"/>
  <c r="AO246" i="32"/>
  <c r="AW245" i="32"/>
  <c r="AU245" i="32" s="1"/>
  <c r="AR245" i="32"/>
  <c r="AQ245" i="32"/>
  <c r="AP245" i="32"/>
  <c r="AO245" i="32"/>
  <c r="AW74" i="32"/>
  <c r="AV74" i="32" s="1"/>
  <c r="AR74" i="32"/>
  <c r="AQ74" i="32"/>
  <c r="AP74" i="32"/>
  <c r="AO74" i="32"/>
  <c r="AW73" i="32"/>
  <c r="AV73" i="32" s="1"/>
  <c r="AR73" i="32"/>
  <c r="AQ73" i="32"/>
  <c r="AP73" i="32"/>
  <c r="AO73" i="32"/>
  <c r="AW72" i="32"/>
  <c r="AS72" i="32" s="1"/>
  <c r="AR72" i="32"/>
  <c r="AQ72" i="32"/>
  <c r="AP72" i="32"/>
  <c r="AO72" i="32"/>
  <c r="AW71" i="32"/>
  <c r="AT71" i="32" s="1"/>
  <c r="AR71" i="32"/>
  <c r="AQ71" i="32"/>
  <c r="AP71" i="32"/>
  <c r="AO71" i="32"/>
  <c r="AW70" i="32"/>
  <c r="AU70" i="32" s="1"/>
  <c r="AR70" i="32"/>
  <c r="AQ70" i="32"/>
  <c r="AP70" i="32"/>
  <c r="AO70" i="32"/>
  <c r="AW207" i="32"/>
  <c r="AU207" i="32" s="1"/>
  <c r="AR207" i="32"/>
  <c r="AQ207" i="32"/>
  <c r="AP207" i="32"/>
  <c r="AO207" i="32"/>
  <c r="AW69" i="32"/>
  <c r="AV69" i="32" s="1"/>
  <c r="AR69" i="32"/>
  <c r="AQ69" i="32"/>
  <c r="AP69" i="32"/>
  <c r="AO69" i="32"/>
  <c r="AW68" i="32"/>
  <c r="AU68" i="32" s="1"/>
  <c r="AR68" i="32"/>
  <c r="AQ68" i="32"/>
  <c r="AP68" i="32"/>
  <c r="AO68" i="32"/>
  <c r="AW244" i="32"/>
  <c r="AV244" i="32" s="1"/>
  <c r="AR244" i="32"/>
  <c r="AQ244" i="32"/>
  <c r="AP244" i="32"/>
  <c r="AO244" i="32"/>
  <c r="AW243" i="32"/>
  <c r="AV243" i="32" s="1"/>
  <c r="AR243" i="32"/>
  <c r="AQ243" i="32"/>
  <c r="AP243" i="32"/>
  <c r="AO243" i="32"/>
  <c r="AW242" i="32"/>
  <c r="AV242" i="32" s="1"/>
  <c r="AR242" i="32"/>
  <c r="AQ242" i="32"/>
  <c r="AP242" i="32"/>
  <c r="AO242" i="32"/>
  <c r="AW241" i="32"/>
  <c r="AT241" i="32" s="1"/>
  <c r="AR241" i="32"/>
  <c r="AQ241" i="32"/>
  <c r="AP241" i="32"/>
  <c r="AO241" i="32"/>
  <c r="AW240" i="32"/>
  <c r="AU240" i="32" s="1"/>
  <c r="AR240" i="32"/>
  <c r="AQ240" i="32"/>
  <c r="AP240" i="32"/>
  <c r="AO240" i="32"/>
  <c r="AW67" i="32"/>
  <c r="AU67" i="32" s="1"/>
  <c r="AR67" i="32"/>
  <c r="AQ67" i="32"/>
  <c r="AP67" i="32"/>
  <c r="AO67" i="32"/>
  <c r="AW66" i="32"/>
  <c r="AV66" i="32" s="1"/>
  <c r="AR66" i="32"/>
  <c r="AQ66" i="32"/>
  <c r="AP66" i="32"/>
  <c r="AO66" i="32"/>
  <c r="AW239" i="32"/>
  <c r="AU239" i="32" s="1"/>
  <c r="AR239" i="32"/>
  <c r="AQ239" i="32"/>
  <c r="AP239" i="32"/>
  <c r="AO239" i="32"/>
  <c r="AW65" i="32"/>
  <c r="AV65" i="32" s="1"/>
  <c r="AR65" i="32"/>
  <c r="AQ65" i="32"/>
  <c r="AP65" i="32"/>
  <c r="AO65" i="32"/>
  <c r="AW238" i="32"/>
  <c r="AV238" i="32" s="1"/>
  <c r="AR238" i="32"/>
  <c r="AQ238" i="32"/>
  <c r="AP238" i="32"/>
  <c r="AO238" i="32"/>
  <c r="AW64" i="32"/>
  <c r="AV64" i="32" s="1"/>
  <c r="AR64" i="32"/>
  <c r="AQ64" i="32"/>
  <c r="AP64" i="32"/>
  <c r="AO64" i="32"/>
  <c r="AW63" i="32"/>
  <c r="AT63" i="32" s="1"/>
  <c r="AR63" i="32"/>
  <c r="AQ63" i="32"/>
  <c r="AP63" i="32"/>
  <c r="AO63" i="32"/>
  <c r="AW62" i="32"/>
  <c r="AU62" i="32" s="1"/>
  <c r="AR62" i="32"/>
  <c r="AQ62" i="32"/>
  <c r="AP62" i="32"/>
  <c r="AO62" i="32"/>
  <c r="AW61" i="32"/>
  <c r="AU61" i="32" s="1"/>
  <c r="AR61" i="32"/>
  <c r="AQ61" i="32"/>
  <c r="AP61" i="32"/>
  <c r="AO61" i="32"/>
  <c r="AW184" i="32"/>
  <c r="AV184" i="32" s="1"/>
  <c r="AR184" i="32"/>
  <c r="AQ184" i="32"/>
  <c r="AP184" i="32"/>
  <c r="AO184" i="32"/>
  <c r="AW60" i="32"/>
  <c r="AU60" i="32" s="1"/>
  <c r="AR60" i="32"/>
  <c r="AQ60" i="32"/>
  <c r="AP60" i="32"/>
  <c r="AO60" i="32"/>
  <c r="AW59" i="32"/>
  <c r="AV59" i="32" s="1"/>
  <c r="AR59" i="32"/>
  <c r="AQ59" i="32"/>
  <c r="AP59" i="32"/>
  <c r="AO59" i="32"/>
  <c r="AW58" i="32"/>
  <c r="AV58" i="32" s="1"/>
  <c r="AR58" i="32"/>
  <c r="AQ58" i="32"/>
  <c r="AP58" i="32"/>
  <c r="AO58" i="32"/>
  <c r="AW237" i="32"/>
  <c r="AU237" i="32" s="1"/>
  <c r="AR237" i="32"/>
  <c r="AQ237" i="32"/>
  <c r="AP237" i="32"/>
  <c r="AO237" i="32"/>
  <c r="AW236" i="32"/>
  <c r="AT236" i="32" s="1"/>
  <c r="AR236" i="32"/>
  <c r="AQ236" i="32"/>
  <c r="AP236" i="32"/>
  <c r="AO236" i="32"/>
  <c r="AW57" i="32"/>
  <c r="AU57" i="32" s="1"/>
  <c r="AR57" i="32"/>
  <c r="AQ57" i="32"/>
  <c r="AP57" i="32"/>
  <c r="AO57" i="32"/>
  <c r="AW56" i="32"/>
  <c r="AU56" i="32" s="1"/>
  <c r="AR56" i="32"/>
  <c r="AQ56" i="32"/>
  <c r="AP56" i="32"/>
  <c r="AO56" i="32"/>
  <c r="AW235" i="32"/>
  <c r="AV235" i="32" s="1"/>
  <c r="AR235" i="32"/>
  <c r="AQ235" i="32"/>
  <c r="AP235" i="32"/>
  <c r="AO235" i="32"/>
  <c r="AW55" i="32"/>
  <c r="AU55" i="32" s="1"/>
  <c r="AR55" i="32"/>
  <c r="AQ55" i="32"/>
  <c r="AP55" i="32"/>
  <c r="AO55" i="32"/>
  <c r="AW54" i="32"/>
  <c r="AV54" i="32" s="1"/>
  <c r="AR54" i="32"/>
  <c r="AQ54" i="32"/>
  <c r="AP54" i="32"/>
  <c r="AO54" i="32"/>
  <c r="AW53" i="32"/>
  <c r="AR53" i="32"/>
  <c r="AQ53" i="32"/>
  <c r="AP53" i="32"/>
  <c r="AO53" i="32"/>
  <c r="AW234" i="32"/>
  <c r="AS234" i="32" s="1"/>
  <c r="AR234" i="32"/>
  <c r="AQ234" i="32"/>
  <c r="AP234" i="32"/>
  <c r="AO234" i="32"/>
  <c r="AW52" i="32"/>
  <c r="AT52" i="32" s="1"/>
  <c r="AR52" i="32"/>
  <c r="AQ52" i="32"/>
  <c r="AP52" i="32"/>
  <c r="AO52" i="32"/>
  <c r="AW198" i="32"/>
  <c r="AU198" i="32" s="1"/>
  <c r="AR198" i="32"/>
  <c r="AQ198" i="32"/>
  <c r="AP198" i="32"/>
  <c r="AO198" i="32"/>
  <c r="AW197" i="32"/>
  <c r="AU197" i="32" s="1"/>
  <c r="AR197" i="32"/>
  <c r="AQ197" i="32"/>
  <c r="AP197" i="32"/>
  <c r="AO197" i="32"/>
  <c r="AW201" i="32"/>
  <c r="AR201" i="32"/>
  <c r="AQ201" i="32"/>
  <c r="AP201" i="32"/>
  <c r="AO201" i="32"/>
  <c r="AW233" i="32"/>
  <c r="AU233" i="32" s="1"/>
  <c r="AR233" i="32"/>
  <c r="AQ233" i="32"/>
  <c r="AP233" i="32"/>
  <c r="AO233" i="32"/>
  <c r="AW192" i="32"/>
  <c r="AR192" i="32"/>
  <c r="AQ192" i="32"/>
  <c r="AP192" i="32"/>
  <c r="AO192" i="32"/>
  <c r="AW51" i="32"/>
  <c r="AR51" i="32"/>
  <c r="AQ51" i="32"/>
  <c r="AP51" i="32"/>
  <c r="AO51" i="32"/>
  <c r="AW186" i="32"/>
  <c r="AV186" i="32" s="1"/>
  <c r="AR186" i="32"/>
  <c r="AQ186" i="32"/>
  <c r="AP186" i="32"/>
  <c r="AO186" i="32"/>
  <c r="AW232" i="32"/>
  <c r="AT232" i="32" s="1"/>
  <c r="AR232" i="32"/>
  <c r="AQ232" i="32"/>
  <c r="AP232" i="32"/>
  <c r="AO232" i="32"/>
  <c r="AW231" i="32"/>
  <c r="AU231" i="32" s="1"/>
  <c r="AR231" i="32"/>
  <c r="AQ231" i="32"/>
  <c r="AP231" i="32"/>
  <c r="AO231" i="32"/>
  <c r="AW188" i="32"/>
  <c r="AR188" i="32"/>
  <c r="AQ188" i="32"/>
  <c r="AP188" i="32"/>
  <c r="AO188" i="32"/>
  <c r="AW50" i="32"/>
  <c r="AR50" i="32"/>
  <c r="AQ50" i="32"/>
  <c r="AP50" i="32"/>
  <c r="AO50" i="32"/>
  <c r="AW49" i="32"/>
  <c r="AV49" i="32" s="1"/>
  <c r="AR49" i="32"/>
  <c r="AQ49" i="32"/>
  <c r="AP49" i="32"/>
  <c r="AO49" i="32"/>
  <c r="AW230" i="32"/>
  <c r="AR230" i="32"/>
  <c r="AQ230" i="32"/>
  <c r="AP230" i="32"/>
  <c r="AO230" i="32"/>
  <c r="AW229" i="32"/>
  <c r="AV229" i="32" s="1"/>
  <c r="AR229" i="32"/>
  <c r="AQ229" i="32"/>
  <c r="AP229" i="32"/>
  <c r="AO229" i="32"/>
  <c r="AW208" i="32"/>
  <c r="AV208" i="32" s="1"/>
  <c r="AR208" i="32"/>
  <c r="AQ208" i="32"/>
  <c r="AP208" i="32"/>
  <c r="AO208" i="32"/>
  <c r="AW48" i="32"/>
  <c r="AT48" i="32" s="1"/>
  <c r="AR48" i="32"/>
  <c r="AQ48" i="32"/>
  <c r="AP48" i="32"/>
  <c r="AO48" i="32"/>
  <c r="AW47" i="32"/>
  <c r="AU47" i="32" s="1"/>
  <c r="AR47" i="32"/>
  <c r="AQ47" i="32"/>
  <c r="AP47" i="32"/>
  <c r="AO47" i="32"/>
  <c r="AW195" i="32"/>
  <c r="AR195" i="32"/>
  <c r="AQ195" i="32"/>
  <c r="AP195" i="32"/>
  <c r="AO195" i="32"/>
  <c r="AW202" i="32"/>
  <c r="AR202" i="32"/>
  <c r="AQ202" i="32"/>
  <c r="AP202" i="32"/>
  <c r="AO202" i="32"/>
  <c r="AW189" i="32"/>
  <c r="AR189" i="32"/>
  <c r="AQ189" i="32"/>
  <c r="AP189" i="32"/>
  <c r="AO189" i="32"/>
  <c r="AW46" i="32"/>
  <c r="AR46" i="32"/>
  <c r="AQ46" i="32"/>
  <c r="AP46" i="32"/>
  <c r="AO46" i="32"/>
  <c r="AW199" i="32"/>
  <c r="AV199" i="32" s="1"/>
  <c r="AR199" i="32"/>
  <c r="AQ199" i="32"/>
  <c r="AP199" i="32"/>
  <c r="AO199" i="32"/>
  <c r="AW228" i="32"/>
  <c r="AV228" i="32" s="1"/>
  <c r="AR228" i="32"/>
  <c r="AQ228" i="32"/>
  <c r="AP228" i="32"/>
  <c r="AO228" i="32"/>
  <c r="AW227" i="32"/>
  <c r="AT227" i="32" s="1"/>
  <c r="AR227" i="32"/>
  <c r="AQ227" i="32"/>
  <c r="AP227" i="32"/>
  <c r="AO227" i="32"/>
  <c r="AW45" i="32"/>
  <c r="AU45" i="32" s="1"/>
  <c r="AR45" i="32"/>
  <c r="AQ45" i="32"/>
  <c r="AP45" i="32"/>
  <c r="AO45" i="32"/>
  <c r="AW44" i="32"/>
  <c r="AS44" i="32" s="1"/>
  <c r="AR44" i="32"/>
  <c r="AQ44" i="32"/>
  <c r="AP44" i="32"/>
  <c r="AO44" i="32"/>
  <c r="AW185" i="32"/>
  <c r="AR185" i="32"/>
  <c r="AQ185" i="32"/>
  <c r="AP185" i="32"/>
  <c r="AO185" i="32"/>
  <c r="AW43" i="32"/>
  <c r="AV43" i="32" s="1"/>
  <c r="AR43" i="32"/>
  <c r="AQ43" i="32"/>
  <c r="AP43" i="32"/>
  <c r="AO43" i="32"/>
  <c r="AW42" i="32"/>
  <c r="AR42" i="32"/>
  <c r="AQ42" i="32"/>
  <c r="AP42" i="32"/>
  <c r="AO42" i="32"/>
  <c r="AW226" i="32"/>
  <c r="AV226" i="32" s="1"/>
  <c r="AR226" i="32"/>
  <c r="AQ226" i="32"/>
  <c r="AP226" i="32"/>
  <c r="AO226" i="32"/>
  <c r="AW190" i="32"/>
  <c r="AS190" i="32" s="1"/>
  <c r="AR190" i="32"/>
  <c r="AQ190" i="32"/>
  <c r="AP190" i="32"/>
  <c r="AO190" i="32"/>
  <c r="AW225" i="32"/>
  <c r="AT225" i="32" s="1"/>
  <c r="AR225" i="32"/>
  <c r="AQ225" i="32"/>
  <c r="AP225" i="32"/>
  <c r="AO225" i="32"/>
  <c r="AW41" i="32"/>
  <c r="AU41" i="32" s="1"/>
  <c r="AR41" i="32"/>
  <c r="AQ41" i="32"/>
  <c r="AP41" i="32"/>
  <c r="AO41" i="32"/>
  <c r="AW40" i="32"/>
  <c r="AU40" i="32" s="1"/>
  <c r="AR40" i="32"/>
  <c r="AQ40" i="32"/>
  <c r="AP40" i="32"/>
  <c r="AO40" i="32"/>
  <c r="AW39" i="32"/>
  <c r="AV39" i="32" s="1"/>
  <c r="AR39" i="32"/>
  <c r="AQ39" i="32"/>
  <c r="AP39" i="32"/>
  <c r="AO39" i="32"/>
  <c r="AW38" i="32"/>
  <c r="AT38" i="32" s="1"/>
  <c r="AR38" i="32"/>
  <c r="AQ38" i="32"/>
  <c r="AP38" i="32"/>
  <c r="AO38" i="32"/>
  <c r="AW224" i="32"/>
  <c r="AV224" i="32" s="1"/>
  <c r="AR224" i="32"/>
  <c r="AQ224" i="32"/>
  <c r="AP224" i="32"/>
  <c r="AO224" i="32"/>
  <c r="AW223" i="32"/>
  <c r="AU223" i="32" s="1"/>
  <c r="AR223" i="32"/>
  <c r="AQ223" i="32"/>
  <c r="AP223" i="32"/>
  <c r="AO223" i="32"/>
  <c r="AW37" i="32"/>
  <c r="AT37" i="32" s="1"/>
  <c r="AR37" i="32"/>
  <c r="AQ37" i="32"/>
  <c r="AP37" i="32"/>
  <c r="AO37" i="32"/>
  <c r="AW191" i="32"/>
  <c r="AT191" i="32" s="1"/>
  <c r="AR191" i="32"/>
  <c r="AQ191" i="32"/>
  <c r="AP191" i="32"/>
  <c r="AO191" i="32"/>
  <c r="AW36" i="32"/>
  <c r="AU36" i="32" s="1"/>
  <c r="AR36" i="32"/>
  <c r="AQ36" i="32"/>
  <c r="AP36" i="32"/>
  <c r="AO36" i="32"/>
  <c r="AW35" i="32"/>
  <c r="AU35" i="32" s="1"/>
  <c r="AR35" i="32"/>
  <c r="AQ35" i="32"/>
  <c r="AP35" i="32"/>
  <c r="AO35" i="32"/>
  <c r="AW34" i="32"/>
  <c r="AV34" i="32" s="1"/>
  <c r="AR34" i="32"/>
  <c r="AQ34" i="32"/>
  <c r="AP34" i="32"/>
  <c r="AO34" i="32"/>
  <c r="AW222" i="32"/>
  <c r="AS222" i="32" s="1"/>
  <c r="AR222" i="32"/>
  <c r="AQ222" i="32"/>
  <c r="AP222" i="32"/>
  <c r="AO222" i="32"/>
  <c r="AW221" i="32"/>
  <c r="AV221" i="32" s="1"/>
  <c r="AR221" i="32"/>
  <c r="AQ221" i="32"/>
  <c r="AP221" i="32"/>
  <c r="AO221" i="32"/>
  <c r="AW33" i="32"/>
  <c r="AV33" i="32" s="1"/>
  <c r="AR33" i="32"/>
  <c r="AQ33" i="32"/>
  <c r="AP33" i="32"/>
  <c r="AO33" i="32"/>
  <c r="AW32" i="32"/>
  <c r="AV32" i="32" s="1"/>
  <c r="AR32" i="32"/>
  <c r="AQ32" i="32"/>
  <c r="AP32" i="32"/>
  <c r="AO32" i="32"/>
  <c r="AW200" i="32"/>
  <c r="AT200" i="32" s="1"/>
  <c r="AR200" i="32"/>
  <c r="AQ200" i="32"/>
  <c r="AP200" i="32"/>
  <c r="AO200" i="32"/>
  <c r="AW30" i="32"/>
  <c r="AU30" i="32" s="1"/>
  <c r="AR30" i="32"/>
  <c r="AQ30" i="32"/>
  <c r="AP30" i="32"/>
  <c r="AO30" i="32"/>
  <c r="AW220" i="32"/>
  <c r="AU220" i="32" s="1"/>
  <c r="AR220" i="32"/>
  <c r="AQ220" i="32"/>
  <c r="AP220" i="32"/>
  <c r="AO220" i="32"/>
  <c r="AW29" i="32"/>
  <c r="AV29" i="32" s="1"/>
  <c r="AR29" i="32"/>
  <c r="AQ29" i="32"/>
  <c r="AP29" i="32"/>
  <c r="AO29" i="32"/>
  <c r="AW204" i="32"/>
  <c r="AU204" i="32" s="1"/>
  <c r="AR204" i="32"/>
  <c r="AQ204" i="32"/>
  <c r="AP204" i="32"/>
  <c r="AO204" i="32"/>
  <c r="AW28" i="32"/>
  <c r="AV28" i="32" s="1"/>
  <c r="AR28" i="32"/>
  <c r="AQ28" i="32"/>
  <c r="AP28" i="32"/>
  <c r="AO28" i="32"/>
  <c r="AW219" i="32"/>
  <c r="AV219" i="32" s="1"/>
  <c r="AR219" i="32"/>
  <c r="AQ219" i="32"/>
  <c r="AP219" i="32"/>
  <c r="AO219" i="32"/>
  <c r="AW27" i="32"/>
  <c r="AV27" i="32" s="1"/>
  <c r="AR27" i="32"/>
  <c r="AQ27" i="32"/>
  <c r="AP27" i="32"/>
  <c r="AO27" i="32"/>
  <c r="AW26" i="32"/>
  <c r="AT26" i="32" s="1"/>
  <c r="AR26" i="32"/>
  <c r="AQ26" i="32"/>
  <c r="AP26" i="32"/>
  <c r="AO26" i="32"/>
  <c r="AW25" i="32"/>
  <c r="AU25" i="32" s="1"/>
  <c r="AR25" i="32"/>
  <c r="AQ25" i="32"/>
  <c r="AP25" i="32"/>
  <c r="AO25" i="32"/>
  <c r="AW24" i="32"/>
  <c r="AU24" i="32" s="1"/>
  <c r="AR24" i="32"/>
  <c r="AQ24" i="32"/>
  <c r="AP24" i="32"/>
  <c r="AO24" i="32"/>
  <c r="AW23" i="32"/>
  <c r="AV23" i="32" s="1"/>
  <c r="AR23" i="32"/>
  <c r="AQ23" i="32"/>
  <c r="AP23" i="32"/>
  <c r="AO23" i="32"/>
  <c r="AW218" i="32"/>
  <c r="AS218" i="32" s="1"/>
  <c r="AR218" i="32"/>
  <c r="AQ218" i="32"/>
  <c r="AP218" i="32"/>
  <c r="AO218" i="32"/>
  <c r="AW93" i="32"/>
  <c r="AV93" i="32" s="1"/>
  <c r="AR93" i="32"/>
  <c r="AQ93" i="32"/>
  <c r="AP93" i="32"/>
  <c r="AO93" i="32"/>
  <c r="AW21" i="32"/>
  <c r="AV21" i="32" s="1"/>
  <c r="AR21" i="32"/>
  <c r="AQ21" i="32"/>
  <c r="AP21" i="32"/>
  <c r="AO21" i="32"/>
  <c r="AW20" i="32"/>
  <c r="AV20" i="32" s="1"/>
  <c r="AR20" i="32"/>
  <c r="AQ20" i="32"/>
  <c r="AP20" i="32"/>
  <c r="AO20" i="32"/>
  <c r="AW19" i="32"/>
  <c r="AT19" i="32" s="1"/>
  <c r="AR19" i="32"/>
  <c r="AQ19" i="32"/>
  <c r="AP19" i="32"/>
  <c r="AO19" i="32"/>
  <c r="AW18" i="32"/>
  <c r="AU18" i="32" s="1"/>
  <c r="AR18" i="32"/>
  <c r="AQ18" i="32"/>
  <c r="AP18" i="32"/>
  <c r="AO18" i="32"/>
  <c r="X23" i="54"/>
  <c r="T38" i="54"/>
  <c r="T34" i="54"/>
  <c r="T31" i="54"/>
  <c r="T30" i="54"/>
  <c r="T29" i="54"/>
  <c r="T28" i="54"/>
  <c r="T26" i="54"/>
  <c r="T25" i="54"/>
  <c r="T24" i="54"/>
  <c r="T21" i="54"/>
  <c r="T20" i="54"/>
  <c r="T19" i="54"/>
  <c r="T17" i="54"/>
  <c r="T16" i="54"/>
  <c r="T15" i="54"/>
  <c r="L57" i="54"/>
  <c r="G57" i="54"/>
  <c r="F57" i="54"/>
  <c r="E57" i="54"/>
  <c r="D57" i="54"/>
  <c r="C57" i="54"/>
  <c r="G72" i="54"/>
  <c r="F72" i="54"/>
  <c r="E72" i="54"/>
  <c r="D72" i="54"/>
  <c r="L87" i="54"/>
  <c r="L86" i="54"/>
  <c r="G87" i="54"/>
  <c r="F87" i="54"/>
  <c r="E87" i="54"/>
  <c r="D87" i="54"/>
  <c r="C87" i="54"/>
  <c r="G86" i="54"/>
  <c r="F86" i="54"/>
  <c r="E86" i="54"/>
  <c r="D86" i="54"/>
  <c r="C86" i="54"/>
  <c r="L96" i="54"/>
  <c r="L93" i="54"/>
  <c r="L92" i="54"/>
  <c r="G96" i="54"/>
  <c r="F96" i="54"/>
  <c r="E96" i="54"/>
  <c r="D96" i="54"/>
  <c r="C96" i="54"/>
  <c r="G93" i="54"/>
  <c r="F93" i="54"/>
  <c r="E93" i="54"/>
  <c r="D93" i="54"/>
  <c r="C93" i="54"/>
  <c r="G92" i="54"/>
  <c r="F92" i="54"/>
  <c r="E92" i="54"/>
  <c r="D92" i="54"/>
  <c r="C92" i="54"/>
  <c r="L109" i="54"/>
  <c r="L108" i="54"/>
  <c r="L107" i="54"/>
  <c r="L106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72" i="54"/>
  <c r="C72" i="54"/>
  <c r="Z20" i="49"/>
  <c r="AA20" i="49" s="1" a="1"/>
  <c r="AA20" i="49" s="1"/>
  <c r="AW215" i="32" s="1"/>
  <c r="AR215" i="32"/>
  <c r="AQ215" i="32"/>
  <c r="AS331" i="32" l="1"/>
  <c r="AV332" i="32"/>
  <c r="AU332" i="32"/>
  <c r="AT332" i="32"/>
  <c r="AV331" i="32"/>
  <c r="AU331" i="32"/>
  <c r="AT330" i="32"/>
  <c r="AU330" i="32"/>
  <c r="AV330" i="32"/>
  <c r="AS327" i="32"/>
  <c r="AT327" i="32"/>
  <c r="AU327" i="32"/>
  <c r="AS329" i="32"/>
  <c r="AT329" i="32"/>
  <c r="AU329" i="32"/>
  <c r="T33" i="54"/>
  <c r="E56" i="54"/>
  <c r="G56" i="54"/>
  <c r="C56" i="54"/>
  <c r="F56" i="54"/>
  <c r="AU325" i="32"/>
  <c r="T32" i="54"/>
  <c r="L56" i="54"/>
  <c r="T37" i="54"/>
  <c r="D56" i="54"/>
  <c r="AT325" i="32"/>
  <c r="AS326" i="32"/>
  <c r="AT326" i="32"/>
  <c r="AU326" i="32"/>
  <c r="AS325" i="32"/>
  <c r="AS178" i="32"/>
  <c r="AT178" i="32"/>
  <c r="AU178" i="32"/>
  <c r="AV178" i="32"/>
  <c r="L74" i="54"/>
  <c r="L60" i="54"/>
  <c r="G60" i="54"/>
  <c r="L55" i="54"/>
  <c r="C60" i="54"/>
  <c r="E60" i="54"/>
  <c r="F60" i="54"/>
  <c r="D60" i="54"/>
  <c r="T35" i="54"/>
  <c r="T23" i="54"/>
  <c r="E55" i="54"/>
  <c r="C95" i="54"/>
  <c r="C55" i="54"/>
  <c r="D55" i="54"/>
  <c r="F55" i="54"/>
  <c r="G55" i="54"/>
  <c r="L59" i="54"/>
  <c r="F59" i="54"/>
  <c r="D59" i="54"/>
  <c r="E59" i="54"/>
  <c r="C59" i="54"/>
  <c r="G59" i="54"/>
  <c r="G74" i="54"/>
  <c r="L105" i="54"/>
  <c r="G95" i="54"/>
  <c r="E105" i="54"/>
  <c r="F74" i="54"/>
  <c r="E95" i="54"/>
  <c r="F95" i="54"/>
  <c r="C74" i="54"/>
  <c r="D74" i="54"/>
  <c r="E74" i="54"/>
  <c r="AS128" i="32"/>
  <c r="AV253" i="32"/>
  <c r="AS174" i="32"/>
  <c r="AT27" i="32"/>
  <c r="AV19" i="32"/>
  <c r="AT20" i="32"/>
  <c r="AT218" i="32"/>
  <c r="AU219" i="32"/>
  <c r="L104" i="54"/>
  <c r="AS2" i="32"/>
  <c r="AT2" i="32"/>
  <c r="T18" i="54"/>
  <c r="L95" i="54"/>
  <c r="AU284" i="32"/>
  <c r="AS301" i="32"/>
  <c r="AV48" i="32"/>
  <c r="AS261" i="32"/>
  <c r="D95" i="54"/>
  <c r="AT113" i="32"/>
  <c r="F105" i="54"/>
  <c r="L73" i="54"/>
  <c r="AV40" i="32"/>
  <c r="AV86" i="32"/>
  <c r="AU2" i="32"/>
  <c r="AU102" i="32"/>
  <c r="AT106" i="32"/>
  <c r="AS135" i="32"/>
  <c r="AS152" i="32"/>
  <c r="AT234" i="32"/>
  <c r="AU91" i="32"/>
  <c r="AT262" i="32"/>
  <c r="AU179" i="32"/>
  <c r="AV267" i="32"/>
  <c r="AU39" i="32"/>
  <c r="AV237" i="32"/>
  <c r="AV60" i="32"/>
  <c r="AT120" i="32"/>
  <c r="AS124" i="32"/>
  <c r="C104" i="54"/>
  <c r="AV204" i="32"/>
  <c r="AS119" i="32"/>
  <c r="AS291" i="32"/>
  <c r="D105" i="54"/>
  <c r="AV257" i="32"/>
  <c r="AV291" i="32"/>
  <c r="AV292" i="32"/>
  <c r="AS295" i="32"/>
  <c r="AU234" i="32"/>
  <c r="AT72" i="32"/>
  <c r="AS163" i="32"/>
  <c r="AS164" i="32"/>
  <c r="AV166" i="32"/>
  <c r="G105" i="54"/>
  <c r="AT23" i="32"/>
  <c r="AV26" i="32"/>
  <c r="AU222" i="32"/>
  <c r="AV234" i="32"/>
  <c r="AV55" i="32"/>
  <c r="AU72" i="32"/>
  <c r="AS102" i="32"/>
  <c r="AS270" i="32"/>
  <c r="G73" i="54"/>
  <c r="AV72" i="32"/>
  <c r="AV245" i="32"/>
  <c r="AT102" i="32"/>
  <c r="AU270" i="32"/>
  <c r="AS100" i="32"/>
  <c r="AS282" i="32"/>
  <c r="AT214" i="32"/>
  <c r="AV174" i="32"/>
  <c r="D104" i="54"/>
  <c r="C105" i="54"/>
  <c r="AV78" i="32"/>
  <c r="AS281" i="32"/>
  <c r="AS130" i="32"/>
  <c r="AT147" i="32"/>
  <c r="AS242" i="32"/>
  <c r="AS109" i="32"/>
  <c r="AS117" i="32"/>
  <c r="AS186" i="32"/>
  <c r="AT242" i="32"/>
  <c r="AV68" i="32"/>
  <c r="AU265" i="32"/>
  <c r="AS179" i="32"/>
  <c r="AT109" i="32"/>
  <c r="AS273" i="32"/>
  <c r="AV275" i="32"/>
  <c r="AV117" i="32"/>
  <c r="AT312" i="32"/>
  <c r="AU20" i="32"/>
  <c r="AU27" i="32"/>
  <c r="AT222" i="32"/>
  <c r="AU34" i="32"/>
  <c r="AS38" i="32"/>
  <c r="AV52" i="32"/>
  <c r="AV71" i="32"/>
  <c r="AT251" i="32"/>
  <c r="AV91" i="32"/>
  <c r="AV265" i="32"/>
  <c r="AT281" i="32"/>
  <c r="AT282" i="32"/>
  <c r="AS127" i="32"/>
  <c r="AS292" i="32"/>
  <c r="AS139" i="32"/>
  <c r="AS13" i="32"/>
  <c r="AS311" i="32"/>
  <c r="AV22" i="32"/>
  <c r="E104" i="54"/>
  <c r="F104" i="54"/>
  <c r="AT186" i="32"/>
  <c r="AS250" i="32"/>
  <c r="AU109" i="32"/>
  <c r="AT100" i="32"/>
  <c r="AV281" i="32"/>
  <c r="AU282" i="32"/>
  <c r="AS9" i="32"/>
  <c r="AT119" i="32"/>
  <c r="AS180" i="32"/>
  <c r="AV127" i="32"/>
  <c r="AT292" i="32"/>
  <c r="AS214" i="32"/>
  <c r="AS147" i="32"/>
  <c r="AS312" i="32"/>
  <c r="G104" i="54"/>
  <c r="C73" i="54"/>
  <c r="AS204" i="32"/>
  <c r="AS221" i="32"/>
  <c r="AV222" i="32"/>
  <c r="AS224" i="32"/>
  <c r="AS228" i="32"/>
  <c r="AV232" i="32"/>
  <c r="AU186" i="32"/>
  <c r="AS64" i="32"/>
  <c r="AV241" i="32"/>
  <c r="AU242" i="32"/>
  <c r="AT250" i="32"/>
  <c r="AT82" i="32"/>
  <c r="AT261" i="32"/>
  <c r="AS269" i="32"/>
  <c r="AU100" i="32"/>
  <c r="AT9" i="32"/>
  <c r="AS319" i="32"/>
  <c r="AS17" i="32"/>
  <c r="AV323" i="32"/>
  <c r="AS175" i="32"/>
  <c r="D73" i="54"/>
  <c r="AU228" i="32"/>
  <c r="AV233" i="32"/>
  <c r="AT64" i="32"/>
  <c r="AV249" i="32"/>
  <c r="AU250" i="32"/>
  <c r="AS258" i="32"/>
  <c r="AV96" i="32"/>
  <c r="AU261" i="32"/>
  <c r="AS268" i="32"/>
  <c r="AT269" i="32"/>
  <c r="AT270" i="32"/>
  <c r="AS111" i="32"/>
  <c r="AS112" i="32"/>
  <c r="AS113" i="32"/>
  <c r="AS6" i="32"/>
  <c r="AV124" i="32"/>
  <c r="AT130" i="32"/>
  <c r="AV175" i="32"/>
  <c r="AS187" i="32"/>
  <c r="E73" i="54"/>
  <c r="AT33" i="32"/>
  <c r="AT226" i="32"/>
  <c r="AV227" i="32"/>
  <c r="AS237" i="32"/>
  <c r="AV63" i="32"/>
  <c r="AU64" i="32"/>
  <c r="AS78" i="32"/>
  <c r="AT258" i="32"/>
  <c r="AT259" i="32"/>
  <c r="AS266" i="32"/>
  <c r="AS267" i="32"/>
  <c r="AT268" i="32"/>
  <c r="AU108" i="32"/>
  <c r="AV269" i="32"/>
  <c r="AS275" i="32"/>
  <c r="AT111" i="32"/>
  <c r="AT5" i="32"/>
  <c r="AT112" i="32"/>
  <c r="AS286" i="32"/>
  <c r="AV130" i="32"/>
  <c r="AS142" i="32"/>
  <c r="AS151" i="32"/>
  <c r="AS14" i="32"/>
  <c r="AS315" i="32"/>
  <c r="AV181" i="32"/>
  <c r="F73" i="54"/>
  <c r="AS24" i="32"/>
  <c r="AS40" i="32"/>
  <c r="AU226" i="32"/>
  <c r="AS208" i="32"/>
  <c r="AT237" i="32"/>
  <c r="AV239" i="32"/>
  <c r="AT78" i="32"/>
  <c r="AS91" i="32"/>
  <c r="AU258" i="32"/>
  <c r="AT266" i="32"/>
  <c r="AT267" i="32"/>
  <c r="AU268" i="32"/>
  <c r="AS274" i="32"/>
  <c r="AT275" i="32"/>
  <c r="AT276" i="32"/>
  <c r="AU111" i="32"/>
  <c r="AS279" i="32"/>
  <c r="AV112" i="32"/>
  <c r="AU113" i="32"/>
  <c r="AT117" i="32"/>
  <c r="AS284" i="32"/>
  <c r="AT286" i="32"/>
  <c r="AS11" i="32"/>
  <c r="AS137" i="32"/>
  <c r="AS143" i="32"/>
  <c r="AS153" i="32"/>
  <c r="AS169" i="32"/>
  <c r="AS115" i="32"/>
  <c r="AT21" i="32"/>
  <c r="AT24" i="32"/>
  <c r="AT219" i="32"/>
  <c r="AS220" i="32"/>
  <c r="AS32" i="32"/>
  <c r="AV35" i="32"/>
  <c r="AS37" i="32"/>
  <c r="AT39" i="32"/>
  <c r="AT40" i="32"/>
  <c r="AU208" i="32"/>
  <c r="AV236" i="32"/>
  <c r="AV77" i="32"/>
  <c r="AT254" i="32"/>
  <c r="AT203" i="32"/>
  <c r="AT265" i="32"/>
  <c r="AV266" i="32"/>
  <c r="AS211" i="32"/>
  <c r="AT274" i="32"/>
  <c r="AU279" i="32"/>
  <c r="AT284" i="32"/>
  <c r="AV286" i="32"/>
  <c r="AT137" i="32"/>
  <c r="AS12" i="32"/>
  <c r="AT143" i="32"/>
  <c r="AS305" i="32"/>
  <c r="AT153" i="32"/>
  <c r="AS155" i="32"/>
  <c r="AU189" i="32"/>
  <c r="AT189" i="32"/>
  <c r="AS93" i="32"/>
  <c r="AU218" i="32"/>
  <c r="AU23" i="32"/>
  <c r="AV24" i="32"/>
  <c r="AT204" i="32"/>
  <c r="AT29" i="32"/>
  <c r="AT220" i="32"/>
  <c r="AS35" i="32"/>
  <c r="AT190" i="32"/>
  <c r="AV46" i="32"/>
  <c r="AS46" i="32"/>
  <c r="AV230" i="32"/>
  <c r="AS230" i="32"/>
  <c r="AU188" i="32"/>
  <c r="AV188" i="32"/>
  <c r="AT188" i="32"/>
  <c r="AS188" i="32"/>
  <c r="AV42" i="32"/>
  <c r="AS42" i="32"/>
  <c r="AS20" i="32"/>
  <c r="AV218" i="32"/>
  <c r="AS27" i="32"/>
  <c r="AS28" i="32"/>
  <c r="AU29" i="32"/>
  <c r="AV220" i="32"/>
  <c r="AT34" i="32"/>
  <c r="AT35" i="32"/>
  <c r="AV38" i="32"/>
  <c r="AU38" i="32"/>
  <c r="AU190" i="32"/>
  <c r="AU44" i="32"/>
  <c r="AV44" i="32"/>
  <c r="AT44" i="32"/>
  <c r="AU195" i="32"/>
  <c r="AV195" i="32"/>
  <c r="AT195" i="32"/>
  <c r="AS195" i="32"/>
  <c r="AV51" i="32"/>
  <c r="AT51" i="32"/>
  <c r="AV201" i="32"/>
  <c r="AU201" i="32"/>
  <c r="AT201" i="32"/>
  <c r="D94" i="54"/>
  <c r="AV225" i="32"/>
  <c r="AV190" i="32"/>
  <c r="AT228" i="32"/>
  <c r="AT199" i="32"/>
  <c r="AT208" i="32"/>
  <c r="AT229" i="32"/>
  <c r="AV53" i="32"/>
  <c r="AT53" i="32"/>
  <c r="AT32" i="32"/>
  <c r="AV185" i="32"/>
  <c r="AU185" i="32"/>
  <c r="AT185" i="32"/>
  <c r="AV50" i="32"/>
  <c r="AU50" i="32"/>
  <c r="AT50" i="32"/>
  <c r="AV200" i="32"/>
  <c r="AU32" i="32"/>
  <c r="AU33" i="32"/>
  <c r="AU37" i="32"/>
  <c r="AV223" i="32"/>
  <c r="AT223" i="32"/>
  <c r="AS43" i="32"/>
  <c r="AV202" i="32"/>
  <c r="AU202" i="32"/>
  <c r="AT202" i="32"/>
  <c r="AV191" i="32"/>
  <c r="AV37" i="32"/>
  <c r="AS189" i="32"/>
  <c r="AU43" i="32"/>
  <c r="AT43" i="32"/>
  <c r="AV189" i="32"/>
  <c r="AU49" i="32"/>
  <c r="AT49" i="32"/>
  <c r="AS49" i="32"/>
  <c r="AV192" i="32"/>
  <c r="AS192" i="32"/>
  <c r="AT58" i="32"/>
  <c r="AT238" i="32"/>
  <c r="AT243" i="32"/>
  <c r="AT73" i="32"/>
  <c r="AT247" i="32"/>
  <c r="AT271" i="32"/>
  <c r="AV274" i="32"/>
  <c r="AT114" i="32"/>
  <c r="AT283" i="32"/>
  <c r="AU176" i="32"/>
  <c r="AS99" i="32"/>
  <c r="AV203" i="32"/>
  <c r="AV179" i="32"/>
  <c r="AU211" i="32"/>
  <c r="AU273" i="32"/>
  <c r="AV279" i="32"/>
  <c r="AU6" i="32"/>
  <c r="AS8" i="32"/>
  <c r="AU118" i="32"/>
  <c r="AV9" i="32"/>
  <c r="AU119" i="32"/>
  <c r="AT124" i="32"/>
  <c r="AT180" i="32"/>
  <c r="AT125" i="32"/>
  <c r="AT127" i="32"/>
  <c r="AT128" i="32"/>
  <c r="AT129" i="32"/>
  <c r="AT291" i="32"/>
  <c r="AT11" i="32"/>
  <c r="AT132" i="32"/>
  <c r="AT135" i="32"/>
  <c r="AT295" i="32"/>
  <c r="AT136" i="32"/>
  <c r="AU137" i="32"/>
  <c r="AT139" i="32"/>
  <c r="AT12" i="32"/>
  <c r="AT140" i="32"/>
  <c r="AU214" i="32"/>
  <c r="AT142" i="32"/>
  <c r="AT301" i="32"/>
  <c r="AT302" i="32"/>
  <c r="AU143" i="32"/>
  <c r="AT13" i="32"/>
  <c r="AT305" i="32"/>
  <c r="AT146" i="32"/>
  <c r="AU147" i="32"/>
  <c r="AT151" i="32"/>
  <c r="AT152" i="32"/>
  <c r="AT307" i="32"/>
  <c r="AU153" i="32"/>
  <c r="AT311" i="32"/>
  <c r="AT155" i="32"/>
  <c r="AT156" i="32"/>
  <c r="AU312" i="32"/>
  <c r="AT14" i="32"/>
  <c r="AS159" i="32"/>
  <c r="AT315" i="32"/>
  <c r="AT163" i="32"/>
  <c r="AS16" i="32"/>
  <c r="AT164" i="32"/>
  <c r="AT319" i="32"/>
  <c r="AS320" i="32"/>
  <c r="AT17" i="32"/>
  <c r="AT169" i="32"/>
  <c r="AS170" i="32"/>
  <c r="AT115" i="32"/>
  <c r="AT175" i="32"/>
  <c r="AS209" i="32"/>
  <c r="AV187" i="32"/>
  <c r="AS233" i="32"/>
  <c r="AS197" i="32"/>
  <c r="AS55" i="32"/>
  <c r="AS56" i="32"/>
  <c r="AS60" i="32"/>
  <c r="AS61" i="32"/>
  <c r="AS239" i="32"/>
  <c r="AS67" i="32"/>
  <c r="AS68" i="32"/>
  <c r="AS207" i="32"/>
  <c r="AS245" i="32"/>
  <c r="AS75" i="32"/>
  <c r="AS80" i="32"/>
  <c r="AS248" i="32"/>
  <c r="AS216" i="32"/>
  <c r="AS84" i="32"/>
  <c r="AS88" i="32"/>
  <c r="AS90" i="32"/>
  <c r="AS255" i="32"/>
  <c r="AS256" i="32"/>
  <c r="AS213" i="32"/>
  <c r="AS95" i="32"/>
  <c r="AS97" i="32"/>
  <c r="AS264" i="32"/>
  <c r="AS98" i="32"/>
  <c r="AV99" i="32"/>
  <c r="AV211" i="32"/>
  <c r="AV273" i="32"/>
  <c r="AV6" i="32"/>
  <c r="AU8" i="32"/>
  <c r="AS285" i="32"/>
  <c r="AU180" i="32"/>
  <c r="AU128" i="32"/>
  <c r="AU11" i="32"/>
  <c r="AV135" i="32"/>
  <c r="AU295" i="32"/>
  <c r="AV139" i="32"/>
  <c r="AU12" i="32"/>
  <c r="AV142" i="32"/>
  <c r="AU301" i="32"/>
  <c r="AV13" i="32"/>
  <c r="AU305" i="32"/>
  <c r="AV151" i="32"/>
  <c r="AU152" i="32"/>
  <c r="AV311" i="32"/>
  <c r="AU155" i="32"/>
  <c r="AU14" i="32"/>
  <c r="AT159" i="32"/>
  <c r="AT160" i="32"/>
  <c r="AV315" i="32"/>
  <c r="AU163" i="32"/>
  <c r="AT16" i="32"/>
  <c r="AT316" i="32"/>
  <c r="AV164" i="32"/>
  <c r="AU319" i="32"/>
  <c r="AT320" i="32"/>
  <c r="AT167" i="32"/>
  <c r="AV17" i="32"/>
  <c r="AU169" i="32"/>
  <c r="AT170" i="32"/>
  <c r="AT31" i="32"/>
  <c r="AV115" i="32"/>
  <c r="AT209" i="32"/>
  <c r="AT324" i="32"/>
  <c r="AT233" i="32"/>
  <c r="AT197" i="32"/>
  <c r="AT55" i="32"/>
  <c r="AT235" i="32"/>
  <c r="AT56" i="32"/>
  <c r="AT60" i="32"/>
  <c r="AT184" i="32"/>
  <c r="AT61" i="32"/>
  <c r="AT239" i="32"/>
  <c r="AT66" i="32"/>
  <c r="AT67" i="32"/>
  <c r="AT68" i="32"/>
  <c r="AT69" i="32"/>
  <c r="AT207" i="32"/>
  <c r="AT245" i="32"/>
  <c r="AT246" i="32"/>
  <c r="AT75" i="32"/>
  <c r="AT80" i="32"/>
  <c r="AT81" i="32"/>
  <c r="AT248" i="32"/>
  <c r="AT216" i="32"/>
  <c r="AT217" i="32"/>
  <c r="AT84" i="32"/>
  <c r="AT88" i="32"/>
  <c r="AT89" i="32"/>
  <c r="AT90" i="32"/>
  <c r="AT255" i="32"/>
  <c r="AT92" i="32"/>
  <c r="AT256" i="32"/>
  <c r="AT213" i="32"/>
  <c r="AT94" i="32"/>
  <c r="AT95" i="32"/>
  <c r="AT97" i="32"/>
  <c r="AT263" i="32"/>
  <c r="AT264" i="32"/>
  <c r="AV98" i="32"/>
  <c r="AV8" i="32"/>
  <c r="AU285" i="32"/>
  <c r="AS10" i="32"/>
  <c r="AS131" i="32"/>
  <c r="AS133" i="32"/>
  <c r="AS296" i="32"/>
  <c r="AS299" i="32"/>
  <c r="AS304" i="32"/>
  <c r="AS150" i="32"/>
  <c r="AS310" i="32"/>
  <c r="AS158" i="32"/>
  <c r="AU159" i="32"/>
  <c r="AS181" i="32"/>
  <c r="AU16" i="32"/>
  <c r="AS166" i="32"/>
  <c r="AU320" i="32"/>
  <c r="AS323" i="32"/>
  <c r="AU170" i="32"/>
  <c r="AU209" i="32"/>
  <c r="AV197" i="32"/>
  <c r="AS54" i="32"/>
  <c r="AU235" i="32"/>
  <c r="AV56" i="32"/>
  <c r="AS59" i="32"/>
  <c r="AU184" i="32"/>
  <c r="AV61" i="32"/>
  <c r="AS65" i="32"/>
  <c r="AU66" i="32"/>
  <c r="AV67" i="32"/>
  <c r="AS244" i="32"/>
  <c r="AU69" i="32"/>
  <c r="AV207" i="32"/>
  <c r="AS74" i="32"/>
  <c r="AU246" i="32"/>
  <c r="AV75" i="32"/>
  <c r="AS79" i="32"/>
  <c r="AU80" i="32"/>
  <c r="AU81" i="32"/>
  <c r="AV248" i="32"/>
  <c r="AS83" i="32"/>
  <c r="AU216" i="32"/>
  <c r="AU217" i="32"/>
  <c r="AV84" i="32"/>
  <c r="AS87" i="32"/>
  <c r="AU88" i="32"/>
  <c r="AU89" i="32"/>
  <c r="AV90" i="32"/>
  <c r="AS3" i="32"/>
  <c r="AU255" i="32"/>
  <c r="AU92" i="32"/>
  <c r="AV256" i="32"/>
  <c r="AS194" i="32"/>
  <c r="AU213" i="32"/>
  <c r="AU94" i="32"/>
  <c r="AV95" i="32"/>
  <c r="AS104" i="32"/>
  <c r="AU97" i="32"/>
  <c r="AU263" i="32"/>
  <c r="AV264" i="32"/>
  <c r="AU171" i="32"/>
  <c r="AV122" i="32"/>
  <c r="AV285" i="32"/>
  <c r="AU10" i="32"/>
  <c r="AU131" i="32"/>
  <c r="AU133" i="32"/>
  <c r="AU296" i="32"/>
  <c r="AU299" i="32"/>
  <c r="AU304" i="32"/>
  <c r="AU150" i="32"/>
  <c r="AU310" i="32"/>
  <c r="AU158" i="32"/>
  <c r="AU181" i="32"/>
  <c r="AU166" i="32"/>
  <c r="AU323" i="32"/>
  <c r="AU174" i="32"/>
  <c r="AU103" i="32"/>
  <c r="AV126" i="32"/>
  <c r="AV10" i="32"/>
  <c r="AV289" i="32"/>
  <c r="AV131" i="32"/>
  <c r="AV294" i="32"/>
  <c r="AV133" i="32"/>
  <c r="AV196" i="32"/>
  <c r="AV296" i="32"/>
  <c r="AV141" i="32"/>
  <c r="AV299" i="32"/>
  <c r="AV144" i="32"/>
  <c r="AV304" i="32"/>
  <c r="AV149" i="32"/>
  <c r="AV150" i="32"/>
  <c r="AV309" i="32"/>
  <c r="AV310" i="32"/>
  <c r="AV157" i="32"/>
  <c r="AV158" i="32"/>
  <c r="AV15" i="32"/>
  <c r="AV165" i="32"/>
  <c r="AV322" i="32"/>
  <c r="AU105" i="32"/>
  <c r="AS105" i="32"/>
  <c r="AU205" i="32"/>
  <c r="AT205" i="32"/>
  <c r="AS205" i="32"/>
  <c r="AV18" i="32"/>
  <c r="AU19" i="32"/>
  <c r="AS21" i="32"/>
  <c r="AV25" i="32"/>
  <c r="AU26" i="32"/>
  <c r="AS219" i="32"/>
  <c r="AV30" i="32"/>
  <c r="AU200" i="32"/>
  <c r="AS33" i="32"/>
  <c r="AV36" i="32"/>
  <c r="AU191" i="32"/>
  <c r="AS223" i="32"/>
  <c r="AV41" i="32"/>
  <c r="AU225" i="32"/>
  <c r="AS226" i="32"/>
  <c r="AV45" i="32"/>
  <c r="AU227" i="32"/>
  <c r="AS199" i="32"/>
  <c r="AV47" i="32"/>
  <c r="AU48" i="32"/>
  <c r="AS229" i="32"/>
  <c r="AV231" i="32"/>
  <c r="AU232" i="32"/>
  <c r="AS51" i="32"/>
  <c r="AV198" i="32"/>
  <c r="AU52" i="32"/>
  <c r="AS53" i="32"/>
  <c r="AV57" i="32"/>
  <c r="AU236" i="32"/>
  <c r="AS58" i="32"/>
  <c r="AV62" i="32"/>
  <c r="AU63" i="32"/>
  <c r="AS238" i="32"/>
  <c r="AV240" i="32"/>
  <c r="AU241" i="32"/>
  <c r="AS243" i="32"/>
  <c r="AV70" i="32"/>
  <c r="AU71" i="32"/>
  <c r="AS73" i="32"/>
  <c r="AV76" i="32"/>
  <c r="AU77" i="32"/>
  <c r="AS247" i="32"/>
  <c r="AV183" i="32"/>
  <c r="AU249" i="32"/>
  <c r="AS82" i="32"/>
  <c r="AV85" i="32"/>
  <c r="AU86" i="32"/>
  <c r="AS251" i="32"/>
  <c r="AV252" i="32"/>
  <c r="AU253" i="32"/>
  <c r="AS254" i="32"/>
  <c r="AV161" i="32"/>
  <c r="AU257" i="32"/>
  <c r="AS259" i="32"/>
  <c r="AV260" i="32"/>
  <c r="AU96" i="32"/>
  <c r="AS262" i="32"/>
  <c r="AV101" i="32"/>
  <c r="AT103" i="32"/>
  <c r="AV105" i="32"/>
  <c r="AS210" i="32"/>
  <c r="AV210" i="32"/>
  <c r="AV205" i="32"/>
  <c r="AS280" i="32"/>
  <c r="AV280" i="32"/>
  <c r="AV212" i="32"/>
  <c r="AU212" i="32"/>
  <c r="AT212" i="32"/>
  <c r="AS212" i="32"/>
  <c r="AV288" i="32"/>
  <c r="AU288" i="32"/>
  <c r="AT288" i="32"/>
  <c r="AS288" i="32"/>
  <c r="AU21" i="32"/>
  <c r="AT93" i="32"/>
  <c r="AT28" i="32"/>
  <c r="AT221" i="32"/>
  <c r="AT224" i="32"/>
  <c r="AT42" i="32"/>
  <c r="AU199" i="32"/>
  <c r="AT46" i="32"/>
  <c r="AU229" i="32"/>
  <c r="AT230" i="32"/>
  <c r="AU51" i="32"/>
  <c r="AT192" i="32"/>
  <c r="AU53" i="32"/>
  <c r="AT54" i="32"/>
  <c r="AU58" i="32"/>
  <c r="AT59" i="32"/>
  <c r="AU238" i="32"/>
  <c r="AT65" i="32"/>
  <c r="AU243" i="32"/>
  <c r="AT244" i="32"/>
  <c r="AU73" i="32"/>
  <c r="AT74" i="32"/>
  <c r="AU247" i="32"/>
  <c r="AT79" i="32"/>
  <c r="AU82" i="32"/>
  <c r="AT83" i="32"/>
  <c r="AU251" i="32"/>
  <c r="AT87" i="32"/>
  <c r="AU254" i="32"/>
  <c r="AT3" i="32"/>
  <c r="AU259" i="32"/>
  <c r="AT194" i="32"/>
  <c r="AU262" i="32"/>
  <c r="AT104" i="32"/>
  <c r="AV171" i="32"/>
  <c r="AT171" i="32"/>
  <c r="AS108" i="32"/>
  <c r="AV108" i="32"/>
  <c r="AT110" i="32"/>
  <c r="AS118" i="32"/>
  <c r="AV118" i="32"/>
  <c r="AU93" i="32"/>
  <c r="AS23" i="32"/>
  <c r="AU28" i="32"/>
  <c r="AS29" i="32"/>
  <c r="AU221" i="32"/>
  <c r="AS34" i="32"/>
  <c r="AU224" i="32"/>
  <c r="AS39" i="32"/>
  <c r="AU42" i="32"/>
  <c r="AS185" i="32"/>
  <c r="AU46" i="32"/>
  <c r="AS202" i="32"/>
  <c r="AU230" i="32"/>
  <c r="AS50" i="32"/>
  <c r="AU192" i="32"/>
  <c r="AS201" i="32"/>
  <c r="AU54" i="32"/>
  <c r="AS235" i="32"/>
  <c r="AU59" i="32"/>
  <c r="AS184" i="32"/>
  <c r="AU65" i="32"/>
  <c r="AS66" i="32"/>
  <c r="AU244" i="32"/>
  <c r="AS69" i="32"/>
  <c r="AU74" i="32"/>
  <c r="AS246" i="32"/>
  <c r="AU79" i="32"/>
  <c r="AS81" i="32"/>
  <c r="AU83" i="32"/>
  <c r="AS217" i="32"/>
  <c r="AU87" i="32"/>
  <c r="AS89" i="32"/>
  <c r="AU3" i="32"/>
  <c r="AS92" i="32"/>
  <c r="AU194" i="32"/>
  <c r="AS94" i="32"/>
  <c r="AU104" i="32"/>
  <c r="AS263" i="32"/>
  <c r="AU4" i="32"/>
  <c r="AT4" i="32"/>
  <c r="AS4" i="32"/>
  <c r="AV116" i="32"/>
  <c r="AU116" i="32"/>
  <c r="AT116" i="32"/>
  <c r="AS116" i="32"/>
  <c r="AU206" i="32"/>
  <c r="AT206" i="32"/>
  <c r="AS206" i="32"/>
  <c r="AU123" i="32"/>
  <c r="AS123" i="32"/>
  <c r="AV123" i="32"/>
  <c r="AV277" i="32"/>
  <c r="AU277" i="32"/>
  <c r="AT277" i="32"/>
  <c r="AS277" i="32"/>
  <c r="AS110" i="32"/>
  <c r="AV110" i="32"/>
  <c r="AU287" i="32"/>
  <c r="AS287" i="32"/>
  <c r="AV287" i="32"/>
  <c r="T27" i="54"/>
  <c r="AS18" i="32"/>
  <c r="AS25" i="32"/>
  <c r="AS30" i="32"/>
  <c r="AS36" i="32"/>
  <c r="AS41" i="32"/>
  <c r="AS45" i="32"/>
  <c r="AS47" i="32"/>
  <c r="AS231" i="32"/>
  <c r="AS198" i="32"/>
  <c r="AS57" i="32"/>
  <c r="AS62" i="32"/>
  <c r="AS240" i="32"/>
  <c r="AS70" i="32"/>
  <c r="AS76" i="32"/>
  <c r="AS183" i="32"/>
  <c r="AS85" i="32"/>
  <c r="AS252" i="32"/>
  <c r="AS161" i="32"/>
  <c r="AS260" i="32"/>
  <c r="AS101" i="32"/>
  <c r="AV107" i="32"/>
  <c r="AU107" i="32"/>
  <c r="AT107" i="32"/>
  <c r="AS107" i="32"/>
  <c r="AU182" i="32"/>
  <c r="AT182" i="32"/>
  <c r="AS182" i="32"/>
  <c r="AV7" i="32"/>
  <c r="AU7" i="32"/>
  <c r="AT7" i="32"/>
  <c r="AS7" i="32"/>
  <c r="AU290" i="32"/>
  <c r="AS290" i="32"/>
  <c r="AV290" i="32"/>
  <c r="AU134" i="32"/>
  <c r="AT134" i="32"/>
  <c r="AS134" i="32"/>
  <c r="AV134" i="32"/>
  <c r="AU297" i="32"/>
  <c r="AT297" i="32"/>
  <c r="AS297" i="32"/>
  <c r="AV297" i="32"/>
  <c r="AU300" i="32"/>
  <c r="AT300" i="32"/>
  <c r="AS300" i="32"/>
  <c r="AV300" i="32"/>
  <c r="AU145" i="32"/>
  <c r="AT145" i="32"/>
  <c r="AS145" i="32"/>
  <c r="AV145" i="32"/>
  <c r="AU306" i="32"/>
  <c r="AT306" i="32"/>
  <c r="AS306" i="32"/>
  <c r="AV306" i="32"/>
  <c r="AU154" i="32"/>
  <c r="AT154" i="32"/>
  <c r="AS154" i="32"/>
  <c r="AV154" i="32"/>
  <c r="AU314" i="32"/>
  <c r="AT314" i="32"/>
  <c r="AS314" i="32"/>
  <c r="AV314" i="32"/>
  <c r="AU162" i="32"/>
  <c r="AT162" i="32"/>
  <c r="AS162" i="32"/>
  <c r="AV162" i="32"/>
  <c r="AU318" i="32"/>
  <c r="AT318" i="32"/>
  <c r="AS318" i="32"/>
  <c r="AV318" i="32"/>
  <c r="AU168" i="32"/>
  <c r="AT168" i="32"/>
  <c r="AS168" i="32"/>
  <c r="AV168" i="32"/>
  <c r="AU193" i="32"/>
  <c r="AT193" i="32"/>
  <c r="AS193" i="32"/>
  <c r="AV193" i="32"/>
  <c r="AT18" i="32"/>
  <c r="AS19" i="32"/>
  <c r="AT25" i="32"/>
  <c r="AS26" i="32"/>
  <c r="AT30" i="32"/>
  <c r="AS200" i="32"/>
  <c r="AT36" i="32"/>
  <c r="AS191" i="32"/>
  <c r="AT41" i="32"/>
  <c r="AS225" i="32"/>
  <c r="AT45" i="32"/>
  <c r="AS227" i="32"/>
  <c r="AT47" i="32"/>
  <c r="AS48" i="32"/>
  <c r="AT231" i="32"/>
  <c r="AS232" i="32"/>
  <c r="AT198" i="32"/>
  <c r="AS52" i="32"/>
  <c r="AT57" i="32"/>
  <c r="AS236" i="32"/>
  <c r="AT62" i="32"/>
  <c r="AS63" i="32"/>
  <c r="AT240" i="32"/>
  <c r="AS241" i="32"/>
  <c r="AT70" i="32"/>
  <c r="AS71" i="32"/>
  <c r="AT76" i="32"/>
  <c r="AS77" i="32"/>
  <c r="AT183" i="32"/>
  <c r="AS249" i="32"/>
  <c r="AT85" i="32"/>
  <c r="AS86" i="32"/>
  <c r="AT252" i="32"/>
  <c r="AS253" i="32"/>
  <c r="AT161" i="32"/>
  <c r="AS257" i="32"/>
  <c r="AT260" i="32"/>
  <c r="AS96" i="32"/>
  <c r="AT98" i="32"/>
  <c r="AU99" i="32"/>
  <c r="AU203" i="32"/>
  <c r="AT101" i="32"/>
  <c r="AT210" i="32"/>
  <c r="AS5" i="32"/>
  <c r="AV5" i="32"/>
  <c r="AT280" i="32"/>
  <c r="G46" i="54"/>
  <c r="L94" i="54"/>
  <c r="AS103" i="32"/>
  <c r="AT105" i="32"/>
  <c r="AV272" i="32"/>
  <c r="AU272" i="32"/>
  <c r="AT272" i="32"/>
  <c r="AS272" i="32"/>
  <c r="AU278" i="32"/>
  <c r="AT278" i="32"/>
  <c r="AS278" i="32"/>
  <c r="AV121" i="32"/>
  <c r="AU121" i="32"/>
  <c r="AT121" i="32"/>
  <c r="AS121" i="32"/>
  <c r="AS106" i="32"/>
  <c r="AS271" i="32"/>
  <c r="AS276" i="32"/>
  <c r="AS114" i="32"/>
  <c r="AS283" i="32"/>
  <c r="AS120" i="32"/>
  <c r="AS125" i="32"/>
  <c r="AS129" i="32"/>
  <c r="AS132" i="32"/>
  <c r="AS136" i="32"/>
  <c r="AS140" i="32"/>
  <c r="AS302" i="32"/>
  <c r="AS146" i="32"/>
  <c r="AS307" i="32"/>
  <c r="AS156" i="32"/>
  <c r="AS160" i="32"/>
  <c r="AS316" i="32"/>
  <c r="AS167" i="32"/>
  <c r="AS31" i="32"/>
  <c r="AS324" i="32"/>
  <c r="AU106" i="32"/>
  <c r="AU271" i="32"/>
  <c r="AU276" i="32"/>
  <c r="AU114" i="32"/>
  <c r="AU283" i="32"/>
  <c r="AU120" i="32"/>
  <c r="AU125" i="32"/>
  <c r="AU129" i="32"/>
  <c r="AU132" i="32"/>
  <c r="AS293" i="32"/>
  <c r="AU136" i="32"/>
  <c r="AS138" i="32"/>
  <c r="AU140" i="32"/>
  <c r="AS298" i="32"/>
  <c r="AU302" i="32"/>
  <c r="AS303" i="32"/>
  <c r="AU146" i="32"/>
  <c r="AS148" i="32"/>
  <c r="AU307" i="32"/>
  <c r="AS308" i="32"/>
  <c r="AU156" i="32"/>
  <c r="AS313" i="32"/>
  <c r="AU160" i="32"/>
  <c r="AS173" i="32"/>
  <c r="AU316" i="32"/>
  <c r="AS317" i="32"/>
  <c r="AU167" i="32"/>
  <c r="AS321" i="32"/>
  <c r="AU31" i="32"/>
  <c r="AS172" i="32"/>
  <c r="AU324" i="32"/>
  <c r="AT187" i="32"/>
  <c r="AS176" i="32"/>
  <c r="AS122" i="32"/>
  <c r="AS126" i="32"/>
  <c r="AS289" i="32"/>
  <c r="AT293" i="32"/>
  <c r="AS294" i="32"/>
  <c r="AT138" i="32"/>
  <c r="AS196" i="32"/>
  <c r="AT298" i="32"/>
  <c r="AS141" i="32"/>
  <c r="AT303" i="32"/>
  <c r="AS144" i="32"/>
  <c r="AT148" i="32"/>
  <c r="AS149" i="32"/>
  <c r="AT308" i="32"/>
  <c r="AS309" i="32"/>
  <c r="AT313" i="32"/>
  <c r="AS157" i="32"/>
  <c r="AT173" i="32"/>
  <c r="AS15" i="32"/>
  <c r="AT317" i="32"/>
  <c r="AS165" i="32"/>
  <c r="AT321" i="32"/>
  <c r="AS322" i="32"/>
  <c r="AT172" i="32"/>
  <c r="AS22" i="32"/>
  <c r="AT176" i="32"/>
  <c r="AS177" i="32"/>
  <c r="AT122" i="32"/>
  <c r="AT126" i="32"/>
  <c r="AT289" i="32"/>
  <c r="AU293" i="32"/>
  <c r="AT294" i="32"/>
  <c r="AU138" i="32"/>
  <c r="AT196" i="32"/>
  <c r="AU298" i="32"/>
  <c r="AT141" i="32"/>
  <c r="AU303" i="32"/>
  <c r="AT144" i="32"/>
  <c r="AU148" i="32"/>
  <c r="AT149" i="32"/>
  <c r="AU308" i="32"/>
  <c r="AT309" i="32"/>
  <c r="AU313" i="32"/>
  <c r="AT157" i="32"/>
  <c r="AU173" i="32"/>
  <c r="AT15" i="32"/>
  <c r="AU317" i="32"/>
  <c r="AT165" i="32"/>
  <c r="AU321" i="32"/>
  <c r="AT322" i="32"/>
  <c r="AU172" i="32"/>
  <c r="AT22" i="32"/>
  <c r="AT177" i="32"/>
  <c r="AU177" i="32"/>
  <c r="G85" i="54"/>
  <c r="F85" i="54"/>
  <c r="E85" i="54"/>
  <c r="G91" i="54"/>
  <c r="D85" i="54"/>
  <c r="F91" i="54"/>
  <c r="C91" i="54"/>
  <c r="E91" i="54"/>
  <c r="D91" i="54"/>
  <c r="C85" i="54"/>
  <c r="C49" i="54"/>
  <c r="L91" i="54"/>
  <c r="T14" i="54"/>
  <c r="L85" i="54"/>
  <c r="T22" i="54"/>
  <c r="G58" i="54"/>
  <c r="F58" i="54"/>
  <c r="E58" i="54"/>
  <c r="D58" i="54"/>
  <c r="C58" i="54"/>
  <c r="G94" i="54"/>
  <c r="F94" i="54"/>
  <c r="E94" i="54"/>
  <c r="C94" i="54"/>
  <c r="X22" i="54"/>
  <c r="L58" i="54"/>
  <c r="L103" i="54"/>
  <c r="C46" i="54"/>
  <c r="D46" i="54"/>
  <c r="E46" i="54"/>
  <c r="T36" i="54"/>
  <c r="F46" i="54"/>
  <c r="AV215" i="32"/>
  <c r="AT215" i="32"/>
  <c r="AU215" i="32"/>
  <c r="AS215" i="32"/>
  <c r="H109" i="54"/>
  <c r="H108" i="54"/>
  <c r="K2" i="49" a="1"/>
  <c r="K2" i="49" s="1"/>
  <c r="AO215" i="32"/>
  <c r="AP215" i="32"/>
  <c r="F2" i="49" a="1"/>
  <c r="F2" i="49" s="1"/>
  <c r="L67" i="54" l="1"/>
  <c r="F67" i="54"/>
  <c r="G67" i="54"/>
  <c r="E67" i="54"/>
  <c r="C65" i="54"/>
  <c r="D66" i="54"/>
  <c r="C67" i="54"/>
  <c r="L110" i="54"/>
  <c r="F65" i="54"/>
  <c r="E65" i="54"/>
  <c r="F66" i="54"/>
  <c r="E66" i="54"/>
  <c r="L66" i="54"/>
  <c r="D65" i="54"/>
  <c r="C66" i="54"/>
  <c r="L65" i="54"/>
  <c r="H46" i="54"/>
  <c r="G65" i="54"/>
  <c r="G66" i="54"/>
  <c r="D67" i="54"/>
  <c r="D103" i="54"/>
  <c r="C103" i="54"/>
  <c r="F103" i="54"/>
  <c r="L34" i="54"/>
  <c r="G103" i="54"/>
  <c r="E103" i="54"/>
  <c r="L35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G15" i="54"/>
  <c r="F39" i="54"/>
  <c r="C38" i="54"/>
  <c r="E36" i="54"/>
  <c r="G34" i="54"/>
  <c r="D33" i="54"/>
  <c r="F31" i="54"/>
  <c r="C30" i="54"/>
  <c r="E28" i="54"/>
  <c r="G26" i="54"/>
  <c r="D25" i="54"/>
  <c r="F23" i="54"/>
  <c r="C22" i="54"/>
  <c r="E20" i="54"/>
  <c r="G18" i="54"/>
  <c r="D17" i="54"/>
  <c r="F15" i="54"/>
  <c r="E39" i="54"/>
  <c r="G37" i="54"/>
  <c r="D36" i="54"/>
  <c r="F34" i="54"/>
  <c r="C33" i="54"/>
  <c r="E31" i="54"/>
  <c r="G29" i="54"/>
  <c r="D28" i="54"/>
  <c r="F26" i="54"/>
  <c r="C25" i="54"/>
  <c r="E23" i="54"/>
  <c r="G21" i="54"/>
  <c r="D20" i="54"/>
  <c r="F18" i="54"/>
  <c r="C17" i="54"/>
  <c r="E15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D15" i="54"/>
  <c r="C15" i="54"/>
  <c r="C39" i="54"/>
  <c r="E37" i="54"/>
  <c r="G35" i="54"/>
  <c r="D34" i="54"/>
  <c r="F32" i="54"/>
  <c r="C31" i="54"/>
  <c r="E29" i="54"/>
  <c r="G27" i="54"/>
  <c r="D26" i="54"/>
  <c r="F24" i="54"/>
  <c r="C23" i="54"/>
  <c r="E21" i="54"/>
  <c r="G19" i="54"/>
  <c r="D18" i="54"/>
  <c r="F16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O25" i="54"/>
  <c r="Y17" i="54"/>
  <c r="N25" i="54"/>
  <c r="Q20" i="54"/>
  <c r="M25" i="54"/>
  <c r="P20" i="54"/>
  <c r="Q25" i="54"/>
  <c r="L25" i="54"/>
  <c r="O20" i="54"/>
  <c r="Q19" i="54"/>
  <c r="O19" i="54"/>
  <c r="Y18" i="54"/>
  <c r="N20" i="54"/>
  <c r="P19" i="54"/>
  <c r="M20" i="54"/>
  <c r="L19" i="54"/>
  <c r="L20" i="54"/>
  <c r="N19" i="54"/>
  <c r="M19" i="54"/>
  <c r="Y16" i="54"/>
  <c r="H105" i="54"/>
  <c r="P25" i="54"/>
  <c r="Y15" i="54"/>
  <c r="F110" i="54" l="1"/>
  <c r="G110" i="54"/>
  <c r="E110" i="54"/>
  <c r="D110" i="54"/>
  <c r="C110" i="54"/>
  <c r="M35" i="54"/>
  <c r="Y23" i="54"/>
  <c r="H106" i="54"/>
  <c r="L75" i="54"/>
  <c r="M34" i="54"/>
  <c r="H103" i="54"/>
  <c r="H107" i="54"/>
  <c r="L97" i="54"/>
  <c r="H104" i="54"/>
  <c r="Y22" i="54"/>
  <c r="L88" i="54"/>
  <c r="L61" i="54"/>
  <c r="H95" i="54"/>
  <c r="H57" i="54"/>
  <c r="T39" i="54"/>
  <c r="U25" i="54" s="1"/>
  <c r="O16" i="54"/>
  <c r="O18" i="54" s="1"/>
  <c r="M16" i="54"/>
  <c r="M18" i="54" s="1"/>
  <c r="P16" i="54"/>
  <c r="P18" i="54" s="1"/>
  <c r="N16" i="54"/>
  <c r="N18" i="54" s="1"/>
  <c r="L16" i="54"/>
  <c r="L18" i="54" s="1"/>
  <c r="H58" i="54"/>
  <c r="H93" i="54"/>
  <c r="E97" i="54"/>
  <c r="G88" i="54"/>
  <c r="F61" i="54"/>
  <c r="D88" i="54"/>
  <c r="D75" i="54"/>
  <c r="D97" i="54"/>
  <c r="D61" i="54"/>
  <c r="C88" i="54"/>
  <c r="E75" i="54"/>
  <c r="F75" i="54"/>
  <c r="G75" i="54"/>
  <c r="H87" i="54"/>
  <c r="H56" i="54"/>
  <c r="G97" i="54"/>
  <c r="H74" i="54"/>
  <c r="F88" i="54"/>
  <c r="C97" i="54"/>
  <c r="H86" i="54"/>
  <c r="H73" i="54"/>
  <c r="C61" i="54"/>
  <c r="H96" i="54"/>
  <c r="H94" i="54"/>
  <c r="C75" i="54"/>
  <c r="E61" i="54"/>
  <c r="H92" i="54"/>
  <c r="G61" i="54"/>
  <c r="H85" i="54"/>
  <c r="H59" i="54"/>
  <c r="H60" i="54"/>
  <c r="H91" i="54"/>
  <c r="F97" i="54"/>
  <c r="H55" i="54"/>
  <c r="E88" i="54"/>
  <c r="H72" i="54"/>
  <c r="H65" i="54" l="1"/>
  <c r="H66" i="54"/>
  <c r="H67" i="54"/>
  <c r="L78" i="54"/>
  <c r="L79" i="54"/>
  <c r="H110" i="54"/>
  <c r="L80" i="54"/>
  <c r="U28" i="54"/>
  <c r="Y19" i="54"/>
  <c r="U32" i="54"/>
  <c r="U19" i="54"/>
  <c r="U39" i="54"/>
  <c r="Y14" i="54"/>
  <c r="U15" i="54"/>
  <c r="U18" i="54"/>
  <c r="U16" i="54"/>
  <c r="U31" i="54"/>
  <c r="U17" i="54"/>
  <c r="U14" i="54"/>
  <c r="U22" i="54"/>
  <c r="U24" i="54"/>
  <c r="U33" i="54"/>
  <c r="U38" i="54"/>
  <c r="U37" i="54"/>
  <c r="U21" i="54"/>
  <c r="U27" i="54"/>
  <c r="U20" i="54"/>
  <c r="U30" i="54"/>
  <c r="U35" i="54"/>
  <c r="U23" i="54"/>
  <c r="U34" i="54"/>
  <c r="U26" i="54"/>
  <c r="U29" i="54"/>
  <c r="U36" i="54"/>
  <c r="H18" i="54"/>
  <c r="H33" i="54"/>
  <c r="H25" i="54"/>
  <c r="H28" i="54"/>
  <c r="H19" i="54"/>
  <c r="H36" i="54"/>
  <c r="H37" i="54"/>
  <c r="H15" i="54"/>
  <c r="Q16" i="54" s="1"/>
  <c r="Q18" i="54" s="1"/>
  <c r="H20" i="54"/>
  <c r="H26" i="54"/>
  <c r="H17" i="54"/>
  <c r="H24" i="54"/>
  <c r="H31" i="54"/>
  <c r="H97" i="54"/>
  <c r="H34" i="54"/>
  <c r="H23" i="54"/>
  <c r="H21" i="54"/>
  <c r="H16" i="54"/>
  <c r="H30" i="54"/>
  <c r="F40" i="54"/>
  <c r="O15" i="54" s="1"/>
  <c r="O17" i="54" s="1"/>
  <c r="H61" i="54"/>
  <c r="H38" i="54"/>
  <c r="H32" i="54"/>
  <c r="H88" i="54"/>
  <c r="H27" i="54"/>
  <c r="D40" i="54"/>
  <c r="H22" i="54"/>
  <c r="H35" i="54"/>
  <c r="C40" i="54"/>
  <c r="L15" i="54" s="1"/>
  <c r="L17" i="54" s="1"/>
  <c r="H75" i="54"/>
  <c r="C78" i="54" s="1"/>
  <c r="H39" i="54"/>
  <c r="H29" i="54"/>
  <c r="G40" i="54"/>
  <c r="E40" i="54"/>
  <c r="N15" i="54" s="1"/>
  <c r="N17" i="54" s="1"/>
  <c r="C80" i="54" l="1"/>
  <c r="H40" i="54"/>
  <c r="I22" i="54" s="1"/>
  <c r="C79" i="54"/>
  <c r="O30" i="54"/>
  <c r="M15" i="54"/>
  <c r="M17" i="54" s="1"/>
  <c r="M30" i="54"/>
  <c r="L30" i="54"/>
  <c r="P15" i="54"/>
  <c r="P17" i="54" s="1"/>
  <c r="P30" i="54"/>
  <c r="N30" i="54"/>
  <c r="I23" i="54" l="1"/>
  <c r="I32" i="54"/>
  <c r="I35" i="54"/>
  <c r="I39" i="54"/>
  <c r="I27" i="54"/>
  <c r="I31" i="54"/>
  <c r="I26" i="54"/>
  <c r="I21" i="54"/>
  <c r="I16" i="54"/>
  <c r="I38" i="54"/>
  <c r="I17" i="54"/>
  <c r="I20" i="54"/>
  <c r="I34" i="54"/>
  <c r="Q30" i="54"/>
  <c r="I40" i="54"/>
  <c r="I36" i="54"/>
  <c r="I19" i="54"/>
  <c r="I18" i="54"/>
  <c r="I28" i="54"/>
  <c r="I37" i="54"/>
  <c r="I25" i="54"/>
  <c r="I33" i="54"/>
  <c r="I15" i="54"/>
  <c r="I29" i="54"/>
  <c r="I24" i="54"/>
  <c r="I30" i="54"/>
  <c r="Q15" i="54"/>
  <c r="Q17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<sst xmlns="http://schemas.openxmlformats.org/spreadsheetml/2006/main" count="6934" uniqueCount="1085">
  <si>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</si>
  <si>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</si>
  <si>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</si>
  <si>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</si>
  <si>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</si>
  <si>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</si>
  <si>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</si>
  <si>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</si>
  <si>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</si>
  <si>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</si>
  <si>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</si>
  <si>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</si>
  <si>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</si>
  <si>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</si>
  <si>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</si>
  <si>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</si>
  <si>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</si>
  <si>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</si>
  <si>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</si>
  <si>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</si>
  <si>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</si>
  <si>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</si>
  <si>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</si>
  <si>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</si>
  <si>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</si>
  <si>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</si>
  <si>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</si>
  <si>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</si>
  <si>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</si>
  <si>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</si>
  <si>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</si>
  <si>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Meta INR</t>
  </si>
  <si>
    <t>INR De Admissão</t>
  </si>
  <si>
    <t>Local de Acomapanhamento inicial</t>
  </si>
  <si>
    <t>Local de Acomapanhamento atual</t>
  </si>
  <si>
    <t>Diagnóstico confirmado?</t>
  </si>
  <si>
    <t>Direcionado a HUBS?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</si>
  <si>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</si>
  <si>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</si>
  <si>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</si>
  <si>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</si>
  <si>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</si>
  <si>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</si>
  <si>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</si>
  <si>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</si>
  <si>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</si>
  <si>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</si>
  <si>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</si>
  <si>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</si>
  <si>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</si>
  <si>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</si>
  <si>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</si>
  <si>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RAFAEL TANGANELLI PALLAMIN</t>
  </si>
  <si>
    <t>M</t>
  </si>
  <si>
    <t>SP</t>
  </si>
  <si>
    <t>CAJAMAR</t>
  </si>
  <si>
    <t>NÍVEL 450</t>
  </si>
  <si>
    <t>11-997679993</t>
  </si>
  <si>
    <t>ISMAEL</t>
  </si>
  <si>
    <t>1. Aceitou o programa</t>
  </si>
  <si>
    <t>Contato Com Sucesso</t>
  </si>
  <si>
    <t>Ativo</t>
  </si>
  <si>
    <t>Agendada</t>
  </si>
  <si>
    <t/>
  </si>
  <si>
    <t xml:space="preserve">Sim </t>
  </si>
  <si>
    <t>Anticoagulante</t>
  </si>
  <si>
    <t>MARILIA MARIA MENDES QUINTAL</t>
  </si>
  <si>
    <t>F</t>
  </si>
  <si>
    <t>DIADEMA</t>
  </si>
  <si>
    <t>NÍVEL 50</t>
  </si>
  <si>
    <t>11-980889917</t>
  </si>
  <si>
    <t>5. Alta por exclusão do plano</t>
  </si>
  <si>
    <t>Fora da Linha</t>
  </si>
  <si>
    <t>Não se aplica</t>
  </si>
  <si>
    <t>Migração de plano (SulAmerica)</t>
  </si>
  <si>
    <t>Realizada</t>
  </si>
  <si>
    <t>SIDNEI SOARES DO ROSARIO</t>
  </si>
  <si>
    <t>RJ</t>
  </si>
  <si>
    <t>RIO DE JANEIRO</t>
  </si>
  <si>
    <t>21-964464107</t>
  </si>
  <si>
    <t>JESSICA TELES DE CASTRO</t>
  </si>
  <si>
    <t>SANTO ANDRE</t>
  </si>
  <si>
    <t>NÍVEL 60</t>
  </si>
  <si>
    <t>11-959173739</t>
  </si>
  <si>
    <t>5. Alta por inelegibilidade</t>
  </si>
  <si>
    <t>MARIA DO CARMO PEIXOTO DOS SANTOS</t>
  </si>
  <si>
    <t>SAO BERNARDO DO CAMPO</t>
  </si>
  <si>
    <t>NÍVEL 80</t>
  </si>
  <si>
    <t>11-997956469</t>
  </si>
  <si>
    <t>2,5-3,5</t>
  </si>
  <si>
    <t>Não Informou</t>
  </si>
  <si>
    <t>Confirmado</t>
  </si>
  <si>
    <t>JOAO ONHA NETO</t>
  </si>
  <si>
    <t>SAO PAULO</t>
  </si>
  <si>
    <t>NÍVEL 300</t>
  </si>
  <si>
    <t>11-918465404</t>
  </si>
  <si>
    <t>JOSE DONIZETI PASSARETTI</t>
  </si>
  <si>
    <t>NÍVEL 600</t>
  </si>
  <si>
    <t>11-940088681</t>
  </si>
  <si>
    <t>LEANDRO DOS SANTOS</t>
  </si>
  <si>
    <t>NÍVEL 400</t>
  </si>
  <si>
    <t>11-941412995</t>
  </si>
  <si>
    <t>Sim</t>
  </si>
  <si>
    <t>ANA PAULA BRITO DOS SANTOS</t>
  </si>
  <si>
    <t>11-954400383</t>
  </si>
  <si>
    <t>N/A</t>
  </si>
  <si>
    <t>Hospital Alvorada Moema </t>
  </si>
  <si>
    <t>ANTONIA PINHEIRO MACHADO</t>
  </si>
  <si>
    <t>NÍVEL 100</t>
  </si>
  <si>
    <t>11-965135667</t>
  </si>
  <si>
    <t>2,5 3,5</t>
  </si>
  <si>
    <t>Amil - Unidade Avançada Luz Butantã </t>
  </si>
  <si>
    <t>PATRICIA MARIA DA SILVA</t>
  </si>
  <si>
    <t>NÍVEL 110</t>
  </si>
  <si>
    <t>11-981105130</t>
  </si>
  <si>
    <t>Negativo</t>
  </si>
  <si>
    <t>JOSE AILTON DA SILVA</t>
  </si>
  <si>
    <t>11-985905292</t>
  </si>
  <si>
    <t>PEDRO GEROMIN</t>
  </si>
  <si>
    <t>11-994883501</t>
  </si>
  <si>
    <t>AMANDA CORDEIRO WILLWOHL</t>
  </si>
  <si>
    <t>11-996807475</t>
  </si>
  <si>
    <t xml:space="preserve">Baixa </t>
  </si>
  <si>
    <t>LUIZ ROGERIO DE SOUZA</t>
  </si>
  <si>
    <t>NÍVEL 380</t>
  </si>
  <si>
    <t>11-997884950</t>
  </si>
  <si>
    <t>WAGNER RODRIGUES DOS REIS</t>
  </si>
  <si>
    <t>21-986108134</t>
  </si>
  <si>
    <t>2,0 3,0</t>
  </si>
  <si>
    <t>CLAUDIA EVANGELISTA DE OLIVEIRA JORDAO</t>
  </si>
  <si>
    <t>CACHOEIRAS DE MACACU</t>
  </si>
  <si>
    <t>21-981946076</t>
  </si>
  <si>
    <t>CARDIOLOGISTA - CREDENCIADO ULTIMA CONSULTA HÁ 3 DIAS</t>
  </si>
  <si>
    <t>CLAUDINEI DA SILVA FREITAS</t>
  </si>
  <si>
    <t>CARAPICUIBA</t>
  </si>
  <si>
    <t>11-967288344</t>
  </si>
  <si>
    <t>CARDIOLOGIA - HOSP SAMARITANO</t>
  </si>
  <si>
    <t>CLAUDINEI CAVEQUIA</t>
  </si>
  <si>
    <t>11-984696019</t>
  </si>
  <si>
    <t>2, - 3,</t>
  </si>
  <si>
    <t>ANTONIO ANSELMO DOS SANTOS JUNIOR</t>
  </si>
  <si>
    <t>11-960344767</t>
  </si>
  <si>
    <t xml:space="preserve">Não realizada - Falta </t>
  </si>
  <si>
    <t xml:space="preserve">Captação + Navegação </t>
  </si>
  <si>
    <t>Casos Prioritário - E-mail</t>
  </si>
  <si>
    <t>ANDERSON FERREIRA NEVES</t>
  </si>
  <si>
    <t>OSASCO</t>
  </si>
  <si>
    <t>PIRATININGA</t>
  </si>
  <si>
    <t>JENNIFFER KAROLAYNE SIMOES DE JESUS</t>
  </si>
  <si>
    <t>DUQUE DE CAXIAS</t>
  </si>
  <si>
    <t>NÍVEL 120</t>
  </si>
  <si>
    <t>21-964703647</t>
  </si>
  <si>
    <t>JOSEFA MARCIA DE SOUZA CARVALHO AMORIM</t>
  </si>
  <si>
    <t>EMBU DAS ARTES</t>
  </si>
  <si>
    <t>11-961014338</t>
  </si>
  <si>
    <t>JOCELIO DANTAS DANIEL</t>
  </si>
  <si>
    <t>11-988627369</t>
  </si>
  <si>
    <t>LEANDRO KUNRT</t>
  </si>
  <si>
    <t>FERRAZ DE VASCONCELOS</t>
  </si>
  <si>
    <t>11-989190044</t>
  </si>
  <si>
    <t>MARCIA RODRIGUES DE JESUS SIDO</t>
  </si>
  <si>
    <t>GUARULHOS</t>
  </si>
  <si>
    <t>11-912753132</t>
  </si>
  <si>
    <t>THAMIRES RODRIGUES CAVALCANTI DA SILVA</t>
  </si>
  <si>
    <t>11-965379441</t>
  </si>
  <si>
    <t>GENERINA SOUSA LEAL</t>
  </si>
  <si>
    <t>11-981729598</t>
  </si>
  <si>
    <t>FABIANA ARAUJO MOREIRA COELHO</t>
  </si>
  <si>
    <t>11-992417387</t>
  </si>
  <si>
    <t>094956702</t>
  </si>
  <si>
    <t>Andreza Braga Luiz</t>
  </si>
  <si>
    <t>JARAGUA</t>
  </si>
  <si>
    <t>5. Alta por outros motivos</t>
  </si>
  <si>
    <t>CONTATO INCORRETO</t>
  </si>
  <si>
    <t>JOSE CLAUDIO DE JESUS</t>
  </si>
  <si>
    <t>NÍVEL 40</t>
  </si>
  <si>
    <t>11-998759859</t>
  </si>
  <si>
    <t>RITA BETANIA DINIZ PEREIRA</t>
  </si>
  <si>
    <t>MARCELY CARDOSO BATISTA SANTOS</t>
  </si>
  <si>
    <t>ITAPEVI</t>
  </si>
  <si>
    <t>71-981997404</t>
  </si>
  <si>
    <t>Interno - Amil Geral</t>
  </si>
  <si>
    <t>NICOLAU CONCEICAO DOS SANTOS</t>
  </si>
  <si>
    <t>ITAQUAQUECETUBA</t>
  </si>
  <si>
    <t>11-984641752</t>
  </si>
  <si>
    <t>GLAUCIA MARTINS MAY SPENGLER</t>
  </si>
  <si>
    <t>SC</t>
  </si>
  <si>
    <t>JOINVILLE</t>
  </si>
  <si>
    <t>NÍVEL 350</t>
  </si>
  <si>
    <t>GEOVANNA DE AQUINO CORDEIRO</t>
  </si>
  <si>
    <t>MAUA</t>
  </si>
  <si>
    <t>11-993213196</t>
  </si>
  <si>
    <t>MARCELO DE SOUZA TAVEIRA</t>
  </si>
  <si>
    <t>NOVA IGUAÇU</t>
  </si>
  <si>
    <t>21-969018694</t>
  </si>
  <si>
    <t>ADRIANA DOS SANTOS NASCIMENTO DUARTE</t>
  </si>
  <si>
    <t>NÍVEL 500</t>
  </si>
  <si>
    <t>21-984151272</t>
  </si>
  <si>
    <t>MARIO LUIZ DE SOUZA</t>
  </si>
  <si>
    <t>21-986068432</t>
  </si>
  <si>
    <t>VERA LUCIA DE SIQUEIRA SANDRINI</t>
  </si>
  <si>
    <t>11-911129453</t>
  </si>
  <si>
    <t>IVONETE VIANA DE OLIVEIRA</t>
  </si>
  <si>
    <t>PERUIBE</t>
  </si>
  <si>
    <t>13-997885596</t>
  </si>
  <si>
    <t>AMIL INTERNO</t>
  </si>
  <si>
    <t>RAPHAEL MACOS PEREIRA</t>
  </si>
  <si>
    <t>21-964568450</t>
  </si>
  <si>
    <t>MARIA VALDENIA COSTA</t>
  </si>
  <si>
    <t>NÍVEL 200</t>
  </si>
  <si>
    <t>21-974709650</t>
  </si>
  <si>
    <t>NEVARDO BELLO YAYA</t>
  </si>
  <si>
    <t>NÍVEL 75</t>
  </si>
  <si>
    <t>21-980614395</t>
  </si>
  <si>
    <t>SUS</t>
  </si>
  <si>
    <t>LEVI SENNA</t>
  </si>
  <si>
    <t>21-987673535</t>
  </si>
  <si>
    <t>ELISANGELA DA SILVA SILVA</t>
  </si>
  <si>
    <t>21-993097776</t>
  </si>
  <si>
    <t>CLAUDIA MARQUES</t>
  </si>
  <si>
    <t>21-994435246</t>
  </si>
  <si>
    <t>CAROLINA DOS SANTOS PRADO</t>
  </si>
  <si>
    <t>11-955004603</t>
  </si>
  <si>
    <t>MARIO PIRES HERNANDES</t>
  </si>
  <si>
    <t>SANTOS</t>
  </si>
  <si>
    <t>11-999063296</t>
  </si>
  <si>
    <t>JULIA ROBERTA MIRA GIAVARA</t>
  </si>
  <si>
    <t>11-915828440</t>
  </si>
  <si>
    <t>ARAKACY BARROS VIANA</t>
  </si>
  <si>
    <t>11-947088628</t>
  </si>
  <si>
    <t>HEMATOLOGIA</t>
  </si>
  <si>
    <t>GILVAN FRANCISCO DOS SANTOS</t>
  </si>
  <si>
    <t>11-948812751</t>
  </si>
  <si>
    <t>LUCIENE DE SOUZA CRUZ</t>
  </si>
  <si>
    <t>11-952044335</t>
  </si>
  <si>
    <t>CARDIOLOGIA</t>
  </si>
  <si>
    <t>AMANDA DE ALMEIDA PEREIRA</t>
  </si>
  <si>
    <t>11-952690907</t>
  </si>
  <si>
    <t>EDNEUZA BARRETO LIMA</t>
  </si>
  <si>
    <t>11-952998807</t>
  </si>
  <si>
    <t>HOSPITAL VITORIA - CARDIOLOGIA</t>
  </si>
  <si>
    <t>LANA LUCIA SILVA OLBI</t>
  </si>
  <si>
    <t>11-95437-2424</t>
  </si>
  <si>
    <t>JABEZ PEREIRA SANTOS</t>
  </si>
  <si>
    <t>11958944992  /  11958949925</t>
  </si>
  <si>
    <t>RAFAEL DE FRANCA REIS</t>
  </si>
  <si>
    <t>11-958548815</t>
  </si>
  <si>
    <t>SEM ACOMPANHAMENTO</t>
  </si>
  <si>
    <t>WALLACE LEMOS FRANHAN</t>
  </si>
  <si>
    <t>11-961610070</t>
  </si>
  <si>
    <t>SEM DADO</t>
  </si>
  <si>
    <t>ANDREIA CAMPOS DE SOUZA ARAUJO</t>
  </si>
  <si>
    <t>11-963979625</t>
  </si>
  <si>
    <t>CARDIOLOGIA - EXTERNA</t>
  </si>
  <si>
    <t>ALICE REBELATO PINTO</t>
  </si>
  <si>
    <t>LUIZ CARLOS PEREIRA</t>
  </si>
  <si>
    <t>11-965521725</t>
  </si>
  <si>
    <t>MARCO ANTONIO ALVES D APRILE</t>
  </si>
  <si>
    <t>Amil - Unidade Avançada Vitoria </t>
  </si>
  <si>
    <t>SILVIA DE SOUZA BADARO RAMOS</t>
  </si>
  <si>
    <t>11-968781877</t>
  </si>
  <si>
    <t>29/05/2026 14:40</t>
  </si>
  <si>
    <t>EDNA VITORIO DO NASCIMENTO</t>
  </si>
  <si>
    <t>RENATA CARINA DE OLIVEIRA FERREIRA</t>
  </si>
  <si>
    <t>11-977109053</t>
  </si>
  <si>
    <t>JOSEFA PAULO DA SILVA VALERIO</t>
  </si>
  <si>
    <t>11-982674668</t>
  </si>
  <si>
    <t>ANDRE MARTINS DE ARAUJO</t>
  </si>
  <si>
    <t>11-982791682 / 11982236727</t>
  </si>
  <si>
    <t>MARIA VALDETE DE OLIVEIRA</t>
  </si>
  <si>
    <t>11-984333963</t>
  </si>
  <si>
    <t>HOSPITAL LUZ BUTANTÃ</t>
  </si>
  <si>
    <t>LUCAS HENRIQUE SANTOS</t>
  </si>
  <si>
    <t>11-984947624</t>
  </si>
  <si>
    <t>MARCIA APARECIDA MORAES NETO</t>
  </si>
  <si>
    <t>11-986514748</t>
  </si>
  <si>
    <t>CASSIA DA SILVA ABREU</t>
  </si>
  <si>
    <t>11-99160-9580</t>
  </si>
  <si>
    <t>INES DE CASSIA SANTI NASSIR</t>
  </si>
  <si>
    <t>MARCELO ANDRE CARONE</t>
  </si>
  <si>
    <t>NÍVEL 750</t>
  </si>
  <si>
    <t>11-996857554</t>
  </si>
  <si>
    <t>SONIA APARECIDA JUSTO DE FARIAS</t>
  </si>
  <si>
    <t>11-997416155</t>
  </si>
  <si>
    <t xml:space="preserve">Média </t>
  </si>
  <si>
    <t>DONIZETI FERNANDO DE SOUZA</t>
  </si>
  <si>
    <t>11-997499450</t>
  </si>
  <si>
    <t>ZULEICA RANGEL SANTOS</t>
  </si>
  <si>
    <t>11-998480535</t>
  </si>
  <si>
    <t>DEBORA GOMES AGRIPINO</t>
  </si>
  <si>
    <t>11-999050902</t>
  </si>
  <si>
    <t>HELENITA DE OLIVEIRA SOUSA</t>
  </si>
  <si>
    <t>GILMERIO QUEIROZ DE AMORIM</t>
  </si>
  <si>
    <t>11-999846673</t>
  </si>
  <si>
    <t>SUZELENE DONIZETE SILVA DE SOUZA</t>
  </si>
  <si>
    <t>ANIL</t>
  </si>
  <si>
    <t>Aguardando Agendamento</t>
  </si>
  <si>
    <t>SANTA ROCHA DA SILVA</t>
  </si>
  <si>
    <t>BARUERI</t>
  </si>
  <si>
    <t>11-966946797</t>
  </si>
  <si>
    <t>ALEXANDRE FERREIRA CAVICHIO</t>
  </si>
  <si>
    <t>DF</t>
  </si>
  <si>
    <t>BRASILIA</t>
  </si>
  <si>
    <t>61-98135-9445</t>
  </si>
  <si>
    <t>ALEXANDRE CAVALCANTE SILVA</t>
  </si>
  <si>
    <t>NÍVEL 900</t>
  </si>
  <si>
    <t>61-984333684</t>
  </si>
  <si>
    <t>Externo - Geral</t>
  </si>
  <si>
    <t>MARCIA OLIVEIRA DE ARAUJO</t>
  </si>
  <si>
    <t>61-992831833</t>
  </si>
  <si>
    <t>EDILSON DE SANTANA MARIA</t>
  </si>
  <si>
    <t>11-980905104</t>
  </si>
  <si>
    <t>CARDIOLOGIA - AMIL SAUDE LUZ BUTANTÃ</t>
  </si>
  <si>
    <t>ADALBERTO BARROS GOMES</t>
  </si>
  <si>
    <t>11-983213384</t>
  </si>
  <si>
    <t>GILMAR ZAHOTEI COTRIM</t>
  </si>
  <si>
    <t>11-987837111</t>
  </si>
  <si>
    <t>ADELAR DOS SANTOS</t>
  </si>
  <si>
    <t>COTIA</t>
  </si>
  <si>
    <t>11-985589155</t>
  </si>
  <si>
    <t>MARIA CLEMENTINA DOS SANTOS</t>
  </si>
  <si>
    <t>11-952212071</t>
  </si>
  <si>
    <t>NAO SE APLICA</t>
  </si>
  <si>
    <t>CELSO SALUSTIANO</t>
  </si>
  <si>
    <t>11-985602398</t>
  </si>
  <si>
    <t>ANGELO MATHEUS DE SOUZA SILVA</t>
  </si>
  <si>
    <t>11-987567681</t>
  </si>
  <si>
    <t>DEBORA MARIA LEAL ISIDORO CORREA</t>
  </si>
  <si>
    <t>11-975288534</t>
  </si>
  <si>
    <t>FABIO JOSE JUNIOR FEITOSA</t>
  </si>
  <si>
    <t>11-976589633</t>
  </si>
  <si>
    <t>ADENILSA MARIA DE SOUZA</t>
  </si>
  <si>
    <t>11-992707711</t>
  </si>
  <si>
    <t>SANDRA MARIA LOTURCO FURLAN</t>
  </si>
  <si>
    <t>ITATIBA</t>
  </si>
  <si>
    <t>11-939274711</t>
  </si>
  <si>
    <t>NELSON PEREIRA</t>
  </si>
  <si>
    <t>MARICA</t>
  </si>
  <si>
    <t>21-967238648</t>
  </si>
  <si>
    <t>ERIKA DOS SANTOS LIMA</t>
  </si>
  <si>
    <t>11-961393404</t>
  </si>
  <si>
    <t>29/05/2026 14:00</t>
  </si>
  <si>
    <t>EDILANIA CORREIA LIMA</t>
  </si>
  <si>
    <t>11-964394850</t>
  </si>
  <si>
    <t>n/a</t>
  </si>
  <si>
    <t>JORGE IWAO YAMADA</t>
  </si>
  <si>
    <t>MOGI DAS CRUZES</t>
  </si>
  <si>
    <t>11-969088545</t>
  </si>
  <si>
    <t>HARLEI DOS SANTOS SEVERINO</t>
  </si>
  <si>
    <t>NITEROI</t>
  </si>
  <si>
    <t>21-987300907</t>
  </si>
  <si>
    <t>ISABELA CRISTINA SANTOS DA SILVA</t>
  </si>
  <si>
    <t>21-964041435</t>
  </si>
  <si>
    <t>FRANCISCO CARLOS JARANDILHA</t>
  </si>
  <si>
    <t>ITAPECERICA DA SERRA</t>
  </si>
  <si>
    <t>11-989863322</t>
  </si>
  <si>
    <t>Amil - Unidade Avançada Luz Joao Dias </t>
  </si>
  <si>
    <t>BARBARA LOUREIRO SANDRINI</t>
  </si>
  <si>
    <t>11-984462453</t>
  </si>
  <si>
    <t>ANGELA CRISTINA DA SILVA AGRIPINO</t>
  </si>
  <si>
    <t>RIBEIRAO PIRES</t>
  </si>
  <si>
    <t>11-975021903</t>
  </si>
  <si>
    <t>CLAUDIA GONCALVES DOMINGUES</t>
  </si>
  <si>
    <t>21-964141369</t>
  </si>
  <si>
    <t>MARIA JOSE CHAGAS COSTA</t>
  </si>
  <si>
    <t>21-969175021</t>
  </si>
  <si>
    <t>2,5 - 3,5</t>
  </si>
  <si>
    <t>ELAINE NUNES RODRIGUES PEREIRA</t>
  </si>
  <si>
    <t>21-974351537</t>
  </si>
  <si>
    <t>IZABELLA DE SOUSA MEDEIROS</t>
  </si>
  <si>
    <t>21-991248028</t>
  </si>
  <si>
    <t>SILVIA PAULA DE FREITAS DIAS DA PONTE</t>
  </si>
  <si>
    <t>NÍVEL 580</t>
  </si>
  <si>
    <t>21-997090311</t>
  </si>
  <si>
    <t>ROSAINE CAMACHO DUO</t>
  </si>
  <si>
    <t>11-964599302</t>
  </si>
  <si>
    <t>GILZA FREITAS</t>
  </si>
  <si>
    <t>13-978208959</t>
  </si>
  <si>
    <t xml:space="preserve">Alta </t>
  </si>
  <si>
    <t>Amil Paulistano</t>
  </si>
  <si>
    <t>MARIA GERALDA DE CARVALHO</t>
  </si>
  <si>
    <t>11-918943759</t>
  </si>
  <si>
    <t>078638803</t>
  </si>
  <si>
    <t>Jova Gomes de Oliveira</t>
  </si>
  <si>
    <t>PARQUE AMERICA</t>
  </si>
  <si>
    <t>SUELY CRYSTINE CARAPETICOF SILVESTRIM</t>
  </si>
  <si>
    <t>11-983131416</t>
  </si>
  <si>
    <t>LILIAN LOURDES MORALES ANEZ BATISTA</t>
  </si>
  <si>
    <t>11-914842303</t>
  </si>
  <si>
    <t>28/05/2026 12:00</t>
  </si>
  <si>
    <t>SANTO AMARO - CARDIOLOGIA</t>
  </si>
  <si>
    <t>ALEXANDRE DOS SANTOS CANHADA</t>
  </si>
  <si>
    <t>11-940147314</t>
  </si>
  <si>
    <t>CARDIOLOGISTA - AMIL BUTANTÃ</t>
  </si>
  <si>
    <t>EDNALVA FRANCISCA DE OLIVEIRA</t>
  </si>
  <si>
    <t>11-945841919</t>
  </si>
  <si>
    <t>THIAGO MARTINS CAMARGO</t>
  </si>
  <si>
    <t>11-947166650</t>
  </si>
  <si>
    <t>ARNALDO SANCHES</t>
  </si>
  <si>
    <t>11-947501954</t>
  </si>
  <si>
    <t>ANTONIO VIEIRA FONTES</t>
  </si>
  <si>
    <t>11-947569008</t>
  </si>
  <si>
    <t>DANTE PAZZANESE</t>
  </si>
  <si>
    <t>EVANEIDE OLIVEIRA SILVA</t>
  </si>
  <si>
    <t>11-948482227</t>
  </si>
  <si>
    <t>ANA PATRICIA DOS SANTOS LIMA</t>
  </si>
  <si>
    <t>11-951737293</t>
  </si>
  <si>
    <t>EVALDO DE JESUS</t>
  </si>
  <si>
    <t>11-952490877</t>
  </si>
  <si>
    <t>MARIA APARECIDA SILVEIRA</t>
  </si>
  <si>
    <t>11-954166989</t>
  </si>
  <si>
    <t>ESPAÇO AMIL JOÃO DIAS</t>
  </si>
  <si>
    <t>DANIELE CRISTINA RODRIGUES</t>
  </si>
  <si>
    <t>11-956407129</t>
  </si>
  <si>
    <t>ADRIANO ALMEIDA DA SILVA</t>
  </si>
  <si>
    <t>11-957230933</t>
  </si>
  <si>
    <t>ADRIANA MARCELINO BENTO</t>
  </si>
  <si>
    <t>11-958908348</t>
  </si>
  <si>
    <t>KEITHY BRENDA DIAS FERREIRA</t>
  </si>
  <si>
    <t>11-959234946</t>
  </si>
  <si>
    <t>IZAIR ALVES RONDENA</t>
  </si>
  <si>
    <t>11-961535500</t>
  </si>
  <si>
    <t>ATAIR MESSIAS LIMA</t>
  </si>
  <si>
    <t>11-965202577</t>
  </si>
  <si>
    <t>JULIANA AGUIAR ALVES</t>
  </si>
  <si>
    <t>11-969491797</t>
  </si>
  <si>
    <t>MARIA ANTONIA CANDIDO PINTO</t>
  </si>
  <si>
    <t>11-972095157</t>
  </si>
  <si>
    <t>MILTON TASSO</t>
  </si>
  <si>
    <t>11-972345308</t>
  </si>
  <si>
    <t>ELZITA DOS SANTOS SILVA</t>
  </si>
  <si>
    <t>11-973369474</t>
  </si>
  <si>
    <t>IVONE CHECON DA SILVA</t>
  </si>
  <si>
    <t>11-974420284</t>
  </si>
  <si>
    <t>LAURITA DE ALMEIDA KELLER</t>
  </si>
  <si>
    <t>11-975115555</t>
  </si>
  <si>
    <t>MARIA HELENA RAMALHO DA SILVA</t>
  </si>
  <si>
    <t>11-980859747</t>
  </si>
  <si>
    <t>JOAO RIBEIRO DA SILVA</t>
  </si>
  <si>
    <t>11-981208955</t>
  </si>
  <si>
    <t>29/05/2026 12:20</t>
  </si>
  <si>
    <t>MARIA MESSIAS DE LIMA</t>
  </si>
  <si>
    <t>11-982212494</t>
  </si>
  <si>
    <t>LUZINETE DOS SANTOS SILVA</t>
  </si>
  <si>
    <t>11-983216459</t>
  </si>
  <si>
    <t>LUZ BUTANTÃ</t>
  </si>
  <si>
    <t>GIRLEIDE SILVA DOS SANTOS</t>
  </si>
  <si>
    <t>11-984120756</t>
  </si>
  <si>
    <t>Samaritano Higi</t>
  </si>
  <si>
    <t>ANTONIO CORTES COSTA</t>
  </si>
  <si>
    <t>11-984685151</t>
  </si>
  <si>
    <t>JOSEFA PEREIRA DA SILVA</t>
  </si>
  <si>
    <t>11-985900642</t>
  </si>
  <si>
    <t>CLAUDIA APARECIDA JOZIAS</t>
  </si>
  <si>
    <t>11-986281510</t>
  </si>
  <si>
    <t>ADRIANA PEREIRA DA SILVA TEODORO</t>
  </si>
  <si>
    <t>11-986291563</t>
  </si>
  <si>
    <t>JOSILENE VENANCIO DE LIMA</t>
  </si>
  <si>
    <t>11-986308483</t>
  </si>
  <si>
    <t>TATIANA CARLA DA SILVA FERREIRA</t>
  </si>
  <si>
    <t>11-986531060</t>
  </si>
  <si>
    <t>TALUANY MEIRELLE DA SILVA</t>
  </si>
  <si>
    <t>11-987034927</t>
  </si>
  <si>
    <t>CAROLINA BOCHI DOS SANTOS</t>
  </si>
  <si>
    <t>11-987285156</t>
  </si>
  <si>
    <t>MARIA MADALENA DOS SANTOS</t>
  </si>
  <si>
    <t>11-987639390</t>
  </si>
  <si>
    <t>THAIS CAVALETTI</t>
  </si>
  <si>
    <t>11-991081616</t>
  </si>
  <si>
    <t>Amil Espaço Saúde - Ana Rosa </t>
  </si>
  <si>
    <t>ADRIANA DE SOUZA GENEROSO CAMPOS</t>
  </si>
  <si>
    <t>11-991930611</t>
  </si>
  <si>
    <t>CELIA CRISTINA DA SILVA</t>
  </si>
  <si>
    <t>11-992805147</t>
  </si>
  <si>
    <t>FAUZE CARLOS SILVA CONTRO</t>
  </si>
  <si>
    <t>11-993503110</t>
  </si>
  <si>
    <t>HOSPITAL SAMARITANO</t>
  </si>
  <si>
    <t>MARIA LUIZA PEREIRA SILVA</t>
  </si>
  <si>
    <t>11-994067317</t>
  </si>
  <si>
    <t>LIZEU MATHIAS</t>
  </si>
  <si>
    <t>11-994743812</t>
  </si>
  <si>
    <t>SUELI ARAUJO BREGGE</t>
  </si>
  <si>
    <t>11-995218545</t>
  </si>
  <si>
    <t>VALERIA CRISTINA ARANHA</t>
  </si>
  <si>
    <t>11-995971626</t>
  </si>
  <si>
    <t>MARIA RAIMUNDA DA SILVA</t>
  </si>
  <si>
    <t>11-985107686</t>
  </si>
  <si>
    <t>CLAUDEMIR BALIEGA</t>
  </si>
  <si>
    <t>11-997735585</t>
  </si>
  <si>
    <t>JOEL DE SOUZA SANTOS</t>
  </si>
  <si>
    <t>11-997841082</t>
  </si>
  <si>
    <t>CLAUDETE MARQUES DOS REIS</t>
  </si>
  <si>
    <t>11-998153477</t>
  </si>
  <si>
    <t>AMIL HOSPITAL LUZ</t>
  </si>
  <si>
    <t>SERGIO ALENCAR FRANCO</t>
  </si>
  <si>
    <t>11-999007123</t>
  </si>
  <si>
    <t>EVERALDO FIGUEIREDO DOS REIS</t>
  </si>
  <si>
    <t>11-999024439</t>
  </si>
  <si>
    <t>BEATRIZ CELESTINO DE BRITO</t>
  </si>
  <si>
    <t>18-997603141</t>
  </si>
  <si>
    <t>ROSANGELA PALHARES MUNHOS LONGHI</t>
  </si>
  <si>
    <t>TABOAO DA SERRA</t>
  </si>
  <si>
    <t>11-985377455</t>
  </si>
  <si>
    <t>AMIL SANTO AMARO</t>
  </si>
  <si>
    <t>MARIUZA FRANCISCO ADAO CRUZATI</t>
  </si>
  <si>
    <t>11-998204492 / 11 97385-6563</t>
  </si>
  <si>
    <t>Ana Maria Barbosa Justo</t>
  </si>
  <si>
    <t>72557079715</t>
  </si>
  <si>
    <t>MARYWAL TEIXEIRA DE FREITAS</t>
  </si>
  <si>
    <t>11-982212653</t>
  </si>
  <si>
    <t>Amil - Ud Cubatão Sp - Hospital Da Luz </t>
  </si>
  <si>
    <t xml:space="preserve">RAFAELA LEITE DOS SANTOS </t>
  </si>
  <si>
    <t>389.587.688-78</t>
  </si>
  <si>
    <t>JARDIM IMBE</t>
  </si>
  <si>
    <t>PHILIPPE ANDRE GAIL</t>
  </si>
  <si>
    <t>11-996730593</t>
  </si>
  <si>
    <t>fora do escopo</t>
  </si>
  <si>
    <t>PACIENTE NÃO ELEGÍVEL FORA DO ESCOPO - EM USO DE ASPIRINA. </t>
  </si>
  <si>
    <t>LUIZ CLAUDIO MIRANDA CAVALCANTE</t>
  </si>
  <si>
    <t>VILA JUPITER</t>
  </si>
  <si>
    <t>EDVANIA MACENA DO NASCIMENTO</t>
  </si>
  <si>
    <t>309.921.558-94</t>
  </si>
  <si>
    <t>PORTAL D'OESTE</t>
  </si>
  <si>
    <t>NÍVEL  80</t>
  </si>
  <si>
    <t>HOSPITAL SANTA HELENA - SÃO BERNARDO</t>
  </si>
  <si>
    <t>VERUSCA PEREIRA DA SILVA LEMOS</t>
  </si>
  <si>
    <t>CENTRO</t>
  </si>
  <si>
    <t>(48) 98815-2882</t>
  </si>
  <si>
    <t>ALESSANDRA TOMAZ DOS SANTOS</t>
  </si>
  <si>
    <t>SÃO PAULO</t>
  </si>
  <si>
    <t>JARDIM PEDRO JOSE NUNES</t>
  </si>
  <si>
    <t>(11) 983019479</t>
  </si>
  <si>
    <t>RICARDO BATISTA OLIVEIRA</t>
  </si>
  <si>
    <t>CAMPO GRANDE</t>
  </si>
  <si>
    <t>JUREMA DA SILVA OLIVEIRA DINIZ</t>
  </si>
  <si>
    <t>11-995456145</t>
  </si>
  <si>
    <t>CICERA GOMES DOS SANTOS</t>
  </si>
  <si>
    <t>11-952050332</t>
  </si>
  <si>
    <t>3. Recusa por falta de interesse</t>
  </si>
  <si>
    <t>Recusa</t>
  </si>
  <si>
    <t>Desflagado</t>
  </si>
  <si>
    <t>LUIZ ANTONIO DA SILVA</t>
  </si>
  <si>
    <t>11-997071464</t>
  </si>
  <si>
    <t>PEDRO HENRIQUE DA SILVA COSTA</t>
  </si>
  <si>
    <t>21-981692401</t>
  </si>
  <si>
    <t>4. Exclusão do plano</t>
  </si>
  <si>
    <t>Contato Sem Sucesso</t>
  </si>
  <si>
    <t>ADRIANA DE ANDRADE CARVALHO NAGATANI</t>
  </si>
  <si>
    <t>61-982029967</t>
  </si>
  <si>
    <t>4. Inelegível fora do escopo</t>
  </si>
  <si>
    <t>CAIQUE DA SILVA MARIQUETTI</t>
  </si>
  <si>
    <t>NÍVEL 800</t>
  </si>
  <si>
    <t>11-963139818</t>
  </si>
  <si>
    <t>CARLA ADRIANA GONCALVES THOME</t>
  </si>
  <si>
    <t>21-973100483</t>
  </si>
  <si>
    <t>DAYANE CRISTINA MARTINS CORDEIRO SANT ANA</t>
  </si>
  <si>
    <t>SAO JOSE DOS PINHAIS</t>
  </si>
  <si>
    <t>41-984440555</t>
  </si>
  <si>
    <t xml:space="preserve">Navegação </t>
  </si>
  <si>
    <t>097060333</t>
  </si>
  <si>
    <t>FABIO FABRI PEREIRA</t>
  </si>
  <si>
    <t>VILA LIVIERO</t>
  </si>
  <si>
    <t>GABRIELA ROSA CASSIANO</t>
  </si>
  <si>
    <t>11-954631764</t>
  </si>
  <si>
    <t>JESSICA DIAS LACERDA</t>
  </si>
  <si>
    <t>21-987701301</t>
  </si>
  <si>
    <t>KELLY SILVA DE MIRANDA</t>
  </si>
  <si>
    <t>11-959303344</t>
  </si>
  <si>
    <t>LARISSA COSTA DOS SANTOS</t>
  </si>
  <si>
    <t>11-949699777</t>
  </si>
  <si>
    <t>LARISSA LARRUBIA SAADI</t>
  </si>
  <si>
    <t>11-932145560</t>
  </si>
  <si>
    <t>451569202</t>
  </si>
  <si>
    <t>LAURINDA MALACHIAS FERNANDES</t>
  </si>
  <si>
    <t>VILA MARIANA</t>
  </si>
  <si>
    <t>1150830738 11975413240</t>
  </si>
  <si>
    <t>GILVANIA MARIA DOS SANTOS</t>
  </si>
  <si>
    <t>11-913639819</t>
  </si>
  <si>
    <t>MARIANE JOZELE DIAS BATISTA GONZALES</t>
  </si>
  <si>
    <t>21-992590201</t>
  </si>
  <si>
    <t>NOEMI MELISSA MENDES DOS SANTOS</t>
  </si>
  <si>
    <t>11-976517869</t>
  </si>
  <si>
    <t>ÚLTIMA COLETA 12/4/226 RESULTADO 1,12</t>
  </si>
  <si>
    <t>PATRICIA MARIA DA SILVA RIBEIRO</t>
  </si>
  <si>
    <t>11-944701936</t>
  </si>
  <si>
    <t>RAFAELLE CRISTINE CORREIRA DE ASSIS</t>
  </si>
  <si>
    <t>11-944812461</t>
  </si>
  <si>
    <t>REUMATOLOGIA</t>
  </si>
  <si>
    <t>RENATA BARBORINO RIBEIRO</t>
  </si>
  <si>
    <t>21-984490049</t>
  </si>
  <si>
    <t>SANDRA RAMOS CASEMRIO</t>
  </si>
  <si>
    <t>11-995627542</t>
  </si>
  <si>
    <t>THAIS KUHLMANN DE CAMPOS REMIDIO</t>
  </si>
  <si>
    <t>11-941463379</t>
  </si>
  <si>
    <t>VERA LUCIA MARTINELLI</t>
  </si>
  <si>
    <t>21-991753438</t>
  </si>
  <si>
    <t>CRISTIANE SOARES DE SOUZA</t>
  </si>
  <si>
    <t>11-965480797</t>
  </si>
  <si>
    <t>CAROLINE DOS SANTOS ARRAIS LIRA</t>
  </si>
  <si>
    <t>11-974718021</t>
  </si>
  <si>
    <t>CLEBER ANTONIO DA SILVA PINHEIRO</t>
  </si>
  <si>
    <t>11-986241553</t>
  </si>
  <si>
    <t>MARCIA TERESA JORGE VIANNA</t>
  </si>
  <si>
    <t>11-919454848</t>
  </si>
  <si>
    <t>LUCCA AGUIAR TAVARES DE MELO</t>
  </si>
  <si>
    <t>11-983661191</t>
  </si>
  <si>
    <t>MARCOS LOPES DA SILVA</t>
  </si>
  <si>
    <t>21-996034082</t>
  </si>
  <si>
    <t>Captação + Navegação</t>
  </si>
  <si>
    <t>Forms Total Care</t>
  </si>
  <si>
    <t>MARIA ALVES DA SILVA</t>
  </si>
  <si>
    <t>MARIANA ALVES DA SILVA</t>
  </si>
  <si>
    <t>PIRAI</t>
  </si>
  <si>
    <t>24-988750168</t>
  </si>
  <si>
    <t>FORA DO ESCOPO.</t>
  </si>
  <si>
    <t>NAIANE DE JESUS MENDONCA FERREIRA</t>
  </si>
  <si>
    <t>21-968184055</t>
  </si>
  <si>
    <t>FELIPE ALVES MILITAO</t>
  </si>
  <si>
    <t>11-953610555</t>
  </si>
  <si>
    <t>FORA DO ESCOPO</t>
  </si>
  <si>
    <t>VANUSA DE SOUSA DA SILVA</t>
  </si>
  <si>
    <t>11-957016814</t>
  </si>
  <si>
    <t>YASMIN VIEIRA DA SILVA</t>
  </si>
  <si>
    <t>11-981424618</t>
  </si>
  <si>
    <t>JOEL ALVES DE OLIVEIRA</t>
  </si>
  <si>
    <t>APUCARANA</t>
  </si>
  <si>
    <t>11-967272446</t>
  </si>
  <si>
    <t>6. Contato sem sucesso</t>
  </si>
  <si>
    <t>PEDRO HENRIQUE ROCHA DOS SANTOS</t>
  </si>
  <si>
    <t>BELFORD ROXO</t>
  </si>
  <si>
    <t>21-966501374</t>
  </si>
  <si>
    <t>TANIA REGINA CASTELLO BRANCO DE CASTRO</t>
  </si>
  <si>
    <t>BLUMENAU</t>
  </si>
  <si>
    <t>47-999465521</t>
  </si>
  <si>
    <t>JOSEFINA PEREIRA DE ANDRADE</t>
  </si>
  <si>
    <t>11-998043886</t>
  </si>
  <si>
    <t>FERNANDO OLIVEIRA SANTOS JUNIOR</t>
  </si>
  <si>
    <t>11-964251982</t>
  </si>
  <si>
    <t>SILVIA SUELI DOS SANTOS GOMES</t>
  </si>
  <si>
    <t>11-982778995</t>
  </si>
  <si>
    <t>ROSINEIDE FALCAO DA SILVA</t>
  </si>
  <si>
    <t xml:space="preserve">11-942053545 </t>
  </si>
  <si>
    <t>ANDREZA VALETE DESTIDO</t>
  </si>
  <si>
    <t>MARIO REIS BERNARDES DE SENNA</t>
  </si>
  <si>
    <t>MIGUEL PEREIRA</t>
  </si>
  <si>
    <t>21-969769733</t>
  </si>
  <si>
    <t>ELIANE ROCHA DE OLIVEIRA</t>
  </si>
  <si>
    <t>21-986047976</t>
  </si>
  <si>
    <t>ALEX XAVIER DE SOUSA</t>
  </si>
  <si>
    <t>11-951252484</t>
  </si>
  <si>
    <t>MILTON PEREIRA DOS SANTOS</t>
  </si>
  <si>
    <t>11-983792719</t>
  </si>
  <si>
    <t>AURELIO LANGA PEREZ</t>
  </si>
  <si>
    <t>21-981479977</t>
  </si>
  <si>
    <t>MONICA SOARES DO SACRAMENTO</t>
  </si>
  <si>
    <t>21-981494007</t>
  </si>
  <si>
    <t>JULIANA LINO DE PAULO</t>
  </si>
  <si>
    <t>21-996093252</t>
  </si>
  <si>
    <t>ROSANGELA ROSANOVA ROMANELI</t>
  </si>
  <si>
    <t>21-999235743</t>
  </si>
  <si>
    <t>SIMAURA DE CARVALHO PEREIRA</t>
  </si>
  <si>
    <t>11-958535039</t>
  </si>
  <si>
    <t>CAMILLA ESTRADA CARVALHO CORREA</t>
  </si>
  <si>
    <t>11-968214394</t>
  </si>
  <si>
    <t>ELENI OLIVEIRA ROQUE BERNARDO</t>
  </si>
  <si>
    <t>11-932259780</t>
  </si>
  <si>
    <t>ERENILDA MARQUES DE SOUZA</t>
  </si>
  <si>
    <t>11-947781729</t>
  </si>
  <si>
    <t>ANGELA MURILLO TORRES</t>
  </si>
  <si>
    <t>11-952712568</t>
  </si>
  <si>
    <t>ELISANGELA BATISTA FREIRE DA SILVA</t>
  </si>
  <si>
    <t>11-955809100</t>
  </si>
  <si>
    <t>JESSICA FEITOSA BATISTA DE SOUSA</t>
  </si>
  <si>
    <t>11-955819531</t>
  </si>
  <si>
    <t>MAURICIO LUIZ SZACHER</t>
  </si>
  <si>
    <t>11-967917122</t>
  </si>
  <si>
    <t>DELMA APARECIDA DA SILVA</t>
  </si>
  <si>
    <t>11-970712845</t>
  </si>
  <si>
    <t>MARIA HAYDEE MOLICA NOGUEIRA</t>
  </si>
  <si>
    <t>11-977935783</t>
  </si>
  <si>
    <t>MEIRE MORGANA DE OLIVEIRA ESCUDERO</t>
  </si>
  <si>
    <t>11-979741998</t>
  </si>
  <si>
    <t>MIGUEL ARRUDA ALVES</t>
  </si>
  <si>
    <t>BERISVALDO GONCALVES FERREIRA</t>
  </si>
  <si>
    <t>11-981755390</t>
  </si>
  <si>
    <t>MANUEL FERREIRA DA SILVA</t>
  </si>
  <si>
    <t>11-982373958</t>
  </si>
  <si>
    <t>LIDIA CHIARAMONTE</t>
  </si>
  <si>
    <t>11-993534506</t>
  </si>
  <si>
    <t>7. Em fase de captação</t>
  </si>
  <si>
    <t>Inativo</t>
  </si>
  <si>
    <t>ISAURA VALBO</t>
  </si>
  <si>
    <t>11-996209731</t>
  </si>
  <si>
    <t>RUBENS ROBERTO RIGONATI</t>
  </si>
  <si>
    <t>11-998753050</t>
  </si>
  <si>
    <t>CARLOS ALBERTO MARTINS DE CARVALHO</t>
  </si>
  <si>
    <t>47-999159777</t>
  </si>
  <si>
    <t>APARECIDA BUENO PAIXAO</t>
  </si>
  <si>
    <t>SUZANO</t>
  </si>
  <si>
    <t>11-951975015</t>
  </si>
  <si>
    <t>LINDOLFO BATISTA DE OLIVEIRA</t>
  </si>
  <si>
    <t>11-984844713</t>
  </si>
  <si>
    <t>JULIO TADEU PALHARES</t>
  </si>
  <si>
    <t>CAMPINAS</t>
  </si>
  <si>
    <t>19-992499337</t>
  </si>
  <si>
    <t>LUIZ LIGESKI</t>
  </si>
  <si>
    <t>PR</t>
  </si>
  <si>
    <t>CURITIBA</t>
  </si>
  <si>
    <t>41-995089900</t>
  </si>
  <si>
    <t>DEBORA APARECIDA MENEZES HONO</t>
  </si>
  <si>
    <t>11-946101415</t>
  </si>
  <si>
    <t>PAULO BARBOSA DOS SANTOS</t>
  </si>
  <si>
    <t>11-970566271</t>
  </si>
  <si>
    <t>ANA RITA SANTOS FERREIRA</t>
  </si>
  <si>
    <t>11-984395500</t>
  </si>
  <si>
    <t>EDNEUZA SOUZA DE MACEDO</t>
  </si>
  <si>
    <t>21-964219694</t>
  </si>
  <si>
    <t>MARIA JOSE DE OLIVEIRA</t>
  </si>
  <si>
    <t>CE</t>
  </si>
  <si>
    <t>FORTALEZA</t>
  </si>
  <si>
    <t>85-900000000</t>
  </si>
  <si>
    <t>TEREZINHA COSTA CASTIGLIONI</t>
  </si>
  <si>
    <t>85-999974681</t>
  </si>
  <si>
    <t>DANIELE CRISTINE CORREA</t>
  </si>
  <si>
    <t>FRANCO DA ROCHA</t>
  </si>
  <si>
    <t>11-963041586</t>
  </si>
  <si>
    <t>JOSE RICARDO AMANCIO DE SOUZA</t>
  </si>
  <si>
    <t>11-983760123</t>
  </si>
  <si>
    <t>ANTONIO JOSE MARIANO</t>
  </si>
  <si>
    <t>11-998473235</t>
  </si>
  <si>
    <t>WILSON LOUDOVICO DOS SANTOS</t>
  </si>
  <si>
    <t>11-971747722</t>
  </si>
  <si>
    <t>KIYOSHI HAYAKAWA</t>
  </si>
  <si>
    <t>JANDIRA</t>
  </si>
  <si>
    <t>11-997717033</t>
  </si>
  <si>
    <t>VALDA CAROLINA DA CRUZ</t>
  </si>
  <si>
    <t>JUNDIAI</t>
  </si>
  <si>
    <t>11-971615517</t>
  </si>
  <si>
    <t>TATIANE DAMARIS BENEDITO SERAPHIM</t>
  </si>
  <si>
    <t>11-973334748</t>
  </si>
  <si>
    <t>CRISTINA APARECIDA ZERNERI SHIMONO</t>
  </si>
  <si>
    <t>PRAIA GRANDE</t>
  </si>
  <si>
    <t>11-995773342</t>
  </si>
  <si>
    <t>WILMA GONCALVES DE BARROS DIAS HOLANDA CAVALCANTI</t>
  </si>
  <si>
    <t>RECIFE</t>
  </si>
  <si>
    <t>81-999744020</t>
  </si>
  <si>
    <t>RICARDO CORDEIRO DE SOUZA</t>
  </si>
  <si>
    <t>11-985666241</t>
  </si>
  <si>
    <t>ARMANDO DA SILVA FIGUEIREDO</t>
  </si>
  <si>
    <t>21-969954983</t>
  </si>
  <si>
    <t>MARCELO PINHEIRO DOS SANTOS</t>
  </si>
  <si>
    <t>21-970913830</t>
  </si>
  <si>
    <t>MANOEL RICARDO SANT ANA DIOGO</t>
  </si>
  <si>
    <t>21-973895418</t>
  </si>
  <si>
    <t>GUSTAVO HENRIQUE CORREA PUGA</t>
  </si>
  <si>
    <t>21-981113851</t>
  </si>
  <si>
    <t>JOSE OLIVEIRA ALBUQUERQUE SEBASTIAO</t>
  </si>
  <si>
    <t>21-988096954</t>
  </si>
  <si>
    <t>GILDA PEIXOTO</t>
  </si>
  <si>
    <t>CLELIA CRISTINA BOTELHO VIEIRA</t>
  </si>
  <si>
    <t>21-994049551</t>
  </si>
  <si>
    <t>NATANAEL NASCIMENTO ALMEIDA</t>
  </si>
  <si>
    <t>21-995020694</t>
  </si>
  <si>
    <t>JANETE TAVARES VASSAR</t>
  </si>
  <si>
    <t>21-998093666</t>
  </si>
  <si>
    <t>IRACELMA SANTANA DE JESUS</t>
  </si>
  <si>
    <t>SALVADOR</t>
  </si>
  <si>
    <t>71-993260277</t>
  </si>
  <si>
    <t>TEREZA VIALLI FAGIONATO</t>
  </si>
  <si>
    <t>11-941433975</t>
  </si>
  <si>
    <t>JANETE APARECIDA VIEIRA</t>
  </si>
  <si>
    <t>SAO CAETANO DO SUL</t>
  </si>
  <si>
    <t>11-993102662</t>
  </si>
  <si>
    <t>ALEXSANDRA DE CAMPOS PASSOS</t>
  </si>
  <si>
    <t>SAO GONÇALO</t>
  </si>
  <si>
    <t>21-994333608</t>
  </si>
  <si>
    <t>JOSE ROSEMBERG DE ANDRADE SOUZA</t>
  </si>
  <si>
    <t>SAO JOSE</t>
  </si>
  <si>
    <t>92-991233583</t>
  </si>
  <si>
    <t>DORACI GODOY DE ALMEIDA</t>
  </si>
  <si>
    <t>11-38683041</t>
  </si>
  <si>
    <t>TEREZA FERREIRA DOMICIANO</t>
  </si>
  <si>
    <t>11-947364058</t>
  </si>
  <si>
    <t>CICERO DA ROCHA</t>
  </si>
  <si>
    <t>11-948291662</t>
  </si>
  <si>
    <t>VANDERLEI ROBERTO FERREIRA</t>
  </si>
  <si>
    <t>11-953140242</t>
  </si>
  <si>
    <t>RODRIGO PABLO DE PAULA</t>
  </si>
  <si>
    <t>11-954882442</t>
  </si>
  <si>
    <t>LAUANE RIBEIRO CARDIA</t>
  </si>
  <si>
    <t>11-960150755</t>
  </si>
  <si>
    <t>FERNANDO MOURA</t>
  </si>
  <si>
    <t>11-961156639</t>
  </si>
  <si>
    <t>JOSE DERMIVAL MACEDO BARROS</t>
  </si>
  <si>
    <t>11-964123296</t>
  </si>
  <si>
    <t>MANOEL JUCIMAR DA SILVA</t>
  </si>
  <si>
    <t>11-964408963</t>
  </si>
  <si>
    <t>SERGIO FRANCISCO DA SILVA DO NASCIMENTO</t>
  </si>
  <si>
    <t>11-965821635</t>
  </si>
  <si>
    <t>SECIA SOBRAL</t>
  </si>
  <si>
    <t>11-966163642</t>
  </si>
  <si>
    <t>JUCIMARA DE FATIMA DE MATOS LEAO</t>
  </si>
  <si>
    <t>11-968737417</t>
  </si>
  <si>
    <t>FRANCISCA MARIA DOS SANTOS</t>
  </si>
  <si>
    <t>11-972651558</t>
  </si>
  <si>
    <t>ELIANA APARECIDA DA SILVA</t>
  </si>
  <si>
    <t>11-977648132</t>
  </si>
  <si>
    <t>RAUL NATANAEL GONCALVES</t>
  </si>
  <si>
    <t>11-978017217</t>
  </si>
  <si>
    <t>SABRINA ESPOSITO DA SILVA VIEIRA</t>
  </si>
  <si>
    <t>11-982012981</t>
  </si>
  <si>
    <t>BRUNA MAGALHAES BUENO</t>
  </si>
  <si>
    <t>11-982513027</t>
  </si>
  <si>
    <t>FERNANDO ANTONIO LOURENCO GRATON</t>
  </si>
  <si>
    <t>11-983019935</t>
  </si>
  <si>
    <t>LUIZ CLAUDINEI DATRI</t>
  </si>
  <si>
    <t>11-983302933</t>
  </si>
  <si>
    <t>RODRIGO GOMES BRITO</t>
  </si>
  <si>
    <t>11-983576172</t>
  </si>
  <si>
    <t>MARIA CRISTINA ALMEIDA LEITE</t>
  </si>
  <si>
    <t>11-984220139</t>
  </si>
  <si>
    <t>APARECIDA DA SILVA PEREIRA</t>
  </si>
  <si>
    <t>11-985427170</t>
  </si>
  <si>
    <t>RAFAEL RODRIGO DE LIMA SEMEAO</t>
  </si>
  <si>
    <t>11-986030789</t>
  </si>
  <si>
    <t>SEVERINO JOSE DE OLIVEIRA</t>
  </si>
  <si>
    <t>11-987074509</t>
  </si>
  <si>
    <t>VILMA DE ARAUJO SOUZA</t>
  </si>
  <si>
    <t>11-989824597</t>
  </si>
  <si>
    <t>MARIA ECI LEMOS</t>
  </si>
  <si>
    <t>11-991211708</t>
  </si>
  <si>
    <t>MARIA AMELIA NOGUEIRA DA SILVA</t>
  </si>
  <si>
    <t>11-991803719</t>
  </si>
  <si>
    <t>GABRIEL LOPES BARBOSA DA SILVA</t>
  </si>
  <si>
    <t>11-991857249</t>
  </si>
  <si>
    <t>JANDIRA APDA DE MENDONCA</t>
  </si>
  <si>
    <t>11-992201940</t>
  </si>
  <si>
    <t>BENEDITO BUENO</t>
  </si>
  <si>
    <t>11-993730916</t>
  </si>
  <si>
    <t>SILVIO PASCOAL</t>
  </si>
  <si>
    <t>11-993768004</t>
  </si>
  <si>
    <t>TAMIRES SILVA DE SOUZA</t>
  </si>
  <si>
    <t>11-994772942</t>
  </si>
  <si>
    <t>DORIA ALBUQUERQUE FERREIRA</t>
  </si>
  <si>
    <t>11-996572020</t>
  </si>
  <si>
    <t>MARIA APARECIDA PALMEIRA GARCIA</t>
  </si>
  <si>
    <t>11-998099594</t>
  </si>
  <si>
    <t>SAMARA DURANTE ATHAYDE</t>
  </si>
  <si>
    <t>11-998558270</t>
  </si>
  <si>
    <t>FABIANA MAGDA CORREA DE SIQUEIRA</t>
  </si>
  <si>
    <t>11-999045884</t>
  </si>
  <si>
    <t>MARCO ANTONIO DE ANGELIS</t>
  </si>
  <si>
    <t>11-999941192</t>
  </si>
  <si>
    <t>VANESSA DE OLIVEIRA MAGALHAES</t>
  </si>
  <si>
    <t>11-999967392</t>
  </si>
  <si>
    <t>BERNARDO PETRIZ DE ASSIS</t>
  </si>
  <si>
    <t>61-986441081</t>
  </si>
  <si>
    <t>NEEMIAS BAPTISTA DA SILVA</t>
  </si>
  <si>
    <t>NI-NI</t>
  </si>
  <si>
    <t>WALTER SIMOES BASTOS</t>
  </si>
  <si>
    <t>SAO ROQUE</t>
  </si>
  <si>
    <t>11-983805683</t>
  </si>
  <si>
    <t>MARCIA PEREIRA DA SILVA</t>
  </si>
  <si>
    <t>guarulhos</t>
  </si>
  <si>
    <t>NIVEL 50</t>
  </si>
  <si>
    <t>(11) 940366388/11960294921</t>
  </si>
  <si>
    <t>NATALI FERREIRA DA COSTA LIMA</t>
  </si>
  <si>
    <t>JARDIM SAO PAULO</t>
  </si>
  <si>
    <t>MARTA TADEU MORALES CAPRERA</t>
  </si>
  <si>
    <t>105.030.718-62</t>
  </si>
  <si>
    <t>JARDIM INDEPENDENCIA</t>
  </si>
  <si>
    <t>WESLEY BARBOSA AGAPITO</t>
  </si>
  <si>
    <t>ITAIM PAULISTA</t>
  </si>
  <si>
    <t>PAULO FRANCISCO VERA CRUZ</t>
  </si>
  <si>
    <t>BROOKLIN PAULISTA</t>
  </si>
  <si>
    <t>LEONIDAS EMILIO DA SILVA</t>
  </si>
  <si>
    <t xml:space="preserve">CIDADE DUTRA </t>
  </si>
  <si>
    <t>11947820191 / 11948338306 / 11947092218</t>
  </si>
  <si>
    <t>TANIA FEITOSA DE ARAUJO</t>
  </si>
  <si>
    <t>Giovanna</t>
  </si>
  <si>
    <t>Amil Espaço Saúde - Guarulhos 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</si>
  <si>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</si>
  <si>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</si>
  <si>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</si>
  <si>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</si>
  <si>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</si>
  <si>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</si>
  <si>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</si>
  <si>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</si>
  <si>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</si>
  <si>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</si>
  <si>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</si>
  <si>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</si>
  <si>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</si>
  <si>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</si>
  <si>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</si>
  <si>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</si>
  <si>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</si>
  <si>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</si>
  <si>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</si>
  <si>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</si>
  <si>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</si>
  <si>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</si>
  <si>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</si>
  <si>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</si>
  <si>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</si>
  <si>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</si>
  <si>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</si>
  <si>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</si>
  <si>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</si>
  <si>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</si>
  <si>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</si>
  <si>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</si>
  <si>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</si>
  <si>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</si>
  <si>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</si>
  <si>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</si>
  <si>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</si>
  <si>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</si>
  <si>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</si>
  <si>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</si>
  <si>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</si>
  <si>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</si>
  <si>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</si>
  <si>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</si>
  <si>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</si>
  <si>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</si>
  <si>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</si>
  <si>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</si>
  <si>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</si>
  <si>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Não realizada - Desistência</t>
  </si>
  <si>
    <t>Sem Preenchimento</t>
  </si>
  <si>
    <t>ORIGEM</t>
  </si>
  <si>
    <t>GSC</t>
  </si>
  <si>
    <t>Triggers</t>
  </si>
  <si>
    <t xml:space="preserve">Viva Bem 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</si>
  <si>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</si>
  <si>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</si>
  <si>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</si>
  <si>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</si>
  <si>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</si>
  <si>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</si>
  <si>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Navegação</t>
  </si>
  <si>
    <t>Unidade Avançada Luz João Dias</t>
  </si>
  <si>
    <t>Pendente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</si>
  <si>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</si>
  <si>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</si>
  <si>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</si>
  <si>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</si>
  <si>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</si>
  <si>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</si>
  <si>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</si>
  <si>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</si>
  <si>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</si>
  <si>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</si>
  <si>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</si>
  <si>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</si>
  <si>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</si>
  <si>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</si>
  <si>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</si>
  <si>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</si>
  <si>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</si>
  <si>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</si>
  <si>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</si>
  <si>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</si>
  <si>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</si>
  <si>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</si>
  <si>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</si>
  <si>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</si>
  <si>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</si>
  <si>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</si>
  <si>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</si>
  <si>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</si>
  <si>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Externo - Outros</t>
  </si>
  <si>
    <t>Próstata</t>
  </si>
  <si>
    <t>Nao</t>
  </si>
  <si>
    <t>Pulmão</t>
  </si>
  <si>
    <t>Autoimunidade</t>
  </si>
  <si>
    <t>CMDP - Centro Médico Dom Pedro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</si>
  <si>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</si>
  <si>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</si>
  <si>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</si>
  <si>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</si>
  <si>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</si>
  <si>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</si>
  <si>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</si>
  <si>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</si>
  <si>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</si>
  <si>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</si>
  <si>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</si>
  <si>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</si>
  <si>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</si>
  <si>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</si>
  <si>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</si>
  <si>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</si>
  <si>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</si>
  <si>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</si>
  <si>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</si>
  <si>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</si>
  <si>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</si>
  <si>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</si>
  <si>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</si>
  <si>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</si>
  <si>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</si>
  <si>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</si>
  <si>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</si>
  <si>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</si>
  <si>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</si>
  <si>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</si>
  <si>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</si>
  <si>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</si>
  <si>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</si>
  <si>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</si>
  <si>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</si>
  <si>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</si>
  <si>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</si>
  <si>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</si>
  <si>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</si>
  <si>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</si>
  <si>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</si>
  <si>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</si>
  <si>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</si>
  <si>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</si>
  <si>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</si>
  <si>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</si>
  <si>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</si>
  <si>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</si>
  <si>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</si>
  <si>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</si>
  <si>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</si>
  <si>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</si>
  <si>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</si>
  <si>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</si>
  <si>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</si>
  <si>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</si>
  <si>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</si>
  <si>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</si>
  <si>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</si>
  <si>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</si>
  <si>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</si>
  <si>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</si>
  <si>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</si>
  <si>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</si>
  <si>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</si>
  <si>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</si>
  <si>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</si>
  <si>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</si>
  <si>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</si>
  <si>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</si>
  <si>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</si>
  <si>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</si>
  <si>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</si>
  <si>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</si>
  <si>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</si>
  <si>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</si>
  <si>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</si>
  <si>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</si>
  <si>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</si>
  <si>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</si>
  <si>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</si>
  <si>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</si>
  <si>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</si>
  <si>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</si>
  <si>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</si>
  <si>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</si>
  <si>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</si>
  <si>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</si>
  <si>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</si>
  <si>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</si>
  <si>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</si>
  <si>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</si>
  <si>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</si>
  <si>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</si>
  <si>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</si>
  <si>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</si>
  <si>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</si>
  <si>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INGRID MAGALHAES ALARCON RODRIGUES</t>
  </si>
  <si>
    <t>365.245.648-39</t>
  </si>
  <si>
    <t>EMBU-GUAÇU</t>
  </si>
  <si>
    <t>CIPOZINHO</t>
  </si>
  <si>
    <t>CINTIA APARECIDA DE OLIVEIRA DA SILVA</t>
  </si>
  <si>
    <t>104.510.897-90</t>
  </si>
  <si>
    <t>PARADA ANGELICA</t>
  </si>
  <si>
    <t>Transbordo/TotalCare</t>
  </si>
  <si>
    <t>Captado Total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</si>
</sst>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9" fillId="11" borderId="0" xfId="0" applyFont="1" applyFill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manda_brancam_amil_com_br/Documents/&#193;rea%20de%20Trabalho/Nova%20Planilha%2022.05/Planilha%20Base%20Atual%2019.05.xlsx" TargetMode="External"/><Relationship Id="rId2" Type="http://schemas.openxmlformats.org/officeDocument/2006/relationships/externalLinkPath" Target="file:///C:\Users\30001581\Downloads\Planilha%20Base%20Atual%2019.05.xlsx" TargetMode="External"/><Relationship Id="rId1" Type="http://schemas.openxmlformats.org/officeDocument/2006/relationships/externalLinkPath" Target="/personal/amanda_brancam_amil_com_br/Documents/&#193;rea%20de%20Trabalho/Nova%20Planilha%2022.05/Planilha%20Base%20Atual%2019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Análise"/>
      <sheetName val="Lista Suspensa"/>
      <sheetName val="MODELO"/>
    </sheetNames>
    <sheetDataSet>
      <sheetData sheetId="0" refreshError="1"/>
      <sheetData sheetId="1">
        <row r="4">
          <cell r="C4" t="str">
            <v>Total</v>
          </cell>
        </row>
      </sheetData>
      <sheetData sheetId="2" refreshError="1"/>
      <sheetData sheetId="3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1D81B5B9-8F8B-44A7-A376-7FCF4CB681DC}">
    <nsvFilter filterId="{9931A248-8A11-4D8E-BACD-A0C0D59E4D18}" ref="A1:AW332" tableId="0">
      <columnFilter colId="16">
        <filter colId="16">
          <x:filters>
            <x:filter val="1. Aceitou o programa"/>
          </x:filters>
        </filter>
      </columnFilter>
      <columnFilter colId="37">
        <filter colId="37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exibeContratoAnterior('36524564839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codeName="Planilha1" filterMode="1">
    <tabColor rgb="FF00B0F0"/>
  </sheetPr>
  <dimension ref="A1:AW566"/>
  <sheetViews>
    <sheetView showGridLines="0" tabSelected="1" zoomScaleNormal="100" workbookViewId="0">
      <pane xSplit="5" ySplit="1" topLeftCell="O150" activePane="bottomRight" state="frozen"/>
      <selection pane="topRight"/>
      <selection pane="bottomLeft"/>
      <selection pane="bottomRight" activeCell="Q2" sqref="Q2:Q331"/>
    </sheetView>
  </sheetViews>
  <sheetFormatPr defaultColWidth="8.88671875" defaultRowHeight="12" customHeight="1" x14ac:dyDescent="0.3"/>
  <cols>
    <col min="1" max="1" width="12.109375" style="31" customWidth="1"/>
    <col min="2" max="2" width="11" style="27" customWidth="1"/>
    <col min="3" max="3" width="16.88671875" style="29" bestFit="1" customWidth="1"/>
    <col min="4" max="4" width="21.6640625" style="29" bestFit="1" customWidth="1"/>
    <col min="5" max="5" width="10" style="28" bestFit="1" customWidth="1"/>
    <col min="6" max="6" width="40.44140625" style="29" bestFit="1" customWidth="1"/>
    <col min="7" max="7" width="11.6640625" style="30" bestFit="1" customWidth="1"/>
    <col min="8" max="8" width="12.6640625" style="27" customWidth="1"/>
    <col min="9" max="9" width="6" style="30" customWidth="1"/>
    <col min="10" max="10" width="6.44140625" style="31" customWidth="1"/>
    <col min="11" max="11" width="6.6640625" style="31" customWidth="1"/>
    <col min="12" max="12" width="18.6640625" style="29" bestFit="1" customWidth="1"/>
    <col min="13" max="13" width="13.44140625" style="29" customWidth="1"/>
    <col min="14" max="14" width="10.33203125" style="31" customWidth="1"/>
    <col min="15" max="15" width="22" style="29" bestFit="1" customWidth="1"/>
    <col min="16" max="16" width="10.33203125" style="32" customWidth="1"/>
    <col min="17" max="17" width="22.5546875" style="31" bestFit="1" customWidth="1"/>
    <col min="18" max="18" width="14.109375" style="27" customWidth="1"/>
    <col min="19" max="19" width="16.5546875" style="27" customWidth="1"/>
    <col min="20" max="20" width="15.88671875" style="27" customWidth="1"/>
    <col min="21" max="21" width="13.6640625" style="27" customWidth="1"/>
    <col min="22" max="24" width="20.5546875" style="27" customWidth="1"/>
    <col min="25" max="25" width="25.5546875" style="33" customWidth="1"/>
    <col min="26" max="26" width="17.109375" style="31" customWidth="1"/>
    <col min="27" max="27" width="17" style="27" customWidth="1"/>
    <col min="28" max="28" width="16.88671875" style="29" customWidth="1"/>
    <col min="29" max="29" width="25.33203125" style="191" customWidth="1"/>
    <col min="30" max="30" width="12.44140625" style="31" customWidth="1"/>
    <col min="31" max="31" width="12.88671875" style="31" customWidth="1"/>
    <col min="32" max="32" width="10" style="31" customWidth="1"/>
    <col min="33" max="33" width="11.109375" style="31" customWidth="1"/>
    <col min="34" max="35" width="24.88671875" style="31" customWidth="1"/>
    <col min="36" max="36" width="10.88671875" style="31" customWidth="1"/>
    <col min="37" max="37" width="13.44140625" style="31" customWidth="1"/>
    <col min="38" max="38" width="8.109375" style="31" customWidth="1"/>
    <col min="39" max="39" width="13" style="31" customWidth="1"/>
    <col min="40" max="40" width="14.5546875" style="45" bestFit="1" customWidth="1"/>
    <col min="41" max="41" width="9.44140625" style="196" customWidth="1"/>
    <col min="42" max="44" width="12.5546875" style="196" customWidth="1"/>
    <col min="45" max="46" width="17.109375" style="196" customWidth="1"/>
    <col min="47" max="47" width="22.33203125" style="196" customWidth="1"/>
    <col min="48" max="49" width="16.88671875" style="196" bestFit="1" customWidth="1"/>
  </cols>
  <sheetData>
    <row r="1" spans="1:49" s="83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104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89" t="s">
        <v>28</v>
      </c>
      <c r="AD1" s="111" t="s">
        <v>29</v>
      </c>
      <c r="AE1" s="111" t="s">
        <v>30</v>
      </c>
      <c r="AF1" s="219" t="s">
        <v>31</v>
      </c>
      <c r="AG1" s="219" t="s">
        <v>32</v>
      </c>
      <c r="AH1" s="108" t="s">
        <v>33</v>
      </c>
      <c r="AI1" s="108" t="s">
        <v>34</v>
      </c>
      <c r="AJ1" s="220" t="s">
        <v>35</v>
      </c>
      <c r="AK1" s="221" t="s">
        <v>36</v>
      </c>
      <c r="AL1" s="221" t="s">
        <v>37</v>
      </c>
      <c r="AM1" s="221" t="s">
        <v>38</v>
      </c>
      <c r="AN1" s="34" t="s">
        <v>39</v>
      </c>
      <c r="AO1" s="195" t="s">
        <v>40</v>
      </c>
      <c r="AP1" s="195" t="s">
        <v>41</v>
      </c>
      <c r="AQ1" s="224" t="s">
        <v>42</v>
      </c>
      <c r="AR1" s="224" t="s">
        <v>43</v>
      </c>
      <c r="AS1" s="195" t="s">
        <v>44</v>
      </c>
      <c r="AT1" s="195" t="s">
        <v>45</v>
      </c>
      <c r="AU1" s="195" t="s">
        <v>46</v>
      </c>
      <c r="AV1" s="195" t="s">
        <v>47</v>
      </c>
      <c r="AW1" s="195" t="s">
        <v>48</v>
      </c>
    </row>
    <row r="2" spans="1:49" ht="12" customHeight="1" x14ac:dyDescent="0.3">
      <c r="A2" s="87" t="s">
        <v>49</v>
      </c>
      <c r="B2" s="88">
        <v>46147</v>
      </c>
      <c r="C2" s="89" t="s">
        <v>50</v>
      </c>
      <c r="D2" s="89" t="s">
        <v>51</v>
      </c>
      <c r="E2" s="90">
        <v>85446146</v>
      </c>
      <c r="F2" s="91" t="s">
        <v>52</v>
      </c>
      <c r="G2" s="92">
        <v>34644803804</v>
      </c>
      <c r="H2" s="93">
        <v>31458</v>
      </c>
      <c r="I2" s="89">
        <v>40</v>
      </c>
      <c r="J2" s="89" t="s">
        <v>53</v>
      </c>
      <c r="K2" s="89" t="s">
        <v>54</v>
      </c>
      <c r="L2" s="89" t="s">
        <v>55</v>
      </c>
      <c r="M2" s="89"/>
      <c r="N2" s="89" t="s">
        <v>56</v>
      </c>
      <c r="O2" s="94" t="s">
        <v>57</v>
      </c>
      <c r="P2" s="95" t="s">
        <v>58</v>
      </c>
      <c r="Q2" s="144" t="s">
        <v>59</v>
      </c>
      <c r="R2" s="121">
        <v>46171</v>
      </c>
      <c r="S2" s="97"/>
      <c r="T2" s="97" t="s">
        <v>60</v>
      </c>
      <c r="U2" s="97" t="s">
        <v>61</v>
      </c>
      <c r="V2" s="93">
        <v>46149</v>
      </c>
      <c r="W2" s="93">
        <v>46161</v>
      </c>
      <c r="X2" s="93">
        <v>46171</v>
      </c>
      <c r="Y2" s="98"/>
      <c r="Z2" s="89" t="s">
        <v>62</v>
      </c>
      <c r="AA2" s="97">
        <v>46180.652776736111</v>
      </c>
      <c r="AB2" s="89" t="s">
        <v>142</v>
      </c>
      <c r="AC2" s="120" t="s">
        <v>63</v>
      </c>
      <c r="AD2" s="89"/>
      <c r="AE2" s="89"/>
      <c r="AF2" s="89"/>
      <c r="AG2" s="89"/>
      <c r="AH2" s="99"/>
      <c r="AI2" s="99"/>
      <c r="AJ2" s="99"/>
      <c r="AK2" s="100"/>
      <c r="AL2" s="100" t="s">
        <v>64</v>
      </c>
      <c r="AM2" s="100" t="s">
        <v>102</v>
      </c>
      <c r="AN2" s="45" t="s">
        <v>65</v>
      </c>
      <c r="AO2" s="198" t="str">
        <f t="shared" ref="AO2:AO65" si="0">MONTH(B2)&amp;"/"&amp;YEAR(B2)</f>
        <v>5/2026</v>
      </c>
      <c r="AP2" s="198">
        <f t="shared" ref="AP2:AP65" si="1">WEEKNUM(B2)-WEEKNUM(EOMONTH(B2,-1)+1)+1</f>
        <v>2</v>
      </c>
      <c r="AQ2" s="45" t="str">
        <f t="shared" ref="AQ2:AQ65" si="2">MONTH(R2)&amp;"/"&amp;YEAR(R2)</f>
        <v>5/2026</v>
      </c>
      <c r="AR2" s="45">
        <f t="shared" ref="AR2:AR65" si="3">WEEKNUM(R2)-WEEKNUM(EOMONTH(R2,-1)+1)+1</f>
        <v>5</v>
      </c>
      <c r="AS2" s="45">
        <f t="shared" ref="AS2:AS65" si="4">IF(AW2="S",IF(Q2="1. Aceitou o programa",R2-B2,0),0)</f>
        <v>0</v>
      </c>
      <c r="AT2" s="45">
        <f t="shared" ref="AT2:AT65" si="5">IF(AW2="S",IF(AND(S2&lt;&gt;"",R2&lt;&gt;""),S2-R2,0),0)</f>
        <v>0</v>
      </c>
      <c r="AU2" s="45">
        <f t="shared" ref="AU2:AU65" si="6">IF(AW2="S",IF(Q2="1. Aceitou o programa",IF(OR(X2="Não se Aplica",X2=""),IF(OR(W2="Não se Aplica",W2=""),0,W2-V2),AVERAGE(X2-W2,W2-V2)),0),0)</f>
        <v>0</v>
      </c>
      <c r="AV2" s="45">
        <f t="shared" ref="AV2:AV33" si="7">IF(AW2="S",IF(AND(Q2="1. Aceitou o programa",AB2="Realizada"),IFERROR(IF(AA2="",0,AA2-R2),0),0),0)</f>
        <v>0</v>
      </c>
      <c r="AW2" s="45" t="str">
        <f>_xlfn.XLOOKUP(W2,'Lista Suspensa'!$AA$20:$AA$23,'Lista Suspensa'!$AB$20:$AB$23,"N/A")</f>
        <v>N/A</v>
      </c>
    </row>
    <row r="3" spans="1:49" ht="12" hidden="1" customHeight="1" x14ac:dyDescent="0.3">
      <c r="A3" s="87" t="s">
        <v>49</v>
      </c>
      <c r="B3" s="88">
        <v>46147</v>
      </c>
      <c r="C3" s="89" t="s">
        <v>50</v>
      </c>
      <c r="D3" s="89" t="s">
        <v>51</v>
      </c>
      <c r="E3" s="90">
        <v>89181160</v>
      </c>
      <c r="F3" s="91" t="s">
        <v>66</v>
      </c>
      <c r="G3" s="92">
        <v>18853578858</v>
      </c>
      <c r="H3" s="93">
        <v>26800</v>
      </c>
      <c r="I3" s="89">
        <v>53</v>
      </c>
      <c r="J3" s="89" t="s">
        <v>67</v>
      </c>
      <c r="K3" s="89" t="s">
        <v>54</v>
      </c>
      <c r="L3" s="89" t="s">
        <v>68</v>
      </c>
      <c r="M3" s="89"/>
      <c r="N3" s="89" t="s">
        <v>69</v>
      </c>
      <c r="O3" s="94" t="s">
        <v>70</v>
      </c>
      <c r="P3" s="95" t="s">
        <v>58</v>
      </c>
      <c r="Q3" s="144" t="s">
        <v>71</v>
      </c>
      <c r="R3" s="121">
        <v>46171</v>
      </c>
      <c r="S3" s="97">
        <v>46181</v>
      </c>
      <c r="T3" s="97" t="s">
        <v>60</v>
      </c>
      <c r="U3" s="97" t="s">
        <v>72</v>
      </c>
      <c r="V3" s="93">
        <v>46161</v>
      </c>
      <c r="W3" s="93">
        <v>46171</v>
      </c>
      <c r="X3" s="93" t="s">
        <v>73</v>
      </c>
      <c r="Y3" s="98" t="s">
        <v>74</v>
      </c>
      <c r="Z3" s="89" t="s">
        <v>62</v>
      </c>
      <c r="AA3" s="97">
        <v>46181.472221932869</v>
      </c>
      <c r="AB3" s="89" t="s">
        <v>75</v>
      </c>
      <c r="AC3" s="120" t="s">
        <v>63</v>
      </c>
      <c r="AD3" s="89"/>
      <c r="AE3" s="89"/>
      <c r="AF3" s="89"/>
      <c r="AG3" s="89"/>
      <c r="AH3" s="99"/>
      <c r="AI3" s="99"/>
      <c r="AJ3" s="99"/>
      <c r="AK3" s="100"/>
      <c r="AL3" s="100" t="s">
        <v>540</v>
      </c>
      <c r="AM3" s="100"/>
      <c r="AN3" s="45" t="s">
        <v>65</v>
      </c>
      <c r="AO3" s="198" t="str">
        <f t="shared" si="0"/>
        <v>5/2026</v>
      </c>
      <c r="AP3" s="198">
        <f t="shared" si="1"/>
        <v>2</v>
      </c>
      <c r="AQ3" s="45" t="str">
        <f t="shared" si="2"/>
        <v>5/2026</v>
      </c>
      <c r="AR3" s="45">
        <f t="shared" si="3"/>
        <v>5</v>
      </c>
      <c r="AS3" s="45">
        <f t="shared" si="4"/>
        <v>0</v>
      </c>
      <c r="AT3" s="45">
        <f t="shared" si="5"/>
        <v>0</v>
      </c>
      <c r="AU3" s="45">
        <f t="shared" si="6"/>
        <v>0</v>
      </c>
      <c r="AV3" s="45">
        <f t="shared" si="7"/>
        <v>0</v>
      </c>
      <c r="AW3" s="45" t="str">
        <f>_xlfn.XLOOKUP(W3,'Lista Suspensa'!$AA$20:$AA$23,'Lista Suspensa'!$AB$20:$AB$23,"N/A")</f>
        <v>N/A</v>
      </c>
    </row>
    <row r="4" spans="1:49" ht="12" customHeight="1" x14ac:dyDescent="0.3">
      <c r="A4" s="87" t="s">
        <v>49</v>
      </c>
      <c r="B4" s="88">
        <v>46147</v>
      </c>
      <c r="C4" s="89" t="s">
        <v>50</v>
      </c>
      <c r="D4" s="89" t="s">
        <v>51</v>
      </c>
      <c r="E4" s="90">
        <v>75036529</v>
      </c>
      <c r="F4" s="91" t="s">
        <v>76</v>
      </c>
      <c r="G4" s="92">
        <v>89504372791</v>
      </c>
      <c r="H4" s="93">
        <v>24128</v>
      </c>
      <c r="I4" s="89">
        <v>60</v>
      </c>
      <c r="J4" s="89" t="s">
        <v>53</v>
      </c>
      <c r="K4" s="89" t="s">
        <v>77</v>
      </c>
      <c r="L4" s="89" t="s">
        <v>78</v>
      </c>
      <c r="M4" s="89"/>
      <c r="N4" s="89" t="s">
        <v>69</v>
      </c>
      <c r="O4" s="94" t="s">
        <v>79</v>
      </c>
      <c r="P4" s="95" t="s">
        <v>58</v>
      </c>
      <c r="Q4" s="144" t="s">
        <v>59</v>
      </c>
      <c r="R4" s="121">
        <v>46171</v>
      </c>
      <c r="S4" s="97"/>
      <c r="T4" s="97" t="s">
        <v>60</v>
      </c>
      <c r="U4" s="97" t="s">
        <v>61</v>
      </c>
      <c r="V4" s="93">
        <v>46161</v>
      </c>
      <c r="W4" s="93">
        <v>46171</v>
      </c>
      <c r="X4" s="93" t="s">
        <v>73</v>
      </c>
      <c r="Y4" s="98"/>
      <c r="Z4" s="89" t="s">
        <v>62</v>
      </c>
      <c r="AA4" s="97">
        <v>46181.541666087964</v>
      </c>
      <c r="AB4" s="89" t="s">
        <v>142</v>
      </c>
      <c r="AC4" s="120" t="s">
        <v>63</v>
      </c>
      <c r="AD4" s="89"/>
      <c r="AE4" s="89"/>
      <c r="AF4" s="89"/>
      <c r="AG4" s="89"/>
      <c r="AH4" s="99"/>
      <c r="AI4" s="99"/>
      <c r="AJ4" s="99"/>
      <c r="AK4" s="100"/>
      <c r="AL4" s="100" t="s">
        <v>64</v>
      </c>
      <c r="AM4" s="100" t="s">
        <v>102</v>
      </c>
      <c r="AN4" s="45" t="s">
        <v>65</v>
      </c>
      <c r="AO4" s="198" t="str">
        <f t="shared" si="0"/>
        <v>5/2026</v>
      </c>
      <c r="AP4" s="198">
        <f t="shared" si="1"/>
        <v>2</v>
      </c>
      <c r="AQ4" s="45" t="str">
        <f t="shared" si="2"/>
        <v>5/2026</v>
      </c>
      <c r="AR4" s="45">
        <f t="shared" si="3"/>
        <v>5</v>
      </c>
      <c r="AS4" s="45">
        <f t="shared" si="4"/>
        <v>0</v>
      </c>
      <c r="AT4" s="45">
        <f t="shared" si="5"/>
        <v>0</v>
      </c>
      <c r="AU4" s="45">
        <f t="shared" si="6"/>
        <v>0</v>
      </c>
      <c r="AV4" s="45">
        <f t="shared" si="7"/>
        <v>0</v>
      </c>
      <c r="AW4" s="45" t="str">
        <f>_xlfn.XLOOKUP(W4,'Lista Suspensa'!$AA$20:$AA$23,'Lista Suspensa'!$AB$20:$AB$23,"N/A")</f>
        <v>N/A</v>
      </c>
    </row>
    <row r="5" spans="1:49" ht="12" hidden="1" customHeight="1" x14ac:dyDescent="0.3">
      <c r="A5" s="87" t="s">
        <v>49</v>
      </c>
      <c r="B5" s="88">
        <v>46147</v>
      </c>
      <c r="C5" s="89" t="s">
        <v>50</v>
      </c>
      <c r="D5" s="89" t="s">
        <v>51</v>
      </c>
      <c r="E5" s="90">
        <v>79819936</v>
      </c>
      <c r="F5" s="91" t="s">
        <v>80</v>
      </c>
      <c r="G5" s="92">
        <v>38914973859</v>
      </c>
      <c r="H5" s="93">
        <v>33450</v>
      </c>
      <c r="I5" s="89">
        <v>34</v>
      </c>
      <c r="J5" s="89" t="s">
        <v>67</v>
      </c>
      <c r="K5" s="89" t="s">
        <v>54</v>
      </c>
      <c r="L5" s="89" t="s">
        <v>81</v>
      </c>
      <c r="M5" s="89"/>
      <c r="N5" s="89" t="s">
        <v>82</v>
      </c>
      <c r="O5" s="94" t="s">
        <v>83</v>
      </c>
      <c r="P5" s="95" t="s">
        <v>58</v>
      </c>
      <c r="Q5" s="144" t="s">
        <v>84</v>
      </c>
      <c r="R5" s="121">
        <v>46171</v>
      </c>
      <c r="S5" s="97">
        <v>46181</v>
      </c>
      <c r="T5" s="97" t="s">
        <v>60</v>
      </c>
      <c r="U5" s="97" t="s">
        <v>72</v>
      </c>
      <c r="V5" s="93">
        <v>46161</v>
      </c>
      <c r="W5" s="93">
        <v>46171</v>
      </c>
      <c r="X5" s="93" t="s">
        <v>73</v>
      </c>
      <c r="Y5" s="98"/>
      <c r="Z5" s="89" t="s">
        <v>62</v>
      </c>
      <c r="AA5" s="97">
        <v>46181.597221412034</v>
      </c>
      <c r="AB5" s="89" t="s">
        <v>75</v>
      </c>
      <c r="AC5" s="120" t="s">
        <v>63</v>
      </c>
      <c r="AD5" s="89"/>
      <c r="AE5" s="89"/>
      <c r="AF5" s="89"/>
      <c r="AG5" s="89"/>
      <c r="AH5" s="99"/>
      <c r="AI5" s="99"/>
      <c r="AJ5" s="99"/>
      <c r="AK5" s="100"/>
      <c r="AL5" s="100" t="s">
        <v>540</v>
      </c>
      <c r="AM5" s="100"/>
      <c r="AN5" s="45" t="s">
        <v>65</v>
      </c>
      <c r="AO5" s="198" t="str">
        <f t="shared" si="0"/>
        <v>5/2026</v>
      </c>
      <c r="AP5" s="198">
        <f t="shared" si="1"/>
        <v>2</v>
      </c>
      <c r="AQ5" s="45" t="str">
        <f t="shared" si="2"/>
        <v>5/2026</v>
      </c>
      <c r="AR5" s="45">
        <f t="shared" si="3"/>
        <v>5</v>
      </c>
      <c r="AS5" s="45">
        <f t="shared" si="4"/>
        <v>0</v>
      </c>
      <c r="AT5" s="45">
        <f t="shared" si="5"/>
        <v>0</v>
      </c>
      <c r="AU5" s="45">
        <f t="shared" si="6"/>
        <v>0</v>
      </c>
      <c r="AV5" s="45">
        <f t="shared" si="7"/>
        <v>0</v>
      </c>
      <c r="AW5" s="45" t="str">
        <f>_xlfn.XLOOKUP(W5,'Lista Suspensa'!$AA$20:$AA$23,'Lista Suspensa'!$AB$20:$AB$23,"N/A")</f>
        <v>N/A</v>
      </c>
    </row>
    <row r="6" spans="1:49" ht="12" customHeight="1" x14ac:dyDescent="0.3">
      <c r="A6" s="87" t="s">
        <v>49</v>
      </c>
      <c r="B6" s="88">
        <v>46147</v>
      </c>
      <c r="C6" s="89" t="s">
        <v>50</v>
      </c>
      <c r="D6" s="89" t="s">
        <v>51</v>
      </c>
      <c r="E6" s="90">
        <v>89188339</v>
      </c>
      <c r="F6" s="91" t="s">
        <v>85</v>
      </c>
      <c r="G6" s="92">
        <v>6942777897</v>
      </c>
      <c r="H6" s="93">
        <v>23854</v>
      </c>
      <c r="I6" s="89">
        <v>61</v>
      </c>
      <c r="J6" s="89" t="s">
        <v>67</v>
      </c>
      <c r="K6" s="89" t="s">
        <v>54</v>
      </c>
      <c r="L6" s="89" t="s">
        <v>86</v>
      </c>
      <c r="M6" s="89"/>
      <c r="N6" s="89" t="s">
        <v>87</v>
      </c>
      <c r="O6" s="94" t="s">
        <v>88</v>
      </c>
      <c r="P6" s="95" t="s">
        <v>58</v>
      </c>
      <c r="Q6" s="144" t="s">
        <v>59</v>
      </c>
      <c r="R6" s="121">
        <v>46171</v>
      </c>
      <c r="S6" s="97"/>
      <c r="T6" s="97" t="s">
        <v>60</v>
      </c>
      <c r="U6" s="97" t="s">
        <v>61</v>
      </c>
      <c r="V6" s="93">
        <v>46161</v>
      </c>
      <c r="W6" s="93">
        <v>46171</v>
      </c>
      <c r="X6" s="93" t="s">
        <v>73</v>
      </c>
      <c r="Y6" s="98"/>
      <c r="Z6" s="89" t="s">
        <v>62</v>
      </c>
      <c r="AA6" s="97">
        <v>46181.555554918981</v>
      </c>
      <c r="AB6" s="89" t="s">
        <v>75</v>
      </c>
      <c r="AC6" s="120" t="s">
        <v>63</v>
      </c>
      <c r="AD6" s="89"/>
      <c r="AE6" s="89"/>
      <c r="AF6" s="89" t="s">
        <v>89</v>
      </c>
      <c r="AG6" s="89">
        <v>2.93</v>
      </c>
      <c r="AH6" s="99" t="s">
        <v>90</v>
      </c>
      <c r="AI6" s="99" t="s">
        <v>90</v>
      </c>
      <c r="AJ6" s="99" t="s">
        <v>91</v>
      </c>
      <c r="AK6" s="100"/>
      <c r="AL6" s="100" t="s">
        <v>64</v>
      </c>
      <c r="AM6" s="100" t="s">
        <v>102</v>
      </c>
      <c r="AN6" s="45" t="s">
        <v>65</v>
      </c>
      <c r="AO6" s="198" t="str">
        <f t="shared" si="0"/>
        <v>5/2026</v>
      </c>
      <c r="AP6" s="198">
        <f t="shared" si="1"/>
        <v>2</v>
      </c>
      <c r="AQ6" s="45" t="str">
        <f t="shared" si="2"/>
        <v>5/2026</v>
      </c>
      <c r="AR6" s="45">
        <f t="shared" si="3"/>
        <v>5</v>
      </c>
      <c r="AS6" s="45">
        <f t="shared" si="4"/>
        <v>0</v>
      </c>
      <c r="AT6" s="45">
        <f t="shared" si="5"/>
        <v>0</v>
      </c>
      <c r="AU6" s="45">
        <f t="shared" si="6"/>
        <v>0</v>
      </c>
      <c r="AV6" s="45">
        <f t="shared" si="7"/>
        <v>0</v>
      </c>
      <c r="AW6" s="45" t="str">
        <f>_xlfn.XLOOKUP(W6,'Lista Suspensa'!$AA$20:$AA$23,'Lista Suspensa'!$AB$20:$AB$23,"N/A")</f>
        <v>N/A</v>
      </c>
    </row>
    <row r="7" spans="1:49" ht="12" customHeight="1" x14ac:dyDescent="0.3">
      <c r="A7" s="87" t="s">
        <v>49</v>
      </c>
      <c r="B7" s="88">
        <v>46147</v>
      </c>
      <c r="C7" s="89" t="s">
        <v>50</v>
      </c>
      <c r="D7" s="89" t="s">
        <v>51</v>
      </c>
      <c r="E7" s="90">
        <v>774791853</v>
      </c>
      <c r="F7" s="91" t="s">
        <v>92</v>
      </c>
      <c r="G7" s="92">
        <v>57698481891</v>
      </c>
      <c r="H7" s="93">
        <v>19073</v>
      </c>
      <c r="I7" s="89">
        <v>74</v>
      </c>
      <c r="J7" s="89" t="s">
        <v>53</v>
      </c>
      <c r="K7" s="89" t="s">
        <v>54</v>
      </c>
      <c r="L7" s="89" t="s">
        <v>93</v>
      </c>
      <c r="M7" s="89"/>
      <c r="N7" s="89" t="s">
        <v>94</v>
      </c>
      <c r="O7" s="94" t="s">
        <v>95</v>
      </c>
      <c r="P7" s="95" t="s">
        <v>58</v>
      </c>
      <c r="Q7" s="144" t="s">
        <v>59</v>
      </c>
      <c r="R7" s="121">
        <v>46171</v>
      </c>
      <c r="S7" s="97"/>
      <c r="T7" s="97" t="s">
        <v>60</v>
      </c>
      <c r="U7" s="97" t="s">
        <v>61</v>
      </c>
      <c r="V7" s="93">
        <v>46161</v>
      </c>
      <c r="W7" s="93">
        <v>46171</v>
      </c>
      <c r="X7" s="93" t="s">
        <v>73</v>
      </c>
      <c r="Y7" s="98"/>
      <c r="Z7" s="89" t="s">
        <v>62</v>
      </c>
      <c r="AA7" s="97">
        <v>46183</v>
      </c>
      <c r="AB7" s="89" t="s">
        <v>75</v>
      </c>
      <c r="AC7" s="120" t="s">
        <v>63</v>
      </c>
      <c r="AD7" s="89"/>
      <c r="AE7" s="89"/>
      <c r="AF7" s="89"/>
      <c r="AG7" s="89"/>
      <c r="AH7" s="99"/>
      <c r="AI7" s="99"/>
      <c r="AJ7" s="99"/>
      <c r="AK7" s="100"/>
      <c r="AL7" s="100" t="s">
        <v>64</v>
      </c>
      <c r="AM7" s="100" t="s">
        <v>102</v>
      </c>
      <c r="AN7" s="45" t="s">
        <v>65</v>
      </c>
      <c r="AO7" s="198" t="str">
        <f t="shared" si="0"/>
        <v>5/2026</v>
      </c>
      <c r="AP7" s="198">
        <f t="shared" si="1"/>
        <v>2</v>
      </c>
      <c r="AQ7" s="45" t="str">
        <f t="shared" si="2"/>
        <v>5/2026</v>
      </c>
      <c r="AR7" s="45">
        <f t="shared" si="3"/>
        <v>5</v>
      </c>
      <c r="AS7" s="45">
        <f t="shared" si="4"/>
        <v>0</v>
      </c>
      <c r="AT7" s="45">
        <f t="shared" si="5"/>
        <v>0</v>
      </c>
      <c r="AU7" s="45">
        <f t="shared" si="6"/>
        <v>0</v>
      </c>
      <c r="AV7" s="45">
        <f t="shared" si="7"/>
        <v>0</v>
      </c>
      <c r="AW7" s="45" t="str">
        <f>_xlfn.XLOOKUP(W7,'Lista Suspensa'!$AA$20:$AA$23,'Lista Suspensa'!$AB$20:$AB$23,"N/A")</f>
        <v>N/A</v>
      </c>
    </row>
    <row r="8" spans="1:49" ht="12" customHeight="1" x14ac:dyDescent="0.3">
      <c r="A8" s="87" t="s">
        <v>49</v>
      </c>
      <c r="B8" s="88">
        <v>46147</v>
      </c>
      <c r="C8" s="89" t="s">
        <v>50</v>
      </c>
      <c r="D8" s="89" t="s">
        <v>51</v>
      </c>
      <c r="E8" s="90">
        <v>300996381</v>
      </c>
      <c r="F8" s="91" t="s">
        <v>96</v>
      </c>
      <c r="G8" s="92">
        <v>94259348868</v>
      </c>
      <c r="H8" s="93">
        <v>21493</v>
      </c>
      <c r="I8" s="89">
        <v>67</v>
      </c>
      <c r="J8" s="89" t="s">
        <v>53</v>
      </c>
      <c r="K8" s="89" t="s">
        <v>54</v>
      </c>
      <c r="L8" s="89" t="s">
        <v>93</v>
      </c>
      <c r="M8" s="89"/>
      <c r="N8" s="89" t="s">
        <v>97</v>
      </c>
      <c r="O8" s="94" t="s">
        <v>98</v>
      </c>
      <c r="P8" s="95" t="s">
        <v>58</v>
      </c>
      <c r="Q8" s="144" t="s">
        <v>59</v>
      </c>
      <c r="R8" s="121">
        <v>46171</v>
      </c>
      <c r="S8" s="97"/>
      <c r="T8" s="97" t="s">
        <v>60</v>
      </c>
      <c r="U8" s="97" t="s">
        <v>61</v>
      </c>
      <c r="V8" s="93">
        <v>46161</v>
      </c>
      <c r="W8" s="93">
        <v>46171</v>
      </c>
      <c r="X8" s="93" t="s">
        <v>73</v>
      </c>
      <c r="Y8" s="98"/>
      <c r="Z8" s="89" t="s">
        <v>62</v>
      </c>
      <c r="AA8" s="97">
        <v>46181.527777256946</v>
      </c>
      <c r="AB8" s="89" t="s">
        <v>75</v>
      </c>
      <c r="AC8" s="120" t="s">
        <v>63</v>
      </c>
      <c r="AD8" s="89"/>
      <c r="AE8" s="89"/>
      <c r="AF8" s="89"/>
      <c r="AG8" s="89"/>
      <c r="AH8" s="99"/>
      <c r="AI8" s="99"/>
      <c r="AJ8" s="99"/>
      <c r="AK8" s="100"/>
      <c r="AL8" s="100" t="s">
        <v>64</v>
      </c>
      <c r="AM8" s="100" t="s">
        <v>102</v>
      </c>
      <c r="AN8" s="45" t="s">
        <v>65</v>
      </c>
      <c r="AO8" s="198" t="str">
        <f t="shared" si="0"/>
        <v>5/2026</v>
      </c>
      <c r="AP8" s="198">
        <f t="shared" si="1"/>
        <v>2</v>
      </c>
      <c r="AQ8" s="45" t="str">
        <f t="shared" si="2"/>
        <v>5/2026</v>
      </c>
      <c r="AR8" s="45">
        <f t="shared" si="3"/>
        <v>5</v>
      </c>
      <c r="AS8" s="45">
        <f t="shared" si="4"/>
        <v>0</v>
      </c>
      <c r="AT8" s="45">
        <f t="shared" si="5"/>
        <v>0</v>
      </c>
      <c r="AU8" s="45">
        <f t="shared" si="6"/>
        <v>0</v>
      </c>
      <c r="AV8" s="45">
        <f t="shared" si="7"/>
        <v>0</v>
      </c>
      <c r="AW8" s="45" t="str">
        <f>_xlfn.XLOOKUP(W8,'Lista Suspensa'!$AA$20:$AA$23,'Lista Suspensa'!$AB$20:$AB$23,"N/A")</f>
        <v>N/A</v>
      </c>
    </row>
    <row r="9" spans="1:49" ht="12" customHeight="1" x14ac:dyDescent="0.3">
      <c r="A9" s="87" t="s">
        <v>49</v>
      </c>
      <c r="B9" s="88">
        <v>46147</v>
      </c>
      <c r="C9" s="89" t="s">
        <v>50</v>
      </c>
      <c r="D9" s="89" t="s">
        <v>51</v>
      </c>
      <c r="E9" s="90">
        <v>20910320</v>
      </c>
      <c r="F9" s="91" t="s">
        <v>99</v>
      </c>
      <c r="G9" s="92">
        <v>18802713898</v>
      </c>
      <c r="H9" s="93">
        <v>27016</v>
      </c>
      <c r="I9" s="89">
        <v>52</v>
      </c>
      <c r="J9" s="89" t="s">
        <v>53</v>
      </c>
      <c r="K9" s="89" t="s">
        <v>54</v>
      </c>
      <c r="L9" s="89" t="s">
        <v>93</v>
      </c>
      <c r="M9" s="89"/>
      <c r="N9" s="89" t="s">
        <v>100</v>
      </c>
      <c r="O9" s="94" t="s">
        <v>101</v>
      </c>
      <c r="P9" s="95" t="s">
        <v>58</v>
      </c>
      <c r="Q9" s="144" t="s">
        <v>59</v>
      </c>
      <c r="R9" s="121">
        <v>46171</v>
      </c>
      <c r="S9" s="97"/>
      <c r="T9" s="97" t="s">
        <v>60</v>
      </c>
      <c r="U9" s="97" t="s">
        <v>61</v>
      </c>
      <c r="V9" s="93">
        <v>46161</v>
      </c>
      <c r="W9" s="93">
        <v>46171</v>
      </c>
      <c r="X9" s="93" t="s">
        <v>73</v>
      </c>
      <c r="Y9" s="98"/>
      <c r="Z9" s="89" t="s">
        <v>62</v>
      </c>
      <c r="AA9" s="97">
        <v>46181.513888425929</v>
      </c>
      <c r="AB9" s="89" t="s">
        <v>142</v>
      </c>
      <c r="AC9" s="120" t="s">
        <v>63</v>
      </c>
      <c r="AD9" s="89"/>
      <c r="AE9" s="89"/>
      <c r="AF9" s="89"/>
      <c r="AG9" s="89"/>
      <c r="AH9" s="99"/>
      <c r="AI9" s="99"/>
      <c r="AJ9" s="99"/>
      <c r="AK9" s="100"/>
      <c r="AL9" s="100" t="s">
        <v>64</v>
      </c>
      <c r="AM9" s="100" t="s">
        <v>102</v>
      </c>
      <c r="AN9" s="45" t="s">
        <v>65</v>
      </c>
      <c r="AO9" s="198" t="str">
        <f t="shared" si="0"/>
        <v>5/2026</v>
      </c>
      <c r="AP9" s="198">
        <f t="shared" si="1"/>
        <v>2</v>
      </c>
      <c r="AQ9" s="45" t="str">
        <f t="shared" si="2"/>
        <v>5/2026</v>
      </c>
      <c r="AR9" s="45">
        <f t="shared" si="3"/>
        <v>5</v>
      </c>
      <c r="AS9" s="45">
        <f t="shared" si="4"/>
        <v>0</v>
      </c>
      <c r="AT9" s="45">
        <f t="shared" si="5"/>
        <v>0</v>
      </c>
      <c r="AU9" s="45">
        <f t="shared" si="6"/>
        <v>0</v>
      </c>
      <c r="AV9" s="45">
        <f t="shared" si="7"/>
        <v>0</v>
      </c>
      <c r="AW9" s="45" t="str">
        <f>_xlfn.XLOOKUP(W9,'Lista Suspensa'!$AA$20:$AA$23,'Lista Suspensa'!$AB$20:$AB$23,"N/A")</f>
        <v>N/A</v>
      </c>
    </row>
    <row r="10" spans="1:49" ht="12" customHeight="1" x14ac:dyDescent="0.3">
      <c r="A10" s="87" t="s">
        <v>102</v>
      </c>
      <c r="B10" s="88">
        <v>46147</v>
      </c>
      <c r="C10" s="89" t="s">
        <v>50</v>
      </c>
      <c r="D10" s="89" t="s">
        <v>51</v>
      </c>
      <c r="E10" s="90">
        <v>452291500</v>
      </c>
      <c r="F10" s="91" t="s">
        <v>103</v>
      </c>
      <c r="G10" s="92">
        <v>34125773831</v>
      </c>
      <c r="H10" s="93">
        <v>29952</v>
      </c>
      <c r="I10" s="89">
        <v>44</v>
      </c>
      <c r="J10" s="89" t="s">
        <v>67</v>
      </c>
      <c r="K10" s="89" t="s">
        <v>54</v>
      </c>
      <c r="L10" s="89" t="s">
        <v>93</v>
      </c>
      <c r="M10" s="89"/>
      <c r="N10" s="89" t="s">
        <v>94</v>
      </c>
      <c r="O10" s="94" t="s">
        <v>104</v>
      </c>
      <c r="P10" s="95" t="s">
        <v>58</v>
      </c>
      <c r="Q10" s="144" t="s">
        <v>59</v>
      </c>
      <c r="R10" s="121">
        <v>46171</v>
      </c>
      <c r="S10" s="97"/>
      <c r="T10" s="97" t="s">
        <v>60</v>
      </c>
      <c r="U10" s="97" t="s">
        <v>61</v>
      </c>
      <c r="V10" s="93">
        <v>46153</v>
      </c>
      <c r="W10" s="93">
        <v>46171</v>
      </c>
      <c r="X10" s="93">
        <v>46164</v>
      </c>
      <c r="Y10" s="98"/>
      <c r="Z10" s="89" t="s">
        <v>62</v>
      </c>
      <c r="AA10" s="97">
        <v>46181</v>
      </c>
      <c r="AB10" s="89" t="s">
        <v>75</v>
      </c>
      <c r="AC10" s="120" t="s">
        <v>63</v>
      </c>
      <c r="AD10" s="89"/>
      <c r="AE10" s="89"/>
      <c r="AF10" s="89" t="s">
        <v>105</v>
      </c>
      <c r="AG10" s="89" t="s">
        <v>105</v>
      </c>
      <c r="AH10" s="99" t="s">
        <v>106</v>
      </c>
      <c r="AI10" s="99" t="s">
        <v>106</v>
      </c>
      <c r="AJ10" s="99" t="s">
        <v>91</v>
      </c>
      <c r="AK10" s="100"/>
      <c r="AL10" s="100" t="s">
        <v>64</v>
      </c>
      <c r="AM10" s="100" t="s">
        <v>102</v>
      </c>
      <c r="AN10" s="45" t="s">
        <v>65</v>
      </c>
      <c r="AO10" s="198" t="str">
        <f t="shared" si="0"/>
        <v>5/2026</v>
      </c>
      <c r="AP10" s="198">
        <f t="shared" si="1"/>
        <v>2</v>
      </c>
      <c r="AQ10" s="45" t="str">
        <f t="shared" si="2"/>
        <v>5/2026</v>
      </c>
      <c r="AR10" s="45">
        <f t="shared" si="3"/>
        <v>5</v>
      </c>
      <c r="AS10" s="45">
        <f t="shared" si="4"/>
        <v>0</v>
      </c>
      <c r="AT10" s="45">
        <f t="shared" si="5"/>
        <v>0</v>
      </c>
      <c r="AU10" s="45">
        <f t="shared" si="6"/>
        <v>0</v>
      </c>
      <c r="AV10" s="45">
        <f t="shared" si="7"/>
        <v>0</v>
      </c>
      <c r="AW10" s="45" t="str">
        <f>_xlfn.XLOOKUP(W10,'Lista Suspensa'!$AA$20:$AA$23,'Lista Suspensa'!$AB$20:$AB$23,"N/A")</f>
        <v>N/A</v>
      </c>
    </row>
    <row r="11" spans="1:49" ht="12" customHeight="1" x14ac:dyDescent="0.3">
      <c r="A11" s="87" t="s">
        <v>49</v>
      </c>
      <c r="B11" s="88">
        <v>46147</v>
      </c>
      <c r="C11" s="89" t="s">
        <v>50</v>
      </c>
      <c r="D11" s="89" t="s">
        <v>51</v>
      </c>
      <c r="E11" s="90">
        <v>812979214</v>
      </c>
      <c r="F11" s="91" t="s">
        <v>107</v>
      </c>
      <c r="G11" s="92">
        <v>12630875822</v>
      </c>
      <c r="H11" s="93">
        <v>25955</v>
      </c>
      <c r="I11" s="89">
        <v>55</v>
      </c>
      <c r="J11" s="89" t="s">
        <v>67</v>
      </c>
      <c r="K11" s="89" t="s">
        <v>54</v>
      </c>
      <c r="L11" s="89" t="s">
        <v>93</v>
      </c>
      <c r="M11" s="89"/>
      <c r="N11" s="89" t="s">
        <v>108</v>
      </c>
      <c r="O11" s="94" t="s">
        <v>109</v>
      </c>
      <c r="P11" s="95" t="s">
        <v>58</v>
      </c>
      <c r="Q11" s="144" t="s">
        <v>59</v>
      </c>
      <c r="R11" s="121">
        <v>46171</v>
      </c>
      <c r="S11" s="97"/>
      <c r="T11" s="97" t="s">
        <v>60</v>
      </c>
      <c r="U11" s="97" t="s">
        <v>61</v>
      </c>
      <c r="V11" s="93">
        <v>46161</v>
      </c>
      <c r="W11" s="93">
        <v>46171</v>
      </c>
      <c r="X11" s="93" t="s">
        <v>73</v>
      </c>
      <c r="Y11" s="98"/>
      <c r="Z11" s="89" t="s">
        <v>62</v>
      </c>
      <c r="AA11" s="97">
        <v>46181.569443749999</v>
      </c>
      <c r="AB11" s="89" t="s">
        <v>75</v>
      </c>
      <c r="AC11" s="120" t="s">
        <v>63</v>
      </c>
      <c r="AD11" s="89"/>
      <c r="AE11" s="89"/>
      <c r="AF11" s="89" t="s">
        <v>110</v>
      </c>
      <c r="AG11" s="89">
        <v>2.31</v>
      </c>
      <c r="AH11" s="99" t="s">
        <v>111</v>
      </c>
      <c r="AI11" s="99" t="s">
        <v>111</v>
      </c>
      <c r="AJ11" s="99" t="s">
        <v>91</v>
      </c>
      <c r="AK11" s="100"/>
      <c r="AL11" s="100" t="s">
        <v>64</v>
      </c>
      <c r="AM11" s="100" t="s">
        <v>102</v>
      </c>
      <c r="AN11" s="45" t="s">
        <v>65</v>
      </c>
      <c r="AO11" s="198" t="str">
        <f t="shared" si="0"/>
        <v>5/2026</v>
      </c>
      <c r="AP11" s="198">
        <f t="shared" si="1"/>
        <v>2</v>
      </c>
      <c r="AQ11" s="45" t="str">
        <f t="shared" si="2"/>
        <v>5/2026</v>
      </c>
      <c r="AR11" s="45">
        <f t="shared" si="3"/>
        <v>5</v>
      </c>
      <c r="AS11" s="45">
        <f t="shared" si="4"/>
        <v>0</v>
      </c>
      <c r="AT11" s="45">
        <f t="shared" si="5"/>
        <v>0</v>
      </c>
      <c r="AU11" s="45">
        <f t="shared" si="6"/>
        <v>0</v>
      </c>
      <c r="AV11" s="45">
        <f t="shared" si="7"/>
        <v>0</v>
      </c>
      <c r="AW11" s="45" t="str">
        <f>_xlfn.XLOOKUP(W11,'Lista Suspensa'!$AA$20:$AA$23,'Lista Suspensa'!$AB$20:$AB$23,"N/A")</f>
        <v>N/A</v>
      </c>
    </row>
    <row r="12" spans="1:49" ht="12" hidden="1" customHeight="1" x14ac:dyDescent="0.3">
      <c r="A12" s="87" t="s">
        <v>49</v>
      </c>
      <c r="B12" s="88">
        <v>46147</v>
      </c>
      <c r="C12" s="89" t="s">
        <v>50</v>
      </c>
      <c r="D12" s="89" t="s">
        <v>51</v>
      </c>
      <c r="E12" s="90">
        <v>94079415</v>
      </c>
      <c r="F12" s="91" t="s">
        <v>112</v>
      </c>
      <c r="G12" s="92">
        <v>29917617841</v>
      </c>
      <c r="H12" s="93">
        <v>30015</v>
      </c>
      <c r="I12" s="89">
        <v>44</v>
      </c>
      <c r="J12" s="89" t="s">
        <v>67</v>
      </c>
      <c r="K12" s="89" t="s">
        <v>54</v>
      </c>
      <c r="L12" s="89" t="s">
        <v>93</v>
      </c>
      <c r="M12" s="89"/>
      <c r="N12" s="89" t="s">
        <v>113</v>
      </c>
      <c r="O12" s="94" t="s">
        <v>114</v>
      </c>
      <c r="P12" s="95" t="s">
        <v>58</v>
      </c>
      <c r="Q12" s="144" t="s">
        <v>84</v>
      </c>
      <c r="R12" s="121">
        <v>46171</v>
      </c>
      <c r="S12" s="97">
        <v>46181</v>
      </c>
      <c r="T12" s="97" t="s">
        <v>60</v>
      </c>
      <c r="U12" s="97" t="s">
        <v>72</v>
      </c>
      <c r="V12" s="93">
        <v>46161</v>
      </c>
      <c r="W12" s="93">
        <v>46171</v>
      </c>
      <c r="X12" s="93" t="s">
        <v>73</v>
      </c>
      <c r="Y12" s="98"/>
      <c r="Z12" s="89" t="s">
        <v>62</v>
      </c>
      <c r="AA12" s="97">
        <v>46181.416666666664</v>
      </c>
      <c r="AB12" s="89" t="s">
        <v>75</v>
      </c>
      <c r="AC12" s="120" t="s">
        <v>63</v>
      </c>
      <c r="AD12" s="89"/>
      <c r="AE12" s="89"/>
      <c r="AF12" s="89"/>
      <c r="AG12" s="89"/>
      <c r="AH12" s="99"/>
      <c r="AI12" s="99"/>
      <c r="AJ12" s="99" t="s">
        <v>115</v>
      </c>
      <c r="AK12" s="100"/>
      <c r="AL12" s="100" t="s">
        <v>540</v>
      </c>
      <c r="AM12" s="100"/>
      <c r="AN12" s="45" t="s">
        <v>65</v>
      </c>
      <c r="AO12" s="198" t="str">
        <f t="shared" si="0"/>
        <v>5/2026</v>
      </c>
      <c r="AP12" s="198">
        <f t="shared" si="1"/>
        <v>2</v>
      </c>
      <c r="AQ12" s="45" t="str">
        <f t="shared" si="2"/>
        <v>5/2026</v>
      </c>
      <c r="AR12" s="45">
        <f t="shared" si="3"/>
        <v>5</v>
      </c>
      <c r="AS12" s="45">
        <f t="shared" si="4"/>
        <v>0</v>
      </c>
      <c r="AT12" s="45">
        <f t="shared" si="5"/>
        <v>0</v>
      </c>
      <c r="AU12" s="45">
        <f t="shared" si="6"/>
        <v>0</v>
      </c>
      <c r="AV12" s="45">
        <f t="shared" si="7"/>
        <v>0</v>
      </c>
      <c r="AW12" s="45" t="str">
        <f>_xlfn.XLOOKUP(W12,'Lista Suspensa'!$AA$20:$AA$23,'Lista Suspensa'!$AB$20:$AB$23,"N/A")</f>
        <v>N/A</v>
      </c>
    </row>
    <row r="13" spans="1:49" ht="12" customHeight="1" x14ac:dyDescent="0.3">
      <c r="A13" s="87" t="s">
        <v>49</v>
      </c>
      <c r="B13" s="88">
        <v>46147</v>
      </c>
      <c r="C13" s="89" t="s">
        <v>50</v>
      </c>
      <c r="D13" s="89" t="s">
        <v>51</v>
      </c>
      <c r="E13" s="90">
        <v>596340168</v>
      </c>
      <c r="F13" s="91" t="s">
        <v>116</v>
      </c>
      <c r="G13" s="92">
        <v>53492030459</v>
      </c>
      <c r="H13" s="93">
        <v>23657</v>
      </c>
      <c r="I13" s="89">
        <v>61</v>
      </c>
      <c r="J13" s="89" t="s">
        <v>53</v>
      </c>
      <c r="K13" s="89" t="s">
        <v>54</v>
      </c>
      <c r="L13" s="89" t="s">
        <v>93</v>
      </c>
      <c r="M13" s="89"/>
      <c r="N13" s="89" t="s">
        <v>69</v>
      </c>
      <c r="O13" s="94" t="s">
        <v>117</v>
      </c>
      <c r="P13" s="95" t="s">
        <v>58</v>
      </c>
      <c r="Q13" s="144" t="s">
        <v>59</v>
      </c>
      <c r="R13" s="121">
        <v>46171</v>
      </c>
      <c r="S13" s="97"/>
      <c r="T13" s="97" t="s">
        <v>60</v>
      </c>
      <c r="U13" s="97" t="s">
        <v>61</v>
      </c>
      <c r="V13" s="93">
        <v>46161</v>
      </c>
      <c r="W13" s="93">
        <v>46171</v>
      </c>
      <c r="X13" s="93" t="s">
        <v>73</v>
      </c>
      <c r="Y13" s="98"/>
      <c r="Z13" s="89" t="s">
        <v>62</v>
      </c>
      <c r="AA13" s="97">
        <v>46179.569443749999</v>
      </c>
      <c r="AB13" s="89" t="s">
        <v>75</v>
      </c>
      <c r="AC13" s="120" t="s">
        <v>63</v>
      </c>
      <c r="AD13" s="89"/>
      <c r="AE13" s="89"/>
      <c r="AF13" s="89"/>
      <c r="AG13" s="89"/>
      <c r="AH13" s="99"/>
      <c r="AI13" s="99"/>
      <c r="AJ13" s="99"/>
      <c r="AK13" s="100"/>
      <c r="AL13" s="100" t="s">
        <v>64</v>
      </c>
      <c r="AM13" s="100" t="s">
        <v>102</v>
      </c>
      <c r="AN13" s="45" t="s">
        <v>65</v>
      </c>
      <c r="AO13" s="198" t="str">
        <f t="shared" si="0"/>
        <v>5/2026</v>
      </c>
      <c r="AP13" s="198">
        <f t="shared" si="1"/>
        <v>2</v>
      </c>
      <c r="AQ13" s="45" t="str">
        <f t="shared" si="2"/>
        <v>5/2026</v>
      </c>
      <c r="AR13" s="45">
        <f t="shared" si="3"/>
        <v>5</v>
      </c>
      <c r="AS13" s="45">
        <f t="shared" si="4"/>
        <v>0</v>
      </c>
      <c r="AT13" s="45">
        <f t="shared" si="5"/>
        <v>0</v>
      </c>
      <c r="AU13" s="45">
        <f t="shared" si="6"/>
        <v>0</v>
      </c>
      <c r="AV13" s="45">
        <f t="shared" si="7"/>
        <v>0</v>
      </c>
      <c r="AW13" s="45" t="str">
        <f>_xlfn.XLOOKUP(W13,'Lista Suspensa'!$AA$20:$AA$23,'Lista Suspensa'!$AB$20:$AB$23,"N/A")</f>
        <v>N/A</v>
      </c>
    </row>
    <row r="14" spans="1:49" ht="12" customHeight="1" x14ac:dyDescent="0.3">
      <c r="A14" s="87" t="s">
        <v>49</v>
      </c>
      <c r="B14" s="88">
        <v>46147</v>
      </c>
      <c r="C14" s="89" t="s">
        <v>50</v>
      </c>
      <c r="D14" s="89" t="s">
        <v>51</v>
      </c>
      <c r="E14" s="90">
        <v>770743480</v>
      </c>
      <c r="F14" s="91" t="s">
        <v>118</v>
      </c>
      <c r="G14" s="92">
        <v>2229293834</v>
      </c>
      <c r="H14" s="93">
        <v>16130</v>
      </c>
      <c r="I14" s="89">
        <v>82</v>
      </c>
      <c r="J14" s="89" t="s">
        <v>53</v>
      </c>
      <c r="K14" s="89" t="s">
        <v>54</v>
      </c>
      <c r="L14" s="89" t="s">
        <v>93</v>
      </c>
      <c r="M14" s="89"/>
      <c r="N14" s="89" t="s">
        <v>94</v>
      </c>
      <c r="O14" s="94" t="s">
        <v>119</v>
      </c>
      <c r="P14" s="95" t="s">
        <v>58</v>
      </c>
      <c r="Q14" s="144" t="s">
        <v>59</v>
      </c>
      <c r="R14" s="121">
        <v>46171</v>
      </c>
      <c r="S14" s="97"/>
      <c r="T14" s="97" t="s">
        <v>60</v>
      </c>
      <c r="U14" s="97" t="s">
        <v>61</v>
      </c>
      <c r="V14" s="93">
        <v>46161</v>
      </c>
      <c r="W14" s="93">
        <v>46171</v>
      </c>
      <c r="X14" s="93" t="s">
        <v>73</v>
      </c>
      <c r="Y14" s="98"/>
      <c r="Z14" s="89" t="s">
        <v>62</v>
      </c>
      <c r="AA14" s="97">
        <v>46181.611110243059</v>
      </c>
      <c r="AB14" s="89" t="s">
        <v>142</v>
      </c>
      <c r="AC14" s="120" t="s">
        <v>63</v>
      </c>
      <c r="AD14" s="89"/>
      <c r="AE14" s="89"/>
      <c r="AF14" s="89"/>
      <c r="AG14" s="89"/>
      <c r="AH14" s="99"/>
      <c r="AI14" s="99"/>
      <c r="AJ14" s="99"/>
      <c r="AK14" s="100"/>
      <c r="AL14" s="100" t="s">
        <v>64</v>
      </c>
      <c r="AM14" s="100" t="s">
        <v>102</v>
      </c>
      <c r="AN14" s="45" t="s">
        <v>65</v>
      </c>
      <c r="AO14" s="198" t="str">
        <f t="shared" si="0"/>
        <v>5/2026</v>
      </c>
      <c r="AP14" s="198">
        <f t="shared" si="1"/>
        <v>2</v>
      </c>
      <c r="AQ14" s="45" t="str">
        <f t="shared" si="2"/>
        <v>5/2026</v>
      </c>
      <c r="AR14" s="45">
        <f t="shared" si="3"/>
        <v>5</v>
      </c>
      <c r="AS14" s="45">
        <f t="shared" si="4"/>
        <v>0</v>
      </c>
      <c r="AT14" s="45">
        <f t="shared" si="5"/>
        <v>0</v>
      </c>
      <c r="AU14" s="45">
        <f t="shared" si="6"/>
        <v>0</v>
      </c>
      <c r="AV14" s="45">
        <f t="shared" si="7"/>
        <v>0</v>
      </c>
      <c r="AW14" s="45" t="str">
        <f>_xlfn.XLOOKUP(W14,'Lista Suspensa'!$AA$20:$AA$23,'Lista Suspensa'!$AB$20:$AB$23,"N/A")</f>
        <v>N/A</v>
      </c>
    </row>
    <row r="15" spans="1:49" ht="12" customHeight="1" x14ac:dyDescent="0.3">
      <c r="A15" s="87" t="s">
        <v>49</v>
      </c>
      <c r="B15" s="88">
        <v>46147</v>
      </c>
      <c r="C15" s="89" t="s">
        <v>50</v>
      </c>
      <c r="D15" s="89" t="s">
        <v>51</v>
      </c>
      <c r="E15" s="90">
        <v>94126070</v>
      </c>
      <c r="F15" s="91" t="s">
        <v>120</v>
      </c>
      <c r="G15" s="92">
        <v>39910171805</v>
      </c>
      <c r="H15" s="93">
        <v>33546</v>
      </c>
      <c r="I15" s="89">
        <v>34</v>
      </c>
      <c r="J15" s="89" t="s">
        <v>67</v>
      </c>
      <c r="K15" s="89" t="s">
        <v>54</v>
      </c>
      <c r="L15" s="89" t="s">
        <v>93</v>
      </c>
      <c r="M15" s="89"/>
      <c r="N15" s="89" t="s">
        <v>113</v>
      </c>
      <c r="O15" s="94" t="s">
        <v>121</v>
      </c>
      <c r="P15" s="95" t="s">
        <v>58</v>
      </c>
      <c r="Q15" s="144" t="s">
        <v>59</v>
      </c>
      <c r="R15" s="121">
        <v>46171</v>
      </c>
      <c r="S15" s="97"/>
      <c r="T15" s="97" t="s">
        <v>60</v>
      </c>
      <c r="U15" s="97" t="s">
        <v>61</v>
      </c>
      <c r="V15" s="93">
        <v>46161</v>
      </c>
      <c r="W15" s="93">
        <v>46171</v>
      </c>
      <c r="X15" s="93" t="s">
        <v>73</v>
      </c>
      <c r="Y15" s="98"/>
      <c r="Z15" s="89" t="s">
        <v>62</v>
      </c>
      <c r="AA15" s="97">
        <v>46181.583332581016</v>
      </c>
      <c r="AB15" s="89" t="s">
        <v>75</v>
      </c>
      <c r="AC15" s="120" t="s">
        <v>63</v>
      </c>
      <c r="AD15" s="89" t="s">
        <v>122</v>
      </c>
      <c r="AE15" s="89"/>
      <c r="AF15" s="89" t="s">
        <v>110</v>
      </c>
      <c r="AG15" s="89">
        <v>2.98</v>
      </c>
      <c r="AH15" s="99" t="s">
        <v>111</v>
      </c>
      <c r="AI15" s="99" t="s">
        <v>111</v>
      </c>
      <c r="AJ15" s="119" t="s">
        <v>91</v>
      </c>
      <c r="AK15" s="100"/>
      <c r="AL15" s="100" t="s">
        <v>64</v>
      </c>
      <c r="AM15" s="100" t="s">
        <v>102</v>
      </c>
      <c r="AN15" s="45" t="s">
        <v>65</v>
      </c>
      <c r="AO15" s="198" t="str">
        <f t="shared" si="0"/>
        <v>5/2026</v>
      </c>
      <c r="AP15" s="198">
        <f t="shared" si="1"/>
        <v>2</v>
      </c>
      <c r="AQ15" s="45" t="str">
        <f t="shared" si="2"/>
        <v>5/2026</v>
      </c>
      <c r="AR15" s="45">
        <f t="shared" si="3"/>
        <v>5</v>
      </c>
      <c r="AS15" s="45">
        <f t="shared" si="4"/>
        <v>0</v>
      </c>
      <c r="AT15" s="45">
        <f t="shared" si="5"/>
        <v>0</v>
      </c>
      <c r="AU15" s="45">
        <f t="shared" si="6"/>
        <v>0</v>
      </c>
      <c r="AV15" s="45">
        <f t="shared" si="7"/>
        <v>0</v>
      </c>
      <c r="AW15" s="45" t="str">
        <f>_xlfn.XLOOKUP(W15,'Lista Suspensa'!$AA$20:$AA$23,'Lista Suspensa'!$AB$20:$AB$23,"N/A")</f>
        <v>N/A</v>
      </c>
    </row>
    <row r="16" spans="1:49" ht="12" customHeight="1" x14ac:dyDescent="0.3">
      <c r="A16" s="87" t="s">
        <v>49</v>
      </c>
      <c r="B16" s="88">
        <v>46147</v>
      </c>
      <c r="C16" s="89" t="s">
        <v>50</v>
      </c>
      <c r="D16" s="89" t="s">
        <v>51</v>
      </c>
      <c r="E16" s="90">
        <v>89386945</v>
      </c>
      <c r="F16" s="91" t="s">
        <v>123</v>
      </c>
      <c r="G16" s="92">
        <v>13310639819</v>
      </c>
      <c r="H16" s="93">
        <v>24889</v>
      </c>
      <c r="I16" s="89">
        <v>58</v>
      </c>
      <c r="J16" s="89" t="s">
        <v>53</v>
      </c>
      <c r="K16" s="89" t="s">
        <v>54</v>
      </c>
      <c r="L16" s="89" t="s">
        <v>93</v>
      </c>
      <c r="M16" s="89"/>
      <c r="N16" s="89" t="s">
        <v>124</v>
      </c>
      <c r="O16" s="94" t="s">
        <v>125</v>
      </c>
      <c r="P16" s="95" t="s">
        <v>58</v>
      </c>
      <c r="Q16" s="144" t="s">
        <v>59</v>
      </c>
      <c r="R16" s="96">
        <v>46171</v>
      </c>
      <c r="S16" s="97"/>
      <c r="T16" s="97" t="s">
        <v>60</v>
      </c>
      <c r="U16" s="97" t="s">
        <v>61</v>
      </c>
      <c r="V16" s="93">
        <v>46161</v>
      </c>
      <c r="W16" s="93">
        <v>46171</v>
      </c>
      <c r="X16" s="93"/>
      <c r="Y16" s="98"/>
      <c r="Z16" s="89" t="s">
        <v>62</v>
      </c>
      <c r="AA16" s="97">
        <v>46176.555554918981</v>
      </c>
      <c r="AB16" s="89" t="s">
        <v>142</v>
      </c>
      <c r="AC16" s="120" t="s">
        <v>63</v>
      </c>
      <c r="AD16" s="89"/>
      <c r="AE16" s="89"/>
      <c r="AF16" s="89"/>
      <c r="AG16" s="89"/>
      <c r="AH16" s="99"/>
      <c r="AI16" s="99"/>
      <c r="AJ16" s="99"/>
      <c r="AK16" s="100"/>
      <c r="AL16" s="100" t="s">
        <v>64</v>
      </c>
      <c r="AM16" s="100" t="s">
        <v>102</v>
      </c>
      <c r="AN16" s="45" t="s">
        <v>65</v>
      </c>
      <c r="AO16" s="198" t="str">
        <f t="shared" si="0"/>
        <v>5/2026</v>
      </c>
      <c r="AP16" s="198">
        <f t="shared" si="1"/>
        <v>2</v>
      </c>
      <c r="AQ16" s="45" t="str">
        <f t="shared" si="2"/>
        <v>5/2026</v>
      </c>
      <c r="AR16" s="45">
        <f t="shared" si="3"/>
        <v>5</v>
      </c>
      <c r="AS16" s="45">
        <f t="shared" si="4"/>
        <v>0</v>
      </c>
      <c r="AT16" s="45">
        <f t="shared" si="5"/>
        <v>0</v>
      </c>
      <c r="AU16" s="45">
        <f t="shared" si="6"/>
        <v>0</v>
      </c>
      <c r="AV16" s="45">
        <f t="shared" si="7"/>
        <v>0</v>
      </c>
      <c r="AW16" s="45" t="str">
        <f>_xlfn.XLOOKUP(W16,'Lista Suspensa'!$AA$20:$AA$23,'Lista Suspensa'!$AB$20:$AB$23,"N/A")</f>
        <v>N/A</v>
      </c>
    </row>
    <row r="17" spans="1:49" ht="12" customHeight="1" x14ac:dyDescent="0.3">
      <c r="A17" s="87" t="s">
        <v>49</v>
      </c>
      <c r="B17" s="88">
        <v>46147</v>
      </c>
      <c r="C17" s="89" t="s">
        <v>50</v>
      </c>
      <c r="D17" s="89" t="s">
        <v>51</v>
      </c>
      <c r="E17" s="90">
        <v>85107055</v>
      </c>
      <c r="F17" s="91" t="s">
        <v>126</v>
      </c>
      <c r="G17" s="92">
        <v>9591597703</v>
      </c>
      <c r="H17" s="93">
        <v>30042</v>
      </c>
      <c r="I17" s="89">
        <v>44</v>
      </c>
      <c r="J17" s="89" t="s">
        <v>53</v>
      </c>
      <c r="K17" s="89" t="s">
        <v>77</v>
      </c>
      <c r="L17" s="89" t="s">
        <v>93</v>
      </c>
      <c r="M17" s="89"/>
      <c r="N17" s="89" t="s">
        <v>124</v>
      </c>
      <c r="O17" s="94" t="s">
        <v>127</v>
      </c>
      <c r="P17" s="95" t="s">
        <v>58</v>
      </c>
      <c r="Q17" s="144" t="s">
        <v>59</v>
      </c>
      <c r="R17" s="121">
        <v>46171</v>
      </c>
      <c r="S17" s="97"/>
      <c r="T17" s="97" t="s">
        <v>60</v>
      </c>
      <c r="U17" s="97" t="s">
        <v>61</v>
      </c>
      <c r="V17" s="93">
        <v>46161</v>
      </c>
      <c r="W17" s="93">
        <v>46171</v>
      </c>
      <c r="X17" s="93" t="s">
        <v>73</v>
      </c>
      <c r="Y17" s="98"/>
      <c r="Z17" s="89" t="s">
        <v>62</v>
      </c>
      <c r="AA17" s="97">
        <v>46181.486110763886</v>
      </c>
      <c r="AB17" s="89" t="s">
        <v>75</v>
      </c>
      <c r="AC17" s="120" t="s">
        <v>63</v>
      </c>
      <c r="AD17" s="89" t="s">
        <v>122</v>
      </c>
      <c r="AE17" s="89"/>
      <c r="AF17" s="123" t="s">
        <v>128</v>
      </c>
      <c r="AG17" s="89" t="s">
        <v>105</v>
      </c>
      <c r="AH17" s="99" t="s">
        <v>90</v>
      </c>
      <c r="AI17" s="99" t="s">
        <v>90</v>
      </c>
      <c r="AJ17" s="99" t="s">
        <v>91</v>
      </c>
      <c r="AK17" s="100"/>
      <c r="AL17" s="100" t="s">
        <v>64</v>
      </c>
      <c r="AM17" s="100" t="s">
        <v>102</v>
      </c>
      <c r="AN17" s="45" t="s">
        <v>65</v>
      </c>
      <c r="AO17" s="198" t="str">
        <f t="shared" si="0"/>
        <v>5/2026</v>
      </c>
      <c r="AP17" s="198">
        <f t="shared" si="1"/>
        <v>2</v>
      </c>
      <c r="AQ17" s="45" t="str">
        <f t="shared" si="2"/>
        <v>5/2026</v>
      </c>
      <c r="AR17" s="45">
        <f t="shared" si="3"/>
        <v>5</v>
      </c>
      <c r="AS17" s="45">
        <f t="shared" si="4"/>
        <v>0</v>
      </c>
      <c r="AT17" s="45">
        <f t="shared" si="5"/>
        <v>0</v>
      </c>
      <c r="AU17" s="45">
        <f t="shared" si="6"/>
        <v>0</v>
      </c>
      <c r="AV17" s="45">
        <f t="shared" si="7"/>
        <v>0</v>
      </c>
      <c r="AW17" s="45" t="str">
        <f>_xlfn.XLOOKUP(W17,'Lista Suspensa'!$AA$20:$AA$23,'Lista Suspensa'!$AB$20:$AB$23,"N/A")</f>
        <v>N/A</v>
      </c>
    </row>
    <row r="18" spans="1:49" ht="12" customHeight="1" x14ac:dyDescent="0.3">
      <c r="A18" s="87" t="s">
        <v>49</v>
      </c>
      <c r="B18" s="88">
        <v>46147</v>
      </c>
      <c r="C18" s="89" t="s">
        <v>50</v>
      </c>
      <c r="D18" s="89" t="s">
        <v>51</v>
      </c>
      <c r="E18" s="90">
        <v>83007610</v>
      </c>
      <c r="F18" s="91" t="s">
        <v>129</v>
      </c>
      <c r="G18" s="92">
        <v>68781318715</v>
      </c>
      <c r="H18" s="93">
        <v>23956</v>
      </c>
      <c r="I18" s="89">
        <v>60</v>
      </c>
      <c r="J18" s="89" t="s">
        <v>67</v>
      </c>
      <c r="K18" s="89" t="s">
        <v>77</v>
      </c>
      <c r="L18" s="89" t="s">
        <v>130</v>
      </c>
      <c r="M18" s="89"/>
      <c r="N18" s="89" t="s">
        <v>82</v>
      </c>
      <c r="O18" s="94" t="s">
        <v>131</v>
      </c>
      <c r="P18" s="95" t="s">
        <v>58</v>
      </c>
      <c r="Q18" s="144" t="s">
        <v>59</v>
      </c>
      <c r="R18" s="96">
        <v>46149</v>
      </c>
      <c r="S18" s="97"/>
      <c r="T18" s="97" t="s">
        <v>60</v>
      </c>
      <c r="U18" s="97" t="s">
        <v>61</v>
      </c>
      <c r="V18" s="93">
        <v>46149</v>
      </c>
      <c r="W18" s="93" t="s">
        <v>73</v>
      </c>
      <c r="X18" s="93" t="s">
        <v>73</v>
      </c>
      <c r="Y18" s="98"/>
      <c r="Z18" s="89" t="s">
        <v>62</v>
      </c>
      <c r="AA18" s="97">
        <v>46156</v>
      </c>
      <c r="AB18" s="89" t="s">
        <v>75</v>
      </c>
      <c r="AC18" s="120"/>
      <c r="AD18" s="89"/>
      <c r="AE18" s="89"/>
      <c r="AF18" s="89">
        <v>2.2999999999999998</v>
      </c>
      <c r="AG18" s="89">
        <v>2.2999999999999998</v>
      </c>
      <c r="AH18" s="99" t="s">
        <v>132</v>
      </c>
      <c r="AI18" s="99"/>
      <c r="AJ18" s="119" t="s">
        <v>91</v>
      </c>
      <c r="AK18" s="100"/>
      <c r="AL18" s="100" t="s">
        <v>64</v>
      </c>
      <c r="AM18" s="100" t="s">
        <v>102</v>
      </c>
      <c r="AN18" s="45" t="s">
        <v>65</v>
      </c>
      <c r="AO18" s="198" t="str">
        <f t="shared" si="0"/>
        <v>5/2026</v>
      </c>
      <c r="AP18" s="198">
        <f t="shared" si="1"/>
        <v>2</v>
      </c>
      <c r="AQ18" s="45" t="str">
        <f t="shared" si="2"/>
        <v>5/2026</v>
      </c>
      <c r="AR18" s="45">
        <f t="shared" si="3"/>
        <v>2</v>
      </c>
      <c r="AS18" s="45">
        <f t="shared" si="4"/>
        <v>0</v>
      </c>
      <c r="AT18" s="45">
        <f t="shared" si="5"/>
        <v>0</v>
      </c>
      <c r="AU18" s="45">
        <f t="shared" si="6"/>
        <v>0</v>
      </c>
      <c r="AV18" s="45">
        <f t="shared" si="7"/>
        <v>0</v>
      </c>
      <c r="AW18" s="45" t="str">
        <f>_xlfn.XLOOKUP(W18,'Lista Suspensa'!$AA$20:$AA$23,'Lista Suspensa'!$AB$20:$AB$23,"N/A")</f>
        <v>N/A</v>
      </c>
    </row>
    <row r="19" spans="1:49" ht="12" customHeight="1" x14ac:dyDescent="0.3">
      <c r="A19" s="87" t="s">
        <v>49</v>
      </c>
      <c r="B19" s="88">
        <v>46147</v>
      </c>
      <c r="C19" s="89" t="s">
        <v>50</v>
      </c>
      <c r="D19" s="89" t="s">
        <v>51</v>
      </c>
      <c r="E19" s="90">
        <v>78401806</v>
      </c>
      <c r="F19" s="91" t="s">
        <v>133</v>
      </c>
      <c r="G19" s="92">
        <v>18472517810</v>
      </c>
      <c r="H19" s="93">
        <v>28393</v>
      </c>
      <c r="I19" s="89">
        <v>48</v>
      </c>
      <c r="J19" s="89" t="s">
        <v>53</v>
      </c>
      <c r="K19" s="89" t="s">
        <v>54</v>
      </c>
      <c r="L19" s="89" t="s">
        <v>134</v>
      </c>
      <c r="M19" s="89"/>
      <c r="N19" s="89" t="s">
        <v>124</v>
      </c>
      <c r="O19" s="94" t="s">
        <v>135</v>
      </c>
      <c r="P19" s="95" t="s">
        <v>58</v>
      </c>
      <c r="Q19" s="144" t="s">
        <v>59</v>
      </c>
      <c r="R19" s="96">
        <v>46149</v>
      </c>
      <c r="S19" s="97"/>
      <c r="T19" s="97" t="s">
        <v>60</v>
      </c>
      <c r="U19" s="97" t="s">
        <v>61</v>
      </c>
      <c r="V19" s="93">
        <v>46149</v>
      </c>
      <c r="W19" s="93" t="s">
        <v>73</v>
      </c>
      <c r="X19" s="93" t="s">
        <v>73</v>
      </c>
      <c r="Y19" s="98"/>
      <c r="Z19" s="89" t="s">
        <v>62</v>
      </c>
      <c r="AA19" s="97">
        <v>46156</v>
      </c>
      <c r="AB19" s="89" t="s">
        <v>75</v>
      </c>
      <c r="AC19" s="120"/>
      <c r="AD19" s="89"/>
      <c r="AE19" s="89"/>
      <c r="AF19" s="89">
        <v>46125</v>
      </c>
      <c r="AG19" s="89">
        <v>46125</v>
      </c>
      <c r="AH19" s="99" t="s">
        <v>136</v>
      </c>
      <c r="AI19" s="99"/>
      <c r="AJ19" s="119" t="s">
        <v>91</v>
      </c>
      <c r="AK19" s="100"/>
      <c r="AL19" s="100" t="s">
        <v>64</v>
      </c>
      <c r="AM19" s="100" t="s">
        <v>102</v>
      </c>
      <c r="AN19" s="45" t="s">
        <v>65</v>
      </c>
      <c r="AO19" s="198" t="str">
        <f t="shared" si="0"/>
        <v>5/2026</v>
      </c>
      <c r="AP19" s="198">
        <f t="shared" si="1"/>
        <v>2</v>
      </c>
      <c r="AQ19" s="45" t="str">
        <f t="shared" si="2"/>
        <v>5/2026</v>
      </c>
      <c r="AR19" s="45">
        <f t="shared" si="3"/>
        <v>2</v>
      </c>
      <c r="AS19" s="45">
        <f t="shared" si="4"/>
        <v>0</v>
      </c>
      <c r="AT19" s="45">
        <f t="shared" si="5"/>
        <v>0</v>
      </c>
      <c r="AU19" s="45">
        <f t="shared" si="6"/>
        <v>0</v>
      </c>
      <c r="AV19" s="45">
        <f t="shared" si="7"/>
        <v>0</v>
      </c>
      <c r="AW19" s="45" t="str">
        <f>_xlfn.XLOOKUP(W19,'Lista Suspensa'!$AA$20:$AA$23,'Lista Suspensa'!$AB$20:$AB$23,"N/A")</f>
        <v>N/A</v>
      </c>
    </row>
    <row r="20" spans="1:49" ht="12" customHeight="1" x14ac:dyDescent="0.3">
      <c r="A20" s="87" t="s">
        <v>102</v>
      </c>
      <c r="B20" s="88">
        <v>46147</v>
      </c>
      <c r="C20" s="89" t="s">
        <v>50</v>
      </c>
      <c r="D20" s="89" t="s">
        <v>51</v>
      </c>
      <c r="E20" s="90">
        <v>94565113</v>
      </c>
      <c r="F20" s="91" t="s">
        <v>137</v>
      </c>
      <c r="G20" s="92">
        <v>4044801878</v>
      </c>
      <c r="H20" s="93">
        <v>22928</v>
      </c>
      <c r="I20" s="89">
        <v>63</v>
      </c>
      <c r="J20" s="89" t="s">
        <v>53</v>
      </c>
      <c r="K20" s="89" t="s">
        <v>54</v>
      </c>
      <c r="L20" s="89" t="s">
        <v>134</v>
      </c>
      <c r="M20" s="89"/>
      <c r="N20" s="89" t="s">
        <v>82</v>
      </c>
      <c r="O20" s="94" t="s">
        <v>138</v>
      </c>
      <c r="P20" s="95" t="s">
        <v>58</v>
      </c>
      <c r="Q20" s="144" t="s">
        <v>59</v>
      </c>
      <c r="R20" s="96">
        <v>46161</v>
      </c>
      <c r="S20" s="97"/>
      <c r="T20" s="97" t="s">
        <v>60</v>
      </c>
      <c r="U20" s="97" t="s">
        <v>61</v>
      </c>
      <c r="V20" s="93">
        <v>46148</v>
      </c>
      <c r="W20" s="93" t="s">
        <v>73</v>
      </c>
      <c r="X20" s="93" t="s">
        <v>73</v>
      </c>
      <c r="Y20" s="98"/>
      <c r="Z20" s="89" t="s">
        <v>62</v>
      </c>
      <c r="AA20" s="97">
        <v>46171</v>
      </c>
      <c r="AB20" s="89" t="s">
        <v>75</v>
      </c>
      <c r="AC20" s="120"/>
      <c r="AD20" s="89"/>
      <c r="AE20" s="89"/>
      <c r="AF20" s="89" t="s">
        <v>139</v>
      </c>
      <c r="AG20" s="89">
        <v>1.41</v>
      </c>
      <c r="AH20" s="99"/>
      <c r="AI20" s="99"/>
      <c r="AJ20" s="99"/>
      <c r="AK20" s="100"/>
      <c r="AL20" s="100" t="s">
        <v>64</v>
      </c>
      <c r="AM20" s="100" t="s">
        <v>102</v>
      </c>
      <c r="AN20" s="45" t="s">
        <v>65</v>
      </c>
      <c r="AO20" s="198" t="str">
        <f t="shared" si="0"/>
        <v>5/2026</v>
      </c>
      <c r="AP20" s="198">
        <f t="shared" si="1"/>
        <v>2</v>
      </c>
      <c r="AQ20" s="45" t="str">
        <f t="shared" si="2"/>
        <v>5/2026</v>
      </c>
      <c r="AR20" s="45">
        <f t="shared" si="3"/>
        <v>4</v>
      </c>
      <c r="AS20" s="45">
        <f t="shared" si="4"/>
        <v>0</v>
      </c>
      <c r="AT20" s="45">
        <f t="shared" si="5"/>
        <v>0</v>
      </c>
      <c r="AU20" s="45">
        <f t="shared" si="6"/>
        <v>0</v>
      </c>
      <c r="AV20" s="45">
        <f t="shared" si="7"/>
        <v>0</v>
      </c>
      <c r="AW20" s="45" t="str">
        <f>_xlfn.XLOOKUP(W20,'Lista Suspensa'!$AA$20:$AA$23,'Lista Suspensa'!$AB$20:$AB$23,"N/A")</f>
        <v>N/A</v>
      </c>
    </row>
    <row r="21" spans="1:49" ht="12" customHeight="1" x14ac:dyDescent="0.3">
      <c r="A21" s="87" t="s">
        <v>102</v>
      </c>
      <c r="B21" s="88">
        <v>46147</v>
      </c>
      <c r="C21" s="89" t="s">
        <v>50</v>
      </c>
      <c r="D21" s="89" t="s">
        <v>51</v>
      </c>
      <c r="E21" s="90">
        <v>95663093</v>
      </c>
      <c r="F21" s="91" t="s">
        <v>140</v>
      </c>
      <c r="G21" s="92">
        <v>26132772898</v>
      </c>
      <c r="H21" s="93">
        <v>28220</v>
      </c>
      <c r="I21" s="89">
        <v>49</v>
      </c>
      <c r="J21" s="89" t="s">
        <v>53</v>
      </c>
      <c r="K21" s="89" t="s">
        <v>54</v>
      </c>
      <c r="L21" s="89" t="s">
        <v>68</v>
      </c>
      <c r="M21" s="89"/>
      <c r="N21" s="89" t="s">
        <v>82</v>
      </c>
      <c r="O21" s="94" t="s">
        <v>141</v>
      </c>
      <c r="P21" s="95" t="s">
        <v>58</v>
      </c>
      <c r="Q21" s="144" t="s">
        <v>59</v>
      </c>
      <c r="R21" s="96">
        <v>46148</v>
      </c>
      <c r="S21" s="97"/>
      <c r="T21" s="97" t="s">
        <v>60</v>
      </c>
      <c r="U21" s="97" t="s">
        <v>61</v>
      </c>
      <c r="V21" s="93">
        <v>46148</v>
      </c>
      <c r="W21" s="93" t="s">
        <v>73</v>
      </c>
      <c r="X21" s="93" t="s">
        <v>73</v>
      </c>
      <c r="Y21" s="98"/>
      <c r="Z21" s="89" t="s">
        <v>62</v>
      </c>
      <c r="AA21" s="97">
        <v>46155</v>
      </c>
      <c r="AB21" s="89" t="s">
        <v>142</v>
      </c>
      <c r="AC21" s="120"/>
      <c r="AD21" s="89"/>
      <c r="AE21" s="89"/>
      <c r="AF21" s="89"/>
      <c r="AG21" s="89"/>
      <c r="AH21" s="99"/>
      <c r="AI21" s="99"/>
      <c r="AJ21" s="99" t="s">
        <v>91</v>
      </c>
      <c r="AK21" s="100"/>
      <c r="AL21" s="100" t="s">
        <v>64</v>
      </c>
      <c r="AM21" s="100" t="s">
        <v>102</v>
      </c>
      <c r="AN21" s="45" t="s">
        <v>65</v>
      </c>
      <c r="AO21" s="198" t="str">
        <f t="shared" si="0"/>
        <v>5/2026</v>
      </c>
      <c r="AP21" s="198">
        <f t="shared" si="1"/>
        <v>2</v>
      </c>
      <c r="AQ21" s="45" t="str">
        <f t="shared" si="2"/>
        <v>5/2026</v>
      </c>
      <c r="AR21" s="45">
        <f t="shared" si="3"/>
        <v>2</v>
      </c>
      <c r="AS21" s="45">
        <f t="shared" si="4"/>
        <v>0</v>
      </c>
      <c r="AT21" s="45">
        <f t="shared" si="5"/>
        <v>0</v>
      </c>
      <c r="AU21" s="45">
        <f t="shared" si="6"/>
        <v>0</v>
      </c>
      <c r="AV21" s="45">
        <f t="shared" si="7"/>
        <v>0</v>
      </c>
      <c r="AW21" s="45" t="str">
        <f>_xlfn.XLOOKUP(W21,'Lista Suspensa'!$AA$20:$AA$23,'Lista Suspensa'!$AB$20:$AB$23,"N/A")</f>
        <v>N/A</v>
      </c>
    </row>
    <row r="22" spans="1:49" ht="12" customHeight="1" x14ac:dyDescent="0.3">
      <c r="A22" s="87" t="s">
        <v>102</v>
      </c>
      <c r="B22" s="88">
        <v>46155</v>
      </c>
      <c r="C22" s="89" t="s">
        <v>143</v>
      </c>
      <c r="D22" s="89" t="s">
        <v>144</v>
      </c>
      <c r="E22" s="90">
        <v>95618846</v>
      </c>
      <c r="F22" s="91" t="s">
        <v>145</v>
      </c>
      <c r="G22" s="92">
        <v>31307844898</v>
      </c>
      <c r="H22" s="93">
        <v>30011</v>
      </c>
      <c r="I22" s="89">
        <v>44</v>
      </c>
      <c r="J22" s="89" t="s">
        <v>53</v>
      </c>
      <c r="K22" s="89" t="s">
        <v>54</v>
      </c>
      <c r="L22" s="89" t="s">
        <v>146</v>
      </c>
      <c r="M22" s="89" t="s">
        <v>147</v>
      </c>
      <c r="N22" s="89" t="s">
        <v>113</v>
      </c>
      <c r="O22" s="94">
        <v>11947339050</v>
      </c>
      <c r="P22" s="95" t="s">
        <v>58</v>
      </c>
      <c r="Q22" s="144" t="s">
        <v>59</v>
      </c>
      <c r="R22" s="96">
        <v>46161</v>
      </c>
      <c r="S22" s="97"/>
      <c r="T22" s="97" t="s">
        <v>60</v>
      </c>
      <c r="U22" s="97" t="s">
        <v>61</v>
      </c>
      <c r="V22" s="93">
        <v>46161</v>
      </c>
      <c r="W22" s="93" t="s">
        <v>73</v>
      </c>
      <c r="X22" s="93" t="s">
        <v>73</v>
      </c>
      <c r="Y22" s="98"/>
      <c r="Z22" s="89" t="s">
        <v>62</v>
      </c>
      <c r="AA22" s="97">
        <v>46170</v>
      </c>
      <c r="AB22" s="89" t="s">
        <v>75</v>
      </c>
      <c r="AC22" s="120"/>
      <c r="AD22" s="89" t="s">
        <v>122</v>
      </c>
      <c r="AE22" s="89"/>
      <c r="AF22" s="89">
        <v>1.8</v>
      </c>
      <c r="AG22" s="89">
        <v>1.8</v>
      </c>
      <c r="AH22" s="99" t="s">
        <v>90</v>
      </c>
      <c r="AI22" s="99"/>
      <c r="AJ22" s="119" t="s">
        <v>91</v>
      </c>
      <c r="AK22" s="100"/>
      <c r="AL22" s="100" t="s">
        <v>64</v>
      </c>
      <c r="AM22" s="100" t="s">
        <v>102</v>
      </c>
      <c r="AN22" s="45" t="s">
        <v>65</v>
      </c>
      <c r="AO22" s="198" t="str">
        <f t="shared" si="0"/>
        <v>5/2026</v>
      </c>
      <c r="AP22" s="198">
        <f t="shared" si="1"/>
        <v>3</v>
      </c>
      <c r="AQ22" s="45" t="str">
        <f t="shared" si="2"/>
        <v>5/2026</v>
      </c>
      <c r="AR22" s="45">
        <f t="shared" si="3"/>
        <v>4</v>
      </c>
      <c r="AS22" s="45">
        <f t="shared" si="4"/>
        <v>0</v>
      </c>
      <c r="AT22" s="45">
        <f t="shared" si="5"/>
        <v>0</v>
      </c>
      <c r="AU22" s="45">
        <f t="shared" si="6"/>
        <v>0</v>
      </c>
      <c r="AV22" s="45">
        <f t="shared" si="7"/>
        <v>0</v>
      </c>
      <c r="AW22" s="45" t="str">
        <f>_xlfn.XLOOKUP(W22,'Lista Suspensa'!$AA$20:$AA$23,'Lista Suspensa'!$AB$20:$AB$23,"N/A")</f>
        <v>N/A</v>
      </c>
    </row>
    <row r="23" spans="1:49" ht="12" customHeight="1" x14ac:dyDescent="0.3">
      <c r="A23" s="87" t="s">
        <v>49</v>
      </c>
      <c r="B23" s="88">
        <v>46147</v>
      </c>
      <c r="C23" s="89" t="s">
        <v>50</v>
      </c>
      <c r="D23" s="89" t="s">
        <v>51</v>
      </c>
      <c r="E23" s="90">
        <v>89678263</v>
      </c>
      <c r="F23" s="91" t="s">
        <v>148</v>
      </c>
      <c r="G23" s="92">
        <v>15336198757</v>
      </c>
      <c r="H23" s="93">
        <v>36564</v>
      </c>
      <c r="I23" s="89">
        <v>26</v>
      </c>
      <c r="J23" s="89" t="s">
        <v>67</v>
      </c>
      <c r="K23" s="89" t="s">
        <v>77</v>
      </c>
      <c r="L23" s="89" t="s">
        <v>149</v>
      </c>
      <c r="M23" s="89"/>
      <c r="N23" s="89" t="s">
        <v>150</v>
      </c>
      <c r="O23" s="94" t="s">
        <v>151</v>
      </c>
      <c r="P23" s="95" t="s">
        <v>58</v>
      </c>
      <c r="Q23" s="144" t="s">
        <v>59</v>
      </c>
      <c r="R23" s="96">
        <v>46150</v>
      </c>
      <c r="S23" s="97"/>
      <c r="T23" s="97" t="s">
        <v>60</v>
      </c>
      <c r="U23" s="97" t="s">
        <v>61</v>
      </c>
      <c r="V23" s="93">
        <v>46150</v>
      </c>
      <c r="W23" s="93" t="s">
        <v>73</v>
      </c>
      <c r="X23" s="93" t="s">
        <v>73</v>
      </c>
      <c r="Y23" s="98"/>
      <c r="Z23" s="89" t="s">
        <v>62</v>
      </c>
      <c r="AA23" s="97">
        <v>46157</v>
      </c>
      <c r="AB23" s="89" t="s">
        <v>142</v>
      </c>
      <c r="AC23" s="120"/>
      <c r="AD23" s="89"/>
      <c r="AE23" s="89"/>
      <c r="AF23" s="89"/>
      <c r="AG23" s="89"/>
      <c r="AH23" s="99"/>
      <c r="AI23" s="99"/>
      <c r="AJ23" s="99" t="s">
        <v>91</v>
      </c>
      <c r="AK23" s="100"/>
      <c r="AL23" s="100" t="s">
        <v>64</v>
      </c>
      <c r="AM23" s="100" t="s">
        <v>102</v>
      </c>
      <c r="AN23" s="45" t="s">
        <v>65</v>
      </c>
      <c r="AO23" s="198" t="str">
        <f t="shared" si="0"/>
        <v>5/2026</v>
      </c>
      <c r="AP23" s="198">
        <f t="shared" si="1"/>
        <v>2</v>
      </c>
      <c r="AQ23" s="45" t="str">
        <f t="shared" si="2"/>
        <v>5/2026</v>
      </c>
      <c r="AR23" s="45">
        <f t="shared" si="3"/>
        <v>2</v>
      </c>
      <c r="AS23" s="45">
        <f t="shared" si="4"/>
        <v>0</v>
      </c>
      <c r="AT23" s="45">
        <f t="shared" si="5"/>
        <v>0</v>
      </c>
      <c r="AU23" s="45">
        <f t="shared" si="6"/>
        <v>0</v>
      </c>
      <c r="AV23" s="45">
        <f t="shared" si="7"/>
        <v>0</v>
      </c>
      <c r="AW23" s="45" t="str">
        <f>_xlfn.XLOOKUP(W23,'Lista Suspensa'!$AA$20:$AA$23,'Lista Suspensa'!$AB$20:$AB$23,"N/A")</f>
        <v>N/A</v>
      </c>
    </row>
    <row r="24" spans="1:49" ht="12" customHeight="1" x14ac:dyDescent="0.3">
      <c r="A24" s="87" t="s">
        <v>49</v>
      </c>
      <c r="B24" s="88">
        <v>46147</v>
      </c>
      <c r="C24" s="89" t="s">
        <v>50</v>
      </c>
      <c r="D24" s="89" t="s">
        <v>51</v>
      </c>
      <c r="E24" s="90">
        <v>94094307</v>
      </c>
      <c r="F24" s="91" t="s">
        <v>152</v>
      </c>
      <c r="G24" s="92">
        <v>7271761454</v>
      </c>
      <c r="H24" s="93">
        <v>32709</v>
      </c>
      <c r="I24" s="89">
        <v>36</v>
      </c>
      <c r="J24" s="89" t="s">
        <v>67</v>
      </c>
      <c r="K24" s="89" t="s">
        <v>54</v>
      </c>
      <c r="L24" s="89" t="s">
        <v>153</v>
      </c>
      <c r="M24" s="89"/>
      <c r="N24" s="89" t="s">
        <v>82</v>
      </c>
      <c r="O24" s="94" t="s">
        <v>154</v>
      </c>
      <c r="P24" s="95" t="s">
        <v>58</v>
      </c>
      <c r="Q24" s="144" t="s">
        <v>59</v>
      </c>
      <c r="R24" s="96">
        <v>46150</v>
      </c>
      <c r="S24" s="97"/>
      <c r="T24" s="97" t="s">
        <v>60</v>
      </c>
      <c r="U24" s="97" t="s">
        <v>61</v>
      </c>
      <c r="V24" s="93">
        <v>46150</v>
      </c>
      <c r="W24" s="93" t="s">
        <v>73</v>
      </c>
      <c r="X24" s="93" t="s">
        <v>73</v>
      </c>
      <c r="Y24" s="98"/>
      <c r="Z24" s="89" t="s">
        <v>62</v>
      </c>
      <c r="AA24" s="97">
        <v>46157</v>
      </c>
      <c r="AB24" s="89" t="s">
        <v>75</v>
      </c>
      <c r="AC24" s="120"/>
      <c r="AD24" s="89"/>
      <c r="AE24" s="89"/>
      <c r="AF24" s="89"/>
      <c r="AG24" s="89"/>
      <c r="AH24" s="99"/>
      <c r="AI24" s="99"/>
      <c r="AJ24" s="99" t="s">
        <v>91</v>
      </c>
      <c r="AK24" s="100"/>
      <c r="AL24" s="100" t="s">
        <v>64</v>
      </c>
      <c r="AM24" s="100" t="s">
        <v>102</v>
      </c>
      <c r="AN24" s="45" t="s">
        <v>65</v>
      </c>
      <c r="AO24" s="198" t="str">
        <f t="shared" si="0"/>
        <v>5/2026</v>
      </c>
      <c r="AP24" s="198">
        <f t="shared" si="1"/>
        <v>2</v>
      </c>
      <c r="AQ24" s="45" t="str">
        <f t="shared" si="2"/>
        <v>5/2026</v>
      </c>
      <c r="AR24" s="45">
        <f t="shared" si="3"/>
        <v>2</v>
      </c>
      <c r="AS24" s="45">
        <f t="shared" si="4"/>
        <v>0</v>
      </c>
      <c r="AT24" s="45">
        <f t="shared" si="5"/>
        <v>0</v>
      </c>
      <c r="AU24" s="45">
        <f t="shared" si="6"/>
        <v>0</v>
      </c>
      <c r="AV24" s="45">
        <f t="shared" si="7"/>
        <v>0</v>
      </c>
      <c r="AW24" s="45" t="str">
        <f>_xlfn.XLOOKUP(W24,'Lista Suspensa'!$AA$20:$AA$23,'Lista Suspensa'!$AB$20:$AB$23,"N/A")</f>
        <v>N/A</v>
      </c>
    </row>
    <row r="25" spans="1:49" ht="12" customHeight="1" x14ac:dyDescent="0.3">
      <c r="A25" s="87" t="s">
        <v>49</v>
      </c>
      <c r="B25" s="88">
        <v>46147</v>
      </c>
      <c r="C25" s="89" t="s">
        <v>50</v>
      </c>
      <c r="D25" s="89" t="s">
        <v>51</v>
      </c>
      <c r="E25" s="90">
        <v>89546544</v>
      </c>
      <c r="F25" s="91" t="s">
        <v>155</v>
      </c>
      <c r="G25" s="92">
        <v>28462431824</v>
      </c>
      <c r="H25" s="93">
        <v>29150</v>
      </c>
      <c r="I25" s="89">
        <v>46</v>
      </c>
      <c r="J25" s="89" t="s">
        <v>53</v>
      </c>
      <c r="K25" s="89" t="s">
        <v>54</v>
      </c>
      <c r="L25" s="89" t="s">
        <v>153</v>
      </c>
      <c r="M25" s="89"/>
      <c r="N25" s="89" t="s">
        <v>87</v>
      </c>
      <c r="O25" s="94" t="s">
        <v>156</v>
      </c>
      <c r="P25" s="95" t="s">
        <v>58</v>
      </c>
      <c r="Q25" s="144" t="s">
        <v>59</v>
      </c>
      <c r="R25" s="96">
        <v>46150</v>
      </c>
      <c r="S25" s="97"/>
      <c r="T25" s="97" t="s">
        <v>60</v>
      </c>
      <c r="U25" s="97" t="s">
        <v>61</v>
      </c>
      <c r="V25" s="93">
        <v>46150</v>
      </c>
      <c r="W25" s="93" t="s">
        <v>73</v>
      </c>
      <c r="X25" s="93" t="s">
        <v>73</v>
      </c>
      <c r="Y25" s="98"/>
      <c r="Z25" s="89" t="s">
        <v>62</v>
      </c>
      <c r="AA25" s="97">
        <v>46157</v>
      </c>
      <c r="AB25" s="89" t="s">
        <v>142</v>
      </c>
      <c r="AC25" s="120"/>
      <c r="AD25" s="89"/>
      <c r="AE25" s="89"/>
      <c r="AF25" s="89"/>
      <c r="AG25" s="89"/>
      <c r="AH25" s="99"/>
      <c r="AI25" s="99"/>
      <c r="AJ25" s="99" t="s">
        <v>91</v>
      </c>
      <c r="AK25" s="100"/>
      <c r="AL25" s="100" t="s">
        <v>64</v>
      </c>
      <c r="AM25" s="100" t="s">
        <v>102</v>
      </c>
      <c r="AN25" s="45" t="s">
        <v>65</v>
      </c>
      <c r="AO25" s="198" t="str">
        <f t="shared" si="0"/>
        <v>5/2026</v>
      </c>
      <c r="AP25" s="198">
        <f t="shared" si="1"/>
        <v>2</v>
      </c>
      <c r="AQ25" s="45" t="str">
        <f t="shared" si="2"/>
        <v>5/2026</v>
      </c>
      <c r="AR25" s="45">
        <f t="shared" si="3"/>
        <v>2</v>
      </c>
      <c r="AS25" s="45">
        <f t="shared" si="4"/>
        <v>0</v>
      </c>
      <c r="AT25" s="45">
        <f t="shared" si="5"/>
        <v>0</v>
      </c>
      <c r="AU25" s="45">
        <f t="shared" si="6"/>
        <v>0</v>
      </c>
      <c r="AV25" s="45">
        <f t="shared" si="7"/>
        <v>0</v>
      </c>
      <c r="AW25" s="45" t="str">
        <f>_xlfn.XLOOKUP(W25,'Lista Suspensa'!$AA$20:$AA$23,'Lista Suspensa'!$AB$20:$AB$23,"N/A")</f>
        <v>N/A</v>
      </c>
    </row>
    <row r="26" spans="1:49" ht="12" customHeight="1" x14ac:dyDescent="0.3">
      <c r="A26" s="87" t="s">
        <v>49</v>
      </c>
      <c r="B26" s="88">
        <v>46147</v>
      </c>
      <c r="C26" s="89" t="s">
        <v>50</v>
      </c>
      <c r="D26" s="89" t="s">
        <v>51</v>
      </c>
      <c r="E26" s="90">
        <v>89375027</v>
      </c>
      <c r="F26" s="91" t="s">
        <v>157</v>
      </c>
      <c r="G26" s="92">
        <v>42347573810</v>
      </c>
      <c r="H26" s="93">
        <v>32433</v>
      </c>
      <c r="I26" s="89">
        <v>37</v>
      </c>
      <c r="J26" s="89" t="s">
        <v>53</v>
      </c>
      <c r="K26" s="89" t="s">
        <v>54</v>
      </c>
      <c r="L26" s="89" t="s">
        <v>158</v>
      </c>
      <c r="M26" s="89"/>
      <c r="N26" s="89" t="s">
        <v>124</v>
      </c>
      <c r="O26" s="94" t="s">
        <v>159</v>
      </c>
      <c r="P26" s="95" t="s">
        <v>58</v>
      </c>
      <c r="Q26" s="144" t="s">
        <v>59</v>
      </c>
      <c r="R26" s="96">
        <v>46150</v>
      </c>
      <c r="S26" s="97"/>
      <c r="T26" s="97" t="s">
        <v>60</v>
      </c>
      <c r="U26" s="97" t="s">
        <v>61</v>
      </c>
      <c r="V26" s="93">
        <v>46150</v>
      </c>
      <c r="W26" s="93" t="s">
        <v>73</v>
      </c>
      <c r="X26" s="93" t="s">
        <v>73</v>
      </c>
      <c r="Y26" s="98"/>
      <c r="Z26" s="89" t="s">
        <v>62</v>
      </c>
      <c r="AA26" s="97">
        <v>46157</v>
      </c>
      <c r="AB26" s="89" t="s">
        <v>142</v>
      </c>
      <c r="AC26" s="120"/>
      <c r="AD26" s="89"/>
      <c r="AE26" s="89"/>
      <c r="AF26" s="89"/>
      <c r="AG26" s="89"/>
      <c r="AH26" s="99"/>
      <c r="AI26" s="99"/>
      <c r="AJ26" s="99" t="s">
        <v>91</v>
      </c>
      <c r="AK26" s="100"/>
      <c r="AL26" s="100" t="s">
        <v>64</v>
      </c>
      <c r="AM26" s="100" t="s">
        <v>102</v>
      </c>
      <c r="AN26" s="45" t="s">
        <v>65</v>
      </c>
      <c r="AO26" s="198" t="str">
        <f t="shared" si="0"/>
        <v>5/2026</v>
      </c>
      <c r="AP26" s="198">
        <f t="shared" si="1"/>
        <v>2</v>
      </c>
      <c r="AQ26" s="45" t="str">
        <f t="shared" si="2"/>
        <v>5/2026</v>
      </c>
      <c r="AR26" s="45">
        <f t="shared" si="3"/>
        <v>2</v>
      </c>
      <c r="AS26" s="45">
        <f t="shared" si="4"/>
        <v>0</v>
      </c>
      <c r="AT26" s="45">
        <f t="shared" si="5"/>
        <v>0</v>
      </c>
      <c r="AU26" s="45">
        <f t="shared" si="6"/>
        <v>0</v>
      </c>
      <c r="AV26" s="45">
        <f t="shared" si="7"/>
        <v>0</v>
      </c>
      <c r="AW26" s="45" t="str">
        <f>_xlfn.XLOOKUP(W26,'Lista Suspensa'!$AA$20:$AA$23,'Lista Suspensa'!$AB$20:$AB$23,"N/A")</f>
        <v>N/A</v>
      </c>
    </row>
    <row r="27" spans="1:49" ht="12" customHeight="1" x14ac:dyDescent="0.3">
      <c r="A27" s="87" t="s">
        <v>49</v>
      </c>
      <c r="B27" s="88">
        <v>46147</v>
      </c>
      <c r="C27" s="89" t="s">
        <v>50</v>
      </c>
      <c r="D27" s="89" t="s">
        <v>51</v>
      </c>
      <c r="E27" s="90">
        <v>594217326</v>
      </c>
      <c r="F27" s="91" t="s">
        <v>160</v>
      </c>
      <c r="G27" s="92">
        <v>8688603871</v>
      </c>
      <c r="H27" s="93">
        <v>24246</v>
      </c>
      <c r="I27" s="89">
        <v>60</v>
      </c>
      <c r="J27" s="89" t="s">
        <v>67</v>
      </c>
      <c r="K27" s="89" t="s">
        <v>54</v>
      </c>
      <c r="L27" s="89" t="s">
        <v>161</v>
      </c>
      <c r="M27" s="89"/>
      <c r="N27" s="89" t="s">
        <v>69</v>
      </c>
      <c r="O27" s="94" t="s">
        <v>162</v>
      </c>
      <c r="P27" s="95" t="s">
        <v>58</v>
      </c>
      <c r="Q27" s="144" t="s">
        <v>59</v>
      </c>
      <c r="R27" s="96">
        <v>46161</v>
      </c>
      <c r="S27" s="97"/>
      <c r="T27" s="97" t="s">
        <v>60</v>
      </c>
      <c r="U27" s="97" t="s">
        <v>61</v>
      </c>
      <c r="V27" s="93">
        <v>46150</v>
      </c>
      <c r="W27" s="93" t="s">
        <v>73</v>
      </c>
      <c r="X27" s="93" t="s">
        <v>73</v>
      </c>
      <c r="Y27" s="98"/>
      <c r="Z27" s="89" t="s">
        <v>62</v>
      </c>
      <c r="AA27" s="97">
        <v>46170</v>
      </c>
      <c r="AB27" s="89" t="s">
        <v>142</v>
      </c>
      <c r="AC27" s="120"/>
      <c r="AD27" s="89"/>
      <c r="AE27" s="89"/>
      <c r="AF27" s="89"/>
      <c r="AG27" s="89"/>
      <c r="AH27" s="99"/>
      <c r="AI27" s="99"/>
      <c r="AJ27" s="99"/>
      <c r="AK27" s="100"/>
      <c r="AL27" s="100" t="s">
        <v>64</v>
      </c>
      <c r="AM27" s="100" t="s">
        <v>102</v>
      </c>
      <c r="AN27" s="45" t="s">
        <v>65</v>
      </c>
      <c r="AO27" s="198" t="str">
        <f t="shared" si="0"/>
        <v>5/2026</v>
      </c>
      <c r="AP27" s="198">
        <f t="shared" si="1"/>
        <v>2</v>
      </c>
      <c r="AQ27" s="45" t="str">
        <f t="shared" si="2"/>
        <v>5/2026</v>
      </c>
      <c r="AR27" s="45">
        <f t="shared" si="3"/>
        <v>4</v>
      </c>
      <c r="AS27" s="45">
        <f t="shared" si="4"/>
        <v>0</v>
      </c>
      <c r="AT27" s="45">
        <f t="shared" si="5"/>
        <v>0</v>
      </c>
      <c r="AU27" s="45">
        <f t="shared" si="6"/>
        <v>0</v>
      </c>
      <c r="AV27" s="45">
        <f t="shared" si="7"/>
        <v>0</v>
      </c>
      <c r="AW27" s="45" t="str">
        <f>_xlfn.XLOOKUP(W27,'Lista Suspensa'!$AA$20:$AA$23,'Lista Suspensa'!$AB$20:$AB$23,"N/A")</f>
        <v>N/A</v>
      </c>
    </row>
    <row r="28" spans="1:49" ht="12" customHeight="1" x14ac:dyDescent="0.3">
      <c r="A28" s="87" t="s">
        <v>49</v>
      </c>
      <c r="B28" s="88">
        <v>46147</v>
      </c>
      <c r="C28" s="89" t="s">
        <v>50</v>
      </c>
      <c r="D28" s="89" t="s">
        <v>51</v>
      </c>
      <c r="E28" s="90">
        <v>92925523</v>
      </c>
      <c r="F28" s="91" t="s">
        <v>163</v>
      </c>
      <c r="G28" s="92">
        <v>39146124870</v>
      </c>
      <c r="H28" s="93">
        <v>33486</v>
      </c>
      <c r="I28" s="89">
        <v>34</v>
      </c>
      <c r="J28" s="89" t="s">
        <v>67</v>
      </c>
      <c r="K28" s="89" t="s">
        <v>54</v>
      </c>
      <c r="L28" s="89" t="s">
        <v>161</v>
      </c>
      <c r="M28" s="89"/>
      <c r="N28" s="89" t="s">
        <v>82</v>
      </c>
      <c r="O28" s="94" t="s">
        <v>164</v>
      </c>
      <c r="P28" s="95" t="s">
        <v>58</v>
      </c>
      <c r="Q28" s="144" t="s">
        <v>59</v>
      </c>
      <c r="R28" s="96">
        <v>46161</v>
      </c>
      <c r="S28" s="97"/>
      <c r="T28" s="97" t="s">
        <v>60</v>
      </c>
      <c r="U28" s="97" t="s">
        <v>61</v>
      </c>
      <c r="V28" s="93">
        <v>46150</v>
      </c>
      <c r="W28" s="93" t="s">
        <v>73</v>
      </c>
      <c r="X28" s="93" t="s">
        <v>73</v>
      </c>
      <c r="Y28" s="98"/>
      <c r="Z28" s="89" t="s">
        <v>62</v>
      </c>
      <c r="AA28" s="97">
        <v>46169</v>
      </c>
      <c r="AB28" s="89" t="s">
        <v>75</v>
      </c>
      <c r="AC28" s="120">
        <v>46178.597221412034</v>
      </c>
      <c r="AD28" s="89"/>
      <c r="AE28" s="89"/>
      <c r="AF28" s="89"/>
      <c r="AG28" s="89"/>
      <c r="AH28" s="99"/>
      <c r="AI28" s="99"/>
      <c r="AJ28" s="99"/>
      <c r="AK28" s="100"/>
      <c r="AL28" s="100" t="s">
        <v>64</v>
      </c>
      <c r="AM28" s="100" t="s">
        <v>102</v>
      </c>
      <c r="AN28" s="45" t="s">
        <v>65</v>
      </c>
      <c r="AO28" s="198" t="str">
        <f t="shared" si="0"/>
        <v>5/2026</v>
      </c>
      <c r="AP28" s="198">
        <f t="shared" si="1"/>
        <v>2</v>
      </c>
      <c r="AQ28" s="45" t="str">
        <f t="shared" si="2"/>
        <v>5/2026</v>
      </c>
      <c r="AR28" s="45">
        <f t="shared" si="3"/>
        <v>4</v>
      </c>
      <c r="AS28" s="45">
        <f t="shared" si="4"/>
        <v>0</v>
      </c>
      <c r="AT28" s="45">
        <f t="shared" si="5"/>
        <v>0</v>
      </c>
      <c r="AU28" s="45">
        <f t="shared" si="6"/>
        <v>0</v>
      </c>
      <c r="AV28" s="45">
        <f t="shared" si="7"/>
        <v>0</v>
      </c>
      <c r="AW28" s="45" t="str">
        <f>_xlfn.XLOOKUP(W28,'Lista Suspensa'!$AA$20:$AA$23,'Lista Suspensa'!$AB$20:$AB$23,"N/A")</f>
        <v>N/A</v>
      </c>
    </row>
    <row r="29" spans="1:49" ht="12" customHeight="1" x14ac:dyDescent="0.3">
      <c r="A29" s="87" t="s">
        <v>49</v>
      </c>
      <c r="B29" s="88">
        <v>46147</v>
      </c>
      <c r="C29" s="89" t="s">
        <v>50</v>
      </c>
      <c r="D29" s="89" t="s">
        <v>51</v>
      </c>
      <c r="E29" s="90">
        <v>779795792</v>
      </c>
      <c r="F29" s="91" t="s">
        <v>165</v>
      </c>
      <c r="G29" s="92">
        <v>11121949835</v>
      </c>
      <c r="H29" s="93">
        <v>24741</v>
      </c>
      <c r="I29" s="89">
        <v>58</v>
      </c>
      <c r="J29" s="89" t="s">
        <v>67</v>
      </c>
      <c r="K29" s="89" t="s">
        <v>54</v>
      </c>
      <c r="L29" s="89" t="s">
        <v>161</v>
      </c>
      <c r="M29" s="89"/>
      <c r="N29" s="89" t="s">
        <v>100</v>
      </c>
      <c r="O29" s="94" t="s">
        <v>166</v>
      </c>
      <c r="P29" s="95" t="s">
        <v>58</v>
      </c>
      <c r="Q29" s="144" t="s">
        <v>59</v>
      </c>
      <c r="R29" s="96">
        <v>46150</v>
      </c>
      <c r="S29" s="97"/>
      <c r="T29" s="97" t="s">
        <v>60</v>
      </c>
      <c r="U29" s="97" t="s">
        <v>61</v>
      </c>
      <c r="V29" s="93">
        <v>46150</v>
      </c>
      <c r="W29" s="93" t="s">
        <v>73</v>
      </c>
      <c r="X29" s="93" t="s">
        <v>73</v>
      </c>
      <c r="Y29" s="98"/>
      <c r="Z29" s="89" t="s">
        <v>62</v>
      </c>
      <c r="AA29" s="97">
        <v>46157</v>
      </c>
      <c r="AB29" s="89" t="s">
        <v>142</v>
      </c>
      <c r="AC29" s="120"/>
      <c r="AD29" s="89"/>
      <c r="AE29" s="89"/>
      <c r="AF29" s="89"/>
      <c r="AG29" s="89"/>
      <c r="AH29" s="99"/>
      <c r="AI29" s="99"/>
      <c r="AJ29" s="99" t="s">
        <v>91</v>
      </c>
      <c r="AK29" s="100"/>
      <c r="AL29" s="100" t="s">
        <v>64</v>
      </c>
      <c r="AM29" s="100" t="s">
        <v>102</v>
      </c>
      <c r="AN29" s="45" t="s">
        <v>65</v>
      </c>
      <c r="AO29" s="198" t="str">
        <f t="shared" si="0"/>
        <v>5/2026</v>
      </c>
      <c r="AP29" s="198">
        <f t="shared" si="1"/>
        <v>2</v>
      </c>
      <c r="AQ29" s="45" t="str">
        <f t="shared" si="2"/>
        <v>5/2026</v>
      </c>
      <c r="AR29" s="45">
        <f t="shared" si="3"/>
        <v>2</v>
      </c>
      <c r="AS29" s="45">
        <f t="shared" si="4"/>
        <v>0</v>
      </c>
      <c r="AT29" s="45">
        <f t="shared" si="5"/>
        <v>0</v>
      </c>
      <c r="AU29" s="45">
        <f t="shared" si="6"/>
        <v>0</v>
      </c>
      <c r="AV29" s="45">
        <f t="shared" si="7"/>
        <v>0</v>
      </c>
      <c r="AW29" s="45" t="str">
        <f>_xlfn.XLOOKUP(W29,'Lista Suspensa'!$AA$20:$AA$23,'Lista Suspensa'!$AB$20:$AB$23,"N/A")</f>
        <v>N/A</v>
      </c>
    </row>
    <row r="30" spans="1:49" ht="12" customHeight="1" x14ac:dyDescent="0.3">
      <c r="A30" s="87" t="s">
        <v>49</v>
      </c>
      <c r="B30" s="88">
        <v>46147</v>
      </c>
      <c r="C30" s="89" t="s">
        <v>50</v>
      </c>
      <c r="D30" s="89" t="s">
        <v>51</v>
      </c>
      <c r="E30" s="90">
        <v>96630691</v>
      </c>
      <c r="F30" s="91" t="s">
        <v>167</v>
      </c>
      <c r="G30" s="92">
        <v>9971591464</v>
      </c>
      <c r="H30" s="93">
        <v>33835</v>
      </c>
      <c r="I30" s="89">
        <v>33</v>
      </c>
      <c r="J30" s="89" t="s">
        <v>67</v>
      </c>
      <c r="K30" s="89" t="s">
        <v>54</v>
      </c>
      <c r="L30" s="89" t="s">
        <v>161</v>
      </c>
      <c r="M30" s="89"/>
      <c r="N30" s="89" t="s">
        <v>82</v>
      </c>
      <c r="O30" s="94" t="s">
        <v>168</v>
      </c>
      <c r="P30" s="95" t="s">
        <v>58</v>
      </c>
      <c r="Q30" s="144" t="s">
        <v>59</v>
      </c>
      <c r="R30" s="96">
        <v>46150</v>
      </c>
      <c r="S30" s="97"/>
      <c r="T30" s="97" t="s">
        <v>60</v>
      </c>
      <c r="U30" s="97" t="s">
        <v>61</v>
      </c>
      <c r="V30" s="93">
        <v>46150</v>
      </c>
      <c r="W30" s="93" t="s">
        <v>73</v>
      </c>
      <c r="X30" s="93" t="s">
        <v>73</v>
      </c>
      <c r="Y30" s="98"/>
      <c r="Z30" s="89" t="s">
        <v>62</v>
      </c>
      <c r="AA30" s="97">
        <v>46157</v>
      </c>
      <c r="AB30" s="89" t="s">
        <v>75</v>
      </c>
      <c r="AC30" s="120"/>
      <c r="AD30" s="89"/>
      <c r="AE30" s="89"/>
      <c r="AF30" s="89"/>
      <c r="AG30" s="89"/>
      <c r="AH30" s="99"/>
      <c r="AI30" s="99"/>
      <c r="AJ30" s="99" t="s">
        <v>91</v>
      </c>
      <c r="AK30" s="100"/>
      <c r="AL30" s="100" t="s">
        <v>64</v>
      </c>
      <c r="AM30" s="100" t="s">
        <v>102</v>
      </c>
      <c r="AN30" s="45" t="s">
        <v>65</v>
      </c>
      <c r="AO30" s="198" t="str">
        <f t="shared" si="0"/>
        <v>5/2026</v>
      </c>
      <c r="AP30" s="198">
        <f t="shared" si="1"/>
        <v>2</v>
      </c>
      <c r="AQ30" s="45" t="str">
        <f t="shared" si="2"/>
        <v>5/2026</v>
      </c>
      <c r="AR30" s="45">
        <f t="shared" si="3"/>
        <v>2</v>
      </c>
      <c r="AS30" s="45">
        <f t="shared" si="4"/>
        <v>0</v>
      </c>
      <c r="AT30" s="45">
        <f t="shared" si="5"/>
        <v>0</v>
      </c>
      <c r="AU30" s="45">
        <f t="shared" si="6"/>
        <v>0</v>
      </c>
      <c r="AV30" s="45">
        <f t="shared" si="7"/>
        <v>0</v>
      </c>
      <c r="AW30" s="45" t="str">
        <f>_xlfn.XLOOKUP(W30,'Lista Suspensa'!$AA$20:$AA$23,'Lista Suspensa'!$AB$20:$AB$23,"N/A")</f>
        <v>N/A</v>
      </c>
    </row>
    <row r="31" spans="1:49" ht="12" hidden="1" customHeight="1" x14ac:dyDescent="0.3">
      <c r="A31" s="87" t="s">
        <v>49</v>
      </c>
      <c r="B31" s="88">
        <v>46147</v>
      </c>
      <c r="C31" s="89" t="s">
        <v>50</v>
      </c>
      <c r="D31" s="89" t="s">
        <v>51</v>
      </c>
      <c r="E31" s="90" t="s">
        <v>169</v>
      </c>
      <c r="F31" s="91" t="s">
        <v>170</v>
      </c>
      <c r="G31" s="92">
        <v>29938784844</v>
      </c>
      <c r="H31" s="93">
        <v>28439</v>
      </c>
      <c r="I31" s="89">
        <v>48</v>
      </c>
      <c r="J31" s="89" t="s">
        <v>67</v>
      </c>
      <c r="K31" s="89" t="s">
        <v>54</v>
      </c>
      <c r="L31" s="89" t="s">
        <v>93</v>
      </c>
      <c r="M31" s="89" t="s">
        <v>171</v>
      </c>
      <c r="N31" s="89">
        <v>60</v>
      </c>
      <c r="O31" s="94">
        <v>11995016267</v>
      </c>
      <c r="P31" s="95" t="s">
        <v>58</v>
      </c>
      <c r="Q31" s="144" t="s">
        <v>172</v>
      </c>
      <c r="R31" s="96">
        <v>46161</v>
      </c>
      <c r="S31" s="97">
        <v>46178</v>
      </c>
      <c r="T31" s="97" t="s">
        <v>60</v>
      </c>
      <c r="U31" s="97" t="s">
        <v>72</v>
      </c>
      <c r="V31" s="93">
        <v>46161</v>
      </c>
      <c r="W31" s="93" t="s">
        <v>73</v>
      </c>
      <c r="X31" s="93" t="s">
        <v>73</v>
      </c>
      <c r="Y31" s="98" t="s">
        <v>173</v>
      </c>
      <c r="Z31" s="89" t="s">
        <v>62</v>
      </c>
      <c r="AA31" s="97">
        <v>46178</v>
      </c>
      <c r="AB31" s="89" t="s">
        <v>142</v>
      </c>
      <c r="AC31" s="120">
        <v>46178.652776736111</v>
      </c>
      <c r="AD31" s="89"/>
      <c r="AE31" s="89"/>
      <c r="AF31" s="89"/>
      <c r="AG31" s="89"/>
      <c r="AH31" s="99"/>
      <c r="AI31" s="99"/>
      <c r="AJ31" s="99"/>
      <c r="AK31" s="100"/>
      <c r="AL31" s="100" t="s">
        <v>540</v>
      </c>
      <c r="AM31" s="100" t="s">
        <v>102</v>
      </c>
      <c r="AN31" s="45" t="s">
        <v>65</v>
      </c>
      <c r="AO31" s="198" t="str">
        <f t="shared" si="0"/>
        <v>5/2026</v>
      </c>
      <c r="AP31" s="198">
        <f t="shared" si="1"/>
        <v>2</v>
      </c>
      <c r="AQ31" s="45" t="str">
        <f t="shared" si="2"/>
        <v>5/2026</v>
      </c>
      <c r="AR31" s="45">
        <f t="shared" si="3"/>
        <v>4</v>
      </c>
      <c r="AS31" s="45">
        <f t="shared" si="4"/>
        <v>0</v>
      </c>
      <c r="AT31" s="45">
        <f t="shared" si="5"/>
        <v>0</v>
      </c>
      <c r="AU31" s="45">
        <f t="shared" si="6"/>
        <v>0</v>
      </c>
      <c r="AV31" s="45">
        <f t="shared" si="7"/>
        <v>0</v>
      </c>
      <c r="AW31" s="45" t="str">
        <f>_xlfn.XLOOKUP(W31,'Lista Suspensa'!$AA$20:$AA$23,'Lista Suspensa'!$AB$20:$AB$23,"N/A")</f>
        <v>N/A</v>
      </c>
    </row>
    <row r="32" spans="1:49" ht="12" customHeight="1" x14ac:dyDescent="0.3">
      <c r="A32" s="87" t="s">
        <v>49</v>
      </c>
      <c r="B32" s="88">
        <v>46147</v>
      </c>
      <c r="C32" s="89" t="s">
        <v>50</v>
      </c>
      <c r="D32" s="89" t="s">
        <v>51</v>
      </c>
      <c r="E32" s="90">
        <v>92776986</v>
      </c>
      <c r="F32" s="91" t="s">
        <v>174</v>
      </c>
      <c r="G32" s="92">
        <v>6491505898</v>
      </c>
      <c r="H32" s="93">
        <v>23503</v>
      </c>
      <c r="I32" s="89">
        <v>62</v>
      </c>
      <c r="J32" s="89" t="s">
        <v>53</v>
      </c>
      <c r="K32" s="89" t="s">
        <v>54</v>
      </c>
      <c r="L32" s="89" t="s">
        <v>161</v>
      </c>
      <c r="M32" s="89"/>
      <c r="N32" s="89" t="s">
        <v>175</v>
      </c>
      <c r="O32" s="94" t="s">
        <v>176</v>
      </c>
      <c r="P32" s="95" t="s">
        <v>58</v>
      </c>
      <c r="Q32" s="144" t="s">
        <v>59</v>
      </c>
      <c r="R32" s="96">
        <v>46150</v>
      </c>
      <c r="S32" s="97"/>
      <c r="T32" s="97" t="s">
        <v>60</v>
      </c>
      <c r="U32" s="97" t="s">
        <v>61</v>
      </c>
      <c r="V32" s="93">
        <v>46150</v>
      </c>
      <c r="W32" s="93" t="s">
        <v>73</v>
      </c>
      <c r="X32" s="93" t="s">
        <v>73</v>
      </c>
      <c r="Y32" s="98"/>
      <c r="Z32" s="89" t="s">
        <v>62</v>
      </c>
      <c r="AA32" s="97">
        <v>46157</v>
      </c>
      <c r="AB32" s="89" t="s">
        <v>142</v>
      </c>
      <c r="AC32" s="120"/>
      <c r="AD32" s="89"/>
      <c r="AE32" s="89"/>
      <c r="AF32" s="89"/>
      <c r="AG32" s="89"/>
      <c r="AH32" s="99"/>
      <c r="AI32" s="99"/>
      <c r="AJ32" s="99" t="s">
        <v>91</v>
      </c>
      <c r="AK32" s="100"/>
      <c r="AL32" s="100" t="s">
        <v>64</v>
      </c>
      <c r="AM32" s="100" t="s">
        <v>102</v>
      </c>
      <c r="AN32" s="45" t="s">
        <v>65</v>
      </c>
      <c r="AO32" s="198" t="str">
        <f t="shared" si="0"/>
        <v>5/2026</v>
      </c>
      <c r="AP32" s="198">
        <f t="shared" si="1"/>
        <v>2</v>
      </c>
      <c r="AQ32" s="45" t="str">
        <f t="shared" si="2"/>
        <v>5/2026</v>
      </c>
      <c r="AR32" s="45">
        <f t="shared" si="3"/>
        <v>2</v>
      </c>
      <c r="AS32" s="45">
        <f t="shared" si="4"/>
        <v>0</v>
      </c>
      <c r="AT32" s="45">
        <f t="shared" si="5"/>
        <v>0</v>
      </c>
      <c r="AU32" s="45">
        <f t="shared" si="6"/>
        <v>0</v>
      </c>
      <c r="AV32" s="45">
        <f t="shared" si="7"/>
        <v>0</v>
      </c>
      <c r="AW32" s="45" t="str">
        <f>_xlfn.XLOOKUP(W32,'Lista Suspensa'!$AA$20:$AA$23,'Lista Suspensa'!$AB$20:$AB$23,"N/A")</f>
        <v>N/A</v>
      </c>
    </row>
    <row r="33" spans="1:49" ht="12" customHeight="1" x14ac:dyDescent="0.3">
      <c r="A33" s="87" t="s">
        <v>49</v>
      </c>
      <c r="B33" s="88">
        <v>46147</v>
      </c>
      <c r="C33" s="89" t="s">
        <v>50</v>
      </c>
      <c r="D33" s="89" t="s">
        <v>51</v>
      </c>
      <c r="E33" s="90">
        <v>93576426</v>
      </c>
      <c r="F33" s="91" t="s">
        <v>177</v>
      </c>
      <c r="G33" s="92">
        <v>18758099883</v>
      </c>
      <c r="H33" s="93">
        <v>25934</v>
      </c>
      <c r="I33" s="89">
        <v>55</v>
      </c>
      <c r="J33" s="89" t="s">
        <v>67</v>
      </c>
      <c r="K33" s="89" t="s">
        <v>54</v>
      </c>
      <c r="L33" s="89" t="s">
        <v>161</v>
      </c>
      <c r="M33" s="89"/>
      <c r="N33" s="89" t="s">
        <v>113</v>
      </c>
      <c r="O33" s="94">
        <v>11959754352</v>
      </c>
      <c r="P33" s="95" t="s">
        <v>58</v>
      </c>
      <c r="Q33" s="144" t="s">
        <v>59</v>
      </c>
      <c r="R33" s="96">
        <v>46170</v>
      </c>
      <c r="S33" s="97"/>
      <c r="T33" s="97" t="s">
        <v>60</v>
      </c>
      <c r="U33" s="97" t="s">
        <v>61</v>
      </c>
      <c r="V33" s="93">
        <v>46154</v>
      </c>
      <c r="W33" s="93">
        <v>46161</v>
      </c>
      <c r="X33" s="93">
        <v>46171</v>
      </c>
      <c r="Y33" s="98"/>
      <c r="Z33" s="89" t="s">
        <v>62</v>
      </c>
      <c r="AA33" s="97">
        <v>46148</v>
      </c>
      <c r="AB33" s="89" t="s">
        <v>75</v>
      </c>
      <c r="AC33" s="120"/>
      <c r="AD33" s="89"/>
      <c r="AE33" s="89"/>
      <c r="AF33" s="89"/>
      <c r="AG33" s="89"/>
      <c r="AH33" s="99"/>
      <c r="AI33" s="99"/>
      <c r="AJ33" s="99"/>
      <c r="AK33" s="100"/>
      <c r="AL33" s="100" t="s">
        <v>64</v>
      </c>
      <c r="AM33" s="100" t="s">
        <v>102</v>
      </c>
      <c r="AN33" s="45" t="s">
        <v>65</v>
      </c>
      <c r="AO33" s="198" t="str">
        <f t="shared" si="0"/>
        <v>5/2026</v>
      </c>
      <c r="AP33" s="198">
        <f t="shared" si="1"/>
        <v>2</v>
      </c>
      <c r="AQ33" s="45" t="str">
        <f t="shared" si="2"/>
        <v>5/2026</v>
      </c>
      <c r="AR33" s="45">
        <f t="shared" si="3"/>
        <v>5</v>
      </c>
      <c r="AS33" s="45">
        <f t="shared" si="4"/>
        <v>0</v>
      </c>
      <c r="AT33" s="45">
        <f t="shared" si="5"/>
        <v>0</v>
      </c>
      <c r="AU33" s="45">
        <f t="shared" si="6"/>
        <v>0</v>
      </c>
      <c r="AV33" s="45">
        <f t="shared" si="7"/>
        <v>0</v>
      </c>
      <c r="AW33" s="45" t="str">
        <f>_xlfn.XLOOKUP(W33,'Lista Suspensa'!$AA$20:$AA$23,'Lista Suspensa'!$AB$20:$AB$23,"N/A")</f>
        <v>N/A</v>
      </c>
    </row>
    <row r="34" spans="1:49" ht="12" customHeight="1" x14ac:dyDescent="0.3">
      <c r="A34" s="87" t="s">
        <v>49</v>
      </c>
      <c r="B34" s="88">
        <v>46147</v>
      </c>
      <c r="C34" s="89" t="s">
        <v>50</v>
      </c>
      <c r="D34" s="89" t="s">
        <v>51</v>
      </c>
      <c r="E34" s="90">
        <v>89367611</v>
      </c>
      <c r="F34" s="91" t="s">
        <v>178</v>
      </c>
      <c r="G34" s="92">
        <v>8992259506</v>
      </c>
      <c r="H34" s="93">
        <v>36675</v>
      </c>
      <c r="I34" s="89">
        <v>25</v>
      </c>
      <c r="J34" s="89" t="s">
        <v>67</v>
      </c>
      <c r="K34" s="89" t="s">
        <v>54</v>
      </c>
      <c r="L34" s="89" t="s">
        <v>179</v>
      </c>
      <c r="M34" s="89"/>
      <c r="N34" s="89" t="s">
        <v>82</v>
      </c>
      <c r="O34" s="94" t="s">
        <v>180</v>
      </c>
      <c r="P34" s="95" t="s">
        <v>58</v>
      </c>
      <c r="Q34" s="144" t="s">
        <v>59</v>
      </c>
      <c r="R34" s="96">
        <v>46153</v>
      </c>
      <c r="S34" s="97"/>
      <c r="T34" s="97" t="s">
        <v>60</v>
      </c>
      <c r="U34" s="97" t="s">
        <v>61</v>
      </c>
      <c r="V34" s="93">
        <v>46153</v>
      </c>
      <c r="W34" s="93" t="s">
        <v>73</v>
      </c>
      <c r="X34" s="93" t="s">
        <v>73</v>
      </c>
      <c r="Y34" s="98"/>
      <c r="Z34" s="89" t="s">
        <v>62</v>
      </c>
      <c r="AA34" s="97">
        <v>46160</v>
      </c>
      <c r="AB34" s="89" t="s">
        <v>142</v>
      </c>
      <c r="AC34" s="120"/>
      <c r="AD34" s="89"/>
      <c r="AE34" s="89"/>
      <c r="AF34" s="89"/>
      <c r="AG34" s="89"/>
      <c r="AH34" s="99" t="s">
        <v>181</v>
      </c>
      <c r="AI34" s="99"/>
      <c r="AJ34" s="99" t="s">
        <v>91</v>
      </c>
      <c r="AK34" s="100"/>
      <c r="AL34" s="100" t="s">
        <v>64</v>
      </c>
      <c r="AM34" s="100" t="s">
        <v>102</v>
      </c>
      <c r="AN34" s="45" t="s">
        <v>65</v>
      </c>
      <c r="AO34" s="198" t="str">
        <f t="shared" si="0"/>
        <v>5/2026</v>
      </c>
      <c r="AP34" s="198">
        <f t="shared" si="1"/>
        <v>2</v>
      </c>
      <c r="AQ34" s="45" t="str">
        <f t="shared" si="2"/>
        <v>5/2026</v>
      </c>
      <c r="AR34" s="45">
        <f t="shared" si="3"/>
        <v>3</v>
      </c>
      <c r="AS34" s="45">
        <f t="shared" si="4"/>
        <v>0</v>
      </c>
      <c r="AT34" s="45">
        <f t="shared" si="5"/>
        <v>0</v>
      </c>
      <c r="AU34" s="45">
        <f t="shared" si="6"/>
        <v>0</v>
      </c>
      <c r="AV34" s="45">
        <f t="shared" ref="AV34:AV65" si="8">IF(AW34="S",IF(AND(Q34="1. Aceitou o programa",AB34="Realizada"),IFERROR(IF(AA34="",0,AA34-R34),0),0),0)</f>
        <v>0</v>
      </c>
      <c r="AW34" s="45" t="str">
        <f>_xlfn.XLOOKUP(W34,'Lista Suspensa'!$AA$20:$AA$23,'Lista Suspensa'!$AB$20:$AB$23,"N/A")</f>
        <v>N/A</v>
      </c>
    </row>
    <row r="35" spans="1:49" ht="12" customHeight="1" x14ac:dyDescent="0.3">
      <c r="A35" s="87" t="s">
        <v>49</v>
      </c>
      <c r="B35" s="88">
        <v>46147</v>
      </c>
      <c r="C35" s="89" t="s">
        <v>50</v>
      </c>
      <c r="D35" s="89" t="s">
        <v>51</v>
      </c>
      <c r="E35" s="90">
        <v>81717396</v>
      </c>
      <c r="F35" s="91" t="s">
        <v>182</v>
      </c>
      <c r="G35" s="92">
        <v>50494899549</v>
      </c>
      <c r="H35" s="93">
        <v>25758</v>
      </c>
      <c r="I35" s="89">
        <v>55</v>
      </c>
      <c r="J35" s="89" t="s">
        <v>53</v>
      </c>
      <c r="K35" s="89" t="s">
        <v>54</v>
      </c>
      <c r="L35" s="89" t="s">
        <v>183</v>
      </c>
      <c r="M35" s="89"/>
      <c r="N35" s="89" t="s">
        <v>82</v>
      </c>
      <c r="O35" s="94" t="s">
        <v>184</v>
      </c>
      <c r="P35" s="95" t="s">
        <v>58</v>
      </c>
      <c r="Q35" s="144" t="s">
        <v>59</v>
      </c>
      <c r="R35" s="96">
        <v>46154</v>
      </c>
      <c r="S35" s="97"/>
      <c r="T35" s="97" t="s">
        <v>60</v>
      </c>
      <c r="U35" s="97" t="s">
        <v>61</v>
      </c>
      <c r="V35" s="93">
        <v>46153</v>
      </c>
      <c r="W35" s="93">
        <v>46154</v>
      </c>
      <c r="X35" s="93" t="s">
        <v>73</v>
      </c>
      <c r="Y35" s="98"/>
      <c r="Z35" s="89" t="s">
        <v>62</v>
      </c>
      <c r="AA35" s="97">
        <v>46161</v>
      </c>
      <c r="AB35" s="89" t="s">
        <v>75</v>
      </c>
      <c r="AC35" s="120"/>
      <c r="AD35" s="89"/>
      <c r="AE35" s="89"/>
      <c r="AF35" s="89">
        <v>2.7</v>
      </c>
      <c r="AG35" s="89">
        <v>2.7</v>
      </c>
      <c r="AH35" s="99" t="s">
        <v>181</v>
      </c>
      <c r="AI35" s="99"/>
      <c r="AJ35" s="99" t="s">
        <v>91</v>
      </c>
      <c r="AK35" s="100"/>
      <c r="AL35" s="100" t="s">
        <v>64</v>
      </c>
      <c r="AM35" s="100" t="s">
        <v>102</v>
      </c>
      <c r="AN35" s="45" t="s">
        <v>65</v>
      </c>
      <c r="AO35" s="198" t="str">
        <f t="shared" si="0"/>
        <v>5/2026</v>
      </c>
      <c r="AP35" s="198">
        <f t="shared" si="1"/>
        <v>2</v>
      </c>
      <c r="AQ35" s="45" t="str">
        <f t="shared" si="2"/>
        <v>5/2026</v>
      </c>
      <c r="AR35" s="45">
        <f t="shared" si="3"/>
        <v>3</v>
      </c>
      <c r="AS35" s="45">
        <f t="shared" si="4"/>
        <v>0</v>
      </c>
      <c r="AT35" s="45">
        <f t="shared" si="5"/>
        <v>0</v>
      </c>
      <c r="AU35" s="45">
        <f t="shared" si="6"/>
        <v>0</v>
      </c>
      <c r="AV35" s="45">
        <f t="shared" si="8"/>
        <v>0</v>
      </c>
      <c r="AW35" s="45" t="str">
        <f>_xlfn.XLOOKUP(W35,'Lista Suspensa'!$AA$20:$AA$23,'Lista Suspensa'!$AB$20:$AB$23,"N/A")</f>
        <v>N/A</v>
      </c>
    </row>
    <row r="36" spans="1:49" ht="12" customHeight="1" x14ac:dyDescent="0.3">
      <c r="A36" s="87" t="s">
        <v>49</v>
      </c>
      <c r="B36" s="88">
        <v>46147</v>
      </c>
      <c r="C36" s="89" t="s">
        <v>50</v>
      </c>
      <c r="D36" s="89" t="s">
        <v>51</v>
      </c>
      <c r="E36" s="90">
        <v>87268626</v>
      </c>
      <c r="F36" s="91" t="s">
        <v>185</v>
      </c>
      <c r="G36" s="92">
        <v>89063341920</v>
      </c>
      <c r="H36" s="93">
        <v>27380</v>
      </c>
      <c r="I36" s="89">
        <v>51</v>
      </c>
      <c r="J36" s="89" t="s">
        <v>67</v>
      </c>
      <c r="K36" s="89" t="s">
        <v>186</v>
      </c>
      <c r="L36" s="89" t="s">
        <v>187</v>
      </c>
      <c r="M36" s="89"/>
      <c r="N36" s="89" t="s">
        <v>188</v>
      </c>
      <c r="O36" s="94">
        <v>47988029375</v>
      </c>
      <c r="P36" s="95" t="s">
        <v>58</v>
      </c>
      <c r="Q36" s="144" t="s">
        <v>59</v>
      </c>
      <c r="R36" s="96">
        <v>46153</v>
      </c>
      <c r="S36" s="97"/>
      <c r="T36" s="97" t="s">
        <v>60</v>
      </c>
      <c r="U36" s="97" t="s">
        <v>61</v>
      </c>
      <c r="V36" s="93">
        <v>46153</v>
      </c>
      <c r="W36" s="93" t="s">
        <v>73</v>
      </c>
      <c r="X36" s="93" t="s">
        <v>73</v>
      </c>
      <c r="Y36" s="98"/>
      <c r="Z36" s="89" t="s">
        <v>62</v>
      </c>
      <c r="AA36" s="97">
        <v>46154</v>
      </c>
      <c r="AB36" s="89" t="s">
        <v>75</v>
      </c>
      <c r="AC36" s="120"/>
      <c r="AD36" s="89"/>
      <c r="AE36" s="89"/>
      <c r="AF36" s="89"/>
      <c r="AG36" s="89"/>
      <c r="AH36" s="99"/>
      <c r="AI36" s="99"/>
      <c r="AJ36" s="99" t="s">
        <v>91</v>
      </c>
      <c r="AK36" s="100"/>
      <c r="AL36" s="100" t="s">
        <v>64</v>
      </c>
      <c r="AM36" s="100" t="s">
        <v>102</v>
      </c>
      <c r="AN36" s="45" t="s">
        <v>65</v>
      </c>
      <c r="AO36" s="198" t="str">
        <f t="shared" si="0"/>
        <v>5/2026</v>
      </c>
      <c r="AP36" s="198">
        <f t="shared" si="1"/>
        <v>2</v>
      </c>
      <c r="AQ36" s="45" t="str">
        <f t="shared" si="2"/>
        <v>5/2026</v>
      </c>
      <c r="AR36" s="45">
        <f t="shared" si="3"/>
        <v>3</v>
      </c>
      <c r="AS36" s="45">
        <f t="shared" si="4"/>
        <v>0</v>
      </c>
      <c r="AT36" s="45">
        <f t="shared" si="5"/>
        <v>0</v>
      </c>
      <c r="AU36" s="45">
        <f t="shared" si="6"/>
        <v>0</v>
      </c>
      <c r="AV36" s="45">
        <f t="shared" si="8"/>
        <v>0</v>
      </c>
      <c r="AW36" s="45" t="str">
        <f>_xlfn.XLOOKUP(W36,'Lista Suspensa'!$AA$20:$AA$23,'Lista Suspensa'!$AB$20:$AB$23,"N/A")</f>
        <v>N/A</v>
      </c>
    </row>
    <row r="37" spans="1:49" ht="12" customHeight="1" x14ac:dyDescent="0.3">
      <c r="A37" s="87" t="s">
        <v>49</v>
      </c>
      <c r="B37" s="88">
        <v>46147</v>
      </c>
      <c r="C37" s="89" t="s">
        <v>50</v>
      </c>
      <c r="D37" s="89" t="s">
        <v>51</v>
      </c>
      <c r="E37" s="90">
        <v>87486978</v>
      </c>
      <c r="F37" s="91" t="s">
        <v>189</v>
      </c>
      <c r="G37" s="92">
        <v>50377921858</v>
      </c>
      <c r="H37" s="93">
        <v>36950</v>
      </c>
      <c r="I37" s="89">
        <v>25</v>
      </c>
      <c r="J37" s="89" t="s">
        <v>67</v>
      </c>
      <c r="K37" s="89" t="s">
        <v>54</v>
      </c>
      <c r="L37" s="89" t="s">
        <v>190</v>
      </c>
      <c r="M37" s="89"/>
      <c r="N37" s="89" t="s">
        <v>113</v>
      </c>
      <c r="O37" s="94" t="s">
        <v>191</v>
      </c>
      <c r="P37" s="95" t="s">
        <v>58</v>
      </c>
      <c r="Q37" s="144" t="s">
        <v>59</v>
      </c>
      <c r="R37" s="96">
        <v>46153</v>
      </c>
      <c r="S37" s="97"/>
      <c r="T37" s="97" t="s">
        <v>60</v>
      </c>
      <c r="U37" s="97" t="s">
        <v>61</v>
      </c>
      <c r="V37" s="93">
        <v>46153</v>
      </c>
      <c r="W37" s="93" t="s">
        <v>73</v>
      </c>
      <c r="X37" s="93" t="s">
        <v>73</v>
      </c>
      <c r="Y37" s="98"/>
      <c r="Z37" s="89" t="s">
        <v>62</v>
      </c>
      <c r="AA37" s="97">
        <v>46155</v>
      </c>
      <c r="AB37" s="89" t="s">
        <v>142</v>
      </c>
      <c r="AC37" s="120"/>
      <c r="AD37" s="89"/>
      <c r="AE37" s="89"/>
      <c r="AF37" s="89"/>
      <c r="AG37" s="89"/>
      <c r="AH37" s="99" t="s">
        <v>181</v>
      </c>
      <c r="AI37" s="99"/>
      <c r="AJ37" s="99" t="s">
        <v>91</v>
      </c>
      <c r="AK37" s="100"/>
      <c r="AL37" s="100" t="s">
        <v>64</v>
      </c>
      <c r="AM37" s="100" t="s">
        <v>102</v>
      </c>
      <c r="AN37" s="45" t="s">
        <v>65</v>
      </c>
      <c r="AO37" s="198" t="str">
        <f t="shared" si="0"/>
        <v>5/2026</v>
      </c>
      <c r="AP37" s="198">
        <f t="shared" si="1"/>
        <v>2</v>
      </c>
      <c r="AQ37" s="45" t="str">
        <f t="shared" si="2"/>
        <v>5/2026</v>
      </c>
      <c r="AR37" s="45">
        <f t="shared" si="3"/>
        <v>3</v>
      </c>
      <c r="AS37" s="45">
        <f t="shared" si="4"/>
        <v>0</v>
      </c>
      <c r="AT37" s="45">
        <f t="shared" si="5"/>
        <v>0</v>
      </c>
      <c r="AU37" s="45">
        <f t="shared" si="6"/>
        <v>0</v>
      </c>
      <c r="AV37" s="45">
        <f t="shared" si="8"/>
        <v>0</v>
      </c>
      <c r="AW37" s="45" t="str">
        <f>_xlfn.XLOOKUP(W37,'Lista Suspensa'!$AA$20:$AA$23,'Lista Suspensa'!$AB$20:$AB$23,"N/A")</f>
        <v>N/A</v>
      </c>
    </row>
    <row r="38" spans="1:49" ht="12" customHeight="1" x14ac:dyDescent="0.3">
      <c r="A38" s="87" t="s">
        <v>49</v>
      </c>
      <c r="B38" s="88">
        <v>46147</v>
      </c>
      <c r="C38" s="89" t="s">
        <v>50</v>
      </c>
      <c r="D38" s="89" t="s">
        <v>51</v>
      </c>
      <c r="E38" s="90">
        <v>87861654</v>
      </c>
      <c r="F38" s="91" t="s">
        <v>192</v>
      </c>
      <c r="G38" s="92">
        <v>19427273720</v>
      </c>
      <c r="H38" s="93">
        <v>36603</v>
      </c>
      <c r="I38" s="89">
        <v>26</v>
      </c>
      <c r="J38" s="89" t="s">
        <v>53</v>
      </c>
      <c r="K38" s="89" t="s">
        <v>77</v>
      </c>
      <c r="L38" s="89" t="s">
        <v>193</v>
      </c>
      <c r="M38" s="89"/>
      <c r="N38" s="89" t="s">
        <v>87</v>
      </c>
      <c r="O38" s="94" t="s">
        <v>194</v>
      </c>
      <c r="P38" s="95" t="s">
        <v>58</v>
      </c>
      <c r="Q38" s="144" t="s">
        <v>59</v>
      </c>
      <c r="R38" s="96">
        <v>46153</v>
      </c>
      <c r="S38" s="97"/>
      <c r="T38" s="97" t="s">
        <v>60</v>
      </c>
      <c r="U38" s="97" t="s">
        <v>61</v>
      </c>
      <c r="V38" s="93">
        <v>46153</v>
      </c>
      <c r="W38" s="93" t="s">
        <v>73</v>
      </c>
      <c r="X38" s="93" t="s">
        <v>73</v>
      </c>
      <c r="Y38" s="98"/>
      <c r="Z38" s="89" t="s">
        <v>62</v>
      </c>
      <c r="AA38" s="97">
        <v>46155</v>
      </c>
      <c r="AB38" s="89" t="s">
        <v>142</v>
      </c>
      <c r="AC38" s="120"/>
      <c r="AD38" s="89"/>
      <c r="AE38" s="89"/>
      <c r="AF38" s="89"/>
      <c r="AG38" s="89"/>
      <c r="AH38" s="99" t="s">
        <v>181</v>
      </c>
      <c r="AI38" s="99"/>
      <c r="AJ38" s="99" t="s">
        <v>91</v>
      </c>
      <c r="AK38" s="100"/>
      <c r="AL38" s="100" t="s">
        <v>64</v>
      </c>
      <c r="AM38" s="100" t="s">
        <v>102</v>
      </c>
      <c r="AN38" s="45" t="s">
        <v>65</v>
      </c>
      <c r="AO38" s="198" t="str">
        <f t="shared" si="0"/>
        <v>5/2026</v>
      </c>
      <c r="AP38" s="198">
        <f t="shared" si="1"/>
        <v>2</v>
      </c>
      <c r="AQ38" s="45" t="str">
        <f t="shared" si="2"/>
        <v>5/2026</v>
      </c>
      <c r="AR38" s="45">
        <f t="shared" si="3"/>
        <v>3</v>
      </c>
      <c r="AS38" s="45">
        <f t="shared" si="4"/>
        <v>0</v>
      </c>
      <c r="AT38" s="45">
        <f t="shared" si="5"/>
        <v>0</v>
      </c>
      <c r="AU38" s="45">
        <f t="shared" si="6"/>
        <v>0</v>
      </c>
      <c r="AV38" s="45">
        <f t="shared" si="8"/>
        <v>0</v>
      </c>
      <c r="AW38" s="45" t="str">
        <f>_xlfn.XLOOKUP(W38,'Lista Suspensa'!$AA$20:$AA$23,'Lista Suspensa'!$AB$20:$AB$23,"N/A")</f>
        <v>N/A</v>
      </c>
    </row>
    <row r="39" spans="1:49" ht="12" customHeight="1" x14ac:dyDescent="0.3">
      <c r="A39" s="87" t="s">
        <v>49</v>
      </c>
      <c r="B39" s="88">
        <v>46147</v>
      </c>
      <c r="C39" s="89" t="s">
        <v>50</v>
      </c>
      <c r="D39" s="89" t="s">
        <v>51</v>
      </c>
      <c r="E39" s="90">
        <v>94030876</v>
      </c>
      <c r="F39" s="91" t="s">
        <v>195</v>
      </c>
      <c r="G39" s="92">
        <v>11136276700</v>
      </c>
      <c r="H39" s="93">
        <v>31033</v>
      </c>
      <c r="I39" s="89">
        <v>41</v>
      </c>
      <c r="J39" s="89" t="s">
        <v>67</v>
      </c>
      <c r="K39" s="89" t="s">
        <v>77</v>
      </c>
      <c r="L39" s="89" t="s">
        <v>193</v>
      </c>
      <c r="M39" s="89"/>
      <c r="N39" s="89" t="s">
        <v>196</v>
      </c>
      <c r="O39" s="94" t="s">
        <v>197</v>
      </c>
      <c r="P39" s="95" t="s">
        <v>58</v>
      </c>
      <c r="Q39" s="144" t="s">
        <v>59</v>
      </c>
      <c r="R39" s="96">
        <v>46161</v>
      </c>
      <c r="S39" s="97"/>
      <c r="T39" s="97" t="s">
        <v>60</v>
      </c>
      <c r="U39" s="97" t="s">
        <v>61</v>
      </c>
      <c r="V39" s="93">
        <v>46148</v>
      </c>
      <c r="W39" s="93" t="s">
        <v>73</v>
      </c>
      <c r="X39" s="93" t="s">
        <v>73</v>
      </c>
      <c r="Y39" s="98"/>
      <c r="Z39" s="89" t="s">
        <v>62</v>
      </c>
      <c r="AA39" s="97">
        <v>46170</v>
      </c>
      <c r="AB39" s="89" t="s">
        <v>142</v>
      </c>
      <c r="AC39" s="120">
        <v>46180.569443749999</v>
      </c>
      <c r="AD39" s="89"/>
      <c r="AE39" s="89"/>
      <c r="AF39" s="89"/>
      <c r="AG39" s="89"/>
      <c r="AH39" s="99"/>
      <c r="AI39" s="99"/>
      <c r="AJ39" s="99"/>
      <c r="AK39" s="100"/>
      <c r="AL39" s="100" t="s">
        <v>64</v>
      </c>
      <c r="AM39" s="100" t="s">
        <v>102</v>
      </c>
      <c r="AN39" s="45" t="s">
        <v>65</v>
      </c>
      <c r="AO39" s="198" t="str">
        <f t="shared" si="0"/>
        <v>5/2026</v>
      </c>
      <c r="AP39" s="198">
        <f t="shared" si="1"/>
        <v>2</v>
      </c>
      <c r="AQ39" s="45" t="str">
        <f t="shared" si="2"/>
        <v>5/2026</v>
      </c>
      <c r="AR39" s="45">
        <f t="shared" si="3"/>
        <v>4</v>
      </c>
      <c r="AS39" s="45">
        <f t="shared" si="4"/>
        <v>0</v>
      </c>
      <c r="AT39" s="45">
        <f t="shared" si="5"/>
        <v>0</v>
      </c>
      <c r="AU39" s="45">
        <f t="shared" si="6"/>
        <v>0</v>
      </c>
      <c r="AV39" s="45">
        <f t="shared" si="8"/>
        <v>0</v>
      </c>
      <c r="AW39" s="45" t="str">
        <f>_xlfn.XLOOKUP(W39,'Lista Suspensa'!$AA$20:$AA$23,'Lista Suspensa'!$AB$20:$AB$23,"N/A")</f>
        <v>N/A</v>
      </c>
    </row>
    <row r="40" spans="1:49" ht="12" customHeight="1" x14ac:dyDescent="0.3">
      <c r="A40" s="87" t="s">
        <v>49</v>
      </c>
      <c r="B40" s="88">
        <v>46147</v>
      </c>
      <c r="C40" s="89" t="s">
        <v>50</v>
      </c>
      <c r="D40" s="89" t="s">
        <v>51</v>
      </c>
      <c r="E40" s="90">
        <v>84837845</v>
      </c>
      <c r="F40" s="91" t="s">
        <v>198</v>
      </c>
      <c r="G40" s="92">
        <v>366306758</v>
      </c>
      <c r="H40" s="93">
        <v>24933</v>
      </c>
      <c r="I40" s="89">
        <v>58</v>
      </c>
      <c r="J40" s="89" t="s">
        <v>53</v>
      </c>
      <c r="K40" s="89" t="s">
        <v>77</v>
      </c>
      <c r="L40" s="89" t="s">
        <v>193</v>
      </c>
      <c r="M40" s="89"/>
      <c r="N40" s="89" t="s">
        <v>87</v>
      </c>
      <c r="O40" s="94" t="s">
        <v>199</v>
      </c>
      <c r="P40" s="95" t="s">
        <v>58</v>
      </c>
      <c r="Q40" s="144" t="s">
        <v>59</v>
      </c>
      <c r="R40" s="96">
        <v>46153</v>
      </c>
      <c r="S40" s="97"/>
      <c r="T40" s="97" t="s">
        <v>60</v>
      </c>
      <c r="U40" s="97" t="s">
        <v>61</v>
      </c>
      <c r="V40" s="93">
        <v>46153</v>
      </c>
      <c r="W40" s="93" t="s">
        <v>73</v>
      </c>
      <c r="X40" s="93" t="s">
        <v>73</v>
      </c>
      <c r="Y40" s="98"/>
      <c r="Z40" s="89" t="s">
        <v>62</v>
      </c>
      <c r="AA40" s="97">
        <v>46155</v>
      </c>
      <c r="AB40" s="89" t="s">
        <v>75</v>
      </c>
      <c r="AC40" s="120"/>
      <c r="AD40" s="89"/>
      <c r="AE40" s="89"/>
      <c r="AF40" s="89">
        <v>2.4900000000000002</v>
      </c>
      <c r="AG40" s="89">
        <v>2.4900000000000002</v>
      </c>
      <c r="AH40" s="99" t="s">
        <v>181</v>
      </c>
      <c r="AI40" s="99"/>
      <c r="AJ40" s="119" t="s">
        <v>91</v>
      </c>
      <c r="AK40" s="100"/>
      <c r="AL40" s="100" t="s">
        <v>64</v>
      </c>
      <c r="AM40" s="100" t="s">
        <v>102</v>
      </c>
      <c r="AN40" s="45" t="s">
        <v>65</v>
      </c>
      <c r="AO40" s="198" t="str">
        <f t="shared" si="0"/>
        <v>5/2026</v>
      </c>
      <c r="AP40" s="198">
        <f t="shared" si="1"/>
        <v>2</v>
      </c>
      <c r="AQ40" s="45" t="str">
        <f t="shared" si="2"/>
        <v>5/2026</v>
      </c>
      <c r="AR40" s="45">
        <f t="shared" si="3"/>
        <v>3</v>
      </c>
      <c r="AS40" s="45">
        <f t="shared" si="4"/>
        <v>0</v>
      </c>
      <c r="AT40" s="45">
        <f t="shared" si="5"/>
        <v>0</v>
      </c>
      <c r="AU40" s="45">
        <f t="shared" si="6"/>
        <v>0</v>
      </c>
      <c r="AV40" s="45">
        <f t="shared" si="8"/>
        <v>0</v>
      </c>
      <c r="AW40" s="45" t="str">
        <f>_xlfn.XLOOKUP(W40,'Lista Suspensa'!$AA$20:$AA$23,'Lista Suspensa'!$AB$20:$AB$23,"N/A")</f>
        <v>N/A</v>
      </c>
    </row>
    <row r="41" spans="1:49" ht="12" customHeight="1" x14ac:dyDescent="0.3">
      <c r="A41" s="87" t="s">
        <v>49</v>
      </c>
      <c r="B41" s="88">
        <v>46147</v>
      </c>
      <c r="C41" s="89" t="s">
        <v>50</v>
      </c>
      <c r="D41" s="89" t="s">
        <v>51</v>
      </c>
      <c r="E41" s="90">
        <v>774116510</v>
      </c>
      <c r="F41" s="91" t="s">
        <v>200</v>
      </c>
      <c r="G41" s="92">
        <v>25106588839</v>
      </c>
      <c r="H41" s="93">
        <v>20955</v>
      </c>
      <c r="I41" s="89">
        <v>69</v>
      </c>
      <c r="J41" s="89" t="s">
        <v>67</v>
      </c>
      <c r="K41" s="89" t="s">
        <v>54</v>
      </c>
      <c r="L41" s="89" t="s">
        <v>146</v>
      </c>
      <c r="M41" s="89"/>
      <c r="N41" s="89" t="s">
        <v>94</v>
      </c>
      <c r="O41" s="94" t="s">
        <v>201</v>
      </c>
      <c r="P41" s="95" t="s">
        <v>58</v>
      </c>
      <c r="Q41" s="144" t="s">
        <v>59</v>
      </c>
      <c r="R41" s="96">
        <v>46153</v>
      </c>
      <c r="S41" s="97"/>
      <c r="T41" s="97" t="s">
        <v>60</v>
      </c>
      <c r="U41" s="97" t="s">
        <v>61</v>
      </c>
      <c r="V41" s="93">
        <v>46153</v>
      </c>
      <c r="W41" s="93" t="s">
        <v>73</v>
      </c>
      <c r="X41" s="93" t="s">
        <v>73</v>
      </c>
      <c r="Y41" s="98"/>
      <c r="Z41" s="89" t="s">
        <v>62</v>
      </c>
      <c r="AA41" s="97">
        <v>46160</v>
      </c>
      <c r="AB41" s="89" t="s">
        <v>142</v>
      </c>
      <c r="AC41" s="120"/>
      <c r="AD41" s="89"/>
      <c r="AE41" s="89"/>
      <c r="AF41" s="89"/>
      <c r="AG41" s="89"/>
      <c r="AH41" s="99" t="s">
        <v>181</v>
      </c>
      <c r="AI41" s="99"/>
      <c r="AJ41" s="99" t="s">
        <v>91</v>
      </c>
      <c r="AK41" s="100"/>
      <c r="AL41" s="100" t="s">
        <v>64</v>
      </c>
      <c r="AM41" s="100" t="s">
        <v>102</v>
      </c>
      <c r="AN41" s="45" t="s">
        <v>65</v>
      </c>
      <c r="AO41" s="198" t="str">
        <f t="shared" si="0"/>
        <v>5/2026</v>
      </c>
      <c r="AP41" s="198">
        <f t="shared" si="1"/>
        <v>2</v>
      </c>
      <c r="AQ41" s="45" t="str">
        <f t="shared" si="2"/>
        <v>5/2026</v>
      </c>
      <c r="AR41" s="45">
        <f t="shared" si="3"/>
        <v>3</v>
      </c>
      <c r="AS41" s="45">
        <f t="shared" si="4"/>
        <v>0</v>
      </c>
      <c r="AT41" s="45">
        <f t="shared" si="5"/>
        <v>0</v>
      </c>
      <c r="AU41" s="45">
        <f t="shared" si="6"/>
        <v>0</v>
      </c>
      <c r="AV41" s="45">
        <f t="shared" si="8"/>
        <v>0</v>
      </c>
      <c r="AW41" s="45" t="str">
        <f>_xlfn.XLOOKUP(W41,'Lista Suspensa'!$AA$20:$AA$23,'Lista Suspensa'!$AB$20:$AB$23,"N/A")</f>
        <v>N/A</v>
      </c>
    </row>
    <row r="42" spans="1:49" ht="12" customHeight="1" x14ac:dyDescent="0.3">
      <c r="A42" s="87" t="s">
        <v>49</v>
      </c>
      <c r="B42" s="88">
        <v>46147</v>
      </c>
      <c r="C42" s="89" t="s">
        <v>50</v>
      </c>
      <c r="D42" s="89" t="s">
        <v>51</v>
      </c>
      <c r="E42" s="90">
        <v>444181733</v>
      </c>
      <c r="F42" s="91" t="s">
        <v>202</v>
      </c>
      <c r="G42" s="92">
        <v>7683275808</v>
      </c>
      <c r="H42" s="93">
        <v>24231</v>
      </c>
      <c r="I42" s="89">
        <v>60</v>
      </c>
      <c r="J42" s="89" t="s">
        <v>67</v>
      </c>
      <c r="K42" s="89" t="s">
        <v>54</v>
      </c>
      <c r="L42" s="89" t="s">
        <v>203</v>
      </c>
      <c r="M42" s="89"/>
      <c r="N42" s="89" t="s">
        <v>100</v>
      </c>
      <c r="O42" s="94" t="s">
        <v>204</v>
      </c>
      <c r="P42" s="95" t="s">
        <v>58</v>
      </c>
      <c r="Q42" s="144" t="s">
        <v>59</v>
      </c>
      <c r="R42" s="96">
        <v>46154</v>
      </c>
      <c r="S42" s="97"/>
      <c r="T42" s="97" t="s">
        <v>60</v>
      </c>
      <c r="U42" s="97" t="s">
        <v>61</v>
      </c>
      <c r="V42" s="93">
        <v>46154</v>
      </c>
      <c r="W42" s="93" t="s">
        <v>73</v>
      </c>
      <c r="X42" s="93" t="s">
        <v>73</v>
      </c>
      <c r="Y42" s="98"/>
      <c r="Z42" s="89" t="s">
        <v>62</v>
      </c>
      <c r="AA42" s="97">
        <v>46155</v>
      </c>
      <c r="AB42" s="89" t="s">
        <v>75</v>
      </c>
      <c r="AC42" s="120"/>
      <c r="AD42" s="89"/>
      <c r="AE42" s="89"/>
      <c r="AF42" s="89">
        <v>2.4500000000000002</v>
      </c>
      <c r="AG42" s="89">
        <v>2.4500000000000002</v>
      </c>
      <c r="AH42" s="99" t="s">
        <v>205</v>
      </c>
      <c r="AI42" s="99"/>
      <c r="AJ42" s="119" t="s">
        <v>91</v>
      </c>
      <c r="AK42" s="100"/>
      <c r="AL42" s="100" t="s">
        <v>64</v>
      </c>
      <c r="AM42" s="100" t="s">
        <v>102</v>
      </c>
      <c r="AN42" s="45" t="s">
        <v>65</v>
      </c>
      <c r="AO42" s="198" t="str">
        <f t="shared" si="0"/>
        <v>5/2026</v>
      </c>
      <c r="AP42" s="198">
        <f t="shared" si="1"/>
        <v>2</v>
      </c>
      <c r="AQ42" s="45" t="str">
        <f t="shared" si="2"/>
        <v>5/2026</v>
      </c>
      <c r="AR42" s="45">
        <f t="shared" si="3"/>
        <v>3</v>
      </c>
      <c r="AS42" s="45">
        <f t="shared" si="4"/>
        <v>0</v>
      </c>
      <c r="AT42" s="45">
        <f t="shared" si="5"/>
        <v>0</v>
      </c>
      <c r="AU42" s="45">
        <f t="shared" si="6"/>
        <v>0</v>
      </c>
      <c r="AV42" s="45">
        <f t="shared" si="8"/>
        <v>0</v>
      </c>
      <c r="AW42" s="45" t="str">
        <f>_xlfn.XLOOKUP(W42,'Lista Suspensa'!$AA$20:$AA$23,'Lista Suspensa'!$AB$20:$AB$23,"N/A")</f>
        <v>N/A</v>
      </c>
    </row>
    <row r="43" spans="1:49" ht="12" customHeight="1" x14ac:dyDescent="0.3">
      <c r="A43" s="87" t="s">
        <v>49</v>
      </c>
      <c r="B43" s="88">
        <v>46147</v>
      </c>
      <c r="C43" s="89" t="s">
        <v>50</v>
      </c>
      <c r="D43" s="89" t="s">
        <v>51</v>
      </c>
      <c r="E43" s="90">
        <v>881479209</v>
      </c>
      <c r="F43" s="91" t="s">
        <v>206</v>
      </c>
      <c r="G43" s="92">
        <v>13574838727</v>
      </c>
      <c r="H43" s="93">
        <v>33161</v>
      </c>
      <c r="I43" s="89">
        <v>35</v>
      </c>
      <c r="J43" s="89" t="s">
        <v>53</v>
      </c>
      <c r="K43" s="89" t="s">
        <v>77</v>
      </c>
      <c r="L43" s="89" t="s">
        <v>78</v>
      </c>
      <c r="M43" s="89"/>
      <c r="N43" s="89" t="s">
        <v>97</v>
      </c>
      <c r="O43" s="94" t="s">
        <v>207</v>
      </c>
      <c r="P43" s="95" t="s">
        <v>58</v>
      </c>
      <c r="Q43" s="144" t="s">
        <v>59</v>
      </c>
      <c r="R43" s="96">
        <v>46154</v>
      </c>
      <c r="S43" s="97"/>
      <c r="T43" s="97" t="s">
        <v>60</v>
      </c>
      <c r="U43" s="97" t="s">
        <v>61</v>
      </c>
      <c r="V43" s="93">
        <v>46154</v>
      </c>
      <c r="W43" s="93" t="s">
        <v>73</v>
      </c>
      <c r="X43" s="93" t="s">
        <v>73</v>
      </c>
      <c r="Y43" s="98"/>
      <c r="Z43" s="89" t="s">
        <v>62</v>
      </c>
      <c r="AA43" s="97">
        <v>46155</v>
      </c>
      <c r="AB43" s="89" t="s">
        <v>142</v>
      </c>
      <c r="AC43" s="120"/>
      <c r="AD43" s="89"/>
      <c r="AE43" s="89"/>
      <c r="AF43" s="89">
        <v>1.5</v>
      </c>
      <c r="AG43" s="89">
        <v>1.5</v>
      </c>
      <c r="AH43" s="99"/>
      <c r="AI43" s="99"/>
      <c r="AJ43" s="99" t="s">
        <v>91</v>
      </c>
      <c r="AK43" s="100"/>
      <c r="AL43" s="100" t="s">
        <v>64</v>
      </c>
      <c r="AM43" s="100" t="s">
        <v>102</v>
      </c>
      <c r="AN43" s="45" t="s">
        <v>65</v>
      </c>
      <c r="AO43" s="198" t="str">
        <f t="shared" si="0"/>
        <v>5/2026</v>
      </c>
      <c r="AP43" s="198">
        <f t="shared" si="1"/>
        <v>2</v>
      </c>
      <c r="AQ43" s="45" t="str">
        <f t="shared" si="2"/>
        <v>5/2026</v>
      </c>
      <c r="AR43" s="45">
        <f t="shared" si="3"/>
        <v>3</v>
      </c>
      <c r="AS43" s="45">
        <f t="shared" si="4"/>
        <v>0</v>
      </c>
      <c r="AT43" s="45">
        <f t="shared" si="5"/>
        <v>0</v>
      </c>
      <c r="AU43" s="45">
        <f t="shared" si="6"/>
        <v>0</v>
      </c>
      <c r="AV43" s="45">
        <f t="shared" si="8"/>
        <v>0</v>
      </c>
      <c r="AW43" s="45" t="str">
        <f>_xlfn.XLOOKUP(W43,'Lista Suspensa'!$AA$20:$AA$23,'Lista Suspensa'!$AB$20:$AB$23,"N/A")</f>
        <v>N/A</v>
      </c>
    </row>
    <row r="44" spans="1:49" ht="12" customHeight="1" x14ac:dyDescent="0.3">
      <c r="A44" s="87" t="s">
        <v>49</v>
      </c>
      <c r="B44" s="88">
        <v>46147</v>
      </c>
      <c r="C44" s="89" t="s">
        <v>50</v>
      </c>
      <c r="D44" s="89" t="s">
        <v>51</v>
      </c>
      <c r="E44" s="90">
        <v>916692574</v>
      </c>
      <c r="F44" s="91" t="s">
        <v>208</v>
      </c>
      <c r="G44" s="92">
        <v>48695807304</v>
      </c>
      <c r="H44" s="93">
        <v>25778</v>
      </c>
      <c r="I44" s="89">
        <v>55</v>
      </c>
      <c r="J44" s="89" t="s">
        <v>67</v>
      </c>
      <c r="K44" s="89" t="s">
        <v>77</v>
      </c>
      <c r="L44" s="89" t="s">
        <v>78</v>
      </c>
      <c r="M44" s="89"/>
      <c r="N44" s="89" t="s">
        <v>209</v>
      </c>
      <c r="O44" s="94" t="s">
        <v>210</v>
      </c>
      <c r="P44" s="95" t="s">
        <v>58</v>
      </c>
      <c r="Q44" s="144" t="s">
        <v>59</v>
      </c>
      <c r="R44" s="96">
        <v>46171</v>
      </c>
      <c r="S44" s="97"/>
      <c r="T44" s="97" t="s">
        <v>60</v>
      </c>
      <c r="U44" s="97" t="s">
        <v>61</v>
      </c>
      <c r="V44" s="93">
        <v>46154</v>
      </c>
      <c r="W44" s="93">
        <v>46161</v>
      </c>
      <c r="X44" s="93">
        <v>46171</v>
      </c>
      <c r="Y44" s="98"/>
      <c r="Z44" s="89" t="s">
        <v>62</v>
      </c>
      <c r="AA44" s="97">
        <v>46176.513888425929</v>
      </c>
      <c r="AB44" s="89" t="s">
        <v>142</v>
      </c>
      <c r="AC44" s="120" t="s">
        <v>63</v>
      </c>
      <c r="AD44" s="89"/>
      <c r="AE44" s="89"/>
      <c r="AF44" s="89"/>
      <c r="AG44" s="89"/>
      <c r="AH44" s="99"/>
      <c r="AI44" s="99"/>
      <c r="AJ44" s="99"/>
      <c r="AK44" s="100"/>
      <c r="AL44" s="100" t="s">
        <v>64</v>
      </c>
      <c r="AM44" s="100" t="s">
        <v>102</v>
      </c>
      <c r="AN44" s="45" t="s">
        <v>65</v>
      </c>
      <c r="AO44" s="198" t="str">
        <f t="shared" si="0"/>
        <v>5/2026</v>
      </c>
      <c r="AP44" s="198">
        <f t="shared" si="1"/>
        <v>2</v>
      </c>
      <c r="AQ44" s="45" t="str">
        <f t="shared" si="2"/>
        <v>5/2026</v>
      </c>
      <c r="AR44" s="45">
        <f t="shared" si="3"/>
        <v>5</v>
      </c>
      <c r="AS44" s="45">
        <f t="shared" si="4"/>
        <v>0</v>
      </c>
      <c r="AT44" s="45">
        <f t="shared" si="5"/>
        <v>0</v>
      </c>
      <c r="AU44" s="45">
        <f t="shared" si="6"/>
        <v>0</v>
      </c>
      <c r="AV44" s="45">
        <f t="shared" si="8"/>
        <v>0</v>
      </c>
      <c r="AW44" s="45" t="str">
        <f>_xlfn.XLOOKUP(W44,'Lista Suspensa'!$AA$20:$AA$23,'Lista Suspensa'!$AB$20:$AB$23,"N/A")</f>
        <v>N/A</v>
      </c>
    </row>
    <row r="45" spans="1:49" ht="12" customHeight="1" x14ac:dyDescent="0.3">
      <c r="A45" s="87" t="s">
        <v>49</v>
      </c>
      <c r="B45" s="88">
        <v>46147</v>
      </c>
      <c r="C45" s="89" t="s">
        <v>50</v>
      </c>
      <c r="D45" s="89" t="s">
        <v>51</v>
      </c>
      <c r="E45" s="90">
        <v>95956660</v>
      </c>
      <c r="F45" s="91" t="s">
        <v>211</v>
      </c>
      <c r="G45" s="92">
        <v>8162447156</v>
      </c>
      <c r="H45" s="93">
        <v>30095</v>
      </c>
      <c r="I45" s="89">
        <v>43</v>
      </c>
      <c r="J45" s="89" t="s">
        <v>53</v>
      </c>
      <c r="K45" s="89" t="s">
        <v>77</v>
      </c>
      <c r="L45" s="89" t="s">
        <v>78</v>
      </c>
      <c r="M45" s="89"/>
      <c r="N45" s="89" t="s">
        <v>212</v>
      </c>
      <c r="O45" s="94" t="s">
        <v>213</v>
      </c>
      <c r="P45" s="95" t="s">
        <v>58</v>
      </c>
      <c r="Q45" s="144" t="s">
        <v>59</v>
      </c>
      <c r="R45" s="96">
        <v>46154</v>
      </c>
      <c r="S45" s="97"/>
      <c r="T45" s="97" t="s">
        <v>60</v>
      </c>
      <c r="U45" s="97" t="s">
        <v>61</v>
      </c>
      <c r="V45" s="93">
        <v>46154</v>
      </c>
      <c r="W45" s="93" t="s">
        <v>73</v>
      </c>
      <c r="X45" s="93" t="s">
        <v>73</v>
      </c>
      <c r="Y45" s="98"/>
      <c r="Z45" s="89" t="s">
        <v>62</v>
      </c>
      <c r="AA45" s="97">
        <v>46161</v>
      </c>
      <c r="AB45" s="89" t="s">
        <v>75</v>
      </c>
      <c r="AC45" s="120"/>
      <c r="AD45" s="89"/>
      <c r="AE45" s="89"/>
      <c r="AF45" s="89">
        <v>3.6</v>
      </c>
      <c r="AG45" s="89">
        <v>3.6</v>
      </c>
      <c r="AH45" s="99" t="s">
        <v>214</v>
      </c>
      <c r="AI45" s="99"/>
      <c r="AJ45" s="119" t="s">
        <v>91</v>
      </c>
      <c r="AK45" s="100"/>
      <c r="AL45" s="100" t="s">
        <v>64</v>
      </c>
      <c r="AM45" s="100" t="s">
        <v>102</v>
      </c>
      <c r="AN45" s="45" t="s">
        <v>65</v>
      </c>
      <c r="AO45" s="198" t="str">
        <f t="shared" si="0"/>
        <v>5/2026</v>
      </c>
      <c r="AP45" s="198">
        <f t="shared" si="1"/>
        <v>2</v>
      </c>
      <c r="AQ45" s="45" t="str">
        <f t="shared" si="2"/>
        <v>5/2026</v>
      </c>
      <c r="AR45" s="45">
        <f t="shared" si="3"/>
        <v>3</v>
      </c>
      <c r="AS45" s="45">
        <f t="shared" si="4"/>
        <v>0</v>
      </c>
      <c r="AT45" s="45">
        <f t="shared" si="5"/>
        <v>0</v>
      </c>
      <c r="AU45" s="45">
        <f t="shared" si="6"/>
        <v>0</v>
      </c>
      <c r="AV45" s="45">
        <f t="shared" si="8"/>
        <v>0</v>
      </c>
      <c r="AW45" s="45" t="str">
        <f>_xlfn.XLOOKUP(W45,'Lista Suspensa'!$AA$20:$AA$23,'Lista Suspensa'!$AB$20:$AB$23,"N/A")</f>
        <v>N/A</v>
      </c>
    </row>
    <row r="46" spans="1:49" ht="12" customHeight="1" x14ac:dyDescent="0.3">
      <c r="A46" s="87" t="s">
        <v>49</v>
      </c>
      <c r="B46" s="88">
        <v>46147</v>
      </c>
      <c r="C46" s="89" t="s">
        <v>50</v>
      </c>
      <c r="D46" s="89" t="s">
        <v>51</v>
      </c>
      <c r="E46" s="90">
        <v>93640761</v>
      </c>
      <c r="F46" s="91" t="s">
        <v>215</v>
      </c>
      <c r="G46" s="92">
        <v>15732166742</v>
      </c>
      <c r="H46" s="93">
        <v>37019</v>
      </c>
      <c r="I46" s="89">
        <v>25</v>
      </c>
      <c r="J46" s="89" t="s">
        <v>53</v>
      </c>
      <c r="K46" s="89" t="s">
        <v>77</v>
      </c>
      <c r="L46" s="89" t="s">
        <v>78</v>
      </c>
      <c r="M46" s="89"/>
      <c r="N46" s="89" t="s">
        <v>56</v>
      </c>
      <c r="O46" s="94" t="s">
        <v>216</v>
      </c>
      <c r="P46" s="95" t="s">
        <v>58</v>
      </c>
      <c r="Q46" s="144" t="s">
        <v>59</v>
      </c>
      <c r="R46" s="96">
        <v>46161</v>
      </c>
      <c r="S46" s="97"/>
      <c r="T46" s="97" t="s">
        <v>60</v>
      </c>
      <c r="U46" s="97" t="s">
        <v>61</v>
      </c>
      <c r="V46" s="93">
        <v>46154</v>
      </c>
      <c r="W46" s="93" t="s">
        <v>73</v>
      </c>
      <c r="X46" s="93" t="s">
        <v>73</v>
      </c>
      <c r="Y46" s="98"/>
      <c r="Z46" s="89" t="s">
        <v>62</v>
      </c>
      <c r="AA46" s="97">
        <v>46171</v>
      </c>
      <c r="AB46" s="89" t="s">
        <v>142</v>
      </c>
      <c r="AC46" s="120"/>
      <c r="AD46" s="89"/>
      <c r="AE46" s="89"/>
      <c r="AF46" s="89"/>
      <c r="AG46" s="89"/>
      <c r="AH46" s="99"/>
      <c r="AI46" s="99"/>
      <c r="AJ46" s="99"/>
      <c r="AK46" s="100"/>
      <c r="AL46" s="100" t="s">
        <v>64</v>
      </c>
      <c r="AM46" s="100" t="s">
        <v>102</v>
      </c>
      <c r="AN46" s="45" t="s">
        <v>65</v>
      </c>
      <c r="AO46" s="198" t="str">
        <f t="shared" si="0"/>
        <v>5/2026</v>
      </c>
      <c r="AP46" s="198">
        <f t="shared" si="1"/>
        <v>2</v>
      </c>
      <c r="AQ46" s="45" t="str">
        <f t="shared" si="2"/>
        <v>5/2026</v>
      </c>
      <c r="AR46" s="45">
        <f t="shared" si="3"/>
        <v>4</v>
      </c>
      <c r="AS46" s="45">
        <f t="shared" si="4"/>
        <v>0</v>
      </c>
      <c r="AT46" s="45">
        <f t="shared" si="5"/>
        <v>0</v>
      </c>
      <c r="AU46" s="45">
        <f t="shared" si="6"/>
        <v>0</v>
      </c>
      <c r="AV46" s="45">
        <f t="shared" si="8"/>
        <v>0</v>
      </c>
      <c r="AW46" s="45" t="str">
        <f>_xlfn.XLOOKUP(W46,'Lista Suspensa'!$AA$20:$AA$23,'Lista Suspensa'!$AB$20:$AB$23,"N/A")</f>
        <v>N/A</v>
      </c>
    </row>
    <row r="47" spans="1:49" ht="12" customHeight="1" x14ac:dyDescent="0.3">
      <c r="A47" s="87" t="s">
        <v>49</v>
      </c>
      <c r="B47" s="88">
        <v>46147</v>
      </c>
      <c r="C47" s="89" t="s">
        <v>50</v>
      </c>
      <c r="D47" s="89" t="s">
        <v>51</v>
      </c>
      <c r="E47" s="90">
        <v>93852370</v>
      </c>
      <c r="F47" s="91" t="s">
        <v>217</v>
      </c>
      <c r="G47" s="92">
        <v>2165273765</v>
      </c>
      <c r="H47" s="93">
        <v>26406</v>
      </c>
      <c r="I47" s="89">
        <v>54</v>
      </c>
      <c r="J47" s="89" t="s">
        <v>67</v>
      </c>
      <c r="K47" s="89" t="s">
        <v>77</v>
      </c>
      <c r="L47" s="89" t="s">
        <v>78</v>
      </c>
      <c r="M47" s="89"/>
      <c r="N47" s="89" t="s">
        <v>212</v>
      </c>
      <c r="O47" s="94" t="s">
        <v>218</v>
      </c>
      <c r="P47" s="95" t="s">
        <v>58</v>
      </c>
      <c r="Q47" s="144" t="s">
        <v>59</v>
      </c>
      <c r="R47" s="96">
        <v>46154</v>
      </c>
      <c r="S47" s="97"/>
      <c r="T47" s="97" t="s">
        <v>60</v>
      </c>
      <c r="U47" s="97" t="s">
        <v>61</v>
      </c>
      <c r="V47" s="93">
        <v>46154</v>
      </c>
      <c r="W47" s="93" t="s">
        <v>73</v>
      </c>
      <c r="X47" s="93" t="s">
        <v>73</v>
      </c>
      <c r="Y47" s="98"/>
      <c r="Z47" s="89" t="s">
        <v>62</v>
      </c>
      <c r="AA47" s="97">
        <v>46155</v>
      </c>
      <c r="AB47" s="89" t="s">
        <v>75</v>
      </c>
      <c r="AC47" s="120"/>
      <c r="AD47" s="89"/>
      <c r="AE47" s="89"/>
      <c r="AF47" s="89">
        <v>1.1599999999999999</v>
      </c>
      <c r="AG47" s="89">
        <v>1.1599999999999999</v>
      </c>
      <c r="AH47" s="99" t="s">
        <v>181</v>
      </c>
      <c r="AI47" s="99"/>
      <c r="AJ47" s="119" t="s">
        <v>91</v>
      </c>
      <c r="AK47" s="100"/>
      <c r="AL47" s="100" t="s">
        <v>64</v>
      </c>
      <c r="AM47" s="100" t="s">
        <v>102</v>
      </c>
      <c r="AN47" s="45" t="s">
        <v>65</v>
      </c>
      <c r="AO47" s="198" t="str">
        <f t="shared" si="0"/>
        <v>5/2026</v>
      </c>
      <c r="AP47" s="198">
        <f t="shared" si="1"/>
        <v>2</v>
      </c>
      <c r="AQ47" s="45" t="str">
        <f t="shared" si="2"/>
        <v>5/2026</v>
      </c>
      <c r="AR47" s="45">
        <f t="shared" si="3"/>
        <v>3</v>
      </c>
      <c r="AS47" s="45">
        <f t="shared" si="4"/>
        <v>0</v>
      </c>
      <c r="AT47" s="45">
        <f t="shared" si="5"/>
        <v>0</v>
      </c>
      <c r="AU47" s="45">
        <f t="shared" si="6"/>
        <v>0</v>
      </c>
      <c r="AV47" s="45">
        <f t="shared" si="8"/>
        <v>0</v>
      </c>
      <c r="AW47" s="45" t="str">
        <f>_xlfn.XLOOKUP(W47,'Lista Suspensa'!$AA$20:$AA$23,'Lista Suspensa'!$AB$20:$AB$23,"N/A")</f>
        <v>N/A</v>
      </c>
    </row>
    <row r="48" spans="1:49" ht="12" customHeight="1" x14ac:dyDescent="0.3">
      <c r="A48" s="87" t="s">
        <v>49</v>
      </c>
      <c r="B48" s="88">
        <v>46147</v>
      </c>
      <c r="C48" s="89" t="s">
        <v>50</v>
      </c>
      <c r="D48" s="89" t="s">
        <v>51</v>
      </c>
      <c r="E48" s="90">
        <v>93250639</v>
      </c>
      <c r="F48" s="91" t="s">
        <v>219</v>
      </c>
      <c r="G48" s="92">
        <v>51341158500</v>
      </c>
      <c r="H48" s="93">
        <v>25758</v>
      </c>
      <c r="I48" s="89">
        <v>55</v>
      </c>
      <c r="J48" s="89" t="s">
        <v>67</v>
      </c>
      <c r="K48" s="89" t="s">
        <v>77</v>
      </c>
      <c r="L48" s="89" t="s">
        <v>78</v>
      </c>
      <c r="M48" s="89"/>
      <c r="N48" s="89" t="s">
        <v>56</v>
      </c>
      <c r="O48" s="94" t="s">
        <v>220</v>
      </c>
      <c r="P48" s="95" t="s">
        <v>58</v>
      </c>
      <c r="Q48" s="144" t="s">
        <v>59</v>
      </c>
      <c r="R48" s="96">
        <v>46154</v>
      </c>
      <c r="S48" s="97"/>
      <c r="T48" s="97" t="s">
        <v>60</v>
      </c>
      <c r="U48" s="97" t="s">
        <v>61</v>
      </c>
      <c r="V48" s="93">
        <v>46154</v>
      </c>
      <c r="W48" s="93" t="s">
        <v>73</v>
      </c>
      <c r="X48" s="93" t="s">
        <v>73</v>
      </c>
      <c r="Y48" s="98"/>
      <c r="Z48" s="89" t="s">
        <v>62</v>
      </c>
      <c r="AA48" s="97">
        <v>46161</v>
      </c>
      <c r="AB48" s="89" t="s">
        <v>75</v>
      </c>
      <c r="AC48" s="120"/>
      <c r="AD48" s="89"/>
      <c r="AE48" s="89"/>
      <c r="AF48" s="89">
        <v>2.65</v>
      </c>
      <c r="AG48" s="89">
        <v>2.65</v>
      </c>
      <c r="AH48" s="99" t="s">
        <v>181</v>
      </c>
      <c r="AI48" s="99"/>
      <c r="AJ48" s="119" t="s">
        <v>91</v>
      </c>
      <c r="AK48" s="100"/>
      <c r="AL48" s="100" t="s">
        <v>64</v>
      </c>
      <c r="AM48" s="100" t="s">
        <v>102</v>
      </c>
      <c r="AN48" s="45" t="s">
        <v>65</v>
      </c>
      <c r="AO48" s="198" t="str">
        <f t="shared" si="0"/>
        <v>5/2026</v>
      </c>
      <c r="AP48" s="198">
        <f t="shared" si="1"/>
        <v>2</v>
      </c>
      <c r="AQ48" s="45" t="str">
        <f t="shared" si="2"/>
        <v>5/2026</v>
      </c>
      <c r="AR48" s="45">
        <f t="shared" si="3"/>
        <v>3</v>
      </c>
      <c r="AS48" s="45">
        <f t="shared" si="4"/>
        <v>0</v>
      </c>
      <c r="AT48" s="45">
        <f t="shared" si="5"/>
        <v>0</v>
      </c>
      <c r="AU48" s="45">
        <f t="shared" si="6"/>
        <v>0</v>
      </c>
      <c r="AV48" s="45">
        <f t="shared" si="8"/>
        <v>0</v>
      </c>
      <c r="AW48" s="45" t="str">
        <f>_xlfn.XLOOKUP(W48,'Lista Suspensa'!$AA$20:$AA$23,'Lista Suspensa'!$AB$20:$AB$23,"N/A")</f>
        <v>N/A</v>
      </c>
    </row>
    <row r="49" spans="1:49" ht="12" customHeight="1" x14ac:dyDescent="0.3">
      <c r="A49" s="87" t="s">
        <v>49</v>
      </c>
      <c r="B49" s="88">
        <v>46147</v>
      </c>
      <c r="C49" s="89" t="s">
        <v>50</v>
      </c>
      <c r="D49" s="89" t="s">
        <v>51</v>
      </c>
      <c r="E49" s="90">
        <v>440943019</v>
      </c>
      <c r="F49" s="91" t="s">
        <v>221</v>
      </c>
      <c r="G49" s="92">
        <v>42732574830</v>
      </c>
      <c r="H49" s="93">
        <v>33177</v>
      </c>
      <c r="I49" s="89">
        <v>35</v>
      </c>
      <c r="J49" s="89" t="s">
        <v>67</v>
      </c>
      <c r="K49" s="89" t="s">
        <v>54</v>
      </c>
      <c r="L49" s="89" t="s">
        <v>81</v>
      </c>
      <c r="M49" s="89"/>
      <c r="N49" s="89" t="s">
        <v>100</v>
      </c>
      <c r="O49" s="94" t="s">
        <v>222</v>
      </c>
      <c r="P49" s="95" t="s">
        <v>58</v>
      </c>
      <c r="Q49" s="144" t="s">
        <v>59</v>
      </c>
      <c r="R49" s="96">
        <v>46155</v>
      </c>
      <c r="S49" s="97"/>
      <c r="T49" s="97" t="s">
        <v>60</v>
      </c>
      <c r="U49" s="97" t="s">
        <v>61</v>
      </c>
      <c r="V49" s="93">
        <v>46155</v>
      </c>
      <c r="W49" s="93" t="s">
        <v>73</v>
      </c>
      <c r="X49" s="93" t="s">
        <v>73</v>
      </c>
      <c r="Y49" s="98"/>
      <c r="Z49" s="89" t="s">
        <v>62</v>
      </c>
      <c r="AA49" s="97">
        <v>46169</v>
      </c>
      <c r="AB49" s="89" t="s">
        <v>75</v>
      </c>
      <c r="AC49" s="120"/>
      <c r="AD49" s="89"/>
      <c r="AE49" s="89"/>
      <c r="AF49" s="89">
        <v>2.85</v>
      </c>
      <c r="AG49" s="89">
        <v>2.85</v>
      </c>
      <c r="AH49" s="99"/>
      <c r="AI49" s="99"/>
      <c r="AJ49" s="99" t="s">
        <v>91</v>
      </c>
      <c r="AK49" s="100"/>
      <c r="AL49" s="100" t="s">
        <v>64</v>
      </c>
      <c r="AM49" s="100" t="s">
        <v>102</v>
      </c>
      <c r="AN49" s="45" t="s">
        <v>65</v>
      </c>
      <c r="AO49" s="198" t="str">
        <f t="shared" si="0"/>
        <v>5/2026</v>
      </c>
      <c r="AP49" s="198">
        <f t="shared" si="1"/>
        <v>2</v>
      </c>
      <c r="AQ49" s="45" t="str">
        <f t="shared" si="2"/>
        <v>5/2026</v>
      </c>
      <c r="AR49" s="45">
        <f t="shared" si="3"/>
        <v>3</v>
      </c>
      <c r="AS49" s="45">
        <f t="shared" si="4"/>
        <v>0</v>
      </c>
      <c r="AT49" s="45">
        <f t="shared" si="5"/>
        <v>0</v>
      </c>
      <c r="AU49" s="45">
        <f t="shared" si="6"/>
        <v>0</v>
      </c>
      <c r="AV49" s="45">
        <f t="shared" si="8"/>
        <v>0</v>
      </c>
      <c r="AW49" s="45" t="str">
        <f>_xlfn.XLOOKUP(W49,'Lista Suspensa'!$AA$20:$AA$23,'Lista Suspensa'!$AB$20:$AB$23,"N/A")</f>
        <v>N/A</v>
      </c>
    </row>
    <row r="50" spans="1:49" ht="12" customHeight="1" x14ac:dyDescent="0.3">
      <c r="A50" s="87" t="s">
        <v>49</v>
      </c>
      <c r="B50" s="88">
        <v>46147</v>
      </c>
      <c r="C50" s="89" t="s">
        <v>50</v>
      </c>
      <c r="D50" s="89" t="s">
        <v>51</v>
      </c>
      <c r="E50" s="90">
        <v>78197920</v>
      </c>
      <c r="F50" s="91" t="s">
        <v>223</v>
      </c>
      <c r="G50" s="92">
        <v>4250360814</v>
      </c>
      <c r="H50" s="93">
        <v>22768</v>
      </c>
      <c r="I50" s="89">
        <v>64</v>
      </c>
      <c r="J50" s="89" t="s">
        <v>53</v>
      </c>
      <c r="K50" s="89" t="s">
        <v>54</v>
      </c>
      <c r="L50" s="89" t="s">
        <v>224</v>
      </c>
      <c r="M50" s="89"/>
      <c r="N50" s="89" t="s">
        <v>97</v>
      </c>
      <c r="O50" s="94" t="s">
        <v>225</v>
      </c>
      <c r="P50" s="95" t="s">
        <v>58</v>
      </c>
      <c r="Q50" s="144" t="s">
        <v>59</v>
      </c>
      <c r="R50" s="96">
        <v>46155</v>
      </c>
      <c r="S50" s="97"/>
      <c r="T50" s="97" t="s">
        <v>60</v>
      </c>
      <c r="U50" s="97" t="s">
        <v>61</v>
      </c>
      <c r="V50" s="93">
        <v>46155</v>
      </c>
      <c r="W50" s="93" t="s">
        <v>73</v>
      </c>
      <c r="X50" s="93" t="s">
        <v>73</v>
      </c>
      <c r="Y50" s="98"/>
      <c r="Z50" s="89" t="s">
        <v>62</v>
      </c>
      <c r="AA50" s="97">
        <v>46167</v>
      </c>
      <c r="AB50" s="89" t="s">
        <v>75</v>
      </c>
      <c r="AC50" s="120"/>
      <c r="AD50" s="89"/>
      <c r="AE50" s="89"/>
      <c r="AF50" s="89">
        <v>1.9</v>
      </c>
      <c r="AG50" s="89">
        <v>1.9</v>
      </c>
      <c r="AH50" s="99"/>
      <c r="AI50" s="99"/>
      <c r="AJ50" s="119" t="s">
        <v>91</v>
      </c>
      <c r="AK50" s="100"/>
      <c r="AL50" s="100" t="s">
        <v>64</v>
      </c>
      <c r="AM50" s="100" t="s">
        <v>102</v>
      </c>
      <c r="AN50" s="45" t="s">
        <v>65</v>
      </c>
      <c r="AO50" s="198" t="str">
        <f t="shared" si="0"/>
        <v>5/2026</v>
      </c>
      <c r="AP50" s="198">
        <f t="shared" si="1"/>
        <v>2</v>
      </c>
      <c r="AQ50" s="45" t="str">
        <f t="shared" si="2"/>
        <v>5/2026</v>
      </c>
      <c r="AR50" s="45">
        <f t="shared" si="3"/>
        <v>3</v>
      </c>
      <c r="AS50" s="45">
        <f t="shared" si="4"/>
        <v>0</v>
      </c>
      <c r="AT50" s="45">
        <f t="shared" si="5"/>
        <v>0</v>
      </c>
      <c r="AU50" s="45">
        <f t="shared" si="6"/>
        <v>0</v>
      </c>
      <c r="AV50" s="45">
        <f t="shared" si="8"/>
        <v>0</v>
      </c>
      <c r="AW50" s="45" t="str">
        <f>_xlfn.XLOOKUP(W50,'Lista Suspensa'!$AA$20:$AA$23,'Lista Suspensa'!$AB$20:$AB$23,"N/A")</f>
        <v>N/A</v>
      </c>
    </row>
    <row r="51" spans="1:49" ht="12" customHeight="1" x14ac:dyDescent="0.3">
      <c r="A51" s="87" t="s">
        <v>49</v>
      </c>
      <c r="B51" s="88">
        <v>46147</v>
      </c>
      <c r="C51" s="89" t="s">
        <v>50</v>
      </c>
      <c r="D51" s="89" t="s">
        <v>51</v>
      </c>
      <c r="E51" s="90">
        <v>85182025</v>
      </c>
      <c r="F51" s="91" t="s">
        <v>226</v>
      </c>
      <c r="G51" s="92">
        <v>43920253817</v>
      </c>
      <c r="H51" s="93">
        <v>34796</v>
      </c>
      <c r="I51" s="89">
        <v>31</v>
      </c>
      <c r="J51" s="89" t="s">
        <v>67</v>
      </c>
      <c r="K51" s="89" t="s">
        <v>54</v>
      </c>
      <c r="L51" s="89" t="s">
        <v>93</v>
      </c>
      <c r="M51" s="89"/>
      <c r="N51" s="89" t="s">
        <v>124</v>
      </c>
      <c r="O51" s="94" t="s">
        <v>227</v>
      </c>
      <c r="P51" s="95" t="s">
        <v>58</v>
      </c>
      <c r="Q51" s="144" t="s">
        <v>59</v>
      </c>
      <c r="R51" s="96">
        <v>46155</v>
      </c>
      <c r="S51" s="97"/>
      <c r="T51" s="97" t="s">
        <v>60</v>
      </c>
      <c r="U51" s="97" t="s">
        <v>61</v>
      </c>
      <c r="V51" s="93">
        <v>46155</v>
      </c>
      <c r="W51" s="93" t="s">
        <v>73</v>
      </c>
      <c r="X51" s="93" t="s">
        <v>73</v>
      </c>
      <c r="Y51" s="98"/>
      <c r="Z51" s="89" t="s">
        <v>62</v>
      </c>
      <c r="AA51" s="97">
        <v>46169</v>
      </c>
      <c r="AB51" s="89" t="s">
        <v>75</v>
      </c>
      <c r="AC51" s="120"/>
      <c r="AD51" s="89"/>
      <c r="AE51" s="89"/>
      <c r="AF51" s="89" t="s">
        <v>105</v>
      </c>
      <c r="AG51" s="89" t="s">
        <v>105</v>
      </c>
      <c r="AH51" s="99" t="s">
        <v>105</v>
      </c>
      <c r="AI51" s="99"/>
      <c r="AJ51" s="119" t="s">
        <v>91</v>
      </c>
      <c r="AK51" s="100"/>
      <c r="AL51" s="100" t="s">
        <v>64</v>
      </c>
      <c r="AM51" s="100" t="s">
        <v>102</v>
      </c>
      <c r="AN51" s="45" t="s">
        <v>65</v>
      </c>
      <c r="AO51" s="198" t="str">
        <f t="shared" si="0"/>
        <v>5/2026</v>
      </c>
      <c r="AP51" s="198">
        <f t="shared" si="1"/>
        <v>2</v>
      </c>
      <c r="AQ51" s="45" t="str">
        <f t="shared" si="2"/>
        <v>5/2026</v>
      </c>
      <c r="AR51" s="45">
        <f t="shared" si="3"/>
        <v>3</v>
      </c>
      <c r="AS51" s="45">
        <f t="shared" si="4"/>
        <v>0</v>
      </c>
      <c r="AT51" s="45">
        <f t="shared" si="5"/>
        <v>0</v>
      </c>
      <c r="AU51" s="45">
        <f t="shared" si="6"/>
        <v>0</v>
      </c>
      <c r="AV51" s="45">
        <f t="shared" si="8"/>
        <v>0</v>
      </c>
      <c r="AW51" s="45" t="str">
        <f>_xlfn.XLOOKUP(W51,'Lista Suspensa'!$AA$20:$AA$23,'Lista Suspensa'!$AB$20:$AB$23,"N/A")</f>
        <v>N/A</v>
      </c>
    </row>
    <row r="52" spans="1:49" ht="12" customHeight="1" x14ac:dyDescent="0.3">
      <c r="A52" s="87" t="s">
        <v>49</v>
      </c>
      <c r="B52" s="88">
        <v>46147</v>
      </c>
      <c r="C52" s="89" t="s">
        <v>50</v>
      </c>
      <c r="D52" s="89" t="s">
        <v>51</v>
      </c>
      <c r="E52" s="90">
        <v>85130289</v>
      </c>
      <c r="F52" s="91" t="s">
        <v>228</v>
      </c>
      <c r="G52" s="92">
        <v>47573252315</v>
      </c>
      <c r="H52" s="93">
        <v>25979</v>
      </c>
      <c r="I52" s="89">
        <v>55</v>
      </c>
      <c r="J52" s="89" t="s">
        <v>67</v>
      </c>
      <c r="K52" s="89" t="s">
        <v>54</v>
      </c>
      <c r="L52" s="89" t="s">
        <v>93</v>
      </c>
      <c r="M52" s="89"/>
      <c r="N52" s="89" t="s">
        <v>82</v>
      </c>
      <c r="O52" s="94" t="s">
        <v>229</v>
      </c>
      <c r="P52" s="95" t="s">
        <v>58</v>
      </c>
      <c r="Q52" s="144" t="s">
        <v>59</v>
      </c>
      <c r="R52" s="96">
        <v>46156</v>
      </c>
      <c r="S52" s="97"/>
      <c r="T52" s="97" t="s">
        <v>60</v>
      </c>
      <c r="U52" s="97" t="s">
        <v>61</v>
      </c>
      <c r="V52" s="93">
        <v>46156</v>
      </c>
      <c r="W52" s="93" t="s">
        <v>73</v>
      </c>
      <c r="X52" s="93" t="s">
        <v>73</v>
      </c>
      <c r="Y52" s="98"/>
      <c r="Z52" s="89" t="s">
        <v>62</v>
      </c>
      <c r="AA52" s="97">
        <v>46162</v>
      </c>
      <c r="AB52" s="89" t="s">
        <v>75</v>
      </c>
      <c r="AC52" s="120"/>
      <c r="AD52" s="89"/>
      <c r="AE52" s="89"/>
      <c r="AF52" s="89">
        <v>1.7</v>
      </c>
      <c r="AG52" s="89">
        <v>1.7</v>
      </c>
      <c r="AH52" s="99" t="s">
        <v>230</v>
      </c>
      <c r="AI52" s="99"/>
      <c r="AJ52" s="119" t="s">
        <v>91</v>
      </c>
      <c r="AK52" s="100"/>
      <c r="AL52" s="100" t="s">
        <v>64</v>
      </c>
      <c r="AM52" s="100" t="s">
        <v>102</v>
      </c>
      <c r="AN52" s="45" t="s">
        <v>65</v>
      </c>
      <c r="AO52" s="198" t="str">
        <f t="shared" si="0"/>
        <v>5/2026</v>
      </c>
      <c r="AP52" s="198">
        <f t="shared" si="1"/>
        <v>2</v>
      </c>
      <c r="AQ52" s="45" t="str">
        <f t="shared" si="2"/>
        <v>5/2026</v>
      </c>
      <c r="AR52" s="45">
        <f t="shared" si="3"/>
        <v>3</v>
      </c>
      <c r="AS52" s="45">
        <f t="shared" si="4"/>
        <v>0</v>
      </c>
      <c r="AT52" s="45">
        <f t="shared" si="5"/>
        <v>0</v>
      </c>
      <c r="AU52" s="45">
        <f t="shared" si="6"/>
        <v>0</v>
      </c>
      <c r="AV52" s="45">
        <f t="shared" si="8"/>
        <v>0</v>
      </c>
      <c r="AW52" s="45" t="str">
        <f>_xlfn.XLOOKUP(W52,'Lista Suspensa'!$AA$20:$AA$23,'Lista Suspensa'!$AB$20:$AB$23,"N/A")</f>
        <v>N/A</v>
      </c>
    </row>
    <row r="53" spans="1:49" ht="12" hidden="1" customHeight="1" x14ac:dyDescent="0.3">
      <c r="A53" s="87" t="s">
        <v>49</v>
      </c>
      <c r="B53" s="88">
        <v>46147</v>
      </c>
      <c r="C53" s="89" t="s">
        <v>50</v>
      </c>
      <c r="D53" s="89" t="s">
        <v>51</v>
      </c>
      <c r="E53" s="90">
        <v>84691196</v>
      </c>
      <c r="F53" s="91" t="s">
        <v>231</v>
      </c>
      <c r="G53" s="92">
        <v>49830899349</v>
      </c>
      <c r="H53" s="93">
        <v>26781</v>
      </c>
      <c r="I53" s="89">
        <v>53</v>
      </c>
      <c r="J53" s="89" t="s">
        <v>53</v>
      </c>
      <c r="K53" s="89" t="s">
        <v>54</v>
      </c>
      <c r="L53" s="89" t="s">
        <v>93</v>
      </c>
      <c r="M53" s="89"/>
      <c r="N53" s="89" t="s">
        <v>82</v>
      </c>
      <c r="O53" s="94" t="s">
        <v>232</v>
      </c>
      <c r="P53" s="95" t="s">
        <v>58</v>
      </c>
      <c r="Q53" s="144" t="s">
        <v>84</v>
      </c>
      <c r="R53" s="121">
        <v>46171</v>
      </c>
      <c r="S53" s="97">
        <v>46181</v>
      </c>
      <c r="T53" s="97" t="s">
        <v>60</v>
      </c>
      <c r="U53" s="97" t="s">
        <v>72</v>
      </c>
      <c r="V53" s="93">
        <v>46156</v>
      </c>
      <c r="W53" s="93">
        <v>46161</v>
      </c>
      <c r="X53" s="93">
        <v>46171</v>
      </c>
      <c r="Y53" s="98"/>
      <c r="Z53" s="89" t="s">
        <v>62</v>
      </c>
      <c r="AA53" s="97">
        <v>46181.5</v>
      </c>
      <c r="AB53" s="89" t="s">
        <v>75</v>
      </c>
      <c r="AC53" s="120" t="s">
        <v>63</v>
      </c>
      <c r="AD53" s="89"/>
      <c r="AE53" s="89"/>
      <c r="AF53" s="89"/>
      <c r="AG53" s="89"/>
      <c r="AH53" s="99"/>
      <c r="AI53" s="99"/>
      <c r="AJ53" s="99"/>
      <c r="AK53" s="100"/>
      <c r="AL53" s="100" t="s">
        <v>540</v>
      </c>
      <c r="AM53" s="100" t="s">
        <v>102</v>
      </c>
      <c r="AN53" s="45" t="s">
        <v>65</v>
      </c>
      <c r="AO53" s="198" t="str">
        <f t="shared" si="0"/>
        <v>5/2026</v>
      </c>
      <c r="AP53" s="198">
        <f t="shared" si="1"/>
        <v>2</v>
      </c>
      <c r="AQ53" s="45" t="str">
        <f t="shared" si="2"/>
        <v>5/2026</v>
      </c>
      <c r="AR53" s="45">
        <f t="shared" si="3"/>
        <v>5</v>
      </c>
      <c r="AS53" s="45">
        <f t="shared" si="4"/>
        <v>0</v>
      </c>
      <c r="AT53" s="45">
        <f t="shared" si="5"/>
        <v>0</v>
      </c>
      <c r="AU53" s="45">
        <f t="shared" si="6"/>
        <v>0</v>
      </c>
      <c r="AV53" s="45">
        <f t="shared" si="8"/>
        <v>0</v>
      </c>
      <c r="AW53" s="45" t="str">
        <f>_xlfn.XLOOKUP(W53,'Lista Suspensa'!$AA$20:$AA$23,'Lista Suspensa'!$AB$20:$AB$23,"N/A")</f>
        <v>N/A</v>
      </c>
    </row>
    <row r="54" spans="1:49" ht="12" customHeight="1" x14ac:dyDescent="0.3">
      <c r="A54" s="87" t="s">
        <v>49</v>
      </c>
      <c r="B54" s="88">
        <v>46147</v>
      </c>
      <c r="C54" s="89" t="s">
        <v>50</v>
      </c>
      <c r="D54" s="89" t="s">
        <v>51</v>
      </c>
      <c r="E54" s="90">
        <v>804086800</v>
      </c>
      <c r="F54" s="91" t="s">
        <v>233</v>
      </c>
      <c r="G54" s="92">
        <v>204957575</v>
      </c>
      <c r="H54" s="93">
        <v>30056</v>
      </c>
      <c r="I54" s="89">
        <v>44</v>
      </c>
      <c r="J54" s="89" t="s">
        <v>67</v>
      </c>
      <c r="K54" s="89" t="s">
        <v>54</v>
      </c>
      <c r="L54" s="89" t="s">
        <v>93</v>
      </c>
      <c r="M54" s="89"/>
      <c r="N54" s="89" t="s">
        <v>209</v>
      </c>
      <c r="O54" s="94" t="s">
        <v>234</v>
      </c>
      <c r="P54" s="95" t="s">
        <v>58</v>
      </c>
      <c r="Q54" s="144" t="s">
        <v>59</v>
      </c>
      <c r="R54" s="96">
        <v>46156</v>
      </c>
      <c r="S54" s="97"/>
      <c r="T54" s="97" t="s">
        <v>60</v>
      </c>
      <c r="U54" s="97" t="s">
        <v>61</v>
      </c>
      <c r="V54" s="93">
        <v>46156</v>
      </c>
      <c r="W54" s="93" t="s">
        <v>73</v>
      </c>
      <c r="X54" s="93" t="s">
        <v>73</v>
      </c>
      <c r="Y54" s="98"/>
      <c r="Z54" s="89" t="s">
        <v>62</v>
      </c>
      <c r="AA54" s="97">
        <v>46162</v>
      </c>
      <c r="AB54" s="89" t="s">
        <v>75</v>
      </c>
      <c r="AC54" s="120"/>
      <c r="AD54" s="89"/>
      <c r="AE54" s="89"/>
      <c r="AF54" s="89" t="s">
        <v>105</v>
      </c>
      <c r="AG54" s="89" t="s">
        <v>105</v>
      </c>
      <c r="AH54" s="99" t="s">
        <v>235</v>
      </c>
      <c r="AI54" s="99"/>
      <c r="AJ54" s="119" t="s">
        <v>91</v>
      </c>
      <c r="AK54" s="100"/>
      <c r="AL54" s="100" t="s">
        <v>64</v>
      </c>
      <c r="AM54" s="100" t="s">
        <v>102</v>
      </c>
      <c r="AN54" s="45" t="s">
        <v>65</v>
      </c>
      <c r="AO54" s="198" t="str">
        <f t="shared" si="0"/>
        <v>5/2026</v>
      </c>
      <c r="AP54" s="198">
        <f t="shared" si="1"/>
        <v>2</v>
      </c>
      <c r="AQ54" s="45" t="str">
        <f t="shared" si="2"/>
        <v>5/2026</v>
      </c>
      <c r="AR54" s="45">
        <f t="shared" si="3"/>
        <v>3</v>
      </c>
      <c r="AS54" s="45">
        <f t="shared" si="4"/>
        <v>0</v>
      </c>
      <c r="AT54" s="45">
        <f t="shared" si="5"/>
        <v>0</v>
      </c>
      <c r="AU54" s="45">
        <f t="shared" si="6"/>
        <v>0</v>
      </c>
      <c r="AV54" s="45">
        <f t="shared" si="8"/>
        <v>0</v>
      </c>
      <c r="AW54" s="45" t="str">
        <f>_xlfn.XLOOKUP(W54,'Lista Suspensa'!$AA$20:$AA$23,'Lista Suspensa'!$AB$20:$AB$23,"N/A")</f>
        <v>N/A</v>
      </c>
    </row>
    <row r="55" spans="1:49" ht="12" customHeight="1" x14ac:dyDescent="0.3">
      <c r="A55" s="87" t="s">
        <v>49</v>
      </c>
      <c r="B55" s="88">
        <v>46147</v>
      </c>
      <c r="C55" s="89" t="s">
        <v>50</v>
      </c>
      <c r="D55" s="89" t="s">
        <v>51</v>
      </c>
      <c r="E55" s="90">
        <v>95172835</v>
      </c>
      <c r="F55" s="91" t="s">
        <v>236</v>
      </c>
      <c r="G55" s="92">
        <v>40425490807</v>
      </c>
      <c r="H55" s="93">
        <v>33403</v>
      </c>
      <c r="I55" s="89">
        <v>34</v>
      </c>
      <c r="J55" s="89" t="s">
        <v>67</v>
      </c>
      <c r="K55" s="89" t="s">
        <v>54</v>
      </c>
      <c r="L55" s="89" t="s">
        <v>93</v>
      </c>
      <c r="M55" s="89"/>
      <c r="N55" s="89" t="s">
        <v>82</v>
      </c>
      <c r="O55" s="94" t="s">
        <v>237</v>
      </c>
      <c r="P55" s="95" t="s">
        <v>58</v>
      </c>
      <c r="Q55" s="144" t="s">
        <v>59</v>
      </c>
      <c r="R55" s="96">
        <v>46163</v>
      </c>
      <c r="S55" s="97"/>
      <c r="T55" s="97" t="s">
        <v>60</v>
      </c>
      <c r="U55" s="97" t="s">
        <v>61</v>
      </c>
      <c r="V55" s="93">
        <v>46156</v>
      </c>
      <c r="W55" s="93">
        <v>46161</v>
      </c>
      <c r="X55" s="93" t="s">
        <v>73</v>
      </c>
      <c r="Y55" s="98"/>
      <c r="Z55" s="89" t="s">
        <v>62</v>
      </c>
      <c r="AA55" s="97">
        <v>46171</v>
      </c>
      <c r="AB55" s="89" t="s">
        <v>142</v>
      </c>
      <c r="AC55" s="120"/>
      <c r="AD55" s="89"/>
      <c r="AE55" s="89"/>
      <c r="AF55" s="89"/>
      <c r="AG55" s="89"/>
      <c r="AH55" s="99"/>
      <c r="AI55" s="99"/>
      <c r="AJ55" s="99"/>
      <c r="AK55" s="100"/>
      <c r="AL55" s="100" t="s">
        <v>64</v>
      </c>
      <c r="AM55" s="100" t="s">
        <v>102</v>
      </c>
      <c r="AN55" s="45" t="s">
        <v>65</v>
      </c>
      <c r="AO55" s="198" t="str">
        <f t="shared" si="0"/>
        <v>5/2026</v>
      </c>
      <c r="AP55" s="198">
        <f t="shared" si="1"/>
        <v>2</v>
      </c>
      <c r="AQ55" s="45" t="str">
        <f t="shared" si="2"/>
        <v>5/2026</v>
      </c>
      <c r="AR55" s="45">
        <f t="shared" si="3"/>
        <v>4</v>
      </c>
      <c r="AS55" s="45">
        <f t="shared" si="4"/>
        <v>0</v>
      </c>
      <c r="AT55" s="45">
        <f t="shared" si="5"/>
        <v>0</v>
      </c>
      <c r="AU55" s="45">
        <f t="shared" si="6"/>
        <v>0</v>
      </c>
      <c r="AV55" s="45">
        <f t="shared" si="8"/>
        <v>0</v>
      </c>
      <c r="AW55" s="45" t="str">
        <f>_xlfn.XLOOKUP(W55,'Lista Suspensa'!$AA$20:$AA$23,'Lista Suspensa'!$AB$20:$AB$23,"N/A")</f>
        <v>N/A</v>
      </c>
    </row>
    <row r="56" spans="1:49" ht="12" customHeight="1" x14ac:dyDescent="0.3">
      <c r="A56" s="87" t="s">
        <v>49</v>
      </c>
      <c r="B56" s="88">
        <v>46147</v>
      </c>
      <c r="C56" s="89" t="s">
        <v>50</v>
      </c>
      <c r="D56" s="89" t="s">
        <v>51</v>
      </c>
      <c r="E56" s="90">
        <v>95737581</v>
      </c>
      <c r="F56" s="91" t="s">
        <v>238</v>
      </c>
      <c r="G56" s="92">
        <v>98645048787</v>
      </c>
      <c r="H56" s="93">
        <v>24228</v>
      </c>
      <c r="I56" s="89">
        <v>60</v>
      </c>
      <c r="J56" s="89" t="s">
        <v>67</v>
      </c>
      <c r="K56" s="89" t="s">
        <v>54</v>
      </c>
      <c r="L56" s="89" t="s">
        <v>93</v>
      </c>
      <c r="M56" s="89"/>
      <c r="N56" s="89" t="s">
        <v>82</v>
      </c>
      <c r="O56" s="94" t="s">
        <v>239</v>
      </c>
      <c r="P56" s="95" t="s">
        <v>58</v>
      </c>
      <c r="Q56" s="144" t="s">
        <v>59</v>
      </c>
      <c r="R56" s="96">
        <v>46156</v>
      </c>
      <c r="S56" s="97"/>
      <c r="T56" s="97" t="s">
        <v>60</v>
      </c>
      <c r="U56" s="97" t="s">
        <v>61</v>
      </c>
      <c r="V56" s="93">
        <v>46156</v>
      </c>
      <c r="W56" s="93">
        <v>46161</v>
      </c>
      <c r="X56" s="93">
        <v>46171</v>
      </c>
      <c r="Y56" s="98"/>
      <c r="Z56" s="89" t="s">
        <v>62</v>
      </c>
      <c r="AA56" s="97">
        <v>46169</v>
      </c>
      <c r="AB56" s="89" t="s">
        <v>75</v>
      </c>
      <c r="AC56" s="120"/>
      <c r="AD56" s="89"/>
      <c r="AE56" s="89"/>
      <c r="AF56" s="89" t="s">
        <v>105</v>
      </c>
      <c r="AG56" s="89" t="s">
        <v>105</v>
      </c>
      <c r="AH56" s="99" t="s">
        <v>240</v>
      </c>
      <c r="AI56" s="99"/>
      <c r="AJ56" s="119" t="s">
        <v>91</v>
      </c>
      <c r="AK56" s="100"/>
      <c r="AL56" s="100" t="s">
        <v>64</v>
      </c>
      <c r="AM56" s="100" t="s">
        <v>102</v>
      </c>
      <c r="AN56" s="45" t="s">
        <v>65</v>
      </c>
      <c r="AO56" s="198" t="str">
        <f t="shared" si="0"/>
        <v>5/2026</v>
      </c>
      <c r="AP56" s="198">
        <f t="shared" si="1"/>
        <v>2</v>
      </c>
      <c r="AQ56" s="45" t="str">
        <f t="shared" si="2"/>
        <v>5/2026</v>
      </c>
      <c r="AR56" s="45">
        <f t="shared" si="3"/>
        <v>3</v>
      </c>
      <c r="AS56" s="45">
        <f t="shared" si="4"/>
        <v>0</v>
      </c>
      <c r="AT56" s="45">
        <f t="shared" si="5"/>
        <v>0</v>
      </c>
      <c r="AU56" s="45">
        <f t="shared" si="6"/>
        <v>0</v>
      </c>
      <c r="AV56" s="45">
        <f t="shared" si="8"/>
        <v>0</v>
      </c>
      <c r="AW56" s="45" t="str">
        <f>_xlfn.XLOOKUP(W56,'Lista Suspensa'!$AA$20:$AA$23,'Lista Suspensa'!$AB$20:$AB$23,"N/A")</f>
        <v>N/A</v>
      </c>
    </row>
    <row r="57" spans="1:49" ht="12" customHeight="1" x14ac:dyDescent="0.3">
      <c r="A57" s="87" t="s">
        <v>49</v>
      </c>
      <c r="B57" s="88">
        <v>46147</v>
      </c>
      <c r="C57" s="89" t="s">
        <v>50</v>
      </c>
      <c r="D57" s="89" t="s">
        <v>51</v>
      </c>
      <c r="E57" s="90">
        <v>800434536</v>
      </c>
      <c r="F57" s="91" t="s">
        <v>241</v>
      </c>
      <c r="G57" s="92">
        <v>779320808</v>
      </c>
      <c r="H57" s="93">
        <v>20658</v>
      </c>
      <c r="I57" s="89">
        <v>69</v>
      </c>
      <c r="J57" s="89" t="s">
        <v>67</v>
      </c>
      <c r="K57" s="89" t="s">
        <v>54</v>
      </c>
      <c r="L57" s="89" t="s">
        <v>93</v>
      </c>
      <c r="M57" s="89"/>
      <c r="N57" s="89" t="s">
        <v>108</v>
      </c>
      <c r="O57" s="94" t="s">
        <v>242</v>
      </c>
      <c r="P57" s="95" t="s">
        <v>58</v>
      </c>
      <c r="Q57" s="144" t="s">
        <v>59</v>
      </c>
      <c r="R57" s="96">
        <v>46156</v>
      </c>
      <c r="S57" s="97"/>
      <c r="T57" s="97" t="s">
        <v>60</v>
      </c>
      <c r="U57" s="97" t="s">
        <v>61</v>
      </c>
      <c r="V57" s="93">
        <v>46156</v>
      </c>
      <c r="W57" s="93" t="s">
        <v>73</v>
      </c>
      <c r="X57" s="93" t="s">
        <v>73</v>
      </c>
      <c r="Y57" s="98"/>
      <c r="Z57" s="89" t="s">
        <v>62</v>
      </c>
      <c r="AA57" s="97">
        <v>46162</v>
      </c>
      <c r="AB57" s="89" t="s">
        <v>75</v>
      </c>
      <c r="AC57" s="120"/>
      <c r="AD57" s="89"/>
      <c r="AE57" s="89"/>
      <c r="AF57" s="89">
        <v>2.6</v>
      </c>
      <c r="AG57" s="89">
        <v>2.6</v>
      </c>
      <c r="AH57" s="99" t="s">
        <v>235</v>
      </c>
      <c r="AI57" s="99"/>
      <c r="AJ57" s="119" t="s">
        <v>91</v>
      </c>
      <c r="AK57" s="100"/>
      <c r="AL57" s="100" t="s">
        <v>64</v>
      </c>
      <c r="AM57" s="100" t="s">
        <v>102</v>
      </c>
      <c r="AN57" s="45" t="s">
        <v>65</v>
      </c>
      <c r="AO57" s="198" t="str">
        <f t="shared" si="0"/>
        <v>5/2026</v>
      </c>
      <c r="AP57" s="198">
        <f t="shared" si="1"/>
        <v>2</v>
      </c>
      <c r="AQ57" s="45" t="str">
        <f t="shared" si="2"/>
        <v>5/2026</v>
      </c>
      <c r="AR57" s="45">
        <f t="shared" si="3"/>
        <v>3</v>
      </c>
      <c r="AS57" s="45">
        <f t="shared" si="4"/>
        <v>0</v>
      </c>
      <c r="AT57" s="45">
        <f t="shared" si="5"/>
        <v>0</v>
      </c>
      <c r="AU57" s="45">
        <f t="shared" si="6"/>
        <v>0</v>
      </c>
      <c r="AV57" s="45">
        <f t="shared" si="8"/>
        <v>0</v>
      </c>
      <c r="AW57" s="45" t="str">
        <f>_xlfn.XLOOKUP(W57,'Lista Suspensa'!$AA$20:$AA$23,'Lista Suspensa'!$AB$20:$AB$23,"N/A")</f>
        <v>N/A</v>
      </c>
    </row>
    <row r="58" spans="1:49" ht="12" customHeight="1" x14ac:dyDescent="0.3">
      <c r="A58" s="87" t="s">
        <v>102</v>
      </c>
      <c r="B58" s="88">
        <v>46147</v>
      </c>
      <c r="C58" s="89" t="s">
        <v>50</v>
      </c>
      <c r="D58" s="89" t="s">
        <v>51</v>
      </c>
      <c r="E58" s="90">
        <v>95977523</v>
      </c>
      <c r="F58" s="91" t="s">
        <v>243</v>
      </c>
      <c r="G58" s="92">
        <v>35968571802</v>
      </c>
      <c r="H58" s="93">
        <v>32412</v>
      </c>
      <c r="I58" s="89">
        <v>37</v>
      </c>
      <c r="J58" s="89" t="s">
        <v>53</v>
      </c>
      <c r="K58" s="89" t="s">
        <v>54</v>
      </c>
      <c r="L58" s="89" t="s">
        <v>93</v>
      </c>
      <c r="M58" s="89"/>
      <c r="N58" s="89" t="s">
        <v>113</v>
      </c>
      <c r="O58" s="94" t="s">
        <v>244</v>
      </c>
      <c r="P58" s="95" t="s">
        <v>58</v>
      </c>
      <c r="Q58" s="144" t="s">
        <v>59</v>
      </c>
      <c r="R58" s="96">
        <v>46153</v>
      </c>
      <c r="S58" s="97"/>
      <c r="T58" s="97" t="s">
        <v>60</v>
      </c>
      <c r="U58" s="97" t="s">
        <v>61</v>
      </c>
      <c r="V58" s="93">
        <v>46148</v>
      </c>
      <c r="W58" s="93">
        <v>46153</v>
      </c>
      <c r="X58" s="93" t="s">
        <v>73</v>
      </c>
      <c r="Y58" s="98"/>
      <c r="Z58" s="89" t="s">
        <v>62</v>
      </c>
      <c r="AA58" s="97">
        <v>46157</v>
      </c>
      <c r="AB58" s="89" t="s">
        <v>75</v>
      </c>
      <c r="AC58" s="120"/>
      <c r="AD58" s="89"/>
      <c r="AE58" s="89"/>
      <c r="AF58" s="89">
        <v>2.4</v>
      </c>
      <c r="AG58" s="89">
        <v>2.4</v>
      </c>
      <c r="AH58" s="99"/>
      <c r="AI58" s="99"/>
      <c r="AJ58" s="119" t="s">
        <v>91</v>
      </c>
      <c r="AK58" s="100"/>
      <c r="AL58" s="100" t="s">
        <v>64</v>
      </c>
      <c r="AM58" s="100" t="s">
        <v>102</v>
      </c>
      <c r="AN58" s="45" t="s">
        <v>65</v>
      </c>
      <c r="AO58" s="198" t="str">
        <f t="shared" si="0"/>
        <v>5/2026</v>
      </c>
      <c r="AP58" s="198">
        <f t="shared" si="1"/>
        <v>2</v>
      </c>
      <c r="AQ58" s="45" t="str">
        <f t="shared" si="2"/>
        <v>5/2026</v>
      </c>
      <c r="AR58" s="45">
        <f t="shared" si="3"/>
        <v>3</v>
      </c>
      <c r="AS58" s="45">
        <f t="shared" si="4"/>
        <v>0</v>
      </c>
      <c r="AT58" s="45">
        <f t="shared" si="5"/>
        <v>0</v>
      </c>
      <c r="AU58" s="45">
        <f t="shared" si="6"/>
        <v>0</v>
      </c>
      <c r="AV58" s="45">
        <f t="shared" si="8"/>
        <v>0</v>
      </c>
      <c r="AW58" s="45" t="str">
        <f>_xlfn.XLOOKUP(W58,'Lista Suspensa'!$AA$20:$AA$23,'Lista Suspensa'!$AB$20:$AB$23,"N/A")</f>
        <v>N/A</v>
      </c>
    </row>
    <row r="59" spans="1:49" ht="12" customHeight="1" x14ac:dyDescent="0.3">
      <c r="A59" s="87" t="s">
        <v>102</v>
      </c>
      <c r="B59" s="88">
        <v>46147</v>
      </c>
      <c r="C59" s="89" t="s">
        <v>50</v>
      </c>
      <c r="D59" s="89" t="s">
        <v>51</v>
      </c>
      <c r="E59" s="90">
        <v>92886196</v>
      </c>
      <c r="F59" s="91" t="s">
        <v>245</v>
      </c>
      <c r="G59" s="92">
        <v>43146599805</v>
      </c>
      <c r="H59" s="93">
        <v>34407</v>
      </c>
      <c r="I59" s="89">
        <v>32</v>
      </c>
      <c r="J59" s="89" t="s">
        <v>53</v>
      </c>
      <c r="K59" s="89" t="s">
        <v>54</v>
      </c>
      <c r="L59" s="89" t="s">
        <v>93</v>
      </c>
      <c r="M59" s="89"/>
      <c r="N59" s="89" t="s">
        <v>87</v>
      </c>
      <c r="O59" s="94" t="s">
        <v>246</v>
      </c>
      <c r="P59" s="95" t="s">
        <v>58</v>
      </c>
      <c r="Q59" s="144" t="s">
        <v>59</v>
      </c>
      <c r="R59" s="96">
        <v>46148</v>
      </c>
      <c r="S59" s="97"/>
      <c r="T59" s="97" t="s">
        <v>60</v>
      </c>
      <c r="U59" s="97" t="s">
        <v>61</v>
      </c>
      <c r="V59" s="93">
        <v>46148</v>
      </c>
      <c r="W59" s="93" t="s">
        <v>73</v>
      </c>
      <c r="X59" s="93" t="s">
        <v>73</v>
      </c>
      <c r="Y59" s="98"/>
      <c r="Z59" s="89" t="s">
        <v>62</v>
      </c>
      <c r="AA59" s="97">
        <v>46155</v>
      </c>
      <c r="AB59" s="89" t="s">
        <v>75</v>
      </c>
      <c r="AC59" s="120"/>
      <c r="AD59" s="89"/>
      <c r="AE59" s="89"/>
      <c r="AF59" s="89">
        <v>5.8</v>
      </c>
      <c r="AG59" s="89">
        <v>5.8</v>
      </c>
      <c r="AH59" s="99" t="s">
        <v>247</v>
      </c>
      <c r="AI59" s="99"/>
      <c r="AJ59" s="119" t="s">
        <v>91</v>
      </c>
      <c r="AK59" s="100"/>
      <c r="AL59" s="100" t="s">
        <v>64</v>
      </c>
      <c r="AM59" s="100" t="s">
        <v>102</v>
      </c>
      <c r="AN59" s="45" t="s">
        <v>65</v>
      </c>
      <c r="AO59" s="198" t="str">
        <f t="shared" si="0"/>
        <v>5/2026</v>
      </c>
      <c r="AP59" s="198">
        <f t="shared" si="1"/>
        <v>2</v>
      </c>
      <c r="AQ59" s="45" t="str">
        <f t="shared" si="2"/>
        <v>5/2026</v>
      </c>
      <c r="AR59" s="45">
        <f t="shared" si="3"/>
        <v>2</v>
      </c>
      <c r="AS59" s="45">
        <f t="shared" si="4"/>
        <v>0</v>
      </c>
      <c r="AT59" s="45">
        <f t="shared" si="5"/>
        <v>0</v>
      </c>
      <c r="AU59" s="45">
        <f t="shared" si="6"/>
        <v>0</v>
      </c>
      <c r="AV59" s="45">
        <f t="shared" si="8"/>
        <v>0</v>
      </c>
      <c r="AW59" s="45" t="str">
        <f>_xlfn.XLOOKUP(W59,'Lista Suspensa'!$AA$20:$AA$23,'Lista Suspensa'!$AB$20:$AB$23,"N/A")</f>
        <v>N/A</v>
      </c>
    </row>
    <row r="60" spans="1:49" ht="12" customHeight="1" x14ac:dyDescent="0.3">
      <c r="A60" s="87" t="s">
        <v>49</v>
      </c>
      <c r="B60" s="88">
        <v>46147</v>
      </c>
      <c r="C60" s="89" t="s">
        <v>50</v>
      </c>
      <c r="D60" s="89" t="s">
        <v>51</v>
      </c>
      <c r="E60" s="90">
        <v>85096905</v>
      </c>
      <c r="F60" s="91" t="s">
        <v>248</v>
      </c>
      <c r="G60" s="92">
        <v>1316755835</v>
      </c>
      <c r="H60" s="93">
        <v>22134</v>
      </c>
      <c r="I60" s="89">
        <v>65</v>
      </c>
      <c r="J60" s="89" t="s">
        <v>53</v>
      </c>
      <c r="K60" s="89" t="s">
        <v>54</v>
      </c>
      <c r="L60" s="89" t="s">
        <v>93</v>
      </c>
      <c r="M60" s="89"/>
      <c r="N60" s="89" t="s">
        <v>82</v>
      </c>
      <c r="O60" s="94" t="s">
        <v>249</v>
      </c>
      <c r="P60" s="95" t="s">
        <v>58</v>
      </c>
      <c r="Q60" s="144" t="s">
        <v>59</v>
      </c>
      <c r="R60" s="96">
        <v>46156</v>
      </c>
      <c r="S60" s="97"/>
      <c r="T60" s="97" t="s">
        <v>60</v>
      </c>
      <c r="U60" s="97" t="s">
        <v>61</v>
      </c>
      <c r="V60" s="93">
        <v>46156</v>
      </c>
      <c r="W60" s="93" t="s">
        <v>73</v>
      </c>
      <c r="X60" s="93" t="s">
        <v>73</v>
      </c>
      <c r="Y60" s="98"/>
      <c r="Z60" s="89" t="s">
        <v>62</v>
      </c>
      <c r="AA60" s="97">
        <v>46164</v>
      </c>
      <c r="AB60" s="89" t="s">
        <v>142</v>
      </c>
      <c r="AC60" s="120"/>
      <c r="AD60" s="89"/>
      <c r="AE60" s="89"/>
      <c r="AF60" s="89" t="s">
        <v>105</v>
      </c>
      <c r="AG60" s="89" t="s">
        <v>105</v>
      </c>
      <c r="AH60" s="99" t="s">
        <v>250</v>
      </c>
      <c r="AI60" s="99"/>
      <c r="AJ60" s="119" t="s">
        <v>91</v>
      </c>
      <c r="AK60" s="100"/>
      <c r="AL60" s="100" t="s">
        <v>64</v>
      </c>
      <c r="AM60" s="100" t="s">
        <v>102</v>
      </c>
      <c r="AN60" s="45" t="s">
        <v>65</v>
      </c>
      <c r="AO60" s="198" t="str">
        <f t="shared" si="0"/>
        <v>5/2026</v>
      </c>
      <c r="AP60" s="198">
        <f t="shared" si="1"/>
        <v>2</v>
      </c>
      <c r="AQ60" s="45" t="str">
        <f t="shared" si="2"/>
        <v>5/2026</v>
      </c>
      <c r="AR60" s="45">
        <f t="shared" si="3"/>
        <v>3</v>
      </c>
      <c r="AS60" s="45">
        <f t="shared" si="4"/>
        <v>0</v>
      </c>
      <c r="AT60" s="45">
        <f t="shared" si="5"/>
        <v>0</v>
      </c>
      <c r="AU60" s="45">
        <f t="shared" si="6"/>
        <v>0</v>
      </c>
      <c r="AV60" s="45">
        <f t="shared" si="8"/>
        <v>0</v>
      </c>
      <c r="AW60" s="45" t="str">
        <f>_xlfn.XLOOKUP(W60,'Lista Suspensa'!$AA$20:$AA$23,'Lista Suspensa'!$AB$20:$AB$23,"N/A")</f>
        <v>N/A</v>
      </c>
    </row>
    <row r="61" spans="1:49" ht="12" customHeight="1" x14ac:dyDescent="0.3">
      <c r="A61" s="87" t="s">
        <v>49</v>
      </c>
      <c r="B61" s="88">
        <v>46147</v>
      </c>
      <c r="C61" s="89" t="s">
        <v>50</v>
      </c>
      <c r="D61" s="89" t="s">
        <v>51</v>
      </c>
      <c r="E61" s="90">
        <v>81246273</v>
      </c>
      <c r="F61" s="91" t="s">
        <v>251</v>
      </c>
      <c r="G61" s="92">
        <v>29971554879</v>
      </c>
      <c r="H61" s="93">
        <v>30083</v>
      </c>
      <c r="I61" s="89">
        <v>44</v>
      </c>
      <c r="J61" s="89" t="s">
        <v>67</v>
      </c>
      <c r="K61" s="89" t="s">
        <v>54</v>
      </c>
      <c r="L61" s="89" t="s">
        <v>93</v>
      </c>
      <c r="M61" s="89"/>
      <c r="N61" s="89" t="s">
        <v>175</v>
      </c>
      <c r="O61" s="94" t="s">
        <v>252</v>
      </c>
      <c r="P61" s="95" t="s">
        <v>58</v>
      </c>
      <c r="Q61" s="144" t="s">
        <v>59</v>
      </c>
      <c r="R61" s="96">
        <v>46156</v>
      </c>
      <c r="S61" s="97"/>
      <c r="T61" s="97" t="s">
        <v>60</v>
      </c>
      <c r="U61" s="97" t="s">
        <v>61</v>
      </c>
      <c r="V61" s="93">
        <v>46156</v>
      </c>
      <c r="W61" s="93" t="s">
        <v>73</v>
      </c>
      <c r="X61" s="93" t="s">
        <v>73</v>
      </c>
      <c r="Y61" s="98"/>
      <c r="Z61" s="89" t="s">
        <v>62</v>
      </c>
      <c r="AA61" s="97">
        <v>46164</v>
      </c>
      <c r="AB61" s="89" t="s">
        <v>75</v>
      </c>
      <c r="AC61" s="120"/>
      <c r="AD61" s="89"/>
      <c r="AE61" s="89"/>
      <c r="AF61" s="89">
        <v>2.44</v>
      </c>
      <c r="AG61" s="89">
        <v>2.44</v>
      </c>
      <c r="AH61" s="99" t="s">
        <v>253</v>
      </c>
      <c r="AI61" s="99"/>
      <c r="AJ61" s="119" t="s">
        <v>91</v>
      </c>
      <c r="AK61" s="100"/>
      <c r="AL61" s="100" t="s">
        <v>64</v>
      </c>
      <c r="AM61" s="100" t="s">
        <v>102</v>
      </c>
      <c r="AN61" s="45" t="s">
        <v>65</v>
      </c>
      <c r="AO61" s="198" t="str">
        <f t="shared" si="0"/>
        <v>5/2026</v>
      </c>
      <c r="AP61" s="198">
        <f t="shared" si="1"/>
        <v>2</v>
      </c>
      <c r="AQ61" s="45" t="str">
        <f t="shared" si="2"/>
        <v>5/2026</v>
      </c>
      <c r="AR61" s="45">
        <f t="shared" si="3"/>
        <v>3</v>
      </c>
      <c r="AS61" s="45">
        <f t="shared" si="4"/>
        <v>0</v>
      </c>
      <c r="AT61" s="45">
        <f t="shared" si="5"/>
        <v>0</v>
      </c>
      <c r="AU61" s="45">
        <f t="shared" si="6"/>
        <v>0</v>
      </c>
      <c r="AV61" s="45">
        <f t="shared" si="8"/>
        <v>0</v>
      </c>
      <c r="AW61" s="45" t="str">
        <f>_xlfn.XLOOKUP(W61,'Lista Suspensa'!$AA$20:$AA$23,'Lista Suspensa'!$AB$20:$AB$23,"N/A")</f>
        <v>N/A</v>
      </c>
    </row>
    <row r="62" spans="1:49" ht="12" customHeight="1" x14ac:dyDescent="0.3">
      <c r="A62" s="87" t="s">
        <v>49</v>
      </c>
      <c r="B62" s="88">
        <v>46147</v>
      </c>
      <c r="C62" s="89" t="s">
        <v>50</v>
      </c>
      <c r="D62" s="89" t="s">
        <v>51</v>
      </c>
      <c r="E62" s="90">
        <v>301581622</v>
      </c>
      <c r="F62" s="91" t="s">
        <v>254</v>
      </c>
      <c r="G62" s="92">
        <v>11087169895</v>
      </c>
      <c r="H62" s="93">
        <v>16425</v>
      </c>
      <c r="I62" s="89">
        <v>81</v>
      </c>
      <c r="J62" s="89" t="s">
        <v>67</v>
      </c>
      <c r="K62" s="89" t="s">
        <v>54</v>
      </c>
      <c r="L62" s="89" t="s">
        <v>93</v>
      </c>
      <c r="M62" s="89"/>
      <c r="N62" s="89" t="s">
        <v>196</v>
      </c>
      <c r="O62" s="94">
        <v>11991975349</v>
      </c>
      <c r="P62" s="95" t="s">
        <v>58</v>
      </c>
      <c r="Q62" s="144" t="s">
        <v>59</v>
      </c>
      <c r="R62" s="96">
        <v>46156</v>
      </c>
      <c r="S62" s="97"/>
      <c r="T62" s="97" t="s">
        <v>60</v>
      </c>
      <c r="U62" s="97" t="s">
        <v>61</v>
      </c>
      <c r="V62" s="93">
        <v>46156</v>
      </c>
      <c r="W62" s="93" t="s">
        <v>73</v>
      </c>
      <c r="X62" s="93" t="s">
        <v>73</v>
      </c>
      <c r="Y62" s="98"/>
      <c r="Z62" s="89" t="s">
        <v>62</v>
      </c>
      <c r="AA62" s="97">
        <v>46164</v>
      </c>
      <c r="AB62" s="89" t="s">
        <v>142</v>
      </c>
      <c r="AC62" s="120"/>
      <c r="AD62" s="89"/>
      <c r="AE62" s="89"/>
      <c r="AF62" s="89"/>
      <c r="AG62" s="89"/>
      <c r="AH62" s="99"/>
      <c r="AI62" s="99"/>
      <c r="AJ62" s="99" t="s">
        <v>91</v>
      </c>
      <c r="AK62" s="100"/>
      <c r="AL62" s="100" t="s">
        <v>64</v>
      </c>
      <c r="AM62" s="100" t="s">
        <v>102</v>
      </c>
      <c r="AN62" s="45" t="s">
        <v>65</v>
      </c>
      <c r="AO62" s="198" t="str">
        <f t="shared" si="0"/>
        <v>5/2026</v>
      </c>
      <c r="AP62" s="198">
        <f t="shared" si="1"/>
        <v>2</v>
      </c>
      <c r="AQ62" s="45" t="str">
        <f t="shared" si="2"/>
        <v>5/2026</v>
      </c>
      <c r="AR62" s="45">
        <f t="shared" si="3"/>
        <v>3</v>
      </c>
      <c r="AS62" s="45">
        <f t="shared" si="4"/>
        <v>0</v>
      </c>
      <c r="AT62" s="45">
        <f t="shared" si="5"/>
        <v>0</v>
      </c>
      <c r="AU62" s="45">
        <f t="shared" si="6"/>
        <v>0</v>
      </c>
      <c r="AV62" s="45">
        <f t="shared" si="8"/>
        <v>0</v>
      </c>
      <c r="AW62" s="45" t="str">
        <f>_xlfn.XLOOKUP(W62,'Lista Suspensa'!$AA$20:$AA$23,'Lista Suspensa'!$AB$20:$AB$23,"N/A")</f>
        <v>N/A</v>
      </c>
    </row>
    <row r="63" spans="1:49" ht="12" customHeight="1" x14ac:dyDescent="0.3">
      <c r="A63" s="87" t="s">
        <v>49</v>
      </c>
      <c r="B63" s="88">
        <v>46147</v>
      </c>
      <c r="C63" s="89" t="s">
        <v>50</v>
      </c>
      <c r="D63" s="89" t="s">
        <v>51</v>
      </c>
      <c r="E63" s="90">
        <v>94130776</v>
      </c>
      <c r="F63" s="91" t="s">
        <v>255</v>
      </c>
      <c r="G63" s="92">
        <v>16468749867</v>
      </c>
      <c r="H63" s="93">
        <v>27318</v>
      </c>
      <c r="I63" s="89">
        <v>51</v>
      </c>
      <c r="J63" s="89" t="s">
        <v>53</v>
      </c>
      <c r="K63" s="89" t="s">
        <v>54</v>
      </c>
      <c r="L63" s="89" t="s">
        <v>93</v>
      </c>
      <c r="M63" s="89"/>
      <c r="N63" s="89" t="s">
        <v>82</v>
      </c>
      <c r="O63" s="94" t="s">
        <v>256</v>
      </c>
      <c r="P63" s="95" t="s">
        <v>58</v>
      </c>
      <c r="Q63" s="144" t="s">
        <v>59</v>
      </c>
      <c r="R63" s="96">
        <v>46156</v>
      </c>
      <c r="S63" s="97"/>
      <c r="T63" s="97" t="s">
        <v>60</v>
      </c>
      <c r="U63" s="97" t="s">
        <v>61</v>
      </c>
      <c r="V63" s="93">
        <v>46156</v>
      </c>
      <c r="W63" s="93" t="s">
        <v>73</v>
      </c>
      <c r="X63" s="93" t="s">
        <v>73</v>
      </c>
      <c r="Y63" s="98"/>
      <c r="Z63" s="89" t="s">
        <v>62</v>
      </c>
      <c r="AA63" s="97">
        <v>46164</v>
      </c>
      <c r="AB63" s="89" t="s">
        <v>75</v>
      </c>
      <c r="AC63" s="120"/>
      <c r="AD63" s="89"/>
      <c r="AE63" s="89"/>
      <c r="AF63" s="89">
        <v>3.13</v>
      </c>
      <c r="AG63" s="89">
        <v>3.13</v>
      </c>
      <c r="AH63" s="99" t="s">
        <v>105</v>
      </c>
      <c r="AI63" s="99"/>
      <c r="AJ63" s="119" t="s">
        <v>91</v>
      </c>
      <c r="AK63" s="100"/>
      <c r="AL63" s="100" t="s">
        <v>64</v>
      </c>
      <c r="AM63" s="100" t="s">
        <v>102</v>
      </c>
      <c r="AN63" s="45" t="s">
        <v>65</v>
      </c>
      <c r="AO63" s="198" t="str">
        <f t="shared" si="0"/>
        <v>5/2026</v>
      </c>
      <c r="AP63" s="198">
        <f t="shared" si="1"/>
        <v>2</v>
      </c>
      <c r="AQ63" s="45" t="str">
        <f t="shared" si="2"/>
        <v>5/2026</v>
      </c>
      <c r="AR63" s="45">
        <f t="shared" si="3"/>
        <v>3</v>
      </c>
      <c r="AS63" s="45">
        <f t="shared" si="4"/>
        <v>0</v>
      </c>
      <c r="AT63" s="45">
        <f t="shared" si="5"/>
        <v>0</v>
      </c>
      <c r="AU63" s="45">
        <f t="shared" si="6"/>
        <v>0</v>
      </c>
      <c r="AV63" s="45">
        <f t="shared" si="8"/>
        <v>0</v>
      </c>
      <c r="AW63" s="45" t="str">
        <f>_xlfn.XLOOKUP(W63,'Lista Suspensa'!$AA$20:$AA$23,'Lista Suspensa'!$AB$20:$AB$23,"N/A")</f>
        <v>N/A</v>
      </c>
    </row>
    <row r="64" spans="1:49" ht="12" customHeight="1" x14ac:dyDescent="0.3">
      <c r="A64" s="87" t="s">
        <v>102</v>
      </c>
      <c r="B64" s="88">
        <v>46147</v>
      </c>
      <c r="C64" s="89" t="s">
        <v>50</v>
      </c>
      <c r="D64" s="89" t="s">
        <v>51</v>
      </c>
      <c r="E64" s="90">
        <v>94578567</v>
      </c>
      <c r="F64" s="91" t="s">
        <v>257</v>
      </c>
      <c r="G64" s="92">
        <v>10619504846</v>
      </c>
      <c r="H64" s="93">
        <v>25071</v>
      </c>
      <c r="I64" s="89">
        <v>57</v>
      </c>
      <c r="J64" s="89" t="s">
        <v>53</v>
      </c>
      <c r="K64" s="89" t="s">
        <v>54</v>
      </c>
      <c r="L64" s="89" t="s">
        <v>93</v>
      </c>
      <c r="M64" s="89"/>
      <c r="N64" s="89" t="s">
        <v>82</v>
      </c>
      <c r="O64" s="94">
        <v>11991658165</v>
      </c>
      <c r="P64" s="95" t="s">
        <v>58</v>
      </c>
      <c r="Q64" s="144" t="s">
        <v>59</v>
      </c>
      <c r="R64" s="96">
        <v>46161</v>
      </c>
      <c r="S64" s="97"/>
      <c r="T64" s="97" t="s">
        <v>60</v>
      </c>
      <c r="U64" s="97" t="s">
        <v>61</v>
      </c>
      <c r="V64" s="93">
        <v>46148</v>
      </c>
      <c r="W64" s="93" t="s">
        <v>73</v>
      </c>
      <c r="X64" s="93" t="s">
        <v>73</v>
      </c>
      <c r="Y64" s="98"/>
      <c r="Z64" s="89" t="s">
        <v>62</v>
      </c>
      <c r="AA64" s="97">
        <v>46164</v>
      </c>
      <c r="AB64" s="89" t="s">
        <v>75</v>
      </c>
      <c r="AC64" s="120"/>
      <c r="AD64" s="89"/>
      <c r="AE64" s="89"/>
      <c r="AF64" s="89">
        <v>2.4</v>
      </c>
      <c r="AG64" s="89">
        <v>2.4</v>
      </c>
      <c r="AH64" s="99" t="s">
        <v>258</v>
      </c>
      <c r="AI64" s="99" t="s">
        <v>258</v>
      </c>
      <c r="AJ64" s="119" t="s">
        <v>91</v>
      </c>
      <c r="AK64" s="100"/>
      <c r="AL64" s="100" t="s">
        <v>64</v>
      </c>
      <c r="AM64" s="100" t="s">
        <v>102</v>
      </c>
      <c r="AN64" s="45" t="s">
        <v>65</v>
      </c>
      <c r="AO64" s="198" t="str">
        <f t="shared" si="0"/>
        <v>5/2026</v>
      </c>
      <c r="AP64" s="198">
        <f t="shared" si="1"/>
        <v>2</v>
      </c>
      <c r="AQ64" s="45" t="str">
        <f t="shared" si="2"/>
        <v>5/2026</v>
      </c>
      <c r="AR64" s="45">
        <f t="shared" si="3"/>
        <v>4</v>
      </c>
      <c r="AS64" s="45">
        <f t="shared" si="4"/>
        <v>0</v>
      </c>
      <c r="AT64" s="45">
        <f t="shared" si="5"/>
        <v>0</v>
      </c>
      <c r="AU64" s="45">
        <f t="shared" si="6"/>
        <v>0</v>
      </c>
      <c r="AV64" s="45">
        <f t="shared" si="8"/>
        <v>0</v>
      </c>
      <c r="AW64" s="45" t="str">
        <f>_xlfn.XLOOKUP(W64,'Lista Suspensa'!$AA$20:$AA$23,'Lista Suspensa'!$AB$20:$AB$23,"N/A")</f>
        <v>N/A</v>
      </c>
    </row>
    <row r="65" spans="1:49" ht="12" customHeight="1" x14ac:dyDescent="0.3">
      <c r="A65" s="87" t="s">
        <v>49</v>
      </c>
      <c r="B65" s="88">
        <v>46147</v>
      </c>
      <c r="C65" s="89" t="s">
        <v>50</v>
      </c>
      <c r="D65" s="89" t="s">
        <v>51</v>
      </c>
      <c r="E65" s="90">
        <v>81654902</v>
      </c>
      <c r="F65" s="91" t="s">
        <v>259</v>
      </c>
      <c r="G65" s="92">
        <v>12970002850</v>
      </c>
      <c r="H65" s="93">
        <v>25946</v>
      </c>
      <c r="I65" s="89">
        <v>55</v>
      </c>
      <c r="J65" s="89" t="s">
        <v>67</v>
      </c>
      <c r="K65" s="89" t="s">
        <v>54</v>
      </c>
      <c r="L65" s="89" t="s">
        <v>93</v>
      </c>
      <c r="M65" s="89"/>
      <c r="N65" s="89" t="s">
        <v>175</v>
      </c>
      <c r="O65" s="94" t="s">
        <v>260</v>
      </c>
      <c r="P65" s="95" t="s">
        <v>58</v>
      </c>
      <c r="Q65" s="144" t="s">
        <v>59</v>
      </c>
      <c r="R65" s="96">
        <v>46161</v>
      </c>
      <c r="S65" s="97"/>
      <c r="T65" s="97" t="s">
        <v>60</v>
      </c>
      <c r="U65" s="97" t="s">
        <v>61</v>
      </c>
      <c r="V65" s="93">
        <v>46157</v>
      </c>
      <c r="W65" s="93" t="s">
        <v>73</v>
      </c>
      <c r="X65" s="93" t="s">
        <v>73</v>
      </c>
      <c r="Y65" s="98"/>
      <c r="Z65" s="89" t="s">
        <v>62</v>
      </c>
      <c r="AA65" s="97">
        <v>46167</v>
      </c>
      <c r="AB65" s="89" t="s">
        <v>75</v>
      </c>
      <c r="AC65" s="120" t="s">
        <v>261</v>
      </c>
      <c r="AD65" s="89"/>
      <c r="AE65" s="89"/>
      <c r="AF65" s="89">
        <v>2</v>
      </c>
      <c r="AG65" s="89">
        <v>2</v>
      </c>
      <c r="AH65" s="99"/>
      <c r="AI65" s="99"/>
      <c r="AJ65" s="119" t="s">
        <v>91</v>
      </c>
      <c r="AK65" s="100"/>
      <c r="AL65" s="100" t="s">
        <v>64</v>
      </c>
      <c r="AM65" s="100" t="s">
        <v>102</v>
      </c>
      <c r="AN65" s="45" t="s">
        <v>65</v>
      </c>
      <c r="AO65" s="198" t="str">
        <f t="shared" si="0"/>
        <v>5/2026</v>
      </c>
      <c r="AP65" s="198">
        <f t="shared" si="1"/>
        <v>2</v>
      </c>
      <c r="AQ65" s="45" t="str">
        <f t="shared" si="2"/>
        <v>5/2026</v>
      </c>
      <c r="AR65" s="45">
        <f t="shared" si="3"/>
        <v>4</v>
      </c>
      <c r="AS65" s="45">
        <f t="shared" si="4"/>
        <v>0</v>
      </c>
      <c r="AT65" s="45">
        <f t="shared" si="5"/>
        <v>0</v>
      </c>
      <c r="AU65" s="45">
        <f t="shared" si="6"/>
        <v>0</v>
      </c>
      <c r="AV65" s="45">
        <f t="shared" si="8"/>
        <v>0</v>
      </c>
      <c r="AW65" s="45" t="str">
        <f>_xlfn.XLOOKUP(W65,'Lista Suspensa'!$AA$20:$AA$23,'Lista Suspensa'!$AB$20:$AB$23,"N/A")</f>
        <v>N/A</v>
      </c>
    </row>
    <row r="66" spans="1:49" ht="12" customHeight="1" x14ac:dyDescent="0.3">
      <c r="A66" s="87" t="s">
        <v>49</v>
      </c>
      <c r="B66" s="88">
        <v>46147</v>
      </c>
      <c r="C66" s="89" t="s">
        <v>50</v>
      </c>
      <c r="D66" s="89" t="s">
        <v>51</v>
      </c>
      <c r="E66" s="90">
        <v>94854505</v>
      </c>
      <c r="F66" s="91" t="s">
        <v>262</v>
      </c>
      <c r="G66" s="92">
        <v>25559905852</v>
      </c>
      <c r="H66" s="93">
        <v>28315</v>
      </c>
      <c r="I66" s="89">
        <v>48</v>
      </c>
      <c r="J66" s="89" t="s">
        <v>67</v>
      </c>
      <c r="K66" s="89" t="s">
        <v>54</v>
      </c>
      <c r="L66" s="89" t="s">
        <v>93</v>
      </c>
      <c r="M66" s="89"/>
      <c r="N66" s="89" t="s">
        <v>82</v>
      </c>
      <c r="O66" s="94">
        <v>11998040284</v>
      </c>
      <c r="P66" s="95" t="s">
        <v>58</v>
      </c>
      <c r="Q66" s="144" t="s">
        <v>59</v>
      </c>
      <c r="R66" s="96">
        <v>46161</v>
      </c>
      <c r="S66" s="97"/>
      <c r="T66" s="97" t="s">
        <v>60</v>
      </c>
      <c r="U66" s="97" t="s">
        <v>61</v>
      </c>
      <c r="V66" s="93">
        <v>46157</v>
      </c>
      <c r="W66" s="93" t="s">
        <v>73</v>
      </c>
      <c r="X66" s="93" t="s">
        <v>73</v>
      </c>
      <c r="Y66" s="98"/>
      <c r="Z66" s="89" t="s">
        <v>62</v>
      </c>
      <c r="AA66" s="97">
        <v>46164</v>
      </c>
      <c r="AB66" s="89" t="s">
        <v>75</v>
      </c>
      <c r="AC66" s="120"/>
      <c r="AD66" s="89"/>
      <c r="AE66" s="89"/>
      <c r="AF66" s="89">
        <v>4.5</v>
      </c>
      <c r="AG66" s="89">
        <v>4.5</v>
      </c>
      <c r="AH66" s="99" t="s">
        <v>235</v>
      </c>
      <c r="AI66" s="99"/>
      <c r="AJ66" s="119" t="s">
        <v>91</v>
      </c>
      <c r="AK66" s="100"/>
      <c r="AL66" s="100" t="s">
        <v>64</v>
      </c>
      <c r="AM66" s="100" t="s">
        <v>102</v>
      </c>
      <c r="AN66" s="45" t="s">
        <v>65</v>
      </c>
      <c r="AO66" s="198" t="str">
        <f t="shared" ref="AO66:AO129" si="9">MONTH(B66)&amp;"/"&amp;YEAR(B66)</f>
        <v>5/2026</v>
      </c>
      <c r="AP66" s="198">
        <f t="shared" ref="AP66:AP129" si="10">WEEKNUM(B66)-WEEKNUM(EOMONTH(B66,-1)+1)+1</f>
        <v>2</v>
      </c>
      <c r="AQ66" s="45" t="str">
        <f t="shared" ref="AQ66:AQ129" si="11">MONTH(R66)&amp;"/"&amp;YEAR(R66)</f>
        <v>5/2026</v>
      </c>
      <c r="AR66" s="45">
        <f t="shared" ref="AR66:AR129" si="12">WEEKNUM(R66)-WEEKNUM(EOMONTH(R66,-1)+1)+1</f>
        <v>4</v>
      </c>
      <c r="AS66" s="45">
        <f t="shared" ref="AS66:AS129" si="13">IF(AW66="S",IF(Q66="1. Aceitou o programa",R66-B66,0),0)</f>
        <v>0</v>
      </c>
      <c r="AT66" s="45">
        <f t="shared" ref="AT66:AT129" si="14">IF(AW66="S",IF(AND(S66&lt;&gt;"",R66&lt;&gt;""),S66-R66,0),0)</f>
        <v>0</v>
      </c>
      <c r="AU66" s="45">
        <f t="shared" ref="AU66:AU129" si="15">IF(AW66="S",IF(Q66="1. Aceitou o programa",IF(OR(X66="Não se Aplica",X66=""),IF(OR(W66="Não se Aplica",W66=""),0,W66-V66),AVERAGE(X66-W66,W66-V66)),0),0)</f>
        <v>0</v>
      </c>
      <c r="AV66" s="45">
        <f t="shared" ref="AV66:AV93" si="16">IF(AW66="S",IF(AND(Q66="1. Aceitou o programa",AB66="Realizada"),IFERROR(IF(AA66="",0,AA66-R66),0),0),0)</f>
        <v>0</v>
      </c>
      <c r="AW66" s="45" t="str">
        <f>_xlfn.XLOOKUP(W66,'Lista Suspensa'!$AA$20:$AA$23,'Lista Suspensa'!$AB$20:$AB$23,"N/A")</f>
        <v>N/A</v>
      </c>
    </row>
    <row r="67" spans="1:49" ht="12" customHeight="1" x14ac:dyDescent="0.3">
      <c r="A67" s="87" t="s">
        <v>49</v>
      </c>
      <c r="B67" s="88">
        <v>46147</v>
      </c>
      <c r="C67" s="89" t="s">
        <v>50</v>
      </c>
      <c r="D67" s="89" t="s">
        <v>51</v>
      </c>
      <c r="E67" s="90">
        <v>93204326</v>
      </c>
      <c r="F67" s="91" t="s">
        <v>263</v>
      </c>
      <c r="G67" s="92">
        <v>26971319818</v>
      </c>
      <c r="H67" s="93">
        <v>28525</v>
      </c>
      <c r="I67" s="89">
        <v>48</v>
      </c>
      <c r="J67" s="89" t="s">
        <v>67</v>
      </c>
      <c r="K67" s="89" t="s">
        <v>54</v>
      </c>
      <c r="L67" s="89" t="s">
        <v>93</v>
      </c>
      <c r="M67" s="89"/>
      <c r="N67" s="89" t="s">
        <v>124</v>
      </c>
      <c r="O67" s="94" t="s">
        <v>264</v>
      </c>
      <c r="P67" s="95" t="s">
        <v>58</v>
      </c>
      <c r="Q67" s="144" t="s">
        <v>59</v>
      </c>
      <c r="R67" s="121">
        <v>46171</v>
      </c>
      <c r="S67" s="97"/>
      <c r="T67" s="97" t="s">
        <v>60</v>
      </c>
      <c r="U67" s="97" t="s">
        <v>61</v>
      </c>
      <c r="V67" s="93">
        <v>46157</v>
      </c>
      <c r="W67" s="93">
        <v>46161</v>
      </c>
      <c r="X67" s="93">
        <v>46171</v>
      </c>
      <c r="Y67" s="98"/>
      <c r="Z67" s="89" t="s">
        <v>62</v>
      </c>
      <c r="AA67" s="97">
        <v>46180.680554398146</v>
      </c>
      <c r="AB67" s="89" t="s">
        <v>142</v>
      </c>
      <c r="AC67" s="120" t="s">
        <v>63</v>
      </c>
      <c r="AD67" s="89"/>
      <c r="AE67" s="89"/>
      <c r="AF67" s="89"/>
      <c r="AG67" s="89"/>
      <c r="AH67" s="99"/>
      <c r="AI67" s="99"/>
      <c r="AJ67" s="99"/>
      <c r="AK67" s="100"/>
      <c r="AL67" s="100" t="s">
        <v>64</v>
      </c>
      <c r="AM67" s="100" t="s">
        <v>102</v>
      </c>
      <c r="AN67" s="45" t="s">
        <v>65</v>
      </c>
      <c r="AO67" s="198" t="str">
        <f t="shared" si="9"/>
        <v>5/2026</v>
      </c>
      <c r="AP67" s="198">
        <f t="shared" si="10"/>
        <v>2</v>
      </c>
      <c r="AQ67" s="45" t="str">
        <f t="shared" si="11"/>
        <v>5/2026</v>
      </c>
      <c r="AR67" s="45">
        <f t="shared" si="12"/>
        <v>5</v>
      </c>
      <c r="AS67" s="45">
        <f t="shared" si="13"/>
        <v>0</v>
      </c>
      <c r="AT67" s="45">
        <f t="shared" si="14"/>
        <v>0</v>
      </c>
      <c r="AU67" s="45">
        <f t="shared" si="15"/>
        <v>0</v>
      </c>
      <c r="AV67" s="45">
        <f t="shared" si="16"/>
        <v>0</v>
      </c>
      <c r="AW67" s="45" t="str">
        <f>_xlfn.XLOOKUP(W67,'Lista Suspensa'!$AA$20:$AA$23,'Lista Suspensa'!$AB$20:$AB$23,"N/A")</f>
        <v>N/A</v>
      </c>
    </row>
    <row r="68" spans="1:49" ht="12" customHeight="1" x14ac:dyDescent="0.3">
      <c r="A68" s="87" t="s">
        <v>49</v>
      </c>
      <c r="B68" s="88">
        <v>46147</v>
      </c>
      <c r="C68" s="89" t="s">
        <v>50</v>
      </c>
      <c r="D68" s="89" t="s">
        <v>51</v>
      </c>
      <c r="E68" s="90">
        <v>780254805</v>
      </c>
      <c r="F68" s="91" t="s">
        <v>265</v>
      </c>
      <c r="G68" s="92">
        <v>5047025802</v>
      </c>
      <c r="H68" s="93">
        <v>21644</v>
      </c>
      <c r="I68" s="89">
        <v>67</v>
      </c>
      <c r="J68" s="89" t="s">
        <v>67</v>
      </c>
      <c r="K68" s="89" t="s">
        <v>54</v>
      </c>
      <c r="L68" s="89" t="s">
        <v>93</v>
      </c>
      <c r="M68" s="89"/>
      <c r="N68" s="89" t="s">
        <v>100</v>
      </c>
      <c r="O68" s="94" t="s">
        <v>266</v>
      </c>
      <c r="P68" s="95" t="s">
        <v>58</v>
      </c>
      <c r="Q68" s="144" t="s">
        <v>59</v>
      </c>
      <c r="R68" s="121">
        <v>46171</v>
      </c>
      <c r="S68" s="97"/>
      <c r="T68" s="97" t="s">
        <v>60</v>
      </c>
      <c r="U68" s="97" t="s">
        <v>61</v>
      </c>
      <c r="V68" s="93">
        <v>46157</v>
      </c>
      <c r="W68" s="93">
        <v>46161</v>
      </c>
      <c r="X68" s="93">
        <v>46171</v>
      </c>
      <c r="Y68" s="98"/>
      <c r="Z68" s="89" t="s">
        <v>62</v>
      </c>
      <c r="AA68" s="97">
        <v>46180.666665567129</v>
      </c>
      <c r="AB68" s="89" t="s">
        <v>142</v>
      </c>
      <c r="AC68" s="120" t="s">
        <v>63</v>
      </c>
      <c r="AD68" s="89"/>
      <c r="AE68" s="89"/>
      <c r="AF68" s="89"/>
      <c r="AG68" s="89"/>
      <c r="AH68" s="99"/>
      <c r="AI68" s="99"/>
      <c r="AJ68" s="99"/>
      <c r="AK68" s="100"/>
      <c r="AL68" s="100" t="s">
        <v>64</v>
      </c>
      <c r="AM68" s="100" t="s">
        <v>102</v>
      </c>
      <c r="AN68" s="45" t="s">
        <v>65</v>
      </c>
      <c r="AO68" s="198" t="str">
        <f t="shared" si="9"/>
        <v>5/2026</v>
      </c>
      <c r="AP68" s="198">
        <f t="shared" si="10"/>
        <v>2</v>
      </c>
      <c r="AQ68" s="45" t="str">
        <f t="shared" si="11"/>
        <v>5/2026</v>
      </c>
      <c r="AR68" s="45">
        <f t="shared" si="12"/>
        <v>5</v>
      </c>
      <c r="AS68" s="45">
        <f t="shared" si="13"/>
        <v>0</v>
      </c>
      <c r="AT68" s="45">
        <f t="shared" si="14"/>
        <v>0</v>
      </c>
      <c r="AU68" s="45">
        <f t="shared" si="15"/>
        <v>0</v>
      </c>
      <c r="AV68" s="45">
        <f t="shared" si="16"/>
        <v>0</v>
      </c>
      <c r="AW68" s="45" t="str">
        <f>_xlfn.XLOOKUP(W68,'Lista Suspensa'!$AA$20:$AA$23,'Lista Suspensa'!$AB$20:$AB$23,"N/A")</f>
        <v>N/A</v>
      </c>
    </row>
    <row r="69" spans="1:49" ht="12" customHeight="1" x14ac:dyDescent="0.3">
      <c r="A69" s="87" t="s">
        <v>49</v>
      </c>
      <c r="B69" s="88">
        <v>46147</v>
      </c>
      <c r="C69" s="89" t="s">
        <v>50</v>
      </c>
      <c r="D69" s="89" t="s">
        <v>51</v>
      </c>
      <c r="E69" s="90">
        <v>451346319</v>
      </c>
      <c r="F69" s="91" t="s">
        <v>267</v>
      </c>
      <c r="G69" s="92">
        <v>17491294855</v>
      </c>
      <c r="H69" s="93">
        <v>27347</v>
      </c>
      <c r="I69" s="89">
        <v>51</v>
      </c>
      <c r="J69" s="89" t="s">
        <v>53</v>
      </c>
      <c r="K69" s="89" t="s">
        <v>54</v>
      </c>
      <c r="L69" s="89" t="s">
        <v>93</v>
      </c>
      <c r="M69" s="89"/>
      <c r="N69" s="89" t="s">
        <v>94</v>
      </c>
      <c r="O69" s="94" t="s">
        <v>268</v>
      </c>
      <c r="P69" s="95" t="s">
        <v>58</v>
      </c>
      <c r="Q69" s="144" t="s">
        <v>59</v>
      </c>
      <c r="R69" s="96">
        <v>46161</v>
      </c>
      <c r="S69" s="97"/>
      <c r="T69" s="97" t="s">
        <v>60</v>
      </c>
      <c r="U69" s="97" t="s">
        <v>61</v>
      </c>
      <c r="V69" s="93">
        <v>46161</v>
      </c>
      <c r="W69" s="93" t="s">
        <v>73</v>
      </c>
      <c r="X69" s="93" t="s">
        <v>73</v>
      </c>
      <c r="Y69" s="98"/>
      <c r="Z69" s="89" t="s">
        <v>62</v>
      </c>
      <c r="AA69" s="97">
        <v>46167</v>
      </c>
      <c r="AB69" s="89" t="s">
        <v>75</v>
      </c>
      <c r="AC69" s="120"/>
      <c r="AD69" s="89"/>
      <c r="AE69" s="89"/>
      <c r="AF69" s="89">
        <v>2.8</v>
      </c>
      <c r="AG69" s="89">
        <v>2.8</v>
      </c>
      <c r="AH69" s="99" t="s">
        <v>258</v>
      </c>
      <c r="AI69" s="99" t="s">
        <v>258</v>
      </c>
      <c r="AJ69" s="119" t="s">
        <v>91</v>
      </c>
      <c r="AK69" s="100"/>
      <c r="AL69" s="100" t="s">
        <v>64</v>
      </c>
      <c r="AM69" s="100" t="s">
        <v>102</v>
      </c>
      <c r="AN69" s="45" t="s">
        <v>65</v>
      </c>
      <c r="AO69" s="198" t="str">
        <f t="shared" si="9"/>
        <v>5/2026</v>
      </c>
      <c r="AP69" s="198">
        <f t="shared" si="10"/>
        <v>2</v>
      </c>
      <c r="AQ69" s="45" t="str">
        <f t="shared" si="11"/>
        <v>5/2026</v>
      </c>
      <c r="AR69" s="45">
        <f t="shared" si="12"/>
        <v>4</v>
      </c>
      <c r="AS69" s="45">
        <f t="shared" si="13"/>
        <v>0</v>
      </c>
      <c r="AT69" s="45">
        <f t="shared" si="14"/>
        <v>0</v>
      </c>
      <c r="AU69" s="45">
        <f t="shared" si="15"/>
        <v>0</v>
      </c>
      <c r="AV69" s="45">
        <f t="shared" si="16"/>
        <v>0</v>
      </c>
      <c r="AW69" s="45" t="str">
        <f>_xlfn.XLOOKUP(W69,'Lista Suspensa'!$AA$20:$AA$23,'Lista Suspensa'!$AB$20:$AB$23,"N/A")</f>
        <v>N/A</v>
      </c>
    </row>
    <row r="70" spans="1:49" ht="12" customHeight="1" x14ac:dyDescent="0.3">
      <c r="A70" s="87" t="s">
        <v>49</v>
      </c>
      <c r="B70" s="88">
        <v>46147</v>
      </c>
      <c r="C70" s="89" t="s">
        <v>50</v>
      </c>
      <c r="D70" s="89" t="s">
        <v>51</v>
      </c>
      <c r="E70" s="90">
        <v>82806833</v>
      </c>
      <c r="F70" s="91" t="s">
        <v>269</v>
      </c>
      <c r="G70" s="92">
        <v>28280546839</v>
      </c>
      <c r="H70" s="93">
        <v>28368</v>
      </c>
      <c r="I70" s="89">
        <v>48</v>
      </c>
      <c r="J70" s="89" t="s">
        <v>67</v>
      </c>
      <c r="K70" s="89" t="s">
        <v>54</v>
      </c>
      <c r="L70" s="89" t="s">
        <v>93</v>
      </c>
      <c r="M70" s="89"/>
      <c r="N70" s="89" t="s">
        <v>82</v>
      </c>
      <c r="O70" s="94" t="s">
        <v>270</v>
      </c>
      <c r="P70" s="95" t="s">
        <v>58</v>
      </c>
      <c r="Q70" s="144" t="s">
        <v>59</v>
      </c>
      <c r="R70" s="96">
        <v>46161</v>
      </c>
      <c r="S70" s="97"/>
      <c r="T70" s="97" t="s">
        <v>60</v>
      </c>
      <c r="U70" s="97" t="s">
        <v>61</v>
      </c>
      <c r="V70" s="93">
        <v>46161</v>
      </c>
      <c r="W70" s="93" t="s">
        <v>73</v>
      </c>
      <c r="X70" s="93" t="s">
        <v>73</v>
      </c>
      <c r="Y70" s="98"/>
      <c r="Z70" s="89" t="s">
        <v>62</v>
      </c>
      <c r="AA70" s="97">
        <v>46164</v>
      </c>
      <c r="AB70" s="89" t="s">
        <v>75</v>
      </c>
      <c r="AC70" s="120"/>
      <c r="AD70" s="89"/>
      <c r="AE70" s="89"/>
      <c r="AF70" s="89" t="s">
        <v>105</v>
      </c>
      <c r="AG70" s="89" t="s">
        <v>105</v>
      </c>
      <c r="AH70" s="99" t="s">
        <v>271</v>
      </c>
      <c r="AI70" s="99"/>
      <c r="AJ70" s="119" t="s">
        <v>91</v>
      </c>
      <c r="AK70" s="100"/>
      <c r="AL70" s="100" t="s">
        <v>64</v>
      </c>
      <c r="AM70" s="100" t="s">
        <v>102</v>
      </c>
      <c r="AN70" s="45" t="s">
        <v>65</v>
      </c>
      <c r="AO70" s="198" t="str">
        <f t="shared" si="9"/>
        <v>5/2026</v>
      </c>
      <c r="AP70" s="198">
        <f t="shared" si="10"/>
        <v>2</v>
      </c>
      <c r="AQ70" s="45" t="str">
        <f t="shared" si="11"/>
        <v>5/2026</v>
      </c>
      <c r="AR70" s="45">
        <f t="shared" si="12"/>
        <v>4</v>
      </c>
      <c r="AS70" s="45">
        <f t="shared" si="13"/>
        <v>0</v>
      </c>
      <c r="AT70" s="45">
        <f t="shared" si="14"/>
        <v>0</v>
      </c>
      <c r="AU70" s="45">
        <f t="shared" si="15"/>
        <v>0</v>
      </c>
      <c r="AV70" s="45">
        <f t="shared" si="16"/>
        <v>0</v>
      </c>
      <c r="AW70" s="45" t="str">
        <f>_xlfn.XLOOKUP(W70,'Lista Suspensa'!$AA$20:$AA$23,'Lista Suspensa'!$AB$20:$AB$23,"N/A")</f>
        <v>N/A</v>
      </c>
    </row>
    <row r="71" spans="1:49" ht="12" customHeight="1" x14ac:dyDescent="0.3">
      <c r="A71" s="87" t="s">
        <v>49</v>
      </c>
      <c r="B71" s="88">
        <v>46147</v>
      </c>
      <c r="C71" s="89" t="s">
        <v>50</v>
      </c>
      <c r="D71" s="89" t="s">
        <v>51</v>
      </c>
      <c r="E71" s="90">
        <v>88369083</v>
      </c>
      <c r="F71" s="91" t="s">
        <v>272</v>
      </c>
      <c r="G71" s="92">
        <v>43894394803</v>
      </c>
      <c r="H71" s="93">
        <v>35024</v>
      </c>
      <c r="I71" s="89">
        <v>30</v>
      </c>
      <c r="J71" s="89" t="s">
        <v>53</v>
      </c>
      <c r="K71" s="89" t="s">
        <v>54</v>
      </c>
      <c r="L71" s="89" t="s">
        <v>93</v>
      </c>
      <c r="M71" s="89"/>
      <c r="N71" s="89" t="s">
        <v>87</v>
      </c>
      <c r="O71" s="94" t="s">
        <v>273</v>
      </c>
      <c r="P71" s="95" t="s">
        <v>58</v>
      </c>
      <c r="Q71" s="144" t="s">
        <v>59</v>
      </c>
      <c r="R71" s="96">
        <v>46161</v>
      </c>
      <c r="S71" s="97"/>
      <c r="T71" s="97" t="s">
        <v>60</v>
      </c>
      <c r="U71" s="97" t="s">
        <v>61</v>
      </c>
      <c r="V71" s="93">
        <v>46161</v>
      </c>
      <c r="W71" s="93" t="s">
        <v>73</v>
      </c>
      <c r="X71" s="93" t="s">
        <v>73</v>
      </c>
      <c r="Y71" s="98"/>
      <c r="Z71" s="89" t="s">
        <v>62</v>
      </c>
      <c r="AA71" s="97">
        <v>46170</v>
      </c>
      <c r="AB71" s="89" t="s">
        <v>142</v>
      </c>
      <c r="AC71" s="120"/>
      <c r="AD71" s="89"/>
      <c r="AE71" s="89"/>
      <c r="AF71" s="89"/>
      <c r="AG71" s="89"/>
      <c r="AH71" s="99"/>
      <c r="AI71" s="99"/>
      <c r="AJ71" s="99"/>
      <c r="AK71" s="100"/>
      <c r="AL71" s="100" t="s">
        <v>64</v>
      </c>
      <c r="AM71" s="100" t="s">
        <v>102</v>
      </c>
      <c r="AN71" s="45" t="s">
        <v>65</v>
      </c>
      <c r="AO71" s="198" t="str">
        <f t="shared" si="9"/>
        <v>5/2026</v>
      </c>
      <c r="AP71" s="198">
        <f t="shared" si="10"/>
        <v>2</v>
      </c>
      <c r="AQ71" s="45" t="str">
        <f t="shared" si="11"/>
        <v>5/2026</v>
      </c>
      <c r="AR71" s="45">
        <f t="shared" si="12"/>
        <v>4</v>
      </c>
      <c r="AS71" s="45">
        <f t="shared" si="13"/>
        <v>0</v>
      </c>
      <c r="AT71" s="45">
        <f t="shared" si="14"/>
        <v>0</v>
      </c>
      <c r="AU71" s="45">
        <f t="shared" si="15"/>
        <v>0</v>
      </c>
      <c r="AV71" s="45">
        <f t="shared" si="16"/>
        <v>0</v>
      </c>
      <c r="AW71" s="45" t="str">
        <f>_xlfn.XLOOKUP(W71,'Lista Suspensa'!$AA$20:$AA$23,'Lista Suspensa'!$AB$20:$AB$23,"N/A")</f>
        <v>N/A</v>
      </c>
    </row>
    <row r="72" spans="1:49" ht="12" customHeight="1" x14ac:dyDescent="0.3">
      <c r="A72" s="87" t="s">
        <v>49</v>
      </c>
      <c r="B72" s="88">
        <v>46147</v>
      </c>
      <c r="C72" s="89" t="s">
        <v>50</v>
      </c>
      <c r="D72" s="89" t="s">
        <v>51</v>
      </c>
      <c r="E72" s="90">
        <v>93006973</v>
      </c>
      <c r="F72" s="91" t="s">
        <v>274</v>
      </c>
      <c r="G72" s="92">
        <v>32333515856</v>
      </c>
      <c r="H72" s="93">
        <v>21723</v>
      </c>
      <c r="I72" s="89">
        <v>66</v>
      </c>
      <c r="J72" s="89" t="s">
        <v>67</v>
      </c>
      <c r="K72" s="89" t="s">
        <v>54</v>
      </c>
      <c r="L72" s="89" t="s">
        <v>93</v>
      </c>
      <c r="M72" s="89"/>
      <c r="N72" s="89" t="s">
        <v>113</v>
      </c>
      <c r="O72" s="94" t="s">
        <v>275</v>
      </c>
      <c r="P72" s="95" t="s">
        <v>58</v>
      </c>
      <c r="Q72" s="144" t="s">
        <v>59</v>
      </c>
      <c r="R72" s="121">
        <v>46171</v>
      </c>
      <c r="S72" s="97"/>
      <c r="T72" s="97" t="s">
        <v>60</v>
      </c>
      <c r="U72" s="97" t="s">
        <v>61</v>
      </c>
      <c r="V72" s="93">
        <v>46161</v>
      </c>
      <c r="W72" s="93">
        <v>46171</v>
      </c>
      <c r="X72" s="93" t="s">
        <v>73</v>
      </c>
      <c r="Y72" s="98"/>
      <c r="Z72" s="89" t="s">
        <v>62</v>
      </c>
      <c r="AA72" s="97">
        <v>46181.402777777781</v>
      </c>
      <c r="AB72" s="89" t="s">
        <v>75</v>
      </c>
      <c r="AC72" s="120" t="s">
        <v>63</v>
      </c>
      <c r="AD72" s="89"/>
      <c r="AE72" s="89"/>
      <c r="AF72" s="89"/>
      <c r="AG72" s="89"/>
      <c r="AH72" s="99"/>
      <c r="AI72" s="99"/>
      <c r="AJ72" s="99"/>
      <c r="AK72" s="100"/>
      <c r="AL72" s="100" t="s">
        <v>64</v>
      </c>
      <c r="AM72" s="100" t="s">
        <v>102</v>
      </c>
      <c r="AN72" s="45" t="s">
        <v>65</v>
      </c>
      <c r="AO72" s="198" t="str">
        <f t="shared" si="9"/>
        <v>5/2026</v>
      </c>
      <c r="AP72" s="198">
        <f t="shared" si="10"/>
        <v>2</v>
      </c>
      <c r="AQ72" s="45" t="str">
        <f t="shared" si="11"/>
        <v>5/2026</v>
      </c>
      <c r="AR72" s="45">
        <f t="shared" si="12"/>
        <v>5</v>
      </c>
      <c r="AS72" s="45">
        <f t="shared" si="13"/>
        <v>0</v>
      </c>
      <c r="AT72" s="45">
        <f t="shared" si="14"/>
        <v>0</v>
      </c>
      <c r="AU72" s="45">
        <f t="shared" si="15"/>
        <v>0</v>
      </c>
      <c r="AV72" s="45">
        <f t="shared" si="16"/>
        <v>0</v>
      </c>
      <c r="AW72" s="45" t="str">
        <f>_xlfn.XLOOKUP(W72,'Lista Suspensa'!$AA$20:$AA$23,'Lista Suspensa'!$AB$20:$AB$23,"N/A")</f>
        <v>N/A</v>
      </c>
    </row>
    <row r="73" spans="1:49" ht="12" customHeight="1" x14ac:dyDescent="0.3">
      <c r="A73" s="87" t="s">
        <v>49</v>
      </c>
      <c r="B73" s="88">
        <v>46147</v>
      </c>
      <c r="C73" s="89" t="s">
        <v>50</v>
      </c>
      <c r="D73" s="89" t="s">
        <v>51</v>
      </c>
      <c r="E73" s="90">
        <v>72226551</v>
      </c>
      <c r="F73" s="91" t="s">
        <v>276</v>
      </c>
      <c r="G73" s="92">
        <v>9618245730</v>
      </c>
      <c r="H73" s="93">
        <v>29682</v>
      </c>
      <c r="I73" s="89">
        <v>45</v>
      </c>
      <c r="J73" s="89" t="s">
        <v>67</v>
      </c>
      <c r="K73" s="89" t="s">
        <v>54</v>
      </c>
      <c r="L73" s="89" t="s">
        <v>93</v>
      </c>
      <c r="M73" s="89"/>
      <c r="N73" s="89" t="s">
        <v>69</v>
      </c>
      <c r="O73" s="94" t="s">
        <v>277</v>
      </c>
      <c r="P73" s="95" t="s">
        <v>58</v>
      </c>
      <c r="Q73" s="144" t="s">
        <v>59</v>
      </c>
      <c r="R73" s="96">
        <v>46161</v>
      </c>
      <c r="S73" s="97"/>
      <c r="T73" s="97" t="s">
        <v>60</v>
      </c>
      <c r="U73" s="97" t="s">
        <v>61</v>
      </c>
      <c r="V73" s="93">
        <v>46161</v>
      </c>
      <c r="W73" s="93" t="s">
        <v>73</v>
      </c>
      <c r="X73" s="93" t="s">
        <v>73</v>
      </c>
      <c r="Y73" s="98"/>
      <c r="Z73" s="89" t="s">
        <v>62</v>
      </c>
      <c r="AA73" s="97">
        <v>46170</v>
      </c>
      <c r="AB73" s="89" t="s">
        <v>142</v>
      </c>
      <c r="AC73" s="120">
        <v>46180.486110763886</v>
      </c>
      <c r="AD73" s="89"/>
      <c r="AE73" s="89"/>
      <c r="AF73" s="89"/>
      <c r="AG73" s="89"/>
      <c r="AH73" s="99"/>
      <c r="AI73" s="99"/>
      <c r="AJ73" s="99"/>
      <c r="AK73" s="100"/>
      <c r="AL73" s="100" t="s">
        <v>64</v>
      </c>
      <c r="AM73" s="100" t="s">
        <v>102</v>
      </c>
      <c r="AN73" s="45" t="s">
        <v>65</v>
      </c>
      <c r="AO73" s="198" t="str">
        <f t="shared" si="9"/>
        <v>5/2026</v>
      </c>
      <c r="AP73" s="198">
        <f t="shared" si="10"/>
        <v>2</v>
      </c>
      <c r="AQ73" s="45" t="str">
        <f t="shared" si="11"/>
        <v>5/2026</v>
      </c>
      <c r="AR73" s="45">
        <f t="shared" si="12"/>
        <v>4</v>
      </c>
      <c r="AS73" s="45">
        <f t="shared" si="13"/>
        <v>0</v>
      </c>
      <c r="AT73" s="45">
        <f t="shared" si="14"/>
        <v>0</v>
      </c>
      <c r="AU73" s="45">
        <f t="shared" si="15"/>
        <v>0</v>
      </c>
      <c r="AV73" s="45">
        <f t="shared" si="16"/>
        <v>0</v>
      </c>
      <c r="AW73" s="45" t="str">
        <f>_xlfn.XLOOKUP(W73,'Lista Suspensa'!$AA$20:$AA$23,'Lista Suspensa'!$AB$20:$AB$23,"N/A")</f>
        <v>N/A</v>
      </c>
    </row>
    <row r="74" spans="1:49" ht="12" customHeight="1" x14ac:dyDescent="0.3">
      <c r="A74" s="87" t="s">
        <v>49</v>
      </c>
      <c r="B74" s="88">
        <v>46147</v>
      </c>
      <c r="C74" s="89" t="s">
        <v>50</v>
      </c>
      <c r="D74" s="89" t="s">
        <v>51</v>
      </c>
      <c r="E74" s="90">
        <v>89765214</v>
      </c>
      <c r="F74" s="91" t="s">
        <v>278</v>
      </c>
      <c r="G74" s="92">
        <v>8583789819</v>
      </c>
      <c r="H74" s="93">
        <v>24405</v>
      </c>
      <c r="I74" s="89">
        <v>59</v>
      </c>
      <c r="J74" s="89" t="s">
        <v>67</v>
      </c>
      <c r="K74" s="89" t="s">
        <v>54</v>
      </c>
      <c r="L74" s="89" t="s">
        <v>93</v>
      </c>
      <c r="M74" s="89"/>
      <c r="N74" s="89" t="s">
        <v>113</v>
      </c>
      <c r="O74" s="94">
        <v>11992871344</v>
      </c>
      <c r="P74" s="95" t="s">
        <v>58</v>
      </c>
      <c r="Q74" s="144" t="s">
        <v>59</v>
      </c>
      <c r="R74" s="96">
        <v>46161</v>
      </c>
      <c r="S74" s="97"/>
      <c r="T74" s="97" t="s">
        <v>60</v>
      </c>
      <c r="U74" s="97" t="s">
        <v>61</v>
      </c>
      <c r="V74" s="93">
        <v>46161</v>
      </c>
      <c r="W74" s="93" t="s">
        <v>73</v>
      </c>
      <c r="X74" s="93" t="s">
        <v>73</v>
      </c>
      <c r="Y74" s="98"/>
      <c r="Z74" s="89" t="s">
        <v>62</v>
      </c>
      <c r="AA74" s="97">
        <v>46168</v>
      </c>
      <c r="AB74" s="89" t="s">
        <v>75</v>
      </c>
      <c r="AC74" s="120">
        <v>46179.638887905094</v>
      </c>
      <c r="AD74" s="89"/>
      <c r="AE74" s="89"/>
      <c r="AF74" s="89">
        <v>3.5</v>
      </c>
      <c r="AG74" s="89">
        <v>3.5</v>
      </c>
      <c r="AH74" s="99"/>
      <c r="AI74" s="99"/>
      <c r="AJ74" s="119" t="s">
        <v>91</v>
      </c>
      <c r="AK74" s="100"/>
      <c r="AL74" s="100" t="s">
        <v>64</v>
      </c>
      <c r="AM74" s="100" t="s">
        <v>102</v>
      </c>
      <c r="AN74" s="45" t="s">
        <v>65</v>
      </c>
      <c r="AO74" s="198" t="str">
        <f t="shared" si="9"/>
        <v>5/2026</v>
      </c>
      <c r="AP74" s="198">
        <f t="shared" si="10"/>
        <v>2</v>
      </c>
      <c r="AQ74" s="45" t="str">
        <f t="shared" si="11"/>
        <v>5/2026</v>
      </c>
      <c r="AR74" s="45">
        <f t="shared" si="12"/>
        <v>4</v>
      </c>
      <c r="AS74" s="45">
        <f t="shared" si="13"/>
        <v>0</v>
      </c>
      <c r="AT74" s="45">
        <f t="shared" si="14"/>
        <v>0</v>
      </c>
      <c r="AU74" s="45">
        <f t="shared" si="15"/>
        <v>0</v>
      </c>
      <c r="AV74" s="45">
        <f t="shared" si="16"/>
        <v>0</v>
      </c>
      <c r="AW74" s="45" t="str">
        <f>_xlfn.XLOOKUP(W74,'Lista Suspensa'!$AA$20:$AA$23,'Lista Suspensa'!$AB$20:$AB$23,"N/A")</f>
        <v>N/A</v>
      </c>
    </row>
    <row r="75" spans="1:49" ht="12" customHeight="1" x14ac:dyDescent="0.3">
      <c r="A75" s="87" t="s">
        <v>49</v>
      </c>
      <c r="B75" s="88">
        <v>46147</v>
      </c>
      <c r="C75" s="89" t="s">
        <v>50</v>
      </c>
      <c r="D75" s="89" t="s">
        <v>51</v>
      </c>
      <c r="E75" s="90">
        <v>94605649</v>
      </c>
      <c r="F75" s="91" t="s">
        <v>279</v>
      </c>
      <c r="G75" s="92">
        <v>29092458880</v>
      </c>
      <c r="H75" s="93">
        <v>28981</v>
      </c>
      <c r="I75" s="89">
        <v>47</v>
      </c>
      <c r="J75" s="89" t="s">
        <v>53</v>
      </c>
      <c r="K75" s="89" t="s">
        <v>54</v>
      </c>
      <c r="L75" s="89" t="s">
        <v>93</v>
      </c>
      <c r="M75" s="89"/>
      <c r="N75" s="89" t="s">
        <v>280</v>
      </c>
      <c r="O75" s="94" t="s">
        <v>281</v>
      </c>
      <c r="P75" s="95" t="s">
        <v>58</v>
      </c>
      <c r="Q75" s="144" t="s">
        <v>59</v>
      </c>
      <c r="R75" s="96">
        <v>46161</v>
      </c>
      <c r="S75" s="97"/>
      <c r="T75" s="97" t="s">
        <v>60</v>
      </c>
      <c r="U75" s="97" t="s">
        <v>61</v>
      </c>
      <c r="V75" s="93">
        <v>46161</v>
      </c>
      <c r="W75" s="93" t="s">
        <v>73</v>
      </c>
      <c r="X75" s="93" t="s">
        <v>73</v>
      </c>
      <c r="Y75" s="98"/>
      <c r="Z75" s="89" t="s">
        <v>62</v>
      </c>
      <c r="AA75" s="97">
        <v>46168</v>
      </c>
      <c r="AB75" s="89" t="s">
        <v>142</v>
      </c>
      <c r="AC75" s="120">
        <v>46180.402777777781</v>
      </c>
      <c r="AD75" s="89"/>
      <c r="AE75" s="89"/>
      <c r="AF75" s="89"/>
      <c r="AG75" s="89"/>
      <c r="AH75" s="99"/>
      <c r="AI75" s="99"/>
      <c r="AJ75" s="99"/>
      <c r="AK75" s="100"/>
      <c r="AL75" s="100" t="s">
        <v>64</v>
      </c>
      <c r="AM75" s="100" t="s">
        <v>102</v>
      </c>
      <c r="AN75" s="45" t="s">
        <v>65</v>
      </c>
      <c r="AO75" s="198" t="str">
        <f t="shared" si="9"/>
        <v>5/2026</v>
      </c>
      <c r="AP75" s="198">
        <f t="shared" si="10"/>
        <v>2</v>
      </c>
      <c r="AQ75" s="45" t="str">
        <f t="shared" si="11"/>
        <v>5/2026</v>
      </c>
      <c r="AR75" s="45">
        <f t="shared" si="12"/>
        <v>4</v>
      </c>
      <c r="AS75" s="45">
        <f t="shared" si="13"/>
        <v>0</v>
      </c>
      <c r="AT75" s="45">
        <f t="shared" si="14"/>
        <v>0</v>
      </c>
      <c r="AU75" s="45">
        <f t="shared" si="15"/>
        <v>0</v>
      </c>
      <c r="AV75" s="45">
        <f t="shared" si="16"/>
        <v>0</v>
      </c>
      <c r="AW75" s="45" t="str">
        <f>_xlfn.XLOOKUP(W75,'Lista Suspensa'!$AA$20:$AA$23,'Lista Suspensa'!$AB$20:$AB$23,"N/A")</f>
        <v>N/A</v>
      </c>
    </row>
    <row r="76" spans="1:49" ht="12" customHeight="1" x14ac:dyDescent="0.3">
      <c r="A76" s="87" t="s">
        <v>49</v>
      </c>
      <c r="B76" s="88">
        <v>46147</v>
      </c>
      <c r="C76" s="89" t="s">
        <v>50</v>
      </c>
      <c r="D76" s="89" t="s">
        <v>51</v>
      </c>
      <c r="E76" s="90">
        <v>89799060</v>
      </c>
      <c r="F76" s="91" t="s">
        <v>282</v>
      </c>
      <c r="G76" s="92">
        <v>3455271863</v>
      </c>
      <c r="H76" s="93">
        <v>21127</v>
      </c>
      <c r="I76" s="89">
        <v>68</v>
      </c>
      <c r="J76" s="89" t="s">
        <v>67</v>
      </c>
      <c r="K76" s="89" t="s">
        <v>54</v>
      </c>
      <c r="L76" s="89" t="s">
        <v>93</v>
      </c>
      <c r="M76" s="89"/>
      <c r="N76" s="89" t="s">
        <v>113</v>
      </c>
      <c r="O76" s="94" t="s">
        <v>283</v>
      </c>
      <c r="P76" s="95" t="s">
        <v>58</v>
      </c>
      <c r="Q76" s="144" t="s">
        <v>59</v>
      </c>
      <c r="R76" s="96">
        <v>46161</v>
      </c>
      <c r="S76" s="97"/>
      <c r="T76" s="97" t="s">
        <v>60</v>
      </c>
      <c r="U76" s="97" t="s">
        <v>61</v>
      </c>
      <c r="V76" s="93">
        <v>46161</v>
      </c>
      <c r="W76" s="93" t="s">
        <v>73</v>
      </c>
      <c r="X76" s="93" t="s">
        <v>73</v>
      </c>
      <c r="Y76" s="98"/>
      <c r="Z76" s="89" t="s">
        <v>62</v>
      </c>
      <c r="AA76" s="97">
        <v>46168</v>
      </c>
      <c r="AB76" s="89" t="s">
        <v>75</v>
      </c>
      <c r="AC76" s="120"/>
      <c r="AD76" s="89" t="s">
        <v>284</v>
      </c>
      <c r="AE76" s="89"/>
      <c r="AF76" s="89">
        <v>2.4</v>
      </c>
      <c r="AG76" s="89">
        <v>2.4</v>
      </c>
      <c r="AH76" s="99" t="s">
        <v>258</v>
      </c>
      <c r="AI76" s="99" t="s">
        <v>258</v>
      </c>
      <c r="AJ76" s="119" t="s">
        <v>91</v>
      </c>
      <c r="AK76" s="100"/>
      <c r="AL76" s="100" t="s">
        <v>64</v>
      </c>
      <c r="AM76" s="100" t="s">
        <v>102</v>
      </c>
      <c r="AN76" s="45" t="s">
        <v>65</v>
      </c>
      <c r="AO76" s="198" t="str">
        <f t="shared" si="9"/>
        <v>5/2026</v>
      </c>
      <c r="AP76" s="198">
        <f t="shared" si="10"/>
        <v>2</v>
      </c>
      <c r="AQ76" s="45" t="str">
        <f t="shared" si="11"/>
        <v>5/2026</v>
      </c>
      <c r="AR76" s="45">
        <f t="shared" si="12"/>
        <v>4</v>
      </c>
      <c r="AS76" s="45">
        <f t="shared" si="13"/>
        <v>0</v>
      </c>
      <c r="AT76" s="45">
        <f t="shared" si="14"/>
        <v>0</v>
      </c>
      <c r="AU76" s="45">
        <f t="shared" si="15"/>
        <v>0</v>
      </c>
      <c r="AV76" s="45">
        <f t="shared" si="16"/>
        <v>0</v>
      </c>
      <c r="AW76" s="45" t="str">
        <f>_xlfn.XLOOKUP(W76,'Lista Suspensa'!$AA$20:$AA$23,'Lista Suspensa'!$AB$20:$AB$23,"N/A")</f>
        <v>N/A</v>
      </c>
    </row>
    <row r="77" spans="1:49" ht="12" customHeight="1" x14ac:dyDescent="0.3">
      <c r="A77" s="87" t="s">
        <v>49</v>
      </c>
      <c r="B77" s="88">
        <v>46147</v>
      </c>
      <c r="C77" s="89" t="s">
        <v>50</v>
      </c>
      <c r="D77" s="89" t="s">
        <v>51</v>
      </c>
      <c r="E77" s="90">
        <v>74545222</v>
      </c>
      <c r="F77" s="91" t="s">
        <v>285</v>
      </c>
      <c r="G77" s="92">
        <v>35107835813</v>
      </c>
      <c r="H77" s="93">
        <v>31558</v>
      </c>
      <c r="I77" s="89">
        <v>39</v>
      </c>
      <c r="J77" s="89" t="s">
        <v>53</v>
      </c>
      <c r="K77" s="89" t="s">
        <v>54</v>
      </c>
      <c r="L77" s="89" t="s">
        <v>93</v>
      </c>
      <c r="M77" s="89"/>
      <c r="N77" s="89" t="s">
        <v>209</v>
      </c>
      <c r="O77" s="94" t="s">
        <v>286</v>
      </c>
      <c r="P77" s="95" t="s">
        <v>58</v>
      </c>
      <c r="Q77" s="144" t="s">
        <v>59</v>
      </c>
      <c r="R77" s="96">
        <v>46161</v>
      </c>
      <c r="S77" s="97"/>
      <c r="T77" s="97" t="s">
        <v>60</v>
      </c>
      <c r="U77" s="97" t="s">
        <v>61</v>
      </c>
      <c r="V77" s="93">
        <v>46161</v>
      </c>
      <c r="W77" s="93" t="s">
        <v>73</v>
      </c>
      <c r="X77" s="93" t="s">
        <v>73</v>
      </c>
      <c r="Y77" s="98"/>
      <c r="Z77" s="89" t="s">
        <v>62</v>
      </c>
      <c r="AA77" s="97">
        <v>46164</v>
      </c>
      <c r="AB77" s="89" t="s">
        <v>142</v>
      </c>
      <c r="AC77" s="120"/>
      <c r="AD77" s="89"/>
      <c r="AE77" s="89"/>
      <c r="AF77" s="89"/>
      <c r="AG77" s="89"/>
      <c r="AH77" s="99"/>
      <c r="AI77" s="99"/>
      <c r="AJ77" s="99"/>
      <c r="AK77" s="100"/>
      <c r="AL77" s="100" t="s">
        <v>64</v>
      </c>
      <c r="AM77" s="100" t="s">
        <v>102</v>
      </c>
      <c r="AN77" s="45" t="s">
        <v>65</v>
      </c>
      <c r="AO77" s="198" t="str">
        <f t="shared" si="9"/>
        <v>5/2026</v>
      </c>
      <c r="AP77" s="198">
        <f t="shared" si="10"/>
        <v>2</v>
      </c>
      <c r="AQ77" s="45" t="str">
        <f t="shared" si="11"/>
        <v>5/2026</v>
      </c>
      <c r="AR77" s="45">
        <f t="shared" si="12"/>
        <v>4</v>
      </c>
      <c r="AS77" s="45">
        <f t="shared" si="13"/>
        <v>0</v>
      </c>
      <c r="AT77" s="45">
        <f t="shared" si="14"/>
        <v>0</v>
      </c>
      <c r="AU77" s="45">
        <f t="shared" si="15"/>
        <v>0</v>
      </c>
      <c r="AV77" s="45">
        <f t="shared" si="16"/>
        <v>0</v>
      </c>
      <c r="AW77" s="45" t="str">
        <f>_xlfn.XLOOKUP(W77,'Lista Suspensa'!$AA$20:$AA$23,'Lista Suspensa'!$AB$20:$AB$23,"N/A")</f>
        <v>N/A</v>
      </c>
    </row>
    <row r="78" spans="1:49" ht="12" customHeight="1" x14ac:dyDescent="0.3">
      <c r="A78" s="87" t="s">
        <v>49</v>
      </c>
      <c r="B78" s="88">
        <v>46147</v>
      </c>
      <c r="C78" s="89" t="s">
        <v>50</v>
      </c>
      <c r="D78" s="89" t="s">
        <v>51</v>
      </c>
      <c r="E78" s="90">
        <v>95055030</v>
      </c>
      <c r="F78" s="91" t="s">
        <v>287</v>
      </c>
      <c r="G78" s="92">
        <v>27672470884</v>
      </c>
      <c r="H78" s="93">
        <v>28178</v>
      </c>
      <c r="I78" s="89">
        <v>49</v>
      </c>
      <c r="J78" s="89" t="s">
        <v>67</v>
      </c>
      <c r="K78" s="89" t="s">
        <v>54</v>
      </c>
      <c r="L78" s="89" t="s">
        <v>93</v>
      </c>
      <c r="M78" s="89"/>
      <c r="N78" s="89" t="s">
        <v>113</v>
      </c>
      <c r="O78" s="94" t="s">
        <v>288</v>
      </c>
      <c r="P78" s="95" t="s">
        <v>58</v>
      </c>
      <c r="Q78" s="144" t="s">
        <v>59</v>
      </c>
      <c r="R78" s="96">
        <v>46161</v>
      </c>
      <c r="S78" s="97"/>
      <c r="T78" s="97" t="s">
        <v>60</v>
      </c>
      <c r="U78" s="97" t="s">
        <v>61</v>
      </c>
      <c r="V78" s="93">
        <v>46161</v>
      </c>
      <c r="W78" s="93" t="s">
        <v>73</v>
      </c>
      <c r="X78" s="93" t="s">
        <v>73</v>
      </c>
      <c r="Y78" s="98"/>
      <c r="Z78" s="89" t="s">
        <v>62</v>
      </c>
      <c r="AA78" s="97">
        <v>46168</v>
      </c>
      <c r="AB78" s="89" t="s">
        <v>142</v>
      </c>
      <c r="AC78" s="120"/>
      <c r="AD78" s="89"/>
      <c r="AE78" s="89"/>
      <c r="AF78" s="89"/>
      <c r="AG78" s="89"/>
      <c r="AH78" s="99"/>
      <c r="AI78" s="99"/>
      <c r="AJ78" s="99"/>
      <c r="AK78" s="100"/>
      <c r="AL78" s="100" t="s">
        <v>64</v>
      </c>
      <c r="AM78" s="100" t="s">
        <v>102</v>
      </c>
      <c r="AN78" s="45" t="s">
        <v>65</v>
      </c>
      <c r="AO78" s="198" t="str">
        <f t="shared" si="9"/>
        <v>5/2026</v>
      </c>
      <c r="AP78" s="198">
        <f t="shared" si="10"/>
        <v>2</v>
      </c>
      <c r="AQ78" s="45" t="str">
        <f t="shared" si="11"/>
        <v>5/2026</v>
      </c>
      <c r="AR78" s="45">
        <f t="shared" si="12"/>
        <v>4</v>
      </c>
      <c r="AS78" s="45">
        <f t="shared" si="13"/>
        <v>0</v>
      </c>
      <c r="AT78" s="45">
        <f t="shared" si="14"/>
        <v>0</v>
      </c>
      <c r="AU78" s="45">
        <f t="shared" si="15"/>
        <v>0</v>
      </c>
      <c r="AV78" s="45">
        <f t="shared" si="16"/>
        <v>0</v>
      </c>
      <c r="AW78" s="45" t="str">
        <f>_xlfn.XLOOKUP(W78,'Lista Suspensa'!$AA$20:$AA$23,'Lista Suspensa'!$AB$20:$AB$23,"N/A")</f>
        <v>N/A</v>
      </c>
    </row>
    <row r="79" spans="1:49" ht="12" customHeight="1" x14ac:dyDescent="0.3">
      <c r="A79" s="87" t="s">
        <v>49</v>
      </c>
      <c r="B79" s="88">
        <v>46147</v>
      </c>
      <c r="C79" s="89" t="s">
        <v>50</v>
      </c>
      <c r="D79" s="89" t="s">
        <v>51</v>
      </c>
      <c r="E79" s="90">
        <v>96097625</v>
      </c>
      <c r="F79" s="91" t="s">
        <v>289</v>
      </c>
      <c r="G79" s="92">
        <v>26807993803</v>
      </c>
      <c r="H79" s="93">
        <v>28381</v>
      </c>
      <c r="I79" s="89">
        <v>48</v>
      </c>
      <c r="J79" s="89" t="s">
        <v>67</v>
      </c>
      <c r="K79" s="89" t="s">
        <v>54</v>
      </c>
      <c r="L79" s="89" t="s">
        <v>93</v>
      </c>
      <c r="M79" s="89"/>
      <c r="N79" s="89" t="s">
        <v>82</v>
      </c>
      <c r="O79" s="94" t="s">
        <v>290</v>
      </c>
      <c r="P79" s="95" t="s">
        <v>58</v>
      </c>
      <c r="Q79" s="144" t="s">
        <v>59</v>
      </c>
      <c r="R79" s="96">
        <v>46161</v>
      </c>
      <c r="S79" s="97"/>
      <c r="T79" s="97" t="s">
        <v>60</v>
      </c>
      <c r="U79" s="97" t="s">
        <v>61</v>
      </c>
      <c r="V79" s="93">
        <v>46161</v>
      </c>
      <c r="W79" s="93" t="s">
        <v>73</v>
      </c>
      <c r="X79" s="93" t="s">
        <v>73</v>
      </c>
      <c r="Y79" s="98"/>
      <c r="Z79" s="89" t="s">
        <v>62</v>
      </c>
      <c r="AA79" s="97">
        <v>46163</v>
      </c>
      <c r="AB79" s="89" t="s">
        <v>75</v>
      </c>
      <c r="AC79" s="120"/>
      <c r="AD79" s="89"/>
      <c r="AE79" s="89"/>
      <c r="AF79" s="89"/>
      <c r="AG79" s="89"/>
      <c r="AH79" s="99"/>
      <c r="AI79" s="99"/>
      <c r="AJ79" s="99"/>
      <c r="AK79" s="100"/>
      <c r="AL79" s="100" t="s">
        <v>64</v>
      </c>
      <c r="AM79" s="100" t="s">
        <v>102</v>
      </c>
      <c r="AN79" s="45" t="s">
        <v>65</v>
      </c>
      <c r="AO79" s="198" t="str">
        <f t="shared" si="9"/>
        <v>5/2026</v>
      </c>
      <c r="AP79" s="198">
        <f t="shared" si="10"/>
        <v>2</v>
      </c>
      <c r="AQ79" s="45" t="str">
        <f t="shared" si="11"/>
        <v>5/2026</v>
      </c>
      <c r="AR79" s="45">
        <f t="shared" si="12"/>
        <v>4</v>
      </c>
      <c r="AS79" s="45">
        <f t="shared" si="13"/>
        <v>0</v>
      </c>
      <c r="AT79" s="45">
        <f t="shared" si="14"/>
        <v>0</v>
      </c>
      <c r="AU79" s="45">
        <f t="shared" si="15"/>
        <v>0</v>
      </c>
      <c r="AV79" s="45">
        <f t="shared" si="16"/>
        <v>0</v>
      </c>
      <c r="AW79" s="45" t="str">
        <f>_xlfn.XLOOKUP(W79,'Lista Suspensa'!$AA$20:$AA$23,'Lista Suspensa'!$AB$20:$AB$23,"N/A")</f>
        <v>N/A</v>
      </c>
    </row>
    <row r="80" spans="1:49" ht="12" customHeight="1" x14ac:dyDescent="0.3">
      <c r="A80" s="87" t="s">
        <v>49</v>
      </c>
      <c r="B80" s="88">
        <v>46147</v>
      </c>
      <c r="C80" s="89" t="s">
        <v>50</v>
      </c>
      <c r="D80" s="89" t="s">
        <v>51</v>
      </c>
      <c r="E80" s="90">
        <v>227747240</v>
      </c>
      <c r="F80" s="91" t="s">
        <v>291</v>
      </c>
      <c r="G80" s="92">
        <v>9159242850</v>
      </c>
      <c r="H80" s="93">
        <v>24339</v>
      </c>
      <c r="I80" s="89">
        <v>59</v>
      </c>
      <c r="J80" s="89" t="s">
        <v>67</v>
      </c>
      <c r="K80" s="89" t="s">
        <v>54</v>
      </c>
      <c r="L80" s="89" t="s">
        <v>93</v>
      </c>
      <c r="M80" s="89"/>
      <c r="N80" s="89" t="s">
        <v>97</v>
      </c>
      <c r="O80" s="94">
        <v>11996565165</v>
      </c>
      <c r="P80" s="95" t="s">
        <v>58</v>
      </c>
      <c r="Q80" s="144" t="s">
        <v>59</v>
      </c>
      <c r="R80" s="121">
        <v>46171</v>
      </c>
      <c r="S80" s="97"/>
      <c r="T80" s="97" t="s">
        <v>60</v>
      </c>
      <c r="U80" s="97" t="s">
        <v>61</v>
      </c>
      <c r="V80" s="93">
        <v>46161</v>
      </c>
      <c r="W80" s="93">
        <v>46171</v>
      </c>
      <c r="X80" s="93" t="s">
        <v>73</v>
      </c>
      <c r="Y80" s="98"/>
      <c r="Z80" s="89" t="s">
        <v>62</v>
      </c>
      <c r="AA80" s="97">
        <v>46181.624999074076</v>
      </c>
      <c r="AB80" s="89" t="s">
        <v>75</v>
      </c>
      <c r="AC80" s="120" t="s">
        <v>63</v>
      </c>
      <c r="AD80" s="89"/>
      <c r="AE80" s="89"/>
      <c r="AF80" s="89"/>
      <c r="AG80" s="89"/>
      <c r="AH80" s="99"/>
      <c r="AI80" s="99"/>
      <c r="AJ80" s="99"/>
      <c r="AK80" s="100"/>
      <c r="AL80" s="100" t="s">
        <v>64</v>
      </c>
      <c r="AM80" s="100" t="s">
        <v>102</v>
      </c>
      <c r="AN80" s="45" t="s">
        <v>65</v>
      </c>
      <c r="AO80" s="198" t="str">
        <f t="shared" si="9"/>
        <v>5/2026</v>
      </c>
      <c r="AP80" s="198">
        <f t="shared" si="10"/>
        <v>2</v>
      </c>
      <c r="AQ80" s="45" t="str">
        <f t="shared" si="11"/>
        <v>5/2026</v>
      </c>
      <c r="AR80" s="45">
        <f t="shared" si="12"/>
        <v>5</v>
      </c>
      <c r="AS80" s="45">
        <f t="shared" si="13"/>
        <v>0</v>
      </c>
      <c r="AT80" s="45">
        <f t="shared" si="14"/>
        <v>0</v>
      </c>
      <c r="AU80" s="45">
        <f t="shared" si="15"/>
        <v>0</v>
      </c>
      <c r="AV80" s="45">
        <f t="shared" si="16"/>
        <v>0</v>
      </c>
      <c r="AW80" s="45" t="str">
        <f>_xlfn.XLOOKUP(W80,'Lista Suspensa'!$AA$20:$AA$23,'Lista Suspensa'!$AB$20:$AB$23,"N/A")</f>
        <v>N/A</v>
      </c>
    </row>
    <row r="81" spans="1:49" ht="12" customHeight="1" x14ac:dyDescent="0.3">
      <c r="A81" s="87" t="s">
        <v>49</v>
      </c>
      <c r="B81" s="88">
        <v>46147</v>
      </c>
      <c r="C81" s="89" t="s">
        <v>50</v>
      </c>
      <c r="D81" s="89" t="s">
        <v>51</v>
      </c>
      <c r="E81" s="90">
        <v>87135438</v>
      </c>
      <c r="F81" s="91" t="s">
        <v>292</v>
      </c>
      <c r="G81" s="92">
        <v>39626288515</v>
      </c>
      <c r="H81" s="93">
        <v>26697</v>
      </c>
      <c r="I81" s="89">
        <v>53</v>
      </c>
      <c r="J81" s="89" t="s">
        <v>53</v>
      </c>
      <c r="K81" s="89" t="s">
        <v>54</v>
      </c>
      <c r="L81" s="89" t="s">
        <v>93</v>
      </c>
      <c r="M81" s="89"/>
      <c r="N81" s="89" t="s">
        <v>82</v>
      </c>
      <c r="O81" s="94" t="s">
        <v>293</v>
      </c>
      <c r="P81" s="95" t="s">
        <v>58</v>
      </c>
      <c r="Q81" s="144" t="s">
        <v>59</v>
      </c>
      <c r="R81" s="121">
        <v>46171</v>
      </c>
      <c r="S81" s="97"/>
      <c r="T81" s="97" t="s">
        <v>60</v>
      </c>
      <c r="U81" s="97" t="s">
        <v>61</v>
      </c>
      <c r="V81" s="93">
        <v>46161</v>
      </c>
      <c r="W81" s="93">
        <v>46171</v>
      </c>
      <c r="X81" s="93" t="s">
        <v>73</v>
      </c>
      <c r="Y81" s="98"/>
      <c r="Z81" s="89" t="s">
        <v>62</v>
      </c>
      <c r="AA81" s="97">
        <v>46181.458333101851</v>
      </c>
      <c r="AB81" s="89" t="s">
        <v>142</v>
      </c>
      <c r="AC81" s="120" t="s">
        <v>63</v>
      </c>
      <c r="AD81" s="89"/>
      <c r="AE81" s="89"/>
      <c r="AF81" s="89"/>
      <c r="AG81" s="89"/>
      <c r="AH81" s="99"/>
      <c r="AI81" s="99"/>
      <c r="AJ81" s="99"/>
      <c r="AK81" s="100"/>
      <c r="AL81" s="100" t="s">
        <v>64</v>
      </c>
      <c r="AM81" s="100" t="s">
        <v>102</v>
      </c>
      <c r="AN81" s="45" t="s">
        <v>65</v>
      </c>
      <c r="AO81" s="198" t="str">
        <f t="shared" si="9"/>
        <v>5/2026</v>
      </c>
      <c r="AP81" s="198">
        <f t="shared" si="10"/>
        <v>2</v>
      </c>
      <c r="AQ81" s="45" t="str">
        <f t="shared" si="11"/>
        <v>5/2026</v>
      </c>
      <c r="AR81" s="45">
        <f t="shared" si="12"/>
        <v>5</v>
      </c>
      <c r="AS81" s="45">
        <f t="shared" si="13"/>
        <v>0</v>
      </c>
      <c r="AT81" s="45">
        <f t="shared" si="14"/>
        <v>0</v>
      </c>
      <c r="AU81" s="45">
        <f t="shared" si="15"/>
        <v>0</v>
      </c>
      <c r="AV81" s="45">
        <f t="shared" si="16"/>
        <v>0</v>
      </c>
      <c r="AW81" s="45" t="str">
        <f>_xlfn.XLOOKUP(W81,'Lista Suspensa'!$AA$20:$AA$23,'Lista Suspensa'!$AB$20:$AB$23,"N/A")</f>
        <v>N/A</v>
      </c>
    </row>
    <row r="82" spans="1:49" ht="12" customHeight="1" x14ac:dyDescent="0.3">
      <c r="A82" s="87" t="s">
        <v>102</v>
      </c>
      <c r="B82" s="88">
        <v>46149</v>
      </c>
      <c r="C82" s="89" t="s">
        <v>143</v>
      </c>
      <c r="D82" s="89" t="s">
        <v>51</v>
      </c>
      <c r="E82" s="90">
        <v>78425739</v>
      </c>
      <c r="F82" s="91" t="s">
        <v>294</v>
      </c>
      <c r="G82" s="92">
        <v>561566771</v>
      </c>
      <c r="H82" s="93">
        <v>25704</v>
      </c>
      <c r="I82" s="89">
        <v>56</v>
      </c>
      <c r="J82" s="89" t="s">
        <v>67</v>
      </c>
      <c r="K82" s="89" t="s">
        <v>77</v>
      </c>
      <c r="L82" s="89" t="s">
        <v>78</v>
      </c>
      <c r="M82" s="89" t="s">
        <v>295</v>
      </c>
      <c r="N82" s="89">
        <v>60</v>
      </c>
      <c r="O82" s="94">
        <v>21965228052</v>
      </c>
      <c r="P82" s="95" t="s">
        <v>58</v>
      </c>
      <c r="Q82" s="144" t="s">
        <v>59</v>
      </c>
      <c r="R82" s="96">
        <v>46161</v>
      </c>
      <c r="S82" s="97"/>
      <c r="T82" s="97" t="s">
        <v>60</v>
      </c>
      <c r="U82" s="97" t="s">
        <v>61</v>
      </c>
      <c r="V82" s="93">
        <v>46153</v>
      </c>
      <c r="W82" s="93" t="s">
        <v>73</v>
      </c>
      <c r="X82" s="93" t="s">
        <v>73</v>
      </c>
      <c r="Y82" s="98"/>
      <c r="Z82" s="89" t="s">
        <v>296</v>
      </c>
      <c r="AA82" s="97"/>
      <c r="AB82" s="89"/>
      <c r="AC82" s="120"/>
      <c r="AD82" s="89"/>
      <c r="AE82" s="89"/>
      <c r="AF82" s="89"/>
      <c r="AG82" s="89"/>
      <c r="AH82" s="99"/>
      <c r="AI82" s="99"/>
      <c r="AJ82" s="99" t="s">
        <v>91</v>
      </c>
      <c r="AK82" s="100"/>
      <c r="AL82" s="100" t="s">
        <v>64</v>
      </c>
      <c r="AM82" s="100" t="s">
        <v>102</v>
      </c>
      <c r="AN82" s="45" t="s">
        <v>65</v>
      </c>
      <c r="AO82" s="198" t="str">
        <f t="shared" si="9"/>
        <v>5/2026</v>
      </c>
      <c r="AP82" s="198">
        <f t="shared" si="10"/>
        <v>2</v>
      </c>
      <c r="AQ82" s="45" t="str">
        <f t="shared" si="11"/>
        <v>5/2026</v>
      </c>
      <c r="AR82" s="45">
        <f t="shared" si="12"/>
        <v>4</v>
      </c>
      <c r="AS82" s="45">
        <f t="shared" si="13"/>
        <v>0</v>
      </c>
      <c r="AT82" s="45">
        <f t="shared" si="14"/>
        <v>0</v>
      </c>
      <c r="AU82" s="45">
        <f t="shared" si="15"/>
        <v>0</v>
      </c>
      <c r="AV82" s="45">
        <f t="shared" si="16"/>
        <v>0</v>
      </c>
      <c r="AW82" s="45" t="str">
        <f>_xlfn.XLOOKUP(W82,'Lista Suspensa'!$AA$20:$AA$23,'Lista Suspensa'!$AB$20:$AB$23,"N/A")</f>
        <v>N/A</v>
      </c>
    </row>
    <row r="83" spans="1:49" ht="12" customHeight="1" x14ac:dyDescent="0.3">
      <c r="A83" s="87" t="s">
        <v>49</v>
      </c>
      <c r="B83" s="88">
        <v>46147</v>
      </c>
      <c r="C83" s="89" t="s">
        <v>50</v>
      </c>
      <c r="D83" s="89" t="s">
        <v>51</v>
      </c>
      <c r="E83" s="90">
        <v>452060729</v>
      </c>
      <c r="F83" s="91" t="s">
        <v>297</v>
      </c>
      <c r="G83" s="92">
        <v>46953299649</v>
      </c>
      <c r="H83" s="93">
        <v>22153</v>
      </c>
      <c r="I83" s="89">
        <v>65</v>
      </c>
      <c r="J83" s="89" t="s">
        <v>67</v>
      </c>
      <c r="K83" s="89" t="s">
        <v>54</v>
      </c>
      <c r="L83" s="89" t="s">
        <v>298</v>
      </c>
      <c r="M83" s="89"/>
      <c r="N83" s="89" t="s">
        <v>94</v>
      </c>
      <c r="O83" s="94" t="s">
        <v>299</v>
      </c>
      <c r="P83" s="95" t="s">
        <v>58</v>
      </c>
      <c r="Q83" s="144" t="s">
        <v>59</v>
      </c>
      <c r="R83" s="96">
        <v>46161</v>
      </c>
      <c r="S83" s="97"/>
      <c r="T83" s="97" t="s">
        <v>60</v>
      </c>
      <c r="U83" s="97" t="s">
        <v>61</v>
      </c>
      <c r="V83" s="93">
        <v>46148</v>
      </c>
      <c r="W83" s="93">
        <v>46149</v>
      </c>
      <c r="X83" s="93" t="s">
        <v>73</v>
      </c>
      <c r="Y83" s="98"/>
      <c r="Z83" s="89" t="s">
        <v>62</v>
      </c>
      <c r="AA83" s="97">
        <v>46167</v>
      </c>
      <c r="AB83" s="89" t="s">
        <v>75</v>
      </c>
      <c r="AC83" s="120"/>
      <c r="AD83" s="89"/>
      <c r="AE83" s="89"/>
      <c r="AF83" s="89">
        <v>3.2</v>
      </c>
      <c r="AG83" s="89">
        <v>3.2</v>
      </c>
      <c r="AH83" s="99"/>
      <c r="AI83" s="99"/>
      <c r="AJ83" s="119" t="s">
        <v>91</v>
      </c>
      <c r="AK83" s="100"/>
      <c r="AL83" s="100" t="s">
        <v>64</v>
      </c>
      <c r="AM83" s="100" t="s">
        <v>102</v>
      </c>
      <c r="AN83" s="45" t="s">
        <v>65</v>
      </c>
      <c r="AO83" s="198" t="str">
        <f t="shared" si="9"/>
        <v>5/2026</v>
      </c>
      <c r="AP83" s="198">
        <f t="shared" si="10"/>
        <v>2</v>
      </c>
      <c r="AQ83" s="45" t="str">
        <f t="shared" si="11"/>
        <v>5/2026</v>
      </c>
      <c r="AR83" s="45">
        <f t="shared" si="12"/>
        <v>4</v>
      </c>
      <c r="AS83" s="45">
        <f t="shared" si="13"/>
        <v>0</v>
      </c>
      <c r="AT83" s="45">
        <f t="shared" si="14"/>
        <v>0</v>
      </c>
      <c r="AU83" s="45">
        <f t="shared" si="15"/>
        <v>0</v>
      </c>
      <c r="AV83" s="45">
        <f t="shared" si="16"/>
        <v>0</v>
      </c>
      <c r="AW83" s="45" t="str">
        <f>_xlfn.XLOOKUP(W83,'Lista Suspensa'!$AA$20:$AA$23,'Lista Suspensa'!$AB$20:$AB$23,"N/A")</f>
        <v>N/A</v>
      </c>
    </row>
    <row r="84" spans="1:49" ht="12" customHeight="1" x14ac:dyDescent="0.3">
      <c r="A84" s="87" t="s">
        <v>49</v>
      </c>
      <c r="B84" s="88">
        <v>46147</v>
      </c>
      <c r="C84" s="89" t="s">
        <v>50</v>
      </c>
      <c r="D84" s="89" t="s">
        <v>51</v>
      </c>
      <c r="E84" s="90">
        <v>485038374</v>
      </c>
      <c r="F84" s="91" t="s">
        <v>300</v>
      </c>
      <c r="G84" s="92">
        <v>3812521750</v>
      </c>
      <c r="H84" s="93">
        <v>27131</v>
      </c>
      <c r="I84" s="89">
        <v>52</v>
      </c>
      <c r="J84" s="89" t="s">
        <v>53</v>
      </c>
      <c r="K84" s="89" t="s">
        <v>301</v>
      </c>
      <c r="L84" s="89" t="s">
        <v>302</v>
      </c>
      <c r="M84" s="89"/>
      <c r="N84" s="89" t="s">
        <v>97</v>
      </c>
      <c r="O84" s="94" t="s">
        <v>303</v>
      </c>
      <c r="P84" s="95" t="s">
        <v>58</v>
      </c>
      <c r="Q84" s="144" t="s">
        <v>59</v>
      </c>
      <c r="R84" s="96">
        <v>46161</v>
      </c>
      <c r="S84" s="97"/>
      <c r="T84" s="97" t="s">
        <v>60</v>
      </c>
      <c r="U84" s="97" t="s">
        <v>61</v>
      </c>
      <c r="V84" s="93">
        <v>46148</v>
      </c>
      <c r="W84" s="93">
        <v>46149</v>
      </c>
      <c r="X84" s="93">
        <v>46161</v>
      </c>
      <c r="Y84" s="98"/>
      <c r="Z84" s="89" t="s">
        <v>62</v>
      </c>
      <c r="AA84" s="97">
        <v>46167</v>
      </c>
      <c r="AB84" s="89" t="s">
        <v>75</v>
      </c>
      <c r="AC84" s="120"/>
      <c r="AD84" s="89"/>
      <c r="AE84" s="89"/>
      <c r="AF84" s="89">
        <v>2.8</v>
      </c>
      <c r="AG84" s="89">
        <v>2.8</v>
      </c>
      <c r="AH84" s="99"/>
      <c r="AI84" s="99"/>
      <c r="AJ84" s="119" t="s">
        <v>91</v>
      </c>
      <c r="AK84" s="100"/>
      <c r="AL84" s="100" t="s">
        <v>64</v>
      </c>
      <c r="AM84" s="100" t="s">
        <v>102</v>
      </c>
      <c r="AN84" s="45" t="s">
        <v>65</v>
      </c>
      <c r="AO84" s="198" t="str">
        <f t="shared" si="9"/>
        <v>5/2026</v>
      </c>
      <c r="AP84" s="198">
        <f t="shared" si="10"/>
        <v>2</v>
      </c>
      <c r="AQ84" s="45" t="str">
        <f t="shared" si="11"/>
        <v>5/2026</v>
      </c>
      <c r="AR84" s="45">
        <f t="shared" si="12"/>
        <v>4</v>
      </c>
      <c r="AS84" s="45">
        <f t="shared" si="13"/>
        <v>0</v>
      </c>
      <c r="AT84" s="45">
        <f t="shared" si="14"/>
        <v>0</v>
      </c>
      <c r="AU84" s="45">
        <f t="shared" si="15"/>
        <v>0</v>
      </c>
      <c r="AV84" s="45">
        <f t="shared" si="16"/>
        <v>0</v>
      </c>
      <c r="AW84" s="45" t="str">
        <f>_xlfn.XLOOKUP(W84,'Lista Suspensa'!$AA$20:$AA$23,'Lista Suspensa'!$AB$20:$AB$23,"N/A")</f>
        <v>N/A</v>
      </c>
    </row>
    <row r="85" spans="1:49" ht="12" customHeight="1" x14ac:dyDescent="0.3">
      <c r="A85" s="87" t="s">
        <v>49</v>
      </c>
      <c r="B85" s="88">
        <v>46147</v>
      </c>
      <c r="C85" s="89" t="s">
        <v>50</v>
      </c>
      <c r="D85" s="89" t="s">
        <v>51</v>
      </c>
      <c r="E85" s="90">
        <v>71763928</v>
      </c>
      <c r="F85" s="91" t="s">
        <v>304</v>
      </c>
      <c r="G85" s="92">
        <v>49056468120</v>
      </c>
      <c r="H85" s="93">
        <v>27317</v>
      </c>
      <c r="I85" s="89">
        <v>51</v>
      </c>
      <c r="J85" s="89" t="s">
        <v>53</v>
      </c>
      <c r="K85" s="89" t="s">
        <v>301</v>
      </c>
      <c r="L85" s="89" t="s">
        <v>302</v>
      </c>
      <c r="M85" s="89"/>
      <c r="N85" s="89" t="s">
        <v>305</v>
      </c>
      <c r="O85" s="94" t="s">
        <v>306</v>
      </c>
      <c r="P85" s="95" t="s">
        <v>58</v>
      </c>
      <c r="Q85" s="144" t="s">
        <v>59</v>
      </c>
      <c r="R85" s="96">
        <v>46161</v>
      </c>
      <c r="S85" s="97"/>
      <c r="T85" s="97" t="s">
        <v>60</v>
      </c>
      <c r="U85" s="97" t="s">
        <v>61</v>
      </c>
      <c r="V85" s="93">
        <v>46148</v>
      </c>
      <c r="W85" s="93" t="s">
        <v>73</v>
      </c>
      <c r="X85" s="93" t="s">
        <v>73</v>
      </c>
      <c r="Y85" s="98"/>
      <c r="Z85" s="89" t="s">
        <v>62</v>
      </c>
      <c r="AA85" s="97">
        <v>46167</v>
      </c>
      <c r="AB85" s="89" t="s">
        <v>75</v>
      </c>
      <c r="AC85" s="120"/>
      <c r="AD85" s="89"/>
      <c r="AE85" s="89"/>
      <c r="AF85" s="89">
        <v>3.18</v>
      </c>
      <c r="AG85" s="89">
        <v>3.18</v>
      </c>
      <c r="AH85" s="99" t="s">
        <v>307</v>
      </c>
      <c r="AI85" s="99" t="s">
        <v>307</v>
      </c>
      <c r="AJ85" s="119" t="s">
        <v>91</v>
      </c>
      <c r="AK85" s="100"/>
      <c r="AL85" s="100" t="s">
        <v>64</v>
      </c>
      <c r="AM85" s="100" t="s">
        <v>102</v>
      </c>
      <c r="AN85" s="45" t="s">
        <v>65</v>
      </c>
      <c r="AO85" s="198" t="str">
        <f t="shared" si="9"/>
        <v>5/2026</v>
      </c>
      <c r="AP85" s="198">
        <f t="shared" si="10"/>
        <v>2</v>
      </c>
      <c r="AQ85" s="45" t="str">
        <f t="shared" si="11"/>
        <v>5/2026</v>
      </c>
      <c r="AR85" s="45">
        <f t="shared" si="12"/>
        <v>4</v>
      </c>
      <c r="AS85" s="45">
        <f t="shared" si="13"/>
        <v>0</v>
      </c>
      <c r="AT85" s="45">
        <f t="shared" si="14"/>
        <v>0</v>
      </c>
      <c r="AU85" s="45">
        <f t="shared" si="15"/>
        <v>0</v>
      </c>
      <c r="AV85" s="45">
        <f t="shared" si="16"/>
        <v>0</v>
      </c>
      <c r="AW85" s="45" t="str">
        <f>_xlfn.XLOOKUP(W85,'Lista Suspensa'!$AA$20:$AA$23,'Lista Suspensa'!$AB$20:$AB$23,"N/A")</f>
        <v>N/A</v>
      </c>
    </row>
    <row r="86" spans="1:49" ht="12" customHeight="1" x14ac:dyDescent="0.3">
      <c r="A86" s="87" t="s">
        <v>49</v>
      </c>
      <c r="B86" s="88">
        <v>46147</v>
      </c>
      <c r="C86" s="89" t="s">
        <v>50</v>
      </c>
      <c r="D86" s="89" t="s">
        <v>51</v>
      </c>
      <c r="E86" s="90">
        <v>969141980</v>
      </c>
      <c r="F86" s="91" t="s">
        <v>308</v>
      </c>
      <c r="G86" s="92">
        <v>93367600172</v>
      </c>
      <c r="H86" s="93">
        <v>29564</v>
      </c>
      <c r="I86" s="89">
        <v>45</v>
      </c>
      <c r="J86" s="89" t="s">
        <v>67</v>
      </c>
      <c r="K86" s="89" t="s">
        <v>301</v>
      </c>
      <c r="L86" s="89" t="s">
        <v>302</v>
      </c>
      <c r="M86" s="89"/>
      <c r="N86" s="89" t="s">
        <v>100</v>
      </c>
      <c r="O86" s="94" t="s">
        <v>309</v>
      </c>
      <c r="P86" s="95" t="s">
        <v>58</v>
      </c>
      <c r="Q86" s="144" t="s">
        <v>59</v>
      </c>
      <c r="R86" s="96">
        <v>46149</v>
      </c>
      <c r="S86" s="97"/>
      <c r="T86" s="97" t="s">
        <v>60</v>
      </c>
      <c r="U86" s="97" t="s">
        <v>61</v>
      </c>
      <c r="V86" s="93">
        <v>46149</v>
      </c>
      <c r="W86" s="93" t="s">
        <v>73</v>
      </c>
      <c r="X86" s="93" t="s">
        <v>73</v>
      </c>
      <c r="Y86" s="98"/>
      <c r="Z86" s="89" t="s">
        <v>62</v>
      </c>
      <c r="AA86" s="97">
        <v>46156</v>
      </c>
      <c r="AB86" s="89" t="s">
        <v>142</v>
      </c>
      <c r="AC86" s="120"/>
      <c r="AD86" s="89"/>
      <c r="AE86" s="89"/>
      <c r="AF86" s="89"/>
      <c r="AG86" s="89"/>
      <c r="AH86" s="99"/>
      <c r="AI86" s="99"/>
      <c r="AJ86" s="99" t="s">
        <v>91</v>
      </c>
      <c r="AK86" s="100"/>
      <c r="AL86" s="100" t="s">
        <v>64</v>
      </c>
      <c r="AM86" s="100" t="s">
        <v>102</v>
      </c>
      <c r="AN86" s="45" t="s">
        <v>65</v>
      </c>
      <c r="AO86" s="198" t="str">
        <f t="shared" si="9"/>
        <v>5/2026</v>
      </c>
      <c r="AP86" s="198">
        <f t="shared" si="10"/>
        <v>2</v>
      </c>
      <c r="AQ86" s="45" t="str">
        <f t="shared" si="11"/>
        <v>5/2026</v>
      </c>
      <c r="AR86" s="45">
        <f t="shared" si="12"/>
        <v>2</v>
      </c>
      <c r="AS86" s="45">
        <f t="shared" si="13"/>
        <v>0</v>
      </c>
      <c r="AT86" s="45">
        <f t="shared" si="14"/>
        <v>0</v>
      </c>
      <c r="AU86" s="45">
        <f t="shared" si="15"/>
        <v>0</v>
      </c>
      <c r="AV86" s="45">
        <f t="shared" si="16"/>
        <v>0</v>
      </c>
      <c r="AW86" s="45" t="str">
        <f>_xlfn.XLOOKUP(W86,'Lista Suspensa'!$AA$20:$AA$23,'Lista Suspensa'!$AB$20:$AB$23,"N/A")</f>
        <v>N/A</v>
      </c>
    </row>
    <row r="87" spans="1:49" ht="12" customHeight="1" x14ac:dyDescent="0.3">
      <c r="A87" s="87" t="s">
        <v>49</v>
      </c>
      <c r="B87" s="88">
        <v>46147</v>
      </c>
      <c r="C87" s="89" t="s">
        <v>50</v>
      </c>
      <c r="D87" s="89" t="s">
        <v>51</v>
      </c>
      <c r="E87" s="90">
        <v>84774201</v>
      </c>
      <c r="F87" s="91" t="s">
        <v>310</v>
      </c>
      <c r="G87" s="92">
        <v>69705224587</v>
      </c>
      <c r="H87" s="93">
        <v>26870</v>
      </c>
      <c r="I87" s="89">
        <v>52</v>
      </c>
      <c r="J87" s="89" t="s">
        <v>53</v>
      </c>
      <c r="K87" s="89" t="s">
        <v>54</v>
      </c>
      <c r="L87" s="89" t="s">
        <v>134</v>
      </c>
      <c r="M87" s="89"/>
      <c r="N87" s="89" t="s">
        <v>82</v>
      </c>
      <c r="O87" s="94" t="s">
        <v>311</v>
      </c>
      <c r="P87" s="95" t="s">
        <v>58</v>
      </c>
      <c r="Q87" s="144" t="s">
        <v>59</v>
      </c>
      <c r="R87" s="96">
        <v>46149</v>
      </c>
      <c r="S87" s="97"/>
      <c r="T87" s="97" t="s">
        <v>60</v>
      </c>
      <c r="U87" s="97" t="s">
        <v>61</v>
      </c>
      <c r="V87" s="93">
        <v>46149</v>
      </c>
      <c r="W87" s="93" t="s">
        <v>73</v>
      </c>
      <c r="X87" s="93" t="s">
        <v>73</v>
      </c>
      <c r="Y87" s="98"/>
      <c r="Z87" s="89" t="s">
        <v>62</v>
      </c>
      <c r="AA87" s="97">
        <v>46156</v>
      </c>
      <c r="AB87" s="89" t="s">
        <v>75</v>
      </c>
      <c r="AC87" s="120"/>
      <c r="AD87" s="89"/>
      <c r="AE87" s="89"/>
      <c r="AF87" s="89">
        <v>3.7</v>
      </c>
      <c r="AG87" s="89">
        <v>3.7</v>
      </c>
      <c r="AH87" s="99" t="s">
        <v>312</v>
      </c>
      <c r="AI87" s="99"/>
      <c r="AJ87" s="119" t="s">
        <v>91</v>
      </c>
      <c r="AK87" s="100"/>
      <c r="AL87" s="100" t="s">
        <v>64</v>
      </c>
      <c r="AM87" s="100" t="s">
        <v>102</v>
      </c>
      <c r="AN87" s="45" t="s">
        <v>65</v>
      </c>
      <c r="AO87" s="198" t="str">
        <f t="shared" si="9"/>
        <v>5/2026</v>
      </c>
      <c r="AP87" s="198">
        <f t="shared" si="10"/>
        <v>2</v>
      </c>
      <c r="AQ87" s="45" t="str">
        <f t="shared" si="11"/>
        <v>5/2026</v>
      </c>
      <c r="AR87" s="45">
        <f t="shared" si="12"/>
        <v>2</v>
      </c>
      <c r="AS87" s="45">
        <f t="shared" si="13"/>
        <v>0</v>
      </c>
      <c r="AT87" s="45">
        <f t="shared" si="14"/>
        <v>0</v>
      </c>
      <c r="AU87" s="45">
        <f t="shared" si="15"/>
        <v>0</v>
      </c>
      <c r="AV87" s="45">
        <f t="shared" si="16"/>
        <v>0</v>
      </c>
      <c r="AW87" s="45" t="str">
        <f>_xlfn.XLOOKUP(W87,'Lista Suspensa'!$AA$20:$AA$23,'Lista Suspensa'!$AB$20:$AB$23,"N/A")</f>
        <v>N/A</v>
      </c>
    </row>
    <row r="88" spans="1:49" ht="12" customHeight="1" x14ac:dyDescent="0.3">
      <c r="A88" s="87" t="s">
        <v>49</v>
      </c>
      <c r="B88" s="88">
        <v>46147</v>
      </c>
      <c r="C88" s="89" t="s">
        <v>50</v>
      </c>
      <c r="D88" s="89" t="s">
        <v>51</v>
      </c>
      <c r="E88" s="90">
        <v>793063426</v>
      </c>
      <c r="F88" s="91" t="s">
        <v>313</v>
      </c>
      <c r="G88" s="92">
        <v>20653522304</v>
      </c>
      <c r="H88" s="93">
        <v>21779</v>
      </c>
      <c r="I88" s="89">
        <v>66</v>
      </c>
      <c r="J88" s="89" t="s">
        <v>53</v>
      </c>
      <c r="K88" s="89" t="s">
        <v>54</v>
      </c>
      <c r="L88" s="89" t="s">
        <v>134</v>
      </c>
      <c r="M88" s="89"/>
      <c r="N88" s="89" t="s">
        <v>108</v>
      </c>
      <c r="O88" s="94" t="s">
        <v>314</v>
      </c>
      <c r="P88" s="95" t="s">
        <v>58</v>
      </c>
      <c r="Q88" s="144" t="s">
        <v>59</v>
      </c>
      <c r="R88" s="96">
        <v>46149</v>
      </c>
      <c r="S88" s="97"/>
      <c r="T88" s="97" t="s">
        <v>60</v>
      </c>
      <c r="U88" s="97" t="s">
        <v>61</v>
      </c>
      <c r="V88" s="93">
        <v>46149</v>
      </c>
      <c r="W88" s="93" t="s">
        <v>73</v>
      </c>
      <c r="X88" s="93" t="s">
        <v>73</v>
      </c>
      <c r="Y88" s="98"/>
      <c r="Z88" s="89" t="s">
        <v>62</v>
      </c>
      <c r="AA88" s="97">
        <v>46156</v>
      </c>
      <c r="AB88" s="89" t="s">
        <v>142</v>
      </c>
      <c r="AC88" s="120"/>
      <c r="AD88" s="89"/>
      <c r="AE88" s="89"/>
      <c r="AF88" s="89"/>
      <c r="AG88" s="89"/>
      <c r="AH88" s="99"/>
      <c r="AI88" s="99"/>
      <c r="AJ88" s="99" t="s">
        <v>91</v>
      </c>
      <c r="AK88" s="100"/>
      <c r="AL88" s="100" t="s">
        <v>64</v>
      </c>
      <c r="AM88" s="100" t="s">
        <v>102</v>
      </c>
      <c r="AN88" s="45" t="s">
        <v>65</v>
      </c>
      <c r="AO88" s="198" t="str">
        <f t="shared" si="9"/>
        <v>5/2026</v>
      </c>
      <c r="AP88" s="198">
        <f t="shared" si="10"/>
        <v>2</v>
      </c>
      <c r="AQ88" s="45" t="str">
        <f t="shared" si="11"/>
        <v>5/2026</v>
      </c>
      <c r="AR88" s="45">
        <f t="shared" si="12"/>
        <v>2</v>
      </c>
      <c r="AS88" s="45">
        <f t="shared" si="13"/>
        <v>0</v>
      </c>
      <c r="AT88" s="45">
        <f t="shared" si="14"/>
        <v>0</v>
      </c>
      <c r="AU88" s="45">
        <f t="shared" si="15"/>
        <v>0</v>
      </c>
      <c r="AV88" s="45">
        <f t="shared" si="16"/>
        <v>0</v>
      </c>
      <c r="AW88" s="45" t="str">
        <f>_xlfn.XLOOKUP(W88,'Lista Suspensa'!$AA$20:$AA$23,'Lista Suspensa'!$AB$20:$AB$23,"N/A")</f>
        <v>N/A</v>
      </c>
    </row>
    <row r="89" spans="1:49" ht="12" customHeight="1" x14ac:dyDescent="0.3">
      <c r="A89" s="87" t="s">
        <v>49</v>
      </c>
      <c r="B89" s="88">
        <v>46147</v>
      </c>
      <c r="C89" s="89" t="s">
        <v>50</v>
      </c>
      <c r="D89" s="89" t="s">
        <v>51</v>
      </c>
      <c r="E89" s="90">
        <v>223827169</v>
      </c>
      <c r="F89" s="91" t="s">
        <v>315</v>
      </c>
      <c r="G89" s="92">
        <v>443673845</v>
      </c>
      <c r="H89" s="93">
        <v>21584</v>
      </c>
      <c r="I89" s="89">
        <v>67</v>
      </c>
      <c r="J89" s="89" t="s">
        <v>53</v>
      </c>
      <c r="K89" s="89" t="s">
        <v>54</v>
      </c>
      <c r="L89" s="89" t="s">
        <v>134</v>
      </c>
      <c r="M89" s="89"/>
      <c r="N89" s="89" t="s">
        <v>97</v>
      </c>
      <c r="O89" s="94" t="s">
        <v>316</v>
      </c>
      <c r="P89" s="95" t="s">
        <v>58</v>
      </c>
      <c r="Q89" s="144" t="s">
        <v>59</v>
      </c>
      <c r="R89" s="96">
        <v>46149</v>
      </c>
      <c r="S89" s="97"/>
      <c r="T89" s="97" t="s">
        <v>60</v>
      </c>
      <c r="U89" s="97" t="s">
        <v>61</v>
      </c>
      <c r="V89" s="93">
        <v>46149</v>
      </c>
      <c r="W89" s="93" t="s">
        <v>73</v>
      </c>
      <c r="X89" s="93" t="s">
        <v>73</v>
      </c>
      <c r="Y89" s="98"/>
      <c r="Z89" s="89" t="s">
        <v>62</v>
      </c>
      <c r="AA89" s="97">
        <v>46156</v>
      </c>
      <c r="AB89" s="89" t="s">
        <v>142</v>
      </c>
      <c r="AC89" s="120"/>
      <c r="AD89" s="89"/>
      <c r="AE89" s="89"/>
      <c r="AF89" s="89"/>
      <c r="AG89" s="89"/>
      <c r="AH89" s="99"/>
      <c r="AI89" s="99"/>
      <c r="AJ89" s="99" t="s">
        <v>91</v>
      </c>
      <c r="AK89" s="100"/>
      <c r="AL89" s="100" t="s">
        <v>64</v>
      </c>
      <c r="AM89" s="100" t="s">
        <v>102</v>
      </c>
      <c r="AN89" s="45" t="s">
        <v>65</v>
      </c>
      <c r="AO89" s="198" t="str">
        <f t="shared" si="9"/>
        <v>5/2026</v>
      </c>
      <c r="AP89" s="198">
        <f t="shared" si="10"/>
        <v>2</v>
      </c>
      <c r="AQ89" s="45" t="str">
        <f t="shared" si="11"/>
        <v>5/2026</v>
      </c>
      <c r="AR89" s="45">
        <f t="shared" si="12"/>
        <v>2</v>
      </c>
      <c r="AS89" s="45">
        <f t="shared" si="13"/>
        <v>0</v>
      </c>
      <c r="AT89" s="45">
        <f t="shared" si="14"/>
        <v>0</v>
      </c>
      <c r="AU89" s="45">
        <f t="shared" si="15"/>
        <v>0</v>
      </c>
      <c r="AV89" s="45">
        <f t="shared" si="16"/>
        <v>0</v>
      </c>
      <c r="AW89" s="45" t="str">
        <f>_xlfn.XLOOKUP(W89,'Lista Suspensa'!$AA$20:$AA$23,'Lista Suspensa'!$AB$20:$AB$23,"N/A")</f>
        <v>N/A</v>
      </c>
    </row>
    <row r="90" spans="1:49" ht="12" customHeight="1" x14ac:dyDescent="0.3">
      <c r="A90" s="87" t="s">
        <v>49</v>
      </c>
      <c r="B90" s="88">
        <v>46147</v>
      </c>
      <c r="C90" s="89" t="s">
        <v>50</v>
      </c>
      <c r="D90" s="89" t="s">
        <v>51</v>
      </c>
      <c r="E90" s="90">
        <v>461244691</v>
      </c>
      <c r="F90" s="91" t="s">
        <v>317</v>
      </c>
      <c r="G90" s="92">
        <v>25762005836</v>
      </c>
      <c r="H90" s="93">
        <v>26201</v>
      </c>
      <c r="I90" s="89">
        <v>54</v>
      </c>
      <c r="J90" s="89" t="s">
        <v>53</v>
      </c>
      <c r="K90" s="89" t="s">
        <v>54</v>
      </c>
      <c r="L90" s="89" t="s">
        <v>318</v>
      </c>
      <c r="M90" s="89"/>
      <c r="N90" s="89" t="s">
        <v>94</v>
      </c>
      <c r="O90" s="94" t="s">
        <v>319</v>
      </c>
      <c r="P90" s="95" t="s">
        <v>58</v>
      </c>
      <c r="Q90" s="144" t="s">
        <v>59</v>
      </c>
      <c r="R90" s="96">
        <v>46149</v>
      </c>
      <c r="S90" s="97"/>
      <c r="T90" s="97" t="s">
        <v>60</v>
      </c>
      <c r="U90" s="97" t="s">
        <v>61</v>
      </c>
      <c r="V90" s="93">
        <v>46149</v>
      </c>
      <c r="W90" s="93" t="s">
        <v>73</v>
      </c>
      <c r="X90" s="93" t="s">
        <v>73</v>
      </c>
      <c r="Y90" s="98"/>
      <c r="Z90" s="89" t="s">
        <v>62</v>
      </c>
      <c r="AA90" s="97">
        <v>46155</v>
      </c>
      <c r="AB90" s="89" t="s">
        <v>75</v>
      </c>
      <c r="AC90" s="120"/>
      <c r="AD90" s="89"/>
      <c r="AE90" s="89"/>
      <c r="AF90" s="89">
        <v>2</v>
      </c>
      <c r="AG90" s="89">
        <v>2</v>
      </c>
      <c r="AH90" s="99"/>
      <c r="AI90" s="99"/>
      <c r="AJ90" s="99" t="s">
        <v>91</v>
      </c>
      <c r="AK90" s="100"/>
      <c r="AL90" s="100" t="s">
        <v>64</v>
      </c>
      <c r="AM90" s="100" t="s">
        <v>102</v>
      </c>
      <c r="AN90" s="45" t="s">
        <v>65</v>
      </c>
      <c r="AO90" s="198" t="str">
        <f t="shared" si="9"/>
        <v>5/2026</v>
      </c>
      <c r="AP90" s="198">
        <f t="shared" si="10"/>
        <v>2</v>
      </c>
      <c r="AQ90" s="45" t="str">
        <f t="shared" si="11"/>
        <v>5/2026</v>
      </c>
      <c r="AR90" s="45">
        <f t="shared" si="12"/>
        <v>2</v>
      </c>
      <c r="AS90" s="45">
        <f t="shared" si="13"/>
        <v>0</v>
      </c>
      <c r="AT90" s="45">
        <f t="shared" si="14"/>
        <v>0</v>
      </c>
      <c r="AU90" s="45">
        <f t="shared" si="15"/>
        <v>0</v>
      </c>
      <c r="AV90" s="45">
        <f t="shared" si="16"/>
        <v>0</v>
      </c>
      <c r="AW90" s="45" t="str">
        <f>_xlfn.XLOOKUP(W90,'Lista Suspensa'!$AA$20:$AA$23,'Lista Suspensa'!$AB$20:$AB$23,"N/A")</f>
        <v>N/A</v>
      </c>
    </row>
    <row r="91" spans="1:49" ht="12" customHeight="1" x14ac:dyDescent="0.3">
      <c r="A91" s="87" t="s">
        <v>49</v>
      </c>
      <c r="B91" s="88">
        <v>46147</v>
      </c>
      <c r="C91" s="89" t="s">
        <v>50</v>
      </c>
      <c r="D91" s="89" t="s">
        <v>51</v>
      </c>
      <c r="E91" s="90">
        <v>450630030</v>
      </c>
      <c r="F91" s="91" t="s">
        <v>320</v>
      </c>
      <c r="G91" s="92">
        <v>13439072843</v>
      </c>
      <c r="H91" s="93">
        <v>24257</v>
      </c>
      <c r="I91" s="89">
        <v>59</v>
      </c>
      <c r="J91" s="89" t="s">
        <v>67</v>
      </c>
      <c r="K91" s="89" t="s">
        <v>54</v>
      </c>
      <c r="L91" s="89" t="s">
        <v>68</v>
      </c>
      <c r="M91" s="89"/>
      <c r="N91" s="89" t="s">
        <v>94</v>
      </c>
      <c r="O91" s="94" t="s">
        <v>321</v>
      </c>
      <c r="P91" s="95" t="s">
        <v>58</v>
      </c>
      <c r="Q91" s="144" t="s">
        <v>59</v>
      </c>
      <c r="R91" s="96">
        <v>46161</v>
      </c>
      <c r="S91" s="97"/>
      <c r="T91" s="97" t="s">
        <v>60</v>
      </c>
      <c r="U91" s="97" t="s">
        <v>61</v>
      </c>
      <c r="V91" s="93">
        <v>46161</v>
      </c>
      <c r="W91" s="93" t="s">
        <v>73</v>
      </c>
      <c r="X91" s="93" t="s">
        <v>73</v>
      </c>
      <c r="Y91" s="98"/>
      <c r="Z91" s="89" t="s">
        <v>62</v>
      </c>
      <c r="AA91" s="97">
        <v>46171</v>
      </c>
      <c r="AB91" s="89" t="s">
        <v>75</v>
      </c>
      <c r="AC91" s="120"/>
      <c r="AD91" s="89"/>
      <c r="AE91" s="89"/>
      <c r="AF91" s="89" t="s">
        <v>322</v>
      </c>
      <c r="AG91" s="89">
        <v>2.62</v>
      </c>
      <c r="AH91" s="99"/>
      <c r="AI91" s="99"/>
      <c r="AJ91" s="99"/>
      <c r="AK91" s="100"/>
      <c r="AL91" s="100" t="s">
        <v>64</v>
      </c>
      <c r="AM91" s="100" t="s">
        <v>102</v>
      </c>
      <c r="AN91" s="45" t="s">
        <v>65</v>
      </c>
      <c r="AO91" s="198" t="str">
        <f t="shared" si="9"/>
        <v>5/2026</v>
      </c>
      <c r="AP91" s="198">
        <f t="shared" si="10"/>
        <v>2</v>
      </c>
      <c r="AQ91" s="45" t="str">
        <f t="shared" si="11"/>
        <v>5/2026</v>
      </c>
      <c r="AR91" s="45">
        <f t="shared" si="12"/>
        <v>4</v>
      </c>
      <c r="AS91" s="45">
        <f t="shared" si="13"/>
        <v>0</v>
      </c>
      <c r="AT91" s="45">
        <f t="shared" si="14"/>
        <v>0</v>
      </c>
      <c r="AU91" s="45">
        <f t="shared" si="15"/>
        <v>0</v>
      </c>
      <c r="AV91" s="45">
        <f t="shared" si="16"/>
        <v>0</v>
      </c>
      <c r="AW91" s="45" t="str">
        <f>_xlfn.XLOOKUP(W91,'Lista Suspensa'!$AA$20:$AA$23,'Lista Suspensa'!$AB$20:$AB$23,"N/A")</f>
        <v>N/A</v>
      </c>
    </row>
    <row r="92" spans="1:49" ht="12" customHeight="1" x14ac:dyDescent="0.3">
      <c r="A92" s="87" t="s">
        <v>49</v>
      </c>
      <c r="B92" s="88">
        <v>46147</v>
      </c>
      <c r="C92" s="89" t="s">
        <v>50</v>
      </c>
      <c r="D92" s="89" t="s">
        <v>51</v>
      </c>
      <c r="E92" s="90">
        <v>75914495</v>
      </c>
      <c r="F92" s="91" t="s">
        <v>323</v>
      </c>
      <c r="G92" s="92">
        <v>4665982899</v>
      </c>
      <c r="H92" s="93">
        <v>23354</v>
      </c>
      <c r="I92" s="89">
        <v>62</v>
      </c>
      <c r="J92" s="89" t="s">
        <v>53</v>
      </c>
      <c r="K92" s="89" t="s">
        <v>54</v>
      </c>
      <c r="L92" s="89" t="s">
        <v>68</v>
      </c>
      <c r="M92" s="89"/>
      <c r="N92" s="89" t="s">
        <v>69</v>
      </c>
      <c r="O92" s="94" t="s">
        <v>324</v>
      </c>
      <c r="P92" s="95" t="s">
        <v>58</v>
      </c>
      <c r="Q92" s="144" t="s">
        <v>59</v>
      </c>
      <c r="R92" s="96">
        <v>46161</v>
      </c>
      <c r="S92" s="97"/>
      <c r="T92" s="97" t="s">
        <v>60</v>
      </c>
      <c r="U92" s="97" t="s">
        <v>61</v>
      </c>
      <c r="V92" s="93">
        <v>46161</v>
      </c>
      <c r="W92" s="93" t="s">
        <v>73</v>
      </c>
      <c r="X92" s="93" t="s">
        <v>73</v>
      </c>
      <c r="Y92" s="98"/>
      <c r="Z92" s="89" t="s">
        <v>62</v>
      </c>
      <c r="AA92" s="97">
        <v>46167</v>
      </c>
      <c r="AB92" s="89" t="s">
        <v>142</v>
      </c>
      <c r="AC92" s="120"/>
      <c r="AD92" s="89"/>
      <c r="AE92" s="89"/>
      <c r="AF92" s="89"/>
      <c r="AG92" s="89"/>
      <c r="AH92" s="99"/>
      <c r="AI92" s="99"/>
      <c r="AJ92" s="99"/>
      <c r="AK92" s="100"/>
      <c r="AL92" s="100" t="s">
        <v>64</v>
      </c>
      <c r="AM92" s="100" t="s">
        <v>102</v>
      </c>
      <c r="AN92" s="45" t="s">
        <v>65</v>
      </c>
      <c r="AO92" s="198" t="str">
        <f t="shared" si="9"/>
        <v>5/2026</v>
      </c>
      <c r="AP92" s="198">
        <f t="shared" si="10"/>
        <v>2</v>
      </c>
      <c r="AQ92" s="45" t="str">
        <f t="shared" si="11"/>
        <v>5/2026</v>
      </c>
      <c r="AR92" s="45">
        <f t="shared" si="12"/>
        <v>4</v>
      </c>
      <c r="AS92" s="45">
        <f t="shared" si="13"/>
        <v>0</v>
      </c>
      <c r="AT92" s="45">
        <f t="shared" si="14"/>
        <v>0</v>
      </c>
      <c r="AU92" s="45">
        <f t="shared" si="15"/>
        <v>0</v>
      </c>
      <c r="AV92" s="45">
        <f t="shared" si="16"/>
        <v>0</v>
      </c>
      <c r="AW92" s="45" t="str">
        <f>_xlfn.XLOOKUP(W92,'Lista Suspensa'!$AA$20:$AA$23,'Lista Suspensa'!$AB$20:$AB$23,"N/A")</f>
        <v>N/A</v>
      </c>
    </row>
    <row r="93" spans="1:49" ht="12" customHeight="1" x14ac:dyDescent="0.3">
      <c r="A93" s="87" t="s">
        <v>49</v>
      </c>
      <c r="B93" s="88">
        <v>46147</v>
      </c>
      <c r="C93" s="89" t="s">
        <v>50</v>
      </c>
      <c r="D93" s="89" t="s">
        <v>51</v>
      </c>
      <c r="E93" s="90">
        <v>95663146</v>
      </c>
      <c r="F93" s="91" t="s">
        <v>325</v>
      </c>
      <c r="G93" s="92">
        <v>23055017811</v>
      </c>
      <c r="H93" s="93">
        <v>35202</v>
      </c>
      <c r="I93" s="89">
        <v>30</v>
      </c>
      <c r="J93" s="89" t="s">
        <v>53</v>
      </c>
      <c r="K93" s="89" t="s">
        <v>54</v>
      </c>
      <c r="L93" s="89" t="s">
        <v>68</v>
      </c>
      <c r="M93" s="89"/>
      <c r="N93" s="89" t="s">
        <v>82</v>
      </c>
      <c r="O93" s="94" t="s">
        <v>326</v>
      </c>
      <c r="P93" s="95" t="s">
        <v>58</v>
      </c>
      <c r="Q93" s="144" t="s">
        <v>59</v>
      </c>
      <c r="R93" s="96">
        <v>46150</v>
      </c>
      <c r="S93" s="97"/>
      <c r="T93" s="97" t="s">
        <v>60</v>
      </c>
      <c r="U93" s="97" t="s">
        <v>61</v>
      </c>
      <c r="V93" s="93">
        <v>46150</v>
      </c>
      <c r="W93" s="93" t="s">
        <v>73</v>
      </c>
      <c r="X93" s="93" t="s">
        <v>73</v>
      </c>
      <c r="Y93" s="98"/>
      <c r="Z93" s="89" t="s">
        <v>62</v>
      </c>
      <c r="AA93" s="97">
        <v>46170</v>
      </c>
      <c r="AB93" s="89" t="s">
        <v>75</v>
      </c>
      <c r="AC93" s="120"/>
      <c r="AD93" s="89" t="s">
        <v>122</v>
      </c>
      <c r="AE93" s="89"/>
      <c r="AF93" s="89">
        <v>1.7</v>
      </c>
      <c r="AG93" s="89">
        <v>1.7</v>
      </c>
      <c r="AH93" s="99" t="s">
        <v>90</v>
      </c>
      <c r="AI93" s="99"/>
      <c r="AJ93" s="119" t="s">
        <v>91</v>
      </c>
      <c r="AK93" s="100"/>
      <c r="AL93" s="100" t="s">
        <v>64</v>
      </c>
      <c r="AM93" s="100" t="s">
        <v>102</v>
      </c>
      <c r="AN93" s="45" t="s">
        <v>65</v>
      </c>
      <c r="AO93" s="198" t="str">
        <f t="shared" si="9"/>
        <v>5/2026</v>
      </c>
      <c r="AP93" s="198">
        <f t="shared" si="10"/>
        <v>2</v>
      </c>
      <c r="AQ93" s="45" t="str">
        <f t="shared" si="11"/>
        <v>5/2026</v>
      </c>
      <c r="AR93" s="45">
        <f t="shared" si="12"/>
        <v>2</v>
      </c>
      <c r="AS93" s="45">
        <f t="shared" si="13"/>
        <v>0</v>
      </c>
      <c r="AT93" s="45">
        <f t="shared" si="14"/>
        <v>0</v>
      </c>
      <c r="AU93" s="45">
        <f t="shared" si="15"/>
        <v>0</v>
      </c>
      <c r="AV93" s="45">
        <f t="shared" si="16"/>
        <v>0</v>
      </c>
      <c r="AW93" s="45" t="str">
        <f>_xlfn.XLOOKUP(W93,'Lista Suspensa'!$AA$20:$AA$23,'Lista Suspensa'!$AB$20:$AB$23,"N/A")</f>
        <v>N/A</v>
      </c>
    </row>
    <row r="94" spans="1:49" ht="12" customHeight="1" x14ac:dyDescent="0.3">
      <c r="A94" s="87" t="s">
        <v>49</v>
      </c>
      <c r="B94" s="88">
        <v>46147</v>
      </c>
      <c r="C94" s="89" t="s">
        <v>50</v>
      </c>
      <c r="D94" s="89" t="s">
        <v>51</v>
      </c>
      <c r="E94" s="90">
        <v>594010144</v>
      </c>
      <c r="F94" s="91" t="s">
        <v>327</v>
      </c>
      <c r="G94" s="92">
        <v>30924587881</v>
      </c>
      <c r="H94" s="93">
        <v>30206</v>
      </c>
      <c r="I94" s="89">
        <v>43</v>
      </c>
      <c r="J94" s="89" t="s">
        <v>67</v>
      </c>
      <c r="K94" s="89" t="s">
        <v>54</v>
      </c>
      <c r="L94" s="89" t="s">
        <v>161</v>
      </c>
      <c r="M94" s="89"/>
      <c r="N94" s="89" t="s">
        <v>69</v>
      </c>
      <c r="O94" s="94" t="s">
        <v>328</v>
      </c>
      <c r="P94" s="95" t="s">
        <v>58</v>
      </c>
      <c r="Q94" s="144" t="s">
        <v>59</v>
      </c>
      <c r="R94" s="96">
        <v>46161</v>
      </c>
      <c r="S94" s="97"/>
      <c r="T94" s="97" t="s">
        <v>60</v>
      </c>
      <c r="U94" s="97" t="s">
        <v>61</v>
      </c>
      <c r="V94" s="93">
        <v>46161</v>
      </c>
      <c r="W94" s="93" t="s">
        <v>73</v>
      </c>
      <c r="X94" s="93" t="s">
        <v>73</v>
      </c>
      <c r="Y94" s="98"/>
      <c r="Z94" s="89" t="s">
        <v>62</v>
      </c>
      <c r="AA94" s="97">
        <v>46168</v>
      </c>
      <c r="AB94" s="89" t="s">
        <v>75</v>
      </c>
      <c r="AC94" s="120"/>
      <c r="AD94" s="89"/>
      <c r="AE94" s="89"/>
      <c r="AF94" s="89">
        <v>2.15</v>
      </c>
      <c r="AG94" s="89">
        <v>2.15</v>
      </c>
      <c r="AH94" s="99"/>
      <c r="AI94" s="99"/>
      <c r="AJ94" s="119" t="s">
        <v>91</v>
      </c>
      <c r="AK94" s="100"/>
      <c r="AL94" s="100" t="s">
        <v>64</v>
      </c>
      <c r="AM94" s="100" t="s">
        <v>102</v>
      </c>
      <c r="AN94" s="45" t="s">
        <v>65</v>
      </c>
      <c r="AO94" s="198" t="str">
        <f t="shared" si="9"/>
        <v>5/2026</v>
      </c>
      <c r="AP94" s="198">
        <f t="shared" si="10"/>
        <v>2</v>
      </c>
      <c r="AQ94" s="45" t="str">
        <f t="shared" si="11"/>
        <v>5/2026</v>
      </c>
      <c r="AR94" s="45">
        <f t="shared" si="12"/>
        <v>4</v>
      </c>
      <c r="AS94" s="45">
        <f t="shared" si="13"/>
        <v>0</v>
      </c>
      <c r="AT94" s="45">
        <f t="shared" si="14"/>
        <v>0</v>
      </c>
      <c r="AU94" s="45">
        <f t="shared" si="15"/>
        <v>0</v>
      </c>
      <c r="AV94" s="45">
        <f>IF(AW94="S",IF(AND(Q94="1. Aceitou o programa",#REF!="Realizada"),IFERROR(IF(AA94="",0,AA94-R94),0),0),0)</f>
        <v>0</v>
      </c>
      <c r="AW94" s="45" t="str">
        <f>_xlfn.XLOOKUP(W94,'Lista Suspensa'!$AA$20:$AA$23,'Lista Suspensa'!$AB$20:$AB$23,"N/A")</f>
        <v>N/A</v>
      </c>
    </row>
    <row r="95" spans="1:49" ht="12" customHeight="1" x14ac:dyDescent="0.3">
      <c r="A95" s="87" t="s">
        <v>49</v>
      </c>
      <c r="B95" s="88">
        <v>46147</v>
      </c>
      <c r="C95" s="89" t="s">
        <v>50</v>
      </c>
      <c r="D95" s="89" t="s">
        <v>51</v>
      </c>
      <c r="E95" s="90">
        <v>77693197</v>
      </c>
      <c r="F95" s="91" t="s">
        <v>329</v>
      </c>
      <c r="G95" s="92">
        <v>44455668888</v>
      </c>
      <c r="H95" s="93">
        <v>34658</v>
      </c>
      <c r="I95" s="89">
        <v>31</v>
      </c>
      <c r="J95" s="89" t="s">
        <v>53</v>
      </c>
      <c r="K95" s="89" t="s">
        <v>54</v>
      </c>
      <c r="L95" s="89" t="s">
        <v>161</v>
      </c>
      <c r="M95" s="89"/>
      <c r="N95" s="89" t="s">
        <v>69</v>
      </c>
      <c r="O95" s="94" t="s">
        <v>330</v>
      </c>
      <c r="P95" s="95" t="s">
        <v>58</v>
      </c>
      <c r="Q95" s="144" t="s">
        <v>59</v>
      </c>
      <c r="R95" s="96">
        <v>46161</v>
      </c>
      <c r="S95" s="97"/>
      <c r="T95" s="97" t="s">
        <v>60</v>
      </c>
      <c r="U95" s="97" t="s">
        <v>61</v>
      </c>
      <c r="V95" s="93">
        <v>46161</v>
      </c>
      <c r="W95" s="93" t="s">
        <v>73</v>
      </c>
      <c r="X95" s="93" t="s">
        <v>73</v>
      </c>
      <c r="Y95" s="98"/>
      <c r="Z95" s="89" t="s">
        <v>62</v>
      </c>
      <c r="AA95" s="97">
        <v>46168</v>
      </c>
      <c r="AB95" s="89" t="s">
        <v>75</v>
      </c>
      <c r="AC95" s="120"/>
      <c r="AD95" s="89"/>
      <c r="AE95" s="89"/>
      <c r="AF95" s="89">
        <v>3.7</v>
      </c>
      <c r="AG95" s="89">
        <v>3.7</v>
      </c>
      <c r="AH95" s="99"/>
      <c r="AI95" s="99"/>
      <c r="AJ95" s="119" t="s">
        <v>91</v>
      </c>
      <c r="AK95" s="100"/>
      <c r="AL95" s="100" t="s">
        <v>64</v>
      </c>
      <c r="AM95" s="100" t="s">
        <v>102</v>
      </c>
      <c r="AN95" s="45" t="s">
        <v>65</v>
      </c>
      <c r="AO95" s="198" t="str">
        <f t="shared" si="9"/>
        <v>5/2026</v>
      </c>
      <c r="AP95" s="198">
        <f t="shared" si="10"/>
        <v>2</v>
      </c>
      <c r="AQ95" s="45" t="str">
        <f t="shared" si="11"/>
        <v>5/2026</v>
      </c>
      <c r="AR95" s="45">
        <f t="shared" si="12"/>
        <v>4</v>
      </c>
      <c r="AS95" s="45">
        <f t="shared" si="13"/>
        <v>0</v>
      </c>
      <c r="AT95" s="45">
        <f t="shared" si="14"/>
        <v>0</v>
      </c>
      <c r="AU95" s="45">
        <f t="shared" si="15"/>
        <v>0</v>
      </c>
      <c r="AV95" s="45">
        <f t="shared" ref="AV95:AV158" si="17">IF(AW95="S",IF(AND(Q95="1. Aceitou o programa",AB95="Realizada"),IFERROR(IF(AA95="",0,AA95-R95),0),0),0)</f>
        <v>0</v>
      </c>
      <c r="AW95" s="45" t="str">
        <f>_xlfn.XLOOKUP(W95,'Lista Suspensa'!$AA$20:$AA$23,'Lista Suspensa'!$AB$20:$AB$23,"N/A")</f>
        <v>N/A</v>
      </c>
    </row>
    <row r="96" spans="1:49" ht="12" customHeight="1" x14ac:dyDescent="0.3">
      <c r="A96" s="87" t="s">
        <v>49</v>
      </c>
      <c r="B96" s="88">
        <v>46147</v>
      </c>
      <c r="C96" s="89" t="s">
        <v>50</v>
      </c>
      <c r="D96" s="89" t="s">
        <v>51</v>
      </c>
      <c r="E96" s="90">
        <v>78186421</v>
      </c>
      <c r="F96" s="91" t="s">
        <v>331</v>
      </c>
      <c r="G96" s="92">
        <v>64466299404</v>
      </c>
      <c r="H96" s="93">
        <v>24936</v>
      </c>
      <c r="I96" s="89">
        <v>58</v>
      </c>
      <c r="J96" s="89" t="s">
        <v>67</v>
      </c>
      <c r="K96" s="89" t="s">
        <v>54</v>
      </c>
      <c r="L96" s="89" t="s">
        <v>161</v>
      </c>
      <c r="M96" s="89"/>
      <c r="N96" s="89" t="s">
        <v>82</v>
      </c>
      <c r="O96" s="94" t="s">
        <v>332</v>
      </c>
      <c r="P96" s="95" t="s">
        <v>58</v>
      </c>
      <c r="Q96" s="144" t="s">
        <v>59</v>
      </c>
      <c r="R96" s="96">
        <v>46161</v>
      </c>
      <c r="S96" s="97"/>
      <c r="T96" s="97" t="s">
        <v>60</v>
      </c>
      <c r="U96" s="97" t="s">
        <v>61</v>
      </c>
      <c r="V96" s="93">
        <v>46148</v>
      </c>
      <c r="W96" s="93" t="s">
        <v>73</v>
      </c>
      <c r="X96" s="93" t="s">
        <v>73</v>
      </c>
      <c r="Y96" s="98"/>
      <c r="Z96" s="89" t="s">
        <v>62</v>
      </c>
      <c r="AA96" s="97">
        <v>46164</v>
      </c>
      <c r="AB96" s="89" t="s">
        <v>142</v>
      </c>
      <c r="AC96" s="120"/>
      <c r="AD96" s="89"/>
      <c r="AE96" s="89"/>
      <c r="AF96" s="89"/>
      <c r="AG96" s="89"/>
      <c r="AH96" s="99"/>
      <c r="AI96" s="99"/>
      <c r="AJ96" s="99"/>
      <c r="AK96" s="100"/>
      <c r="AL96" s="100" t="s">
        <v>64</v>
      </c>
      <c r="AM96" s="100" t="s">
        <v>102</v>
      </c>
      <c r="AN96" s="45" t="s">
        <v>65</v>
      </c>
      <c r="AO96" s="198" t="str">
        <f t="shared" si="9"/>
        <v>5/2026</v>
      </c>
      <c r="AP96" s="198">
        <f t="shared" si="10"/>
        <v>2</v>
      </c>
      <c r="AQ96" s="45" t="str">
        <f t="shared" si="11"/>
        <v>5/2026</v>
      </c>
      <c r="AR96" s="45">
        <f t="shared" si="12"/>
        <v>4</v>
      </c>
      <c r="AS96" s="45">
        <f t="shared" si="13"/>
        <v>0</v>
      </c>
      <c r="AT96" s="45">
        <f t="shared" si="14"/>
        <v>0</v>
      </c>
      <c r="AU96" s="45">
        <f t="shared" si="15"/>
        <v>0</v>
      </c>
      <c r="AV96" s="45">
        <f t="shared" si="17"/>
        <v>0</v>
      </c>
      <c r="AW96" s="45" t="str">
        <f>_xlfn.XLOOKUP(W96,'Lista Suspensa'!$AA$20:$AA$23,'Lista Suspensa'!$AB$20:$AB$23,"N/A")</f>
        <v>N/A</v>
      </c>
    </row>
    <row r="97" spans="1:49" ht="12" customHeight="1" x14ac:dyDescent="0.3">
      <c r="A97" s="87" t="s">
        <v>49</v>
      </c>
      <c r="B97" s="88">
        <v>46147</v>
      </c>
      <c r="C97" s="89" t="s">
        <v>50</v>
      </c>
      <c r="D97" s="89" t="s">
        <v>51</v>
      </c>
      <c r="E97" s="90">
        <v>77562093</v>
      </c>
      <c r="F97" s="91" t="s">
        <v>333</v>
      </c>
      <c r="G97" s="92">
        <v>25375240807</v>
      </c>
      <c r="H97" s="93">
        <v>27717</v>
      </c>
      <c r="I97" s="89">
        <v>50</v>
      </c>
      <c r="J97" s="89" t="s">
        <v>67</v>
      </c>
      <c r="K97" s="89" t="s">
        <v>54</v>
      </c>
      <c r="L97" s="89" t="s">
        <v>334</v>
      </c>
      <c r="M97" s="89"/>
      <c r="N97" s="89" t="s">
        <v>100</v>
      </c>
      <c r="O97" s="94" t="s">
        <v>335</v>
      </c>
      <c r="P97" s="95" t="s">
        <v>58</v>
      </c>
      <c r="Q97" s="144" t="s">
        <v>59</v>
      </c>
      <c r="R97" s="96">
        <v>46161</v>
      </c>
      <c r="S97" s="97"/>
      <c r="T97" s="97" t="s">
        <v>60</v>
      </c>
      <c r="U97" s="97" t="s">
        <v>61</v>
      </c>
      <c r="V97" s="93">
        <v>46161</v>
      </c>
      <c r="W97" s="93" t="s">
        <v>73</v>
      </c>
      <c r="X97" s="93" t="s">
        <v>73</v>
      </c>
      <c r="Y97" s="98"/>
      <c r="Z97" s="89" t="s">
        <v>62</v>
      </c>
      <c r="AA97" s="97">
        <v>46169</v>
      </c>
      <c r="AB97" s="89" t="s">
        <v>75</v>
      </c>
      <c r="AC97" s="120">
        <v>46178.638887905094</v>
      </c>
      <c r="AD97" s="89"/>
      <c r="AE97" s="89"/>
      <c r="AF97" s="89" t="s">
        <v>139</v>
      </c>
      <c r="AG97" s="89">
        <v>1.89</v>
      </c>
      <c r="AH97" s="99"/>
      <c r="AI97" s="99"/>
      <c r="AJ97" s="99"/>
      <c r="AK97" s="100"/>
      <c r="AL97" s="100" t="s">
        <v>64</v>
      </c>
      <c r="AM97" s="100" t="s">
        <v>102</v>
      </c>
      <c r="AN97" s="45" t="s">
        <v>65</v>
      </c>
      <c r="AO97" s="198" t="str">
        <f t="shared" si="9"/>
        <v>5/2026</v>
      </c>
      <c r="AP97" s="198">
        <f t="shared" si="10"/>
        <v>2</v>
      </c>
      <c r="AQ97" s="45" t="str">
        <f t="shared" si="11"/>
        <v>5/2026</v>
      </c>
      <c r="AR97" s="45">
        <f t="shared" si="12"/>
        <v>4</v>
      </c>
      <c r="AS97" s="45">
        <f t="shared" si="13"/>
        <v>0</v>
      </c>
      <c r="AT97" s="45">
        <f t="shared" si="14"/>
        <v>0</v>
      </c>
      <c r="AU97" s="45">
        <f t="shared" si="15"/>
        <v>0</v>
      </c>
      <c r="AV97" s="45">
        <f t="shared" si="17"/>
        <v>0</v>
      </c>
      <c r="AW97" s="45" t="str">
        <f>_xlfn.XLOOKUP(W97,'Lista Suspensa'!$AA$20:$AA$23,'Lista Suspensa'!$AB$20:$AB$23,"N/A")</f>
        <v>N/A</v>
      </c>
    </row>
    <row r="98" spans="1:49" ht="12" customHeight="1" x14ac:dyDescent="0.3">
      <c r="A98" s="87" t="s">
        <v>49</v>
      </c>
      <c r="B98" s="88">
        <v>46147</v>
      </c>
      <c r="C98" s="89" t="s">
        <v>50</v>
      </c>
      <c r="D98" s="89" t="s">
        <v>51</v>
      </c>
      <c r="E98" s="90">
        <v>881959910</v>
      </c>
      <c r="F98" s="91" t="s">
        <v>336</v>
      </c>
      <c r="G98" s="92">
        <v>6149650715</v>
      </c>
      <c r="H98" s="93">
        <v>15677</v>
      </c>
      <c r="I98" s="89">
        <v>83</v>
      </c>
      <c r="J98" s="89" t="s">
        <v>53</v>
      </c>
      <c r="K98" s="89" t="s">
        <v>77</v>
      </c>
      <c r="L98" s="89" t="s">
        <v>337</v>
      </c>
      <c r="M98" s="89"/>
      <c r="N98" s="89" t="s">
        <v>97</v>
      </c>
      <c r="O98" s="94" t="s">
        <v>338</v>
      </c>
      <c r="P98" s="95" t="s">
        <v>58</v>
      </c>
      <c r="Q98" s="144" t="s">
        <v>59</v>
      </c>
      <c r="R98" s="96">
        <v>46161</v>
      </c>
      <c r="S98" s="97"/>
      <c r="T98" s="97" t="s">
        <v>60</v>
      </c>
      <c r="U98" s="97" t="s">
        <v>61</v>
      </c>
      <c r="V98" s="93">
        <v>46161</v>
      </c>
      <c r="W98" s="93" t="s">
        <v>73</v>
      </c>
      <c r="X98" s="93" t="s">
        <v>73</v>
      </c>
      <c r="Y98" s="98"/>
      <c r="Z98" s="89" t="s">
        <v>62</v>
      </c>
      <c r="AA98" s="97">
        <v>46168</v>
      </c>
      <c r="AB98" s="89" t="s">
        <v>142</v>
      </c>
      <c r="AC98" s="120"/>
      <c r="AD98" s="89"/>
      <c r="AE98" s="89"/>
      <c r="AF98" s="89"/>
      <c r="AG98" s="89"/>
      <c r="AH98" s="99"/>
      <c r="AI98" s="99"/>
      <c r="AJ98" s="99"/>
      <c r="AK98" s="100"/>
      <c r="AL98" s="100" t="s">
        <v>64</v>
      </c>
      <c r="AM98" s="100" t="s">
        <v>102</v>
      </c>
      <c r="AN98" s="45" t="s">
        <v>65</v>
      </c>
      <c r="AO98" s="198" t="str">
        <f t="shared" si="9"/>
        <v>5/2026</v>
      </c>
      <c r="AP98" s="198">
        <f t="shared" si="10"/>
        <v>2</v>
      </c>
      <c r="AQ98" s="45" t="str">
        <f t="shared" si="11"/>
        <v>5/2026</v>
      </c>
      <c r="AR98" s="45">
        <f t="shared" si="12"/>
        <v>4</v>
      </c>
      <c r="AS98" s="45">
        <f t="shared" si="13"/>
        <v>0</v>
      </c>
      <c r="AT98" s="45">
        <f t="shared" si="14"/>
        <v>0</v>
      </c>
      <c r="AU98" s="45">
        <f t="shared" si="15"/>
        <v>0</v>
      </c>
      <c r="AV98" s="45">
        <f t="shared" si="17"/>
        <v>0</v>
      </c>
      <c r="AW98" s="45" t="str">
        <f>_xlfn.XLOOKUP(W98,'Lista Suspensa'!$AA$20:$AA$23,'Lista Suspensa'!$AB$20:$AB$23,"N/A")</f>
        <v>N/A</v>
      </c>
    </row>
    <row r="99" spans="1:49" ht="12" customHeight="1" x14ac:dyDescent="0.3">
      <c r="A99" s="87" t="s">
        <v>49</v>
      </c>
      <c r="B99" s="88">
        <v>46147</v>
      </c>
      <c r="C99" s="89" t="s">
        <v>50</v>
      </c>
      <c r="D99" s="89" t="s">
        <v>51</v>
      </c>
      <c r="E99" s="90">
        <v>75843382</v>
      </c>
      <c r="F99" s="91" t="s">
        <v>339</v>
      </c>
      <c r="G99" s="92">
        <v>4448023559</v>
      </c>
      <c r="H99" s="93">
        <v>34202</v>
      </c>
      <c r="I99" s="89">
        <v>32</v>
      </c>
      <c r="J99" s="89" t="s">
        <v>67</v>
      </c>
      <c r="K99" s="89" t="s">
        <v>54</v>
      </c>
      <c r="L99" s="89" t="s">
        <v>190</v>
      </c>
      <c r="M99" s="89"/>
      <c r="N99" s="89" t="s">
        <v>69</v>
      </c>
      <c r="O99" s="94" t="s">
        <v>340</v>
      </c>
      <c r="P99" s="95" t="s">
        <v>58</v>
      </c>
      <c r="Q99" s="144" t="s">
        <v>59</v>
      </c>
      <c r="R99" s="96">
        <v>46161</v>
      </c>
      <c r="S99" s="97"/>
      <c r="T99" s="97" t="s">
        <v>60</v>
      </c>
      <c r="U99" s="97" t="s">
        <v>61</v>
      </c>
      <c r="V99" s="93">
        <v>46161</v>
      </c>
      <c r="W99" s="93" t="s">
        <v>73</v>
      </c>
      <c r="X99" s="93" t="s">
        <v>73</v>
      </c>
      <c r="Y99" s="98"/>
      <c r="Z99" s="89" t="s">
        <v>62</v>
      </c>
      <c r="AA99" s="97">
        <v>46168</v>
      </c>
      <c r="AB99" s="89" t="s">
        <v>75</v>
      </c>
      <c r="AC99" s="120" t="s">
        <v>341</v>
      </c>
      <c r="AD99" s="89"/>
      <c r="AE99" s="89"/>
      <c r="AF99" s="89"/>
      <c r="AG99" s="89"/>
      <c r="AH99" s="99"/>
      <c r="AI99" s="99"/>
      <c r="AJ99" s="99"/>
      <c r="AK99" s="100"/>
      <c r="AL99" s="100" t="s">
        <v>64</v>
      </c>
      <c r="AM99" s="100" t="s">
        <v>102</v>
      </c>
      <c r="AN99" s="45" t="s">
        <v>65</v>
      </c>
      <c r="AO99" s="198" t="str">
        <f t="shared" si="9"/>
        <v>5/2026</v>
      </c>
      <c r="AP99" s="198">
        <f t="shared" si="10"/>
        <v>2</v>
      </c>
      <c r="AQ99" s="45" t="str">
        <f t="shared" si="11"/>
        <v>5/2026</v>
      </c>
      <c r="AR99" s="45">
        <f t="shared" si="12"/>
        <v>4</v>
      </c>
      <c r="AS99" s="45">
        <f t="shared" si="13"/>
        <v>0</v>
      </c>
      <c r="AT99" s="45">
        <f t="shared" si="14"/>
        <v>0</v>
      </c>
      <c r="AU99" s="45">
        <f t="shared" si="15"/>
        <v>0</v>
      </c>
      <c r="AV99" s="45">
        <f t="shared" si="17"/>
        <v>0</v>
      </c>
      <c r="AW99" s="45" t="str">
        <f>_xlfn.XLOOKUP(W99,'Lista Suspensa'!$AA$20:$AA$23,'Lista Suspensa'!$AB$20:$AB$23,"N/A")</f>
        <v>N/A</v>
      </c>
    </row>
    <row r="100" spans="1:49" ht="12" customHeight="1" x14ac:dyDescent="0.3">
      <c r="A100" s="87" t="s">
        <v>49</v>
      </c>
      <c r="B100" s="88">
        <v>46147</v>
      </c>
      <c r="C100" s="89" t="s">
        <v>50</v>
      </c>
      <c r="D100" s="89" t="s">
        <v>51</v>
      </c>
      <c r="E100" s="90">
        <v>450506690</v>
      </c>
      <c r="F100" s="91" t="s">
        <v>342</v>
      </c>
      <c r="G100" s="92">
        <v>22043016806</v>
      </c>
      <c r="H100" s="93">
        <v>29568</v>
      </c>
      <c r="I100" s="89">
        <v>45</v>
      </c>
      <c r="J100" s="89" t="s">
        <v>67</v>
      </c>
      <c r="K100" s="89" t="s">
        <v>54</v>
      </c>
      <c r="L100" s="89" t="s">
        <v>86</v>
      </c>
      <c r="M100" s="89"/>
      <c r="N100" s="89" t="s">
        <v>108</v>
      </c>
      <c r="O100" s="94" t="s">
        <v>343</v>
      </c>
      <c r="P100" s="95" t="s">
        <v>58</v>
      </c>
      <c r="Q100" s="144" t="s">
        <v>59</v>
      </c>
      <c r="R100" s="96">
        <v>46163</v>
      </c>
      <c r="S100" s="97"/>
      <c r="T100" s="97" t="s">
        <v>60</v>
      </c>
      <c r="U100" s="97" t="s">
        <v>61</v>
      </c>
      <c r="V100" s="93">
        <v>46161</v>
      </c>
      <c r="W100" s="93" t="s">
        <v>73</v>
      </c>
      <c r="X100" s="93" t="s">
        <v>73</v>
      </c>
      <c r="Y100" s="98"/>
      <c r="Z100" s="89" t="s">
        <v>62</v>
      </c>
      <c r="AA100" s="97">
        <v>46170</v>
      </c>
      <c r="AB100" s="89" t="s">
        <v>75</v>
      </c>
      <c r="AC100" s="120">
        <v>46180.583332581016</v>
      </c>
      <c r="AD100" s="89" t="s">
        <v>122</v>
      </c>
      <c r="AE100" s="89"/>
      <c r="AF100" s="89" t="s">
        <v>344</v>
      </c>
      <c r="AG100" s="89" t="s">
        <v>344</v>
      </c>
      <c r="AH100" s="99" t="s">
        <v>307</v>
      </c>
      <c r="AI100" s="99" t="s">
        <v>307</v>
      </c>
      <c r="AJ100" s="119" t="s">
        <v>91</v>
      </c>
      <c r="AK100" s="100"/>
      <c r="AL100" s="100" t="s">
        <v>64</v>
      </c>
      <c r="AM100" s="100" t="s">
        <v>102</v>
      </c>
      <c r="AN100" s="45" t="s">
        <v>65</v>
      </c>
      <c r="AO100" s="198" t="str">
        <f t="shared" si="9"/>
        <v>5/2026</v>
      </c>
      <c r="AP100" s="198">
        <f t="shared" si="10"/>
        <v>2</v>
      </c>
      <c r="AQ100" s="45" t="str">
        <f t="shared" si="11"/>
        <v>5/2026</v>
      </c>
      <c r="AR100" s="45">
        <f t="shared" si="12"/>
        <v>4</v>
      </c>
      <c r="AS100" s="45">
        <f t="shared" si="13"/>
        <v>0</v>
      </c>
      <c r="AT100" s="45">
        <f t="shared" si="14"/>
        <v>0</v>
      </c>
      <c r="AU100" s="45">
        <f t="shared" si="15"/>
        <v>0</v>
      </c>
      <c r="AV100" s="45">
        <f t="shared" si="17"/>
        <v>0</v>
      </c>
      <c r="AW100" s="45" t="str">
        <f>_xlfn.XLOOKUP(W100,'Lista Suspensa'!$AA$20:$AA$23,'Lista Suspensa'!$AB$20:$AB$23,"N/A")</f>
        <v>N/A</v>
      </c>
    </row>
    <row r="101" spans="1:49" ht="12" customHeight="1" x14ac:dyDescent="0.3">
      <c r="A101" s="87" t="s">
        <v>49</v>
      </c>
      <c r="B101" s="88">
        <v>46147</v>
      </c>
      <c r="C101" s="89" t="s">
        <v>50</v>
      </c>
      <c r="D101" s="89" t="s">
        <v>51</v>
      </c>
      <c r="E101" s="90">
        <v>807575313</v>
      </c>
      <c r="F101" s="91" t="s">
        <v>345</v>
      </c>
      <c r="G101" s="92">
        <v>14523962804</v>
      </c>
      <c r="H101" s="93">
        <v>24972</v>
      </c>
      <c r="I101" s="89">
        <v>58</v>
      </c>
      <c r="J101" s="89" t="s">
        <v>53</v>
      </c>
      <c r="K101" s="89" t="s">
        <v>54</v>
      </c>
      <c r="L101" s="89" t="s">
        <v>346</v>
      </c>
      <c r="M101" s="89"/>
      <c r="N101" s="89" t="s">
        <v>108</v>
      </c>
      <c r="O101" s="94" t="s">
        <v>347</v>
      </c>
      <c r="P101" s="95" t="s">
        <v>58</v>
      </c>
      <c r="Q101" s="144" t="s">
        <v>59</v>
      </c>
      <c r="R101" s="96">
        <v>46161</v>
      </c>
      <c r="S101" s="97"/>
      <c r="T101" s="97" t="s">
        <v>60</v>
      </c>
      <c r="U101" s="97" t="s">
        <v>61</v>
      </c>
      <c r="V101" s="93">
        <v>46161</v>
      </c>
      <c r="W101" s="93" t="s">
        <v>73</v>
      </c>
      <c r="X101" s="93" t="s">
        <v>73</v>
      </c>
      <c r="Y101" s="98"/>
      <c r="Z101" s="89" t="s">
        <v>62</v>
      </c>
      <c r="AA101" s="97">
        <v>46167</v>
      </c>
      <c r="AB101" s="89" t="s">
        <v>142</v>
      </c>
      <c r="AC101" s="120"/>
      <c r="AD101" s="89"/>
      <c r="AE101" s="89"/>
      <c r="AF101" s="89"/>
      <c r="AG101" s="89"/>
      <c r="AH101" s="99"/>
      <c r="AI101" s="99"/>
      <c r="AJ101" s="99"/>
      <c r="AK101" s="100"/>
      <c r="AL101" s="100" t="s">
        <v>64</v>
      </c>
      <c r="AM101" s="100" t="s">
        <v>102</v>
      </c>
      <c r="AN101" s="45" t="s">
        <v>65</v>
      </c>
      <c r="AO101" s="198" t="str">
        <f t="shared" si="9"/>
        <v>5/2026</v>
      </c>
      <c r="AP101" s="198">
        <f t="shared" si="10"/>
        <v>2</v>
      </c>
      <c r="AQ101" s="45" t="str">
        <f t="shared" si="11"/>
        <v>5/2026</v>
      </c>
      <c r="AR101" s="45">
        <f t="shared" si="12"/>
        <v>4</v>
      </c>
      <c r="AS101" s="45">
        <f t="shared" si="13"/>
        <v>0</v>
      </c>
      <c r="AT101" s="45">
        <f t="shared" si="14"/>
        <v>0</v>
      </c>
      <c r="AU101" s="45">
        <f t="shared" si="15"/>
        <v>0</v>
      </c>
      <c r="AV101" s="45">
        <f t="shared" si="17"/>
        <v>0</v>
      </c>
      <c r="AW101" s="45" t="str">
        <f>_xlfn.XLOOKUP(W101,'Lista Suspensa'!$AA$20:$AA$23,'Lista Suspensa'!$AB$20:$AB$23,"N/A")</f>
        <v>N/A</v>
      </c>
    </row>
    <row r="102" spans="1:49" ht="12" customHeight="1" x14ac:dyDescent="0.3">
      <c r="A102" s="87" t="s">
        <v>49</v>
      </c>
      <c r="B102" s="88">
        <v>46147</v>
      </c>
      <c r="C102" s="89" t="s">
        <v>50</v>
      </c>
      <c r="D102" s="89" t="s">
        <v>51</v>
      </c>
      <c r="E102" s="90">
        <v>77722273</v>
      </c>
      <c r="F102" s="91" t="s">
        <v>348</v>
      </c>
      <c r="G102" s="92">
        <v>11384889760</v>
      </c>
      <c r="H102" s="93">
        <v>30977</v>
      </c>
      <c r="I102" s="89">
        <v>41</v>
      </c>
      <c r="J102" s="89" t="s">
        <v>53</v>
      </c>
      <c r="K102" s="89" t="s">
        <v>77</v>
      </c>
      <c r="L102" s="89" t="s">
        <v>349</v>
      </c>
      <c r="M102" s="89"/>
      <c r="N102" s="89" t="s">
        <v>82</v>
      </c>
      <c r="O102" s="94" t="s">
        <v>350</v>
      </c>
      <c r="P102" s="95" t="s">
        <v>58</v>
      </c>
      <c r="Q102" s="144" t="s">
        <v>59</v>
      </c>
      <c r="R102" s="96">
        <v>46161</v>
      </c>
      <c r="S102" s="97"/>
      <c r="T102" s="97" t="s">
        <v>60</v>
      </c>
      <c r="U102" s="97" t="s">
        <v>61</v>
      </c>
      <c r="V102" s="93">
        <v>46161</v>
      </c>
      <c r="W102" s="93" t="s">
        <v>73</v>
      </c>
      <c r="X102" s="93" t="s">
        <v>73</v>
      </c>
      <c r="Y102" s="98"/>
      <c r="Z102" s="89" t="s">
        <v>62</v>
      </c>
      <c r="AA102" s="97">
        <v>46164</v>
      </c>
      <c r="AB102" s="89" t="s">
        <v>75</v>
      </c>
      <c r="AC102" s="120"/>
      <c r="AD102" s="89" t="s">
        <v>284</v>
      </c>
      <c r="AE102" s="89"/>
      <c r="AF102" s="89" t="s">
        <v>105</v>
      </c>
      <c r="AG102" s="89" t="s">
        <v>105</v>
      </c>
      <c r="AH102" s="99" t="s">
        <v>105</v>
      </c>
      <c r="AI102" s="99"/>
      <c r="AJ102" s="119" t="s">
        <v>91</v>
      </c>
      <c r="AK102" s="100"/>
      <c r="AL102" s="100" t="s">
        <v>64</v>
      </c>
      <c r="AM102" s="100" t="s">
        <v>102</v>
      </c>
      <c r="AN102" s="45" t="s">
        <v>65</v>
      </c>
      <c r="AO102" s="198" t="str">
        <f t="shared" si="9"/>
        <v>5/2026</v>
      </c>
      <c r="AP102" s="198">
        <f t="shared" si="10"/>
        <v>2</v>
      </c>
      <c r="AQ102" s="45" t="str">
        <f t="shared" si="11"/>
        <v>5/2026</v>
      </c>
      <c r="AR102" s="45">
        <f t="shared" si="12"/>
        <v>4</v>
      </c>
      <c r="AS102" s="45">
        <f t="shared" si="13"/>
        <v>0</v>
      </c>
      <c r="AT102" s="45">
        <f t="shared" si="14"/>
        <v>0</v>
      </c>
      <c r="AU102" s="45">
        <f t="shared" si="15"/>
        <v>0</v>
      </c>
      <c r="AV102" s="45">
        <f t="shared" si="17"/>
        <v>0</v>
      </c>
      <c r="AW102" s="45" t="str">
        <f>_xlfn.XLOOKUP(W102,'Lista Suspensa'!$AA$20:$AA$23,'Lista Suspensa'!$AB$20:$AB$23,"N/A")</f>
        <v>N/A</v>
      </c>
    </row>
    <row r="103" spans="1:49" ht="12" customHeight="1" x14ac:dyDescent="0.3">
      <c r="A103" s="87" t="s">
        <v>49</v>
      </c>
      <c r="B103" s="88">
        <v>46147</v>
      </c>
      <c r="C103" s="89" t="s">
        <v>50</v>
      </c>
      <c r="D103" s="89" t="s">
        <v>51</v>
      </c>
      <c r="E103" s="90">
        <v>82280332</v>
      </c>
      <c r="F103" s="91" t="s">
        <v>351</v>
      </c>
      <c r="G103" s="92">
        <v>8746405712</v>
      </c>
      <c r="H103" s="93">
        <v>29499</v>
      </c>
      <c r="I103" s="89">
        <v>45</v>
      </c>
      <c r="J103" s="89" t="s">
        <v>67</v>
      </c>
      <c r="K103" s="89" t="s">
        <v>77</v>
      </c>
      <c r="L103" s="89" t="s">
        <v>193</v>
      </c>
      <c r="M103" s="89"/>
      <c r="N103" s="89" t="s">
        <v>82</v>
      </c>
      <c r="O103" s="94" t="s">
        <v>352</v>
      </c>
      <c r="P103" s="95" t="s">
        <v>58</v>
      </c>
      <c r="Q103" s="144" t="s">
        <v>59</v>
      </c>
      <c r="R103" s="96">
        <v>46161</v>
      </c>
      <c r="S103" s="97"/>
      <c r="T103" s="97" t="s">
        <v>60</v>
      </c>
      <c r="U103" s="97" t="s">
        <v>61</v>
      </c>
      <c r="V103" s="93">
        <v>46161</v>
      </c>
      <c r="W103" s="93" t="s">
        <v>73</v>
      </c>
      <c r="X103" s="93" t="s">
        <v>73</v>
      </c>
      <c r="Y103" s="98"/>
      <c r="Z103" s="89" t="s">
        <v>62</v>
      </c>
      <c r="AA103" s="97">
        <v>46171</v>
      </c>
      <c r="AB103" s="89" t="s">
        <v>142</v>
      </c>
      <c r="AC103" s="120"/>
      <c r="AD103" s="89"/>
      <c r="AE103" s="89"/>
      <c r="AF103" s="89"/>
      <c r="AG103" s="89"/>
      <c r="AH103" s="99"/>
      <c r="AI103" s="99"/>
      <c r="AJ103" s="99"/>
      <c r="AK103" s="100"/>
      <c r="AL103" s="100" t="s">
        <v>64</v>
      </c>
      <c r="AM103" s="100" t="s">
        <v>102</v>
      </c>
      <c r="AN103" s="45" t="s">
        <v>65</v>
      </c>
      <c r="AO103" s="198" t="str">
        <f t="shared" si="9"/>
        <v>5/2026</v>
      </c>
      <c r="AP103" s="198">
        <f t="shared" si="10"/>
        <v>2</v>
      </c>
      <c r="AQ103" s="45" t="str">
        <f t="shared" si="11"/>
        <v>5/2026</v>
      </c>
      <c r="AR103" s="45">
        <f t="shared" si="12"/>
        <v>4</v>
      </c>
      <c r="AS103" s="45">
        <f t="shared" si="13"/>
        <v>0</v>
      </c>
      <c r="AT103" s="45">
        <f t="shared" si="14"/>
        <v>0</v>
      </c>
      <c r="AU103" s="45">
        <f t="shared" si="15"/>
        <v>0</v>
      </c>
      <c r="AV103" s="45">
        <f t="shared" si="17"/>
        <v>0</v>
      </c>
      <c r="AW103" s="45" t="str">
        <f>_xlfn.XLOOKUP(W103,'Lista Suspensa'!$AA$20:$AA$23,'Lista Suspensa'!$AB$20:$AB$23,"N/A")</f>
        <v>N/A</v>
      </c>
    </row>
    <row r="104" spans="1:49" ht="12" customHeight="1" x14ac:dyDescent="0.3">
      <c r="A104" s="87" t="s">
        <v>49</v>
      </c>
      <c r="B104" s="88">
        <v>46147</v>
      </c>
      <c r="C104" s="89" t="s">
        <v>50</v>
      </c>
      <c r="D104" s="89" t="s">
        <v>51</v>
      </c>
      <c r="E104" s="90">
        <v>803602537</v>
      </c>
      <c r="F104" s="91" t="s">
        <v>353</v>
      </c>
      <c r="G104" s="92">
        <v>36021989872</v>
      </c>
      <c r="H104" s="93">
        <v>19205</v>
      </c>
      <c r="I104" s="89">
        <v>73</v>
      </c>
      <c r="J104" s="89" t="s">
        <v>53</v>
      </c>
      <c r="K104" s="89" t="s">
        <v>54</v>
      </c>
      <c r="L104" s="89" t="s">
        <v>354</v>
      </c>
      <c r="M104" s="89"/>
      <c r="N104" s="89" t="s">
        <v>97</v>
      </c>
      <c r="O104" s="94" t="s">
        <v>355</v>
      </c>
      <c r="P104" s="95" t="s">
        <v>58</v>
      </c>
      <c r="Q104" s="144" t="s">
        <v>59</v>
      </c>
      <c r="R104" s="96">
        <v>46161</v>
      </c>
      <c r="S104" s="97"/>
      <c r="T104" s="97" t="s">
        <v>60</v>
      </c>
      <c r="U104" s="97" t="s">
        <v>61</v>
      </c>
      <c r="V104" s="93">
        <v>46161</v>
      </c>
      <c r="W104" s="93" t="s">
        <v>73</v>
      </c>
      <c r="X104" s="93" t="s">
        <v>73</v>
      </c>
      <c r="Y104" s="98"/>
      <c r="Z104" s="89" t="s">
        <v>62</v>
      </c>
      <c r="AA104" s="97">
        <v>46170</v>
      </c>
      <c r="AB104" s="89" t="s">
        <v>75</v>
      </c>
      <c r="AC104" s="120"/>
      <c r="AD104" s="89" t="s">
        <v>122</v>
      </c>
      <c r="AE104" s="89"/>
      <c r="AF104" s="89">
        <v>3.49</v>
      </c>
      <c r="AG104" s="89">
        <v>3.49</v>
      </c>
      <c r="AH104" s="99" t="s">
        <v>356</v>
      </c>
      <c r="AI104" s="99" t="s">
        <v>356</v>
      </c>
      <c r="AJ104" s="119" t="s">
        <v>91</v>
      </c>
      <c r="AK104" s="100"/>
      <c r="AL104" s="100" t="s">
        <v>64</v>
      </c>
      <c r="AM104" s="100" t="s">
        <v>102</v>
      </c>
      <c r="AN104" s="45" t="s">
        <v>65</v>
      </c>
      <c r="AO104" s="198" t="str">
        <f t="shared" si="9"/>
        <v>5/2026</v>
      </c>
      <c r="AP104" s="198">
        <f t="shared" si="10"/>
        <v>2</v>
      </c>
      <c r="AQ104" s="45" t="str">
        <f t="shared" si="11"/>
        <v>5/2026</v>
      </c>
      <c r="AR104" s="45">
        <f t="shared" si="12"/>
        <v>4</v>
      </c>
      <c r="AS104" s="45">
        <f t="shared" si="13"/>
        <v>0</v>
      </c>
      <c r="AT104" s="45">
        <f t="shared" si="14"/>
        <v>0</v>
      </c>
      <c r="AU104" s="45">
        <f t="shared" si="15"/>
        <v>0</v>
      </c>
      <c r="AV104" s="45">
        <f t="shared" si="17"/>
        <v>0</v>
      </c>
      <c r="AW104" s="45" t="str">
        <f>_xlfn.XLOOKUP(W104,'Lista Suspensa'!$AA$20:$AA$23,'Lista Suspensa'!$AB$20:$AB$23,"N/A")</f>
        <v>N/A</v>
      </c>
    </row>
    <row r="105" spans="1:49" ht="12" customHeight="1" x14ac:dyDescent="0.3">
      <c r="A105" s="87" t="s">
        <v>49</v>
      </c>
      <c r="B105" s="88">
        <v>46147</v>
      </c>
      <c r="C105" s="89" t="s">
        <v>50</v>
      </c>
      <c r="D105" s="89" t="s">
        <v>51</v>
      </c>
      <c r="E105" s="90">
        <v>805374868</v>
      </c>
      <c r="F105" s="91" t="s">
        <v>357</v>
      </c>
      <c r="G105" s="92">
        <v>39615956821</v>
      </c>
      <c r="H105" s="93">
        <v>32554</v>
      </c>
      <c r="I105" s="89">
        <v>37</v>
      </c>
      <c r="J105" s="89" t="s">
        <v>67</v>
      </c>
      <c r="K105" s="89" t="s">
        <v>54</v>
      </c>
      <c r="L105" s="89" t="s">
        <v>146</v>
      </c>
      <c r="M105" s="89"/>
      <c r="N105" s="89" t="s">
        <v>108</v>
      </c>
      <c r="O105" s="94" t="s">
        <v>358</v>
      </c>
      <c r="P105" s="95" t="s">
        <v>58</v>
      </c>
      <c r="Q105" s="144" t="s">
        <v>59</v>
      </c>
      <c r="R105" s="96">
        <v>46161</v>
      </c>
      <c r="S105" s="97"/>
      <c r="T105" s="97" t="s">
        <v>60</v>
      </c>
      <c r="U105" s="97" t="s">
        <v>61</v>
      </c>
      <c r="V105" s="93">
        <v>46161</v>
      </c>
      <c r="W105" s="93" t="s">
        <v>73</v>
      </c>
      <c r="X105" s="93" t="s">
        <v>73</v>
      </c>
      <c r="Y105" s="98"/>
      <c r="Z105" s="89" t="s">
        <v>62</v>
      </c>
      <c r="AA105" s="97">
        <v>46167</v>
      </c>
      <c r="AB105" s="89" t="s">
        <v>142</v>
      </c>
      <c r="AC105" s="120"/>
      <c r="AD105" s="89"/>
      <c r="AE105" s="89"/>
      <c r="AF105" s="89" t="s">
        <v>105</v>
      </c>
      <c r="AG105" s="89" t="s">
        <v>105</v>
      </c>
      <c r="AH105" s="99" t="s">
        <v>105</v>
      </c>
      <c r="AI105" s="99"/>
      <c r="AJ105" s="119" t="s">
        <v>91</v>
      </c>
      <c r="AK105" s="100"/>
      <c r="AL105" s="100" t="s">
        <v>64</v>
      </c>
      <c r="AM105" s="100" t="s">
        <v>102</v>
      </c>
      <c r="AN105" s="45" t="s">
        <v>65</v>
      </c>
      <c r="AO105" s="198" t="str">
        <f t="shared" si="9"/>
        <v>5/2026</v>
      </c>
      <c r="AP105" s="198">
        <f t="shared" si="10"/>
        <v>2</v>
      </c>
      <c r="AQ105" s="45" t="str">
        <f t="shared" si="11"/>
        <v>5/2026</v>
      </c>
      <c r="AR105" s="45">
        <f t="shared" si="12"/>
        <v>4</v>
      </c>
      <c r="AS105" s="45">
        <f t="shared" si="13"/>
        <v>0</v>
      </c>
      <c r="AT105" s="45">
        <f t="shared" si="14"/>
        <v>0</v>
      </c>
      <c r="AU105" s="45">
        <f t="shared" si="15"/>
        <v>0</v>
      </c>
      <c r="AV105" s="45">
        <f t="shared" si="17"/>
        <v>0</v>
      </c>
      <c r="AW105" s="45" t="str">
        <f>_xlfn.XLOOKUP(W105,'Lista Suspensa'!$AA$20:$AA$23,'Lista Suspensa'!$AB$20:$AB$23,"N/A")</f>
        <v>N/A</v>
      </c>
    </row>
    <row r="106" spans="1:49" ht="12" customHeight="1" x14ac:dyDescent="0.3">
      <c r="A106" s="87" t="s">
        <v>49</v>
      </c>
      <c r="B106" s="88">
        <v>46147</v>
      </c>
      <c r="C106" s="89" t="s">
        <v>50</v>
      </c>
      <c r="D106" s="89" t="s">
        <v>51</v>
      </c>
      <c r="E106" s="90">
        <v>94430616</v>
      </c>
      <c r="F106" s="91" t="s">
        <v>359</v>
      </c>
      <c r="G106" s="92">
        <v>14626869823</v>
      </c>
      <c r="H106" s="93">
        <v>24690</v>
      </c>
      <c r="I106" s="89">
        <v>58</v>
      </c>
      <c r="J106" s="89" t="s">
        <v>67</v>
      </c>
      <c r="K106" s="89" t="s">
        <v>54</v>
      </c>
      <c r="L106" s="89" t="s">
        <v>360</v>
      </c>
      <c r="M106" s="89"/>
      <c r="N106" s="89" t="s">
        <v>82</v>
      </c>
      <c r="O106" s="94" t="s">
        <v>361</v>
      </c>
      <c r="P106" s="95" t="s">
        <v>58</v>
      </c>
      <c r="Q106" s="144" t="s">
        <v>59</v>
      </c>
      <c r="R106" s="96">
        <v>46161</v>
      </c>
      <c r="S106" s="97"/>
      <c r="T106" s="97" t="s">
        <v>60</v>
      </c>
      <c r="U106" s="97" t="s">
        <v>61</v>
      </c>
      <c r="V106" s="93">
        <v>46161</v>
      </c>
      <c r="W106" s="93" t="s">
        <v>73</v>
      </c>
      <c r="X106" s="93" t="s">
        <v>73</v>
      </c>
      <c r="Y106" s="98"/>
      <c r="Z106" s="89" t="s">
        <v>62</v>
      </c>
      <c r="AA106" s="97">
        <v>46171</v>
      </c>
      <c r="AB106" s="89" t="s">
        <v>75</v>
      </c>
      <c r="AC106" s="120"/>
      <c r="AD106" s="89"/>
      <c r="AE106" s="89"/>
      <c r="AF106" s="89" t="s">
        <v>139</v>
      </c>
      <c r="AG106" s="89">
        <v>1.74</v>
      </c>
      <c r="AH106" s="99"/>
      <c r="AI106" s="99"/>
      <c r="AJ106" s="99"/>
      <c r="AK106" s="100"/>
      <c r="AL106" s="100" t="s">
        <v>64</v>
      </c>
      <c r="AM106" s="100" t="s">
        <v>102</v>
      </c>
      <c r="AN106" s="45" t="s">
        <v>65</v>
      </c>
      <c r="AO106" s="198" t="str">
        <f t="shared" si="9"/>
        <v>5/2026</v>
      </c>
      <c r="AP106" s="198">
        <f t="shared" si="10"/>
        <v>2</v>
      </c>
      <c r="AQ106" s="45" t="str">
        <f t="shared" si="11"/>
        <v>5/2026</v>
      </c>
      <c r="AR106" s="45">
        <f t="shared" si="12"/>
        <v>4</v>
      </c>
      <c r="AS106" s="45">
        <f t="shared" si="13"/>
        <v>0</v>
      </c>
      <c r="AT106" s="45">
        <f t="shared" si="14"/>
        <v>0</v>
      </c>
      <c r="AU106" s="45">
        <f t="shared" si="15"/>
        <v>0</v>
      </c>
      <c r="AV106" s="45">
        <f t="shared" si="17"/>
        <v>0</v>
      </c>
      <c r="AW106" s="45" t="str">
        <f>_xlfn.XLOOKUP(W106,'Lista Suspensa'!$AA$20:$AA$23,'Lista Suspensa'!$AB$20:$AB$23,"N/A")</f>
        <v>N/A</v>
      </c>
    </row>
    <row r="107" spans="1:49" ht="12" customHeight="1" x14ac:dyDescent="0.3">
      <c r="A107" s="87" t="s">
        <v>49</v>
      </c>
      <c r="B107" s="88">
        <v>46147</v>
      </c>
      <c r="C107" s="89" t="s">
        <v>50</v>
      </c>
      <c r="D107" s="89" t="s">
        <v>51</v>
      </c>
      <c r="E107" s="90">
        <v>81839141</v>
      </c>
      <c r="F107" s="91" t="s">
        <v>362</v>
      </c>
      <c r="G107" s="92">
        <v>10467103704</v>
      </c>
      <c r="H107" s="93">
        <v>29411</v>
      </c>
      <c r="I107" s="89">
        <v>45</v>
      </c>
      <c r="J107" s="89" t="s">
        <v>67</v>
      </c>
      <c r="K107" s="89" t="s">
        <v>77</v>
      </c>
      <c r="L107" s="89" t="s">
        <v>78</v>
      </c>
      <c r="M107" s="89"/>
      <c r="N107" s="89" t="s">
        <v>82</v>
      </c>
      <c r="O107" s="94" t="s">
        <v>363</v>
      </c>
      <c r="P107" s="95" t="s">
        <v>58</v>
      </c>
      <c r="Q107" s="144" t="s">
        <v>59</v>
      </c>
      <c r="R107" s="96">
        <v>46161</v>
      </c>
      <c r="S107" s="97"/>
      <c r="T107" s="97" t="s">
        <v>60</v>
      </c>
      <c r="U107" s="97" t="s">
        <v>61</v>
      </c>
      <c r="V107" s="93">
        <v>46161</v>
      </c>
      <c r="W107" s="93" t="s">
        <v>73</v>
      </c>
      <c r="X107" s="93" t="s">
        <v>73</v>
      </c>
      <c r="Y107" s="98"/>
      <c r="Z107" s="89" t="s">
        <v>62</v>
      </c>
      <c r="AA107" s="97">
        <v>46171</v>
      </c>
      <c r="AB107" s="89" t="s">
        <v>142</v>
      </c>
      <c r="AC107" s="120"/>
      <c r="AD107" s="89"/>
      <c r="AE107" s="89"/>
      <c r="AF107" s="89"/>
      <c r="AG107" s="89"/>
      <c r="AH107" s="99"/>
      <c r="AI107" s="99"/>
      <c r="AJ107" s="99"/>
      <c r="AK107" s="100"/>
      <c r="AL107" s="100" t="s">
        <v>64</v>
      </c>
      <c r="AM107" s="100" t="s">
        <v>102</v>
      </c>
      <c r="AN107" s="45" t="s">
        <v>65</v>
      </c>
      <c r="AO107" s="198" t="str">
        <f t="shared" si="9"/>
        <v>5/2026</v>
      </c>
      <c r="AP107" s="198">
        <f t="shared" si="10"/>
        <v>2</v>
      </c>
      <c r="AQ107" s="45" t="str">
        <f t="shared" si="11"/>
        <v>5/2026</v>
      </c>
      <c r="AR107" s="45">
        <f t="shared" si="12"/>
        <v>4</v>
      </c>
      <c r="AS107" s="45">
        <f t="shared" si="13"/>
        <v>0</v>
      </c>
      <c r="AT107" s="45">
        <f t="shared" si="14"/>
        <v>0</v>
      </c>
      <c r="AU107" s="45">
        <f t="shared" si="15"/>
        <v>0</v>
      </c>
      <c r="AV107" s="45">
        <f t="shared" si="17"/>
        <v>0</v>
      </c>
      <c r="AW107" s="45" t="str">
        <f>_xlfn.XLOOKUP(W107,'Lista Suspensa'!$AA$20:$AA$23,'Lista Suspensa'!$AB$20:$AB$23,"N/A")</f>
        <v>N/A</v>
      </c>
    </row>
    <row r="108" spans="1:49" ht="12" customHeight="1" x14ac:dyDescent="0.3">
      <c r="A108" s="87" t="s">
        <v>49</v>
      </c>
      <c r="B108" s="88">
        <v>46147</v>
      </c>
      <c r="C108" s="89" t="s">
        <v>50</v>
      </c>
      <c r="D108" s="89" t="s">
        <v>51</v>
      </c>
      <c r="E108" s="90">
        <v>885821289</v>
      </c>
      <c r="F108" s="91" t="s">
        <v>364</v>
      </c>
      <c r="G108" s="92">
        <v>13690353300</v>
      </c>
      <c r="H108" s="93">
        <v>21761</v>
      </c>
      <c r="I108" s="89">
        <v>66</v>
      </c>
      <c r="J108" s="89" t="s">
        <v>67</v>
      </c>
      <c r="K108" s="89" t="s">
        <v>77</v>
      </c>
      <c r="L108" s="89" t="s">
        <v>78</v>
      </c>
      <c r="M108" s="89"/>
      <c r="N108" s="89" t="s">
        <v>97</v>
      </c>
      <c r="O108" s="94" t="s">
        <v>365</v>
      </c>
      <c r="P108" s="95" t="s">
        <v>58</v>
      </c>
      <c r="Q108" s="144" t="s">
        <v>59</v>
      </c>
      <c r="R108" s="96">
        <v>46161</v>
      </c>
      <c r="S108" s="97"/>
      <c r="T108" s="97" t="s">
        <v>60</v>
      </c>
      <c r="U108" s="97" t="s">
        <v>61</v>
      </c>
      <c r="V108" s="93">
        <v>46161</v>
      </c>
      <c r="W108" s="93" t="s">
        <v>73</v>
      </c>
      <c r="X108" s="93" t="s">
        <v>73</v>
      </c>
      <c r="Y108" s="98"/>
      <c r="Z108" s="89" t="s">
        <v>62</v>
      </c>
      <c r="AA108" s="97">
        <v>46167</v>
      </c>
      <c r="AB108" s="89" t="s">
        <v>75</v>
      </c>
      <c r="AC108" s="120"/>
      <c r="AD108" s="89"/>
      <c r="AE108" s="89"/>
      <c r="AF108" s="89" t="s">
        <v>366</v>
      </c>
      <c r="AG108" s="89">
        <v>1.1200000000000001</v>
      </c>
      <c r="AH108" s="99"/>
      <c r="AI108" s="99"/>
      <c r="AJ108" s="99"/>
      <c r="AK108" s="100"/>
      <c r="AL108" s="100" t="s">
        <v>64</v>
      </c>
      <c r="AM108" s="100" t="s">
        <v>102</v>
      </c>
      <c r="AN108" s="45" t="s">
        <v>65</v>
      </c>
      <c r="AO108" s="198" t="str">
        <f t="shared" si="9"/>
        <v>5/2026</v>
      </c>
      <c r="AP108" s="198">
        <f t="shared" si="10"/>
        <v>2</v>
      </c>
      <c r="AQ108" s="45" t="str">
        <f t="shared" si="11"/>
        <v>5/2026</v>
      </c>
      <c r="AR108" s="45">
        <f t="shared" si="12"/>
        <v>4</v>
      </c>
      <c r="AS108" s="45">
        <f t="shared" si="13"/>
        <v>0</v>
      </c>
      <c r="AT108" s="45">
        <f t="shared" si="14"/>
        <v>0</v>
      </c>
      <c r="AU108" s="45">
        <f t="shared" si="15"/>
        <v>0</v>
      </c>
      <c r="AV108" s="45">
        <f t="shared" si="17"/>
        <v>0</v>
      </c>
      <c r="AW108" s="45" t="str">
        <f>_xlfn.XLOOKUP(W108,'Lista Suspensa'!$AA$20:$AA$23,'Lista Suspensa'!$AB$20:$AB$23,"N/A")</f>
        <v>N/A</v>
      </c>
    </row>
    <row r="109" spans="1:49" ht="12" customHeight="1" x14ac:dyDescent="0.3">
      <c r="A109" s="87" t="s">
        <v>49</v>
      </c>
      <c r="B109" s="88">
        <v>46147</v>
      </c>
      <c r="C109" s="89" t="s">
        <v>50</v>
      </c>
      <c r="D109" s="89" t="s">
        <v>51</v>
      </c>
      <c r="E109" s="90">
        <v>92981470</v>
      </c>
      <c r="F109" s="91" t="s">
        <v>367</v>
      </c>
      <c r="G109" s="92">
        <v>11058744780</v>
      </c>
      <c r="H109" s="93">
        <v>30491</v>
      </c>
      <c r="I109" s="89">
        <v>42</v>
      </c>
      <c r="J109" s="89" t="s">
        <v>67</v>
      </c>
      <c r="K109" s="89" t="s">
        <v>77</v>
      </c>
      <c r="L109" s="89" t="s">
        <v>78</v>
      </c>
      <c r="M109" s="89"/>
      <c r="N109" s="89" t="s">
        <v>150</v>
      </c>
      <c r="O109" s="94" t="s">
        <v>368</v>
      </c>
      <c r="P109" s="95" t="s">
        <v>58</v>
      </c>
      <c r="Q109" s="144" t="s">
        <v>59</v>
      </c>
      <c r="R109" s="96">
        <v>46161</v>
      </c>
      <c r="S109" s="97"/>
      <c r="T109" s="97" t="s">
        <v>60</v>
      </c>
      <c r="U109" s="97" t="s">
        <v>61</v>
      </c>
      <c r="V109" s="93">
        <v>46161</v>
      </c>
      <c r="W109" s="93" t="s">
        <v>73</v>
      </c>
      <c r="X109" s="93" t="s">
        <v>73</v>
      </c>
      <c r="Y109" s="98"/>
      <c r="Z109" s="89" t="s">
        <v>62</v>
      </c>
      <c r="AA109" s="97">
        <v>46170</v>
      </c>
      <c r="AB109" s="89" t="s">
        <v>75</v>
      </c>
      <c r="AC109" s="120">
        <v>46177.444444270834</v>
      </c>
      <c r="AD109" s="89"/>
      <c r="AE109" s="89"/>
      <c r="AF109" s="89" t="s">
        <v>105</v>
      </c>
      <c r="AG109" s="89" t="s">
        <v>105</v>
      </c>
      <c r="AH109" s="99" t="s">
        <v>105</v>
      </c>
      <c r="AI109" s="99"/>
      <c r="AJ109" s="119" t="s">
        <v>91</v>
      </c>
      <c r="AK109" s="100"/>
      <c r="AL109" s="100" t="s">
        <v>64</v>
      </c>
      <c r="AM109" s="100" t="s">
        <v>102</v>
      </c>
      <c r="AN109" s="45" t="s">
        <v>65</v>
      </c>
      <c r="AO109" s="198" t="str">
        <f t="shared" si="9"/>
        <v>5/2026</v>
      </c>
      <c r="AP109" s="198">
        <f t="shared" si="10"/>
        <v>2</v>
      </c>
      <c r="AQ109" s="45" t="str">
        <f t="shared" si="11"/>
        <v>5/2026</v>
      </c>
      <c r="AR109" s="45">
        <f t="shared" si="12"/>
        <v>4</v>
      </c>
      <c r="AS109" s="45">
        <f t="shared" si="13"/>
        <v>0</v>
      </c>
      <c r="AT109" s="45">
        <f t="shared" si="14"/>
        <v>0</v>
      </c>
      <c r="AU109" s="45">
        <f t="shared" si="15"/>
        <v>0</v>
      </c>
      <c r="AV109" s="45">
        <f t="shared" si="17"/>
        <v>0</v>
      </c>
      <c r="AW109" s="45" t="str">
        <f>_xlfn.XLOOKUP(W109,'Lista Suspensa'!$AA$20:$AA$23,'Lista Suspensa'!$AB$20:$AB$23,"N/A")</f>
        <v>N/A</v>
      </c>
    </row>
    <row r="110" spans="1:49" ht="12" customHeight="1" x14ac:dyDescent="0.3">
      <c r="A110" s="87" t="s">
        <v>49</v>
      </c>
      <c r="B110" s="88">
        <v>46147</v>
      </c>
      <c r="C110" s="89" t="s">
        <v>50</v>
      </c>
      <c r="D110" s="89" t="s">
        <v>51</v>
      </c>
      <c r="E110" s="90">
        <v>89614130</v>
      </c>
      <c r="F110" s="91" t="s">
        <v>369</v>
      </c>
      <c r="G110" s="92">
        <v>93691220</v>
      </c>
      <c r="H110" s="93">
        <v>29081</v>
      </c>
      <c r="I110" s="89">
        <v>46</v>
      </c>
      <c r="J110" s="89" t="s">
        <v>67</v>
      </c>
      <c r="K110" s="89" t="s">
        <v>77</v>
      </c>
      <c r="L110" s="89" t="s">
        <v>78</v>
      </c>
      <c r="M110" s="89"/>
      <c r="N110" s="89" t="s">
        <v>124</v>
      </c>
      <c r="O110" s="94" t="s">
        <v>370</v>
      </c>
      <c r="P110" s="95" t="s">
        <v>58</v>
      </c>
      <c r="Q110" s="144" t="s">
        <v>59</v>
      </c>
      <c r="R110" s="96">
        <v>46161</v>
      </c>
      <c r="S110" s="97"/>
      <c r="T110" s="97" t="s">
        <v>60</v>
      </c>
      <c r="U110" s="97" t="s">
        <v>61</v>
      </c>
      <c r="V110" s="93">
        <v>46161</v>
      </c>
      <c r="W110" s="93" t="s">
        <v>73</v>
      </c>
      <c r="X110" s="93" t="s">
        <v>73</v>
      </c>
      <c r="Y110" s="98"/>
      <c r="Z110" s="89" t="s">
        <v>62</v>
      </c>
      <c r="AA110" s="97">
        <v>46169</v>
      </c>
      <c r="AB110" s="89" t="s">
        <v>75</v>
      </c>
      <c r="AC110" s="120"/>
      <c r="AD110" s="89"/>
      <c r="AE110" s="89"/>
      <c r="AF110" s="89">
        <v>2.2999999999999998</v>
      </c>
      <c r="AG110" s="89">
        <v>2.2999999999999998</v>
      </c>
      <c r="AH110" s="99" t="s">
        <v>105</v>
      </c>
      <c r="AI110" s="99"/>
      <c r="AJ110" s="119" t="s">
        <v>91</v>
      </c>
      <c r="AK110" s="100"/>
      <c r="AL110" s="100" t="s">
        <v>64</v>
      </c>
      <c r="AM110" s="100" t="s">
        <v>102</v>
      </c>
      <c r="AN110" s="45" t="s">
        <v>65</v>
      </c>
      <c r="AO110" s="198" t="str">
        <f t="shared" si="9"/>
        <v>5/2026</v>
      </c>
      <c r="AP110" s="198">
        <f t="shared" si="10"/>
        <v>2</v>
      </c>
      <c r="AQ110" s="45" t="str">
        <f t="shared" si="11"/>
        <v>5/2026</v>
      </c>
      <c r="AR110" s="45">
        <f t="shared" si="12"/>
        <v>4</v>
      </c>
      <c r="AS110" s="45">
        <f t="shared" si="13"/>
        <v>0</v>
      </c>
      <c r="AT110" s="45">
        <f t="shared" si="14"/>
        <v>0</v>
      </c>
      <c r="AU110" s="45">
        <f t="shared" si="15"/>
        <v>0</v>
      </c>
      <c r="AV110" s="45">
        <f t="shared" si="17"/>
        <v>0</v>
      </c>
      <c r="AW110" s="45" t="str">
        <f>_xlfn.XLOOKUP(W110,'Lista Suspensa'!$AA$20:$AA$23,'Lista Suspensa'!$AB$20:$AB$23,"N/A")</f>
        <v>N/A</v>
      </c>
    </row>
    <row r="111" spans="1:49" ht="12" customHeight="1" x14ac:dyDescent="0.3">
      <c r="A111" s="87" t="s">
        <v>49</v>
      </c>
      <c r="B111" s="88">
        <v>46147</v>
      </c>
      <c r="C111" s="89" t="s">
        <v>50</v>
      </c>
      <c r="D111" s="89" t="s">
        <v>51</v>
      </c>
      <c r="E111" s="90">
        <v>86829007</v>
      </c>
      <c r="F111" s="91" t="s">
        <v>371</v>
      </c>
      <c r="G111" s="92">
        <v>7442664750</v>
      </c>
      <c r="H111" s="93">
        <v>27992</v>
      </c>
      <c r="I111" s="89">
        <v>49</v>
      </c>
      <c r="J111" s="89" t="s">
        <v>67</v>
      </c>
      <c r="K111" s="89" t="s">
        <v>77</v>
      </c>
      <c r="L111" s="89" t="s">
        <v>78</v>
      </c>
      <c r="M111" s="89"/>
      <c r="N111" s="89" t="s">
        <v>372</v>
      </c>
      <c r="O111" s="94" t="s">
        <v>373</v>
      </c>
      <c r="P111" s="95" t="s">
        <v>58</v>
      </c>
      <c r="Q111" s="144" t="s">
        <v>59</v>
      </c>
      <c r="R111" s="96">
        <v>46161</v>
      </c>
      <c r="S111" s="97"/>
      <c r="T111" s="97" t="s">
        <v>60</v>
      </c>
      <c r="U111" s="97" t="s">
        <v>61</v>
      </c>
      <c r="V111" s="93">
        <v>46161</v>
      </c>
      <c r="W111" s="93" t="s">
        <v>73</v>
      </c>
      <c r="X111" s="93" t="s">
        <v>73</v>
      </c>
      <c r="Y111" s="98"/>
      <c r="Z111" s="89" t="s">
        <v>62</v>
      </c>
      <c r="AA111" s="97">
        <v>46169</v>
      </c>
      <c r="AB111" s="89" t="s">
        <v>75</v>
      </c>
      <c r="AC111" s="120">
        <v>46179.444444270834</v>
      </c>
      <c r="AD111" s="89"/>
      <c r="AE111" s="89"/>
      <c r="AF111" s="89">
        <v>2.9</v>
      </c>
      <c r="AG111" s="89">
        <v>2.9</v>
      </c>
      <c r="AH111" s="99"/>
      <c r="AI111" s="99"/>
      <c r="AJ111" s="119" t="s">
        <v>91</v>
      </c>
      <c r="AK111" s="100"/>
      <c r="AL111" s="100" t="s">
        <v>64</v>
      </c>
      <c r="AM111" s="100" t="s">
        <v>102</v>
      </c>
      <c r="AN111" s="45" t="s">
        <v>65</v>
      </c>
      <c r="AO111" s="198" t="str">
        <f t="shared" si="9"/>
        <v>5/2026</v>
      </c>
      <c r="AP111" s="198">
        <f t="shared" si="10"/>
        <v>2</v>
      </c>
      <c r="AQ111" s="45" t="str">
        <f t="shared" si="11"/>
        <v>5/2026</v>
      </c>
      <c r="AR111" s="45">
        <f t="shared" si="12"/>
        <v>4</v>
      </c>
      <c r="AS111" s="45">
        <f t="shared" si="13"/>
        <v>0</v>
      </c>
      <c r="AT111" s="45">
        <f t="shared" si="14"/>
        <v>0</v>
      </c>
      <c r="AU111" s="45">
        <f t="shared" si="15"/>
        <v>0</v>
      </c>
      <c r="AV111" s="45">
        <f t="shared" si="17"/>
        <v>0</v>
      </c>
      <c r="AW111" s="45" t="str">
        <f>_xlfn.XLOOKUP(W111,'Lista Suspensa'!$AA$20:$AA$23,'Lista Suspensa'!$AB$20:$AB$23,"N/A")</f>
        <v>N/A</v>
      </c>
    </row>
    <row r="112" spans="1:49" ht="12" customHeight="1" x14ac:dyDescent="0.3">
      <c r="A112" s="87" t="s">
        <v>49</v>
      </c>
      <c r="B112" s="88">
        <v>46147</v>
      </c>
      <c r="C112" s="89" t="s">
        <v>50</v>
      </c>
      <c r="D112" s="89" t="s">
        <v>51</v>
      </c>
      <c r="E112" s="90">
        <v>86350822</v>
      </c>
      <c r="F112" s="91" t="s">
        <v>374</v>
      </c>
      <c r="G112" s="92">
        <v>10768590892</v>
      </c>
      <c r="H112" s="93">
        <v>24905</v>
      </c>
      <c r="I112" s="89">
        <v>58</v>
      </c>
      <c r="J112" s="89" t="s">
        <v>67</v>
      </c>
      <c r="K112" s="89" t="s">
        <v>54</v>
      </c>
      <c r="L112" s="89" t="s">
        <v>81</v>
      </c>
      <c r="M112" s="89"/>
      <c r="N112" s="89" t="s">
        <v>175</v>
      </c>
      <c r="O112" s="94" t="s">
        <v>375</v>
      </c>
      <c r="P112" s="95" t="s">
        <v>58</v>
      </c>
      <c r="Q112" s="144" t="s">
        <v>59</v>
      </c>
      <c r="R112" s="96">
        <v>46161</v>
      </c>
      <c r="S112" s="97"/>
      <c r="T112" s="97" t="s">
        <v>60</v>
      </c>
      <c r="U112" s="97" t="s">
        <v>61</v>
      </c>
      <c r="V112" s="93">
        <v>46161</v>
      </c>
      <c r="W112" s="93" t="s">
        <v>73</v>
      </c>
      <c r="X112" s="93" t="s">
        <v>73</v>
      </c>
      <c r="Y112" s="98"/>
      <c r="Z112" s="89" t="s">
        <v>62</v>
      </c>
      <c r="AA112" s="97">
        <v>46164</v>
      </c>
      <c r="AB112" s="89" t="s">
        <v>142</v>
      </c>
      <c r="AC112" s="120"/>
      <c r="AD112" s="89"/>
      <c r="AE112" s="89"/>
      <c r="AF112" s="89"/>
      <c r="AG112" s="89"/>
      <c r="AH112" s="99"/>
      <c r="AI112" s="99"/>
      <c r="AJ112" s="99"/>
      <c r="AK112" s="100"/>
      <c r="AL112" s="100" t="s">
        <v>64</v>
      </c>
      <c r="AM112" s="100" t="s">
        <v>102</v>
      </c>
      <c r="AN112" s="45" t="s">
        <v>65</v>
      </c>
      <c r="AO112" s="198" t="str">
        <f t="shared" si="9"/>
        <v>5/2026</v>
      </c>
      <c r="AP112" s="198">
        <f t="shared" si="10"/>
        <v>2</v>
      </c>
      <c r="AQ112" s="45" t="str">
        <f t="shared" si="11"/>
        <v>5/2026</v>
      </c>
      <c r="AR112" s="45">
        <f t="shared" si="12"/>
        <v>4</v>
      </c>
      <c r="AS112" s="45">
        <f t="shared" si="13"/>
        <v>0</v>
      </c>
      <c r="AT112" s="45">
        <f t="shared" si="14"/>
        <v>0</v>
      </c>
      <c r="AU112" s="45">
        <f t="shared" si="15"/>
        <v>0</v>
      </c>
      <c r="AV112" s="45">
        <f t="shared" si="17"/>
        <v>0</v>
      </c>
      <c r="AW112" s="45" t="str">
        <f>_xlfn.XLOOKUP(W112,'Lista Suspensa'!$AA$20:$AA$23,'Lista Suspensa'!$AB$20:$AB$23,"N/A")</f>
        <v>N/A</v>
      </c>
    </row>
    <row r="113" spans="1:49" ht="12" customHeight="1" x14ac:dyDescent="0.3">
      <c r="A113" s="87" t="s">
        <v>49</v>
      </c>
      <c r="B113" s="88">
        <v>46147</v>
      </c>
      <c r="C113" s="89" t="s">
        <v>50</v>
      </c>
      <c r="D113" s="89" t="s">
        <v>51</v>
      </c>
      <c r="E113" s="90">
        <v>87071941</v>
      </c>
      <c r="F113" s="91" t="s">
        <v>376</v>
      </c>
      <c r="G113" s="92">
        <v>8050957802</v>
      </c>
      <c r="H113" s="93">
        <v>23815</v>
      </c>
      <c r="I113" s="89">
        <v>61</v>
      </c>
      <c r="J113" s="89" t="s">
        <v>67</v>
      </c>
      <c r="K113" s="89" t="s">
        <v>54</v>
      </c>
      <c r="L113" s="89" t="s">
        <v>224</v>
      </c>
      <c r="M113" s="89"/>
      <c r="N113" s="89" t="s">
        <v>82</v>
      </c>
      <c r="O113" s="94" t="s">
        <v>377</v>
      </c>
      <c r="P113" s="95" t="s">
        <v>58</v>
      </c>
      <c r="Q113" s="144" t="s">
        <v>59</v>
      </c>
      <c r="R113" s="96">
        <v>46161</v>
      </c>
      <c r="S113" s="97"/>
      <c r="T113" s="97" t="s">
        <v>60</v>
      </c>
      <c r="U113" s="97" t="s">
        <v>61</v>
      </c>
      <c r="V113" s="93">
        <v>46161</v>
      </c>
      <c r="W113" s="93" t="s">
        <v>73</v>
      </c>
      <c r="X113" s="93" t="s">
        <v>73</v>
      </c>
      <c r="Y113" s="98"/>
      <c r="Z113" s="89" t="s">
        <v>62</v>
      </c>
      <c r="AA113" s="97">
        <v>46167</v>
      </c>
      <c r="AB113" s="89" t="s">
        <v>75</v>
      </c>
      <c r="AC113" s="120"/>
      <c r="AD113" s="89" t="s">
        <v>378</v>
      </c>
      <c r="AE113" s="89"/>
      <c r="AF113" s="89">
        <v>1.7</v>
      </c>
      <c r="AG113" s="89">
        <v>1.7</v>
      </c>
      <c r="AH113" s="99" t="s">
        <v>379</v>
      </c>
      <c r="AI113" s="99" t="s">
        <v>379</v>
      </c>
      <c r="AJ113" s="119" t="s">
        <v>91</v>
      </c>
      <c r="AK113" s="100"/>
      <c r="AL113" s="100" t="s">
        <v>64</v>
      </c>
      <c r="AM113" s="100" t="s">
        <v>102</v>
      </c>
      <c r="AN113" s="45" t="s">
        <v>65</v>
      </c>
      <c r="AO113" s="198" t="str">
        <f t="shared" si="9"/>
        <v>5/2026</v>
      </c>
      <c r="AP113" s="198">
        <f t="shared" si="10"/>
        <v>2</v>
      </c>
      <c r="AQ113" s="45" t="str">
        <f t="shared" si="11"/>
        <v>5/2026</v>
      </c>
      <c r="AR113" s="45">
        <f t="shared" si="12"/>
        <v>4</v>
      </c>
      <c r="AS113" s="45">
        <f t="shared" si="13"/>
        <v>0</v>
      </c>
      <c r="AT113" s="45">
        <f t="shared" si="14"/>
        <v>0</v>
      </c>
      <c r="AU113" s="45">
        <f t="shared" si="15"/>
        <v>0</v>
      </c>
      <c r="AV113" s="45">
        <f t="shared" si="17"/>
        <v>0</v>
      </c>
      <c r="AW113" s="45" t="str">
        <f>_xlfn.XLOOKUP(W113,'Lista Suspensa'!$AA$20:$AA$23,'Lista Suspensa'!$AB$20:$AB$23,"N/A")</f>
        <v>N/A</v>
      </c>
    </row>
    <row r="114" spans="1:49" ht="12" customHeight="1" x14ac:dyDescent="0.3">
      <c r="A114" s="87" t="s">
        <v>49</v>
      </c>
      <c r="B114" s="88">
        <v>46147</v>
      </c>
      <c r="C114" s="89" t="s">
        <v>50</v>
      </c>
      <c r="D114" s="89" t="s">
        <v>51</v>
      </c>
      <c r="E114" s="90">
        <v>450413640</v>
      </c>
      <c r="F114" s="91" t="s">
        <v>380</v>
      </c>
      <c r="G114" s="92">
        <v>12431706893</v>
      </c>
      <c r="H114" s="93">
        <v>18871</v>
      </c>
      <c r="I114" s="89">
        <v>74</v>
      </c>
      <c r="J114" s="89" t="s">
        <v>67</v>
      </c>
      <c r="K114" s="89" t="s">
        <v>54</v>
      </c>
      <c r="L114" s="89" t="s">
        <v>86</v>
      </c>
      <c r="M114" s="89"/>
      <c r="N114" s="89" t="s">
        <v>108</v>
      </c>
      <c r="O114" s="94" t="s">
        <v>381</v>
      </c>
      <c r="P114" s="95" t="s">
        <v>58</v>
      </c>
      <c r="Q114" s="144" t="s">
        <v>59</v>
      </c>
      <c r="R114" s="96">
        <v>46161</v>
      </c>
      <c r="S114" s="97"/>
      <c r="T114" s="97" t="s">
        <v>60</v>
      </c>
      <c r="U114" s="97" t="s">
        <v>61</v>
      </c>
      <c r="V114" s="93">
        <v>46161</v>
      </c>
      <c r="W114" s="93" t="s">
        <v>73</v>
      </c>
      <c r="X114" s="93" t="s">
        <v>73</v>
      </c>
      <c r="Y114" s="98"/>
      <c r="Z114" s="89" t="s">
        <v>62</v>
      </c>
      <c r="AA114" s="97">
        <v>46167</v>
      </c>
      <c r="AB114" s="89" t="s">
        <v>75</v>
      </c>
      <c r="AC114" s="120"/>
      <c r="AD114" s="89"/>
      <c r="AE114" s="89"/>
      <c r="AF114" s="89" t="s">
        <v>105</v>
      </c>
      <c r="AG114" s="89" t="s">
        <v>105</v>
      </c>
      <c r="AH114" s="99" t="s">
        <v>105</v>
      </c>
      <c r="AI114" s="99"/>
      <c r="AJ114" s="119" t="s">
        <v>91</v>
      </c>
      <c r="AK114" s="100"/>
      <c r="AL114" s="100" t="s">
        <v>64</v>
      </c>
      <c r="AM114" s="100" t="s">
        <v>102</v>
      </c>
      <c r="AN114" s="45" t="s">
        <v>65</v>
      </c>
      <c r="AO114" s="198" t="str">
        <f t="shared" si="9"/>
        <v>5/2026</v>
      </c>
      <c r="AP114" s="198">
        <f t="shared" si="10"/>
        <v>2</v>
      </c>
      <c r="AQ114" s="45" t="str">
        <f t="shared" si="11"/>
        <v>5/2026</v>
      </c>
      <c r="AR114" s="45">
        <f t="shared" si="12"/>
        <v>4</v>
      </c>
      <c r="AS114" s="45">
        <f t="shared" si="13"/>
        <v>0</v>
      </c>
      <c r="AT114" s="45">
        <f t="shared" si="14"/>
        <v>0</v>
      </c>
      <c r="AU114" s="45">
        <f t="shared" si="15"/>
        <v>0</v>
      </c>
      <c r="AV114" s="45">
        <f t="shared" si="17"/>
        <v>0</v>
      </c>
      <c r="AW114" s="45" t="str">
        <f>_xlfn.XLOOKUP(W114,'Lista Suspensa'!$AA$20:$AA$23,'Lista Suspensa'!$AB$20:$AB$23,"N/A")</f>
        <v>N/A</v>
      </c>
    </row>
    <row r="115" spans="1:49" ht="12" customHeight="1" x14ac:dyDescent="0.3">
      <c r="A115" s="87" t="s">
        <v>49</v>
      </c>
      <c r="B115" s="88">
        <v>46147</v>
      </c>
      <c r="C115" s="89" t="s">
        <v>50</v>
      </c>
      <c r="D115" s="89" t="s">
        <v>51</v>
      </c>
      <c r="E115" s="90" t="s">
        <v>382</v>
      </c>
      <c r="F115" s="91" t="s">
        <v>383</v>
      </c>
      <c r="G115" s="92">
        <v>66458889453</v>
      </c>
      <c r="H115" s="93">
        <v>25022</v>
      </c>
      <c r="I115" s="89">
        <v>57</v>
      </c>
      <c r="J115" s="89" t="s">
        <v>53</v>
      </c>
      <c r="K115" s="89" t="s">
        <v>54</v>
      </c>
      <c r="L115" s="89" t="s">
        <v>93</v>
      </c>
      <c r="M115" s="89" t="s">
        <v>384</v>
      </c>
      <c r="N115" s="89">
        <v>60</v>
      </c>
      <c r="O115" s="94">
        <v>11960562512</v>
      </c>
      <c r="P115" s="95" t="s">
        <v>58</v>
      </c>
      <c r="Q115" s="144" t="s">
        <v>59</v>
      </c>
      <c r="R115" s="96">
        <v>46161</v>
      </c>
      <c r="S115" s="97"/>
      <c r="T115" s="97" t="s">
        <v>60</v>
      </c>
      <c r="U115" s="97" t="s">
        <v>61</v>
      </c>
      <c r="V115" s="93">
        <v>46161</v>
      </c>
      <c r="W115" s="93" t="s">
        <v>73</v>
      </c>
      <c r="X115" s="93" t="s">
        <v>73</v>
      </c>
      <c r="Y115" s="98"/>
      <c r="Z115" s="89" t="s">
        <v>62</v>
      </c>
      <c r="AA115" s="97">
        <v>46170</v>
      </c>
      <c r="AB115" s="89" t="s">
        <v>75</v>
      </c>
      <c r="AC115" s="120"/>
      <c r="AD115" s="89" t="s">
        <v>122</v>
      </c>
      <c r="AE115" s="89"/>
      <c r="AF115" s="89">
        <v>2.56</v>
      </c>
      <c r="AG115" s="89">
        <v>2.56</v>
      </c>
      <c r="AH115" s="99" t="s">
        <v>90</v>
      </c>
      <c r="AI115" s="99"/>
      <c r="AJ115" s="119" t="s">
        <v>91</v>
      </c>
      <c r="AK115" s="100"/>
      <c r="AL115" s="100" t="s">
        <v>64</v>
      </c>
      <c r="AM115" s="100" t="s">
        <v>102</v>
      </c>
      <c r="AN115" s="45" t="s">
        <v>65</v>
      </c>
      <c r="AO115" s="198" t="str">
        <f t="shared" si="9"/>
        <v>5/2026</v>
      </c>
      <c r="AP115" s="198">
        <f t="shared" si="10"/>
        <v>2</v>
      </c>
      <c r="AQ115" s="45" t="str">
        <f t="shared" si="11"/>
        <v>5/2026</v>
      </c>
      <c r="AR115" s="45">
        <f t="shared" si="12"/>
        <v>4</v>
      </c>
      <c r="AS115" s="45">
        <f t="shared" si="13"/>
        <v>0</v>
      </c>
      <c r="AT115" s="45">
        <f t="shared" si="14"/>
        <v>0</v>
      </c>
      <c r="AU115" s="45">
        <f t="shared" si="15"/>
        <v>0</v>
      </c>
      <c r="AV115" s="45">
        <f t="shared" si="17"/>
        <v>0</v>
      </c>
      <c r="AW115" s="45" t="str">
        <f>_xlfn.XLOOKUP(W115,'Lista Suspensa'!$AA$20:$AA$23,'Lista Suspensa'!$AB$20:$AB$23,"N/A")</f>
        <v>N/A</v>
      </c>
    </row>
    <row r="116" spans="1:49" ht="12" customHeight="1" x14ac:dyDescent="0.3">
      <c r="A116" s="87" t="s">
        <v>49</v>
      </c>
      <c r="B116" s="88">
        <v>46147</v>
      </c>
      <c r="C116" s="89" t="s">
        <v>50</v>
      </c>
      <c r="D116" s="89" t="s">
        <v>51</v>
      </c>
      <c r="E116" s="90">
        <v>83720812</v>
      </c>
      <c r="F116" s="91" t="s">
        <v>385</v>
      </c>
      <c r="G116" s="92">
        <v>17234761888</v>
      </c>
      <c r="H116" s="93">
        <v>27026</v>
      </c>
      <c r="I116" s="89">
        <v>52</v>
      </c>
      <c r="J116" s="89" t="s">
        <v>67</v>
      </c>
      <c r="K116" s="89" t="s">
        <v>54</v>
      </c>
      <c r="L116" s="89" t="s">
        <v>86</v>
      </c>
      <c r="M116" s="89"/>
      <c r="N116" s="89" t="s">
        <v>82</v>
      </c>
      <c r="O116" s="94" t="s">
        <v>386</v>
      </c>
      <c r="P116" s="95" t="s">
        <v>58</v>
      </c>
      <c r="Q116" s="144" t="s">
        <v>59</v>
      </c>
      <c r="R116" s="96">
        <v>46161</v>
      </c>
      <c r="S116" s="97"/>
      <c r="T116" s="97" t="s">
        <v>60</v>
      </c>
      <c r="U116" s="97" t="s">
        <v>61</v>
      </c>
      <c r="V116" s="93">
        <v>46161</v>
      </c>
      <c r="W116" s="93" t="s">
        <v>73</v>
      </c>
      <c r="X116" s="93" t="s">
        <v>73</v>
      </c>
      <c r="Y116" s="98"/>
      <c r="Z116" s="89" t="s">
        <v>62</v>
      </c>
      <c r="AA116" s="97">
        <v>46169</v>
      </c>
      <c r="AB116" s="89" t="s">
        <v>75</v>
      </c>
      <c r="AC116" s="120"/>
      <c r="AD116" s="89"/>
      <c r="AE116" s="89"/>
      <c r="AF116" s="89">
        <v>2.2599999999999998</v>
      </c>
      <c r="AG116" s="89">
        <v>2.2599999999999998</v>
      </c>
      <c r="AH116" s="99"/>
      <c r="AI116" s="99"/>
      <c r="AJ116" s="119" t="s">
        <v>91</v>
      </c>
      <c r="AK116" s="100"/>
      <c r="AL116" s="100" t="s">
        <v>64</v>
      </c>
      <c r="AM116" s="100" t="s">
        <v>102</v>
      </c>
      <c r="AN116" s="45" t="s">
        <v>65</v>
      </c>
      <c r="AO116" s="198" t="str">
        <f t="shared" si="9"/>
        <v>5/2026</v>
      </c>
      <c r="AP116" s="198">
        <f t="shared" si="10"/>
        <v>2</v>
      </c>
      <c r="AQ116" s="45" t="str">
        <f t="shared" si="11"/>
        <v>5/2026</v>
      </c>
      <c r="AR116" s="45">
        <f t="shared" si="12"/>
        <v>4</v>
      </c>
      <c r="AS116" s="45">
        <f t="shared" si="13"/>
        <v>0</v>
      </c>
      <c r="AT116" s="45">
        <f t="shared" si="14"/>
        <v>0</v>
      </c>
      <c r="AU116" s="45">
        <f t="shared" si="15"/>
        <v>0</v>
      </c>
      <c r="AV116" s="45">
        <f t="shared" si="17"/>
        <v>0</v>
      </c>
      <c r="AW116" s="45" t="str">
        <f>_xlfn.XLOOKUP(W116,'Lista Suspensa'!$AA$20:$AA$23,'Lista Suspensa'!$AB$20:$AB$23,"N/A")</f>
        <v>N/A</v>
      </c>
    </row>
    <row r="117" spans="1:49" ht="12" customHeight="1" x14ac:dyDescent="0.3">
      <c r="A117" s="87" t="s">
        <v>49</v>
      </c>
      <c r="B117" s="88">
        <v>46147</v>
      </c>
      <c r="C117" s="89" t="s">
        <v>50</v>
      </c>
      <c r="D117" s="89" t="s">
        <v>51</v>
      </c>
      <c r="E117" s="90">
        <v>450230180</v>
      </c>
      <c r="F117" s="91" t="s">
        <v>387</v>
      </c>
      <c r="G117" s="92">
        <v>17333651843</v>
      </c>
      <c r="H117" s="93">
        <v>22289</v>
      </c>
      <c r="I117" s="89">
        <v>65</v>
      </c>
      <c r="J117" s="89" t="s">
        <v>67</v>
      </c>
      <c r="K117" s="89" t="s">
        <v>54</v>
      </c>
      <c r="L117" s="89" t="s">
        <v>93</v>
      </c>
      <c r="M117" s="89"/>
      <c r="N117" s="89" t="s">
        <v>108</v>
      </c>
      <c r="O117" s="94" t="s">
        <v>388</v>
      </c>
      <c r="P117" s="95" t="s">
        <v>58</v>
      </c>
      <c r="Q117" s="144" t="s">
        <v>59</v>
      </c>
      <c r="R117" s="96">
        <v>46161</v>
      </c>
      <c r="S117" s="97"/>
      <c r="T117" s="97" t="s">
        <v>60</v>
      </c>
      <c r="U117" s="97" t="s">
        <v>61</v>
      </c>
      <c r="V117" s="93">
        <v>46161</v>
      </c>
      <c r="W117" s="93" t="s">
        <v>73</v>
      </c>
      <c r="X117" s="93" t="s">
        <v>73</v>
      </c>
      <c r="Y117" s="98"/>
      <c r="Z117" s="89" t="s">
        <v>62</v>
      </c>
      <c r="AA117" s="97">
        <v>46163</v>
      </c>
      <c r="AB117" s="89" t="s">
        <v>75</v>
      </c>
      <c r="AC117" s="120" t="s">
        <v>389</v>
      </c>
      <c r="AD117" s="89" t="s">
        <v>284</v>
      </c>
      <c r="AE117" s="89"/>
      <c r="AF117" s="89">
        <v>3.55</v>
      </c>
      <c r="AG117" s="89">
        <v>3.55</v>
      </c>
      <c r="AH117" s="99" t="s">
        <v>390</v>
      </c>
      <c r="AI117" s="99"/>
      <c r="AJ117" s="119" t="s">
        <v>91</v>
      </c>
      <c r="AK117" s="100"/>
      <c r="AL117" s="100" t="s">
        <v>64</v>
      </c>
      <c r="AM117" s="100" t="s">
        <v>102</v>
      </c>
      <c r="AN117" s="45" t="s">
        <v>65</v>
      </c>
      <c r="AO117" s="198" t="str">
        <f t="shared" si="9"/>
        <v>5/2026</v>
      </c>
      <c r="AP117" s="198">
        <f t="shared" si="10"/>
        <v>2</v>
      </c>
      <c r="AQ117" s="45" t="str">
        <f t="shared" si="11"/>
        <v>5/2026</v>
      </c>
      <c r="AR117" s="45">
        <f t="shared" si="12"/>
        <v>4</v>
      </c>
      <c r="AS117" s="45">
        <f t="shared" si="13"/>
        <v>0</v>
      </c>
      <c r="AT117" s="45">
        <f t="shared" si="14"/>
        <v>0</v>
      </c>
      <c r="AU117" s="45">
        <f t="shared" si="15"/>
        <v>0</v>
      </c>
      <c r="AV117" s="45">
        <f t="shared" si="17"/>
        <v>0</v>
      </c>
      <c r="AW117" s="45" t="str">
        <f>_xlfn.XLOOKUP(W117,'Lista Suspensa'!$AA$20:$AA$23,'Lista Suspensa'!$AB$20:$AB$23,"N/A")</f>
        <v>N/A</v>
      </c>
    </row>
    <row r="118" spans="1:49" ht="12" customHeight="1" x14ac:dyDescent="0.3">
      <c r="A118" s="87" t="s">
        <v>49</v>
      </c>
      <c r="B118" s="88">
        <v>46147</v>
      </c>
      <c r="C118" s="89" t="s">
        <v>50</v>
      </c>
      <c r="D118" s="89" t="s">
        <v>51</v>
      </c>
      <c r="E118" s="90">
        <v>804760357</v>
      </c>
      <c r="F118" s="91" t="s">
        <v>391</v>
      </c>
      <c r="G118" s="92">
        <v>27355273876</v>
      </c>
      <c r="H118" s="93">
        <v>28901</v>
      </c>
      <c r="I118" s="89">
        <v>47</v>
      </c>
      <c r="J118" s="89" t="s">
        <v>53</v>
      </c>
      <c r="K118" s="89" t="s">
        <v>54</v>
      </c>
      <c r="L118" s="89" t="s">
        <v>93</v>
      </c>
      <c r="M118" s="89"/>
      <c r="N118" s="89" t="s">
        <v>108</v>
      </c>
      <c r="O118" s="94" t="s">
        <v>392</v>
      </c>
      <c r="P118" s="95" t="s">
        <v>58</v>
      </c>
      <c r="Q118" s="144" t="s">
        <v>59</v>
      </c>
      <c r="R118" s="96">
        <v>46148</v>
      </c>
      <c r="S118" s="97"/>
      <c r="T118" s="97" t="s">
        <v>60</v>
      </c>
      <c r="U118" s="97" t="s">
        <v>61</v>
      </c>
      <c r="V118" s="93">
        <v>46148</v>
      </c>
      <c r="W118" s="93" t="s">
        <v>73</v>
      </c>
      <c r="X118" s="93" t="s">
        <v>73</v>
      </c>
      <c r="Y118" s="98"/>
      <c r="Z118" s="89" t="s">
        <v>62</v>
      </c>
      <c r="AA118" s="97">
        <v>46155</v>
      </c>
      <c r="AB118" s="89" t="s">
        <v>75</v>
      </c>
      <c r="AC118" s="120"/>
      <c r="AD118" s="89"/>
      <c r="AE118" s="89"/>
      <c r="AF118" s="89">
        <v>2.5</v>
      </c>
      <c r="AG118" s="89">
        <v>2.5</v>
      </c>
      <c r="AH118" s="99" t="s">
        <v>393</v>
      </c>
      <c r="AI118" s="99"/>
      <c r="AJ118" s="119" t="s">
        <v>91</v>
      </c>
      <c r="AK118" s="100"/>
      <c r="AL118" s="100" t="s">
        <v>64</v>
      </c>
      <c r="AM118" s="100" t="s">
        <v>102</v>
      </c>
      <c r="AN118" s="45" t="s">
        <v>65</v>
      </c>
      <c r="AO118" s="198" t="str">
        <f t="shared" si="9"/>
        <v>5/2026</v>
      </c>
      <c r="AP118" s="198">
        <f t="shared" si="10"/>
        <v>2</v>
      </c>
      <c r="AQ118" s="45" t="str">
        <f t="shared" si="11"/>
        <v>5/2026</v>
      </c>
      <c r="AR118" s="45">
        <f t="shared" si="12"/>
        <v>2</v>
      </c>
      <c r="AS118" s="45">
        <f t="shared" si="13"/>
        <v>0</v>
      </c>
      <c r="AT118" s="45">
        <f t="shared" si="14"/>
        <v>0</v>
      </c>
      <c r="AU118" s="45">
        <f t="shared" si="15"/>
        <v>0</v>
      </c>
      <c r="AV118" s="45">
        <f t="shared" si="17"/>
        <v>0</v>
      </c>
      <c r="AW118" s="45" t="str">
        <f>_xlfn.XLOOKUP(W118,'Lista Suspensa'!$AA$20:$AA$23,'Lista Suspensa'!$AB$20:$AB$23,"N/A")</f>
        <v>N/A</v>
      </c>
    </row>
    <row r="119" spans="1:49" ht="12" customHeight="1" x14ac:dyDescent="0.3">
      <c r="A119" s="87" t="s">
        <v>49</v>
      </c>
      <c r="B119" s="88">
        <v>46147</v>
      </c>
      <c r="C119" s="89" t="s">
        <v>50</v>
      </c>
      <c r="D119" s="89" t="s">
        <v>51</v>
      </c>
      <c r="E119" s="90">
        <v>804981744</v>
      </c>
      <c r="F119" s="91" t="s">
        <v>394</v>
      </c>
      <c r="G119" s="92">
        <v>61808156587</v>
      </c>
      <c r="H119" s="93">
        <v>24516</v>
      </c>
      <c r="I119" s="89">
        <v>59</v>
      </c>
      <c r="J119" s="89" t="s">
        <v>67</v>
      </c>
      <c r="K119" s="89" t="s">
        <v>54</v>
      </c>
      <c r="L119" s="89" t="s">
        <v>93</v>
      </c>
      <c r="M119" s="89"/>
      <c r="N119" s="89" t="s">
        <v>108</v>
      </c>
      <c r="O119" s="94" t="s">
        <v>395</v>
      </c>
      <c r="P119" s="95" t="s">
        <v>58</v>
      </c>
      <c r="Q119" s="144" t="s">
        <v>59</v>
      </c>
      <c r="R119" s="96">
        <v>46161</v>
      </c>
      <c r="S119" s="97"/>
      <c r="T119" s="97" t="s">
        <v>60</v>
      </c>
      <c r="U119" s="97" t="s">
        <v>61</v>
      </c>
      <c r="V119" s="93">
        <v>46161</v>
      </c>
      <c r="W119" s="93" t="s">
        <v>73</v>
      </c>
      <c r="X119" s="93" t="s">
        <v>73</v>
      </c>
      <c r="Y119" s="98"/>
      <c r="Z119" s="89" t="s">
        <v>62</v>
      </c>
      <c r="AA119" s="97">
        <v>46171</v>
      </c>
      <c r="AB119" s="89" t="s">
        <v>75</v>
      </c>
      <c r="AC119" s="120"/>
      <c r="AD119" s="89"/>
      <c r="AE119" s="89"/>
      <c r="AF119" s="89" t="s">
        <v>89</v>
      </c>
      <c r="AG119" s="89">
        <v>2.63</v>
      </c>
      <c r="AH119" s="99" t="s">
        <v>356</v>
      </c>
      <c r="AI119" s="99" t="s">
        <v>356</v>
      </c>
      <c r="AJ119" s="99" t="s">
        <v>91</v>
      </c>
      <c r="AK119" s="100"/>
      <c r="AL119" s="100" t="s">
        <v>64</v>
      </c>
      <c r="AM119" s="100" t="s">
        <v>102</v>
      </c>
      <c r="AN119" s="45" t="s">
        <v>65</v>
      </c>
      <c r="AO119" s="198" t="str">
        <f t="shared" si="9"/>
        <v>5/2026</v>
      </c>
      <c r="AP119" s="198">
        <f t="shared" si="10"/>
        <v>2</v>
      </c>
      <c r="AQ119" s="45" t="str">
        <f t="shared" si="11"/>
        <v>5/2026</v>
      </c>
      <c r="AR119" s="45">
        <f t="shared" si="12"/>
        <v>4</v>
      </c>
      <c r="AS119" s="45">
        <f t="shared" si="13"/>
        <v>0</v>
      </c>
      <c r="AT119" s="45">
        <f t="shared" si="14"/>
        <v>0</v>
      </c>
      <c r="AU119" s="45">
        <f t="shared" si="15"/>
        <v>0</v>
      </c>
      <c r="AV119" s="45">
        <f t="shared" si="17"/>
        <v>0</v>
      </c>
      <c r="AW119" s="45" t="str">
        <f>_xlfn.XLOOKUP(W119,'Lista Suspensa'!$AA$20:$AA$23,'Lista Suspensa'!$AB$20:$AB$23,"N/A")</f>
        <v>N/A</v>
      </c>
    </row>
    <row r="120" spans="1:49" ht="12" customHeight="1" x14ac:dyDescent="0.3">
      <c r="A120" s="87" t="s">
        <v>49</v>
      </c>
      <c r="B120" s="88">
        <v>46147</v>
      </c>
      <c r="C120" s="89" t="s">
        <v>50</v>
      </c>
      <c r="D120" s="89" t="s">
        <v>51</v>
      </c>
      <c r="E120" s="90">
        <v>81624620</v>
      </c>
      <c r="F120" s="91" t="s">
        <v>396</v>
      </c>
      <c r="G120" s="92">
        <v>29675735821</v>
      </c>
      <c r="H120" s="93">
        <v>30055</v>
      </c>
      <c r="I120" s="89">
        <v>44</v>
      </c>
      <c r="J120" s="89" t="s">
        <v>53</v>
      </c>
      <c r="K120" s="89" t="s">
        <v>54</v>
      </c>
      <c r="L120" s="89" t="s">
        <v>93</v>
      </c>
      <c r="M120" s="89"/>
      <c r="N120" s="89" t="s">
        <v>69</v>
      </c>
      <c r="O120" s="94" t="s">
        <v>397</v>
      </c>
      <c r="P120" s="95" t="s">
        <v>58</v>
      </c>
      <c r="Q120" s="144" t="s">
        <v>59</v>
      </c>
      <c r="R120" s="96">
        <v>46161</v>
      </c>
      <c r="S120" s="97"/>
      <c r="T120" s="97" t="s">
        <v>60</v>
      </c>
      <c r="U120" s="97" t="s">
        <v>61</v>
      </c>
      <c r="V120" s="93">
        <v>46161</v>
      </c>
      <c r="W120" s="93" t="s">
        <v>73</v>
      </c>
      <c r="X120" s="93" t="s">
        <v>73</v>
      </c>
      <c r="Y120" s="98"/>
      <c r="Z120" s="89" t="s">
        <v>62</v>
      </c>
      <c r="AA120" s="97">
        <v>46169</v>
      </c>
      <c r="AB120" s="89" t="s">
        <v>75</v>
      </c>
      <c r="AC120" s="120">
        <v>46179.430555439816</v>
      </c>
      <c r="AD120" s="89"/>
      <c r="AE120" s="89"/>
      <c r="AF120" s="89" t="s">
        <v>105</v>
      </c>
      <c r="AG120" s="89" t="s">
        <v>105</v>
      </c>
      <c r="AH120" s="99"/>
      <c r="AI120" s="99"/>
      <c r="AJ120" s="119" t="s">
        <v>91</v>
      </c>
      <c r="AK120" s="100"/>
      <c r="AL120" s="100" t="s">
        <v>64</v>
      </c>
      <c r="AM120" s="100" t="s">
        <v>102</v>
      </c>
      <c r="AN120" s="45" t="s">
        <v>65</v>
      </c>
      <c r="AO120" s="198" t="str">
        <f t="shared" si="9"/>
        <v>5/2026</v>
      </c>
      <c r="AP120" s="198">
        <f t="shared" si="10"/>
        <v>2</v>
      </c>
      <c r="AQ120" s="45" t="str">
        <f t="shared" si="11"/>
        <v>5/2026</v>
      </c>
      <c r="AR120" s="45">
        <f t="shared" si="12"/>
        <v>4</v>
      </c>
      <c r="AS120" s="45">
        <f t="shared" si="13"/>
        <v>0</v>
      </c>
      <c r="AT120" s="45">
        <f t="shared" si="14"/>
        <v>0</v>
      </c>
      <c r="AU120" s="45">
        <f t="shared" si="15"/>
        <v>0</v>
      </c>
      <c r="AV120" s="45">
        <f t="shared" si="17"/>
        <v>0</v>
      </c>
      <c r="AW120" s="45" t="str">
        <f>_xlfn.XLOOKUP(W120,'Lista Suspensa'!$AA$20:$AA$23,'Lista Suspensa'!$AB$20:$AB$23,"N/A")</f>
        <v>N/A</v>
      </c>
    </row>
    <row r="121" spans="1:49" ht="12" customHeight="1" x14ac:dyDescent="0.3">
      <c r="A121" s="87" t="s">
        <v>49</v>
      </c>
      <c r="B121" s="88">
        <v>46147</v>
      </c>
      <c r="C121" s="89" t="s">
        <v>50</v>
      </c>
      <c r="D121" s="89" t="s">
        <v>51</v>
      </c>
      <c r="E121" s="90">
        <v>76154878</v>
      </c>
      <c r="F121" s="91" t="s">
        <v>398</v>
      </c>
      <c r="G121" s="92">
        <v>3794134850</v>
      </c>
      <c r="H121" s="93">
        <v>23237</v>
      </c>
      <c r="I121" s="89">
        <v>62</v>
      </c>
      <c r="J121" s="89" t="s">
        <v>53</v>
      </c>
      <c r="K121" s="89" t="s">
        <v>54</v>
      </c>
      <c r="L121" s="89" t="s">
        <v>93</v>
      </c>
      <c r="M121" s="89"/>
      <c r="N121" s="89" t="s">
        <v>69</v>
      </c>
      <c r="O121" s="94" t="s">
        <v>399</v>
      </c>
      <c r="P121" s="95" t="s">
        <v>58</v>
      </c>
      <c r="Q121" s="144" t="s">
        <v>59</v>
      </c>
      <c r="R121" s="96">
        <v>46161</v>
      </c>
      <c r="S121" s="97"/>
      <c r="T121" s="97" t="s">
        <v>60</v>
      </c>
      <c r="U121" s="97" t="s">
        <v>61</v>
      </c>
      <c r="V121" s="93">
        <v>46161</v>
      </c>
      <c r="W121" s="93" t="s">
        <v>73</v>
      </c>
      <c r="X121" s="93" t="s">
        <v>73</v>
      </c>
      <c r="Y121" s="98"/>
      <c r="Z121" s="89" t="s">
        <v>62</v>
      </c>
      <c r="AA121" s="97">
        <v>46170</v>
      </c>
      <c r="AB121" s="89" t="s">
        <v>142</v>
      </c>
      <c r="AC121" s="120">
        <v>46180.472221932869</v>
      </c>
      <c r="AD121" s="89"/>
      <c r="AE121" s="89"/>
      <c r="AF121" s="89"/>
      <c r="AG121" s="89"/>
      <c r="AH121" s="99"/>
      <c r="AI121" s="99"/>
      <c r="AJ121" s="99"/>
      <c r="AK121" s="100"/>
      <c r="AL121" s="100" t="s">
        <v>64</v>
      </c>
      <c r="AM121" s="100" t="s">
        <v>102</v>
      </c>
      <c r="AN121" s="45" t="s">
        <v>65</v>
      </c>
      <c r="AO121" s="198" t="str">
        <f t="shared" si="9"/>
        <v>5/2026</v>
      </c>
      <c r="AP121" s="198">
        <f t="shared" si="10"/>
        <v>2</v>
      </c>
      <c r="AQ121" s="45" t="str">
        <f t="shared" si="11"/>
        <v>5/2026</v>
      </c>
      <c r="AR121" s="45">
        <f t="shared" si="12"/>
        <v>4</v>
      </c>
      <c r="AS121" s="45">
        <f t="shared" si="13"/>
        <v>0</v>
      </c>
      <c r="AT121" s="45">
        <f t="shared" si="14"/>
        <v>0</v>
      </c>
      <c r="AU121" s="45">
        <f t="shared" si="15"/>
        <v>0</v>
      </c>
      <c r="AV121" s="45">
        <f t="shared" si="17"/>
        <v>0</v>
      </c>
      <c r="AW121" s="45" t="str">
        <f>_xlfn.XLOOKUP(W121,'Lista Suspensa'!$AA$20:$AA$23,'Lista Suspensa'!$AB$20:$AB$23,"N/A")</f>
        <v>N/A</v>
      </c>
    </row>
    <row r="122" spans="1:49" ht="12" customHeight="1" x14ac:dyDescent="0.3">
      <c r="A122" s="87" t="s">
        <v>49</v>
      </c>
      <c r="B122" s="88">
        <v>46147</v>
      </c>
      <c r="C122" s="89" t="s">
        <v>50</v>
      </c>
      <c r="D122" s="89" t="s">
        <v>51</v>
      </c>
      <c r="E122" s="90">
        <v>78260869</v>
      </c>
      <c r="F122" s="91" t="s">
        <v>400</v>
      </c>
      <c r="G122" s="92">
        <v>7324911854</v>
      </c>
      <c r="H122" s="93">
        <v>23798</v>
      </c>
      <c r="I122" s="89">
        <v>61</v>
      </c>
      <c r="J122" s="89" t="s">
        <v>53</v>
      </c>
      <c r="K122" s="89" t="s">
        <v>54</v>
      </c>
      <c r="L122" s="89" t="s">
        <v>93</v>
      </c>
      <c r="M122" s="89"/>
      <c r="N122" s="89" t="s">
        <v>124</v>
      </c>
      <c r="O122" s="94" t="s">
        <v>401</v>
      </c>
      <c r="P122" s="95" t="s">
        <v>58</v>
      </c>
      <c r="Q122" s="144" t="s">
        <v>59</v>
      </c>
      <c r="R122" s="96">
        <v>46161</v>
      </c>
      <c r="S122" s="97"/>
      <c r="T122" s="97" t="s">
        <v>60</v>
      </c>
      <c r="U122" s="97" t="s">
        <v>61</v>
      </c>
      <c r="V122" s="93">
        <v>46161</v>
      </c>
      <c r="W122" s="93" t="s">
        <v>73</v>
      </c>
      <c r="X122" s="93" t="s">
        <v>73</v>
      </c>
      <c r="Y122" s="98"/>
      <c r="Z122" s="89" t="s">
        <v>62</v>
      </c>
      <c r="AA122" s="97">
        <v>46169</v>
      </c>
      <c r="AB122" s="89" t="s">
        <v>75</v>
      </c>
      <c r="AC122" s="120"/>
      <c r="AD122" s="89" t="s">
        <v>284</v>
      </c>
      <c r="AE122" s="89"/>
      <c r="AF122" s="89">
        <v>4.2</v>
      </c>
      <c r="AG122" s="89">
        <v>4.2</v>
      </c>
      <c r="AH122" s="99" t="s">
        <v>402</v>
      </c>
      <c r="AI122" s="99"/>
      <c r="AJ122" s="119" t="s">
        <v>91</v>
      </c>
      <c r="AK122" s="100"/>
      <c r="AL122" s="100" t="s">
        <v>64</v>
      </c>
      <c r="AM122" s="100" t="s">
        <v>102</v>
      </c>
      <c r="AN122" s="45" t="s">
        <v>65</v>
      </c>
      <c r="AO122" s="198" t="str">
        <f t="shared" si="9"/>
        <v>5/2026</v>
      </c>
      <c r="AP122" s="198">
        <f t="shared" si="10"/>
        <v>2</v>
      </c>
      <c r="AQ122" s="45" t="str">
        <f t="shared" si="11"/>
        <v>5/2026</v>
      </c>
      <c r="AR122" s="45">
        <f t="shared" si="12"/>
        <v>4</v>
      </c>
      <c r="AS122" s="45">
        <f t="shared" si="13"/>
        <v>0</v>
      </c>
      <c r="AT122" s="45">
        <f t="shared" si="14"/>
        <v>0</v>
      </c>
      <c r="AU122" s="45">
        <f t="shared" si="15"/>
        <v>0</v>
      </c>
      <c r="AV122" s="45">
        <f t="shared" si="17"/>
        <v>0</v>
      </c>
      <c r="AW122" s="45" t="str">
        <f>_xlfn.XLOOKUP(W122,'Lista Suspensa'!$AA$20:$AA$23,'Lista Suspensa'!$AB$20:$AB$23,"N/A")</f>
        <v>N/A</v>
      </c>
    </row>
    <row r="123" spans="1:49" ht="12" customHeight="1" x14ac:dyDescent="0.3">
      <c r="A123" s="87" t="s">
        <v>49</v>
      </c>
      <c r="B123" s="88">
        <v>46147</v>
      </c>
      <c r="C123" s="89" t="s">
        <v>50</v>
      </c>
      <c r="D123" s="89" t="s">
        <v>51</v>
      </c>
      <c r="E123" s="90">
        <v>86906315</v>
      </c>
      <c r="F123" s="91" t="s">
        <v>403</v>
      </c>
      <c r="G123" s="92">
        <v>30008706875</v>
      </c>
      <c r="H123" s="93">
        <v>28123</v>
      </c>
      <c r="I123" s="89">
        <v>49</v>
      </c>
      <c r="J123" s="89" t="s">
        <v>67</v>
      </c>
      <c r="K123" s="89" t="s">
        <v>54</v>
      </c>
      <c r="L123" s="89" t="s">
        <v>93</v>
      </c>
      <c r="M123" s="89"/>
      <c r="N123" s="89" t="s">
        <v>87</v>
      </c>
      <c r="O123" s="94" t="s">
        <v>404</v>
      </c>
      <c r="P123" s="95" t="s">
        <v>58</v>
      </c>
      <c r="Q123" s="144" t="s">
        <v>59</v>
      </c>
      <c r="R123" s="96">
        <v>46161</v>
      </c>
      <c r="S123" s="97"/>
      <c r="T123" s="97" t="s">
        <v>60</v>
      </c>
      <c r="U123" s="97" t="s">
        <v>61</v>
      </c>
      <c r="V123" s="93">
        <v>46161</v>
      </c>
      <c r="W123" s="93" t="s">
        <v>73</v>
      </c>
      <c r="X123" s="93" t="s">
        <v>73</v>
      </c>
      <c r="Y123" s="98"/>
      <c r="Z123" s="89" t="s">
        <v>62</v>
      </c>
      <c r="AA123" s="97">
        <v>46170</v>
      </c>
      <c r="AB123" s="89" t="s">
        <v>142</v>
      </c>
      <c r="AC123" s="120">
        <v>46180.611110243059</v>
      </c>
      <c r="AD123" s="89"/>
      <c r="AE123" s="89"/>
      <c r="AF123" s="89"/>
      <c r="AG123" s="89"/>
      <c r="AH123" s="99"/>
      <c r="AI123" s="99"/>
      <c r="AJ123" s="99"/>
      <c r="AK123" s="100"/>
      <c r="AL123" s="100" t="s">
        <v>64</v>
      </c>
      <c r="AM123" s="100" t="s">
        <v>102</v>
      </c>
      <c r="AN123" s="45" t="s">
        <v>65</v>
      </c>
      <c r="AO123" s="198" t="str">
        <f t="shared" si="9"/>
        <v>5/2026</v>
      </c>
      <c r="AP123" s="198">
        <f t="shared" si="10"/>
        <v>2</v>
      </c>
      <c r="AQ123" s="45" t="str">
        <f t="shared" si="11"/>
        <v>5/2026</v>
      </c>
      <c r="AR123" s="45">
        <f t="shared" si="12"/>
        <v>4</v>
      </c>
      <c r="AS123" s="45">
        <f t="shared" si="13"/>
        <v>0</v>
      </c>
      <c r="AT123" s="45">
        <f t="shared" si="14"/>
        <v>0</v>
      </c>
      <c r="AU123" s="45">
        <f t="shared" si="15"/>
        <v>0</v>
      </c>
      <c r="AV123" s="45">
        <f t="shared" si="17"/>
        <v>0</v>
      </c>
      <c r="AW123" s="45" t="str">
        <f>_xlfn.XLOOKUP(W123,'Lista Suspensa'!$AA$20:$AA$23,'Lista Suspensa'!$AB$20:$AB$23,"N/A")</f>
        <v>N/A</v>
      </c>
    </row>
    <row r="124" spans="1:49" ht="12" customHeight="1" x14ac:dyDescent="0.3">
      <c r="A124" s="87" t="s">
        <v>49</v>
      </c>
      <c r="B124" s="88">
        <v>46147</v>
      </c>
      <c r="C124" s="89" t="s">
        <v>50</v>
      </c>
      <c r="D124" s="89" t="s">
        <v>51</v>
      </c>
      <c r="E124" s="90">
        <v>82253494</v>
      </c>
      <c r="F124" s="91" t="s">
        <v>405</v>
      </c>
      <c r="G124" s="92">
        <v>32970207842</v>
      </c>
      <c r="H124" s="93">
        <v>28104</v>
      </c>
      <c r="I124" s="89">
        <v>49</v>
      </c>
      <c r="J124" s="89" t="s">
        <v>67</v>
      </c>
      <c r="K124" s="89" t="s">
        <v>54</v>
      </c>
      <c r="L124" s="89" t="s">
        <v>93</v>
      </c>
      <c r="M124" s="89"/>
      <c r="N124" s="89" t="s">
        <v>82</v>
      </c>
      <c r="O124" s="94" t="s">
        <v>406</v>
      </c>
      <c r="P124" s="95" t="s">
        <v>58</v>
      </c>
      <c r="Q124" s="144" t="s">
        <v>59</v>
      </c>
      <c r="R124" s="96">
        <v>46161</v>
      </c>
      <c r="S124" s="97"/>
      <c r="T124" s="97" t="s">
        <v>60</v>
      </c>
      <c r="U124" s="97" t="s">
        <v>61</v>
      </c>
      <c r="V124" s="93">
        <v>46161</v>
      </c>
      <c r="W124" s="93" t="s">
        <v>73</v>
      </c>
      <c r="X124" s="93" t="s">
        <v>73</v>
      </c>
      <c r="Y124" s="98"/>
      <c r="Z124" s="89" t="s">
        <v>62</v>
      </c>
      <c r="AA124" s="97">
        <v>46169</v>
      </c>
      <c r="AB124" s="89" t="s">
        <v>75</v>
      </c>
      <c r="AC124" s="120"/>
      <c r="AD124" s="89" t="s">
        <v>284</v>
      </c>
      <c r="AE124" s="89"/>
      <c r="AF124" s="89">
        <v>2.16</v>
      </c>
      <c r="AG124" s="89">
        <v>2.16</v>
      </c>
      <c r="AH124" s="99" t="s">
        <v>356</v>
      </c>
      <c r="AI124" s="99" t="s">
        <v>356</v>
      </c>
      <c r="AJ124" s="119" t="s">
        <v>91</v>
      </c>
      <c r="AK124" s="100"/>
      <c r="AL124" s="100" t="s">
        <v>64</v>
      </c>
      <c r="AM124" s="100" t="s">
        <v>102</v>
      </c>
      <c r="AN124" s="45" t="s">
        <v>65</v>
      </c>
      <c r="AO124" s="198" t="str">
        <f t="shared" si="9"/>
        <v>5/2026</v>
      </c>
      <c r="AP124" s="198">
        <f t="shared" si="10"/>
        <v>2</v>
      </c>
      <c r="AQ124" s="45" t="str">
        <f t="shared" si="11"/>
        <v>5/2026</v>
      </c>
      <c r="AR124" s="45">
        <f t="shared" si="12"/>
        <v>4</v>
      </c>
      <c r="AS124" s="45">
        <f t="shared" si="13"/>
        <v>0</v>
      </c>
      <c r="AT124" s="45">
        <f t="shared" si="14"/>
        <v>0</v>
      </c>
      <c r="AU124" s="45">
        <f t="shared" si="15"/>
        <v>0</v>
      </c>
      <c r="AV124" s="45">
        <f t="shared" si="17"/>
        <v>0</v>
      </c>
      <c r="AW124" s="45" t="str">
        <f>_xlfn.XLOOKUP(W124,'Lista Suspensa'!$AA$20:$AA$23,'Lista Suspensa'!$AB$20:$AB$23,"N/A")</f>
        <v>N/A</v>
      </c>
    </row>
    <row r="125" spans="1:49" ht="12" customHeight="1" x14ac:dyDescent="0.3">
      <c r="A125" s="87" t="s">
        <v>49</v>
      </c>
      <c r="B125" s="88">
        <v>46147</v>
      </c>
      <c r="C125" s="89" t="s">
        <v>50</v>
      </c>
      <c r="D125" s="89" t="s">
        <v>51</v>
      </c>
      <c r="E125" s="90">
        <v>791080307</v>
      </c>
      <c r="F125" s="91" t="s">
        <v>407</v>
      </c>
      <c r="G125" s="92">
        <v>63494760500</v>
      </c>
      <c r="H125" s="93">
        <v>26574</v>
      </c>
      <c r="I125" s="89">
        <v>53</v>
      </c>
      <c r="J125" s="89" t="s">
        <v>53</v>
      </c>
      <c r="K125" s="89" t="s">
        <v>54</v>
      </c>
      <c r="L125" s="89" t="s">
        <v>93</v>
      </c>
      <c r="M125" s="89"/>
      <c r="N125" s="89" t="s">
        <v>108</v>
      </c>
      <c r="O125" s="94" t="s">
        <v>408</v>
      </c>
      <c r="P125" s="95" t="s">
        <v>58</v>
      </c>
      <c r="Q125" s="144" t="s">
        <v>59</v>
      </c>
      <c r="R125" s="96">
        <v>46161</v>
      </c>
      <c r="S125" s="97"/>
      <c r="T125" s="97" t="s">
        <v>60</v>
      </c>
      <c r="U125" s="97" t="s">
        <v>61</v>
      </c>
      <c r="V125" s="93">
        <v>46161</v>
      </c>
      <c r="W125" s="93" t="s">
        <v>73</v>
      </c>
      <c r="X125" s="93" t="s">
        <v>73</v>
      </c>
      <c r="Y125" s="98"/>
      <c r="Z125" s="89" t="s">
        <v>62</v>
      </c>
      <c r="AA125" s="97">
        <v>46170</v>
      </c>
      <c r="AB125" s="89" t="s">
        <v>75</v>
      </c>
      <c r="AC125" s="120">
        <v>46180.499999594904</v>
      </c>
      <c r="AD125" s="89"/>
      <c r="AE125" s="89"/>
      <c r="AF125" s="89"/>
      <c r="AG125" s="89"/>
      <c r="AH125" s="99"/>
      <c r="AI125" s="99"/>
      <c r="AJ125" s="99"/>
      <c r="AK125" s="100"/>
      <c r="AL125" s="100" t="s">
        <v>64</v>
      </c>
      <c r="AM125" s="100" t="s">
        <v>102</v>
      </c>
      <c r="AN125" s="45" t="s">
        <v>65</v>
      </c>
      <c r="AO125" s="198" t="str">
        <f t="shared" si="9"/>
        <v>5/2026</v>
      </c>
      <c r="AP125" s="198">
        <f t="shared" si="10"/>
        <v>2</v>
      </c>
      <c r="AQ125" s="45" t="str">
        <f t="shared" si="11"/>
        <v>5/2026</v>
      </c>
      <c r="AR125" s="45">
        <f t="shared" si="12"/>
        <v>4</v>
      </c>
      <c r="AS125" s="45">
        <f t="shared" si="13"/>
        <v>0</v>
      </c>
      <c r="AT125" s="45">
        <f t="shared" si="14"/>
        <v>0</v>
      </c>
      <c r="AU125" s="45">
        <f t="shared" si="15"/>
        <v>0</v>
      </c>
      <c r="AV125" s="45">
        <f t="shared" si="17"/>
        <v>0</v>
      </c>
      <c r="AW125" s="45" t="str">
        <f>_xlfn.XLOOKUP(W125,'Lista Suspensa'!$AA$20:$AA$23,'Lista Suspensa'!$AB$20:$AB$23,"N/A")</f>
        <v>N/A</v>
      </c>
    </row>
    <row r="126" spans="1:49" ht="12" customHeight="1" x14ac:dyDescent="0.3">
      <c r="A126" s="87" t="s">
        <v>49</v>
      </c>
      <c r="B126" s="88">
        <v>46147</v>
      </c>
      <c r="C126" s="89" t="s">
        <v>50</v>
      </c>
      <c r="D126" s="89" t="s">
        <v>51</v>
      </c>
      <c r="E126" s="90">
        <v>796587370</v>
      </c>
      <c r="F126" s="91" t="s">
        <v>409</v>
      </c>
      <c r="G126" s="92">
        <v>71024891534</v>
      </c>
      <c r="H126" s="93">
        <v>25268</v>
      </c>
      <c r="I126" s="89">
        <v>57</v>
      </c>
      <c r="J126" s="89" t="s">
        <v>67</v>
      </c>
      <c r="K126" s="89" t="s">
        <v>54</v>
      </c>
      <c r="L126" s="89" t="s">
        <v>93</v>
      </c>
      <c r="M126" s="89"/>
      <c r="N126" s="89" t="s">
        <v>94</v>
      </c>
      <c r="O126" s="94" t="s">
        <v>410</v>
      </c>
      <c r="P126" s="95" t="s">
        <v>58</v>
      </c>
      <c r="Q126" s="144" t="s">
        <v>59</v>
      </c>
      <c r="R126" s="96">
        <v>46161</v>
      </c>
      <c r="S126" s="97"/>
      <c r="T126" s="97" t="s">
        <v>60</v>
      </c>
      <c r="U126" s="97" t="s">
        <v>61</v>
      </c>
      <c r="V126" s="93">
        <v>46161</v>
      </c>
      <c r="W126" s="93" t="s">
        <v>73</v>
      </c>
      <c r="X126" s="93" t="s">
        <v>73</v>
      </c>
      <c r="Y126" s="98"/>
      <c r="Z126" s="89" t="s">
        <v>62</v>
      </c>
      <c r="AA126" s="97">
        <v>46168</v>
      </c>
      <c r="AB126" s="89" t="s">
        <v>75</v>
      </c>
      <c r="AC126" s="120">
        <v>46180.430555439816</v>
      </c>
      <c r="AD126" s="89"/>
      <c r="AE126" s="89"/>
      <c r="AF126" s="89" t="s">
        <v>105</v>
      </c>
      <c r="AG126" s="89" t="s">
        <v>105</v>
      </c>
      <c r="AH126" s="99" t="s">
        <v>411</v>
      </c>
      <c r="AI126" s="99"/>
      <c r="AJ126" s="119" t="s">
        <v>91</v>
      </c>
      <c r="AK126" s="100"/>
      <c r="AL126" s="100" t="s">
        <v>64</v>
      </c>
      <c r="AM126" s="100" t="s">
        <v>102</v>
      </c>
      <c r="AN126" s="45" t="s">
        <v>65</v>
      </c>
      <c r="AO126" s="198" t="str">
        <f t="shared" si="9"/>
        <v>5/2026</v>
      </c>
      <c r="AP126" s="198">
        <f t="shared" si="10"/>
        <v>2</v>
      </c>
      <c r="AQ126" s="45" t="str">
        <f t="shared" si="11"/>
        <v>5/2026</v>
      </c>
      <c r="AR126" s="45">
        <f t="shared" si="12"/>
        <v>4</v>
      </c>
      <c r="AS126" s="45">
        <f t="shared" si="13"/>
        <v>0</v>
      </c>
      <c r="AT126" s="45">
        <f t="shared" si="14"/>
        <v>0</v>
      </c>
      <c r="AU126" s="45">
        <f t="shared" si="15"/>
        <v>0</v>
      </c>
      <c r="AV126" s="45">
        <f t="shared" si="17"/>
        <v>0</v>
      </c>
      <c r="AW126" s="45" t="str">
        <f>_xlfn.XLOOKUP(W126,'Lista Suspensa'!$AA$20:$AA$23,'Lista Suspensa'!$AB$20:$AB$23,"N/A")</f>
        <v>N/A</v>
      </c>
    </row>
    <row r="127" spans="1:49" ht="12" customHeight="1" x14ac:dyDescent="0.3">
      <c r="A127" s="87" t="s">
        <v>49</v>
      </c>
      <c r="B127" s="88">
        <v>46147</v>
      </c>
      <c r="C127" s="89" t="s">
        <v>50</v>
      </c>
      <c r="D127" s="89" t="s">
        <v>51</v>
      </c>
      <c r="E127" s="90">
        <v>793387000</v>
      </c>
      <c r="F127" s="91" t="s">
        <v>412</v>
      </c>
      <c r="G127" s="92">
        <v>31929472846</v>
      </c>
      <c r="H127" s="93">
        <v>31149</v>
      </c>
      <c r="I127" s="89">
        <v>41</v>
      </c>
      <c r="J127" s="89" t="s">
        <v>67</v>
      </c>
      <c r="K127" s="89" t="s">
        <v>54</v>
      </c>
      <c r="L127" s="89" t="s">
        <v>93</v>
      </c>
      <c r="M127" s="89"/>
      <c r="N127" s="89" t="s">
        <v>108</v>
      </c>
      <c r="O127" s="94" t="s">
        <v>413</v>
      </c>
      <c r="P127" s="95" t="s">
        <v>58</v>
      </c>
      <c r="Q127" s="144" t="s">
        <v>59</v>
      </c>
      <c r="R127" s="96">
        <v>46161</v>
      </c>
      <c r="S127" s="97"/>
      <c r="T127" s="97" t="s">
        <v>60</v>
      </c>
      <c r="U127" s="97" t="s">
        <v>61</v>
      </c>
      <c r="V127" s="93">
        <v>46161</v>
      </c>
      <c r="W127" s="93" t="s">
        <v>73</v>
      </c>
      <c r="X127" s="93" t="s">
        <v>73</v>
      </c>
      <c r="Y127" s="98"/>
      <c r="Z127" s="89" t="s">
        <v>62</v>
      </c>
      <c r="AA127" s="97">
        <v>46167</v>
      </c>
      <c r="AB127" s="89" t="s">
        <v>75</v>
      </c>
      <c r="AC127" s="120"/>
      <c r="AD127" s="89"/>
      <c r="AE127" s="89"/>
      <c r="AF127" s="89">
        <v>2.98</v>
      </c>
      <c r="AG127" s="89">
        <v>2.98</v>
      </c>
      <c r="AH127" s="99"/>
      <c r="AI127" s="99"/>
      <c r="AJ127" s="119" t="s">
        <v>91</v>
      </c>
      <c r="AK127" s="100"/>
      <c r="AL127" s="100" t="s">
        <v>64</v>
      </c>
      <c r="AM127" s="100" t="s">
        <v>102</v>
      </c>
      <c r="AN127" s="45" t="s">
        <v>65</v>
      </c>
      <c r="AO127" s="198" t="str">
        <f t="shared" si="9"/>
        <v>5/2026</v>
      </c>
      <c r="AP127" s="198">
        <f t="shared" si="10"/>
        <v>2</v>
      </c>
      <c r="AQ127" s="45" t="str">
        <f t="shared" si="11"/>
        <v>5/2026</v>
      </c>
      <c r="AR127" s="45">
        <f t="shared" si="12"/>
        <v>4</v>
      </c>
      <c r="AS127" s="45">
        <f t="shared" si="13"/>
        <v>0</v>
      </c>
      <c r="AT127" s="45">
        <f t="shared" si="14"/>
        <v>0</v>
      </c>
      <c r="AU127" s="45">
        <f t="shared" si="15"/>
        <v>0</v>
      </c>
      <c r="AV127" s="45">
        <f t="shared" si="17"/>
        <v>0</v>
      </c>
      <c r="AW127" s="45" t="str">
        <f>_xlfn.XLOOKUP(W127,'Lista Suspensa'!$AA$20:$AA$23,'Lista Suspensa'!$AB$20:$AB$23,"N/A")</f>
        <v>N/A</v>
      </c>
    </row>
    <row r="128" spans="1:49" ht="12" customHeight="1" x14ac:dyDescent="0.3">
      <c r="A128" s="87" t="s">
        <v>49</v>
      </c>
      <c r="B128" s="88">
        <v>46147</v>
      </c>
      <c r="C128" s="89" t="s">
        <v>50</v>
      </c>
      <c r="D128" s="89" t="s">
        <v>51</v>
      </c>
      <c r="E128" s="90">
        <v>85577838</v>
      </c>
      <c r="F128" s="91" t="s">
        <v>414</v>
      </c>
      <c r="G128" s="92">
        <v>27294312842</v>
      </c>
      <c r="H128" s="93">
        <v>28994</v>
      </c>
      <c r="I128" s="89">
        <v>46</v>
      </c>
      <c r="J128" s="89" t="s">
        <v>53</v>
      </c>
      <c r="K128" s="89" t="s">
        <v>54</v>
      </c>
      <c r="L128" s="89" t="s">
        <v>93</v>
      </c>
      <c r="M128" s="89"/>
      <c r="N128" s="89" t="s">
        <v>82</v>
      </c>
      <c r="O128" s="94" t="s">
        <v>415</v>
      </c>
      <c r="P128" s="95" t="s">
        <v>58</v>
      </c>
      <c r="Q128" s="144" t="s">
        <v>59</v>
      </c>
      <c r="R128" s="96">
        <v>46148</v>
      </c>
      <c r="S128" s="97"/>
      <c r="T128" s="97" t="s">
        <v>60</v>
      </c>
      <c r="U128" s="97" t="s">
        <v>61</v>
      </c>
      <c r="V128" s="93">
        <v>46148</v>
      </c>
      <c r="W128" s="93" t="s">
        <v>73</v>
      </c>
      <c r="X128" s="93" t="s">
        <v>73</v>
      </c>
      <c r="Y128" s="98"/>
      <c r="Z128" s="89" t="s">
        <v>62</v>
      </c>
      <c r="AA128" s="97">
        <v>46155</v>
      </c>
      <c r="AB128" s="89" t="s">
        <v>142</v>
      </c>
      <c r="AC128" s="120"/>
      <c r="AD128" s="89"/>
      <c r="AE128" s="89"/>
      <c r="AF128" s="89"/>
      <c r="AG128" s="89"/>
      <c r="AH128" s="99"/>
      <c r="AI128" s="99"/>
      <c r="AJ128" s="99" t="s">
        <v>91</v>
      </c>
      <c r="AK128" s="100"/>
      <c r="AL128" s="100" t="s">
        <v>64</v>
      </c>
      <c r="AM128" s="100" t="s">
        <v>102</v>
      </c>
      <c r="AN128" s="45" t="s">
        <v>65</v>
      </c>
      <c r="AO128" s="198" t="str">
        <f t="shared" si="9"/>
        <v>5/2026</v>
      </c>
      <c r="AP128" s="198">
        <f t="shared" si="10"/>
        <v>2</v>
      </c>
      <c r="AQ128" s="45" t="str">
        <f t="shared" si="11"/>
        <v>5/2026</v>
      </c>
      <c r="AR128" s="45">
        <f t="shared" si="12"/>
        <v>2</v>
      </c>
      <c r="AS128" s="45">
        <f t="shared" si="13"/>
        <v>0</v>
      </c>
      <c r="AT128" s="45">
        <f t="shared" si="14"/>
        <v>0</v>
      </c>
      <c r="AU128" s="45">
        <f t="shared" si="15"/>
        <v>0</v>
      </c>
      <c r="AV128" s="45">
        <f t="shared" si="17"/>
        <v>0</v>
      </c>
      <c r="AW128" s="45" t="str">
        <f>_xlfn.XLOOKUP(W128,'Lista Suspensa'!$AA$20:$AA$23,'Lista Suspensa'!$AB$20:$AB$23,"N/A")</f>
        <v>N/A</v>
      </c>
    </row>
    <row r="129" spans="1:49" ht="12" customHeight="1" x14ac:dyDescent="0.3">
      <c r="A129" s="87" t="s">
        <v>49</v>
      </c>
      <c r="B129" s="88">
        <v>46147</v>
      </c>
      <c r="C129" s="89" t="s">
        <v>50</v>
      </c>
      <c r="D129" s="89" t="s">
        <v>51</v>
      </c>
      <c r="E129" s="90">
        <v>77612656</v>
      </c>
      <c r="F129" s="91" t="s">
        <v>416</v>
      </c>
      <c r="G129" s="92">
        <v>24706096820</v>
      </c>
      <c r="H129" s="93">
        <v>28013</v>
      </c>
      <c r="I129" s="89">
        <v>49</v>
      </c>
      <c r="J129" s="89" t="s">
        <v>67</v>
      </c>
      <c r="K129" s="89" t="s">
        <v>54</v>
      </c>
      <c r="L129" s="89" t="s">
        <v>93</v>
      </c>
      <c r="M129" s="89"/>
      <c r="N129" s="89" t="s">
        <v>69</v>
      </c>
      <c r="O129" s="94" t="s">
        <v>417</v>
      </c>
      <c r="P129" s="95" t="s">
        <v>58</v>
      </c>
      <c r="Q129" s="144" t="s">
        <v>59</v>
      </c>
      <c r="R129" s="96">
        <v>46148</v>
      </c>
      <c r="S129" s="97"/>
      <c r="T129" s="97" t="s">
        <v>60</v>
      </c>
      <c r="U129" s="97" t="s">
        <v>61</v>
      </c>
      <c r="V129" s="93">
        <v>46148</v>
      </c>
      <c r="W129" s="93" t="s">
        <v>73</v>
      </c>
      <c r="X129" s="93" t="s">
        <v>73</v>
      </c>
      <c r="Y129" s="98"/>
      <c r="Z129" s="89" t="s">
        <v>62</v>
      </c>
      <c r="AA129" s="97">
        <v>46160</v>
      </c>
      <c r="AB129" s="89" t="s">
        <v>142</v>
      </c>
      <c r="AC129" s="120"/>
      <c r="AD129" s="89"/>
      <c r="AE129" s="89"/>
      <c r="AF129" s="89"/>
      <c r="AG129" s="89"/>
      <c r="AH129" s="99"/>
      <c r="AI129" s="99"/>
      <c r="AJ129" s="99" t="s">
        <v>91</v>
      </c>
      <c r="AK129" s="100"/>
      <c r="AL129" s="100" t="s">
        <v>64</v>
      </c>
      <c r="AM129" s="100" t="s">
        <v>102</v>
      </c>
      <c r="AN129" s="45" t="s">
        <v>65</v>
      </c>
      <c r="AO129" s="198" t="str">
        <f t="shared" si="9"/>
        <v>5/2026</v>
      </c>
      <c r="AP129" s="198">
        <f t="shared" si="10"/>
        <v>2</v>
      </c>
      <c r="AQ129" s="45" t="str">
        <f t="shared" si="11"/>
        <v>5/2026</v>
      </c>
      <c r="AR129" s="45">
        <f t="shared" si="12"/>
        <v>2</v>
      </c>
      <c r="AS129" s="45">
        <f t="shared" si="13"/>
        <v>0</v>
      </c>
      <c r="AT129" s="45">
        <f t="shared" si="14"/>
        <v>0</v>
      </c>
      <c r="AU129" s="45">
        <f t="shared" si="15"/>
        <v>0</v>
      </c>
      <c r="AV129" s="45">
        <f t="shared" si="17"/>
        <v>0</v>
      </c>
      <c r="AW129" s="45" t="str">
        <f>_xlfn.XLOOKUP(W129,'Lista Suspensa'!$AA$20:$AA$23,'Lista Suspensa'!$AB$20:$AB$23,"N/A")</f>
        <v>N/A</v>
      </c>
    </row>
    <row r="130" spans="1:49" ht="12" customHeight="1" x14ac:dyDescent="0.3">
      <c r="A130" s="87" t="s">
        <v>49</v>
      </c>
      <c r="B130" s="88">
        <v>46147</v>
      </c>
      <c r="C130" s="89" t="s">
        <v>50</v>
      </c>
      <c r="D130" s="89" t="s">
        <v>51</v>
      </c>
      <c r="E130" s="90">
        <v>81875210</v>
      </c>
      <c r="F130" s="91" t="s">
        <v>418</v>
      </c>
      <c r="G130" s="92">
        <v>43058172842</v>
      </c>
      <c r="H130" s="93">
        <v>33975</v>
      </c>
      <c r="I130" s="89">
        <v>33</v>
      </c>
      <c r="J130" s="89" t="s">
        <v>67</v>
      </c>
      <c r="K130" s="89" t="s">
        <v>54</v>
      </c>
      <c r="L130" s="89" t="s">
        <v>93</v>
      </c>
      <c r="M130" s="89"/>
      <c r="N130" s="89" t="s">
        <v>82</v>
      </c>
      <c r="O130" s="94" t="s">
        <v>419</v>
      </c>
      <c r="P130" s="95" t="s">
        <v>58</v>
      </c>
      <c r="Q130" s="144" t="s">
        <v>59</v>
      </c>
      <c r="R130" s="96">
        <v>46161</v>
      </c>
      <c r="S130" s="97"/>
      <c r="T130" s="97" t="s">
        <v>60</v>
      </c>
      <c r="U130" s="97" t="s">
        <v>61</v>
      </c>
      <c r="V130" s="93">
        <v>46161</v>
      </c>
      <c r="W130" s="93" t="s">
        <v>73</v>
      </c>
      <c r="X130" s="93" t="s">
        <v>73</v>
      </c>
      <c r="Y130" s="98"/>
      <c r="Z130" s="89" t="s">
        <v>296</v>
      </c>
      <c r="AA130" s="97"/>
      <c r="AB130" s="89"/>
      <c r="AC130" s="120"/>
      <c r="AD130" s="89"/>
      <c r="AE130" s="89"/>
      <c r="AF130" s="89"/>
      <c r="AG130" s="89"/>
      <c r="AH130" s="99"/>
      <c r="AI130" s="99"/>
      <c r="AJ130" s="99"/>
      <c r="AK130" s="100"/>
      <c r="AL130" s="100" t="s">
        <v>64</v>
      </c>
      <c r="AM130" s="100" t="s">
        <v>102</v>
      </c>
      <c r="AN130" s="45" t="s">
        <v>65</v>
      </c>
      <c r="AO130" s="198" t="str">
        <f t="shared" ref="AO130:AO193" si="18">MONTH(B130)&amp;"/"&amp;YEAR(B130)</f>
        <v>5/2026</v>
      </c>
      <c r="AP130" s="198">
        <f t="shared" ref="AP130:AP193" si="19">WEEKNUM(B130)-WEEKNUM(EOMONTH(B130,-1)+1)+1</f>
        <v>2</v>
      </c>
      <c r="AQ130" s="45" t="str">
        <f t="shared" ref="AQ130:AQ193" si="20">MONTH(R130)&amp;"/"&amp;YEAR(R130)</f>
        <v>5/2026</v>
      </c>
      <c r="AR130" s="45">
        <f t="shared" ref="AR130:AR193" si="21">WEEKNUM(R130)-WEEKNUM(EOMONTH(R130,-1)+1)+1</f>
        <v>4</v>
      </c>
      <c r="AS130" s="45">
        <f t="shared" ref="AS130:AS193" si="22">IF(AW130="S",IF(Q130="1. Aceitou o programa",R130-B130,0),0)</f>
        <v>0</v>
      </c>
      <c r="AT130" s="45">
        <f t="shared" ref="AT130:AT193" si="23">IF(AW130="S",IF(AND(S130&lt;&gt;"",R130&lt;&gt;""),S130-R130,0),0)</f>
        <v>0</v>
      </c>
      <c r="AU130" s="45">
        <f t="shared" ref="AU130:AU193" si="24">IF(AW130="S",IF(Q130="1. Aceitou o programa",IF(OR(X130="Não se Aplica",X130=""),IF(OR(W130="Não se Aplica",W130=""),0,W130-V130),AVERAGE(X130-W130,W130-V130)),0),0)</f>
        <v>0</v>
      </c>
      <c r="AV130" s="45">
        <f t="shared" si="17"/>
        <v>0</v>
      </c>
      <c r="AW130" s="45" t="str">
        <f>_xlfn.XLOOKUP(W130,'Lista Suspensa'!$AA$20:$AA$23,'Lista Suspensa'!$AB$20:$AB$23,"N/A")</f>
        <v>N/A</v>
      </c>
    </row>
    <row r="131" spans="1:49" ht="12" customHeight="1" x14ac:dyDescent="0.3">
      <c r="A131" s="87" t="s">
        <v>49</v>
      </c>
      <c r="B131" s="88">
        <v>46147</v>
      </c>
      <c r="C131" s="89" t="s">
        <v>50</v>
      </c>
      <c r="D131" s="89" t="s">
        <v>51</v>
      </c>
      <c r="E131" s="90">
        <v>773486712</v>
      </c>
      <c r="F131" s="91" t="s">
        <v>420</v>
      </c>
      <c r="G131" s="92">
        <v>52093611872</v>
      </c>
      <c r="H131" s="93">
        <v>17293</v>
      </c>
      <c r="I131" s="89">
        <v>79</v>
      </c>
      <c r="J131" s="89" t="s">
        <v>53</v>
      </c>
      <c r="K131" s="89" t="s">
        <v>54</v>
      </c>
      <c r="L131" s="89" t="s">
        <v>93</v>
      </c>
      <c r="M131" s="89"/>
      <c r="N131" s="89" t="s">
        <v>94</v>
      </c>
      <c r="O131" s="94" t="s">
        <v>421</v>
      </c>
      <c r="P131" s="95" t="s">
        <v>58</v>
      </c>
      <c r="Q131" s="144" t="s">
        <v>59</v>
      </c>
      <c r="R131" s="96">
        <v>46161</v>
      </c>
      <c r="S131" s="97"/>
      <c r="T131" s="97" t="s">
        <v>60</v>
      </c>
      <c r="U131" s="97" t="s">
        <v>61</v>
      </c>
      <c r="V131" s="93">
        <v>46161</v>
      </c>
      <c r="W131" s="93" t="s">
        <v>73</v>
      </c>
      <c r="X131" s="93" t="s">
        <v>73</v>
      </c>
      <c r="Y131" s="98"/>
      <c r="Z131" s="89" t="s">
        <v>62</v>
      </c>
      <c r="AA131" s="97">
        <v>46170</v>
      </c>
      <c r="AB131" s="89" t="s">
        <v>142</v>
      </c>
      <c r="AC131" s="120"/>
      <c r="AD131" s="89"/>
      <c r="AE131" s="89"/>
      <c r="AF131" s="89"/>
      <c r="AG131" s="89"/>
      <c r="AH131" s="99"/>
      <c r="AI131" s="99"/>
      <c r="AJ131" s="99"/>
      <c r="AK131" s="100"/>
      <c r="AL131" s="100" t="s">
        <v>64</v>
      </c>
      <c r="AM131" s="100" t="s">
        <v>102</v>
      </c>
      <c r="AN131" s="45" t="s">
        <v>65</v>
      </c>
      <c r="AO131" s="198" t="str">
        <f t="shared" si="18"/>
        <v>5/2026</v>
      </c>
      <c r="AP131" s="198">
        <f t="shared" si="19"/>
        <v>2</v>
      </c>
      <c r="AQ131" s="45" t="str">
        <f t="shared" si="20"/>
        <v>5/2026</v>
      </c>
      <c r="AR131" s="45">
        <f t="shared" si="21"/>
        <v>4</v>
      </c>
      <c r="AS131" s="45">
        <f t="shared" si="22"/>
        <v>0</v>
      </c>
      <c r="AT131" s="45">
        <f t="shared" si="23"/>
        <v>0</v>
      </c>
      <c r="AU131" s="45">
        <f t="shared" si="24"/>
        <v>0</v>
      </c>
      <c r="AV131" s="45">
        <f t="shared" si="17"/>
        <v>0</v>
      </c>
      <c r="AW131" s="45" t="str">
        <f>_xlfn.XLOOKUP(W131,'Lista Suspensa'!$AA$20:$AA$23,'Lista Suspensa'!$AB$20:$AB$23,"N/A")</f>
        <v>N/A</v>
      </c>
    </row>
    <row r="132" spans="1:49" ht="12" customHeight="1" x14ac:dyDescent="0.3">
      <c r="A132" s="87" t="s">
        <v>49</v>
      </c>
      <c r="B132" s="88">
        <v>46147</v>
      </c>
      <c r="C132" s="89" t="s">
        <v>50</v>
      </c>
      <c r="D132" s="89" t="s">
        <v>51</v>
      </c>
      <c r="E132" s="90">
        <v>451749588</v>
      </c>
      <c r="F132" s="91" t="s">
        <v>422</v>
      </c>
      <c r="G132" s="92">
        <v>75659840</v>
      </c>
      <c r="H132" s="93">
        <v>19119</v>
      </c>
      <c r="I132" s="89">
        <v>74</v>
      </c>
      <c r="J132" s="89" t="s">
        <v>53</v>
      </c>
      <c r="K132" s="89" t="s">
        <v>54</v>
      </c>
      <c r="L132" s="89" t="s">
        <v>93</v>
      </c>
      <c r="M132" s="89"/>
      <c r="N132" s="89" t="s">
        <v>100</v>
      </c>
      <c r="O132" s="94" t="s">
        <v>423</v>
      </c>
      <c r="P132" s="95" t="s">
        <v>58</v>
      </c>
      <c r="Q132" s="144" t="s">
        <v>59</v>
      </c>
      <c r="R132" s="96">
        <v>46161</v>
      </c>
      <c r="S132" s="97"/>
      <c r="T132" s="97" t="s">
        <v>60</v>
      </c>
      <c r="U132" s="97" t="s">
        <v>61</v>
      </c>
      <c r="V132" s="93">
        <v>46161</v>
      </c>
      <c r="W132" s="93" t="s">
        <v>73</v>
      </c>
      <c r="X132" s="93" t="s">
        <v>73</v>
      </c>
      <c r="Y132" s="98"/>
      <c r="Z132" s="89" t="s">
        <v>62</v>
      </c>
      <c r="AA132" s="97">
        <v>46167</v>
      </c>
      <c r="AB132" s="89" t="s">
        <v>75</v>
      </c>
      <c r="AC132" s="120"/>
      <c r="AD132" s="89"/>
      <c r="AE132" s="89"/>
      <c r="AF132" s="89">
        <v>3.96</v>
      </c>
      <c r="AG132" s="89">
        <v>3.96</v>
      </c>
      <c r="AH132" s="99"/>
      <c r="AI132" s="99"/>
      <c r="AJ132" s="119" t="s">
        <v>91</v>
      </c>
      <c r="AK132" s="100"/>
      <c r="AL132" s="100" t="s">
        <v>64</v>
      </c>
      <c r="AM132" s="100" t="s">
        <v>102</v>
      </c>
      <c r="AN132" s="45" t="s">
        <v>65</v>
      </c>
      <c r="AO132" s="198" t="str">
        <f t="shared" si="18"/>
        <v>5/2026</v>
      </c>
      <c r="AP132" s="198">
        <f t="shared" si="19"/>
        <v>2</v>
      </c>
      <c r="AQ132" s="45" t="str">
        <f t="shared" si="20"/>
        <v>5/2026</v>
      </c>
      <c r="AR132" s="45">
        <f t="shared" si="21"/>
        <v>4</v>
      </c>
      <c r="AS132" s="45">
        <f t="shared" si="22"/>
        <v>0</v>
      </c>
      <c r="AT132" s="45">
        <f t="shared" si="23"/>
        <v>0</v>
      </c>
      <c r="AU132" s="45">
        <f t="shared" si="24"/>
        <v>0</v>
      </c>
      <c r="AV132" s="45">
        <f t="shared" si="17"/>
        <v>0</v>
      </c>
      <c r="AW132" s="45" t="str">
        <f>_xlfn.XLOOKUP(W132,'Lista Suspensa'!$AA$20:$AA$23,'Lista Suspensa'!$AB$20:$AB$23,"N/A")</f>
        <v>N/A</v>
      </c>
    </row>
    <row r="133" spans="1:49" ht="12" customHeight="1" x14ac:dyDescent="0.3">
      <c r="A133" s="87" t="s">
        <v>49</v>
      </c>
      <c r="B133" s="88">
        <v>46147</v>
      </c>
      <c r="C133" s="89" t="s">
        <v>50</v>
      </c>
      <c r="D133" s="89" t="s">
        <v>51</v>
      </c>
      <c r="E133" s="90">
        <v>93636998</v>
      </c>
      <c r="F133" s="91" t="s">
        <v>424</v>
      </c>
      <c r="G133" s="92">
        <v>7435691569</v>
      </c>
      <c r="H133" s="93">
        <v>34980</v>
      </c>
      <c r="I133" s="89">
        <v>30</v>
      </c>
      <c r="J133" s="89" t="s">
        <v>67</v>
      </c>
      <c r="K133" s="89" t="s">
        <v>54</v>
      </c>
      <c r="L133" s="89" t="s">
        <v>93</v>
      </c>
      <c r="M133" s="89"/>
      <c r="N133" s="89" t="s">
        <v>82</v>
      </c>
      <c r="O133" s="94" t="s">
        <v>425</v>
      </c>
      <c r="P133" s="95" t="s">
        <v>58</v>
      </c>
      <c r="Q133" s="144" t="s">
        <v>59</v>
      </c>
      <c r="R133" s="96">
        <v>46161</v>
      </c>
      <c r="S133" s="97"/>
      <c r="T133" s="97" t="s">
        <v>60</v>
      </c>
      <c r="U133" s="97" t="s">
        <v>61</v>
      </c>
      <c r="V133" s="93">
        <v>46161</v>
      </c>
      <c r="W133" s="93" t="s">
        <v>73</v>
      </c>
      <c r="X133" s="93" t="s">
        <v>73</v>
      </c>
      <c r="Y133" s="98"/>
      <c r="Z133" s="89" t="s">
        <v>62</v>
      </c>
      <c r="AA133" s="97">
        <v>46169</v>
      </c>
      <c r="AB133" s="89" t="s">
        <v>142</v>
      </c>
      <c r="AC133" s="120">
        <v>46179.472221932869</v>
      </c>
      <c r="AD133" s="89"/>
      <c r="AE133" s="89"/>
      <c r="AF133" s="89"/>
      <c r="AG133" s="89"/>
      <c r="AH133" s="99"/>
      <c r="AI133" s="99"/>
      <c r="AJ133" s="99"/>
      <c r="AK133" s="100"/>
      <c r="AL133" s="100" t="s">
        <v>64</v>
      </c>
      <c r="AM133" s="100" t="s">
        <v>102</v>
      </c>
      <c r="AN133" s="45" t="s">
        <v>65</v>
      </c>
      <c r="AO133" s="198" t="str">
        <f t="shared" si="18"/>
        <v>5/2026</v>
      </c>
      <c r="AP133" s="198">
        <f t="shared" si="19"/>
        <v>2</v>
      </c>
      <c r="AQ133" s="45" t="str">
        <f t="shared" si="20"/>
        <v>5/2026</v>
      </c>
      <c r="AR133" s="45">
        <f t="shared" si="21"/>
        <v>4</v>
      </c>
      <c r="AS133" s="45">
        <f t="shared" si="22"/>
        <v>0</v>
      </c>
      <c r="AT133" s="45">
        <f t="shared" si="23"/>
        <v>0</v>
      </c>
      <c r="AU133" s="45">
        <f t="shared" si="24"/>
        <v>0</v>
      </c>
      <c r="AV133" s="45">
        <f t="shared" si="17"/>
        <v>0</v>
      </c>
      <c r="AW133" s="45" t="str">
        <f>_xlfn.XLOOKUP(W133,'Lista Suspensa'!$AA$20:$AA$23,'Lista Suspensa'!$AB$20:$AB$23,"N/A")</f>
        <v>N/A</v>
      </c>
    </row>
    <row r="134" spans="1:49" ht="12" customHeight="1" x14ac:dyDescent="0.3">
      <c r="A134" s="87" t="s">
        <v>49</v>
      </c>
      <c r="B134" s="88">
        <v>46147</v>
      </c>
      <c r="C134" s="89" t="s">
        <v>50</v>
      </c>
      <c r="D134" s="89" t="s">
        <v>51</v>
      </c>
      <c r="E134" s="90">
        <v>800070011</v>
      </c>
      <c r="F134" s="91" t="s">
        <v>426</v>
      </c>
      <c r="G134" s="92">
        <v>12944330837</v>
      </c>
      <c r="H134" s="93">
        <v>19126</v>
      </c>
      <c r="I134" s="89">
        <v>74</v>
      </c>
      <c r="J134" s="89" t="s">
        <v>67</v>
      </c>
      <c r="K134" s="89" t="s">
        <v>54</v>
      </c>
      <c r="L134" s="89" t="s">
        <v>93</v>
      </c>
      <c r="M134" s="89"/>
      <c r="N134" s="89" t="s">
        <v>209</v>
      </c>
      <c r="O134" s="94" t="s">
        <v>427</v>
      </c>
      <c r="P134" s="95" t="s">
        <v>58</v>
      </c>
      <c r="Q134" s="144" t="s">
        <v>59</v>
      </c>
      <c r="R134" s="96">
        <v>46161</v>
      </c>
      <c r="S134" s="97"/>
      <c r="T134" s="97" t="s">
        <v>60</v>
      </c>
      <c r="U134" s="97" t="s">
        <v>61</v>
      </c>
      <c r="V134" s="93">
        <v>46161</v>
      </c>
      <c r="W134" s="93" t="s">
        <v>73</v>
      </c>
      <c r="X134" s="93" t="s">
        <v>73</v>
      </c>
      <c r="Y134" s="98"/>
      <c r="Z134" s="89" t="s">
        <v>62</v>
      </c>
      <c r="AA134" s="97">
        <v>46170</v>
      </c>
      <c r="AB134" s="89" t="s">
        <v>142</v>
      </c>
      <c r="AC134" s="120">
        <v>46180.513888425929</v>
      </c>
      <c r="AD134" s="89"/>
      <c r="AE134" s="89"/>
      <c r="AF134" s="89"/>
      <c r="AG134" s="89"/>
      <c r="AH134" s="99"/>
      <c r="AI134" s="99"/>
      <c r="AJ134" s="99"/>
      <c r="AK134" s="100"/>
      <c r="AL134" s="100" t="s">
        <v>64</v>
      </c>
      <c r="AM134" s="100" t="s">
        <v>102</v>
      </c>
      <c r="AN134" s="45" t="s">
        <v>65</v>
      </c>
      <c r="AO134" s="198" t="str">
        <f t="shared" si="18"/>
        <v>5/2026</v>
      </c>
      <c r="AP134" s="198">
        <f t="shared" si="19"/>
        <v>2</v>
      </c>
      <c r="AQ134" s="45" t="str">
        <f t="shared" si="20"/>
        <v>5/2026</v>
      </c>
      <c r="AR134" s="45">
        <f t="shared" si="21"/>
        <v>4</v>
      </c>
      <c r="AS134" s="45">
        <f t="shared" si="22"/>
        <v>0</v>
      </c>
      <c r="AT134" s="45">
        <f t="shared" si="23"/>
        <v>0</v>
      </c>
      <c r="AU134" s="45">
        <f t="shared" si="24"/>
        <v>0</v>
      </c>
      <c r="AV134" s="45">
        <f t="shared" si="17"/>
        <v>0</v>
      </c>
      <c r="AW134" s="45" t="str">
        <f>_xlfn.XLOOKUP(W134,'Lista Suspensa'!$AA$20:$AA$23,'Lista Suspensa'!$AB$20:$AB$23,"N/A")</f>
        <v>N/A</v>
      </c>
    </row>
    <row r="135" spans="1:49" ht="12" customHeight="1" x14ac:dyDescent="0.3">
      <c r="A135" s="87" t="s">
        <v>49</v>
      </c>
      <c r="B135" s="88">
        <v>46147</v>
      </c>
      <c r="C135" s="89" t="s">
        <v>50</v>
      </c>
      <c r="D135" s="89" t="s">
        <v>51</v>
      </c>
      <c r="E135" s="90">
        <v>800204352</v>
      </c>
      <c r="F135" s="91" t="s">
        <v>428</v>
      </c>
      <c r="G135" s="92">
        <v>37571273820</v>
      </c>
      <c r="H135" s="93">
        <v>18750</v>
      </c>
      <c r="I135" s="89">
        <v>75</v>
      </c>
      <c r="J135" s="89" t="s">
        <v>53</v>
      </c>
      <c r="K135" s="89" t="s">
        <v>54</v>
      </c>
      <c r="L135" s="89" t="s">
        <v>93</v>
      </c>
      <c r="M135" s="89"/>
      <c r="N135" s="89" t="s">
        <v>108</v>
      </c>
      <c r="O135" s="94" t="s">
        <v>429</v>
      </c>
      <c r="P135" s="95" t="s">
        <v>58</v>
      </c>
      <c r="Q135" s="144" t="s">
        <v>59</v>
      </c>
      <c r="R135" s="96">
        <v>46161</v>
      </c>
      <c r="S135" s="97"/>
      <c r="T135" s="97" t="s">
        <v>60</v>
      </c>
      <c r="U135" s="97" t="s">
        <v>61</v>
      </c>
      <c r="V135" s="93">
        <v>46161</v>
      </c>
      <c r="W135" s="93" t="s">
        <v>73</v>
      </c>
      <c r="X135" s="93" t="s">
        <v>73</v>
      </c>
      <c r="Y135" s="98"/>
      <c r="Z135" s="89" t="s">
        <v>62</v>
      </c>
      <c r="AA135" s="97">
        <v>46167</v>
      </c>
      <c r="AB135" s="89" t="s">
        <v>75</v>
      </c>
      <c r="AC135" s="120"/>
      <c r="AD135" s="89"/>
      <c r="AE135" s="89"/>
      <c r="AF135" s="89">
        <v>2.38</v>
      </c>
      <c r="AG135" s="89">
        <v>2.38</v>
      </c>
      <c r="AH135" s="99"/>
      <c r="AI135" s="99"/>
      <c r="AJ135" s="119" t="s">
        <v>91</v>
      </c>
      <c r="AK135" s="100"/>
      <c r="AL135" s="100" t="s">
        <v>64</v>
      </c>
      <c r="AM135" s="100" t="s">
        <v>102</v>
      </c>
      <c r="AN135" s="45" t="s">
        <v>65</v>
      </c>
      <c r="AO135" s="198" t="str">
        <f t="shared" si="18"/>
        <v>5/2026</v>
      </c>
      <c r="AP135" s="198">
        <f t="shared" si="19"/>
        <v>2</v>
      </c>
      <c r="AQ135" s="45" t="str">
        <f t="shared" si="20"/>
        <v>5/2026</v>
      </c>
      <c r="AR135" s="45">
        <f t="shared" si="21"/>
        <v>4</v>
      </c>
      <c r="AS135" s="45">
        <f t="shared" si="22"/>
        <v>0</v>
      </c>
      <c r="AT135" s="45">
        <f t="shared" si="23"/>
        <v>0</v>
      </c>
      <c r="AU135" s="45">
        <f t="shared" si="24"/>
        <v>0</v>
      </c>
      <c r="AV135" s="45">
        <f t="shared" si="17"/>
        <v>0</v>
      </c>
      <c r="AW135" s="45" t="str">
        <f>_xlfn.XLOOKUP(W135,'Lista Suspensa'!$AA$20:$AA$23,'Lista Suspensa'!$AB$20:$AB$23,"N/A")</f>
        <v>N/A</v>
      </c>
    </row>
    <row r="136" spans="1:49" ht="12" customHeight="1" x14ac:dyDescent="0.3">
      <c r="A136" s="87" t="s">
        <v>49</v>
      </c>
      <c r="B136" s="88">
        <v>46147</v>
      </c>
      <c r="C136" s="89" t="s">
        <v>50</v>
      </c>
      <c r="D136" s="89" t="s">
        <v>51</v>
      </c>
      <c r="E136" s="90">
        <v>450182606</v>
      </c>
      <c r="F136" s="91" t="s">
        <v>430</v>
      </c>
      <c r="G136" s="92">
        <v>24685691806</v>
      </c>
      <c r="H136" s="93">
        <v>14733</v>
      </c>
      <c r="I136" s="89">
        <v>86</v>
      </c>
      <c r="J136" s="89" t="s">
        <v>67</v>
      </c>
      <c r="K136" s="89" t="s">
        <v>54</v>
      </c>
      <c r="L136" s="89" t="s">
        <v>93</v>
      </c>
      <c r="M136" s="89"/>
      <c r="N136" s="89" t="s">
        <v>108</v>
      </c>
      <c r="O136" s="94" t="s">
        <v>431</v>
      </c>
      <c r="P136" s="95" t="s">
        <v>58</v>
      </c>
      <c r="Q136" s="144" t="s">
        <v>59</v>
      </c>
      <c r="R136" s="96">
        <v>46161</v>
      </c>
      <c r="S136" s="97"/>
      <c r="T136" s="97" t="s">
        <v>60</v>
      </c>
      <c r="U136" s="97" t="s">
        <v>61</v>
      </c>
      <c r="V136" s="93">
        <v>46161</v>
      </c>
      <c r="W136" s="93" t="s">
        <v>73</v>
      </c>
      <c r="X136" s="93" t="s">
        <v>73</v>
      </c>
      <c r="Y136" s="98"/>
      <c r="Z136" s="89" t="s">
        <v>62</v>
      </c>
      <c r="AA136" s="97">
        <v>46169</v>
      </c>
      <c r="AB136" s="89" t="s">
        <v>142</v>
      </c>
      <c r="AC136" s="120">
        <v>46179.624999074076</v>
      </c>
      <c r="AD136" s="89"/>
      <c r="AE136" s="89"/>
      <c r="AF136" s="89"/>
      <c r="AG136" s="89"/>
      <c r="AH136" s="99"/>
      <c r="AI136" s="99"/>
      <c r="AJ136" s="99"/>
      <c r="AK136" s="100"/>
      <c r="AL136" s="100" t="s">
        <v>64</v>
      </c>
      <c r="AM136" s="100" t="s">
        <v>102</v>
      </c>
      <c r="AN136" s="45" t="s">
        <v>65</v>
      </c>
      <c r="AO136" s="198" t="str">
        <f t="shared" si="18"/>
        <v>5/2026</v>
      </c>
      <c r="AP136" s="198">
        <f t="shared" si="19"/>
        <v>2</v>
      </c>
      <c r="AQ136" s="45" t="str">
        <f t="shared" si="20"/>
        <v>5/2026</v>
      </c>
      <c r="AR136" s="45">
        <f t="shared" si="21"/>
        <v>4</v>
      </c>
      <c r="AS136" s="45">
        <f t="shared" si="22"/>
        <v>0</v>
      </c>
      <c r="AT136" s="45">
        <f t="shared" si="23"/>
        <v>0</v>
      </c>
      <c r="AU136" s="45">
        <f t="shared" si="24"/>
        <v>0</v>
      </c>
      <c r="AV136" s="45">
        <f t="shared" si="17"/>
        <v>0</v>
      </c>
      <c r="AW136" s="45" t="str">
        <f>_xlfn.XLOOKUP(W136,'Lista Suspensa'!$AA$20:$AA$23,'Lista Suspensa'!$AB$20:$AB$23,"N/A")</f>
        <v>N/A</v>
      </c>
    </row>
    <row r="137" spans="1:49" ht="12" customHeight="1" x14ac:dyDescent="0.3">
      <c r="A137" s="87" t="s">
        <v>49</v>
      </c>
      <c r="B137" s="88">
        <v>46147</v>
      </c>
      <c r="C137" s="89" t="s">
        <v>50</v>
      </c>
      <c r="D137" s="89" t="s">
        <v>51</v>
      </c>
      <c r="E137" s="90">
        <v>452254515</v>
      </c>
      <c r="F137" s="91" t="s">
        <v>432</v>
      </c>
      <c r="G137" s="92">
        <v>49088343934</v>
      </c>
      <c r="H137" s="93">
        <v>22926</v>
      </c>
      <c r="I137" s="89">
        <v>63</v>
      </c>
      <c r="J137" s="89" t="s">
        <v>67</v>
      </c>
      <c r="K137" s="89" t="s">
        <v>54</v>
      </c>
      <c r="L137" s="89" t="s">
        <v>93</v>
      </c>
      <c r="M137" s="89"/>
      <c r="N137" s="89" t="s">
        <v>94</v>
      </c>
      <c r="O137" s="94" t="s">
        <v>433</v>
      </c>
      <c r="P137" s="95" t="s">
        <v>58</v>
      </c>
      <c r="Q137" s="144" t="s">
        <v>59</v>
      </c>
      <c r="R137" s="96">
        <v>46161</v>
      </c>
      <c r="S137" s="97"/>
      <c r="T137" s="97" t="s">
        <v>60</v>
      </c>
      <c r="U137" s="97" t="s">
        <v>61</v>
      </c>
      <c r="V137" s="93">
        <v>46161</v>
      </c>
      <c r="W137" s="93" t="s">
        <v>73</v>
      </c>
      <c r="X137" s="93" t="s">
        <v>73</v>
      </c>
      <c r="Y137" s="98"/>
      <c r="Z137" s="89" t="s">
        <v>62</v>
      </c>
      <c r="AA137" s="97">
        <v>46167</v>
      </c>
      <c r="AB137" s="89" t="s">
        <v>75</v>
      </c>
      <c r="AC137" s="120"/>
      <c r="AD137" s="89"/>
      <c r="AE137" s="89"/>
      <c r="AF137" s="89">
        <v>2.57</v>
      </c>
      <c r="AG137" s="89">
        <v>2.57</v>
      </c>
      <c r="AH137" s="99" t="s">
        <v>205</v>
      </c>
      <c r="AI137" s="99"/>
      <c r="AJ137" s="119" t="s">
        <v>91</v>
      </c>
      <c r="AK137" s="100"/>
      <c r="AL137" s="100" t="s">
        <v>64</v>
      </c>
      <c r="AM137" s="100" t="s">
        <v>102</v>
      </c>
      <c r="AN137" s="45" t="s">
        <v>65</v>
      </c>
      <c r="AO137" s="198" t="str">
        <f t="shared" si="18"/>
        <v>5/2026</v>
      </c>
      <c r="AP137" s="198">
        <f t="shared" si="19"/>
        <v>2</v>
      </c>
      <c r="AQ137" s="45" t="str">
        <f t="shared" si="20"/>
        <v>5/2026</v>
      </c>
      <c r="AR137" s="45">
        <f t="shared" si="21"/>
        <v>4</v>
      </c>
      <c r="AS137" s="45">
        <f t="shared" si="22"/>
        <v>0</v>
      </c>
      <c r="AT137" s="45">
        <f t="shared" si="23"/>
        <v>0</v>
      </c>
      <c r="AU137" s="45">
        <f t="shared" si="24"/>
        <v>0</v>
      </c>
      <c r="AV137" s="45">
        <f t="shared" si="17"/>
        <v>0</v>
      </c>
      <c r="AW137" s="45" t="str">
        <f>_xlfn.XLOOKUP(W137,'Lista Suspensa'!$AA$20:$AA$23,'Lista Suspensa'!$AB$20:$AB$23,"N/A")</f>
        <v>N/A</v>
      </c>
    </row>
    <row r="138" spans="1:49" ht="12" customHeight="1" x14ac:dyDescent="0.3">
      <c r="A138" s="87" t="s">
        <v>49</v>
      </c>
      <c r="B138" s="88">
        <v>46147</v>
      </c>
      <c r="C138" s="89" t="s">
        <v>50</v>
      </c>
      <c r="D138" s="89" t="s">
        <v>51</v>
      </c>
      <c r="E138" s="90">
        <v>301193436</v>
      </c>
      <c r="F138" s="91" t="s">
        <v>434</v>
      </c>
      <c r="G138" s="92">
        <v>67397611834</v>
      </c>
      <c r="H138" s="93">
        <v>13557</v>
      </c>
      <c r="I138" s="89">
        <v>89</v>
      </c>
      <c r="J138" s="89" t="s">
        <v>67</v>
      </c>
      <c r="K138" s="89" t="s">
        <v>54</v>
      </c>
      <c r="L138" s="89" t="s">
        <v>93</v>
      </c>
      <c r="M138" s="89"/>
      <c r="N138" s="89" t="s">
        <v>97</v>
      </c>
      <c r="O138" s="94" t="s">
        <v>435</v>
      </c>
      <c r="P138" s="95" t="s">
        <v>58</v>
      </c>
      <c r="Q138" s="144" t="s">
        <v>59</v>
      </c>
      <c r="R138" s="96">
        <v>46161</v>
      </c>
      <c r="S138" s="97"/>
      <c r="T138" s="97" t="s">
        <v>60</v>
      </c>
      <c r="U138" s="97" t="s">
        <v>61</v>
      </c>
      <c r="V138" s="93">
        <v>46161</v>
      </c>
      <c r="W138" s="93" t="s">
        <v>73</v>
      </c>
      <c r="X138" s="93" t="s">
        <v>73</v>
      </c>
      <c r="Y138" s="98"/>
      <c r="Z138" s="89" t="s">
        <v>62</v>
      </c>
      <c r="AA138" s="97">
        <v>46171</v>
      </c>
      <c r="AB138" s="89" t="s">
        <v>142</v>
      </c>
      <c r="AC138" s="120"/>
      <c r="AD138" s="89"/>
      <c r="AE138" s="89"/>
      <c r="AF138" s="89"/>
      <c r="AG138" s="89"/>
      <c r="AH138" s="99"/>
      <c r="AI138" s="99"/>
      <c r="AJ138" s="99"/>
      <c r="AK138" s="100"/>
      <c r="AL138" s="100" t="s">
        <v>64</v>
      </c>
      <c r="AM138" s="100" t="s">
        <v>102</v>
      </c>
      <c r="AN138" s="45" t="s">
        <v>65</v>
      </c>
      <c r="AO138" s="198" t="str">
        <f t="shared" si="18"/>
        <v>5/2026</v>
      </c>
      <c r="AP138" s="198">
        <f t="shared" si="19"/>
        <v>2</v>
      </c>
      <c r="AQ138" s="45" t="str">
        <f t="shared" si="20"/>
        <v>5/2026</v>
      </c>
      <c r="AR138" s="45">
        <f t="shared" si="21"/>
        <v>4</v>
      </c>
      <c r="AS138" s="45">
        <f t="shared" si="22"/>
        <v>0</v>
      </c>
      <c r="AT138" s="45">
        <f t="shared" si="23"/>
        <v>0</v>
      </c>
      <c r="AU138" s="45">
        <f t="shared" si="24"/>
        <v>0</v>
      </c>
      <c r="AV138" s="45">
        <f t="shared" si="17"/>
        <v>0</v>
      </c>
      <c r="AW138" s="45" t="str">
        <f>_xlfn.XLOOKUP(W138,'Lista Suspensa'!$AA$20:$AA$23,'Lista Suspensa'!$AB$20:$AB$23,"N/A")</f>
        <v>N/A</v>
      </c>
    </row>
    <row r="139" spans="1:49" ht="12" customHeight="1" x14ac:dyDescent="0.3">
      <c r="A139" s="87" t="s">
        <v>49</v>
      </c>
      <c r="B139" s="88">
        <v>46147</v>
      </c>
      <c r="C139" s="89" t="s">
        <v>50</v>
      </c>
      <c r="D139" s="89" t="s">
        <v>51</v>
      </c>
      <c r="E139" s="90">
        <v>452347670</v>
      </c>
      <c r="F139" s="91" t="s">
        <v>436</v>
      </c>
      <c r="G139" s="92">
        <v>26561572858</v>
      </c>
      <c r="H139" s="93">
        <v>27930</v>
      </c>
      <c r="I139" s="89">
        <v>49</v>
      </c>
      <c r="J139" s="89" t="s">
        <v>67</v>
      </c>
      <c r="K139" s="89" t="s">
        <v>54</v>
      </c>
      <c r="L139" s="89" t="s">
        <v>93</v>
      </c>
      <c r="M139" s="89"/>
      <c r="N139" s="89" t="s">
        <v>94</v>
      </c>
      <c r="O139" s="94" t="s">
        <v>437</v>
      </c>
      <c r="P139" s="95" t="s">
        <v>58</v>
      </c>
      <c r="Q139" s="144" t="s">
        <v>59</v>
      </c>
      <c r="R139" s="96">
        <v>46161</v>
      </c>
      <c r="S139" s="97"/>
      <c r="T139" s="97" t="s">
        <v>60</v>
      </c>
      <c r="U139" s="97" t="s">
        <v>61</v>
      </c>
      <c r="V139" s="93">
        <v>46161</v>
      </c>
      <c r="W139" s="93" t="s">
        <v>73</v>
      </c>
      <c r="X139" s="93" t="s">
        <v>73</v>
      </c>
      <c r="Y139" s="98"/>
      <c r="Z139" s="89" t="s">
        <v>62</v>
      </c>
      <c r="AA139" s="97">
        <v>46170</v>
      </c>
      <c r="AB139" s="89" t="s">
        <v>75</v>
      </c>
      <c r="AC139" s="120"/>
      <c r="AD139" s="89" t="s">
        <v>122</v>
      </c>
      <c r="AE139" s="89"/>
      <c r="AF139" s="89">
        <v>2.4</v>
      </c>
      <c r="AG139" s="89">
        <v>2.4</v>
      </c>
      <c r="AH139" s="99" t="s">
        <v>90</v>
      </c>
      <c r="AI139" s="99"/>
      <c r="AJ139" s="119" t="s">
        <v>91</v>
      </c>
      <c r="AK139" s="100"/>
      <c r="AL139" s="100" t="s">
        <v>64</v>
      </c>
      <c r="AM139" s="100" t="s">
        <v>102</v>
      </c>
      <c r="AN139" s="45" t="s">
        <v>65</v>
      </c>
      <c r="AO139" s="198" t="str">
        <f t="shared" si="18"/>
        <v>5/2026</v>
      </c>
      <c r="AP139" s="198">
        <f t="shared" si="19"/>
        <v>2</v>
      </c>
      <c r="AQ139" s="45" t="str">
        <f t="shared" si="20"/>
        <v>5/2026</v>
      </c>
      <c r="AR139" s="45">
        <f t="shared" si="21"/>
        <v>4</v>
      </c>
      <c r="AS139" s="45">
        <f t="shared" si="22"/>
        <v>0</v>
      </c>
      <c r="AT139" s="45">
        <f t="shared" si="23"/>
        <v>0</v>
      </c>
      <c r="AU139" s="45">
        <f t="shared" si="24"/>
        <v>0</v>
      </c>
      <c r="AV139" s="45">
        <f t="shared" si="17"/>
        <v>0</v>
      </c>
      <c r="AW139" s="45" t="str">
        <f>_xlfn.XLOOKUP(W139,'Lista Suspensa'!$AA$20:$AA$23,'Lista Suspensa'!$AB$20:$AB$23,"N/A")</f>
        <v>N/A</v>
      </c>
    </row>
    <row r="140" spans="1:49" ht="12" customHeight="1" x14ac:dyDescent="0.3">
      <c r="A140" s="87" t="s">
        <v>49</v>
      </c>
      <c r="B140" s="88">
        <v>46147</v>
      </c>
      <c r="C140" s="89" t="s">
        <v>50</v>
      </c>
      <c r="D140" s="89" t="s">
        <v>51</v>
      </c>
      <c r="E140" s="90">
        <v>783728140</v>
      </c>
      <c r="F140" s="91" t="s">
        <v>438</v>
      </c>
      <c r="G140" s="92">
        <v>37581783804</v>
      </c>
      <c r="H140" s="93">
        <v>18424</v>
      </c>
      <c r="I140" s="89">
        <v>75</v>
      </c>
      <c r="J140" s="89" t="s">
        <v>53</v>
      </c>
      <c r="K140" s="89" t="s">
        <v>54</v>
      </c>
      <c r="L140" s="89" t="s">
        <v>93</v>
      </c>
      <c r="M140" s="89"/>
      <c r="N140" s="89" t="s">
        <v>108</v>
      </c>
      <c r="O140" s="94" t="s">
        <v>439</v>
      </c>
      <c r="P140" s="95" t="s">
        <v>58</v>
      </c>
      <c r="Q140" s="144" t="s">
        <v>59</v>
      </c>
      <c r="R140" s="96">
        <v>46161</v>
      </c>
      <c r="S140" s="97"/>
      <c r="T140" s="97" t="s">
        <v>60</v>
      </c>
      <c r="U140" s="97" t="s">
        <v>61</v>
      </c>
      <c r="V140" s="93">
        <v>46161</v>
      </c>
      <c r="W140" s="93" t="s">
        <v>73</v>
      </c>
      <c r="X140" s="93" t="s">
        <v>73</v>
      </c>
      <c r="Y140" s="98"/>
      <c r="Z140" s="89" t="s">
        <v>62</v>
      </c>
      <c r="AA140" s="97">
        <v>46168</v>
      </c>
      <c r="AB140" s="89" t="s">
        <v>142</v>
      </c>
      <c r="AC140" s="120" t="s">
        <v>440</v>
      </c>
      <c r="AD140" s="89"/>
      <c r="AE140" s="89"/>
      <c r="AF140" s="89"/>
      <c r="AG140" s="89"/>
      <c r="AH140" s="99"/>
      <c r="AI140" s="99"/>
      <c r="AJ140" s="99"/>
      <c r="AK140" s="100"/>
      <c r="AL140" s="100" t="s">
        <v>64</v>
      </c>
      <c r="AM140" s="100" t="s">
        <v>102</v>
      </c>
      <c r="AN140" s="45" t="s">
        <v>65</v>
      </c>
      <c r="AO140" s="198" t="str">
        <f t="shared" si="18"/>
        <v>5/2026</v>
      </c>
      <c r="AP140" s="198">
        <f t="shared" si="19"/>
        <v>2</v>
      </c>
      <c r="AQ140" s="45" t="str">
        <f t="shared" si="20"/>
        <v>5/2026</v>
      </c>
      <c r="AR140" s="45">
        <f t="shared" si="21"/>
        <v>4</v>
      </c>
      <c r="AS140" s="45">
        <f t="shared" si="22"/>
        <v>0</v>
      </c>
      <c r="AT140" s="45">
        <f t="shared" si="23"/>
        <v>0</v>
      </c>
      <c r="AU140" s="45">
        <f t="shared" si="24"/>
        <v>0</v>
      </c>
      <c r="AV140" s="45">
        <f t="shared" si="17"/>
        <v>0</v>
      </c>
      <c r="AW140" s="45" t="str">
        <f>_xlfn.XLOOKUP(W140,'Lista Suspensa'!$AA$20:$AA$23,'Lista Suspensa'!$AB$20:$AB$23,"N/A")</f>
        <v>N/A</v>
      </c>
    </row>
    <row r="141" spans="1:49" ht="12" customHeight="1" x14ac:dyDescent="0.3">
      <c r="A141" s="87" t="s">
        <v>49</v>
      </c>
      <c r="B141" s="88">
        <v>46147</v>
      </c>
      <c r="C141" s="89" t="s">
        <v>50</v>
      </c>
      <c r="D141" s="89" t="s">
        <v>51</v>
      </c>
      <c r="E141" s="90">
        <v>222557966</v>
      </c>
      <c r="F141" s="91" t="s">
        <v>441</v>
      </c>
      <c r="G141" s="92">
        <v>27361014801</v>
      </c>
      <c r="H141" s="93">
        <v>18168</v>
      </c>
      <c r="I141" s="89">
        <v>76</v>
      </c>
      <c r="J141" s="89" t="s">
        <v>67</v>
      </c>
      <c r="K141" s="89" t="s">
        <v>54</v>
      </c>
      <c r="L141" s="89" t="s">
        <v>93</v>
      </c>
      <c r="M141" s="89"/>
      <c r="N141" s="89" t="s">
        <v>97</v>
      </c>
      <c r="O141" s="94" t="s">
        <v>442</v>
      </c>
      <c r="P141" s="95" t="s">
        <v>58</v>
      </c>
      <c r="Q141" s="144" t="s">
        <v>59</v>
      </c>
      <c r="R141" s="96">
        <v>46161</v>
      </c>
      <c r="S141" s="97"/>
      <c r="T141" s="97" t="s">
        <v>60</v>
      </c>
      <c r="U141" s="97" t="s">
        <v>61</v>
      </c>
      <c r="V141" s="93">
        <v>46161</v>
      </c>
      <c r="W141" s="93" t="s">
        <v>73</v>
      </c>
      <c r="X141" s="93" t="s">
        <v>73</v>
      </c>
      <c r="Y141" s="98"/>
      <c r="Z141" s="89" t="s">
        <v>62</v>
      </c>
      <c r="AA141" s="97">
        <v>46170</v>
      </c>
      <c r="AB141" s="89" t="s">
        <v>142</v>
      </c>
      <c r="AC141" s="120">
        <v>46180.541666087964</v>
      </c>
      <c r="AD141" s="89"/>
      <c r="AE141" s="89"/>
      <c r="AF141" s="89"/>
      <c r="AG141" s="89"/>
      <c r="AH141" s="99"/>
      <c r="AI141" s="99"/>
      <c r="AJ141" s="99"/>
      <c r="AK141" s="100"/>
      <c r="AL141" s="100" t="s">
        <v>64</v>
      </c>
      <c r="AM141" s="100" t="s">
        <v>102</v>
      </c>
      <c r="AN141" s="45" t="s">
        <v>65</v>
      </c>
      <c r="AO141" s="198" t="str">
        <f t="shared" si="18"/>
        <v>5/2026</v>
      </c>
      <c r="AP141" s="198">
        <f t="shared" si="19"/>
        <v>2</v>
      </c>
      <c r="AQ141" s="45" t="str">
        <f t="shared" si="20"/>
        <v>5/2026</v>
      </c>
      <c r="AR141" s="45">
        <f t="shared" si="21"/>
        <v>4</v>
      </c>
      <c r="AS141" s="45">
        <f t="shared" si="22"/>
        <v>0</v>
      </c>
      <c r="AT141" s="45">
        <f t="shared" si="23"/>
        <v>0</v>
      </c>
      <c r="AU141" s="45">
        <f t="shared" si="24"/>
        <v>0</v>
      </c>
      <c r="AV141" s="45">
        <f t="shared" si="17"/>
        <v>0</v>
      </c>
      <c r="AW141" s="45" t="str">
        <f>_xlfn.XLOOKUP(W141,'Lista Suspensa'!$AA$20:$AA$23,'Lista Suspensa'!$AB$20:$AB$23,"N/A")</f>
        <v>N/A</v>
      </c>
    </row>
    <row r="142" spans="1:49" ht="12" customHeight="1" x14ac:dyDescent="0.3">
      <c r="A142" s="87" t="s">
        <v>49</v>
      </c>
      <c r="B142" s="88">
        <v>46147</v>
      </c>
      <c r="C142" s="89" t="s">
        <v>50</v>
      </c>
      <c r="D142" s="89" t="s">
        <v>51</v>
      </c>
      <c r="E142" s="90">
        <v>92619196</v>
      </c>
      <c r="F142" s="91" t="s">
        <v>443</v>
      </c>
      <c r="G142" s="92">
        <v>27582466861</v>
      </c>
      <c r="H142" s="93">
        <v>28472</v>
      </c>
      <c r="I142" s="89">
        <v>48</v>
      </c>
      <c r="J142" s="89" t="s">
        <v>67</v>
      </c>
      <c r="K142" s="89" t="s">
        <v>54</v>
      </c>
      <c r="L142" s="89" t="s">
        <v>93</v>
      </c>
      <c r="M142" s="89"/>
      <c r="N142" s="89" t="s">
        <v>82</v>
      </c>
      <c r="O142" s="94" t="s">
        <v>444</v>
      </c>
      <c r="P142" s="95" t="s">
        <v>58</v>
      </c>
      <c r="Q142" s="144" t="s">
        <v>59</v>
      </c>
      <c r="R142" s="96">
        <v>46161</v>
      </c>
      <c r="S142" s="97"/>
      <c r="T142" s="97" t="s">
        <v>60</v>
      </c>
      <c r="U142" s="97" t="s">
        <v>61</v>
      </c>
      <c r="V142" s="93">
        <v>46161</v>
      </c>
      <c r="W142" s="93" t="s">
        <v>73</v>
      </c>
      <c r="X142" s="93" t="s">
        <v>73</v>
      </c>
      <c r="Y142" s="98"/>
      <c r="Z142" s="89" t="s">
        <v>62</v>
      </c>
      <c r="AA142" s="97">
        <v>46163</v>
      </c>
      <c r="AB142" s="89" t="s">
        <v>75</v>
      </c>
      <c r="AC142" s="120">
        <v>46180.597221412034</v>
      </c>
      <c r="AD142" s="89"/>
      <c r="AE142" s="89"/>
      <c r="AF142" s="89">
        <v>3.3</v>
      </c>
      <c r="AG142" s="89">
        <v>3.3</v>
      </c>
      <c r="AH142" s="99" t="s">
        <v>445</v>
      </c>
      <c r="AI142" s="99"/>
      <c r="AJ142" s="119" t="s">
        <v>91</v>
      </c>
      <c r="AK142" s="100"/>
      <c r="AL142" s="100" t="s">
        <v>64</v>
      </c>
      <c r="AM142" s="100" t="s">
        <v>102</v>
      </c>
      <c r="AN142" s="45" t="s">
        <v>65</v>
      </c>
      <c r="AO142" s="198" t="str">
        <f t="shared" si="18"/>
        <v>5/2026</v>
      </c>
      <c r="AP142" s="198">
        <f t="shared" si="19"/>
        <v>2</v>
      </c>
      <c r="AQ142" s="45" t="str">
        <f t="shared" si="20"/>
        <v>5/2026</v>
      </c>
      <c r="AR142" s="45">
        <f t="shared" si="21"/>
        <v>4</v>
      </c>
      <c r="AS142" s="45">
        <f t="shared" si="22"/>
        <v>0</v>
      </c>
      <c r="AT142" s="45">
        <f t="shared" si="23"/>
        <v>0</v>
      </c>
      <c r="AU142" s="45">
        <f t="shared" si="24"/>
        <v>0</v>
      </c>
      <c r="AV142" s="45">
        <f t="shared" si="17"/>
        <v>0</v>
      </c>
      <c r="AW142" s="45" t="str">
        <f>_xlfn.XLOOKUP(W142,'Lista Suspensa'!$AA$20:$AA$23,'Lista Suspensa'!$AB$20:$AB$23,"N/A")</f>
        <v>N/A</v>
      </c>
    </row>
    <row r="143" spans="1:49" ht="12" customHeight="1" x14ac:dyDescent="0.3">
      <c r="A143" s="87" t="s">
        <v>49</v>
      </c>
      <c r="B143" s="88">
        <v>46147</v>
      </c>
      <c r="C143" s="89" t="s">
        <v>50</v>
      </c>
      <c r="D143" s="89" t="s">
        <v>51</v>
      </c>
      <c r="E143" s="90">
        <v>86146798</v>
      </c>
      <c r="F143" s="91" t="s">
        <v>446</v>
      </c>
      <c r="G143" s="92">
        <v>83274120510</v>
      </c>
      <c r="H143" s="93">
        <v>29129</v>
      </c>
      <c r="I143" s="89">
        <v>46</v>
      </c>
      <c r="J143" s="89" t="s">
        <v>67</v>
      </c>
      <c r="K143" s="89" t="s">
        <v>54</v>
      </c>
      <c r="L143" s="89" t="s">
        <v>93</v>
      </c>
      <c r="M143" s="89"/>
      <c r="N143" s="89" t="s">
        <v>124</v>
      </c>
      <c r="O143" s="94" t="s">
        <v>447</v>
      </c>
      <c r="P143" s="95" t="s">
        <v>58</v>
      </c>
      <c r="Q143" s="144" t="s">
        <v>59</v>
      </c>
      <c r="R143" s="96">
        <v>46161</v>
      </c>
      <c r="S143" s="97"/>
      <c r="T143" s="97" t="s">
        <v>60</v>
      </c>
      <c r="U143" s="97" t="s">
        <v>61</v>
      </c>
      <c r="V143" s="93">
        <v>46161</v>
      </c>
      <c r="W143" s="93" t="s">
        <v>73</v>
      </c>
      <c r="X143" s="93" t="s">
        <v>73</v>
      </c>
      <c r="Y143" s="98"/>
      <c r="Z143" s="89" t="s">
        <v>62</v>
      </c>
      <c r="AA143" s="97">
        <v>46171</v>
      </c>
      <c r="AB143" s="89" t="s">
        <v>75</v>
      </c>
      <c r="AC143" s="120"/>
      <c r="AD143" s="89"/>
      <c r="AE143" s="89"/>
      <c r="AF143" s="123">
        <v>4683</v>
      </c>
      <c r="AG143" s="89">
        <v>2.48</v>
      </c>
      <c r="AH143" s="99" t="s">
        <v>448</v>
      </c>
      <c r="AI143" s="99" t="s">
        <v>448</v>
      </c>
      <c r="AJ143" s="99" t="s">
        <v>91</v>
      </c>
      <c r="AK143" s="100"/>
      <c r="AL143" s="100" t="s">
        <v>64</v>
      </c>
      <c r="AM143" s="100" t="s">
        <v>102</v>
      </c>
      <c r="AN143" s="45" t="s">
        <v>65</v>
      </c>
      <c r="AO143" s="198" t="str">
        <f t="shared" si="18"/>
        <v>5/2026</v>
      </c>
      <c r="AP143" s="198">
        <f t="shared" si="19"/>
        <v>2</v>
      </c>
      <c r="AQ143" s="45" t="str">
        <f t="shared" si="20"/>
        <v>5/2026</v>
      </c>
      <c r="AR143" s="45">
        <f t="shared" si="21"/>
        <v>4</v>
      </c>
      <c r="AS143" s="45">
        <f t="shared" si="22"/>
        <v>0</v>
      </c>
      <c r="AT143" s="45">
        <f t="shared" si="23"/>
        <v>0</v>
      </c>
      <c r="AU143" s="45">
        <f t="shared" si="24"/>
        <v>0</v>
      </c>
      <c r="AV143" s="45">
        <f t="shared" si="17"/>
        <v>0</v>
      </c>
      <c r="AW143" s="45" t="str">
        <f>_xlfn.XLOOKUP(W143,'Lista Suspensa'!$AA$20:$AA$23,'Lista Suspensa'!$AB$20:$AB$23,"N/A")</f>
        <v>N/A</v>
      </c>
    </row>
    <row r="144" spans="1:49" ht="12" customHeight="1" x14ac:dyDescent="0.3">
      <c r="A144" s="87" t="s">
        <v>49</v>
      </c>
      <c r="B144" s="88">
        <v>46147</v>
      </c>
      <c r="C144" s="89" t="s">
        <v>50</v>
      </c>
      <c r="D144" s="89" t="s">
        <v>51</v>
      </c>
      <c r="E144" s="90">
        <v>89601095</v>
      </c>
      <c r="F144" s="91" t="s">
        <v>449</v>
      </c>
      <c r="G144" s="92">
        <v>87615339553</v>
      </c>
      <c r="H144" s="93">
        <v>27103</v>
      </c>
      <c r="I144" s="89">
        <v>52</v>
      </c>
      <c r="J144" s="89" t="s">
        <v>53</v>
      </c>
      <c r="K144" s="89" t="s">
        <v>54</v>
      </c>
      <c r="L144" s="89" t="s">
        <v>93</v>
      </c>
      <c r="M144" s="89"/>
      <c r="N144" s="89" t="s">
        <v>100</v>
      </c>
      <c r="O144" s="94" t="s">
        <v>450</v>
      </c>
      <c r="P144" s="95" t="s">
        <v>58</v>
      </c>
      <c r="Q144" s="144" t="s">
        <v>59</v>
      </c>
      <c r="R144" s="96">
        <v>46161</v>
      </c>
      <c r="S144" s="97"/>
      <c r="T144" s="97" t="s">
        <v>60</v>
      </c>
      <c r="U144" s="97" t="s">
        <v>61</v>
      </c>
      <c r="V144" s="93">
        <v>46161</v>
      </c>
      <c r="W144" s="93" t="s">
        <v>73</v>
      </c>
      <c r="X144" s="93" t="s">
        <v>73</v>
      </c>
      <c r="Y144" s="98"/>
      <c r="Z144" s="89" t="s">
        <v>62</v>
      </c>
      <c r="AA144" s="97">
        <v>46171</v>
      </c>
      <c r="AB144" s="89" t="s">
        <v>75</v>
      </c>
      <c r="AC144" s="120"/>
      <c r="AD144" s="89"/>
      <c r="AE144" s="89"/>
      <c r="AF144" s="89" t="s">
        <v>366</v>
      </c>
      <c r="AG144" s="89">
        <v>2.34</v>
      </c>
      <c r="AH144" s="99"/>
      <c r="AI144" s="99"/>
      <c r="AJ144" s="99"/>
      <c r="AK144" s="100"/>
      <c r="AL144" s="100" t="s">
        <v>64</v>
      </c>
      <c r="AM144" s="100" t="s">
        <v>102</v>
      </c>
      <c r="AN144" s="45" t="s">
        <v>65</v>
      </c>
      <c r="AO144" s="198" t="str">
        <f t="shared" si="18"/>
        <v>5/2026</v>
      </c>
      <c r="AP144" s="198">
        <f t="shared" si="19"/>
        <v>2</v>
      </c>
      <c r="AQ144" s="45" t="str">
        <f t="shared" si="20"/>
        <v>5/2026</v>
      </c>
      <c r="AR144" s="45">
        <f t="shared" si="21"/>
        <v>4</v>
      </c>
      <c r="AS144" s="45">
        <f t="shared" si="22"/>
        <v>0</v>
      </c>
      <c r="AT144" s="45">
        <f t="shared" si="23"/>
        <v>0</v>
      </c>
      <c r="AU144" s="45">
        <f t="shared" si="24"/>
        <v>0</v>
      </c>
      <c r="AV144" s="45">
        <f t="shared" si="17"/>
        <v>0</v>
      </c>
      <c r="AW144" s="45" t="str">
        <f>_xlfn.XLOOKUP(W144,'Lista Suspensa'!$AA$20:$AA$23,'Lista Suspensa'!$AB$20:$AB$23,"N/A")</f>
        <v>N/A</v>
      </c>
    </row>
    <row r="145" spans="1:49" ht="12" customHeight="1" x14ac:dyDescent="0.3">
      <c r="A145" s="87" t="s">
        <v>49</v>
      </c>
      <c r="B145" s="88">
        <v>46147</v>
      </c>
      <c r="C145" s="89" t="s">
        <v>50</v>
      </c>
      <c r="D145" s="89" t="s">
        <v>51</v>
      </c>
      <c r="E145" s="90">
        <v>87835235</v>
      </c>
      <c r="F145" s="91" t="s">
        <v>451</v>
      </c>
      <c r="G145" s="92">
        <v>1904083404</v>
      </c>
      <c r="H145" s="93">
        <v>26835</v>
      </c>
      <c r="I145" s="89">
        <v>52</v>
      </c>
      <c r="J145" s="89" t="s">
        <v>67</v>
      </c>
      <c r="K145" s="89" t="s">
        <v>54</v>
      </c>
      <c r="L145" s="89" t="s">
        <v>93</v>
      </c>
      <c r="M145" s="89"/>
      <c r="N145" s="89" t="s">
        <v>82</v>
      </c>
      <c r="O145" s="94" t="s">
        <v>452</v>
      </c>
      <c r="P145" s="95" t="s">
        <v>58</v>
      </c>
      <c r="Q145" s="144" t="s">
        <v>59</v>
      </c>
      <c r="R145" s="96">
        <v>46161</v>
      </c>
      <c r="S145" s="97"/>
      <c r="T145" s="97" t="s">
        <v>60</v>
      </c>
      <c r="U145" s="97" t="s">
        <v>61</v>
      </c>
      <c r="V145" s="93">
        <v>46161</v>
      </c>
      <c r="W145" s="93" t="s">
        <v>73</v>
      </c>
      <c r="X145" s="93" t="s">
        <v>73</v>
      </c>
      <c r="Y145" s="98"/>
      <c r="Z145" s="89" t="s">
        <v>62</v>
      </c>
      <c r="AA145" s="97">
        <v>46168</v>
      </c>
      <c r="AB145" s="89" t="s">
        <v>75</v>
      </c>
      <c r="AC145" s="120"/>
      <c r="AD145" s="89"/>
      <c r="AE145" s="89"/>
      <c r="AF145" s="89"/>
      <c r="AG145" s="89"/>
      <c r="AH145" s="99"/>
      <c r="AI145" s="99"/>
      <c r="AJ145" s="99"/>
      <c r="AK145" s="100"/>
      <c r="AL145" s="100" t="s">
        <v>64</v>
      </c>
      <c r="AM145" s="100" t="s">
        <v>102</v>
      </c>
      <c r="AN145" s="45" t="s">
        <v>65</v>
      </c>
      <c r="AO145" s="198" t="str">
        <f t="shared" si="18"/>
        <v>5/2026</v>
      </c>
      <c r="AP145" s="198">
        <f t="shared" si="19"/>
        <v>2</v>
      </c>
      <c r="AQ145" s="45" t="str">
        <f t="shared" si="20"/>
        <v>5/2026</v>
      </c>
      <c r="AR145" s="45">
        <f t="shared" si="21"/>
        <v>4</v>
      </c>
      <c r="AS145" s="45">
        <f t="shared" si="22"/>
        <v>0</v>
      </c>
      <c r="AT145" s="45">
        <f t="shared" si="23"/>
        <v>0</v>
      </c>
      <c r="AU145" s="45">
        <f t="shared" si="24"/>
        <v>0</v>
      </c>
      <c r="AV145" s="45">
        <f t="shared" si="17"/>
        <v>0</v>
      </c>
      <c r="AW145" s="45" t="str">
        <f>_xlfn.XLOOKUP(W145,'Lista Suspensa'!$AA$20:$AA$23,'Lista Suspensa'!$AB$20:$AB$23,"N/A")</f>
        <v>N/A</v>
      </c>
    </row>
    <row r="146" spans="1:49" ht="12" customHeight="1" x14ac:dyDescent="0.3">
      <c r="A146" s="87" t="s">
        <v>49</v>
      </c>
      <c r="B146" s="88">
        <v>46147</v>
      </c>
      <c r="C146" s="89" t="s">
        <v>50</v>
      </c>
      <c r="D146" s="89" t="s">
        <v>51</v>
      </c>
      <c r="E146" s="90">
        <v>804169535</v>
      </c>
      <c r="F146" s="91" t="s">
        <v>453</v>
      </c>
      <c r="G146" s="92">
        <v>10620000805</v>
      </c>
      <c r="H146" s="93">
        <v>24756</v>
      </c>
      <c r="I146" s="89">
        <v>58</v>
      </c>
      <c r="J146" s="89" t="s">
        <v>67</v>
      </c>
      <c r="K146" s="89" t="s">
        <v>54</v>
      </c>
      <c r="L146" s="89" t="s">
        <v>93</v>
      </c>
      <c r="M146" s="89"/>
      <c r="N146" s="89" t="s">
        <v>108</v>
      </c>
      <c r="O146" s="94" t="s">
        <v>454</v>
      </c>
      <c r="P146" s="95" t="s">
        <v>58</v>
      </c>
      <c r="Q146" s="144" t="s">
        <v>59</v>
      </c>
      <c r="R146" s="96">
        <v>46161</v>
      </c>
      <c r="S146" s="97"/>
      <c r="T146" s="97" t="s">
        <v>60</v>
      </c>
      <c r="U146" s="97" t="s">
        <v>61</v>
      </c>
      <c r="V146" s="93">
        <v>46161</v>
      </c>
      <c r="W146" s="93" t="s">
        <v>73</v>
      </c>
      <c r="X146" s="93" t="s">
        <v>73</v>
      </c>
      <c r="Y146" s="98"/>
      <c r="Z146" s="89" t="s">
        <v>62</v>
      </c>
      <c r="AA146" s="97">
        <v>46171</v>
      </c>
      <c r="AB146" s="89" t="s">
        <v>75</v>
      </c>
      <c r="AC146" s="120"/>
      <c r="AD146" s="89"/>
      <c r="AE146" s="89"/>
      <c r="AF146" s="89" t="s">
        <v>139</v>
      </c>
      <c r="AG146" s="89">
        <v>2.66</v>
      </c>
      <c r="AH146" s="99"/>
      <c r="AI146" s="99"/>
      <c r="AJ146" s="99"/>
      <c r="AK146" s="100"/>
      <c r="AL146" s="100" t="s">
        <v>64</v>
      </c>
      <c r="AM146" s="100" t="s">
        <v>102</v>
      </c>
      <c r="AN146" s="45" t="s">
        <v>65</v>
      </c>
      <c r="AO146" s="198" t="str">
        <f t="shared" si="18"/>
        <v>5/2026</v>
      </c>
      <c r="AP146" s="198">
        <f t="shared" si="19"/>
        <v>2</v>
      </c>
      <c r="AQ146" s="45" t="str">
        <f t="shared" si="20"/>
        <v>5/2026</v>
      </c>
      <c r="AR146" s="45">
        <f t="shared" si="21"/>
        <v>4</v>
      </c>
      <c r="AS146" s="45">
        <f t="shared" si="22"/>
        <v>0</v>
      </c>
      <c r="AT146" s="45">
        <f t="shared" si="23"/>
        <v>0</v>
      </c>
      <c r="AU146" s="45">
        <f t="shared" si="24"/>
        <v>0</v>
      </c>
      <c r="AV146" s="45">
        <f t="shared" si="17"/>
        <v>0</v>
      </c>
      <c r="AW146" s="45" t="str">
        <f>_xlfn.XLOOKUP(W146,'Lista Suspensa'!$AA$20:$AA$23,'Lista Suspensa'!$AB$20:$AB$23,"N/A")</f>
        <v>N/A</v>
      </c>
    </row>
    <row r="147" spans="1:49" ht="12" customHeight="1" x14ac:dyDescent="0.3">
      <c r="A147" s="87" t="s">
        <v>49</v>
      </c>
      <c r="B147" s="88">
        <v>46147</v>
      </c>
      <c r="C147" s="89" t="s">
        <v>50</v>
      </c>
      <c r="D147" s="89" t="s">
        <v>51</v>
      </c>
      <c r="E147" s="90">
        <v>82449229</v>
      </c>
      <c r="F147" s="91" t="s">
        <v>455</v>
      </c>
      <c r="G147" s="92">
        <v>34630990801</v>
      </c>
      <c r="H147" s="93">
        <v>31783</v>
      </c>
      <c r="I147" s="89">
        <v>39</v>
      </c>
      <c r="J147" s="89" t="s">
        <v>67</v>
      </c>
      <c r="K147" s="89" t="s">
        <v>54</v>
      </c>
      <c r="L147" s="89" t="s">
        <v>93</v>
      </c>
      <c r="M147" s="89"/>
      <c r="N147" s="89" t="s">
        <v>82</v>
      </c>
      <c r="O147" s="94" t="s">
        <v>456</v>
      </c>
      <c r="P147" s="95" t="s">
        <v>58</v>
      </c>
      <c r="Q147" s="144" t="s">
        <v>59</v>
      </c>
      <c r="R147" s="96">
        <v>46148</v>
      </c>
      <c r="S147" s="97"/>
      <c r="T147" s="97" t="s">
        <v>60</v>
      </c>
      <c r="U147" s="97" t="s">
        <v>61</v>
      </c>
      <c r="V147" s="93">
        <v>46148</v>
      </c>
      <c r="W147" s="93" t="s">
        <v>73</v>
      </c>
      <c r="X147" s="93" t="s">
        <v>73</v>
      </c>
      <c r="Y147" s="98"/>
      <c r="Z147" s="89" t="s">
        <v>62</v>
      </c>
      <c r="AA147" s="97">
        <v>46155</v>
      </c>
      <c r="AB147" s="89" t="s">
        <v>75</v>
      </c>
      <c r="AC147" s="120"/>
      <c r="AD147" s="89"/>
      <c r="AE147" s="89"/>
      <c r="AF147" s="89">
        <v>2.7</v>
      </c>
      <c r="AG147" s="89">
        <v>2.7</v>
      </c>
      <c r="AH147" s="99"/>
      <c r="AI147" s="99"/>
      <c r="AJ147" s="119" t="s">
        <v>91</v>
      </c>
      <c r="AK147" s="100"/>
      <c r="AL147" s="100" t="s">
        <v>64</v>
      </c>
      <c r="AM147" s="100" t="s">
        <v>102</v>
      </c>
      <c r="AN147" s="45" t="s">
        <v>65</v>
      </c>
      <c r="AO147" s="198" t="str">
        <f t="shared" si="18"/>
        <v>5/2026</v>
      </c>
      <c r="AP147" s="198">
        <f t="shared" si="19"/>
        <v>2</v>
      </c>
      <c r="AQ147" s="45" t="str">
        <f t="shared" si="20"/>
        <v>5/2026</v>
      </c>
      <c r="AR147" s="45">
        <f t="shared" si="21"/>
        <v>2</v>
      </c>
      <c r="AS147" s="45">
        <f t="shared" si="22"/>
        <v>0</v>
      </c>
      <c r="AT147" s="45">
        <f t="shared" si="23"/>
        <v>0</v>
      </c>
      <c r="AU147" s="45">
        <f t="shared" si="24"/>
        <v>0</v>
      </c>
      <c r="AV147" s="45">
        <f t="shared" si="17"/>
        <v>0</v>
      </c>
      <c r="AW147" s="45" t="str">
        <f>_xlfn.XLOOKUP(W147,'Lista Suspensa'!$AA$20:$AA$23,'Lista Suspensa'!$AB$20:$AB$23,"N/A")</f>
        <v>N/A</v>
      </c>
    </row>
    <row r="148" spans="1:49" ht="12" customHeight="1" x14ac:dyDescent="0.3">
      <c r="A148" s="87" t="s">
        <v>49</v>
      </c>
      <c r="B148" s="88">
        <v>46147</v>
      </c>
      <c r="C148" s="89" t="s">
        <v>50</v>
      </c>
      <c r="D148" s="89" t="s">
        <v>51</v>
      </c>
      <c r="E148" s="90">
        <v>451190823</v>
      </c>
      <c r="F148" s="91" t="s">
        <v>457</v>
      </c>
      <c r="G148" s="92">
        <v>10451521889</v>
      </c>
      <c r="H148" s="93">
        <v>24942</v>
      </c>
      <c r="I148" s="89">
        <v>58</v>
      </c>
      <c r="J148" s="89" t="s">
        <v>67</v>
      </c>
      <c r="K148" s="89" t="s">
        <v>54</v>
      </c>
      <c r="L148" s="89" t="s">
        <v>93</v>
      </c>
      <c r="M148" s="89"/>
      <c r="N148" s="89" t="s">
        <v>94</v>
      </c>
      <c r="O148" s="94" t="s">
        <v>458</v>
      </c>
      <c r="P148" s="95" t="s">
        <v>58</v>
      </c>
      <c r="Q148" s="144" t="s">
        <v>59</v>
      </c>
      <c r="R148" s="96">
        <v>46161</v>
      </c>
      <c r="S148" s="97"/>
      <c r="T148" s="97" t="s">
        <v>60</v>
      </c>
      <c r="U148" s="97" t="s">
        <v>61</v>
      </c>
      <c r="V148" s="93">
        <v>46161</v>
      </c>
      <c r="W148" s="93" t="s">
        <v>73</v>
      </c>
      <c r="X148" s="93" t="s">
        <v>73</v>
      </c>
      <c r="Y148" s="98"/>
      <c r="Z148" s="89" t="s">
        <v>62</v>
      </c>
      <c r="AA148" s="97">
        <v>46169</v>
      </c>
      <c r="AB148" s="89" t="s">
        <v>75</v>
      </c>
      <c r="AC148" s="120">
        <v>46179.513888425929</v>
      </c>
      <c r="AD148" s="89"/>
      <c r="AE148" s="89"/>
      <c r="AF148" s="89">
        <v>3.17</v>
      </c>
      <c r="AG148" s="89">
        <v>3.17</v>
      </c>
      <c r="AH148" s="99"/>
      <c r="AI148" s="99"/>
      <c r="AJ148" s="119" t="s">
        <v>91</v>
      </c>
      <c r="AK148" s="100"/>
      <c r="AL148" s="100" t="s">
        <v>64</v>
      </c>
      <c r="AM148" s="100" t="s">
        <v>102</v>
      </c>
      <c r="AN148" s="45" t="s">
        <v>65</v>
      </c>
      <c r="AO148" s="198" t="str">
        <f t="shared" si="18"/>
        <v>5/2026</v>
      </c>
      <c r="AP148" s="198">
        <f t="shared" si="19"/>
        <v>2</v>
      </c>
      <c r="AQ148" s="45" t="str">
        <f t="shared" si="20"/>
        <v>5/2026</v>
      </c>
      <c r="AR148" s="45">
        <f t="shared" si="21"/>
        <v>4</v>
      </c>
      <c r="AS148" s="45">
        <f t="shared" si="22"/>
        <v>0</v>
      </c>
      <c r="AT148" s="45">
        <f t="shared" si="23"/>
        <v>0</v>
      </c>
      <c r="AU148" s="45">
        <f t="shared" si="24"/>
        <v>0</v>
      </c>
      <c r="AV148" s="45">
        <f t="shared" si="17"/>
        <v>0</v>
      </c>
      <c r="AW148" s="45" t="str">
        <f>_xlfn.XLOOKUP(W148,'Lista Suspensa'!$AA$20:$AA$23,'Lista Suspensa'!$AB$20:$AB$23,"N/A")</f>
        <v>N/A</v>
      </c>
    </row>
    <row r="149" spans="1:49" ht="12" customHeight="1" x14ac:dyDescent="0.3">
      <c r="A149" s="87" t="s">
        <v>49</v>
      </c>
      <c r="B149" s="88">
        <v>46147</v>
      </c>
      <c r="C149" s="89" t="s">
        <v>50</v>
      </c>
      <c r="D149" s="89" t="s">
        <v>51</v>
      </c>
      <c r="E149" s="90">
        <v>89156224</v>
      </c>
      <c r="F149" s="91" t="s">
        <v>459</v>
      </c>
      <c r="G149" s="92">
        <v>32581445831</v>
      </c>
      <c r="H149" s="93">
        <v>31025</v>
      </c>
      <c r="I149" s="89">
        <v>41</v>
      </c>
      <c r="J149" s="89" t="s">
        <v>67</v>
      </c>
      <c r="K149" s="89" t="s">
        <v>54</v>
      </c>
      <c r="L149" s="89" t="s">
        <v>93</v>
      </c>
      <c r="M149" s="89"/>
      <c r="N149" s="89" t="s">
        <v>82</v>
      </c>
      <c r="O149" s="94" t="s">
        <v>460</v>
      </c>
      <c r="P149" s="95" t="s">
        <v>58</v>
      </c>
      <c r="Q149" s="144" t="s">
        <v>59</v>
      </c>
      <c r="R149" s="96">
        <v>46161</v>
      </c>
      <c r="S149" s="97"/>
      <c r="T149" s="97" t="s">
        <v>60</v>
      </c>
      <c r="U149" s="97" t="s">
        <v>61</v>
      </c>
      <c r="V149" s="93">
        <v>46161</v>
      </c>
      <c r="W149" s="93" t="s">
        <v>73</v>
      </c>
      <c r="X149" s="93" t="s">
        <v>73</v>
      </c>
      <c r="Y149" s="98"/>
      <c r="Z149" s="89" t="s">
        <v>62</v>
      </c>
      <c r="AA149" s="97">
        <v>46171</v>
      </c>
      <c r="AB149" s="89" t="s">
        <v>75</v>
      </c>
      <c r="AC149" s="120">
        <v>46179.666665567129</v>
      </c>
      <c r="AD149" s="89"/>
      <c r="AE149" s="89"/>
      <c r="AF149" s="89"/>
      <c r="AG149" s="89"/>
      <c r="AH149" s="99"/>
      <c r="AI149" s="99"/>
      <c r="AJ149" s="99"/>
      <c r="AK149" s="100"/>
      <c r="AL149" s="100" t="s">
        <v>64</v>
      </c>
      <c r="AM149" s="100" t="s">
        <v>102</v>
      </c>
      <c r="AN149" s="45" t="s">
        <v>65</v>
      </c>
      <c r="AO149" s="198" t="str">
        <f t="shared" si="18"/>
        <v>5/2026</v>
      </c>
      <c r="AP149" s="198">
        <f t="shared" si="19"/>
        <v>2</v>
      </c>
      <c r="AQ149" s="45" t="str">
        <f t="shared" si="20"/>
        <v>5/2026</v>
      </c>
      <c r="AR149" s="45">
        <f t="shared" si="21"/>
        <v>4</v>
      </c>
      <c r="AS149" s="45">
        <f t="shared" si="22"/>
        <v>0</v>
      </c>
      <c r="AT149" s="45">
        <f t="shared" si="23"/>
        <v>0</v>
      </c>
      <c r="AU149" s="45">
        <f t="shared" si="24"/>
        <v>0</v>
      </c>
      <c r="AV149" s="45">
        <f t="shared" si="17"/>
        <v>0</v>
      </c>
      <c r="AW149" s="45" t="str">
        <f>_xlfn.XLOOKUP(W149,'Lista Suspensa'!$AA$20:$AA$23,'Lista Suspensa'!$AB$20:$AB$23,"N/A")</f>
        <v>N/A</v>
      </c>
    </row>
    <row r="150" spans="1:49" ht="12" customHeight="1" x14ac:dyDescent="0.3">
      <c r="A150" s="87" t="s">
        <v>49</v>
      </c>
      <c r="B150" s="88">
        <v>46147</v>
      </c>
      <c r="C150" s="89" t="s">
        <v>50</v>
      </c>
      <c r="D150" s="89" t="s">
        <v>51</v>
      </c>
      <c r="E150" s="90">
        <v>86217679</v>
      </c>
      <c r="F150" s="91" t="s">
        <v>461</v>
      </c>
      <c r="G150" s="92">
        <v>43673336800</v>
      </c>
      <c r="H150" s="93">
        <v>34367</v>
      </c>
      <c r="I150" s="89">
        <v>32</v>
      </c>
      <c r="J150" s="89" t="s">
        <v>67</v>
      </c>
      <c r="K150" s="89" t="s">
        <v>54</v>
      </c>
      <c r="L150" s="89" t="s">
        <v>93</v>
      </c>
      <c r="M150" s="89"/>
      <c r="N150" s="89" t="s">
        <v>175</v>
      </c>
      <c r="O150" s="94" t="s">
        <v>462</v>
      </c>
      <c r="P150" s="95" t="s">
        <v>58</v>
      </c>
      <c r="Q150" s="144" t="s">
        <v>59</v>
      </c>
      <c r="R150" s="96">
        <v>46161</v>
      </c>
      <c r="S150" s="97"/>
      <c r="T150" s="97" t="s">
        <v>60</v>
      </c>
      <c r="U150" s="97" t="s">
        <v>61</v>
      </c>
      <c r="V150" s="93">
        <v>46161</v>
      </c>
      <c r="W150" s="93" t="s">
        <v>73</v>
      </c>
      <c r="X150" s="93" t="s">
        <v>73</v>
      </c>
      <c r="Y150" s="98"/>
      <c r="Z150" s="89" t="s">
        <v>62</v>
      </c>
      <c r="AA150" s="97">
        <v>46171</v>
      </c>
      <c r="AB150" s="89" t="s">
        <v>142</v>
      </c>
      <c r="AC150" s="120"/>
      <c r="AD150" s="89"/>
      <c r="AE150" s="89"/>
      <c r="AF150" s="89"/>
      <c r="AG150" s="89"/>
      <c r="AH150" s="99"/>
      <c r="AI150" s="99"/>
      <c r="AJ150" s="99"/>
      <c r="AK150" s="100"/>
      <c r="AL150" s="100" t="s">
        <v>64</v>
      </c>
      <c r="AM150" s="100" t="s">
        <v>102</v>
      </c>
      <c r="AN150" s="45" t="s">
        <v>65</v>
      </c>
      <c r="AO150" s="198" t="str">
        <f t="shared" si="18"/>
        <v>5/2026</v>
      </c>
      <c r="AP150" s="198">
        <f t="shared" si="19"/>
        <v>2</v>
      </c>
      <c r="AQ150" s="45" t="str">
        <f t="shared" si="20"/>
        <v>5/2026</v>
      </c>
      <c r="AR150" s="45">
        <f t="shared" si="21"/>
        <v>4</v>
      </c>
      <c r="AS150" s="45">
        <f t="shared" si="22"/>
        <v>0</v>
      </c>
      <c r="AT150" s="45">
        <f t="shared" si="23"/>
        <v>0</v>
      </c>
      <c r="AU150" s="45">
        <f t="shared" si="24"/>
        <v>0</v>
      </c>
      <c r="AV150" s="45">
        <f t="shared" si="17"/>
        <v>0</v>
      </c>
      <c r="AW150" s="45" t="str">
        <f>_xlfn.XLOOKUP(W150,'Lista Suspensa'!$AA$20:$AA$23,'Lista Suspensa'!$AB$20:$AB$23,"N/A")</f>
        <v>N/A</v>
      </c>
    </row>
    <row r="151" spans="1:49" ht="12" customHeight="1" x14ac:dyDescent="0.3">
      <c r="A151" s="87" t="s">
        <v>49</v>
      </c>
      <c r="B151" s="88">
        <v>46147</v>
      </c>
      <c r="C151" s="89" t="s">
        <v>50</v>
      </c>
      <c r="D151" s="89" t="s">
        <v>51</v>
      </c>
      <c r="E151" s="90">
        <v>774593806</v>
      </c>
      <c r="F151" s="91" t="s">
        <v>463</v>
      </c>
      <c r="G151" s="92">
        <v>35566784895</v>
      </c>
      <c r="H151" s="93">
        <v>18521</v>
      </c>
      <c r="I151" s="89">
        <v>75</v>
      </c>
      <c r="J151" s="89" t="s">
        <v>67</v>
      </c>
      <c r="K151" s="89" t="s">
        <v>54</v>
      </c>
      <c r="L151" s="89" t="s">
        <v>93</v>
      </c>
      <c r="M151" s="89"/>
      <c r="N151" s="89" t="s">
        <v>94</v>
      </c>
      <c r="O151" s="94" t="s">
        <v>464</v>
      </c>
      <c r="P151" s="95" t="s">
        <v>58</v>
      </c>
      <c r="Q151" s="144" t="s">
        <v>59</v>
      </c>
      <c r="R151" s="96">
        <v>46161</v>
      </c>
      <c r="S151" s="97"/>
      <c r="T151" s="97" t="s">
        <v>60</v>
      </c>
      <c r="U151" s="97" t="s">
        <v>61</v>
      </c>
      <c r="V151" s="93">
        <v>46161</v>
      </c>
      <c r="W151" s="93" t="s">
        <v>73</v>
      </c>
      <c r="X151" s="93" t="s">
        <v>73</v>
      </c>
      <c r="Y151" s="98"/>
      <c r="Z151" s="89" t="s">
        <v>62</v>
      </c>
      <c r="AA151" s="97">
        <v>46167</v>
      </c>
      <c r="AB151" s="89" t="s">
        <v>75</v>
      </c>
      <c r="AC151" s="120"/>
      <c r="AD151" s="89"/>
      <c r="AE151" s="89"/>
      <c r="AF151" s="89" t="s">
        <v>366</v>
      </c>
      <c r="AG151" s="89">
        <v>2.15</v>
      </c>
      <c r="AH151" s="99"/>
      <c r="AI151" s="99"/>
      <c r="AJ151" s="99"/>
      <c r="AK151" s="100"/>
      <c r="AL151" s="100" t="s">
        <v>64</v>
      </c>
      <c r="AM151" s="100" t="s">
        <v>102</v>
      </c>
      <c r="AN151" s="45" t="s">
        <v>65</v>
      </c>
      <c r="AO151" s="198" t="str">
        <f t="shared" si="18"/>
        <v>5/2026</v>
      </c>
      <c r="AP151" s="198">
        <f t="shared" si="19"/>
        <v>2</v>
      </c>
      <c r="AQ151" s="45" t="str">
        <f t="shared" si="20"/>
        <v>5/2026</v>
      </c>
      <c r="AR151" s="45">
        <f t="shared" si="21"/>
        <v>4</v>
      </c>
      <c r="AS151" s="45">
        <f t="shared" si="22"/>
        <v>0</v>
      </c>
      <c r="AT151" s="45">
        <f t="shared" si="23"/>
        <v>0</v>
      </c>
      <c r="AU151" s="45">
        <f t="shared" si="24"/>
        <v>0</v>
      </c>
      <c r="AV151" s="45">
        <f t="shared" si="17"/>
        <v>0</v>
      </c>
      <c r="AW151" s="45" t="str">
        <f>_xlfn.XLOOKUP(W151,'Lista Suspensa'!$AA$20:$AA$23,'Lista Suspensa'!$AB$20:$AB$23,"N/A")</f>
        <v>N/A</v>
      </c>
    </row>
    <row r="152" spans="1:49" ht="12" customHeight="1" x14ac:dyDescent="0.3">
      <c r="A152" s="87" t="s">
        <v>49</v>
      </c>
      <c r="B152" s="88">
        <v>46147</v>
      </c>
      <c r="C152" s="89" t="s">
        <v>50</v>
      </c>
      <c r="D152" s="89" t="s">
        <v>51</v>
      </c>
      <c r="E152" s="90">
        <v>589671278</v>
      </c>
      <c r="F152" s="91" t="s">
        <v>465</v>
      </c>
      <c r="G152" s="92">
        <v>84862556434</v>
      </c>
      <c r="H152" s="93">
        <v>25611</v>
      </c>
      <c r="I152" s="89">
        <v>56</v>
      </c>
      <c r="J152" s="89" t="s">
        <v>67</v>
      </c>
      <c r="K152" s="89" t="s">
        <v>54</v>
      </c>
      <c r="L152" s="89" t="s">
        <v>93</v>
      </c>
      <c r="M152" s="89"/>
      <c r="N152" s="89" t="s">
        <v>94</v>
      </c>
      <c r="O152" s="94" t="s">
        <v>466</v>
      </c>
      <c r="P152" s="95" t="s">
        <v>58</v>
      </c>
      <c r="Q152" s="144" t="s">
        <v>59</v>
      </c>
      <c r="R152" s="96">
        <v>46161</v>
      </c>
      <c r="S152" s="97"/>
      <c r="T152" s="97" t="s">
        <v>60</v>
      </c>
      <c r="U152" s="97" t="s">
        <v>61</v>
      </c>
      <c r="V152" s="93">
        <v>46161</v>
      </c>
      <c r="W152" s="93" t="s">
        <v>73</v>
      </c>
      <c r="X152" s="93" t="s">
        <v>73</v>
      </c>
      <c r="Y152" s="98"/>
      <c r="Z152" s="89" t="s">
        <v>62</v>
      </c>
      <c r="AA152" s="97">
        <v>46164</v>
      </c>
      <c r="AB152" s="89" t="s">
        <v>142</v>
      </c>
      <c r="AC152" s="120"/>
      <c r="AD152" s="89"/>
      <c r="AE152" s="89"/>
      <c r="AF152" s="89"/>
      <c r="AG152" s="89"/>
      <c r="AH152" s="99"/>
      <c r="AI152" s="99"/>
      <c r="AJ152" s="99"/>
      <c r="AK152" s="100"/>
      <c r="AL152" s="100" t="s">
        <v>64</v>
      </c>
      <c r="AM152" s="100" t="s">
        <v>102</v>
      </c>
      <c r="AN152" s="45" t="s">
        <v>65</v>
      </c>
      <c r="AO152" s="198" t="str">
        <f t="shared" si="18"/>
        <v>5/2026</v>
      </c>
      <c r="AP152" s="198">
        <f t="shared" si="19"/>
        <v>2</v>
      </c>
      <c r="AQ152" s="45" t="str">
        <f t="shared" si="20"/>
        <v>5/2026</v>
      </c>
      <c r="AR152" s="45">
        <f t="shared" si="21"/>
        <v>4</v>
      </c>
      <c r="AS152" s="45">
        <f t="shared" si="22"/>
        <v>0</v>
      </c>
      <c r="AT152" s="45">
        <f t="shared" si="23"/>
        <v>0</v>
      </c>
      <c r="AU152" s="45">
        <f t="shared" si="24"/>
        <v>0</v>
      </c>
      <c r="AV152" s="45">
        <f t="shared" si="17"/>
        <v>0</v>
      </c>
      <c r="AW152" s="45" t="str">
        <f>_xlfn.XLOOKUP(W152,'Lista Suspensa'!$AA$20:$AA$23,'Lista Suspensa'!$AB$20:$AB$23,"N/A")</f>
        <v>N/A</v>
      </c>
    </row>
    <row r="153" spans="1:49" ht="12" customHeight="1" x14ac:dyDescent="0.3">
      <c r="A153" s="87" t="s">
        <v>49</v>
      </c>
      <c r="B153" s="88">
        <v>46147</v>
      </c>
      <c r="C153" s="89" t="s">
        <v>50</v>
      </c>
      <c r="D153" s="89" t="s">
        <v>51</v>
      </c>
      <c r="E153" s="90">
        <v>778721132</v>
      </c>
      <c r="F153" s="91" t="s">
        <v>467</v>
      </c>
      <c r="G153" s="92">
        <v>7460803871</v>
      </c>
      <c r="H153" s="93">
        <v>24078</v>
      </c>
      <c r="I153" s="89">
        <v>60</v>
      </c>
      <c r="J153" s="89" t="s">
        <v>67</v>
      </c>
      <c r="K153" s="89" t="s">
        <v>54</v>
      </c>
      <c r="L153" s="89" t="s">
        <v>93</v>
      </c>
      <c r="M153" s="89"/>
      <c r="N153" s="89" t="s">
        <v>94</v>
      </c>
      <c r="O153" s="94" t="s">
        <v>468</v>
      </c>
      <c r="P153" s="95" t="s">
        <v>58</v>
      </c>
      <c r="Q153" s="144" t="s">
        <v>59</v>
      </c>
      <c r="R153" s="96">
        <v>46161</v>
      </c>
      <c r="S153" s="97"/>
      <c r="T153" s="97" t="s">
        <v>60</v>
      </c>
      <c r="U153" s="97" t="s">
        <v>61</v>
      </c>
      <c r="V153" s="93">
        <v>46161</v>
      </c>
      <c r="W153" s="93" t="s">
        <v>73</v>
      </c>
      <c r="X153" s="93" t="s">
        <v>73</v>
      </c>
      <c r="Y153" s="98"/>
      <c r="Z153" s="89" t="s">
        <v>62</v>
      </c>
      <c r="AA153" s="97">
        <v>46168</v>
      </c>
      <c r="AB153" s="89" t="s">
        <v>75</v>
      </c>
      <c r="AC153" s="120"/>
      <c r="AD153" s="89" t="s">
        <v>122</v>
      </c>
      <c r="AE153" s="89"/>
      <c r="AF153" s="123">
        <v>2.5</v>
      </c>
      <c r="AG153" s="89">
        <v>2.5</v>
      </c>
      <c r="AH153" s="99" t="s">
        <v>469</v>
      </c>
      <c r="AI153" s="99" t="s">
        <v>469</v>
      </c>
      <c r="AJ153" s="119" t="s">
        <v>91</v>
      </c>
      <c r="AK153" s="100"/>
      <c r="AL153" s="100" t="s">
        <v>64</v>
      </c>
      <c r="AM153" s="100" t="s">
        <v>102</v>
      </c>
      <c r="AN153" s="45" t="s">
        <v>65</v>
      </c>
      <c r="AO153" s="198" t="str">
        <f t="shared" si="18"/>
        <v>5/2026</v>
      </c>
      <c r="AP153" s="198">
        <f t="shared" si="19"/>
        <v>2</v>
      </c>
      <c r="AQ153" s="45" t="str">
        <f t="shared" si="20"/>
        <v>5/2026</v>
      </c>
      <c r="AR153" s="45">
        <f t="shared" si="21"/>
        <v>4</v>
      </c>
      <c r="AS153" s="45">
        <f t="shared" si="22"/>
        <v>0</v>
      </c>
      <c r="AT153" s="45">
        <f t="shared" si="23"/>
        <v>0</v>
      </c>
      <c r="AU153" s="45">
        <f t="shared" si="24"/>
        <v>0</v>
      </c>
      <c r="AV153" s="45">
        <f t="shared" si="17"/>
        <v>0</v>
      </c>
      <c r="AW153" s="45" t="str">
        <f>_xlfn.XLOOKUP(W153,'Lista Suspensa'!$AA$20:$AA$23,'Lista Suspensa'!$AB$20:$AB$23,"N/A")</f>
        <v>N/A</v>
      </c>
    </row>
    <row r="154" spans="1:49" ht="12" customHeight="1" x14ac:dyDescent="0.3">
      <c r="A154" s="87" t="s">
        <v>49</v>
      </c>
      <c r="B154" s="88">
        <v>46147</v>
      </c>
      <c r="C154" s="89" t="s">
        <v>50</v>
      </c>
      <c r="D154" s="89" t="s">
        <v>51</v>
      </c>
      <c r="E154" s="90">
        <v>86633429</v>
      </c>
      <c r="F154" s="91" t="s">
        <v>470</v>
      </c>
      <c r="G154" s="92">
        <v>14394627800</v>
      </c>
      <c r="H154" s="93">
        <v>26290</v>
      </c>
      <c r="I154" s="89">
        <v>54</v>
      </c>
      <c r="J154" s="89" t="s">
        <v>67</v>
      </c>
      <c r="K154" s="89" t="s">
        <v>54</v>
      </c>
      <c r="L154" s="89" t="s">
        <v>93</v>
      </c>
      <c r="M154" s="89"/>
      <c r="N154" s="89" t="s">
        <v>124</v>
      </c>
      <c r="O154" s="94" t="s">
        <v>471</v>
      </c>
      <c r="P154" s="95" t="s">
        <v>58</v>
      </c>
      <c r="Q154" s="144" t="s">
        <v>59</v>
      </c>
      <c r="R154" s="96">
        <v>46148</v>
      </c>
      <c r="S154" s="97"/>
      <c r="T154" s="97" t="s">
        <v>60</v>
      </c>
      <c r="U154" s="97" t="s">
        <v>61</v>
      </c>
      <c r="V154" s="93">
        <v>46148</v>
      </c>
      <c r="W154" s="93" t="s">
        <v>73</v>
      </c>
      <c r="X154" s="93" t="s">
        <v>73</v>
      </c>
      <c r="Y154" s="98"/>
      <c r="Z154" s="89" t="s">
        <v>62</v>
      </c>
      <c r="AA154" s="97">
        <v>46155</v>
      </c>
      <c r="AB154" s="89" t="s">
        <v>142</v>
      </c>
      <c r="AC154" s="120"/>
      <c r="AD154" s="89"/>
      <c r="AE154" s="89"/>
      <c r="AF154" s="89"/>
      <c r="AG154" s="89"/>
      <c r="AH154" s="99"/>
      <c r="AI154" s="99"/>
      <c r="AJ154" s="99" t="s">
        <v>91</v>
      </c>
      <c r="AK154" s="100"/>
      <c r="AL154" s="100" t="s">
        <v>64</v>
      </c>
      <c r="AM154" s="100" t="s">
        <v>102</v>
      </c>
      <c r="AN154" s="45" t="s">
        <v>65</v>
      </c>
      <c r="AO154" s="198" t="str">
        <f t="shared" si="18"/>
        <v>5/2026</v>
      </c>
      <c r="AP154" s="198">
        <f t="shared" si="19"/>
        <v>2</v>
      </c>
      <c r="AQ154" s="45" t="str">
        <f t="shared" si="20"/>
        <v>5/2026</v>
      </c>
      <c r="AR154" s="45">
        <f t="shared" si="21"/>
        <v>2</v>
      </c>
      <c r="AS154" s="45">
        <f t="shared" si="22"/>
        <v>0</v>
      </c>
      <c r="AT154" s="45">
        <f t="shared" si="23"/>
        <v>0</v>
      </c>
      <c r="AU154" s="45">
        <f t="shared" si="24"/>
        <v>0</v>
      </c>
      <c r="AV154" s="45">
        <f t="shared" si="17"/>
        <v>0</v>
      </c>
      <c r="AW154" s="45" t="str">
        <f>_xlfn.XLOOKUP(W154,'Lista Suspensa'!$AA$20:$AA$23,'Lista Suspensa'!$AB$20:$AB$23,"N/A")</f>
        <v>N/A</v>
      </c>
    </row>
    <row r="155" spans="1:49" ht="12" customHeight="1" x14ac:dyDescent="0.3">
      <c r="A155" s="87" t="s">
        <v>49</v>
      </c>
      <c r="B155" s="88">
        <v>46147</v>
      </c>
      <c r="C155" s="89" t="s">
        <v>50</v>
      </c>
      <c r="D155" s="89" t="s">
        <v>51</v>
      </c>
      <c r="E155" s="90">
        <v>72072728</v>
      </c>
      <c r="F155" s="91" t="s">
        <v>472</v>
      </c>
      <c r="G155" s="92">
        <v>29352761839</v>
      </c>
      <c r="H155" s="93">
        <v>29216</v>
      </c>
      <c r="I155" s="89">
        <v>46</v>
      </c>
      <c r="J155" s="89" t="s">
        <v>67</v>
      </c>
      <c r="K155" s="89" t="s">
        <v>54</v>
      </c>
      <c r="L155" s="89" t="s">
        <v>93</v>
      </c>
      <c r="M155" s="89"/>
      <c r="N155" s="89" t="s">
        <v>69</v>
      </c>
      <c r="O155" s="94" t="s">
        <v>473</v>
      </c>
      <c r="P155" s="95" t="s">
        <v>58</v>
      </c>
      <c r="Q155" s="144" t="s">
        <v>59</v>
      </c>
      <c r="R155" s="96">
        <v>46161</v>
      </c>
      <c r="S155" s="97"/>
      <c r="T155" s="97" t="s">
        <v>60</v>
      </c>
      <c r="U155" s="97" t="s">
        <v>61</v>
      </c>
      <c r="V155" s="93">
        <v>46161</v>
      </c>
      <c r="W155" s="93" t="s">
        <v>73</v>
      </c>
      <c r="X155" s="93" t="s">
        <v>73</v>
      </c>
      <c r="Y155" s="98"/>
      <c r="Z155" s="89" t="s">
        <v>62</v>
      </c>
      <c r="AA155" s="97">
        <v>46170</v>
      </c>
      <c r="AB155" s="89" t="s">
        <v>142</v>
      </c>
      <c r="AC155" s="120">
        <v>46180.444444270834</v>
      </c>
      <c r="AD155" s="89"/>
      <c r="AE155" s="89"/>
      <c r="AF155" s="89"/>
      <c r="AG155" s="89"/>
      <c r="AH155" s="99"/>
      <c r="AI155" s="99"/>
      <c r="AJ155" s="99"/>
      <c r="AK155" s="100"/>
      <c r="AL155" s="100" t="s">
        <v>64</v>
      </c>
      <c r="AM155" s="100" t="s">
        <v>102</v>
      </c>
      <c r="AN155" s="45" t="s">
        <v>65</v>
      </c>
      <c r="AO155" s="198" t="str">
        <f t="shared" si="18"/>
        <v>5/2026</v>
      </c>
      <c r="AP155" s="198">
        <f t="shared" si="19"/>
        <v>2</v>
      </c>
      <c r="AQ155" s="45" t="str">
        <f t="shared" si="20"/>
        <v>5/2026</v>
      </c>
      <c r="AR155" s="45">
        <f t="shared" si="21"/>
        <v>4</v>
      </c>
      <c r="AS155" s="45">
        <f t="shared" si="22"/>
        <v>0</v>
      </c>
      <c r="AT155" s="45">
        <f t="shared" si="23"/>
        <v>0</v>
      </c>
      <c r="AU155" s="45">
        <f t="shared" si="24"/>
        <v>0</v>
      </c>
      <c r="AV155" s="45">
        <f t="shared" si="17"/>
        <v>0</v>
      </c>
      <c r="AW155" s="45" t="str">
        <f>_xlfn.XLOOKUP(W155,'Lista Suspensa'!$AA$20:$AA$23,'Lista Suspensa'!$AB$20:$AB$23,"N/A")</f>
        <v>N/A</v>
      </c>
    </row>
    <row r="156" spans="1:49" ht="12" customHeight="1" x14ac:dyDescent="0.3">
      <c r="A156" s="87" t="s">
        <v>49</v>
      </c>
      <c r="B156" s="88">
        <v>46147</v>
      </c>
      <c r="C156" s="89" t="s">
        <v>50</v>
      </c>
      <c r="D156" s="89" t="s">
        <v>51</v>
      </c>
      <c r="E156" s="90">
        <v>780390199</v>
      </c>
      <c r="F156" s="91" t="s">
        <v>474</v>
      </c>
      <c r="G156" s="92">
        <v>765479818</v>
      </c>
      <c r="H156" s="93">
        <v>21948</v>
      </c>
      <c r="I156" s="89">
        <v>66</v>
      </c>
      <c r="J156" s="89" t="s">
        <v>53</v>
      </c>
      <c r="K156" s="89" t="s">
        <v>54</v>
      </c>
      <c r="L156" s="89" t="s">
        <v>93</v>
      </c>
      <c r="M156" s="89"/>
      <c r="N156" s="89" t="s">
        <v>100</v>
      </c>
      <c r="O156" s="94" t="s">
        <v>475</v>
      </c>
      <c r="P156" s="95" t="s">
        <v>58</v>
      </c>
      <c r="Q156" s="144" t="s">
        <v>59</v>
      </c>
      <c r="R156" s="96">
        <v>46161</v>
      </c>
      <c r="S156" s="97"/>
      <c r="T156" s="97" t="s">
        <v>60</v>
      </c>
      <c r="U156" s="97" t="s">
        <v>61</v>
      </c>
      <c r="V156" s="93">
        <v>46161</v>
      </c>
      <c r="W156" s="93" t="s">
        <v>73</v>
      </c>
      <c r="X156" s="93" t="s">
        <v>73</v>
      </c>
      <c r="Y156" s="98"/>
      <c r="Z156" s="89" t="s">
        <v>62</v>
      </c>
      <c r="AA156" s="97">
        <v>46163</v>
      </c>
      <c r="AB156" s="89" t="s">
        <v>75</v>
      </c>
      <c r="AC156" s="120"/>
      <c r="AD156" s="89"/>
      <c r="AE156" s="89"/>
      <c r="AF156" s="89">
        <v>4.0999999999999996</v>
      </c>
      <c r="AG156" s="89">
        <v>4.0999999999999996</v>
      </c>
      <c r="AH156" s="99" t="s">
        <v>476</v>
      </c>
      <c r="AI156" s="99"/>
      <c r="AJ156" s="119" t="s">
        <v>91</v>
      </c>
      <c r="AK156" s="100"/>
      <c r="AL156" s="100" t="s">
        <v>64</v>
      </c>
      <c r="AM156" s="100" t="s">
        <v>102</v>
      </c>
      <c r="AN156" s="45" t="s">
        <v>65</v>
      </c>
      <c r="AO156" s="198" t="str">
        <f t="shared" si="18"/>
        <v>5/2026</v>
      </c>
      <c r="AP156" s="198">
        <f t="shared" si="19"/>
        <v>2</v>
      </c>
      <c r="AQ156" s="45" t="str">
        <f t="shared" si="20"/>
        <v>5/2026</v>
      </c>
      <c r="AR156" s="45">
        <f t="shared" si="21"/>
        <v>4</v>
      </c>
      <c r="AS156" s="45">
        <f t="shared" si="22"/>
        <v>0</v>
      </c>
      <c r="AT156" s="45">
        <f t="shared" si="23"/>
        <v>0</v>
      </c>
      <c r="AU156" s="45">
        <f t="shared" si="24"/>
        <v>0</v>
      </c>
      <c r="AV156" s="45">
        <f t="shared" si="17"/>
        <v>0</v>
      </c>
      <c r="AW156" s="45" t="str">
        <f>_xlfn.XLOOKUP(W156,'Lista Suspensa'!$AA$20:$AA$23,'Lista Suspensa'!$AB$20:$AB$23,"N/A")</f>
        <v>N/A</v>
      </c>
    </row>
    <row r="157" spans="1:49" ht="12" customHeight="1" x14ac:dyDescent="0.3">
      <c r="A157" s="87" t="s">
        <v>49</v>
      </c>
      <c r="B157" s="88">
        <v>46147</v>
      </c>
      <c r="C157" s="89" t="s">
        <v>50</v>
      </c>
      <c r="D157" s="89" t="s">
        <v>51</v>
      </c>
      <c r="E157" s="90">
        <v>631374647</v>
      </c>
      <c r="F157" s="91" t="s">
        <v>477</v>
      </c>
      <c r="G157" s="92">
        <v>7703757829</v>
      </c>
      <c r="H157" s="93">
        <v>24205</v>
      </c>
      <c r="I157" s="89">
        <v>60</v>
      </c>
      <c r="J157" s="89" t="s">
        <v>67</v>
      </c>
      <c r="K157" s="89" t="s">
        <v>54</v>
      </c>
      <c r="L157" s="89" t="s">
        <v>93</v>
      </c>
      <c r="M157" s="89"/>
      <c r="N157" s="89" t="s">
        <v>94</v>
      </c>
      <c r="O157" s="94" t="s">
        <v>478</v>
      </c>
      <c r="P157" s="95" t="s">
        <v>58</v>
      </c>
      <c r="Q157" s="144" t="s">
        <v>59</v>
      </c>
      <c r="R157" s="96">
        <v>46161</v>
      </c>
      <c r="S157" s="97"/>
      <c r="T157" s="97" t="s">
        <v>60</v>
      </c>
      <c r="U157" s="97" t="s">
        <v>61</v>
      </c>
      <c r="V157" s="93">
        <v>46161</v>
      </c>
      <c r="W157" s="93" t="s">
        <v>73</v>
      </c>
      <c r="X157" s="93" t="s">
        <v>73</v>
      </c>
      <c r="Y157" s="98"/>
      <c r="Z157" s="89" t="s">
        <v>62</v>
      </c>
      <c r="AA157" s="97">
        <v>46170</v>
      </c>
      <c r="AB157" s="89" t="s">
        <v>75</v>
      </c>
      <c r="AC157" s="120"/>
      <c r="AD157" s="89" t="s">
        <v>122</v>
      </c>
      <c r="AE157" s="89"/>
      <c r="AF157" s="89">
        <v>2.72</v>
      </c>
      <c r="AG157" s="89">
        <v>2.72</v>
      </c>
      <c r="AH157" s="99" t="s">
        <v>258</v>
      </c>
      <c r="AI157" s="99" t="s">
        <v>258</v>
      </c>
      <c r="AJ157" s="99" t="s">
        <v>91</v>
      </c>
      <c r="AK157" s="100"/>
      <c r="AL157" s="100" t="s">
        <v>64</v>
      </c>
      <c r="AM157" s="100" t="s">
        <v>102</v>
      </c>
      <c r="AN157" s="45" t="s">
        <v>65</v>
      </c>
      <c r="AO157" s="198" t="str">
        <f t="shared" si="18"/>
        <v>5/2026</v>
      </c>
      <c r="AP157" s="198">
        <f t="shared" si="19"/>
        <v>2</v>
      </c>
      <c r="AQ157" s="45" t="str">
        <f t="shared" si="20"/>
        <v>5/2026</v>
      </c>
      <c r="AR157" s="45">
        <f t="shared" si="21"/>
        <v>4</v>
      </c>
      <c r="AS157" s="45">
        <f t="shared" si="22"/>
        <v>0</v>
      </c>
      <c r="AT157" s="45">
        <f t="shared" si="23"/>
        <v>0</v>
      </c>
      <c r="AU157" s="45">
        <f t="shared" si="24"/>
        <v>0</v>
      </c>
      <c r="AV157" s="45">
        <f t="shared" si="17"/>
        <v>0</v>
      </c>
      <c r="AW157" s="45" t="str">
        <f>_xlfn.XLOOKUP(W157,'Lista Suspensa'!$AA$20:$AA$23,'Lista Suspensa'!$AB$20:$AB$23,"N/A")</f>
        <v>N/A</v>
      </c>
    </row>
    <row r="158" spans="1:49" ht="12" customHeight="1" x14ac:dyDescent="0.3">
      <c r="A158" s="87" t="s">
        <v>49</v>
      </c>
      <c r="B158" s="88">
        <v>46147</v>
      </c>
      <c r="C158" s="89" t="s">
        <v>50</v>
      </c>
      <c r="D158" s="89" t="s">
        <v>51</v>
      </c>
      <c r="E158" s="90">
        <v>800040007</v>
      </c>
      <c r="F158" s="91" t="s">
        <v>479</v>
      </c>
      <c r="G158" s="92">
        <v>27079880815</v>
      </c>
      <c r="H158" s="93">
        <v>17588</v>
      </c>
      <c r="I158" s="89">
        <v>78</v>
      </c>
      <c r="J158" s="89" t="s">
        <v>53</v>
      </c>
      <c r="K158" s="89" t="s">
        <v>54</v>
      </c>
      <c r="L158" s="89" t="s">
        <v>93</v>
      </c>
      <c r="M158" s="89"/>
      <c r="N158" s="89" t="s">
        <v>209</v>
      </c>
      <c r="O158" s="94" t="s">
        <v>480</v>
      </c>
      <c r="P158" s="95" t="s">
        <v>58</v>
      </c>
      <c r="Q158" s="144" t="s">
        <v>59</v>
      </c>
      <c r="R158" s="96">
        <v>46161</v>
      </c>
      <c r="S158" s="97"/>
      <c r="T158" s="97" t="s">
        <v>60</v>
      </c>
      <c r="U158" s="97" t="s">
        <v>61</v>
      </c>
      <c r="V158" s="93">
        <v>46161</v>
      </c>
      <c r="W158" s="93" t="s">
        <v>73</v>
      </c>
      <c r="X158" s="93" t="s">
        <v>73</v>
      </c>
      <c r="Y158" s="98"/>
      <c r="Z158" s="89" t="s">
        <v>62</v>
      </c>
      <c r="AA158" s="97">
        <v>46169</v>
      </c>
      <c r="AB158" s="89" t="s">
        <v>75</v>
      </c>
      <c r="AC158" s="120"/>
      <c r="AD158" s="89"/>
      <c r="AE158" s="89"/>
      <c r="AF158" s="89">
        <v>2.78</v>
      </c>
      <c r="AG158" s="89">
        <v>2.78</v>
      </c>
      <c r="AH158" s="99" t="s">
        <v>90</v>
      </c>
      <c r="AI158" s="99" t="s">
        <v>90</v>
      </c>
      <c r="AJ158" s="119" t="s">
        <v>91</v>
      </c>
      <c r="AK158" s="100"/>
      <c r="AL158" s="100" t="s">
        <v>64</v>
      </c>
      <c r="AM158" s="100" t="s">
        <v>102</v>
      </c>
      <c r="AN158" s="45" t="s">
        <v>65</v>
      </c>
      <c r="AO158" s="198" t="str">
        <f t="shared" si="18"/>
        <v>5/2026</v>
      </c>
      <c r="AP158" s="198">
        <f t="shared" si="19"/>
        <v>2</v>
      </c>
      <c r="AQ158" s="45" t="str">
        <f t="shared" si="20"/>
        <v>5/2026</v>
      </c>
      <c r="AR158" s="45">
        <f t="shared" si="21"/>
        <v>4</v>
      </c>
      <c r="AS158" s="45">
        <f t="shared" si="22"/>
        <v>0</v>
      </c>
      <c r="AT158" s="45">
        <f t="shared" si="23"/>
        <v>0</v>
      </c>
      <c r="AU158" s="45">
        <f t="shared" si="24"/>
        <v>0</v>
      </c>
      <c r="AV158" s="45">
        <f t="shared" si="17"/>
        <v>0</v>
      </c>
      <c r="AW158" s="45" t="str">
        <f>_xlfn.XLOOKUP(W158,'Lista Suspensa'!$AA$20:$AA$23,'Lista Suspensa'!$AB$20:$AB$23,"N/A")</f>
        <v>N/A</v>
      </c>
    </row>
    <row r="159" spans="1:49" ht="12" customHeight="1" x14ac:dyDescent="0.3">
      <c r="A159" s="87" t="s">
        <v>49</v>
      </c>
      <c r="B159" s="88">
        <v>46147</v>
      </c>
      <c r="C159" s="89" t="s">
        <v>50</v>
      </c>
      <c r="D159" s="89" t="s">
        <v>51</v>
      </c>
      <c r="E159" s="90">
        <v>93852471</v>
      </c>
      <c r="F159" s="91" t="s">
        <v>481</v>
      </c>
      <c r="G159" s="92">
        <v>15237450881</v>
      </c>
      <c r="H159" s="93">
        <v>25787</v>
      </c>
      <c r="I159" s="89">
        <v>55</v>
      </c>
      <c r="J159" s="89" t="s">
        <v>67</v>
      </c>
      <c r="K159" s="89" t="s">
        <v>54</v>
      </c>
      <c r="L159" s="89" t="s">
        <v>93</v>
      </c>
      <c r="M159" s="89"/>
      <c r="N159" s="89" t="s">
        <v>82</v>
      </c>
      <c r="O159" s="94" t="s">
        <v>482</v>
      </c>
      <c r="P159" s="95" t="s">
        <v>58</v>
      </c>
      <c r="Q159" s="144" t="s">
        <v>59</v>
      </c>
      <c r="R159" s="96">
        <v>46161</v>
      </c>
      <c r="S159" s="97"/>
      <c r="T159" s="97" t="s">
        <v>60</v>
      </c>
      <c r="U159" s="97" t="s">
        <v>61</v>
      </c>
      <c r="V159" s="93">
        <v>46161</v>
      </c>
      <c r="W159" s="93" t="s">
        <v>73</v>
      </c>
      <c r="X159" s="93" t="s">
        <v>73</v>
      </c>
      <c r="Y159" s="98"/>
      <c r="Z159" s="89"/>
      <c r="AA159" s="97"/>
      <c r="AB159" s="89"/>
      <c r="AC159" s="120"/>
      <c r="AD159" s="89"/>
      <c r="AE159" s="89"/>
      <c r="AF159" s="89"/>
      <c r="AG159" s="89"/>
      <c r="AH159" s="99"/>
      <c r="AI159" s="99"/>
      <c r="AJ159" s="99"/>
      <c r="AK159" s="100"/>
      <c r="AL159" s="100" t="s">
        <v>64</v>
      </c>
      <c r="AM159" s="100" t="s">
        <v>102</v>
      </c>
      <c r="AN159" s="45" t="s">
        <v>65</v>
      </c>
      <c r="AO159" s="198" t="str">
        <f t="shared" si="18"/>
        <v>5/2026</v>
      </c>
      <c r="AP159" s="198">
        <f t="shared" si="19"/>
        <v>2</v>
      </c>
      <c r="AQ159" s="45" t="str">
        <f t="shared" si="20"/>
        <v>5/2026</v>
      </c>
      <c r="AR159" s="45">
        <f t="shared" si="21"/>
        <v>4</v>
      </c>
      <c r="AS159" s="45">
        <f t="shared" si="22"/>
        <v>0</v>
      </c>
      <c r="AT159" s="45">
        <f t="shared" si="23"/>
        <v>0</v>
      </c>
      <c r="AU159" s="45">
        <f t="shared" si="24"/>
        <v>0</v>
      </c>
      <c r="AV159" s="45">
        <f t="shared" ref="AV159:AV222" si="25">IF(AW159="S",IF(AND(Q159="1. Aceitou o programa",AB159="Realizada"),IFERROR(IF(AA159="",0,AA159-R159),0),0),0)</f>
        <v>0</v>
      </c>
      <c r="AW159" s="45" t="str">
        <f>_xlfn.XLOOKUP(W159,'Lista Suspensa'!$AA$20:$AA$23,'Lista Suspensa'!$AB$20:$AB$23,"N/A")</f>
        <v>N/A</v>
      </c>
    </row>
    <row r="160" spans="1:49" ht="12" customHeight="1" x14ac:dyDescent="0.3">
      <c r="A160" s="87" t="s">
        <v>49</v>
      </c>
      <c r="B160" s="88">
        <v>46147</v>
      </c>
      <c r="C160" s="89" t="s">
        <v>50</v>
      </c>
      <c r="D160" s="89" t="s">
        <v>51</v>
      </c>
      <c r="E160" s="90">
        <v>89386785</v>
      </c>
      <c r="F160" s="91" t="s">
        <v>483</v>
      </c>
      <c r="G160" s="92">
        <v>25034840855</v>
      </c>
      <c r="H160" s="93">
        <v>27177</v>
      </c>
      <c r="I160" s="89">
        <v>51</v>
      </c>
      <c r="J160" s="89" t="s">
        <v>67</v>
      </c>
      <c r="K160" s="89" t="s">
        <v>54</v>
      </c>
      <c r="L160" s="89" t="s">
        <v>93</v>
      </c>
      <c r="M160" s="89"/>
      <c r="N160" s="89" t="s">
        <v>124</v>
      </c>
      <c r="O160" s="94" t="s">
        <v>484</v>
      </c>
      <c r="P160" s="95" t="s">
        <v>58</v>
      </c>
      <c r="Q160" s="144" t="s">
        <v>59</v>
      </c>
      <c r="R160" s="96">
        <v>46161</v>
      </c>
      <c r="S160" s="97"/>
      <c r="T160" s="97" t="s">
        <v>60</v>
      </c>
      <c r="U160" s="97" t="s">
        <v>61</v>
      </c>
      <c r="V160" s="93">
        <v>46161</v>
      </c>
      <c r="W160" s="93" t="s">
        <v>73</v>
      </c>
      <c r="X160" s="93" t="s">
        <v>73</v>
      </c>
      <c r="Y160" s="98"/>
      <c r="Z160" s="89" t="s">
        <v>62</v>
      </c>
      <c r="AA160" s="97">
        <v>46169</v>
      </c>
      <c r="AB160" s="89" t="s">
        <v>142</v>
      </c>
      <c r="AC160" s="120">
        <v>46178.624999074076</v>
      </c>
      <c r="AD160" s="89"/>
      <c r="AE160" s="89"/>
      <c r="AF160" s="89"/>
      <c r="AG160" s="89"/>
      <c r="AH160" s="99"/>
      <c r="AI160" s="99"/>
      <c r="AJ160" s="99"/>
      <c r="AK160" s="100"/>
      <c r="AL160" s="100" t="s">
        <v>64</v>
      </c>
      <c r="AM160" s="100" t="s">
        <v>102</v>
      </c>
      <c r="AN160" s="45" t="s">
        <v>65</v>
      </c>
      <c r="AO160" s="198" t="str">
        <f t="shared" si="18"/>
        <v>5/2026</v>
      </c>
      <c r="AP160" s="198">
        <f t="shared" si="19"/>
        <v>2</v>
      </c>
      <c r="AQ160" s="45" t="str">
        <f t="shared" si="20"/>
        <v>5/2026</v>
      </c>
      <c r="AR160" s="45">
        <f t="shared" si="21"/>
        <v>4</v>
      </c>
      <c r="AS160" s="45">
        <f t="shared" si="22"/>
        <v>0</v>
      </c>
      <c r="AT160" s="45">
        <f t="shared" si="23"/>
        <v>0</v>
      </c>
      <c r="AU160" s="45">
        <f t="shared" si="24"/>
        <v>0</v>
      </c>
      <c r="AV160" s="45">
        <f t="shared" si="25"/>
        <v>0</v>
      </c>
      <c r="AW160" s="45" t="str">
        <f>_xlfn.XLOOKUP(W160,'Lista Suspensa'!$AA$20:$AA$23,'Lista Suspensa'!$AB$20:$AB$23,"N/A")</f>
        <v>N/A</v>
      </c>
    </row>
    <row r="161" spans="1:49" ht="12" customHeight="1" x14ac:dyDescent="0.3">
      <c r="A161" s="87" t="s">
        <v>49</v>
      </c>
      <c r="B161" s="88">
        <v>46147</v>
      </c>
      <c r="C161" s="89" t="s">
        <v>50</v>
      </c>
      <c r="D161" s="89" t="s">
        <v>51</v>
      </c>
      <c r="E161" s="90">
        <v>451621409</v>
      </c>
      <c r="F161" s="91" t="s">
        <v>485</v>
      </c>
      <c r="G161" s="92">
        <v>24572151881</v>
      </c>
      <c r="H161" s="93">
        <v>18840</v>
      </c>
      <c r="I161" s="89">
        <v>74</v>
      </c>
      <c r="J161" s="89" t="s">
        <v>67</v>
      </c>
      <c r="K161" s="89" t="s">
        <v>54</v>
      </c>
      <c r="L161" s="89" t="s">
        <v>153</v>
      </c>
      <c r="M161" s="89"/>
      <c r="N161" s="89" t="s">
        <v>100</v>
      </c>
      <c r="O161" s="94" t="s">
        <v>486</v>
      </c>
      <c r="P161" s="95" t="s">
        <v>58</v>
      </c>
      <c r="Q161" s="144" t="s">
        <v>59</v>
      </c>
      <c r="R161" s="96">
        <v>46161</v>
      </c>
      <c r="S161" s="97"/>
      <c r="T161" s="97" t="s">
        <v>60</v>
      </c>
      <c r="U161" s="97" t="s">
        <v>61</v>
      </c>
      <c r="V161" s="93">
        <v>46161</v>
      </c>
      <c r="W161" s="93" t="s">
        <v>73</v>
      </c>
      <c r="X161" s="93" t="s">
        <v>73</v>
      </c>
      <c r="Y161" s="98"/>
      <c r="Z161" s="89" t="s">
        <v>62</v>
      </c>
      <c r="AA161" s="97">
        <v>46170</v>
      </c>
      <c r="AB161" s="89" t="s">
        <v>75</v>
      </c>
      <c r="AC161" s="120"/>
      <c r="AD161" s="89" t="s">
        <v>122</v>
      </c>
      <c r="AE161" s="89"/>
      <c r="AF161" s="89">
        <v>3.24</v>
      </c>
      <c r="AG161" s="89">
        <v>3.24</v>
      </c>
      <c r="AH161" s="99" t="s">
        <v>90</v>
      </c>
      <c r="AI161" s="99"/>
      <c r="AJ161" s="119" t="s">
        <v>91</v>
      </c>
      <c r="AK161" s="100"/>
      <c r="AL161" s="100" t="s">
        <v>64</v>
      </c>
      <c r="AM161" s="100" t="s">
        <v>102</v>
      </c>
      <c r="AN161" s="45" t="s">
        <v>65</v>
      </c>
      <c r="AO161" s="198" t="str">
        <f t="shared" si="18"/>
        <v>5/2026</v>
      </c>
      <c r="AP161" s="198">
        <f t="shared" si="19"/>
        <v>2</v>
      </c>
      <c r="AQ161" s="45" t="str">
        <f t="shared" si="20"/>
        <v>5/2026</v>
      </c>
      <c r="AR161" s="45">
        <f t="shared" si="21"/>
        <v>4</v>
      </c>
      <c r="AS161" s="45">
        <f t="shared" si="22"/>
        <v>0</v>
      </c>
      <c r="AT161" s="45">
        <f t="shared" si="23"/>
        <v>0</v>
      </c>
      <c r="AU161" s="45">
        <f t="shared" si="24"/>
        <v>0</v>
      </c>
      <c r="AV161" s="45">
        <f t="shared" si="25"/>
        <v>0</v>
      </c>
      <c r="AW161" s="45" t="str">
        <f>_xlfn.XLOOKUP(W161,'Lista Suspensa'!$AA$20:$AA$23,'Lista Suspensa'!$AB$20:$AB$23,"N/A")</f>
        <v>N/A</v>
      </c>
    </row>
    <row r="162" spans="1:49" ht="12" customHeight="1" x14ac:dyDescent="0.3">
      <c r="A162" s="87" t="s">
        <v>49</v>
      </c>
      <c r="B162" s="88">
        <v>46147</v>
      </c>
      <c r="C162" s="89" t="s">
        <v>50</v>
      </c>
      <c r="D162" s="89" t="s">
        <v>51</v>
      </c>
      <c r="E162" s="90">
        <v>793539447</v>
      </c>
      <c r="F162" s="91" t="s">
        <v>487</v>
      </c>
      <c r="G162" s="92">
        <v>5165088812</v>
      </c>
      <c r="H162" s="93">
        <v>22920</v>
      </c>
      <c r="I162" s="89">
        <v>63</v>
      </c>
      <c r="J162" s="89" t="s">
        <v>53</v>
      </c>
      <c r="K162" s="89" t="s">
        <v>54</v>
      </c>
      <c r="L162" s="89" t="s">
        <v>93</v>
      </c>
      <c r="M162" s="89"/>
      <c r="N162" s="89" t="s">
        <v>108</v>
      </c>
      <c r="O162" s="94" t="s">
        <v>488</v>
      </c>
      <c r="P162" s="95" t="s">
        <v>58</v>
      </c>
      <c r="Q162" s="144" t="s">
        <v>59</v>
      </c>
      <c r="R162" s="96">
        <v>46161</v>
      </c>
      <c r="S162" s="97"/>
      <c r="T162" s="97" t="s">
        <v>60</v>
      </c>
      <c r="U162" s="97" t="s">
        <v>61</v>
      </c>
      <c r="V162" s="93">
        <v>46161</v>
      </c>
      <c r="W162" s="93" t="s">
        <v>73</v>
      </c>
      <c r="X162" s="93" t="s">
        <v>73</v>
      </c>
      <c r="Y162" s="98"/>
      <c r="Z162" s="89" t="s">
        <v>62</v>
      </c>
      <c r="AA162" s="97">
        <v>46171</v>
      </c>
      <c r="AB162" s="89" t="s">
        <v>142</v>
      </c>
      <c r="AC162" s="120"/>
      <c r="AD162" s="89"/>
      <c r="AE162" s="89"/>
      <c r="AF162" s="89"/>
      <c r="AG162" s="89"/>
      <c r="AH162" s="99"/>
      <c r="AI162" s="99"/>
      <c r="AJ162" s="99"/>
      <c r="AK162" s="100"/>
      <c r="AL162" s="100" t="s">
        <v>64</v>
      </c>
      <c r="AM162" s="100" t="s">
        <v>102</v>
      </c>
      <c r="AN162" s="45" t="s">
        <v>65</v>
      </c>
      <c r="AO162" s="198" t="str">
        <f t="shared" si="18"/>
        <v>5/2026</v>
      </c>
      <c r="AP162" s="198">
        <f t="shared" si="19"/>
        <v>2</v>
      </c>
      <c r="AQ162" s="45" t="str">
        <f t="shared" si="20"/>
        <v>5/2026</v>
      </c>
      <c r="AR162" s="45">
        <f t="shared" si="21"/>
        <v>4</v>
      </c>
      <c r="AS162" s="45">
        <f t="shared" si="22"/>
        <v>0</v>
      </c>
      <c r="AT162" s="45">
        <f t="shared" si="23"/>
        <v>0</v>
      </c>
      <c r="AU162" s="45">
        <f t="shared" si="24"/>
        <v>0</v>
      </c>
      <c r="AV162" s="45">
        <f t="shared" si="25"/>
        <v>0</v>
      </c>
      <c r="AW162" s="45" t="str">
        <f>_xlfn.XLOOKUP(W162,'Lista Suspensa'!$AA$20:$AA$23,'Lista Suspensa'!$AB$20:$AB$23,"N/A")</f>
        <v>N/A</v>
      </c>
    </row>
    <row r="163" spans="1:49" ht="12" customHeight="1" x14ac:dyDescent="0.3">
      <c r="A163" s="87" t="s">
        <v>49</v>
      </c>
      <c r="B163" s="88">
        <v>46147</v>
      </c>
      <c r="C163" s="89" t="s">
        <v>50</v>
      </c>
      <c r="D163" s="89" t="s">
        <v>51</v>
      </c>
      <c r="E163" s="90">
        <v>88407610</v>
      </c>
      <c r="F163" s="91" t="s">
        <v>489</v>
      </c>
      <c r="G163" s="92">
        <v>3842942869</v>
      </c>
      <c r="H163" s="93">
        <v>21398</v>
      </c>
      <c r="I163" s="89">
        <v>67</v>
      </c>
      <c r="J163" s="89" t="s">
        <v>53</v>
      </c>
      <c r="K163" s="89" t="s">
        <v>54</v>
      </c>
      <c r="L163" s="89" t="s">
        <v>93</v>
      </c>
      <c r="M163" s="89"/>
      <c r="N163" s="89" t="s">
        <v>113</v>
      </c>
      <c r="O163" s="94" t="s">
        <v>490</v>
      </c>
      <c r="P163" s="95" t="s">
        <v>58</v>
      </c>
      <c r="Q163" s="144" t="s">
        <v>59</v>
      </c>
      <c r="R163" s="96">
        <v>46161</v>
      </c>
      <c r="S163" s="97"/>
      <c r="T163" s="97" t="s">
        <v>60</v>
      </c>
      <c r="U163" s="97" t="s">
        <v>61</v>
      </c>
      <c r="V163" s="93">
        <v>46161</v>
      </c>
      <c r="W163" s="93" t="s">
        <v>73</v>
      </c>
      <c r="X163" s="93" t="s">
        <v>73</v>
      </c>
      <c r="Y163" s="98"/>
      <c r="Z163" s="89" t="s">
        <v>62</v>
      </c>
      <c r="AA163" s="97">
        <v>46167</v>
      </c>
      <c r="AB163" s="89" t="s">
        <v>75</v>
      </c>
      <c r="AC163" s="120"/>
      <c r="AD163" s="89"/>
      <c r="AE163" s="89"/>
      <c r="AF163" s="89">
        <v>1.53</v>
      </c>
      <c r="AG163" s="89">
        <v>1.53</v>
      </c>
      <c r="AH163" s="99" t="s">
        <v>105</v>
      </c>
      <c r="AI163" s="99"/>
      <c r="AJ163" s="119" t="s">
        <v>91</v>
      </c>
      <c r="AK163" s="100"/>
      <c r="AL163" s="100" t="s">
        <v>64</v>
      </c>
      <c r="AM163" s="100" t="s">
        <v>102</v>
      </c>
      <c r="AN163" s="45" t="s">
        <v>65</v>
      </c>
      <c r="AO163" s="198" t="str">
        <f t="shared" si="18"/>
        <v>5/2026</v>
      </c>
      <c r="AP163" s="198">
        <f t="shared" si="19"/>
        <v>2</v>
      </c>
      <c r="AQ163" s="45" t="str">
        <f t="shared" si="20"/>
        <v>5/2026</v>
      </c>
      <c r="AR163" s="45">
        <f t="shared" si="21"/>
        <v>4</v>
      </c>
      <c r="AS163" s="45">
        <f t="shared" si="22"/>
        <v>0</v>
      </c>
      <c r="AT163" s="45">
        <f t="shared" si="23"/>
        <v>0</v>
      </c>
      <c r="AU163" s="45">
        <f t="shared" si="24"/>
        <v>0</v>
      </c>
      <c r="AV163" s="45">
        <f t="shared" si="25"/>
        <v>0</v>
      </c>
      <c r="AW163" s="45" t="str">
        <f>_xlfn.XLOOKUP(W163,'Lista Suspensa'!$AA$20:$AA$23,'Lista Suspensa'!$AB$20:$AB$23,"N/A")</f>
        <v>N/A</v>
      </c>
    </row>
    <row r="164" spans="1:49" ht="12" customHeight="1" x14ac:dyDescent="0.3">
      <c r="A164" s="87" t="s">
        <v>49</v>
      </c>
      <c r="B164" s="88">
        <v>46147</v>
      </c>
      <c r="C164" s="89" t="s">
        <v>50</v>
      </c>
      <c r="D164" s="89" t="s">
        <v>51</v>
      </c>
      <c r="E164" s="90">
        <v>87303824</v>
      </c>
      <c r="F164" s="91" t="s">
        <v>491</v>
      </c>
      <c r="G164" s="92">
        <v>11963136870</v>
      </c>
      <c r="H164" s="93">
        <v>25165</v>
      </c>
      <c r="I164" s="89">
        <v>57</v>
      </c>
      <c r="J164" s="89" t="s">
        <v>67</v>
      </c>
      <c r="K164" s="89" t="s">
        <v>54</v>
      </c>
      <c r="L164" s="89" t="s">
        <v>93</v>
      </c>
      <c r="M164" s="89"/>
      <c r="N164" s="89" t="s">
        <v>124</v>
      </c>
      <c r="O164" s="94" t="s">
        <v>492</v>
      </c>
      <c r="P164" s="95" t="s">
        <v>58</v>
      </c>
      <c r="Q164" s="144" t="s">
        <v>59</v>
      </c>
      <c r="R164" s="96">
        <v>46161</v>
      </c>
      <c r="S164" s="97"/>
      <c r="T164" s="97" t="s">
        <v>60</v>
      </c>
      <c r="U164" s="97" t="s">
        <v>61</v>
      </c>
      <c r="V164" s="93">
        <v>46161</v>
      </c>
      <c r="W164" s="93" t="s">
        <v>73</v>
      </c>
      <c r="X164" s="93" t="s">
        <v>73</v>
      </c>
      <c r="Y164" s="98"/>
      <c r="Z164" s="89" t="s">
        <v>62</v>
      </c>
      <c r="AA164" s="97">
        <v>46163</v>
      </c>
      <c r="AB164" s="89" t="s">
        <v>75</v>
      </c>
      <c r="AC164" s="120">
        <v>46179.486110763886</v>
      </c>
      <c r="AD164" s="89"/>
      <c r="AE164" s="89"/>
      <c r="AF164" s="89">
        <v>3.28</v>
      </c>
      <c r="AG164" s="89">
        <v>3.28</v>
      </c>
      <c r="AH164" s="99" t="s">
        <v>493</v>
      </c>
      <c r="AI164" s="99"/>
      <c r="AJ164" s="119" t="s">
        <v>91</v>
      </c>
      <c r="AK164" s="100"/>
      <c r="AL164" s="100" t="s">
        <v>64</v>
      </c>
      <c r="AM164" s="100" t="s">
        <v>102</v>
      </c>
      <c r="AN164" s="45" t="s">
        <v>65</v>
      </c>
      <c r="AO164" s="198" t="str">
        <f t="shared" si="18"/>
        <v>5/2026</v>
      </c>
      <c r="AP164" s="198">
        <f t="shared" si="19"/>
        <v>2</v>
      </c>
      <c r="AQ164" s="45" t="str">
        <f t="shared" si="20"/>
        <v>5/2026</v>
      </c>
      <c r="AR164" s="45">
        <f t="shared" si="21"/>
        <v>4</v>
      </c>
      <c r="AS164" s="45">
        <f t="shared" si="22"/>
        <v>0</v>
      </c>
      <c r="AT164" s="45">
        <f t="shared" si="23"/>
        <v>0</v>
      </c>
      <c r="AU164" s="45">
        <f t="shared" si="24"/>
        <v>0</v>
      </c>
      <c r="AV164" s="45">
        <f t="shared" si="25"/>
        <v>0</v>
      </c>
      <c r="AW164" s="45" t="str">
        <f>_xlfn.XLOOKUP(W164,'Lista Suspensa'!$AA$20:$AA$23,'Lista Suspensa'!$AB$20:$AB$23,"N/A")</f>
        <v>N/A</v>
      </c>
    </row>
    <row r="165" spans="1:49" ht="12" customHeight="1" x14ac:dyDescent="0.3">
      <c r="A165" s="87" t="s">
        <v>49</v>
      </c>
      <c r="B165" s="88">
        <v>46147</v>
      </c>
      <c r="C165" s="89" t="s">
        <v>50</v>
      </c>
      <c r="D165" s="89" t="s">
        <v>51</v>
      </c>
      <c r="E165" s="112">
        <v>451782968</v>
      </c>
      <c r="F165" s="91" t="s">
        <v>494</v>
      </c>
      <c r="G165" s="92">
        <v>63653761891</v>
      </c>
      <c r="H165" s="93">
        <v>18783</v>
      </c>
      <c r="I165" s="89">
        <v>74</v>
      </c>
      <c r="J165" s="89" t="s">
        <v>53</v>
      </c>
      <c r="K165" s="89" t="s">
        <v>54</v>
      </c>
      <c r="L165" s="89" t="s">
        <v>93</v>
      </c>
      <c r="M165" s="89"/>
      <c r="N165" s="89" t="s">
        <v>100</v>
      </c>
      <c r="O165" s="94" t="s">
        <v>495</v>
      </c>
      <c r="P165" s="95" t="s">
        <v>58</v>
      </c>
      <c r="Q165" s="144" t="s">
        <v>59</v>
      </c>
      <c r="R165" s="96">
        <v>46164</v>
      </c>
      <c r="S165" s="97"/>
      <c r="T165" s="97" t="s">
        <v>60</v>
      </c>
      <c r="U165" s="97" t="s">
        <v>61</v>
      </c>
      <c r="V165" s="93">
        <v>46161</v>
      </c>
      <c r="W165" s="93"/>
      <c r="X165" s="93"/>
      <c r="Y165" s="98"/>
      <c r="Z165" s="89" t="s">
        <v>62</v>
      </c>
      <c r="AA165" s="97">
        <v>46164</v>
      </c>
      <c r="AB165" s="89" t="s">
        <v>75</v>
      </c>
      <c r="AC165" s="120"/>
      <c r="AD165" s="89" t="s">
        <v>378</v>
      </c>
      <c r="AE165" s="89"/>
      <c r="AF165" s="89">
        <v>5.3</v>
      </c>
      <c r="AG165" s="89">
        <v>5.3</v>
      </c>
      <c r="AH165" s="99"/>
      <c r="AI165" s="99"/>
      <c r="AJ165" s="119" t="s">
        <v>91</v>
      </c>
      <c r="AK165" s="100"/>
      <c r="AL165" s="100" t="s">
        <v>64</v>
      </c>
      <c r="AM165" s="100" t="s">
        <v>102</v>
      </c>
      <c r="AN165" s="45" t="s">
        <v>65</v>
      </c>
      <c r="AO165" s="198" t="str">
        <f t="shared" si="18"/>
        <v>5/2026</v>
      </c>
      <c r="AP165" s="198">
        <f t="shared" si="19"/>
        <v>2</v>
      </c>
      <c r="AQ165" s="45" t="str">
        <f t="shared" si="20"/>
        <v>5/2026</v>
      </c>
      <c r="AR165" s="45">
        <f t="shared" si="21"/>
        <v>4</v>
      </c>
      <c r="AS165" s="45">
        <f t="shared" si="22"/>
        <v>17</v>
      </c>
      <c r="AT165" s="45">
        <f t="shared" si="23"/>
        <v>0</v>
      </c>
      <c r="AU165" s="45">
        <f t="shared" si="24"/>
        <v>0</v>
      </c>
      <c r="AV165" s="45">
        <f t="shared" si="25"/>
        <v>0</v>
      </c>
      <c r="AW165" s="45" t="str">
        <f>_xlfn.XLOOKUP(W165,'Lista Suspensa'!$AA$20:$AA$23,'Lista Suspensa'!$AB$20:$AB$23,"N/A")</f>
        <v>S</v>
      </c>
    </row>
    <row r="166" spans="1:49" ht="12" customHeight="1" x14ac:dyDescent="0.3">
      <c r="A166" s="87" t="s">
        <v>49</v>
      </c>
      <c r="B166" s="88">
        <v>46147</v>
      </c>
      <c r="C166" s="89" t="s">
        <v>50</v>
      </c>
      <c r="D166" s="89" t="s">
        <v>51</v>
      </c>
      <c r="E166" s="90">
        <v>782772021</v>
      </c>
      <c r="F166" s="91" t="s">
        <v>496</v>
      </c>
      <c r="G166" s="92">
        <v>63332370863</v>
      </c>
      <c r="H166" s="93">
        <v>21267</v>
      </c>
      <c r="I166" s="89">
        <v>68</v>
      </c>
      <c r="J166" s="89" t="s">
        <v>53</v>
      </c>
      <c r="K166" s="89" t="s">
        <v>54</v>
      </c>
      <c r="L166" s="89" t="s">
        <v>93</v>
      </c>
      <c r="M166" s="89"/>
      <c r="N166" s="89" t="s">
        <v>209</v>
      </c>
      <c r="O166" s="94" t="s">
        <v>497</v>
      </c>
      <c r="P166" s="95" t="s">
        <v>58</v>
      </c>
      <c r="Q166" s="144" t="s">
        <v>59</v>
      </c>
      <c r="R166" s="96">
        <v>46161</v>
      </c>
      <c r="S166" s="97"/>
      <c r="T166" s="97" t="s">
        <v>60</v>
      </c>
      <c r="U166" s="97" t="s">
        <v>61</v>
      </c>
      <c r="V166" s="93">
        <v>46161</v>
      </c>
      <c r="W166" s="93" t="s">
        <v>73</v>
      </c>
      <c r="X166" s="93" t="s">
        <v>73</v>
      </c>
      <c r="Y166" s="98"/>
      <c r="Z166" s="89" t="s">
        <v>62</v>
      </c>
      <c r="AA166" s="97">
        <v>46171</v>
      </c>
      <c r="AB166" s="89" t="s">
        <v>75</v>
      </c>
      <c r="AC166" s="120"/>
      <c r="AD166" s="89"/>
      <c r="AE166" s="89"/>
      <c r="AF166" s="89"/>
      <c r="AG166" s="89"/>
      <c r="AH166" s="99"/>
      <c r="AI166" s="99"/>
      <c r="AJ166" s="99"/>
      <c r="AK166" s="100"/>
      <c r="AL166" s="100" t="s">
        <v>64</v>
      </c>
      <c r="AM166" s="100" t="s">
        <v>102</v>
      </c>
      <c r="AN166" s="45" t="s">
        <v>65</v>
      </c>
      <c r="AO166" s="198" t="str">
        <f t="shared" si="18"/>
        <v>5/2026</v>
      </c>
      <c r="AP166" s="198">
        <f t="shared" si="19"/>
        <v>2</v>
      </c>
      <c r="AQ166" s="45" t="str">
        <f t="shared" si="20"/>
        <v>5/2026</v>
      </c>
      <c r="AR166" s="45">
        <f t="shared" si="21"/>
        <v>4</v>
      </c>
      <c r="AS166" s="45">
        <f t="shared" si="22"/>
        <v>0</v>
      </c>
      <c r="AT166" s="45">
        <f t="shared" si="23"/>
        <v>0</v>
      </c>
      <c r="AU166" s="45">
        <f t="shared" si="24"/>
        <v>0</v>
      </c>
      <c r="AV166" s="45">
        <f t="shared" si="25"/>
        <v>0</v>
      </c>
      <c r="AW166" s="45" t="str">
        <f>_xlfn.XLOOKUP(W166,'Lista Suspensa'!$AA$20:$AA$23,'Lista Suspensa'!$AB$20:$AB$23,"N/A")</f>
        <v>N/A</v>
      </c>
    </row>
    <row r="167" spans="1:49" ht="12" customHeight="1" x14ac:dyDescent="0.3">
      <c r="A167" s="87" t="s">
        <v>49</v>
      </c>
      <c r="B167" s="88">
        <v>46147</v>
      </c>
      <c r="C167" s="89" t="s">
        <v>50</v>
      </c>
      <c r="D167" s="89" t="s">
        <v>51</v>
      </c>
      <c r="E167" s="90">
        <v>93424923</v>
      </c>
      <c r="F167" s="91" t="s">
        <v>498</v>
      </c>
      <c r="G167" s="92">
        <v>42055567802</v>
      </c>
      <c r="H167" s="93">
        <v>36718</v>
      </c>
      <c r="I167" s="89">
        <v>25</v>
      </c>
      <c r="J167" s="89" t="s">
        <v>67</v>
      </c>
      <c r="K167" s="89" t="s">
        <v>54</v>
      </c>
      <c r="L167" s="89" t="s">
        <v>93</v>
      </c>
      <c r="M167" s="89"/>
      <c r="N167" s="89" t="s">
        <v>82</v>
      </c>
      <c r="O167" s="94" t="s">
        <v>499</v>
      </c>
      <c r="P167" s="95" t="s">
        <v>58</v>
      </c>
      <c r="Q167" s="144" t="s">
        <v>59</v>
      </c>
      <c r="R167" s="96">
        <v>46161</v>
      </c>
      <c r="S167" s="97"/>
      <c r="T167" s="97" t="s">
        <v>60</v>
      </c>
      <c r="U167" s="97" t="s">
        <v>61</v>
      </c>
      <c r="V167" s="93">
        <v>46161</v>
      </c>
      <c r="W167" s="93" t="s">
        <v>73</v>
      </c>
      <c r="X167" s="93" t="s">
        <v>73</v>
      </c>
      <c r="Y167" s="98"/>
      <c r="Z167" s="89" t="s">
        <v>62</v>
      </c>
      <c r="AA167" s="97">
        <v>46167</v>
      </c>
      <c r="AB167" s="89" t="s">
        <v>75</v>
      </c>
      <c r="AC167" s="120"/>
      <c r="AD167" s="89"/>
      <c r="AE167" s="89"/>
      <c r="AF167" s="89">
        <v>3.15</v>
      </c>
      <c r="AG167" s="89">
        <v>3.15</v>
      </c>
      <c r="AH167" s="99"/>
      <c r="AI167" s="99"/>
      <c r="AJ167" s="119" t="s">
        <v>91</v>
      </c>
      <c r="AK167" s="100"/>
      <c r="AL167" s="100" t="s">
        <v>64</v>
      </c>
      <c r="AM167" s="100" t="s">
        <v>102</v>
      </c>
      <c r="AN167" s="45" t="s">
        <v>65</v>
      </c>
      <c r="AO167" s="198" t="str">
        <f t="shared" si="18"/>
        <v>5/2026</v>
      </c>
      <c r="AP167" s="198">
        <f t="shared" si="19"/>
        <v>2</v>
      </c>
      <c r="AQ167" s="45" t="str">
        <f t="shared" si="20"/>
        <v>5/2026</v>
      </c>
      <c r="AR167" s="45">
        <f t="shared" si="21"/>
        <v>4</v>
      </c>
      <c r="AS167" s="45">
        <f t="shared" si="22"/>
        <v>0</v>
      </c>
      <c r="AT167" s="45">
        <f t="shared" si="23"/>
        <v>0</v>
      </c>
      <c r="AU167" s="45">
        <f t="shared" si="24"/>
        <v>0</v>
      </c>
      <c r="AV167" s="45">
        <f t="shared" si="25"/>
        <v>0</v>
      </c>
      <c r="AW167" s="45" t="str">
        <f>_xlfn.XLOOKUP(W167,'Lista Suspensa'!$AA$20:$AA$23,'Lista Suspensa'!$AB$20:$AB$23,"N/A")</f>
        <v>N/A</v>
      </c>
    </row>
    <row r="168" spans="1:49" ht="12" customHeight="1" x14ac:dyDescent="0.3">
      <c r="A168" s="87" t="s">
        <v>49</v>
      </c>
      <c r="B168" s="88">
        <v>46147</v>
      </c>
      <c r="C168" s="89" t="s">
        <v>50</v>
      </c>
      <c r="D168" s="89" t="s">
        <v>51</v>
      </c>
      <c r="E168" s="90">
        <v>81258023</v>
      </c>
      <c r="F168" s="91" t="s">
        <v>500</v>
      </c>
      <c r="G168" s="92">
        <v>18193964870</v>
      </c>
      <c r="H168" s="93">
        <v>25922</v>
      </c>
      <c r="I168" s="89">
        <v>55</v>
      </c>
      <c r="J168" s="89" t="s">
        <v>67</v>
      </c>
      <c r="K168" s="89" t="s">
        <v>54</v>
      </c>
      <c r="L168" s="89" t="s">
        <v>501</v>
      </c>
      <c r="M168" s="89"/>
      <c r="N168" s="89" t="s">
        <v>69</v>
      </c>
      <c r="O168" s="94" t="s">
        <v>502</v>
      </c>
      <c r="P168" s="95" t="s">
        <v>58</v>
      </c>
      <c r="Q168" s="144" t="s">
        <v>59</v>
      </c>
      <c r="R168" s="96">
        <v>46161</v>
      </c>
      <c r="S168" s="97"/>
      <c r="T168" s="97" t="s">
        <v>60</v>
      </c>
      <c r="U168" s="97" t="s">
        <v>61</v>
      </c>
      <c r="V168" s="93">
        <v>46161</v>
      </c>
      <c r="W168" s="93" t="s">
        <v>73</v>
      </c>
      <c r="X168" s="93" t="s">
        <v>73</v>
      </c>
      <c r="Y168" s="98"/>
      <c r="Z168" s="89" t="s">
        <v>62</v>
      </c>
      <c r="AA168" s="97">
        <v>46163</v>
      </c>
      <c r="AB168" s="89" t="s">
        <v>75</v>
      </c>
      <c r="AC168" s="120"/>
      <c r="AD168" s="89" t="s">
        <v>122</v>
      </c>
      <c r="AE168" s="89"/>
      <c r="AF168" s="89">
        <v>1.52</v>
      </c>
      <c r="AG168" s="89">
        <v>1.52</v>
      </c>
      <c r="AH168" s="99" t="s">
        <v>503</v>
      </c>
      <c r="AI168" s="99"/>
      <c r="AJ168" s="119" t="s">
        <v>91</v>
      </c>
      <c r="AK168" s="100"/>
      <c r="AL168" s="100" t="s">
        <v>64</v>
      </c>
      <c r="AM168" s="100" t="s">
        <v>102</v>
      </c>
      <c r="AN168" s="45" t="s">
        <v>65</v>
      </c>
      <c r="AO168" s="198" t="str">
        <f t="shared" si="18"/>
        <v>5/2026</v>
      </c>
      <c r="AP168" s="198">
        <f t="shared" si="19"/>
        <v>2</v>
      </c>
      <c r="AQ168" s="45" t="str">
        <f t="shared" si="20"/>
        <v>5/2026</v>
      </c>
      <c r="AR168" s="45">
        <f t="shared" si="21"/>
        <v>4</v>
      </c>
      <c r="AS168" s="45">
        <f t="shared" si="22"/>
        <v>0</v>
      </c>
      <c r="AT168" s="45">
        <f t="shared" si="23"/>
        <v>0</v>
      </c>
      <c r="AU168" s="45">
        <f t="shared" si="24"/>
        <v>0</v>
      </c>
      <c r="AV168" s="45">
        <f t="shared" si="25"/>
        <v>0</v>
      </c>
      <c r="AW168" s="45" t="str">
        <f>_xlfn.XLOOKUP(W168,'Lista Suspensa'!$AA$20:$AA$23,'Lista Suspensa'!$AB$20:$AB$23,"N/A")</f>
        <v>N/A</v>
      </c>
    </row>
    <row r="169" spans="1:49" ht="12" customHeight="1" x14ac:dyDescent="0.3">
      <c r="A169" s="87" t="s">
        <v>49</v>
      </c>
      <c r="B169" s="88">
        <v>46147</v>
      </c>
      <c r="C169" s="89" t="s">
        <v>50</v>
      </c>
      <c r="D169" s="89" t="s">
        <v>51</v>
      </c>
      <c r="E169" s="90">
        <v>450107345</v>
      </c>
      <c r="F169" s="91" t="s">
        <v>504</v>
      </c>
      <c r="G169" s="92">
        <v>27615763819</v>
      </c>
      <c r="H169" s="93">
        <v>27702</v>
      </c>
      <c r="I169" s="89">
        <v>50</v>
      </c>
      <c r="J169" s="89" t="s">
        <v>67</v>
      </c>
      <c r="K169" s="89" t="s">
        <v>54</v>
      </c>
      <c r="L169" s="89" t="s">
        <v>501</v>
      </c>
      <c r="M169" s="89"/>
      <c r="N169" s="89" t="s">
        <v>108</v>
      </c>
      <c r="O169" s="94" t="s">
        <v>505</v>
      </c>
      <c r="P169" s="95" t="s">
        <v>58</v>
      </c>
      <c r="Q169" s="144" t="s">
        <v>59</v>
      </c>
      <c r="R169" s="96">
        <v>46161</v>
      </c>
      <c r="S169" s="97"/>
      <c r="T169" s="97" t="s">
        <v>60</v>
      </c>
      <c r="U169" s="97" t="s">
        <v>61</v>
      </c>
      <c r="V169" s="93">
        <v>46161</v>
      </c>
      <c r="W169" s="93" t="s">
        <v>73</v>
      </c>
      <c r="X169" s="93" t="s">
        <v>73</v>
      </c>
      <c r="Y169" s="98"/>
      <c r="Z169" s="89" t="s">
        <v>62</v>
      </c>
      <c r="AA169" s="97">
        <v>46167</v>
      </c>
      <c r="AB169" s="89" t="s">
        <v>75</v>
      </c>
      <c r="AC169" s="120"/>
      <c r="AD169" s="89"/>
      <c r="AE169" s="89"/>
      <c r="AF169" s="89">
        <v>2.29</v>
      </c>
      <c r="AG169" s="89">
        <v>2.29</v>
      </c>
      <c r="AH169" s="99" t="s">
        <v>307</v>
      </c>
      <c r="AI169" s="99" t="s">
        <v>307</v>
      </c>
      <c r="AJ169" s="119" t="s">
        <v>91</v>
      </c>
      <c r="AK169" s="100"/>
      <c r="AL169" s="100" t="s">
        <v>64</v>
      </c>
      <c r="AM169" s="100" t="s">
        <v>102</v>
      </c>
      <c r="AN169" s="45" t="s">
        <v>65</v>
      </c>
      <c r="AO169" s="198" t="str">
        <f t="shared" si="18"/>
        <v>5/2026</v>
      </c>
      <c r="AP169" s="198">
        <f t="shared" si="19"/>
        <v>2</v>
      </c>
      <c r="AQ169" s="45" t="str">
        <f t="shared" si="20"/>
        <v>5/2026</v>
      </c>
      <c r="AR169" s="45">
        <f t="shared" si="21"/>
        <v>4</v>
      </c>
      <c r="AS169" s="45">
        <f t="shared" si="22"/>
        <v>0</v>
      </c>
      <c r="AT169" s="45">
        <f t="shared" si="23"/>
        <v>0</v>
      </c>
      <c r="AU169" s="45">
        <f t="shared" si="24"/>
        <v>0</v>
      </c>
      <c r="AV169" s="45">
        <f t="shared" si="25"/>
        <v>0</v>
      </c>
      <c r="AW169" s="45" t="str">
        <f>_xlfn.XLOOKUP(W169,'Lista Suspensa'!$AA$20:$AA$23,'Lista Suspensa'!$AB$20:$AB$23,"N/A")</f>
        <v>N/A</v>
      </c>
    </row>
    <row r="170" spans="1:49" ht="12" customHeight="1" x14ac:dyDescent="0.3">
      <c r="A170" s="87" t="s">
        <v>49</v>
      </c>
      <c r="B170" s="88">
        <v>46147</v>
      </c>
      <c r="C170" s="89" t="s">
        <v>50</v>
      </c>
      <c r="D170" s="89" t="s">
        <v>51</v>
      </c>
      <c r="E170" s="90">
        <v>81408424</v>
      </c>
      <c r="F170" s="91" t="s">
        <v>506</v>
      </c>
      <c r="G170" s="92" t="s">
        <v>507</v>
      </c>
      <c r="H170" s="93">
        <v>22626</v>
      </c>
      <c r="I170" s="89">
        <v>64</v>
      </c>
      <c r="J170" s="89" t="s">
        <v>67</v>
      </c>
      <c r="K170" s="89"/>
      <c r="L170" s="89"/>
      <c r="M170" s="89"/>
      <c r="N170" s="89"/>
      <c r="O170" s="94">
        <v>21996823695</v>
      </c>
      <c r="P170" s="95" t="s">
        <v>58</v>
      </c>
      <c r="Q170" s="144" t="s">
        <v>59</v>
      </c>
      <c r="R170" s="96">
        <v>46161</v>
      </c>
      <c r="S170" s="97"/>
      <c r="T170" s="97" t="s">
        <v>60</v>
      </c>
      <c r="U170" s="97" t="s">
        <v>61</v>
      </c>
      <c r="V170" s="93">
        <v>46161</v>
      </c>
      <c r="W170" s="93" t="s">
        <v>73</v>
      </c>
      <c r="X170" s="93" t="s">
        <v>73</v>
      </c>
      <c r="Y170" s="98"/>
      <c r="Z170" s="89" t="s">
        <v>62</v>
      </c>
      <c r="AA170" s="97">
        <v>46169</v>
      </c>
      <c r="AB170" s="89" t="s">
        <v>75</v>
      </c>
      <c r="AC170" s="120"/>
      <c r="AD170" s="89"/>
      <c r="AE170" s="89"/>
      <c r="AF170" s="89">
        <v>3.7</v>
      </c>
      <c r="AG170" s="89">
        <v>3.7</v>
      </c>
      <c r="AH170" s="99" t="s">
        <v>307</v>
      </c>
      <c r="AI170" s="99" t="s">
        <v>307</v>
      </c>
      <c r="AJ170" s="119" t="s">
        <v>91</v>
      </c>
      <c r="AK170" s="100"/>
      <c r="AL170" s="100" t="s">
        <v>64</v>
      </c>
      <c r="AM170" s="100" t="s">
        <v>102</v>
      </c>
      <c r="AN170" s="45" t="s">
        <v>65</v>
      </c>
      <c r="AO170" s="198" t="str">
        <f t="shared" si="18"/>
        <v>5/2026</v>
      </c>
      <c r="AP170" s="198">
        <f t="shared" si="19"/>
        <v>2</v>
      </c>
      <c r="AQ170" s="45" t="str">
        <f t="shared" si="20"/>
        <v>5/2026</v>
      </c>
      <c r="AR170" s="45">
        <f t="shared" si="21"/>
        <v>4</v>
      </c>
      <c r="AS170" s="45">
        <f t="shared" si="22"/>
        <v>0</v>
      </c>
      <c r="AT170" s="45">
        <f t="shared" si="23"/>
        <v>0</v>
      </c>
      <c r="AU170" s="45">
        <f t="shared" si="24"/>
        <v>0</v>
      </c>
      <c r="AV170" s="45">
        <f t="shared" si="25"/>
        <v>0</v>
      </c>
      <c r="AW170" s="45" t="str">
        <f>_xlfn.XLOOKUP(W170,'Lista Suspensa'!$AA$20:$AA$23,'Lista Suspensa'!$AB$20:$AB$23,"N/A")</f>
        <v>N/A</v>
      </c>
    </row>
    <row r="171" spans="1:49" ht="12" customHeight="1" x14ac:dyDescent="0.3">
      <c r="A171" s="87" t="s">
        <v>49</v>
      </c>
      <c r="B171" s="88">
        <v>46147</v>
      </c>
      <c r="C171" s="89" t="s">
        <v>50</v>
      </c>
      <c r="D171" s="89" t="s">
        <v>51</v>
      </c>
      <c r="E171" s="90">
        <v>809867346</v>
      </c>
      <c r="F171" s="91" t="s">
        <v>508</v>
      </c>
      <c r="G171" s="92">
        <v>64914321815</v>
      </c>
      <c r="H171" s="93">
        <v>19623</v>
      </c>
      <c r="I171" s="89">
        <v>72</v>
      </c>
      <c r="J171" s="89" t="s">
        <v>53</v>
      </c>
      <c r="K171" s="89" t="s">
        <v>54</v>
      </c>
      <c r="L171" s="89" t="s">
        <v>146</v>
      </c>
      <c r="M171" s="89"/>
      <c r="N171" s="89" t="s">
        <v>209</v>
      </c>
      <c r="O171" s="94" t="s">
        <v>509</v>
      </c>
      <c r="P171" s="95" t="s">
        <v>58</v>
      </c>
      <c r="Q171" s="144" t="s">
        <v>59</v>
      </c>
      <c r="R171" s="96">
        <v>46161</v>
      </c>
      <c r="S171" s="97"/>
      <c r="T171" s="97" t="s">
        <v>60</v>
      </c>
      <c r="U171" s="97" t="s">
        <v>61</v>
      </c>
      <c r="V171" s="93">
        <v>46161</v>
      </c>
      <c r="W171" s="93" t="s">
        <v>73</v>
      </c>
      <c r="X171" s="93" t="s">
        <v>73</v>
      </c>
      <c r="Y171" s="98"/>
      <c r="Z171" s="89" t="s">
        <v>62</v>
      </c>
      <c r="AA171" s="97">
        <v>46170</v>
      </c>
      <c r="AB171" s="89" t="s">
        <v>75</v>
      </c>
      <c r="AC171" s="120"/>
      <c r="AD171" s="89" t="s">
        <v>122</v>
      </c>
      <c r="AE171" s="89"/>
      <c r="AF171" s="89">
        <v>2.71</v>
      </c>
      <c r="AG171" s="89">
        <v>2.71</v>
      </c>
      <c r="AH171" s="99" t="s">
        <v>510</v>
      </c>
      <c r="AI171" s="99"/>
      <c r="AJ171" s="119" t="s">
        <v>91</v>
      </c>
      <c r="AK171" s="100"/>
      <c r="AL171" s="100" t="s">
        <v>64</v>
      </c>
      <c r="AM171" s="100" t="s">
        <v>102</v>
      </c>
      <c r="AN171" s="45" t="s">
        <v>65</v>
      </c>
      <c r="AO171" s="198" t="str">
        <f t="shared" si="18"/>
        <v>5/2026</v>
      </c>
      <c r="AP171" s="198">
        <f t="shared" si="19"/>
        <v>2</v>
      </c>
      <c r="AQ171" s="45" t="str">
        <f t="shared" si="20"/>
        <v>5/2026</v>
      </c>
      <c r="AR171" s="45">
        <f t="shared" si="21"/>
        <v>4</v>
      </c>
      <c r="AS171" s="45">
        <f t="shared" si="22"/>
        <v>0</v>
      </c>
      <c r="AT171" s="45">
        <f t="shared" si="23"/>
        <v>0</v>
      </c>
      <c r="AU171" s="45">
        <f t="shared" si="24"/>
        <v>0</v>
      </c>
      <c r="AV171" s="45">
        <f t="shared" si="25"/>
        <v>0</v>
      </c>
      <c r="AW171" s="45" t="str">
        <f>_xlfn.XLOOKUP(W171,'Lista Suspensa'!$AA$20:$AA$23,'Lista Suspensa'!$AB$20:$AB$23,"N/A")</f>
        <v>N/A</v>
      </c>
    </row>
    <row r="172" spans="1:49" ht="12" customHeight="1" x14ac:dyDescent="0.3">
      <c r="A172" s="87" t="s">
        <v>102</v>
      </c>
      <c r="B172" s="88">
        <v>46150</v>
      </c>
      <c r="C172" s="89" t="s">
        <v>143</v>
      </c>
      <c r="D172" s="89" t="s">
        <v>144</v>
      </c>
      <c r="E172" s="90">
        <v>451577973</v>
      </c>
      <c r="F172" s="91" t="s">
        <v>511</v>
      </c>
      <c r="G172" s="92" t="s">
        <v>512</v>
      </c>
      <c r="H172" s="93">
        <v>32849</v>
      </c>
      <c r="I172" s="89">
        <v>36</v>
      </c>
      <c r="J172" s="89" t="s">
        <v>67</v>
      </c>
      <c r="K172" s="89" t="s">
        <v>54</v>
      </c>
      <c r="L172" s="89" t="s">
        <v>93</v>
      </c>
      <c r="M172" s="89" t="s">
        <v>513</v>
      </c>
      <c r="N172" s="89" t="s">
        <v>100</v>
      </c>
      <c r="O172" s="94">
        <v>11985214914</v>
      </c>
      <c r="P172" s="95" t="s">
        <v>58</v>
      </c>
      <c r="Q172" s="144" t="s">
        <v>59</v>
      </c>
      <c r="R172" s="96">
        <v>46153</v>
      </c>
      <c r="S172" s="97"/>
      <c r="T172" s="97" t="s">
        <v>60</v>
      </c>
      <c r="U172" s="97" t="s">
        <v>61</v>
      </c>
      <c r="V172" s="93">
        <v>46153</v>
      </c>
      <c r="W172" s="93" t="s">
        <v>73</v>
      </c>
      <c r="X172" s="93" t="s">
        <v>73</v>
      </c>
      <c r="Y172" s="98"/>
      <c r="Z172" s="89" t="s">
        <v>62</v>
      </c>
      <c r="AA172" s="97">
        <v>46154</v>
      </c>
      <c r="AB172" s="89" t="s">
        <v>142</v>
      </c>
      <c r="AC172" s="120"/>
      <c r="AD172" s="89"/>
      <c r="AE172" s="89"/>
      <c r="AF172" s="89"/>
      <c r="AG172" s="89"/>
      <c r="AH172" s="99"/>
      <c r="AI172" s="99"/>
      <c r="AJ172" s="99"/>
      <c r="AK172" s="100"/>
      <c r="AL172" s="100" t="s">
        <v>64</v>
      </c>
      <c r="AM172" s="100" t="s">
        <v>102</v>
      </c>
      <c r="AN172" s="45" t="s">
        <v>65</v>
      </c>
      <c r="AO172" s="198" t="str">
        <f t="shared" si="18"/>
        <v>5/2026</v>
      </c>
      <c r="AP172" s="198">
        <f t="shared" si="19"/>
        <v>2</v>
      </c>
      <c r="AQ172" s="45" t="str">
        <f t="shared" si="20"/>
        <v>5/2026</v>
      </c>
      <c r="AR172" s="45">
        <f t="shared" si="21"/>
        <v>3</v>
      </c>
      <c r="AS172" s="45">
        <f t="shared" si="22"/>
        <v>0</v>
      </c>
      <c r="AT172" s="45">
        <f t="shared" si="23"/>
        <v>0</v>
      </c>
      <c r="AU172" s="45">
        <f t="shared" si="24"/>
        <v>0</v>
      </c>
      <c r="AV172" s="45">
        <f t="shared" si="25"/>
        <v>0</v>
      </c>
      <c r="AW172" s="45" t="str">
        <f>_xlfn.XLOOKUP(W172,'Lista Suspensa'!$AA$20:$AA$23,'Lista Suspensa'!$AB$20:$AB$23,"N/A")</f>
        <v>N/A</v>
      </c>
    </row>
    <row r="173" spans="1:49" ht="12" customHeight="1" x14ac:dyDescent="0.3">
      <c r="A173" s="87" t="s">
        <v>49</v>
      </c>
      <c r="B173" s="88">
        <v>46147</v>
      </c>
      <c r="C173" s="89" t="s">
        <v>50</v>
      </c>
      <c r="D173" s="89" t="s">
        <v>51</v>
      </c>
      <c r="E173" s="90">
        <v>450103234</v>
      </c>
      <c r="F173" s="91" t="s">
        <v>514</v>
      </c>
      <c r="G173" s="92">
        <v>56044046834</v>
      </c>
      <c r="H173" s="93">
        <v>18680</v>
      </c>
      <c r="I173" s="89">
        <v>75</v>
      </c>
      <c r="J173" s="89" t="s">
        <v>53</v>
      </c>
      <c r="K173" s="89" t="s">
        <v>54</v>
      </c>
      <c r="L173" s="89" t="s">
        <v>93</v>
      </c>
      <c r="M173" s="89"/>
      <c r="N173" s="89" t="s">
        <v>108</v>
      </c>
      <c r="O173" s="94" t="s">
        <v>515</v>
      </c>
      <c r="P173" s="95" t="s">
        <v>58</v>
      </c>
      <c r="Q173" s="144" t="s">
        <v>59</v>
      </c>
      <c r="R173" s="96">
        <v>46161</v>
      </c>
      <c r="S173" s="97"/>
      <c r="T173" s="97" t="s">
        <v>60</v>
      </c>
      <c r="U173" s="97" t="s">
        <v>61</v>
      </c>
      <c r="V173" s="93">
        <v>46161</v>
      </c>
      <c r="W173" s="93" t="s">
        <v>73</v>
      </c>
      <c r="X173" s="93" t="s">
        <v>73</v>
      </c>
      <c r="Y173" s="98" t="s">
        <v>516</v>
      </c>
      <c r="Z173" s="89" t="s">
        <v>62</v>
      </c>
      <c r="AA173" s="97">
        <v>46170</v>
      </c>
      <c r="AB173" s="89" t="s">
        <v>75</v>
      </c>
      <c r="AC173" s="120"/>
      <c r="AD173" s="89"/>
      <c r="AE173" s="89"/>
      <c r="AF173" s="89" t="s">
        <v>344</v>
      </c>
      <c r="AG173" s="89" t="s">
        <v>344</v>
      </c>
      <c r="AH173" s="99" t="s">
        <v>517</v>
      </c>
      <c r="AI173" s="99"/>
      <c r="AJ173" s="99" t="s">
        <v>115</v>
      </c>
      <c r="AK173" s="100"/>
      <c r="AL173" s="100" t="s">
        <v>64</v>
      </c>
      <c r="AM173" s="100" t="s">
        <v>102</v>
      </c>
      <c r="AN173" s="45" t="s">
        <v>65</v>
      </c>
      <c r="AO173" s="198" t="str">
        <f t="shared" si="18"/>
        <v>5/2026</v>
      </c>
      <c r="AP173" s="198">
        <f t="shared" si="19"/>
        <v>2</v>
      </c>
      <c r="AQ173" s="45" t="str">
        <f t="shared" si="20"/>
        <v>5/2026</v>
      </c>
      <c r="AR173" s="45">
        <f t="shared" si="21"/>
        <v>4</v>
      </c>
      <c r="AS173" s="45">
        <f t="shared" si="22"/>
        <v>0</v>
      </c>
      <c r="AT173" s="45">
        <f t="shared" si="23"/>
        <v>0</v>
      </c>
      <c r="AU173" s="45">
        <f t="shared" si="24"/>
        <v>0</v>
      </c>
      <c r="AV173" s="45">
        <f t="shared" si="25"/>
        <v>0</v>
      </c>
      <c r="AW173" s="45" t="str">
        <f>_xlfn.XLOOKUP(W173,'Lista Suspensa'!$AA$20:$AA$23,'Lista Suspensa'!$AB$20:$AB$23,"N/A")</f>
        <v>N/A</v>
      </c>
    </row>
    <row r="174" spans="1:49" ht="12" customHeight="1" x14ac:dyDescent="0.3">
      <c r="A174" s="87" t="s">
        <v>102</v>
      </c>
      <c r="B174" s="88">
        <v>46157</v>
      </c>
      <c r="C174" s="89" t="s">
        <v>143</v>
      </c>
      <c r="D174" s="89" t="s">
        <v>144</v>
      </c>
      <c r="E174" s="90">
        <v>809209136</v>
      </c>
      <c r="F174" s="91" t="s">
        <v>518</v>
      </c>
      <c r="G174" s="92">
        <v>89490738891</v>
      </c>
      <c r="H174" s="93">
        <v>21178</v>
      </c>
      <c r="I174" s="89">
        <v>68</v>
      </c>
      <c r="J174" s="89" t="s">
        <v>53</v>
      </c>
      <c r="K174" s="89" t="s">
        <v>54</v>
      </c>
      <c r="L174" s="89" t="s">
        <v>86</v>
      </c>
      <c r="M174" s="89" t="s">
        <v>519</v>
      </c>
      <c r="N174" s="89" t="s">
        <v>108</v>
      </c>
      <c r="O174" s="94">
        <v>11951319198</v>
      </c>
      <c r="P174" s="95" t="s">
        <v>58</v>
      </c>
      <c r="Q174" s="144" t="s">
        <v>59</v>
      </c>
      <c r="R174" s="96">
        <v>46161</v>
      </c>
      <c r="S174" s="97"/>
      <c r="T174" s="97" t="s">
        <v>60</v>
      </c>
      <c r="U174" s="97" t="s">
        <v>61</v>
      </c>
      <c r="V174" s="93">
        <v>46161</v>
      </c>
      <c r="W174" s="93" t="s">
        <v>73</v>
      </c>
      <c r="X174" s="93" t="s">
        <v>73</v>
      </c>
      <c r="Y174" s="98"/>
      <c r="Z174" s="89" t="s">
        <v>62</v>
      </c>
      <c r="AA174" s="97">
        <v>46171</v>
      </c>
      <c r="AB174" s="89" t="s">
        <v>75</v>
      </c>
      <c r="AC174" s="120"/>
      <c r="AD174" s="89"/>
      <c r="AE174" s="89"/>
      <c r="AF174" s="89" t="s">
        <v>89</v>
      </c>
      <c r="AG174" s="89">
        <v>2.87</v>
      </c>
      <c r="AH174" s="99" t="s">
        <v>307</v>
      </c>
      <c r="AI174" s="99" t="s">
        <v>307</v>
      </c>
      <c r="AJ174" s="99" t="s">
        <v>91</v>
      </c>
      <c r="AK174" s="100"/>
      <c r="AL174" s="100" t="s">
        <v>64</v>
      </c>
      <c r="AM174" s="100" t="s">
        <v>102</v>
      </c>
      <c r="AN174" s="45" t="s">
        <v>65</v>
      </c>
      <c r="AO174" s="198" t="str">
        <f t="shared" si="18"/>
        <v>5/2026</v>
      </c>
      <c r="AP174" s="198">
        <f t="shared" si="19"/>
        <v>3</v>
      </c>
      <c r="AQ174" s="45" t="str">
        <f t="shared" si="20"/>
        <v>5/2026</v>
      </c>
      <c r="AR174" s="45">
        <f t="shared" si="21"/>
        <v>4</v>
      </c>
      <c r="AS174" s="45">
        <f t="shared" si="22"/>
        <v>0</v>
      </c>
      <c r="AT174" s="45">
        <f t="shared" si="23"/>
        <v>0</v>
      </c>
      <c r="AU174" s="45">
        <f t="shared" si="24"/>
        <v>0</v>
      </c>
      <c r="AV174" s="45">
        <f t="shared" si="25"/>
        <v>0</v>
      </c>
      <c r="AW174" s="45" t="str">
        <f>_xlfn.XLOOKUP(W174,'Lista Suspensa'!$AA$20:$AA$23,'Lista Suspensa'!$AB$20:$AB$23,"N/A")</f>
        <v>N/A</v>
      </c>
    </row>
    <row r="175" spans="1:49" ht="12" customHeight="1" x14ac:dyDescent="0.3">
      <c r="A175" s="87" t="s">
        <v>102</v>
      </c>
      <c r="B175" s="88">
        <v>46161</v>
      </c>
      <c r="C175" s="89" t="s">
        <v>143</v>
      </c>
      <c r="D175" s="89" t="s">
        <v>144</v>
      </c>
      <c r="E175" s="112">
        <v>87488634</v>
      </c>
      <c r="F175" s="91" t="s">
        <v>520</v>
      </c>
      <c r="G175" s="92" t="s">
        <v>521</v>
      </c>
      <c r="H175" s="93">
        <v>29601</v>
      </c>
      <c r="I175" s="89">
        <v>45</v>
      </c>
      <c r="J175" s="89" t="s">
        <v>67</v>
      </c>
      <c r="K175" s="89" t="s">
        <v>54</v>
      </c>
      <c r="L175" s="89" t="s">
        <v>146</v>
      </c>
      <c r="M175" s="89" t="s">
        <v>522</v>
      </c>
      <c r="N175" s="89" t="s">
        <v>523</v>
      </c>
      <c r="O175" s="94">
        <v>11940641618</v>
      </c>
      <c r="P175" s="95" t="s">
        <v>58</v>
      </c>
      <c r="Q175" s="144" t="s">
        <v>59</v>
      </c>
      <c r="R175" s="96">
        <v>46164</v>
      </c>
      <c r="S175" s="97"/>
      <c r="T175" s="97" t="s">
        <v>60</v>
      </c>
      <c r="U175" s="97" t="s">
        <v>61</v>
      </c>
      <c r="V175" s="93">
        <v>46164</v>
      </c>
      <c r="W175" s="93" t="s">
        <v>73</v>
      </c>
      <c r="X175" s="93" t="s">
        <v>73</v>
      </c>
      <c r="Y175" s="98"/>
      <c r="Z175" s="89" t="s">
        <v>62</v>
      </c>
      <c r="AA175" s="97">
        <v>46169</v>
      </c>
      <c r="AB175" s="89" t="s">
        <v>75</v>
      </c>
      <c r="AC175" s="120"/>
      <c r="AD175" s="89"/>
      <c r="AE175" s="89"/>
      <c r="AF175" s="89" t="s">
        <v>105</v>
      </c>
      <c r="AG175" s="89" t="s">
        <v>105</v>
      </c>
      <c r="AH175" s="99" t="s">
        <v>524</v>
      </c>
      <c r="AI175" s="99"/>
      <c r="AJ175" s="119" t="s">
        <v>91</v>
      </c>
      <c r="AK175" s="100"/>
      <c r="AL175" s="100" t="s">
        <v>64</v>
      </c>
      <c r="AM175" s="100" t="s">
        <v>102</v>
      </c>
      <c r="AN175" s="45" t="s">
        <v>65</v>
      </c>
      <c r="AO175" s="198" t="str">
        <f t="shared" si="18"/>
        <v>5/2026</v>
      </c>
      <c r="AP175" s="198">
        <f t="shared" si="19"/>
        <v>4</v>
      </c>
      <c r="AQ175" s="45" t="str">
        <f t="shared" si="20"/>
        <v>5/2026</v>
      </c>
      <c r="AR175" s="45">
        <f t="shared" si="21"/>
        <v>4</v>
      </c>
      <c r="AS175" s="45">
        <f t="shared" si="22"/>
        <v>0</v>
      </c>
      <c r="AT175" s="45">
        <f t="shared" si="23"/>
        <v>0</v>
      </c>
      <c r="AU175" s="45">
        <f t="shared" si="24"/>
        <v>0</v>
      </c>
      <c r="AV175" s="45">
        <f t="shared" si="25"/>
        <v>0</v>
      </c>
      <c r="AW175" s="45" t="str">
        <f>_xlfn.XLOOKUP(W175,'Lista Suspensa'!$AA$20:$AA$23,'Lista Suspensa'!$AB$20:$AB$23,"N/A")</f>
        <v>N/A</v>
      </c>
    </row>
    <row r="176" spans="1:49" ht="12" customHeight="1" x14ac:dyDescent="0.3">
      <c r="A176" s="87" t="s">
        <v>102</v>
      </c>
      <c r="B176" s="88">
        <v>46162</v>
      </c>
      <c r="C176" s="89" t="s">
        <v>143</v>
      </c>
      <c r="D176" s="89" t="s">
        <v>51</v>
      </c>
      <c r="E176" s="112">
        <v>87778344</v>
      </c>
      <c r="F176" s="91" t="s">
        <v>525</v>
      </c>
      <c r="G176" s="92">
        <v>2112923706</v>
      </c>
      <c r="H176" s="93">
        <v>27302</v>
      </c>
      <c r="I176" s="89">
        <v>51</v>
      </c>
      <c r="J176" s="89" t="s">
        <v>67</v>
      </c>
      <c r="K176" s="89" t="s">
        <v>77</v>
      </c>
      <c r="L176" s="89" t="s">
        <v>78</v>
      </c>
      <c r="M176" s="89" t="s">
        <v>526</v>
      </c>
      <c r="N176" s="89">
        <v>380</v>
      </c>
      <c r="O176" s="94" t="s">
        <v>527</v>
      </c>
      <c r="P176" s="95" t="s">
        <v>58</v>
      </c>
      <c r="Q176" s="144" t="s">
        <v>59</v>
      </c>
      <c r="R176" s="96">
        <v>46164</v>
      </c>
      <c r="S176" s="97"/>
      <c r="T176" s="97" t="s">
        <v>60</v>
      </c>
      <c r="U176" s="97" t="s">
        <v>61</v>
      </c>
      <c r="V176" s="93">
        <v>46164</v>
      </c>
      <c r="W176" s="93"/>
      <c r="X176" s="93"/>
      <c r="Y176" s="98"/>
      <c r="Z176" s="89" t="s">
        <v>62</v>
      </c>
      <c r="AA176" s="97">
        <v>46167</v>
      </c>
      <c r="AB176" s="89" t="s">
        <v>75</v>
      </c>
      <c r="AC176" s="120"/>
      <c r="AD176" s="89"/>
      <c r="AE176" s="89"/>
      <c r="AF176" s="89">
        <v>46142</v>
      </c>
      <c r="AG176" s="89">
        <v>46142</v>
      </c>
      <c r="AH176" s="99" t="s">
        <v>105</v>
      </c>
      <c r="AI176" s="99"/>
      <c r="AJ176" s="119" t="s">
        <v>91</v>
      </c>
      <c r="AK176" s="100"/>
      <c r="AL176" s="100" t="s">
        <v>64</v>
      </c>
      <c r="AM176" s="100" t="s">
        <v>102</v>
      </c>
      <c r="AN176" s="45" t="s">
        <v>65</v>
      </c>
      <c r="AO176" s="198" t="str">
        <f t="shared" si="18"/>
        <v>5/2026</v>
      </c>
      <c r="AP176" s="198">
        <f t="shared" si="19"/>
        <v>4</v>
      </c>
      <c r="AQ176" s="45" t="str">
        <f t="shared" si="20"/>
        <v>5/2026</v>
      </c>
      <c r="AR176" s="45">
        <f t="shared" si="21"/>
        <v>4</v>
      </c>
      <c r="AS176" s="45">
        <f t="shared" si="22"/>
        <v>2</v>
      </c>
      <c r="AT176" s="45">
        <f t="shared" si="23"/>
        <v>0</v>
      </c>
      <c r="AU176" s="45">
        <f t="shared" si="24"/>
        <v>0</v>
      </c>
      <c r="AV176" s="45">
        <f t="shared" si="25"/>
        <v>3</v>
      </c>
      <c r="AW176" s="45" t="str">
        <f>_xlfn.XLOOKUP(W176,'Lista Suspensa'!$AA$20:$AA$23,'Lista Suspensa'!$AB$20:$AB$23,"N/A")</f>
        <v>S</v>
      </c>
    </row>
    <row r="177" spans="1:49" ht="12" customHeight="1" x14ac:dyDescent="0.3">
      <c r="A177" s="87" t="s">
        <v>102</v>
      </c>
      <c r="B177" s="93">
        <v>46167</v>
      </c>
      <c r="C177" s="89" t="s">
        <v>143</v>
      </c>
      <c r="D177" s="89" t="s">
        <v>144</v>
      </c>
      <c r="E177" s="112">
        <v>804595275</v>
      </c>
      <c r="F177" s="91" t="s">
        <v>528</v>
      </c>
      <c r="G177" s="113">
        <v>29691137836</v>
      </c>
      <c r="H177" s="98">
        <v>395166</v>
      </c>
      <c r="I177" s="92">
        <v>44</v>
      </c>
      <c r="J177" s="89" t="s">
        <v>67</v>
      </c>
      <c r="K177" s="89" t="s">
        <v>54</v>
      </c>
      <c r="L177" s="89" t="s">
        <v>529</v>
      </c>
      <c r="M177" s="89" t="s">
        <v>530</v>
      </c>
      <c r="N177" s="89">
        <v>100</v>
      </c>
      <c r="O177" s="91" t="s">
        <v>531</v>
      </c>
      <c r="P177" s="95" t="s">
        <v>58</v>
      </c>
      <c r="Q177" s="144" t="s">
        <v>59</v>
      </c>
      <c r="R177" s="122">
        <v>46168</v>
      </c>
      <c r="S177" s="122"/>
      <c r="T177" s="97" t="s">
        <v>60</v>
      </c>
      <c r="U177" s="97" t="s">
        <v>61</v>
      </c>
      <c r="V177" s="118">
        <v>46168</v>
      </c>
      <c r="W177" s="98" t="s">
        <v>73</v>
      </c>
      <c r="X177" s="98" t="s">
        <v>73</v>
      </c>
      <c r="Y177" s="118"/>
      <c r="Z177" s="89" t="s">
        <v>62</v>
      </c>
      <c r="AA177" s="122">
        <v>46175</v>
      </c>
      <c r="AB177" s="89" t="s">
        <v>75</v>
      </c>
      <c r="AC177" s="120"/>
      <c r="AD177" s="89"/>
      <c r="AE177" s="89"/>
      <c r="AF177" s="89" t="s">
        <v>105</v>
      </c>
      <c r="AG177" s="89" t="s">
        <v>105</v>
      </c>
      <c r="AH177" s="119" t="s">
        <v>235</v>
      </c>
      <c r="AI177" s="119"/>
      <c r="AJ177" s="119" t="s">
        <v>91</v>
      </c>
      <c r="AK177" s="100"/>
      <c r="AL177" s="100" t="s">
        <v>64</v>
      </c>
      <c r="AM177" s="100" t="s">
        <v>102</v>
      </c>
      <c r="AN177" s="45" t="s">
        <v>65</v>
      </c>
      <c r="AO177" s="198" t="str">
        <f t="shared" si="18"/>
        <v>5/2026</v>
      </c>
      <c r="AP177" s="198">
        <f t="shared" si="19"/>
        <v>5</v>
      </c>
      <c r="AQ177" s="45" t="str">
        <f t="shared" si="20"/>
        <v>5/2026</v>
      </c>
      <c r="AR177" s="45">
        <f t="shared" si="21"/>
        <v>5</v>
      </c>
      <c r="AS177" s="45">
        <f t="shared" si="22"/>
        <v>0</v>
      </c>
      <c r="AT177" s="45">
        <f t="shared" si="23"/>
        <v>0</v>
      </c>
      <c r="AU177" s="45">
        <f t="shared" si="24"/>
        <v>0</v>
      </c>
      <c r="AV177" s="45">
        <f t="shared" si="25"/>
        <v>0</v>
      </c>
      <c r="AW177" s="45" t="str">
        <f>_xlfn.XLOOKUP(W177,'Lista Suspensa'!$AA$20:$AA$23,'Lista Suspensa'!$AB$20:$AB$23,"N/A")</f>
        <v>N/A</v>
      </c>
    </row>
    <row r="178" spans="1:49" ht="12" customHeight="1" x14ac:dyDescent="0.3">
      <c r="A178" s="89" t="s">
        <v>102</v>
      </c>
      <c r="B178" s="93">
        <v>46171</v>
      </c>
      <c r="C178" s="89" t="s">
        <v>143</v>
      </c>
      <c r="D178" s="89" t="s">
        <v>51</v>
      </c>
      <c r="E178" s="112">
        <v>95403504</v>
      </c>
      <c r="F178" s="91" t="s">
        <v>532</v>
      </c>
      <c r="G178" s="113">
        <v>8892085735</v>
      </c>
      <c r="H178" s="98">
        <v>30037</v>
      </c>
      <c r="I178" s="92">
        <v>44</v>
      </c>
      <c r="J178" s="89" t="s">
        <v>53</v>
      </c>
      <c r="K178" s="89" t="s">
        <v>77</v>
      </c>
      <c r="L178" s="89" t="s">
        <v>78</v>
      </c>
      <c r="M178" s="89" t="s">
        <v>533</v>
      </c>
      <c r="N178" s="89">
        <v>450</v>
      </c>
      <c r="O178" s="91">
        <v>11996805091</v>
      </c>
      <c r="P178" s="95" t="s">
        <v>58</v>
      </c>
      <c r="Q178" s="144" t="s">
        <v>59</v>
      </c>
      <c r="R178" s="121">
        <v>46171</v>
      </c>
      <c r="S178" s="121"/>
      <c r="T178" s="97" t="s">
        <v>60</v>
      </c>
      <c r="U178" s="97" t="s">
        <v>61</v>
      </c>
      <c r="V178" s="98"/>
      <c r="W178" s="98"/>
      <c r="X178" s="98"/>
      <c r="Y178" s="98"/>
      <c r="Z178" s="89" t="s">
        <v>62</v>
      </c>
      <c r="AA178" s="97">
        <v>46179</v>
      </c>
      <c r="AB178" s="89" t="s">
        <v>75</v>
      </c>
      <c r="AC178" s="120"/>
      <c r="AD178" s="89"/>
      <c r="AE178" s="89"/>
      <c r="AF178" s="89" t="s">
        <v>139</v>
      </c>
      <c r="AG178" s="89">
        <v>2.2400000000000002</v>
      </c>
      <c r="AH178" s="119"/>
      <c r="AI178" s="119"/>
      <c r="AJ178" s="119"/>
      <c r="AK178" s="100"/>
      <c r="AL178" s="100" t="s">
        <v>64</v>
      </c>
      <c r="AM178" s="100" t="s">
        <v>102</v>
      </c>
      <c r="AN178" s="45" t="s">
        <v>65</v>
      </c>
      <c r="AO178" s="198" t="str">
        <f t="shared" si="18"/>
        <v>5/2026</v>
      </c>
      <c r="AP178" s="198">
        <f t="shared" si="19"/>
        <v>5</v>
      </c>
      <c r="AQ178" s="45" t="str">
        <f t="shared" si="20"/>
        <v>5/2026</v>
      </c>
      <c r="AR178" s="45">
        <f t="shared" si="21"/>
        <v>5</v>
      </c>
      <c r="AS178" s="45">
        <f t="shared" si="22"/>
        <v>0</v>
      </c>
      <c r="AT178" s="45">
        <f t="shared" si="23"/>
        <v>0</v>
      </c>
      <c r="AU178" s="45">
        <f t="shared" si="24"/>
        <v>0</v>
      </c>
      <c r="AV178" s="45">
        <f t="shared" si="25"/>
        <v>8</v>
      </c>
      <c r="AW178" s="45" t="str">
        <f>_xlfn.XLOOKUP(W178,'Lista Suspensa'!$AA$20:$AA$23,'Lista Suspensa'!$AB$20:$AB$23,"N/A")</f>
        <v>S</v>
      </c>
    </row>
    <row r="179" spans="1:49" ht="12" customHeight="1" x14ac:dyDescent="0.3">
      <c r="A179" s="87" t="s">
        <v>49</v>
      </c>
      <c r="B179" s="88">
        <v>46147</v>
      </c>
      <c r="C179" s="89" t="s">
        <v>50</v>
      </c>
      <c r="D179" s="89" t="s">
        <v>51</v>
      </c>
      <c r="E179" s="90">
        <v>77598264</v>
      </c>
      <c r="F179" s="91" t="s">
        <v>534</v>
      </c>
      <c r="G179" s="92">
        <v>5285532833</v>
      </c>
      <c r="H179" s="93">
        <v>25278</v>
      </c>
      <c r="I179" s="89">
        <v>57</v>
      </c>
      <c r="J179" s="89" t="s">
        <v>67</v>
      </c>
      <c r="K179" s="89" t="s">
        <v>54</v>
      </c>
      <c r="L179" s="89" t="s">
        <v>146</v>
      </c>
      <c r="M179" s="89"/>
      <c r="N179" s="89" t="s">
        <v>82</v>
      </c>
      <c r="O179" s="94" t="s">
        <v>535</v>
      </c>
      <c r="P179" s="95" t="s">
        <v>58</v>
      </c>
      <c r="Q179" s="144" t="s">
        <v>59</v>
      </c>
      <c r="R179" s="96">
        <v>46174</v>
      </c>
      <c r="S179" s="97"/>
      <c r="T179" s="97" t="s">
        <v>60</v>
      </c>
      <c r="U179" s="97" t="s">
        <v>61</v>
      </c>
      <c r="V179" s="93">
        <v>46161</v>
      </c>
      <c r="W179" s="93">
        <v>46171</v>
      </c>
      <c r="X179" s="93">
        <v>46174</v>
      </c>
      <c r="Y179" s="98"/>
      <c r="Z179" s="89" t="s">
        <v>62</v>
      </c>
      <c r="AA179" s="97">
        <v>46184</v>
      </c>
      <c r="AB179" s="89" t="s">
        <v>75</v>
      </c>
      <c r="AC179" s="120"/>
      <c r="AD179" s="89"/>
      <c r="AE179" s="89"/>
      <c r="AF179" s="89" t="s">
        <v>366</v>
      </c>
      <c r="AG179" s="89">
        <v>2.46</v>
      </c>
      <c r="AH179" s="99"/>
      <c r="AI179" s="99"/>
      <c r="AJ179" s="99"/>
      <c r="AK179" s="100"/>
      <c r="AL179" s="100" t="s">
        <v>64</v>
      </c>
      <c r="AM179" s="100" t="s">
        <v>102</v>
      </c>
      <c r="AN179" s="45" t="s">
        <v>65</v>
      </c>
      <c r="AO179" s="198" t="str">
        <f t="shared" si="18"/>
        <v>5/2026</v>
      </c>
      <c r="AP179" s="198">
        <f t="shared" si="19"/>
        <v>2</v>
      </c>
      <c r="AQ179" s="45" t="str">
        <f t="shared" si="20"/>
        <v>6/2026</v>
      </c>
      <c r="AR179" s="45">
        <f t="shared" si="21"/>
        <v>1</v>
      </c>
      <c r="AS179" s="45">
        <f t="shared" si="22"/>
        <v>0</v>
      </c>
      <c r="AT179" s="45">
        <f t="shared" si="23"/>
        <v>0</v>
      </c>
      <c r="AU179" s="45">
        <f t="shared" si="24"/>
        <v>0</v>
      </c>
      <c r="AV179" s="45">
        <f t="shared" si="25"/>
        <v>0</v>
      </c>
      <c r="AW179" s="45" t="str">
        <f>_xlfn.XLOOKUP(W179,'Lista Suspensa'!$AA$20:$AA$23,'Lista Suspensa'!$AB$20:$AB$23,"N/A")</f>
        <v>N/A</v>
      </c>
    </row>
    <row r="180" spans="1:49" ht="12" hidden="1" customHeight="1" x14ac:dyDescent="0.3">
      <c r="A180" s="87" t="s">
        <v>49</v>
      </c>
      <c r="B180" s="88">
        <v>46147</v>
      </c>
      <c r="C180" s="89" t="s">
        <v>50</v>
      </c>
      <c r="D180" s="89" t="s">
        <v>51</v>
      </c>
      <c r="E180" s="90">
        <v>89800293</v>
      </c>
      <c r="F180" s="91" t="s">
        <v>536</v>
      </c>
      <c r="G180" s="92">
        <v>17515344806</v>
      </c>
      <c r="H180" s="93">
        <v>27464</v>
      </c>
      <c r="I180" s="89">
        <v>51</v>
      </c>
      <c r="J180" s="89" t="s">
        <v>67</v>
      </c>
      <c r="K180" s="89" t="s">
        <v>54</v>
      </c>
      <c r="L180" s="89" t="s">
        <v>93</v>
      </c>
      <c r="M180" s="89"/>
      <c r="N180" s="89" t="s">
        <v>87</v>
      </c>
      <c r="O180" s="94" t="s">
        <v>537</v>
      </c>
      <c r="P180" s="95" t="s">
        <v>58</v>
      </c>
      <c r="Q180" s="144" t="s">
        <v>538</v>
      </c>
      <c r="R180" s="96"/>
      <c r="S180" s="96">
        <v>46161</v>
      </c>
      <c r="T180" s="97" t="s">
        <v>60</v>
      </c>
      <c r="U180" s="97" t="s">
        <v>72</v>
      </c>
      <c r="V180" s="93">
        <v>46161</v>
      </c>
      <c r="W180" s="93" t="s">
        <v>73</v>
      </c>
      <c r="X180" s="93" t="s">
        <v>73</v>
      </c>
      <c r="Y180" s="98"/>
      <c r="Z180" s="89" t="s">
        <v>62</v>
      </c>
      <c r="AA180" s="97">
        <v>46164</v>
      </c>
      <c r="AB180" s="89" t="s">
        <v>539</v>
      </c>
      <c r="AC180" s="120"/>
      <c r="AD180" s="89"/>
      <c r="AE180" s="89"/>
      <c r="AF180" s="89"/>
      <c r="AG180" s="89"/>
      <c r="AH180" s="99"/>
      <c r="AI180" s="99"/>
      <c r="AJ180" s="99"/>
      <c r="AK180" s="100"/>
      <c r="AL180" s="100" t="s">
        <v>540</v>
      </c>
      <c r="AM180" s="100"/>
      <c r="AN180" s="45" t="s">
        <v>65</v>
      </c>
      <c r="AO180" s="198" t="str">
        <f t="shared" si="18"/>
        <v>5/2026</v>
      </c>
      <c r="AP180" s="198">
        <f t="shared" si="19"/>
        <v>2</v>
      </c>
      <c r="AQ180" s="45" t="str">
        <f t="shared" si="20"/>
        <v>1/1900</v>
      </c>
      <c r="AR180" s="45" t="e">
        <f t="shared" si="21"/>
        <v>#NUM!</v>
      </c>
      <c r="AS180" s="45">
        <f t="shared" si="22"/>
        <v>0</v>
      </c>
      <c r="AT180" s="45">
        <f t="shared" si="23"/>
        <v>0</v>
      </c>
      <c r="AU180" s="45">
        <f t="shared" si="24"/>
        <v>0</v>
      </c>
      <c r="AV180" s="45">
        <f t="shared" si="25"/>
        <v>0</v>
      </c>
      <c r="AW180" s="45" t="str">
        <f>_xlfn.XLOOKUP(W180,'Lista Suspensa'!$AA$20:$AA$23,'Lista Suspensa'!$AB$20:$AB$23,"N/A")</f>
        <v>N/A</v>
      </c>
    </row>
    <row r="181" spans="1:49" ht="12" hidden="1" customHeight="1" x14ac:dyDescent="0.3">
      <c r="A181" s="87" t="s">
        <v>49</v>
      </c>
      <c r="B181" s="88">
        <v>46147</v>
      </c>
      <c r="C181" s="89" t="s">
        <v>50</v>
      </c>
      <c r="D181" s="89" t="s">
        <v>51</v>
      </c>
      <c r="E181" s="90">
        <v>224582682</v>
      </c>
      <c r="F181" s="91" t="s">
        <v>541</v>
      </c>
      <c r="G181" s="92">
        <v>90242823815</v>
      </c>
      <c r="H181" s="93">
        <v>21181</v>
      </c>
      <c r="I181" s="89">
        <v>68</v>
      </c>
      <c r="J181" s="89" t="s">
        <v>53</v>
      </c>
      <c r="K181" s="89" t="s">
        <v>54</v>
      </c>
      <c r="L181" s="89" t="s">
        <v>93</v>
      </c>
      <c r="M181" s="89"/>
      <c r="N181" s="89" t="s">
        <v>100</v>
      </c>
      <c r="O181" s="94" t="s">
        <v>542</v>
      </c>
      <c r="P181" s="95" t="s">
        <v>58</v>
      </c>
      <c r="Q181" s="144" t="s">
        <v>538</v>
      </c>
      <c r="R181" s="96"/>
      <c r="S181" s="96">
        <v>46161</v>
      </c>
      <c r="T181" s="97" t="s">
        <v>60</v>
      </c>
      <c r="U181" s="97" t="s">
        <v>72</v>
      </c>
      <c r="V181" s="93">
        <v>46161</v>
      </c>
      <c r="W181" s="93" t="s">
        <v>73</v>
      </c>
      <c r="X181" s="93" t="s">
        <v>73</v>
      </c>
      <c r="Y181" s="98"/>
      <c r="Z181" s="89" t="s">
        <v>62</v>
      </c>
      <c r="AA181" s="97">
        <v>46170</v>
      </c>
      <c r="AB181" s="89" t="s">
        <v>75</v>
      </c>
      <c r="AC181" s="120">
        <v>46177.458333101851</v>
      </c>
      <c r="AD181" s="89"/>
      <c r="AE181" s="89"/>
      <c r="AF181" s="89"/>
      <c r="AG181" s="89"/>
      <c r="AH181" s="99"/>
      <c r="AI181" s="99"/>
      <c r="AJ181" s="99"/>
      <c r="AK181" s="100"/>
      <c r="AL181" s="100" t="s">
        <v>540</v>
      </c>
      <c r="AM181" s="100" t="s">
        <v>102</v>
      </c>
      <c r="AN181" s="45" t="s">
        <v>65</v>
      </c>
      <c r="AO181" s="198" t="str">
        <f t="shared" si="18"/>
        <v>5/2026</v>
      </c>
      <c r="AP181" s="198">
        <f t="shared" si="19"/>
        <v>2</v>
      </c>
      <c r="AQ181" s="45" t="str">
        <f t="shared" si="20"/>
        <v>1/1900</v>
      </c>
      <c r="AR181" s="45" t="e">
        <f t="shared" si="21"/>
        <v>#NUM!</v>
      </c>
      <c r="AS181" s="45">
        <f t="shared" si="22"/>
        <v>0</v>
      </c>
      <c r="AT181" s="45">
        <f t="shared" si="23"/>
        <v>0</v>
      </c>
      <c r="AU181" s="45">
        <f t="shared" si="24"/>
        <v>0</v>
      </c>
      <c r="AV181" s="45">
        <f t="shared" si="25"/>
        <v>0</v>
      </c>
      <c r="AW181" s="45" t="str">
        <f>_xlfn.XLOOKUP(W181,'Lista Suspensa'!$AA$20:$AA$23,'Lista Suspensa'!$AB$20:$AB$23,"N/A")</f>
        <v>N/A</v>
      </c>
    </row>
    <row r="182" spans="1:49" ht="12" hidden="1" customHeight="1" x14ac:dyDescent="0.3">
      <c r="A182" s="87" t="s">
        <v>49</v>
      </c>
      <c r="B182" s="88">
        <v>46147</v>
      </c>
      <c r="C182" s="89" t="s">
        <v>50</v>
      </c>
      <c r="D182" s="89" t="s">
        <v>51</v>
      </c>
      <c r="E182" s="112">
        <v>93706548</v>
      </c>
      <c r="F182" s="91" t="s">
        <v>543</v>
      </c>
      <c r="G182" s="92">
        <v>13511911796</v>
      </c>
      <c r="H182" s="93">
        <v>33958</v>
      </c>
      <c r="I182" s="89">
        <v>33</v>
      </c>
      <c r="J182" s="89" t="s">
        <v>53</v>
      </c>
      <c r="K182" s="89" t="s">
        <v>77</v>
      </c>
      <c r="L182" s="89" t="s">
        <v>78</v>
      </c>
      <c r="M182" s="89"/>
      <c r="N182" s="89" t="s">
        <v>212</v>
      </c>
      <c r="O182" s="94" t="s">
        <v>544</v>
      </c>
      <c r="P182" s="95" t="s">
        <v>58</v>
      </c>
      <c r="Q182" s="144" t="s">
        <v>545</v>
      </c>
      <c r="R182" s="96"/>
      <c r="S182" s="96">
        <v>46161</v>
      </c>
      <c r="T182" s="97" t="s">
        <v>546</v>
      </c>
      <c r="U182" s="97" t="s">
        <v>72</v>
      </c>
      <c r="V182" s="93">
        <v>46161</v>
      </c>
      <c r="W182" s="93" t="s">
        <v>73</v>
      </c>
      <c r="X182" s="93" t="s">
        <v>73</v>
      </c>
      <c r="Y182" s="98"/>
      <c r="Z182" s="89" t="s">
        <v>62</v>
      </c>
      <c r="AA182" s="97">
        <v>46170</v>
      </c>
      <c r="AB182" s="89" t="s">
        <v>142</v>
      </c>
      <c r="AC182" s="120"/>
      <c r="AD182" s="89"/>
      <c r="AE182" s="89"/>
      <c r="AF182" s="89"/>
      <c r="AG182" s="89"/>
      <c r="AH182" s="99"/>
      <c r="AI182" s="99"/>
      <c r="AJ182" s="99"/>
      <c r="AK182" s="100"/>
      <c r="AL182" s="100" t="s">
        <v>540</v>
      </c>
      <c r="AM182" s="100"/>
      <c r="AN182" s="45" t="s">
        <v>65</v>
      </c>
      <c r="AO182" s="198" t="str">
        <f t="shared" si="18"/>
        <v>5/2026</v>
      </c>
      <c r="AP182" s="198">
        <f t="shared" si="19"/>
        <v>2</v>
      </c>
      <c r="AQ182" s="45" t="str">
        <f t="shared" si="20"/>
        <v>1/1900</v>
      </c>
      <c r="AR182" s="45" t="e">
        <f t="shared" si="21"/>
        <v>#NUM!</v>
      </c>
      <c r="AS182" s="45">
        <f t="shared" si="22"/>
        <v>0</v>
      </c>
      <c r="AT182" s="45">
        <f t="shared" si="23"/>
        <v>0</v>
      </c>
      <c r="AU182" s="45">
        <f t="shared" si="24"/>
        <v>0</v>
      </c>
      <c r="AV182" s="45">
        <f t="shared" si="25"/>
        <v>0</v>
      </c>
      <c r="AW182" s="45" t="str">
        <f>_xlfn.XLOOKUP(W182,'Lista Suspensa'!$AA$20:$AA$23,'Lista Suspensa'!$AB$20:$AB$23,"N/A")</f>
        <v>N/A</v>
      </c>
    </row>
    <row r="183" spans="1:49" ht="12" hidden="1" customHeight="1" x14ac:dyDescent="0.3">
      <c r="A183" s="87" t="s">
        <v>49</v>
      </c>
      <c r="B183" s="88">
        <v>46147</v>
      </c>
      <c r="C183" s="89" t="s">
        <v>50</v>
      </c>
      <c r="D183" s="89" t="s">
        <v>51</v>
      </c>
      <c r="E183" s="90">
        <v>89234158</v>
      </c>
      <c r="F183" s="91" t="s">
        <v>547</v>
      </c>
      <c r="G183" s="92">
        <v>15312959839</v>
      </c>
      <c r="H183" s="93">
        <v>26794</v>
      </c>
      <c r="I183" s="89">
        <v>53</v>
      </c>
      <c r="J183" s="89" t="s">
        <v>67</v>
      </c>
      <c r="K183" s="89" t="s">
        <v>54</v>
      </c>
      <c r="L183" s="89" t="s">
        <v>93</v>
      </c>
      <c r="M183" s="89"/>
      <c r="N183" s="89" t="s">
        <v>56</v>
      </c>
      <c r="O183" s="94" t="s">
        <v>548</v>
      </c>
      <c r="P183" s="95" t="s">
        <v>58</v>
      </c>
      <c r="Q183" s="144" t="s">
        <v>549</v>
      </c>
      <c r="R183" s="96"/>
      <c r="S183" s="97">
        <v>46149</v>
      </c>
      <c r="T183" s="97" t="s">
        <v>60</v>
      </c>
      <c r="U183" s="97" t="s">
        <v>72</v>
      </c>
      <c r="V183" s="93">
        <v>46148</v>
      </c>
      <c r="W183" s="93" t="s">
        <v>73</v>
      </c>
      <c r="X183" s="93" t="s">
        <v>73</v>
      </c>
      <c r="Y183" s="98"/>
      <c r="Z183" s="89"/>
      <c r="AA183" s="97"/>
      <c r="AB183" s="89"/>
      <c r="AC183" s="120"/>
      <c r="AD183" s="89"/>
      <c r="AE183" s="89"/>
      <c r="AF183" s="89"/>
      <c r="AG183" s="89"/>
      <c r="AH183" s="99"/>
      <c r="AI183" s="99"/>
      <c r="AJ183" s="99" t="s">
        <v>115</v>
      </c>
      <c r="AK183" s="100"/>
      <c r="AL183" s="100" t="s">
        <v>540</v>
      </c>
      <c r="AM183" s="100" t="s">
        <v>102</v>
      </c>
      <c r="AN183" s="45" t="s">
        <v>65</v>
      </c>
      <c r="AO183" s="198" t="str">
        <f t="shared" si="18"/>
        <v>5/2026</v>
      </c>
      <c r="AP183" s="198">
        <f t="shared" si="19"/>
        <v>2</v>
      </c>
      <c r="AQ183" s="45" t="str">
        <f t="shared" si="20"/>
        <v>1/1900</v>
      </c>
      <c r="AR183" s="45" t="e">
        <f t="shared" si="21"/>
        <v>#NUM!</v>
      </c>
      <c r="AS183" s="45">
        <f t="shared" si="22"/>
        <v>0</v>
      </c>
      <c r="AT183" s="45">
        <f t="shared" si="23"/>
        <v>0</v>
      </c>
      <c r="AU183" s="45">
        <f t="shared" si="24"/>
        <v>0</v>
      </c>
      <c r="AV183" s="45">
        <f t="shared" si="25"/>
        <v>0</v>
      </c>
      <c r="AW183" s="45" t="str">
        <f>_xlfn.XLOOKUP(W183,'Lista Suspensa'!$AA$20:$AA$23,'Lista Suspensa'!$AB$20:$AB$23,"N/A")</f>
        <v>N/A</v>
      </c>
    </row>
    <row r="184" spans="1:49" ht="12" hidden="1" customHeight="1" x14ac:dyDescent="0.3">
      <c r="A184" s="87" t="s">
        <v>49</v>
      </c>
      <c r="B184" s="88">
        <v>46147</v>
      </c>
      <c r="C184" s="89" t="s">
        <v>50</v>
      </c>
      <c r="D184" s="89" t="s">
        <v>51</v>
      </c>
      <c r="E184" s="90">
        <v>93448377</v>
      </c>
      <c r="F184" s="91" t="s">
        <v>550</v>
      </c>
      <c r="G184" s="92">
        <v>39639190861</v>
      </c>
      <c r="H184" s="93">
        <v>33904</v>
      </c>
      <c r="I184" s="89">
        <v>33</v>
      </c>
      <c r="J184" s="89" t="s">
        <v>53</v>
      </c>
      <c r="K184" s="89" t="s">
        <v>54</v>
      </c>
      <c r="L184" s="89" t="s">
        <v>93</v>
      </c>
      <c r="M184" s="89"/>
      <c r="N184" s="89" t="s">
        <v>551</v>
      </c>
      <c r="O184" s="94" t="s">
        <v>552</v>
      </c>
      <c r="P184" s="95" t="s">
        <v>58</v>
      </c>
      <c r="Q184" s="144" t="s">
        <v>549</v>
      </c>
      <c r="R184" s="96"/>
      <c r="S184" s="97">
        <v>46156</v>
      </c>
      <c r="T184" s="97" t="s">
        <v>60</v>
      </c>
      <c r="U184" s="97" t="s">
        <v>72</v>
      </c>
      <c r="V184" s="93">
        <v>46156</v>
      </c>
      <c r="W184" s="93" t="s">
        <v>73</v>
      </c>
      <c r="X184" s="93" t="s">
        <v>73</v>
      </c>
      <c r="Y184" s="98"/>
      <c r="Z184" s="89"/>
      <c r="AA184" s="97"/>
      <c r="AB184" s="89"/>
      <c r="AC184" s="120"/>
      <c r="AD184" s="89"/>
      <c r="AE184" s="89"/>
      <c r="AF184" s="89"/>
      <c r="AG184" s="89"/>
      <c r="AH184" s="99"/>
      <c r="AI184" s="99"/>
      <c r="AJ184" s="99"/>
      <c r="AK184" s="100"/>
      <c r="AL184" s="100" t="s">
        <v>540</v>
      </c>
      <c r="AM184" s="100" t="s">
        <v>102</v>
      </c>
      <c r="AN184" s="45" t="s">
        <v>65</v>
      </c>
      <c r="AO184" s="198" t="str">
        <f t="shared" si="18"/>
        <v>5/2026</v>
      </c>
      <c r="AP184" s="198">
        <f t="shared" si="19"/>
        <v>2</v>
      </c>
      <c r="AQ184" s="45" t="str">
        <f t="shared" si="20"/>
        <v>1/1900</v>
      </c>
      <c r="AR184" s="45" t="e">
        <f t="shared" si="21"/>
        <v>#NUM!</v>
      </c>
      <c r="AS184" s="45">
        <f t="shared" si="22"/>
        <v>0</v>
      </c>
      <c r="AT184" s="45">
        <f t="shared" si="23"/>
        <v>0</v>
      </c>
      <c r="AU184" s="45">
        <f t="shared" si="24"/>
        <v>0</v>
      </c>
      <c r="AV184" s="45">
        <f t="shared" si="25"/>
        <v>0</v>
      </c>
      <c r="AW184" s="45" t="str">
        <f>_xlfn.XLOOKUP(W184,'Lista Suspensa'!$AA$20:$AA$23,'Lista Suspensa'!$AB$20:$AB$23,"N/A")</f>
        <v>N/A</v>
      </c>
    </row>
    <row r="185" spans="1:49" ht="12" hidden="1" customHeight="1" x14ac:dyDescent="0.3">
      <c r="A185" s="87" t="s">
        <v>49</v>
      </c>
      <c r="B185" s="88">
        <v>46147</v>
      </c>
      <c r="C185" s="89" t="s">
        <v>50</v>
      </c>
      <c r="D185" s="89" t="s">
        <v>51</v>
      </c>
      <c r="E185" s="90">
        <v>78907355</v>
      </c>
      <c r="F185" s="91" t="s">
        <v>553</v>
      </c>
      <c r="G185" s="92">
        <v>5428596708</v>
      </c>
      <c r="H185" s="93">
        <v>29218</v>
      </c>
      <c r="I185" s="89">
        <v>46</v>
      </c>
      <c r="J185" s="89" t="s">
        <v>67</v>
      </c>
      <c r="K185" s="89" t="s">
        <v>77</v>
      </c>
      <c r="L185" s="89" t="s">
        <v>78</v>
      </c>
      <c r="M185" s="89"/>
      <c r="N185" s="89" t="s">
        <v>82</v>
      </c>
      <c r="O185" s="94" t="s">
        <v>554</v>
      </c>
      <c r="P185" s="95" t="s">
        <v>58</v>
      </c>
      <c r="Q185" s="144" t="s">
        <v>549</v>
      </c>
      <c r="R185" s="96"/>
      <c r="S185" s="96">
        <v>46161</v>
      </c>
      <c r="T185" s="97" t="s">
        <v>60</v>
      </c>
      <c r="U185" s="97" t="s">
        <v>72</v>
      </c>
      <c r="V185" s="93">
        <v>46154</v>
      </c>
      <c r="W185" s="93" t="s">
        <v>73</v>
      </c>
      <c r="X185" s="93" t="s">
        <v>73</v>
      </c>
      <c r="Y185" s="98"/>
      <c r="Z185" s="89" t="s">
        <v>62</v>
      </c>
      <c r="AA185" s="97">
        <v>46170</v>
      </c>
      <c r="AB185" s="89" t="s">
        <v>142</v>
      </c>
      <c r="AC185" s="120"/>
      <c r="AD185" s="89"/>
      <c r="AE185" s="89"/>
      <c r="AF185" s="89"/>
      <c r="AG185" s="89"/>
      <c r="AH185" s="99"/>
      <c r="AI185" s="99"/>
      <c r="AJ185" s="99"/>
      <c r="AK185" s="100"/>
      <c r="AL185" s="100" t="s">
        <v>540</v>
      </c>
      <c r="AM185" s="100" t="s">
        <v>102</v>
      </c>
      <c r="AN185" s="45" t="s">
        <v>65</v>
      </c>
      <c r="AO185" s="198" t="str">
        <f t="shared" si="18"/>
        <v>5/2026</v>
      </c>
      <c r="AP185" s="198">
        <f t="shared" si="19"/>
        <v>2</v>
      </c>
      <c r="AQ185" s="45" t="str">
        <f t="shared" si="20"/>
        <v>1/1900</v>
      </c>
      <c r="AR185" s="45" t="e">
        <f t="shared" si="21"/>
        <v>#NUM!</v>
      </c>
      <c r="AS185" s="45">
        <f t="shared" si="22"/>
        <v>0</v>
      </c>
      <c r="AT185" s="45">
        <f t="shared" si="23"/>
        <v>0</v>
      </c>
      <c r="AU185" s="45">
        <f t="shared" si="24"/>
        <v>0</v>
      </c>
      <c r="AV185" s="45">
        <f t="shared" si="25"/>
        <v>0</v>
      </c>
      <c r="AW185" s="45" t="str">
        <f>_xlfn.XLOOKUP(W185,'Lista Suspensa'!$AA$20:$AA$23,'Lista Suspensa'!$AB$20:$AB$23,"N/A")</f>
        <v>N/A</v>
      </c>
    </row>
    <row r="186" spans="1:49" ht="12" hidden="1" customHeight="1" x14ac:dyDescent="0.3">
      <c r="A186" s="87" t="s">
        <v>49</v>
      </c>
      <c r="B186" s="88">
        <v>46147</v>
      </c>
      <c r="C186" s="89" t="s">
        <v>50</v>
      </c>
      <c r="D186" s="89" t="s">
        <v>51</v>
      </c>
      <c r="E186" s="90">
        <v>95661281</v>
      </c>
      <c r="F186" s="91" t="s">
        <v>555</v>
      </c>
      <c r="G186" s="92">
        <v>1002774977</v>
      </c>
      <c r="H186" s="93">
        <v>31902</v>
      </c>
      <c r="I186" s="89">
        <v>39</v>
      </c>
      <c r="J186" s="89" t="s">
        <v>67</v>
      </c>
      <c r="K186" s="89"/>
      <c r="L186" s="89" t="s">
        <v>556</v>
      </c>
      <c r="M186" s="89"/>
      <c r="N186" s="89" t="s">
        <v>56</v>
      </c>
      <c r="O186" s="94" t="s">
        <v>557</v>
      </c>
      <c r="P186" s="95" t="s">
        <v>58</v>
      </c>
      <c r="Q186" s="144" t="s">
        <v>549</v>
      </c>
      <c r="R186" s="96"/>
      <c r="S186" s="97">
        <v>46155</v>
      </c>
      <c r="T186" s="97" t="s">
        <v>60</v>
      </c>
      <c r="U186" s="97" t="s">
        <v>72</v>
      </c>
      <c r="V186" s="93">
        <v>46155</v>
      </c>
      <c r="W186" s="93" t="s">
        <v>73</v>
      </c>
      <c r="X186" s="93" t="s">
        <v>73</v>
      </c>
      <c r="Y186" s="98"/>
      <c r="Z186" s="89"/>
      <c r="AA186" s="97"/>
      <c r="AB186" s="89"/>
      <c r="AC186" s="120"/>
      <c r="AD186" s="89"/>
      <c r="AE186" s="89"/>
      <c r="AF186" s="89"/>
      <c r="AG186" s="89"/>
      <c r="AH186" s="99"/>
      <c r="AI186" s="99"/>
      <c r="AJ186" s="99" t="s">
        <v>115</v>
      </c>
      <c r="AK186" s="100"/>
      <c r="AL186" s="100" t="s">
        <v>540</v>
      </c>
      <c r="AM186" s="100" t="s">
        <v>102</v>
      </c>
      <c r="AN186" s="45" t="s">
        <v>65</v>
      </c>
      <c r="AO186" s="198" t="str">
        <f t="shared" si="18"/>
        <v>5/2026</v>
      </c>
      <c r="AP186" s="198">
        <f t="shared" si="19"/>
        <v>2</v>
      </c>
      <c r="AQ186" s="45" t="str">
        <f t="shared" si="20"/>
        <v>1/1900</v>
      </c>
      <c r="AR186" s="45" t="e">
        <f t="shared" si="21"/>
        <v>#NUM!</v>
      </c>
      <c r="AS186" s="45">
        <f t="shared" si="22"/>
        <v>0</v>
      </c>
      <c r="AT186" s="45">
        <f t="shared" si="23"/>
        <v>0</v>
      </c>
      <c r="AU186" s="45">
        <f t="shared" si="24"/>
        <v>0</v>
      </c>
      <c r="AV186" s="45">
        <f t="shared" si="25"/>
        <v>0</v>
      </c>
      <c r="AW186" s="45" t="str">
        <f>_xlfn.XLOOKUP(W186,'Lista Suspensa'!$AA$20:$AA$23,'Lista Suspensa'!$AB$20:$AB$23,"N/A")</f>
        <v>N/A</v>
      </c>
    </row>
    <row r="187" spans="1:49" ht="12" hidden="1" customHeight="1" x14ac:dyDescent="0.3">
      <c r="A187" s="87" t="s">
        <v>102</v>
      </c>
      <c r="B187" s="88">
        <v>46162</v>
      </c>
      <c r="C187" s="89" t="s">
        <v>558</v>
      </c>
      <c r="D187" s="89" t="s">
        <v>51</v>
      </c>
      <c r="E187" s="90" t="s">
        <v>559</v>
      </c>
      <c r="F187" s="91" t="s">
        <v>560</v>
      </c>
      <c r="G187" s="92">
        <v>48100063877</v>
      </c>
      <c r="H187" s="93">
        <v>36503</v>
      </c>
      <c r="I187" s="89">
        <v>26</v>
      </c>
      <c r="J187" s="89" t="s">
        <v>53</v>
      </c>
      <c r="K187" s="89" t="s">
        <v>54</v>
      </c>
      <c r="L187" s="89" t="s">
        <v>93</v>
      </c>
      <c r="M187" s="89" t="s">
        <v>561</v>
      </c>
      <c r="N187" s="89">
        <v>80</v>
      </c>
      <c r="O187" s="94">
        <v>11958622639</v>
      </c>
      <c r="P187" s="95" t="s">
        <v>58</v>
      </c>
      <c r="Q187" s="144" t="s">
        <v>549</v>
      </c>
      <c r="R187" s="96"/>
      <c r="S187" s="97">
        <v>46164</v>
      </c>
      <c r="T187" s="97" t="s">
        <v>60</v>
      </c>
      <c r="U187" s="97" t="s">
        <v>72</v>
      </c>
      <c r="V187" s="93">
        <v>46164</v>
      </c>
      <c r="W187" s="93"/>
      <c r="X187" s="93"/>
      <c r="Y187" s="98"/>
      <c r="Z187" s="89"/>
      <c r="AA187" s="97"/>
      <c r="AB187" s="89"/>
      <c r="AC187" s="120"/>
      <c r="AD187" s="89"/>
      <c r="AE187" s="89"/>
      <c r="AF187" s="89"/>
      <c r="AG187" s="89"/>
      <c r="AH187" s="99"/>
      <c r="AI187" s="99"/>
      <c r="AJ187" s="99"/>
      <c r="AK187" s="100"/>
      <c r="AL187" s="100" t="s">
        <v>540</v>
      </c>
      <c r="AM187" s="100" t="s">
        <v>102</v>
      </c>
      <c r="AN187" s="45" t="s">
        <v>65</v>
      </c>
      <c r="AO187" s="198" t="str">
        <f t="shared" si="18"/>
        <v>5/2026</v>
      </c>
      <c r="AP187" s="198">
        <f t="shared" si="19"/>
        <v>4</v>
      </c>
      <c r="AQ187" s="45" t="str">
        <f t="shared" si="20"/>
        <v>1/1900</v>
      </c>
      <c r="AR187" s="45" t="e">
        <f t="shared" si="21"/>
        <v>#NUM!</v>
      </c>
      <c r="AS187" s="45">
        <f t="shared" si="22"/>
        <v>0</v>
      </c>
      <c r="AT187" s="45">
        <f t="shared" si="23"/>
        <v>0</v>
      </c>
      <c r="AU187" s="45">
        <f t="shared" si="24"/>
        <v>0</v>
      </c>
      <c r="AV187" s="45">
        <f t="shared" si="25"/>
        <v>0</v>
      </c>
      <c r="AW187" s="45" t="str">
        <f>_xlfn.XLOOKUP(W187,'Lista Suspensa'!$AA$20:$AA$23,'Lista Suspensa'!$AB$20:$AB$23,"N/A")</f>
        <v>S</v>
      </c>
    </row>
    <row r="188" spans="1:49" ht="12" hidden="1" customHeight="1" x14ac:dyDescent="0.3">
      <c r="A188" s="87" t="s">
        <v>49</v>
      </c>
      <c r="B188" s="88">
        <v>46147</v>
      </c>
      <c r="C188" s="89" t="s">
        <v>50</v>
      </c>
      <c r="D188" s="89" t="s">
        <v>51</v>
      </c>
      <c r="E188" s="90">
        <v>94916089</v>
      </c>
      <c r="F188" s="91" t="s">
        <v>562</v>
      </c>
      <c r="G188" s="92">
        <v>49890862875</v>
      </c>
      <c r="H188" s="93">
        <v>36648</v>
      </c>
      <c r="I188" s="89">
        <v>26</v>
      </c>
      <c r="J188" s="89" t="s">
        <v>67</v>
      </c>
      <c r="K188" s="89" t="s">
        <v>54</v>
      </c>
      <c r="L188" s="89" t="s">
        <v>86</v>
      </c>
      <c r="M188" s="89"/>
      <c r="N188" s="89" t="s">
        <v>113</v>
      </c>
      <c r="O188" s="94" t="s">
        <v>563</v>
      </c>
      <c r="P188" s="95" t="s">
        <v>58</v>
      </c>
      <c r="Q188" s="144" t="s">
        <v>549</v>
      </c>
      <c r="R188" s="96"/>
      <c r="S188" s="97">
        <v>46155</v>
      </c>
      <c r="T188" s="97" t="s">
        <v>60</v>
      </c>
      <c r="U188" s="97" t="s">
        <v>72</v>
      </c>
      <c r="V188" s="93">
        <v>46155</v>
      </c>
      <c r="W188" s="93" t="s">
        <v>73</v>
      </c>
      <c r="X188" s="93" t="s">
        <v>73</v>
      </c>
      <c r="Y188" s="98"/>
      <c r="Z188" s="89"/>
      <c r="AA188" s="97"/>
      <c r="AB188" s="89"/>
      <c r="AC188" s="120"/>
      <c r="AD188" s="89"/>
      <c r="AE188" s="89"/>
      <c r="AF188" s="89"/>
      <c r="AG188" s="89"/>
      <c r="AH188" s="99"/>
      <c r="AI188" s="99"/>
      <c r="AJ188" s="99" t="s">
        <v>115</v>
      </c>
      <c r="AK188" s="100"/>
      <c r="AL188" s="100" t="s">
        <v>540</v>
      </c>
      <c r="AM188" s="100" t="s">
        <v>102</v>
      </c>
      <c r="AN188" s="45" t="s">
        <v>65</v>
      </c>
      <c r="AO188" s="198" t="str">
        <f t="shared" si="18"/>
        <v>5/2026</v>
      </c>
      <c r="AP188" s="198">
        <f t="shared" si="19"/>
        <v>2</v>
      </c>
      <c r="AQ188" s="45" t="str">
        <f t="shared" si="20"/>
        <v>1/1900</v>
      </c>
      <c r="AR188" s="45" t="e">
        <f t="shared" si="21"/>
        <v>#NUM!</v>
      </c>
      <c r="AS188" s="45">
        <f t="shared" si="22"/>
        <v>0</v>
      </c>
      <c r="AT188" s="45">
        <f t="shared" si="23"/>
        <v>0</v>
      </c>
      <c r="AU188" s="45">
        <f t="shared" si="24"/>
        <v>0</v>
      </c>
      <c r="AV188" s="45">
        <f t="shared" si="25"/>
        <v>0</v>
      </c>
      <c r="AW188" s="45" t="str">
        <f>_xlfn.XLOOKUP(W188,'Lista Suspensa'!$AA$20:$AA$23,'Lista Suspensa'!$AB$20:$AB$23,"N/A")</f>
        <v>N/A</v>
      </c>
    </row>
    <row r="189" spans="1:49" ht="12" hidden="1" customHeight="1" x14ac:dyDescent="0.3">
      <c r="A189" s="87" t="s">
        <v>49</v>
      </c>
      <c r="B189" s="88">
        <v>46147</v>
      </c>
      <c r="C189" s="89" t="s">
        <v>50</v>
      </c>
      <c r="D189" s="89" t="s">
        <v>51</v>
      </c>
      <c r="E189" s="90">
        <v>89624554</v>
      </c>
      <c r="F189" s="91" t="s">
        <v>564</v>
      </c>
      <c r="G189" s="92">
        <v>15441562781</v>
      </c>
      <c r="H189" s="93">
        <v>34919</v>
      </c>
      <c r="I189" s="89">
        <v>30</v>
      </c>
      <c r="J189" s="89" t="s">
        <v>67</v>
      </c>
      <c r="K189" s="89" t="s">
        <v>77</v>
      </c>
      <c r="L189" s="89" t="s">
        <v>78</v>
      </c>
      <c r="M189" s="89"/>
      <c r="N189" s="89" t="s">
        <v>82</v>
      </c>
      <c r="O189" s="94" t="s">
        <v>565</v>
      </c>
      <c r="P189" s="95" t="s">
        <v>58</v>
      </c>
      <c r="Q189" s="144" t="s">
        <v>549</v>
      </c>
      <c r="R189" s="96"/>
      <c r="S189" s="97">
        <v>46154</v>
      </c>
      <c r="T189" s="97" t="s">
        <v>60</v>
      </c>
      <c r="U189" s="97" t="s">
        <v>72</v>
      </c>
      <c r="V189" s="93">
        <v>46154</v>
      </c>
      <c r="W189" s="93" t="s">
        <v>73</v>
      </c>
      <c r="X189" s="93" t="s">
        <v>73</v>
      </c>
      <c r="Y189" s="98"/>
      <c r="Z189" s="89"/>
      <c r="AA189" s="97"/>
      <c r="AB189" s="89"/>
      <c r="AC189" s="120"/>
      <c r="AD189" s="89"/>
      <c r="AE189" s="89"/>
      <c r="AF189" s="89"/>
      <c r="AG189" s="89"/>
      <c r="AH189" s="99"/>
      <c r="AI189" s="99"/>
      <c r="AJ189" s="99" t="s">
        <v>115</v>
      </c>
      <c r="AK189" s="100"/>
      <c r="AL189" s="100" t="s">
        <v>540</v>
      </c>
      <c r="AM189" s="100" t="s">
        <v>102</v>
      </c>
      <c r="AN189" s="45" t="s">
        <v>65</v>
      </c>
      <c r="AO189" s="198" t="str">
        <f t="shared" si="18"/>
        <v>5/2026</v>
      </c>
      <c r="AP189" s="198">
        <f t="shared" si="19"/>
        <v>2</v>
      </c>
      <c r="AQ189" s="45" t="str">
        <f t="shared" si="20"/>
        <v>1/1900</v>
      </c>
      <c r="AR189" s="45" t="e">
        <f t="shared" si="21"/>
        <v>#NUM!</v>
      </c>
      <c r="AS189" s="45">
        <f t="shared" si="22"/>
        <v>0</v>
      </c>
      <c r="AT189" s="45">
        <f t="shared" si="23"/>
        <v>0</v>
      </c>
      <c r="AU189" s="45">
        <f t="shared" si="24"/>
        <v>0</v>
      </c>
      <c r="AV189" s="45">
        <f t="shared" si="25"/>
        <v>0</v>
      </c>
      <c r="AW189" s="45" t="str">
        <f>_xlfn.XLOOKUP(W189,'Lista Suspensa'!$AA$20:$AA$23,'Lista Suspensa'!$AB$20:$AB$23,"N/A")</f>
        <v>N/A</v>
      </c>
    </row>
    <row r="190" spans="1:49" ht="12" hidden="1" customHeight="1" x14ac:dyDescent="0.3">
      <c r="A190" s="87" t="s">
        <v>49</v>
      </c>
      <c r="B190" s="88">
        <v>46147</v>
      </c>
      <c r="C190" s="89" t="s">
        <v>50</v>
      </c>
      <c r="D190" s="89" t="s">
        <v>51</v>
      </c>
      <c r="E190" s="90">
        <v>95449622</v>
      </c>
      <c r="F190" s="91" t="s">
        <v>566</v>
      </c>
      <c r="G190" s="92">
        <v>94724601353</v>
      </c>
      <c r="H190" s="93">
        <v>30575</v>
      </c>
      <c r="I190" s="89">
        <v>42</v>
      </c>
      <c r="J190" s="89" t="s">
        <v>67</v>
      </c>
      <c r="K190" s="89" t="s">
        <v>54</v>
      </c>
      <c r="L190" s="89" t="s">
        <v>146</v>
      </c>
      <c r="M190" s="89"/>
      <c r="N190" s="89" t="s">
        <v>82</v>
      </c>
      <c r="O190" s="94" t="s">
        <v>567</v>
      </c>
      <c r="P190" s="95" t="s">
        <v>58</v>
      </c>
      <c r="Q190" s="144" t="s">
        <v>549</v>
      </c>
      <c r="R190" s="96"/>
      <c r="S190" s="97">
        <v>46153</v>
      </c>
      <c r="T190" s="97" t="s">
        <v>60</v>
      </c>
      <c r="U190" s="97" t="s">
        <v>72</v>
      </c>
      <c r="V190" s="93">
        <v>46153</v>
      </c>
      <c r="W190" s="93" t="s">
        <v>73</v>
      </c>
      <c r="X190" s="93" t="s">
        <v>73</v>
      </c>
      <c r="Y190" s="98"/>
      <c r="Z190" s="89"/>
      <c r="AA190" s="97"/>
      <c r="AB190" s="89"/>
      <c r="AC190" s="120"/>
      <c r="AD190" s="89"/>
      <c r="AE190" s="89"/>
      <c r="AF190" s="89"/>
      <c r="AG190" s="89"/>
      <c r="AH190" s="99"/>
      <c r="AI190" s="99"/>
      <c r="AJ190" s="99" t="s">
        <v>91</v>
      </c>
      <c r="AK190" s="100"/>
      <c r="AL190" s="100" t="s">
        <v>540</v>
      </c>
      <c r="AM190" s="100" t="s">
        <v>102</v>
      </c>
      <c r="AN190" s="45" t="s">
        <v>65</v>
      </c>
      <c r="AO190" s="198" t="str">
        <f t="shared" si="18"/>
        <v>5/2026</v>
      </c>
      <c r="AP190" s="198">
        <f t="shared" si="19"/>
        <v>2</v>
      </c>
      <c r="AQ190" s="45" t="str">
        <f t="shared" si="20"/>
        <v>1/1900</v>
      </c>
      <c r="AR190" s="45" t="e">
        <f t="shared" si="21"/>
        <v>#NUM!</v>
      </c>
      <c r="AS190" s="45">
        <f t="shared" si="22"/>
        <v>0</v>
      </c>
      <c r="AT190" s="45">
        <f t="shared" si="23"/>
        <v>0</v>
      </c>
      <c r="AU190" s="45">
        <f t="shared" si="24"/>
        <v>0</v>
      </c>
      <c r="AV190" s="45">
        <f t="shared" si="25"/>
        <v>0</v>
      </c>
      <c r="AW190" s="45" t="str">
        <f>_xlfn.XLOOKUP(W190,'Lista Suspensa'!$AA$20:$AA$23,'Lista Suspensa'!$AB$20:$AB$23,"N/A")</f>
        <v>N/A</v>
      </c>
    </row>
    <row r="191" spans="1:49" ht="12" hidden="1" customHeight="1" x14ac:dyDescent="0.3">
      <c r="A191" s="87" t="s">
        <v>49</v>
      </c>
      <c r="B191" s="88">
        <v>46147</v>
      </c>
      <c r="C191" s="89" t="s">
        <v>50</v>
      </c>
      <c r="D191" s="89" t="s">
        <v>51</v>
      </c>
      <c r="E191" s="90">
        <v>92983865</v>
      </c>
      <c r="F191" s="91" t="s">
        <v>568</v>
      </c>
      <c r="G191" s="92">
        <v>42506137807</v>
      </c>
      <c r="H191" s="93">
        <v>34204</v>
      </c>
      <c r="I191" s="89">
        <v>32</v>
      </c>
      <c r="J191" s="89" t="s">
        <v>67</v>
      </c>
      <c r="K191" s="89" t="s">
        <v>54</v>
      </c>
      <c r="L191" s="89" t="s">
        <v>190</v>
      </c>
      <c r="M191" s="89"/>
      <c r="N191" s="89" t="s">
        <v>124</v>
      </c>
      <c r="O191" s="94" t="s">
        <v>569</v>
      </c>
      <c r="P191" s="95" t="s">
        <v>58</v>
      </c>
      <c r="Q191" s="144" t="s">
        <v>549</v>
      </c>
      <c r="R191" s="96"/>
      <c r="S191" s="97">
        <v>46153</v>
      </c>
      <c r="T191" s="97" t="s">
        <v>60</v>
      </c>
      <c r="U191" s="97" t="s">
        <v>72</v>
      </c>
      <c r="V191" s="93">
        <v>46153</v>
      </c>
      <c r="W191" s="93" t="s">
        <v>73</v>
      </c>
      <c r="X191" s="93" t="s">
        <v>73</v>
      </c>
      <c r="Y191" s="98"/>
      <c r="Z191" s="89"/>
      <c r="AA191" s="97"/>
      <c r="AB191" s="89"/>
      <c r="AC191" s="120"/>
      <c r="AD191" s="89"/>
      <c r="AE191" s="89"/>
      <c r="AF191" s="89"/>
      <c r="AG191" s="89"/>
      <c r="AH191" s="99"/>
      <c r="AI191" s="99"/>
      <c r="AJ191" s="99" t="s">
        <v>91</v>
      </c>
      <c r="AK191" s="100"/>
      <c r="AL191" s="100" t="s">
        <v>540</v>
      </c>
      <c r="AM191" s="100" t="s">
        <v>102</v>
      </c>
      <c r="AN191" s="45" t="s">
        <v>65</v>
      </c>
      <c r="AO191" s="198" t="str">
        <f t="shared" si="18"/>
        <v>5/2026</v>
      </c>
      <c r="AP191" s="198">
        <f t="shared" si="19"/>
        <v>2</v>
      </c>
      <c r="AQ191" s="45" t="str">
        <f t="shared" si="20"/>
        <v>1/1900</v>
      </c>
      <c r="AR191" s="45" t="e">
        <f t="shared" si="21"/>
        <v>#NUM!</v>
      </c>
      <c r="AS191" s="45">
        <f t="shared" si="22"/>
        <v>0</v>
      </c>
      <c r="AT191" s="45">
        <f t="shared" si="23"/>
        <v>0</v>
      </c>
      <c r="AU191" s="45">
        <f t="shared" si="24"/>
        <v>0</v>
      </c>
      <c r="AV191" s="45">
        <f t="shared" si="25"/>
        <v>0</v>
      </c>
      <c r="AW191" s="45" t="str">
        <f>_xlfn.XLOOKUP(W191,'Lista Suspensa'!$AA$20:$AA$23,'Lista Suspensa'!$AB$20:$AB$23,"N/A")</f>
        <v>N/A</v>
      </c>
    </row>
    <row r="192" spans="1:49" ht="12" hidden="1" customHeight="1" x14ac:dyDescent="0.3">
      <c r="A192" s="87" t="s">
        <v>49</v>
      </c>
      <c r="B192" s="88">
        <v>46147</v>
      </c>
      <c r="C192" s="89" t="s">
        <v>50</v>
      </c>
      <c r="D192" s="89" t="s">
        <v>51</v>
      </c>
      <c r="E192" s="90">
        <v>84953308</v>
      </c>
      <c r="F192" s="91" t="s">
        <v>570</v>
      </c>
      <c r="G192" s="92">
        <v>40351859810</v>
      </c>
      <c r="H192" s="93">
        <v>37684</v>
      </c>
      <c r="I192" s="89">
        <v>23</v>
      </c>
      <c r="J192" s="89" t="s">
        <v>67</v>
      </c>
      <c r="K192" s="89" t="s">
        <v>54</v>
      </c>
      <c r="L192" s="89" t="s">
        <v>93</v>
      </c>
      <c r="M192" s="89"/>
      <c r="N192" s="89" t="s">
        <v>56</v>
      </c>
      <c r="O192" s="94" t="s">
        <v>571</v>
      </c>
      <c r="P192" s="95" t="s">
        <v>58</v>
      </c>
      <c r="Q192" s="144" t="s">
        <v>549</v>
      </c>
      <c r="R192" s="96"/>
      <c r="S192" s="97">
        <v>46155</v>
      </c>
      <c r="T192" s="97" t="s">
        <v>60</v>
      </c>
      <c r="U192" s="97" t="s">
        <v>72</v>
      </c>
      <c r="V192" s="93">
        <v>46155</v>
      </c>
      <c r="W192" s="93" t="s">
        <v>73</v>
      </c>
      <c r="X192" s="93" t="s">
        <v>73</v>
      </c>
      <c r="Y192" s="98"/>
      <c r="Z192" s="89"/>
      <c r="AA192" s="97"/>
      <c r="AB192" s="89"/>
      <c r="AC192" s="120"/>
      <c r="AD192" s="89"/>
      <c r="AE192" s="89"/>
      <c r="AF192" s="89"/>
      <c r="AG192" s="89"/>
      <c r="AH192" s="99"/>
      <c r="AI192" s="99"/>
      <c r="AJ192" s="99" t="s">
        <v>115</v>
      </c>
      <c r="AK192" s="100"/>
      <c r="AL192" s="100" t="s">
        <v>540</v>
      </c>
      <c r="AM192" s="100" t="s">
        <v>102</v>
      </c>
      <c r="AN192" s="45" t="s">
        <v>65</v>
      </c>
      <c r="AO192" s="198" t="str">
        <f t="shared" si="18"/>
        <v>5/2026</v>
      </c>
      <c r="AP192" s="198">
        <f t="shared" si="19"/>
        <v>2</v>
      </c>
      <c r="AQ192" s="45" t="str">
        <f t="shared" si="20"/>
        <v>1/1900</v>
      </c>
      <c r="AR192" s="45" t="e">
        <f t="shared" si="21"/>
        <v>#NUM!</v>
      </c>
      <c r="AS192" s="45">
        <f t="shared" si="22"/>
        <v>0</v>
      </c>
      <c r="AT192" s="45">
        <f t="shared" si="23"/>
        <v>0</v>
      </c>
      <c r="AU192" s="45">
        <f t="shared" si="24"/>
        <v>0</v>
      </c>
      <c r="AV192" s="45">
        <f t="shared" si="25"/>
        <v>0</v>
      </c>
      <c r="AW192" s="45" t="str">
        <f>_xlfn.XLOOKUP(W192,'Lista Suspensa'!$AA$20:$AA$23,'Lista Suspensa'!$AB$20:$AB$23,"N/A")</f>
        <v>N/A</v>
      </c>
    </row>
    <row r="193" spans="1:49" ht="12" hidden="1" customHeight="1" x14ac:dyDescent="0.3">
      <c r="A193" s="87" t="s">
        <v>102</v>
      </c>
      <c r="B193" s="88">
        <v>46161</v>
      </c>
      <c r="C193" s="89" t="s">
        <v>558</v>
      </c>
      <c r="D193" s="89" t="s">
        <v>51</v>
      </c>
      <c r="E193" s="90" t="s">
        <v>572</v>
      </c>
      <c r="F193" s="91" t="s">
        <v>573</v>
      </c>
      <c r="G193" s="92">
        <v>34822540871</v>
      </c>
      <c r="H193" s="93">
        <v>12657</v>
      </c>
      <c r="I193" s="89">
        <v>91</v>
      </c>
      <c r="J193" s="89" t="s">
        <v>67</v>
      </c>
      <c r="K193" s="89" t="s">
        <v>54</v>
      </c>
      <c r="L193" s="89" t="s">
        <v>93</v>
      </c>
      <c r="M193" s="89" t="s">
        <v>574</v>
      </c>
      <c r="N193" s="89">
        <v>400</v>
      </c>
      <c r="O193" s="94" t="s">
        <v>575</v>
      </c>
      <c r="P193" s="95" t="s">
        <v>58</v>
      </c>
      <c r="Q193" s="144" t="s">
        <v>549</v>
      </c>
      <c r="R193" s="96"/>
      <c r="S193" s="97">
        <v>46164</v>
      </c>
      <c r="T193" s="97" t="s">
        <v>60</v>
      </c>
      <c r="U193" s="97" t="s">
        <v>72</v>
      </c>
      <c r="V193" s="93">
        <v>46164</v>
      </c>
      <c r="W193" s="93"/>
      <c r="X193" s="93"/>
      <c r="Y193" s="98"/>
      <c r="Z193" s="89"/>
      <c r="AA193" s="97"/>
      <c r="AB193" s="89"/>
      <c r="AC193" s="120"/>
      <c r="AD193" s="89"/>
      <c r="AE193" s="89"/>
      <c r="AF193" s="89"/>
      <c r="AG193" s="89"/>
      <c r="AH193" s="99"/>
      <c r="AI193" s="99"/>
      <c r="AJ193" s="99"/>
      <c r="AK193" s="100"/>
      <c r="AL193" s="100" t="s">
        <v>540</v>
      </c>
      <c r="AM193" s="100" t="s">
        <v>102</v>
      </c>
      <c r="AN193" s="45" t="s">
        <v>65</v>
      </c>
      <c r="AO193" s="198" t="str">
        <f t="shared" si="18"/>
        <v>5/2026</v>
      </c>
      <c r="AP193" s="198">
        <f t="shared" si="19"/>
        <v>4</v>
      </c>
      <c r="AQ193" s="45" t="str">
        <f t="shared" si="20"/>
        <v>1/1900</v>
      </c>
      <c r="AR193" s="45" t="e">
        <f t="shared" si="21"/>
        <v>#NUM!</v>
      </c>
      <c r="AS193" s="45">
        <f t="shared" si="22"/>
        <v>0</v>
      </c>
      <c r="AT193" s="45">
        <f t="shared" si="23"/>
        <v>0</v>
      </c>
      <c r="AU193" s="45">
        <f t="shared" si="24"/>
        <v>0</v>
      </c>
      <c r="AV193" s="45">
        <f t="shared" si="25"/>
        <v>0</v>
      </c>
      <c r="AW193" s="45" t="str">
        <f>_xlfn.XLOOKUP(W193,'Lista Suspensa'!$AA$20:$AA$23,'Lista Suspensa'!$AB$20:$AB$23,"N/A")</f>
        <v>S</v>
      </c>
    </row>
    <row r="194" spans="1:49" ht="12" hidden="1" customHeight="1" x14ac:dyDescent="0.3">
      <c r="A194" s="87" t="s">
        <v>49</v>
      </c>
      <c r="B194" s="88">
        <v>46147</v>
      </c>
      <c r="C194" s="89" t="s">
        <v>50</v>
      </c>
      <c r="D194" s="89" t="s">
        <v>51</v>
      </c>
      <c r="E194" s="90">
        <v>592796647</v>
      </c>
      <c r="F194" s="91" t="s">
        <v>576</v>
      </c>
      <c r="G194" s="92">
        <v>34230615884</v>
      </c>
      <c r="H194" s="93">
        <v>30890</v>
      </c>
      <c r="I194" s="89">
        <v>41</v>
      </c>
      <c r="J194" s="89" t="s">
        <v>67</v>
      </c>
      <c r="K194" s="89" t="s">
        <v>54</v>
      </c>
      <c r="L194" s="89" t="s">
        <v>161</v>
      </c>
      <c r="M194" s="89"/>
      <c r="N194" s="89" t="s">
        <v>69</v>
      </c>
      <c r="O194" s="94" t="s">
        <v>577</v>
      </c>
      <c r="P194" s="95" t="s">
        <v>58</v>
      </c>
      <c r="Q194" s="144" t="s">
        <v>549</v>
      </c>
      <c r="R194" s="96"/>
      <c r="S194" s="96">
        <v>46161</v>
      </c>
      <c r="T194" s="97" t="s">
        <v>60</v>
      </c>
      <c r="U194" s="97" t="s">
        <v>72</v>
      </c>
      <c r="V194" s="93">
        <v>46161</v>
      </c>
      <c r="W194" s="93" t="s">
        <v>73</v>
      </c>
      <c r="X194" s="93" t="s">
        <v>73</v>
      </c>
      <c r="Y194" s="98"/>
      <c r="Z194" s="89" t="s">
        <v>62</v>
      </c>
      <c r="AA194" s="97">
        <v>46170</v>
      </c>
      <c r="AB194" s="89" t="s">
        <v>75</v>
      </c>
      <c r="AC194" s="120"/>
      <c r="AD194" s="89"/>
      <c r="AE194" s="89"/>
      <c r="AF194" s="89"/>
      <c r="AG194" s="89"/>
      <c r="AH194" s="99"/>
      <c r="AI194" s="99"/>
      <c r="AJ194" s="99"/>
      <c r="AK194" s="100"/>
      <c r="AL194" s="100" t="s">
        <v>540</v>
      </c>
      <c r="AM194" s="100"/>
      <c r="AN194" s="45" t="s">
        <v>65</v>
      </c>
      <c r="AO194" s="198" t="str">
        <f t="shared" ref="AO194:AO257" si="26">MONTH(B194)&amp;"/"&amp;YEAR(B194)</f>
        <v>5/2026</v>
      </c>
      <c r="AP194" s="198">
        <f t="shared" ref="AP194:AP257" si="27">WEEKNUM(B194)-WEEKNUM(EOMONTH(B194,-1)+1)+1</f>
        <v>2</v>
      </c>
      <c r="AQ194" s="45" t="str">
        <f t="shared" ref="AQ194:AQ257" si="28">MONTH(R194)&amp;"/"&amp;YEAR(R194)</f>
        <v>1/1900</v>
      </c>
      <c r="AR194" s="45" t="e">
        <f t="shared" ref="AR194:AR257" si="29">WEEKNUM(R194)-WEEKNUM(EOMONTH(R194,-1)+1)+1</f>
        <v>#NUM!</v>
      </c>
      <c r="AS194" s="45">
        <f t="shared" ref="AS194:AS257" si="30">IF(AW194="S",IF(Q194="1. Aceitou o programa",R194-B194,0),0)</f>
        <v>0</v>
      </c>
      <c r="AT194" s="45">
        <f t="shared" ref="AT194:AT257" si="31">IF(AW194="S",IF(AND(S194&lt;&gt;"",R194&lt;&gt;""),S194-R194,0),0)</f>
        <v>0</v>
      </c>
      <c r="AU194" s="45">
        <f t="shared" ref="AU194:AU257" si="32">IF(AW194="S",IF(Q194="1. Aceitou o programa",IF(OR(X194="Não se Aplica",X194=""),IF(OR(W194="Não se Aplica",W194=""),0,W194-V194),AVERAGE(X194-W194,W194-V194)),0),0)</f>
        <v>0</v>
      </c>
      <c r="AV194" s="45">
        <f t="shared" si="25"/>
        <v>0</v>
      </c>
      <c r="AW194" s="45" t="str">
        <f>_xlfn.XLOOKUP(W194,'Lista Suspensa'!$AA$20:$AA$23,'Lista Suspensa'!$AB$20:$AB$23,"N/A")</f>
        <v>N/A</v>
      </c>
    </row>
    <row r="195" spans="1:49" ht="12" hidden="1" customHeight="1" x14ac:dyDescent="0.3">
      <c r="A195" s="87" t="s">
        <v>49</v>
      </c>
      <c r="B195" s="88">
        <v>46147</v>
      </c>
      <c r="C195" s="89" t="s">
        <v>50</v>
      </c>
      <c r="D195" s="89" t="s">
        <v>51</v>
      </c>
      <c r="E195" s="90">
        <v>94351592</v>
      </c>
      <c r="F195" s="91" t="s">
        <v>578</v>
      </c>
      <c r="G195" s="92">
        <v>14440335730</v>
      </c>
      <c r="H195" s="93">
        <v>35690</v>
      </c>
      <c r="I195" s="89">
        <v>28</v>
      </c>
      <c r="J195" s="89" t="s">
        <v>67</v>
      </c>
      <c r="K195" s="89" t="s">
        <v>77</v>
      </c>
      <c r="L195" s="89" t="s">
        <v>78</v>
      </c>
      <c r="M195" s="89"/>
      <c r="N195" s="89" t="s">
        <v>100</v>
      </c>
      <c r="O195" s="94" t="s">
        <v>579</v>
      </c>
      <c r="P195" s="95" t="s">
        <v>58</v>
      </c>
      <c r="Q195" s="144" t="s">
        <v>549</v>
      </c>
      <c r="R195" s="96"/>
      <c r="S195" s="97">
        <v>46154</v>
      </c>
      <c r="T195" s="97" t="s">
        <v>60</v>
      </c>
      <c r="U195" s="97" t="s">
        <v>72</v>
      </c>
      <c r="V195" s="93">
        <v>46154</v>
      </c>
      <c r="W195" s="93" t="s">
        <v>73</v>
      </c>
      <c r="X195" s="93" t="s">
        <v>73</v>
      </c>
      <c r="Y195" s="98"/>
      <c r="Z195" s="89"/>
      <c r="AA195" s="97"/>
      <c r="AB195" s="89"/>
      <c r="AC195" s="120"/>
      <c r="AD195" s="89"/>
      <c r="AE195" s="89"/>
      <c r="AF195" s="89"/>
      <c r="AG195" s="89"/>
      <c r="AH195" s="99"/>
      <c r="AI195" s="99"/>
      <c r="AJ195" s="99" t="s">
        <v>115</v>
      </c>
      <c r="AK195" s="100"/>
      <c r="AL195" s="100" t="s">
        <v>540</v>
      </c>
      <c r="AM195" s="100" t="s">
        <v>102</v>
      </c>
      <c r="AN195" s="45" t="s">
        <v>65</v>
      </c>
      <c r="AO195" s="198" t="str">
        <f t="shared" si="26"/>
        <v>5/2026</v>
      </c>
      <c r="AP195" s="198">
        <f t="shared" si="27"/>
        <v>2</v>
      </c>
      <c r="AQ195" s="45" t="str">
        <f t="shared" si="28"/>
        <v>1/1900</v>
      </c>
      <c r="AR195" s="45" t="e">
        <f t="shared" si="29"/>
        <v>#NUM!</v>
      </c>
      <c r="AS195" s="45">
        <f t="shared" si="30"/>
        <v>0</v>
      </c>
      <c r="AT195" s="45">
        <f t="shared" si="31"/>
        <v>0</v>
      </c>
      <c r="AU195" s="45">
        <f t="shared" si="32"/>
        <v>0</v>
      </c>
      <c r="AV195" s="45">
        <f t="shared" si="25"/>
        <v>0</v>
      </c>
      <c r="AW195" s="45" t="str">
        <f>_xlfn.XLOOKUP(W195,'Lista Suspensa'!$AA$20:$AA$23,'Lista Suspensa'!$AB$20:$AB$23,"N/A")</f>
        <v>N/A</v>
      </c>
    </row>
    <row r="196" spans="1:49" ht="12" hidden="1" customHeight="1" x14ac:dyDescent="0.3">
      <c r="A196" s="87" t="s">
        <v>49</v>
      </c>
      <c r="B196" s="88">
        <v>46147</v>
      </c>
      <c r="C196" s="89" t="s">
        <v>50</v>
      </c>
      <c r="D196" s="89" t="s">
        <v>51</v>
      </c>
      <c r="E196" s="90">
        <v>84133750</v>
      </c>
      <c r="F196" s="91" t="s">
        <v>580</v>
      </c>
      <c r="G196" s="92">
        <v>36408074804</v>
      </c>
      <c r="H196" s="93">
        <v>31682</v>
      </c>
      <c r="I196" s="89">
        <v>39</v>
      </c>
      <c r="J196" s="89" t="s">
        <v>67</v>
      </c>
      <c r="K196" s="89" t="s">
        <v>54</v>
      </c>
      <c r="L196" s="89" t="s">
        <v>93</v>
      </c>
      <c r="M196" s="89"/>
      <c r="N196" s="89" t="s">
        <v>82</v>
      </c>
      <c r="O196" s="94" t="s">
        <v>581</v>
      </c>
      <c r="P196" s="95" t="s">
        <v>58</v>
      </c>
      <c r="Q196" s="144" t="s">
        <v>549</v>
      </c>
      <c r="R196" s="96"/>
      <c r="S196" s="96">
        <v>46161</v>
      </c>
      <c r="T196" s="97" t="s">
        <v>60</v>
      </c>
      <c r="U196" s="97" t="s">
        <v>72</v>
      </c>
      <c r="V196" s="93">
        <v>46161</v>
      </c>
      <c r="W196" s="93" t="s">
        <v>73</v>
      </c>
      <c r="X196" s="93" t="s">
        <v>73</v>
      </c>
      <c r="Y196" s="98"/>
      <c r="Z196" s="89" t="s">
        <v>62</v>
      </c>
      <c r="AA196" s="97">
        <v>46170</v>
      </c>
      <c r="AB196" s="89" t="s">
        <v>75</v>
      </c>
      <c r="AC196" s="120"/>
      <c r="AD196" s="89"/>
      <c r="AE196" s="89"/>
      <c r="AF196" s="89" t="s">
        <v>582</v>
      </c>
      <c r="AG196" s="89" t="s">
        <v>582</v>
      </c>
      <c r="AH196" s="99" t="s">
        <v>105</v>
      </c>
      <c r="AI196" s="99"/>
      <c r="AJ196" s="119" t="s">
        <v>91</v>
      </c>
      <c r="AK196" s="100"/>
      <c r="AL196" s="100" t="s">
        <v>540</v>
      </c>
      <c r="AM196" s="100" t="s">
        <v>102</v>
      </c>
      <c r="AN196" s="45" t="s">
        <v>65</v>
      </c>
      <c r="AO196" s="198" t="str">
        <f t="shared" si="26"/>
        <v>5/2026</v>
      </c>
      <c r="AP196" s="198">
        <f t="shared" si="27"/>
        <v>2</v>
      </c>
      <c r="AQ196" s="45" t="str">
        <f t="shared" si="28"/>
        <v>1/1900</v>
      </c>
      <c r="AR196" s="45" t="e">
        <f t="shared" si="29"/>
        <v>#NUM!</v>
      </c>
      <c r="AS196" s="45">
        <f t="shared" si="30"/>
        <v>0</v>
      </c>
      <c r="AT196" s="45">
        <f t="shared" si="31"/>
        <v>0</v>
      </c>
      <c r="AU196" s="45">
        <f t="shared" si="32"/>
        <v>0</v>
      </c>
      <c r="AV196" s="45">
        <f t="shared" si="25"/>
        <v>0</v>
      </c>
      <c r="AW196" s="45" t="str">
        <f>_xlfn.XLOOKUP(W196,'Lista Suspensa'!$AA$20:$AA$23,'Lista Suspensa'!$AB$20:$AB$23,"N/A")</f>
        <v>N/A</v>
      </c>
    </row>
    <row r="197" spans="1:49" ht="12" hidden="1" customHeight="1" x14ac:dyDescent="0.3">
      <c r="A197" s="87" t="s">
        <v>49</v>
      </c>
      <c r="B197" s="88">
        <v>46147</v>
      </c>
      <c r="C197" s="89" t="s">
        <v>50</v>
      </c>
      <c r="D197" s="89" t="s">
        <v>51</v>
      </c>
      <c r="E197" s="90">
        <v>95953947</v>
      </c>
      <c r="F197" s="91" t="s">
        <v>583</v>
      </c>
      <c r="G197" s="92">
        <v>29567880867</v>
      </c>
      <c r="H197" s="93">
        <v>30193</v>
      </c>
      <c r="I197" s="89">
        <v>43</v>
      </c>
      <c r="J197" s="89" t="s">
        <v>67</v>
      </c>
      <c r="K197" s="89" t="s">
        <v>54</v>
      </c>
      <c r="L197" s="89" t="s">
        <v>93</v>
      </c>
      <c r="M197" s="89"/>
      <c r="N197" s="89" t="s">
        <v>113</v>
      </c>
      <c r="O197" s="94" t="s">
        <v>584</v>
      </c>
      <c r="P197" s="95" t="s">
        <v>58</v>
      </c>
      <c r="Q197" s="144" t="s">
        <v>549</v>
      </c>
      <c r="R197" s="96"/>
      <c r="S197" s="97">
        <v>46155</v>
      </c>
      <c r="T197" s="97" t="s">
        <v>60</v>
      </c>
      <c r="U197" s="97" t="s">
        <v>72</v>
      </c>
      <c r="V197" s="93">
        <v>46155</v>
      </c>
      <c r="W197" s="93" t="s">
        <v>73</v>
      </c>
      <c r="X197" s="93" t="s">
        <v>73</v>
      </c>
      <c r="Y197" s="98"/>
      <c r="Z197" s="89"/>
      <c r="AA197" s="97"/>
      <c r="AB197" s="89"/>
      <c r="AC197" s="120"/>
      <c r="AD197" s="89"/>
      <c r="AE197" s="89"/>
      <c r="AF197" s="89"/>
      <c r="AG197" s="89"/>
      <c r="AH197" s="99"/>
      <c r="AI197" s="99"/>
      <c r="AJ197" s="99" t="s">
        <v>115</v>
      </c>
      <c r="AK197" s="100"/>
      <c r="AL197" s="100" t="s">
        <v>540</v>
      </c>
      <c r="AM197" s="100" t="s">
        <v>102</v>
      </c>
      <c r="AN197" s="45" t="s">
        <v>65</v>
      </c>
      <c r="AO197" s="198" t="str">
        <f t="shared" si="26"/>
        <v>5/2026</v>
      </c>
      <c r="AP197" s="198">
        <f t="shared" si="27"/>
        <v>2</v>
      </c>
      <c r="AQ197" s="45" t="str">
        <f t="shared" si="28"/>
        <v>1/1900</v>
      </c>
      <c r="AR197" s="45" t="e">
        <f t="shared" si="29"/>
        <v>#NUM!</v>
      </c>
      <c r="AS197" s="45">
        <f t="shared" si="30"/>
        <v>0</v>
      </c>
      <c r="AT197" s="45">
        <f t="shared" si="31"/>
        <v>0</v>
      </c>
      <c r="AU197" s="45">
        <f t="shared" si="32"/>
        <v>0</v>
      </c>
      <c r="AV197" s="45">
        <f t="shared" si="25"/>
        <v>0</v>
      </c>
      <c r="AW197" s="45" t="str">
        <f>_xlfn.XLOOKUP(W197,'Lista Suspensa'!$AA$20:$AA$23,'Lista Suspensa'!$AB$20:$AB$23,"N/A")</f>
        <v>N/A</v>
      </c>
    </row>
    <row r="198" spans="1:49" ht="12" hidden="1" customHeight="1" x14ac:dyDescent="0.3">
      <c r="A198" s="87" t="s">
        <v>49</v>
      </c>
      <c r="B198" s="88">
        <v>46147</v>
      </c>
      <c r="C198" s="89" t="s">
        <v>50</v>
      </c>
      <c r="D198" s="89" t="s">
        <v>51</v>
      </c>
      <c r="E198" s="90">
        <v>93778519</v>
      </c>
      <c r="F198" s="91" t="s">
        <v>585</v>
      </c>
      <c r="G198" s="92">
        <v>40702546844</v>
      </c>
      <c r="H198" s="93">
        <v>33480</v>
      </c>
      <c r="I198" s="89">
        <v>34</v>
      </c>
      <c r="J198" s="89" t="s">
        <v>67</v>
      </c>
      <c r="K198" s="89" t="s">
        <v>54</v>
      </c>
      <c r="L198" s="89" t="s">
        <v>93</v>
      </c>
      <c r="M198" s="89"/>
      <c r="N198" s="89" t="s">
        <v>82</v>
      </c>
      <c r="O198" s="94" t="s">
        <v>586</v>
      </c>
      <c r="P198" s="95" t="s">
        <v>58</v>
      </c>
      <c r="Q198" s="144" t="s">
        <v>549</v>
      </c>
      <c r="R198" s="96"/>
      <c r="S198" s="96">
        <v>46155</v>
      </c>
      <c r="T198" s="97" t="s">
        <v>60</v>
      </c>
      <c r="U198" s="97" t="s">
        <v>72</v>
      </c>
      <c r="V198" s="93">
        <v>46155</v>
      </c>
      <c r="W198" s="93" t="s">
        <v>73</v>
      </c>
      <c r="X198" s="93" t="s">
        <v>73</v>
      </c>
      <c r="Y198" s="98"/>
      <c r="Z198" s="89" t="s">
        <v>62</v>
      </c>
      <c r="AA198" s="97">
        <v>46169</v>
      </c>
      <c r="AB198" s="89" t="s">
        <v>75</v>
      </c>
      <c r="AC198" s="120"/>
      <c r="AD198" s="89"/>
      <c r="AE198" s="89"/>
      <c r="AF198" s="89">
        <v>2.5</v>
      </c>
      <c r="AG198" s="89">
        <v>2.5</v>
      </c>
      <c r="AH198" s="99" t="s">
        <v>587</v>
      </c>
      <c r="AI198" s="99"/>
      <c r="AJ198" s="119" t="s">
        <v>91</v>
      </c>
      <c r="AK198" s="100"/>
      <c r="AL198" s="100" t="s">
        <v>540</v>
      </c>
      <c r="AM198" s="100" t="s">
        <v>102</v>
      </c>
      <c r="AN198" s="45" t="s">
        <v>65</v>
      </c>
      <c r="AO198" s="198" t="str">
        <f t="shared" si="26"/>
        <v>5/2026</v>
      </c>
      <c r="AP198" s="198">
        <f t="shared" si="27"/>
        <v>2</v>
      </c>
      <c r="AQ198" s="45" t="str">
        <f t="shared" si="28"/>
        <v>1/1900</v>
      </c>
      <c r="AR198" s="45" t="e">
        <f t="shared" si="29"/>
        <v>#NUM!</v>
      </c>
      <c r="AS198" s="45">
        <f t="shared" si="30"/>
        <v>0</v>
      </c>
      <c r="AT198" s="45">
        <f t="shared" si="31"/>
        <v>0</v>
      </c>
      <c r="AU198" s="45">
        <f t="shared" si="32"/>
        <v>0</v>
      </c>
      <c r="AV198" s="45">
        <f t="shared" si="25"/>
        <v>0</v>
      </c>
      <c r="AW198" s="45" t="str">
        <f>_xlfn.XLOOKUP(W198,'Lista Suspensa'!$AA$20:$AA$23,'Lista Suspensa'!$AB$20:$AB$23,"N/A")</f>
        <v>N/A</v>
      </c>
    </row>
    <row r="199" spans="1:49" ht="12" hidden="1" customHeight="1" x14ac:dyDescent="0.3">
      <c r="A199" s="87" t="s">
        <v>49</v>
      </c>
      <c r="B199" s="88">
        <v>46147</v>
      </c>
      <c r="C199" s="89" t="s">
        <v>50</v>
      </c>
      <c r="D199" s="89" t="s">
        <v>51</v>
      </c>
      <c r="E199" s="90">
        <v>94881302</v>
      </c>
      <c r="F199" s="91" t="s">
        <v>588</v>
      </c>
      <c r="G199" s="92">
        <v>9955880740</v>
      </c>
      <c r="H199" s="93">
        <v>30285</v>
      </c>
      <c r="I199" s="89">
        <v>43</v>
      </c>
      <c r="J199" s="89" t="s">
        <v>67</v>
      </c>
      <c r="K199" s="89" t="s">
        <v>77</v>
      </c>
      <c r="L199" s="89" t="s">
        <v>78</v>
      </c>
      <c r="M199" s="89"/>
      <c r="N199" s="89" t="s">
        <v>150</v>
      </c>
      <c r="O199" s="94" t="s">
        <v>589</v>
      </c>
      <c r="P199" s="95" t="s">
        <v>58</v>
      </c>
      <c r="Q199" s="144" t="s">
        <v>549</v>
      </c>
      <c r="R199" s="96"/>
      <c r="S199" s="97">
        <v>46154</v>
      </c>
      <c r="T199" s="97" t="s">
        <v>60</v>
      </c>
      <c r="U199" s="97" t="s">
        <v>72</v>
      </c>
      <c r="V199" s="93">
        <v>46154</v>
      </c>
      <c r="W199" s="93" t="s">
        <v>73</v>
      </c>
      <c r="X199" s="93" t="s">
        <v>73</v>
      </c>
      <c r="Y199" s="98"/>
      <c r="Z199" s="89"/>
      <c r="AA199" s="97"/>
      <c r="AB199" s="89"/>
      <c r="AC199" s="120"/>
      <c r="AD199" s="89"/>
      <c r="AE199" s="89"/>
      <c r="AF199" s="89"/>
      <c r="AG199" s="89"/>
      <c r="AH199" s="99"/>
      <c r="AI199" s="99"/>
      <c r="AJ199" s="99"/>
      <c r="AK199" s="100"/>
      <c r="AL199" s="100" t="s">
        <v>540</v>
      </c>
      <c r="AM199" s="100" t="s">
        <v>102</v>
      </c>
      <c r="AN199" s="45" t="s">
        <v>65</v>
      </c>
      <c r="AO199" s="198" t="str">
        <f t="shared" si="26"/>
        <v>5/2026</v>
      </c>
      <c r="AP199" s="198">
        <f t="shared" si="27"/>
        <v>2</v>
      </c>
      <c r="AQ199" s="45" t="str">
        <f t="shared" si="28"/>
        <v>1/1900</v>
      </c>
      <c r="AR199" s="45" t="e">
        <f t="shared" si="29"/>
        <v>#NUM!</v>
      </c>
      <c r="AS199" s="45">
        <f t="shared" si="30"/>
        <v>0</v>
      </c>
      <c r="AT199" s="45">
        <f t="shared" si="31"/>
        <v>0</v>
      </c>
      <c r="AU199" s="45">
        <f t="shared" si="32"/>
        <v>0</v>
      </c>
      <c r="AV199" s="45">
        <f t="shared" si="25"/>
        <v>0</v>
      </c>
      <c r="AW199" s="45" t="str">
        <f>_xlfn.XLOOKUP(W199,'Lista Suspensa'!$AA$20:$AA$23,'Lista Suspensa'!$AB$20:$AB$23,"N/A")</f>
        <v>N/A</v>
      </c>
    </row>
    <row r="200" spans="1:49" ht="12" hidden="1" customHeight="1" x14ac:dyDescent="0.3">
      <c r="A200" s="87" t="s">
        <v>49</v>
      </c>
      <c r="B200" s="88">
        <v>46147</v>
      </c>
      <c r="C200" s="89" t="s">
        <v>50</v>
      </c>
      <c r="D200" s="89" t="s">
        <v>51</v>
      </c>
      <c r="E200" s="90">
        <v>450805158</v>
      </c>
      <c r="F200" s="91" t="s">
        <v>590</v>
      </c>
      <c r="G200" s="92">
        <v>33847759884</v>
      </c>
      <c r="H200" s="93">
        <v>30922</v>
      </c>
      <c r="I200" s="89">
        <v>41</v>
      </c>
      <c r="J200" s="89" t="s">
        <v>67</v>
      </c>
      <c r="K200" s="89" t="s">
        <v>54</v>
      </c>
      <c r="L200" s="89" t="s">
        <v>161</v>
      </c>
      <c r="M200" s="89"/>
      <c r="N200" s="89" t="s">
        <v>94</v>
      </c>
      <c r="O200" s="94" t="s">
        <v>591</v>
      </c>
      <c r="P200" s="95" t="s">
        <v>58</v>
      </c>
      <c r="Q200" s="144" t="s">
        <v>549</v>
      </c>
      <c r="R200" s="96"/>
      <c r="S200" s="97">
        <v>46150</v>
      </c>
      <c r="T200" s="97" t="s">
        <v>60</v>
      </c>
      <c r="U200" s="97" t="s">
        <v>72</v>
      </c>
      <c r="V200" s="93">
        <v>46150</v>
      </c>
      <c r="W200" s="93" t="s">
        <v>73</v>
      </c>
      <c r="X200" s="93" t="s">
        <v>73</v>
      </c>
      <c r="Y200" s="98"/>
      <c r="Z200" s="89"/>
      <c r="AA200" s="97"/>
      <c r="AB200" s="89"/>
      <c r="AC200" s="120"/>
      <c r="AD200" s="89"/>
      <c r="AE200" s="89"/>
      <c r="AF200" s="89"/>
      <c r="AG200" s="89"/>
      <c r="AH200" s="99"/>
      <c r="AI200" s="99"/>
      <c r="AJ200" s="99" t="s">
        <v>115</v>
      </c>
      <c r="AK200" s="100"/>
      <c r="AL200" s="100" t="s">
        <v>540</v>
      </c>
      <c r="AM200" s="100" t="s">
        <v>102</v>
      </c>
      <c r="AN200" s="45" t="s">
        <v>65</v>
      </c>
      <c r="AO200" s="198" t="str">
        <f t="shared" si="26"/>
        <v>5/2026</v>
      </c>
      <c r="AP200" s="198">
        <f t="shared" si="27"/>
        <v>2</v>
      </c>
      <c r="AQ200" s="45" t="str">
        <f t="shared" si="28"/>
        <v>1/1900</v>
      </c>
      <c r="AR200" s="45" t="e">
        <f t="shared" si="29"/>
        <v>#NUM!</v>
      </c>
      <c r="AS200" s="45">
        <f t="shared" si="30"/>
        <v>0</v>
      </c>
      <c r="AT200" s="45">
        <f t="shared" si="31"/>
        <v>0</v>
      </c>
      <c r="AU200" s="45">
        <f t="shared" si="32"/>
        <v>0</v>
      </c>
      <c r="AV200" s="45">
        <f t="shared" si="25"/>
        <v>0</v>
      </c>
      <c r="AW200" s="45" t="str">
        <f>_xlfn.XLOOKUP(W200,'Lista Suspensa'!$AA$20:$AA$23,'Lista Suspensa'!$AB$20:$AB$23,"N/A")</f>
        <v>N/A</v>
      </c>
    </row>
    <row r="201" spans="1:49" ht="12" hidden="1" customHeight="1" x14ac:dyDescent="0.3">
      <c r="A201" s="87" t="s">
        <v>49</v>
      </c>
      <c r="B201" s="88">
        <v>46147</v>
      </c>
      <c r="C201" s="89" t="s">
        <v>50</v>
      </c>
      <c r="D201" s="89" t="s">
        <v>51</v>
      </c>
      <c r="E201" s="90">
        <v>94768742</v>
      </c>
      <c r="F201" s="91" t="s">
        <v>592</v>
      </c>
      <c r="G201" s="92">
        <v>36779986895</v>
      </c>
      <c r="H201" s="93">
        <v>32163</v>
      </c>
      <c r="I201" s="89">
        <v>38</v>
      </c>
      <c r="J201" s="89" t="s">
        <v>67</v>
      </c>
      <c r="K201" s="89" t="s">
        <v>54</v>
      </c>
      <c r="L201" s="89" t="s">
        <v>93</v>
      </c>
      <c r="M201" s="89"/>
      <c r="N201" s="89" t="s">
        <v>82</v>
      </c>
      <c r="O201" s="94" t="s">
        <v>593</v>
      </c>
      <c r="P201" s="95" t="s">
        <v>58</v>
      </c>
      <c r="Q201" s="144" t="s">
        <v>549</v>
      </c>
      <c r="R201" s="96"/>
      <c r="S201" s="97">
        <v>46155</v>
      </c>
      <c r="T201" s="97" t="s">
        <v>60</v>
      </c>
      <c r="U201" s="97" t="s">
        <v>72</v>
      </c>
      <c r="V201" s="93">
        <v>46155</v>
      </c>
      <c r="W201" s="93" t="s">
        <v>73</v>
      </c>
      <c r="X201" s="93" t="s">
        <v>73</v>
      </c>
      <c r="Y201" s="98"/>
      <c r="Z201" s="89"/>
      <c r="AA201" s="97"/>
      <c r="AB201" s="89"/>
      <c r="AC201" s="120"/>
      <c r="AD201" s="89"/>
      <c r="AE201" s="89"/>
      <c r="AF201" s="89"/>
      <c r="AG201" s="89"/>
      <c r="AH201" s="99"/>
      <c r="AI201" s="99"/>
      <c r="AJ201" s="99" t="s">
        <v>115</v>
      </c>
      <c r="AK201" s="100"/>
      <c r="AL201" s="100" t="s">
        <v>540</v>
      </c>
      <c r="AM201" s="100" t="s">
        <v>102</v>
      </c>
      <c r="AN201" s="45" t="s">
        <v>65</v>
      </c>
      <c r="AO201" s="198" t="str">
        <f t="shared" si="26"/>
        <v>5/2026</v>
      </c>
      <c r="AP201" s="198">
        <f t="shared" si="27"/>
        <v>2</v>
      </c>
      <c r="AQ201" s="45" t="str">
        <f t="shared" si="28"/>
        <v>1/1900</v>
      </c>
      <c r="AR201" s="45" t="e">
        <f t="shared" si="29"/>
        <v>#NUM!</v>
      </c>
      <c r="AS201" s="45">
        <f t="shared" si="30"/>
        <v>0</v>
      </c>
      <c r="AT201" s="45">
        <f t="shared" si="31"/>
        <v>0</v>
      </c>
      <c r="AU201" s="45">
        <f t="shared" si="32"/>
        <v>0</v>
      </c>
      <c r="AV201" s="45">
        <f t="shared" si="25"/>
        <v>0</v>
      </c>
      <c r="AW201" s="45" t="str">
        <f>_xlfn.XLOOKUP(W201,'Lista Suspensa'!$AA$20:$AA$23,'Lista Suspensa'!$AB$20:$AB$23,"N/A")</f>
        <v>N/A</v>
      </c>
    </row>
    <row r="202" spans="1:49" ht="12" hidden="1" customHeight="1" x14ac:dyDescent="0.3">
      <c r="A202" s="87" t="s">
        <v>49</v>
      </c>
      <c r="B202" s="88">
        <v>46147</v>
      </c>
      <c r="C202" s="89" t="s">
        <v>50</v>
      </c>
      <c r="D202" s="89" t="s">
        <v>51</v>
      </c>
      <c r="E202" s="90">
        <v>93692459</v>
      </c>
      <c r="F202" s="91" t="s">
        <v>594</v>
      </c>
      <c r="G202" s="92">
        <v>18628036768</v>
      </c>
      <c r="H202" s="93">
        <v>18371</v>
      </c>
      <c r="I202" s="89">
        <v>76</v>
      </c>
      <c r="J202" s="89" t="s">
        <v>67</v>
      </c>
      <c r="K202" s="89" t="s">
        <v>77</v>
      </c>
      <c r="L202" s="89" t="s">
        <v>78</v>
      </c>
      <c r="M202" s="89"/>
      <c r="N202" s="89" t="s">
        <v>56</v>
      </c>
      <c r="O202" s="94" t="s">
        <v>595</v>
      </c>
      <c r="P202" s="95" t="s">
        <v>58</v>
      </c>
      <c r="Q202" s="144" t="s">
        <v>549</v>
      </c>
      <c r="R202" s="96"/>
      <c r="S202" s="97">
        <v>46154</v>
      </c>
      <c r="T202" s="97" t="s">
        <v>60</v>
      </c>
      <c r="U202" s="97" t="s">
        <v>72</v>
      </c>
      <c r="V202" s="93">
        <v>46154</v>
      </c>
      <c r="W202" s="93" t="s">
        <v>73</v>
      </c>
      <c r="X202" s="93" t="s">
        <v>73</v>
      </c>
      <c r="Y202" s="98"/>
      <c r="Z202" s="89"/>
      <c r="AA202" s="97"/>
      <c r="AB202" s="89"/>
      <c r="AC202" s="120"/>
      <c r="AD202" s="89"/>
      <c r="AE202" s="89"/>
      <c r="AF202" s="89"/>
      <c r="AG202" s="89"/>
      <c r="AH202" s="99"/>
      <c r="AI202" s="99"/>
      <c r="AJ202" s="99" t="s">
        <v>115</v>
      </c>
      <c r="AK202" s="100"/>
      <c r="AL202" s="100" t="s">
        <v>540</v>
      </c>
      <c r="AM202" s="100" t="s">
        <v>102</v>
      </c>
      <c r="AN202" s="45" t="s">
        <v>65</v>
      </c>
      <c r="AO202" s="198" t="str">
        <f t="shared" si="26"/>
        <v>5/2026</v>
      </c>
      <c r="AP202" s="198">
        <f t="shared" si="27"/>
        <v>2</v>
      </c>
      <c r="AQ202" s="45" t="str">
        <f t="shared" si="28"/>
        <v>1/1900</v>
      </c>
      <c r="AR202" s="45" t="e">
        <f t="shared" si="29"/>
        <v>#NUM!</v>
      </c>
      <c r="AS202" s="45">
        <f t="shared" si="30"/>
        <v>0</v>
      </c>
      <c r="AT202" s="45">
        <f t="shared" si="31"/>
        <v>0</v>
      </c>
      <c r="AU202" s="45">
        <f t="shared" si="32"/>
        <v>0</v>
      </c>
      <c r="AV202" s="45">
        <f t="shared" si="25"/>
        <v>0</v>
      </c>
      <c r="AW202" s="45" t="str">
        <f>_xlfn.XLOOKUP(W202,'Lista Suspensa'!$AA$20:$AA$23,'Lista Suspensa'!$AB$20:$AB$23,"N/A")</f>
        <v>N/A</v>
      </c>
    </row>
    <row r="203" spans="1:49" ht="12" hidden="1" customHeight="1" x14ac:dyDescent="0.3">
      <c r="A203" s="87" t="s">
        <v>49</v>
      </c>
      <c r="B203" s="88">
        <v>46147</v>
      </c>
      <c r="C203" s="89" t="s">
        <v>50</v>
      </c>
      <c r="D203" s="89" t="s">
        <v>51</v>
      </c>
      <c r="E203" s="90">
        <v>75447746</v>
      </c>
      <c r="F203" s="91" t="s">
        <v>596</v>
      </c>
      <c r="G203" s="92">
        <v>26442733823</v>
      </c>
      <c r="H203" s="93">
        <v>28199</v>
      </c>
      <c r="I203" s="89">
        <v>49</v>
      </c>
      <c r="J203" s="89" t="s">
        <v>67</v>
      </c>
      <c r="K203" s="89" t="s">
        <v>54</v>
      </c>
      <c r="L203" s="89" t="s">
        <v>190</v>
      </c>
      <c r="M203" s="89"/>
      <c r="N203" s="89" t="s">
        <v>69</v>
      </c>
      <c r="O203" s="94" t="s">
        <v>597</v>
      </c>
      <c r="P203" s="95" t="s">
        <v>58</v>
      </c>
      <c r="Q203" s="144" t="s">
        <v>71</v>
      </c>
      <c r="R203" s="96">
        <v>46163</v>
      </c>
      <c r="S203" s="97">
        <v>46170</v>
      </c>
      <c r="T203" s="97" t="s">
        <v>60</v>
      </c>
      <c r="U203" s="97" t="s">
        <v>72</v>
      </c>
      <c r="V203" s="93">
        <v>46161</v>
      </c>
      <c r="W203" s="93" t="s">
        <v>73</v>
      </c>
      <c r="X203" s="93" t="s">
        <v>73</v>
      </c>
      <c r="Y203" s="98"/>
      <c r="Z203" s="89" t="s">
        <v>62</v>
      </c>
      <c r="AA203" s="97">
        <v>46170</v>
      </c>
      <c r="AB203" s="89" t="s">
        <v>75</v>
      </c>
      <c r="AC203" s="120"/>
      <c r="AD203" s="89"/>
      <c r="AE203" s="89"/>
      <c r="AF203" s="123">
        <v>1.86</v>
      </c>
      <c r="AG203" s="89">
        <v>1.86</v>
      </c>
      <c r="AH203" s="99" t="s">
        <v>90</v>
      </c>
      <c r="AI203" s="99"/>
      <c r="AJ203" s="119" t="s">
        <v>91</v>
      </c>
      <c r="AK203" s="100"/>
      <c r="AL203" s="100" t="s">
        <v>540</v>
      </c>
      <c r="AM203" s="100" t="s">
        <v>102</v>
      </c>
      <c r="AN203" s="45" t="s">
        <v>65</v>
      </c>
      <c r="AO203" s="198" t="str">
        <f t="shared" si="26"/>
        <v>5/2026</v>
      </c>
      <c r="AP203" s="198">
        <f t="shared" si="27"/>
        <v>2</v>
      </c>
      <c r="AQ203" s="45" t="str">
        <f t="shared" si="28"/>
        <v>5/2026</v>
      </c>
      <c r="AR203" s="45">
        <f t="shared" si="29"/>
        <v>4</v>
      </c>
      <c r="AS203" s="45">
        <f t="shared" si="30"/>
        <v>0</v>
      </c>
      <c r="AT203" s="45">
        <f t="shared" si="31"/>
        <v>0</v>
      </c>
      <c r="AU203" s="45">
        <f t="shared" si="32"/>
        <v>0</v>
      </c>
      <c r="AV203" s="45">
        <f t="shared" si="25"/>
        <v>0</v>
      </c>
      <c r="AW203" s="45" t="str">
        <f>_xlfn.XLOOKUP(W203,'Lista Suspensa'!$AA$20:$AA$23,'Lista Suspensa'!$AB$20:$AB$23,"N/A")</f>
        <v>N/A</v>
      </c>
    </row>
    <row r="204" spans="1:49" ht="12" hidden="1" customHeight="1" x14ac:dyDescent="0.3">
      <c r="A204" s="87" t="s">
        <v>49</v>
      </c>
      <c r="B204" s="88">
        <v>46147</v>
      </c>
      <c r="C204" s="89" t="s">
        <v>50</v>
      </c>
      <c r="D204" s="89" t="s">
        <v>51</v>
      </c>
      <c r="E204" s="90">
        <v>95188314</v>
      </c>
      <c r="F204" s="91" t="s">
        <v>598</v>
      </c>
      <c r="G204" s="92">
        <v>36616048802</v>
      </c>
      <c r="H204" s="93">
        <v>32456</v>
      </c>
      <c r="I204" s="89">
        <v>37</v>
      </c>
      <c r="J204" s="89" t="s">
        <v>67</v>
      </c>
      <c r="K204" s="89" t="s">
        <v>54</v>
      </c>
      <c r="L204" s="89" t="s">
        <v>161</v>
      </c>
      <c r="M204" s="89"/>
      <c r="N204" s="89" t="s">
        <v>82</v>
      </c>
      <c r="O204" s="94" t="s">
        <v>599</v>
      </c>
      <c r="P204" s="95" t="s">
        <v>58</v>
      </c>
      <c r="Q204" s="144" t="s">
        <v>84</v>
      </c>
      <c r="R204" s="96">
        <v>46161</v>
      </c>
      <c r="S204" s="97">
        <v>46168</v>
      </c>
      <c r="T204" s="97" t="s">
        <v>60</v>
      </c>
      <c r="U204" s="97" t="s">
        <v>72</v>
      </c>
      <c r="V204" s="93">
        <v>46150</v>
      </c>
      <c r="W204" s="93" t="s">
        <v>73</v>
      </c>
      <c r="X204" s="93" t="s">
        <v>73</v>
      </c>
      <c r="Y204" s="98"/>
      <c r="Z204" s="89" t="s">
        <v>62</v>
      </c>
      <c r="AA204" s="97">
        <v>46168</v>
      </c>
      <c r="AB204" s="89" t="s">
        <v>75</v>
      </c>
      <c r="AC204" s="120">
        <v>46179.527777256946</v>
      </c>
      <c r="AD204" s="89"/>
      <c r="AE204" s="89"/>
      <c r="AF204" s="89"/>
      <c r="AG204" s="89"/>
      <c r="AH204" s="99"/>
      <c r="AI204" s="99"/>
      <c r="AJ204" s="99" t="s">
        <v>115</v>
      </c>
      <c r="AK204" s="100"/>
      <c r="AL204" s="100" t="s">
        <v>540</v>
      </c>
      <c r="AM204" s="100" t="s">
        <v>102</v>
      </c>
      <c r="AN204" s="45" t="s">
        <v>65</v>
      </c>
      <c r="AO204" s="198" t="str">
        <f t="shared" si="26"/>
        <v>5/2026</v>
      </c>
      <c r="AP204" s="198">
        <f t="shared" si="27"/>
        <v>2</v>
      </c>
      <c r="AQ204" s="45" t="str">
        <f t="shared" si="28"/>
        <v>5/2026</v>
      </c>
      <c r="AR204" s="45">
        <f t="shared" si="29"/>
        <v>4</v>
      </c>
      <c r="AS204" s="45">
        <f t="shared" si="30"/>
        <v>0</v>
      </c>
      <c r="AT204" s="45">
        <f t="shared" si="31"/>
        <v>0</v>
      </c>
      <c r="AU204" s="45">
        <f t="shared" si="32"/>
        <v>0</v>
      </c>
      <c r="AV204" s="45">
        <f t="shared" si="25"/>
        <v>0</v>
      </c>
      <c r="AW204" s="45" t="str">
        <f>_xlfn.XLOOKUP(W204,'Lista Suspensa'!$AA$20:$AA$23,'Lista Suspensa'!$AB$20:$AB$23,"N/A")</f>
        <v>N/A</v>
      </c>
    </row>
    <row r="205" spans="1:49" ht="12" hidden="1" customHeight="1" x14ac:dyDescent="0.3">
      <c r="A205" s="87" t="s">
        <v>49</v>
      </c>
      <c r="B205" s="88">
        <v>46147</v>
      </c>
      <c r="C205" s="89" t="s">
        <v>50</v>
      </c>
      <c r="D205" s="89" t="s">
        <v>51</v>
      </c>
      <c r="E205" s="90">
        <v>450326926</v>
      </c>
      <c r="F205" s="91" t="s">
        <v>600</v>
      </c>
      <c r="G205" s="92">
        <v>8214194806</v>
      </c>
      <c r="H205" s="93">
        <v>23446</v>
      </c>
      <c r="I205" s="89">
        <v>62</v>
      </c>
      <c r="J205" s="89" t="s">
        <v>53</v>
      </c>
      <c r="K205" s="89" t="s">
        <v>54</v>
      </c>
      <c r="L205" s="89" t="s">
        <v>86</v>
      </c>
      <c r="M205" s="89"/>
      <c r="N205" s="89" t="s">
        <v>108</v>
      </c>
      <c r="O205" s="94" t="s">
        <v>601</v>
      </c>
      <c r="P205" s="95" t="s">
        <v>58</v>
      </c>
      <c r="Q205" s="144" t="s">
        <v>84</v>
      </c>
      <c r="R205" s="96">
        <v>46161</v>
      </c>
      <c r="S205" s="97">
        <v>46169</v>
      </c>
      <c r="T205" s="97" t="s">
        <v>60</v>
      </c>
      <c r="U205" s="97" t="s">
        <v>72</v>
      </c>
      <c r="V205" s="93">
        <v>46161</v>
      </c>
      <c r="W205" s="93" t="s">
        <v>73</v>
      </c>
      <c r="X205" s="93" t="s">
        <v>73</v>
      </c>
      <c r="Y205" s="98"/>
      <c r="Z205" s="89" t="s">
        <v>62</v>
      </c>
      <c r="AA205" s="97">
        <v>46169</v>
      </c>
      <c r="AB205" s="89" t="s">
        <v>75</v>
      </c>
      <c r="AC205" s="120"/>
      <c r="AD205" s="89"/>
      <c r="AE205" s="89"/>
      <c r="AF205" s="89"/>
      <c r="AG205" s="89"/>
      <c r="AH205" s="99"/>
      <c r="AI205" s="99"/>
      <c r="AJ205" s="99"/>
      <c r="AK205" s="100"/>
      <c r="AL205" s="100" t="s">
        <v>540</v>
      </c>
      <c r="AM205" s="100" t="s">
        <v>102</v>
      </c>
      <c r="AN205" s="45" t="s">
        <v>65</v>
      </c>
      <c r="AO205" s="198" t="str">
        <f t="shared" si="26"/>
        <v>5/2026</v>
      </c>
      <c r="AP205" s="198">
        <f t="shared" si="27"/>
        <v>2</v>
      </c>
      <c r="AQ205" s="45" t="str">
        <f t="shared" si="28"/>
        <v>5/2026</v>
      </c>
      <c r="AR205" s="45">
        <f t="shared" si="29"/>
        <v>4</v>
      </c>
      <c r="AS205" s="45">
        <f t="shared" si="30"/>
        <v>0</v>
      </c>
      <c r="AT205" s="45">
        <f t="shared" si="31"/>
        <v>0</v>
      </c>
      <c r="AU205" s="45">
        <f t="shared" si="32"/>
        <v>0</v>
      </c>
      <c r="AV205" s="45">
        <f t="shared" si="25"/>
        <v>0</v>
      </c>
      <c r="AW205" s="45" t="str">
        <f>_xlfn.XLOOKUP(W205,'Lista Suspensa'!$AA$20:$AA$23,'Lista Suspensa'!$AB$20:$AB$23,"N/A")</f>
        <v>N/A</v>
      </c>
    </row>
    <row r="206" spans="1:49" ht="12" hidden="1" customHeight="1" x14ac:dyDescent="0.3">
      <c r="A206" s="87" t="s">
        <v>49</v>
      </c>
      <c r="B206" s="88">
        <v>46147</v>
      </c>
      <c r="C206" s="89" t="s">
        <v>50</v>
      </c>
      <c r="D206" s="89" t="s">
        <v>51</v>
      </c>
      <c r="E206" s="90">
        <v>200022210</v>
      </c>
      <c r="F206" s="91" t="s">
        <v>602</v>
      </c>
      <c r="G206" s="92">
        <v>56743564834</v>
      </c>
      <c r="H206" s="93">
        <v>17792</v>
      </c>
      <c r="I206" s="89">
        <v>77</v>
      </c>
      <c r="J206" s="89" t="s">
        <v>67</v>
      </c>
      <c r="K206" s="89" t="s">
        <v>54</v>
      </c>
      <c r="L206" s="89" t="s">
        <v>93</v>
      </c>
      <c r="M206" s="89"/>
      <c r="N206" s="89" t="s">
        <v>551</v>
      </c>
      <c r="O206" s="94" t="s">
        <v>603</v>
      </c>
      <c r="P206" s="95" t="s">
        <v>58</v>
      </c>
      <c r="Q206" s="144" t="s">
        <v>84</v>
      </c>
      <c r="R206" s="96">
        <v>46161</v>
      </c>
      <c r="S206" s="97">
        <v>46170</v>
      </c>
      <c r="T206" s="97" t="s">
        <v>60</v>
      </c>
      <c r="U206" s="97" t="s">
        <v>72</v>
      </c>
      <c r="V206" s="93">
        <v>46161</v>
      </c>
      <c r="W206" s="93" t="s">
        <v>73</v>
      </c>
      <c r="X206" s="93" t="s">
        <v>73</v>
      </c>
      <c r="Y206" s="98" t="s">
        <v>516</v>
      </c>
      <c r="Z206" s="89" t="s">
        <v>62</v>
      </c>
      <c r="AA206" s="97">
        <v>46170</v>
      </c>
      <c r="AB206" s="89" t="s">
        <v>75</v>
      </c>
      <c r="AC206" s="120"/>
      <c r="AD206" s="89"/>
      <c r="AE206" s="89"/>
      <c r="AF206" s="89" t="s">
        <v>344</v>
      </c>
      <c r="AG206" s="89" t="s">
        <v>344</v>
      </c>
      <c r="AH206" s="99" t="s">
        <v>90</v>
      </c>
      <c r="AI206" s="99"/>
      <c r="AJ206" s="99" t="s">
        <v>115</v>
      </c>
      <c r="AK206" s="100"/>
      <c r="AL206" s="100" t="s">
        <v>540</v>
      </c>
      <c r="AM206" s="100" t="s">
        <v>102</v>
      </c>
      <c r="AN206" s="45" t="s">
        <v>65</v>
      </c>
      <c r="AO206" s="198" t="str">
        <f t="shared" si="26"/>
        <v>5/2026</v>
      </c>
      <c r="AP206" s="198">
        <f t="shared" si="27"/>
        <v>2</v>
      </c>
      <c r="AQ206" s="45" t="str">
        <f t="shared" si="28"/>
        <v>5/2026</v>
      </c>
      <c r="AR206" s="45">
        <f t="shared" si="29"/>
        <v>4</v>
      </c>
      <c r="AS206" s="45">
        <f t="shared" si="30"/>
        <v>0</v>
      </c>
      <c r="AT206" s="45">
        <f t="shared" si="31"/>
        <v>0</v>
      </c>
      <c r="AU206" s="45">
        <f t="shared" si="32"/>
        <v>0</v>
      </c>
      <c r="AV206" s="45">
        <f t="shared" si="25"/>
        <v>0</v>
      </c>
      <c r="AW206" s="45" t="str">
        <f>_xlfn.XLOOKUP(W206,'Lista Suspensa'!$AA$20:$AA$23,'Lista Suspensa'!$AB$20:$AB$23,"N/A")</f>
        <v>N/A</v>
      </c>
    </row>
    <row r="207" spans="1:49" ht="12" hidden="1" customHeight="1" x14ac:dyDescent="0.3">
      <c r="A207" s="87" t="s">
        <v>49</v>
      </c>
      <c r="B207" s="88">
        <v>46147</v>
      </c>
      <c r="C207" s="89" t="s">
        <v>50</v>
      </c>
      <c r="D207" s="89" t="s">
        <v>51</v>
      </c>
      <c r="E207" s="90">
        <v>785428720</v>
      </c>
      <c r="F207" s="91" t="s">
        <v>604</v>
      </c>
      <c r="G207" s="92">
        <v>52552145825</v>
      </c>
      <c r="H207" s="93">
        <v>38270</v>
      </c>
      <c r="I207" s="89">
        <v>21</v>
      </c>
      <c r="J207" s="89" t="s">
        <v>53</v>
      </c>
      <c r="K207" s="89" t="s">
        <v>54</v>
      </c>
      <c r="L207" s="89" t="s">
        <v>93</v>
      </c>
      <c r="M207" s="89"/>
      <c r="N207" s="89" t="s">
        <v>108</v>
      </c>
      <c r="O207" s="94" t="s">
        <v>605</v>
      </c>
      <c r="P207" s="95" t="s">
        <v>58</v>
      </c>
      <c r="Q207" s="144" t="s">
        <v>84</v>
      </c>
      <c r="R207" s="96">
        <v>46161</v>
      </c>
      <c r="S207" s="97">
        <v>46170</v>
      </c>
      <c r="T207" s="97" t="s">
        <v>60</v>
      </c>
      <c r="U207" s="97" t="s">
        <v>72</v>
      </c>
      <c r="V207" s="93">
        <v>46161</v>
      </c>
      <c r="W207" s="93" t="s">
        <v>73</v>
      </c>
      <c r="X207" s="93" t="s">
        <v>73</v>
      </c>
      <c r="Y207" s="98"/>
      <c r="Z207" s="89" t="s">
        <v>62</v>
      </c>
      <c r="AA207" s="97">
        <v>46170</v>
      </c>
      <c r="AB207" s="89" t="s">
        <v>75</v>
      </c>
      <c r="AC207" s="120"/>
      <c r="AD207" s="89"/>
      <c r="AE207" s="89"/>
      <c r="AF207" s="89"/>
      <c r="AG207" s="89"/>
      <c r="AH207" s="99"/>
      <c r="AI207" s="99"/>
      <c r="AJ207" s="99"/>
      <c r="AK207" s="100"/>
      <c r="AL207" s="100" t="s">
        <v>540</v>
      </c>
      <c r="AM207" s="100" t="s">
        <v>102</v>
      </c>
      <c r="AN207" s="45" t="s">
        <v>65</v>
      </c>
      <c r="AO207" s="198" t="str">
        <f t="shared" si="26"/>
        <v>5/2026</v>
      </c>
      <c r="AP207" s="198">
        <f t="shared" si="27"/>
        <v>2</v>
      </c>
      <c r="AQ207" s="45" t="str">
        <f t="shared" si="28"/>
        <v>5/2026</v>
      </c>
      <c r="AR207" s="45">
        <f t="shared" si="29"/>
        <v>4</v>
      </c>
      <c r="AS207" s="45">
        <f t="shared" si="30"/>
        <v>0</v>
      </c>
      <c r="AT207" s="45">
        <f t="shared" si="31"/>
        <v>0</v>
      </c>
      <c r="AU207" s="45">
        <f t="shared" si="32"/>
        <v>0</v>
      </c>
      <c r="AV207" s="45">
        <f t="shared" si="25"/>
        <v>0</v>
      </c>
      <c r="AW207" s="45" t="str">
        <f>_xlfn.XLOOKUP(W207,'Lista Suspensa'!$AA$20:$AA$23,'Lista Suspensa'!$AB$20:$AB$23,"N/A")</f>
        <v>N/A</v>
      </c>
    </row>
    <row r="208" spans="1:49" ht="12" hidden="1" customHeight="1" x14ac:dyDescent="0.3">
      <c r="A208" s="87" t="s">
        <v>49</v>
      </c>
      <c r="B208" s="88">
        <v>46147</v>
      </c>
      <c r="C208" s="89" t="s">
        <v>50</v>
      </c>
      <c r="D208" s="89" t="s">
        <v>51</v>
      </c>
      <c r="E208" s="90">
        <v>81408423</v>
      </c>
      <c r="F208" s="91" t="s">
        <v>606</v>
      </c>
      <c r="G208" s="92">
        <v>38748959715</v>
      </c>
      <c r="H208" s="93">
        <v>19719</v>
      </c>
      <c r="I208" s="89">
        <v>72</v>
      </c>
      <c r="J208" s="89" t="s">
        <v>53</v>
      </c>
      <c r="K208" s="89" t="s">
        <v>77</v>
      </c>
      <c r="L208" s="89" t="s">
        <v>78</v>
      </c>
      <c r="M208" s="89"/>
      <c r="N208" s="89" t="s">
        <v>280</v>
      </c>
      <c r="O208" s="94" t="s">
        <v>607</v>
      </c>
      <c r="P208" s="95" t="s">
        <v>58</v>
      </c>
      <c r="Q208" s="144" t="s">
        <v>84</v>
      </c>
      <c r="R208" s="96">
        <v>46161</v>
      </c>
      <c r="S208" s="97">
        <v>46169</v>
      </c>
      <c r="T208" s="97" t="s">
        <v>60</v>
      </c>
      <c r="U208" s="97" t="s">
        <v>72</v>
      </c>
      <c r="V208" s="93">
        <v>46154</v>
      </c>
      <c r="W208" s="93" t="s">
        <v>73</v>
      </c>
      <c r="X208" s="93" t="s">
        <v>73</v>
      </c>
      <c r="Y208" s="98"/>
      <c r="Z208" s="89" t="s">
        <v>62</v>
      </c>
      <c r="AA208" s="97">
        <v>46169</v>
      </c>
      <c r="AB208" s="89" t="s">
        <v>75</v>
      </c>
      <c r="AC208" s="120"/>
      <c r="AD208" s="89"/>
      <c r="AE208" s="89"/>
      <c r="AF208" s="89"/>
      <c r="AG208" s="89"/>
      <c r="AH208" s="99"/>
      <c r="AI208" s="99"/>
      <c r="AJ208" s="99"/>
      <c r="AK208" s="100"/>
      <c r="AL208" s="100" t="s">
        <v>540</v>
      </c>
      <c r="AM208" s="100" t="s">
        <v>102</v>
      </c>
      <c r="AN208" s="45" t="s">
        <v>65</v>
      </c>
      <c r="AO208" s="198" t="str">
        <f t="shared" si="26"/>
        <v>5/2026</v>
      </c>
      <c r="AP208" s="198">
        <f t="shared" si="27"/>
        <v>2</v>
      </c>
      <c r="AQ208" s="45" t="str">
        <f t="shared" si="28"/>
        <v>5/2026</v>
      </c>
      <c r="AR208" s="45">
        <f t="shared" si="29"/>
        <v>4</v>
      </c>
      <c r="AS208" s="45">
        <f t="shared" si="30"/>
        <v>0</v>
      </c>
      <c r="AT208" s="45">
        <f t="shared" si="31"/>
        <v>0</v>
      </c>
      <c r="AU208" s="45">
        <f t="shared" si="32"/>
        <v>0</v>
      </c>
      <c r="AV208" s="45">
        <f t="shared" si="25"/>
        <v>0</v>
      </c>
      <c r="AW208" s="45" t="str">
        <f>_xlfn.XLOOKUP(W208,'Lista Suspensa'!$AA$20:$AA$23,'Lista Suspensa'!$AB$20:$AB$23,"N/A")</f>
        <v>N/A</v>
      </c>
    </row>
    <row r="209" spans="1:49" ht="12" hidden="1" customHeight="1" x14ac:dyDescent="0.3">
      <c r="A209" s="87" t="s">
        <v>102</v>
      </c>
      <c r="B209" s="88">
        <v>46161</v>
      </c>
      <c r="C209" s="89" t="s">
        <v>608</v>
      </c>
      <c r="D209" s="89" t="s">
        <v>609</v>
      </c>
      <c r="E209" s="112">
        <v>75547561</v>
      </c>
      <c r="F209" s="91" t="s">
        <v>610</v>
      </c>
      <c r="G209" s="92">
        <v>75301911449</v>
      </c>
      <c r="H209" s="93">
        <v>23850</v>
      </c>
      <c r="I209" s="89">
        <v>61</v>
      </c>
      <c r="J209" s="89" t="s">
        <v>67</v>
      </c>
      <c r="K209" s="89" t="s">
        <v>54</v>
      </c>
      <c r="L209" s="89" t="s">
        <v>529</v>
      </c>
      <c r="M209" s="89"/>
      <c r="N209" s="89" t="s">
        <v>529</v>
      </c>
      <c r="O209" s="94">
        <v>1143387229</v>
      </c>
      <c r="P209" s="95" t="s">
        <v>58</v>
      </c>
      <c r="Q209" s="144" t="s">
        <v>84</v>
      </c>
      <c r="R209" s="96">
        <v>46163</v>
      </c>
      <c r="S209" s="97">
        <v>46170</v>
      </c>
      <c r="T209" s="97" t="s">
        <v>60</v>
      </c>
      <c r="U209" s="97" t="s">
        <v>72</v>
      </c>
      <c r="V209" s="93">
        <v>46161</v>
      </c>
      <c r="W209" s="93" t="s">
        <v>73</v>
      </c>
      <c r="X209" s="93" t="s">
        <v>73</v>
      </c>
      <c r="Y209" s="98"/>
      <c r="Z209" s="89" t="s">
        <v>62</v>
      </c>
      <c r="AA209" s="97">
        <v>46179.611110243059</v>
      </c>
      <c r="AB209" s="89" t="s">
        <v>75</v>
      </c>
      <c r="AC209" s="120" t="s">
        <v>63</v>
      </c>
      <c r="AD209" s="89"/>
      <c r="AE209" s="89"/>
      <c r="AF209" s="89"/>
      <c r="AG209" s="89"/>
      <c r="AH209" s="99"/>
      <c r="AI209" s="99"/>
      <c r="AJ209" s="99"/>
      <c r="AK209" s="100"/>
      <c r="AL209" s="100" t="s">
        <v>540</v>
      </c>
      <c r="AM209" s="100"/>
      <c r="AN209" s="45" t="s">
        <v>65</v>
      </c>
      <c r="AO209" s="198" t="str">
        <f t="shared" si="26"/>
        <v>5/2026</v>
      </c>
      <c r="AP209" s="198">
        <f t="shared" si="27"/>
        <v>4</v>
      </c>
      <c r="AQ209" s="45" t="str">
        <f t="shared" si="28"/>
        <v>5/2026</v>
      </c>
      <c r="AR209" s="45">
        <f t="shared" si="29"/>
        <v>4</v>
      </c>
      <c r="AS209" s="45">
        <f t="shared" si="30"/>
        <v>0</v>
      </c>
      <c r="AT209" s="45">
        <f t="shared" si="31"/>
        <v>0</v>
      </c>
      <c r="AU209" s="45">
        <f t="shared" si="32"/>
        <v>0</v>
      </c>
      <c r="AV209" s="45">
        <f t="shared" si="25"/>
        <v>0</v>
      </c>
      <c r="AW209" s="45" t="str">
        <f>_xlfn.XLOOKUP(W209,'Lista Suspensa'!$AA$20:$AA$23,'Lista Suspensa'!$AB$20:$AB$23,"N/A")</f>
        <v>N/A</v>
      </c>
    </row>
    <row r="210" spans="1:49" ht="12" hidden="1" customHeight="1" x14ac:dyDescent="0.3">
      <c r="A210" s="87" t="s">
        <v>49</v>
      </c>
      <c r="B210" s="88">
        <v>46147</v>
      </c>
      <c r="C210" s="89" t="s">
        <v>50</v>
      </c>
      <c r="D210" s="89" t="s">
        <v>51</v>
      </c>
      <c r="E210" s="90">
        <v>82618301</v>
      </c>
      <c r="F210" s="91" t="s">
        <v>611</v>
      </c>
      <c r="G210" s="92">
        <v>9810007701</v>
      </c>
      <c r="H210" s="93">
        <v>30324</v>
      </c>
      <c r="I210" s="89">
        <v>43</v>
      </c>
      <c r="J210" s="89" t="s">
        <v>67</v>
      </c>
      <c r="K210" s="89"/>
      <c r="L210" s="89" t="s">
        <v>612</v>
      </c>
      <c r="M210" s="89"/>
      <c r="N210" s="89" t="s">
        <v>56</v>
      </c>
      <c r="O210" s="94" t="s">
        <v>613</v>
      </c>
      <c r="P210" s="95" t="s">
        <v>58</v>
      </c>
      <c r="Q210" s="144" t="s">
        <v>84</v>
      </c>
      <c r="R210" s="96">
        <v>46161</v>
      </c>
      <c r="S210" s="97">
        <v>46171</v>
      </c>
      <c r="T210" s="97" t="s">
        <v>60</v>
      </c>
      <c r="U210" s="97" t="s">
        <v>72</v>
      </c>
      <c r="V210" s="93">
        <v>46161</v>
      </c>
      <c r="W210" s="93" t="s">
        <v>73</v>
      </c>
      <c r="X210" s="93" t="s">
        <v>73</v>
      </c>
      <c r="Y210" s="98" t="s">
        <v>516</v>
      </c>
      <c r="Z210" s="89" t="s">
        <v>62</v>
      </c>
      <c r="AA210" s="97">
        <v>46171</v>
      </c>
      <c r="AB210" s="89" t="s">
        <v>75</v>
      </c>
      <c r="AC210" s="120"/>
      <c r="AD210" s="89"/>
      <c r="AE210" s="89"/>
      <c r="AF210" s="89" t="s">
        <v>322</v>
      </c>
      <c r="AG210" s="89" t="s">
        <v>614</v>
      </c>
      <c r="AH210" s="99"/>
      <c r="AI210" s="99"/>
      <c r="AJ210" s="99" t="s">
        <v>115</v>
      </c>
      <c r="AK210" s="100"/>
      <c r="AL210" s="100" t="s">
        <v>540</v>
      </c>
      <c r="AM210" s="100" t="s">
        <v>102</v>
      </c>
      <c r="AN210" s="45" t="s">
        <v>65</v>
      </c>
      <c r="AO210" s="198" t="str">
        <f t="shared" si="26"/>
        <v>5/2026</v>
      </c>
      <c r="AP210" s="198">
        <f t="shared" si="27"/>
        <v>2</v>
      </c>
      <c r="AQ210" s="45" t="str">
        <f t="shared" si="28"/>
        <v>5/2026</v>
      </c>
      <c r="AR210" s="45">
        <f t="shared" si="29"/>
        <v>4</v>
      </c>
      <c r="AS210" s="45">
        <f t="shared" si="30"/>
        <v>0</v>
      </c>
      <c r="AT210" s="45">
        <f t="shared" si="31"/>
        <v>0</v>
      </c>
      <c r="AU210" s="45">
        <f t="shared" si="32"/>
        <v>0</v>
      </c>
      <c r="AV210" s="45">
        <f t="shared" si="25"/>
        <v>0</v>
      </c>
      <c r="AW210" s="45" t="str">
        <f>_xlfn.XLOOKUP(W210,'Lista Suspensa'!$AA$20:$AA$23,'Lista Suspensa'!$AB$20:$AB$23,"N/A")</f>
        <v>N/A</v>
      </c>
    </row>
    <row r="211" spans="1:49" ht="12" hidden="1" customHeight="1" x14ac:dyDescent="0.3">
      <c r="A211" s="87" t="s">
        <v>49</v>
      </c>
      <c r="B211" s="88">
        <v>46147</v>
      </c>
      <c r="C211" s="89" t="s">
        <v>50</v>
      </c>
      <c r="D211" s="89" t="s">
        <v>51</v>
      </c>
      <c r="E211" s="90">
        <v>86194320</v>
      </c>
      <c r="F211" s="91" t="s">
        <v>615</v>
      </c>
      <c r="G211" s="92">
        <v>15343389775</v>
      </c>
      <c r="H211" s="93">
        <v>34873</v>
      </c>
      <c r="I211" s="89">
        <v>30</v>
      </c>
      <c r="J211" s="89" t="s">
        <v>67</v>
      </c>
      <c r="K211" s="89" t="s">
        <v>77</v>
      </c>
      <c r="L211" s="89" t="s">
        <v>78</v>
      </c>
      <c r="M211" s="89"/>
      <c r="N211" s="89" t="s">
        <v>82</v>
      </c>
      <c r="O211" s="94" t="s">
        <v>616</v>
      </c>
      <c r="P211" s="95" t="s">
        <v>58</v>
      </c>
      <c r="Q211" s="144" t="s">
        <v>84</v>
      </c>
      <c r="R211" s="96">
        <v>46161</v>
      </c>
      <c r="S211" s="97">
        <v>46168</v>
      </c>
      <c r="T211" s="97" t="s">
        <v>60</v>
      </c>
      <c r="U211" s="97" t="s">
        <v>72</v>
      </c>
      <c r="V211" s="93">
        <v>46161</v>
      </c>
      <c r="W211" s="93" t="s">
        <v>73</v>
      </c>
      <c r="X211" s="93" t="s">
        <v>73</v>
      </c>
      <c r="Y211" s="98"/>
      <c r="Z211" s="89" t="s">
        <v>62</v>
      </c>
      <c r="AA211" s="97">
        <v>46168</v>
      </c>
      <c r="AB211" s="89" t="s">
        <v>75</v>
      </c>
      <c r="AC211" s="120">
        <v>46180.416666666664</v>
      </c>
      <c r="AD211" s="89"/>
      <c r="AE211" s="89"/>
      <c r="AF211" s="89"/>
      <c r="AG211" s="89"/>
      <c r="AH211" s="99"/>
      <c r="AI211" s="99"/>
      <c r="AJ211" s="99"/>
      <c r="AK211" s="100"/>
      <c r="AL211" s="100" t="s">
        <v>540</v>
      </c>
      <c r="AM211" s="100"/>
      <c r="AN211" s="45" t="s">
        <v>65</v>
      </c>
      <c r="AO211" s="198" t="str">
        <f t="shared" si="26"/>
        <v>5/2026</v>
      </c>
      <c r="AP211" s="198">
        <f t="shared" si="27"/>
        <v>2</v>
      </c>
      <c r="AQ211" s="45" t="str">
        <f t="shared" si="28"/>
        <v>5/2026</v>
      </c>
      <c r="AR211" s="45">
        <f t="shared" si="29"/>
        <v>4</v>
      </c>
      <c r="AS211" s="45">
        <f t="shared" si="30"/>
        <v>0</v>
      </c>
      <c r="AT211" s="45">
        <f t="shared" si="31"/>
        <v>0</v>
      </c>
      <c r="AU211" s="45">
        <f t="shared" si="32"/>
        <v>0</v>
      </c>
      <c r="AV211" s="45">
        <f t="shared" si="25"/>
        <v>0</v>
      </c>
      <c r="AW211" s="45" t="str">
        <f>_xlfn.XLOOKUP(W211,'Lista Suspensa'!$AA$20:$AA$23,'Lista Suspensa'!$AB$20:$AB$23,"N/A")</f>
        <v>N/A</v>
      </c>
    </row>
    <row r="212" spans="1:49" ht="12" hidden="1" customHeight="1" x14ac:dyDescent="0.3">
      <c r="A212" s="87" t="s">
        <v>49</v>
      </c>
      <c r="B212" s="88">
        <v>46147</v>
      </c>
      <c r="C212" s="89" t="s">
        <v>50</v>
      </c>
      <c r="D212" s="89" t="s">
        <v>51</v>
      </c>
      <c r="E212" s="90">
        <v>79470388</v>
      </c>
      <c r="F212" s="91" t="s">
        <v>617</v>
      </c>
      <c r="G212" s="92">
        <v>40080618863</v>
      </c>
      <c r="H212" s="93">
        <v>32816</v>
      </c>
      <c r="I212" s="89">
        <v>36</v>
      </c>
      <c r="J212" s="89" t="s">
        <v>53</v>
      </c>
      <c r="K212" s="89" t="s">
        <v>54</v>
      </c>
      <c r="L212" s="89" t="s">
        <v>93</v>
      </c>
      <c r="M212" s="89"/>
      <c r="N212" s="89" t="s">
        <v>175</v>
      </c>
      <c r="O212" s="94" t="s">
        <v>618</v>
      </c>
      <c r="P212" s="95" t="s">
        <v>58</v>
      </c>
      <c r="Q212" s="144" t="s">
        <v>84</v>
      </c>
      <c r="R212" s="96">
        <v>46161</v>
      </c>
      <c r="S212" s="97">
        <v>46170</v>
      </c>
      <c r="T212" s="97" t="s">
        <v>60</v>
      </c>
      <c r="U212" s="97" t="s">
        <v>72</v>
      </c>
      <c r="V212" s="93">
        <v>46161</v>
      </c>
      <c r="W212" s="93" t="s">
        <v>73</v>
      </c>
      <c r="X212" s="93" t="s">
        <v>73</v>
      </c>
      <c r="Y212" s="98" t="s">
        <v>516</v>
      </c>
      <c r="Z212" s="89" t="s">
        <v>62</v>
      </c>
      <c r="AA212" s="97">
        <v>46171</v>
      </c>
      <c r="AB212" s="89" t="s">
        <v>75</v>
      </c>
      <c r="AC212" s="120"/>
      <c r="AD212" s="89"/>
      <c r="AE212" s="89"/>
      <c r="AF212" s="89" t="s">
        <v>322</v>
      </c>
      <c r="AG212" s="89" t="s">
        <v>619</v>
      </c>
      <c r="AH212" s="99"/>
      <c r="AI212" s="99"/>
      <c r="AJ212" s="99" t="s">
        <v>115</v>
      </c>
      <c r="AK212" s="100"/>
      <c r="AL212" s="100" t="s">
        <v>540</v>
      </c>
      <c r="AM212" s="100" t="s">
        <v>102</v>
      </c>
      <c r="AN212" s="45" t="s">
        <v>65</v>
      </c>
      <c r="AO212" s="198" t="str">
        <f t="shared" si="26"/>
        <v>5/2026</v>
      </c>
      <c r="AP212" s="198">
        <f t="shared" si="27"/>
        <v>2</v>
      </c>
      <c r="AQ212" s="45" t="str">
        <f t="shared" si="28"/>
        <v>5/2026</v>
      </c>
      <c r="AR212" s="45">
        <f t="shared" si="29"/>
        <v>4</v>
      </c>
      <c r="AS212" s="45">
        <f t="shared" si="30"/>
        <v>0</v>
      </c>
      <c r="AT212" s="45">
        <f t="shared" si="31"/>
        <v>0</v>
      </c>
      <c r="AU212" s="45">
        <f t="shared" si="32"/>
        <v>0</v>
      </c>
      <c r="AV212" s="45">
        <f t="shared" si="25"/>
        <v>0</v>
      </c>
      <c r="AW212" s="45" t="str">
        <f>_xlfn.XLOOKUP(W212,'Lista Suspensa'!$AA$20:$AA$23,'Lista Suspensa'!$AB$20:$AB$23,"N/A")</f>
        <v>N/A</v>
      </c>
    </row>
    <row r="213" spans="1:49" ht="12" hidden="1" customHeight="1" x14ac:dyDescent="0.3">
      <c r="A213" s="87" t="s">
        <v>49</v>
      </c>
      <c r="B213" s="88">
        <v>46147</v>
      </c>
      <c r="C213" s="89" t="s">
        <v>50</v>
      </c>
      <c r="D213" s="89" t="s">
        <v>51</v>
      </c>
      <c r="E213" s="90">
        <v>94647786</v>
      </c>
      <c r="F213" s="91" t="s">
        <v>620</v>
      </c>
      <c r="G213" s="92">
        <v>5554534139</v>
      </c>
      <c r="H213" s="93">
        <v>34674</v>
      </c>
      <c r="I213" s="89">
        <v>31</v>
      </c>
      <c r="J213" s="89" t="s">
        <v>67</v>
      </c>
      <c r="K213" s="89" t="s">
        <v>54</v>
      </c>
      <c r="L213" s="89" t="s">
        <v>161</v>
      </c>
      <c r="M213" s="89"/>
      <c r="N213" s="89" t="s">
        <v>82</v>
      </c>
      <c r="O213" s="94" t="s">
        <v>621</v>
      </c>
      <c r="P213" s="95" t="s">
        <v>58</v>
      </c>
      <c r="Q213" s="144" t="s">
        <v>84</v>
      </c>
      <c r="R213" s="96">
        <v>46161</v>
      </c>
      <c r="S213" s="97">
        <v>46169</v>
      </c>
      <c r="T213" s="97" t="s">
        <v>60</v>
      </c>
      <c r="U213" s="97" t="s">
        <v>72</v>
      </c>
      <c r="V213" s="93">
        <v>46161</v>
      </c>
      <c r="W213" s="93" t="s">
        <v>73</v>
      </c>
      <c r="X213" s="93" t="s">
        <v>73</v>
      </c>
      <c r="Y213" s="98"/>
      <c r="Z213" s="89" t="s">
        <v>62</v>
      </c>
      <c r="AA213" s="97">
        <v>46169</v>
      </c>
      <c r="AB213" s="89" t="s">
        <v>75</v>
      </c>
      <c r="AC213" s="120"/>
      <c r="AD213" s="89"/>
      <c r="AE213" s="89"/>
      <c r="AF213" s="89"/>
      <c r="AG213" s="89"/>
      <c r="AH213" s="99"/>
      <c r="AI213" s="99"/>
      <c r="AJ213" s="99"/>
      <c r="AK213" s="100"/>
      <c r="AL213" s="100" t="s">
        <v>540</v>
      </c>
      <c r="AM213" s="100"/>
      <c r="AN213" s="45" t="s">
        <v>65</v>
      </c>
      <c r="AO213" s="198" t="str">
        <f t="shared" si="26"/>
        <v>5/2026</v>
      </c>
      <c r="AP213" s="198">
        <f t="shared" si="27"/>
        <v>2</v>
      </c>
      <c r="AQ213" s="45" t="str">
        <f t="shared" si="28"/>
        <v>5/2026</v>
      </c>
      <c r="AR213" s="45">
        <f t="shared" si="29"/>
        <v>4</v>
      </c>
      <c r="AS213" s="45">
        <f t="shared" si="30"/>
        <v>0</v>
      </c>
      <c r="AT213" s="45">
        <f t="shared" si="31"/>
        <v>0</v>
      </c>
      <c r="AU213" s="45">
        <f t="shared" si="32"/>
        <v>0</v>
      </c>
      <c r="AV213" s="45">
        <f t="shared" si="25"/>
        <v>0</v>
      </c>
      <c r="AW213" s="45" t="str">
        <f>_xlfn.XLOOKUP(W213,'Lista Suspensa'!$AA$20:$AA$23,'Lista Suspensa'!$AB$20:$AB$23,"N/A")</f>
        <v>N/A</v>
      </c>
    </row>
    <row r="214" spans="1:49" ht="12" hidden="1" customHeight="1" x14ac:dyDescent="0.3">
      <c r="A214" s="87" t="s">
        <v>49</v>
      </c>
      <c r="B214" s="88">
        <v>46147</v>
      </c>
      <c r="C214" s="89" t="s">
        <v>50</v>
      </c>
      <c r="D214" s="89" t="s">
        <v>51</v>
      </c>
      <c r="E214" s="90">
        <v>71770698</v>
      </c>
      <c r="F214" s="91" t="s">
        <v>622</v>
      </c>
      <c r="G214" s="92">
        <v>35315825850</v>
      </c>
      <c r="H214" s="93">
        <v>37674</v>
      </c>
      <c r="I214" s="89">
        <v>23</v>
      </c>
      <c r="J214" s="89" t="s">
        <v>67</v>
      </c>
      <c r="K214" s="89" t="s">
        <v>54</v>
      </c>
      <c r="L214" s="89" t="s">
        <v>93</v>
      </c>
      <c r="M214" s="89"/>
      <c r="N214" s="89" t="s">
        <v>69</v>
      </c>
      <c r="O214" s="94" t="s">
        <v>623</v>
      </c>
      <c r="P214" s="95" t="s">
        <v>58</v>
      </c>
      <c r="Q214" s="144" t="s">
        <v>84</v>
      </c>
      <c r="R214" s="96">
        <v>46161</v>
      </c>
      <c r="S214" s="97">
        <v>46164</v>
      </c>
      <c r="T214" s="97" t="s">
        <v>60</v>
      </c>
      <c r="U214" s="97" t="s">
        <v>72</v>
      </c>
      <c r="V214" s="93">
        <v>46161</v>
      </c>
      <c r="W214" s="93" t="s">
        <v>73</v>
      </c>
      <c r="X214" s="93" t="s">
        <v>73</v>
      </c>
      <c r="Y214" s="98"/>
      <c r="Z214" s="89" t="s">
        <v>62</v>
      </c>
      <c r="AA214" s="97">
        <v>46170</v>
      </c>
      <c r="AB214" s="89" t="s">
        <v>75</v>
      </c>
      <c r="AC214" s="120"/>
      <c r="AD214" s="89"/>
      <c r="AE214" s="89"/>
      <c r="AF214" s="89"/>
      <c r="AG214" s="89"/>
      <c r="AH214" s="99"/>
      <c r="AI214" s="99"/>
      <c r="AJ214" s="99"/>
      <c r="AK214" s="100"/>
      <c r="AL214" s="100" t="s">
        <v>540</v>
      </c>
      <c r="AM214" s="100"/>
      <c r="AN214" s="45" t="s">
        <v>65</v>
      </c>
      <c r="AO214" s="198" t="str">
        <f t="shared" si="26"/>
        <v>5/2026</v>
      </c>
      <c r="AP214" s="198">
        <f t="shared" si="27"/>
        <v>2</v>
      </c>
      <c r="AQ214" s="45" t="str">
        <f t="shared" si="28"/>
        <v>5/2026</v>
      </c>
      <c r="AR214" s="45">
        <f t="shared" si="29"/>
        <v>4</v>
      </c>
      <c r="AS214" s="45">
        <f t="shared" si="30"/>
        <v>0</v>
      </c>
      <c r="AT214" s="45">
        <f t="shared" si="31"/>
        <v>0</v>
      </c>
      <c r="AU214" s="45">
        <f t="shared" si="32"/>
        <v>0</v>
      </c>
      <c r="AV214" s="45">
        <f t="shared" si="25"/>
        <v>0</v>
      </c>
      <c r="AW214" s="45" t="str">
        <f>_xlfn.XLOOKUP(W214,'Lista Suspensa'!$AA$20:$AA$23,'Lista Suspensa'!$AB$20:$AB$23,"N/A")</f>
        <v>N/A</v>
      </c>
    </row>
    <row r="215" spans="1:49" ht="12" hidden="1" customHeight="1" x14ac:dyDescent="0.3">
      <c r="A215" s="87" t="s">
        <v>49</v>
      </c>
      <c r="B215" s="88">
        <v>46147</v>
      </c>
      <c r="C215" s="89" t="s">
        <v>50</v>
      </c>
      <c r="D215" s="89" t="s">
        <v>51</v>
      </c>
      <c r="E215" s="90">
        <v>94349483</v>
      </c>
      <c r="F215" s="91" t="s">
        <v>624</v>
      </c>
      <c r="G215" s="92">
        <v>36398292987</v>
      </c>
      <c r="H215" s="93">
        <v>22373</v>
      </c>
      <c r="I215" s="89">
        <v>65</v>
      </c>
      <c r="J215" s="89" t="s">
        <v>53</v>
      </c>
      <c r="K215" s="89" t="s">
        <v>54</v>
      </c>
      <c r="L215" s="89" t="s">
        <v>625</v>
      </c>
      <c r="M215" s="89"/>
      <c r="N215" s="89" t="s">
        <v>124</v>
      </c>
      <c r="O215" s="94" t="s">
        <v>626</v>
      </c>
      <c r="P215" s="95" t="s">
        <v>58</v>
      </c>
      <c r="Q215" s="144" t="s">
        <v>627</v>
      </c>
      <c r="R215" s="96"/>
      <c r="S215" s="97">
        <v>46161</v>
      </c>
      <c r="T215" s="97" t="s">
        <v>546</v>
      </c>
      <c r="U215" s="97" t="s">
        <v>72</v>
      </c>
      <c r="V215" s="93">
        <v>46149</v>
      </c>
      <c r="W215" s="93">
        <v>46160</v>
      </c>
      <c r="X215" s="93">
        <v>46161</v>
      </c>
      <c r="Y215" s="98"/>
      <c r="Z215" s="89"/>
      <c r="AA215" s="97"/>
      <c r="AB215" s="89"/>
      <c r="AC215" s="120"/>
      <c r="AD215" s="89"/>
      <c r="AE215" s="89"/>
      <c r="AF215" s="89"/>
      <c r="AG215" s="89"/>
      <c r="AH215" s="99"/>
      <c r="AI215" s="99"/>
      <c r="AJ215" s="99"/>
      <c r="AK215" s="100"/>
      <c r="AL215" s="100" t="s">
        <v>540</v>
      </c>
      <c r="AM215" s="100" t="s">
        <v>102</v>
      </c>
      <c r="AN215" s="45" t="s">
        <v>65</v>
      </c>
      <c r="AO215" s="198" t="str">
        <f t="shared" si="26"/>
        <v>5/2026</v>
      </c>
      <c r="AP215" s="198">
        <f t="shared" si="27"/>
        <v>2</v>
      </c>
      <c r="AQ215" s="45" t="str">
        <f t="shared" si="28"/>
        <v>1/1900</v>
      </c>
      <c r="AR215" s="45" t="e">
        <f t="shared" si="29"/>
        <v>#NUM!</v>
      </c>
      <c r="AS215" s="45">
        <f t="shared" si="30"/>
        <v>0</v>
      </c>
      <c r="AT215" s="45">
        <f t="shared" si="31"/>
        <v>0</v>
      </c>
      <c r="AU215" s="45">
        <f t="shared" si="32"/>
        <v>0</v>
      </c>
      <c r="AV215" s="45">
        <f t="shared" si="25"/>
        <v>0</v>
      </c>
      <c r="AW215" s="45" t="str">
        <f>_xlfn.XLOOKUP(W215,'Lista Suspensa'!$AA$20:$AA$23,'Lista Suspensa'!$AB$20:$AB$23,"N/A")</f>
        <v>N/A</v>
      </c>
    </row>
    <row r="216" spans="1:49" ht="12" hidden="1" customHeight="1" x14ac:dyDescent="0.3">
      <c r="A216" s="87" t="s">
        <v>49</v>
      </c>
      <c r="B216" s="88">
        <v>46147</v>
      </c>
      <c r="C216" s="89" t="s">
        <v>50</v>
      </c>
      <c r="D216" s="89" t="s">
        <v>51</v>
      </c>
      <c r="E216" s="90">
        <v>87627911</v>
      </c>
      <c r="F216" s="91" t="s">
        <v>628</v>
      </c>
      <c r="G216" s="92">
        <v>11410888789</v>
      </c>
      <c r="H216" s="93">
        <v>31736</v>
      </c>
      <c r="I216" s="89">
        <v>39</v>
      </c>
      <c r="J216" s="89" t="s">
        <v>53</v>
      </c>
      <c r="K216" s="89" t="s">
        <v>77</v>
      </c>
      <c r="L216" s="89" t="s">
        <v>629</v>
      </c>
      <c r="M216" s="89"/>
      <c r="N216" s="89" t="s">
        <v>124</v>
      </c>
      <c r="O216" s="94" t="s">
        <v>630</v>
      </c>
      <c r="P216" s="95" t="s">
        <v>58</v>
      </c>
      <c r="Q216" s="144" t="s">
        <v>627</v>
      </c>
      <c r="R216" s="96"/>
      <c r="S216" s="97">
        <v>46161</v>
      </c>
      <c r="T216" s="97" t="s">
        <v>546</v>
      </c>
      <c r="U216" s="97" t="s">
        <v>72</v>
      </c>
      <c r="V216" s="93">
        <v>46148</v>
      </c>
      <c r="W216" s="93">
        <v>46149</v>
      </c>
      <c r="X216" s="93">
        <v>46161</v>
      </c>
      <c r="Y216" s="98"/>
      <c r="Z216" s="89"/>
      <c r="AA216" s="97"/>
      <c r="AB216" s="89"/>
      <c r="AC216" s="120"/>
      <c r="AD216" s="89"/>
      <c r="AE216" s="89"/>
      <c r="AF216" s="89"/>
      <c r="AG216" s="89"/>
      <c r="AH216" s="99"/>
      <c r="AI216" s="99"/>
      <c r="AJ216" s="99"/>
      <c r="AK216" s="100"/>
      <c r="AL216" s="100"/>
      <c r="AM216" s="100"/>
      <c r="AN216" s="45" t="s">
        <v>65</v>
      </c>
      <c r="AO216" s="198" t="str">
        <f t="shared" si="26"/>
        <v>5/2026</v>
      </c>
      <c r="AP216" s="198">
        <f t="shared" si="27"/>
        <v>2</v>
      </c>
      <c r="AQ216" s="45" t="str">
        <f t="shared" si="28"/>
        <v>1/1900</v>
      </c>
      <c r="AR216" s="45" t="e">
        <f t="shared" si="29"/>
        <v>#NUM!</v>
      </c>
      <c r="AS216" s="45">
        <f t="shared" si="30"/>
        <v>0</v>
      </c>
      <c r="AT216" s="45">
        <f t="shared" si="31"/>
        <v>0</v>
      </c>
      <c r="AU216" s="45">
        <f t="shared" si="32"/>
        <v>0</v>
      </c>
      <c r="AV216" s="45">
        <f t="shared" si="25"/>
        <v>0</v>
      </c>
      <c r="AW216" s="45" t="str">
        <f>_xlfn.XLOOKUP(W216,'Lista Suspensa'!$AA$20:$AA$23,'Lista Suspensa'!$AB$20:$AB$23,"N/A")</f>
        <v>N/A</v>
      </c>
    </row>
    <row r="217" spans="1:49" ht="12" hidden="1" customHeight="1" x14ac:dyDescent="0.3">
      <c r="A217" s="87" t="s">
        <v>49</v>
      </c>
      <c r="B217" s="88">
        <v>46147</v>
      </c>
      <c r="C217" s="89" t="s">
        <v>50</v>
      </c>
      <c r="D217" s="89" t="s">
        <v>51</v>
      </c>
      <c r="E217" s="90">
        <v>483581461</v>
      </c>
      <c r="F217" s="91" t="s">
        <v>631</v>
      </c>
      <c r="G217" s="92">
        <v>53490541715</v>
      </c>
      <c r="H217" s="93">
        <v>17173</v>
      </c>
      <c r="I217" s="89">
        <v>79</v>
      </c>
      <c r="J217" s="89" t="s">
        <v>67</v>
      </c>
      <c r="K217" s="89" t="s">
        <v>186</v>
      </c>
      <c r="L217" s="89" t="s">
        <v>632</v>
      </c>
      <c r="M217" s="89"/>
      <c r="N217" s="89" t="s">
        <v>100</v>
      </c>
      <c r="O217" s="94" t="s">
        <v>633</v>
      </c>
      <c r="P217" s="95" t="s">
        <v>58</v>
      </c>
      <c r="Q217" s="144" t="s">
        <v>627</v>
      </c>
      <c r="R217" s="96"/>
      <c r="S217" s="97">
        <v>46161</v>
      </c>
      <c r="T217" s="97" t="s">
        <v>546</v>
      </c>
      <c r="U217" s="97" t="s">
        <v>72</v>
      </c>
      <c r="V217" s="93">
        <v>46148</v>
      </c>
      <c r="W217" s="93">
        <v>46149</v>
      </c>
      <c r="X217" s="93">
        <v>46161</v>
      </c>
      <c r="Y217" s="98"/>
      <c r="Z217" s="89"/>
      <c r="AA217" s="97"/>
      <c r="AB217" s="89"/>
      <c r="AC217" s="120"/>
      <c r="AD217" s="89"/>
      <c r="AE217" s="89"/>
      <c r="AF217" s="89"/>
      <c r="AG217" s="89"/>
      <c r="AH217" s="99"/>
      <c r="AI217" s="99"/>
      <c r="AJ217" s="99"/>
      <c r="AK217" s="100"/>
      <c r="AL217" s="100"/>
      <c r="AM217" s="100"/>
      <c r="AN217" s="45" t="s">
        <v>65</v>
      </c>
      <c r="AO217" s="198" t="str">
        <f t="shared" si="26"/>
        <v>5/2026</v>
      </c>
      <c r="AP217" s="198">
        <f t="shared" si="27"/>
        <v>2</v>
      </c>
      <c r="AQ217" s="45" t="str">
        <f t="shared" si="28"/>
        <v>1/1900</v>
      </c>
      <c r="AR217" s="45" t="e">
        <f t="shared" si="29"/>
        <v>#NUM!</v>
      </c>
      <c r="AS217" s="45">
        <f t="shared" si="30"/>
        <v>0</v>
      </c>
      <c r="AT217" s="45">
        <f t="shared" si="31"/>
        <v>0</v>
      </c>
      <c r="AU217" s="45">
        <f t="shared" si="32"/>
        <v>0</v>
      </c>
      <c r="AV217" s="45">
        <f t="shared" si="25"/>
        <v>0</v>
      </c>
      <c r="AW217" s="45" t="str">
        <f>_xlfn.XLOOKUP(W217,'Lista Suspensa'!$AA$20:$AA$23,'Lista Suspensa'!$AB$20:$AB$23,"N/A")</f>
        <v>N/A</v>
      </c>
    </row>
    <row r="218" spans="1:49" ht="12" hidden="1" customHeight="1" x14ac:dyDescent="0.3">
      <c r="A218" s="87" t="s">
        <v>49</v>
      </c>
      <c r="B218" s="88">
        <v>46147</v>
      </c>
      <c r="C218" s="89" t="s">
        <v>50</v>
      </c>
      <c r="D218" s="89" t="s">
        <v>51</v>
      </c>
      <c r="E218" s="90">
        <v>772399328</v>
      </c>
      <c r="F218" s="91" t="s">
        <v>634</v>
      </c>
      <c r="G218" s="92">
        <v>9251595810</v>
      </c>
      <c r="H218" s="93">
        <v>17299</v>
      </c>
      <c r="I218" s="89">
        <v>79</v>
      </c>
      <c r="J218" s="89" t="s">
        <v>67</v>
      </c>
      <c r="K218" s="89" t="s">
        <v>54</v>
      </c>
      <c r="L218" s="89" t="s">
        <v>68</v>
      </c>
      <c r="M218" s="89"/>
      <c r="N218" s="89" t="s">
        <v>94</v>
      </c>
      <c r="O218" s="94" t="s">
        <v>635</v>
      </c>
      <c r="P218" s="95" t="s">
        <v>58</v>
      </c>
      <c r="Q218" s="144" t="s">
        <v>627</v>
      </c>
      <c r="R218" s="96"/>
      <c r="S218" s="97"/>
      <c r="T218" s="97" t="s">
        <v>546</v>
      </c>
      <c r="U218" s="97" t="s">
        <v>72</v>
      </c>
      <c r="V218" s="93">
        <v>46150</v>
      </c>
      <c r="W218" s="93">
        <v>46161</v>
      </c>
      <c r="X218" s="93">
        <v>46171</v>
      </c>
      <c r="Y218" s="98"/>
      <c r="Z218" s="89"/>
      <c r="AA218" s="97"/>
      <c r="AB218" s="89"/>
      <c r="AC218" s="120"/>
      <c r="AD218" s="89"/>
      <c r="AE218" s="89"/>
      <c r="AF218" s="89"/>
      <c r="AG218" s="89"/>
      <c r="AH218" s="99"/>
      <c r="AI218" s="99"/>
      <c r="AJ218" s="99"/>
      <c r="AK218" s="100"/>
      <c r="AL218" s="100" t="s">
        <v>540</v>
      </c>
      <c r="AM218" s="100" t="s">
        <v>102</v>
      </c>
      <c r="AN218" s="45" t="s">
        <v>65</v>
      </c>
      <c r="AO218" s="198" t="str">
        <f t="shared" si="26"/>
        <v>5/2026</v>
      </c>
      <c r="AP218" s="198">
        <f t="shared" si="27"/>
        <v>2</v>
      </c>
      <c r="AQ218" s="45" t="str">
        <f t="shared" si="28"/>
        <v>1/1900</v>
      </c>
      <c r="AR218" s="45" t="e">
        <f t="shared" si="29"/>
        <v>#NUM!</v>
      </c>
      <c r="AS218" s="45">
        <f t="shared" si="30"/>
        <v>0</v>
      </c>
      <c r="AT218" s="45">
        <f t="shared" si="31"/>
        <v>0</v>
      </c>
      <c r="AU218" s="45">
        <f t="shared" si="32"/>
        <v>0</v>
      </c>
      <c r="AV218" s="45">
        <f t="shared" si="25"/>
        <v>0</v>
      </c>
      <c r="AW218" s="45" t="str">
        <f>_xlfn.XLOOKUP(W218,'Lista Suspensa'!$AA$20:$AA$23,'Lista Suspensa'!$AB$20:$AB$23,"N/A")</f>
        <v>N/A</v>
      </c>
    </row>
    <row r="219" spans="1:49" ht="12" hidden="1" customHeight="1" x14ac:dyDescent="0.3">
      <c r="A219" s="87" t="s">
        <v>49</v>
      </c>
      <c r="B219" s="88">
        <v>46147</v>
      </c>
      <c r="C219" s="89" t="s">
        <v>50</v>
      </c>
      <c r="D219" s="89" t="s">
        <v>51</v>
      </c>
      <c r="E219" s="90">
        <v>81794949</v>
      </c>
      <c r="F219" s="91" t="s">
        <v>636</v>
      </c>
      <c r="G219" s="92">
        <v>33172658848</v>
      </c>
      <c r="H219" s="93">
        <v>32280</v>
      </c>
      <c r="I219" s="89">
        <v>38</v>
      </c>
      <c r="J219" s="89" t="s">
        <v>53</v>
      </c>
      <c r="K219" s="89" t="s">
        <v>54</v>
      </c>
      <c r="L219" s="89" t="s">
        <v>161</v>
      </c>
      <c r="M219" s="89"/>
      <c r="N219" s="89" t="s">
        <v>82</v>
      </c>
      <c r="O219" s="94" t="s">
        <v>637</v>
      </c>
      <c r="P219" s="95" t="s">
        <v>58</v>
      </c>
      <c r="Q219" s="144" t="s">
        <v>627</v>
      </c>
      <c r="R219" s="96"/>
      <c r="S219" s="97"/>
      <c r="T219" s="97" t="s">
        <v>546</v>
      </c>
      <c r="U219" s="97" t="s">
        <v>72</v>
      </c>
      <c r="V219" s="93">
        <v>46150</v>
      </c>
      <c r="W219" s="93">
        <v>46161</v>
      </c>
      <c r="X219" s="93">
        <v>46171</v>
      </c>
      <c r="Y219" s="98"/>
      <c r="Z219" s="89"/>
      <c r="AA219" s="97"/>
      <c r="AB219" s="89"/>
      <c r="AC219" s="120"/>
      <c r="AD219" s="89"/>
      <c r="AE219" s="89"/>
      <c r="AF219" s="89"/>
      <c r="AG219" s="89"/>
      <c r="AH219" s="99"/>
      <c r="AI219" s="99"/>
      <c r="AJ219" s="99"/>
      <c r="AK219" s="100"/>
      <c r="AL219" s="100" t="s">
        <v>540</v>
      </c>
      <c r="AM219" s="100" t="s">
        <v>102</v>
      </c>
      <c r="AN219" s="45" t="s">
        <v>65</v>
      </c>
      <c r="AO219" s="198" t="str">
        <f t="shared" si="26"/>
        <v>5/2026</v>
      </c>
      <c r="AP219" s="198">
        <f t="shared" si="27"/>
        <v>2</v>
      </c>
      <c r="AQ219" s="45" t="str">
        <f t="shared" si="28"/>
        <v>1/1900</v>
      </c>
      <c r="AR219" s="45" t="e">
        <f t="shared" si="29"/>
        <v>#NUM!</v>
      </c>
      <c r="AS219" s="45">
        <f t="shared" si="30"/>
        <v>0</v>
      </c>
      <c r="AT219" s="45">
        <f t="shared" si="31"/>
        <v>0</v>
      </c>
      <c r="AU219" s="45">
        <f t="shared" si="32"/>
        <v>0</v>
      </c>
      <c r="AV219" s="45">
        <f t="shared" si="25"/>
        <v>0</v>
      </c>
      <c r="AW219" s="45" t="str">
        <f>_xlfn.XLOOKUP(W219,'Lista Suspensa'!$AA$20:$AA$23,'Lista Suspensa'!$AB$20:$AB$23,"N/A")</f>
        <v>N/A</v>
      </c>
    </row>
    <row r="220" spans="1:49" ht="12" hidden="1" customHeight="1" x14ac:dyDescent="0.3">
      <c r="A220" s="87" t="s">
        <v>49</v>
      </c>
      <c r="B220" s="88">
        <v>46147</v>
      </c>
      <c r="C220" s="89" t="s">
        <v>50</v>
      </c>
      <c r="D220" s="89" t="s">
        <v>51</v>
      </c>
      <c r="E220" s="90">
        <v>95954819</v>
      </c>
      <c r="F220" s="91" t="s">
        <v>638</v>
      </c>
      <c r="G220" s="92">
        <v>7349847742</v>
      </c>
      <c r="H220" s="93">
        <v>23664</v>
      </c>
      <c r="I220" s="89">
        <v>61</v>
      </c>
      <c r="J220" s="89" t="s">
        <v>67</v>
      </c>
      <c r="K220" s="89" t="s">
        <v>54</v>
      </c>
      <c r="L220" s="89" t="s">
        <v>161</v>
      </c>
      <c r="M220" s="89"/>
      <c r="N220" s="89" t="s">
        <v>82</v>
      </c>
      <c r="O220" s="94" t="s">
        <v>639</v>
      </c>
      <c r="P220" s="95" t="s">
        <v>58</v>
      </c>
      <c r="Q220" s="144" t="s">
        <v>627</v>
      </c>
      <c r="R220" s="96"/>
      <c r="S220" s="97"/>
      <c r="T220" s="97" t="s">
        <v>546</v>
      </c>
      <c r="U220" s="97" t="s">
        <v>72</v>
      </c>
      <c r="V220" s="93">
        <v>46150</v>
      </c>
      <c r="W220" s="93">
        <v>46161</v>
      </c>
      <c r="X220" s="93">
        <v>46171</v>
      </c>
      <c r="Y220" s="98"/>
      <c r="Z220" s="89"/>
      <c r="AA220" s="97"/>
      <c r="AB220" s="89"/>
      <c r="AC220" s="120"/>
      <c r="AD220" s="89"/>
      <c r="AE220" s="89"/>
      <c r="AF220" s="89"/>
      <c r="AG220" s="89"/>
      <c r="AH220" s="99"/>
      <c r="AI220" s="99"/>
      <c r="AJ220" s="99"/>
      <c r="AK220" s="100"/>
      <c r="AL220" s="100" t="s">
        <v>540</v>
      </c>
      <c r="AM220" s="100" t="s">
        <v>102</v>
      </c>
      <c r="AN220" s="45" t="s">
        <v>65</v>
      </c>
      <c r="AO220" s="198" t="str">
        <f t="shared" si="26"/>
        <v>5/2026</v>
      </c>
      <c r="AP220" s="198">
        <f t="shared" si="27"/>
        <v>2</v>
      </c>
      <c r="AQ220" s="45" t="str">
        <f t="shared" si="28"/>
        <v>1/1900</v>
      </c>
      <c r="AR220" s="45" t="e">
        <f t="shared" si="29"/>
        <v>#NUM!</v>
      </c>
      <c r="AS220" s="45">
        <f t="shared" si="30"/>
        <v>0</v>
      </c>
      <c r="AT220" s="45">
        <f t="shared" si="31"/>
        <v>0</v>
      </c>
      <c r="AU220" s="45">
        <f t="shared" si="32"/>
        <v>0</v>
      </c>
      <c r="AV220" s="45">
        <f t="shared" si="25"/>
        <v>0</v>
      </c>
      <c r="AW220" s="45" t="str">
        <f>_xlfn.XLOOKUP(W220,'Lista Suspensa'!$AA$20:$AA$23,'Lista Suspensa'!$AB$20:$AB$23,"N/A")</f>
        <v>N/A</v>
      </c>
    </row>
    <row r="221" spans="1:49" ht="12" hidden="1" customHeight="1" x14ac:dyDescent="0.3">
      <c r="A221" s="87" t="s">
        <v>49</v>
      </c>
      <c r="B221" s="88">
        <v>46147</v>
      </c>
      <c r="C221" s="89" t="s">
        <v>50</v>
      </c>
      <c r="D221" s="89" t="s">
        <v>51</v>
      </c>
      <c r="E221" s="90">
        <v>95588561</v>
      </c>
      <c r="F221" s="91" t="s">
        <v>640</v>
      </c>
      <c r="G221" s="92">
        <v>11502259800</v>
      </c>
      <c r="H221" s="93">
        <v>24672</v>
      </c>
      <c r="I221" s="89">
        <v>58</v>
      </c>
      <c r="J221" s="89" t="s">
        <v>67</v>
      </c>
      <c r="K221" s="89" t="s">
        <v>54</v>
      </c>
      <c r="L221" s="89" t="s">
        <v>161</v>
      </c>
      <c r="M221" s="89"/>
      <c r="N221" s="89" t="s">
        <v>82</v>
      </c>
      <c r="O221" s="94" t="s">
        <v>641</v>
      </c>
      <c r="P221" s="95" t="s">
        <v>58</v>
      </c>
      <c r="Q221" s="144" t="s">
        <v>627</v>
      </c>
      <c r="R221" s="96"/>
      <c r="S221" s="97"/>
      <c r="T221" s="97" t="s">
        <v>546</v>
      </c>
      <c r="U221" s="97" t="s">
        <v>72</v>
      </c>
      <c r="V221" s="93">
        <v>46153</v>
      </c>
      <c r="W221" s="93">
        <v>46161</v>
      </c>
      <c r="X221" s="93">
        <v>46171</v>
      </c>
      <c r="Y221" s="98"/>
      <c r="Z221" s="89"/>
      <c r="AA221" s="97"/>
      <c r="AB221" s="89"/>
      <c r="AC221" s="120"/>
      <c r="AD221" s="89"/>
      <c r="AE221" s="89"/>
      <c r="AF221" s="89"/>
      <c r="AG221" s="89"/>
      <c r="AH221" s="99"/>
      <c r="AI221" s="99"/>
      <c r="AJ221" s="99"/>
      <c r="AK221" s="100"/>
      <c r="AL221" s="100" t="s">
        <v>540</v>
      </c>
      <c r="AM221" s="100" t="s">
        <v>102</v>
      </c>
      <c r="AN221" s="45" t="s">
        <v>65</v>
      </c>
      <c r="AO221" s="198" t="str">
        <f t="shared" si="26"/>
        <v>5/2026</v>
      </c>
      <c r="AP221" s="198">
        <f t="shared" si="27"/>
        <v>2</v>
      </c>
      <c r="AQ221" s="45" t="str">
        <f t="shared" si="28"/>
        <v>1/1900</v>
      </c>
      <c r="AR221" s="45" t="e">
        <f t="shared" si="29"/>
        <v>#NUM!</v>
      </c>
      <c r="AS221" s="45">
        <f t="shared" si="30"/>
        <v>0</v>
      </c>
      <c r="AT221" s="45">
        <f t="shared" si="31"/>
        <v>0</v>
      </c>
      <c r="AU221" s="45">
        <f t="shared" si="32"/>
        <v>0</v>
      </c>
      <c r="AV221" s="45">
        <f t="shared" si="25"/>
        <v>0</v>
      </c>
      <c r="AW221" s="45" t="str">
        <f>_xlfn.XLOOKUP(W221,'Lista Suspensa'!$AA$20:$AA$23,'Lista Suspensa'!$AB$20:$AB$23,"N/A")</f>
        <v>N/A</v>
      </c>
    </row>
    <row r="222" spans="1:49" ht="12" hidden="1" customHeight="1" x14ac:dyDescent="0.3">
      <c r="A222" s="87" t="s">
        <v>49</v>
      </c>
      <c r="B222" s="88">
        <v>46147</v>
      </c>
      <c r="C222" s="89" t="s">
        <v>50</v>
      </c>
      <c r="D222" s="89" t="s">
        <v>51</v>
      </c>
      <c r="E222" s="90">
        <v>93802941</v>
      </c>
      <c r="F222" s="91" t="s">
        <v>642</v>
      </c>
      <c r="G222" s="92">
        <v>42958901890</v>
      </c>
      <c r="H222" s="93">
        <v>34811</v>
      </c>
      <c r="I222" s="89">
        <v>31</v>
      </c>
      <c r="J222" s="89" t="s">
        <v>67</v>
      </c>
      <c r="K222" s="89" t="s">
        <v>54</v>
      </c>
      <c r="L222" s="89" t="s">
        <v>179</v>
      </c>
      <c r="M222" s="89"/>
      <c r="N222" s="89" t="s">
        <v>82</v>
      </c>
      <c r="O222" s="94">
        <v>11954225870</v>
      </c>
      <c r="P222" s="95" t="s">
        <v>58</v>
      </c>
      <c r="Q222" s="144" t="s">
        <v>627</v>
      </c>
      <c r="R222" s="96"/>
      <c r="S222" s="97"/>
      <c r="T222" s="97" t="s">
        <v>546</v>
      </c>
      <c r="U222" s="97" t="s">
        <v>72</v>
      </c>
      <c r="V222" s="93">
        <v>46153</v>
      </c>
      <c r="W222" s="93">
        <v>46161</v>
      </c>
      <c r="X222" s="93">
        <v>46171</v>
      </c>
      <c r="Y222" s="98"/>
      <c r="Z222" s="89"/>
      <c r="AA222" s="97"/>
      <c r="AB222" s="89"/>
      <c r="AC222" s="120"/>
      <c r="AD222" s="89"/>
      <c r="AE222" s="89"/>
      <c r="AF222" s="89"/>
      <c r="AG222" s="89"/>
      <c r="AH222" s="99"/>
      <c r="AI222" s="99"/>
      <c r="AJ222" s="99"/>
      <c r="AK222" s="100"/>
      <c r="AL222" s="100" t="s">
        <v>540</v>
      </c>
      <c r="AM222" s="100" t="s">
        <v>102</v>
      </c>
      <c r="AN222" s="45" t="s">
        <v>65</v>
      </c>
      <c r="AO222" s="198" t="str">
        <f t="shared" si="26"/>
        <v>5/2026</v>
      </c>
      <c r="AP222" s="198">
        <f t="shared" si="27"/>
        <v>2</v>
      </c>
      <c r="AQ222" s="45" t="str">
        <f t="shared" si="28"/>
        <v>1/1900</v>
      </c>
      <c r="AR222" s="45" t="e">
        <f t="shared" si="29"/>
        <v>#NUM!</v>
      </c>
      <c r="AS222" s="45">
        <f t="shared" si="30"/>
        <v>0</v>
      </c>
      <c r="AT222" s="45">
        <f t="shared" si="31"/>
        <v>0</v>
      </c>
      <c r="AU222" s="45">
        <f t="shared" si="32"/>
        <v>0</v>
      </c>
      <c r="AV222" s="45">
        <f t="shared" si="25"/>
        <v>0</v>
      </c>
      <c r="AW222" s="45" t="str">
        <f>_xlfn.XLOOKUP(W222,'Lista Suspensa'!$AA$20:$AA$23,'Lista Suspensa'!$AB$20:$AB$23,"N/A")</f>
        <v>N/A</v>
      </c>
    </row>
    <row r="223" spans="1:49" ht="12" hidden="1" customHeight="1" x14ac:dyDescent="0.3">
      <c r="A223" s="87" t="s">
        <v>49</v>
      </c>
      <c r="B223" s="88">
        <v>46147</v>
      </c>
      <c r="C223" s="89" t="s">
        <v>50</v>
      </c>
      <c r="D223" s="89" t="s">
        <v>51</v>
      </c>
      <c r="E223" s="90">
        <v>213697378</v>
      </c>
      <c r="F223" s="91" t="s">
        <v>643</v>
      </c>
      <c r="G223" s="92">
        <v>4337239715</v>
      </c>
      <c r="H223" s="93">
        <v>16443</v>
      </c>
      <c r="I223" s="89">
        <v>81</v>
      </c>
      <c r="J223" s="89" t="s">
        <v>53</v>
      </c>
      <c r="K223" s="89" t="s">
        <v>77</v>
      </c>
      <c r="L223" s="89" t="s">
        <v>644</v>
      </c>
      <c r="M223" s="89"/>
      <c r="N223" s="89" t="s">
        <v>100</v>
      </c>
      <c r="O223" s="94" t="s">
        <v>645</v>
      </c>
      <c r="P223" s="95" t="s">
        <v>58</v>
      </c>
      <c r="Q223" s="144" t="s">
        <v>627</v>
      </c>
      <c r="R223" s="96"/>
      <c r="S223" s="97"/>
      <c r="T223" s="97" t="s">
        <v>546</v>
      </c>
      <c r="U223" s="97" t="s">
        <v>72</v>
      </c>
      <c r="V223" s="93">
        <v>46153</v>
      </c>
      <c r="W223" s="93">
        <v>46161</v>
      </c>
      <c r="X223" s="93">
        <v>46171</v>
      </c>
      <c r="Y223" s="98"/>
      <c r="Z223" s="89"/>
      <c r="AA223" s="97"/>
      <c r="AB223" s="89"/>
      <c r="AC223" s="120"/>
      <c r="AD223" s="89"/>
      <c r="AE223" s="89"/>
      <c r="AF223" s="89"/>
      <c r="AG223" s="89"/>
      <c r="AH223" s="99"/>
      <c r="AI223" s="99"/>
      <c r="AJ223" s="99"/>
      <c r="AK223" s="100"/>
      <c r="AL223" s="100" t="s">
        <v>540</v>
      </c>
      <c r="AM223" s="100" t="s">
        <v>102</v>
      </c>
      <c r="AN223" s="45" t="s">
        <v>65</v>
      </c>
      <c r="AO223" s="198" t="str">
        <f t="shared" si="26"/>
        <v>5/2026</v>
      </c>
      <c r="AP223" s="198">
        <f t="shared" si="27"/>
        <v>2</v>
      </c>
      <c r="AQ223" s="45" t="str">
        <f t="shared" si="28"/>
        <v>1/1900</v>
      </c>
      <c r="AR223" s="45" t="e">
        <f t="shared" si="29"/>
        <v>#NUM!</v>
      </c>
      <c r="AS223" s="45">
        <f t="shared" si="30"/>
        <v>0</v>
      </c>
      <c r="AT223" s="45">
        <f t="shared" si="31"/>
        <v>0</v>
      </c>
      <c r="AU223" s="45">
        <f t="shared" si="32"/>
        <v>0</v>
      </c>
      <c r="AV223" s="45">
        <f t="shared" ref="AV223:AV286" si="33">IF(AW223="S",IF(AND(Q223="1. Aceitou o programa",AB223="Realizada"),IFERROR(IF(AA223="",0,AA223-R223),0),0),0)</f>
        <v>0</v>
      </c>
      <c r="AW223" s="45" t="str">
        <f>_xlfn.XLOOKUP(W223,'Lista Suspensa'!$AA$20:$AA$23,'Lista Suspensa'!$AB$20:$AB$23,"N/A")</f>
        <v>N/A</v>
      </c>
    </row>
    <row r="224" spans="1:49" ht="12" hidden="1" customHeight="1" x14ac:dyDescent="0.3">
      <c r="A224" s="87" t="s">
        <v>49</v>
      </c>
      <c r="B224" s="88">
        <v>46147</v>
      </c>
      <c r="C224" s="89" t="s">
        <v>50</v>
      </c>
      <c r="D224" s="89" t="s">
        <v>51</v>
      </c>
      <c r="E224" s="90">
        <v>74914557</v>
      </c>
      <c r="F224" s="91" t="s">
        <v>646</v>
      </c>
      <c r="G224" s="92">
        <v>59867302753</v>
      </c>
      <c r="H224" s="93">
        <v>18483</v>
      </c>
      <c r="I224" s="89">
        <v>75</v>
      </c>
      <c r="J224" s="89" t="s">
        <v>67</v>
      </c>
      <c r="K224" s="89" t="s">
        <v>77</v>
      </c>
      <c r="L224" s="89" t="s">
        <v>349</v>
      </c>
      <c r="M224" s="89"/>
      <c r="N224" s="89" t="s">
        <v>69</v>
      </c>
      <c r="O224" s="94" t="s">
        <v>647</v>
      </c>
      <c r="P224" s="95" t="s">
        <v>58</v>
      </c>
      <c r="Q224" s="144" t="s">
        <v>627</v>
      </c>
      <c r="R224" s="96"/>
      <c r="S224" s="97"/>
      <c r="T224" s="97" t="s">
        <v>546</v>
      </c>
      <c r="U224" s="97" t="s">
        <v>72</v>
      </c>
      <c r="V224" s="93">
        <v>46153</v>
      </c>
      <c r="W224" s="93">
        <v>46161</v>
      </c>
      <c r="X224" s="93">
        <v>46171</v>
      </c>
      <c r="Y224" s="98"/>
      <c r="Z224" s="89"/>
      <c r="AA224" s="97"/>
      <c r="AB224" s="89"/>
      <c r="AC224" s="120"/>
      <c r="AD224" s="89"/>
      <c r="AE224" s="89"/>
      <c r="AF224" s="89"/>
      <c r="AG224" s="89"/>
      <c r="AH224" s="99"/>
      <c r="AI224" s="99"/>
      <c r="AJ224" s="99"/>
      <c r="AK224" s="100"/>
      <c r="AL224" s="100" t="s">
        <v>540</v>
      </c>
      <c r="AM224" s="100" t="s">
        <v>102</v>
      </c>
      <c r="AN224" s="45" t="s">
        <v>65</v>
      </c>
      <c r="AO224" s="198" t="str">
        <f t="shared" si="26"/>
        <v>5/2026</v>
      </c>
      <c r="AP224" s="198">
        <f t="shared" si="27"/>
        <v>2</v>
      </c>
      <c r="AQ224" s="45" t="str">
        <f t="shared" si="28"/>
        <v>1/1900</v>
      </c>
      <c r="AR224" s="45" t="e">
        <f t="shared" si="29"/>
        <v>#NUM!</v>
      </c>
      <c r="AS224" s="45">
        <f t="shared" si="30"/>
        <v>0</v>
      </c>
      <c r="AT224" s="45">
        <f t="shared" si="31"/>
        <v>0</v>
      </c>
      <c r="AU224" s="45">
        <f t="shared" si="32"/>
        <v>0</v>
      </c>
      <c r="AV224" s="45">
        <f t="shared" si="33"/>
        <v>0</v>
      </c>
      <c r="AW224" s="45" t="str">
        <f>_xlfn.XLOOKUP(W224,'Lista Suspensa'!$AA$20:$AA$23,'Lista Suspensa'!$AB$20:$AB$23,"N/A")</f>
        <v>N/A</v>
      </c>
    </row>
    <row r="225" spans="1:49" ht="12" hidden="1" customHeight="1" x14ac:dyDescent="0.3">
      <c r="A225" s="87" t="s">
        <v>49</v>
      </c>
      <c r="B225" s="88">
        <v>46147</v>
      </c>
      <c r="C225" s="89" t="s">
        <v>50</v>
      </c>
      <c r="D225" s="89" t="s">
        <v>51</v>
      </c>
      <c r="E225" s="90">
        <v>94761019</v>
      </c>
      <c r="F225" s="91" t="s">
        <v>648</v>
      </c>
      <c r="G225" s="92">
        <v>31332508847</v>
      </c>
      <c r="H225" s="93">
        <v>29986</v>
      </c>
      <c r="I225" s="89">
        <v>44</v>
      </c>
      <c r="J225" s="89" t="s">
        <v>53</v>
      </c>
      <c r="K225" s="89" t="s">
        <v>54</v>
      </c>
      <c r="L225" s="89" t="s">
        <v>146</v>
      </c>
      <c r="M225" s="89"/>
      <c r="N225" s="89" t="s">
        <v>113</v>
      </c>
      <c r="O225" s="94" t="s">
        <v>649</v>
      </c>
      <c r="P225" s="95" t="s">
        <v>58</v>
      </c>
      <c r="Q225" s="144" t="s">
        <v>627</v>
      </c>
      <c r="R225" s="96"/>
      <c r="S225" s="97"/>
      <c r="T225" s="97" t="s">
        <v>546</v>
      </c>
      <c r="U225" s="97" t="s">
        <v>72</v>
      </c>
      <c r="V225" s="93">
        <v>46148</v>
      </c>
      <c r="W225" s="93">
        <v>46161</v>
      </c>
      <c r="X225" s="93">
        <v>46171</v>
      </c>
      <c r="Y225" s="98"/>
      <c r="Z225" s="89"/>
      <c r="AA225" s="97"/>
      <c r="AB225" s="89"/>
      <c r="AC225" s="120"/>
      <c r="AD225" s="89"/>
      <c r="AE225" s="89"/>
      <c r="AF225" s="89"/>
      <c r="AG225" s="89"/>
      <c r="AH225" s="99"/>
      <c r="AI225" s="99"/>
      <c r="AJ225" s="99"/>
      <c r="AK225" s="100"/>
      <c r="AL225" s="100" t="s">
        <v>540</v>
      </c>
      <c r="AM225" s="100" t="s">
        <v>102</v>
      </c>
      <c r="AN225" s="45" t="s">
        <v>65</v>
      </c>
      <c r="AO225" s="198" t="str">
        <f t="shared" si="26"/>
        <v>5/2026</v>
      </c>
      <c r="AP225" s="198">
        <f t="shared" si="27"/>
        <v>2</v>
      </c>
      <c r="AQ225" s="45" t="str">
        <f t="shared" si="28"/>
        <v>1/1900</v>
      </c>
      <c r="AR225" s="45" t="e">
        <f t="shared" si="29"/>
        <v>#NUM!</v>
      </c>
      <c r="AS225" s="45">
        <f t="shared" si="30"/>
        <v>0</v>
      </c>
      <c r="AT225" s="45">
        <f t="shared" si="31"/>
        <v>0</v>
      </c>
      <c r="AU225" s="45">
        <f t="shared" si="32"/>
        <v>0</v>
      </c>
      <c r="AV225" s="45">
        <f t="shared" si="33"/>
        <v>0</v>
      </c>
      <c r="AW225" s="45" t="str">
        <f>_xlfn.XLOOKUP(W225,'Lista Suspensa'!$AA$20:$AA$23,'Lista Suspensa'!$AB$20:$AB$23,"N/A")</f>
        <v>N/A</v>
      </c>
    </row>
    <row r="226" spans="1:49" ht="12" hidden="1" customHeight="1" x14ac:dyDescent="0.3">
      <c r="A226" s="87" t="s">
        <v>49</v>
      </c>
      <c r="B226" s="88">
        <v>46147</v>
      </c>
      <c r="C226" s="89" t="s">
        <v>50</v>
      </c>
      <c r="D226" s="89" t="s">
        <v>51</v>
      </c>
      <c r="E226" s="90">
        <v>771874545</v>
      </c>
      <c r="F226" s="91" t="s">
        <v>650</v>
      </c>
      <c r="G226" s="92">
        <v>77179099872</v>
      </c>
      <c r="H226" s="93">
        <v>20441</v>
      </c>
      <c r="I226" s="89">
        <v>70</v>
      </c>
      <c r="J226" s="89" t="s">
        <v>53</v>
      </c>
      <c r="K226" s="89" t="s">
        <v>54</v>
      </c>
      <c r="L226" s="89" t="s">
        <v>146</v>
      </c>
      <c r="M226" s="89"/>
      <c r="N226" s="89" t="s">
        <v>94</v>
      </c>
      <c r="O226" s="94" t="s">
        <v>651</v>
      </c>
      <c r="P226" s="95" t="s">
        <v>58</v>
      </c>
      <c r="Q226" s="144" t="s">
        <v>627</v>
      </c>
      <c r="R226" s="96"/>
      <c r="S226" s="97"/>
      <c r="T226" s="97" t="s">
        <v>546</v>
      </c>
      <c r="U226" s="97" t="s">
        <v>72</v>
      </c>
      <c r="V226" s="93">
        <v>46153</v>
      </c>
      <c r="W226" s="93">
        <v>46161</v>
      </c>
      <c r="X226" s="93">
        <v>46171</v>
      </c>
      <c r="Y226" s="98"/>
      <c r="Z226" s="89"/>
      <c r="AA226" s="97"/>
      <c r="AB226" s="89"/>
      <c r="AC226" s="120"/>
      <c r="AD226" s="89"/>
      <c r="AE226" s="89"/>
      <c r="AF226" s="89"/>
      <c r="AG226" s="89"/>
      <c r="AH226" s="99"/>
      <c r="AI226" s="99"/>
      <c r="AJ226" s="99"/>
      <c r="AK226" s="100"/>
      <c r="AL226" s="100" t="s">
        <v>540</v>
      </c>
      <c r="AM226" s="100" t="s">
        <v>102</v>
      </c>
      <c r="AN226" s="45" t="s">
        <v>65</v>
      </c>
      <c r="AO226" s="198" t="str">
        <f t="shared" si="26"/>
        <v>5/2026</v>
      </c>
      <c r="AP226" s="198">
        <f t="shared" si="27"/>
        <v>2</v>
      </c>
      <c r="AQ226" s="45" t="str">
        <f t="shared" si="28"/>
        <v>1/1900</v>
      </c>
      <c r="AR226" s="45" t="e">
        <f t="shared" si="29"/>
        <v>#NUM!</v>
      </c>
      <c r="AS226" s="45">
        <f t="shared" si="30"/>
        <v>0</v>
      </c>
      <c r="AT226" s="45">
        <f t="shared" si="31"/>
        <v>0</v>
      </c>
      <c r="AU226" s="45">
        <f t="shared" si="32"/>
        <v>0</v>
      </c>
      <c r="AV226" s="45">
        <f t="shared" si="33"/>
        <v>0</v>
      </c>
      <c r="AW226" s="45" t="str">
        <f>_xlfn.XLOOKUP(W226,'Lista Suspensa'!$AA$20:$AA$23,'Lista Suspensa'!$AB$20:$AB$23,"N/A")</f>
        <v>N/A</v>
      </c>
    </row>
    <row r="227" spans="1:49" ht="12" hidden="1" customHeight="1" x14ac:dyDescent="0.3">
      <c r="A227" s="87" t="s">
        <v>49</v>
      </c>
      <c r="B227" s="88">
        <v>46147</v>
      </c>
      <c r="C227" s="89" t="s">
        <v>50</v>
      </c>
      <c r="D227" s="89" t="s">
        <v>51</v>
      </c>
      <c r="E227" s="90">
        <v>150817339</v>
      </c>
      <c r="F227" s="91" t="s">
        <v>652</v>
      </c>
      <c r="G227" s="92">
        <v>53647106704</v>
      </c>
      <c r="H227" s="93">
        <v>15793</v>
      </c>
      <c r="I227" s="89">
        <v>83</v>
      </c>
      <c r="J227" s="89" t="s">
        <v>53</v>
      </c>
      <c r="K227" s="89" t="s">
        <v>77</v>
      </c>
      <c r="L227" s="89" t="s">
        <v>78</v>
      </c>
      <c r="M227" s="89"/>
      <c r="N227" s="89" t="s">
        <v>100</v>
      </c>
      <c r="O227" s="94" t="s">
        <v>653</v>
      </c>
      <c r="P227" s="95" t="s">
        <v>58</v>
      </c>
      <c r="Q227" s="144" t="s">
        <v>627</v>
      </c>
      <c r="R227" s="96"/>
      <c r="S227" s="97"/>
      <c r="T227" s="97" t="s">
        <v>546</v>
      </c>
      <c r="U227" s="97" t="s">
        <v>72</v>
      </c>
      <c r="V227" s="93">
        <v>46154</v>
      </c>
      <c r="W227" s="93">
        <v>46161</v>
      </c>
      <c r="X227" s="93">
        <v>46171</v>
      </c>
      <c r="Y227" s="98"/>
      <c r="Z227" s="89"/>
      <c r="AA227" s="97"/>
      <c r="AB227" s="89"/>
      <c r="AC227" s="120"/>
      <c r="AD227" s="89"/>
      <c r="AE227" s="89"/>
      <c r="AF227" s="89"/>
      <c r="AG227" s="89"/>
      <c r="AH227" s="99"/>
      <c r="AI227" s="99"/>
      <c r="AJ227" s="99"/>
      <c r="AK227" s="100"/>
      <c r="AL227" s="100" t="s">
        <v>540</v>
      </c>
      <c r="AM227" s="100" t="s">
        <v>102</v>
      </c>
      <c r="AN227" s="45" t="s">
        <v>65</v>
      </c>
      <c r="AO227" s="198" t="str">
        <f t="shared" si="26"/>
        <v>5/2026</v>
      </c>
      <c r="AP227" s="198">
        <f t="shared" si="27"/>
        <v>2</v>
      </c>
      <c r="AQ227" s="45" t="str">
        <f t="shared" si="28"/>
        <v>1/1900</v>
      </c>
      <c r="AR227" s="45" t="e">
        <f t="shared" si="29"/>
        <v>#NUM!</v>
      </c>
      <c r="AS227" s="45">
        <f t="shared" si="30"/>
        <v>0</v>
      </c>
      <c r="AT227" s="45">
        <f t="shared" si="31"/>
        <v>0</v>
      </c>
      <c r="AU227" s="45">
        <f t="shared" si="32"/>
        <v>0</v>
      </c>
      <c r="AV227" s="45">
        <f t="shared" si="33"/>
        <v>0</v>
      </c>
      <c r="AW227" s="45" t="str">
        <f>_xlfn.XLOOKUP(W227,'Lista Suspensa'!$AA$20:$AA$23,'Lista Suspensa'!$AB$20:$AB$23,"N/A")</f>
        <v>N/A</v>
      </c>
    </row>
    <row r="228" spans="1:49" ht="12" hidden="1" customHeight="1" x14ac:dyDescent="0.3">
      <c r="A228" s="87" t="s">
        <v>49</v>
      </c>
      <c r="B228" s="88">
        <v>46147</v>
      </c>
      <c r="C228" s="89" t="s">
        <v>50</v>
      </c>
      <c r="D228" s="89" t="s">
        <v>51</v>
      </c>
      <c r="E228" s="90">
        <v>759119929</v>
      </c>
      <c r="F228" s="91" t="s">
        <v>654</v>
      </c>
      <c r="G228" s="92">
        <v>7486753707</v>
      </c>
      <c r="H228" s="93">
        <v>26840</v>
      </c>
      <c r="I228" s="89">
        <v>52</v>
      </c>
      <c r="J228" s="89" t="s">
        <v>67</v>
      </c>
      <c r="K228" s="89" t="s">
        <v>77</v>
      </c>
      <c r="L228" s="89" t="s">
        <v>78</v>
      </c>
      <c r="M228" s="89"/>
      <c r="N228" s="89" t="s">
        <v>108</v>
      </c>
      <c r="O228" s="94" t="s">
        <v>655</v>
      </c>
      <c r="P228" s="95" t="s">
        <v>58</v>
      </c>
      <c r="Q228" s="144" t="s">
        <v>627</v>
      </c>
      <c r="R228" s="96"/>
      <c r="S228" s="97"/>
      <c r="T228" s="97" t="s">
        <v>546</v>
      </c>
      <c r="U228" s="97" t="s">
        <v>72</v>
      </c>
      <c r="V228" s="93">
        <v>46154</v>
      </c>
      <c r="W228" s="93">
        <v>46161</v>
      </c>
      <c r="X228" s="93">
        <v>46171</v>
      </c>
      <c r="Y228" s="98"/>
      <c r="Z228" s="89"/>
      <c r="AA228" s="97"/>
      <c r="AB228" s="89"/>
      <c r="AC228" s="120"/>
      <c r="AD228" s="89"/>
      <c r="AE228" s="89"/>
      <c r="AF228" s="89"/>
      <c r="AG228" s="89"/>
      <c r="AH228" s="99"/>
      <c r="AI228" s="99"/>
      <c r="AJ228" s="99"/>
      <c r="AK228" s="100"/>
      <c r="AL228" s="100" t="s">
        <v>540</v>
      </c>
      <c r="AM228" s="100" t="s">
        <v>102</v>
      </c>
      <c r="AN228" s="45" t="s">
        <v>65</v>
      </c>
      <c r="AO228" s="198" t="str">
        <f t="shared" si="26"/>
        <v>5/2026</v>
      </c>
      <c r="AP228" s="198">
        <f t="shared" si="27"/>
        <v>2</v>
      </c>
      <c r="AQ228" s="45" t="str">
        <f t="shared" si="28"/>
        <v>1/1900</v>
      </c>
      <c r="AR228" s="45" t="e">
        <f t="shared" si="29"/>
        <v>#NUM!</v>
      </c>
      <c r="AS228" s="45">
        <f t="shared" si="30"/>
        <v>0</v>
      </c>
      <c r="AT228" s="45">
        <f t="shared" si="31"/>
        <v>0</v>
      </c>
      <c r="AU228" s="45">
        <f t="shared" si="32"/>
        <v>0</v>
      </c>
      <c r="AV228" s="45">
        <f t="shared" si="33"/>
        <v>0</v>
      </c>
      <c r="AW228" s="45" t="str">
        <f>_xlfn.XLOOKUP(W228,'Lista Suspensa'!$AA$20:$AA$23,'Lista Suspensa'!$AB$20:$AB$23,"N/A")</f>
        <v>N/A</v>
      </c>
    </row>
    <row r="229" spans="1:49" ht="12" hidden="1" customHeight="1" x14ac:dyDescent="0.3">
      <c r="A229" s="87" t="s">
        <v>49</v>
      </c>
      <c r="B229" s="88">
        <v>46147</v>
      </c>
      <c r="C229" s="89" t="s">
        <v>50</v>
      </c>
      <c r="D229" s="89" t="s">
        <v>51</v>
      </c>
      <c r="E229" s="90">
        <v>95219226</v>
      </c>
      <c r="F229" s="91" t="s">
        <v>656</v>
      </c>
      <c r="G229" s="92">
        <v>5948530795</v>
      </c>
      <c r="H229" s="93">
        <v>31931</v>
      </c>
      <c r="I229" s="89">
        <v>38</v>
      </c>
      <c r="J229" s="89" t="s">
        <v>67</v>
      </c>
      <c r="K229" s="89" t="s">
        <v>77</v>
      </c>
      <c r="L229" s="89" t="s">
        <v>78</v>
      </c>
      <c r="M229" s="89"/>
      <c r="N229" s="89" t="s">
        <v>87</v>
      </c>
      <c r="O229" s="94" t="s">
        <v>657</v>
      </c>
      <c r="P229" s="95" t="s">
        <v>58</v>
      </c>
      <c r="Q229" s="144" t="s">
        <v>627</v>
      </c>
      <c r="R229" s="96"/>
      <c r="S229" s="97"/>
      <c r="T229" s="97" t="s">
        <v>546</v>
      </c>
      <c r="U229" s="97" t="s">
        <v>72</v>
      </c>
      <c r="V229" s="93">
        <v>46154</v>
      </c>
      <c r="W229" s="93">
        <v>46161</v>
      </c>
      <c r="X229" s="93">
        <v>46171</v>
      </c>
      <c r="Y229" s="98"/>
      <c r="Z229" s="89"/>
      <c r="AA229" s="97"/>
      <c r="AB229" s="89"/>
      <c r="AC229" s="120"/>
      <c r="AD229" s="89"/>
      <c r="AE229" s="89"/>
      <c r="AF229" s="89"/>
      <c r="AG229" s="89"/>
      <c r="AH229" s="99"/>
      <c r="AI229" s="99"/>
      <c r="AJ229" s="99"/>
      <c r="AK229" s="100"/>
      <c r="AL229" s="100" t="s">
        <v>540</v>
      </c>
      <c r="AM229" s="100" t="s">
        <v>102</v>
      </c>
      <c r="AN229" s="45" t="s">
        <v>65</v>
      </c>
      <c r="AO229" s="198" t="str">
        <f t="shared" si="26"/>
        <v>5/2026</v>
      </c>
      <c r="AP229" s="198">
        <f t="shared" si="27"/>
        <v>2</v>
      </c>
      <c r="AQ229" s="45" t="str">
        <f t="shared" si="28"/>
        <v>1/1900</v>
      </c>
      <c r="AR229" s="45" t="e">
        <f t="shared" si="29"/>
        <v>#NUM!</v>
      </c>
      <c r="AS229" s="45">
        <f t="shared" si="30"/>
        <v>0</v>
      </c>
      <c r="AT229" s="45">
        <f t="shared" si="31"/>
        <v>0</v>
      </c>
      <c r="AU229" s="45">
        <f t="shared" si="32"/>
        <v>0</v>
      </c>
      <c r="AV229" s="45">
        <f t="shared" si="33"/>
        <v>0</v>
      </c>
      <c r="AW229" s="45" t="str">
        <f>_xlfn.XLOOKUP(W229,'Lista Suspensa'!$AA$20:$AA$23,'Lista Suspensa'!$AB$20:$AB$23,"N/A")</f>
        <v>N/A</v>
      </c>
    </row>
    <row r="230" spans="1:49" ht="12" hidden="1" customHeight="1" x14ac:dyDescent="0.3">
      <c r="A230" s="87" t="s">
        <v>49</v>
      </c>
      <c r="B230" s="88">
        <v>46147</v>
      </c>
      <c r="C230" s="89" t="s">
        <v>50</v>
      </c>
      <c r="D230" s="89" t="s">
        <v>51</v>
      </c>
      <c r="E230" s="90">
        <v>87904586</v>
      </c>
      <c r="F230" s="91" t="s">
        <v>658</v>
      </c>
      <c r="G230" s="92">
        <v>72506121749</v>
      </c>
      <c r="H230" s="93">
        <v>22877</v>
      </c>
      <c r="I230" s="89">
        <v>63</v>
      </c>
      <c r="J230" s="89" t="s">
        <v>67</v>
      </c>
      <c r="K230" s="89" t="s">
        <v>77</v>
      </c>
      <c r="L230" s="89" t="s">
        <v>78</v>
      </c>
      <c r="M230" s="89"/>
      <c r="N230" s="89" t="s">
        <v>150</v>
      </c>
      <c r="O230" s="94" t="s">
        <v>659</v>
      </c>
      <c r="P230" s="95" t="s">
        <v>58</v>
      </c>
      <c r="Q230" s="144" t="s">
        <v>627</v>
      </c>
      <c r="R230" s="96"/>
      <c r="S230" s="97"/>
      <c r="T230" s="97" t="s">
        <v>546</v>
      </c>
      <c r="U230" s="97" t="s">
        <v>72</v>
      </c>
      <c r="V230" s="93">
        <v>46154</v>
      </c>
      <c r="W230" s="93">
        <v>46161</v>
      </c>
      <c r="X230" s="93">
        <v>46171</v>
      </c>
      <c r="Y230" s="98"/>
      <c r="Z230" s="89"/>
      <c r="AA230" s="97"/>
      <c r="AB230" s="89"/>
      <c r="AC230" s="120"/>
      <c r="AD230" s="89"/>
      <c r="AE230" s="89"/>
      <c r="AF230" s="89"/>
      <c r="AG230" s="89"/>
      <c r="AH230" s="99"/>
      <c r="AI230" s="99"/>
      <c r="AJ230" s="99"/>
      <c r="AK230" s="100"/>
      <c r="AL230" s="100" t="s">
        <v>540</v>
      </c>
      <c r="AM230" s="100" t="s">
        <v>102</v>
      </c>
      <c r="AN230" s="45" t="s">
        <v>65</v>
      </c>
      <c r="AO230" s="198" t="str">
        <f t="shared" si="26"/>
        <v>5/2026</v>
      </c>
      <c r="AP230" s="198">
        <f t="shared" si="27"/>
        <v>2</v>
      </c>
      <c r="AQ230" s="45" t="str">
        <f t="shared" si="28"/>
        <v>1/1900</v>
      </c>
      <c r="AR230" s="45" t="e">
        <f t="shared" si="29"/>
        <v>#NUM!</v>
      </c>
      <c r="AS230" s="45">
        <f t="shared" si="30"/>
        <v>0</v>
      </c>
      <c r="AT230" s="45">
        <f t="shared" si="31"/>
        <v>0</v>
      </c>
      <c r="AU230" s="45">
        <f t="shared" si="32"/>
        <v>0</v>
      </c>
      <c r="AV230" s="45">
        <f t="shared" si="33"/>
        <v>0</v>
      </c>
      <c r="AW230" s="45" t="str">
        <f>_xlfn.XLOOKUP(W230,'Lista Suspensa'!$AA$20:$AA$23,'Lista Suspensa'!$AB$20:$AB$23,"N/A")</f>
        <v>N/A</v>
      </c>
    </row>
    <row r="231" spans="1:49" ht="12" hidden="1" customHeight="1" x14ac:dyDescent="0.3">
      <c r="A231" s="87" t="s">
        <v>49</v>
      </c>
      <c r="B231" s="88">
        <v>46147</v>
      </c>
      <c r="C231" s="89" t="s">
        <v>50</v>
      </c>
      <c r="D231" s="89" t="s">
        <v>51</v>
      </c>
      <c r="E231" s="90">
        <v>75717281</v>
      </c>
      <c r="F231" s="91" t="s">
        <v>660</v>
      </c>
      <c r="G231" s="92">
        <v>32734321874</v>
      </c>
      <c r="H231" s="93">
        <v>30598</v>
      </c>
      <c r="I231" s="89">
        <v>42</v>
      </c>
      <c r="J231" s="89" t="s">
        <v>67</v>
      </c>
      <c r="K231" s="89" t="s">
        <v>54</v>
      </c>
      <c r="L231" s="89" t="s">
        <v>86</v>
      </c>
      <c r="M231" s="89"/>
      <c r="N231" s="89" t="s">
        <v>69</v>
      </c>
      <c r="O231" s="94" t="s">
        <v>661</v>
      </c>
      <c r="P231" s="95" t="s">
        <v>58</v>
      </c>
      <c r="Q231" s="144" t="s">
        <v>627</v>
      </c>
      <c r="R231" s="96"/>
      <c r="S231" s="97"/>
      <c r="T231" s="97" t="s">
        <v>546</v>
      </c>
      <c r="U231" s="97" t="s">
        <v>72</v>
      </c>
      <c r="V231" s="93">
        <v>46155</v>
      </c>
      <c r="W231" s="93">
        <v>46161</v>
      </c>
      <c r="X231" s="93">
        <v>46171</v>
      </c>
      <c r="Y231" s="98"/>
      <c r="Z231" s="89"/>
      <c r="AA231" s="97"/>
      <c r="AB231" s="89"/>
      <c r="AC231" s="120"/>
      <c r="AD231" s="89"/>
      <c r="AE231" s="89"/>
      <c r="AF231" s="89"/>
      <c r="AG231" s="89"/>
      <c r="AH231" s="99"/>
      <c r="AI231" s="99"/>
      <c r="AJ231" s="99"/>
      <c r="AK231" s="100"/>
      <c r="AL231" s="100" t="s">
        <v>540</v>
      </c>
      <c r="AM231" s="100" t="s">
        <v>102</v>
      </c>
      <c r="AN231" s="45" t="s">
        <v>65</v>
      </c>
      <c r="AO231" s="198" t="str">
        <f t="shared" si="26"/>
        <v>5/2026</v>
      </c>
      <c r="AP231" s="198">
        <f t="shared" si="27"/>
        <v>2</v>
      </c>
      <c r="AQ231" s="45" t="str">
        <f t="shared" si="28"/>
        <v>1/1900</v>
      </c>
      <c r="AR231" s="45" t="e">
        <f t="shared" si="29"/>
        <v>#NUM!</v>
      </c>
      <c r="AS231" s="45">
        <f t="shared" si="30"/>
        <v>0</v>
      </c>
      <c r="AT231" s="45">
        <f t="shared" si="31"/>
        <v>0</v>
      </c>
      <c r="AU231" s="45">
        <f t="shared" si="32"/>
        <v>0</v>
      </c>
      <c r="AV231" s="45">
        <f t="shared" si="33"/>
        <v>0</v>
      </c>
      <c r="AW231" s="45" t="str">
        <f>_xlfn.XLOOKUP(W231,'Lista Suspensa'!$AA$20:$AA$23,'Lista Suspensa'!$AB$20:$AB$23,"N/A")</f>
        <v>N/A</v>
      </c>
    </row>
    <row r="232" spans="1:49" ht="12" hidden="1" customHeight="1" x14ac:dyDescent="0.3">
      <c r="A232" s="87" t="s">
        <v>49</v>
      </c>
      <c r="B232" s="88">
        <v>46147</v>
      </c>
      <c r="C232" s="89" t="s">
        <v>50</v>
      </c>
      <c r="D232" s="89" t="s">
        <v>51</v>
      </c>
      <c r="E232" s="90">
        <v>93130271</v>
      </c>
      <c r="F232" s="91" t="s">
        <v>662</v>
      </c>
      <c r="G232" s="92">
        <v>39150006800</v>
      </c>
      <c r="H232" s="93">
        <v>38105</v>
      </c>
      <c r="I232" s="89">
        <v>22</v>
      </c>
      <c r="J232" s="89" t="s">
        <v>67</v>
      </c>
      <c r="K232" s="89" t="s">
        <v>54</v>
      </c>
      <c r="L232" s="89" t="s">
        <v>86</v>
      </c>
      <c r="M232" s="89"/>
      <c r="N232" s="89" t="s">
        <v>56</v>
      </c>
      <c r="O232" s="94" t="s">
        <v>663</v>
      </c>
      <c r="P232" s="95" t="s">
        <v>58</v>
      </c>
      <c r="Q232" s="144" t="s">
        <v>627</v>
      </c>
      <c r="R232" s="96"/>
      <c r="S232" s="97"/>
      <c r="T232" s="97" t="s">
        <v>546</v>
      </c>
      <c r="U232" s="97" t="s">
        <v>72</v>
      </c>
      <c r="V232" s="93">
        <v>46155</v>
      </c>
      <c r="W232" s="93">
        <v>46161</v>
      </c>
      <c r="X232" s="93">
        <v>46171</v>
      </c>
      <c r="Y232" s="98"/>
      <c r="Z232" s="89"/>
      <c r="AA232" s="97"/>
      <c r="AB232" s="89"/>
      <c r="AC232" s="120"/>
      <c r="AD232" s="89"/>
      <c r="AE232" s="89"/>
      <c r="AF232" s="89"/>
      <c r="AG232" s="89"/>
      <c r="AH232" s="99"/>
      <c r="AI232" s="99"/>
      <c r="AJ232" s="99"/>
      <c r="AK232" s="100"/>
      <c r="AL232" s="100" t="s">
        <v>540</v>
      </c>
      <c r="AM232" s="100" t="s">
        <v>102</v>
      </c>
      <c r="AN232" s="45" t="s">
        <v>65</v>
      </c>
      <c r="AO232" s="198" t="str">
        <f t="shared" si="26"/>
        <v>5/2026</v>
      </c>
      <c r="AP232" s="198">
        <f t="shared" si="27"/>
        <v>2</v>
      </c>
      <c r="AQ232" s="45" t="str">
        <f t="shared" si="28"/>
        <v>1/1900</v>
      </c>
      <c r="AR232" s="45" t="e">
        <f t="shared" si="29"/>
        <v>#NUM!</v>
      </c>
      <c r="AS232" s="45">
        <f t="shared" si="30"/>
        <v>0</v>
      </c>
      <c r="AT232" s="45">
        <f t="shared" si="31"/>
        <v>0</v>
      </c>
      <c r="AU232" s="45">
        <f t="shared" si="32"/>
        <v>0</v>
      </c>
      <c r="AV232" s="45">
        <f t="shared" si="33"/>
        <v>0</v>
      </c>
      <c r="AW232" s="45" t="str">
        <f>_xlfn.XLOOKUP(W232,'Lista Suspensa'!$AA$20:$AA$23,'Lista Suspensa'!$AB$20:$AB$23,"N/A")</f>
        <v>N/A</v>
      </c>
    </row>
    <row r="233" spans="1:49" ht="12" hidden="1" customHeight="1" x14ac:dyDescent="0.3">
      <c r="A233" s="87" t="s">
        <v>49</v>
      </c>
      <c r="B233" s="88">
        <v>46147</v>
      </c>
      <c r="C233" s="89" t="s">
        <v>50</v>
      </c>
      <c r="D233" s="89" t="s">
        <v>51</v>
      </c>
      <c r="E233" s="90">
        <v>95726106</v>
      </c>
      <c r="F233" s="91" t="s">
        <v>664</v>
      </c>
      <c r="G233" s="92">
        <v>56985517587</v>
      </c>
      <c r="H233" s="93">
        <v>24599</v>
      </c>
      <c r="I233" s="89">
        <v>59</v>
      </c>
      <c r="J233" s="89" t="s">
        <v>67</v>
      </c>
      <c r="K233" s="89" t="s">
        <v>54</v>
      </c>
      <c r="L233" s="89" t="s">
        <v>93</v>
      </c>
      <c r="M233" s="89"/>
      <c r="N233" s="89" t="s">
        <v>124</v>
      </c>
      <c r="O233" s="94" t="s">
        <v>665</v>
      </c>
      <c r="P233" s="95" t="s">
        <v>58</v>
      </c>
      <c r="Q233" s="144" t="s">
        <v>627</v>
      </c>
      <c r="R233" s="96"/>
      <c r="S233" s="97"/>
      <c r="T233" s="97" t="s">
        <v>546</v>
      </c>
      <c r="U233" s="97" t="s">
        <v>72</v>
      </c>
      <c r="V233" s="93">
        <v>46155</v>
      </c>
      <c r="W233" s="93">
        <v>46161</v>
      </c>
      <c r="X233" s="93">
        <v>46171</v>
      </c>
      <c r="Y233" s="98"/>
      <c r="Z233" s="89"/>
      <c r="AA233" s="97"/>
      <c r="AB233" s="89"/>
      <c r="AC233" s="120"/>
      <c r="AD233" s="89"/>
      <c r="AE233" s="89"/>
      <c r="AF233" s="89"/>
      <c r="AG233" s="89"/>
      <c r="AH233" s="99"/>
      <c r="AI233" s="99"/>
      <c r="AJ233" s="99"/>
      <c r="AK233" s="100"/>
      <c r="AL233" s="100" t="s">
        <v>540</v>
      </c>
      <c r="AM233" s="100" t="s">
        <v>102</v>
      </c>
      <c r="AN233" s="45" t="s">
        <v>65</v>
      </c>
      <c r="AO233" s="198" t="str">
        <f t="shared" si="26"/>
        <v>5/2026</v>
      </c>
      <c r="AP233" s="198">
        <f t="shared" si="27"/>
        <v>2</v>
      </c>
      <c r="AQ233" s="45" t="str">
        <f t="shared" si="28"/>
        <v>1/1900</v>
      </c>
      <c r="AR233" s="45" t="e">
        <f t="shared" si="29"/>
        <v>#NUM!</v>
      </c>
      <c r="AS233" s="45">
        <f t="shared" si="30"/>
        <v>0</v>
      </c>
      <c r="AT233" s="45">
        <f t="shared" si="31"/>
        <v>0</v>
      </c>
      <c r="AU233" s="45">
        <f t="shared" si="32"/>
        <v>0</v>
      </c>
      <c r="AV233" s="45">
        <f t="shared" si="33"/>
        <v>0</v>
      </c>
      <c r="AW233" s="45" t="str">
        <f>_xlfn.XLOOKUP(W233,'Lista Suspensa'!$AA$20:$AA$23,'Lista Suspensa'!$AB$20:$AB$23,"N/A")</f>
        <v>N/A</v>
      </c>
    </row>
    <row r="234" spans="1:49" ht="12" hidden="1" customHeight="1" x14ac:dyDescent="0.3">
      <c r="A234" s="87" t="s">
        <v>49</v>
      </c>
      <c r="B234" s="88">
        <v>46147</v>
      </c>
      <c r="C234" s="89" t="s">
        <v>50</v>
      </c>
      <c r="D234" s="89" t="s">
        <v>51</v>
      </c>
      <c r="E234" s="90">
        <v>452024137</v>
      </c>
      <c r="F234" s="91" t="s">
        <v>666</v>
      </c>
      <c r="G234" s="92">
        <v>15348965898</v>
      </c>
      <c r="H234" s="93">
        <v>27547</v>
      </c>
      <c r="I234" s="89">
        <v>50</v>
      </c>
      <c r="J234" s="89" t="s">
        <v>67</v>
      </c>
      <c r="K234" s="89" t="s">
        <v>54</v>
      </c>
      <c r="L234" s="89" t="s">
        <v>93</v>
      </c>
      <c r="M234" s="89"/>
      <c r="N234" s="89" t="s">
        <v>94</v>
      </c>
      <c r="O234" s="94" t="s">
        <v>667</v>
      </c>
      <c r="P234" s="95" t="s">
        <v>58</v>
      </c>
      <c r="Q234" s="144" t="s">
        <v>627</v>
      </c>
      <c r="R234" s="96"/>
      <c r="S234" s="97"/>
      <c r="T234" s="97" t="s">
        <v>546</v>
      </c>
      <c r="U234" s="97" t="s">
        <v>72</v>
      </c>
      <c r="V234" s="93">
        <v>46156</v>
      </c>
      <c r="W234" s="93">
        <v>46161</v>
      </c>
      <c r="X234" s="93">
        <v>46171</v>
      </c>
      <c r="Y234" s="98"/>
      <c r="Z234" s="89"/>
      <c r="AA234" s="97"/>
      <c r="AB234" s="89"/>
      <c r="AC234" s="120"/>
      <c r="AD234" s="89"/>
      <c r="AE234" s="89"/>
      <c r="AF234" s="89"/>
      <c r="AG234" s="89"/>
      <c r="AH234" s="99"/>
      <c r="AI234" s="99"/>
      <c r="AJ234" s="99"/>
      <c r="AK234" s="100"/>
      <c r="AL234" s="100" t="s">
        <v>540</v>
      </c>
      <c r="AM234" s="100" t="s">
        <v>102</v>
      </c>
      <c r="AN234" s="45" t="s">
        <v>65</v>
      </c>
      <c r="AO234" s="198" t="str">
        <f t="shared" si="26"/>
        <v>5/2026</v>
      </c>
      <c r="AP234" s="198">
        <f t="shared" si="27"/>
        <v>2</v>
      </c>
      <c r="AQ234" s="45" t="str">
        <f t="shared" si="28"/>
        <v>1/1900</v>
      </c>
      <c r="AR234" s="45" t="e">
        <f t="shared" si="29"/>
        <v>#NUM!</v>
      </c>
      <c r="AS234" s="45">
        <f t="shared" si="30"/>
        <v>0</v>
      </c>
      <c r="AT234" s="45">
        <f t="shared" si="31"/>
        <v>0</v>
      </c>
      <c r="AU234" s="45">
        <f t="shared" si="32"/>
        <v>0</v>
      </c>
      <c r="AV234" s="45">
        <f t="shared" si="33"/>
        <v>0</v>
      </c>
      <c r="AW234" s="45" t="str">
        <f>_xlfn.XLOOKUP(W234,'Lista Suspensa'!$AA$20:$AA$23,'Lista Suspensa'!$AB$20:$AB$23,"N/A")</f>
        <v>N/A</v>
      </c>
    </row>
    <row r="235" spans="1:49" ht="12" hidden="1" customHeight="1" x14ac:dyDescent="0.3">
      <c r="A235" s="87" t="s">
        <v>49</v>
      </c>
      <c r="B235" s="88">
        <v>46147</v>
      </c>
      <c r="C235" s="89" t="s">
        <v>50</v>
      </c>
      <c r="D235" s="89" t="s">
        <v>51</v>
      </c>
      <c r="E235" s="90">
        <v>222355123</v>
      </c>
      <c r="F235" s="91" t="s">
        <v>668</v>
      </c>
      <c r="G235" s="92">
        <v>16347737809</v>
      </c>
      <c r="H235" s="93">
        <v>14098</v>
      </c>
      <c r="I235" s="89">
        <v>87</v>
      </c>
      <c r="J235" s="89" t="s">
        <v>67</v>
      </c>
      <c r="K235" s="89" t="s">
        <v>54</v>
      </c>
      <c r="L235" s="89" t="s">
        <v>93</v>
      </c>
      <c r="M235" s="89"/>
      <c r="N235" s="89" t="s">
        <v>97</v>
      </c>
      <c r="O235" s="94" t="s">
        <v>669</v>
      </c>
      <c r="P235" s="95" t="s">
        <v>58</v>
      </c>
      <c r="Q235" s="144" t="s">
        <v>627</v>
      </c>
      <c r="R235" s="96"/>
      <c r="S235" s="97"/>
      <c r="T235" s="97" t="s">
        <v>546</v>
      </c>
      <c r="U235" s="97" t="s">
        <v>72</v>
      </c>
      <c r="V235" s="93">
        <v>46156</v>
      </c>
      <c r="W235" s="93">
        <v>46161</v>
      </c>
      <c r="X235" s="93">
        <v>46171</v>
      </c>
      <c r="Y235" s="98"/>
      <c r="Z235" s="89"/>
      <c r="AA235" s="97"/>
      <c r="AB235" s="89"/>
      <c r="AC235" s="120"/>
      <c r="AD235" s="89"/>
      <c r="AE235" s="89"/>
      <c r="AF235" s="89"/>
      <c r="AG235" s="89"/>
      <c r="AH235" s="99"/>
      <c r="AI235" s="99"/>
      <c r="AJ235" s="99"/>
      <c r="AK235" s="100"/>
      <c r="AL235" s="100" t="s">
        <v>540</v>
      </c>
      <c r="AM235" s="100" t="s">
        <v>102</v>
      </c>
      <c r="AN235" s="45" t="s">
        <v>65</v>
      </c>
      <c r="AO235" s="198" t="str">
        <f t="shared" si="26"/>
        <v>5/2026</v>
      </c>
      <c r="AP235" s="198">
        <f t="shared" si="27"/>
        <v>2</v>
      </c>
      <c r="AQ235" s="45" t="str">
        <f t="shared" si="28"/>
        <v>1/1900</v>
      </c>
      <c r="AR235" s="45" t="e">
        <f t="shared" si="29"/>
        <v>#NUM!</v>
      </c>
      <c r="AS235" s="45">
        <f t="shared" si="30"/>
        <v>0</v>
      </c>
      <c r="AT235" s="45">
        <f t="shared" si="31"/>
        <v>0</v>
      </c>
      <c r="AU235" s="45">
        <f t="shared" si="32"/>
        <v>0</v>
      </c>
      <c r="AV235" s="45">
        <f t="shared" si="33"/>
        <v>0</v>
      </c>
      <c r="AW235" s="45" t="str">
        <f>_xlfn.XLOOKUP(W235,'Lista Suspensa'!$AA$20:$AA$23,'Lista Suspensa'!$AB$20:$AB$23,"N/A")</f>
        <v>N/A</v>
      </c>
    </row>
    <row r="236" spans="1:49" ht="12" hidden="1" customHeight="1" x14ac:dyDescent="0.3">
      <c r="A236" s="87" t="s">
        <v>49</v>
      </c>
      <c r="B236" s="88">
        <v>46147</v>
      </c>
      <c r="C236" s="89" t="s">
        <v>50</v>
      </c>
      <c r="D236" s="89" t="s">
        <v>51</v>
      </c>
      <c r="E236" s="90">
        <v>89242855</v>
      </c>
      <c r="F236" s="91" t="s">
        <v>670</v>
      </c>
      <c r="G236" s="92">
        <v>27940907808</v>
      </c>
      <c r="H236" s="93">
        <v>29491</v>
      </c>
      <c r="I236" s="89">
        <v>45</v>
      </c>
      <c r="J236" s="89" t="s">
        <v>67</v>
      </c>
      <c r="K236" s="89" t="s">
        <v>54</v>
      </c>
      <c r="L236" s="89" t="s">
        <v>93</v>
      </c>
      <c r="M236" s="89"/>
      <c r="N236" s="89" t="s">
        <v>87</v>
      </c>
      <c r="O236" s="94" t="s">
        <v>671</v>
      </c>
      <c r="P236" s="95" t="s">
        <v>58</v>
      </c>
      <c r="Q236" s="144" t="s">
        <v>627</v>
      </c>
      <c r="R236" s="96"/>
      <c r="S236" s="97"/>
      <c r="T236" s="97" t="s">
        <v>546</v>
      </c>
      <c r="U236" s="97" t="s">
        <v>72</v>
      </c>
      <c r="V236" s="93">
        <v>46156</v>
      </c>
      <c r="W236" s="93">
        <v>46161</v>
      </c>
      <c r="X236" s="93">
        <v>46171</v>
      </c>
      <c r="Y236" s="98"/>
      <c r="Z236" s="89"/>
      <c r="AA236" s="97"/>
      <c r="AB236" s="89"/>
      <c r="AC236" s="120"/>
      <c r="AD236" s="89"/>
      <c r="AE236" s="89"/>
      <c r="AF236" s="89"/>
      <c r="AG236" s="89"/>
      <c r="AH236" s="99"/>
      <c r="AI236" s="99"/>
      <c r="AJ236" s="99"/>
      <c r="AK236" s="100"/>
      <c r="AL236" s="100" t="s">
        <v>540</v>
      </c>
      <c r="AM236" s="100" t="s">
        <v>102</v>
      </c>
      <c r="AN236" s="45" t="s">
        <v>65</v>
      </c>
      <c r="AO236" s="198" t="str">
        <f t="shared" si="26"/>
        <v>5/2026</v>
      </c>
      <c r="AP236" s="198">
        <f t="shared" si="27"/>
        <v>2</v>
      </c>
      <c r="AQ236" s="45" t="str">
        <f t="shared" si="28"/>
        <v>1/1900</v>
      </c>
      <c r="AR236" s="45" t="e">
        <f t="shared" si="29"/>
        <v>#NUM!</v>
      </c>
      <c r="AS236" s="45">
        <f t="shared" si="30"/>
        <v>0</v>
      </c>
      <c r="AT236" s="45">
        <f t="shared" si="31"/>
        <v>0</v>
      </c>
      <c r="AU236" s="45">
        <f t="shared" si="32"/>
        <v>0</v>
      </c>
      <c r="AV236" s="45">
        <f t="shared" si="33"/>
        <v>0</v>
      </c>
      <c r="AW236" s="45" t="str">
        <f>_xlfn.XLOOKUP(W236,'Lista Suspensa'!$AA$20:$AA$23,'Lista Suspensa'!$AB$20:$AB$23,"N/A")</f>
        <v>N/A</v>
      </c>
    </row>
    <row r="237" spans="1:49" ht="12" hidden="1" customHeight="1" x14ac:dyDescent="0.3">
      <c r="A237" s="87" t="s">
        <v>49</v>
      </c>
      <c r="B237" s="88">
        <v>46147</v>
      </c>
      <c r="C237" s="89" t="s">
        <v>50</v>
      </c>
      <c r="D237" s="89" t="s">
        <v>51</v>
      </c>
      <c r="E237" s="90">
        <v>85971452</v>
      </c>
      <c r="F237" s="91" t="s">
        <v>672</v>
      </c>
      <c r="G237" s="92">
        <v>43940054852</v>
      </c>
      <c r="H237" s="93">
        <v>34451</v>
      </c>
      <c r="I237" s="89">
        <v>32</v>
      </c>
      <c r="J237" s="89" t="s">
        <v>67</v>
      </c>
      <c r="K237" s="89" t="s">
        <v>54</v>
      </c>
      <c r="L237" s="89" t="s">
        <v>93</v>
      </c>
      <c r="M237" s="89"/>
      <c r="N237" s="89" t="s">
        <v>82</v>
      </c>
      <c r="O237" s="94" t="s">
        <v>673</v>
      </c>
      <c r="P237" s="95" t="s">
        <v>58</v>
      </c>
      <c r="Q237" s="144" t="s">
        <v>627</v>
      </c>
      <c r="R237" s="96"/>
      <c r="S237" s="97"/>
      <c r="T237" s="97" t="s">
        <v>546</v>
      </c>
      <c r="U237" s="97" t="s">
        <v>72</v>
      </c>
      <c r="V237" s="93">
        <v>46156</v>
      </c>
      <c r="W237" s="93">
        <v>46161</v>
      </c>
      <c r="X237" s="93">
        <v>46171</v>
      </c>
      <c r="Y237" s="98"/>
      <c r="Z237" s="89"/>
      <c r="AA237" s="97"/>
      <c r="AB237" s="89"/>
      <c r="AC237" s="120"/>
      <c r="AD237" s="89"/>
      <c r="AE237" s="89"/>
      <c r="AF237" s="89"/>
      <c r="AG237" s="89"/>
      <c r="AH237" s="99"/>
      <c r="AI237" s="99"/>
      <c r="AJ237" s="99"/>
      <c r="AK237" s="100"/>
      <c r="AL237" s="100" t="s">
        <v>540</v>
      </c>
      <c r="AM237" s="100" t="s">
        <v>102</v>
      </c>
      <c r="AN237" s="45" t="s">
        <v>65</v>
      </c>
      <c r="AO237" s="198" t="str">
        <f t="shared" si="26"/>
        <v>5/2026</v>
      </c>
      <c r="AP237" s="198">
        <f t="shared" si="27"/>
        <v>2</v>
      </c>
      <c r="AQ237" s="45" t="str">
        <f t="shared" si="28"/>
        <v>1/1900</v>
      </c>
      <c r="AR237" s="45" t="e">
        <f t="shared" si="29"/>
        <v>#NUM!</v>
      </c>
      <c r="AS237" s="45">
        <f t="shared" si="30"/>
        <v>0</v>
      </c>
      <c r="AT237" s="45">
        <f t="shared" si="31"/>
        <v>0</v>
      </c>
      <c r="AU237" s="45">
        <f t="shared" si="32"/>
        <v>0</v>
      </c>
      <c r="AV237" s="45">
        <f t="shared" si="33"/>
        <v>0</v>
      </c>
      <c r="AW237" s="45" t="str">
        <f>_xlfn.XLOOKUP(W237,'Lista Suspensa'!$AA$20:$AA$23,'Lista Suspensa'!$AB$20:$AB$23,"N/A")</f>
        <v>N/A</v>
      </c>
    </row>
    <row r="238" spans="1:49" ht="12" hidden="1" customHeight="1" x14ac:dyDescent="0.3">
      <c r="A238" s="87" t="s">
        <v>49</v>
      </c>
      <c r="B238" s="88">
        <v>46147</v>
      </c>
      <c r="C238" s="89" t="s">
        <v>50</v>
      </c>
      <c r="D238" s="89" t="s">
        <v>51</v>
      </c>
      <c r="E238" s="90">
        <v>25864017</v>
      </c>
      <c r="F238" s="91" t="s">
        <v>674</v>
      </c>
      <c r="G238" s="92">
        <v>69241465891</v>
      </c>
      <c r="H238" s="93">
        <v>17888</v>
      </c>
      <c r="I238" s="89">
        <v>77</v>
      </c>
      <c r="J238" s="89" t="s">
        <v>53</v>
      </c>
      <c r="K238" s="89" t="s">
        <v>54</v>
      </c>
      <c r="L238" s="89" t="s">
        <v>93</v>
      </c>
      <c r="M238" s="89"/>
      <c r="N238" s="89" t="s">
        <v>97</v>
      </c>
      <c r="O238" s="94" t="s">
        <v>675</v>
      </c>
      <c r="P238" s="95" t="s">
        <v>58</v>
      </c>
      <c r="Q238" s="144" t="s">
        <v>627</v>
      </c>
      <c r="R238" s="96"/>
      <c r="S238" s="97"/>
      <c r="T238" s="97" t="s">
        <v>546</v>
      </c>
      <c r="U238" s="97" t="s">
        <v>72</v>
      </c>
      <c r="V238" s="93">
        <v>46157</v>
      </c>
      <c r="W238" s="93">
        <v>46161</v>
      </c>
      <c r="X238" s="93">
        <v>46171</v>
      </c>
      <c r="Y238" s="98"/>
      <c r="Z238" s="89"/>
      <c r="AA238" s="97"/>
      <c r="AB238" s="89"/>
      <c r="AC238" s="120"/>
      <c r="AD238" s="89"/>
      <c r="AE238" s="89"/>
      <c r="AF238" s="89"/>
      <c r="AG238" s="89"/>
      <c r="AH238" s="99"/>
      <c r="AI238" s="99"/>
      <c r="AJ238" s="99"/>
      <c r="AK238" s="100"/>
      <c r="AL238" s="100" t="s">
        <v>540</v>
      </c>
      <c r="AM238" s="100" t="s">
        <v>102</v>
      </c>
      <c r="AN238" s="45" t="s">
        <v>65</v>
      </c>
      <c r="AO238" s="198" t="str">
        <f t="shared" si="26"/>
        <v>5/2026</v>
      </c>
      <c r="AP238" s="198">
        <f t="shared" si="27"/>
        <v>2</v>
      </c>
      <c r="AQ238" s="45" t="str">
        <f t="shared" si="28"/>
        <v>1/1900</v>
      </c>
      <c r="AR238" s="45" t="e">
        <f t="shared" si="29"/>
        <v>#NUM!</v>
      </c>
      <c r="AS238" s="45">
        <f t="shared" si="30"/>
        <v>0</v>
      </c>
      <c r="AT238" s="45">
        <f t="shared" si="31"/>
        <v>0</v>
      </c>
      <c r="AU238" s="45">
        <f t="shared" si="32"/>
        <v>0</v>
      </c>
      <c r="AV238" s="45">
        <f t="shared" si="33"/>
        <v>0</v>
      </c>
      <c r="AW238" s="45" t="str">
        <f>_xlfn.XLOOKUP(W238,'Lista Suspensa'!$AA$20:$AA$23,'Lista Suspensa'!$AB$20:$AB$23,"N/A")</f>
        <v>N/A</v>
      </c>
    </row>
    <row r="239" spans="1:49" ht="12" hidden="1" customHeight="1" x14ac:dyDescent="0.3">
      <c r="A239" s="87" t="s">
        <v>49</v>
      </c>
      <c r="B239" s="88">
        <v>46147</v>
      </c>
      <c r="C239" s="89" t="s">
        <v>50</v>
      </c>
      <c r="D239" s="89" t="s">
        <v>51</v>
      </c>
      <c r="E239" s="90">
        <v>72106205</v>
      </c>
      <c r="F239" s="91" t="s">
        <v>676</v>
      </c>
      <c r="G239" s="92">
        <v>4083770899</v>
      </c>
      <c r="H239" s="93">
        <v>22945</v>
      </c>
      <c r="I239" s="89">
        <v>63</v>
      </c>
      <c r="J239" s="89" t="s">
        <v>67</v>
      </c>
      <c r="K239" s="89" t="s">
        <v>54</v>
      </c>
      <c r="L239" s="89" t="s">
        <v>93</v>
      </c>
      <c r="M239" s="89"/>
      <c r="N239" s="89" t="s">
        <v>69</v>
      </c>
      <c r="O239" s="94" t="s">
        <v>677</v>
      </c>
      <c r="P239" s="95" t="s">
        <v>58</v>
      </c>
      <c r="Q239" s="144" t="s">
        <v>627</v>
      </c>
      <c r="R239" s="96"/>
      <c r="S239" s="97"/>
      <c r="T239" s="97" t="s">
        <v>546</v>
      </c>
      <c r="U239" s="97" t="s">
        <v>72</v>
      </c>
      <c r="V239" s="93">
        <v>46157</v>
      </c>
      <c r="W239" s="93">
        <v>46161</v>
      </c>
      <c r="X239" s="93">
        <v>46171</v>
      </c>
      <c r="Y239" s="98"/>
      <c r="Z239" s="89"/>
      <c r="AA239" s="97"/>
      <c r="AB239" s="89"/>
      <c r="AC239" s="120"/>
      <c r="AD239" s="89"/>
      <c r="AE239" s="89"/>
      <c r="AF239" s="89"/>
      <c r="AG239" s="89"/>
      <c r="AH239" s="99"/>
      <c r="AI239" s="99"/>
      <c r="AJ239" s="99"/>
      <c r="AK239" s="100"/>
      <c r="AL239" s="100" t="s">
        <v>540</v>
      </c>
      <c r="AM239" s="100" t="s">
        <v>102</v>
      </c>
      <c r="AN239" s="45" t="s">
        <v>65</v>
      </c>
      <c r="AO239" s="198" t="str">
        <f t="shared" si="26"/>
        <v>5/2026</v>
      </c>
      <c r="AP239" s="198">
        <f t="shared" si="27"/>
        <v>2</v>
      </c>
      <c r="AQ239" s="45" t="str">
        <f t="shared" si="28"/>
        <v>1/1900</v>
      </c>
      <c r="AR239" s="45" t="e">
        <f t="shared" si="29"/>
        <v>#NUM!</v>
      </c>
      <c r="AS239" s="45">
        <f t="shared" si="30"/>
        <v>0</v>
      </c>
      <c r="AT239" s="45">
        <f t="shared" si="31"/>
        <v>0</v>
      </c>
      <c r="AU239" s="45">
        <f t="shared" si="32"/>
        <v>0</v>
      </c>
      <c r="AV239" s="45">
        <f t="shared" si="33"/>
        <v>0</v>
      </c>
      <c r="AW239" s="45" t="str">
        <f>_xlfn.XLOOKUP(W239,'Lista Suspensa'!$AA$20:$AA$23,'Lista Suspensa'!$AB$20:$AB$23,"N/A")</f>
        <v>N/A</v>
      </c>
    </row>
    <row r="240" spans="1:49" ht="12" hidden="1" customHeight="1" x14ac:dyDescent="0.3">
      <c r="A240" s="87" t="s">
        <v>49</v>
      </c>
      <c r="B240" s="88">
        <v>46147</v>
      </c>
      <c r="C240" s="89" t="s">
        <v>50</v>
      </c>
      <c r="D240" s="89" t="s">
        <v>51</v>
      </c>
      <c r="E240" s="90">
        <v>300947577</v>
      </c>
      <c r="F240" s="91" t="s">
        <v>678</v>
      </c>
      <c r="G240" s="92">
        <v>25422700821</v>
      </c>
      <c r="H240" s="93">
        <v>19104</v>
      </c>
      <c r="I240" s="89">
        <v>74</v>
      </c>
      <c r="J240" s="89" t="s">
        <v>67</v>
      </c>
      <c r="K240" s="89" t="s">
        <v>54</v>
      </c>
      <c r="L240" s="89" t="s">
        <v>93</v>
      </c>
      <c r="M240" s="89"/>
      <c r="N240" s="89" t="s">
        <v>100</v>
      </c>
      <c r="O240" s="94" t="s">
        <v>679</v>
      </c>
      <c r="P240" s="95" t="s">
        <v>58</v>
      </c>
      <c r="Q240" s="144" t="s">
        <v>627</v>
      </c>
      <c r="R240" s="96"/>
      <c r="S240" s="97"/>
      <c r="T240" s="97" t="s">
        <v>546</v>
      </c>
      <c r="U240" s="97" t="s">
        <v>72</v>
      </c>
      <c r="V240" s="93">
        <v>46157</v>
      </c>
      <c r="W240" s="93">
        <v>46161</v>
      </c>
      <c r="X240" s="93">
        <v>46171</v>
      </c>
      <c r="Y240" s="98"/>
      <c r="Z240" s="89"/>
      <c r="AA240" s="97"/>
      <c r="AB240" s="89"/>
      <c r="AC240" s="120"/>
      <c r="AD240" s="89"/>
      <c r="AE240" s="89"/>
      <c r="AF240" s="89"/>
      <c r="AG240" s="89"/>
      <c r="AH240" s="99"/>
      <c r="AI240" s="99"/>
      <c r="AJ240" s="99"/>
      <c r="AK240" s="100"/>
      <c r="AL240" s="100" t="s">
        <v>540</v>
      </c>
      <c r="AM240" s="100" t="s">
        <v>102</v>
      </c>
      <c r="AN240" s="45" t="s">
        <v>65</v>
      </c>
      <c r="AO240" s="198" t="str">
        <f t="shared" si="26"/>
        <v>5/2026</v>
      </c>
      <c r="AP240" s="198">
        <f t="shared" si="27"/>
        <v>2</v>
      </c>
      <c r="AQ240" s="45" t="str">
        <f t="shared" si="28"/>
        <v>1/1900</v>
      </c>
      <c r="AR240" s="45" t="e">
        <f t="shared" si="29"/>
        <v>#NUM!</v>
      </c>
      <c r="AS240" s="45">
        <f t="shared" si="30"/>
        <v>0</v>
      </c>
      <c r="AT240" s="45">
        <f t="shared" si="31"/>
        <v>0</v>
      </c>
      <c r="AU240" s="45">
        <f t="shared" si="32"/>
        <v>0</v>
      </c>
      <c r="AV240" s="45">
        <f t="shared" si="33"/>
        <v>0</v>
      </c>
      <c r="AW240" s="45" t="str">
        <f>_xlfn.XLOOKUP(W240,'Lista Suspensa'!$AA$20:$AA$23,'Lista Suspensa'!$AB$20:$AB$23,"N/A")</f>
        <v>N/A</v>
      </c>
    </row>
    <row r="241" spans="1:49" ht="12" hidden="1" customHeight="1" x14ac:dyDescent="0.3">
      <c r="A241" s="87" t="s">
        <v>49</v>
      </c>
      <c r="B241" s="88">
        <v>46147</v>
      </c>
      <c r="C241" s="89" t="s">
        <v>50</v>
      </c>
      <c r="D241" s="89" t="s">
        <v>51</v>
      </c>
      <c r="E241" s="90">
        <v>95592812</v>
      </c>
      <c r="F241" s="91" t="s">
        <v>680</v>
      </c>
      <c r="G241" s="92">
        <v>33874652890</v>
      </c>
      <c r="H241" s="93">
        <v>31692</v>
      </c>
      <c r="I241" s="89">
        <v>39</v>
      </c>
      <c r="J241" s="89" t="s">
        <v>67</v>
      </c>
      <c r="K241" s="89" t="s">
        <v>54</v>
      </c>
      <c r="L241" s="89" t="s">
        <v>93</v>
      </c>
      <c r="M241" s="89"/>
      <c r="N241" s="89" t="s">
        <v>280</v>
      </c>
      <c r="O241" s="94" t="s">
        <v>681</v>
      </c>
      <c r="P241" s="95" t="s">
        <v>58</v>
      </c>
      <c r="Q241" s="144" t="s">
        <v>627</v>
      </c>
      <c r="R241" s="96"/>
      <c r="S241" s="97"/>
      <c r="T241" s="97" t="s">
        <v>546</v>
      </c>
      <c r="U241" s="97" t="s">
        <v>72</v>
      </c>
      <c r="V241" s="93">
        <v>46157</v>
      </c>
      <c r="W241" s="93">
        <v>46161</v>
      </c>
      <c r="X241" s="93">
        <v>46171</v>
      </c>
      <c r="Y241" s="98"/>
      <c r="Z241" s="89"/>
      <c r="AA241" s="97"/>
      <c r="AB241" s="89"/>
      <c r="AC241" s="120"/>
      <c r="AD241" s="89"/>
      <c r="AE241" s="89"/>
      <c r="AF241" s="89"/>
      <c r="AG241" s="89"/>
      <c r="AH241" s="99"/>
      <c r="AI241" s="99"/>
      <c r="AJ241" s="99"/>
      <c r="AK241" s="100"/>
      <c r="AL241" s="100" t="s">
        <v>540</v>
      </c>
      <c r="AM241" s="100" t="s">
        <v>102</v>
      </c>
      <c r="AN241" s="45" t="s">
        <v>65</v>
      </c>
      <c r="AO241" s="198" t="str">
        <f t="shared" si="26"/>
        <v>5/2026</v>
      </c>
      <c r="AP241" s="198">
        <f t="shared" si="27"/>
        <v>2</v>
      </c>
      <c r="AQ241" s="45" t="str">
        <f t="shared" si="28"/>
        <v>1/1900</v>
      </c>
      <c r="AR241" s="45" t="e">
        <f t="shared" si="29"/>
        <v>#NUM!</v>
      </c>
      <c r="AS241" s="45">
        <f t="shared" si="30"/>
        <v>0</v>
      </c>
      <c r="AT241" s="45">
        <f t="shared" si="31"/>
        <v>0</v>
      </c>
      <c r="AU241" s="45">
        <f t="shared" si="32"/>
        <v>0</v>
      </c>
      <c r="AV241" s="45">
        <f t="shared" si="33"/>
        <v>0</v>
      </c>
      <c r="AW241" s="45" t="str">
        <f>_xlfn.XLOOKUP(W241,'Lista Suspensa'!$AA$20:$AA$23,'Lista Suspensa'!$AB$20:$AB$23,"N/A")</f>
        <v>N/A</v>
      </c>
    </row>
    <row r="242" spans="1:49" ht="12" hidden="1" customHeight="1" x14ac:dyDescent="0.3">
      <c r="A242" s="87" t="s">
        <v>49</v>
      </c>
      <c r="B242" s="88">
        <v>46147</v>
      </c>
      <c r="C242" s="89" t="s">
        <v>50</v>
      </c>
      <c r="D242" s="89" t="s">
        <v>51</v>
      </c>
      <c r="E242" s="90">
        <v>87207590</v>
      </c>
      <c r="F242" s="91" t="s">
        <v>682</v>
      </c>
      <c r="G242" s="92">
        <v>55561259881</v>
      </c>
      <c r="H242" s="93">
        <v>41655</v>
      </c>
      <c r="I242" s="89">
        <v>12</v>
      </c>
      <c r="J242" s="89" t="s">
        <v>53</v>
      </c>
      <c r="K242" s="89" t="s">
        <v>54</v>
      </c>
      <c r="L242" s="89" t="s">
        <v>93</v>
      </c>
      <c r="M242" s="89"/>
      <c r="N242" s="89" t="s">
        <v>124</v>
      </c>
      <c r="O242" s="94">
        <v>11947603720</v>
      </c>
      <c r="P242" s="95" t="s">
        <v>58</v>
      </c>
      <c r="Q242" s="144" t="s">
        <v>627</v>
      </c>
      <c r="R242" s="96"/>
      <c r="S242" s="97"/>
      <c r="T242" s="97" t="s">
        <v>546</v>
      </c>
      <c r="U242" s="97" t="s">
        <v>72</v>
      </c>
      <c r="V242" s="93">
        <v>46157</v>
      </c>
      <c r="W242" s="93">
        <v>46161</v>
      </c>
      <c r="X242" s="93">
        <v>46171</v>
      </c>
      <c r="Y242" s="98"/>
      <c r="Z242" s="89"/>
      <c r="AA242" s="97"/>
      <c r="AB242" s="89"/>
      <c r="AC242" s="120"/>
      <c r="AD242" s="89"/>
      <c r="AE242" s="89"/>
      <c r="AF242" s="89"/>
      <c r="AG242" s="89"/>
      <c r="AH242" s="99"/>
      <c r="AI242" s="99"/>
      <c r="AJ242" s="99"/>
      <c r="AK242" s="100"/>
      <c r="AL242" s="100" t="s">
        <v>540</v>
      </c>
      <c r="AM242" s="100" t="s">
        <v>102</v>
      </c>
      <c r="AN242" s="45" t="s">
        <v>65</v>
      </c>
      <c r="AO242" s="198" t="str">
        <f t="shared" si="26"/>
        <v>5/2026</v>
      </c>
      <c r="AP242" s="198">
        <f t="shared" si="27"/>
        <v>2</v>
      </c>
      <c r="AQ242" s="45" t="str">
        <f t="shared" si="28"/>
        <v>1/1900</v>
      </c>
      <c r="AR242" s="45" t="e">
        <f t="shared" si="29"/>
        <v>#NUM!</v>
      </c>
      <c r="AS242" s="45">
        <f t="shared" si="30"/>
        <v>0</v>
      </c>
      <c r="AT242" s="45">
        <f t="shared" si="31"/>
        <v>0</v>
      </c>
      <c r="AU242" s="45">
        <f t="shared" si="32"/>
        <v>0</v>
      </c>
      <c r="AV242" s="45">
        <f t="shared" si="33"/>
        <v>0</v>
      </c>
      <c r="AW242" s="45" t="str">
        <f>_xlfn.XLOOKUP(W242,'Lista Suspensa'!$AA$20:$AA$23,'Lista Suspensa'!$AB$20:$AB$23,"N/A")</f>
        <v>N/A</v>
      </c>
    </row>
    <row r="243" spans="1:49" ht="12" hidden="1" customHeight="1" x14ac:dyDescent="0.3">
      <c r="A243" s="87" t="s">
        <v>49</v>
      </c>
      <c r="B243" s="88">
        <v>46147</v>
      </c>
      <c r="C243" s="89" t="s">
        <v>50</v>
      </c>
      <c r="D243" s="89" t="s">
        <v>51</v>
      </c>
      <c r="E243" s="90">
        <v>421548703</v>
      </c>
      <c r="F243" s="91" t="s">
        <v>683</v>
      </c>
      <c r="G243" s="92">
        <v>99414376887</v>
      </c>
      <c r="H243" s="93">
        <v>21183</v>
      </c>
      <c r="I243" s="89">
        <v>68</v>
      </c>
      <c r="J243" s="89" t="s">
        <v>53</v>
      </c>
      <c r="K243" s="89" t="s">
        <v>54</v>
      </c>
      <c r="L243" s="89" t="s">
        <v>93</v>
      </c>
      <c r="M243" s="89"/>
      <c r="N243" s="89" t="s">
        <v>100</v>
      </c>
      <c r="O243" s="94" t="s">
        <v>684</v>
      </c>
      <c r="P243" s="95" t="s">
        <v>58</v>
      </c>
      <c r="Q243" s="144" t="s">
        <v>627</v>
      </c>
      <c r="R243" s="96"/>
      <c r="S243" s="97"/>
      <c r="T243" s="97" t="s">
        <v>546</v>
      </c>
      <c r="U243" s="97" t="s">
        <v>72</v>
      </c>
      <c r="V243" s="93">
        <v>46157</v>
      </c>
      <c r="W243" s="93">
        <v>46161</v>
      </c>
      <c r="X243" s="93">
        <v>46171</v>
      </c>
      <c r="Y243" s="98"/>
      <c r="Z243" s="89"/>
      <c r="AA243" s="97"/>
      <c r="AB243" s="89"/>
      <c r="AC243" s="120"/>
      <c r="AD243" s="89"/>
      <c r="AE243" s="89"/>
      <c r="AF243" s="89"/>
      <c r="AG243" s="89"/>
      <c r="AH243" s="99"/>
      <c r="AI243" s="99"/>
      <c r="AJ243" s="99"/>
      <c r="AK243" s="100"/>
      <c r="AL243" s="100" t="s">
        <v>540</v>
      </c>
      <c r="AM243" s="100" t="s">
        <v>102</v>
      </c>
      <c r="AN243" s="45" t="s">
        <v>65</v>
      </c>
      <c r="AO243" s="198" t="str">
        <f t="shared" si="26"/>
        <v>5/2026</v>
      </c>
      <c r="AP243" s="198">
        <f t="shared" si="27"/>
        <v>2</v>
      </c>
      <c r="AQ243" s="45" t="str">
        <f t="shared" si="28"/>
        <v>1/1900</v>
      </c>
      <c r="AR243" s="45" t="e">
        <f t="shared" si="29"/>
        <v>#NUM!</v>
      </c>
      <c r="AS243" s="45">
        <f t="shared" si="30"/>
        <v>0</v>
      </c>
      <c r="AT243" s="45">
        <f t="shared" si="31"/>
        <v>0</v>
      </c>
      <c r="AU243" s="45">
        <f t="shared" si="32"/>
        <v>0</v>
      </c>
      <c r="AV243" s="45">
        <f t="shared" si="33"/>
        <v>0</v>
      </c>
      <c r="AW243" s="45" t="str">
        <f>_xlfn.XLOOKUP(W243,'Lista Suspensa'!$AA$20:$AA$23,'Lista Suspensa'!$AB$20:$AB$23,"N/A")</f>
        <v>N/A</v>
      </c>
    </row>
    <row r="244" spans="1:49" ht="12" hidden="1" customHeight="1" x14ac:dyDescent="0.3">
      <c r="A244" s="87" t="s">
        <v>49</v>
      </c>
      <c r="B244" s="88">
        <v>46147</v>
      </c>
      <c r="C244" s="89" t="s">
        <v>50</v>
      </c>
      <c r="D244" s="89" t="s">
        <v>51</v>
      </c>
      <c r="E244" s="90">
        <v>81952775</v>
      </c>
      <c r="F244" s="91" t="s">
        <v>685</v>
      </c>
      <c r="G244" s="92">
        <v>62971638472</v>
      </c>
      <c r="H244" s="93">
        <v>24713</v>
      </c>
      <c r="I244" s="89">
        <v>58</v>
      </c>
      <c r="J244" s="89" t="s">
        <v>53</v>
      </c>
      <c r="K244" s="89" t="s">
        <v>54</v>
      </c>
      <c r="L244" s="89" t="s">
        <v>93</v>
      </c>
      <c r="M244" s="89"/>
      <c r="N244" s="89" t="s">
        <v>82</v>
      </c>
      <c r="O244" s="94" t="s">
        <v>686</v>
      </c>
      <c r="P244" s="95" t="s">
        <v>58</v>
      </c>
      <c r="Q244" s="144" t="s">
        <v>627</v>
      </c>
      <c r="R244" s="96"/>
      <c r="S244" s="97"/>
      <c r="T244" s="97" t="s">
        <v>546</v>
      </c>
      <c r="U244" s="97" t="s">
        <v>72</v>
      </c>
      <c r="V244" s="93">
        <v>46157</v>
      </c>
      <c r="W244" s="93">
        <v>46161</v>
      </c>
      <c r="X244" s="93">
        <v>46171</v>
      </c>
      <c r="Y244" s="98"/>
      <c r="Z244" s="89"/>
      <c r="AA244" s="97"/>
      <c r="AB244" s="89"/>
      <c r="AC244" s="120"/>
      <c r="AD244" s="89"/>
      <c r="AE244" s="89"/>
      <c r="AF244" s="89"/>
      <c r="AG244" s="89"/>
      <c r="AH244" s="99"/>
      <c r="AI244" s="99"/>
      <c r="AJ244" s="99"/>
      <c r="AK244" s="100"/>
      <c r="AL244" s="100" t="s">
        <v>540</v>
      </c>
      <c r="AM244" s="100" t="s">
        <v>102</v>
      </c>
      <c r="AN244" s="45" t="s">
        <v>65</v>
      </c>
      <c r="AO244" s="198" t="str">
        <f t="shared" si="26"/>
        <v>5/2026</v>
      </c>
      <c r="AP244" s="198">
        <f t="shared" si="27"/>
        <v>2</v>
      </c>
      <c r="AQ244" s="45" t="str">
        <f t="shared" si="28"/>
        <v>1/1900</v>
      </c>
      <c r="AR244" s="45" t="e">
        <f t="shared" si="29"/>
        <v>#NUM!</v>
      </c>
      <c r="AS244" s="45">
        <f t="shared" si="30"/>
        <v>0</v>
      </c>
      <c r="AT244" s="45">
        <f t="shared" si="31"/>
        <v>0</v>
      </c>
      <c r="AU244" s="45">
        <f t="shared" si="32"/>
        <v>0</v>
      </c>
      <c r="AV244" s="45">
        <f t="shared" si="33"/>
        <v>0</v>
      </c>
      <c r="AW244" s="45" t="str">
        <f>_xlfn.XLOOKUP(W244,'Lista Suspensa'!$AA$20:$AA$23,'Lista Suspensa'!$AB$20:$AB$23,"N/A")</f>
        <v>N/A</v>
      </c>
    </row>
    <row r="245" spans="1:49" ht="12" hidden="1" customHeight="1" x14ac:dyDescent="0.3">
      <c r="A245" s="87" t="s">
        <v>49</v>
      </c>
      <c r="B245" s="88">
        <v>46147</v>
      </c>
      <c r="C245" s="89" t="s">
        <v>50</v>
      </c>
      <c r="D245" s="89" t="s">
        <v>51</v>
      </c>
      <c r="E245" s="90">
        <v>89085213</v>
      </c>
      <c r="F245" s="91" t="s">
        <v>687</v>
      </c>
      <c r="G245" s="92">
        <v>744914825</v>
      </c>
      <c r="H245" s="93">
        <v>20790</v>
      </c>
      <c r="I245" s="89">
        <v>69</v>
      </c>
      <c r="J245" s="89" t="s">
        <v>67</v>
      </c>
      <c r="K245" s="89" t="s">
        <v>54</v>
      </c>
      <c r="L245" s="89" t="s">
        <v>93</v>
      </c>
      <c r="M245" s="89"/>
      <c r="N245" s="89" t="s">
        <v>87</v>
      </c>
      <c r="O245" s="94" t="s">
        <v>688</v>
      </c>
      <c r="P245" s="95" t="s">
        <v>58</v>
      </c>
      <c r="Q245" s="144" t="s">
        <v>689</v>
      </c>
      <c r="R245" s="96"/>
      <c r="S245" s="97"/>
      <c r="T245" s="97" t="s">
        <v>546</v>
      </c>
      <c r="U245" s="97" t="s">
        <v>690</v>
      </c>
      <c r="V245" s="93">
        <v>46161</v>
      </c>
      <c r="W245" s="93">
        <v>46171</v>
      </c>
      <c r="X245" s="118">
        <v>46183</v>
      </c>
      <c r="Y245" s="98"/>
      <c r="Z245" s="89"/>
      <c r="AA245" s="97"/>
      <c r="AB245" s="89"/>
      <c r="AC245" s="120"/>
      <c r="AD245" s="89"/>
      <c r="AE245" s="89"/>
      <c r="AF245" s="89"/>
      <c r="AG245" s="89"/>
      <c r="AH245" s="99"/>
      <c r="AI245" s="99"/>
      <c r="AJ245" s="99"/>
      <c r="AK245" s="100"/>
      <c r="AL245" s="100" t="s">
        <v>64</v>
      </c>
      <c r="AM245" s="100" t="s">
        <v>102</v>
      </c>
      <c r="AN245" s="45" t="s">
        <v>65</v>
      </c>
      <c r="AO245" s="198" t="str">
        <f t="shared" si="26"/>
        <v>5/2026</v>
      </c>
      <c r="AP245" s="198">
        <f t="shared" si="27"/>
        <v>2</v>
      </c>
      <c r="AQ245" s="45" t="str">
        <f t="shared" si="28"/>
        <v>1/1900</v>
      </c>
      <c r="AR245" s="45" t="e">
        <f t="shared" si="29"/>
        <v>#NUM!</v>
      </c>
      <c r="AS245" s="45">
        <f t="shared" si="30"/>
        <v>0</v>
      </c>
      <c r="AT245" s="45">
        <f t="shared" si="31"/>
        <v>0</v>
      </c>
      <c r="AU245" s="45">
        <f t="shared" si="32"/>
        <v>0</v>
      </c>
      <c r="AV245" s="45">
        <f t="shared" si="33"/>
        <v>0</v>
      </c>
      <c r="AW245" s="45" t="str">
        <f>_xlfn.XLOOKUP(W245,'Lista Suspensa'!$AA$20:$AA$23,'Lista Suspensa'!$AB$20:$AB$23,"N/A")</f>
        <v>N/A</v>
      </c>
    </row>
    <row r="246" spans="1:49" ht="12" hidden="1" customHeight="1" x14ac:dyDescent="0.3">
      <c r="A246" s="87" t="s">
        <v>49</v>
      </c>
      <c r="B246" s="88">
        <v>46147</v>
      </c>
      <c r="C246" s="89" t="s">
        <v>50</v>
      </c>
      <c r="D246" s="89" t="s">
        <v>51</v>
      </c>
      <c r="E246" s="90">
        <v>450043401</v>
      </c>
      <c r="F246" s="91" t="s">
        <v>691</v>
      </c>
      <c r="G246" s="92">
        <v>87526212868</v>
      </c>
      <c r="H246" s="93">
        <v>16617</v>
      </c>
      <c r="I246" s="89">
        <v>80</v>
      </c>
      <c r="J246" s="89" t="s">
        <v>67</v>
      </c>
      <c r="K246" s="89" t="s">
        <v>54</v>
      </c>
      <c r="L246" s="89" t="s">
        <v>93</v>
      </c>
      <c r="M246" s="89"/>
      <c r="N246" s="89" t="s">
        <v>100</v>
      </c>
      <c r="O246" s="94" t="s">
        <v>692</v>
      </c>
      <c r="P246" s="95" t="s">
        <v>58</v>
      </c>
      <c r="Q246" s="144" t="s">
        <v>689</v>
      </c>
      <c r="R246" s="96"/>
      <c r="S246" s="97"/>
      <c r="T246" s="97" t="s">
        <v>546</v>
      </c>
      <c r="U246" s="97" t="s">
        <v>690</v>
      </c>
      <c r="V246" s="93">
        <v>46161</v>
      </c>
      <c r="W246" s="93">
        <v>46171</v>
      </c>
      <c r="X246" s="118">
        <v>46183</v>
      </c>
      <c r="Y246" s="98"/>
      <c r="Z246" s="89"/>
      <c r="AA246" s="97"/>
      <c r="AB246" s="89"/>
      <c r="AC246" s="120"/>
      <c r="AD246" s="89"/>
      <c r="AE246" s="89"/>
      <c r="AF246" s="89"/>
      <c r="AG246" s="89"/>
      <c r="AH246" s="99"/>
      <c r="AI246" s="99"/>
      <c r="AJ246" s="99"/>
      <c r="AK246" s="100"/>
      <c r="AL246" s="100" t="s">
        <v>64</v>
      </c>
      <c r="AM246" s="100" t="s">
        <v>102</v>
      </c>
      <c r="AN246" s="45" t="s">
        <v>65</v>
      </c>
      <c r="AO246" s="198" t="str">
        <f t="shared" si="26"/>
        <v>5/2026</v>
      </c>
      <c r="AP246" s="198">
        <f t="shared" si="27"/>
        <v>2</v>
      </c>
      <c r="AQ246" s="45" t="str">
        <f t="shared" si="28"/>
        <v>1/1900</v>
      </c>
      <c r="AR246" s="45" t="e">
        <f t="shared" si="29"/>
        <v>#NUM!</v>
      </c>
      <c r="AS246" s="45">
        <f t="shared" si="30"/>
        <v>0</v>
      </c>
      <c r="AT246" s="45">
        <f t="shared" si="31"/>
        <v>0</v>
      </c>
      <c r="AU246" s="45">
        <f t="shared" si="32"/>
        <v>0</v>
      </c>
      <c r="AV246" s="45">
        <f t="shared" si="33"/>
        <v>0</v>
      </c>
      <c r="AW246" s="45" t="str">
        <f>_xlfn.XLOOKUP(W246,'Lista Suspensa'!$AA$20:$AA$23,'Lista Suspensa'!$AB$20:$AB$23,"N/A")</f>
        <v>N/A</v>
      </c>
    </row>
    <row r="247" spans="1:49" ht="12" hidden="1" customHeight="1" x14ac:dyDescent="0.3">
      <c r="A247" s="87" t="s">
        <v>49</v>
      </c>
      <c r="B247" s="88">
        <v>46147</v>
      </c>
      <c r="C247" s="89" t="s">
        <v>50</v>
      </c>
      <c r="D247" s="89" t="s">
        <v>51</v>
      </c>
      <c r="E247" s="90">
        <v>451696891</v>
      </c>
      <c r="F247" s="91" t="s">
        <v>693</v>
      </c>
      <c r="G247" s="92">
        <v>1237468841</v>
      </c>
      <c r="H247" s="93">
        <v>22488</v>
      </c>
      <c r="I247" s="89">
        <v>64</v>
      </c>
      <c r="J247" s="89" t="s">
        <v>53</v>
      </c>
      <c r="K247" s="89" t="s">
        <v>54</v>
      </c>
      <c r="L247" s="89" t="s">
        <v>93</v>
      </c>
      <c r="M247" s="89"/>
      <c r="N247" s="89" t="s">
        <v>100</v>
      </c>
      <c r="O247" s="94" t="s">
        <v>694</v>
      </c>
      <c r="P247" s="95" t="s">
        <v>58</v>
      </c>
      <c r="Q247" s="144" t="s">
        <v>689</v>
      </c>
      <c r="R247" s="96"/>
      <c r="S247" s="97"/>
      <c r="T247" s="97" t="s">
        <v>546</v>
      </c>
      <c r="U247" s="97" t="s">
        <v>690</v>
      </c>
      <c r="V247" s="93">
        <v>46161</v>
      </c>
      <c r="W247" s="93">
        <v>46171</v>
      </c>
      <c r="X247" s="118">
        <v>46183</v>
      </c>
      <c r="Y247" s="98"/>
      <c r="Z247" s="89"/>
      <c r="AA247" s="97"/>
      <c r="AB247" s="89"/>
      <c r="AC247" s="120"/>
      <c r="AD247" s="89"/>
      <c r="AE247" s="89"/>
      <c r="AF247" s="89"/>
      <c r="AG247" s="89"/>
      <c r="AH247" s="99"/>
      <c r="AI247" s="99"/>
      <c r="AJ247" s="99"/>
      <c r="AK247" s="100"/>
      <c r="AL247" s="100" t="s">
        <v>64</v>
      </c>
      <c r="AM247" s="100" t="s">
        <v>102</v>
      </c>
      <c r="AN247" s="45" t="s">
        <v>65</v>
      </c>
      <c r="AO247" s="198" t="str">
        <f t="shared" si="26"/>
        <v>5/2026</v>
      </c>
      <c r="AP247" s="198">
        <f t="shared" si="27"/>
        <v>2</v>
      </c>
      <c r="AQ247" s="45" t="str">
        <f t="shared" si="28"/>
        <v>1/1900</v>
      </c>
      <c r="AR247" s="45" t="e">
        <f t="shared" si="29"/>
        <v>#NUM!</v>
      </c>
      <c r="AS247" s="45">
        <f t="shared" si="30"/>
        <v>0</v>
      </c>
      <c r="AT247" s="45">
        <f t="shared" si="31"/>
        <v>0</v>
      </c>
      <c r="AU247" s="45">
        <f t="shared" si="32"/>
        <v>0</v>
      </c>
      <c r="AV247" s="45">
        <f t="shared" si="33"/>
        <v>0</v>
      </c>
      <c r="AW247" s="45" t="str">
        <f>_xlfn.XLOOKUP(W247,'Lista Suspensa'!$AA$20:$AA$23,'Lista Suspensa'!$AB$20:$AB$23,"N/A")</f>
        <v>N/A</v>
      </c>
    </row>
    <row r="248" spans="1:49" ht="12" hidden="1" customHeight="1" x14ac:dyDescent="0.3">
      <c r="A248" s="87" t="s">
        <v>49</v>
      </c>
      <c r="B248" s="88">
        <v>46147</v>
      </c>
      <c r="C248" s="89" t="s">
        <v>50</v>
      </c>
      <c r="D248" s="89" t="s">
        <v>51</v>
      </c>
      <c r="E248" s="90">
        <v>222069830</v>
      </c>
      <c r="F248" s="91" t="s">
        <v>695</v>
      </c>
      <c r="G248" s="92">
        <v>68773170844</v>
      </c>
      <c r="H248" s="93">
        <v>18261</v>
      </c>
      <c r="I248" s="89">
        <v>76</v>
      </c>
      <c r="J248" s="89" t="s">
        <v>53</v>
      </c>
      <c r="K248" s="89" t="s">
        <v>54</v>
      </c>
      <c r="L248" s="89" t="s">
        <v>93</v>
      </c>
      <c r="M248" s="89"/>
      <c r="N248" s="89" t="s">
        <v>97</v>
      </c>
      <c r="O248" s="94" t="s">
        <v>696</v>
      </c>
      <c r="P248" s="95" t="s">
        <v>58</v>
      </c>
      <c r="Q248" s="144" t="s">
        <v>689</v>
      </c>
      <c r="R248" s="96"/>
      <c r="S248" s="97"/>
      <c r="T248" s="97" t="s">
        <v>546</v>
      </c>
      <c r="U248" s="97" t="s">
        <v>690</v>
      </c>
      <c r="V248" s="93">
        <v>46161</v>
      </c>
      <c r="W248" s="93">
        <v>46171</v>
      </c>
      <c r="X248" s="118">
        <v>46183</v>
      </c>
      <c r="Y248" s="98"/>
      <c r="Z248" s="89"/>
      <c r="AA248" s="97"/>
      <c r="AB248" s="89"/>
      <c r="AC248" s="120"/>
      <c r="AD248" s="89"/>
      <c r="AE248" s="89"/>
      <c r="AF248" s="89"/>
      <c r="AG248" s="89"/>
      <c r="AH248" s="99"/>
      <c r="AI248" s="99"/>
      <c r="AJ248" s="99"/>
      <c r="AK248" s="100"/>
      <c r="AL248" s="100" t="s">
        <v>64</v>
      </c>
      <c r="AM248" s="100" t="s">
        <v>102</v>
      </c>
      <c r="AN248" s="45" t="s">
        <v>65</v>
      </c>
      <c r="AO248" s="198" t="str">
        <f t="shared" si="26"/>
        <v>5/2026</v>
      </c>
      <c r="AP248" s="198">
        <f t="shared" si="27"/>
        <v>2</v>
      </c>
      <c r="AQ248" s="45" t="str">
        <f t="shared" si="28"/>
        <v>1/1900</v>
      </c>
      <c r="AR248" s="45" t="e">
        <f t="shared" si="29"/>
        <v>#NUM!</v>
      </c>
      <c r="AS248" s="45">
        <f t="shared" si="30"/>
        <v>0</v>
      </c>
      <c r="AT248" s="45">
        <f t="shared" si="31"/>
        <v>0</v>
      </c>
      <c r="AU248" s="45">
        <f t="shared" si="32"/>
        <v>0</v>
      </c>
      <c r="AV248" s="45">
        <f t="shared" si="33"/>
        <v>0</v>
      </c>
      <c r="AW248" s="45" t="str">
        <f>_xlfn.XLOOKUP(W248,'Lista Suspensa'!$AA$20:$AA$23,'Lista Suspensa'!$AB$20:$AB$23,"N/A")</f>
        <v>N/A</v>
      </c>
    </row>
    <row r="249" spans="1:49" ht="12" hidden="1" customHeight="1" x14ac:dyDescent="0.3">
      <c r="A249" s="87" t="s">
        <v>49</v>
      </c>
      <c r="B249" s="88">
        <v>46147</v>
      </c>
      <c r="C249" s="89" t="s">
        <v>50</v>
      </c>
      <c r="D249" s="89" t="s">
        <v>51</v>
      </c>
      <c r="E249" s="90">
        <v>807629235</v>
      </c>
      <c r="F249" s="91" t="s">
        <v>697</v>
      </c>
      <c r="G249" s="92">
        <v>11828354813</v>
      </c>
      <c r="H249" s="93">
        <v>19769</v>
      </c>
      <c r="I249" s="89">
        <v>72</v>
      </c>
      <c r="J249" s="89" t="s">
        <v>67</v>
      </c>
      <c r="K249" s="89" t="s">
        <v>54</v>
      </c>
      <c r="L249" s="89" t="s">
        <v>698</v>
      </c>
      <c r="M249" s="89"/>
      <c r="N249" s="89" t="s">
        <v>108</v>
      </c>
      <c r="O249" s="94" t="s">
        <v>699</v>
      </c>
      <c r="P249" s="95" t="s">
        <v>58</v>
      </c>
      <c r="Q249" s="144" t="s">
        <v>689</v>
      </c>
      <c r="R249" s="96"/>
      <c r="S249" s="97"/>
      <c r="T249" s="97" t="s">
        <v>546</v>
      </c>
      <c r="U249" s="97" t="s">
        <v>690</v>
      </c>
      <c r="V249" s="93">
        <v>46161</v>
      </c>
      <c r="W249" s="93">
        <v>46171</v>
      </c>
      <c r="X249" s="118">
        <v>46183</v>
      </c>
      <c r="Y249" s="98"/>
      <c r="Z249" s="89"/>
      <c r="AA249" s="97"/>
      <c r="AB249" s="89"/>
      <c r="AC249" s="120"/>
      <c r="AD249" s="89"/>
      <c r="AE249" s="89"/>
      <c r="AF249" s="89"/>
      <c r="AG249" s="89"/>
      <c r="AH249" s="99"/>
      <c r="AI249" s="99"/>
      <c r="AJ249" s="99"/>
      <c r="AK249" s="100"/>
      <c r="AL249" s="100" t="s">
        <v>64</v>
      </c>
      <c r="AM249" s="100" t="s">
        <v>102</v>
      </c>
      <c r="AN249" s="45" t="s">
        <v>65</v>
      </c>
      <c r="AO249" s="198" t="str">
        <f t="shared" si="26"/>
        <v>5/2026</v>
      </c>
      <c r="AP249" s="198">
        <f t="shared" si="27"/>
        <v>2</v>
      </c>
      <c r="AQ249" s="45" t="str">
        <f t="shared" si="28"/>
        <v>1/1900</v>
      </c>
      <c r="AR249" s="45" t="e">
        <f t="shared" si="29"/>
        <v>#NUM!</v>
      </c>
      <c r="AS249" s="45">
        <f t="shared" si="30"/>
        <v>0</v>
      </c>
      <c r="AT249" s="45">
        <f t="shared" si="31"/>
        <v>0</v>
      </c>
      <c r="AU249" s="45">
        <f t="shared" si="32"/>
        <v>0</v>
      </c>
      <c r="AV249" s="45">
        <f t="shared" si="33"/>
        <v>0</v>
      </c>
      <c r="AW249" s="45" t="str">
        <f>_xlfn.XLOOKUP(W249,'Lista Suspensa'!$AA$20:$AA$23,'Lista Suspensa'!$AB$20:$AB$23,"N/A")</f>
        <v>N/A</v>
      </c>
    </row>
    <row r="250" spans="1:49" ht="12" hidden="1" customHeight="1" x14ac:dyDescent="0.3">
      <c r="A250" s="87" t="s">
        <v>49</v>
      </c>
      <c r="B250" s="88">
        <v>46147</v>
      </c>
      <c r="C250" s="89" t="s">
        <v>50</v>
      </c>
      <c r="D250" s="89" t="s">
        <v>51</v>
      </c>
      <c r="E250" s="90">
        <v>807779326</v>
      </c>
      <c r="F250" s="91" t="s">
        <v>700</v>
      </c>
      <c r="G250" s="92">
        <v>99532131868</v>
      </c>
      <c r="H250" s="93">
        <v>21660</v>
      </c>
      <c r="I250" s="89">
        <v>67</v>
      </c>
      <c r="J250" s="89" t="s">
        <v>53</v>
      </c>
      <c r="K250" s="89" t="s">
        <v>54</v>
      </c>
      <c r="L250" s="89" t="s">
        <v>698</v>
      </c>
      <c r="M250" s="89"/>
      <c r="N250" s="89" t="s">
        <v>108</v>
      </c>
      <c r="O250" s="94" t="s">
        <v>701</v>
      </c>
      <c r="P250" s="95" t="s">
        <v>58</v>
      </c>
      <c r="Q250" s="144" t="s">
        <v>689</v>
      </c>
      <c r="R250" s="96"/>
      <c r="S250" s="97"/>
      <c r="T250" s="97" t="s">
        <v>546</v>
      </c>
      <c r="U250" s="97" t="s">
        <v>690</v>
      </c>
      <c r="V250" s="93">
        <v>46161</v>
      </c>
      <c r="W250" s="93">
        <v>46171</v>
      </c>
      <c r="X250" s="118">
        <v>46183</v>
      </c>
      <c r="Y250" s="98"/>
      <c r="Z250" s="89"/>
      <c r="AA250" s="97"/>
      <c r="AB250" s="89"/>
      <c r="AC250" s="120"/>
      <c r="AD250" s="89"/>
      <c r="AE250" s="89"/>
      <c r="AF250" s="89"/>
      <c r="AG250" s="89"/>
      <c r="AH250" s="99"/>
      <c r="AI250" s="99"/>
      <c r="AJ250" s="99"/>
      <c r="AK250" s="100"/>
      <c r="AL250" s="100" t="s">
        <v>64</v>
      </c>
      <c r="AM250" s="100" t="s">
        <v>102</v>
      </c>
      <c r="AN250" s="45" t="s">
        <v>65</v>
      </c>
      <c r="AO250" s="198" t="str">
        <f t="shared" si="26"/>
        <v>5/2026</v>
      </c>
      <c r="AP250" s="198">
        <f t="shared" si="27"/>
        <v>2</v>
      </c>
      <c r="AQ250" s="45" t="str">
        <f t="shared" si="28"/>
        <v>1/1900</v>
      </c>
      <c r="AR250" s="45" t="e">
        <f t="shared" si="29"/>
        <v>#NUM!</v>
      </c>
      <c r="AS250" s="45">
        <f t="shared" si="30"/>
        <v>0</v>
      </c>
      <c r="AT250" s="45">
        <f t="shared" si="31"/>
        <v>0</v>
      </c>
      <c r="AU250" s="45">
        <f t="shared" si="32"/>
        <v>0</v>
      </c>
      <c r="AV250" s="45">
        <f t="shared" si="33"/>
        <v>0</v>
      </c>
      <c r="AW250" s="45" t="str">
        <f>_xlfn.XLOOKUP(W250,'Lista Suspensa'!$AA$20:$AA$23,'Lista Suspensa'!$AB$20:$AB$23,"N/A")</f>
        <v>N/A</v>
      </c>
    </row>
    <row r="251" spans="1:49" ht="12" hidden="1" customHeight="1" x14ac:dyDescent="0.3">
      <c r="A251" s="87" t="s">
        <v>49</v>
      </c>
      <c r="B251" s="88">
        <v>46147</v>
      </c>
      <c r="C251" s="89" t="s">
        <v>50</v>
      </c>
      <c r="D251" s="89" t="s">
        <v>51</v>
      </c>
      <c r="E251" s="90">
        <v>76424012</v>
      </c>
      <c r="F251" s="91" t="s">
        <v>702</v>
      </c>
      <c r="G251" s="92">
        <v>2178072836</v>
      </c>
      <c r="H251" s="93">
        <v>22582</v>
      </c>
      <c r="I251" s="89">
        <v>64</v>
      </c>
      <c r="J251" s="89" t="s">
        <v>53</v>
      </c>
      <c r="K251" s="89" t="s">
        <v>54</v>
      </c>
      <c r="L251" s="89" t="s">
        <v>703</v>
      </c>
      <c r="M251" s="89"/>
      <c r="N251" s="89" t="s">
        <v>100</v>
      </c>
      <c r="O251" s="94" t="s">
        <v>704</v>
      </c>
      <c r="P251" s="95" t="s">
        <v>58</v>
      </c>
      <c r="Q251" s="144" t="s">
        <v>627</v>
      </c>
      <c r="R251" s="96"/>
      <c r="S251" s="97"/>
      <c r="T251" s="97" t="s">
        <v>546</v>
      </c>
      <c r="U251" s="97" t="s">
        <v>72</v>
      </c>
      <c r="V251" s="93">
        <v>46149</v>
      </c>
      <c r="W251" s="93">
        <v>46161</v>
      </c>
      <c r="X251" s="93">
        <v>46171</v>
      </c>
      <c r="Y251" s="98"/>
      <c r="Z251" s="89"/>
      <c r="AA251" s="97"/>
      <c r="AB251" s="89"/>
      <c r="AC251" s="120"/>
      <c r="AD251" s="89"/>
      <c r="AE251" s="89"/>
      <c r="AF251" s="89"/>
      <c r="AG251" s="89"/>
      <c r="AH251" s="99"/>
      <c r="AI251" s="99"/>
      <c r="AJ251" s="99"/>
      <c r="AK251" s="100"/>
      <c r="AL251" s="100" t="s">
        <v>540</v>
      </c>
      <c r="AM251" s="100"/>
      <c r="AN251" s="45" t="s">
        <v>65</v>
      </c>
      <c r="AO251" s="198" t="str">
        <f t="shared" si="26"/>
        <v>5/2026</v>
      </c>
      <c r="AP251" s="198">
        <f t="shared" si="27"/>
        <v>2</v>
      </c>
      <c r="AQ251" s="45" t="str">
        <f t="shared" si="28"/>
        <v>1/1900</v>
      </c>
      <c r="AR251" s="45" t="e">
        <f t="shared" si="29"/>
        <v>#NUM!</v>
      </c>
      <c r="AS251" s="45">
        <f t="shared" si="30"/>
        <v>0</v>
      </c>
      <c r="AT251" s="45">
        <f t="shared" si="31"/>
        <v>0</v>
      </c>
      <c r="AU251" s="45">
        <f t="shared" si="32"/>
        <v>0</v>
      </c>
      <c r="AV251" s="45">
        <f t="shared" si="33"/>
        <v>0</v>
      </c>
      <c r="AW251" s="45" t="str">
        <f>_xlfn.XLOOKUP(W251,'Lista Suspensa'!$AA$20:$AA$23,'Lista Suspensa'!$AB$20:$AB$23,"N/A")</f>
        <v>N/A</v>
      </c>
    </row>
    <row r="252" spans="1:49" ht="12" hidden="1" customHeight="1" x14ac:dyDescent="0.3">
      <c r="A252" s="87" t="s">
        <v>49</v>
      </c>
      <c r="B252" s="88">
        <v>46147</v>
      </c>
      <c r="C252" s="89" t="s">
        <v>50</v>
      </c>
      <c r="D252" s="89" t="s">
        <v>51</v>
      </c>
      <c r="E252" s="90">
        <v>52117014</v>
      </c>
      <c r="F252" s="91" t="s">
        <v>705</v>
      </c>
      <c r="G252" s="92">
        <v>22208623991</v>
      </c>
      <c r="H252" s="93">
        <v>14686</v>
      </c>
      <c r="I252" s="89">
        <v>86</v>
      </c>
      <c r="J252" s="89" t="s">
        <v>53</v>
      </c>
      <c r="K252" s="89" t="s">
        <v>706</v>
      </c>
      <c r="L252" s="89" t="s">
        <v>707</v>
      </c>
      <c r="M252" s="89"/>
      <c r="N252" s="89" t="s">
        <v>100</v>
      </c>
      <c r="O252" s="94" t="s">
        <v>708</v>
      </c>
      <c r="P252" s="95" t="s">
        <v>58</v>
      </c>
      <c r="Q252" s="144" t="s">
        <v>689</v>
      </c>
      <c r="R252" s="96"/>
      <c r="S252" s="97"/>
      <c r="T252" s="97" t="s">
        <v>546</v>
      </c>
      <c r="U252" s="97" t="s">
        <v>690</v>
      </c>
      <c r="V252" s="93">
        <v>46161</v>
      </c>
      <c r="W252" s="93">
        <v>46171</v>
      </c>
      <c r="X252" s="118">
        <v>46183</v>
      </c>
      <c r="Y252" s="98"/>
      <c r="Z252" s="89"/>
      <c r="AA252" s="97"/>
      <c r="AB252" s="89"/>
      <c r="AC252" s="120"/>
      <c r="AD252" s="89"/>
      <c r="AE252" s="89"/>
      <c r="AF252" s="89"/>
      <c r="AG252" s="89"/>
      <c r="AH252" s="99"/>
      <c r="AI252" s="99"/>
      <c r="AJ252" s="99"/>
      <c r="AK252" s="100"/>
      <c r="AL252" s="100"/>
      <c r="AM252" s="100"/>
      <c r="AN252" s="45" t="s">
        <v>65</v>
      </c>
      <c r="AO252" s="198" t="str">
        <f t="shared" si="26"/>
        <v>5/2026</v>
      </c>
      <c r="AP252" s="198">
        <f t="shared" si="27"/>
        <v>2</v>
      </c>
      <c r="AQ252" s="45" t="str">
        <f t="shared" si="28"/>
        <v>1/1900</v>
      </c>
      <c r="AR252" s="45" t="e">
        <f t="shared" si="29"/>
        <v>#NUM!</v>
      </c>
      <c r="AS252" s="45">
        <f t="shared" si="30"/>
        <v>0</v>
      </c>
      <c r="AT252" s="45">
        <f t="shared" si="31"/>
        <v>0</v>
      </c>
      <c r="AU252" s="45">
        <f t="shared" si="32"/>
        <v>0</v>
      </c>
      <c r="AV252" s="45">
        <f t="shared" si="33"/>
        <v>0</v>
      </c>
      <c r="AW252" s="45" t="str">
        <f>_xlfn.XLOOKUP(W252,'Lista Suspensa'!$AA$20:$AA$23,'Lista Suspensa'!$AB$20:$AB$23,"N/A")</f>
        <v>N/A</v>
      </c>
    </row>
    <row r="253" spans="1:49" ht="12" hidden="1" customHeight="1" x14ac:dyDescent="0.3">
      <c r="A253" s="87" t="s">
        <v>49</v>
      </c>
      <c r="B253" s="88">
        <v>46147</v>
      </c>
      <c r="C253" s="89" t="s">
        <v>50</v>
      </c>
      <c r="D253" s="89" t="s">
        <v>51</v>
      </c>
      <c r="E253" s="90">
        <v>93839680</v>
      </c>
      <c r="F253" s="91" t="s">
        <v>709</v>
      </c>
      <c r="G253" s="92">
        <v>17852850847</v>
      </c>
      <c r="H253" s="93">
        <v>27411</v>
      </c>
      <c r="I253" s="89">
        <v>51</v>
      </c>
      <c r="J253" s="89" t="s">
        <v>67</v>
      </c>
      <c r="K253" s="89" t="s">
        <v>54</v>
      </c>
      <c r="L253" s="89" t="s">
        <v>68</v>
      </c>
      <c r="M253" s="89"/>
      <c r="N253" s="89" t="s">
        <v>82</v>
      </c>
      <c r="O253" s="94" t="s">
        <v>710</v>
      </c>
      <c r="P253" s="95" t="s">
        <v>58</v>
      </c>
      <c r="Q253" s="144" t="s">
        <v>689</v>
      </c>
      <c r="R253" s="96"/>
      <c r="S253" s="97"/>
      <c r="T253" s="97" t="s">
        <v>546</v>
      </c>
      <c r="U253" s="97" t="s">
        <v>690</v>
      </c>
      <c r="V253" s="93">
        <v>46161</v>
      </c>
      <c r="W253" s="93">
        <v>46171</v>
      </c>
      <c r="X253" s="118">
        <v>46183</v>
      </c>
      <c r="Y253" s="98"/>
      <c r="Z253" s="89"/>
      <c r="AA253" s="97"/>
      <c r="AB253" s="89"/>
      <c r="AC253" s="120"/>
      <c r="AD253" s="89"/>
      <c r="AE253" s="89"/>
      <c r="AF253" s="89"/>
      <c r="AG253" s="89"/>
      <c r="AH253" s="99"/>
      <c r="AI253" s="99"/>
      <c r="AJ253" s="99"/>
      <c r="AK253" s="100"/>
      <c r="AL253" s="100"/>
      <c r="AM253" s="100"/>
      <c r="AN253" s="45" t="s">
        <v>65</v>
      </c>
      <c r="AO253" s="198" t="str">
        <f t="shared" si="26"/>
        <v>5/2026</v>
      </c>
      <c r="AP253" s="198">
        <f t="shared" si="27"/>
        <v>2</v>
      </c>
      <c r="AQ253" s="45" t="str">
        <f t="shared" si="28"/>
        <v>1/1900</v>
      </c>
      <c r="AR253" s="45" t="e">
        <f t="shared" si="29"/>
        <v>#NUM!</v>
      </c>
      <c r="AS253" s="45">
        <f t="shared" si="30"/>
        <v>0</v>
      </c>
      <c r="AT253" s="45">
        <f t="shared" si="31"/>
        <v>0</v>
      </c>
      <c r="AU253" s="45">
        <f t="shared" si="32"/>
        <v>0</v>
      </c>
      <c r="AV253" s="45">
        <f t="shared" si="33"/>
        <v>0</v>
      </c>
      <c r="AW253" s="45" t="str">
        <f>_xlfn.XLOOKUP(W253,'Lista Suspensa'!$AA$20:$AA$23,'Lista Suspensa'!$AB$20:$AB$23,"N/A")</f>
        <v>N/A</v>
      </c>
    </row>
    <row r="254" spans="1:49" ht="12" hidden="1" customHeight="1" x14ac:dyDescent="0.3">
      <c r="A254" s="87" t="s">
        <v>49</v>
      </c>
      <c r="B254" s="88">
        <v>46147</v>
      </c>
      <c r="C254" s="89" t="s">
        <v>50</v>
      </c>
      <c r="D254" s="89" t="s">
        <v>51</v>
      </c>
      <c r="E254" s="90">
        <v>84929081</v>
      </c>
      <c r="F254" s="91" t="s">
        <v>711</v>
      </c>
      <c r="G254" s="92">
        <v>14036518844</v>
      </c>
      <c r="H254" s="93">
        <v>26593</v>
      </c>
      <c r="I254" s="89">
        <v>53</v>
      </c>
      <c r="J254" s="89" t="s">
        <v>53</v>
      </c>
      <c r="K254" s="89" t="s">
        <v>54</v>
      </c>
      <c r="L254" s="89" t="s">
        <v>68</v>
      </c>
      <c r="M254" s="89"/>
      <c r="N254" s="89" t="s">
        <v>56</v>
      </c>
      <c r="O254" s="94" t="s">
        <v>712</v>
      </c>
      <c r="P254" s="95" t="s">
        <v>58</v>
      </c>
      <c r="Q254" s="144" t="s">
        <v>689</v>
      </c>
      <c r="R254" s="96"/>
      <c r="S254" s="97"/>
      <c r="T254" s="97" t="s">
        <v>546</v>
      </c>
      <c r="U254" s="97" t="s">
        <v>690</v>
      </c>
      <c r="V254" s="93">
        <v>46161</v>
      </c>
      <c r="W254" s="93">
        <v>46171</v>
      </c>
      <c r="X254" s="118">
        <v>46183</v>
      </c>
      <c r="Y254" s="98"/>
      <c r="Z254" s="89"/>
      <c r="AA254" s="97"/>
      <c r="AB254" s="89" t="s">
        <v>75</v>
      </c>
      <c r="AC254" s="120"/>
      <c r="AD254" s="89"/>
      <c r="AE254" s="89"/>
      <c r="AF254" s="89" t="s">
        <v>139</v>
      </c>
      <c r="AG254" s="89">
        <v>2.11</v>
      </c>
      <c r="AH254" s="99"/>
      <c r="AI254" s="99"/>
      <c r="AJ254" s="99"/>
      <c r="AK254" s="100"/>
      <c r="AL254" s="100"/>
      <c r="AM254" s="100"/>
      <c r="AN254" s="45" t="s">
        <v>65</v>
      </c>
      <c r="AO254" s="198" t="str">
        <f t="shared" si="26"/>
        <v>5/2026</v>
      </c>
      <c r="AP254" s="198">
        <f t="shared" si="27"/>
        <v>2</v>
      </c>
      <c r="AQ254" s="45" t="str">
        <f t="shared" si="28"/>
        <v>1/1900</v>
      </c>
      <c r="AR254" s="45" t="e">
        <f t="shared" si="29"/>
        <v>#NUM!</v>
      </c>
      <c r="AS254" s="45">
        <f t="shared" si="30"/>
        <v>0</v>
      </c>
      <c r="AT254" s="45">
        <f t="shared" si="31"/>
        <v>0</v>
      </c>
      <c r="AU254" s="45">
        <f t="shared" si="32"/>
        <v>0</v>
      </c>
      <c r="AV254" s="45">
        <f t="shared" si="33"/>
        <v>0</v>
      </c>
      <c r="AW254" s="45" t="str">
        <f>_xlfn.XLOOKUP(W254,'Lista Suspensa'!$AA$20:$AA$23,'Lista Suspensa'!$AB$20:$AB$23,"N/A")</f>
        <v>N/A</v>
      </c>
    </row>
    <row r="255" spans="1:49" ht="12" hidden="1" customHeight="1" x14ac:dyDescent="0.3">
      <c r="A255" s="87" t="s">
        <v>49</v>
      </c>
      <c r="B255" s="88">
        <v>46147</v>
      </c>
      <c r="C255" s="89" t="s">
        <v>50</v>
      </c>
      <c r="D255" s="89" t="s">
        <v>51</v>
      </c>
      <c r="E255" s="90">
        <v>85255704</v>
      </c>
      <c r="F255" s="91" t="s">
        <v>713</v>
      </c>
      <c r="G255" s="92">
        <v>16435931534</v>
      </c>
      <c r="H255" s="93">
        <v>21579</v>
      </c>
      <c r="I255" s="89">
        <v>67</v>
      </c>
      <c r="J255" s="89" t="s">
        <v>67</v>
      </c>
      <c r="K255" s="89" t="s">
        <v>54</v>
      </c>
      <c r="L255" s="89" t="s">
        <v>68</v>
      </c>
      <c r="M255" s="89"/>
      <c r="N255" s="89" t="s">
        <v>175</v>
      </c>
      <c r="O255" s="94" t="s">
        <v>714</v>
      </c>
      <c r="P255" s="95" t="s">
        <v>58</v>
      </c>
      <c r="Q255" s="144" t="s">
        <v>689</v>
      </c>
      <c r="R255" s="96"/>
      <c r="S255" s="97"/>
      <c r="T255" s="97" t="s">
        <v>546</v>
      </c>
      <c r="U255" s="97" t="s">
        <v>690</v>
      </c>
      <c r="V255" s="93">
        <v>46161</v>
      </c>
      <c r="W255" s="93">
        <v>46171</v>
      </c>
      <c r="X255" s="118">
        <v>46183</v>
      </c>
      <c r="Y255" s="98"/>
      <c r="Z255" s="89"/>
      <c r="AA255" s="97"/>
      <c r="AB255" s="89"/>
      <c r="AC255" s="120"/>
      <c r="AD255" s="89"/>
      <c r="AE255" s="89"/>
      <c r="AF255" s="89"/>
      <c r="AG255" s="89"/>
      <c r="AH255" s="99"/>
      <c r="AI255" s="99"/>
      <c r="AJ255" s="99"/>
      <c r="AK255" s="100"/>
      <c r="AL255" s="100"/>
      <c r="AM255" s="100"/>
      <c r="AN255" s="45" t="s">
        <v>65</v>
      </c>
      <c r="AO255" s="198" t="str">
        <f t="shared" si="26"/>
        <v>5/2026</v>
      </c>
      <c r="AP255" s="198">
        <f t="shared" si="27"/>
        <v>2</v>
      </c>
      <c r="AQ255" s="45" t="str">
        <f t="shared" si="28"/>
        <v>1/1900</v>
      </c>
      <c r="AR255" s="45" t="e">
        <f t="shared" si="29"/>
        <v>#NUM!</v>
      </c>
      <c r="AS255" s="45">
        <f t="shared" si="30"/>
        <v>0</v>
      </c>
      <c r="AT255" s="45">
        <f t="shared" si="31"/>
        <v>0</v>
      </c>
      <c r="AU255" s="45">
        <f t="shared" si="32"/>
        <v>0</v>
      </c>
      <c r="AV255" s="45">
        <f t="shared" si="33"/>
        <v>0</v>
      </c>
      <c r="AW255" s="45" t="str">
        <f>_xlfn.XLOOKUP(W255,'Lista Suspensa'!$AA$20:$AA$23,'Lista Suspensa'!$AB$20:$AB$23,"N/A")</f>
        <v>N/A</v>
      </c>
    </row>
    <row r="256" spans="1:49" ht="12" hidden="1" customHeight="1" x14ac:dyDescent="0.3">
      <c r="A256" s="87" t="s">
        <v>49</v>
      </c>
      <c r="B256" s="88">
        <v>46147</v>
      </c>
      <c r="C256" s="89" t="s">
        <v>50</v>
      </c>
      <c r="D256" s="89" t="s">
        <v>51</v>
      </c>
      <c r="E256" s="90">
        <v>76296296</v>
      </c>
      <c r="F256" s="91" t="s">
        <v>715</v>
      </c>
      <c r="G256" s="92">
        <v>65139151715</v>
      </c>
      <c r="H256" s="93">
        <v>21839</v>
      </c>
      <c r="I256" s="89">
        <v>66</v>
      </c>
      <c r="J256" s="89" t="s">
        <v>67</v>
      </c>
      <c r="K256" s="89" t="s">
        <v>77</v>
      </c>
      <c r="L256" s="89" t="s">
        <v>149</v>
      </c>
      <c r="M256" s="89"/>
      <c r="N256" s="89" t="s">
        <v>69</v>
      </c>
      <c r="O256" s="94" t="s">
        <v>716</v>
      </c>
      <c r="P256" s="95" t="s">
        <v>58</v>
      </c>
      <c r="Q256" s="144" t="s">
        <v>689</v>
      </c>
      <c r="R256" s="96"/>
      <c r="S256" s="97"/>
      <c r="T256" s="97" t="s">
        <v>546</v>
      </c>
      <c r="U256" s="97" t="s">
        <v>690</v>
      </c>
      <c r="V256" s="93">
        <v>46161</v>
      </c>
      <c r="W256" s="93">
        <v>46171</v>
      </c>
      <c r="X256" s="118">
        <v>46183</v>
      </c>
      <c r="Y256" s="98"/>
      <c r="Z256" s="89"/>
      <c r="AA256" s="97"/>
      <c r="AB256" s="89"/>
      <c r="AC256" s="120"/>
      <c r="AD256" s="89"/>
      <c r="AE256" s="89"/>
      <c r="AF256" s="89"/>
      <c r="AG256" s="89"/>
      <c r="AH256" s="99"/>
      <c r="AI256" s="99"/>
      <c r="AJ256" s="99"/>
      <c r="AK256" s="100"/>
      <c r="AL256" s="100"/>
      <c r="AM256" s="100"/>
      <c r="AN256" s="45" t="s">
        <v>65</v>
      </c>
      <c r="AO256" s="198" t="str">
        <f t="shared" si="26"/>
        <v>5/2026</v>
      </c>
      <c r="AP256" s="198">
        <f t="shared" si="27"/>
        <v>2</v>
      </c>
      <c r="AQ256" s="45" t="str">
        <f t="shared" si="28"/>
        <v>1/1900</v>
      </c>
      <c r="AR256" s="45" t="e">
        <f t="shared" si="29"/>
        <v>#NUM!</v>
      </c>
      <c r="AS256" s="45">
        <f t="shared" si="30"/>
        <v>0</v>
      </c>
      <c r="AT256" s="45">
        <f t="shared" si="31"/>
        <v>0</v>
      </c>
      <c r="AU256" s="45">
        <f t="shared" si="32"/>
        <v>0</v>
      </c>
      <c r="AV256" s="45">
        <f t="shared" si="33"/>
        <v>0</v>
      </c>
      <c r="AW256" s="45" t="str">
        <f>_xlfn.XLOOKUP(W256,'Lista Suspensa'!$AA$20:$AA$23,'Lista Suspensa'!$AB$20:$AB$23,"N/A")</f>
        <v>N/A</v>
      </c>
    </row>
    <row r="257" spans="1:49" ht="12" hidden="1" customHeight="1" x14ac:dyDescent="0.3">
      <c r="A257" s="87" t="s">
        <v>49</v>
      </c>
      <c r="B257" s="88">
        <v>46147</v>
      </c>
      <c r="C257" s="89" t="s">
        <v>50</v>
      </c>
      <c r="D257" s="89" t="s">
        <v>51</v>
      </c>
      <c r="E257" s="90">
        <v>103203486</v>
      </c>
      <c r="F257" s="91" t="s">
        <v>717</v>
      </c>
      <c r="G257" s="92">
        <v>90027264904</v>
      </c>
      <c r="H257" s="93">
        <v>10809</v>
      </c>
      <c r="I257" s="89">
        <v>96</v>
      </c>
      <c r="J257" s="89" t="s">
        <v>67</v>
      </c>
      <c r="K257" s="89" t="s">
        <v>718</v>
      </c>
      <c r="L257" s="89" t="s">
        <v>719</v>
      </c>
      <c r="M257" s="89"/>
      <c r="N257" s="89" t="s">
        <v>97</v>
      </c>
      <c r="O257" s="94" t="s">
        <v>720</v>
      </c>
      <c r="P257" s="95" t="s">
        <v>58</v>
      </c>
      <c r="Q257" s="144" t="s">
        <v>689</v>
      </c>
      <c r="R257" s="96"/>
      <c r="S257" s="97"/>
      <c r="T257" s="97" t="s">
        <v>546</v>
      </c>
      <c r="U257" s="97" t="s">
        <v>690</v>
      </c>
      <c r="V257" s="93">
        <v>46161</v>
      </c>
      <c r="W257" s="93">
        <v>46171</v>
      </c>
      <c r="X257" s="118">
        <v>46183</v>
      </c>
      <c r="Y257" s="98"/>
      <c r="Z257" s="89"/>
      <c r="AA257" s="97"/>
      <c r="AB257" s="89"/>
      <c r="AC257" s="120"/>
      <c r="AD257" s="89"/>
      <c r="AE257" s="89"/>
      <c r="AF257" s="89"/>
      <c r="AG257" s="89"/>
      <c r="AH257" s="99"/>
      <c r="AI257" s="99"/>
      <c r="AJ257" s="99"/>
      <c r="AK257" s="100"/>
      <c r="AL257" s="100"/>
      <c r="AM257" s="100"/>
      <c r="AN257" s="45" t="s">
        <v>65</v>
      </c>
      <c r="AO257" s="198" t="str">
        <f t="shared" si="26"/>
        <v>5/2026</v>
      </c>
      <c r="AP257" s="198">
        <f t="shared" si="27"/>
        <v>2</v>
      </c>
      <c r="AQ257" s="45" t="str">
        <f t="shared" si="28"/>
        <v>1/1900</v>
      </c>
      <c r="AR257" s="45" t="e">
        <f t="shared" si="29"/>
        <v>#NUM!</v>
      </c>
      <c r="AS257" s="45">
        <f t="shared" si="30"/>
        <v>0</v>
      </c>
      <c r="AT257" s="45">
        <f t="shared" si="31"/>
        <v>0</v>
      </c>
      <c r="AU257" s="45">
        <f t="shared" si="32"/>
        <v>0</v>
      </c>
      <c r="AV257" s="45">
        <f t="shared" si="33"/>
        <v>0</v>
      </c>
      <c r="AW257" s="45" t="str">
        <f>_xlfn.XLOOKUP(W257,'Lista Suspensa'!$AA$20:$AA$23,'Lista Suspensa'!$AB$20:$AB$23,"N/A")</f>
        <v>N/A</v>
      </c>
    </row>
    <row r="258" spans="1:49" ht="12" hidden="1" customHeight="1" x14ac:dyDescent="0.3">
      <c r="A258" s="87" t="s">
        <v>49</v>
      </c>
      <c r="B258" s="88">
        <v>46147</v>
      </c>
      <c r="C258" s="89" t="s">
        <v>50</v>
      </c>
      <c r="D258" s="89" t="s">
        <v>51</v>
      </c>
      <c r="E258" s="90">
        <v>90670086</v>
      </c>
      <c r="F258" s="91" t="s">
        <v>721</v>
      </c>
      <c r="G258" s="92">
        <v>2465035304</v>
      </c>
      <c r="H258" s="93">
        <v>16360</v>
      </c>
      <c r="I258" s="89">
        <v>81</v>
      </c>
      <c r="J258" s="89" t="s">
        <v>67</v>
      </c>
      <c r="K258" s="89" t="s">
        <v>718</v>
      </c>
      <c r="L258" s="89" t="s">
        <v>719</v>
      </c>
      <c r="M258" s="89"/>
      <c r="N258" s="89" t="s">
        <v>100</v>
      </c>
      <c r="O258" s="94" t="s">
        <v>722</v>
      </c>
      <c r="P258" s="95" t="s">
        <v>58</v>
      </c>
      <c r="Q258" s="144" t="s">
        <v>689</v>
      </c>
      <c r="R258" s="96"/>
      <c r="S258" s="97"/>
      <c r="T258" s="97" t="s">
        <v>546</v>
      </c>
      <c r="U258" s="97" t="s">
        <v>690</v>
      </c>
      <c r="V258" s="93">
        <v>46161</v>
      </c>
      <c r="W258" s="93">
        <v>46171</v>
      </c>
      <c r="X258" s="118">
        <v>46183</v>
      </c>
      <c r="Y258" s="98"/>
      <c r="Z258" s="89"/>
      <c r="AA258" s="97"/>
      <c r="AB258" s="89"/>
      <c r="AC258" s="120"/>
      <c r="AD258" s="89"/>
      <c r="AE258" s="89"/>
      <c r="AF258" s="89"/>
      <c r="AG258" s="89"/>
      <c r="AH258" s="99"/>
      <c r="AI258" s="99"/>
      <c r="AJ258" s="99"/>
      <c r="AK258" s="100"/>
      <c r="AL258" s="100"/>
      <c r="AM258" s="100"/>
      <c r="AN258" s="45" t="s">
        <v>65</v>
      </c>
      <c r="AO258" s="198" t="str">
        <f t="shared" ref="AO258:AO321" si="34">MONTH(B258)&amp;"/"&amp;YEAR(B258)</f>
        <v>5/2026</v>
      </c>
      <c r="AP258" s="198">
        <f t="shared" ref="AP258:AP321" si="35">WEEKNUM(B258)-WEEKNUM(EOMONTH(B258,-1)+1)+1</f>
        <v>2</v>
      </c>
      <c r="AQ258" s="45" t="str">
        <f t="shared" ref="AQ258:AQ321" si="36">MONTH(R258)&amp;"/"&amp;YEAR(R258)</f>
        <v>1/1900</v>
      </c>
      <c r="AR258" s="45" t="e">
        <f t="shared" ref="AR258:AR321" si="37">WEEKNUM(R258)-WEEKNUM(EOMONTH(R258,-1)+1)+1</f>
        <v>#NUM!</v>
      </c>
      <c r="AS258" s="45">
        <f t="shared" ref="AS258:AS321" si="38">IF(AW258="S",IF(Q258="1. Aceitou o programa",R258-B258,0),0)</f>
        <v>0</v>
      </c>
      <c r="AT258" s="45">
        <f t="shared" ref="AT258:AT321" si="39">IF(AW258="S",IF(AND(S258&lt;&gt;"",R258&lt;&gt;""),S258-R258,0),0)</f>
        <v>0</v>
      </c>
      <c r="AU258" s="45">
        <f t="shared" ref="AU258:AU321" si="40">IF(AW258="S",IF(Q258="1. Aceitou o programa",IF(OR(X258="Não se Aplica",X258=""),IF(OR(W258="Não se Aplica",W258=""),0,W258-V258),AVERAGE(X258-W258,W258-V258)),0),0)</f>
        <v>0</v>
      </c>
      <c r="AV258" s="45">
        <f t="shared" si="33"/>
        <v>0</v>
      </c>
      <c r="AW258" s="45" t="str">
        <f>_xlfn.XLOOKUP(W258,'Lista Suspensa'!$AA$20:$AA$23,'Lista Suspensa'!$AB$20:$AB$23,"N/A")</f>
        <v>N/A</v>
      </c>
    </row>
    <row r="259" spans="1:49" ht="12" hidden="1" customHeight="1" x14ac:dyDescent="0.3">
      <c r="A259" s="87" t="s">
        <v>49</v>
      </c>
      <c r="B259" s="88">
        <v>46147</v>
      </c>
      <c r="C259" s="89" t="s">
        <v>50</v>
      </c>
      <c r="D259" s="89" t="s">
        <v>51</v>
      </c>
      <c r="E259" s="90">
        <v>89100213</v>
      </c>
      <c r="F259" s="91" t="s">
        <v>723</v>
      </c>
      <c r="G259" s="92">
        <v>21829965832</v>
      </c>
      <c r="H259" s="93">
        <v>28882</v>
      </c>
      <c r="I259" s="89">
        <v>47</v>
      </c>
      <c r="J259" s="89" t="s">
        <v>67</v>
      </c>
      <c r="K259" s="89" t="s">
        <v>54</v>
      </c>
      <c r="L259" s="89" t="s">
        <v>724</v>
      </c>
      <c r="M259" s="89"/>
      <c r="N259" s="89" t="s">
        <v>82</v>
      </c>
      <c r="O259" s="94" t="s">
        <v>725</v>
      </c>
      <c r="P259" s="95" t="s">
        <v>58</v>
      </c>
      <c r="Q259" s="144" t="s">
        <v>689</v>
      </c>
      <c r="R259" s="96"/>
      <c r="S259" s="97"/>
      <c r="T259" s="97" t="s">
        <v>546</v>
      </c>
      <c r="U259" s="97" t="s">
        <v>690</v>
      </c>
      <c r="V259" s="93">
        <v>46161</v>
      </c>
      <c r="W259" s="93">
        <v>46171</v>
      </c>
      <c r="X259" s="118">
        <v>46183</v>
      </c>
      <c r="Y259" s="98"/>
      <c r="Z259" s="89"/>
      <c r="AA259" s="97"/>
      <c r="AB259" s="89"/>
      <c r="AC259" s="120"/>
      <c r="AD259" s="89"/>
      <c r="AE259" s="89"/>
      <c r="AF259" s="89"/>
      <c r="AG259" s="89"/>
      <c r="AH259" s="99"/>
      <c r="AI259" s="99"/>
      <c r="AJ259" s="99"/>
      <c r="AK259" s="100"/>
      <c r="AL259" s="100"/>
      <c r="AM259" s="100"/>
      <c r="AN259" s="45" t="s">
        <v>65</v>
      </c>
      <c r="AO259" s="198" t="str">
        <f t="shared" si="34"/>
        <v>5/2026</v>
      </c>
      <c r="AP259" s="198">
        <f t="shared" si="35"/>
        <v>2</v>
      </c>
      <c r="AQ259" s="45" t="str">
        <f t="shared" si="36"/>
        <v>1/1900</v>
      </c>
      <c r="AR259" s="45" t="e">
        <f t="shared" si="37"/>
        <v>#NUM!</v>
      </c>
      <c r="AS259" s="45">
        <f t="shared" si="38"/>
        <v>0</v>
      </c>
      <c r="AT259" s="45">
        <f t="shared" si="39"/>
        <v>0</v>
      </c>
      <c r="AU259" s="45">
        <f t="shared" si="40"/>
        <v>0</v>
      </c>
      <c r="AV259" s="45">
        <f t="shared" si="33"/>
        <v>0</v>
      </c>
      <c r="AW259" s="45" t="str">
        <f>_xlfn.XLOOKUP(W259,'Lista Suspensa'!$AA$20:$AA$23,'Lista Suspensa'!$AB$20:$AB$23,"N/A")</f>
        <v>N/A</v>
      </c>
    </row>
    <row r="260" spans="1:49" ht="12" hidden="1" customHeight="1" x14ac:dyDescent="0.3">
      <c r="A260" s="87" t="s">
        <v>49</v>
      </c>
      <c r="B260" s="88">
        <v>46147</v>
      </c>
      <c r="C260" s="89" t="s">
        <v>50</v>
      </c>
      <c r="D260" s="89" t="s">
        <v>51</v>
      </c>
      <c r="E260" s="90">
        <v>82839032</v>
      </c>
      <c r="F260" s="91" t="s">
        <v>726</v>
      </c>
      <c r="G260" s="92">
        <v>28314545813</v>
      </c>
      <c r="H260" s="93">
        <v>29079</v>
      </c>
      <c r="I260" s="89">
        <v>46</v>
      </c>
      <c r="J260" s="89" t="s">
        <v>53</v>
      </c>
      <c r="K260" s="89" t="s">
        <v>54</v>
      </c>
      <c r="L260" s="89" t="s">
        <v>161</v>
      </c>
      <c r="M260" s="89"/>
      <c r="N260" s="89" t="s">
        <v>82</v>
      </c>
      <c r="O260" s="94" t="s">
        <v>727</v>
      </c>
      <c r="P260" s="95" t="s">
        <v>58</v>
      </c>
      <c r="Q260" s="144" t="s">
        <v>689</v>
      </c>
      <c r="R260" s="96"/>
      <c r="S260" s="97"/>
      <c r="T260" s="97" t="s">
        <v>546</v>
      </c>
      <c r="U260" s="97" t="s">
        <v>690</v>
      </c>
      <c r="V260" s="93">
        <v>46161</v>
      </c>
      <c r="W260" s="93">
        <v>46171</v>
      </c>
      <c r="X260" s="118">
        <v>46183</v>
      </c>
      <c r="Y260" s="98"/>
      <c r="Z260" s="89"/>
      <c r="AA260" s="97"/>
      <c r="AB260" s="89"/>
      <c r="AC260" s="120"/>
      <c r="AD260" s="89"/>
      <c r="AE260" s="89"/>
      <c r="AF260" s="89"/>
      <c r="AG260" s="89"/>
      <c r="AH260" s="99"/>
      <c r="AI260" s="99"/>
      <c r="AJ260" s="99"/>
      <c r="AK260" s="100"/>
      <c r="AL260" s="100"/>
      <c r="AM260" s="100"/>
      <c r="AN260" s="45" t="s">
        <v>65</v>
      </c>
      <c r="AO260" s="198" t="str">
        <f t="shared" si="34"/>
        <v>5/2026</v>
      </c>
      <c r="AP260" s="198">
        <f t="shared" si="35"/>
        <v>2</v>
      </c>
      <c r="AQ260" s="45" t="str">
        <f t="shared" si="36"/>
        <v>1/1900</v>
      </c>
      <c r="AR260" s="45" t="e">
        <f t="shared" si="37"/>
        <v>#NUM!</v>
      </c>
      <c r="AS260" s="45">
        <f t="shared" si="38"/>
        <v>0</v>
      </c>
      <c r="AT260" s="45">
        <f t="shared" si="39"/>
        <v>0</v>
      </c>
      <c r="AU260" s="45">
        <f t="shared" si="40"/>
        <v>0</v>
      </c>
      <c r="AV260" s="45">
        <f t="shared" si="33"/>
        <v>0</v>
      </c>
      <c r="AW260" s="45" t="str">
        <f>_xlfn.XLOOKUP(W260,'Lista Suspensa'!$AA$20:$AA$23,'Lista Suspensa'!$AB$20:$AB$23,"N/A")</f>
        <v>N/A</v>
      </c>
    </row>
    <row r="261" spans="1:49" ht="12" hidden="1" customHeight="1" x14ac:dyDescent="0.3">
      <c r="A261" s="87" t="s">
        <v>49</v>
      </c>
      <c r="B261" s="88">
        <v>46147</v>
      </c>
      <c r="C261" s="89" t="s">
        <v>50</v>
      </c>
      <c r="D261" s="89" t="s">
        <v>51</v>
      </c>
      <c r="E261" s="90">
        <v>596754949</v>
      </c>
      <c r="F261" s="91" t="s">
        <v>728</v>
      </c>
      <c r="G261" s="92">
        <v>3439934810</v>
      </c>
      <c r="H261" s="93">
        <v>21866</v>
      </c>
      <c r="I261" s="89">
        <v>66</v>
      </c>
      <c r="J261" s="89" t="s">
        <v>53</v>
      </c>
      <c r="K261" s="89" t="s">
        <v>54</v>
      </c>
      <c r="L261" s="89" t="s">
        <v>161</v>
      </c>
      <c r="M261" s="89"/>
      <c r="N261" s="89" t="s">
        <v>69</v>
      </c>
      <c r="O261" s="94" t="s">
        <v>729</v>
      </c>
      <c r="P261" s="95" t="s">
        <v>58</v>
      </c>
      <c r="Q261" s="144" t="s">
        <v>689</v>
      </c>
      <c r="R261" s="96"/>
      <c r="S261" s="97"/>
      <c r="T261" s="97" t="s">
        <v>546</v>
      </c>
      <c r="U261" s="97" t="s">
        <v>690</v>
      </c>
      <c r="V261" s="93">
        <v>46161</v>
      </c>
      <c r="W261" s="93">
        <v>46171</v>
      </c>
      <c r="X261" s="118">
        <v>46183</v>
      </c>
      <c r="Y261" s="98"/>
      <c r="Z261" s="89"/>
      <c r="AA261" s="97"/>
      <c r="AB261" s="89"/>
      <c r="AC261" s="120"/>
      <c r="AD261" s="89"/>
      <c r="AE261" s="89"/>
      <c r="AF261" s="89"/>
      <c r="AG261" s="89"/>
      <c r="AH261" s="99"/>
      <c r="AI261" s="99"/>
      <c r="AJ261" s="99"/>
      <c r="AK261" s="100"/>
      <c r="AL261" s="100"/>
      <c r="AM261" s="100"/>
      <c r="AN261" s="45" t="s">
        <v>65</v>
      </c>
      <c r="AO261" s="198" t="str">
        <f t="shared" si="34"/>
        <v>5/2026</v>
      </c>
      <c r="AP261" s="198">
        <f t="shared" si="35"/>
        <v>2</v>
      </c>
      <c r="AQ261" s="45" t="str">
        <f t="shared" si="36"/>
        <v>1/1900</v>
      </c>
      <c r="AR261" s="45" t="e">
        <f t="shared" si="37"/>
        <v>#NUM!</v>
      </c>
      <c r="AS261" s="45">
        <f t="shared" si="38"/>
        <v>0</v>
      </c>
      <c r="AT261" s="45">
        <f t="shared" si="39"/>
        <v>0</v>
      </c>
      <c r="AU261" s="45">
        <f t="shared" si="40"/>
        <v>0</v>
      </c>
      <c r="AV261" s="45">
        <f t="shared" si="33"/>
        <v>0</v>
      </c>
      <c r="AW261" s="45" t="str">
        <f>_xlfn.XLOOKUP(W261,'Lista Suspensa'!$AA$20:$AA$23,'Lista Suspensa'!$AB$20:$AB$23,"N/A")</f>
        <v>N/A</v>
      </c>
    </row>
    <row r="262" spans="1:49" ht="12" hidden="1" customHeight="1" x14ac:dyDescent="0.3">
      <c r="A262" s="87" t="s">
        <v>49</v>
      </c>
      <c r="B262" s="88">
        <v>46147</v>
      </c>
      <c r="C262" s="89" t="s">
        <v>50</v>
      </c>
      <c r="D262" s="89" t="s">
        <v>51</v>
      </c>
      <c r="E262" s="90">
        <v>796523967</v>
      </c>
      <c r="F262" s="91" t="s">
        <v>730</v>
      </c>
      <c r="G262" s="92">
        <v>9435083803</v>
      </c>
      <c r="H262" s="93">
        <v>23844</v>
      </c>
      <c r="I262" s="89">
        <v>61</v>
      </c>
      <c r="J262" s="89" t="s">
        <v>53</v>
      </c>
      <c r="K262" s="89" t="s">
        <v>54</v>
      </c>
      <c r="L262" s="89" t="s">
        <v>354</v>
      </c>
      <c r="M262" s="89"/>
      <c r="N262" s="89" t="s">
        <v>100</v>
      </c>
      <c r="O262" s="94" t="s">
        <v>731</v>
      </c>
      <c r="P262" s="95" t="s">
        <v>58</v>
      </c>
      <c r="Q262" s="144" t="s">
        <v>689</v>
      </c>
      <c r="R262" s="96"/>
      <c r="S262" s="97"/>
      <c r="T262" s="97" t="s">
        <v>546</v>
      </c>
      <c r="U262" s="97" t="s">
        <v>690</v>
      </c>
      <c r="V262" s="93">
        <v>46161</v>
      </c>
      <c r="W262" s="93">
        <v>46171</v>
      </c>
      <c r="X262" s="118">
        <v>46183</v>
      </c>
      <c r="Y262" s="98"/>
      <c r="Z262" s="89"/>
      <c r="AA262" s="97"/>
      <c r="AB262" s="89"/>
      <c r="AC262" s="120"/>
      <c r="AD262" s="89"/>
      <c r="AE262" s="89"/>
      <c r="AF262" s="89"/>
      <c r="AG262" s="89"/>
      <c r="AH262" s="99"/>
      <c r="AI262" s="99"/>
      <c r="AJ262" s="99"/>
      <c r="AK262" s="100"/>
      <c r="AL262" s="100"/>
      <c r="AM262" s="100"/>
      <c r="AN262" s="45" t="s">
        <v>65</v>
      </c>
      <c r="AO262" s="198" t="str">
        <f t="shared" si="34"/>
        <v>5/2026</v>
      </c>
      <c r="AP262" s="198">
        <f t="shared" si="35"/>
        <v>2</v>
      </c>
      <c r="AQ262" s="45" t="str">
        <f t="shared" si="36"/>
        <v>1/1900</v>
      </c>
      <c r="AR262" s="45" t="e">
        <f t="shared" si="37"/>
        <v>#NUM!</v>
      </c>
      <c r="AS262" s="45">
        <f t="shared" si="38"/>
        <v>0</v>
      </c>
      <c r="AT262" s="45">
        <f t="shared" si="39"/>
        <v>0</v>
      </c>
      <c r="AU262" s="45">
        <f t="shared" si="40"/>
        <v>0</v>
      </c>
      <c r="AV262" s="45">
        <f t="shared" si="33"/>
        <v>0</v>
      </c>
      <c r="AW262" s="45" t="str">
        <f>_xlfn.XLOOKUP(W262,'Lista Suspensa'!$AA$20:$AA$23,'Lista Suspensa'!$AB$20:$AB$23,"N/A")</f>
        <v>N/A</v>
      </c>
    </row>
    <row r="263" spans="1:49" ht="12" hidden="1" customHeight="1" x14ac:dyDescent="0.3">
      <c r="A263" s="87" t="s">
        <v>49</v>
      </c>
      <c r="B263" s="88">
        <v>46147</v>
      </c>
      <c r="C263" s="89" t="s">
        <v>50</v>
      </c>
      <c r="D263" s="89" t="s">
        <v>51</v>
      </c>
      <c r="E263" s="90">
        <v>78018498</v>
      </c>
      <c r="F263" s="91" t="s">
        <v>732</v>
      </c>
      <c r="G263" s="92">
        <v>4330897172</v>
      </c>
      <c r="H263" s="93">
        <v>17631</v>
      </c>
      <c r="I263" s="89">
        <v>78</v>
      </c>
      <c r="J263" s="89" t="s">
        <v>53</v>
      </c>
      <c r="K263" s="89" t="s">
        <v>54</v>
      </c>
      <c r="L263" s="89" t="s">
        <v>733</v>
      </c>
      <c r="M263" s="89"/>
      <c r="N263" s="89" t="s">
        <v>280</v>
      </c>
      <c r="O263" s="94" t="s">
        <v>734</v>
      </c>
      <c r="P263" s="95" t="s">
        <v>58</v>
      </c>
      <c r="Q263" s="144" t="s">
        <v>689</v>
      </c>
      <c r="R263" s="96"/>
      <c r="S263" s="97"/>
      <c r="T263" s="97" t="s">
        <v>546</v>
      </c>
      <c r="U263" s="97" t="s">
        <v>690</v>
      </c>
      <c r="V263" s="93">
        <v>46161</v>
      </c>
      <c r="W263" s="93">
        <v>46171</v>
      </c>
      <c r="X263" s="118">
        <v>46183</v>
      </c>
      <c r="Y263" s="98"/>
      <c r="Z263" s="89"/>
      <c r="AA263" s="97"/>
      <c r="AB263" s="89"/>
      <c r="AC263" s="120"/>
      <c r="AD263" s="89"/>
      <c r="AE263" s="89"/>
      <c r="AF263" s="89"/>
      <c r="AG263" s="89"/>
      <c r="AH263" s="99"/>
      <c r="AI263" s="99"/>
      <c r="AJ263" s="99"/>
      <c r="AK263" s="100"/>
      <c r="AL263" s="100"/>
      <c r="AM263" s="100"/>
      <c r="AN263" s="45" t="s">
        <v>65</v>
      </c>
      <c r="AO263" s="198" t="str">
        <f t="shared" si="34"/>
        <v>5/2026</v>
      </c>
      <c r="AP263" s="198">
        <f t="shared" si="35"/>
        <v>2</v>
      </c>
      <c r="AQ263" s="45" t="str">
        <f t="shared" si="36"/>
        <v>1/1900</v>
      </c>
      <c r="AR263" s="45" t="e">
        <f t="shared" si="37"/>
        <v>#NUM!</v>
      </c>
      <c r="AS263" s="45">
        <f t="shared" si="38"/>
        <v>0</v>
      </c>
      <c r="AT263" s="45">
        <f t="shared" si="39"/>
        <v>0</v>
      </c>
      <c r="AU263" s="45">
        <f t="shared" si="40"/>
        <v>0</v>
      </c>
      <c r="AV263" s="45">
        <f t="shared" si="33"/>
        <v>0</v>
      </c>
      <c r="AW263" s="45" t="str">
        <f>_xlfn.XLOOKUP(W263,'Lista Suspensa'!$AA$20:$AA$23,'Lista Suspensa'!$AB$20:$AB$23,"N/A")</f>
        <v>N/A</v>
      </c>
    </row>
    <row r="264" spans="1:49" ht="12" hidden="1" customHeight="1" x14ac:dyDescent="0.3">
      <c r="A264" s="87" t="s">
        <v>49</v>
      </c>
      <c r="B264" s="88">
        <v>46147</v>
      </c>
      <c r="C264" s="89" t="s">
        <v>50</v>
      </c>
      <c r="D264" s="89" t="s">
        <v>51</v>
      </c>
      <c r="E264" s="90">
        <v>83634616</v>
      </c>
      <c r="F264" s="91" t="s">
        <v>735</v>
      </c>
      <c r="G264" s="92">
        <v>15398384805</v>
      </c>
      <c r="H264" s="93">
        <v>25428</v>
      </c>
      <c r="I264" s="89">
        <v>56</v>
      </c>
      <c r="J264" s="89" t="s">
        <v>67</v>
      </c>
      <c r="K264" s="89" t="s">
        <v>54</v>
      </c>
      <c r="L264" s="89" t="s">
        <v>736</v>
      </c>
      <c r="M264" s="89"/>
      <c r="N264" s="89" t="s">
        <v>100</v>
      </c>
      <c r="O264" s="94" t="s">
        <v>737</v>
      </c>
      <c r="P264" s="95" t="s">
        <v>58</v>
      </c>
      <c r="Q264" s="144" t="s">
        <v>689</v>
      </c>
      <c r="R264" s="96"/>
      <c r="S264" s="97"/>
      <c r="T264" s="97" t="s">
        <v>546</v>
      </c>
      <c r="U264" s="97" t="s">
        <v>690</v>
      </c>
      <c r="V264" s="93">
        <v>46161</v>
      </c>
      <c r="W264" s="93">
        <v>46171</v>
      </c>
      <c r="X264" s="118">
        <v>46183</v>
      </c>
      <c r="Y264" s="98"/>
      <c r="Z264" s="89"/>
      <c r="AA264" s="97"/>
      <c r="AB264" s="89"/>
      <c r="AC264" s="120"/>
      <c r="AD264" s="89"/>
      <c r="AE264" s="89"/>
      <c r="AF264" s="89"/>
      <c r="AG264" s="89"/>
      <c r="AH264" s="99"/>
      <c r="AI264" s="99"/>
      <c r="AJ264" s="99"/>
      <c r="AK264" s="100"/>
      <c r="AL264" s="100"/>
      <c r="AM264" s="100"/>
      <c r="AN264" s="45" t="s">
        <v>65</v>
      </c>
      <c r="AO264" s="198" t="str">
        <f t="shared" si="34"/>
        <v>5/2026</v>
      </c>
      <c r="AP264" s="198">
        <f t="shared" si="35"/>
        <v>2</v>
      </c>
      <c r="AQ264" s="45" t="str">
        <f t="shared" si="36"/>
        <v>1/1900</v>
      </c>
      <c r="AR264" s="45" t="e">
        <f t="shared" si="37"/>
        <v>#NUM!</v>
      </c>
      <c r="AS264" s="45">
        <f t="shared" si="38"/>
        <v>0</v>
      </c>
      <c r="AT264" s="45">
        <f t="shared" si="39"/>
        <v>0</v>
      </c>
      <c r="AU264" s="45">
        <f t="shared" si="40"/>
        <v>0</v>
      </c>
      <c r="AV264" s="45">
        <f t="shared" si="33"/>
        <v>0</v>
      </c>
      <c r="AW264" s="45" t="str">
        <f>_xlfn.XLOOKUP(W264,'Lista Suspensa'!$AA$20:$AA$23,'Lista Suspensa'!$AB$20:$AB$23,"N/A")</f>
        <v>N/A</v>
      </c>
    </row>
    <row r="265" spans="1:49" ht="12" hidden="1" customHeight="1" x14ac:dyDescent="0.3">
      <c r="A265" s="87" t="s">
        <v>49</v>
      </c>
      <c r="B265" s="88">
        <v>46147</v>
      </c>
      <c r="C265" s="89" t="s">
        <v>50</v>
      </c>
      <c r="D265" s="89" t="s">
        <v>51</v>
      </c>
      <c r="E265" s="90">
        <v>89297210</v>
      </c>
      <c r="F265" s="91" t="s">
        <v>738</v>
      </c>
      <c r="G265" s="92">
        <v>39399493881</v>
      </c>
      <c r="H265" s="93">
        <v>33287</v>
      </c>
      <c r="I265" s="89">
        <v>35</v>
      </c>
      <c r="J265" s="89" t="s">
        <v>67</v>
      </c>
      <c r="K265" s="89" t="s">
        <v>54</v>
      </c>
      <c r="L265" s="89" t="s">
        <v>146</v>
      </c>
      <c r="M265" s="89"/>
      <c r="N265" s="89" t="s">
        <v>280</v>
      </c>
      <c r="O265" s="94" t="s">
        <v>739</v>
      </c>
      <c r="P265" s="95" t="s">
        <v>58</v>
      </c>
      <c r="Q265" s="144" t="s">
        <v>689</v>
      </c>
      <c r="R265" s="96"/>
      <c r="S265" s="97"/>
      <c r="T265" s="97" t="s">
        <v>546</v>
      </c>
      <c r="U265" s="97" t="s">
        <v>690</v>
      </c>
      <c r="V265" s="93">
        <v>46161</v>
      </c>
      <c r="W265" s="93">
        <v>46171</v>
      </c>
      <c r="X265" s="118">
        <v>46183</v>
      </c>
      <c r="Y265" s="98"/>
      <c r="Z265" s="89"/>
      <c r="AA265" s="97"/>
      <c r="AB265" s="89"/>
      <c r="AC265" s="120"/>
      <c r="AD265" s="89"/>
      <c r="AE265" s="89"/>
      <c r="AF265" s="89"/>
      <c r="AG265" s="89"/>
      <c r="AH265" s="99"/>
      <c r="AI265" s="99"/>
      <c r="AJ265" s="99"/>
      <c r="AK265" s="100"/>
      <c r="AL265" s="100"/>
      <c r="AM265" s="100"/>
      <c r="AN265" s="45" t="s">
        <v>65</v>
      </c>
      <c r="AO265" s="198" t="str">
        <f t="shared" si="34"/>
        <v>5/2026</v>
      </c>
      <c r="AP265" s="198">
        <f t="shared" si="35"/>
        <v>2</v>
      </c>
      <c r="AQ265" s="45" t="str">
        <f t="shared" si="36"/>
        <v>1/1900</v>
      </c>
      <c r="AR265" s="45" t="e">
        <f t="shared" si="37"/>
        <v>#NUM!</v>
      </c>
      <c r="AS265" s="45">
        <f t="shared" si="38"/>
        <v>0</v>
      </c>
      <c r="AT265" s="45">
        <f t="shared" si="39"/>
        <v>0</v>
      </c>
      <c r="AU265" s="45">
        <f t="shared" si="40"/>
        <v>0</v>
      </c>
      <c r="AV265" s="45">
        <f t="shared" si="33"/>
        <v>0</v>
      </c>
      <c r="AW265" s="45" t="str">
        <f>_xlfn.XLOOKUP(W265,'Lista Suspensa'!$AA$20:$AA$23,'Lista Suspensa'!$AB$20:$AB$23,"N/A")</f>
        <v>N/A</v>
      </c>
    </row>
    <row r="266" spans="1:49" ht="12" hidden="1" customHeight="1" x14ac:dyDescent="0.3">
      <c r="A266" s="87" t="s">
        <v>49</v>
      </c>
      <c r="B266" s="88">
        <v>46147</v>
      </c>
      <c r="C266" s="89" t="s">
        <v>50</v>
      </c>
      <c r="D266" s="89" t="s">
        <v>51</v>
      </c>
      <c r="E266" s="90">
        <v>800026632</v>
      </c>
      <c r="F266" s="91" t="s">
        <v>740</v>
      </c>
      <c r="G266" s="92">
        <v>11160714878</v>
      </c>
      <c r="H266" s="93">
        <v>20401</v>
      </c>
      <c r="I266" s="89">
        <v>70</v>
      </c>
      <c r="J266" s="89" t="s">
        <v>67</v>
      </c>
      <c r="K266" s="89" t="s">
        <v>54</v>
      </c>
      <c r="L266" s="89" t="s">
        <v>741</v>
      </c>
      <c r="M266" s="89"/>
      <c r="N266" s="89" t="s">
        <v>209</v>
      </c>
      <c r="O266" s="94" t="s">
        <v>742</v>
      </c>
      <c r="P266" s="95" t="s">
        <v>58</v>
      </c>
      <c r="Q266" s="144" t="s">
        <v>689</v>
      </c>
      <c r="R266" s="96"/>
      <c r="S266" s="97"/>
      <c r="T266" s="97" t="s">
        <v>546</v>
      </c>
      <c r="U266" s="97" t="s">
        <v>690</v>
      </c>
      <c r="V266" s="93">
        <v>46161</v>
      </c>
      <c r="W266" s="93">
        <v>46171</v>
      </c>
      <c r="X266" s="118">
        <v>46183</v>
      </c>
      <c r="Y266" s="98"/>
      <c r="Z266" s="89"/>
      <c r="AA266" s="97"/>
      <c r="AB266" s="89"/>
      <c r="AC266" s="120"/>
      <c r="AD266" s="89"/>
      <c r="AE266" s="89"/>
      <c r="AF266" s="89"/>
      <c r="AG266" s="89"/>
      <c r="AH266" s="99"/>
      <c r="AI266" s="99"/>
      <c r="AJ266" s="99"/>
      <c r="AK266" s="100"/>
      <c r="AL266" s="100"/>
      <c r="AM266" s="100"/>
      <c r="AN266" s="45" t="s">
        <v>65</v>
      </c>
      <c r="AO266" s="198" t="str">
        <f t="shared" si="34"/>
        <v>5/2026</v>
      </c>
      <c r="AP266" s="198">
        <f t="shared" si="35"/>
        <v>2</v>
      </c>
      <c r="AQ266" s="45" t="str">
        <f t="shared" si="36"/>
        <v>1/1900</v>
      </c>
      <c r="AR266" s="45" t="e">
        <f t="shared" si="37"/>
        <v>#NUM!</v>
      </c>
      <c r="AS266" s="45">
        <f t="shared" si="38"/>
        <v>0</v>
      </c>
      <c r="AT266" s="45">
        <f t="shared" si="39"/>
        <v>0</v>
      </c>
      <c r="AU266" s="45">
        <f t="shared" si="40"/>
        <v>0</v>
      </c>
      <c r="AV266" s="45">
        <f t="shared" si="33"/>
        <v>0</v>
      </c>
      <c r="AW266" s="45" t="str">
        <f>_xlfn.XLOOKUP(W266,'Lista Suspensa'!$AA$20:$AA$23,'Lista Suspensa'!$AB$20:$AB$23,"N/A")</f>
        <v>N/A</v>
      </c>
    </row>
    <row r="267" spans="1:49" ht="12" hidden="1" customHeight="1" x14ac:dyDescent="0.3">
      <c r="A267" s="87" t="s">
        <v>49</v>
      </c>
      <c r="B267" s="88">
        <v>46147</v>
      </c>
      <c r="C267" s="89" t="s">
        <v>50</v>
      </c>
      <c r="D267" s="89" t="s">
        <v>51</v>
      </c>
      <c r="E267" s="90">
        <v>78974850</v>
      </c>
      <c r="F267" s="91" t="s">
        <v>743</v>
      </c>
      <c r="G267" s="92">
        <v>42029635472</v>
      </c>
      <c r="H267" s="93">
        <v>13995</v>
      </c>
      <c r="I267" s="89">
        <v>88</v>
      </c>
      <c r="J267" s="89" t="s">
        <v>67</v>
      </c>
      <c r="K267" s="89"/>
      <c r="L267" s="89" t="s">
        <v>744</v>
      </c>
      <c r="M267" s="89"/>
      <c r="N267" s="89" t="s">
        <v>100</v>
      </c>
      <c r="O267" s="94" t="s">
        <v>745</v>
      </c>
      <c r="P267" s="95" t="s">
        <v>58</v>
      </c>
      <c r="Q267" s="144" t="s">
        <v>689</v>
      </c>
      <c r="R267" s="96"/>
      <c r="S267" s="97"/>
      <c r="T267" s="97" t="s">
        <v>546</v>
      </c>
      <c r="U267" s="97" t="s">
        <v>690</v>
      </c>
      <c r="V267" s="93">
        <v>46161</v>
      </c>
      <c r="W267" s="93">
        <v>46171</v>
      </c>
      <c r="X267" s="118">
        <v>46183</v>
      </c>
      <c r="Y267" s="98"/>
      <c r="Z267" s="89"/>
      <c r="AA267" s="97"/>
      <c r="AB267" s="89"/>
      <c r="AC267" s="120"/>
      <c r="AD267" s="89"/>
      <c r="AE267" s="89"/>
      <c r="AF267" s="89"/>
      <c r="AG267" s="89"/>
      <c r="AH267" s="99"/>
      <c r="AI267" s="99"/>
      <c r="AJ267" s="99"/>
      <c r="AK267" s="100"/>
      <c r="AL267" s="100"/>
      <c r="AM267" s="100"/>
      <c r="AN267" s="45" t="s">
        <v>65</v>
      </c>
      <c r="AO267" s="198" t="str">
        <f t="shared" si="34"/>
        <v>5/2026</v>
      </c>
      <c r="AP267" s="198">
        <f t="shared" si="35"/>
        <v>2</v>
      </c>
      <c r="AQ267" s="45" t="str">
        <f t="shared" si="36"/>
        <v>1/1900</v>
      </c>
      <c r="AR267" s="45" t="e">
        <f t="shared" si="37"/>
        <v>#NUM!</v>
      </c>
      <c r="AS267" s="45">
        <f t="shared" si="38"/>
        <v>0</v>
      </c>
      <c r="AT267" s="45">
        <f t="shared" si="39"/>
        <v>0</v>
      </c>
      <c r="AU267" s="45">
        <f t="shared" si="40"/>
        <v>0</v>
      </c>
      <c r="AV267" s="45">
        <f t="shared" si="33"/>
        <v>0</v>
      </c>
      <c r="AW267" s="45" t="str">
        <f>_xlfn.XLOOKUP(W267,'Lista Suspensa'!$AA$20:$AA$23,'Lista Suspensa'!$AB$20:$AB$23,"N/A")</f>
        <v>N/A</v>
      </c>
    </row>
    <row r="268" spans="1:49" ht="12" hidden="1" customHeight="1" x14ac:dyDescent="0.3">
      <c r="A268" s="87" t="s">
        <v>49</v>
      </c>
      <c r="B268" s="88">
        <v>46147</v>
      </c>
      <c r="C268" s="89" t="s">
        <v>50</v>
      </c>
      <c r="D268" s="89" t="s">
        <v>51</v>
      </c>
      <c r="E268" s="90">
        <v>84161240</v>
      </c>
      <c r="F268" s="91" t="s">
        <v>746</v>
      </c>
      <c r="G268" s="92">
        <v>17885483886</v>
      </c>
      <c r="H268" s="93">
        <v>26510</v>
      </c>
      <c r="I268" s="89">
        <v>53</v>
      </c>
      <c r="J268" s="89" t="s">
        <v>53</v>
      </c>
      <c r="K268" s="89" t="s">
        <v>54</v>
      </c>
      <c r="L268" s="89" t="s">
        <v>360</v>
      </c>
      <c r="M268" s="89"/>
      <c r="N268" s="89" t="s">
        <v>69</v>
      </c>
      <c r="O268" s="94" t="s">
        <v>747</v>
      </c>
      <c r="P268" s="95" t="s">
        <v>58</v>
      </c>
      <c r="Q268" s="144" t="s">
        <v>689</v>
      </c>
      <c r="R268" s="96"/>
      <c r="S268" s="97"/>
      <c r="T268" s="97" t="s">
        <v>546</v>
      </c>
      <c r="U268" s="97" t="s">
        <v>690</v>
      </c>
      <c r="V268" s="93">
        <v>46161</v>
      </c>
      <c r="W268" s="93">
        <v>46171</v>
      </c>
      <c r="X268" s="118">
        <v>46183</v>
      </c>
      <c r="Y268" s="98"/>
      <c r="Z268" s="89"/>
      <c r="AA268" s="97"/>
      <c r="AB268" s="89"/>
      <c r="AC268" s="120"/>
      <c r="AD268" s="89"/>
      <c r="AE268" s="89"/>
      <c r="AF268" s="89"/>
      <c r="AG268" s="89"/>
      <c r="AH268" s="99"/>
      <c r="AI268" s="99"/>
      <c r="AJ268" s="99"/>
      <c r="AK268" s="100"/>
      <c r="AL268" s="100"/>
      <c r="AM268" s="100"/>
      <c r="AN268" s="45" t="s">
        <v>65</v>
      </c>
      <c r="AO268" s="198" t="str">
        <f t="shared" si="34"/>
        <v>5/2026</v>
      </c>
      <c r="AP268" s="198">
        <f t="shared" si="35"/>
        <v>2</v>
      </c>
      <c r="AQ268" s="45" t="str">
        <f t="shared" si="36"/>
        <v>1/1900</v>
      </c>
      <c r="AR268" s="45" t="e">
        <f t="shared" si="37"/>
        <v>#NUM!</v>
      </c>
      <c r="AS268" s="45">
        <f t="shared" si="38"/>
        <v>0</v>
      </c>
      <c r="AT268" s="45">
        <f t="shared" si="39"/>
        <v>0</v>
      </c>
      <c r="AU268" s="45">
        <f t="shared" si="40"/>
        <v>0</v>
      </c>
      <c r="AV268" s="45">
        <f t="shared" si="33"/>
        <v>0</v>
      </c>
      <c r="AW268" s="45" t="str">
        <f>_xlfn.XLOOKUP(W268,'Lista Suspensa'!$AA$20:$AA$23,'Lista Suspensa'!$AB$20:$AB$23,"N/A")</f>
        <v>N/A</v>
      </c>
    </row>
    <row r="269" spans="1:49" ht="12" hidden="1" customHeight="1" x14ac:dyDescent="0.3">
      <c r="A269" s="87" t="s">
        <v>49</v>
      </c>
      <c r="B269" s="88">
        <v>46147</v>
      </c>
      <c r="C269" s="89" t="s">
        <v>50</v>
      </c>
      <c r="D269" s="89" t="s">
        <v>51</v>
      </c>
      <c r="E269" s="90">
        <v>78148781</v>
      </c>
      <c r="F269" s="91" t="s">
        <v>748</v>
      </c>
      <c r="G269" s="92">
        <v>34992820700</v>
      </c>
      <c r="H269" s="93">
        <v>18727</v>
      </c>
      <c r="I269" s="89">
        <v>75</v>
      </c>
      <c r="J269" s="89" t="s">
        <v>53</v>
      </c>
      <c r="K269" s="89" t="s">
        <v>77</v>
      </c>
      <c r="L269" s="89" t="s">
        <v>78</v>
      </c>
      <c r="M269" s="89"/>
      <c r="N269" s="89" t="s">
        <v>82</v>
      </c>
      <c r="O269" s="94" t="s">
        <v>749</v>
      </c>
      <c r="P269" s="95" t="s">
        <v>58</v>
      </c>
      <c r="Q269" s="144" t="s">
        <v>689</v>
      </c>
      <c r="R269" s="96"/>
      <c r="S269" s="97"/>
      <c r="T269" s="97" t="s">
        <v>546</v>
      </c>
      <c r="U269" s="97" t="s">
        <v>690</v>
      </c>
      <c r="V269" s="93">
        <v>46161</v>
      </c>
      <c r="W269" s="93">
        <v>46171</v>
      </c>
      <c r="X269" s="118">
        <v>46183</v>
      </c>
      <c r="Y269" s="98"/>
      <c r="Z269" s="89"/>
      <c r="AA269" s="97"/>
      <c r="AB269" s="89"/>
      <c r="AC269" s="120"/>
      <c r="AD269" s="89"/>
      <c r="AE269" s="89"/>
      <c r="AF269" s="89"/>
      <c r="AG269" s="89"/>
      <c r="AH269" s="99"/>
      <c r="AI269" s="99"/>
      <c r="AJ269" s="99"/>
      <c r="AK269" s="100"/>
      <c r="AL269" s="100"/>
      <c r="AM269" s="100"/>
      <c r="AN269" s="45" t="s">
        <v>65</v>
      </c>
      <c r="AO269" s="198" t="str">
        <f t="shared" si="34"/>
        <v>5/2026</v>
      </c>
      <c r="AP269" s="198">
        <f t="shared" si="35"/>
        <v>2</v>
      </c>
      <c r="AQ269" s="45" t="str">
        <f t="shared" si="36"/>
        <v>1/1900</v>
      </c>
      <c r="AR269" s="45" t="e">
        <f t="shared" si="37"/>
        <v>#NUM!</v>
      </c>
      <c r="AS269" s="45">
        <f t="shared" si="38"/>
        <v>0</v>
      </c>
      <c r="AT269" s="45">
        <f t="shared" si="39"/>
        <v>0</v>
      </c>
      <c r="AU269" s="45">
        <f t="shared" si="40"/>
        <v>0</v>
      </c>
      <c r="AV269" s="45">
        <f t="shared" si="33"/>
        <v>0</v>
      </c>
      <c r="AW269" s="45" t="str">
        <f>_xlfn.XLOOKUP(W269,'Lista Suspensa'!$AA$20:$AA$23,'Lista Suspensa'!$AB$20:$AB$23,"N/A")</f>
        <v>N/A</v>
      </c>
    </row>
    <row r="270" spans="1:49" ht="12" hidden="1" customHeight="1" x14ac:dyDescent="0.3">
      <c r="A270" s="87" t="s">
        <v>49</v>
      </c>
      <c r="B270" s="88">
        <v>46147</v>
      </c>
      <c r="C270" s="89" t="s">
        <v>50</v>
      </c>
      <c r="D270" s="89" t="s">
        <v>51</v>
      </c>
      <c r="E270" s="90">
        <v>745810551</v>
      </c>
      <c r="F270" s="91" t="s">
        <v>750</v>
      </c>
      <c r="G270" s="92">
        <v>9059498704</v>
      </c>
      <c r="H270" s="93">
        <v>29349</v>
      </c>
      <c r="I270" s="89">
        <v>46</v>
      </c>
      <c r="J270" s="89" t="s">
        <v>53</v>
      </c>
      <c r="K270" s="89" t="s">
        <v>77</v>
      </c>
      <c r="L270" s="89" t="s">
        <v>78</v>
      </c>
      <c r="M270" s="89"/>
      <c r="N270" s="89" t="s">
        <v>108</v>
      </c>
      <c r="O270" s="94" t="s">
        <v>751</v>
      </c>
      <c r="P270" s="95" t="s">
        <v>58</v>
      </c>
      <c r="Q270" s="144" t="s">
        <v>689</v>
      </c>
      <c r="R270" s="96"/>
      <c r="S270" s="97"/>
      <c r="T270" s="97" t="s">
        <v>546</v>
      </c>
      <c r="U270" s="97" t="s">
        <v>690</v>
      </c>
      <c r="V270" s="93">
        <v>46161</v>
      </c>
      <c r="W270" s="93">
        <v>46171</v>
      </c>
      <c r="X270" s="118">
        <v>46183</v>
      </c>
      <c r="Y270" s="98"/>
      <c r="Z270" s="89"/>
      <c r="AA270" s="97"/>
      <c r="AB270" s="89"/>
      <c r="AC270" s="120"/>
      <c r="AD270" s="89"/>
      <c r="AE270" s="89"/>
      <c r="AF270" s="89"/>
      <c r="AG270" s="89"/>
      <c r="AH270" s="99"/>
      <c r="AI270" s="99"/>
      <c r="AJ270" s="99"/>
      <c r="AK270" s="100"/>
      <c r="AL270" s="100"/>
      <c r="AM270" s="100"/>
      <c r="AN270" s="45" t="s">
        <v>65</v>
      </c>
      <c r="AO270" s="198" t="str">
        <f t="shared" si="34"/>
        <v>5/2026</v>
      </c>
      <c r="AP270" s="198">
        <f t="shared" si="35"/>
        <v>2</v>
      </c>
      <c r="AQ270" s="45" t="str">
        <f t="shared" si="36"/>
        <v>1/1900</v>
      </c>
      <c r="AR270" s="45" t="e">
        <f t="shared" si="37"/>
        <v>#NUM!</v>
      </c>
      <c r="AS270" s="45">
        <f t="shared" si="38"/>
        <v>0</v>
      </c>
      <c r="AT270" s="45">
        <f t="shared" si="39"/>
        <v>0</v>
      </c>
      <c r="AU270" s="45">
        <f t="shared" si="40"/>
        <v>0</v>
      </c>
      <c r="AV270" s="45">
        <f t="shared" si="33"/>
        <v>0</v>
      </c>
      <c r="AW270" s="45" t="str">
        <f>_xlfn.XLOOKUP(W270,'Lista Suspensa'!$AA$20:$AA$23,'Lista Suspensa'!$AB$20:$AB$23,"N/A")</f>
        <v>N/A</v>
      </c>
    </row>
    <row r="271" spans="1:49" ht="12" hidden="1" customHeight="1" x14ac:dyDescent="0.3">
      <c r="A271" s="87" t="s">
        <v>49</v>
      </c>
      <c r="B271" s="88">
        <v>46147</v>
      </c>
      <c r="C271" s="89" t="s">
        <v>50</v>
      </c>
      <c r="D271" s="89" t="s">
        <v>51</v>
      </c>
      <c r="E271" s="90">
        <v>82331415</v>
      </c>
      <c r="F271" s="91" t="s">
        <v>752</v>
      </c>
      <c r="G271" s="92">
        <v>3558288718</v>
      </c>
      <c r="H271" s="93">
        <v>26516</v>
      </c>
      <c r="I271" s="89">
        <v>53</v>
      </c>
      <c r="J271" s="89" t="s">
        <v>53</v>
      </c>
      <c r="K271" s="89" t="s">
        <v>77</v>
      </c>
      <c r="L271" s="89" t="s">
        <v>78</v>
      </c>
      <c r="M271" s="89"/>
      <c r="N271" s="89" t="s">
        <v>82</v>
      </c>
      <c r="O271" s="94" t="s">
        <v>753</v>
      </c>
      <c r="P271" s="95" t="s">
        <v>58</v>
      </c>
      <c r="Q271" s="144" t="s">
        <v>689</v>
      </c>
      <c r="R271" s="96"/>
      <c r="S271" s="97"/>
      <c r="T271" s="97" t="s">
        <v>546</v>
      </c>
      <c r="U271" s="97" t="s">
        <v>690</v>
      </c>
      <c r="V271" s="93">
        <v>46161</v>
      </c>
      <c r="W271" s="93">
        <v>46171</v>
      </c>
      <c r="X271" s="118">
        <v>46183</v>
      </c>
      <c r="Y271" s="98"/>
      <c r="Z271" s="89"/>
      <c r="AA271" s="97"/>
      <c r="AB271" s="89"/>
      <c r="AC271" s="120"/>
      <c r="AD271" s="89"/>
      <c r="AE271" s="89"/>
      <c r="AF271" s="89"/>
      <c r="AG271" s="89"/>
      <c r="AH271" s="99"/>
      <c r="AI271" s="99"/>
      <c r="AJ271" s="99"/>
      <c r="AK271" s="100"/>
      <c r="AL271" s="100"/>
      <c r="AM271" s="100"/>
      <c r="AN271" s="45" t="s">
        <v>65</v>
      </c>
      <c r="AO271" s="198" t="str">
        <f t="shared" si="34"/>
        <v>5/2026</v>
      </c>
      <c r="AP271" s="198">
        <f t="shared" si="35"/>
        <v>2</v>
      </c>
      <c r="AQ271" s="45" t="str">
        <f t="shared" si="36"/>
        <v>1/1900</v>
      </c>
      <c r="AR271" s="45" t="e">
        <f t="shared" si="37"/>
        <v>#NUM!</v>
      </c>
      <c r="AS271" s="45">
        <f t="shared" si="38"/>
        <v>0</v>
      </c>
      <c r="AT271" s="45">
        <f t="shared" si="39"/>
        <v>0</v>
      </c>
      <c r="AU271" s="45">
        <f t="shared" si="40"/>
        <v>0</v>
      </c>
      <c r="AV271" s="45">
        <f t="shared" si="33"/>
        <v>0</v>
      </c>
      <c r="AW271" s="45" t="str">
        <f>_xlfn.XLOOKUP(W271,'Lista Suspensa'!$AA$20:$AA$23,'Lista Suspensa'!$AB$20:$AB$23,"N/A")</f>
        <v>N/A</v>
      </c>
    </row>
    <row r="272" spans="1:49" ht="12" hidden="1" customHeight="1" x14ac:dyDescent="0.3">
      <c r="A272" s="87" t="s">
        <v>49</v>
      </c>
      <c r="B272" s="88">
        <v>46147</v>
      </c>
      <c r="C272" s="89" t="s">
        <v>50</v>
      </c>
      <c r="D272" s="89" t="s">
        <v>51</v>
      </c>
      <c r="E272" s="90">
        <v>961088192</v>
      </c>
      <c r="F272" s="91" t="s">
        <v>754</v>
      </c>
      <c r="G272" s="92">
        <v>68912960725</v>
      </c>
      <c r="H272" s="93">
        <v>22156</v>
      </c>
      <c r="I272" s="89">
        <v>65</v>
      </c>
      <c r="J272" s="89" t="s">
        <v>53</v>
      </c>
      <c r="K272" s="89" t="s">
        <v>77</v>
      </c>
      <c r="L272" s="89" t="s">
        <v>78</v>
      </c>
      <c r="M272" s="89"/>
      <c r="N272" s="89" t="s">
        <v>97</v>
      </c>
      <c r="O272" s="94" t="s">
        <v>755</v>
      </c>
      <c r="P272" s="95" t="s">
        <v>58</v>
      </c>
      <c r="Q272" s="144" t="s">
        <v>689</v>
      </c>
      <c r="R272" s="96"/>
      <c r="S272" s="97"/>
      <c r="T272" s="97" t="s">
        <v>546</v>
      </c>
      <c r="U272" s="97" t="s">
        <v>690</v>
      </c>
      <c r="V272" s="93">
        <v>46161</v>
      </c>
      <c r="W272" s="93">
        <v>46171</v>
      </c>
      <c r="X272" s="118">
        <v>46183</v>
      </c>
      <c r="Y272" s="98"/>
      <c r="Z272" s="89"/>
      <c r="AA272" s="97"/>
      <c r="AB272" s="89"/>
      <c r="AC272" s="120"/>
      <c r="AD272" s="89"/>
      <c r="AE272" s="89"/>
      <c r="AF272" s="89"/>
      <c r="AG272" s="89"/>
      <c r="AH272" s="99"/>
      <c r="AI272" s="99"/>
      <c r="AJ272" s="99"/>
      <c r="AK272" s="100"/>
      <c r="AL272" s="100"/>
      <c r="AM272" s="100"/>
      <c r="AN272" s="45" t="s">
        <v>65</v>
      </c>
      <c r="AO272" s="198" t="str">
        <f t="shared" si="34"/>
        <v>5/2026</v>
      </c>
      <c r="AP272" s="198">
        <f t="shared" si="35"/>
        <v>2</v>
      </c>
      <c r="AQ272" s="45" t="str">
        <f t="shared" si="36"/>
        <v>1/1900</v>
      </c>
      <c r="AR272" s="45" t="e">
        <f t="shared" si="37"/>
        <v>#NUM!</v>
      </c>
      <c r="AS272" s="45">
        <f t="shared" si="38"/>
        <v>0</v>
      </c>
      <c r="AT272" s="45">
        <f t="shared" si="39"/>
        <v>0</v>
      </c>
      <c r="AU272" s="45">
        <f t="shared" si="40"/>
        <v>0</v>
      </c>
      <c r="AV272" s="45">
        <f t="shared" si="33"/>
        <v>0</v>
      </c>
      <c r="AW272" s="45" t="str">
        <f>_xlfn.XLOOKUP(W272,'Lista Suspensa'!$AA$20:$AA$23,'Lista Suspensa'!$AB$20:$AB$23,"N/A")</f>
        <v>N/A</v>
      </c>
    </row>
    <row r="273" spans="1:49" ht="12" hidden="1" customHeight="1" x14ac:dyDescent="0.3">
      <c r="A273" s="87" t="s">
        <v>49</v>
      </c>
      <c r="B273" s="88">
        <v>46147</v>
      </c>
      <c r="C273" s="89" t="s">
        <v>50</v>
      </c>
      <c r="D273" s="89" t="s">
        <v>51</v>
      </c>
      <c r="E273" s="90">
        <v>760959749</v>
      </c>
      <c r="F273" s="91" t="s">
        <v>756</v>
      </c>
      <c r="G273" s="92">
        <v>55215432791</v>
      </c>
      <c r="H273" s="93">
        <v>20347</v>
      </c>
      <c r="I273" s="89">
        <v>70</v>
      </c>
      <c r="J273" s="89" t="s">
        <v>53</v>
      </c>
      <c r="K273" s="89" t="s">
        <v>77</v>
      </c>
      <c r="L273" s="89" t="s">
        <v>78</v>
      </c>
      <c r="M273" s="89"/>
      <c r="N273" s="89" t="s">
        <v>209</v>
      </c>
      <c r="O273" s="94" t="s">
        <v>757</v>
      </c>
      <c r="P273" s="95" t="s">
        <v>58</v>
      </c>
      <c r="Q273" s="144" t="s">
        <v>689</v>
      </c>
      <c r="R273" s="96"/>
      <c r="S273" s="97"/>
      <c r="T273" s="97" t="s">
        <v>546</v>
      </c>
      <c r="U273" s="97" t="s">
        <v>690</v>
      </c>
      <c r="V273" s="93">
        <v>46161</v>
      </c>
      <c r="W273" s="93">
        <v>46171</v>
      </c>
      <c r="X273" s="118">
        <v>46183</v>
      </c>
      <c r="Y273" s="98"/>
      <c r="Z273" s="89"/>
      <c r="AA273" s="97"/>
      <c r="AB273" s="89"/>
      <c r="AC273" s="120"/>
      <c r="AD273" s="89"/>
      <c r="AE273" s="89"/>
      <c r="AF273" s="89"/>
      <c r="AG273" s="89"/>
      <c r="AH273" s="99"/>
      <c r="AI273" s="99"/>
      <c r="AJ273" s="99"/>
      <c r="AK273" s="100"/>
      <c r="AL273" s="100"/>
      <c r="AM273" s="100"/>
      <c r="AN273" s="45" t="s">
        <v>65</v>
      </c>
      <c r="AO273" s="198" t="str">
        <f t="shared" si="34"/>
        <v>5/2026</v>
      </c>
      <c r="AP273" s="198">
        <f t="shared" si="35"/>
        <v>2</v>
      </c>
      <c r="AQ273" s="45" t="str">
        <f t="shared" si="36"/>
        <v>1/1900</v>
      </c>
      <c r="AR273" s="45" t="e">
        <f t="shared" si="37"/>
        <v>#NUM!</v>
      </c>
      <c r="AS273" s="45">
        <f t="shared" si="38"/>
        <v>0</v>
      </c>
      <c r="AT273" s="45">
        <f t="shared" si="39"/>
        <v>0</v>
      </c>
      <c r="AU273" s="45">
        <f t="shared" si="40"/>
        <v>0</v>
      </c>
      <c r="AV273" s="45">
        <f t="shared" si="33"/>
        <v>0</v>
      </c>
      <c r="AW273" s="45" t="str">
        <f>_xlfn.XLOOKUP(W273,'Lista Suspensa'!$AA$20:$AA$23,'Lista Suspensa'!$AB$20:$AB$23,"N/A")</f>
        <v>N/A</v>
      </c>
    </row>
    <row r="274" spans="1:49" ht="12" hidden="1" customHeight="1" x14ac:dyDescent="0.3">
      <c r="A274" s="87" t="s">
        <v>49</v>
      </c>
      <c r="B274" s="88">
        <v>46147</v>
      </c>
      <c r="C274" s="89" t="s">
        <v>50</v>
      </c>
      <c r="D274" s="89" t="s">
        <v>51</v>
      </c>
      <c r="E274" s="90">
        <v>757172881</v>
      </c>
      <c r="F274" s="91" t="s">
        <v>758</v>
      </c>
      <c r="G274" s="92">
        <v>71533877734</v>
      </c>
      <c r="H274" s="93">
        <v>16384</v>
      </c>
      <c r="I274" s="89">
        <v>81</v>
      </c>
      <c r="J274" s="89" t="s">
        <v>67</v>
      </c>
      <c r="K274" s="89" t="s">
        <v>77</v>
      </c>
      <c r="L274" s="89" t="s">
        <v>78</v>
      </c>
      <c r="M274" s="89"/>
      <c r="N274" s="89" t="s">
        <v>108</v>
      </c>
      <c r="O274" s="94">
        <v>21996352403</v>
      </c>
      <c r="P274" s="95" t="s">
        <v>58</v>
      </c>
      <c r="Q274" s="144" t="s">
        <v>689</v>
      </c>
      <c r="R274" s="96"/>
      <c r="S274" s="97"/>
      <c r="T274" s="97" t="s">
        <v>546</v>
      </c>
      <c r="U274" s="97" t="s">
        <v>690</v>
      </c>
      <c r="V274" s="93">
        <v>46161</v>
      </c>
      <c r="W274" s="93">
        <v>46171</v>
      </c>
      <c r="X274" s="118">
        <v>46183</v>
      </c>
      <c r="Y274" s="98"/>
      <c r="Z274" s="89"/>
      <c r="AA274" s="97"/>
      <c r="AB274" s="89"/>
      <c r="AC274" s="120"/>
      <c r="AD274" s="89"/>
      <c r="AE274" s="89"/>
      <c r="AF274" s="89"/>
      <c r="AG274" s="89"/>
      <c r="AH274" s="99"/>
      <c r="AI274" s="99"/>
      <c r="AJ274" s="99"/>
      <c r="AK274" s="100"/>
      <c r="AL274" s="100"/>
      <c r="AM274" s="100"/>
      <c r="AN274" s="45" t="s">
        <v>65</v>
      </c>
      <c r="AO274" s="198" t="str">
        <f t="shared" si="34"/>
        <v>5/2026</v>
      </c>
      <c r="AP274" s="198">
        <f t="shared" si="35"/>
        <v>2</v>
      </c>
      <c r="AQ274" s="45" t="str">
        <f t="shared" si="36"/>
        <v>1/1900</v>
      </c>
      <c r="AR274" s="45" t="e">
        <f t="shared" si="37"/>
        <v>#NUM!</v>
      </c>
      <c r="AS274" s="45">
        <f t="shared" si="38"/>
        <v>0</v>
      </c>
      <c r="AT274" s="45">
        <f t="shared" si="39"/>
        <v>0</v>
      </c>
      <c r="AU274" s="45">
        <f t="shared" si="40"/>
        <v>0</v>
      </c>
      <c r="AV274" s="45">
        <f t="shared" si="33"/>
        <v>0</v>
      </c>
      <c r="AW274" s="45" t="str">
        <f>_xlfn.XLOOKUP(W274,'Lista Suspensa'!$AA$20:$AA$23,'Lista Suspensa'!$AB$20:$AB$23,"N/A")</f>
        <v>N/A</v>
      </c>
    </row>
    <row r="275" spans="1:49" ht="12" hidden="1" customHeight="1" x14ac:dyDescent="0.3">
      <c r="A275" s="87" t="s">
        <v>49</v>
      </c>
      <c r="B275" s="88">
        <v>46147</v>
      </c>
      <c r="C275" s="89" t="s">
        <v>50</v>
      </c>
      <c r="D275" s="89" t="s">
        <v>51</v>
      </c>
      <c r="E275" s="90">
        <v>86729763</v>
      </c>
      <c r="F275" s="91" t="s">
        <v>759</v>
      </c>
      <c r="G275" s="92">
        <v>3604431760</v>
      </c>
      <c r="H275" s="93">
        <v>27212</v>
      </c>
      <c r="I275" s="89">
        <v>51</v>
      </c>
      <c r="J275" s="89" t="s">
        <v>67</v>
      </c>
      <c r="K275" s="89" t="s">
        <v>77</v>
      </c>
      <c r="L275" s="89" t="s">
        <v>78</v>
      </c>
      <c r="M275" s="89"/>
      <c r="N275" s="89" t="s">
        <v>124</v>
      </c>
      <c r="O275" s="94" t="s">
        <v>760</v>
      </c>
      <c r="P275" s="95" t="s">
        <v>58</v>
      </c>
      <c r="Q275" s="144" t="s">
        <v>689</v>
      </c>
      <c r="R275" s="96"/>
      <c r="S275" s="97"/>
      <c r="T275" s="97" t="s">
        <v>546</v>
      </c>
      <c r="U275" s="97" t="s">
        <v>690</v>
      </c>
      <c r="V275" s="93">
        <v>46161</v>
      </c>
      <c r="W275" s="93">
        <v>46171</v>
      </c>
      <c r="X275" s="118">
        <v>46183</v>
      </c>
      <c r="Y275" s="98"/>
      <c r="Z275" s="89"/>
      <c r="AA275" s="97"/>
      <c r="AB275" s="89"/>
      <c r="AC275" s="120"/>
      <c r="AD275" s="89"/>
      <c r="AE275" s="89"/>
      <c r="AF275" s="89"/>
      <c r="AG275" s="89"/>
      <c r="AH275" s="99"/>
      <c r="AI275" s="99"/>
      <c r="AJ275" s="99"/>
      <c r="AK275" s="100"/>
      <c r="AL275" s="100"/>
      <c r="AM275" s="100"/>
      <c r="AN275" s="45" t="s">
        <v>65</v>
      </c>
      <c r="AO275" s="198" t="str">
        <f t="shared" si="34"/>
        <v>5/2026</v>
      </c>
      <c r="AP275" s="198">
        <f t="shared" si="35"/>
        <v>2</v>
      </c>
      <c r="AQ275" s="45" t="str">
        <f t="shared" si="36"/>
        <v>1/1900</v>
      </c>
      <c r="AR275" s="45" t="e">
        <f t="shared" si="37"/>
        <v>#NUM!</v>
      </c>
      <c r="AS275" s="45">
        <f t="shared" si="38"/>
        <v>0</v>
      </c>
      <c r="AT275" s="45">
        <f t="shared" si="39"/>
        <v>0</v>
      </c>
      <c r="AU275" s="45">
        <f t="shared" si="40"/>
        <v>0</v>
      </c>
      <c r="AV275" s="45">
        <f t="shared" si="33"/>
        <v>0</v>
      </c>
      <c r="AW275" s="45" t="str">
        <f>_xlfn.XLOOKUP(W275,'Lista Suspensa'!$AA$20:$AA$23,'Lista Suspensa'!$AB$20:$AB$23,"N/A")</f>
        <v>N/A</v>
      </c>
    </row>
    <row r="276" spans="1:49" ht="12" hidden="1" customHeight="1" x14ac:dyDescent="0.3">
      <c r="A276" s="87" t="s">
        <v>49</v>
      </c>
      <c r="B276" s="88">
        <v>46147</v>
      </c>
      <c r="C276" s="89" t="s">
        <v>50</v>
      </c>
      <c r="D276" s="89" t="s">
        <v>51</v>
      </c>
      <c r="E276" s="90">
        <v>79833881</v>
      </c>
      <c r="F276" s="91" t="s">
        <v>761</v>
      </c>
      <c r="G276" s="92">
        <v>88273652572</v>
      </c>
      <c r="H276" s="93">
        <v>27706</v>
      </c>
      <c r="I276" s="89">
        <v>50</v>
      </c>
      <c r="J276" s="89" t="s">
        <v>53</v>
      </c>
      <c r="K276" s="89" t="s">
        <v>77</v>
      </c>
      <c r="L276" s="89" t="s">
        <v>78</v>
      </c>
      <c r="M276" s="89"/>
      <c r="N276" s="89" t="s">
        <v>100</v>
      </c>
      <c r="O276" s="94" t="s">
        <v>762</v>
      </c>
      <c r="P276" s="95" t="s">
        <v>58</v>
      </c>
      <c r="Q276" s="144" t="s">
        <v>689</v>
      </c>
      <c r="R276" s="96"/>
      <c r="S276" s="97"/>
      <c r="T276" s="97" t="s">
        <v>546</v>
      </c>
      <c r="U276" s="97" t="s">
        <v>690</v>
      </c>
      <c r="V276" s="93">
        <v>46161</v>
      </c>
      <c r="W276" s="93">
        <v>46171</v>
      </c>
      <c r="X276" s="118">
        <v>46183</v>
      </c>
      <c r="Y276" s="98"/>
      <c r="Z276" s="89"/>
      <c r="AA276" s="97"/>
      <c r="AB276" s="89"/>
      <c r="AC276" s="120"/>
      <c r="AD276" s="89"/>
      <c r="AE276" s="89"/>
      <c r="AF276" s="89"/>
      <c r="AG276" s="89"/>
      <c r="AH276" s="99"/>
      <c r="AI276" s="99"/>
      <c r="AJ276" s="99"/>
      <c r="AK276" s="100"/>
      <c r="AL276" s="100"/>
      <c r="AM276" s="100"/>
      <c r="AN276" s="45" t="s">
        <v>65</v>
      </c>
      <c r="AO276" s="198" t="str">
        <f t="shared" si="34"/>
        <v>5/2026</v>
      </c>
      <c r="AP276" s="198">
        <f t="shared" si="35"/>
        <v>2</v>
      </c>
      <c r="AQ276" s="45" t="str">
        <f t="shared" si="36"/>
        <v>1/1900</v>
      </c>
      <c r="AR276" s="45" t="e">
        <f t="shared" si="37"/>
        <v>#NUM!</v>
      </c>
      <c r="AS276" s="45">
        <f t="shared" si="38"/>
        <v>0</v>
      </c>
      <c r="AT276" s="45">
        <f t="shared" si="39"/>
        <v>0</v>
      </c>
      <c r="AU276" s="45">
        <f t="shared" si="40"/>
        <v>0</v>
      </c>
      <c r="AV276" s="45">
        <f t="shared" si="33"/>
        <v>0</v>
      </c>
      <c r="AW276" s="45" t="str">
        <f>_xlfn.XLOOKUP(W276,'Lista Suspensa'!$AA$20:$AA$23,'Lista Suspensa'!$AB$20:$AB$23,"N/A")</f>
        <v>N/A</v>
      </c>
    </row>
    <row r="277" spans="1:49" ht="12" hidden="1" customHeight="1" x14ac:dyDescent="0.3">
      <c r="A277" s="87" t="s">
        <v>49</v>
      </c>
      <c r="B277" s="88">
        <v>46147</v>
      </c>
      <c r="C277" s="89" t="s">
        <v>50</v>
      </c>
      <c r="D277" s="89" t="s">
        <v>51</v>
      </c>
      <c r="E277" s="90">
        <v>83933625</v>
      </c>
      <c r="F277" s="91" t="s">
        <v>763</v>
      </c>
      <c r="G277" s="92">
        <v>323235735</v>
      </c>
      <c r="H277" s="93">
        <v>25116</v>
      </c>
      <c r="I277" s="89">
        <v>57</v>
      </c>
      <c r="J277" s="89" t="s">
        <v>67</v>
      </c>
      <c r="K277" s="89" t="s">
        <v>77</v>
      </c>
      <c r="L277" s="89" t="s">
        <v>78</v>
      </c>
      <c r="M277" s="89"/>
      <c r="N277" s="89" t="s">
        <v>82</v>
      </c>
      <c r="O277" s="94" t="s">
        <v>764</v>
      </c>
      <c r="P277" s="95" t="s">
        <v>58</v>
      </c>
      <c r="Q277" s="144" t="s">
        <v>689</v>
      </c>
      <c r="R277" s="96"/>
      <c r="S277" s="97"/>
      <c r="T277" s="97" t="s">
        <v>546</v>
      </c>
      <c r="U277" s="97" t="s">
        <v>690</v>
      </c>
      <c r="V277" s="93">
        <v>46161</v>
      </c>
      <c r="W277" s="93">
        <v>46171</v>
      </c>
      <c r="X277" s="118">
        <v>46183</v>
      </c>
      <c r="Y277" s="98"/>
      <c r="Z277" s="89"/>
      <c r="AA277" s="97"/>
      <c r="AB277" s="89"/>
      <c r="AC277" s="120"/>
      <c r="AD277" s="89"/>
      <c r="AE277" s="89"/>
      <c r="AF277" s="89"/>
      <c r="AG277" s="89"/>
      <c r="AH277" s="99"/>
      <c r="AI277" s="99"/>
      <c r="AJ277" s="99"/>
      <c r="AK277" s="100"/>
      <c r="AL277" s="100"/>
      <c r="AM277" s="100"/>
      <c r="AN277" s="45" t="s">
        <v>65</v>
      </c>
      <c r="AO277" s="198" t="str">
        <f t="shared" si="34"/>
        <v>5/2026</v>
      </c>
      <c r="AP277" s="198">
        <f t="shared" si="35"/>
        <v>2</v>
      </c>
      <c r="AQ277" s="45" t="str">
        <f t="shared" si="36"/>
        <v>1/1900</v>
      </c>
      <c r="AR277" s="45" t="e">
        <f t="shared" si="37"/>
        <v>#NUM!</v>
      </c>
      <c r="AS277" s="45">
        <f t="shared" si="38"/>
        <v>0</v>
      </c>
      <c r="AT277" s="45">
        <f t="shared" si="39"/>
        <v>0</v>
      </c>
      <c r="AU277" s="45">
        <f t="shared" si="40"/>
        <v>0</v>
      </c>
      <c r="AV277" s="45">
        <f t="shared" si="33"/>
        <v>0</v>
      </c>
      <c r="AW277" s="45" t="str">
        <f>_xlfn.XLOOKUP(W277,'Lista Suspensa'!$AA$20:$AA$23,'Lista Suspensa'!$AB$20:$AB$23,"N/A")</f>
        <v>N/A</v>
      </c>
    </row>
    <row r="278" spans="1:49" ht="12" hidden="1" customHeight="1" x14ac:dyDescent="0.3">
      <c r="A278" s="87" t="s">
        <v>49</v>
      </c>
      <c r="B278" s="88">
        <v>46147</v>
      </c>
      <c r="C278" s="89" t="s">
        <v>50</v>
      </c>
      <c r="D278" s="89" t="s">
        <v>51</v>
      </c>
      <c r="E278" s="90">
        <v>74100532</v>
      </c>
      <c r="F278" s="91" t="s">
        <v>765</v>
      </c>
      <c r="G278" s="92">
        <v>1029640505</v>
      </c>
      <c r="H278" s="93">
        <v>30760</v>
      </c>
      <c r="I278" s="89">
        <v>42</v>
      </c>
      <c r="J278" s="89" t="s">
        <v>67</v>
      </c>
      <c r="K278" s="89"/>
      <c r="L278" s="89" t="s">
        <v>766</v>
      </c>
      <c r="M278" s="89"/>
      <c r="N278" s="89" t="s">
        <v>100</v>
      </c>
      <c r="O278" s="94" t="s">
        <v>767</v>
      </c>
      <c r="P278" s="95" t="s">
        <v>58</v>
      </c>
      <c r="Q278" s="144" t="s">
        <v>689</v>
      </c>
      <c r="R278" s="96"/>
      <c r="S278" s="97"/>
      <c r="T278" s="97" t="s">
        <v>546</v>
      </c>
      <c r="U278" s="97" t="s">
        <v>690</v>
      </c>
      <c r="V278" s="93">
        <v>46161</v>
      </c>
      <c r="W278" s="93">
        <v>46171</v>
      </c>
      <c r="X278" s="118">
        <v>46183</v>
      </c>
      <c r="Y278" s="98"/>
      <c r="Z278" s="89"/>
      <c r="AA278" s="97"/>
      <c r="AB278" s="89"/>
      <c r="AC278" s="120"/>
      <c r="AD278" s="89"/>
      <c r="AE278" s="89"/>
      <c r="AF278" s="89"/>
      <c r="AG278" s="89"/>
      <c r="AH278" s="99"/>
      <c r="AI278" s="99"/>
      <c r="AJ278" s="99"/>
      <c r="AK278" s="100"/>
      <c r="AL278" s="100"/>
      <c r="AM278" s="100"/>
      <c r="AN278" s="45" t="s">
        <v>65</v>
      </c>
      <c r="AO278" s="198" t="str">
        <f t="shared" si="34"/>
        <v>5/2026</v>
      </c>
      <c r="AP278" s="198">
        <f t="shared" si="35"/>
        <v>2</v>
      </c>
      <c r="AQ278" s="45" t="str">
        <f t="shared" si="36"/>
        <v>1/1900</v>
      </c>
      <c r="AR278" s="45" t="e">
        <f t="shared" si="37"/>
        <v>#NUM!</v>
      </c>
      <c r="AS278" s="45">
        <f t="shared" si="38"/>
        <v>0</v>
      </c>
      <c r="AT278" s="45">
        <f t="shared" si="39"/>
        <v>0</v>
      </c>
      <c r="AU278" s="45">
        <f t="shared" si="40"/>
        <v>0</v>
      </c>
      <c r="AV278" s="45">
        <f t="shared" si="33"/>
        <v>0</v>
      </c>
      <c r="AW278" s="45" t="str">
        <f>_xlfn.XLOOKUP(W278,'Lista Suspensa'!$AA$20:$AA$23,'Lista Suspensa'!$AB$20:$AB$23,"N/A")</f>
        <v>N/A</v>
      </c>
    </row>
    <row r="279" spans="1:49" ht="12" hidden="1" customHeight="1" x14ac:dyDescent="0.3">
      <c r="A279" s="87" t="s">
        <v>49</v>
      </c>
      <c r="B279" s="88">
        <v>46147</v>
      </c>
      <c r="C279" s="89" t="s">
        <v>50</v>
      </c>
      <c r="D279" s="89" t="s">
        <v>51</v>
      </c>
      <c r="E279" s="90">
        <v>771854820</v>
      </c>
      <c r="F279" s="91" t="s">
        <v>768</v>
      </c>
      <c r="G279" s="92">
        <v>5236488800</v>
      </c>
      <c r="H279" s="93">
        <v>15673</v>
      </c>
      <c r="I279" s="89">
        <v>83</v>
      </c>
      <c r="J279" s="89" t="s">
        <v>67</v>
      </c>
      <c r="K279" s="89" t="s">
        <v>54</v>
      </c>
      <c r="L279" s="89" t="s">
        <v>81</v>
      </c>
      <c r="M279" s="89"/>
      <c r="N279" s="89" t="s">
        <v>94</v>
      </c>
      <c r="O279" s="94" t="s">
        <v>769</v>
      </c>
      <c r="P279" s="95" t="s">
        <v>58</v>
      </c>
      <c r="Q279" s="144" t="s">
        <v>689</v>
      </c>
      <c r="R279" s="96"/>
      <c r="S279" s="97"/>
      <c r="T279" s="97" t="s">
        <v>546</v>
      </c>
      <c r="U279" s="97" t="s">
        <v>690</v>
      </c>
      <c r="V279" s="93">
        <v>46161</v>
      </c>
      <c r="W279" s="93">
        <v>46171</v>
      </c>
      <c r="X279" s="118">
        <v>46183</v>
      </c>
      <c r="Y279" s="98"/>
      <c r="Z279" s="89"/>
      <c r="AA279" s="97"/>
      <c r="AB279" s="89"/>
      <c r="AC279" s="120"/>
      <c r="AD279" s="89"/>
      <c r="AE279" s="89"/>
      <c r="AF279" s="89"/>
      <c r="AG279" s="89"/>
      <c r="AH279" s="99"/>
      <c r="AI279" s="99"/>
      <c r="AJ279" s="99"/>
      <c r="AK279" s="100"/>
      <c r="AL279" s="100"/>
      <c r="AM279" s="100"/>
      <c r="AN279" s="45" t="s">
        <v>65</v>
      </c>
      <c r="AO279" s="198" t="str">
        <f t="shared" si="34"/>
        <v>5/2026</v>
      </c>
      <c r="AP279" s="198">
        <f t="shared" si="35"/>
        <v>2</v>
      </c>
      <c r="AQ279" s="45" t="str">
        <f t="shared" si="36"/>
        <v>1/1900</v>
      </c>
      <c r="AR279" s="45" t="e">
        <f t="shared" si="37"/>
        <v>#NUM!</v>
      </c>
      <c r="AS279" s="45">
        <f t="shared" si="38"/>
        <v>0</v>
      </c>
      <c r="AT279" s="45">
        <f t="shared" si="39"/>
        <v>0</v>
      </c>
      <c r="AU279" s="45">
        <f t="shared" si="40"/>
        <v>0</v>
      </c>
      <c r="AV279" s="45">
        <f t="shared" si="33"/>
        <v>0</v>
      </c>
      <c r="AW279" s="45" t="str">
        <f>_xlfn.XLOOKUP(W279,'Lista Suspensa'!$AA$20:$AA$23,'Lista Suspensa'!$AB$20:$AB$23,"N/A")</f>
        <v>N/A</v>
      </c>
    </row>
    <row r="280" spans="1:49" ht="12" hidden="1" customHeight="1" x14ac:dyDescent="0.3">
      <c r="A280" s="87" t="s">
        <v>49</v>
      </c>
      <c r="B280" s="88">
        <v>46147</v>
      </c>
      <c r="C280" s="89" t="s">
        <v>50</v>
      </c>
      <c r="D280" s="89" t="s">
        <v>51</v>
      </c>
      <c r="E280" s="90">
        <v>450018210</v>
      </c>
      <c r="F280" s="91" t="s">
        <v>770</v>
      </c>
      <c r="G280" s="92">
        <v>18376806807</v>
      </c>
      <c r="H280" s="93">
        <v>21866</v>
      </c>
      <c r="I280" s="89">
        <v>66</v>
      </c>
      <c r="J280" s="89" t="s">
        <v>67</v>
      </c>
      <c r="K280" s="89" t="s">
        <v>54</v>
      </c>
      <c r="L280" s="89" t="s">
        <v>771</v>
      </c>
      <c r="M280" s="89"/>
      <c r="N280" s="89" t="s">
        <v>94</v>
      </c>
      <c r="O280" s="94" t="s">
        <v>772</v>
      </c>
      <c r="P280" s="95" t="s">
        <v>58</v>
      </c>
      <c r="Q280" s="144" t="s">
        <v>689</v>
      </c>
      <c r="R280" s="96"/>
      <c r="S280" s="97"/>
      <c r="T280" s="97" t="s">
        <v>546</v>
      </c>
      <c r="U280" s="97" t="s">
        <v>690</v>
      </c>
      <c r="V280" s="93">
        <v>46161</v>
      </c>
      <c r="W280" s="93">
        <v>46171</v>
      </c>
      <c r="X280" s="118">
        <v>46183</v>
      </c>
      <c r="Y280" s="98"/>
      <c r="Z280" s="89"/>
      <c r="AA280" s="97"/>
      <c r="AB280" s="89"/>
      <c r="AC280" s="120"/>
      <c r="AD280" s="89"/>
      <c r="AE280" s="89"/>
      <c r="AF280" s="89"/>
      <c r="AG280" s="89"/>
      <c r="AH280" s="99"/>
      <c r="AI280" s="99"/>
      <c r="AJ280" s="99"/>
      <c r="AK280" s="100"/>
      <c r="AL280" s="100"/>
      <c r="AM280" s="100"/>
      <c r="AN280" s="45" t="s">
        <v>65</v>
      </c>
      <c r="AO280" s="198" t="str">
        <f t="shared" si="34"/>
        <v>5/2026</v>
      </c>
      <c r="AP280" s="198">
        <f t="shared" si="35"/>
        <v>2</v>
      </c>
      <c r="AQ280" s="45" t="str">
        <f t="shared" si="36"/>
        <v>1/1900</v>
      </c>
      <c r="AR280" s="45" t="e">
        <f t="shared" si="37"/>
        <v>#NUM!</v>
      </c>
      <c r="AS280" s="45">
        <f t="shared" si="38"/>
        <v>0</v>
      </c>
      <c r="AT280" s="45">
        <f t="shared" si="39"/>
        <v>0</v>
      </c>
      <c r="AU280" s="45">
        <f t="shared" si="40"/>
        <v>0</v>
      </c>
      <c r="AV280" s="45">
        <f t="shared" si="33"/>
        <v>0</v>
      </c>
      <c r="AW280" s="45" t="str">
        <f>_xlfn.XLOOKUP(W280,'Lista Suspensa'!$AA$20:$AA$23,'Lista Suspensa'!$AB$20:$AB$23,"N/A")</f>
        <v>N/A</v>
      </c>
    </row>
    <row r="281" spans="1:49" ht="12" hidden="1" customHeight="1" x14ac:dyDescent="0.3">
      <c r="A281" s="87" t="s">
        <v>49</v>
      </c>
      <c r="B281" s="88">
        <v>46147</v>
      </c>
      <c r="C281" s="89" t="s">
        <v>50</v>
      </c>
      <c r="D281" s="89" t="s">
        <v>51</v>
      </c>
      <c r="E281" s="90">
        <v>83107585</v>
      </c>
      <c r="F281" s="91" t="s">
        <v>773</v>
      </c>
      <c r="G281" s="92">
        <v>5724917785</v>
      </c>
      <c r="H281" s="93">
        <v>30041</v>
      </c>
      <c r="I281" s="89">
        <v>44</v>
      </c>
      <c r="J281" s="89" t="s">
        <v>67</v>
      </c>
      <c r="K281" s="89" t="s">
        <v>77</v>
      </c>
      <c r="L281" s="89" t="s">
        <v>774</v>
      </c>
      <c r="M281" s="89"/>
      <c r="N281" s="89" t="s">
        <v>82</v>
      </c>
      <c r="O281" s="94" t="s">
        <v>775</v>
      </c>
      <c r="P281" s="95" t="s">
        <v>58</v>
      </c>
      <c r="Q281" s="144" t="s">
        <v>689</v>
      </c>
      <c r="R281" s="96"/>
      <c r="S281" s="97"/>
      <c r="T281" s="97" t="s">
        <v>546</v>
      </c>
      <c r="U281" s="97" t="s">
        <v>690</v>
      </c>
      <c r="V281" s="93">
        <v>46161</v>
      </c>
      <c r="W281" s="93">
        <v>46171</v>
      </c>
      <c r="X281" s="118">
        <v>46183</v>
      </c>
      <c r="Y281" s="98"/>
      <c r="Z281" s="89"/>
      <c r="AA281" s="97"/>
      <c r="AB281" s="89"/>
      <c r="AC281" s="120"/>
      <c r="AD281" s="89"/>
      <c r="AE281" s="89"/>
      <c r="AF281" s="89"/>
      <c r="AG281" s="89"/>
      <c r="AH281" s="99"/>
      <c r="AI281" s="99"/>
      <c r="AJ281" s="99"/>
      <c r="AK281" s="100"/>
      <c r="AL281" s="100"/>
      <c r="AM281" s="100"/>
      <c r="AN281" s="45" t="s">
        <v>65</v>
      </c>
      <c r="AO281" s="198" t="str">
        <f t="shared" si="34"/>
        <v>5/2026</v>
      </c>
      <c r="AP281" s="198">
        <f t="shared" si="35"/>
        <v>2</v>
      </c>
      <c r="AQ281" s="45" t="str">
        <f t="shared" si="36"/>
        <v>1/1900</v>
      </c>
      <c r="AR281" s="45" t="e">
        <f t="shared" si="37"/>
        <v>#NUM!</v>
      </c>
      <c r="AS281" s="45">
        <f t="shared" si="38"/>
        <v>0</v>
      </c>
      <c r="AT281" s="45">
        <f t="shared" si="39"/>
        <v>0</v>
      </c>
      <c r="AU281" s="45">
        <f t="shared" si="40"/>
        <v>0</v>
      </c>
      <c r="AV281" s="45">
        <f t="shared" si="33"/>
        <v>0</v>
      </c>
      <c r="AW281" s="45" t="str">
        <f>_xlfn.XLOOKUP(W281,'Lista Suspensa'!$AA$20:$AA$23,'Lista Suspensa'!$AB$20:$AB$23,"N/A")</f>
        <v>N/A</v>
      </c>
    </row>
    <row r="282" spans="1:49" ht="12" hidden="1" customHeight="1" x14ac:dyDescent="0.3">
      <c r="A282" s="87" t="s">
        <v>49</v>
      </c>
      <c r="B282" s="88">
        <v>46147</v>
      </c>
      <c r="C282" s="89" t="s">
        <v>50</v>
      </c>
      <c r="D282" s="89" t="s">
        <v>51</v>
      </c>
      <c r="E282" s="90">
        <v>88484184</v>
      </c>
      <c r="F282" s="91" t="s">
        <v>776</v>
      </c>
      <c r="G282" s="92">
        <v>44204477291</v>
      </c>
      <c r="H282" s="93">
        <v>26832</v>
      </c>
      <c r="I282" s="89">
        <v>52</v>
      </c>
      <c r="J282" s="89" t="s">
        <v>53</v>
      </c>
      <c r="K282" s="89"/>
      <c r="L282" s="89" t="s">
        <v>777</v>
      </c>
      <c r="M282" s="89"/>
      <c r="N282" s="89" t="s">
        <v>124</v>
      </c>
      <c r="O282" s="94" t="s">
        <v>778</v>
      </c>
      <c r="P282" s="95" t="s">
        <v>58</v>
      </c>
      <c r="Q282" s="144" t="s">
        <v>689</v>
      </c>
      <c r="R282" s="96"/>
      <c r="S282" s="97"/>
      <c r="T282" s="97" t="s">
        <v>546</v>
      </c>
      <c r="U282" s="97" t="s">
        <v>690</v>
      </c>
      <c r="V282" s="93">
        <v>46161</v>
      </c>
      <c r="W282" s="93">
        <v>46171</v>
      </c>
      <c r="X282" s="118">
        <v>46183</v>
      </c>
      <c r="Y282" s="98"/>
      <c r="Z282" s="89"/>
      <c r="AA282" s="97"/>
      <c r="AB282" s="89"/>
      <c r="AC282" s="120"/>
      <c r="AD282" s="89"/>
      <c r="AE282" s="89"/>
      <c r="AF282" s="89"/>
      <c r="AG282" s="89"/>
      <c r="AH282" s="99"/>
      <c r="AI282" s="99"/>
      <c r="AJ282" s="99"/>
      <c r="AK282" s="100"/>
      <c r="AL282" s="100"/>
      <c r="AM282" s="100"/>
      <c r="AN282" s="45" t="s">
        <v>65</v>
      </c>
      <c r="AO282" s="198" t="str">
        <f t="shared" si="34"/>
        <v>5/2026</v>
      </c>
      <c r="AP282" s="198">
        <f t="shared" si="35"/>
        <v>2</v>
      </c>
      <c r="AQ282" s="45" t="str">
        <f t="shared" si="36"/>
        <v>1/1900</v>
      </c>
      <c r="AR282" s="45" t="e">
        <f t="shared" si="37"/>
        <v>#NUM!</v>
      </c>
      <c r="AS282" s="45">
        <f t="shared" si="38"/>
        <v>0</v>
      </c>
      <c r="AT282" s="45">
        <f t="shared" si="39"/>
        <v>0</v>
      </c>
      <c r="AU282" s="45">
        <f t="shared" si="40"/>
        <v>0</v>
      </c>
      <c r="AV282" s="45">
        <f t="shared" si="33"/>
        <v>0</v>
      </c>
      <c r="AW282" s="45" t="str">
        <f>_xlfn.XLOOKUP(W282,'Lista Suspensa'!$AA$20:$AA$23,'Lista Suspensa'!$AB$20:$AB$23,"N/A")</f>
        <v>N/A</v>
      </c>
    </row>
    <row r="283" spans="1:49" ht="12" hidden="1" customHeight="1" x14ac:dyDescent="0.3">
      <c r="A283" s="87" t="s">
        <v>49</v>
      </c>
      <c r="B283" s="88">
        <v>46147</v>
      </c>
      <c r="C283" s="89" t="s">
        <v>50</v>
      </c>
      <c r="D283" s="89" t="s">
        <v>51</v>
      </c>
      <c r="E283" s="90">
        <v>124755933</v>
      </c>
      <c r="F283" s="91" t="s">
        <v>779</v>
      </c>
      <c r="G283" s="92">
        <v>15335241810</v>
      </c>
      <c r="H283" s="93">
        <v>18903</v>
      </c>
      <c r="I283" s="89">
        <v>74</v>
      </c>
      <c r="J283" s="89" t="s">
        <v>67</v>
      </c>
      <c r="K283" s="89" t="s">
        <v>54</v>
      </c>
      <c r="L283" s="89" t="s">
        <v>93</v>
      </c>
      <c r="M283" s="89"/>
      <c r="N283" s="89" t="s">
        <v>100</v>
      </c>
      <c r="O283" s="94" t="s">
        <v>780</v>
      </c>
      <c r="P283" s="95" t="s">
        <v>58</v>
      </c>
      <c r="Q283" s="144" t="s">
        <v>689</v>
      </c>
      <c r="R283" s="96"/>
      <c r="S283" s="97"/>
      <c r="T283" s="97" t="s">
        <v>546</v>
      </c>
      <c r="U283" s="97" t="s">
        <v>690</v>
      </c>
      <c r="V283" s="93">
        <v>46161</v>
      </c>
      <c r="W283" s="93">
        <v>46171</v>
      </c>
      <c r="X283" s="118">
        <v>46183</v>
      </c>
      <c r="Y283" s="98"/>
      <c r="Z283" s="89"/>
      <c r="AA283" s="97"/>
      <c r="AB283" s="89"/>
      <c r="AC283" s="120"/>
      <c r="AD283" s="89"/>
      <c r="AE283" s="89"/>
      <c r="AF283" s="89"/>
      <c r="AG283" s="89"/>
      <c r="AH283" s="99"/>
      <c r="AI283" s="99"/>
      <c r="AJ283" s="99"/>
      <c r="AK283" s="100"/>
      <c r="AL283" s="100"/>
      <c r="AM283" s="100"/>
      <c r="AN283" s="45" t="s">
        <v>65</v>
      </c>
      <c r="AO283" s="198" t="str">
        <f t="shared" si="34"/>
        <v>5/2026</v>
      </c>
      <c r="AP283" s="198">
        <f t="shared" si="35"/>
        <v>2</v>
      </c>
      <c r="AQ283" s="45" t="str">
        <f t="shared" si="36"/>
        <v>1/1900</v>
      </c>
      <c r="AR283" s="45" t="e">
        <f t="shared" si="37"/>
        <v>#NUM!</v>
      </c>
      <c r="AS283" s="45">
        <f t="shared" si="38"/>
        <v>0</v>
      </c>
      <c r="AT283" s="45">
        <f t="shared" si="39"/>
        <v>0</v>
      </c>
      <c r="AU283" s="45">
        <f t="shared" si="40"/>
        <v>0</v>
      </c>
      <c r="AV283" s="45">
        <f t="shared" si="33"/>
        <v>0</v>
      </c>
      <c r="AW283" s="45" t="str">
        <f>_xlfn.XLOOKUP(W283,'Lista Suspensa'!$AA$20:$AA$23,'Lista Suspensa'!$AB$20:$AB$23,"N/A")</f>
        <v>N/A</v>
      </c>
    </row>
    <row r="284" spans="1:49" ht="12" hidden="1" customHeight="1" x14ac:dyDescent="0.3">
      <c r="A284" s="87" t="s">
        <v>49</v>
      </c>
      <c r="B284" s="88">
        <v>46147</v>
      </c>
      <c r="C284" s="89" t="s">
        <v>50</v>
      </c>
      <c r="D284" s="89" t="s">
        <v>51</v>
      </c>
      <c r="E284" s="90">
        <v>452382793</v>
      </c>
      <c r="F284" s="91" t="s">
        <v>781</v>
      </c>
      <c r="G284" s="92">
        <v>94736405872</v>
      </c>
      <c r="H284" s="93">
        <v>20035</v>
      </c>
      <c r="I284" s="89">
        <v>71</v>
      </c>
      <c r="J284" s="89" t="s">
        <v>67</v>
      </c>
      <c r="K284" s="89" t="s">
        <v>54</v>
      </c>
      <c r="L284" s="89" t="s">
        <v>93</v>
      </c>
      <c r="M284" s="89"/>
      <c r="N284" s="89" t="s">
        <v>94</v>
      </c>
      <c r="O284" s="94" t="s">
        <v>782</v>
      </c>
      <c r="P284" s="95" t="s">
        <v>58</v>
      </c>
      <c r="Q284" s="144" t="s">
        <v>689</v>
      </c>
      <c r="R284" s="96"/>
      <c r="S284" s="97"/>
      <c r="T284" s="97" t="s">
        <v>546</v>
      </c>
      <c r="U284" s="97" t="s">
        <v>690</v>
      </c>
      <c r="V284" s="93">
        <v>46161</v>
      </c>
      <c r="W284" s="93">
        <v>46171</v>
      </c>
      <c r="X284" s="118">
        <v>46183</v>
      </c>
      <c r="Y284" s="98"/>
      <c r="Z284" s="89"/>
      <c r="AA284" s="97"/>
      <c r="AB284" s="89"/>
      <c r="AC284" s="120"/>
      <c r="AD284" s="89"/>
      <c r="AE284" s="89"/>
      <c r="AF284" s="89"/>
      <c r="AG284" s="89"/>
      <c r="AH284" s="99"/>
      <c r="AI284" s="99"/>
      <c r="AJ284" s="99"/>
      <c r="AK284" s="100"/>
      <c r="AL284" s="100"/>
      <c r="AM284" s="100"/>
      <c r="AN284" s="45" t="s">
        <v>65</v>
      </c>
      <c r="AO284" s="198" t="str">
        <f t="shared" si="34"/>
        <v>5/2026</v>
      </c>
      <c r="AP284" s="198">
        <f t="shared" si="35"/>
        <v>2</v>
      </c>
      <c r="AQ284" s="45" t="str">
        <f t="shared" si="36"/>
        <v>1/1900</v>
      </c>
      <c r="AR284" s="45" t="e">
        <f t="shared" si="37"/>
        <v>#NUM!</v>
      </c>
      <c r="AS284" s="45">
        <f t="shared" si="38"/>
        <v>0</v>
      </c>
      <c r="AT284" s="45">
        <f t="shared" si="39"/>
        <v>0</v>
      </c>
      <c r="AU284" s="45">
        <f t="shared" si="40"/>
        <v>0</v>
      </c>
      <c r="AV284" s="45">
        <f t="shared" si="33"/>
        <v>0</v>
      </c>
      <c r="AW284" s="45" t="str">
        <f>_xlfn.XLOOKUP(W284,'Lista Suspensa'!$AA$20:$AA$23,'Lista Suspensa'!$AB$20:$AB$23,"N/A")</f>
        <v>N/A</v>
      </c>
    </row>
    <row r="285" spans="1:49" ht="12" hidden="1" customHeight="1" x14ac:dyDescent="0.3">
      <c r="A285" s="87" t="s">
        <v>49</v>
      </c>
      <c r="B285" s="88">
        <v>46147</v>
      </c>
      <c r="C285" s="89" t="s">
        <v>50</v>
      </c>
      <c r="D285" s="89" t="s">
        <v>51</v>
      </c>
      <c r="E285" s="90">
        <v>85289297</v>
      </c>
      <c r="F285" s="91" t="s">
        <v>783</v>
      </c>
      <c r="G285" s="92">
        <v>17124872804</v>
      </c>
      <c r="H285" s="93">
        <v>23377</v>
      </c>
      <c r="I285" s="89">
        <v>62</v>
      </c>
      <c r="J285" s="89" t="s">
        <v>53</v>
      </c>
      <c r="K285" s="89" t="s">
        <v>54</v>
      </c>
      <c r="L285" s="89" t="s">
        <v>93</v>
      </c>
      <c r="M285" s="89"/>
      <c r="N285" s="89" t="s">
        <v>82</v>
      </c>
      <c r="O285" s="94" t="s">
        <v>784</v>
      </c>
      <c r="P285" s="95" t="s">
        <v>58</v>
      </c>
      <c r="Q285" s="144" t="s">
        <v>689</v>
      </c>
      <c r="R285" s="96"/>
      <c r="S285" s="97"/>
      <c r="T285" s="97" t="s">
        <v>546</v>
      </c>
      <c r="U285" s="97" t="s">
        <v>690</v>
      </c>
      <c r="V285" s="93">
        <v>46161</v>
      </c>
      <c r="W285" s="93">
        <v>46171</v>
      </c>
      <c r="X285" s="118">
        <v>46183</v>
      </c>
      <c r="Y285" s="98"/>
      <c r="Z285" s="89"/>
      <c r="AA285" s="97"/>
      <c r="AB285" s="89"/>
      <c r="AC285" s="120"/>
      <c r="AD285" s="89"/>
      <c r="AE285" s="89"/>
      <c r="AF285" s="89"/>
      <c r="AG285" s="89"/>
      <c r="AH285" s="99"/>
      <c r="AI285" s="99"/>
      <c r="AJ285" s="99"/>
      <c r="AK285" s="100"/>
      <c r="AL285" s="100"/>
      <c r="AM285" s="100"/>
      <c r="AN285" s="45" t="s">
        <v>65</v>
      </c>
      <c r="AO285" s="198" t="str">
        <f t="shared" si="34"/>
        <v>5/2026</v>
      </c>
      <c r="AP285" s="198">
        <f t="shared" si="35"/>
        <v>2</v>
      </c>
      <c r="AQ285" s="45" t="str">
        <f t="shared" si="36"/>
        <v>1/1900</v>
      </c>
      <c r="AR285" s="45" t="e">
        <f t="shared" si="37"/>
        <v>#NUM!</v>
      </c>
      <c r="AS285" s="45">
        <f t="shared" si="38"/>
        <v>0</v>
      </c>
      <c r="AT285" s="45">
        <f t="shared" si="39"/>
        <v>0</v>
      </c>
      <c r="AU285" s="45">
        <f t="shared" si="40"/>
        <v>0</v>
      </c>
      <c r="AV285" s="45">
        <f t="shared" si="33"/>
        <v>0</v>
      </c>
      <c r="AW285" s="45" t="str">
        <f>_xlfn.XLOOKUP(W285,'Lista Suspensa'!$AA$20:$AA$23,'Lista Suspensa'!$AB$20:$AB$23,"N/A")</f>
        <v>N/A</v>
      </c>
    </row>
    <row r="286" spans="1:49" ht="12" hidden="1" customHeight="1" x14ac:dyDescent="0.3">
      <c r="A286" s="87" t="s">
        <v>49</v>
      </c>
      <c r="B286" s="88">
        <v>46147</v>
      </c>
      <c r="C286" s="89" t="s">
        <v>50</v>
      </c>
      <c r="D286" s="89" t="s">
        <v>51</v>
      </c>
      <c r="E286" s="90">
        <v>89667987</v>
      </c>
      <c r="F286" s="91" t="s">
        <v>785</v>
      </c>
      <c r="G286" s="92">
        <v>12929855851</v>
      </c>
      <c r="H286" s="93">
        <v>26136</v>
      </c>
      <c r="I286" s="89">
        <v>54</v>
      </c>
      <c r="J286" s="89" t="s">
        <v>53</v>
      </c>
      <c r="K286" s="89" t="s">
        <v>54</v>
      </c>
      <c r="L286" s="89" t="s">
        <v>93</v>
      </c>
      <c r="M286" s="89"/>
      <c r="N286" s="89" t="s">
        <v>124</v>
      </c>
      <c r="O286" s="94" t="s">
        <v>786</v>
      </c>
      <c r="P286" s="95" t="s">
        <v>58</v>
      </c>
      <c r="Q286" s="144" t="s">
        <v>689</v>
      </c>
      <c r="R286" s="96"/>
      <c r="S286" s="97"/>
      <c r="T286" s="97" t="s">
        <v>546</v>
      </c>
      <c r="U286" s="97" t="s">
        <v>690</v>
      </c>
      <c r="V286" s="93">
        <v>46161</v>
      </c>
      <c r="W286" s="93">
        <v>46171</v>
      </c>
      <c r="X286" s="118">
        <v>46183</v>
      </c>
      <c r="Y286" s="98"/>
      <c r="Z286" s="89"/>
      <c r="AA286" s="97"/>
      <c r="AB286" s="89"/>
      <c r="AC286" s="120"/>
      <c r="AD286" s="89"/>
      <c r="AE286" s="89"/>
      <c r="AF286" s="89"/>
      <c r="AG286" s="89"/>
      <c r="AH286" s="99"/>
      <c r="AI286" s="99"/>
      <c r="AJ286" s="99"/>
      <c r="AK286" s="100"/>
      <c r="AL286" s="100"/>
      <c r="AM286" s="100"/>
      <c r="AN286" s="45" t="s">
        <v>65</v>
      </c>
      <c r="AO286" s="198" t="str">
        <f t="shared" si="34"/>
        <v>5/2026</v>
      </c>
      <c r="AP286" s="198">
        <f t="shared" si="35"/>
        <v>2</v>
      </c>
      <c r="AQ286" s="45" t="str">
        <f t="shared" si="36"/>
        <v>1/1900</v>
      </c>
      <c r="AR286" s="45" t="e">
        <f t="shared" si="37"/>
        <v>#NUM!</v>
      </c>
      <c r="AS286" s="45">
        <f t="shared" si="38"/>
        <v>0</v>
      </c>
      <c r="AT286" s="45">
        <f t="shared" si="39"/>
        <v>0</v>
      </c>
      <c r="AU286" s="45">
        <f t="shared" si="40"/>
        <v>0</v>
      </c>
      <c r="AV286" s="45">
        <f t="shared" si="33"/>
        <v>0</v>
      </c>
      <c r="AW286" s="45" t="str">
        <f>_xlfn.XLOOKUP(W286,'Lista Suspensa'!$AA$20:$AA$23,'Lista Suspensa'!$AB$20:$AB$23,"N/A")</f>
        <v>N/A</v>
      </c>
    </row>
    <row r="287" spans="1:49" ht="12" hidden="1" customHeight="1" x14ac:dyDescent="0.3">
      <c r="A287" s="87" t="s">
        <v>49</v>
      </c>
      <c r="B287" s="88">
        <v>46147</v>
      </c>
      <c r="C287" s="89" t="s">
        <v>50</v>
      </c>
      <c r="D287" s="89" t="s">
        <v>51</v>
      </c>
      <c r="E287" s="90">
        <v>94101989</v>
      </c>
      <c r="F287" s="91" t="s">
        <v>787</v>
      </c>
      <c r="G287" s="92">
        <v>29832807808</v>
      </c>
      <c r="H287" s="93">
        <v>29781</v>
      </c>
      <c r="I287" s="89">
        <v>44</v>
      </c>
      <c r="J287" s="89" t="s">
        <v>53</v>
      </c>
      <c r="K287" s="89" t="s">
        <v>54</v>
      </c>
      <c r="L287" s="89" t="s">
        <v>93</v>
      </c>
      <c r="M287" s="89"/>
      <c r="N287" s="89" t="s">
        <v>113</v>
      </c>
      <c r="O287" s="94" t="s">
        <v>788</v>
      </c>
      <c r="P287" s="95" t="s">
        <v>58</v>
      </c>
      <c r="Q287" s="144" t="s">
        <v>689</v>
      </c>
      <c r="R287" s="96"/>
      <c r="S287" s="97"/>
      <c r="T287" s="97" t="s">
        <v>546</v>
      </c>
      <c r="U287" s="97" t="s">
        <v>690</v>
      </c>
      <c r="V287" s="93">
        <v>46161</v>
      </c>
      <c r="W287" s="93">
        <v>46171</v>
      </c>
      <c r="X287" s="118">
        <v>46183</v>
      </c>
      <c r="Y287" s="98"/>
      <c r="Z287" s="89"/>
      <c r="AA287" s="97"/>
      <c r="AB287" s="89"/>
      <c r="AC287" s="120"/>
      <c r="AD287" s="89"/>
      <c r="AE287" s="89"/>
      <c r="AF287" s="89"/>
      <c r="AG287" s="89"/>
      <c r="AH287" s="99"/>
      <c r="AI287" s="99"/>
      <c r="AJ287" s="99"/>
      <c r="AK287" s="100"/>
      <c r="AL287" s="100"/>
      <c r="AM287" s="100"/>
      <c r="AN287" s="45" t="s">
        <v>65</v>
      </c>
      <c r="AO287" s="198" t="str">
        <f t="shared" si="34"/>
        <v>5/2026</v>
      </c>
      <c r="AP287" s="198">
        <f t="shared" si="35"/>
        <v>2</v>
      </c>
      <c r="AQ287" s="45" t="str">
        <f t="shared" si="36"/>
        <v>1/1900</v>
      </c>
      <c r="AR287" s="45" t="e">
        <f t="shared" si="37"/>
        <v>#NUM!</v>
      </c>
      <c r="AS287" s="45">
        <f t="shared" si="38"/>
        <v>0</v>
      </c>
      <c r="AT287" s="45">
        <f t="shared" si="39"/>
        <v>0</v>
      </c>
      <c r="AU287" s="45">
        <f t="shared" si="40"/>
        <v>0</v>
      </c>
      <c r="AV287" s="45">
        <f t="shared" ref="AV287:AV327" si="41">IF(AW287="S",IF(AND(Q287="1. Aceitou o programa",AB287="Realizada"),IFERROR(IF(AA287="",0,AA287-R287),0),0),0)</f>
        <v>0</v>
      </c>
      <c r="AW287" s="45" t="str">
        <f>_xlfn.XLOOKUP(W287,'Lista Suspensa'!$AA$20:$AA$23,'Lista Suspensa'!$AB$20:$AB$23,"N/A")</f>
        <v>N/A</v>
      </c>
    </row>
    <row r="288" spans="1:49" ht="12" hidden="1" customHeight="1" x14ac:dyDescent="0.3">
      <c r="A288" s="87" t="s">
        <v>49</v>
      </c>
      <c r="B288" s="88">
        <v>46147</v>
      </c>
      <c r="C288" s="89" t="s">
        <v>50</v>
      </c>
      <c r="D288" s="89" t="s">
        <v>51</v>
      </c>
      <c r="E288" s="90">
        <v>79379034</v>
      </c>
      <c r="F288" s="91" t="s">
        <v>789</v>
      </c>
      <c r="G288" s="92">
        <v>38756121830</v>
      </c>
      <c r="H288" s="93">
        <v>33491</v>
      </c>
      <c r="I288" s="89">
        <v>34</v>
      </c>
      <c r="J288" s="89" t="s">
        <v>67</v>
      </c>
      <c r="K288" s="89" t="s">
        <v>54</v>
      </c>
      <c r="L288" s="89" t="s">
        <v>93</v>
      </c>
      <c r="M288" s="89"/>
      <c r="N288" s="89" t="s">
        <v>87</v>
      </c>
      <c r="O288" s="94" t="s">
        <v>790</v>
      </c>
      <c r="P288" s="95" t="s">
        <v>58</v>
      </c>
      <c r="Q288" s="144" t="s">
        <v>689</v>
      </c>
      <c r="R288" s="96"/>
      <c r="S288" s="97"/>
      <c r="T288" s="97" t="s">
        <v>546</v>
      </c>
      <c r="U288" s="97" t="s">
        <v>690</v>
      </c>
      <c r="V288" s="93">
        <v>46161</v>
      </c>
      <c r="W288" s="93">
        <v>46171</v>
      </c>
      <c r="X288" s="118">
        <v>46183</v>
      </c>
      <c r="Y288" s="98"/>
      <c r="Z288" s="89"/>
      <c r="AA288" s="97"/>
      <c r="AB288" s="89"/>
      <c r="AC288" s="120"/>
      <c r="AD288" s="89"/>
      <c r="AE288" s="89"/>
      <c r="AF288" s="89"/>
      <c r="AG288" s="89"/>
      <c r="AH288" s="99"/>
      <c r="AI288" s="99"/>
      <c r="AJ288" s="99"/>
      <c r="AK288" s="100"/>
      <c r="AL288" s="100"/>
      <c r="AM288" s="100"/>
      <c r="AN288" s="45" t="s">
        <v>65</v>
      </c>
      <c r="AO288" s="198" t="str">
        <f t="shared" si="34"/>
        <v>5/2026</v>
      </c>
      <c r="AP288" s="198">
        <f t="shared" si="35"/>
        <v>2</v>
      </c>
      <c r="AQ288" s="45" t="str">
        <f t="shared" si="36"/>
        <v>1/1900</v>
      </c>
      <c r="AR288" s="45" t="e">
        <f t="shared" si="37"/>
        <v>#NUM!</v>
      </c>
      <c r="AS288" s="45">
        <f t="shared" si="38"/>
        <v>0</v>
      </c>
      <c r="AT288" s="45">
        <f t="shared" si="39"/>
        <v>0</v>
      </c>
      <c r="AU288" s="45">
        <f t="shared" si="40"/>
        <v>0</v>
      </c>
      <c r="AV288" s="45">
        <f t="shared" si="41"/>
        <v>0</v>
      </c>
      <c r="AW288" s="45" t="str">
        <f>_xlfn.XLOOKUP(W288,'Lista Suspensa'!$AA$20:$AA$23,'Lista Suspensa'!$AB$20:$AB$23,"N/A")</f>
        <v>N/A</v>
      </c>
    </row>
    <row r="289" spans="1:49" ht="12" hidden="1" customHeight="1" x14ac:dyDescent="0.3">
      <c r="A289" s="87" t="s">
        <v>49</v>
      </c>
      <c r="B289" s="88">
        <v>46147</v>
      </c>
      <c r="C289" s="89" t="s">
        <v>50</v>
      </c>
      <c r="D289" s="89" t="s">
        <v>51</v>
      </c>
      <c r="E289" s="90">
        <v>800009770</v>
      </c>
      <c r="F289" s="91" t="s">
        <v>791</v>
      </c>
      <c r="G289" s="92">
        <v>53955641872</v>
      </c>
      <c r="H289" s="93">
        <v>17554</v>
      </c>
      <c r="I289" s="89">
        <v>78</v>
      </c>
      <c r="J289" s="89" t="s">
        <v>53</v>
      </c>
      <c r="K289" s="89" t="s">
        <v>54</v>
      </c>
      <c r="L289" s="89" t="s">
        <v>93</v>
      </c>
      <c r="M289" s="89"/>
      <c r="N289" s="89" t="s">
        <v>209</v>
      </c>
      <c r="O289" s="94" t="s">
        <v>792</v>
      </c>
      <c r="P289" s="95" t="s">
        <v>58</v>
      </c>
      <c r="Q289" s="144" t="s">
        <v>689</v>
      </c>
      <c r="R289" s="96"/>
      <c r="S289" s="97"/>
      <c r="T289" s="97" t="s">
        <v>546</v>
      </c>
      <c r="U289" s="97" t="s">
        <v>690</v>
      </c>
      <c r="V289" s="93">
        <v>46161</v>
      </c>
      <c r="W289" s="93">
        <v>46171</v>
      </c>
      <c r="X289" s="118">
        <v>46183</v>
      </c>
      <c r="Y289" s="98"/>
      <c r="Z289" s="89"/>
      <c r="AA289" s="97"/>
      <c r="AB289" s="89"/>
      <c r="AC289" s="120"/>
      <c r="AD289" s="89"/>
      <c r="AE289" s="89"/>
      <c r="AF289" s="89"/>
      <c r="AG289" s="89"/>
      <c r="AH289" s="99"/>
      <c r="AI289" s="99"/>
      <c r="AJ289" s="99"/>
      <c r="AK289" s="100"/>
      <c r="AL289" s="100"/>
      <c r="AM289" s="100"/>
      <c r="AN289" s="45" t="s">
        <v>65</v>
      </c>
      <c r="AO289" s="198" t="str">
        <f t="shared" si="34"/>
        <v>5/2026</v>
      </c>
      <c r="AP289" s="198">
        <f t="shared" si="35"/>
        <v>2</v>
      </c>
      <c r="AQ289" s="45" t="str">
        <f t="shared" si="36"/>
        <v>1/1900</v>
      </c>
      <c r="AR289" s="45" t="e">
        <f t="shared" si="37"/>
        <v>#NUM!</v>
      </c>
      <c r="AS289" s="45">
        <f t="shared" si="38"/>
        <v>0</v>
      </c>
      <c r="AT289" s="45">
        <f t="shared" si="39"/>
        <v>0</v>
      </c>
      <c r="AU289" s="45">
        <f t="shared" si="40"/>
        <v>0</v>
      </c>
      <c r="AV289" s="45">
        <f t="shared" si="41"/>
        <v>0</v>
      </c>
      <c r="AW289" s="45" t="str">
        <f>_xlfn.XLOOKUP(W289,'Lista Suspensa'!$AA$20:$AA$23,'Lista Suspensa'!$AB$20:$AB$23,"N/A")</f>
        <v>N/A</v>
      </c>
    </row>
    <row r="290" spans="1:49" ht="12" hidden="1" customHeight="1" x14ac:dyDescent="0.3">
      <c r="A290" s="87" t="s">
        <v>49</v>
      </c>
      <c r="B290" s="88">
        <v>46147</v>
      </c>
      <c r="C290" s="89" t="s">
        <v>50</v>
      </c>
      <c r="D290" s="89" t="s">
        <v>51</v>
      </c>
      <c r="E290" s="90">
        <v>84645332</v>
      </c>
      <c r="F290" s="91" t="s">
        <v>793</v>
      </c>
      <c r="G290" s="92">
        <v>2926360835</v>
      </c>
      <c r="H290" s="93">
        <v>22156</v>
      </c>
      <c r="I290" s="89">
        <v>65</v>
      </c>
      <c r="J290" s="89" t="s">
        <v>53</v>
      </c>
      <c r="K290" s="89" t="s">
        <v>54</v>
      </c>
      <c r="L290" s="89" t="s">
        <v>93</v>
      </c>
      <c r="M290" s="89"/>
      <c r="N290" s="89" t="s">
        <v>82</v>
      </c>
      <c r="O290" s="94" t="s">
        <v>794</v>
      </c>
      <c r="P290" s="95" t="s">
        <v>58</v>
      </c>
      <c r="Q290" s="144" t="s">
        <v>689</v>
      </c>
      <c r="R290" s="96"/>
      <c r="S290" s="97"/>
      <c r="T290" s="97" t="s">
        <v>546</v>
      </c>
      <c r="U290" s="97" t="s">
        <v>690</v>
      </c>
      <c r="V290" s="93">
        <v>46161</v>
      </c>
      <c r="W290" s="93">
        <v>46171</v>
      </c>
      <c r="X290" s="118">
        <v>46183</v>
      </c>
      <c r="Y290" s="98"/>
      <c r="Z290" s="89"/>
      <c r="AA290" s="97"/>
      <c r="AB290" s="89"/>
      <c r="AC290" s="120"/>
      <c r="AD290" s="89"/>
      <c r="AE290" s="89"/>
      <c r="AF290" s="89"/>
      <c r="AG290" s="89"/>
      <c r="AH290" s="99"/>
      <c r="AI290" s="99"/>
      <c r="AJ290" s="99"/>
      <c r="AK290" s="100"/>
      <c r="AL290" s="100"/>
      <c r="AM290" s="100"/>
      <c r="AN290" s="45" t="s">
        <v>65</v>
      </c>
      <c r="AO290" s="198" t="str">
        <f t="shared" si="34"/>
        <v>5/2026</v>
      </c>
      <c r="AP290" s="198">
        <f t="shared" si="35"/>
        <v>2</v>
      </c>
      <c r="AQ290" s="45" t="str">
        <f t="shared" si="36"/>
        <v>1/1900</v>
      </c>
      <c r="AR290" s="45" t="e">
        <f t="shared" si="37"/>
        <v>#NUM!</v>
      </c>
      <c r="AS290" s="45">
        <f t="shared" si="38"/>
        <v>0</v>
      </c>
      <c r="AT290" s="45">
        <f t="shared" si="39"/>
        <v>0</v>
      </c>
      <c r="AU290" s="45">
        <f t="shared" si="40"/>
        <v>0</v>
      </c>
      <c r="AV290" s="45">
        <f t="shared" si="41"/>
        <v>0</v>
      </c>
      <c r="AW290" s="45" t="str">
        <f>_xlfn.XLOOKUP(W290,'Lista Suspensa'!$AA$20:$AA$23,'Lista Suspensa'!$AB$20:$AB$23,"N/A")</f>
        <v>N/A</v>
      </c>
    </row>
    <row r="291" spans="1:49" ht="12" hidden="1" customHeight="1" x14ac:dyDescent="0.3">
      <c r="A291" s="87" t="s">
        <v>49</v>
      </c>
      <c r="B291" s="88">
        <v>46147</v>
      </c>
      <c r="C291" s="89" t="s">
        <v>50</v>
      </c>
      <c r="D291" s="89" t="s">
        <v>51</v>
      </c>
      <c r="E291" s="90">
        <v>88474523</v>
      </c>
      <c r="F291" s="91" t="s">
        <v>795</v>
      </c>
      <c r="G291" s="92">
        <v>10157825825</v>
      </c>
      <c r="H291" s="93">
        <v>22041</v>
      </c>
      <c r="I291" s="89">
        <v>66</v>
      </c>
      <c r="J291" s="89" t="s">
        <v>53</v>
      </c>
      <c r="K291" s="89" t="s">
        <v>54</v>
      </c>
      <c r="L291" s="89" t="s">
        <v>93</v>
      </c>
      <c r="M291" s="89"/>
      <c r="N291" s="89" t="s">
        <v>82</v>
      </c>
      <c r="O291" s="94" t="s">
        <v>796</v>
      </c>
      <c r="P291" s="95" t="s">
        <v>58</v>
      </c>
      <c r="Q291" s="144" t="s">
        <v>689</v>
      </c>
      <c r="R291" s="96"/>
      <c r="S291" s="97"/>
      <c r="T291" s="97" t="s">
        <v>546</v>
      </c>
      <c r="U291" s="97" t="s">
        <v>690</v>
      </c>
      <c r="V291" s="93">
        <v>46161</v>
      </c>
      <c r="W291" s="93">
        <v>46171</v>
      </c>
      <c r="X291" s="118">
        <v>46183</v>
      </c>
      <c r="Y291" s="98"/>
      <c r="Z291" s="89"/>
      <c r="AA291" s="97"/>
      <c r="AB291" s="89"/>
      <c r="AC291" s="120"/>
      <c r="AD291" s="89"/>
      <c r="AE291" s="89"/>
      <c r="AF291" s="89"/>
      <c r="AG291" s="89"/>
      <c r="AH291" s="99"/>
      <c r="AI291" s="99"/>
      <c r="AJ291" s="99"/>
      <c r="AK291" s="100"/>
      <c r="AL291" s="100"/>
      <c r="AM291" s="100"/>
      <c r="AN291" s="45" t="s">
        <v>65</v>
      </c>
      <c r="AO291" s="198" t="str">
        <f t="shared" si="34"/>
        <v>5/2026</v>
      </c>
      <c r="AP291" s="198">
        <f t="shared" si="35"/>
        <v>2</v>
      </c>
      <c r="AQ291" s="45" t="str">
        <f t="shared" si="36"/>
        <v>1/1900</v>
      </c>
      <c r="AR291" s="45" t="e">
        <f t="shared" si="37"/>
        <v>#NUM!</v>
      </c>
      <c r="AS291" s="45">
        <f t="shared" si="38"/>
        <v>0</v>
      </c>
      <c r="AT291" s="45">
        <f t="shared" si="39"/>
        <v>0</v>
      </c>
      <c r="AU291" s="45">
        <f t="shared" si="40"/>
        <v>0</v>
      </c>
      <c r="AV291" s="45">
        <f t="shared" si="41"/>
        <v>0</v>
      </c>
      <c r="AW291" s="45" t="str">
        <f>_xlfn.XLOOKUP(W291,'Lista Suspensa'!$AA$20:$AA$23,'Lista Suspensa'!$AB$20:$AB$23,"N/A")</f>
        <v>N/A</v>
      </c>
    </row>
    <row r="292" spans="1:49" ht="12" customHeight="1" x14ac:dyDescent="0.3">
      <c r="A292" s="87" t="s">
        <v>49</v>
      </c>
      <c r="B292" s="88">
        <v>46147</v>
      </c>
      <c r="C292" s="89" t="s">
        <v>50</v>
      </c>
      <c r="D292" s="89" t="s">
        <v>51</v>
      </c>
      <c r="E292" s="90">
        <v>93140951</v>
      </c>
      <c r="F292" s="91" t="s">
        <v>797</v>
      </c>
      <c r="G292" s="92">
        <v>92040640487</v>
      </c>
      <c r="H292" s="93">
        <v>27147</v>
      </c>
      <c r="I292" s="89">
        <v>52</v>
      </c>
      <c r="J292" s="89" t="s">
        <v>53</v>
      </c>
      <c r="K292" s="89" t="s">
        <v>54</v>
      </c>
      <c r="L292" s="89" t="s">
        <v>93</v>
      </c>
      <c r="M292" s="89"/>
      <c r="N292" s="89" t="s">
        <v>82</v>
      </c>
      <c r="O292" s="94" t="s">
        <v>798</v>
      </c>
      <c r="P292" s="95" t="s">
        <v>58</v>
      </c>
      <c r="Q292" s="144" t="s">
        <v>59</v>
      </c>
      <c r="R292" s="96">
        <v>46183</v>
      </c>
      <c r="S292" s="97"/>
      <c r="T292" s="97" t="s">
        <v>60</v>
      </c>
      <c r="U292" s="97" t="s">
        <v>61</v>
      </c>
      <c r="V292" s="93">
        <v>46161</v>
      </c>
      <c r="W292" s="93">
        <v>46171</v>
      </c>
      <c r="X292" s="93">
        <v>46183</v>
      </c>
      <c r="Y292" s="98"/>
      <c r="Z292" s="89" t="s">
        <v>62</v>
      </c>
      <c r="AA292" s="97">
        <v>46190</v>
      </c>
      <c r="AB292" s="89"/>
      <c r="AC292" s="120"/>
      <c r="AD292" s="89"/>
      <c r="AE292" s="89"/>
      <c r="AF292" s="89"/>
      <c r="AG292" s="89"/>
      <c r="AH292" s="99"/>
      <c r="AI292" s="99"/>
      <c r="AJ292" s="99"/>
      <c r="AK292" s="100"/>
      <c r="AL292" s="100" t="s">
        <v>944</v>
      </c>
      <c r="AM292" s="100"/>
      <c r="AN292" s="45" t="s">
        <v>65</v>
      </c>
      <c r="AO292" s="198" t="str">
        <f t="shared" si="34"/>
        <v>5/2026</v>
      </c>
      <c r="AP292" s="198">
        <f t="shared" si="35"/>
        <v>2</v>
      </c>
      <c r="AQ292" s="45" t="str">
        <f t="shared" si="36"/>
        <v>6/2026</v>
      </c>
      <c r="AR292" s="45">
        <f t="shared" si="37"/>
        <v>2</v>
      </c>
      <c r="AS292" s="45">
        <f t="shared" si="38"/>
        <v>0</v>
      </c>
      <c r="AT292" s="45">
        <f t="shared" si="39"/>
        <v>0</v>
      </c>
      <c r="AU292" s="45">
        <f t="shared" si="40"/>
        <v>0</v>
      </c>
      <c r="AV292" s="45">
        <f t="shared" si="41"/>
        <v>0</v>
      </c>
      <c r="AW292" s="45" t="str">
        <f>_xlfn.XLOOKUP(W292,'Lista Suspensa'!$AA$20:$AA$23,'Lista Suspensa'!$AB$20:$AB$23,"N/A")</f>
        <v>N/A</v>
      </c>
    </row>
    <row r="293" spans="1:49" ht="12" hidden="1" customHeight="1" x14ac:dyDescent="0.3">
      <c r="A293" s="87" t="s">
        <v>49</v>
      </c>
      <c r="B293" s="88">
        <v>46147</v>
      </c>
      <c r="C293" s="89" t="s">
        <v>50</v>
      </c>
      <c r="D293" s="89" t="s">
        <v>51</v>
      </c>
      <c r="E293" s="90">
        <v>92634210</v>
      </c>
      <c r="F293" s="91" t="s">
        <v>799</v>
      </c>
      <c r="G293" s="92">
        <v>28852454845</v>
      </c>
      <c r="H293" s="93">
        <v>26034</v>
      </c>
      <c r="I293" s="89">
        <v>55</v>
      </c>
      <c r="J293" s="89" t="s">
        <v>67</v>
      </c>
      <c r="K293" s="89" t="s">
        <v>54</v>
      </c>
      <c r="L293" s="89" t="s">
        <v>93</v>
      </c>
      <c r="M293" s="89"/>
      <c r="N293" s="89" t="s">
        <v>196</v>
      </c>
      <c r="O293" s="94" t="s">
        <v>800</v>
      </c>
      <c r="P293" s="95" t="s">
        <v>58</v>
      </c>
      <c r="Q293" s="144" t="s">
        <v>689</v>
      </c>
      <c r="R293" s="96"/>
      <c r="S293" s="97"/>
      <c r="T293" s="97" t="s">
        <v>546</v>
      </c>
      <c r="U293" s="97" t="s">
        <v>690</v>
      </c>
      <c r="V293" s="93">
        <v>46161</v>
      </c>
      <c r="W293" s="93">
        <v>46171</v>
      </c>
      <c r="X293" s="118">
        <v>46183</v>
      </c>
      <c r="Y293" s="98"/>
      <c r="Z293" s="89"/>
      <c r="AA293" s="97"/>
      <c r="AB293" s="89"/>
      <c r="AC293" s="120"/>
      <c r="AD293" s="89"/>
      <c r="AE293" s="89"/>
      <c r="AF293" s="89"/>
      <c r="AG293" s="89"/>
      <c r="AH293" s="99"/>
      <c r="AI293" s="99"/>
      <c r="AJ293" s="99"/>
      <c r="AK293" s="100"/>
      <c r="AL293" s="100"/>
      <c r="AM293" s="100"/>
      <c r="AN293" s="45" t="s">
        <v>65</v>
      </c>
      <c r="AO293" s="198" t="str">
        <f t="shared" si="34"/>
        <v>5/2026</v>
      </c>
      <c r="AP293" s="198">
        <f t="shared" si="35"/>
        <v>2</v>
      </c>
      <c r="AQ293" s="45" t="str">
        <f t="shared" si="36"/>
        <v>1/1900</v>
      </c>
      <c r="AR293" s="45" t="e">
        <f t="shared" si="37"/>
        <v>#NUM!</v>
      </c>
      <c r="AS293" s="45">
        <f t="shared" si="38"/>
        <v>0</v>
      </c>
      <c r="AT293" s="45">
        <f t="shared" si="39"/>
        <v>0</v>
      </c>
      <c r="AU293" s="45">
        <f t="shared" si="40"/>
        <v>0</v>
      </c>
      <c r="AV293" s="45">
        <f t="shared" si="41"/>
        <v>0</v>
      </c>
      <c r="AW293" s="45" t="str">
        <f>_xlfn.XLOOKUP(W293,'Lista Suspensa'!$AA$20:$AA$23,'Lista Suspensa'!$AB$20:$AB$23,"N/A")</f>
        <v>N/A</v>
      </c>
    </row>
    <row r="294" spans="1:49" ht="12" hidden="1" customHeight="1" x14ac:dyDescent="0.3">
      <c r="A294" s="87" t="s">
        <v>49</v>
      </c>
      <c r="B294" s="88">
        <v>46147</v>
      </c>
      <c r="C294" s="89" t="s">
        <v>50</v>
      </c>
      <c r="D294" s="89" t="s">
        <v>51</v>
      </c>
      <c r="E294" s="90">
        <v>79459537</v>
      </c>
      <c r="F294" s="91" t="s">
        <v>801</v>
      </c>
      <c r="G294" s="92">
        <v>8880768867</v>
      </c>
      <c r="H294" s="93">
        <v>24695</v>
      </c>
      <c r="I294" s="89">
        <v>58</v>
      </c>
      <c r="J294" s="89" t="s">
        <v>67</v>
      </c>
      <c r="K294" s="89" t="s">
        <v>54</v>
      </c>
      <c r="L294" s="89" t="s">
        <v>93</v>
      </c>
      <c r="M294" s="89"/>
      <c r="N294" s="89" t="s">
        <v>175</v>
      </c>
      <c r="O294" s="94" t="s">
        <v>802</v>
      </c>
      <c r="P294" s="95" t="s">
        <v>58</v>
      </c>
      <c r="Q294" s="144" t="s">
        <v>689</v>
      </c>
      <c r="R294" s="96"/>
      <c r="S294" s="97"/>
      <c r="T294" s="97" t="s">
        <v>546</v>
      </c>
      <c r="U294" s="97" t="s">
        <v>690</v>
      </c>
      <c r="V294" s="93">
        <v>46161</v>
      </c>
      <c r="W294" s="93">
        <v>46171</v>
      </c>
      <c r="X294" s="118">
        <v>46183</v>
      </c>
      <c r="Y294" s="98"/>
      <c r="Z294" s="89"/>
      <c r="AA294" s="97"/>
      <c r="AB294" s="89"/>
      <c r="AC294" s="120"/>
      <c r="AD294" s="89"/>
      <c r="AE294" s="89"/>
      <c r="AF294" s="89"/>
      <c r="AG294" s="89"/>
      <c r="AH294" s="99"/>
      <c r="AI294" s="99"/>
      <c r="AJ294" s="99"/>
      <c r="AK294" s="100"/>
      <c r="AL294" s="100"/>
      <c r="AM294" s="100"/>
      <c r="AN294" s="45" t="s">
        <v>65</v>
      </c>
      <c r="AO294" s="198" t="str">
        <f t="shared" si="34"/>
        <v>5/2026</v>
      </c>
      <c r="AP294" s="198">
        <f t="shared" si="35"/>
        <v>2</v>
      </c>
      <c r="AQ294" s="45" t="str">
        <f t="shared" si="36"/>
        <v>1/1900</v>
      </c>
      <c r="AR294" s="45" t="e">
        <f t="shared" si="37"/>
        <v>#NUM!</v>
      </c>
      <c r="AS294" s="45">
        <f t="shared" si="38"/>
        <v>0</v>
      </c>
      <c r="AT294" s="45">
        <f t="shared" si="39"/>
        <v>0</v>
      </c>
      <c r="AU294" s="45">
        <f t="shared" si="40"/>
        <v>0</v>
      </c>
      <c r="AV294" s="45">
        <f t="shared" si="41"/>
        <v>0</v>
      </c>
      <c r="AW294" s="45" t="str">
        <f>_xlfn.XLOOKUP(W294,'Lista Suspensa'!$AA$20:$AA$23,'Lista Suspensa'!$AB$20:$AB$23,"N/A")</f>
        <v>N/A</v>
      </c>
    </row>
    <row r="295" spans="1:49" ht="12" hidden="1" customHeight="1" x14ac:dyDescent="0.3">
      <c r="A295" s="87" t="s">
        <v>49</v>
      </c>
      <c r="B295" s="88">
        <v>46147</v>
      </c>
      <c r="C295" s="89" t="s">
        <v>50</v>
      </c>
      <c r="D295" s="89" t="s">
        <v>51</v>
      </c>
      <c r="E295" s="90">
        <v>85989411</v>
      </c>
      <c r="F295" s="91" t="s">
        <v>803</v>
      </c>
      <c r="G295" s="92">
        <v>79295045491</v>
      </c>
      <c r="H295" s="93">
        <v>26179</v>
      </c>
      <c r="I295" s="89">
        <v>54</v>
      </c>
      <c r="J295" s="89" t="s">
        <v>67</v>
      </c>
      <c r="K295" s="89" t="s">
        <v>54</v>
      </c>
      <c r="L295" s="89" t="s">
        <v>93</v>
      </c>
      <c r="M295" s="89"/>
      <c r="N295" s="89" t="s">
        <v>87</v>
      </c>
      <c r="O295" s="94" t="s">
        <v>804</v>
      </c>
      <c r="P295" s="95" t="s">
        <v>58</v>
      </c>
      <c r="Q295" s="144" t="s">
        <v>689</v>
      </c>
      <c r="R295" s="96"/>
      <c r="S295" s="97"/>
      <c r="T295" s="97" t="s">
        <v>546</v>
      </c>
      <c r="U295" s="97" t="s">
        <v>690</v>
      </c>
      <c r="V295" s="93">
        <v>46161</v>
      </c>
      <c r="W295" s="93">
        <v>46171</v>
      </c>
      <c r="X295" s="118">
        <v>46183</v>
      </c>
      <c r="Y295" s="98"/>
      <c r="Z295" s="89"/>
      <c r="AA295" s="97"/>
      <c r="AB295" s="89"/>
      <c r="AC295" s="120"/>
      <c r="AD295" s="89"/>
      <c r="AE295" s="89"/>
      <c r="AF295" s="89"/>
      <c r="AG295" s="89"/>
      <c r="AH295" s="99"/>
      <c r="AI295" s="99"/>
      <c r="AJ295" s="99"/>
      <c r="AK295" s="100"/>
      <c r="AL295" s="100"/>
      <c r="AM295" s="100"/>
      <c r="AN295" s="45" t="s">
        <v>65</v>
      </c>
      <c r="AO295" s="198" t="str">
        <f t="shared" si="34"/>
        <v>5/2026</v>
      </c>
      <c r="AP295" s="198">
        <f t="shared" si="35"/>
        <v>2</v>
      </c>
      <c r="AQ295" s="45" t="str">
        <f t="shared" si="36"/>
        <v>1/1900</v>
      </c>
      <c r="AR295" s="45" t="e">
        <f t="shared" si="37"/>
        <v>#NUM!</v>
      </c>
      <c r="AS295" s="45">
        <f t="shared" si="38"/>
        <v>0</v>
      </c>
      <c r="AT295" s="45">
        <f t="shared" si="39"/>
        <v>0</v>
      </c>
      <c r="AU295" s="45">
        <f t="shared" si="40"/>
        <v>0</v>
      </c>
      <c r="AV295" s="45">
        <f t="shared" si="41"/>
        <v>0</v>
      </c>
      <c r="AW295" s="45" t="str">
        <f>_xlfn.XLOOKUP(W295,'Lista Suspensa'!$AA$20:$AA$23,'Lista Suspensa'!$AB$20:$AB$23,"N/A")</f>
        <v>N/A</v>
      </c>
    </row>
    <row r="296" spans="1:49" ht="12" hidden="1" customHeight="1" x14ac:dyDescent="0.3">
      <c r="A296" s="87" t="s">
        <v>49</v>
      </c>
      <c r="B296" s="88">
        <v>46147</v>
      </c>
      <c r="C296" s="89" t="s">
        <v>50</v>
      </c>
      <c r="D296" s="89" t="s">
        <v>51</v>
      </c>
      <c r="E296" s="90">
        <v>450007944</v>
      </c>
      <c r="F296" s="91" t="s">
        <v>805</v>
      </c>
      <c r="G296" s="92">
        <v>9097721857</v>
      </c>
      <c r="H296" s="93">
        <v>24318</v>
      </c>
      <c r="I296" s="89">
        <v>59</v>
      </c>
      <c r="J296" s="89" t="s">
        <v>67</v>
      </c>
      <c r="K296" s="89" t="s">
        <v>54</v>
      </c>
      <c r="L296" s="89" t="s">
        <v>93</v>
      </c>
      <c r="M296" s="89"/>
      <c r="N296" s="89" t="s">
        <v>196</v>
      </c>
      <c r="O296" s="94" t="s">
        <v>806</v>
      </c>
      <c r="P296" s="95" t="s">
        <v>58</v>
      </c>
      <c r="Q296" s="144" t="s">
        <v>689</v>
      </c>
      <c r="R296" s="96"/>
      <c r="S296" s="97"/>
      <c r="T296" s="97" t="s">
        <v>546</v>
      </c>
      <c r="U296" s="97" t="s">
        <v>690</v>
      </c>
      <c r="V296" s="93">
        <v>46161</v>
      </c>
      <c r="W296" s="93">
        <v>46171</v>
      </c>
      <c r="X296" s="118">
        <v>46183</v>
      </c>
      <c r="Y296" s="98"/>
      <c r="Z296" s="89"/>
      <c r="AA296" s="97"/>
      <c r="AB296" s="89"/>
      <c r="AC296" s="120"/>
      <c r="AD296" s="89"/>
      <c r="AE296" s="89"/>
      <c r="AF296" s="89"/>
      <c r="AG296" s="89"/>
      <c r="AH296" s="99"/>
      <c r="AI296" s="99"/>
      <c r="AJ296" s="99"/>
      <c r="AK296" s="100"/>
      <c r="AL296" s="100"/>
      <c r="AM296" s="100"/>
      <c r="AN296" s="45" t="s">
        <v>65</v>
      </c>
      <c r="AO296" s="198" t="str">
        <f t="shared" si="34"/>
        <v>5/2026</v>
      </c>
      <c r="AP296" s="198">
        <f t="shared" si="35"/>
        <v>2</v>
      </c>
      <c r="AQ296" s="45" t="str">
        <f t="shared" si="36"/>
        <v>1/1900</v>
      </c>
      <c r="AR296" s="45" t="e">
        <f t="shared" si="37"/>
        <v>#NUM!</v>
      </c>
      <c r="AS296" s="45">
        <f t="shared" si="38"/>
        <v>0</v>
      </c>
      <c r="AT296" s="45">
        <f t="shared" si="39"/>
        <v>0</v>
      </c>
      <c r="AU296" s="45">
        <f t="shared" si="40"/>
        <v>0</v>
      </c>
      <c r="AV296" s="45">
        <f t="shared" si="41"/>
        <v>0</v>
      </c>
      <c r="AW296" s="45" t="str">
        <f>_xlfn.XLOOKUP(W296,'Lista Suspensa'!$AA$20:$AA$23,'Lista Suspensa'!$AB$20:$AB$23,"N/A")</f>
        <v>N/A</v>
      </c>
    </row>
    <row r="297" spans="1:49" ht="12" hidden="1" customHeight="1" x14ac:dyDescent="0.3">
      <c r="A297" s="87" t="s">
        <v>49</v>
      </c>
      <c r="B297" s="88">
        <v>46147</v>
      </c>
      <c r="C297" s="89" t="s">
        <v>50</v>
      </c>
      <c r="D297" s="89" t="s">
        <v>51</v>
      </c>
      <c r="E297" s="90">
        <v>83415179</v>
      </c>
      <c r="F297" s="91" t="s">
        <v>807</v>
      </c>
      <c r="G297" s="92">
        <v>33154717897</v>
      </c>
      <c r="H297" s="93">
        <v>29580</v>
      </c>
      <c r="I297" s="89">
        <v>45</v>
      </c>
      <c r="J297" s="89" t="s">
        <v>53</v>
      </c>
      <c r="K297" s="89" t="s">
        <v>54</v>
      </c>
      <c r="L297" s="89" t="s">
        <v>93</v>
      </c>
      <c r="M297" s="89"/>
      <c r="N297" s="89" t="s">
        <v>87</v>
      </c>
      <c r="O297" s="94" t="s">
        <v>808</v>
      </c>
      <c r="P297" s="95" t="s">
        <v>58</v>
      </c>
      <c r="Q297" s="144" t="s">
        <v>689</v>
      </c>
      <c r="R297" s="96"/>
      <c r="S297" s="97"/>
      <c r="T297" s="97" t="s">
        <v>546</v>
      </c>
      <c r="U297" s="97" t="s">
        <v>690</v>
      </c>
      <c r="V297" s="93">
        <v>46161</v>
      </c>
      <c r="W297" s="93">
        <v>46171</v>
      </c>
      <c r="X297" s="118">
        <v>46183</v>
      </c>
      <c r="Y297" s="98"/>
      <c r="Z297" s="89"/>
      <c r="AA297" s="97"/>
      <c r="AB297" s="89"/>
      <c r="AC297" s="120"/>
      <c r="AD297" s="89"/>
      <c r="AE297" s="89"/>
      <c r="AF297" s="89"/>
      <c r="AG297" s="89"/>
      <c r="AH297" s="99"/>
      <c r="AI297" s="99"/>
      <c r="AJ297" s="99"/>
      <c r="AK297" s="100"/>
      <c r="AL297" s="100"/>
      <c r="AM297" s="100"/>
      <c r="AN297" s="45" t="s">
        <v>65</v>
      </c>
      <c r="AO297" s="198" t="str">
        <f t="shared" si="34"/>
        <v>5/2026</v>
      </c>
      <c r="AP297" s="198">
        <f t="shared" si="35"/>
        <v>2</v>
      </c>
      <c r="AQ297" s="45" t="str">
        <f t="shared" si="36"/>
        <v>1/1900</v>
      </c>
      <c r="AR297" s="45" t="e">
        <f t="shared" si="37"/>
        <v>#NUM!</v>
      </c>
      <c r="AS297" s="45">
        <f t="shared" si="38"/>
        <v>0</v>
      </c>
      <c r="AT297" s="45">
        <f t="shared" si="39"/>
        <v>0</v>
      </c>
      <c r="AU297" s="45">
        <f t="shared" si="40"/>
        <v>0</v>
      </c>
      <c r="AV297" s="45">
        <f t="shared" si="41"/>
        <v>0</v>
      </c>
      <c r="AW297" s="45" t="str">
        <f>_xlfn.XLOOKUP(W297,'Lista Suspensa'!$AA$20:$AA$23,'Lista Suspensa'!$AB$20:$AB$23,"N/A")</f>
        <v>N/A</v>
      </c>
    </row>
    <row r="298" spans="1:49" ht="12" hidden="1" customHeight="1" x14ac:dyDescent="0.3">
      <c r="A298" s="87" t="s">
        <v>49</v>
      </c>
      <c r="B298" s="88">
        <v>46147</v>
      </c>
      <c r="C298" s="89" t="s">
        <v>50</v>
      </c>
      <c r="D298" s="89" t="s">
        <v>51</v>
      </c>
      <c r="E298" s="90">
        <v>88370368</v>
      </c>
      <c r="F298" s="91" t="s">
        <v>809</v>
      </c>
      <c r="G298" s="92">
        <v>48996244848</v>
      </c>
      <c r="H298" s="93">
        <v>36637</v>
      </c>
      <c r="I298" s="89">
        <v>26</v>
      </c>
      <c r="J298" s="89" t="s">
        <v>67</v>
      </c>
      <c r="K298" s="89" t="s">
        <v>54</v>
      </c>
      <c r="L298" s="89" t="s">
        <v>93</v>
      </c>
      <c r="M298" s="89"/>
      <c r="N298" s="89" t="s">
        <v>82</v>
      </c>
      <c r="O298" s="94" t="s">
        <v>810</v>
      </c>
      <c r="P298" s="95" t="s">
        <v>58</v>
      </c>
      <c r="Q298" s="144" t="s">
        <v>689</v>
      </c>
      <c r="R298" s="96"/>
      <c r="S298" s="97"/>
      <c r="T298" s="97" t="s">
        <v>546</v>
      </c>
      <c r="U298" s="97" t="s">
        <v>690</v>
      </c>
      <c r="V298" s="93">
        <v>46161</v>
      </c>
      <c r="W298" s="93">
        <v>46171</v>
      </c>
      <c r="X298" s="118">
        <v>46183</v>
      </c>
      <c r="Y298" s="98"/>
      <c r="Z298" s="89"/>
      <c r="AA298" s="97"/>
      <c r="AB298" s="89"/>
      <c r="AC298" s="120"/>
      <c r="AD298" s="89"/>
      <c r="AE298" s="89"/>
      <c r="AF298" s="89"/>
      <c r="AG298" s="89"/>
      <c r="AH298" s="99"/>
      <c r="AI298" s="99"/>
      <c r="AJ298" s="99"/>
      <c r="AK298" s="100"/>
      <c r="AL298" s="100"/>
      <c r="AM298" s="100"/>
      <c r="AN298" s="45" t="s">
        <v>65</v>
      </c>
      <c r="AO298" s="198" t="str">
        <f t="shared" si="34"/>
        <v>5/2026</v>
      </c>
      <c r="AP298" s="198">
        <f t="shared" si="35"/>
        <v>2</v>
      </c>
      <c r="AQ298" s="45" t="str">
        <f t="shared" si="36"/>
        <v>1/1900</v>
      </c>
      <c r="AR298" s="45" t="e">
        <f t="shared" si="37"/>
        <v>#NUM!</v>
      </c>
      <c r="AS298" s="45">
        <f t="shared" si="38"/>
        <v>0</v>
      </c>
      <c r="AT298" s="45">
        <f t="shared" si="39"/>
        <v>0</v>
      </c>
      <c r="AU298" s="45">
        <f t="shared" si="40"/>
        <v>0</v>
      </c>
      <c r="AV298" s="45">
        <f t="shared" si="41"/>
        <v>0</v>
      </c>
      <c r="AW298" s="45" t="str">
        <f>_xlfn.XLOOKUP(W298,'Lista Suspensa'!$AA$20:$AA$23,'Lista Suspensa'!$AB$20:$AB$23,"N/A")</f>
        <v>N/A</v>
      </c>
    </row>
    <row r="299" spans="1:49" ht="12" hidden="1" customHeight="1" x14ac:dyDescent="0.3">
      <c r="A299" s="87" t="s">
        <v>49</v>
      </c>
      <c r="B299" s="88">
        <v>46147</v>
      </c>
      <c r="C299" s="89" t="s">
        <v>50</v>
      </c>
      <c r="D299" s="89" t="s">
        <v>51</v>
      </c>
      <c r="E299" s="90">
        <v>95061185</v>
      </c>
      <c r="F299" s="91" t="s">
        <v>811</v>
      </c>
      <c r="G299" s="92">
        <v>21784099899</v>
      </c>
      <c r="H299" s="93">
        <v>35281</v>
      </c>
      <c r="I299" s="89">
        <v>29</v>
      </c>
      <c r="J299" s="89" t="s">
        <v>67</v>
      </c>
      <c r="K299" s="89" t="s">
        <v>54</v>
      </c>
      <c r="L299" s="89" t="s">
        <v>93</v>
      </c>
      <c r="M299" s="89"/>
      <c r="N299" s="89" t="s">
        <v>124</v>
      </c>
      <c r="O299" s="94" t="s">
        <v>812</v>
      </c>
      <c r="P299" s="95" t="s">
        <v>58</v>
      </c>
      <c r="Q299" s="144" t="s">
        <v>689</v>
      </c>
      <c r="R299" s="96"/>
      <c r="S299" s="97"/>
      <c r="T299" s="97" t="s">
        <v>546</v>
      </c>
      <c r="U299" s="97" t="s">
        <v>690</v>
      </c>
      <c r="V299" s="93">
        <v>46161</v>
      </c>
      <c r="W299" s="93">
        <v>46171</v>
      </c>
      <c r="X299" s="118">
        <v>46183</v>
      </c>
      <c r="Y299" s="98"/>
      <c r="Z299" s="89"/>
      <c r="AA299" s="97"/>
      <c r="AB299" s="89"/>
      <c r="AC299" s="120"/>
      <c r="AD299" s="89"/>
      <c r="AE299" s="89"/>
      <c r="AF299" s="89"/>
      <c r="AG299" s="89"/>
      <c r="AH299" s="99"/>
      <c r="AI299" s="99"/>
      <c r="AJ299" s="99"/>
      <c r="AK299" s="100"/>
      <c r="AL299" s="100"/>
      <c r="AM299" s="100"/>
      <c r="AN299" s="45" t="s">
        <v>65</v>
      </c>
      <c r="AO299" s="198" t="str">
        <f t="shared" si="34"/>
        <v>5/2026</v>
      </c>
      <c r="AP299" s="198">
        <f t="shared" si="35"/>
        <v>2</v>
      </c>
      <c r="AQ299" s="45" t="str">
        <f t="shared" si="36"/>
        <v>1/1900</v>
      </c>
      <c r="AR299" s="45" t="e">
        <f t="shared" si="37"/>
        <v>#NUM!</v>
      </c>
      <c r="AS299" s="45">
        <f t="shared" si="38"/>
        <v>0</v>
      </c>
      <c r="AT299" s="45">
        <f t="shared" si="39"/>
        <v>0</v>
      </c>
      <c r="AU299" s="45">
        <f t="shared" si="40"/>
        <v>0</v>
      </c>
      <c r="AV299" s="45">
        <f t="shared" si="41"/>
        <v>0</v>
      </c>
      <c r="AW299" s="45" t="str">
        <f>_xlfn.XLOOKUP(W299,'Lista Suspensa'!$AA$20:$AA$23,'Lista Suspensa'!$AB$20:$AB$23,"N/A")</f>
        <v>N/A</v>
      </c>
    </row>
    <row r="300" spans="1:49" ht="12" hidden="1" customHeight="1" x14ac:dyDescent="0.3">
      <c r="A300" s="87" t="s">
        <v>49</v>
      </c>
      <c r="B300" s="88">
        <v>46147</v>
      </c>
      <c r="C300" s="89" t="s">
        <v>50</v>
      </c>
      <c r="D300" s="89" t="s">
        <v>51</v>
      </c>
      <c r="E300" s="90">
        <v>301090556</v>
      </c>
      <c r="F300" s="91" t="s">
        <v>813</v>
      </c>
      <c r="G300" s="92">
        <v>13982150825</v>
      </c>
      <c r="H300" s="93">
        <v>15720</v>
      </c>
      <c r="I300" s="89">
        <v>83</v>
      </c>
      <c r="J300" s="89" t="s">
        <v>53</v>
      </c>
      <c r="K300" s="89" t="s">
        <v>54</v>
      </c>
      <c r="L300" s="89" t="s">
        <v>93</v>
      </c>
      <c r="M300" s="89"/>
      <c r="N300" s="89" t="s">
        <v>97</v>
      </c>
      <c r="O300" s="94" t="s">
        <v>814</v>
      </c>
      <c r="P300" s="95" t="s">
        <v>58</v>
      </c>
      <c r="Q300" s="144" t="s">
        <v>689</v>
      </c>
      <c r="R300" s="96"/>
      <c r="S300" s="97"/>
      <c r="T300" s="97" t="s">
        <v>546</v>
      </c>
      <c r="U300" s="97" t="s">
        <v>690</v>
      </c>
      <c r="V300" s="93">
        <v>46161</v>
      </c>
      <c r="W300" s="93">
        <v>46171</v>
      </c>
      <c r="X300" s="118">
        <v>46183</v>
      </c>
      <c r="Y300" s="98"/>
      <c r="Z300" s="89"/>
      <c r="AA300" s="97"/>
      <c r="AB300" s="89"/>
      <c r="AC300" s="120"/>
      <c r="AD300" s="89"/>
      <c r="AE300" s="89"/>
      <c r="AF300" s="89"/>
      <c r="AG300" s="89"/>
      <c r="AH300" s="99"/>
      <c r="AI300" s="99"/>
      <c r="AJ300" s="99"/>
      <c r="AK300" s="100"/>
      <c r="AL300" s="100"/>
      <c r="AM300" s="100"/>
      <c r="AN300" s="45" t="s">
        <v>65</v>
      </c>
      <c r="AO300" s="198" t="str">
        <f t="shared" si="34"/>
        <v>5/2026</v>
      </c>
      <c r="AP300" s="198">
        <f t="shared" si="35"/>
        <v>2</v>
      </c>
      <c r="AQ300" s="45" t="str">
        <f t="shared" si="36"/>
        <v>1/1900</v>
      </c>
      <c r="AR300" s="45" t="e">
        <f t="shared" si="37"/>
        <v>#NUM!</v>
      </c>
      <c r="AS300" s="45">
        <f t="shared" si="38"/>
        <v>0</v>
      </c>
      <c r="AT300" s="45">
        <f t="shared" si="39"/>
        <v>0</v>
      </c>
      <c r="AU300" s="45">
        <f t="shared" si="40"/>
        <v>0</v>
      </c>
      <c r="AV300" s="45">
        <f t="shared" si="41"/>
        <v>0</v>
      </c>
      <c r="AW300" s="45" t="str">
        <f>_xlfn.XLOOKUP(W300,'Lista Suspensa'!$AA$20:$AA$23,'Lista Suspensa'!$AB$20:$AB$23,"N/A")</f>
        <v>N/A</v>
      </c>
    </row>
    <row r="301" spans="1:49" ht="12" hidden="1" customHeight="1" x14ac:dyDescent="0.3">
      <c r="A301" s="87" t="s">
        <v>49</v>
      </c>
      <c r="B301" s="88">
        <v>46147</v>
      </c>
      <c r="C301" s="89" t="s">
        <v>50</v>
      </c>
      <c r="D301" s="89" t="s">
        <v>51</v>
      </c>
      <c r="E301" s="90">
        <v>72592799</v>
      </c>
      <c r="F301" s="91" t="s">
        <v>815</v>
      </c>
      <c r="G301" s="92">
        <v>8335789878</v>
      </c>
      <c r="H301" s="93">
        <v>22364</v>
      </c>
      <c r="I301" s="89">
        <v>65</v>
      </c>
      <c r="J301" s="89" t="s">
        <v>53</v>
      </c>
      <c r="K301" s="89" t="s">
        <v>54</v>
      </c>
      <c r="L301" s="89" t="s">
        <v>93</v>
      </c>
      <c r="M301" s="89"/>
      <c r="N301" s="89" t="s">
        <v>69</v>
      </c>
      <c r="O301" s="94" t="s">
        <v>816</v>
      </c>
      <c r="P301" s="95" t="s">
        <v>58</v>
      </c>
      <c r="Q301" s="144" t="s">
        <v>689</v>
      </c>
      <c r="R301" s="96"/>
      <c r="S301" s="97"/>
      <c r="T301" s="97" t="s">
        <v>546</v>
      </c>
      <c r="U301" s="97" t="s">
        <v>690</v>
      </c>
      <c r="V301" s="93">
        <v>46161</v>
      </c>
      <c r="W301" s="93">
        <v>46171</v>
      </c>
      <c r="X301" s="118">
        <v>46183</v>
      </c>
      <c r="Y301" s="98"/>
      <c r="Z301" s="89"/>
      <c r="AA301" s="97"/>
      <c r="AB301" s="89"/>
      <c r="AC301" s="120"/>
      <c r="AD301" s="89"/>
      <c r="AE301" s="89"/>
      <c r="AF301" s="89"/>
      <c r="AG301" s="89"/>
      <c r="AH301" s="99"/>
      <c r="AI301" s="99"/>
      <c r="AJ301" s="99"/>
      <c r="AK301" s="100"/>
      <c r="AL301" s="100"/>
      <c r="AM301" s="100"/>
      <c r="AN301" s="45" t="s">
        <v>65</v>
      </c>
      <c r="AO301" s="198" t="str">
        <f t="shared" si="34"/>
        <v>5/2026</v>
      </c>
      <c r="AP301" s="198">
        <f t="shared" si="35"/>
        <v>2</v>
      </c>
      <c r="AQ301" s="45" t="str">
        <f t="shared" si="36"/>
        <v>1/1900</v>
      </c>
      <c r="AR301" s="45" t="e">
        <f t="shared" si="37"/>
        <v>#NUM!</v>
      </c>
      <c r="AS301" s="45">
        <f t="shared" si="38"/>
        <v>0</v>
      </c>
      <c r="AT301" s="45">
        <f t="shared" si="39"/>
        <v>0</v>
      </c>
      <c r="AU301" s="45">
        <f t="shared" si="40"/>
        <v>0</v>
      </c>
      <c r="AV301" s="45">
        <f t="shared" si="41"/>
        <v>0</v>
      </c>
      <c r="AW301" s="45" t="str">
        <f>_xlfn.XLOOKUP(W301,'Lista Suspensa'!$AA$20:$AA$23,'Lista Suspensa'!$AB$20:$AB$23,"N/A")</f>
        <v>N/A</v>
      </c>
    </row>
    <row r="302" spans="1:49" ht="12" hidden="1" customHeight="1" x14ac:dyDescent="0.3">
      <c r="A302" s="87" t="s">
        <v>49</v>
      </c>
      <c r="B302" s="88">
        <v>46147</v>
      </c>
      <c r="C302" s="89" t="s">
        <v>50</v>
      </c>
      <c r="D302" s="89" t="s">
        <v>51</v>
      </c>
      <c r="E302" s="90">
        <v>93380270</v>
      </c>
      <c r="F302" s="91" t="s">
        <v>817</v>
      </c>
      <c r="G302" s="92">
        <v>45092069848</v>
      </c>
      <c r="H302" s="93">
        <v>35206</v>
      </c>
      <c r="I302" s="89">
        <v>29</v>
      </c>
      <c r="J302" s="89" t="s">
        <v>53</v>
      </c>
      <c r="K302" s="89" t="s">
        <v>54</v>
      </c>
      <c r="L302" s="89" t="s">
        <v>93</v>
      </c>
      <c r="M302" s="89"/>
      <c r="N302" s="89" t="s">
        <v>82</v>
      </c>
      <c r="O302" s="94" t="s">
        <v>818</v>
      </c>
      <c r="P302" s="95" t="s">
        <v>58</v>
      </c>
      <c r="Q302" s="144" t="s">
        <v>689</v>
      </c>
      <c r="R302" s="96"/>
      <c r="S302" s="97"/>
      <c r="T302" s="97" t="s">
        <v>546</v>
      </c>
      <c r="U302" s="97" t="s">
        <v>690</v>
      </c>
      <c r="V302" s="93">
        <v>46161</v>
      </c>
      <c r="W302" s="93">
        <v>46171</v>
      </c>
      <c r="X302" s="118">
        <v>46183</v>
      </c>
      <c r="Y302" s="98"/>
      <c r="Z302" s="89"/>
      <c r="AA302" s="97"/>
      <c r="AB302" s="89"/>
      <c r="AC302" s="120"/>
      <c r="AD302" s="89"/>
      <c r="AE302" s="89"/>
      <c r="AF302" s="89"/>
      <c r="AG302" s="89"/>
      <c r="AH302" s="99"/>
      <c r="AI302" s="99"/>
      <c r="AJ302" s="99"/>
      <c r="AK302" s="100"/>
      <c r="AL302" s="100"/>
      <c r="AM302" s="100"/>
      <c r="AN302" s="45" t="s">
        <v>65</v>
      </c>
      <c r="AO302" s="198" t="str">
        <f t="shared" si="34"/>
        <v>5/2026</v>
      </c>
      <c r="AP302" s="198">
        <f t="shared" si="35"/>
        <v>2</v>
      </c>
      <c r="AQ302" s="45" t="str">
        <f t="shared" si="36"/>
        <v>1/1900</v>
      </c>
      <c r="AR302" s="45" t="e">
        <f t="shared" si="37"/>
        <v>#NUM!</v>
      </c>
      <c r="AS302" s="45">
        <f t="shared" si="38"/>
        <v>0</v>
      </c>
      <c r="AT302" s="45">
        <f t="shared" si="39"/>
        <v>0</v>
      </c>
      <c r="AU302" s="45">
        <f t="shared" si="40"/>
        <v>0</v>
      </c>
      <c r="AV302" s="45">
        <f t="shared" si="41"/>
        <v>0</v>
      </c>
      <c r="AW302" s="45" t="str">
        <f>_xlfn.XLOOKUP(W302,'Lista Suspensa'!$AA$20:$AA$23,'Lista Suspensa'!$AB$20:$AB$23,"N/A")</f>
        <v>N/A</v>
      </c>
    </row>
    <row r="303" spans="1:49" ht="12" hidden="1" customHeight="1" x14ac:dyDescent="0.3">
      <c r="A303" s="87" t="s">
        <v>49</v>
      </c>
      <c r="B303" s="88">
        <v>46147</v>
      </c>
      <c r="C303" s="89" t="s">
        <v>50</v>
      </c>
      <c r="D303" s="89" t="s">
        <v>51</v>
      </c>
      <c r="E303" s="90">
        <v>450700801</v>
      </c>
      <c r="F303" s="91" t="s">
        <v>819</v>
      </c>
      <c r="G303" s="92">
        <v>91538475472</v>
      </c>
      <c r="H303" s="93">
        <v>25475</v>
      </c>
      <c r="I303" s="89">
        <v>56</v>
      </c>
      <c r="J303" s="89" t="s">
        <v>67</v>
      </c>
      <c r="K303" s="89" t="s">
        <v>54</v>
      </c>
      <c r="L303" s="89" t="s">
        <v>93</v>
      </c>
      <c r="M303" s="89"/>
      <c r="N303" s="89" t="s">
        <v>94</v>
      </c>
      <c r="O303" s="94" t="s">
        <v>820</v>
      </c>
      <c r="P303" s="95" t="s">
        <v>58</v>
      </c>
      <c r="Q303" s="144" t="s">
        <v>689</v>
      </c>
      <c r="R303" s="96"/>
      <c r="S303" s="97"/>
      <c r="T303" s="97" t="s">
        <v>546</v>
      </c>
      <c r="U303" s="97" t="s">
        <v>690</v>
      </c>
      <c r="V303" s="93">
        <v>46161</v>
      </c>
      <c r="W303" s="93">
        <v>46171</v>
      </c>
      <c r="X303" s="118">
        <v>46183</v>
      </c>
      <c r="Y303" s="98"/>
      <c r="Z303" s="89"/>
      <c r="AA303" s="97"/>
      <c r="AB303" s="89"/>
      <c r="AC303" s="120"/>
      <c r="AD303" s="89"/>
      <c r="AE303" s="89"/>
      <c r="AF303" s="89"/>
      <c r="AG303" s="89"/>
      <c r="AH303" s="99"/>
      <c r="AI303" s="99"/>
      <c r="AJ303" s="99"/>
      <c r="AK303" s="100"/>
      <c r="AL303" s="100"/>
      <c r="AM303" s="100"/>
      <c r="AN303" s="45" t="s">
        <v>65</v>
      </c>
      <c r="AO303" s="198" t="str">
        <f t="shared" si="34"/>
        <v>5/2026</v>
      </c>
      <c r="AP303" s="198">
        <f t="shared" si="35"/>
        <v>2</v>
      </c>
      <c r="AQ303" s="45" t="str">
        <f t="shared" si="36"/>
        <v>1/1900</v>
      </c>
      <c r="AR303" s="45" t="e">
        <f t="shared" si="37"/>
        <v>#NUM!</v>
      </c>
      <c r="AS303" s="45">
        <f t="shared" si="38"/>
        <v>0</v>
      </c>
      <c r="AT303" s="45">
        <f t="shared" si="39"/>
        <v>0</v>
      </c>
      <c r="AU303" s="45">
        <f t="shared" si="40"/>
        <v>0</v>
      </c>
      <c r="AV303" s="45">
        <f t="shared" si="41"/>
        <v>0</v>
      </c>
      <c r="AW303" s="45" t="str">
        <f>_xlfn.XLOOKUP(W303,'Lista Suspensa'!$AA$20:$AA$23,'Lista Suspensa'!$AB$20:$AB$23,"N/A")</f>
        <v>N/A</v>
      </c>
    </row>
    <row r="304" spans="1:49" ht="12" hidden="1" customHeight="1" x14ac:dyDescent="0.3">
      <c r="A304" s="87" t="s">
        <v>49</v>
      </c>
      <c r="B304" s="88">
        <v>46147</v>
      </c>
      <c r="C304" s="89" t="s">
        <v>50</v>
      </c>
      <c r="D304" s="89" t="s">
        <v>51</v>
      </c>
      <c r="E304" s="90">
        <v>783548516</v>
      </c>
      <c r="F304" s="91" t="s">
        <v>821</v>
      </c>
      <c r="G304" s="92">
        <v>32612015841</v>
      </c>
      <c r="H304" s="93">
        <v>15963</v>
      </c>
      <c r="I304" s="89">
        <v>82</v>
      </c>
      <c r="J304" s="89" t="s">
        <v>67</v>
      </c>
      <c r="K304" s="89" t="s">
        <v>54</v>
      </c>
      <c r="L304" s="89" t="s">
        <v>93</v>
      </c>
      <c r="M304" s="89"/>
      <c r="N304" s="89" t="s">
        <v>108</v>
      </c>
      <c r="O304" s="94" t="s">
        <v>822</v>
      </c>
      <c r="P304" s="95" t="s">
        <v>58</v>
      </c>
      <c r="Q304" s="144" t="s">
        <v>689</v>
      </c>
      <c r="R304" s="96"/>
      <c r="S304" s="97"/>
      <c r="T304" s="97" t="s">
        <v>546</v>
      </c>
      <c r="U304" s="97" t="s">
        <v>690</v>
      </c>
      <c r="V304" s="93">
        <v>46161</v>
      </c>
      <c r="W304" s="93">
        <v>46171</v>
      </c>
      <c r="X304" s="118">
        <v>46183</v>
      </c>
      <c r="Y304" s="98"/>
      <c r="Z304" s="89" t="s">
        <v>62</v>
      </c>
      <c r="AA304" s="97">
        <v>46127</v>
      </c>
      <c r="AB304" s="89" t="s">
        <v>75</v>
      </c>
      <c r="AC304" s="120"/>
      <c r="AD304" s="89"/>
      <c r="AE304" s="89"/>
      <c r="AF304" s="89"/>
      <c r="AG304" s="89"/>
      <c r="AH304" s="99"/>
      <c r="AI304" s="99"/>
      <c r="AJ304" s="99"/>
      <c r="AK304" s="100"/>
      <c r="AL304" s="100"/>
      <c r="AM304" s="100"/>
      <c r="AN304" s="45" t="s">
        <v>65</v>
      </c>
      <c r="AO304" s="198" t="str">
        <f t="shared" si="34"/>
        <v>5/2026</v>
      </c>
      <c r="AP304" s="198">
        <f t="shared" si="35"/>
        <v>2</v>
      </c>
      <c r="AQ304" s="45" t="str">
        <f t="shared" si="36"/>
        <v>1/1900</v>
      </c>
      <c r="AR304" s="45" t="e">
        <f t="shared" si="37"/>
        <v>#NUM!</v>
      </c>
      <c r="AS304" s="45">
        <f t="shared" si="38"/>
        <v>0</v>
      </c>
      <c r="AT304" s="45">
        <f t="shared" si="39"/>
        <v>0</v>
      </c>
      <c r="AU304" s="45">
        <f t="shared" si="40"/>
        <v>0</v>
      </c>
      <c r="AV304" s="45">
        <f t="shared" si="41"/>
        <v>0</v>
      </c>
      <c r="AW304" s="45" t="str">
        <f>_xlfn.XLOOKUP(W304,'Lista Suspensa'!$AA$20:$AA$23,'Lista Suspensa'!$AB$20:$AB$23,"N/A")</f>
        <v>N/A</v>
      </c>
    </row>
    <row r="305" spans="1:49" ht="12" hidden="1" customHeight="1" x14ac:dyDescent="0.3">
      <c r="A305" s="87" t="s">
        <v>49</v>
      </c>
      <c r="B305" s="88">
        <v>46147</v>
      </c>
      <c r="C305" s="89" t="s">
        <v>50</v>
      </c>
      <c r="D305" s="89" t="s">
        <v>51</v>
      </c>
      <c r="E305" s="90">
        <v>811252132</v>
      </c>
      <c r="F305" s="91" t="s">
        <v>823</v>
      </c>
      <c r="G305" s="92">
        <v>31328176860</v>
      </c>
      <c r="H305" s="93">
        <v>29966</v>
      </c>
      <c r="I305" s="89">
        <v>44</v>
      </c>
      <c r="J305" s="89" t="s">
        <v>53</v>
      </c>
      <c r="K305" s="89" t="s">
        <v>54</v>
      </c>
      <c r="L305" s="89" t="s">
        <v>93</v>
      </c>
      <c r="M305" s="89"/>
      <c r="N305" s="89" t="s">
        <v>94</v>
      </c>
      <c r="O305" s="94" t="s">
        <v>824</v>
      </c>
      <c r="P305" s="95" t="s">
        <v>58</v>
      </c>
      <c r="Q305" s="144" t="s">
        <v>689</v>
      </c>
      <c r="R305" s="96"/>
      <c r="S305" s="97"/>
      <c r="T305" s="97" t="s">
        <v>546</v>
      </c>
      <c r="U305" s="97" t="s">
        <v>690</v>
      </c>
      <c r="V305" s="93">
        <v>46161</v>
      </c>
      <c r="W305" s="93">
        <v>46171</v>
      </c>
      <c r="X305" s="118">
        <v>46183</v>
      </c>
      <c r="Y305" s="98"/>
      <c r="Z305" s="89"/>
      <c r="AA305" s="97"/>
      <c r="AB305" s="89"/>
      <c r="AC305" s="120"/>
      <c r="AD305" s="89"/>
      <c r="AE305" s="89"/>
      <c r="AF305" s="89"/>
      <c r="AG305" s="89"/>
      <c r="AH305" s="99"/>
      <c r="AI305" s="99"/>
      <c r="AJ305" s="99"/>
      <c r="AK305" s="100"/>
      <c r="AL305" s="100"/>
      <c r="AM305" s="100"/>
      <c r="AN305" s="45" t="s">
        <v>65</v>
      </c>
      <c r="AO305" s="198" t="str">
        <f t="shared" si="34"/>
        <v>5/2026</v>
      </c>
      <c r="AP305" s="198">
        <f t="shared" si="35"/>
        <v>2</v>
      </c>
      <c r="AQ305" s="45" t="str">
        <f t="shared" si="36"/>
        <v>1/1900</v>
      </c>
      <c r="AR305" s="45" t="e">
        <f t="shared" si="37"/>
        <v>#NUM!</v>
      </c>
      <c r="AS305" s="45">
        <f t="shared" si="38"/>
        <v>0</v>
      </c>
      <c r="AT305" s="45">
        <f t="shared" si="39"/>
        <v>0</v>
      </c>
      <c r="AU305" s="45">
        <f t="shared" si="40"/>
        <v>0</v>
      </c>
      <c r="AV305" s="45">
        <f t="shared" si="41"/>
        <v>0</v>
      </c>
      <c r="AW305" s="45" t="str">
        <f>_xlfn.XLOOKUP(W305,'Lista Suspensa'!$AA$20:$AA$23,'Lista Suspensa'!$AB$20:$AB$23,"N/A")</f>
        <v>N/A</v>
      </c>
    </row>
    <row r="306" spans="1:49" ht="12" hidden="1" customHeight="1" x14ac:dyDescent="0.3">
      <c r="A306" s="87" t="s">
        <v>49</v>
      </c>
      <c r="B306" s="88">
        <v>46147</v>
      </c>
      <c r="C306" s="89" t="s">
        <v>50</v>
      </c>
      <c r="D306" s="89" t="s">
        <v>51</v>
      </c>
      <c r="E306" s="90">
        <v>450185710</v>
      </c>
      <c r="F306" s="91" t="s">
        <v>825</v>
      </c>
      <c r="G306" s="92">
        <v>85181080804</v>
      </c>
      <c r="H306" s="93">
        <v>16879</v>
      </c>
      <c r="I306" s="89">
        <v>80</v>
      </c>
      <c r="J306" s="89" t="s">
        <v>53</v>
      </c>
      <c r="K306" s="89" t="s">
        <v>54</v>
      </c>
      <c r="L306" s="89" t="s">
        <v>93</v>
      </c>
      <c r="M306" s="89"/>
      <c r="N306" s="89" t="s">
        <v>108</v>
      </c>
      <c r="O306" s="94" t="s">
        <v>826</v>
      </c>
      <c r="P306" s="95" t="s">
        <v>58</v>
      </c>
      <c r="Q306" s="144" t="s">
        <v>689</v>
      </c>
      <c r="R306" s="96"/>
      <c r="S306" s="97"/>
      <c r="T306" s="97" t="s">
        <v>546</v>
      </c>
      <c r="U306" s="97" t="s">
        <v>690</v>
      </c>
      <c r="V306" s="93">
        <v>46161</v>
      </c>
      <c r="W306" s="93">
        <v>46171</v>
      </c>
      <c r="X306" s="118">
        <v>46183</v>
      </c>
      <c r="Y306" s="98"/>
      <c r="Z306" s="89"/>
      <c r="AA306" s="97"/>
      <c r="AB306" s="89"/>
      <c r="AC306" s="120"/>
      <c r="AD306" s="89"/>
      <c r="AE306" s="89"/>
      <c r="AF306" s="89"/>
      <c r="AG306" s="89"/>
      <c r="AH306" s="99"/>
      <c r="AI306" s="99"/>
      <c r="AJ306" s="99"/>
      <c r="AK306" s="100"/>
      <c r="AL306" s="100"/>
      <c r="AM306" s="100"/>
      <c r="AN306" s="45" t="s">
        <v>65</v>
      </c>
      <c r="AO306" s="198" t="str">
        <f t="shared" si="34"/>
        <v>5/2026</v>
      </c>
      <c r="AP306" s="198">
        <f t="shared" si="35"/>
        <v>2</v>
      </c>
      <c r="AQ306" s="45" t="str">
        <f t="shared" si="36"/>
        <v>1/1900</v>
      </c>
      <c r="AR306" s="45" t="e">
        <f t="shared" si="37"/>
        <v>#NUM!</v>
      </c>
      <c r="AS306" s="45">
        <f t="shared" si="38"/>
        <v>0</v>
      </c>
      <c r="AT306" s="45">
        <f t="shared" si="39"/>
        <v>0</v>
      </c>
      <c r="AU306" s="45">
        <f t="shared" si="40"/>
        <v>0</v>
      </c>
      <c r="AV306" s="45">
        <f t="shared" si="41"/>
        <v>0</v>
      </c>
      <c r="AW306" s="45" t="str">
        <f>_xlfn.XLOOKUP(W306,'Lista Suspensa'!$AA$20:$AA$23,'Lista Suspensa'!$AB$20:$AB$23,"N/A")</f>
        <v>N/A</v>
      </c>
    </row>
    <row r="307" spans="1:49" ht="12" hidden="1" customHeight="1" x14ac:dyDescent="0.3">
      <c r="A307" s="87" t="s">
        <v>49</v>
      </c>
      <c r="B307" s="88">
        <v>46147</v>
      </c>
      <c r="C307" s="89" t="s">
        <v>50</v>
      </c>
      <c r="D307" s="89" t="s">
        <v>51</v>
      </c>
      <c r="E307" s="90">
        <v>81520999</v>
      </c>
      <c r="F307" s="91" t="s">
        <v>827</v>
      </c>
      <c r="G307" s="92">
        <v>81727216849</v>
      </c>
      <c r="H307" s="93">
        <v>17206</v>
      </c>
      <c r="I307" s="89">
        <v>79</v>
      </c>
      <c r="J307" s="89" t="s">
        <v>67</v>
      </c>
      <c r="K307" s="89" t="s">
        <v>54</v>
      </c>
      <c r="L307" s="89" t="s">
        <v>93</v>
      </c>
      <c r="M307" s="89"/>
      <c r="N307" s="89" t="s">
        <v>175</v>
      </c>
      <c r="O307" s="94" t="s">
        <v>828</v>
      </c>
      <c r="P307" s="95" t="s">
        <v>58</v>
      </c>
      <c r="Q307" s="144" t="s">
        <v>689</v>
      </c>
      <c r="R307" s="96"/>
      <c r="S307" s="97"/>
      <c r="T307" s="97" t="s">
        <v>546</v>
      </c>
      <c r="U307" s="97" t="s">
        <v>690</v>
      </c>
      <c r="V307" s="93">
        <v>46161</v>
      </c>
      <c r="W307" s="93">
        <v>46171</v>
      </c>
      <c r="X307" s="118">
        <v>46183</v>
      </c>
      <c r="Y307" s="98"/>
      <c r="Z307" s="89"/>
      <c r="AA307" s="97"/>
      <c r="AB307" s="89"/>
      <c r="AC307" s="120"/>
      <c r="AD307" s="89"/>
      <c r="AE307" s="89"/>
      <c r="AF307" s="89"/>
      <c r="AG307" s="89"/>
      <c r="AH307" s="99"/>
      <c r="AI307" s="99"/>
      <c r="AJ307" s="99"/>
      <c r="AK307" s="100"/>
      <c r="AL307" s="100"/>
      <c r="AM307" s="100"/>
      <c r="AN307" s="45" t="s">
        <v>65</v>
      </c>
      <c r="AO307" s="198" t="str">
        <f t="shared" si="34"/>
        <v>5/2026</v>
      </c>
      <c r="AP307" s="198">
        <f t="shared" si="35"/>
        <v>2</v>
      </c>
      <c r="AQ307" s="45" t="str">
        <f t="shared" si="36"/>
        <v>1/1900</v>
      </c>
      <c r="AR307" s="45" t="e">
        <f t="shared" si="37"/>
        <v>#NUM!</v>
      </c>
      <c r="AS307" s="45">
        <f t="shared" si="38"/>
        <v>0</v>
      </c>
      <c r="AT307" s="45">
        <f t="shared" si="39"/>
        <v>0</v>
      </c>
      <c r="AU307" s="45">
        <f t="shared" si="40"/>
        <v>0</v>
      </c>
      <c r="AV307" s="45">
        <f t="shared" si="41"/>
        <v>0</v>
      </c>
      <c r="AW307" s="45" t="str">
        <f>_xlfn.XLOOKUP(W307,'Lista Suspensa'!$AA$20:$AA$23,'Lista Suspensa'!$AB$20:$AB$23,"N/A")</f>
        <v>N/A</v>
      </c>
    </row>
    <row r="308" spans="1:49" ht="12" hidden="1" customHeight="1" x14ac:dyDescent="0.3">
      <c r="A308" s="87" t="s">
        <v>49</v>
      </c>
      <c r="B308" s="88">
        <v>46147</v>
      </c>
      <c r="C308" s="89" t="s">
        <v>50</v>
      </c>
      <c r="D308" s="89" t="s">
        <v>51</v>
      </c>
      <c r="E308" s="90">
        <v>78638805</v>
      </c>
      <c r="F308" s="91" t="s">
        <v>829</v>
      </c>
      <c r="G308" s="92">
        <v>76166252404</v>
      </c>
      <c r="H308" s="93">
        <v>25744</v>
      </c>
      <c r="I308" s="89">
        <v>55</v>
      </c>
      <c r="J308" s="89" t="s">
        <v>67</v>
      </c>
      <c r="K308" s="89" t="s">
        <v>54</v>
      </c>
      <c r="L308" s="89" t="s">
        <v>93</v>
      </c>
      <c r="M308" s="89"/>
      <c r="N308" s="89" t="s">
        <v>82</v>
      </c>
      <c r="O308" s="94" t="s">
        <v>830</v>
      </c>
      <c r="P308" s="95" t="s">
        <v>58</v>
      </c>
      <c r="Q308" s="144" t="s">
        <v>689</v>
      </c>
      <c r="R308" s="96"/>
      <c r="S308" s="97"/>
      <c r="T308" s="97" t="s">
        <v>546</v>
      </c>
      <c r="U308" s="97" t="s">
        <v>690</v>
      </c>
      <c r="V308" s="93">
        <v>46161</v>
      </c>
      <c r="W308" s="93">
        <v>46171</v>
      </c>
      <c r="X308" s="118">
        <v>46183</v>
      </c>
      <c r="Y308" s="98"/>
      <c r="Z308" s="89"/>
      <c r="AA308" s="97"/>
      <c r="AB308" s="89"/>
      <c r="AC308" s="120"/>
      <c r="AD308" s="89"/>
      <c r="AE308" s="89"/>
      <c r="AF308" s="89"/>
      <c r="AG308" s="89"/>
      <c r="AH308" s="99"/>
      <c r="AI308" s="99"/>
      <c r="AJ308" s="99"/>
      <c r="AK308" s="100"/>
      <c r="AL308" s="100"/>
      <c r="AM308" s="100"/>
      <c r="AN308" s="45" t="s">
        <v>65</v>
      </c>
      <c r="AO308" s="198" t="str">
        <f t="shared" si="34"/>
        <v>5/2026</v>
      </c>
      <c r="AP308" s="198">
        <f t="shared" si="35"/>
        <v>2</v>
      </c>
      <c r="AQ308" s="45" t="str">
        <f t="shared" si="36"/>
        <v>1/1900</v>
      </c>
      <c r="AR308" s="45" t="e">
        <f t="shared" si="37"/>
        <v>#NUM!</v>
      </c>
      <c r="AS308" s="45">
        <f t="shared" si="38"/>
        <v>0</v>
      </c>
      <c r="AT308" s="45">
        <f t="shared" si="39"/>
        <v>0</v>
      </c>
      <c r="AU308" s="45">
        <f t="shared" si="40"/>
        <v>0</v>
      </c>
      <c r="AV308" s="45">
        <f t="shared" si="41"/>
        <v>0</v>
      </c>
      <c r="AW308" s="45" t="str">
        <f>_xlfn.XLOOKUP(W308,'Lista Suspensa'!$AA$20:$AA$23,'Lista Suspensa'!$AB$20:$AB$23,"N/A")</f>
        <v>N/A</v>
      </c>
    </row>
    <row r="309" spans="1:49" ht="12" hidden="1" customHeight="1" x14ac:dyDescent="0.3">
      <c r="A309" s="87" t="s">
        <v>49</v>
      </c>
      <c r="B309" s="88">
        <v>46147</v>
      </c>
      <c r="C309" s="89" t="s">
        <v>50</v>
      </c>
      <c r="D309" s="89" t="s">
        <v>51</v>
      </c>
      <c r="E309" s="90">
        <v>777529505</v>
      </c>
      <c r="F309" s="91" t="s">
        <v>831</v>
      </c>
      <c r="G309" s="92">
        <v>4580584830</v>
      </c>
      <c r="H309" s="93">
        <v>20030</v>
      </c>
      <c r="I309" s="89">
        <v>71</v>
      </c>
      <c r="J309" s="89" t="s">
        <v>67</v>
      </c>
      <c r="K309" s="89" t="s">
        <v>54</v>
      </c>
      <c r="L309" s="89" t="s">
        <v>93</v>
      </c>
      <c r="M309" s="89"/>
      <c r="N309" s="89" t="s">
        <v>94</v>
      </c>
      <c r="O309" s="94" t="s">
        <v>832</v>
      </c>
      <c r="P309" s="95" t="s">
        <v>58</v>
      </c>
      <c r="Q309" s="144" t="s">
        <v>689</v>
      </c>
      <c r="R309" s="96"/>
      <c r="S309" s="97"/>
      <c r="T309" s="97" t="s">
        <v>546</v>
      </c>
      <c r="U309" s="97" t="s">
        <v>690</v>
      </c>
      <c r="V309" s="93">
        <v>46161</v>
      </c>
      <c r="W309" s="93">
        <v>46171</v>
      </c>
      <c r="X309" s="118">
        <v>46183</v>
      </c>
      <c r="Y309" s="98"/>
      <c r="Z309" s="89"/>
      <c r="AA309" s="97"/>
      <c r="AB309" s="89"/>
      <c r="AC309" s="120"/>
      <c r="AD309" s="89"/>
      <c r="AE309" s="89"/>
      <c r="AF309" s="89"/>
      <c r="AG309" s="89"/>
      <c r="AH309" s="99"/>
      <c r="AI309" s="99"/>
      <c r="AJ309" s="99"/>
      <c r="AK309" s="100"/>
      <c r="AL309" s="100"/>
      <c r="AM309" s="100"/>
      <c r="AN309" s="45" t="s">
        <v>65</v>
      </c>
      <c r="AO309" s="198" t="str">
        <f t="shared" si="34"/>
        <v>5/2026</v>
      </c>
      <c r="AP309" s="198">
        <f t="shared" si="35"/>
        <v>2</v>
      </c>
      <c r="AQ309" s="45" t="str">
        <f t="shared" si="36"/>
        <v>1/1900</v>
      </c>
      <c r="AR309" s="45" t="e">
        <f t="shared" si="37"/>
        <v>#NUM!</v>
      </c>
      <c r="AS309" s="45">
        <f t="shared" si="38"/>
        <v>0</v>
      </c>
      <c r="AT309" s="45">
        <f t="shared" si="39"/>
        <v>0</v>
      </c>
      <c r="AU309" s="45">
        <f t="shared" si="40"/>
        <v>0</v>
      </c>
      <c r="AV309" s="45">
        <f t="shared" si="41"/>
        <v>0</v>
      </c>
      <c r="AW309" s="45" t="str">
        <f>_xlfn.XLOOKUP(W309,'Lista Suspensa'!$AA$20:$AA$23,'Lista Suspensa'!$AB$20:$AB$23,"N/A")</f>
        <v>N/A</v>
      </c>
    </row>
    <row r="310" spans="1:49" ht="12" hidden="1" customHeight="1" x14ac:dyDescent="0.3">
      <c r="A310" s="87" t="s">
        <v>49</v>
      </c>
      <c r="B310" s="88">
        <v>46147</v>
      </c>
      <c r="C310" s="89" t="s">
        <v>50</v>
      </c>
      <c r="D310" s="89" t="s">
        <v>51</v>
      </c>
      <c r="E310" s="90">
        <v>83533024</v>
      </c>
      <c r="F310" s="91" t="s">
        <v>833</v>
      </c>
      <c r="G310" s="92">
        <v>49685617848</v>
      </c>
      <c r="H310" s="93">
        <v>36807</v>
      </c>
      <c r="I310" s="89">
        <v>25</v>
      </c>
      <c r="J310" s="89" t="s">
        <v>53</v>
      </c>
      <c r="K310" s="89" t="s">
        <v>54</v>
      </c>
      <c r="L310" s="89" t="s">
        <v>93</v>
      </c>
      <c r="M310" s="89"/>
      <c r="N310" s="89" t="s">
        <v>82</v>
      </c>
      <c r="O310" s="94" t="s">
        <v>834</v>
      </c>
      <c r="P310" s="95" t="s">
        <v>58</v>
      </c>
      <c r="Q310" s="144" t="s">
        <v>689</v>
      </c>
      <c r="R310" s="96"/>
      <c r="S310" s="97"/>
      <c r="T310" s="97" t="s">
        <v>546</v>
      </c>
      <c r="U310" s="97" t="s">
        <v>690</v>
      </c>
      <c r="V310" s="93">
        <v>46161</v>
      </c>
      <c r="W310" s="93">
        <v>46171</v>
      </c>
      <c r="X310" s="118">
        <v>46183</v>
      </c>
      <c r="Y310" s="98"/>
      <c r="Z310" s="89"/>
      <c r="AA310" s="97"/>
      <c r="AB310" s="89"/>
      <c r="AC310" s="120"/>
      <c r="AD310" s="89"/>
      <c r="AE310" s="89"/>
      <c r="AF310" s="89"/>
      <c r="AG310" s="89"/>
      <c r="AH310" s="99"/>
      <c r="AI310" s="99"/>
      <c r="AJ310" s="99"/>
      <c r="AK310" s="100"/>
      <c r="AL310" s="100"/>
      <c r="AM310" s="100"/>
      <c r="AN310" s="45" t="s">
        <v>65</v>
      </c>
      <c r="AO310" s="198" t="str">
        <f t="shared" si="34"/>
        <v>5/2026</v>
      </c>
      <c r="AP310" s="198">
        <f t="shared" si="35"/>
        <v>2</v>
      </c>
      <c r="AQ310" s="45" t="str">
        <f t="shared" si="36"/>
        <v>1/1900</v>
      </c>
      <c r="AR310" s="45" t="e">
        <f t="shared" si="37"/>
        <v>#NUM!</v>
      </c>
      <c r="AS310" s="45">
        <f t="shared" si="38"/>
        <v>0</v>
      </c>
      <c r="AT310" s="45">
        <f t="shared" si="39"/>
        <v>0</v>
      </c>
      <c r="AU310" s="45">
        <f t="shared" si="40"/>
        <v>0</v>
      </c>
      <c r="AV310" s="45">
        <f t="shared" si="41"/>
        <v>0</v>
      </c>
      <c r="AW310" s="45" t="str">
        <f>_xlfn.XLOOKUP(W310,'Lista Suspensa'!$AA$20:$AA$23,'Lista Suspensa'!$AB$20:$AB$23,"N/A")</f>
        <v>N/A</v>
      </c>
    </row>
    <row r="311" spans="1:49" ht="12" hidden="1" customHeight="1" x14ac:dyDescent="0.3">
      <c r="A311" s="87" t="s">
        <v>49</v>
      </c>
      <c r="B311" s="88">
        <v>46147</v>
      </c>
      <c r="C311" s="89" t="s">
        <v>50</v>
      </c>
      <c r="D311" s="89" t="s">
        <v>51</v>
      </c>
      <c r="E311" s="90">
        <v>450202968</v>
      </c>
      <c r="F311" s="91" t="s">
        <v>835</v>
      </c>
      <c r="G311" s="92">
        <v>15155231876</v>
      </c>
      <c r="H311" s="93">
        <v>20748</v>
      </c>
      <c r="I311" s="89">
        <v>69</v>
      </c>
      <c r="J311" s="89" t="s">
        <v>67</v>
      </c>
      <c r="K311" s="89" t="s">
        <v>54</v>
      </c>
      <c r="L311" s="89" t="s">
        <v>93</v>
      </c>
      <c r="M311" s="89"/>
      <c r="N311" s="89" t="s">
        <v>108</v>
      </c>
      <c r="O311" s="94" t="s">
        <v>836</v>
      </c>
      <c r="P311" s="95" t="s">
        <v>58</v>
      </c>
      <c r="Q311" s="144" t="s">
        <v>689</v>
      </c>
      <c r="R311" s="96"/>
      <c r="S311" s="97"/>
      <c r="T311" s="97" t="s">
        <v>546</v>
      </c>
      <c r="U311" s="97" t="s">
        <v>690</v>
      </c>
      <c r="V311" s="93">
        <v>46161</v>
      </c>
      <c r="W311" s="93">
        <v>46171</v>
      </c>
      <c r="X311" s="118">
        <v>46183</v>
      </c>
      <c r="Y311" s="98"/>
      <c r="Z311" s="89"/>
      <c r="AA311" s="97"/>
      <c r="AB311" s="89"/>
      <c r="AC311" s="120"/>
      <c r="AD311" s="89"/>
      <c r="AE311" s="89"/>
      <c r="AF311" s="89"/>
      <c r="AG311" s="89"/>
      <c r="AH311" s="99"/>
      <c r="AI311" s="99"/>
      <c r="AJ311" s="99"/>
      <c r="AK311" s="100"/>
      <c r="AL311" s="100"/>
      <c r="AM311" s="100"/>
      <c r="AN311" s="45" t="s">
        <v>65</v>
      </c>
      <c r="AO311" s="198" t="str">
        <f t="shared" si="34"/>
        <v>5/2026</v>
      </c>
      <c r="AP311" s="198">
        <f t="shared" si="35"/>
        <v>2</v>
      </c>
      <c r="AQ311" s="45" t="str">
        <f t="shared" si="36"/>
        <v>1/1900</v>
      </c>
      <c r="AR311" s="45" t="e">
        <f t="shared" si="37"/>
        <v>#NUM!</v>
      </c>
      <c r="AS311" s="45">
        <f t="shared" si="38"/>
        <v>0</v>
      </c>
      <c r="AT311" s="45">
        <f t="shared" si="39"/>
        <v>0</v>
      </c>
      <c r="AU311" s="45">
        <f t="shared" si="40"/>
        <v>0</v>
      </c>
      <c r="AV311" s="45">
        <f t="shared" si="41"/>
        <v>0</v>
      </c>
      <c r="AW311" s="45" t="str">
        <f>_xlfn.XLOOKUP(W311,'Lista Suspensa'!$AA$20:$AA$23,'Lista Suspensa'!$AB$20:$AB$23,"N/A")</f>
        <v>N/A</v>
      </c>
    </row>
    <row r="312" spans="1:49" ht="12" hidden="1" customHeight="1" x14ac:dyDescent="0.3">
      <c r="A312" s="87" t="s">
        <v>49</v>
      </c>
      <c r="B312" s="88">
        <v>46147</v>
      </c>
      <c r="C312" s="89" t="s">
        <v>50</v>
      </c>
      <c r="D312" s="89" t="s">
        <v>51</v>
      </c>
      <c r="E312" s="90">
        <v>450201511</v>
      </c>
      <c r="F312" s="91" t="s">
        <v>837</v>
      </c>
      <c r="G312" s="92">
        <v>53306163872</v>
      </c>
      <c r="H312" s="93">
        <v>17956</v>
      </c>
      <c r="I312" s="89">
        <v>77</v>
      </c>
      <c r="J312" s="89" t="s">
        <v>53</v>
      </c>
      <c r="K312" s="89" t="s">
        <v>54</v>
      </c>
      <c r="L312" s="89" t="s">
        <v>93</v>
      </c>
      <c r="M312" s="89"/>
      <c r="N312" s="89" t="s">
        <v>108</v>
      </c>
      <c r="O312" s="94" t="s">
        <v>838</v>
      </c>
      <c r="P312" s="95" t="s">
        <v>58</v>
      </c>
      <c r="Q312" s="144" t="s">
        <v>689</v>
      </c>
      <c r="R312" s="96"/>
      <c r="S312" s="97"/>
      <c r="T312" s="97" t="s">
        <v>546</v>
      </c>
      <c r="U312" s="97" t="s">
        <v>690</v>
      </c>
      <c r="V312" s="93">
        <v>46161</v>
      </c>
      <c r="W312" s="93">
        <v>46171</v>
      </c>
      <c r="X312" s="118">
        <v>46183</v>
      </c>
      <c r="Y312" s="98"/>
      <c r="Z312" s="89"/>
      <c r="AA312" s="97"/>
      <c r="AB312" s="89"/>
      <c r="AC312" s="120"/>
      <c r="AD312" s="89"/>
      <c r="AE312" s="89"/>
      <c r="AF312" s="89"/>
      <c r="AG312" s="89"/>
      <c r="AH312" s="99"/>
      <c r="AI312" s="99"/>
      <c r="AJ312" s="99"/>
      <c r="AK312" s="100"/>
      <c r="AL312" s="100"/>
      <c r="AM312" s="100"/>
      <c r="AN312" s="45" t="s">
        <v>65</v>
      </c>
      <c r="AO312" s="198" t="str">
        <f t="shared" si="34"/>
        <v>5/2026</v>
      </c>
      <c r="AP312" s="198">
        <f t="shared" si="35"/>
        <v>2</v>
      </c>
      <c r="AQ312" s="45" t="str">
        <f t="shared" si="36"/>
        <v>1/1900</v>
      </c>
      <c r="AR312" s="45" t="e">
        <f t="shared" si="37"/>
        <v>#NUM!</v>
      </c>
      <c r="AS312" s="45">
        <f t="shared" si="38"/>
        <v>0</v>
      </c>
      <c r="AT312" s="45">
        <f t="shared" si="39"/>
        <v>0</v>
      </c>
      <c r="AU312" s="45">
        <f t="shared" si="40"/>
        <v>0</v>
      </c>
      <c r="AV312" s="45">
        <f t="shared" si="41"/>
        <v>0</v>
      </c>
      <c r="AW312" s="45" t="str">
        <f>_xlfn.XLOOKUP(W312,'Lista Suspensa'!$AA$20:$AA$23,'Lista Suspensa'!$AB$20:$AB$23,"N/A")</f>
        <v>N/A</v>
      </c>
    </row>
    <row r="313" spans="1:49" ht="12" hidden="1" customHeight="1" x14ac:dyDescent="0.3">
      <c r="A313" s="87" t="s">
        <v>49</v>
      </c>
      <c r="B313" s="88">
        <v>46147</v>
      </c>
      <c r="C313" s="89" t="s">
        <v>50</v>
      </c>
      <c r="D313" s="89" t="s">
        <v>51</v>
      </c>
      <c r="E313" s="90">
        <v>800165241</v>
      </c>
      <c r="F313" s="91" t="s">
        <v>839</v>
      </c>
      <c r="G313" s="92">
        <v>64918246834</v>
      </c>
      <c r="H313" s="93">
        <v>19249</v>
      </c>
      <c r="I313" s="89">
        <v>73</v>
      </c>
      <c r="J313" s="89" t="s">
        <v>53</v>
      </c>
      <c r="K313" s="89" t="s">
        <v>54</v>
      </c>
      <c r="L313" s="89" t="s">
        <v>93</v>
      </c>
      <c r="M313" s="89"/>
      <c r="N313" s="89" t="s">
        <v>108</v>
      </c>
      <c r="O313" s="94" t="s">
        <v>840</v>
      </c>
      <c r="P313" s="95" t="s">
        <v>58</v>
      </c>
      <c r="Q313" s="144" t="s">
        <v>689</v>
      </c>
      <c r="R313" s="96"/>
      <c r="S313" s="97"/>
      <c r="T313" s="97" t="s">
        <v>546</v>
      </c>
      <c r="U313" s="97" t="s">
        <v>690</v>
      </c>
      <c r="V313" s="93">
        <v>46161</v>
      </c>
      <c r="W313" s="93">
        <v>46171</v>
      </c>
      <c r="X313" s="118">
        <v>46183</v>
      </c>
      <c r="Y313" s="98"/>
      <c r="Z313" s="89"/>
      <c r="AA313" s="97"/>
      <c r="AB313" s="89"/>
      <c r="AC313" s="120"/>
      <c r="AD313" s="89"/>
      <c r="AE313" s="89"/>
      <c r="AF313" s="89"/>
      <c r="AG313" s="89"/>
      <c r="AH313" s="99"/>
      <c r="AI313" s="99"/>
      <c r="AJ313" s="99"/>
      <c r="AK313" s="100"/>
      <c r="AL313" s="100"/>
      <c r="AM313" s="100"/>
      <c r="AN313" s="45" t="s">
        <v>65</v>
      </c>
      <c r="AO313" s="198" t="str">
        <f t="shared" si="34"/>
        <v>5/2026</v>
      </c>
      <c r="AP313" s="198">
        <f t="shared" si="35"/>
        <v>2</v>
      </c>
      <c r="AQ313" s="45" t="str">
        <f t="shared" si="36"/>
        <v>1/1900</v>
      </c>
      <c r="AR313" s="45" t="e">
        <f t="shared" si="37"/>
        <v>#NUM!</v>
      </c>
      <c r="AS313" s="45">
        <f t="shared" si="38"/>
        <v>0</v>
      </c>
      <c r="AT313" s="45">
        <f t="shared" si="39"/>
        <v>0</v>
      </c>
      <c r="AU313" s="45">
        <f t="shared" si="40"/>
        <v>0</v>
      </c>
      <c r="AV313" s="45">
        <f t="shared" si="41"/>
        <v>0</v>
      </c>
      <c r="AW313" s="45" t="str">
        <f>_xlfn.XLOOKUP(W313,'Lista Suspensa'!$AA$20:$AA$23,'Lista Suspensa'!$AB$20:$AB$23,"N/A")</f>
        <v>N/A</v>
      </c>
    </row>
    <row r="314" spans="1:49" ht="12" hidden="1" customHeight="1" x14ac:dyDescent="0.3">
      <c r="A314" s="87" t="s">
        <v>49</v>
      </c>
      <c r="B314" s="88">
        <v>46147</v>
      </c>
      <c r="C314" s="89" t="s">
        <v>50</v>
      </c>
      <c r="D314" s="89" t="s">
        <v>51</v>
      </c>
      <c r="E314" s="90">
        <v>76408703</v>
      </c>
      <c r="F314" s="91" t="s">
        <v>841</v>
      </c>
      <c r="G314" s="92">
        <v>36574019893</v>
      </c>
      <c r="H314" s="93">
        <v>32122</v>
      </c>
      <c r="I314" s="89">
        <v>38</v>
      </c>
      <c r="J314" s="89" t="s">
        <v>67</v>
      </c>
      <c r="K314" s="89" t="s">
        <v>54</v>
      </c>
      <c r="L314" s="89" t="s">
        <v>93</v>
      </c>
      <c r="M314" s="89"/>
      <c r="N314" s="89" t="s">
        <v>100</v>
      </c>
      <c r="O314" s="94" t="s">
        <v>842</v>
      </c>
      <c r="P314" s="95" t="s">
        <v>58</v>
      </c>
      <c r="Q314" s="144" t="s">
        <v>689</v>
      </c>
      <c r="R314" s="96"/>
      <c r="S314" s="97"/>
      <c r="T314" s="97" t="s">
        <v>546</v>
      </c>
      <c r="U314" s="97" t="s">
        <v>690</v>
      </c>
      <c r="V314" s="93">
        <v>46161</v>
      </c>
      <c r="W314" s="93">
        <v>46171</v>
      </c>
      <c r="X314" s="118">
        <v>46183</v>
      </c>
      <c r="Y314" s="98"/>
      <c r="Z314" s="89"/>
      <c r="AA314" s="97"/>
      <c r="AB314" s="89"/>
      <c r="AC314" s="120"/>
      <c r="AD314" s="89"/>
      <c r="AE314" s="89"/>
      <c r="AF314" s="89"/>
      <c r="AG314" s="89"/>
      <c r="AH314" s="99"/>
      <c r="AI314" s="99"/>
      <c r="AJ314" s="99"/>
      <c r="AK314" s="100"/>
      <c r="AL314" s="100"/>
      <c r="AM314" s="100"/>
      <c r="AN314" s="45" t="s">
        <v>65</v>
      </c>
      <c r="AO314" s="198" t="str">
        <f t="shared" si="34"/>
        <v>5/2026</v>
      </c>
      <c r="AP314" s="198">
        <f t="shared" si="35"/>
        <v>2</v>
      </c>
      <c r="AQ314" s="45" t="str">
        <f t="shared" si="36"/>
        <v>1/1900</v>
      </c>
      <c r="AR314" s="45" t="e">
        <f t="shared" si="37"/>
        <v>#NUM!</v>
      </c>
      <c r="AS314" s="45">
        <f t="shared" si="38"/>
        <v>0</v>
      </c>
      <c r="AT314" s="45">
        <f t="shared" si="39"/>
        <v>0</v>
      </c>
      <c r="AU314" s="45">
        <f t="shared" si="40"/>
        <v>0</v>
      </c>
      <c r="AV314" s="45">
        <f t="shared" si="41"/>
        <v>0</v>
      </c>
      <c r="AW314" s="45" t="str">
        <f>_xlfn.XLOOKUP(W314,'Lista Suspensa'!$AA$20:$AA$23,'Lista Suspensa'!$AB$20:$AB$23,"N/A")</f>
        <v>N/A</v>
      </c>
    </row>
    <row r="315" spans="1:49" ht="12" hidden="1" customHeight="1" x14ac:dyDescent="0.3">
      <c r="A315" s="87" t="s">
        <v>49</v>
      </c>
      <c r="B315" s="88">
        <v>46147</v>
      </c>
      <c r="C315" s="89" t="s">
        <v>50</v>
      </c>
      <c r="D315" s="89" t="s">
        <v>51</v>
      </c>
      <c r="E315" s="90">
        <v>323781039</v>
      </c>
      <c r="F315" s="91" t="s">
        <v>843</v>
      </c>
      <c r="G315" s="92">
        <v>10477149812</v>
      </c>
      <c r="H315" s="93">
        <v>11692</v>
      </c>
      <c r="I315" s="89">
        <v>94</v>
      </c>
      <c r="J315" s="89" t="s">
        <v>67</v>
      </c>
      <c r="K315" s="89" t="s">
        <v>54</v>
      </c>
      <c r="L315" s="89" t="s">
        <v>93</v>
      </c>
      <c r="M315" s="89"/>
      <c r="N315" s="89" t="s">
        <v>196</v>
      </c>
      <c r="O315" s="94" t="s">
        <v>844</v>
      </c>
      <c r="P315" s="95" t="s">
        <v>58</v>
      </c>
      <c r="Q315" s="144" t="s">
        <v>689</v>
      </c>
      <c r="R315" s="96"/>
      <c r="S315" s="97"/>
      <c r="T315" s="97" t="s">
        <v>546</v>
      </c>
      <c r="U315" s="97" t="s">
        <v>690</v>
      </c>
      <c r="V315" s="93">
        <v>46161</v>
      </c>
      <c r="W315" s="93">
        <v>46171</v>
      </c>
      <c r="X315" s="118">
        <v>46183</v>
      </c>
      <c r="Y315" s="98"/>
      <c r="Z315" s="89"/>
      <c r="AA315" s="97"/>
      <c r="AB315" s="89"/>
      <c r="AC315" s="120"/>
      <c r="AD315" s="89"/>
      <c r="AE315" s="89"/>
      <c r="AF315" s="89"/>
      <c r="AG315" s="89"/>
      <c r="AH315" s="99"/>
      <c r="AI315" s="99"/>
      <c r="AJ315" s="99"/>
      <c r="AK315" s="100"/>
      <c r="AL315" s="100"/>
      <c r="AM315" s="100"/>
      <c r="AN315" s="45" t="s">
        <v>65</v>
      </c>
      <c r="AO315" s="198" t="str">
        <f t="shared" si="34"/>
        <v>5/2026</v>
      </c>
      <c r="AP315" s="198">
        <f t="shared" si="35"/>
        <v>2</v>
      </c>
      <c r="AQ315" s="45" t="str">
        <f t="shared" si="36"/>
        <v>1/1900</v>
      </c>
      <c r="AR315" s="45" t="e">
        <f t="shared" si="37"/>
        <v>#NUM!</v>
      </c>
      <c r="AS315" s="45">
        <f t="shared" si="38"/>
        <v>0</v>
      </c>
      <c r="AT315" s="45">
        <f t="shared" si="39"/>
        <v>0</v>
      </c>
      <c r="AU315" s="45">
        <f t="shared" si="40"/>
        <v>0</v>
      </c>
      <c r="AV315" s="45">
        <f t="shared" si="41"/>
        <v>0</v>
      </c>
      <c r="AW315" s="45" t="str">
        <f>_xlfn.XLOOKUP(W315,'Lista Suspensa'!$AA$20:$AA$23,'Lista Suspensa'!$AB$20:$AB$23,"N/A")</f>
        <v>N/A</v>
      </c>
    </row>
    <row r="316" spans="1:49" ht="12" customHeight="1" x14ac:dyDescent="0.3">
      <c r="A316" s="87" t="s">
        <v>49</v>
      </c>
      <c r="B316" s="88">
        <v>46147</v>
      </c>
      <c r="C316" s="89" t="s">
        <v>50</v>
      </c>
      <c r="D316" s="89" t="s">
        <v>51</v>
      </c>
      <c r="E316" s="90">
        <v>800079981</v>
      </c>
      <c r="F316" s="91" t="s">
        <v>845</v>
      </c>
      <c r="G316" s="92">
        <v>18864779817</v>
      </c>
      <c r="H316" s="93">
        <v>21017</v>
      </c>
      <c r="I316" s="89">
        <v>68</v>
      </c>
      <c r="J316" s="89" t="s">
        <v>67</v>
      </c>
      <c r="K316" s="89" t="s">
        <v>54</v>
      </c>
      <c r="L316" s="89" t="s">
        <v>93</v>
      </c>
      <c r="M316" s="89"/>
      <c r="N316" s="89" t="s">
        <v>108</v>
      </c>
      <c r="O316" s="94" t="s">
        <v>846</v>
      </c>
      <c r="P316" s="95" t="s">
        <v>58</v>
      </c>
      <c r="Q316" s="144" t="s">
        <v>59</v>
      </c>
      <c r="R316" s="96">
        <v>46183</v>
      </c>
      <c r="S316" s="97"/>
      <c r="T316" s="97" t="s">
        <v>60</v>
      </c>
      <c r="U316" s="97" t="s">
        <v>61</v>
      </c>
      <c r="V316" s="93">
        <v>46161</v>
      </c>
      <c r="W316" s="93">
        <v>46171</v>
      </c>
      <c r="X316" s="118">
        <v>46183</v>
      </c>
      <c r="Y316" s="98"/>
      <c r="Z316" s="89" t="s">
        <v>62</v>
      </c>
      <c r="AA316" s="97">
        <v>46190</v>
      </c>
      <c r="AB316" s="89"/>
      <c r="AC316" s="120"/>
      <c r="AD316" s="89"/>
      <c r="AE316" s="89"/>
      <c r="AF316" s="89"/>
      <c r="AG316" s="89"/>
      <c r="AH316" s="99"/>
      <c r="AI316" s="99"/>
      <c r="AJ316" s="99"/>
      <c r="AK316" s="100"/>
      <c r="AL316" s="100" t="s">
        <v>944</v>
      </c>
      <c r="AM316" s="100"/>
      <c r="AN316" s="45" t="s">
        <v>65</v>
      </c>
      <c r="AO316" s="198" t="str">
        <f t="shared" si="34"/>
        <v>5/2026</v>
      </c>
      <c r="AP316" s="198">
        <f t="shared" si="35"/>
        <v>2</v>
      </c>
      <c r="AQ316" s="45" t="str">
        <f t="shared" si="36"/>
        <v>6/2026</v>
      </c>
      <c r="AR316" s="45">
        <f t="shared" si="37"/>
        <v>2</v>
      </c>
      <c r="AS316" s="45">
        <f t="shared" si="38"/>
        <v>0</v>
      </c>
      <c r="AT316" s="45">
        <f t="shared" si="39"/>
        <v>0</v>
      </c>
      <c r="AU316" s="45">
        <f t="shared" si="40"/>
        <v>0</v>
      </c>
      <c r="AV316" s="45">
        <f t="shared" si="41"/>
        <v>0</v>
      </c>
      <c r="AW316" s="45" t="str">
        <f>_xlfn.XLOOKUP(W316,'Lista Suspensa'!$AA$20:$AA$23,'Lista Suspensa'!$AB$20:$AB$23,"N/A")</f>
        <v>N/A</v>
      </c>
    </row>
    <row r="317" spans="1:49" ht="12" hidden="1" customHeight="1" x14ac:dyDescent="0.3">
      <c r="A317" s="87" t="s">
        <v>49</v>
      </c>
      <c r="B317" s="88">
        <v>46147</v>
      </c>
      <c r="C317" s="89" t="s">
        <v>50</v>
      </c>
      <c r="D317" s="89" t="s">
        <v>51</v>
      </c>
      <c r="E317" s="90">
        <v>596247974</v>
      </c>
      <c r="F317" s="91" t="s">
        <v>847</v>
      </c>
      <c r="G317" s="92">
        <v>34511674841</v>
      </c>
      <c r="H317" s="93">
        <v>31706</v>
      </c>
      <c r="I317" s="89">
        <v>39</v>
      </c>
      <c r="J317" s="89" t="s">
        <v>67</v>
      </c>
      <c r="K317" s="89" t="s">
        <v>54</v>
      </c>
      <c r="L317" s="89" t="s">
        <v>93</v>
      </c>
      <c r="M317" s="89"/>
      <c r="N317" s="89" t="s">
        <v>69</v>
      </c>
      <c r="O317" s="94" t="s">
        <v>848</v>
      </c>
      <c r="P317" s="95" t="s">
        <v>58</v>
      </c>
      <c r="Q317" s="144" t="s">
        <v>689</v>
      </c>
      <c r="R317" s="96"/>
      <c r="S317" s="97"/>
      <c r="T317" s="97" t="s">
        <v>546</v>
      </c>
      <c r="U317" s="97" t="s">
        <v>690</v>
      </c>
      <c r="V317" s="93">
        <v>46161</v>
      </c>
      <c r="W317" s="93">
        <v>46171</v>
      </c>
      <c r="X317" s="118">
        <v>46183</v>
      </c>
      <c r="Y317" s="98"/>
      <c r="Z317" s="89"/>
      <c r="AA317" s="97"/>
      <c r="AB317" s="89"/>
      <c r="AC317" s="120"/>
      <c r="AD317" s="89"/>
      <c r="AE317" s="89"/>
      <c r="AF317" s="89"/>
      <c r="AG317" s="89"/>
      <c r="AH317" s="99"/>
      <c r="AI317" s="99"/>
      <c r="AJ317" s="99"/>
      <c r="AK317" s="100"/>
      <c r="AL317" s="100"/>
      <c r="AM317" s="100"/>
      <c r="AN317" s="45" t="s">
        <v>65</v>
      </c>
      <c r="AO317" s="198" t="str">
        <f t="shared" si="34"/>
        <v>5/2026</v>
      </c>
      <c r="AP317" s="198">
        <f t="shared" si="35"/>
        <v>2</v>
      </c>
      <c r="AQ317" s="45" t="str">
        <f t="shared" si="36"/>
        <v>1/1900</v>
      </c>
      <c r="AR317" s="45" t="e">
        <f t="shared" si="37"/>
        <v>#NUM!</v>
      </c>
      <c r="AS317" s="45">
        <f t="shared" si="38"/>
        <v>0</v>
      </c>
      <c r="AT317" s="45">
        <f t="shared" si="39"/>
        <v>0</v>
      </c>
      <c r="AU317" s="45">
        <f t="shared" si="40"/>
        <v>0</v>
      </c>
      <c r="AV317" s="45">
        <f t="shared" si="41"/>
        <v>0</v>
      </c>
      <c r="AW317" s="45" t="str">
        <f>_xlfn.XLOOKUP(W317,'Lista Suspensa'!$AA$20:$AA$23,'Lista Suspensa'!$AB$20:$AB$23,"N/A")</f>
        <v>N/A</v>
      </c>
    </row>
    <row r="318" spans="1:49" ht="12" hidden="1" customHeight="1" x14ac:dyDescent="0.3">
      <c r="A318" s="87" t="s">
        <v>49</v>
      </c>
      <c r="B318" s="88">
        <v>46147</v>
      </c>
      <c r="C318" s="89" t="s">
        <v>50</v>
      </c>
      <c r="D318" s="89" t="s">
        <v>51</v>
      </c>
      <c r="E318" s="90">
        <v>84751558</v>
      </c>
      <c r="F318" s="91" t="s">
        <v>849</v>
      </c>
      <c r="G318" s="92">
        <v>24947200871</v>
      </c>
      <c r="H318" s="93">
        <v>27514</v>
      </c>
      <c r="I318" s="89">
        <v>51</v>
      </c>
      <c r="J318" s="89" t="s">
        <v>67</v>
      </c>
      <c r="K318" s="89" t="s">
        <v>54</v>
      </c>
      <c r="L318" s="89" t="s">
        <v>93</v>
      </c>
      <c r="M318" s="89"/>
      <c r="N318" s="89" t="s">
        <v>82</v>
      </c>
      <c r="O318" s="94" t="s">
        <v>850</v>
      </c>
      <c r="P318" s="95" t="s">
        <v>58</v>
      </c>
      <c r="Q318" s="144" t="s">
        <v>689</v>
      </c>
      <c r="R318" s="96"/>
      <c r="S318" s="97"/>
      <c r="T318" s="97" t="s">
        <v>546</v>
      </c>
      <c r="U318" s="97" t="s">
        <v>690</v>
      </c>
      <c r="V318" s="93">
        <v>46161</v>
      </c>
      <c r="W318" s="93">
        <v>46171</v>
      </c>
      <c r="X318" s="118">
        <v>46183</v>
      </c>
      <c r="Y318" s="98"/>
      <c r="Z318" s="89"/>
      <c r="AA318" s="97"/>
      <c r="AB318" s="89"/>
      <c r="AC318" s="120"/>
      <c r="AD318" s="89"/>
      <c r="AE318" s="89"/>
      <c r="AF318" s="89"/>
      <c r="AG318" s="89"/>
      <c r="AH318" s="99"/>
      <c r="AI318" s="99"/>
      <c r="AJ318" s="99"/>
      <c r="AK318" s="100"/>
      <c r="AL318" s="100"/>
      <c r="AM318" s="100"/>
      <c r="AN318" s="45" t="s">
        <v>65</v>
      </c>
      <c r="AO318" s="198" t="str">
        <f t="shared" si="34"/>
        <v>5/2026</v>
      </c>
      <c r="AP318" s="198">
        <f t="shared" si="35"/>
        <v>2</v>
      </c>
      <c r="AQ318" s="45" t="str">
        <f t="shared" si="36"/>
        <v>1/1900</v>
      </c>
      <c r="AR318" s="45" t="e">
        <f t="shared" si="37"/>
        <v>#NUM!</v>
      </c>
      <c r="AS318" s="45">
        <f t="shared" si="38"/>
        <v>0</v>
      </c>
      <c r="AT318" s="45">
        <f t="shared" si="39"/>
        <v>0</v>
      </c>
      <c r="AU318" s="45">
        <f t="shared" si="40"/>
        <v>0</v>
      </c>
      <c r="AV318" s="45">
        <f t="shared" si="41"/>
        <v>0</v>
      </c>
      <c r="AW318" s="45" t="str">
        <f>_xlfn.XLOOKUP(W318,'Lista Suspensa'!$AA$20:$AA$23,'Lista Suspensa'!$AB$20:$AB$23,"N/A")</f>
        <v>N/A</v>
      </c>
    </row>
    <row r="319" spans="1:49" ht="12" hidden="1" customHeight="1" x14ac:dyDescent="0.3">
      <c r="A319" s="87" t="s">
        <v>49</v>
      </c>
      <c r="B319" s="88">
        <v>46147</v>
      </c>
      <c r="C319" s="89" t="s">
        <v>50</v>
      </c>
      <c r="D319" s="89" t="s">
        <v>51</v>
      </c>
      <c r="E319" s="90">
        <v>86174854</v>
      </c>
      <c r="F319" s="91" t="s">
        <v>851</v>
      </c>
      <c r="G319" s="92">
        <v>10383682860</v>
      </c>
      <c r="H319" s="93">
        <v>22391</v>
      </c>
      <c r="I319" s="89">
        <v>65</v>
      </c>
      <c r="J319" s="89" t="s">
        <v>53</v>
      </c>
      <c r="K319" s="89" t="s">
        <v>54</v>
      </c>
      <c r="L319" s="89" t="s">
        <v>93</v>
      </c>
      <c r="M319" s="89"/>
      <c r="N319" s="89" t="s">
        <v>280</v>
      </c>
      <c r="O319" s="94" t="s">
        <v>852</v>
      </c>
      <c r="P319" s="95" t="s">
        <v>58</v>
      </c>
      <c r="Q319" s="144" t="s">
        <v>689</v>
      </c>
      <c r="R319" s="96"/>
      <c r="S319" s="97"/>
      <c r="T319" s="97" t="s">
        <v>546</v>
      </c>
      <c r="U319" s="97" t="s">
        <v>690</v>
      </c>
      <c r="V319" s="93">
        <v>46161</v>
      </c>
      <c r="W319" s="93">
        <v>46171</v>
      </c>
      <c r="X319" s="118">
        <v>46183</v>
      </c>
      <c r="Y319" s="98"/>
      <c r="Z319" s="89"/>
      <c r="AA319" s="97"/>
      <c r="AB319" s="89"/>
      <c r="AC319" s="120"/>
      <c r="AD319" s="89"/>
      <c r="AE319" s="89"/>
      <c r="AF319" s="89"/>
      <c r="AG319" s="89"/>
      <c r="AH319" s="99"/>
      <c r="AI319" s="99"/>
      <c r="AJ319" s="99"/>
      <c r="AK319" s="100"/>
      <c r="AL319" s="100"/>
      <c r="AM319" s="100"/>
      <c r="AN319" s="45" t="s">
        <v>65</v>
      </c>
      <c r="AO319" s="198" t="str">
        <f t="shared" si="34"/>
        <v>5/2026</v>
      </c>
      <c r="AP319" s="198">
        <f t="shared" si="35"/>
        <v>2</v>
      </c>
      <c r="AQ319" s="45" t="str">
        <f t="shared" si="36"/>
        <v>1/1900</v>
      </c>
      <c r="AR319" s="45" t="e">
        <f t="shared" si="37"/>
        <v>#NUM!</v>
      </c>
      <c r="AS319" s="45">
        <f t="shared" si="38"/>
        <v>0</v>
      </c>
      <c r="AT319" s="45">
        <f t="shared" si="39"/>
        <v>0</v>
      </c>
      <c r="AU319" s="45">
        <f t="shared" si="40"/>
        <v>0</v>
      </c>
      <c r="AV319" s="45">
        <f t="shared" si="41"/>
        <v>0</v>
      </c>
      <c r="AW319" s="45" t="str">
        <f>_xlfn.XLOOKUP(W319,'Lista Suspensa'!$AA$20:$AA$23,'Lista Suspensa'!$AB$20:$AB$23,"N/A")</f>
        <v>N/A</v>
      </c>
    </row>
    <row r="320" spans="1:49" ht="12" hidden="1" customHeight="1" x14ac:dyDescent="0.3">
      <c r="A320" s="87" t="s">
        <v>49</v>
      </c>
      <c r="B320" s="88">
        <v>46147</v>
      </c>
      <c r="C320" s="89" t="s">
        <v>50</v>
      </c>
      <c r="D320" s="89" t="s">
        <v>51</v>
      </c>
      <c r="E320" s="90">
        <v>89429994</v>
      </c>
      <c r="F320" s="91" t="s">
        <v>853</v>
      </c>
      <c r="G320" s="92">
        <v>89146557172</v>
      </c>
      <c r="H320" s="93">
        <v>27511</v>
      </c>
      <c r="I320" s="89">
        <v>51</v>
      </c>
      <c r="J320" s="89" t="s">
        <v>67</v>
      </c>
      <c r="K320" s="89" t="s">
        <v>54</v>
      </c>
      <c r="L320" s="89" t="s">
        <v>93</v>
      </c>
      <c r="M320" s="89"/>
      <c r="N320" s="89" t="s">
        <v>280</v>
      </c>
      <c r="O320" s="94" t="s">
        <v>854</v>
      </c>
      <c r="P320" s="95" t="s">
        <v>58</v>
      </c>
      <c r="Q320" s="144" t="s">
        <v>689</v>
      </c>
      <c r="R320" s="96"/>
      <c r="S320" s="97"/>
      <c r="T320" s="97" t="s">
        <v>546</v>
      </c>
      <c r="U320" s="97" t="s">
        <v>690</v>
      </c>
      <c r="V320" s="93">
        <v>46161</v>
      </c>
      <c r="W320" s="93">
        <v>46171</v>
      </c>
      <c r="X320" s="118">
        <v>46183</v>
      </c>
      <c r="Y320" s="98"/>
      <c r="Z320" s="89"/>
      <c r="AA320" s="97"/>
      <c r="AB320" s="89"/>
      <c r="AC320" s="120"/>
      <c r="AD320" s="89"/>
      <c r="AE320" s="89"/>
      <c r="AF320" s="89"/>
      <c r="AG320" s="89"/>
      <c r="AH320" s="99"/>
      <c r="AI320" s="99"/>
      <c r="AJ320" s="99"/>
      <c r="AK320" s="100"/>
      <c r="AL320" s="100"/>
      <c r="AM320" s="100"/>
      <c r="AN320" s="45" t="s">
        <v>65</v>
      </c>
      <c r="AO320" s="198" t="str">
        <f t="shared" si="34"/>
        <v>5/2026</v>
      </c>
      <c r="AP320" s="198">
        <f t="shared" si="35"/>
        <v>2</v>
      </c>
      <c r="AQ320" s="45" t="str">
        <f t="shared" si="36"/>
        <v>1/1900</v>
      </c>
      <c r="AR320" s="45" t="e">
        <f t="shared" si="37"/>
        <v>#NUM!</v>
      </c>
      <c r="AS320" s="45">
        <f t="shared" si="38"/>
        <v>0</v>
      </c>
      <c r="AT320" s="45">
        <f t="shared" si="39"/>
        <v>0</v>
      </c>
      <c r="AU320" s="45">
        <f t="shared" si="40"/>
        <v>0</v>
      </c>
      <c r="AV320" s="45">
        <f t="shared" si="41"/>
        <v>0</v>
      </c>
      <c r="AW320" s="45" t="str">
        <f>_xlfn.XLOOKUP(W320,'Lista Suspensa'!$AA$20:$AA$23,'Lista Suspensa'!$AB$20:$AB$23,"N/A")</f>
        <v>N/A</v>
      </c>
    </row>
    <row r="321" spans="1:49" ht="12" hidden="1" customHeight="1" x14ac:dyDescent="0.3">
      <c r="A321" s="87" t="s">
        <v>49</v>
      </c>
      <c r="B321" s="88">
        <v>46147</v>
      </c>
      <c r="C321" s="89" t="s">
        <v>50</v>
      </c>
      <c r="D321" s="89" t="s">
        <v>51</v>
      </c>
      <c r="E321" s="90">
        <v>74029025</v>
      </c>
      <c r="F321" s="91" t="s">
        <v>855</v>
      </c>
      <c r="G321" s="92">
        <v>99956993115</v>
      </c>
      <c r="H321" s="93">
        <v>30366</v>
      </c>
      <c r="I321" s="89">
        <v>43</v>
      </c>
      <c r="J321" s="89" t="s">
        <v>53</v>
      </c>
      <c r="K321" s="89" t="s">
        <v>54</v>
      </c>
      <c r="L321" s="89" t="s">
        <v>93</v>
      </c>
      <c r="M321" s="89"/>
      <c r="N321" s="89" t="s">
        <v>100</v>
      </c>
      <c r="O321" s="94" t="s">
        <v>856</v>
      </c>
      <c r="P321" s="95" t="s">
        <v>58</v>
      </c>
      <c r="Q321" s="144" t="s">
        <v>689</v>
      </c>
      <c r="R321" s="96"/>
      <c r="S321" s="97"/>
      <c r="T321" s="97" t="s">
        <v>546</v>
      </c>
      <c r="U321" s="97" t="s">
        <v>690</v>
      </c>
      <c r="V321" s="93">
        <v>46161</v>
      </c>
      <c r="W321" s="93">
        <v>46171</v>
      </c>
      <c r="X321" s="118">
        <v>46183</v>
      </c>
      <c r="Y321" s="98"/>
      <c r="Z321" s="89"/>
      <c r="AA321" s="97"/>
      <c r="AB321" s="89"/>
      <c r="AC321" s="120"/>
      <c r="AD321" s="89"/>
      <c r="AE321" s="89"/>
      <c r="AF321" s="89"/>
      <c r="AG321" s="89"/>
      <c r="AH321" s="99"/>
      <c r="AI321" s="99"/>
      <c r="AJ321" s="99"/>
      <c r="AK321" s="100"/>
      <c r="AL321" s="100"/>
      <c r="AM321" s="100"/>
      <c r="AN321" s="45" t="s">
        <v>65</v>
      </c>
      <c r="AO321" s="198" t="str">
        <f t="shared" si="34"/>
        <v>5/2026</v>
      </c>
      <c r="AP321" s="198">
        <f t="shared" si="35"/>
        <v>2</v>
      </c>
      <c r="AQ321" s="45" t="str">
        <f t="shared" si="36"/>
        <v>1/1900</v>
      </c>
      <c r="AR321" s="45" t="e">
        <f t="shared" si="37"/>
        <v>#NUM!</v>
      </c>
      <c r="AS321" s="45">
        <f t="shared" si="38"/>
        <v>0</v>
      </c>
      <c r="AT321" s="45">
        <f t="shared" si="39"/>
        <v>0</v>
      </c>
      <c r="AU321" s="45">
        <f t="shared" si="40"/>
        <v>0</v>
      </c>
      <c r="AV321" s="45">
        <f t="shared" si="41"/>
        <v>0</v>
      </c>
      <c r="AW321" s="45" t="str">
        <f>_xlfn.XLOOKUP(W321,'Lista Suspensa'!$AA$20:$AA$23,'Lista Suspensa'!$AB$20:$AB$23,"N/A")</f>
        <v>N/A</v>
      </c>
    </row>
    <row r="322" spans="1:49" ht="12" hidden="1" customHeight="1" x14ac:dyDescent="0.3">
      <c r="A322" s="87" t="s">
        <v>49</v>
      </c>
      <c r="B322" s="88">
        <v>46147</v>
      </c>
      <c r="C322" s="89" t="s">
        <v>50</v>
      </c>
      <c r="D322" s="89" t="s">
        <v>51</v>
      </c>
      <c r="E322" s="90">
        <v>83461584</v>
      </c>
      <c r="F322" s="91" t="s">
        <v>857</v>
      </c>
      <c r="G322" s="92">
        <v>3793263886</v>
      </c>
      <c r="H322" s="93">
        <v>23011</v>
      </c>
      <c r="I322" s="89">
        <v>63</v>
      </c>
      <c r="J322" s="89" t="s">
        <v>53</v>
      </c>
      <c r="K322" s="89" t="s">
        <v>54</v>
      </c>
      <c r="L322" s="89" t="s">
        <v>93</v>
      </c>
      <c r="M322" s="89"/>
      <c r="N322" s="89" t="s">
        <v>175</v>
      </c>
      <c r="O322" s="94" t="s">
        <v>858</v>
      </c>
      <c r="P322" s="95" t="s">
        <v>58</v>
      </c>
      <c r="Q322" s="144" t="s">
        <v>689</v>
      </c>
      <c r="R322" s="96"/>
      <c r="S322" s="97"/>
      <c r="T322" s="97" t="s">
        <v>546</v>
      </c>
      <c r="U322" s="97" t="s">
        <v>690</v>
      </c>
      <c r="V322" s="93">
        <v>46161</v>
      </c>
      <c r="W322" s="93">
        <v>46171</v>
      </c>
      <c r="X322" s="118">
        <v>46183</v>
      </c>
      <c r="Y322" s="98"/>
      <c r="Z322" s="89"/>
      <c r="AA322" s="97"/>
      <c r="AB322" s="89"/>
      <c r="AC322" s="120"/>
      <c r="AD322" s="89"/>
      <c r="AE322" s="89"/>
      <c r="AF322" s="89"/>
      <c r="AG322" s="89"/>
      <c r="AH322" s="99"/>
      <c r="AI322" s="99"/>
      <c r="AJ322" s="99"/>
      <c r="AK322" s="100"/>
      <c r="AL322" s="100"/>
      <c r="AM322" s="100"/>
      <c r="AN322" s="45" t="s">
        <v>65</v>
      </c>
      <c r="AO322" s="198" t="str">
        <f t="shared" ref="AO322:AO327" si="42">MONTH(B322)&amp;"/"&amp;YEAR(B322)</f>
        <v>5/2026</v>
      </c>
      <c r="AP322" s="198">
        <f t="shared" ref="AP322:AP327" si="43">WEEKNUM(B322)-WEEKNUM(EOMONTH(B322,-1)+1)+1</f>
        <v>2</v>
      </c>
      <c r="AQ322" s="45" t="str">
        <f t="shared" ref="AQ322:AQ327" si="44">MONTH(R322)&amp;"/"&amp;YEAR(R322)</f>
        <v>1/1900</v>
      </c>
      <c r="AR322" s="45" t="e">
        <f t="shared" ref="AR322:AR327" si="45">WEEKNUM(R322)-WEEKNUM(EOMONTH(R322,-1)+1)+1</f>
        <v>#NUM!</v>
      </c>
      <c r="AS322" s="45">
        <f t="shared" ref="AS322:AS327" si="46">IF(AW322="S",IF(Q322="1. Aceitou o programa",R322-B322,0),0)</f>
        <v>0</v>
      </c>
      <c r="AT322" s="45">
        <f t="shared" ref="AT322:AT327" si="47">IF(AW322="S",IF(AND(S322&lt;&gt;"",R322&lt;&gt;""),S322-R322,0),0)</f>
        <v>0</v>
      </c>
      <c r="AU322" s="45">
        <f t="shared" ref="AU322:AU327" si="48">IF(AW322="S",IF(Q322="1. Aceitou o programa",IF(OR(X322="Não se Aplica",X322=""),IF(OR(W322="Não se Aplica",W322=""),0,W322-V322),AVERAGE(X322-W322,W322-V322)),0),0)</f>
        <v>0</v>
      </c>
      <c r="AV322" s="45">
        <f t="shared" si="41"/>
        <v>0</v>
      </c>
      <c r="AW322" s="45" t="str">
        <f>_xlfn.XLOOKUP(W322,'Lista Suspensa'!$AA$20:$AA$23,'Lista Suspensa'!$AB$20:$AB$23,"N/A")</f>
        <v>N/A</v>
      </c>
    </row>
    <row r="323" spans="1:49" ht="12" hidden="1" customHeight="1" x14ac:dyDescent="0.3">
      <c r="A323" s="87" t="s">
        <v>49</v>
      </c>
      <c r="B323" s="88">
        <v>46147</v>
      </c>
      <c r="C323" s="89" t="s">
        <v>50</v>
      </c>
      <c r="D323" s="89" t="s">
        <v>51</v>
      </c>
      <c r="E323" s="90">
        <v>452534895</v>
      </c>
      <c r="F323" s="91" t="s">
        <v>859</v>
      </c>
      <c r="G323" s="92">
        <v>4421477834</v>
      </c>
      <c r="H323" s="93">
        <v>17150</v>
      </c>
      <c r="I323" s="89">
        <v>79</v>
      </c>
      <c r="J323" s="89" t="s">
        <v>53</v>
      </c>
      <c r="K323" s="89" t="s">
        <v>54</v>
      </c>
      <c r="L323" s="89" t="s">
        <v>860</v>
      </c>
      <c r="M323" s="89"/>
      <c r="N323" s="89" t="s">
        <v>100</v>
      </c>
      <c r="O323" s="94" t="s">
        <v>861</v>
      </c>
      <c r="P323" s="95" t="s">
        <v>58</v>
      </c>
      <c r="Q323" s="144" t="s">
        <v>689</v>
      </c>
      <c r="R323" s="96"/>
      <c r="S323" s="97"/>
      <c r="T323" s="97" t="s">
        <v>546</v>
      </c>
      <c r="U323" s="97" t="s">
        <v>690</v>
      </c>
      <c r="V323" s="93">
        <v>46161</v>
      </c>
      <c r="W323" s="93">
        <v>46171</v>
      </c>
      <c r="X323" s="118">
        <v>46183</v>
      </c>
      <c r="Y323" s="98"/>
      <c r="Z323" s="89"/>
      <c r="AA323" s="97"/>
      <c r="AB323" s="89"/>
      <c r="AC323" s="120"/>
      <c r="AD323" s="89"/>
      <c r="AE323" s="89"/>
      <c r="AF323" s="89"/>
      <c r="AG323" s="89"/>
      <c r="AH323" s="99"/>
      <c r="AI323" s="99"/>
      <c r="AJ323" s="99"/>
      <c r="AK323" s="100"/>
      <c r="AL323" s="100"/>
      <c r="AM323" s="100"/>
      <c r="AN323" s="45" t="s">
        <v>65</v>
      </c>
      <c r="AO323" s="198" t="str">
        <f t="shared" si="42"/>
        <v>5/2026</v>
      </c>
      <c r="AP323" s="198">
        <f t="shared" si="43"/>
        <v>2</v>
      </c>
      <c r="AQ323" s="45" t="str">
        <f t="shared" si="44"/>
        <v>1/1900</v>
      </c>
      <c r="AR323" s="45" t="e">
        <f t="shared" si="45"/>
        <v>#NUM!</v>
      </c>
      <c r="AS323" s="45">
        <f t="shared" si="46"/>
        <v>0</v>
      </c>
      <c r="AT323" s="45">
        <f t="shared" si="47"/>
        <v>0</v>
      </c>
      <c r="AU323" s="45">
        <f t="shared" si="48"/>
        <v>0</v>
      </c>
      <c r="AV323" s="45">
        <f t="shared" si="41"/>
        <v>0</v>
      </c>
      <c r="AW323" s="45" t="str">
        <f>_xlfn.XLOOKUP(W323,'Lista Suspensa'!$AA$20:$AA$23,'Lista Suspensa'!$AB$20:$AB$23,"N/A")</f>
        <v>N/A</v>
      </c>
    </row>
    <row r="324" spans="1:49" ht="12" hidden="1" customHeight="1" x14ac:dyDescent="0.3">
      <c r="A324" s="87" t="s">
        <v>102</v>
      </c>
      <c r="B324" s="88">
        <v>46161</v>
      </c>
      <c r="C324" s="89" t="s">
        <v>608</v>
      </c>
      <c r="D324" s="89" t="s">
        <v>609</v>
      </c>
      <c r="E324" s="90">
        <v>595964583</v>
      </c>
      <c r="F324" s="91" t="s">
        <v>862</v>
      </c>
      <c r="G324" s="92">
        <v>9505805896</v>
      </c>
      <c r="H324" s="93">
        <v>25313</v>
      </c>
      <c r="I324" s="89">
        <v>57</v>
      </c>
      <c r="J324" s="89" t="s">
        <v>67</v>
      </c>
      <c r="K324" s="89" t="s">
        <v>54</v>
      </c>
      <c r="L324" s="89" t="s">
        <v>863</v>
      </c>
      <c r="M324" s="89"/>
      <c r="N324" s="89" t="s">
        <v>864</v>
      </c>
      <c r="O324" s="94" t="s">
        <v>865</v>
      </c>
      <c r="P324" s="95" t="s">
        <v>58</v>
      </c>
      <c r="Q324" s="144" t="s">
        <v>689</v>
      </c>
      <c r="R324" s="96"/>
      <c r="S324" s="97"/>
      <c r="T324" s="97" t="s">
        <v>546</v>
      </c>
      <c r="U324" s="97" t="s">
        <v>690</v>
      </c>
      <c r="V324" s="93">
        <v>46164</v>
      </c>
      <c r="W324" s="93">
        <v>46171</v>
      </c>
      <c r="X324" s="118">
        <v>46183</v>
      </c>
      <c r="Y324" s="98"/>
      <c r="Z324" s="89"/>
      <c r="AA324" s="97"/>
      <c r="AB324" s="89"/>
      <c r="AC324" s="120"/>
      <c r="AD324" s="89"/>
      <c r="AE324" s="89"/>
      <c r="AF324" s="89"/>
      <c r="AG324" s="89"/>
      <c r="AH324" s="99"/>
      <c r="AI324" s="99"/>
      <c r="AJ324" s="99"/>
      <c r="AK324" s="100"/>
      <c r="AL324" s="100"/>
      <c r="AM324" s="100"/>
      <c r="AN324" s="45" t="s">
        <v>65</v>
      </c>
      <c r="AO324" s="198" t="str">
        <f t="shared" si="42"/>
        <v>5/2026</v>
      </c>
      <c r="AP324" s="198">
        <f t="shared" si="43"/>
        <v>4</v>
      </c>
      <c r="AQ324" s="45" t="str">
        <f t="shared" si="44"/>
        <v>1/1900</v>
      </c>
      <c r="AR324" s="45" t="e">
        <f t="shared" si="45"/>
        <v>#NUM!</v>
      </c>
      <c r="AS324" s="45">
        <f t="shared" si="46"/>
        <v>0</v>
      </c>
      <c r="AT324" s="45">
        <f t="shared" si="47"/>
        <v>0</v>
      </c>
      <c r="AU324" s="45">
        <f t="shared" si="48"/>
        <v>0</v>
      </c>
      <c r="AV324" s="45">
        <f t="shared" si="41"/>
        <v>0</v>
      </c>
      <c r="AW324" s="45" t="str">
        <f>_xlfn.XLOOKUP(W324,'Lista Suspensa'!$AA$20:$AA$23,'Lista Suspensa'!$AB$20:$AB$23,"N/A")</f>
        <v>N/A</v>
      </c>
    </row>
    <row r="325" spans="1:49" ht="12" hidden="1" customHeight="1" x14ac:dyDescent="0.3">
      <c r="A325" s="89" t="s">
        <v>102</v>
      </c>
      <c r="B325" s="93">
        <v>46170</v>
      </c>
      <c r="C325" s="89" t="s">
        <v>143</v>
      </c>
      <c r="D325" s="89" t="s">
        <v>51</v>
      </c>
      <c r="E325" s="112">
        <v>92935980</v>
      </c>
      <c r="F325" s="91" t="s">
        <v>866</v>
      </c>
      <c r="G325" s="113">
        <v>41007385871</v>
      </c>
      <c r="H325" s="98">
        <v>33823</v>
      </c>
      <c r="I325" s="92">
        <v>33</v>
      </c>
      <c r="J325" s="89" t="s">
        <v>67</v>
      </c>
      <c r="K325" s="89" t="s">
        <v>54</v>
      </c>
      <c r="L325" s="89" t="s">
        <v>529</v>
      </c>
      <c r="M325" s="89" t="s">
        <v>867</v>
      </c>
      <c r="N325" s="89">
        <v>100</v>
      </c>
      <c r="O325" s="91">
        <v>11959691260</v>
      </c>
      <c r="P325" s="95" t="s">
        <v>58</v>
      </c>
      <c r="Q325" s="145" t="s">
        <v>689</v>
      </c>
      <c r="R325" s="115"/>
      <c r="S325" s="116"/>
      <c r="T325" s="97" t="s">
        <v>546</v>
      </c>
      <c r="U325" s="97" t="s">
        <v>690</v>
      </c>
      <c r="V325" s="98">
        <v>46174</v>
      </c>
      <c r="W325" s="118">
        <v>46183</v>
      </c>
      <c r="X325" s="98"/>
      <c r="Y325" s="98"/>
      <c r="Z325" s="89"/>
      <c r="AA325" s="97"/>
      <c r="AB325" s="89"/>
      <c r="AC325" s="120"/>
      <c r="AD325" s="89"/>
      <c r="AE325" s="89"/>
      <c r="AF325" s="89"/>
      <c r="AG325" s="89"/>
      <c r="AH325" s="117"/>
      <c r="AI325" s="119"/>
      <c r="AJ325" s="117"/>
      <c r="AK325" s="100"/>
      <c r="AL325" s="100"/>
      <c r="AM325" s="100"/>
      <c r="AN325" s="45" t="s">
        <v>65</v>
      </c>
      <c r="AO325" s="198" t="str">
        <f t="shared" si="42"/>
        <v>5/2026</v>
      </c>
      <c r="AP325" s="198">
        <f t="shared" si="43"/>
        <v>5</v>
      </c>
      <c r="AQ325" s="45" t="str">
        <f t="shared" si="44"/>
        <v>1/1900</v>
      </c>
      <c r="AR325" s="45" t="e">
        <f t="shared" si="45"/>
        <v>#NUM!</v>
      </c>
      <c r="AS325" s="45">
        <f t="shared" si="46"/>
        <v>0</v>
      </c>
      <c r="AT325" s="45">
        <f t="shared" si="47"/>
        <v>0</v>
      </c>
      <c r="AU325" s="45">
        <f t="shared" si="48"/>
        <v>0</v>
      </c>
      <c r="AV325" s="45">
        <f t="shared" si="41"/>
        <v>0</v>
      </c>
      <c r="AW325" s="45" t="str">
        <f>_xlfn.XLOOKUP(W325,'Lista Suspensa'!$AA$20:$AA$23,'Lista Suspensa'!$AB$20:$AB$23,"N/A")</f>
        <v>N/A</v>
      </c>
    </row>
    <row r="326" spans="1:49" ht="12" hidden="1" customHeight="1" x14ac:dyDescent="0.3">
      <c r="A326" s="89" t="s">
        <v>102</v>
      </c>
      <c r="B326" s="93">
        <v>46170</v>
      </c>
      <c r="C326" s="89" t="s">
        <v>143</v>
      </c>
      <c r="D326" s="89" t="s">
        <v>51</v>
      </c>
      <c r="E326" s="112">
        <v>805308156</v>
      </c>
      <c r="F326" s="91" t="s">
        <v>868</v>
      </c>
      <c r="G326" s="113" t="s">
        <v>869</v>
      </c>
      <c r="H326" s="98">
        <v>24512</v>
      </c>
      <c r="I326" s="92">
        <v>59</v>
      </c>
      <c r="J326" s="89" t="s">
        <v>67</v>
      </c>
      <c r="K326" s="89" t="s">
        <v>54</v>
      </c>
      <c r="L326" s="89" t="s">
        <v>529</v>
      </c>
      <c r="M326" s="89" t="s">
        <v>870</v>
      </c>
      <c r="N326" s="89">
        <v>100</v>
      </c>
      <c r="O326" s="91">
        <v>11993982122</v>
      </c>
      <c r="P326" s="95" t="s">
        <v>58</v>
      </c>
      <c r="Q326" s="145" t="s">
        <v>689</v>
      </c>
      <c r="R326" s="115"/>
      <c r="S326" s="116"/>
      <c r="T326" s="97" t="s">
        <v>546</v>
      </c>
      <c r="U326" s="97" t="s">
        <v>690</v>
      </c>
      <c r="V326" s="98">
        <v>46174</v>
      </c>
      <c r="W326" s="118">
        <v>46183</v>
      </c>
      <c r="X326" s="98"/>
      <c r="Y326" s="98"/>
      <c r="Z326" s="89"/>
      <c r="AA326" s="97"/>
      <c r="AB326" s="89"/>
      <c r="AC326" s="120"/>
      <c r="AD326" s="89"/>
      <c r="AE326" s="89"/>
      <c r="AF326" s="89"/>
      <c r="AG326" s="89"/>
      <c r="AH326" s="117"/>
      <c r="AI326" s="119"/>
      <c r="AJ326" s="117"/>
      <c r="AK326" s="100"/>
      <c r="AL326" s="100"/>
      <c r="AM326" s="100"/>
      <c r="AN326" s="45" t="s">
        <v>65</v>
      </c>
      <c r="AO326" s="198" t="str">
        <f t="shared" si="42"/>
        <v>5/2026</v>
      </c>
      <c r="AP326" s="198">
        <f t="shared" si="43"/>
        <v>5</v>
      </c>
      <c r="AQ326" s="45" t="str">
        <f t="shared" si="44"/>
        <v>1/1900</v>
      </c>
      <c r="AR326" s="45" t="e">
        <f t="shared" si="45"/>
        <v>#NUM!</v>
      </c>
      <c r="AS326" s="45">
        <f t="shared" si="46"/>
        <v>0</v>
      </c>
      <c r="AT326" s="45">
        <f t="shared" si="47"/>
        <v>0</v>
      </c>
      <c r="AU326" s="45">
        <f t="shared" si="48"/>
        <v>0</v>
      </c>
      <c r="AV326" s="45">
        <f t="shared" si="41"/>
        <v>0</v>
      </c>
      <c r="AW326" s="45" t="str">
        <f>_xlfn.XLOOKUP(W326,'Lista Suspensa'!$AA$20:$AA$23,'Lista Suspensa'!$AB$20:$AB$23,"N/A")</f>
        <v>N/A</v>
      </c>
    </row>
    <row r="327" spans="1:49" ht="12" customHeight="1" x14ac:dyDescent="0.3">
      <c r="A327" s="89" t="s">
        <v>102</v>
      </c>
      <c r="B327" s="93">
        <v>46175</v>
      </c>
      <c r="C327" s="89" t="s">
        <v>143</v>
      </c>
      <c r="D327" s="89" t="s">
        <v>144</v>
      </c>
      <c r="E327" s="112">
        <v>97015317</v>
      </c>
      <c r="F327" s="91" t="s">
        <v>871</v>
      </c>
      <c r="G327" s="113">
        <v>43373090806</v>
      </c>
      <c r="H327" s="98">
        <v>34660</v>
      </c>
      <c r="I327" s="92">
        <v>31</v>
      </c>
      <c r="J327" s="89" t="s">
        <v>53</v>
      </c>
      <c r="K327" s="89" t="s">
        <v>54</v>
      </c>
      <c r="L327" s="89" t="s">
        <v>529</v>
      </c>
      <c r="M327" s="89" t="s">
        <v>872</v>
      </c>
      <c r="N327" s="89">
        <v>40</v>
      </c>
      <c r="O327" s="91">
        <v>11954293986</v>
      </c>
      <c r="P327" s="95" t="s">
        <v>58</v>
      </c>
      <c r="Q327" s="144" t="s">
        <v>59</v>
      </c>
      <c r="R327" s="121">
        <v>46181</v>
      </c>
      <c r="S327" s="121"/>
      <c r="T327" s="97" t="s">
        <v>60</v>
      </c>
      <c r="U327" s="97" t="s">
        <v>61</v>
      </c>
      <c r="V327" s="98">
        <v>46181</v>
      </c>
      <c r="W327" s="98"/>
      <c r="X327" s="98"/>
      <c r="Y327" s="98"/>
      <c r="Z327" s="89" t="s">
        <v>62</v>
      </c>
      <c r="AA327" s="97">
        <v>46185</v>
      </c>
      <c r="AB327" s="89"/>
      <c r="AC327" s="120"/>
      <c r="AD327" s="89"/>
      <c r="AE327" s="89"/>
      <c r="AF327" s="89"/>
      <c r="AG327" s="89"/>
      <c r="AH327" s="119"/>
      <c r="AI327" s="119"/>
      <c r="AJ327" s="119"/>
      <c r="AK327" s="100"/>
      <c r="AL327" s="100" t="s">
        <v>64</v>
      </c>
      <c r="AM327" s="100" t="s">
        <v>102</v>
      </c>
      <c r="AN327" s="45" t="s">
        <v>65</v>
      </c>
      <c r="AO327" s="198" t="str">
        <f t="shared" si="42"/>
        <v>6/2026</v>
      </c>
      <c r="AP327" s="198">
        <f t="shared" si="43"/>
        <v>1</v>
      </c>
      <c r="AQ327" s="45" t="str">
        <f t="shared" si="44"/>
        <v>6/2026</v>
      </c>
      <c r="AR327" s="45">
        <f t="shared" si="45"/>
        <v>2</v>
      </c>
      <c r="AS327" s="45">
        <f t="shared" si="46"/>
        <v>6</v>
      </c>
      <c r="AT327" s="45">
        <f t="shared" si="47"/>
        <v>0</v>
      </c>
      <c r="AU327" s="45">
        <f t="shared" si="48"/>
        <v>0</v>
      </c>
      <c r="AV327" s="45">
        <f t="shared" si="41"/>
        <v>0</v>
      </c>
      <c r="AW327" s="45" t="str">
        <f>_xlfn.XLOOKUP(W327,'Lista Suspensa'!$AA$20:$AA$23,'Lista Suspensa'!$AB$20:$AB$23,"N/A")</f>
        <v>S</v>
      </c>
    </row>
    <row r="328" spans="1:49" ht="12" customHeight="1" x14ac:dyDescent="0.3">
      <c r="A328" s="89" t="s">
        <v>102</v>
      </c>
      <c r="B328" s="93">
        <v>46175</v>
      </c>
      <c r="C328" s="89" t="s">
        <v>143</v>
      </c>
      <c r="D328" s="89" t="s">
        <v>144</v>
      </c>
      <c r="E328" s="112">
        <v>84371438</v>
      </c>
      <c r="F328" s="91" t="s">
        <v>873</v>
      </c>
      <c r="G328" s="113">
        <v>99416786853</v>
      </c>
      <c r="H328" s="98">
        <v>21245</v>
      </c>
      <c r="I328" s="92">
        <v>68</v>
      </c>
      <c r="J328" s="89" t="s">
        <v>53</v>
      </c>
      <c r="K328" s="89" t="s">
        <v>54</v>
      </c>
      <c r="L328" s="89" t="s">
        <v>529</v>
      </c>
      <c r="M328" s="89" t="s">
        <v>874</v>
      </c>
      <c r="N328" s="89">
        <v>60</v>
      </c>
      <c r="O328" s="91">
        <v>11940890829</v>
      </c>
      <c r="P328" s="95" t="s">
        <v>58</v>
      </c>
      <c r="Q328" s="145" t="s">
        <v>59</v>
      </c>
      <c r="R328" s="115"/>
      <c r="S328" s="116"/>
      <c r="T328" s="97" t="s">
        <v>60</v>
      </c>
      <c r="U328" s="97" t="s">
        <v>61</v>
      </c>
      <c r="V328" s="98">
        <v>46181</v>
      </c>
      <c r="W328" s="118"/>
      <c r="X328" s="98"/>
      <c r="Y328" s="98"/>
      <c r="Z328" s="89" t="s">
        <v>62</v>
      </c>
      <c r="AA328" s="97">
        <v>46185</v>
      </c>
      <c r="AB328" s="89"/>
      <c r="AC328" s="120"/>
      <c r="AD328" s="89"/>
      <c r="AE328" s="89"/>
      <c r="AF328" s="89"/>
      <c r="AG328" s="89"/>
      <c r="AH328" s="117"/>
      <c r="AI328" s="117"/>
      <c r="AJ328" s="119"/>
      <c r="AK328" s="100"/>
      <c r="AL328" s="100" t="s">
        <v>944</v>
      </c>
      <c r="AM328" s="100"/>
    </row>
    <row r="329" spans="1:49" ht="12" customHeight="1" x14ac:dyDescent="0.3">
      <c r="A329" s="89" t="s">
        <v>102</v>
      </c>
      <c r="B329" s="93">
        <v>46176</v>
      </c>
      <c r="C329" s="89" t="s">
        <v>143</v>
      </c>
      <c r="D329" s="89" t="s">
        <v>144</v>
      </c>
      <c r="E329" s="112">
        <v>92823506</v>
      </c>
      <c r="F329" s="91" t="s">
        <v>875</v>
      </c>
      <c r="G329" s="113">
        <v>879421860</v>
      </c>
      <c r="H329" s="98">
        <v>21305</v>
      </c>
      <c r="I329" s="92">
        <v>68</v>
      </c>
      <c r="J329" s="89" t="s">
        <v>53</v>
      </c>
      <c r="K329" s="89" t="s">
        <v>54</v>
      </c>
      <c r="L329" s="89" t="s">
        <v>529</v>
      </c>
      <c r="M329" s="89" t="s">
        <v>876</v>
      </c>
      <c r="N329" s="89">
        <v>400</v>
      </c>
      <c r="O329" s="91" t="s">
        <v>877</v>
      </c>
      <c r="P329" s="95" t="s">
        <v>58</v>
      </c>
      <c r="Q329" s="145" t="s">
        <v>59</v>
      </c>
      <c r="R329" s="115">
        <v>46176</v>
      </c>
      <c r="S329" s="116"/>
      <c r="T329" s="97" t="s">
        <v>60</v>
      </c>
      <c r="U329" s="97" t="s">
        <v>61</v>
      </c>
      <c r="V329" s="98">
        <v>46176</v>
      </c>
      <c r="W329" s="118"/>
      <c r="X329" s="98"/>
      <c r="Y329" s="98"/>
      <c r="Z329" s="89" t="s">
        <v>62</v>
      </c>
      <c r="AA329" s="97">
        <v>46183</v>
      </c>
      <c r="AB329" s="89"/>
      <c r="AC329" s="120"/>
      <c r="AD329" s="89"/>
      <c r="AE329" s="89"/>
      <c r="AF329" s="89"/>
      <c r="AG329" s="89"/>
      <c r="AH329" s="117"/>
      <c r="AI329" s="117"/>
      <c r="AJ329" s="119"/>
      <c r="AK329" s="100"/>
      <c r="AL329" s="100" t="s">
        <v>64</v>
      </c>
      <c r="AM329" s="100" t="s">
        <v>102</v>
      </c>
      <c r="AN329" s="45" t="s">
        <v>65</v>
      </c>
      <c r="AO329" s="198" t="str">
        <f>MONTH(B329)&amp;"/"&amp;YEAR(B329)</f>
        <v>6/2026</v>
      </c>
      <c r="AP329" s="198">
        <f>WEEKNUM(B329)-WEEKNUM(EOMONTH(B329,-1)+1)+1</f>
        <v>1</v>
      </c>
      <c r="AQ329" s="45" t="str">
        <f>MONTH(R329)&amp;"/"&amp;YEAR(R329)</f>
        <v>6/2026</v>
      </c>
      <c r="AR329" s="45">
        <f>WEEKNUM(R329)-WEEKNUM(EOMONTH(R329,-1)+1)+1</f>
        <v>1</v>
      </c>
      <c r="AS329" s="45">
        <f>IF(AW329="S",IF(Q329="1. Aceitou o programa",R329-B329,0),0)</f>
        <v>0</v>
      </c>
      <c r="AT329" s="45">
        <f>IF(AW329="S",IF(AND(S329&lt;&gt;"",R329&lt;&gt;""),S329-R329,0),0)</f>
        <v>0</v>
      </c>
      <c r="AU329" s="45">
        <f>IF(AW329="S",IF(Q329="1. Aceitou o programa",IF(OR(X329="Não se Aplica",X329=""),IF(OR(W329="Não se Aplica",W329=""),0,W329-V329),AVERAGE(X329-W329,W329-V329)),0),0)</f>
        <v>0</v>
      </c>
      <c r="AV329" s="45">
        <f>IF(AW329="S",IF(AND(Q329="1. Aceitou o programa",AB329="Realizada"),IFERROR(IF(AA329="",0,AA329-R329),0),0),0)</f>
        <v>0</v>
      </c>
      <c r="AW329" s="45" t="str">
        <f>_xlfn.XLOOKUP(W329,'Lista Suspensa'!$AA$20:$AA$23,'Lista Suspensa'!$AB$20:$AB$23,"N/A")</f>
        <v>S</v>
      </c>
    </row>
    <row r="330" spans="1:49" ht="12" customHeight="1" x14ac:dyDescent="0.3">
      <c r="A330" s="89" t="s">
        <v>102</v>
      </c>
      <c r="B330" s="93">
        <v>46181</v>
      </c>
      <c r="C330" s="89" t="s">
        <v>143</v>
      </c>
      <c r="D330" s="89" t="s">
        <v>51</v>
      </c>
      <c r="E330" s="112">
        <v>84691439</v>
      </c>
      <c r="F330" s="91" t="s">
        <v>878</v>
      </c>
      <c r="G330" s="113">
        <v>26735595823</v>
      </c>
      <c r="H330" s="98">
        <v>27939</v>
      </c>
      <c r="I330" s="92">
        <v>49</v>
      </c>
      <c r="J330" s="114" t="s">
        <v>67</v>
      </c>
      <c r="K330" s="89" t="s">
        <v>54</v>
      </c>
      <c r="L330" s="89"/>
      <c r="M330" s="89"/>
      <c r="N330" s="89"/>
      <c r="O330" s="91"/>
      <c r="P330" s="95" t="s">
        <v>879</v>
      </c>
      <c r="Q330" s="145" t="s">
        <v>59</v>
      </c>
      <c r="R330" s="115">
        <v>46181</v>
      </c>
      <c r="S330" s="116"/>
      <c r="T330" s="97" t="s">
        <v>60</v>
      </c>
      <c r="U330" s="97" t="s">
        <v>61</v>
      </c>
      <c r="V330" s="98">
        <v>46181</v>
      </c>
      <c r="W330" s="118"/>
      <c r="X330" s="98"/>
      <c r="Y330" s="98"/>
      <c r="Z330" s="89" t="s">
        <v>62</v>
      </c>
      <c r="AA330" s="97">
        <v>46181</v>
      </c>
      <c r="AB330" s="89" t="s">
        <v>75</v>
      </c>
      <c r="AC330" s="120"/>
      <c r="AD330" s="89"/>
      <c r="AE330" s="89"/>
      <c r="AF330" s="89" t="s">
        <v>89</v>
      </c>
      <c r="AG330" s="89">
        <v>2.5</v>
      </c>
      <c r="AH330" s="117" t="s">
        <v>880</v>
      </c>
      <c r="AI330" s="117" t="s">
        <v>880</v>
      </c>
      <c r="AJ330" s="119" t="s">
        <v>91</v>
      </c>
      <c r="AK330" s="100"/>
      <c r="AL330" s="100" t="s">
        <v>64</v>
      </c>
      <c r="AM330" s="100" t="s">
        <v>102</v>
      </c>
      <c r="AN330" s="45" t="s">
        <v>65</v>
      </c>
      <c r="AO330" s="198" t="str">
        <f>MONTH(B330)&amp;"/"&amp;YEAR(B330)</f>
        <v>6/2026</v>
      </c>
      <c r="AP330" s="198">
        <f>WEEKNUM(B330)-WEEKNUM(EOMONTH(B330,-1)+1)+1</f>
        <v>2</v>
      </c>
      <c r="AQ330" s="45" t="str">
        <f>MONTH(R330)&amp;"/"&amp;YEAR(R330)</f>
        <v>6/2026</v>
      </c>
      <c r="AR330" s="45">
        <f>WEEKNUM(R330)-WEEKNUM(EOMONTH(R330,-1)+1)+1</f>
        <v>2</v>
      </c>
      <c r="AS330" s="45">
        <f>IF(AW330="S",IF(Q330="1. Aceitou o programa",R330-B330,0),0)</f>
        <v>0</v>
      </c>
      <c r="AT330" s="45">
        <f>IF(AW330="S",IF(AND(S330&lt;&gt;"",R330&lt;&gt;""),S330-R330,0),0)</f>
        <v>0</v>
      </c>
      <c r="AU330" s="45">
        <f>IF(AW330="S",IF(Q330="1. Aceitou o programa",IF(OR(X330="Não se Aplica",X330=""),IF(OR(W330="Não se Aplica",W330=""),0,W330-V330),AVERAGE(X330-W330,W330-V330)),0),0)</f>
        <v>0</v>
      </c>
      <c r="AV330" s="45">
        <f>IF(AW330="S",IF(AND(Q330="1. Aceitou o programa",AB330="Realizada"),IFERROR(IF(AA330="",0,AA330-R330),0),0),0)</f>
        <v>0</v>
      </c>
      <c r="AW330" s="45" t="str">
        <f>_xlfn.XLOOKUP(W330,'Lista Suspensa'!$AA$20:$AA$23,'Lista Suspensa'!$AB$20:$AB$23,"N/A")</f>
        <v>S</v>
      </c>
    </row>
    <row r="331" spans="1:49" ht="12" customHeight="1" x14ac:dyDescent="0.3">
      <c r="A331" s="89" t="s">
        <v>102</v>
      </c>
      <c r="B331" s="93">
        <v>46182</v>
      </c>
      <c r="C331" s="89" t="s">
        <v>143</v>
      </c>
      <c r="D331" s="89" t="s">
        <v>144</v>
      </c>
      <c r="E331" s="112">
        <v>95958235</v>
      </c>
      <c r="F331" s="91" t="s">
        <v>1076</v>
      </c>
      <c r="G331" s="113" t="s">
        <v>1077</v>
      </c>
      <c r="H331" s="98">
        <v>32507</v>
      </c>
      <c r="I331" s="92">
        <v>37</v>
      </c>
      <c r="J331" s="114" t="s">
        <v>67</v>
      </c>
      <c r="K331" s="89" t="s">
        <v>54</v>
      </c>
      <c r="L331" s="89" t="s">
        <v>1078</v>
      </c>
      <c r="M331" s="89" t="s">
        <v>1079</v>
      </c>
      <c r="N331" s="89">
        <v>60</v>
      </c>
      <c r="O331" s="91">
        <v>11997194637</v>
      </c>
      <c r="P331" s="95" t="s">
        <v>58</v>
      </c>
      <c r="Q331" s="145" t="s">
        <v>59</v>
      </c>
      <c r="R331" s="115">
        <v>46182</v>
      </c>
      <c r="S331" s="116"/>
      <c r="T331" s="97" t="s">
        <v>60</v>
      </c>
      <c r="U331" s="97" t="s">
        <v>61</v>
      </c>
      <c r="V331" s="98">
        <v>46182</v>
      </c>
      <c r="W331" s="118"/>
      <c r="X331" s="98"/>
      <c r="Y331" s="98"/>
      <c r="Z331" s="89" t="s">
        <v>62</v>
      </c>
      <c r="AA331" s="97">
        <v>46183</v>
      </c>
      <c r="AB331" s="89" t="s">
        <v>75</v>
      </c>
      <c r="AC331" s="120"/>
      <c r="AD331" s="89"/>
      <c r="AE331" s="89"/>
      <c r="AF331" s="89"/>
      <c r="AG331" s="89"/>
      <c r="AH331" s="117"/>
      <c r="AI331" s="117"/>
      <c r="AK331" s="100"/>
      <c r="AL331" s="100" t="s">
        <v>64</v>
      </c>
      <c r="AM331" s="100"/>
      <c r="AN331" s="45" t="s">
        <v>65</v>
      </c>
      <c r="AO331" s="198" t="str">
        <f>MONTH(B331)&amp;"/"&amp;YEAR(B331)</f>
        <v>6/2026</v>
      </c>
      <c r="AP331" s="198">
        <f>WEEKNUM(B331)-WEEKNUM(EOMONTH(B331,-1)+1)+1</f>
        <v>2</v>
      </c>
      <c r="AQ331" s="45" t="str">
        <f>MONTH(R331)&amp;"/"&amp;YEAR(R331)</f>
        <v>6/2026</v>
      </c>
      <c r="AR331" s="45">
        <f>WEEKNUM(R331)-WEEKNUM(EOMONTH(R331,-1)+1)+1</f>
        <v>2</v>
      </c>
      <c r="AS331" s="45">
        <f>IF(AW331="S",IF(Q331="1. Aceitou o programa",R331-B331,0),0)</f>
        <v>0</v>
      </c>
      <c r="AT331" s="45">
        <f>IF(AW331="S",IF(AND(S331&lt;&gt;"",R331&lt;&gt;""),S331-R331,0),0)</f>
        <v>0</v>
      </c>
      <c r="AU331" s="45">
        <f>IF(AW331="S",IF(Q331="1. Aceitou o programa",IF(OR(X331="Não se Aplica",X331=""),IF(OR(W331="Não se Aplica",W331=""),0,W331-V331),AVERAGE(X331-W331,W331-V331)),0),0)</f>
        <v>0</v>
      </c>
      <c r="AV331" s="45">
        <f>IF(AW331="S",IF(AND(Q331="1. Aceitou o programa",AB331="Realizada"),IFERROR(IF(AA331="",0,AA331-R331),0),0),0)</f>
        <v>1</v>
      </c>
      <c r="AW331" s="45" t="str">
        <f>_xlfn.XLOOKUP(W331,'Lista Suspensa'!$AA$20:$AA$23,'Lista Suspensa'!$AB$20:$AB$23,"N/A")</f>
        <v>S</v>
      </c>
    </row>
    <row r="332" spans="1:49" ht="12" hidden="1" customHeight="1" x14ac:dyDescent="0.3">
      <c r="A332" s="89" t="s">
        <v>102</v>
      </c>
      <c r="B332" s="93">
        <v>46182</v>
      </c>
      <c r="C332" s="89" t="s">
        <v>143</v>
      </c>
      <c r="D332" s="89" t="s">
        <v>935</v>
      </c>
      <c r="E332" s="112">
        <v>89903174</v>
      </c>
      <c r="F332" s="91" t="s">
        <v>1080</v>
      </c>
      <c r="G332" s="113" t="s">
        <v>1081</v>
      </c>
      <c r="H332" s="98">
        <v>30957</v>
      </c>
      <c r="I332" s="92">
        <v>41</v>
      </c>
      <c r="J332" s="114" t="s">
        <v>67</v>
      </c>
      <c r="K332" s="89" t="s">
        <v>77</v>
      </c>
      <c r="L332" s="89" t="s">
        <v>149</v>
      </c>
      <c r="M332" s="89" t="s">
        <v>1082</v>
      </c>
      <c r="N332" s="89">
        <v>380</v>
      </c>
      <c r="O332" s="91">
        <v>21964494841</v>
      </c>
      <c r="P332" s="95"/>
      <c r="Q332" s="145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89"/>
      <c r="AG332" s="89"/>
      <c r="AH332" s="117"/>
      <c r="AI332" s="117"/>
      <c r="AJ332" s="119"/>
      <c r="AK332" s="100"/>
      <c r="AL332" s="100" t="s">
        <v>64</v>
      </c>
      <c r="AM332" s="100"/>
      <c r="AN332" s="45" t="s">
        <v>65</v>
      </c>
      <c r="AO332" s="198" t="str">
        <f>MONTH(B332)&amp;"/"&amp;YEAR(B332)</f>
        <v>6/2026</v>
      </c>
      <c r="AP332" s="198">
        <f>WEEKNUM(B332)-WEEKNUM(EOMONTH(B332,-1)+1)+1</f>
        <v>2</v>
      </c>
      <c r="AQ332" s="45" t="str">
        <f>MONTH(R332)&amp;"/"&amp;YEAR(R332)</f>
        <v>1/1900</v>
      </c>
      <c r="AR332" s="45" t="e">
        <f>WEEKNUM(R332)-WEEKNUM(EOMONTH(R332,-1)+1)+1</f>
        <v>#NUM!</v>
      </c>
      <c r="AS332" s="45">
        <f>IF(AW332="S",IF(Q332="1. Aceitou o programa",R332-B332,0),0)</f>
        <v>0</v>
      </c>
      <c r="AT332" s="45">
        <f>IF(AW332="S",IF(AND(S332&lt;&gt;"",R332&lt;&gt;""),S332-R332,0),0)</f>
        <v>0</v>
      </c>
      <c r="AU332" s="45">
        <f>IF(AW332="S",IF(Q332="1. Aceitou o programa",IF(OR(X332="Não se Aplica",X332=""),IF(OR(W332="Não se Aplica",W332=""),0,W332-V332),AVERAGE(X332-W332,W332-V332)),0),0)</f>
        <v>0</v>
      </c>
      <c r="AV332" s="45">
        <f>IF(AW332="S",IF(AND(Q332="1. Aceitou o programa",AB332="Realizada"),IFERROR(IF(AA332="",0,AA332-R332),0),0),0)</f>
        <v>0</v>
      </c>
      <c r="AW332" s="45" t="str">
        <f>_xlfn.XLOOKUP(W332,'Lista Suspensa'!$AA$20:$AA$23,'Lista Suspensa'!$AB$20:$AB$23,"N/A")</f>
        <v>S</v>
      </c>
    </row>
    <row r="333" spans="1:49" ht="12" customHeight="1" x14ac:dyDescent="0.3">
      <c r="A333" s="89"/>
      <c r="B333" s="93"/>
      <c r="C333" s="89"/>
      <c r="D333" s="89"/>
      <c r="E333" s="112"/>
      <c r="F333" s="112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89"/>
      <c r="AG333" s="89"/>
      <c r="AH333" s="117"/>
      <c r="AI333" s="117"/>
      <c r="AJ333" s="119"/>
      <c r="AK333" s="100"/>
      <c r="AL333" s="100"/>
      <c r="AM333" s="100"/>
    </row>
    <row r="334" spans="1:49" ht="12" customHeight="1" x14ac:dyDescent="0.3">
      <c r="A334" s="89"/>
      <c r="B334" s="93"/>
      <c r="C334" s="89"/>
      <c r="D334" s="89"/>
      <c r="E334" s="112"/>
      <c r="F334" s="9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4"/>
      <c r="R334" s="121"/>
      <c r="S334" s="116"/>
      <c r="T334" s="97"/>
      <c r="U334" s="97"/>
      <c r="V334" s="98"/>
      <c r="W334" s="98"/>
      <c r="X334" s="98"/>
      <c r="Y334" s="98"/>
      <c r="Z334" s="89"/>
      <c r="AA334" s="97"/>
      <c r="AB334" s="89"/>
      <c r="AC334" s="120"/>
      <c r="AD334" s="89"/>
      <c r="AE334" s="89"/>
      <c r="AF334" s="89"/>
      <c r="AG334" s="89"/>
      <c r="AH334" s="119"/>
      <c r="AI334" s="119"/>
      <c r="AJ334" s="119"/>
      <c r="AK334" s="100"/>
      <c r="AL334" s="100"/>
      <c r="AM334" s="100"/>
    </row>
    <row r="335" spans="1:49" ht="12" customHeight="1" x14ac:dyDescent="0.3">
      <c r="A335" s="89"/>
      <c r="B335" s="93"/>
      <c r="C335" s="89"/>
      <c r="D335" s="89"/>
      <c r="E335" s="112"/>
      <c r="F335" s="9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4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89"/>
      <c r="AG335" s="89"/>
      <c r="AH335" s="119"/>
      <c r="AI335" s="119"/>
      <c r="AJ335" s="119"/>
      <c r="AK335" s="100"/>
      <c r="AL335" s="100"/>
      <c r="AM335" s="100"/>
    </row>
    <row r="336" spans="1:49" ht="12" customHeight="1" x14ac:dyDescent="0.3">
      <c r="A336" s="89"/>
      <c r="B336" s="93"/>
      <c r="C336" s="89"/>
      <c r="D336" s="89"/>
      <c r="E336" s="112"/>
      <c r="F336" s="9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4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89"/>
      <c r="AG336" s="89"/>
      <c r="AH336" s="119"/>
      <c r="AI336" s="119"/>
      <c r="AJ336" s="119"/>
      <c r="AK336" s="100"/>
      <c r="AL336" s="100"/>
      <c r="AM336" s="100"/>
    </row>
    <row r="337" spans="1:39" ht="12" customHeight="1" x14ac:dyDescent="0.3">
      <c r="A337" s="89"/>
      <c r="B337" s="93"/>
      <c r="C337" s="89"/>
      <c r="D337" s="89"/>
      <c r="E337" s="112"/>
      <c r="F337" s="9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4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89"/>
      <c r="AG337" s="89"/>
      <c r="AH337" s="119"/>
      <c r="AI337" s="119"/>
      <c r="AJ337" s="119"/>
      <c r="AK337" s="100"/>
      <c r="AL337" s="100"/>
      <c r="AM337" s="100"/>
    </row>
    <row r="338" spans="1:39" ht="12" customHeight="1" x14ac:dyDescent="0.3">
      <c r="A338" s="89"/>
      <c r="B338" s="93"/>
      <c r="C338" s="89"/>
      <c r="D338" s="89"/>
      <c r="E338" s="112"/>
      <c r="F338" s="9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4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89"/>
      <c r="AG338" s="89"/>
      <c r="AH338" s="119"/>
      <c r="AI338" s="119"/>
      <c r="AJ338" s="119"/>
      <c r="AK338" s="100"/>
      <c r="AL338" s="100"/>
      <c r="AM338" s="100"/>
    </row>
    <row r="339" spans="1:39" ht="12" customHeight="1" x14ac:dyDescent="0.3">
      <c r="A339" s="89"/>
      <c r="B339" s="93"/>
      <c r="C339" s="89"/>
      <c r="D339" s="89"/>
      <c r="E339" s="112"/>
      <c r="F339" s="9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4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89"/>
      <c r="AG339" s="89"/>
      <c r="AH339" s="119"/>
      <c r="AI339" s="119"/>
      <c r="AJ339" s="119"/>
      <c r="AK339" s="100"/>
      <c r="AL339" s="100"/>
      <c r="AM339" s="100"/>
    </row>
    <row r="340" spans="1:39" ht="12" customHeight="1" x14ac:dyDescent="0.3">
      <c r="A340" s="89"/>
      <c r="B340" s="93"/>
      <c r="C340" s="89"/>
      <c r="D340" s="89"/>
      <c r="E340" s="112"/>
      <c r="F340" s="9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15"/>
      <c r="S340" s="116"/>
      <c r="T340" s="97"/>
      <c r="U340" s="97"/>
      <c r="V340" s="98"/>
      <c r="W340" s="118"/>
      <c r="X340" s="98"/>
      <c r="Y340" s="98"/>
      <c r="Z340" s="89"/>
      <c r="AA340" s="97"/>
      <c r="AB340" s="89"/>
      <c r="AC340" s="120"/>
      <c r="AD340" s="89"/>
      <c r="AE340" s="89"/>
      <c r="AF340" s="89"/>
      <c r="AG340" s="89"/>
      <c r="AH340" s="117"/>
      <c r="AI340" s="119"/>
      <c r="AJ340" s="117"/>
      <c r="AK340" s="100"/>
      <c r="AL340" s="100"/>
      <c r="AM340" s="100"/>
    </row>
    <row r="341" spans="1:39" ht="12" customHeight="1" x14ac:dyDescent="0.3">
      <c r="A341" s="89"/>
      <c r="B341" s="93"/>
      <c r="C341" s="89"/>
      <c r="D341" s="89"/>
      <c r="E341" s="112"/>
      <c r="F341" s="9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4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89"/>
      <c r="AG341" s="89"/>
      <c r="AH341" s="119"/>
      <c r="AI341" s="119"/>
      <c r="AJ341" s="119"/>
      <c r="AK341" s="100"/>
      <c r="AL341" s="100"/>
      <c r="AM341" s="100"/>
    </row>
    <row r="342" spans="1:39" ht="12" customHeight="1" x14ac:dyDescent="0.3">
      <c r="A342" s="89"/>
      <c r="B342" s="93"/>
      <c r="C342" s="89"/>
      <c r="D342" s="89"/>
      <c r="E342" s="112"/>
      <c r="F342" s="9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4"/>
      <c r="R342" s="121"/>
      <c r="S342" s="116"/>
      <c r="T342" s="97"/>
      <c r="U342" s="97"/>
      <c r="V342" s="98"/>
      <c r="W342" s="98"/>
      <c r="X342" s="98"/>
      <c r="Y342" s="98"/>
      <c r="Z342" s="89"/>
      <c r="AA342" s="97"/>
      <c r="AB342" s="89"/>
      <c r="AC342" s="120"/>
      <c r="AD342" s="89"/>
      <c r="AE342" s="89"/>
      <c r="AF342" s="89"/>
      <c r="AG342" s="89"/>
      <c r="AH342" s="119"/>
      <c r="AI342" s="119"/>
      <c r="AJ342" s="119"/>
      <c r="AK342" s="100"/>
      <c r="AL342" s="100"/>
      <c r="AM342" s="100"/>
    </row>
    <row r="343" spans="1:39" ht="12" customHeight="1" x14ac:dyDescent="0.3">
      <c r="A343" s="89"/>
      <c r="B343" s="93"/>
      <c r="C343" s="89"/>
      <c r="D343" s="89"/>
      <c r="E343" s="112"/>
      <c r="F343" s="9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4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89"/>
      <c r="AG343" s="89"/>
      <c r="AH343" s="119"/>
      <c r="AI343" s="119"/>
      <c r="AJ343" s="119"/>
      <c r="AK343" s="100"/>
      <c r="AL343" s="100"/>
      <c r="AM343" s="100"/>
    </row>
    <row r="344" spans="1:39" ht="12" customHeight="1" x14ac:dyDescent="0.3">
      <c r="A344" s="89"/>
      <c r="B344" s="93"/>
      <c r="C344" s="89"/>
      <c r="D344" s="89"/>
      <c r="E344" s="112"/>
      <c r="F344" s="9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15"/>
      <c r="S344" s="116"/>
      <c r="T344" s="97"/>
      <c r="U344" s="97"/>
      <c r="V344" s="98"/>
      <c r="W344" s="118"/>
      <c r="X344" s="98"/>
      <c r="Y344" s="98"/>
      <c r="Z344" s="89"/>
      <c r="AA344" s="97"/>
      <c r="AB344" s="89"/>
      <c r="AC344" s="120"/>
      <c r="AD344" s="89"/>
      <c r="AE344" s="89"/>
      <c r="AF344" s="89"/>
      <c r="AG344" s="89"/>
      <c r="AH344" s="117"/>
      <c r="AI344" s="119"/>
      <c r="AJ344" s="117"/>
      <c r="AK344" s="100"/>
      <c r="AL344" s="100"/>
      <c r="AM344" s="100"/>
    </row>
    <row r="345" spans="1:39" ht="12" customHeight="1" x14ac:dyDescent="0.3">
      <c r="A345" s="89"/>
      <c r="B345" s="93"/>
      <c r="C345" s="89"/>
      <c r="D345" s="89"/>
      <c r="E345" s="112"/>
      <c r="F345" s="9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4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89"/>
      <c r="AG345" s="89"/>
      <c r="AH345" s="119"/>
      <c r="AI345" s="119"/>
      <c r="AJ345" s="119"/>
      <c r="AK345" s="100"/>
      <c r="AL345" s="100"/>
      <c r="AM345" s="100"/>
    </row>
    <row r="346" spans="1:39" ht="12" customHeight="1" x14ac:dyDescent="0.3">
      <c r="A346" s="89"/>
      <c r="B346" s="93"/>
      <c r="C346" s="89"/>
      <c r="D346" s="89"/>
      <c r="E346" s="112"/>
      <c r="F346" s="9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89"/>
      <c r="AG346" s="89"/>
      <c r="AH346" s="117"/>
      <c r="AI346" s="119"/>
      <c r="AJ346" s="117"/>
      <c r="AK346" s="100"/>
      <c r="AL346" s="100"/>
      <c r="AM346" s="100"/>
    </row>
    <row r="347" spans="1:39" ht="12" customHeight="1" x14ac:dyDescent="0.3">
      <c r="A347" s="89"/>
      <c r="B347" s="93"/>
      <c r="C347" s="89"/>
      <c r="D347" s="89"/>
      <c r="E347" s="112"/>
      <c r="F347" s="9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4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89"/>
      <c r="AG347" s="89"/>
      <c r="AH347" s="119"/>
      <c r="AI347" s="119"/>
      <c r="AJ347" s="119"/>
      <c r="AK347" s="100"/>
      <c r="AL347" s="100"/>
      <c r="AM347" s="100"/>
    </row>
    <row r="348" spans="1:39" ht="12" customHeight="1" x14ac:dyDescent="0.3">
      <c r="A348" s="89"/>
      <c r="B348" s="93"/>
      <c r="C348" s="89"/>
      <c r="D348" s="89"/>
      <c r="E348" s="112"/>
      <c r="F348" s="9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4"/>
      <c r="R348" s="121"/>
      <c r="S348" s="121"/>
      <c r="T348" s="97"/>
      <c r="U348" s="97"/>
      <c r="V348" s="98"/>
      <c r="W348" s="98"/>
      <c r="X348" s="98"/>
      <c r="Y348" s="98"/>
      <c r="Z348" s="89"/>
      <c r="AA348" s="97"/>
      <c r="AB348" s="89"/>
      <c r="AC348" s="120"/>
      <c r="AD348" s="89"/>
      <c r="AE348" s="89"/>
      <c r="AF348" s="89"/>
      <c r="AG348" s="89"/>
      <c r="AH348" s="119"/>
      <c r="AI348" s="119"/>
      <c r="AJ348" s="119"/>
      <c r="AK348" s="100"/>
      <c r="AL348" s="100"/>
      <c r="AM348" s="100"/>
    </row>
    <row r="349" spans="1:39" ht="12" customHeight="1" x14ac:dyDescent="0.3">
      <c r="A349" s="89"/>
      <c r="B349" s="93"/>
      <c r="C349" s="89"/>
      <c r="D349" s="89"/>
      <c r="E349" s="112"/>
      <c r="F349" s="9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4"/>
      <c r="R349" s="121"/>
      <c r="S349" s="121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89"/>
      <c r="AG349" s="89"/>
      <c r="AH349" s="119"/>
      <c r="AI349" s="119"/>
      <c r="AJ349" s="119"/>
      <c r="AK349" s="100"/>
      <c r="AL349" s="100"/>
      <c r="AM349" s="100"/>
    </row>
    <row r="350" spans="1:39" ht="12" customHeight="1" x14ac:dyDescent="0.3">
      <c r="A350" s="89"/>
      <c r="B350" s="93"/>
      <c r="C350" s="89"/>
      <c r="D350" s="89"/>
      <c r="E350" s="112"/>
      <c r="F350" s="9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16"/>
      <c r="T350" s="97"/>
      <c r="U350" s="97"/>
      <c r="V350" s="98"/>
      <c r="W350" s="118"/>
      <c r="X350" s="98"/>
      <c r="Y350" s="98"/>
      <c r="Z350" s="89"/>
      <c r="AA350" s="97"/>
      <c r="AB350" s="89"/>
      <c r="AC350" s="120"/>
      <c r="AD350" s="89"/>
      <c r="AE350" s="89"/>
      <c r="AF350" s="89"/>
      <c r="AG350" s="89"/>
      <c r="AH350" s="117"/>
      <c r="AI350" s="119"/>
      <c r="AJ350" s="117"/>
      <c r="AK350" s="100"/>
      <c r="AL350" s="100"/>
      <c r="AM350" s="100"/>
    </row>
    <row r="351" spans="1:39" ht="12" customHeight="1" x14ac:dyDescent="0.3">
      <c r="A351" s="89"/>
      <c r="B351" s="93"/>
      <c r="C351" s="89"/>
      <c r="D351" s="89"/>
      <c r="E351" s="112"/>
      <c r="F351" s="9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5"/>
      <c r="R351" s="115"/>
      <c r="S351" s="116"/>
      <c r="T351" s="97"/>
      <c r="U351" s="97"/>
      <c r="V351" s="118"/>
      <c r="W351" s="98"/>
      <c r="X351" s="98"/>
      <c r="Y351" s="98"/>
      <c r="Z351" s="89"/>
      <c r="AA351" s="97"/>
      <c r="AB351" s="89"/>
      <c r="AC351" s="120"/>
      <c r="AD351" s="89"/>
      <c r="AE351" s="89"/>
      <c r="AF351" s="89"/>
      <c r="AG351" s="89"/>
      <c r="AH351" s="117"/>
      <c r="AI351" s="119"/>
      <c r="AJ351" s="117"/>
      <c r="AK351" s="100"/>
      <c r="AL351" s="100"/>
      <c r="AM351" s="100"/>
    </row>
    <row r="352" spans="1:39" ht="12" customHeight="1" x14ac:dyDescent="0.3">
      <c r="A352" s="89"/>
      <c r="B352" s="93"/>
      <c r="C352" s="89"/>
      <c r="D352" s="89"/>
      <c r="E352" s="112"/>
      <c r="F352" s="9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5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89"/>
      <c r="AG352" s="89"/>
      <c r="AH352" s="117"/>
      <c r="AI352" s="119"/>
      <c r="AJ352" s="117"/>
      <c r="AK352" s="100"/>
      <c r="AL352" s="100"/>
      <c r="AM352" s="100"/>
    </row>
    <row r="353" spans="1:39" ht="12" customHeight="1" x14ac:dyDescent="0.3">
      <c r="A353" s="89"/>
      <c r="B353" s="93"/>
      <c r="C353" s="89"/>
      <c r="D353" s="89"/>
      <c r="E353" s="112"/>
      <c r="F353" s="9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5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89"/>
      <c r="AG353" s="89"/>
      <c r="AH353" s="117"/>
      <c r="AI353" s="119"/>
      <c r="AJ353" s="117"/>
      <c r="AK353" s="100"/>
      <c r="AL353" s="100"/>
      <c r="AM353" s="100"/>
    </row>
    <row r="354" spans="1:39" ht="12" customHeight="1" x14ac:dyDescent="0.3">
      <c r="A354" s="89"/>
      <c r="B354" s="93"/>
      <c r="C354" s="89"/>
      <c r="D354" s="89"/>
      <c r="E354" s="112"/>
      <c r="F354" s="9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5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89"/>
      <c r="AG354" s="89"/>
      <c r="AH354" s="117"/>
      <c r="AI354" s="119"/>
      <c r="AJ354" s="117"/>
      <c r="AK354" s="100"/>
      <c r="AL354" s="100"/>
      <c r="AM354" s="100"/>
    </row>
    <row r="355" spans="1:39" ht="12" customHeight="1" x14ac:dyDescent="0.3">
      <c r="A355" s="89"/>
      <c r="B355" s="93"/>
      <c r="C355" s="89"/>
      <c r="D355" s="89"/>
      <c r="E355" s="112"/>
      <c r="F355" s="9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5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89"/>
      <c r="AG355" s="89"/>
      <c r="AH355" s="117"/>
      <c r="AI355" s="119"/>
      <c r="AJ355" s="117"/>
      <c r="AK355" s="100"/>
      <c r="AL355" s="100"/>
      <c r="AM355" s="100"/>
    </row>
    <row r="356" spans="1:39" ht="12" customHeight="1" x14ac:dyDescent="0.3">
      <c r="A356" s="89"/>
      <c r="B356" s="93"/>
      <c r="C356" s="89"/>
      <c r="D356" s="89"/>
      <c r="E356" s="112"/>
      <c r="F356" s="9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5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89"/>
      <c r="AG356" s="89"/>
      <c r="AH356" s="117"/>
      <c r="AI356" s="119"/>
      <c r="AJ356" s="117"/>
      <c r="AK356" s="100"/>
      <c r="AL356" s="100"/>
      <c r="AM356" s="100"/>
    </row>
    <row r="357" spans="1:39" ht="12" customHeight="1" x14ac:dyDescent="0.3">
      <c r="A357" s="89"/>
      <c r="B357" s="93"/>
      <c r="C357" s="89"/>
      <c r="D357" s="89"/>
      <c r="E357" s="112"/>
      <c r="F357" s="9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5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89"/>
      <c r="AG357" s="89"/>
      <c r="AH357" s="117"/>
      <c r="AI357" s="119"/>
      <c r="AJ357" s="117"/>
      <c r="AK357" s="100"/>
      <c r="AL357" s="100"/>
      <c r="AM357" s="100"/>
    </row>
    <row r="358" spans="1:39" ht="12" customHeight="1" x14ac:dyDescent="0.3">
      <c r="A358" s="89"/>
      <c r="B358" s="93"/>
      <c r="C358" s="89"/>
      <c r="D358" s="89"/>
      <c r="E358" s="112"/>
      <c r="F358" s="9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5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89"/>
      <c r="AG358" s="89"/>
      <c r="AH358" s="117"/>
      <c r="AI358" s="119"/>
      <c r="AJ358" s="117"/>
      <c r="AK358" s="100"/>
      <c r="AL358" s="100"/>
      <c r="AM358" s="100"/>
    </row>
    <row r="359" spans="1:39" ht="12" customHeight="1" x14ac:dyDescent="0.3">
      <c r="A359" s="89"/>
      <c r="B359" s="93"/>
      <c r="C359" s="89"/>
      <c r="D359" s="89"/>
      <c r="E359" s="112"/>
      <c r="F359" s="91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5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89"/>
      <c r="AG359" s="89"/>
      <c r="AH359" s="117"/>
      <c r="AI359" s="119"/>
      <c r="AJ359" s="117"/>
      <c r="AK359" s="100"/>
      <c r="AL359" s="100"/>
      <c r="AM359" s="100"/>
    </row>
    <row r="360" spans="1:39" ht="12" customHeight="1" x14ac:dyDescent="0.3">
      <c r="A360" s="89"/>
      <c r="B360" s="93"/>
      <c r="C360" s="89"/>
      <c r="D360" s="89"/>
      <c r="E360" s="112"/>
      <c r="F360" s="9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5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89"/>
      <c r="AG360" s="89"/>
      <c r="AH360" s="117"/>
      <c r="AI360" s="117"/>
      <c r="AJ360" s="117"/>
      <c r="AK360" s="100"/>
      <c r="AL360" s="100"/>
      <c r="AM360" s="100"/>
    </row>
    <row r="361" spans="1:39" ht="12" customHeight="1" x14ac:dyDescent="0.3">
      <c r="A361" s="89"/>
      <c r="B361" s="93"/>
      <c r="C361" s="89"/>
      <c r="D361" s="89"/>
      <c r="E361" s="112"/>
      <c r="F361" s="9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5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89"/>
      <c r="AG361" s="89"/>
      <c r="AH361" s="117"/>
      <c r="AI361" s="117"/>
      <c r="AJ361" s="117"/>
      <c r="AK361" s="100"/>
      <c r="AL361" s="100"/>
      <c r="AM361" s="100"/>
    </row>
    <row r="362" spans="1:39" ht="12" customHeight="1" x14ac:dyDescent="0.3">
      <c r="A362" s="89"/>
      <c r="B362" s="93"/>
      <c r="C362" s="89"/>
      <c r="D362" s="89"/>
      <c r="E362" s="112"/>
      <c r="F362" s="9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5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89"/>
      <c r="AG362" s="89"/>
      <c r="AH362" s="117"/>
      <c r="AI362" s="117"/>
      <c r="AJ362" s="117"/>
      <c r="AK362" s="100"/>
      <c r="AL362" s="100"/>
      <c r="AM362" s="100"/>
    </row>
    <row r="363" spans="1:39" ht="12" customHeight="1" x14ac:dyDescent="0.3">
      <c r="A363" s="89"/>
      <c r="B363" s="93"/>
      <c r="C363" s="89"/>
      <c r="D363" s="89"/>
      <c r="E363" s="112"/>
      <c r="F363" s="9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5"/>
      <c r="R363" s="121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89"/>
      <c r="AG363" s="89"/>
      <c r="AH363" s="117"/>
      <c r="AI363" s="119"/>
      <c r="AJ363" s="117"/>
      <c r="AK363" s="100"/>
      <c r="AL363" s="100"/>
      <c r="AM363" s="100"/>
    </row>
    <row r="364" spans="1:39" ht="12" customHeight="1" x14ac:dyDescent="0.3">
      <c r="A364" s="89"/>
      <c r="B364" s="93"/>
      <c r="C364" s="89"/>
      <c r="D364" s="89"/>
      <c r="E364" s="112"/>
      <c r="F364" s="9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5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89"/>
      <c r="AG364" s="89"/>
      <c r="AH364" s="117"/>
      <c r="AI364" s="117"/>
      <c r="AJ364" s="117"/>
      <c r="AK364" s="100"/>
      <c r="AL364" s="100"/>
      <c r="AM364" s="100"/>
    </row>
    <row r="365" spans="1:39" ht="12" customHeight="1" x14ac:dyDescent="0.3">
      <c r="A365" s="89"/>
      <c r="B365" s="93"/>
      <c r="C365" s="89"/>
      <c r="D365" s="89"/>
      <c r="E365" s="112"/>
      <c r="F365" s="9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5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89"/>
      <c r="AG365" s="89"/>
      <c r="AH365" s="117"/>
      <c r="AI365" s="119"/>
      <c r="AJ365" s="117"/>
      <c r="AK365" s="100"/>
      <c r="AL365" s="100"/>
      <c r="AM365" s="100"/>
    </row>
    <row r="366" spans="1:39" ht="12" customHeight="1" x14ac:dyDescent="0.3">
      <c r="A366" s="89"/>
      <c r="B366" s="93"/>
      <c r="C366" s="89"/>
      <c r="D366" s="89"/>
      <c r="E366" s="112"/>
      <c r="F366" s="9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5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89"/>
      <c r="AG366" s="89"/>
      <c r="AH366" s="117"/>
      <c r="AI366" s="119"/>
      <c r="AJ366" s="117"/>
      <c r="AK366" s="100"/>
      <c r="AL366" s="100"/>
      <c r="AM366" s="100"/>
    </row>
    <row r="367" spans="1:39" ht="12" customHeight="1" x14ac:dyDescent="0.3">
      <c r="A367" s="89"/>
      <c r="B367" s="93"/>
      <c r="C367" s="89"/>
      <c r="D367" s="89"/>
      <c r="E367" s="112"/>
      <c r="F367" s="9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5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89"/>
      <c r="AG367" s="89"/>
      <c r="AH367" s="117"/>
      <c r="AI367" s="117"/>
      <c r="AJ367" s="117"/>
      <c r="AK367" s="100"/>
      <c r="AL367" s="100"/>
      <c r="AM367" s="100"/>
    </row>
    <row r="368" spans="1:39" ht="12" customHeight="1" x14ac:dyDescent="0.3">
      <c r="A368" s="89"/>
      <c r="B368" s="197"/>
      <c r="C368" s="89"/>
      <c r="D368" s="89"/>
      <c r="E368" s="112"/>
      <c r="F368" s="9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5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89"/>
      <c r="AG368" s="89"/>
      <c r="AH368" s="117"/>
      <c r="AI368" s="119"/>
      <c r="AJ368" s="117"/>
      <c r="AK368" s="100"/>
      <c r="AL368" s="100"/>
      <c r="AM368" s="100"/>
    </row>
    <row r="369" spans="1:39" ht="12" customHeight="1" x14ac:dyDescent="0.3">
      <c r="A369" s="89"/>
      <c r="B369" s="197"/>
      <c r="C369" s="89"/>
      <c r="D369" s="89"/>
      <c r="E369" s="112"/>
      <c r="F369" s="91"/>
      <c r="G369" s="91"/>
      <c r="H369" s="98"/>
      <c r="I369" s="92"/>
      <c r="J369" s="114"/>
      <c r="K369" s="89"/>
      <c r="L369" s="89"/>
      <c r="M369" s="89"/>
      <c r="N369" s="89"/>
      <c r="O369" s="91"/>
      <c r="P369" s="95"/>
      <c r="Q369" s="145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89"/>
      <c r="AG369" s="89"/>
      <c r="AH369" s="117"/>
      <c r="AI369" s="119"/>
      <c r="AJ369" s="117"/>
      <c r="AK369" s="100"/>
      <c r="AL369" s="100"/>
      <c r="AM369" s="100"/>
    </row>
    <row r="370" spans="1:39" ht="12" customHeight="1" x14ac:dyDescent="0.3">
      <c r="A370" s="89"/>
      <c r="B370" s="197"/>
      <c r="C370" s="89"/>
      <c r="D370" s="89"/>
      <c r="E370" s="112"/>
      <c r="F370" s="9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5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89"/>
      <c r="AG370" s="89"/>
      <c r="AH370" s="117"/>
      <c r="AI370" s="119"/>
      <c r="AJ370" s="117"/>
      <c r="AK370" s="100"/>
      <c r="AL370" s="100"/>
      <c r="AM370" s="100"/>
    </row>
    <row r="371" spans="1:39" ht="12" customHeight="1" x14ac:dyDescent="0.3">
      <c r="A371" s="89"/>
      <c r="B371" s="197"/>
      <c r="C371" s="89"/>
      <c r="D371" s="89"/>
      <c r="E371" s="112"/>
      <c r="F371" s="91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5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89"/>
      <c r="AG371" s="89"/>
      <c r="AH371" s="117"/>
      <c r="AI371" s="119"/>
      <c r="AJ371" s="117"/>
      <c r="AK371" s="100"/>
      <c r="AL371" s="100"/>
      <c r="AM371" s="100"/>
    </row>
    <row r="372" spans="1:39" ht="12" customHeight="1" x14ac:dyDescent="0.3">
      <c r="A372" s="89"/>
      <c r="B372" s="197"/>
      <c r="C372" s="89"/>
      <c r="D372" s="89"/>
      <c r="E372" s="112"/>
      <c r="F372" s="9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5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89"/>
      <c r="AG372" s="89"/>
      <c r="AH372" s="117"/>
      <c r="AI372" s="119"/>
      <c r="AJ372" s="117"/>
      <c r="AK372" s="100"/>
      <c r="AL372" s="100"/>
      <c r="AM372" s="100"/>
    </row>
    <row r="373" spans="1:39" ht="12" customHeight="1" x14ac:dyDescent="0.3">
      <c r="A373" s="89"/>
      <c r="B373" s="197"/>
      <c r="C373" s="89"/>
      <c r="D373" s="89"/>
      <c r="E373" s="112"/>
      <c r="F373" s="9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5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89"/>
      <c r="AG373" s="89"/>
      <c r="AH373" s="117"/>
      <c r="AI373" s="119"/>
      <c r="AJ373" s="117"/>
      <c r="AK373" s="100"/>
      <c r="AL373" s="100"/>
      <c r="AM373" s="100"/>
    </row>
    <row r="374" spans="1:39" ht="12" customHeight="1" x14ac:dyDescent="0.3">
      <c r="A374" s="89"/>
      <c r="B374" s="197"/>
      <c r="C374" s="89"/>
      <c r="D374" s="89"/>
      <c r="E374" s="112"/>
      <c r="F374" s="9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5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89"/>
      <c r="AG374" s="89"/>
      <c r="AH374" s="117"/>
      <c r="AI374" s="119"/>
      <c r="AJ374" s="117"/>
      <c r="AK374" s="100"/>
      <c r="AL374" s="100"/>
      <c r="AM374" s="100"/>
    </row>
    <row r="375" spans="1:39" ht="12" customHeight="1" x14ac:dyDescent="0.3">
      <c r="A375" s="89"/>
      <c r="B375" s="197"/>
      <c r="C375" s="89"/>
      <c r="D375" s="89"/>
      <c r="E375" s="112"/>
      <c r="F375" s="9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5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89"/>
      <c r="AG375" s="89"/>
      <c r="AH375" s="117"/>
      <c r="AI375" s="119"/>
      <c r="AJ375" s="117"/>
      <c r="AK375" s="100"/>
      <c r="AL375" s="100"/>
      <c r="AM375" s="100"/>
    </row>
    <row r="376" spans="1:39" ht="12" customHeight="1" x14ac:dyDescent="0.3">
      <c r="A376" s="89"/>
      <c r="B376" s="197"/>
      <c r="C376" s="89"/>
      <c r="D376" s="89"/>
      <c r="E376" s="112"/>
      <c r="F376" s="9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5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89"/>
      <c r="AG376" s="89"/>
      <c r="AH376" s="117"/>
      <c r="AI376" s="119"/>
      <c r="AJ376" s="117"/>
      <c r="AK376" s="100"/>
      <c r="AL376" s="100"/>
      <c r="AM376" s="100"/>
    </row>
    <row r="377" spans="1:39" ht="12" customHeight="1" x14ac:dyDescent="0.3">
      <c r="A377" s="89"/>
      <c r="B377" s="197"/>
      <c r="C377" s="89"/>
      <c r="D377" s="89"/>
      <c r="E377" s="112"/>
      <c r="F377" s="9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5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89"/>
      <c r="AG377" s="89"/>
      <c r="AH377" s="117"/>
      <c r="AI377" s="119"/>
      <c r="AJ377" s="117"/>
      <c r="AK377" s="100"/>
      <c r="AL377" s="100"/>
      <c r="AM377" s="100"/>
    </row>
    <row r="378" spans="1:39" ht="12" customHeight="1" x14ac:dyDescent="0.3">
      <c r="A378" s="89"/>
      <c r="B378" s="197"/>
      <c r="C378" s="89"/>
      <c r="D378" s="89"/>
      <c r="E378" s="112"/>
      <c r="F378" s="9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5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89"/>
      <c r="AG378" s="89"/>
      <c r="AH378" s="117"/>
      <c r="AI378" s="117"/>
      <c r="AJ378" s="117"/>
      <c r="AK378" s="100"/>
      <c r="AL378" s="100"/>
      <c r="AM378" s="100"/>
    </row>
    <row r="379" spans="1:39" ht="12" customHeight="1" x14ac:dyDescent="0.3">
      <c r="A379" s="89"/>
      <c r="B379" s="197"/>
      <c r="C379" s="89"/>
      <c r="D379" s="89"/>
      <c r="E379" s="112"/>
      <c r="F379" s="9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5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89"/>
      <c r="AG379" s="89"/>
      <c r="AH379" s="117"/>
      <c r="AI379" s="117"/>
      <c r="AJ379" s="117"/>
      <c r="AK379" s="100"/>
      <c r="AL379" s="100"/>
      <c r="AM379" s="100"/>
    </row>
    <row r="380" spans="1:39" ht="12" customHeight="1" x14ac:dyDescent="0.3">
      <c r="A380" s="89"/>
      <c r="B380" s="197"/>
      <c r="C380" s="89"/>
      <c r="D380" s="89"/>
      <c r="E380" s="112"/>
      <c r="F380" s="9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5"/>
      <c r="R380" s="115"/>
      <c r="S380" s="116"/>
      <c r="T380" s="97"/>
      <c r="U380" s="97"/>
      <c r="V380" s="98"/>
      <c r="W380" s="98"/>
      <c r="X380" s="98"/>
      <c r="Y380" s="98"/>
      <c r="Z380" s="89"/>
      <c r="AA380" s="97"/>
      <c r="AB380" s="89"/>
      <c r="AC380" s="120"/>
      <c r="AD380" s="89"/>
      <c r="AE380" s="89"/>
      <c r="AF380" s="89"/>
      <c r="AG380" s="89"/>
      <c r="AH380" s="117"/>
      <c r="AI380" s="117"/>
      <c r="AJ380" s="117"/>
      <c r="AK380" s="100"/>
      <c r="AL380" s="100"/>
      <c r="AM380" s="100"/>
    </row>
    <row r="381" spans="1:39" ht="12" customHeight="1" x14ac:dyDescent="0.3">
      <c r="A381" s="89"/>
      <c r="B381" s="197"/>
      <c r="C381" s="89"/>
      <c r="D381" s="89"/>
      <c r="E381" s="112"/>
      <c r="F381" s="9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5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89"/>
      <c r="AG381" s="89"/>
      <c r="AH381" s="117"/>
      <c r="AI381" s="117"/>
      <c r="AJ381" s="117"/>
      <c r="AK381" s="100"/>
      <c r="AL381" s="100"/>
      <c r="AM381" s="100"/>
    </row>
    <row r="382" spans="1:39" ht="12" customHeight="1" x14ac:dyDescent="0.3">
      <c r="A382" s="89"/>
      <c r="B382" s="197"/>
      <c r="C382" s="89"/>
      <c r="D382" s="89"/>
      <c r="E382" s="112"/>
      <c r="F382" s="9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5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89"/>
      <c r="AG382" s="89"/>
      <c r="AH382" s="117"/>
      <c r="AI382" s="117"/>
      <c r="AJ382" s="117"/>
      <c r="AK382" s="100"/>
      <c r="AL382" s="100"/>
      <c r="AM382" s="100"/>
    </row>
    <row r="383" spans="1:39" ht="12" customHeight="1" x14ac:dyDescent="0.3">
      <c r="A383" s="89"/>
      <c r="B383" s="197"/>
      <c r="C383" s="89"/>
      <c r="D383" s="89"/>
      <c r="E383" s="112"/>
      <c r="F383" s="9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5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89"/>
      <c r="AG383" s="89"/>
      <c r="AH383" s="117"/>
      <c r="AI383" s="117"/>
      <c r="AJ383" s="117"/>
      <c r="AK383" s="100"/>
      <c r="AL383" s="100"/>
      <c r="AM383" s="100"/>
    </row>
    <row r="384" spans="1:39" ht="12" customHeight="1" x14ac:dyDescent="0.3">
      <c r="A384" s="89"/>
      <c r="B384" s="197"/>
      <c r="C384" s="89"/>
      <c r="D384" s="89"/>
      <c r="E384" s="112"/>
      <c r="F384" s="91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5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89"/>
      <c r="AG384" s="89"/>
      <c r="AH384" s="117"/>
      <c r="AI384" s="117"/>
      <c r="AJ384" s="117"/>
      <c r="AK384" s="100"/>
      <c r="AL384" s="100"/>
      <c r="AM384" s="100"/>
    </row>
    <row r="385" spans="1:39" ht="12" customHeight="1" x14ac:dyDescent="0.3">
      <c r="A385" s="89"/>
      <c r="B385" s="197"/>
      <c r="C385" s="89"/>
      <c r="D385" s="89"/>
      <c r="E385" s="112"/>
      <c r="F385" s="91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5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89"/>
      <c r="AG385" s="89"/>
      <c r="AH385" s="117"/>
      <c r="AI385" s="117"/>
      <c r="AJ385" s="117"/>
      <c r="AK385" s="100"/>
      <c r="AL385" s="100"/>
      <c r="AM385" s="100"/>
    </row>
    <row r="386" spans="1:39" ht="12" customHeight="1" x14ac:dyDescent="0.3">
      <c r="A386" s="89"/>
      <c r="B386" s="197"/>
      <c r="C386" s="89"/>
      <c r="D386" s="89"/>
      <c r="E386" s="112"/>
      <c r="F386" s="91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5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89"/>
      <c r="AG386" s="89"/>
      <c r="AH386" s="117"/>
      <c r="AI386" s="117"/>
      <c r="AJ386" s="117"/>
      <c r="AK386" s="100"/>
      <c r="AL386" s="100"/>
      <c r="AM386" s="100"/>
    </row>
    <row r="387" spans="1:39" ht="12" customHeight="1" x14ac:dyDescent="0.3">
      <c r="A387" s="89"/>
      <c r="B387" s="197"/>
      <c r="C387" s="89"/>
      <c r="D387" s="89"/>
      <c r="E387" s="112"/>
      <c r="F387" s="91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5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89"/>
      <c r="AG387" s="89"/>
      <c r="AH387" s="117"/>
      <c r="AI387" s="117"/>
      <c r="AJ387" s="117"/>
      <c r="AK387" s="100"/>
      <c r="AL387" s="100"/>
      <c r="AM387" s="100"/>
    </row>
    <row r="388" spans="1:39" ht="12" customHeight="1" x14ac:dyDescent="0.3">
      <c r="A388" s="89"/>
      <c r="B388" s="197"/>
      <c r="C388" s="89"/>
      <c r="D388" s="89"/>
      <c r="E388" s="112"/>
      <c r="F388" s="91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5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89"/>
      <c r="AG388" s="89"/>
      <c r="AH388" s="117"/>
      <c r="AI388" s="117"/>
      <c r="AJ388" s="117"/>
      <c r="AK388" s="100"/>
      <c r="AL388" s="100"/>
      <c r="AM388" s="100"/>
    </row>
    <row r="389" spans="1:39" ht="12" customHeight="1" x14ac:dyDescent="0.3">
      <c r="A389" s="89"/>
      <c r="B389" s="197"/>
      <c r="C389" s="89"/>
      <c r="D389" s="89"/>
      <c r="E389" s="112"/>
      <c r="F389" s="91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5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89"/>
      <c r="AG389" s="89"/>
      <c r="AH389" s="117"/>
      <c r="AI389" s="117"/>
      <c r="AJ389" s="117"/>
      <c r="AK389" s="100"/>
      <c r="AL389" s="100"/>
      <c r="AM389" s="100"/>
    </row>
    <row r="390" spans="1:39" ht="12" customHeight="1" x14ac:dyDescent="0.3">
      <c r="A390" s="89"/>
      <c r="B390" s="197"/>
      <c r="C390" s="89"/>
      <c r="D390" s="89"/>
      <c r="E390" s="112"/>
      <c r="F390" s="91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5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89"/>
      <c r="AG390" s="89"/>
      <c r="AH390" s="117"/>
      <c r="AI390" s="117"/>
      <c r="AJ390" s="117"/>
      <c r="AK390" s="100"/>
      <c r="AL390" s="100"/>
      <c r="AM390" s="100"/>
    </row>
    <row r="391" spans="1:39" ht="12" customHeight="1" x14ac:dyDescent="0.3">
      <c r="A391" s="89"/>
      <c r="B391" s="197"/>
      <c r="C391" s="89"/>
      <c r="D391" s="89"/>
      <c r="E391" s="112"/>
      <c r="F391" s="91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5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89"/>
      <c r="AG391" s="89"/>
      <c r="AH391" s="117"/>
      <c r="AI391" s="117"/>
      <c r="AJ391" s="117"/>
      <c r="AK391" s="100"/>
      <c r="AL391" s="100"/>
      <c r="AM391" s="100"/>
    </row>
    <row r="392" spans="1:39" ht="12" customHeight="1" x14ac:dyDescent="0.3">
      <c r="A392" s="89"/>
      <c r="B392" s="197"/>
      <c r="C392" s="89"/>
      <c r="D392" s="89"/>
      <c r="E392" s="112"/>
      <c r="F392" s="91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5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89"/>
      <c r="AG392" s="89"/>
      <c r="AH392" s="117"/>
      <c r="AI392" s="117"/>
      <c r="AJ392" s="117"/>
      <c r="AK392" s="100"/>
      <c r="AL392" s="100"/>
      <c r="AM392" s="100"/>
    </row>
    <row r="393" spans="1:39" ht="12" customHeight="1" x14ac:dyDescent="0.3">
      <c r="A393" s="89"/>
      <c r="B393" s="197"/>
      <c r="C393" s="89"/>
      <c r="D393" s="89"/>
      <c r="E393" s="112"/>
      <c r="F393" s="91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5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89"/>
      <c r="AG393" s="89"/>
      <c r="AH393" s="117"/>
      <c r="AI393" s="117"/>
      <c r="AJ393" s="117"/>
      <c r="AK393" s="100"/>
      <c r="AL393" s="100"/>
      <c r="AM393" s="100"/>
    </row>
    <row r="394" spans="1:39" ht="12" customHeight="1" x14ac:dyDescent="0.3">
      <c r="A394" s="125"/>
      <c r="B394" s="88"/>
      <c r="C394" s="89"/>
      <c r="D394" s="89"/>
      <c r="E394" s="112"/>
      <c r="F394" s="91"/>
      <c r="G394" s="92"/>
      <c r="H394" s="93"/>
      <c r="I394" s="92"/>
      <c r="J394" s="126"/>
      <c r="K394" s="89"/>
      <c r="L394" s="89"/>
      <c r="M394" s="89"/>
      <c r="N394" s="89"/>
      <c r="O394" s="94"/>
      <c r="P394" s="95"/>
      <c r="Q394" s="144"/>
      <c r="R394" s="96"/>
      <c r="S394" s="97"/>
      <c r="T394" s="97"/>
      <c r="U394" s="97"/>
      <c r="V394" s="93"/>
      <c r="W394" s="93"/>
      <c r="X394" s="93"/>
      <c r="Y394" s="98"/>
      <c r="Z394" s="89"/>
      <c r="AA394" s="97"/>
      <c r="AB394" s="89"/>
      <c r="AC394" s="120"/>
      <c r="AD394" s="89"/>
      <c r="AE394" s="89"/>
      <c r="AF394" s="89"/>
      <c r="AG394" s="89"/>
      <c r="AH394" s="99"/>
      <c r="AI394" s="99"/>
      <c r="AJ394" s="127"/>
      <c r="AK394" s="100"/>
      <c r="AL394" s="100"/>
      <c r="AM394" s="128"/>
    </row>
    <row r="395" spans="1:39" ht="12" customHeight="1" x14ac:dyDescent="0.3">
      <c r="A395" s="125"/>
      <c r="B395" s="88"/>
      <c r="C395" s="89"/>
      <c r="D395" s="89"/>
      <c r="E395" s="112"/>
      <c r="F395" s="91"/>
      <c r="G395" s="92"/>
      <c r="H395" s="93"/>
      <c r="I395" s="92"/>
      <c r="J395" s="126"/>
      <c r="K395" s="89"/>
      <c r="L395" s="89"/>
      <c r="M395" s="89"/>
      <c r="N395" s="89"/>
      <c r="O395" s="94"/>
      <c r="P395" s="95"/>
      <c r="Q395" s="144"/>
      <c r="R395" s="96"/>
      <c r="S395" s="97"/>
      <c r="T395" s="97"/>
      <c r="U395" s="97"/>
      <c r="V395" s="93"/>
      <c r="W395" s="93"/>
      <c r="X395" s="93"/>
      <c r="Y395" s="98"/>
      <c r="Z395" s="89"/>
      <c r="AA395" s="97"/>
      <c r="AB395" s="89"/>
      <c r="AC395" s="120"/>
      <c r="AD395" s="89"/>
      <c r="AE395" s="89"/>
      <c r="AF395" s="89"/>
      <c r="AG395" s="89"/>
      <c r="AH395" s="99"/>
      <c r="AI395" s="99"/>
      <c r="AJ395" s="127"/>
      <c r="AK395" s="100"/>
      <c r="AL395" s="100"/>
      <c r="AM395" s="128"/>
    </row>
    <row r="396" spans="1:39" ht="12" customHeight="1" x14ac:dyDescent="0.3">
      <c r="A396" s="125"/>
      <c r="B396" s="88"/>
      <c r="C396" s="89"/>
      <c r="D396" s="89"/>
      <c r="E396" s="112"/>
      <c r="F396" s="91"/>
      <c r="G396" s="92"/>
      <c r="H396" s="93"/>
      <c r="I396" s="92"/>
      <c r="J396" s="126"/>
      <c r="K396" s="89"/>
      <c r="L396" s="89"/>
      <c r="M396" s="89"/>
      <c r="N396" s="89"/>
      <c r="O396" s="94"/>
      <c r="P396" s="95"/>
      <c r="Q396" s="144"/>
      <c r="R396" s="96"/>
      <c r="S396" s="97"/>
      <c r="T396" s="97"/>
      <c r="U396" s="97"/>
      <c r="V396" s="93"/>
      <c r="W396" s="89"/>
      <c r="X396" s="89"/>
      <c r="Y396" s="98"/>
      <c r="Z396" s="89"/>
      <c r="AA396" s="97"/>
      <c r="AB396" s="89"/>
      <c r="AC396" s="120"/>
      <c r="AD396" s="89"/>
      <c r="AE396" s="89"/>
      <c r="AF396" s="89"/>
      <c r="AG396" s="89"/>
      <c r="AH396" s="99"/>
      <c r="AI396" s="99"/>
      <c r="AJ396" s="127"/>
      <c r="AK396" s="100"/>
      <c r="AL396" s="100"/>
      <c r="AM396" s="128"/>
    </row>
    <row r="397" spans="1:39" ht="12" customHeight="1" x14ac:dyDescent="0.3">
      <c r="A397" s="125"/>
      <c r="B397" s="88"/>
      <c r="C397" s="89"/>
      <c r="D397" s="89"/>
      <c r="E397" s="112"/>
      <c r="F397" s="91"/>
      <c r="G397" s="92"/>
      <c r="H397" s="93"/>
      <c r="I397" s="92"/>
      <c r="J397" s="126"/>
      <c r="K397" s="89"/>
      <c r="L397" s="89"/>
      <c r="M397" s="89"/>
      <c r="N397" s="89"/>
      <c r="O397" s="94"/>
      <c r="P397" s="95"/>
      <c r="Q397" s="144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89"/>
      <c r="AG397" s="89"/>
      <c r="AH397" s="127"/>
      <c r="AI397" s="99"/>
      <c r="AJ397" s="99"/>
      <c r="AK397" s="100"/>
      <c r="AL397" s="100"/>
      <c r="AM397" s="128"/>
    </row>
    <row r="398" spans="1:39" ht="12" customHeight="1" x14ac:dyDescent="0.3">
      <c r="A398" s="125"/>
      <c r="B398" s="88"/>
      <c r="C398" s="89"/>
      <c r="D398" s="89"/>
      <c r="E398" s="112"/>
      <c r="F398" s="91"/>
      <c r="G398" s="92"/>
      <c r="H398" s="93"/>
      <c r="I398" s="92"/>
      <c r="J398" s="126"/>
      <c r="K398" s="89"/>
      <c r="L398" s="89"/>
      <c r="M398" s="89"/>
      <c r="N398" s="89"/>
      <c r="O398" s="94"/>
      <c r="P398" s="95"/>
      <c r="Q398" s="144"/>
      <c r="R398" s="96"/>
      <c r="S398" s="97"/>
      <c r="T398" s="97"/>
      <c r="U398" s="97"/>
      <c r="V398" s="93"/>
      <c r="W398" s="93"/>
      <c r="X398" s="93"/>
      <c r="Y398" s="98"/>
      <c r="Z398" s="89"/>
      <c r="AA398" s="97"/>
      <c r="AB398" s="89"/>
      <c r="AC398" s="120"/>
      <c r="AD398" s="89"/>
      <c r="AE398" s="89"/>
      <c r="AF398" s="89"/>
      <c r="AG398" s="89"/>
      <c r="AH398" s="99"/>
      <c r="AI398" s="99"/>
      <c r="AJ398" s="127"/>
      <c r="AK398" s="100"/>
      <c r="AL398" s="100"/>
      <c r="AM398" s="128"/>
    </row>
    <row r="399" spans="1:39" ht="12" customHeight="1" x14ac:dyDescent="0.3">
      <c r="A399" s="125"/>
      <c r="B399" s="88"/>
      <c r="C399" s="89"/>
      <c r="D399" s="89"/>
      <c r="E399" s="112"/>
      <c r="F399" s="91"/>
      <c r="G399" s="92"/>
      <c r="H399" s="93"/>
      <c r="I399" s="92"/>
      <c r="J399" s="126"/>
      <c r="K399" s="89"/>
      <c r="L399" s="89"/>
      <c r="M399" s="89"/>
      <c r="N399" s="89"/>
      <c r="O399" s="94"/>
      <c r="P399" s="95"/>
      <c r="Q399" s="144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89"/>
      <c r="AG399" s="89"/>
      <c r="AH399" s="99"/>
      <c r="AI399" s="99"/>
      <c r="AJ399" s="127"/>
      <c r="AK399" s="100"/>
      <c r="AL399" s="100"/>
      <c r="AM399" s="128"/>
    </row>
    <row r="400" spans="1:39" ht="12" customHeight="1" x14ac:dyDescent="0.3">
      <c r="A400" s="125"/>
      <c r="B400" s="88"/>
      <c r="C400" s="89"/>
      <c r="D400" s="89"/>
      <c r="E400" s="112"/>
      <c r="F400" s="91"/>
      <c r="G400" s="92"/>
      <c r="H400" s="93"/>
      <c r="I400" s="92"/>
      <c r="J400" s="126"/>
      <c r="K400" s="89"/>
      <c r="L400" s="89"/>
      <c r="M400" s="89"/>
      <c r="N400" s="89"/>
      <c r="O400" s="94"/>
      <c r="P400" s="95"/>
      <c r="Q400" s="144"/>
      <c r="R400" s="96"/>
      <c r="S400" s="97"/>
      <c r="T400" s="97"/>
      <c r="U400" s="97"/>
      <c r="V400" s="93"/>
      <c r="W400" s="89"/>
      <c r="X400" s="89"/>
      <c r="Y400" s="98"/>
      <c r="Z400" s="89"/>
      <c r="AA400" s="97"/>
      <c r="AB400" s="89"/>
      <c r="AC400" s="120"/>
      <c r="AD400" s="89"/>
      <c r="AE400" s="89"/>
      <c r="AF400" s="89"/>
      <c r="AG400" s="89"/>
      <c r="AH400" s="99"/>
      <c r="AI400" s="99"/>
      <c r="AJ400" s="127"/>
      <c r="AK400" s="100"/>
      <c r="AL400" s="100"/>
      <c r="AM400" s="128"/>
    </row>
    <row r="401" spans="1:39" ht="12" customHeight="1" x14ac:dyDescent="0.3">
      <c r="A401" s="125"/>
      <c r="B401" s="88"/>
      <c r="C401" s="89"/>
      <c r="D401" s="89"/>
      <c r="E401" s="112"/>
      <c r="F401" s="91"/>
      <c r="G401" s="92"/>
      <c r="H401" s="93"/>
      <c r="I401" s="92"/>
      <c r="J401" s="126"/>
      <c r="K401" s="89"/>
      <c r="L401" s="89"/>
      <c r="M401" s="89"/>
      <c r="N401" s="89"/>
      <c r="O401" s="94"/>
      <c r="P401" s="95"/>
      <c r="Q401" s="144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89"/>
      <c r="AG401" s="89"/>
      <c r="AH401" s="99"/>
      <c r="AI401" s="99"/>
      <c r="AJ401" s="127"/>
      <c r="AK401" s="100"/>
      <c r="AL401" s="100"/>
      <c r="AM401" s="128"/>
    </row>
    <row r="402" spans="1:39" ht="12" customHeight="1" x14ac:dyDescent="0.3">
      <c r="A402" s="125"/>
      <c r="B402" s="88"/>
      <c r="C402" s="89"/>
      <c r="D402" s="89"/>
      <c r="E402" s="112"/>
      <c r="F402" s="91"/>
      <c r="G402" s="92"/>
      <c r="H402" s="93"/>
      <c r="I402" s="92"/>
      <c r="J402" s="126"/>
      <c r="K402" s="89"/>
      <c r="L402" s="89"/>
      <c r="M402" s="89"/>
      <c r="N402" s="89"/>
      <c r="O402" s="94"/>
      <c r="P402" s="95"/>
      <c r="Q402" s="144"/>
      <c r="R402" s="96"/>
      <c r="S402" s="97"/>
      <c r="T402" s="97"/>
      <c r="U402" s="97"/>
      <c r="V402" s="93"/>
      <c r="W402" s="93"/>
      <c r="X402" s="93"/>
      <c r="Y402" s="98"/>
      <c r="Z402" s="89"/>
      <c r="AA402" s="97"/>
      <c r="AB402" s="89"/>
      <c r="AC402" s="120"/>
      <c r="AD402" s="89"/>
      <c r="AE402" s="89"/>
      <c r="AF402" s="89"/>
      <c r="AG402" s="89"/>
      <c r="AH402" s="99"/>
      <c r="AI402" s="99"/>
      <c r="AJ402" s="127"/>
      <c r="AK402" s="100"/>
      <c r="AL402" s="100"/>
      <c r="AM402" s="128"/>
    </row>
    <row r="403" spans="1:39" ht="12" customHeight="1" x14ac:dyDescent="0.3">
      <c r="A403" s="125"/>
      <c r="B403" s="88"/>
      <c r="C403" s="89"/>
      <c r="D403" s="89"/>
      <c r="E403" s="112"/>
      <c r="F403" s="91"/>
      <c r="G403" s="92"/>
      <c r="H403" s="93"/>
      <c r="I403" s="92"/>
      <c r="J403" s="126"/>
      <c r="K403" s="89"/>
      <c r="L403" s="89"/>
      <c r="M403" s="89"/>
      <c r="N403" s="89"/>
      <c r="O403" s="94"/>
      <c r="P403" s="95"/>
      <c r="Q403" s="144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89"/>
      <c r="AG403" s="89"/>
      <c r="AH403" s="99"/>
      <c r="AI403" s="99"/>
      <c r="AJ403" s="127"/>
      <c r="AK403" s="100"/>
      <c r="AL403" s="100"/>
      <c r="AM403" s="128"/>
    </row>
    <row r="404" spans="1:39" ht="12" customHeight="1" x14ac:dyDescent="0.3">
      <c r="A404" s="125"/>
      <c r="B404" s="88"/>
      <c r="C404" s="89"/>
      <c r="D404" s="89"/>
      <c r="E404" s="112"/>
      <c r="F404" s="91"/>
      <c r="G404" s="92"/>
      <c r="H404" s="93"/>
      <c r="I404" s="92"/>
      <c r="J404" s="126"/>
      <c r="K404" s="89"/>
      <c r="L404" s="89"/>
      <c r="M404" s="89"/>
      <c r="N404" s="89"/>
      <c r="O404" s="94"/>
      <c r="P404" s="95"/>
      <c r="Q404" s="144"/>
      <c r="R404" s="96"/>
      <c r="S404" s="97"/>
      <c r="T404" s="97"/>
      <c r="U404" s="97"/>
      <c r="V404" s="93"/>
      <c r="W404" s="93"/>
      <c r="X404" s="93"/>
      <c r="Y404" s="88"/>
      <c r="Z404" s="89"/>
      <c r="AA404" s="97"/>
      <c r="AB404" s="89"/>
      <c r="AC404" s="120"/>
      <c r="AD404" s="89"/>
      <c r="AE404" s="89"/>
      <c r="AF404" s="89"/>
      <c r="AG404" s="89"/>
      <c r="AH404" s="99"/>
      <c r="AI404" s="99"/>
      <c r="AJ404" s="127"/>
      <c r="AK404" s="100"/>
      <c r="AL404" s="100"/>
      <c r="AM404" s="128"/>
    </row>
    <row r="405" spans="1:39" ht="12" customHeight="1" x14ac:dyDescent="0.3">
      <c r="A405" s="125"/>
      <c r="B405" s="88"/>
      <c r="C405" s="89"/>
      <c r="D405" s="89"/>
      <c r="E405" s="112"/>
      <c r="F405" s="91"/>
      <c r="G405" s="92"/>
      <c r="H405" s="93"/>
      <c r="I405" s="92"/>
      <c r="J405" s="126"/>
      <c r="K405" s="89"/>
      <c r="L405" s="89"/>
      <c r="M405" s="89"/>
      <c r="N405" s="89"/>
      <c r="O405" s="94"/>
      <c r="P405" s="95"/>
      <c r="Q405" s="144"/>
      <c r="R405" s="96"/>
      <c r="S405" s="97"/>
      <c r="T405" s="97"/>
      <c r="U405" s="97"/>
      <c r="V405" s="93"/>
      <c r="W405" s="88"/>
      <c r="X405" s="93"/>
      <c r="Y405" s="98"/>
      <c r="Z405" s="89"/>
      <c r="AA405" s="97"/>
      <c r="AB405" s="89"/>
      <c r="AC405" s="120"/>
      <c r="AD405" s="89"/>
      <c r="AE405" s="89"/>
      <c r="AF405" s="89"/>
      <c r="AG405" s="89"/>
      <c r="AH405" s="99"/>
      <c r="AI405" s="99"/>
      <c r="AJ405" s="127"/>
      <c r="AK405" s="100"/>
      <c r="AL405" s="100"/>
      <c r="AM405" s="128"/>
    </row>
    <row r="406" spans="1:39" ht="12" customHeight="1" x14ac:dyDescent="0.3">
      <c r="A406" s="125"/>
      <c r="B406" s="88"/>
      <c r="C406" s="89"/>
      <c r="D406" s="89"/>
      <c r="E406" s="112"/>
      <c r="F406" s="91"/>
      <c r="G406" s="92"/>
      <c r="H406" s="93"/>
      <c r="I406" s="92"/>
      <c r="J406" s="126"/>
      <c r="K406" s="89"/>
      <c r="L406" s="89"/>
      <c r="M406" s="89"/>
      <c r="N406" s="89"/>
      <c r="O406" s="94"/>
      <c r="P406" s="95"/>
      <c r="Q406" s="144"/>
      <c r="R406" s="96"/>
      <c r="S406" s="97"/>
      <c r="T406" s="97"/>
      <c r="U406" s="97"/>
      <c r="V406" s="93"/>
      <c r="W406" s="124"/>
      <c r="X406" s="93"/>
      <c r="Y406" s="98"/>
      <c r="Z406" s="89"/>
      <c r="AA406" s="97"/>
      <c r="AB406" s="89"/>
      <c r="AC406" s="120"/>
      <c r="AD406" s="89"/>
      <c r="AE406" s="89"/>
      <c r="AF406" s="89"/>
      <c r="AG406" s="89"/>
      <c r="AH406" s="99"/>
      <c r="AI406" s="99"/>
      <c r="AJ406" s="127"/>
      <c r="AK406" s="100"/>
      <c r="AL406" s="100"/>
      <c r="AM406" s="128"/>
    </row>
    <row r="407" spans="1:39" ht="12" customHeight="1" x14ac:dyDescent="0.3">
      <c r="A407" s="125"/>
      <c r="B407" s="88"/>
      <c r="C407" s="89"/>
      <c r="D407" s="89"/>
      <c r="E407" s="112"/>
      <c r="F407" s="91"/>
      <c r="G407" s="92"/>
      <c r="H407" s="93"/>
      <c r="I407" s="92"/>
      <c r="J407" s="126"/>
      <c r="K407" s="89"/>
      <c r="L407" s="89"/>
      <c r="M407" s="89"/>
      <c r="N407" s="89"/>
      <c r="O407" s="94"/>
      <c r="P407" s="95"/>
      <c r="Q407" s="144"/>
      <c r="R407" s="96"/>
      <c r="S407" s="97"/>
      <c r="T407" s="97"/>
      <c r="U407" s="97"/>
      <c r="V407" s="93"/>
      <c r="W407" s="124"/>
      <c r="X407" s="93"/>
      <c r="Y407" s="88"/>
      <c r="Z407" s="89"/>
      <c r="AA407" s="97"/>
      <c r="AB407" s="89"/>
      <c r="AC407" s="120"/>
      <c r="AD407" s="89"/>
      <c r="AE407" s="89"/>
      <c r="AF407" s="89"/>
      <c r="AG407" s="89"/>
      <c r="AH407" s="99"/>
      <c r="AI407" s="99"/>
      <c r="AJ407" s="127"/>
      <c r="AK407" s="100"/>
      <c r="AL407" s="100"/>
      <c r="AM407" s="128"/>
    </row>
    <row r="408" spans="1:39" ht="12" customHeight="1" x14ac:dyDescent="0.3">
      <c r="A408" s="125"/>
      <c r="B408" s="88"/>
      <c r="C408" s="89"/>
      <c r="D408" s="89"/>
      <c r="E408" s="112"/>
      <c r="F408" s="91"/>
      <c r="G408" s="92"/>
      <c r="H408" s="93"/>
      <c r="I408" s="92"/>
      <c r="J408" s="126"/>
      <c r="K408" s="89"/>
      <c r="L408" s="89"/>
      <c r="M408" s="89"/>
      <c r="N408" s="89"/>
      <c r="O408" s="94"/>
      <c r="P408" s="95"/>
      <c r="Q408" s="144"/>
      <c r="R408" s="96"/>
      <c r="S408" s="97"/>
      <c r="T408" s="97"/>
      <c r="U408" s="97"/>
      <c r="V408" s="88"/>
      <c r="W408" s="124"/>
      <c r="X408" s="93"/>
      <c r="Y408" s="98"/>
      <c r="Z408" s="89"/>
      <c r="AA408" s="97"/>
      <c r="AB408" s="89"/>
      <c r="AC408" s="120"/>
      <c r="AD408" s="89"/>
      <c r="AE408" s="89"/>
      <c r="AF408" s="89"/>
      <c r="AG408" s="89"/>
      <c r="AH408" s="99"/>
      <c r="AI408" s="99"/>
      <c r="AJ408" s="127"/>
      <c r="AK408" s="100"/>
      <c r="AL408" s="100"/>
      <c r="AM408" s="128"/>
    </row>
    <row r="409" spans="1:39" ht="12" customHeight="1" x14ac:dyDescent="0.3">
      <c r="A409" s="125"/>
      <c r="B409" s="88"/>
      <c r="C409" s="89"/>
      <c r="D409" s="89"/>
      <c r="E409" s="112"/>
      <c r="F409" s="91"/>
      <c r="G409" s="92"/>
      <c r="H409" s="93"/>
      <c r="I409" s="92"/>
      <c r="J409" s="126"/>
      <c r="K409" s="89"/>
      <c r="L409" s="89"/>
      <c r="M409" s="89"/>
      <c r="N409" s="89"/>
      <c r="O409" s="94"/>
      <c r="P409" s="95"/>
      <c r="Q409" s="144"/>
      <c r="R409" s="96"/>
      <c r="S409" s="97"/>
      <c r="T409" s="97"/>
      <c r="U409" s="97"/>
      <c r="V409" s="88"/>
      <c r="W409" s="124"/>
      <c r="X409" s="93"/>
      <c r="Y409" s="98"/>
      <c r="Z409" s="89"/>
      <c r="AA409" s="97"/>
      <c r="AB409" s="89"/>
      <c r="AC409" s="120"/>
      <c r="AD409" s="89"/>
      <c r="AE409" s="89"/>
      <c r="AF409" s="89"/>
      <c r="AG409" s="89"/>
      <c r="AH409" s="99"/>
      <c r="AI409" s="99"/>
      <c r="AJ409" s="127"/>
      <c r="AK409" s="100"/>
      <c r="AL409" s="100"/>
      <c r="AM409" s="128"/>
    </row>
    <row r="410" spans="1:39" ht="12" customHeight="1" x14ac:dyDescent="0.3">
      <c r="A410" s="125"/>
      <c r="B410" s="88"/>
      <c r="C410" s="89"/>
      <c r="D410" s="89"/>
      <c r="E410" s="112"/>
      <c r="F410" s="91"/>
      <c r="G410" s="92"/>
      <c r="H410" s="93"/>
      <c r="I410" s="92"/>
      <c r="J410" s="126"/>
      <c r="K410" s="89"/>
      <c r="L410" s="89"/>
      <c r="M410" s="89"/>
      <c r="N410" s="89"/>
      <c r="O410" s="94"/>
      <c r="P410" s="95"/>
      <c r="Q410" s="144"/>
      <c r="R410" s="96"/>
      <c r="S410" s="97"/>
      <c r="T410" s="97"/>
      <c r="U410" s="97"/>
      <c r="V410" s="88"/>
      <c r="W410" s="124"/>
      <c r="X410" s="93"/>
      <c r="Y410" s="98"/>
      <c r="Z410" s="89"/>
      <c r="AA410" s="97"/>
      <c r="AB410" s="89"/>
      <c r="AC410" s="120"/>
      <c r="AD410" s="89"/>
      <c r="AE410" s="89"/>
      <c r="AF410" s="89"/>
      <c r="AG410" s="89"/>
      <c r="AH410" s="99"/>
      <c r="AI410" s="99"/>
      <c r="AJ410" s="127"/>
      <c r="AK410" s="100"/>
      <c r="AL410" s="100"/>
      <c r="AM410" s="128"/>
    </row>
    <row r="411" spans="1:39" ht="12" customHeight="1" x14ac:dyDescent="0.3">
      <c r="A411" s="125"/>
      <c r="B411" s="88"/>
      <c r="C411" s="89"/>
      <c r="D411" s="89"/>
      <c r="E411" s="112"/>
      <c r="F411" s="91"/>
      <c r="G411" s="92"/>
      <c r="H411" s="93"/>
      <c r="I411" s="92"/>
      <c r="J411" s="126"/>
      <c r="K411" s="89"/>
      <c r="L411" s="89"/>
      <c r="M411" s="89"/>
      <c r="N411" s="89"/>
      <c r="O411" s="94"/>
      <c r="P411" s="95"/>
      <c r="Q411" s="144"/>
      <c r="R411" s="96"/>
      <c r="S411" s="97"/>
      <c r="T411" s="97"/>
      <c r="U411" s="97"/>
      <c r="V411" s="88"/>
      <c r="W411" s="124"/>
      <c r="X411" s="93"/>
      <c r="Y411" s="88"/>
      <c r="Z411" s="89"/>
      <c r="AA411" s="97"/>
      <c r="AB411" s="89"/>
      <c r="AC411" s="120"/>
      <c r="AD411" s="89"/>
      <c r="AE411" s="89"/>
      <c r="AF411" s="89"/>
      <c r="AG411" s="89"/>
      <c r="AH411" s="99"/>
      <c r="AI411" s="99"/>
      <c r="AJ411" s="127"/>
      <c r="AK411" s="100"/>
      <c r="AL411" s="100"/>
      <c r="AM411" s="128"/>
    </row>
    <row r="412" spans="1:39" ht="12" customHeight="1" x14ac:dyDescent="0.3">
      <c r="A412" s="125"/>
      <c r="B412" s="88"/>
      <c r="C412" s="89"/>
      <c r="D412" s="89"/>
      <c r="E412" s="112"/>
      <c r="F412" s="91"/>
      <c r="G412" s="92"/>
      <c r="H412" s="93"/>
      <c r="I412" s="92"/>
      <c r="J412" s="126"/>
      <c r="K412" s="89"/>
      <c r="L412" s="89"/>
      <c r="M412" s="89"/>
      <c r="N412" s="89"/>
      <c r="O412" s="94"/>
      <c r="P412" s="95"/>
      <c r="Q412" s="144"/>
      <c r="R412" s="96"/>
      <c r="S412" s="97"/>
      <c r="T412" s="97"/>
      <c r="U412" s="97"/>
      <c r="V412" s="93"/>
      <c r="W412" s="88"/>
      <c r="X412" s="93"/>
      <c r="Y412" s="98"/>
      <c r="Z412" s="89"/>
      <c r="AA412" s="97"/>
      <c r="AB412" s="89"/>
      <c r="AC412" s="120"/>
      <c r="AD412" s="89"/>
      <c r="AE412" s="89"/>
      <c r="AF412" s="89"/>
      <c r="AG412" s="89"/>
      <c r="AH412" s="99"/>
      <c r="AI412" s="99"/>
      <c r="AJ412" s="127"/>
      <c r="AK412" s="100"/>
      <c r="AL412" s="100"/>
      <c r="AM412" s="128"/>
    </row>
    <row r="413" spans="1:39" ht="12" customHeight="1" x14ac:dyDescent="0.3">
      <c r="A413" s="125"/>
      <c r="B413" s="88"/>
      <c r="C413" s="89"/>
      <c r="D413" s="89"/>
      <c r="E413" s="112"/>
      <c r="F413" s="91"/>
      <c r="G413" s="92"/>
      <c r="H413" s="93"/>
      <c r="I413" s="92"/>
      <c r="J413" s="126"/>
      <c r="K413" s="89"/>
      <c r="L413" s="89"/>
      <c r="M413" s="89"/>
      <c r="N413" s="89"/>
      <c r="O413" s="94"/>
      <c r="P413" s="95"/>
      <c r="Q413" s="144"/>
      <c r="R413" s="96"/>
      <c r="S413" s="97"/>
      <c r="T413" s="97"/>
      <c r="U413" s="97"/>
      <c r="V413" s="93"/>
      <c r="W413" s="88"/>
      <c r="X413" s="93"/>
      <c r="Y413" s="98"/>
      <c r="Z413" s="89"/>
      <c r="AA413" s="97"/>
      <c r="AB413" s="89"/>
      <c r="AC413" s="120"/>
      <c r="AD413" s="89"/>
      <c r="AE413" s="89"/>
      <c r="AF413" s="89"/>
      <c r="AG413" s="89"/>
      <c r="AH413" s="99"/>
      <c r="AI413" s="99"/>
      <c r="AJ413" s="127"/>
      <c r="AK413" s="100"/>
      <c r="AL413" s="100"/>
      <c r="AM413" s="128"/>
    </row>
    <row r="414" spans="1:39" ht="12" customHeight="1" x14ac:dyDescent="0.3">
      <c r="A414" s="125"/>
      <c r="B414" s="88"/>
      <c r="C414" s="89"/>
      <c r="D414" s="89"/>
      <c r="E414" s="112"/>
      <c r="F414" s="91"/>
      <c r="G414" s="92"/>
      <c r="H414" s="93"/>
      <c r="I414" s="92"/>
      <c r="J414" s="126"/>
      <c r="K414" s="89"/>
      <c r="L414" s="89"/>
      <c r="M414" s="89"/>
      <c r="N414" s="89"/>
      <c r="O414" s="94"/>
      <c r="P414" s="95"/>
      <c r="Q414" s="144"/>
      <c r="R414" s="96"/>
      <c r="S414" s="97"/>
      <c r="T414" s="97"/>
      <c r="U414" s="97"/>
      <c r="V414" s="93"/>
      <c r="W414" s="124"/>
      <c r="X414" s="93"/>
      <c r="Y414" s="88"/>
      <c r="Z414" s="89"/>
      <c r="AA414" s="97"/>
      <c r="AB414" s="89"/>
      <c r="AC414" s="120"/>
      <c r="AD414" s="89"/>
      <c r="AE414" s="89"/>
      <c r="AF414" s="89"/>
      <c r="AG414" s="89"/>
      <c r="AH414" s="99"/>
      <c r="AI414" s="99"/>
      <c r="AJ414" s="127"/>
      <c r="AK414" s="100"/>
      <c r="AL414" s="100"/>
      <c r="AM414" s="128"/>
    </row>
    <row r="415" spans="1:39" ht="12" customHeight="1" x14ac:dyDescent="0.3">
      <c r="A415" s="125"/>
      <c r="B415" s="88"/>
      <c r="C415" s="89"/>
      <c r="D415" s="89"/>
      <c r="E415" s="112"/>
      <c r="F415" s="91"/>
      <c r="G415" s="92"/>
      <c r="H415" s="93"/>
      <c r="I415" s="92"/>
      <c r="J415" s="126"/>
      <c r="K415" s="89"/>
      <c r="L415" s="89"/>
      <c r="M415" s="89"/>
      <c r="N415" s="89"/>
      <c r="O415" s="94"/>
      <c r="P415" s="95"/>
      <c r="Q415" s="144"/>
      <c r="R415" s="96"/>
      <c r="S415" s="97"/>
      <c r="T415" s="97"/>
      <c r="U415" s="97"/>
      <c r="V415" s="93"/>
      <c r="W415" s="124"/>
      <c r="X415" s="93"/>
      <c r="Y415" s="88"/>
      <c r="Z415" s="89"/>
      <c r="AA415" s="97"/>
      <c r="AB415" s="89"/>
      <c r="AC415" s="120"/>
      <c r="AD415" s="89"/>
      <c r="AE415" s="89"/>
      <c r="AF415" s="89"/>
      <c r="AG415" s="89"/>
      <c r="AH415" s="99"/>
      <c r="AI415" s="99"/>
      <c r="AJ415" s="127"/>
      <c r="AK415" s="100"/>
      <c r="AL415" s="100"/>
      <c r="AM415" s="128"/>
    </row>
    <row r="416" spans="1:39" ht="12" customHeight="1" x14ac:dyDescent="0.3">
      <c r="A416" s="125"/>
      <c r="B416" s="88"/>
      <c r="C416" s="89"/>
      <c r="D416" s="89"/>
      <c r="E416" s="112"/>
      <c r="F416" s="91"/>
      <c r="G416" s="92"/>
      <c r="H416" s="93"/>
      <c r="I416" s="92"/>
      <c r="J416" s="126"/>
      <c r="K416" s="89"/>
      <c r="L416" s="89"/>
      <c r="M416" s="89"/>
      <c r="N416" s="89"/>
      <c r="O416" s="94"/>
      <c r="P416" s="95"/>
      <c r="Q416" s="144"/>
      <c r="R416" s="96"/>
      <c r="S416" s="97"/>
      <c r="T416" s="97"/>
      <c r="U416" s="97"/>
      <c r="V416" s="93"/>
      <c r="W416" s="124"/>
      <c r="X416" s="93"/>
      <c r="Y416" s="88"/>
      <c r="Z416" s="89"/>
      <c r="AA416" s="97"/>
      <c r="AB416" s="89"/>
      <c r="AC416" s="120"/>
      <c r="AD416" s="89"/>
      <c r="AE416" s="89"/>
      <c r="AF416" s="89"/>
      <c r="AG416" s="89"/>
      <c r="AH416" s="99"/>
      <c r="AI416" s="99"/>
      <c r="AJ416" s="127"/>
      <c r="AK416" s="100"/>
      <c r="AL416" s="100"/>
      <c r="AM416" s="128"/>
    </row>
    <row r="417" spans="1:39" ht="12" customHeight="1" x14ac:dyDescent="0.3">
      <c r="A417" s="125"/>
      <c r="B417" s="88"/>
      <c r="C417" s="89"/>
      <c r="D417" s="89"/>
      <c r="E417" s="112"/>
      <c r="F417" s="91"/>
      <c r="G417" s="92"/>
      <c r="H417" s="93"/>
      <c r="I417" s="92"/>
      <c r="J417" s="126"/>
      <c r="K417" s="89"/>
      <c r="L417" s="89"/>
      <c r="M417" s="89"/>
      <c r="N417" s="89"/>
      <c r="O417" s="94"/>
      <c r="P417" s="95"/>
      <c r="Q417" s="144"/>
      <c r="R417" s="96"/>
      <c r="S417" s="97"/>
      <c r="T417" s="97"/>
      <c r="U417" s="97"/>
      <c r="V417" s="93"/>
      <c r="W417" s="124"/>
      <c r="X417" s="93"/>
      <c r="Y417" s="88"/>
      <c r="Z417" s="89"/>
      <c r="AA417" s="97"/>
      <c r="AB417" s="89"/>
      <c r="AC417" s="120"/>
      <c r="AD417" s="89"/>
      <c r="AE417" s="89"/>
      <c r="AF417" s="89"/>
      <c r="AG417" s="89"/>
      <c r="AH417" s="99"/>
      <c r="AI417" s="99"/>
      <c r="AJ417" s="127"/>
      <c r="AK417" s="100"/>
      <c r="AL417" s="100"/>
      <c r="AM417" s="128"/>
    </row>
    <row r="418" spans="1:39" ht="12" customHeight="1" x14ac:dyDescent="0.3">
      <c r="A418" s="125"/>
      <c r="B418" s="88"/>
      <c r="C418" s="89"/>
      <c r="D418" s="89"/>
      <c r="E418" s="112"/>
      <c r="F418" s="91"/>
      <c r="G418" s="92"/>
      <c r="H418" s="93"/>
      <c r="I418" s="92"/>
      <c r="J418" s="126"/>
      <c r="K418" s="89"/>
      <c r="L418" s="89"/>
      <c r="M418" s="89"/>
      <c r="N418" s="89"/>
      <c r="O418" s="94"/>
      <c r="P418" s="95"/>
      <c r="Q418" s="144"/>
      <c r="R418" s="96"/>
      <c r="S418" s="97"/>
      <c r="T418" s="97"/>
      <c r="U418" s="97"/>
      <c r="V418" s="93"/>
      <c r="W418" s="124"/>
      <c r="X418" s="93"/>
      <c r="Y418" s="88"/>
      <c r="Z418" s="89"/>
      <c r="AA418" s="97"/>
      <c r="AB418" s="89"/>
      <c r="AC418" s="120"/>
      <c r="AD418" s="89"/>
      <c r="AE418" s="89"/>
      <c r="AF418" s="89"/>
      <c r="AG418" s="89"/>
      <c r="AH418" s="99"/>
      <c r="AI418" s="99"/>
      <c r="AJ418" s="127"/>
      <c r="AK418" s="100"/>
      <c r="AL418" s="100"/>
      <c r="AM418" s="128"/>
    </row>
    <row r="419" spans="1:39" ht="12" customHeight="1" x14ac:dyDescent="0.3">
      <c r="A419" s="125"/>
      <c r="B419" s="88"/>
      <c r="C419" s="89"/>
      <c r="D419" s="89"/>
      <c r="E419" s="112"/>
      <c r="F419" s="91"/>
      <c r="G419" s="92"/>
      <c r="H419" s="93"/>
      <c r="I419" s="92"/>
      <c r="J419" s="126"/>
      <c r="K419" s="89"/>
      <c r="L419" s="89"/>
      <c r="M419" s="89"/>
      <c r="N419" s="89"/>
      <c r="O419" s="94"/>
      <c r="P419" s="95"/>
      <c r="Q419" s="144"/>
      <c r="R419" s="96"/>
      <c r="S419" s="97"/>
      <c r="T419" s="97"/>
      <c r="U419" s="97"/>
      <c r="V419" s="93"/>
      <c r="W419" s="124"/>
      <c r="X419" s="93"/>
      <c r="Y419" s="88"/>
      <c r="Z419" s="89"/>
      <c r="AA419" s="97"/>
      <c r="AB419" s="89"/>
      <c r="AC419" s="120"/>
      <c r="AD419" s="89"/>
      <c r="AE419" s="89"/>
      <c r="AF419" s="89"/>
      <c r="AG419" s="89"/>
      <c r="AH419" s="99"/>
      <c r="AI419" s="99"/>
      <c r="AJ419" s="127"/>
      <c r="AK419" s="100"/>
      <c r="AL419" s="100"/>
      <c r="AM419" s="128"/>
    </row>
    <row r="420" spans="1:39" ht="12" customHeight="1" x14ac:dyDescent="0.3">
      <c r="A420" s="125"/>
      <c r="B420" s="88"/>
      <c r="C420" s="89"/>
      <c r="D420" s="89"/>
      <c r="E420" s="112"/>
      <c r="F420" s="91"/>
      <c r="G420" s="92"/>
      <c r="H420" s="93"/>
      <c r="I420" s="92"/>
      <c r="J420" s="126"/>
      <c r="K420" s="89"/>
      <c r="L420" s="89"/>
      <c r="M420" s="89"/>
      <c r="N420" s="89"/>
      <c r="O420" s="94"/>
      <c r="P420" s="95"/>
      <c r="Q420" s="144"/>
      <c r="R420" s="96"/>
      <c r="S420" s="97"/>
      <c r="T420" s="97"/>
      <c r="U420" s="97"/>
      <c r="V420" s="88"/>
      <c r="W420" s="124"/>
      <c r="X420" s="93"/>
      <c r="Y420" s="88"/>
      <c r="Z420" s="89"/>
      <c r="AA420" s="97"/>
      <c r="AB420" s="89"/>
      <c r="AC420" s="120"/>
      <c r="AD420" s="89"/>
      <c r="AE420" s="89"/>
      <c r="AF420" s="89"/>
      <c r="AG420" s="89"/>
      <c r="AH420" s="99"/>
      <c r="AI420" s="99"/>
      <c r="AJ420" s="127"/>
      <c r="AK420" s="100"/>
      <c r="AL420" s="100"/>
      <c r="AM420" s="128"/>
    </row>
    <row r="421" spans="1:39" ht="12" customHeight="1" x14ac:dyDescent="0.3">
      <c r="A421" s="125"/>
      <c r="B421" s="88"/>
      <c r="C421" s="89"/>
      <c r="D421" s="89"/>
      <c r="E421" s="112"/>
      <c r="F421" s="91"/>
      <c r="G421" s="92"/>
      <c r="H421" s="93"/>
      <c r="I421" s="92"/>
      <c r="J421" s="126"/>
      <c r="K421" s="114"/>
      <c r="L421" s="89"/>
      <c r="M421" s="89"/>
      <c r="N421" s="89"/>
      <c r="O421" s="94"/>
      <c r="P421" s="95"/>
      <c r="Q421" s="144"/>
      <c r="R421" s="96"/>
      <c r="S421" s="97"/>
      <c r="T421" s="97"/>
      <c r="U421" s="97"/>
      <c r="V421" s="88"/>
      <c r="W421" s="124"/>
      <c r="X421" s="93"/>
      <c r="Y421" s="88"/>
      <c r="Z421" s="89"/>
      <c r="AA421" s="97"/>
      <c r="AB421" s="89"/>
      <c r="AC421" s="120"/>
      <c r="AD421" s="89"/>
      <c r="AE421" s="114"/>
      <c r="AF421" s="114"/>
      <c r="AG421" s="114"/>
      <c r="AH421" s="99"/>
      <c r="AI421" s="99"/>
      <c r="AJ421" s="127"/>
      <c r="AK421" s="100"/>
      <c r="AL421" s="100"/>
      <c r="AM421" s="128"/>
    </row>
    <row r="422" spans="1:39" ht="12" customHeight="1" x14ac:dyDescent="0.3">
      <c r="A422" s="125"/>
      <c r="B422" s="88"/>
      <c r="C422" s="89"/>
      <c r="D422" s="89"/>
      <c r="E422" s="112"/>
      <c r="F422" s="91"/>
      <c r="G422" s="92"/>
      <c r="H422" s="93"/>
      <c r="I422" s="92"/>
      <c r="J422" s="126"/>
      <c r="K422" s="114"/>
      <c r="L422" s="89"/>
      <c r="M422" s="89"/>
      <c r="N422" s="89"/>
      <c r="O422" s="94"/>
      <c r="P422" s="95"/>
      <c r="Q422" s="144"/>
      <c r="R422" s="96"/>
      <c r="S422" s="97"/>
      <c r="T422" s="97"/>
      <c r="U422" s="97"/>
      <c r="V422" s="88"/>
      <c r="W422" s="124"/>
      <c r="X422" s="93"/>
      <c r="Y422" s="88"/>
      <c r="Z422" s="89"/>
      <c r="AA422" s="97"/>
      <c r="AB422" s="89"/>
      <c r="AC422" s="120"/>
      <c r="AD422" s="89"/>
      <c r="AE422" s="89"/>
      <c r="AF422" s="89"/>
      <c r="AG422" s="89"/>
      <c r="AH422" s="99"/>
      <c r="AI422" s="99"/>
      <c r="AJ422" s="127"/>
      <c r="AK422" s="100"/>
      <c r="AL422" s="100"/>
      <c r="AM422" s="128"/>
    </row>
    <row r="423" spans="1:39" ht="12" customHeight="1" x14ac:dyDescent="0.3">
      <c r="A423" s="125"/>
      <c r="B423" s="88"/>
      <c r="C423" s="89"/>
      <c r="D423" s="89"/>
      <c r="E423" s="112"/>
      <c r="F423" s="91"/>
      <c r="G423" s="92"/>
      <c r="H423" s="93"/>
      <c r="I423" s="92"/>
      <c r="J423" s="126"/>
      <c r="K423" s="114"/>
      <c r="L423" s="89"/>
      <c r="M423" s="89"/>
      <c r="N423" s="89"/>
      <c r="O423" s="94"/>
      <c r="P423" s="95"/>
      <c r="Q423" s="144"/>
      <c r="R423" s="96"/>
      <c r="S423" s="97"/>
      <c r="T423" s="97"/>
      <c r="U423" s="97"/>
      <c r="V423" s="88"/>
      <c r="W423" s="124"/>
      <c r="X423" s="93"/>
      <c r="Y423" s="88"/>
      <c r="Z423" s="89"/>
      <c r="AA423" s="97"/>
      <c r="AB423" s="89"/>
      <c r="AC423" s="120"/>
      <c r="AD423" s="89"/>
      <c r="AE423" s="89"/>
      <c r="AF423" s="89"/>
      <c r="AG423" s="89"/>
      <c r="AH423" s="99"/>
      <c r="AI423" s="99"/>
      <c r="AJ423" s="127"/>
      <c r="AK423" s="100"/>
      <c r="AL423" s="100"/>
      <c r="AM423" s="128"/>
    </row>
    <row r="424" spans="1:39" ht="12" customHeight="1" x14ac:dyDescent="0.3">
      <c r="A424" s="125"/>
      <c r="B424" s="88"/>
      <c r="C424" s="89"/>
      <c r="D424" s="89"/>
      <c r="E424" s="112"/>
      <c r="F424" s="91"/>
      <c r="G424" s="92"/>
      <c r="H424" s="93"/>
      <c r="I424" s="92"/>
      <c r="J424" s="126"/>
      <c r="K424" s="114"/>
      <c r="L424" s="89"/>
      <c r="M424" s="89"/>
      <c r="N424" s="89"/>
      <c r="O424" s="94"/>
      <c r="P424" s="95"/>
      <c r="Q424" s="144"/>
      <c r="R424" s="96"/>
      <c r="S424" s="97"/>
      <c r="T424" s="97"/>
      <c r="U424" s="97"/>
      <c r="V424" s="88"/>
      <c r="W424" s="93"/>
      <c r="X424" s="93"/>
      <c r="Y424" s="88"/>
      <c r="Z424" s="89"/>
      <c r="AA424" s="97"/>
      <c r="AB424" s="89"/>
      <c r="AC424" s="120"/>
      <c r="AD424" s="89"/>
      <c r="AE424" s="89"/>
      <c r="AF424" s="89"/>
      <c r="AG424" s="89"/>
      <c r="AH424" s="99"/>
      <c r="AI424" s="99"/>
      <c r="AJ424" s="127"/>
      <c r="AK424" s="100"/>
      <c r="AL424" s="100"/>
      <c r="AM424" s="128"/>
    </row>
    <row r="425" spans="1:39" ht="12" customHeight="1" x14ac:dyDescent="0.3">
      <c r="A425" s="125"/>
      <c r="B425" s="88"/>
      <c r="C425" s="89"/>
      <c r="D425" s="89"/>
      <c r="E425" s="112"/>
      <c r="F425" s="91"/>
      <c r="G425" s="92"/>
      <c r="H425" s="93"/>
      <c r="I425" s="92"/>
      <c r="J425" s="126"/>
      <c r="K425" s="114"/>
      <c r="L425" s="89"/>
      <c r="M425" s="89"/>
      <c r="N425" s="89"/>
      <c r="O425" s="94"/>
      <c r="P425" s="95"/>
      <c r="Q425" s="144"/>
      <c r="R425" s="96"/>
      <c r="S425" s="97"/>
      <c r="T425" s="97"/>
      <c r="U425" s="97"/>
      <c r="V425" s="88"/>
      <c r="W425" s="93"/>
      <c r="X425" s="93"/>
      <c r="Y425" s="98"/>
      <c r="Z425" s="89"/>
      <c r="AA425" s="97"/>
      <c r="AB425" s="89"/>
      <c r="AC425" s="120"/>
      <c r="AD425" s="89"/>
      <c r="AE425" s="89"/>
      <c r="AF425" s="89"/>
      <c r="AG425" s="89"/>
      <c r="AH425" s="99"/>
      <c r="AI425" s="99"/>
      <c r="AJ425" s="127"/>
      <c r="AK425" s="100"/>
      <c r="AL425" s="100"/>
      <c r="AM425" s="128"/>
    </row>
    <row r="426" spans="1:39" ht="12" customHeight="1" x14ac:dyDescent="0.3">
      <c r="A426" s="125"/>
      <c r="B426" s="93"/>
      <c r="C426" s="89"/>
      <c r="D426" s="89"/>
      <c r="E426" s="112"/>
      <c r="F426" s="91"/>
      <c r="G426" s="92"/>
      <c r="H426" s="93"/>
      <c r="I426" s="92"/>
      <c r="J426" s="126"/>
      <c r="K426" s="89"/>
      <c r="L426" s="89"/>
      <c r="M426" s="89"/>
      <c r="N426" s="89"/>
      <c r="O426" s="91"/>
      <c r="P426" s="95"/>
      <c r="Q426" s="144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89"/>
      <c r="AG426" s="89"/>
      <c r="AH426" s="99"/>
      <c r="AI426" s="99"/>
      <c r="AJ426" s="127"/>
      <c r="AK426" s="100"/>
      <c r="AL426" s="100"/>
      <c r="AM426" s="128"/>
    </row>
    <row r="427" spans="1:39" ht="12" customHeight="1" x14ac:dyDescent="0.3">
      <c r="A427" s="125"/>
      <c r="B427" s="93"/>
      <c r="C427" s="89"/>
      <c r="D427" s="89"/>
      <c r="E427" s="112"/>
      <c r="F427" s="91"/>
      <c r="G427" s="92"/>
      <c r="H427" s="93"/>
      <c r="I427" s="92"/>
      <c r="J427" s="126"/>
      <c r="K427" s="89"/>
      <c r="L427" s="89"/>
      <c r="M427" s="89"/>
      <c r="N427" s="89"/>
      <c r="O427" s="91"/>
      <c r="P427" s="95"/>
      <c r="Q427" s="144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89"/>
      <c r="AG427" s="89"/>
      <c r="AH427" s="99"/>
      <c r="AI427" s="99"/>
      <c r="AJ427" s="127"/>
      <c r="AK427" s="100"/>
      <c r="AL427" s="100"/>
      <c r="AM427" s="128"/>
    </row>
    <row r="428" spans="1:39" ht="12" customHeight="1" x14ac:dyDescent="0.3">
      <c r="A428" s="125"/>
      <c r="B428" s="93"/>
      <c r="C428" s="89"/>
      <c r="D428" s="89"/>
      <c r="E428" s="112"/>
      <c r="F428" s="91"/>
      <c r="G428" s="92"/>
      <c r="H428" s="93"/>
      <c r="I428" s="92"/>
      <c r="J428" s="126"/>
      <c r="K428" s="89"/>
      <c r="L428" s="89"/>
      <c r="M428" s="89"/>
      <c r="N428" s="89"/>
      <c r="O428" s="91"/>
      <c r="P428" s="95"/>
      <c r="Q428" s="144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89"/>
      <c r="AG428" s="89"/>
      <c r="AH428" s="99"/>
      <c r="AI428" s="99"/>
      <c r="AJ428" s="127"/>
      <c r="AK428" s="100"/>
      <c r="AL428" s="100"/>
      <c r="AM428" s="128"/>
    </row>
    <row r="429" spans="1:39" ht="12" customHeight="1" x14ac:dyDescent="0.3">
      <c r="A429" s="125"/>
      <c r="B429" s="93"/>
      <c r="C429" s="89"/>
      <c r="D429" s="89"/>
      <c r="E429" s="112"/>
      <c r="F429" s="91"/>
      <c r="G429" s="92"/>
      <c r="H429" s="93"/>
      <c r="I429" s="92"/>
      <c r="J429" s="126"/>
      <c r="K429" s="89"/>
      <c r="L429" s="89"/>
      <c r="M429" s="89"/>
      <c r="N429" s="89"/>
      <c r="O429" s="91"/>
      <c r="P429" s="95"/>
      <c r="Q429" s="144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89"/>
      <c r="AG429" s="89"/>
      <c r="AH429" s="99"/>
      <c r="AI429" s="99"/>
      <c r="AJ429" s="127"/>
      <c r="AK429" s="100"/>
      <c r="AL429" s="100"/>
      <c r="AM429" s="128"/>
    </row>
    <row r="430" spans="1:39" ht="12" customHeight="1" x14ac:dyDescent="0.3">
      <c r="A430" s="125"/>
      <c r="B430" s="93"/>
      <c r="C430" s="89"/>
      <c r="D430" s="89"/>
      <c r="E430" s="112"/>
      <c r="F430" s="91"/>
      <c r="G430" s="92"/>
      <c r="H430" s="93"/>
      <c r="I430" s="92"/>
      <c r="J430" s="126"/>
      <c r="K430" s="89"/>
      <c r="L430" s="89"/>
      <c r="M430" s="89"/>
      <c r="N430" s="89"/>
      <c r="O430" s="91"/>
      <c r="P430" s="95"/>
      <c r="Q430" s="144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89"/>
      <c r="AG430" s="89"/>
      <c r="AH430" s="99"/>
      <c r="AI430" s="99"/>
      <c r="AJ430" s="127"/>
      <c r="AK430" s="100"/>
      <c r="AL430" s="100"/>
      <c r="AM430" s="128"/>
    </row>
    <row r="431" spans="1:39" ht="12" customHeight="1" x14ac:dyDescent="0.3">
      <c r="A431" s="125"/>
      <c r="B431" s="93"/>
      <c r="C431" s="89"/>
      <c r="D431" s="89"/>
      <c r="E431" s="112"/>
      <c r="F431" s="91"/>
      <c r="G431" s="92"/>
      <c r="H431" s="93"/>
      <c r="I431" s="92"/>
      <c r="J431" s="126"/>
      <c r="K431" s="89"/>
      <c r="L431" s="89"/>
      <c r="M431" s="89"/>
      <c r="N431" s="89"/>
      <c r="O431" s="91"/>
      <c r="P431" s="95"/>
      <c r="Q431" s="144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89"/>
      <c r="AG431" s="89"/>
      <c r="AH431" s="99"/>
      <c r="AI431" s="99"/>
      <c r="AJ431" s="127"/>
      <c r="AK431" s="100"/>
      <c r="AL431" s="100"/>
      <c r="AM431" s="128"/>
    </row>
    <row r="432" spans="1:39" ht="12" customHeight="1" x14ac:dyDescent="0.3">
      <c r="A432" s="125"/>
      <c r="B432" s="93"/>
      <c r="C432" s="89"/>
      <c r="D432" s="89"/>
      <c r="E432" s="112"/>
      <c r="F432" s="91"/>
      <c r="G432" s="92"/>
      <c r="H432" s="93"/>
      <c r="I432" s="92"/>
      <c r="J432" s="126"/>
      <c r="K432" s="89"/>
      <c r="L432" s="89"/>
      <c r="M432" s="89"/>
      <c r="N432" s="89"/>
      <c r="O432" s="91"/>
      <c r="P432" s="95"/>
      <c r="Q432" s="144"/>
      <c r="R432" s="96"/>
      <c r="S432" s="97"/>
      <c r="T432" s="97"/>
      <c r="U432" s="97"/>
      <c r="V432" s="88"/>
      <c r="W432" s="93"/>
      <c r="X432" s="123"/>
      <c r="Y432" s="98"/>
      <c r="Z432" s="89"/>
      <c r="AA432" s="97"/>
      <c r="AB432" s="89"/>
      <c r="AC432" s="120"/>
      <c r="AD432" s="89"/>
      <c r="AE432" s="89"/>
      <c r="AF432" s="89"/>
      <c r="AG432" s="89"/>
      <c r="AH432" s="99"/>
      <c r="AI432" s="99"/>
      <c r="AJ432" s="127"/>
      <c r="AK432" s="100"/>
      <c r="AL432" s="100"/>
      <c r="AM432" s="128"/>
    </row>
    <row r="433" spans="1:39" ht="12" customHeight="1" x14ac:dyDescent="0.3">
      <c r="A433" s="125"/>
      <c r="B433" s="93"/>
      <c r="C433" s="89"/>
      <c r="D433" s="89"/>
      <c r="E433" s="112"/>
      <c r="F433" s="91"/>
      <c r="G433" s="92"/>
      <c r="H433" s="93"/>
      <c r="I433" s="92"/>
      <c r="J433" s="126"/>
      <c r="K433" s="89"/>
      <c r="L433" s="89"/>
      <c r="M433" s="89"/>
      <c r="N433" s="89"/>
      <c r="O433" s="91"/>
      <c r="P433" s="95"/>
      <c r="Q433" s="144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89"/>
      <c r="AG433" s="89"/>
      <c r="AH433" s="99"/>
      <c r="AI433" s="99"/>
      <c r="AJ433" s="127"/>
      <c r="AK433" s="100"/>
      <c r="AL433" s="100"/>
      <c r="AM433" s="128"/>
    </row>
    <row r="434" spans="1:39" ht="12" customHeight="1" x14ac:dyDescent="0.3">
      <c r="A434" s="125"/>
      <c r="B434" s="93"/>
      <c r="C434" s="89"/>
      <c r="D434" s="89"/>
      <c r="E434" s="112"/>
      <c r="F434" s="91"/>
      <c r="G434" s="92"/>
      <c r="H434" s="93"/>
      <c r="I434" s="92"/>
      <c r="J434" s="126"/>
      <c r="K434" s="89"/>
      <c r="L434" s="89"/>
      <c r="M434" s="89"/>
      <c r="N434" s="89"/>
      <c r="O434" s="91"/>
      <c r="P434" s="95"/>
      <c r="Q434" s="144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89"/>
      <c r="AG434" s="89"/>
      <c r="AH434" s="99"/>
      <c r="AI434" s="99"/>
      <c r="AJ434" s="127"/>
      <c r="AK434" s="100"/>
      <c r="AL434" s="100"/>
      <c r="AM434" s="128"/>
    </row>
    <row r="435" spans="1:39" ht="12" customHeight="1" x14ac:dyDescent="0.3">
      <c r="A435" s="125"/>
      <c r="B435" s="93"/>
      <c r="C435" s="89"/>
      <c r="D435" s="89"/>
      <c r="E435" s="112"/>
      <c r="F435" s="91"/>
      <c r="G435" s="92"/>
      <c r="H435" s="93"/>
      <c r="I435" s="92"/>
      <c r="J435" s="126"/>
      <c r="K435" s="89"/>
      <c r="L435" s="89"/>
      <c r="M435" s="89"/>
      <c r="N435" s="89"/>
      <c r="O435" s="91"/>
      <c r="P435" s="95"/>
      <c r="Q435" s="144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89"/>
      <c r="AG435" s="89"/>
      <c r="AH435" s="99"/>
      <c r="AI435" s="99"/>
      <c r="AJ435" s="127"/>
      <c r="AK435" s="100"/>
      <c r="AL435" s="100"/>
      <c r="AM435" s="128"/>
    </row>
    <row r="436" spans="1:39" ht="12" customHeight="1" x14ac:dyDescent="0.3">
      <c r="A436" s="125"/>
      <c r="B436" s="93"/>
      <c r="C436" s="89"/>
      <c r="D436" s="89"/>
      <c r="E436" s="112"/>
      <c r="F436" s="91"/>
      <c r="G436" s="92"/>
      <c r="H436" s="93"/>
      <c r="I436" s="92"/>
      <c r="J436" s="126"/>
      <c r="K436" s="89"/>
      <c r="L436" s="89"/>
      <c r="M436" s="89"/>
      <c r="N436" s="89"/>
      <c r="O436" s="91"/>
      <c r="P436" s="95"/>
      <c r="Q436" s="144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89"/>
      <c r="AG436" s="89"/>
      <c r="AH436" s="99"/>
      <c r="AI436" s="99"/>
      <c r="AJ436" s="127"/>
      <c r="AK436" s="100"/>
      <c r="AL436" s="100"/>
      <c r="AM436" s="128"/>
    </row>
    <row r="437" spans="1:39" ht="12" customHeight="1" x14ac:dyDescent="0.3">
      <c r="A437" s="125"/>
      <c r="B437" s="93"/>
      <c r="C437" s="89"/>
      <c r="D437" s="89"/>
      <c r="E437" s="112"/>
      <c r="F437" s="91"/>
      <c r="G437" s="92"/>
      <c r="H437" s="93"/>
      <c r="I437" s="92"/>
      <c r="J437" s="126"/>
      <c r="K437" s="89"/>
      <c r="L437" s="89"/>
      <c r="M437" s="89"/>
      <c r="N437" s="89"/>
      <c r="O437" s="91"/>
      <c r="P437" s="95"/>
      <c r="Q437" s="144"/>
      <c r="R437" s="96"/>
      <c r="S437" s="97"/>
      <c r="T437" s="97"/>
      <c r="U437" s="97"/>
      <c r="V437" s="88"/>
      <c r="W437" s="93"/>
      <c r="X437" s="123"/>
      <c r="Y437" s="98"/>
      <c r="Z437" s="89"/>
      <c r="AA437" s="97"/>
      <c r="AB437" s="89"/>
      <c r="AC437" s="120"/>
      <c r="AD437" s="89"/>
      <c r="AE437" s="89"/>
      <c r="AF437" s="89"/>
      <c r="AG437" s="89"/>
      <c r="AH437" s="99"/>
      <c r="AI437" s="99"/>
      <c r="AJ437" s="127"/>
      <c r="AK437" s="100"/>
      <c r="AL437" s="100"/>
      <c r="AM437" s="128"/>
    </row>
    <row r="438" spans="1:39" ht="12" customHeight="1" x14ac:dyDescent="0.3">
      <c r="A438" s="125"/>
      <c r="B438" s="93"/>
      <c r="C438" s="89"/>
      <c r="D438" s="89"/>
      <c r="E438" s="112"/>
      <c r="F438" s="91"/>
      <c r="G438" s="92"/>
      <c r="H438" s="93"/>
      <c r="I438" s="92"/>
      <c r="J438" s="126"/>
      <c r="K438" s="89"/>
      <c r="L438" s="89"/>
      <c r="M438" s="89"/>
      <c r="N438" s="89"/>
      <c r="O438" s="91"/>
      <c r="P438" s="95"/>
      <c r="Q438" s="144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89"/>
      <c r="AG438" s="89"/>
      <c r="AH438" s="99"/>
      <c r="AI438" s="99"/>
      <c r="AJ438" s="127"/>
      <c r="AK438" s="100"/>
      <c r="AL438" s="100"/>
      <c r="AM438" s="128"/>
    </row>
    <row r="439" spans="1:39" ht="12" customHeight="1" x14ac:dyDescent="0.3">
      <c r="A439" s="125"/>
      <c r="B439" s="93"/>
      <c r="C439" s="89"/>
      <c r="D439" s="89"/>
      <c r="E439" s="112"/>
      <c r="F439" s="91"/>
      <c r="G439" s="92"/>
      <c r="H439" s="93"/>
      <c r="I439" s="92"/>
      <c r="J439" s="126"/>
      <c r="K439" s="89"/>
      <c r="L439" s="89"/>
      <c r="M439" s="89"/>
      <c r="N439" s="89"/>
      <c r="O439" s="91"/>
      <c r="P439" s="95"/>
      <c r="Q439" s="144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89"/>
      <c r="AG439" s="89"/>
      <c r="AH439" s="99"/>
      <c r="AI439" s="99"/>
      <c r="AJ439" s="127"/>
      <c r="AK439" s="100"/>
      <c r="AL439" s="100"/>
      <c r="AM439" s="128"/>
    </row>
    <row r="440" spans="1:39" ht="12" customHeight="1" x14ac:dyDescent="0.3">
      <c r="A440" s="125"/>
      <c r="B440" s="93"/>
      <c r="C440" s="89"/>
      <c r="D440" s="89"/>
      <c r="E440" s="112"/>
      <c r="F440" s="91"/>
      <c r="G440" s="92"/>
      <c r="H440" s="93"/>
      <c r="I440" s="92"/>
      <c r="J440" s="126"/>
      <c r="K440" s="89"/>
      <c r="L440" s="89"/>
      <c r="M440" s="89"/>
      <c r="N440" s="89"/>
      <c r="O440" s="91"/>
      <c r="P440" s="95"/>
      <c r="Q440" s="144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89"/>
      <c r="AG440" s="89"/>
      <c r="AH440" s="99"/>
      <c r="AI440" s="99"/>
      <c r="AJ440" s="127"/>
      <c r="AK440" s="100"/>
      <c r="AL440" s="100"/>
      <c r="AM440" s="128"/>
    </row>
    <row r="441" spans="1:39" ht="12" customHeight="1" x14ac:dyDescent="0.3">
      <c r="A441" s="125"/>
      <c r="B441" s="93"/>
      <c r="C441" s="89"/>
      <c r="D441" s="89"/>
      <c r="E441" s="112"/>
      <c r="F441" s="91"/>
      <c r="G441" s="92"/>
      <c r="H441" s="93"/>
      <c r="I441" s="92"/>
      <c r="J441" s="126"/>
      <c r="K441" s="89"/>
      <c r="L441" s="89"/>
      <c r="M441" s="89"/>
      <c r="N441" s="89"/>
      <c r="O441" s="91"/>
      <c r="P441" s="95"/>
      <c r="Q441" s="144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89"/>
      <c r="AG441" s="89"/>
      <c r="AH441" s="99"/>
      <c r="AI441" s="99"/>
      <c r="AJ441" s="127"/>
      <c r="AK441" s="100"/>
      <c r="AL441" s="100"/>
      <c r="AM441" s="128"/>
    </row>
    <row r="442" spans="1:39" ht="12" customHeight="1" x14ac:dyDescent="0.3">
      <c r="A442" s="125"/>
      <c r="B442" s="93"/>
      <c r="C442" s="89"/>
      <c r="D442" s="89"/>
      <c r="E442" s="112"/>
      <c r="F442" s="91"/>
      <c r="G442" s="92"/>
      <c r="H442" s="93"/>
      <c r="I442" s="92"/>
      <c r="J442" s="126"/>
      <c r="K442" s="89"/>
      <c r="L442" s="89"/>
      <c r="M442" s="89"/>
      <c r="N442" s="89"/>
      <c r="O442" s="91"/>
      <c r="P442" s="95"/>
      <c r="Q442" s="144"/>
      <c r="R442" s="96"/>
      <c r="S442" s="97"/>
      <c r="T442" s="97"/>
      <c r="U442" s="97"/>
      <c r="V442" s="88"/>
      <c r="W442" s="93"/>
      <c r="X442" s="123"/>
      <c r="Y442" s="98"/>
      <c r="Z442" s="89"/>
      <c r="AA442" s="97"/>
      <c r="AB442" s="89"/>
      <c r="AC442" s="120"/>
      <c r="AD442" s="89"/>
      <c r="AE442" s="89"/>
      <c r="AF442" s="89"/>
      <c r="AG442" s="89"/>
      <c r="AH442" s="99"/>
      <c r="AI442" s="99"/>
      <c r="AJ442" s="127"/>
      <c r="AK442" s="100"/>
      <c r="AL442" s="100"/>
      <c r="AM442" s="128"/>
    </row>
    <row r="443" spans="1:39" ht="12" customHeight="1" x14ac:dyDescent="0.3">
      <c r="A443" s="125"/>
      <c r="B443" s="93"/>
      <c r="C443" s="89"/>
      <c r="D443" s="89"/>
      <c r="E443" s="112"/>
      <c r="F443" s="91"/>
      <c r="G443" s="92"/>
      <c r="H443" s="93"/>
      <c r="I443" s="92"/>
      <c r="J443" s="126"/>
      <c r="K443" s="89"/>
      <c r="L443" s="89"/>
      <c r="M443" s="89"/>
      <c r="N443" s="89"/>
      <c r="O443" s="91"/>
      <c r="P443" s="95"/>
      <c r="Q443" s="144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89"/>
      <c r="AG443" s="89"/>
      <c r="AH443" s="99"/>
      <c r="AI443" s="99"/>
      <c r="AJ443" s="127"/>
      <c r="AK443" s="100"/>
      <c r="AL443" s="100"/>
      <c r="AM443" s="128"/>
    </row>
    <row r="444" spans="1:39" ht="12" customHeight="1" x14ac:dyDescent="0.3">
      <c r="A444" s="125"/>
      <c r="B444" s="93"/>
      <c r="C444" s="89"/>
      <c r="D444" s="89"/>
      <c r="E444" s="112"/>
      <c r="F444" s="91"/>
      <c r="G444" s="92"/>
      <c r="H444" s="93"/>
      <c r="I444" s="92"/>
      <c r="J444" s="126"/>
      <c r="K444" s="89"/>
      <c r="L444" s="89"/>
      <c r="M444" s="89"/>
      <c r="N444" s="89"/>
      <c r="O444" s="91"/>
      <c r="P444" s="95"/>
      <c r="Q444" s="144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89"/>
      <c r="AG444" s="89"/>
      <c r="AH444" s="99"/>
      <c r="AI444" s="99"/>
      <c r="AJ444" s="127"/>
      <c r="AK444" s="100"/>
      <c r="AL444" s="100"/>
      <c r="AM444" s="128"/>
    </row>
    <row r="445" spans="1:39" ht="12" customHeight="1" x14ac:dyDescent="0.3">
      <c r="A445" s="125"/>
      <c r="B445" s="93"/>
      <c r="C445" s="89"/>
      <c r="D445" s="89"/>
      <c r="E445" s="112"/>
      <c r="F445" s="91"/>
      <c r="G445" s="92"/>
      <c r="H445" s="93"/>
      <c r="I445" s="92"/>
      <c r="J445" s="126"/>
      <c r="K445" s="89"/>
      <c r="L445" s="89"/>
      <c r="M445" s="89"/>
      <c r="N445" s="89"/>
      <c r="O445" s="91"/>
      <c r="P445" s="95"/>
      <c r="Q445" s="144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89"/>
      <c r="AG445" s="89"/>
      <c r="AH445" s="99"/>
      <c r="AI445" s="99"/>
      <c r="AJ445" s="127"/>
      <c r="AK445" s="100"/>
      <c r="AL445" s="100"/>
      <c r="AM445" s="128"/>
    </row>
    <row r="446" spans="1:39" ht="12" customHeight="1" x14ac:dyDescent="0.3">
      <c r="A446" s="125"/>
      <c r="B446" s="93"/>
      <c r="C446" s="89"/>
      <c r="D446" s="89"/>
      <c r="E446" s="112"/>
      <c r="F446" s="91"/>
      <c r="G446" s="92"/>
      <c r="H446" s="93"/>
      <c r="I446" s="92"/>
      <c r="J446" s="126"/>
      <c r="K446" s="89"/>
      <c r="L446" s="89"/>
      <c r="M446" s="89"/>
      <c r="N446" s="89"/>
      <c r="O446" s="91"/>
      <c r="P446" s="95"/>
      <c r="Q446" s="144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89"/>
      <c r="AG446" s="89"/>
      <c r="AH446" s="99"/>
      <c r="AI446" s="99"/>
      <c r="AJ446" s="127"/>
      <c r="AK446" s="100"/>
      <c r="AL446" s="100"/>
      <c r="AM446" s="128"/>
    </row>
    <row r="447" spans="1:39" ht="12" customHeight="1" x14ac:dyDescent="0.3">
      <c r="A447" s="125"/>
      <c r="B447" s="93"/>
      <c r="C447" s="89"/>
      <c r="D447" s="89"/>
      <c r="E447" s="112"/>
      <c r="F447" s="91"/>
      <c r="G447" s="92"/>
      <c r="H447" s="93"/>
      <c r="I447" s="92"/>
      <c r="J447" s="126"/>
      <c r="K447" s="89"/>
      <c r="L447" s="89"/>
      <c r="M447" s="89"/>
      <c r="N447" s="89"/>
      <c r="O447" s="91"/>
      <c r="P447" s="95"/>
      <c r="Q447" s="144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89"/>
      <c r="AG447" s="89"/>
      <c r="AH447" s="99"/>
      <c r="AI447" s="99"/>
      <c r="AJ447" s="127"/>
      <c r="AK447" s="100"/>
      <c r="AL447" s="100"/>
      <c r="AM447" s="128"/>
    </row>
    <row r="448" spans="1:39" ht="12" customHeight="1" x14ac:dyDescent="0.3">
      <c r="A448" s="125"/>
      <c r="B448" s="93"/>
      <c r="C448" s="89"/>
      <c r="D448" s="89"/>
      <c r="E448" s="112"/>
      <c r="F448" s="91"/>
      <c r="G448" s="92"/>
      <c r="H448" s="93"/>
      <c r="I448" s="92"/>
      <c r="J448" s="126"/>
      <c r="K448" s="89"/>
      <c r="L448" s="89"/>
      <c r="M448" s="89"/>
      <c r="N448" s="89"/>
      <c r="O448" s="91"/>
      <c r="P448" s="95"/>
      <c r="Q448" s="144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89"/>
      <c r="AG448" s="89"/>
      <c r="AH448" s="99"/>
      <c r="AI448" s="99"/>
      <c r="AJ448" s="127"/>
      <c r="AK448" s="100"/>
      <c r="AL448" s="100"/>
      <c r="AM448" s="128"/>
    </row>
    <row r="449" spans="1:39" ht="12" customHeight="1" x14ac:dyDescent="0.3">
      <c r="A449" s="125"/>
      <c r="B449" s="93"/>
      <c r="C449" s="89"/>
      <c r="D449" s="89"/>
      <c r="E449" s="112"/>
      <c r="F449" s="91"/>
      <c r="G449" s="92"/>
      <c r="H449" s="93"/>
      <c r="I449" s="92"/>
      <c r="J449" s="126"/>
      <c r="K449" s="89"/>
      <c r="L449" s="89"/>
      <c r="M449" s="89"/>
      <c r="N449" s="89"/>
      <c r="O449" s="91"/>
      <c r="P449" s="95"/>
      <c r="Q449" s="144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89"/>
      <c r="AG449" s="89"/>
      <c r="AH449" s="99"/>
      <c r="AI449" s="99"/>
      <c r="AJ449" s="127"/>
      <c r="AK449" s="100"/>
      <c r="AL449" s="100"/>
      <c r="AM449" s="128"/>
    </row>
    <row r="450" spans="1:39" ht="12" customHeight="1" x14ac:dyDescent="0.3">
      <c r="A450" s="125"/>
      <c r="B450" s="93"/>
      <c r="C450" s="89"/>
      <c r="D450" s="89"/>
      <c r="E450" s="112"/>
      <c r="F450" s="91"/>
      <c r="G450" s="92"/>
      <c r="H450" s="93"/>
      <c r="I450" s="92"/>
      <c r="J450" s="126"/>
      <c r="K450" s="89"/>
      <c r="L450" s="89"/>
      <c r="M450" s="89"/>
      <c r="N450" s="89"/>
      <c r="O450" s="91"/>
      <c r="P450" s="95"/>
      <c r="Q450" s="144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89"/>
      <c r="AG450" s="89"/>
      <c r="AH450" s="99"/>
      <c r="AI450" s="99"/>
      <c r="AJ450" s="127"/>
      <c r="AK450" s="100"/>
      <c r="AL450" s="100"/>
      <c r="AM450" s="128"/>
    </row>
    <row r="451" spans="1:39" ht="12" customHeight="1" x14ac:dyDescent="0.3">
      <c r="A451" s="125"/>
      <c r="B451" s="93"/>
      <c r="C451" s="89"/>
      <c r="D451" s="89"/>
      <c r="E451" s="112"/>
      <c r="F451" s="91"/>
      <c r="G451" s="92"/>
      <c r="H451" s="93"/>
      <c r="I451" s="92"/>
      <c r="J451" s="126"/>
      <c r="K451" s="89"/>
      <c r="L451" s="89"/>
      <c r="M451" s="89"/>
      <c r="N451" s="89"/>
      <c r="O451" s="91"/>
      <c r="P451" s="95"/>
      <c r="Q451" s="144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89"/>
      <c r="AG451" s="89"/>
      <c r="AH451" s="99"/>
      <c r="AI451" s="99"/>
      <c r="AJ451" s="127"/>
      <c r="AK451" s="100"/>
      <c r="AL451" s="100"/>
      <c r="AM451" s="128"/>
    </row>
    <row r="452" spans="1:39" ht="12" customHeight="1" x14ac:dyDescent="0.3">
      <c r="A452" s="125"/>
      <c r="B452" s="93"/>
      <c r="C452" s="89"/>
      <c r="D452" s="89"/>
      <c r="E452" s="112"/>
      <c r="F452" s="91"/>
      <c r="G452" s="92"/>
      <c r="H452" s="93"/>
      <c r="I452" s="92"/>
      <c r="J452" s="126"/>
      <c r="K452" s="89"/>
      <c r="L452" s="89"/>
      <c r="M452" s="89"/>
      <c r="N452" s="89"/>
      <c r="O452" s="91"/>
      <c r="P452" s="95"/>
      <c r="Q452" s="144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89"/>
      <c r="AG452" s="89"/>
      <c r="AH452" s="99"/>
      <c r="AI452" s="99"/>
      <c r="AJ452" s="127"/>
      <c r="AK452" s="100"/>
      <c r="AL452" s="100"/>
      <c r="AM452" s="128"/>
    </row>
    <row r="453" spans="1:39" ht="12" customHeight="1" x14ac:dyDescent="0.3">
      <c r="A453" s="125"/>
      <c r="B453" s="93"/>
      <c r="C453" s="89"/>
      <c r="D453" s="89"/>
      <c r="E453" s="112"/>
      <c r="F453" s="91"/>
      <c r="G453" s="92"/>
      <c r="H453" s="93"/>
      <c r="I453" s="92"/>
      <c r="J453" s="126"/>
      <c r="K453" s="89"/>
      <c r="L453" s="89"/>
      <c r="M453" s="89"/>
      <c r="N453" s="89"/>
      <c r="O453" s="91"/>
      <c r="P453" s="95"/>
      <c r="Q453" s="144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89"/>
      <c r="AG453" s="89"/>
      <c r="AH453" s="99"/>
      <c r="AI453" s="99"/>
      <c r="AJ453" s="127"/>
      <c r="AK453" s="100"/>
      <c r="AL453" s="100"/>
      <c r="AM453" s="128"/>
    </row>
    <row r="454" spans="1:39" ht="12" customHeight="1" x14ac:dyDescent="0.3">
      <c r="A454" s="125"/>
      <c r="B454" s="93"/>
      <c r="C454" s="89"/>
      <c r="D454" s="89"/>
      <c r="E454" s="112"/>
      <c r="F454" s="91"/>
      <c r="G454" s="92"/>
      <c r="H454" s="93"/>
      <c r="I454" s="92"/>
      <c r="J454" s="126"/>
      <c r="K454" s="89"/>
      <c r="L454" s="89"/>
      <c r="M454" s="89"/>
      <c r="N454" s="89"/>
      <c r="O454" s="91"/>
      <c r="P454" s="95"/>
      <c r="Q454" s="144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89"/>
      <c r="AG454" s="89"/>
      <c r="AH454" s="99"/>
      <c r="AI454" s="99"/>
      <c r="AJ454" s="127"/>
      <c r="AK454" s="100"/>
      <c r="AL454" s="100"/>
      <c r="AM454" s="128"/>
    </row>
    <row r="455" spans="1:39" ht="12" customHeight="1" x14ac:dyDescent="0.3">
      <c r="A455" s="125"/>
      <c r="B455" s="93"/>
      <c r="C455" s="89"/>
      <c r="D455" s="89"/>
      <c r="E455" s="112"/>
      <c r="F455" s="91"/>
      <c r="G455" s="92"/>
      <c r="H455" s="93"/>
      <c r="I455" s="92"/>
      <c r="J455" s="126"/>
      <c r="K455" s="89"/>
      <c r="L455" s="89"/>
      <c r="M455" s="89"/>
      <c r="N455" s="89"/>
      <c r="O455" s="91"/>
      <c r="P455" s="95"/>
      <c r="Q455" s="144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89"/>
      <c r="AG455" s="89"/>
      <c r="AH455" s="99"/>
      <c r="AI455" s="99"/>
      <c r="AJ455" s="127"/>
      <c r="AK455" s="100"/>
      <c r="AL455" s="100"/>
      <c r="AM455" s="128"/>
    </row>
    <row r="456" spans="1:39" ht="12" customHeight="1" x14ac:dyDescent="0.3">
      <c r="A456" s="125"/>
      <c r="B456" s="93"/>
      <c r="C456" s="89"/>
      <c r="D456" s="89"/>
      <c r="E456" s="112"/>
      <c r="F456" s="91"/>
      <c r="G456" s="92"/>
      <c r="H456" s="93"/>
      <c r="I456" s="92"/>
      <c r="J456" s="126"/>
      <c r="K456" s="89"/>
      <c r="L456" s="89"/>
      <c r="M456" s="89"/>
      <c r="N456" s="89"/>
      <c r="O456" s="91"/>
      <c r="P456" s="95"/>
      <c r="Q456" s="144"/>
      <c r="R456" s="96"/>
      <c r="S456" s="97"/>
      <c r="T456" s="97"/>
      <c r="U456" s="97"/>
      <c r="V456" s="88"/>
      <c r="W456" s="93"/>
      <c r="X456" s="123"/>
      <c r="Y456" s="98"/>
      <c r="Z456" s="89"/>
      <c r="AA456" s="97"/>
      <c r="AB456" s="89"/>
      <c r="AC456" s="120"/>
      <c r="AD456" s="89"/>
      <c r="AE456" s="89"/>
      <c r="AF456" s="89"/>
      <c r="AG456" s="89"/>
      <c r="AH456" s="99"/>
      <c r="AI456" s="99"/>
      <c r="AJ456" s="127"/>
      <c r="AK456" s="100"/>
      <c r="AL456" s="100"/>
      <c r="AM456" s="128"/>
    </row>
    <row r="457" spans="1:39" ht="12" customHeight="1" x14ac:dyDescent="0.3">
      <c r="A457" s="125"/>
      <c r="B457" s="93"/>
      <c r="C457" s="89"/>
      <c r="D457" s="89"/>
      <c r="E457" s="112"/>
      <c r="F457" s="91"/>
      <c r="G457" s="92"/>
      <c r="H457" s="93"/>
      <c r="I457" s="92"/>
      <c r="J457" s="126"/>
      <c r="K457" s="89"/>
      <c r="L457" s="89"/>
      <c r="M457" s="89"/>
      <c r="N457" s="89"/>
      <c r="O457" s="91"/>
      <c r="P457" s="95"/>
      <c r="Q457" s="144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89"/>
      <c r="AG457" s="89"/>
      <c r="AH457" s="99"/>
      <c r="AI457" s="99"/>
      <c r="AJ457" s="127"/>
      <c r="AK457" s="100"/>
      <c r="AL457" s="100"/>
      <c r="AM457" s="128"/>
    </row>
    <row r="458" spans="1:39" ht="12" customHeight="1" x14ac:dyDescent="0.3">
      <c r="A458" s="125"/>
      <c r="B458" s="93"/>
      <c r="C458" s="89"/>
      <c r="D458" s="89"/>
      <c r="E458" s="112"/>
      <c r="F458" s="91"/>
      <c r="G458" s="92"/>
      <c r="H458" s="93"/>
      <c r="I458" s="92"/>
      <c r="J458" s="126"/>
      <c r="K458" s="89"/>
      <c r="L458" s="89"/>
      <c r="M458" s="89"/>
      <c r="N458" s="89"/>
      <c r="O458" s="91"/>
      <c r="P458" s="95"/>
      <c r="Q458" s="144"/>
      <c r="R458" s="96"/>
      <c r="S458" s="97"/>
      <c r="T458" s="97"/>
      <c r="U458" s="97"/>
      <c r="V458" s="88"/>
      <c r="W458" s="93"/>
      <c r="X458" s="93"/>
      <c r="Y458" s="98"/>
      <c r="Z458" s="89"/>
      <c r="AA458" s="97"/>
      <c r="AB458" s="89"/>
      <c r="AC458" s="120"/>
      <c r="AD458" s="89"/>
      <c r="AE458" s="89"/>
      <c r="AF458" s="89"/>
      <c r="AG458" s="89"/>
      <c r="AH458" s="99"/>
      <c r="AI458" s="99"/>
      <c r="AJ458" s="127"/>
      <c r="AK458" s="100"/>
      <c r="AL458" s="100"/>
      <c r="AM458" s="128"/>
    </row>
    <row r="459" spans="1:39" ht="12" customHeight="1" x14ac:dyDescent="0.3">
      <c r="A459" s="125"/>
      <c r="B459" s="93"/>
      <c r="C459" s="89"/>
      <c r="D459" s="89"/>
      <c r="E459" s="112"/>
      <c r="F459" s="91"/>
      <c r="G459" s="92"/>
      <c r="H459" s="93"/>
      <c r="I459" s="92"/>
      <c r="J459" s="126"/>
      <c r="K459" s="89"/>
      <c r="L459" s="89"/>
      <c r="M459" s="89"/>
      <c r="N459" s="89"/>
      <c r="O459" s="91"/>
      <c r="P459" s="95"/>
      <c r="Q459" s="144"/>
      <c r="R459" s="96"/>
      <c r="S459" s="97"/>
      <c r="T459" s="97"/>
      <c r="U459" s="97"/>
      <c r="V459" s="93"/>
      <c r="W459" s="93"/>
      <c r="X459" s="93"/>
      <c r="Y459" s="98"/>
      <c r="Z459" s="89"/>
      <c r="AA459" s="97"/>
      <c r="AB459" s="89"/>
      <c r="AC459" s="120"/>
      <c r="AD459" s="89"/>
      <c r="AE459" s="89"/>
      <c r="AF459" s="89"/>
      <c r="AG459" s="89"/>
      <c r="AH459" s="95"/>
      <c r="AI459" s="99"/>
      <c r="AJ459" s="95"/>
      <c r="AK459" s="100"/>
      <c r="AL459" s="100"/>
      <c r="AM459" s="128"/>
    </row>
    <row r="460" spans="1:39" ht="12" customHeight="1" x14ac:dyDescent="0.3">
      <c r="A460" s="125"/>
      <c r="B460" s="93"/>
      <c r="C460" s="89"/>
      <c r="D460" s="89"/>
      <c r="E460" s="112"/>
      <c r="F460" s="91"/>
      <c r="G460" s="92"/>
      <c r="H460" s="93"/>
      <c r="I460" s="92"/>
      <c r="J460" s="126"/>
      <c r="K460" s="89"/>
      <c r="L460" s="89"/>
      <c r="M460" s="89"/>
      <c r="N460" s="89"/>
      <c r="O460" s="91"/>
      <c r="P460" s="95"/>
      <c r="Q460" s="144"/>
      <c r="R460" s="96"/>
      <c r="S460" s="97"/>
      <c r="T460" s="97"/>
      <c r="U460" s="97"/>
      <c r="V460" s="93"/>
      <c r="W460" s="93"/>
      <c r="X460" s="93"/>
      <c r="Y460" s="98"/>
      <c r="Z460" s="89"/>
      <c r="AA460" s="97"/>
      <c r="AB460" s="89"/>
      <c r="AC460" s="120"/>
      <c r="AD460" s="89"/>
      <c r="AE460" s="89"/>
      <c r="AF460" s="89"/>
      <c r="AG460" s="89"/>
      <c r="AH460" s="95"/>
      <c r="AI460" s="99"/>
      <c r="AJ460" s="95"/>
      <c r="AK460" s="100"/>
      <c r="AL460" s="100"/>
      <c r="AM460" s="128"/>
    </row>
    <row r="461" spans="1:39" ht="12" customHeight="1" x14ac:dyDescent="0.3">
      <c r="A461" s="125"/>
      <c r="B461" s="93"/>
      <c r="C461" s="89"/>
      <c r="D461" s="89"/>
      <c r="E461" s="112"/>
      <c r="F461" s="91"/>
      <c r="G461" s="92"/>
      <c r="H461" s="93"/>
      <c r="I461" s="92"/>
      <c r="J461" s="126"/>
      <c r="K461" s="89"/>
      <c r="L461" s="89"/>
      <c r="M461" s="89"/>
      <c r="N461" s="89"/>
      <c r="O461" s="91"/>
      <c r="P461" s="95"/>
      <c r="Q461" s="144"/>
      <c r="R461" s="96"/>
      <c r="S461" s="97"/>
      <c r="T461" s="97"/>
      <c r="U461" s="97"/>
      <c r="V461" s="93"/>
      <c r="W461" s="123"/>
      <c r="X461" s="123"/>
      <c r="Y461" s="98"/>
      <c r="Z461" s="89"/>
      <c r="AA461" s="97"/>
      <c r="AB461" s="89"/>
      <c r="AC461" s="120"/>
      <c r="AD461" s="89"/>
      <c r="AE461" s="89"/>
      <c r="AF461" s="89"/>
      <c r="AG461" s="89"/>
      <c r="AH461" s="95"/>
      <c r="AI461" s="99"/>
      <c r="AJ461" s="95"/>
      <c r="AK461" s="100"/>
      <c r="AL461" s="100"/>
      <c r="AM461" s="128"/>
    </row>
    <row r="462" spans="1:39" ht="12" customHeight="1" x14ac:dyDescent="0.3">
      <c r="A462" s="125"/>
      <c r="B462" s="93"/>
      <c r="C462" s="89"/>
      <c r="D462" s="89"/>
      <c r="E462" s="112"/>
      <c r="F462" s="91"/>
      <c r="G462" s="92"/>
      <c r="H462" s="93"/>
      <c r="I462" s="92"/>
      <c r="J462" s="126"/>
      <c r="K462" s="89"/>
      <c r="L462" s="89"/>
      <c r="M462" s="89"/>
      <c r="N462" s="89"/>
      <c r="O462" s="91"/>
      <c r="P462" s="95"/>
      <c r="Q462" s="144"/>
      <c r="R462" s="96"/>
      <c r="S462" s="97"/>
      <c r="T462" s="97"/>
      <c r="U462" s="97"/>
      <c r="V462" s="93"/>
      <c r="W462" s="123"/>
      <c r="X462" s="123"/>
      <c r="Y462" s="98"/>
      <c r="Z462" s="89"/>
      <c r="AA462" s="97"/>
      <c r="AB462" s="89"/>
      <c r="AC462" s="120"/>
      <c r="AD462" s="89"/>
      <c r="AE462" s="89"/>
      <c r="AF462" s="89"/>
      <c r="AG462" s="89"/>
      <c r="AH462" s="95"/>
      <c r="AI462" s="95"/>
      <c r="AJ462" s="95"/>
      <c r="AK462" s="100"/>
      <c r="AL462" s="100"/>
      <c r="AM462" s="128"/>
    </row>
    <row r="463" spans="1:39" ht="12" customHeight="1" x14ac:dyDescent="0.3">
      <c r="A463" s="125"/>
      <c r="B463" s="93"/>
      <c r="C463" s="89"/>
      <c r="D463" s="89"/>
      <c r="E463" s="112"/>
      <c r="F463" s="91"/>
      <c r="G463" s="92"/>
      <c r="H463" s="93"/>
      <c r="I463" s="92"/>
      <c r="J463" s="126"/>
      <c r="K463" s="89"/>
      <c r="L463" s="89"/>
      <c r="M463" s="89"/>
      <c r="N463" s="89"/>
      <c r="O463" s="91"/>
      <c r="P463" s="95"/>
      <c r="Q463" s="144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89"/>
      <c r="AG463" s="89"/>
      <c r="AH463" s="95"/>
      <c r="AI463" s="99"/>
      <c r="AJ463" s="95"/>
      <c r="AK463" s="100"/>
      <c r="AL463" s="100"/>
      <c r="AM463" s="128"/>
    </row>
    <row r="464" spans="1:39" ht="12" customHeight="1" x14ac:dyDescent="0.3">
      <c r="A464" s="125"/>
      <c r="B464" s="93"/>
      <c r="C464" s="89"/>
      <c r="D464" s="89"/>
      <c r="E464" s="112"/>
      <c r="F464" s="91"/>
      <c r="G464" s="92"/>
      <c r="H464" s="93"/>
      <c r="I464" s="92"/>
      <c r="J464" s="126"/>
      <c r="K464" s="89"/>
      <c r="L464" s="89"/>
      <c r="M464" s="89"/>
      <c r="N464" s="89"/>
      <c r="O464" s="91"/>
      <c r="P464" s="95"/>
      <c r="Q464" s="144"/>
      <c r="R464" s="96"/>
      <c r="S464" s="97"/>
      <c r="T464" s="97"/>
      <c r="U464" s="97"/>
      <c r="V464" s="93"/>
      <c r="W464" s="93"/>
      <c r="X464" s="93"/>
      <c r="Y464" s="98"/>
      <c r="Z464" s="89"/>
      <c r="AA464" s="97"/>
      <c r="AB464" s="89"/>
      <c r="AC464" s="120"/>
      <c r="AD464" s="89"/>
      <c r="AE464" s="89"/>
      <c r="AF464" s="89"/>
      <c r="AG464" s="89"/>
      <c r="AH464" s="95"/>
      <c r="AI464" s="95"/>
      <c r="AJ464" s="127"/>
      <c r="AK464" s="100"/>
      <c r="AL464" s="100"/>
      <c r="AM464" s="128"/>
    </row>
    <row r="465" spans="1:39" ht="12" customHeight="1" x14ac:dyDescent="0.3">
      <c r="A465" s="125"/>
      <c r="B465" s="93"/>
      <c r="C465" s="89"/>
      <c r="D465" s="89"/>
      <c r="E465" s="112"/>
      <c r="F465" s="91"/>
      <c r="G465" s="92"/>
      <c r="H465" s="93"/>
      <c r="I465" s="92"/>
      <c r="J465" s="126"/>
      <c r="K465" s="89"/>
      <c r="L465" s="89"/>
      <c r="M465" s="89"/>
      <c r="N465" s="89"/>
      <c r="O465" s="91"/>
      <c r="P465" s="95"/>
      <c r="Q465" s="144"/>
      <c r="R465" s="96"/>
      <c r="S465" s="97"/>
      <c r="T465" s="97"/>
      <c r="U465" s="97"/>
      <c r="V465" s="93"/>
      <c r="W465" s="93"/>
      <c r="X465" s="93"/>
      <c r="Y465" s="98"/>
      <c r="Z465" s="89"/>
      <c r="AA465" s="97"/>
      <c r="AB465" s="89"/>
      <c r="AC465" s="120"/>
      <c r="AD465" s="89"/>
      <c r="AE465" s="89"/>
      <c r="AF465" s="89"/>
      <c r="AG465" s="89"/>
      <c r="AH465" s="95"/>
      <c r="AI465" s="99"/>
      <c r="AJ465" s="95"/>
      <c r="AK465" s="100"/>
      <c r="AL465" s="100"/>
      <c r="AM465" s="128"/>
    </row>
    <row r="466" spans="1:39" ht="12" customHeight="1" x14ac:dyDescent="0.3">
      <c r="A466" s="125"/>
      <c r="B466" s="93"/>
      <c r="C466" s="89"/>
      <c r="D466" s="89"/>
      <c r="E466" s="112"/>
      <c r="F466" s="91"/>
      <c r="G466" s="92"/>
      <c r="H466" s="93"/>
      <c r="I466" s="92"/>
      <c r="J466" s="126"/>
      <c r="K466" s="89"/>
      <c r="L466" s="89"/>
      <c r="M466" s="89"/>
      <c r="N466" s="89"/>
      <c r="O466" s="91"/>
      <c r="P466" s="95"/>
      <c r="Q466" s="144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89"/>
      <c r="AG466" s="89"/>
      <c r="AH466" s="95"/>
      <c r="AI466" s="99"/>
      <c r="AJ466" s="95"/>
      <c r="AK466" s="100"/>
      <c r="AL466" s="100"/>
      <c r="AM466" s="128"/>
    </row>
    <row r="467" spans="1:39" ht="12" customHeight="1" x14ac:dyDescent="0.3">
      <c r="A467" s="125"/>
      <c r="B467" s="93"/>
      <c r="C467" s="89"/>
      <c r="D467" s="89"/>
      <c r="E467" s="112"/>
      <c r="F467" s="91"/>
      <c r="G467" s="92"/>
      <c r="H467" s="93"/>
      <c r="I467" s="92"/>
      <c r="J467" s="126"/>
      <c r="K467" s="89"/>
      <c r="L467" s="89"/>
      <c r="M467" s="89"/>
      <c r="N467" s="89"/>
      <c r="O467" s="91"/>
      <c r="P467" s="95"/>
      <c r="Q467" s="144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89"/>
      <c r="AG467" s="89"/>
      <c r="AH467" s="95"/>
      <c r="AI467" s="95"/>
      <c r="AJ467" s="127"/>
      <c r="AK467" s="100"/>
      <c r="AL467" s="100"/>
      <c r="AM467" s="128"/>
    </row>
    <row r="468" spans="1:39" ht="12" customHeight="1" x14ac:dyDescent="0.3">
      <c r="A468" s="125"/>
      <c r="B468" s="93"/>
      <c r="C468" s="89"/>
      <c r="D468" s="89"/>
      <c r="E468" s="112"/>
      <c r="F468" s="91"/>
      <c r="G468" s="92"/>
      <c r="H468" s="93"/>
      <c r="I468" s="92"/>
      <c r="J468" s="126"/>
      <c r="K468" s="89"/>
      <c r="L468" s="89"/>
      <c r="M468" s="89"/>
      <c r="N468" s="89"/>
      <c r="O468" s="91"/>
      <c r="P468" s="95"/>
      <c r="Q468" s="144"/>
      <c r="R468" s="96"/>
      <c r="S468" s="97"/>
      <c r="T468" s="97"/>
      <c r="U468" s="97"/>
      <c r="V468" s="93"/>
      <c r="W468" s="123"/>
      <c r="X468" s="89"/>
      <c r="Y468" s="98"/>
      <c r="Z468" s="89"/>
      <c r="AA468" s="97"/>
      <c r="AB468" s="89"/>
      <c r="AC468" s="120"/>
      <c r="AD468" s="89"/>
      <c r="AE468" s="89"/>
      <c r="AF468" s="89"/>
      <c r="AG468" s="89"/>
      <c r="AH468" s="95"/>
      <c r="AI468" s="95"/>
      <c r="AJ468" s="95"/>
      <c r="AK468" s="100"/>
      <c r="AL468" s="100"/>
      <c r="AM468" s="128"/>
    </row>
    <row r="469" spans="1:39" ht="12" customHeight="1" x14ac:dyDescent="0.3">
      <c r="A469" s="125"/>
      <c r="B469" s="93"/>
      <c r="C469" s="89"/>
      <c r="D469" s="89"/>
      <c r="E469" s="112"/>
      <c r="F469" s="91"/>
      <c r="G469" s="92"/>
      <c r="H469" s="93"/>
      <c r="I469" s="92"/>
      <c r="J469" s="126"/>
      <c r="K469" s="89"/>
      <c r="L469" s="89"/>
      <c r="M469" s="89"/>
      <c r="N469" s="89"/>
      <c r="O469" s="91"/>
      <c r="P469" s="95"/>
      <c r="Q469" s="144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89"/>
      <c r="AG469" s="89"/>
      <c r="AH469" s="95"/>
      <c r="AI469" s="95"/>
      <c r="AJ469" s="95"/>
      <c r="AK469" s="100"/>
      <c r="AL469" s="100"/>
      <c r="AM469" s="128"/>
    </row>
    <row r="470" spans="1:39" ht="12" customHeight="1" x14ac:dyDescent="0.3">
      <c r="A470" s="125"/>
      <c r="B470" s="93"/>
      <c r="C470" s="89"/>
      <c r="D470" s="89"/>
      <c r="E470" s="112"/>
      <c r="F470" s="91"/>
      <c r="G470" s="92"/>
      <c r="H470" s="93"/>
      <c r="I470" s="92"/>
      <c r="J470" s="126"/>
      <c r="K470" s="89"/>
      <c r="L470" s="89"/>
      <c r="M470" s="89"/>
      <c r="N470" s="89"/>
      <c r="O470" s="91"/>
      <c r="P470" s="95"/>
      <c r="Q470" s="144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89"/>
      <c r="AG470" s="89"/>
      <c r="AH470" s="95"/>
      <c r="AI470" s="95"/>
      <c r="AJ470" s="95"/>
      <c r="AK470" s="100"/>
      <c r="AL470" s="100"/>
      <c r="AM470" s="128"/>
    </row>
    <row r="471" spans="1:39" ht="12" customHeight="1" x14ac:dyDescent="0.3">
      <c r="A471" s="125"/>
      <c r="B471" s="93"/>
      <c r="C471" s="89"/>
      <c r="D471" s="89"/>
      <c r="E471" s="112"/>
      <c r="F471" s="91"/>
      <c r="G471" s="92"/>
      <c r="H471" s="93"/>
      <c r="I471" s="92"/>
      <c r="J471" s="126"/>
      <c r="K471" s="89"/>
      <c r="L471" s="89"/>
      <c r="M471" s="89"/>
      <c r="N471" s="89"/>
      <c r="O471" s="91"/>
      <c r="P471" s="95"/>
      <c r="Q471" s="144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89"/>
      <c r="AG471" s="89"/>
      <c r="AH471" s="95"/>
      <c r="AI471" s="95"/>
      <c r="AJ471" s="95"/>
      <c r="AK471" s="100"/>
      <c r="AL471" s="100"/>
      <c r="AM471" s="128"/>
    </row>
    <row r="472" spans="1:39" ht="12" customHeight="1" x14ac:dyDescent="0.3">
      <c r="A472" s="125"/>
      <c r="B472" s="93"/>
      <c r="C472" s="89"/>
      <c r="D472" s="89"/>
      <c r="E472" s="112"/>
      <c r="F472" s="91"/>
      <c r="G472" s="92"/>
      <c r="H472" s="93"/>
      <c r="I472" s="92"/>
      <c r="J472" s="126"/>
      <c r="K472" s="89"/>
      <c r="L472" s="89"/>
      <c r="M472" s="89"/>
      <c r="N472" s="89"/>
      <c r="O472" s="91"/>
      <c r="P472" s="95"/>
      <c r="Q472" s="144"/>
      <c r="R472" s="96"/>
      <c r="S472" s="97"/>
      <c r="T472" s="97"/>
      <c r="U472" s="97"/>
      <c r="V472" s="93"/>
      <c r="W472" s="93"/>
      <c r="X472" s="93"/>
      <c r="Y472" s="98"/>
      <c r="Z472" s="89"/>
      <c r="AA472" s="97"/>
      <c r="AB472" s="89"/>
      <c r="AC472" s="120"/>
      <c r="AD472" s="89"/>
      <c r="AE472" s="89"/>
      <c r="AF472" s="89"/>
      <c r="AG472" s="89"/>
      <c r="AH472" s="95"/>
      <c r="AI472" s="99"/>
      <c r="AJ472" s="95"/>
      <c r="AK472" s="100"/>
      <c r="AL472" s="100"/>
      <c r="AM472" s="128"/>
    </row>
    <row r="473" spans="1:39" ht="12" customHeight="1" x14ac:dyDescent="0.3">
      <c r="A473" s="125"/>
      <c r="B473" s="93"/>
      <c r="C473" s="89"/>
      <c r="D473" s="89"/>
      <c r="E473" s="112"/>
      <c r="F473" s="91"/>
      <c r="G473" s="92"/>
      <c r="H473" s="93"/>
      <c r="I473" s="92"/>
      <c r="J473" s="126"/>
      <c r="K473" s="89"/>
      <c r="L473" s="89"/>
      <c r="M473" s="89"/>
      <c r="N473" s="89"/>
      <c r="O473" s="91"/>
      <c r="P473" s="95"/>
      <c r="Q473" s="144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89"/>
      <c r="AG473" s="89"/>
      <c r="AH473" s="95"/>
      <c r="AI473" s="95"/>
      <c r="AJ473" s="95"/>
      <c r="AK473" s="100"/>
      <c r="AL473" s="100"/>
      <c r="AM473" s="128"/>
    </row>
    <row r="474" spans="1:39" ht="12" customHeight="1" x14ac:dyDescent="0.3">
      <c r="A474" s="125"/>
      <c r="B474" s="93"/>
      <c r="C474" s="89"/>
      <c r="D474" s="89"/>
      <c r="E474" s="112"/>
      <c r="F474" s="91"/>
      <c r="G474" s="92"/>
      <c r="H474" s="93"/>
      <c r="I474" s="92"/>
      <c r="J474" s="126"/>
      <c r="K474" s="89"/>
      <c r="L474" s="89"/>
      <c r="M474" s="89"/>
      <c r="N474" s="89"/>
      <c r="O474" s="91"/>
      <c r="P474" s="95"/>
      <c r="Q474" s="144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89"/>
      <c r="AG474" s="89"/>
      <c r="AH474" s="95"/>
      <c r="AI474" s="99"/>
      <c r="AJ474" s="95"/>
      <c r="AK474" s="100"/>
      <c r="AL474" s="100"/>
      <c r="AM474" s="128"/>
    </row>
    <row r="475" spans="1:39" ht="12" customHeight="1" x14ac:dyDescent="0.3">
      <c r="A475" s="125"/>
      <c r="B475" s="93"/>
      <c r="C475" s="89"/>
      <c r="D475" s="89"/>
      <c r="E475" s="112"/>
      <c r="F475" s="91"/>
      <c r="G475" s="92"/>
      <c r="H475" s="93"/>
      <c r="I475" s="92"/>
      <c r="J475" s="126"/>
      <c r="K475" s="89"/>
      <c r="L475" s="89"/>
      <c r="M475" s="89"/>
      <c r="N475" s="89"/>
      <c r="O475" s="91"/>
      <c r="P475" s="95"/>
      <c r="Q475" s="144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89"/>
      <c r="AG475" s="89"/>
      <c r="AH475" s="95"/>
      <c r="AI475" s="95"/>
      <c r="AJ475" s="95"/>
      <c r="AK475" s="100"/>
      <c r="AL475" s="100"/>
      <c r="AM475" s="128"/>
    </row>
    <row r="476" spans="1:39" ht="12" customHeight="1" x14ac:dyDescent="0.3">
      <c r="A476" s="125"/>
      <c r="B476" s="93"/>
      <c r="C476" s="89"/>
      <c r="D476" s="89"/>
      <c r="E476" s="112"/>
      <c r="F476" s="91"/>
      <c r="G476" s="92"/>
      <c r="H476" s="93"/>
      <c r="I476" s="92"/>
      <c r="J476" s="126"/>
      <c r="K476" s="89"/>
      <c r="L476" s="89"/>
      <c r="M476" s="89"/>
      <c r="N476" s="89"/>
      <c r="O476" s="91"/>
      <c r="P476" s="95"/>
      <c r="Q476" s="144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89"/>
      <c r="AG476" s="89"/>
      <c r="AH476" s="95"/>
      <c r="AI476" s="99"/>
      <c r="AJ476" s="95"/>
      <c r="AK476" s="100"/>
      <c r="AL476" s="100"/>
      <c r="AM476" s="128"/>
    </row>
    <row r="477" spans="1:39" ht="12" customHeight="1" x14ac:dyDescent="0.3">
      <c r="A477" s="125"/>
      <c r="B477" s="93"/>
      <c r="C477" s="89"/>
      <c r="D477" s="89"/>
      <c r="E477" s="112"/>
      <c r="F477" s="91"/>
      <c r="G477" s="92"/>
      <c r="H477" s="93"/>
      <c r="I477" s="92"/>
      <c r="J477" s="126"/>
      <c r="K477" s="89"/>
      <c r="L477" s="89"/>
      <c r="M477" s="89"/>
      <c r="N477" s="89"/>
      <c r="O477" s="91"/>
      <c r="P477" s="95"/>
      <c r="Q477" s="144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89"/>
      <c r="AG477" s="89"/>
      <c r="AH477" s="95"/>
      <c r="AI477" s="95"/>
      <c r="AJ477" s="95"/>
      <c r="AK477" s="100"/>
      <c r="AL477" s="100"/>
      <c r="AM477" s="128"/>
    </row>
    <row r="478" spans="1:39" ht="12" customHeight="1" x14ac:dyDescent="0.3">
      <c r="A478" s="125"/>
      <c r="B478" s="93"/>
      <c r="C478" s="89"/>
      <c r="D478" s="89"/>
      <c r="E478" s="112"/>
      <c r="F478" s="91"/>
      <c r="G478" s="92"/>
      <c r="H478" s="93"/>
      <c r="I478" s="92"/>
      <c r="J478" s="126"/>
      <c r="K478" s="89"/>
      <c r="L478" s="89"/>
      <c r="M478" s="89"/>
      <c r="N478" s="89"/>
      <c r="O478" s="91"/>
      <c r="P478" s="95"/>
      <c r="Q478" s="144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89"/>
      <c r="AG478" s="89"/>
      <c r="AH478" s="95"/>
      <c r="AI478" s="99"/>
      <c r="AJ478" s="95"/>
      <c r="AK478" s="100"/>
      <c r="AL478" s="100"/>
      <c r="AM478" s="128"/>
    </row>
    <row r="479" spans="1:39" ht="12" customHeight="1" x14ac:dyDescent="0.3">
      <c r="A479" s="125"/>
      <c r="B479" s="93"/>
      <c r="C479" s="89"/>
      <c r="D479" s="89"/>
      <c r="E479" s="112"/>
      <c r="F479" s="91"/>
      <c r="G479" s="92"/>
      <c r="H479" s="93"/>
      <c r="I479" s="92"/>
      <c r="J479" s="126"/>
      <c r="K479" s="89"/>
      <c r="L479" s="89"/>
      <c r="M479" s="89"/>
      <c r="N479" s="89"/>
      <c r="O479" s="91"/>
      <c r="P479" s="95"/>
      <c r="Q479" s="144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89"/>
      <c r="AG479" s="89"/>
      <c r="AH479" s="95"/>
      <c r="AI479" s="95"/>
      <c r="AJ479" s="95"/>
      <c r="AK479" s="100"/>
      <c r="AL479" s="100"/>
      <c r="AM479" s="128"/>
    </row>
    <row r="480" spans="1:39" ht="12" customHeight="1" x14ac:dyDescent="0.3">
      <c r="A480" s="129"/>
      <c r="B480" s="130"/>
      <c r="C480" s="131"/>
      <c r="D480" s="131"/>
      <c r="E480" s="132"/>
      <c r="F480" s="133"/>
      <c r="G480" s="134"/>
      <c r="H480" s="130"/>
      <c r="I480" s="134"/>
      <c r="J480" s="135"/>
      <c r="K480" s="131"/>
      <c r="L480" s="131"/>
      <c r="M480" s="131"/>
      <c r="N480" s="131"/>
      <c r="O480" s="133"/>
      <c r="P480" s="136"/>
      <c r="Q480" s="146"/>
      <c r="R480" s="137"/>
      <c r="S480" s="138"/>
      <c r="T480" s="138"/>
      <c r="U480" s="138"/>
      <c r="V480" s="130"/>
      <c r="W480" s="139"/>
      <c r="X480" s="131"/>
      <c r="Y480" s="140"/>
      <c r="Z480" s="131"/>
      <c r="AA480" s="138"/>
      <c r="AB480" s="131"/>
      <c r="AC480" s="190"/>
      <c r="AD480" s="131"/>
      <c r="AE480" s="131"/>
      <c r="AF480" s="131"/>
      <c r="AG480" s="131"/>
      <c r="AH480" s="136"/>
      <c r="AI480" s="136"/>
      <c r="AJ480" s="136"/>
      <c r="AK480" s="141"/>
      <c r="AL480" s="141"/>
      <c r="AM480" s="142"/>
    </row>
    <row r="481" spans="1:39" ht="12" customHeight="1" x14ac:dyDescent="0.3">
      <c r="A481" s="129"/>
      <c r="B481" s="93"/>
      <c r="C481" s="131"/>
      <c r="D481" s="131"/>
      <c r="E481" s="112"/>
      <c r="F481" s="91"/>
      <c r="G481" s="92"/>
      <c r="H481" s="93"/>
      <c r="I481" s="92"/>
      <c r="J481" s="135"/>
      <c r="K481" s="89"/>
      <c r="L481" s="89"/>
      <c r="M481" s="89"/>
      <c r="N481" s="89"/>
      <c r="O481" s="91"/>
      <c r="P481" s="95"/>
      <c r="Q481" s="144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89"/>
      <c r="AG481" s="89"/>
      <c r="AH481" s="95"/>
      <c r="AI481" s="95"/>
      <c r="AJ481" s="95"/>
      <c r="AK481" s="100"/>
      <c r="AL481" s="100"/>
      <c r="AM481" s="128"/>
    </row>
    <row r="482" spans="1:39" ht="12" customHeight="1" x14ac:dyDescent="0.3">
      <c r="A482" s="129"/>
      <c r="B482" s="93"/>
      <c r="C482" s="131"/>
      <c r="D482" s="131"/>
      <c r="E482" s="112"/>
      <c r="F482" s="91"/>
      <c r="G482" s="92"/>
      <c r="H482" s="93"/>
      <c r="I482" s="92"/>
      <c r="J482" s="135"/>
      <c r="K482" s="89"/>
      <c r="L482" s="89"/>
      <c r="M482" s="89"/>
      <c r="N482" s="89"/>
      <c r="O482" s="91"/>
      <c r="P482" s="95"/>
      <c r="Q482" s="144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89"/>
      <c r="AG482" s="89"/>
      <c r="AH482" s="95"/>
      <c r="AI482" s="95"/>
      <c r="AJ482" s="95"/>
      <c r="AK482" s="100"/>
      <c r="AL482" s="100"/>
      <c r="AM482" s="128"/>
    </row>
    <row r="483" spans="1:39" ht="12" customHeight="1" x14ac:dyDescent="0.3">
      <c r="A483" s="129"/>
      <c r="B483" s="93"/>
      <c r="C483" s="131"/>
      <c r="D483" s="131"/>
      <c r="E483" s="112"/>
      <c r="F483" s="91"/>
      <c r="G483" s="92"/>
      <c r="H483" s="93"/>
      <c r="I483" s="92"/>
      <c r="J483" s="135"/>
      <c r="K483" s="89"/>
      <c r="L483" s="89"/>
      <c r="M483" s="89"/>
      <c r="N483" s="89"/>
      <c r="O483" s="91"/>
      <c r="P483" s="95"/>
      <c r="Q483" s="144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89"/>
      <c r="AG483" s="89"/>
      <c r="AH483" s="95"/>
      <c r="AI483" s="95"/>
      <c r="AJ483" s="95"/>
      <c r="AK483" s="100"/>
      <c r="AL483" s="100"/>
      <c r="AM483" s="128"/>
    </row>
    <row r="484" spans="1:39" ht="12" customHeight="1" x14ac:dyDescent="0.3">
      <c r="A484" s="129"/>
      <c r="B484" s="93"/>
      <c r="C484" s="131"/>
      <c r="D484" s="131"/>
      <c r="E484" s="112"/>
      <c r="F484" s="91"/>
      <c r="G484" s="92"/>
      <c r="H484" s="93"/>
      <c r="I484" s="92"/>
      <c r="J484" s="135"/>
      <c r="K484" s="89"/>
      <c r="L484" s="89"/>
      <c r="M484" s="89"/>
      <c r="N484" s="89"/>
      <c r="O484" s="91"/>
      <c r="P484" s="95"/>
      <c r="Q484" s="144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89"/>
      <c r="AG484" s="89"/>
      <c r="AH484" s="95"/>
      <c r="AI484" s="95"/>
      <c r="AJ484" s="95"/>
      <c r="AK484" s="100"/>
      <c r="AL484" s="100"/>
      <c r="AM484" s="128"/>
    </row>
    <row r="485" spans="1:39" ht="12" customHeight="1" x14ac:dyDescent="0.3">
      <c r="A485" s="129"/>
      <c r="B485" s="93"/>
      <c r="C485" s="131"/>
      <c r="D485" s="131"/>
      <c r="E485" s="112"/>
      <c r="F485" s="91"/>
      <c r="G485" s="92"/>
      <c r="H485" s="93"/>
      <c r="I485" s="92"/>
      <c r="J485" s="135"/>
      <c r="K485" s="89"/>
      <c r="L485" s="89"/>
      <c r="M485" s="89"/>
      <c r="N485" s="89"/>
      <c r="O485" s="91"/>
      <c r="P485" s="95"/>
      <c r="Q485" s="144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89"/>
      <c r="AG485" s="89"/>
      <c r="AH485" s="95"/>
      <c r="AI485" s="95"/>
      <c r="AJ485" s="95"/>
      <c r="AK485" s="100"/>
      <c r="AL485" s="100"/>
      <c r="AM485" s="128"/>
    </row>
    <row r="486" spans="1:39" ht="12" customHeight="1" x14ac:dyDescent="0.3">
      <c r="A486" s="129"/>
      <c r="B486" s="93"/>
      <c r="C486" s="131"/>
      <c r="D486" s="131"/>
      <c r="E486" s="112"/>
      <c r="F486" s="91"/>
      <c r="G486" s="92"/>
      <c r="H486" s="93"/>
      <c r="I486" s="92"/>
      <c r="J486" s="135"/>
      <c r="K486" s="89"/>
      <c r="L486" s="89"/>
      <c r="M486" s="89"/>
      <c r="N486" s="89"/>
      <c r="O486" s="91"/>
      <c r="P486" s="95"/>
      <c r="Q486" s="144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89"/>
      <c r="AG486" s="89"/>
      <c r="AH486" s="95"/>
      <c r="AI486" s="95"/>
      <c r="AJ486" s="95"/>
      <c r="AK486" s="100"/>
      <c r="AL486" s="100"/>
      <c r="AM486" s="128"/>
    </row>
    <row r="487" spans="1:39" ht="12" customHeight="1" x14ac:dyDescent="0.3">
      <c r="A487" s="129"/>
      <c r="B487" s="93"/>
      <c r="C487" s="131"/>
      <c r="D487" s="131"/>
      <c r="E487" s="112"/>
      <c r="F487" s="91"/>
      <c r="G487" s="92"/>
      <c r="H487" s="93"/>
      <c r="I487" s="92"/>
      <c r="J487" s="135"/>
      <c r="K487" s="89"/>
      <c r="L487" s="89"/>
      <c r="M487" s="89"/>
      <c r="N487" s="89"/>
      <c r="O487" s="91"/>
      <c r="P487" s="95"/>
      <c r="Q487" s="144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89"/>
      <c r="AG487" s="89"/>
      <c r="AH487" s="95"/>
      <c r="AI487" s="95"/>
      <c r="AJ487" s="95"/>
      <c r="AK487" s="100"/>
      <c r="AL487" s="100"/>
      <c r="AM487" s="128"/>
    </row>
    <row r="488" spans="1:39" ht="12" customHeight="1" x14ac:dyDescent="0.3">
      <c r="A488" s="129"/>
      <c r="B488" s="93"/>
      <c r="C488" s="131"/>
      <c r="D488" s="131"/>
      <c r="E488" s="112"/>
      <c r="F488" s="91"/>
      <c r="G488" s="92"/>
      <c r="H488" s="93"/>
      <c r="I488" s="92"/>
      <c r="J488" s="135"/>
      <c r="K488" s="89"/>
      <c r="L488" s="89"/>
      <c r="M488" s="89"/>
      <c r="N488" s="89"/>
      <c r="O488" s="91"/>
      <c r="P488" s="95"/>
      <c r="Q488" s="144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89"/>
      <c r="AG488" s="89"/>
      <c r="AH488" s="95"/>
      <c r="AI488" s="95"/>
      <c r="AJ488" s="95"/>
      <c r="AK488" s="100"/>
      <c r="AL488" s="100"/>
      <c r="AM488" s="128"/>
    </row>
    <row r="489" spans="1:39" ht="12" customHeight="1" x14ac:dyDescent="0.3">
      <c r="A489" s="129"/>
      <c r="B489" s="93"/>
      <c r="C489" s="131"/>
      <c r="D489" s="131"/>
      <c r="E489" s="112"/>
      <c r="F489" s="91"/>
      <c r="G489" s="92"/>
      <c r="H489" s="93"/>
      <c r="I489" s="92"/>
      <c r="J489" s="135"/>
      <c r="K489" s="89"/>
      <c r="L489" s="89"/>
      <c r="M489" s="89"/>
      <c r="N489" s="89"/>
      <c r="O489" s="91"/>
      <c r="P489" s="95"/>
      <c r="Q489" s="144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89"/>
      <c r="AG489" s="89"/>
      <c r="AH489" s="95"/>
      <c r="AI489" s="95"/>
      <c r="AJ489" s="95"/>
      <c r="AK489" s="100"/>
      <c r="AL489" s="100"/>
      <c r="AM489" s="128"/>
    </row>
    <row r="490" spans="1:39" ht="12" customHeight="1" x14ac:dyDescent="0.3">
      <c r="A490" s="129"/>
      <c r="B490" s="93"/>
      <c r="C490" s="131"/>
      <c r="D490" s="131"/>
      <c r="E490" s="112"/>
      <c r="F490" s="91"/>
      <c r="G490" s="92"/>
      <c r="H490" s="93"/>
      <c r="I490" s="92"/>
      <c r="J490" s="135"/>
      <c r="K490" s="89"/>
      <c r="L490" s="89"/>
      <c r="M490" s="89"/>
      <c r="N490" s="89"/>
      <c r="O490" s="91"/>
      <c r="P490" s="95"/>
      <c r="Q490" s="144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89"/>
      <c r="AG490" s="89"/>
      <c r="AH490" s="95"/>
      <c r="AI490" s="95"/>
      <c r="AJ490" s="95"/>
      <c r="AK490" s="100"/>
      <c r="AL490" s="100"/>
      <c r="AM490" s="128"/>
    </row>
    <row r="491" spans="1:39" ht="12" customHeight="1" x14ac:dyDescent="0.3">
      <c r="A491" s="129"/>
      <c r="B491" s="93"/>
      <c r="C491" s="131"/>
      <c r="D491" s="131"/>
      <c r="E491" s="112"/>
      <c r="F491" s="91"/>
      <c r="G491" s="92"/>
      <c r="H491" s="93"/>
      <c r="I491" s="92"/>
      <c r="J491" s="135"/>
      <c r="K491" s="89"/>
      <c r="L491" s="89"/>
      <c r="M491" s="89"/>
      <c r="N491" s="89"/>
      <c r="O491" s="91"/>
      <c r="P491" s="95"/>
      <c r="Q491" s="144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89"/>
      <c r="AG491" s="89"/>
      <c r="AH491" s="95"/>
      <c r="AI491" s="95"/>
      <c r="AJ491" s="95"/>
      <c r="AK491" s="100"/>
      <c r="AL491" s="100"/>
      <c r="AM491" s="128"/>
    </row>
    <row r="492" spans="1:39" ht="12" customHeight="1" x14ac:dyDescent="0.3">
      <c r="A492" s="129"/>
      <c r="B492" s="93"/>
      <c r="C492" s="131"/>
      <c r="D492" s="131"/>
      <c r="E492" s="112"/>
      <c r="F492" s="91"/>
      <c r="G492" s="92"/>
      <c r="H492" s="93"/>
      <c r="I492" s="92"/>
      <c r="J492" s="135"/>
      <c r="K492" s="89"/>
      <c r="L492" s="89"/>
      <c r="M492" s="89"/>
      <c r="N492" s="89"/>
      <c r="O492" s="91"/>
      <c r="P492" s="95"/>
      <c r="Q492" s="144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89"/>
      <c r="AG492" s="89"/>
      <c r="AH492" s="95"/>
      <c r="AI492" s="95"/>
      <c r="AJ492" s="95"/>
      <c r="AK492" s="100"/>
      <c r="AL492" s="100"/>
      <c r="AM492" s="128"/>
    </row>
    <row r="493" spans="1:39" ht="12" customHeight="1" x14ac:dyDescent="0.3">
      <c r="A493" s="129"/>
      <c r="B493" s="93"/>
      <c r="C493" s="131"/>
      <c r="D493" s="131"/>
      <c r="E493" s="132"/>
      <c r="F493" s="133"/>
      <c r="G493" s="134"/>
      <c r="H493" s="130"/>
      <c r="I493" s="134"/>
      <c r="J493" s="135"/>
      <c r="K493" s="131"/>
      <c r="L493" s="131"/>
      <c r="M493" s="131"/>
      <c r="N493" s="131"/>
      <c r="O493" s="133"/>
      <c r="P493" s="136"/>
      <c r="Q493" s="144"/>
      <c r="R493" s="137"/>
      <c r="S493" s="138"/>
      <c r="T493" s="97"/>
      <c r="U493" s="97"/>
      <c r="V493" s="130"/>
      <c r="W493" s="139"/>
      <c r="X493" s="131"/>
      <c r="Y493" s="140"/>
      <c r="Z493" s="131"/>
      <c r="AA493" s="138"/>
      <c r="AB493" s="131"/>
      <c r="AC493" s="190"/>
      <c r="AD493" s="131"/>
      <c r="AE493" s="131"/>
      <c r="AF493" s="131"/>
      <c r="AG493" s="131"/>
      <c r="AH493" s="136"/>
      <c r="AI493" s="136"/>
      <c r="AJ493" s="136"/>
      <c r="AK493" s="141"/>
      <c r="AL493" s="141"/>
      <c r="AM493" s="142"/>
    </row>
    <row r="494" spans="1:39" ht="12" customHeight="1" x14ac:dyDescent="0.3">
      <c r="A494" s="87"/>
      <c r="B494" s="88"/>
      <c r="C494" s="91"/>
      <c r="D494" s="89"/>
      <c r="E494" s="112"/>
      <c r="F494" s="91"/>
      <c r="G494" s="92"/>
      <c r="H494" s="93"/>
      <c r="I494" s="92"/>
      <c r="J494" s="89"/>
      <c r="K494" s="89"/>
      <c r="L494" s="89"/>
      <c r="M494" s="89"/>
      <c r="N494" s="89"/>
      <c r="O494" s="94"/>
      <c r="P494" s="95"/>
      <c r="Q494" s="144"/>
      <c r="R494" s="96"/>
      <c r="S494" s="97"/>
      <c r="T494" s="97"/>
      <c r="U494" s="97"/>
      <c r="V494" s="93"/>
      <c r="W494" s="124"/>
      <c r="X494" s="89"/>
      <c r="Y494" s="98"/>
      <c r="Z494" s="89"/>
      <c r="AA494" s="97"/>
      <c r="AB494" s="91"/>
      <c r="AC494" s="120"/>
      <c r="AD494" s="89"/>
      <c r="AE494" s="89"/>
      <c r="AF494" s="89"/>
      <c r="AG494" s="89"/>
      <c r="AH494" s="99"/>
      <c r="AI494" s="99"/>
      <c r="AJ494" s="99"/>
      <c r="AK494" s="100"/>
      <c r="AL494" s="100"/>
      <c r="AM494" s="100"/>
    </row>
    <row r="495" spans="1:39" ht="12" customHeight="1" x14ac:dyDescent="0.3">
      <c r="A495" s="87"/>
      <c r="B495" s="88"/>
      <c r="C495" s="91"/>
      <c r="D495" s="89"/>
      <c r="E495" s="112"/>
      <c r="F495" s="91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4"/>
      <c r="R495" s="96"/>
      <c r="S495" s="97"/>
      <c r="T495" s="97"/>
      <c r="U495" s="97"/>
      <c r="V495" s="93"/>
      <c r="W495" s="124"/>
      <c r="X495" s="93"/>
      <c r="Y495" s="98"/>
      <c r="Z495" s="89"/>
      <c r="AA495" s="97"/>
      <c r="AB495" s="91"/>
      <c r="AC495" s="120"/>
      <c r="AD495" s="89"/>
      <c r="AE495" s="89"/>
      <c r="AF495" s="89"/>
      <c r="AG495" s="89"/>
      <c r="AH495" s="99"/>
      <c r="AI495" s="99"/>
      <c r="AJ495" s="99"/>
      <c r="AK495" s="100"/>
      <c r="AL495" s="100"/>
      <c r="AM495" s="100"/>
    </row>
    <row r="496" spans="1:39" ht="12" customHeight="1" x14ac:dyDescent="0.3">
      <c r="A496" s="87"/>
      <c r="B496" s="88"/>
      <c r="C496" s="91"/>
      <c r="D496" s="89"/>
      <c r="E496" s="112"/>
      <c r="F496" s="9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4"/>
      <c r="R496" s="96"/>
      <c r="S496" s="97"/>
      <c r="T496" s="97"/>
      <c r="U496" s="97"/>
      <c r="V496" s="93"/>
      <c r="W496" s="124"/>
      <c r="X496" s="89"/>
      <c r="Y496" s="98"/>
      <c r="Z496" s="89"/>
      <c r="AA496" s="97"/>
      <c r="AB496" s="91"/>
      <c r="AC496" s="120"/>
      <c r="AD496" s="89"/>
      <c r="AE496" s="89"/>
      <c r="AF496" s="89"/>
      <c r="AG496" s="89"/>
      <c r="AH496" s="99"/>
      <c r="AI496" s="99"/>
      <c r="AJ496" s="99"/>
      <c r="AK496" s="100"/>
      <c r="AL496" s="100"/>
      <c r="AM496" s="100"/>
    </row>
    <row r="497" spans="1:39" ht="12" customHeight="1" x14ac:dyDescent="0.3">
      <c r="A497" s="87"/>
      <c r="B497" s="88"/>
      <c r="C497" s="91"/>
      <c r="D497" s="89"/>
      <c r="E497" s="112"/>
      <c r="F497" s="9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4"/>
      <c r="R497" s="96"/>
      <c r="S497" s="97"/>
      <c r="T497" s="97"/>
      <c r="U497" s="97"/>
      <c r="V497" s="93"/>
      <c r="W497" s="124"/>
      <c r="X497" s="89"/>
      <c r="Y497" s="98"/>
      <c r="Z497" s="89"/>
      <c r="AA497" s="97"/>
      <c r="AB497" s="91"/>
      <c r="AC497" s="120"/>
      <c r="AD497" s="89"/>
      <c r="AE497" s="89"/>
      <c r="AF497" s="89"/>
      <c r="AG497" s="89"/>
      <c r="AH497" s="99"/>
      <c r="AI497" s="99"/>
      <c r="AJ497" s="99"/>
      <c r="AK497" s="100"/>
      <c r="AL497" s="100"/>
      <c r="AM497" s="100"/>
    </row>
    <row r="498" spans="1:39" ht="12" customHeight="1" x14ac:dyDescent="0.3">
      <c r="A498" s="87"/>
      <c r="B498" s="88"/>
      <c r="C498" s="91"/>
      <c r="D498" s="89"/>
      <c r="E498" s="112"/>
      <c r="F498" s="9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4"/>
      <c r="R498" s="96"/>
      <c r="S498" s="97"/>
      <c r="T498" s="97"/>
      <c r="U498" s="97"/>
      <c r="V498" s="93"/>
      <c r="W498" s="89"/>
      <c r="X498" s="89"/>
      <c r="Y498" s="89"/>
      <c r="Z498" s="89"/>
      <c r="AA498" s="97"/>
      <c r="AB498" s="91"/>
      <c r="AC498" s="120"/>
      <c r="AD498" s="89"/>
      <c r="AE498" s="89"/>
      <c r="AF498" s="89"/>
      <c r="AG498" s="89"/>
      <c r="AH498" s="99"/>
      <c r="AI498" s="95"/>
      <c r="AJ498" s="99"/>
      <c r="AK498" s="100"/>
      <c r="AL498" s="100"/>
      <c r="AM498" s="100"/>
    </row>
    <row r="499" spans="1:39" ht="12" customHeight="1" x14ac:dyDescent="0.3">
      <c r="A499" s="87"/>
      <c r="B499" s="88"/>
      <c r="C499" s="91"/>
      <c r="D499" s="89"/>
      <c r="E499" s="112"/>
      <c r="F499" s="9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4"/>
      <c r="R499" s="96"/>
      <c r="S499" s="97"/>
      <c r="T499" s="97"/>
      <c r="U499" s="97"/>
      <c r="V499" s="93"/>
      <c r="W499" s="89"/>
      <c r="X499" s="89"/>
      <c r="Y499" s="89"/>
      <c r="Z499" s="89"/>
      <c r="AA499" s="97"/>
      <c r="AB499" s="91"/>
      <c r="AC499" s="120"/>
      <c r="AD499" s="89"/>
      <c r="AE499" s="89"/>
      <c r="AF499" s="89"/>
      <c r="AG499" s="89"/>
      <c r="AH499" s="99"/>
      <c r="AI499" s="95"/>
      <c r="AJ499" s="99"/>
      <c r="AK499" s="100"/>
      <c r="AL499" s="100"/>
      <c r="AM499" s="100"/>
    </row>
    <row r="500" spans="1:39" ht="12" customHeight="1" x14ac:dyDescent="0.3">
      <c r="A500" s="87"/>
      <c r="B500" s="88"/>
      <c r="C500" s="91"/>
      <c r="D500" s="89"/>
      <c r="E500" s="112"/>
      <c r="F500" s="9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4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89"/>
      <c r="AG500" s="89"/>
      <c r="AH500" s="99"/>
      <c r="AI500" s="95"/>
      <c r="AJ500" s="99"/>
      <c r="AK500" s="100"/>
      <c r="AL500" s="100"/>
      <c r="AM500" s="100"/>
    </row>
    <row r="501" spans="1:39" ht="12" customHeight="1" x14ac:dyDescent="0.3">
      <c r="A501" s="87"/>
      <c r="B501" s="88"/>
      <c r="C501" s="91"/>
      <c r="D501" s="89"/>
      <c r="E501" s="112"/>
      <c r="F501" s="9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4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89"/>
      <c r="AG501" s="89"/>
      <c r="AH501" s="99"/>
      <c r="AI501" s="95"/>
      <c r="AJ501" s="99"/>
      <c r="AK501" s="100"/>
      <c r="AL501" s="100"/>
      <c r="AM501" s="100"/>
    </row>
    <row r="502" spans="1:39" ht="12" customHeight="1" x14ac:dyDescent="0.3">
      <c r="A502" s="87"/>
      <c r="B502" s="88"/>
      <c r="C502" s="91"/>
      <c r="D502" s="89"/>
      <c r="E502" s="112"/>
      <c r="F502" s="9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4"/>
      <c r="R502" s="96"/>
      <c r="S502" s="97"/>
      <c r="T502" s="97"/>
      <c r="U502" s="97"/>
      <c r="V502" s="93"/>
      <c r="W502" s="89"/>
      <c r="X502" s="89"/>
      <c r="Y502" s="98"/>
      <c r="Z502" s="89"/>
      <c r="AA502" s="97"/>
      <c r="AB502" s="91"/>
      <c r="AC502" s="120"/>
      <c r="AD502" s="89"/>
      <c r="AE502" s="89"/>
      <c r="AF502" s="89"/>
      <c r="AG502" s="89"/>
      <c r="AH502" s="99"/>
      <c r="AI502" s="95"/>
      <c r="AJ502" s="99"/>
      <c r="AK502" s="100"/>
      <c r="AL502" s="100"/>
      <c r="AM502" s="100"/>
    </row>
    <row r="503" spans="1:39" ht="12" customHeight="1" x14ac:dyDescent="0.3">
      <c r="A503" s="87"/>
      <c r="B503" s="88"/>
      <c r="C503" s="91"/>
      <c r="D503" s="89"/>
      <c r="E503" s="112"/>
      <c r="F503" s="9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4"/>
      <c r="R503" s="96"/>
      <c r="S503" s="97"/>
      <c r="T503" s="97"/>
      <c r="U503" s="97"/>
      <c r="V503" s="93"/>
      <c r="W503" s="124"/>
      <c r="X503" s="93"/>
      <c r="Y503" s="98"/>
      <c r="Z503" s="89"/>
      <c r="AA503" s="97"/>
      <c r="AB503" s="91"/>
      <c r="AC503" s="120"/>
      <c r="AD503" s="89"/>
      <c r="AE503" s="89"/>
      <c r="AF503" s="89"/>
      <c r="AG503" s="89"/>
      <c r="AH503" s="99"/>
      <c r="AI503" s="99"/>
      <c r="AJ503" s="99"/>
      <c r="AK503" s="100"/>
      <c r="AL503" s="100"/>
      <c r="AM503" s="100"/>
    </row>
    <row r="504" spans="1:39" ht="12" customHeight="1" x14ac:dyDescent="0.3">
      <c r="A504" s="87"/>
      <c r="B504" s="88"/>
      <c r="C504" s="91"/>
      <c r="D504" s="89"/>
      <c r="E504" s="112"/>
      <c r="F504" s="9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4"/>
      <c r="R504" s="96"/>
      <c r="S504" s="97"/>
      <c r="T504" s="97"/>
      <c r="U504" s="97"/>
      <c r="V504" s="93"/>
      <c r="W504" s="124"/>
      <c r="X504" s="123"/>
      <c r="Y504" s="98"/>
      <c r="Z504" s="89"/>
      <c r="AA504" s="97"/>
      <c r="AB504" s="91"/>
      <c r="AC504" s="120"/>
      <c r="AD504" s="89"/>
      <c r="AE504" s="89"/>
      <c r="AF504" s="89"/>
      <c r="AG504" s="89"/>
      <c r="AH504" s="99"/>
      <c r="AI504" s="95"/>
      <c r="AJ504" s="99"/>
      <c r="AK504" s="100"/>
      <c r="AL504" s="100"/>
      <c r="AM504" s="100"/>
    </row>
    <row r="505" spans="1:39" ht="12" customHeight="1" x14ac:dyDescent="0.3">
      <c r="A505" s="87"/>
      <c r="B505" s="88"/>
      <c r="C505" s="91"/>
      <c r="D505" s="89"/>
      <c r="E505" s="112"/>
      <c r="F505" s="9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4"/>
      <c r="R505" s="96"/>
      <c r="S505" s="97"/>
      <c r="T505" s="97"/>
      <c r="U505" s="97"/>
      <c r="V505" s="93"/>
      <c r="W505" s="89"/>
      <c r="X505" s="89"/>
      <c r="Y505" s="89"/>
      <c r="Z505" s="89"/>
      <c r="AA505" s="97"/>
      <c r="AB505" s="91"/>
      <c r="AC505" s="120"/>
      <c r="AD505" s="89"/>
      <c r="AE505" s="89"/>
      <c r="AF505" s="89"/>
      <c r="AG505" s="89"/>
      <c r="AH505" s="99"/>
      <c r="AI505" s="95"/>
      <c r="AJ505" s="99"/>
      <c r="AK505" s="100"/>
      <c r="AL505" s="100"/>
      <c r="AM505" s="100"/>
    </row>
    <row r="506" spans="1:39" ht="12" customHeight="1" x14ac:dyDescent="0.3">
      <c r="A506" s="87"/>
      <c r="B506" s="88"/>
      <c r="C506" s="91"/>
      <c r="D506" s="89"/>
      <c r="E506" s="112"/>
      <c r="F506" s="9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4"/>
      <c r="R506" s="96"/>
      <c r="S506" s="97"/>
      <c r="T506" s="97"/>
      <c r="U506" s="97"/>
      <c r="V506" s="93"/>
      <c r="W506" s="89"/>
      <c r="X506" s="89"/>
      <c r="Y506" s="89"/>
      <c r="Z506" s="89"/>
      <c r="AA506" s="97"/>
      <c r="AB506" s="91"/>
      <c r="AC506" s="120"/>
      <c r="AD506" s="89"/>
      <c r="AE506" s="89"/>
      <c r="AF506" s="89"/>
      <c r="AG506" s="89"/>
      <c r="AH506" s="99"/>
      <c r="AI506" s="95"/>
      <c r="AJ506" s="99"/>
      <c r="AK506" s="100"/>
      <c r="AL506" s="100"/>
      <c r="AM506" s="100"/>
    </row>
    <row r="507" spans="1:39" ht="12" customHeight="1" x14ac:dyDescent="0.3">
      <c r="A507" s="87"/>
      <c r="B507" s="88"/>
      <c r="C507" s="91"/>
      <c r="D507" s="89"/>
      <c r="E507" s="112"/>
      <c r="F507" s="9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4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89"/>
      <c r="AG507" s="89"/>
      <c r="AH507" s="99"/>
      <c r="AI507" s="95"/>
      <c r="AJ507" s="99"/>
      <c r="AK507" s="100"/>
      <c r="AL507" s="100"/>
      <c r="AM507" s="100"/>
    </row>
    <row r="508" spans="1:39" ht="12" customHeight="1" x14ac:dyDescent="0.3">
      <c r="A508" s="87"/>
      <c r="B508" s="88"/>
      <c r="C508" s="91"/>
      <c r="D508" s="89"/>
      <c r="E508" s="112"/>
      <c r="F508" s="9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4"/>
      <c r="R508" s="96"/>
      <c r="S508" s="97"/>
      <c r="T508" s="97"/>
      <c r="U508" s="97"/>
      <c r="V508" s="93"/>
      <c r="W508" s="89"/>
      <c r="X508" s="89"/>
      <c r="Y508" s="98"/>
      <c r="Z508" s="89"/>
      <c r="AA508" s="97"/>
      <c r="AB508" s="91"/>
      <c r="AC508" s="120"/>
      <c r="AD508" s="89"/>
      <c r="AE508" s="89"/>
      <c r="AF508" s="89"/>
      <c r="AG508" s="89"/>
      <c r="AH508" s="99"/>
      <c r="AI508" s="95"/>
      <c r="AJ508" s="99"/>
      <c r="AK508" s="100"/>
      <c r="AL508" s="100"/>
      <c r="AM508" s="100"/>
    </row>
    <row r="509" spans="1:39" ht="12" customHeight="1" x14ac:dyDescent="0.3">
      <c r="A509" s="87"/>
      <c r="B509" s="88"/>
      <c r="C509" s="91"/>
      <c r="D509" s="89"/>
      <c r="E509" s="112"/>
      <c r="F509" s="9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4"/>
      <c r="R509" s="96"/>
      <c r="S509" s="97"/>
      <c r="T509" s="97"/>
      <c r="U509" s="97"/>
      <c r="V509" s="93"/>
      <c r="W509" s="89"/>
      <c r="X509" s="89"/>
      <c r="Y509" s="98"/>
      <c r="Z509" s="89"/>
      <c r="AA509" s="97"/>
      <c r="AB509" s="91"/>
      <c r="AC509" s="120"/>
      <c r="AD509" s="89"/>
      <c r="AE509" s="89"/>
      <c r="AF509" s="89"/>
      <c r="AG509" s="89"/>
      <c r="AH509" s="99"/>
      <c r="AI509" s="95"/>
      <c r="AJ509" s="99"/>
      <c r="AK509" s="100"/>
      <c r="AL509" s="100"/>
      <c r="AM509" s="100"/>
    </row>
    <row r="510" spans="1:39" ht="12" customHeight="1" x14ac:dyDescent="0.3">
      <c r="A510" s="87"/>
      <c r="B510" s="88"/>
      <c r="C510" s="91"/>
      <c r="D510" s="89"/>
      <c r="E510" s="112"/>
      <c r="F510" s="9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4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89"/>
      <c r="AG510" s="89"/>
      <c r="AH510" s="99"/>
      <c r="AI510" s="95"/>
      <c r="AJ510" s="99"/>
      <c r="AK510" s="100"/>
      <c r="AL510" s="100"/>
      <c r="AM510" s="100"/>
    </row>
    <row r="511" spans="1:39" ht="12" customHeight="1" x14ac:dyDescent="0.3">
      <c r="A511" s="87"/>
      <c r="B511" s="88"/>
      <c r="C511" s="91"/>
      <c r="D511" s="89"/>
      <c r="E511" s="112"/>
      <c r="F511" s="9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4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89"/>
      <c r="AG511" s="89"/>
      <c r="AH511" s="99"/>
      <c r="AI511" s="95"/>
      <c r="AJ511" s="99"/>
      <c r="AK511" s="100"/>
      <c r="AL511" s="100"/>
      <c r="AM511" s="100"/>
    </row>
    <row r="512" spans="1:39" ht="12" customHeight="1" x14ac:dyDescent="0.3">
      <c r="A512" s="87"/>
      <c r="B512" s="88"/>
      <c r="C512" s="91"/>
      <c r="D512" s="89"/>
      <c r="E512" s="112"/>
      <c r="F512" s="9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4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89"/>
      <c r="AG512" s="89"/>
      <c r="AH512" s="99"/>
      <c r="AI512" s="95"/>
      <c r="AJ512" s="99"/>
      <c r="AK512" s="100"/>
      <c r="AL512" s="100"/>
      <c r="AM512" s="100"/>
    </row>
    <row r="513" spans="1:39" ht="12" customHeight="1" x14ac:dyDescent="0.3">
      <c r="A513" s="87"/>
      <c r="B513" s="88"/>
      <c r="C513" s="91"/>
      <c r="D513" s="89"/>
      <c r="E513" s="112"/>
      <c r="F513" s="9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4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89"/>
      <c r="AG513" s="89"/>
      <c r="AH513" s="99"/>
      <c r="AI513" s="95"/>
      <c r="AJ513" s="99"/>
      <c r="AK513" s="100"/>
      <c r="AL513" s="100"/>
      <c r="AM513" s="100"/>
    </row>
    <row r="514" spans="1:39" ht="12" customHeight="1" x14ac:dyDescent="0.3">
      <c r="A514" s="87"/>
      <c r="B514" s="88"/>
      <c r="C514" s="91"/>
      <c r="D514" s="89"/>
      <c r="E514" s="112"/>
      <c r="F514" s="91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4"/>
      <c r="R514" s="96"/>
      <c r="S514" s="97"/>
      <c r="T514" s="97"/>
      <c r="U514" s="97"/>
      <c r="V514" s="93"/>
      <c r="W514" s="124"/>
      <c r="X514" s="123"/>
      <c r="Y514" s="98"/>
      <c r="Z514" s="89"/>
      <c r="AA514" s="97"/>
      <c r="AB514" s="91"/>
      <c r="AC514" s="120"/>
      <c r="AD514" s="89"/>
      <c r="AE514" s="89"/>
      <c r="AF514" s="89"/>
      <c r="AG514" s="89"/>
      <c r="AH514" s="99"/>
      <c r="AI514" s="95"/>
      <c r="AJ514" s="99"/>
      <c r="AK514" s="100"/>
      <c r="AL514" s="100"/>
      <c r="AM514" s="100"/>
    </row>
    <row r="515" spans="1:39" ht="12" customHeight="1" x14ac:dyDescent="0.3">
      <c r="A515" s="87"/>
      <c r="B515" s="88"/>
      <c r="C515" s="91"/>
      <c r="D515" s="89"/>
      <c r="E515" s="112"/>
      <c r="F515" s="91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4"/>
      <c r="R515" s="96"/>
      <c r="S515" s="97"/>
      <c r="T515" s="97"/>
      <c r="U515" s="97"/>
      <c r="V515" s="88"/>
      <c r="W515" s="124"/>
      <c r="X515" s="123"/>
      <c r="Y515" s="98"/>
      <c r="Z515" s="89"/>
      <c r="AA515" s="97"/>
      <c r="AB515" s="91"/>
      <c r="AC515" s="120"/>
      <c r="AD515" s="89"/>
      <c r="AE515" s="89"/>
      <c r="AF515" s="89"/>
      <c r="AG515" s="89"/>
      <c r="AH515" s="99"/>
      <c r="AI515" s="95"/>
      <c r="AJ515" s="99"/>
      <c r="AK515" s="100"/>
      <c r="AL515" s="100"/>
      <c r="AM515" s="100"/>
    </row>
    <row r="516" spans="1:39" ht="12" customHeight="1" x14ac:dyDescent="0.3">
      <c r="A516" s="87"/>
      <c r="B516" s="88"/>
      <c r="C516" s="91"/>
      <c r="D516" s="89"/>
      <c r="E516" s="112"/>
      <c r="F516" s="91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4"/>
      <c r="R516" s="96"/>
      <c r="S516" s="97"/>
      <c r="T516" s="97"/>
      <c r="U516" s="97"/>
      <c r="V516" s="88"/>
      <c r="W516" s="124"/>
      <c r="X516" s="123"/>
      <c r="Y516" s="98"/>
      <c r="Z516" s="89"/>
      <c r="AA516" s="97"/>
      <c r="AB516" s="91"/>
      <c r="AC516" s="120"/>
      <c r="AD516" s="89"/>
      <c r="AE516" s="89"/>
      <c r="AF516" s="89"/>
      <c r="AG516" s="89"/>
      <c r="AH516" s="99"/>
      <c r="AI516" s="95"/>
      <c r="AJ516" s="99"/>
      <c r="AK516" s="100"/>
      <c r="AL516" s="100"/>
      <c r="AM516" s="100"/>
    </row>
    <row r="517" spans="1:39" ht="12" customHeight="1" x14ac:dyDescent="0.3">
      <c r="A517" s="87"/>
      <c r="B517" s="88"/>
      <c r="C517" s="91"/>
      <c r="D517" s="89"/>
      <c r="E517" s="112"/>
      <c r="F517" s="91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4"/>
      <c r="R517" s="96"/>
      <c r="S517" s="97"/>
      <c r="T517" s="97"/>
      <c r="U517" s="97"/>
      <c r="V517" s="88"/>
      <c r="W517" s="124"/>
      <c r="X517" s="123"/>
      <c r="Y517" s="98"/>
      <c r="Z517" s="89"/>
      <c r="AA517" s="97"/>
      <c r="AB517" s="91"/>
      <c r="AC517" s="120"/>
      <c r="AD517" s="89"/>
      <c r="AE517" s="89"/>
      <c r="AF517" s="89"/>
      <c r="AG517" s="89"/>
      <c r="AH517" s="99"/>
      <c r="AI517" s="95"/>
      <c r="AJ517" s="99"/>
      <c r="AK517" s="100"/>
      <c r="AL517" s="100"/>
      <c r="AM517" s="100"/>
    </row>
    <row r="518" spans="1:39" ht="12" customHeight="1" x14ac:dyDescent="0.3">
      <c r="A518" s="87"/>
      <c r="B518" s="88"/>
      <c r="C518" s="91"/>
      <c r="D518" s="89"/>
      <c r="E518" s="112"/>
      <c r="F518" s="91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4"/>
      <c r="R518" s="96"/>
      <c r="S518" s="97"/>
      <c r="T518" s="97"/>
      <c r="U518" s="97"/>
      <c r="V518" s="93"/>
      <c r="W518" s="124"/>
      <c r="X518" s="93"/>
      <c r="Y518" s="98"/>
      <c r="Z518" s="89"/>
      <c r="AA518" s="97"/>
      <c r="AB518" s="91"/>
      <c r="AC518" s="120"/>
      <c r="AD518" s="89"/>
      <c r="AE518" s="89"/>
      <c r="AF518" s="89"/>
      <c r="AG518" s="89"/>
      <c r="AH518" s="99"/>
      <c r="AI518" s="95"/>
      <c r="AJ518" s="99"/>
      <c r="AK518" s="100"/>
      <c r="AL518" s="100"/>
      <c r="AM518" s="100"/>
    </row>
    <row r="519" spans="1:39" ht="12" customHeight="1" x14ac:dyDescent="0.3">
      <c r="A519" s="87"/>
      <c r="B519" s="88"/>
      <c r="C519" s="91"/>
      <c r="D519" s="89"/>
      <c r="E519" s="112"/>
      <c r="F519" s="91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4"/>
      <c r="R519" s="96"/>
      <c r="S519" s="97"/>
      <c r="T519" s="97"/>
      <c r="U519" s="97"/>
      <c r="V519" s="93"/>
      <c r="W519" s="124"/>
      <c r="X519" s="93"/>
      <c r="Y519" s="98"/>
      <c r="Z519" s="89"/>
      <c r="AA519" s="97"/>
      <c r="AB519" s="91"/>
      <c r="AC519" s="120"/>
      <c r="AD519" s="89"/>
      <c r="AE519" s="89"/>
      <c r="AF519" s="89"/>
      <c r="AG519" s="89"/>
      <c r="AH519" s="99"/>
      <c r="AI519" s="99"/>
      <c r="AJ519" s="99"/>
      <c r="AK519" s="100"/>
      <c r="AL519" s="100"/>
      <c r="AM519" s="100"/>
    </row>
    <row r="520" spans="1:39" ht="12" customHeight="1" x14ac:dyDescent="0.3">
      <c r="A520" s="87"/>
      <c r="B520" s="88"/>
      <c r="C520" s="91"/>
      <c r="D520" s="89"/>
      <c r="E520" s="112"/>
      <c r="F520" s="91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4"/>
      <c r="R520" s="96"/>
      <c r="S520" s="97"/>
      <c r="T520" s="97"/>
      <c r="U520" s="97"/>
      <c r="V520" s="93"/>
      <c r="W520" s="124"/>
      <c r="X520" s="93"/>
      <c r="Y520" s="98"/>
      <c r="Z520" s="89"/>
      <c r="AA520" s="97"/>
      <c r="AB520" s="91"/>
      <c r="AC520" s="120"/>
      <c r="AD520" s="89"/>
      <c r="AE520" s="89"/>
      <c r="AF520" s="89"/>
      <c r="AG520" s="89"/>
      <c r="AH520" s="99"/>
      <c r="AI520" s="99"/>
      <c r="AJ520" s="99"/>
      <c r="AK520" s="100"/>
      <c r="AL520" s="100"/>
      <c r="AM520" s="100"/>
    </row>
    <row r="521" spans="1:39" ht="12" customHeight="1" x14ac:dyDescent="0.3">
      <c r="A521" s="87"/>
      <c r="B521" s="88"/>
      <c r="C521" s="91"/>
      <c r="D521" s="89"/>
      <c r="E521" s="112"/>
      <c r="F521" s="91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4"/>
      <c r="R521" s="96"/>
      <c r="S521" s="97"/>
      <c r="T521" s="97"/>
      <c r="U521" s="97"/>
      <c r="V521" s="88"/>
      <c r="W521" s="124"/>
      <c r="X521" s="93"/>
      <c r="Y521" s="98"/>
      <c r="Z521" s="89"/>
      <c r="AA521" s="97"/>
      <c r="AB521" s="91"/>
      <c r="AC521" s="120"/>
      <c r="AD521" s="89"/>
      <c r="AE521" s="89"/>
      <c r="AF521" s="89"/>
      <c r="AG521" s="89"/>
      <c r="AH521" s="99"/>
      <c r="AI521" s="99"/>
      <c r="AJ521" s="99"/>
      <c r="AK521" s="100"/>
      <c r="AL521" s="100"/>
      <c r="AM521" s="100"/>
    </row>
    <row r="522" spans="1:39" ht="12" customHeight="1" x14ac:dyDescent="0.3">
      <c r="A522" s="87"/>
      <c r="B522" s="88"/>
      <c r="C522" s="91"/>
      <c r="D522" s="89"/>
      <c r="E522" s="112"/>
      <c r="F522" s="91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4"/>
      <c r="R522" s="96"/>
      <c r="S522" s="97"/>
      <c r="T522" s="97"/>
      <c r="U522" s="97"/>
      <c r="V522" s="88"/>
      <c r="W522" s="124"/>
      <c r="X522" s="93"/>
      <c r="Y522" s="98"/>
      <c r="Z522" s="89"/>
      <c r="AA522" s="97"/>
      <c r="AB522" s="91"/>
      <c r="AC522" s="120"/>
      <c r="AD522" s="89"/>
      <c r="AE522" s="89"/>
      <c r="AF522" s="89"/>
      <c r="AG522" s="89"/>
      <c r="AH522" s="99"/>
      <c r="AI522" s="99"/>
      <c r="AJ522" s="99"/>
      <c r="AK522" s="100"/>
      <c r="AL522" s="100"/>
      <c r="AM522" s="100"/>
    </row>
    <row r="523" spans="1:39" ht="12" customHeight="1" x14ac:dyDescent="0.3">
      <c r="A523" s="87"/>
      <c r="B523" s="88"/>
      <c r="C523" s="91"/>
      <c r="D523" s="89"/>
      <c r="E523" s="112"/>
      <c r="F523" s="91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4"/>
      <c r="R523" s="96"/>
      <c r="S523" s="97"/>
      <c r="T523" s="97"/>
      <c r="U523" s="97"/>
      <c r="V523" s="88"/>
      <c r="W523" s="124"/>
      <c r="X523" s="93"/>
      <c r="Y523" s="98"/>
      <c r="Z523" s="89"/>
      <c r="AA523" s="97"/>
      <c r="AB523" s="91"/>
      <c r="AC523" s="120"/>
      <c r="AD523" s="89"/>
      <c r="AE523" s="89"/>
      <c r="AF523" s="89"/>
      <c r="AG523" s="89"/>
      <c r="AH523" s="99"/>
      <c r="AI523" s="99"/>
      <c r="AJ523" s="99"/>
      <c r="AK523" s="100"/>
      <c r="AL523" s="100"/>
      <c r="AM523" s="100"/>
    </row>
    <row r="524" spans="1:39" ht="12" customHeight="1" x14ac:dyDescent="0.3">
      <c r="A524" s="87"/>
      <c r="B524" s="88"/>
      <c r="C524" s="91"/>
      <c r="D524" s="89"/>
      <c r="E524" s="112"/>
      <c r="F524" s="91"/>
      <c r="G524" s="92"/>
      <c r="H524" s="93"/>
      <c r="I524" s="92"/>
      <c r="J524" s="89"/>
      <c r="K524" s="114"/>
      <c r="L524" s="89"/>
      <c r="M524" s="89"/>
      <c r="N524" s="89"/>
      <c r="O524" s="94"/>
      <c r="P524" s="95"/>
      <c r="Q524" s="144"/>
      <c r="R524" s="96"/>
      <c r="S524" s="97"/>
      <c r="T524" s="97"/>
      <c r="U524" s="97"/>
      <c r="V524" s="88"/>
      <c r="W524" s="124"/>
      <c r="X524" s="93"/>
      <c r="Y524" s="98"/>
      <c r="Z524" s="89"/>
      <c r="AA524" s="97"/>
      <c r="AB524" s="91"/>
      <c r="AC524" s="120"/>
      <c r="AD524" s="89"/>
      <c r="AE524" s="89"/>
      <c r="AF524" s="89"/>
      <c r="AG524" s="89"/>
      <c r="AH524" s="99"/>
      <c r="AI524" s="99"/>
      <c r="AJ524" s="99"/>
      <c r="AK524" s="100"/>
      <c r="AL524" s="100"/>
      <c r="AM524" s="100"/>
    </row>
    <row r="525" spans="1:39" ht="12" customHeight="1" x14ac:dyDescent="0.3">
      <c r="A525" s="87"/>
      <c r="B525" s="88"/>
      <c r="C525" s="91"/>
      <c r="D525" s="89"/>
      <c r="E525" s="112"/>
      <c r="F525" s="91"/>
      <c r="G525" s="92"/>
      <c r="H525" s="93"/>
      <c r="I525" s="92"/>
      <c r="J525" s="89"/>
      <c r="K525" s="114"/>
      <c r="L525" s="89"/>
      <c r="M525" s="89"/>
      <c r="N525" s="89"/>
      <c r="O525" s="94"/>
      <c r="P525" s="95"/>
      <c r="Q525" s="144"/>
      <c r="R525" s="96"/>
      <c r="S525" s="97"/>
      <c r="T525" s="97"/>
      <c r="U525" s="97"/>
      <c r="V525" s="88"/>
      <c r="W525" s="124"/>
      <c r="X525" s="93"/>
      <c r="Y525" s="98"/>
      <c r="Z525" s="89"/>
      <c r="AA525" s="97"/>
      <c r="AB525" s="91"/>
      <c r="AC525" s="120"/>
      <c r="AD525" s="89"/>
      <c r="AE525" s="89"/>
      <c r="AF525" s="89"/>
      <c r="AG525" s="89"/>
      <c r="AH525" s="99"/>
      <c r="AI525" s="99"/>
      <c r="AJ525" s="99"/>
      <c r="AK525" s="100"/>
      <c r="AL525" s="100"/>
      <c r="AM525" s="100"/>
    </row>
    <row r="526" spans="1:39" ht="12" customHeight="1" x14ac:dyDescent="0.3">
      <c r="A526" s="87"/>
      <c r="B526" s="93"/>
      <c r="C526" s="91"/>
      <c r="D526" s="89"/>
      <c r="E526" s="112"/>
      <c r="F526" s="91"/>
      <c r="G526" s="92"/>
      <c r="H526" s="93"/>
      <c r="I526" s="92"/>
      <c r="J526" s="89"/>
      <c r="K526" s="89"/>
      <c r="L526" s="89"/>
      <c r="M526" s="89"/>
      <c r="N526" s="89"/>
      <c r="O526" s="91"/>
      <c r="P526" s="95"/>
      <c r="Q526" s="144"/>
      <c r="R526" s="97"/>
      <c r="S526" s="97"/>
      <c r="T526" s="97"/>
      <c r="U526" s="97"/>
      <c r="V526" s="93"/>
      <c r="W526" s="89"/>
      <c r="X526" s="89"/>
      <c r="Y526" s="98"/>
      <c r="Z526" s="89"/>
      <c r="AA526" s="97"/>
      <c r="AB526" s="91"/>
      <c r="AC526" s="120"/>
      <c r="AD526" s="89"/>
      <c r="AE526" s="89"/>
      <c r="AF526" s="89"/>
      <c r="AG526" s="89"/>
      <c r="AH526" s="99"/>
      <c r="AI526" s="95"/>
      <c r="AJ526" s="99"/>
      <c r="AK526" s="100"/>
      <c r="AL526" s="100"/>
      <c r="AM526" s="100"/>
    </row>
    <row r="527" spans="1:39" ht="12" customHeight="1" x14ac:dyDescent="0.3">
      <c r="A527" s="87"/>
      <c r="B527" s="93"/>
      <c r="C527" s="91"/>
      <c r="D527" s="89"/>
      <c r="E527" s="112"/>
      <c r="F527" s="91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4"/>
      <c r="R527" s="97"/>
      <c r="S527" s="97"/>
      <c r="T527" s="97"/>
      <c r="U527" s="97"/>
      <c r="V527" s="93"/>
      <c r="W527" s="89"/>
      <c r="X527" s="89"/>
      <c r="Y527" s="98"/>
      <c r="Z527" s="89"/>
      <c r="AA527" s="97"/>
      <c r="AB527" s="91"/>
      <c r="AC527" s="120"/>
      <c r="AD527" s="89"/>
      <c r="AE527" s="89"/>
      <c r="AF527" s="89"/>
      <c r="AG527" s="89"/>
      <c r="AH527" s="99"/>
      <c r="AI527" s="99"/>
      <c r="AJ527" s="99"/>
      <c r="AK527" s="100"/>
      <c r="AL527" s="100"/>
      <c r="AM527" s="100"/>
    </row>
    <row r="528" spans="1:39" ht="12" customHeight="1" x14ac:dyDescent="0.3">
      <c r="A528" s="87"/>
      <c r="B528" s="93"/>
      <c r="C528" s="91"/>
      <c r="D528" s="89"/>
      <c r="E528" s="112"/>
      <c r="F528" s="9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4"/>
      <c r="R528" s="97"/>
      <c r="S528" s="97"/>
      <c r="T528" s="97"/>
      <c r="U528" s="97"/>
      <c r="V528" s="93"/>
      <c r="W528" s="93"/>
      <c r="X528" s="93"/>
      <c r="Y528" s="98"/>
      <c r="Z528" s="89"/>
      <c r="AA528" s="97"/>
      <c r="AB528" s="91"/>
      <c r="AC528" s="120"/>
      <c r="AD528" s="89"/>
      <c r="AE528" s="89"/>
      <c r="AF528" s="89"/>
      <c r="AG528" s="89"/>
      <c r="AH528" s="99"/>
      <c r="AI528" s="99"/>
      <c r="AJ528" s="99"/>
      <c r="AK528" s="100"/>
      <c r="AL528" s="100"/>
      <c r="AM528" s="100"/>
    </row>
    <row r="529" spans="1:39" ht="12" customHeight="1" x14ac:dyDescent="0.3">
      <c r="A529" s="87"/>
      <c r="B529" s="93"/>
      <c r="C529" s="91"/>
      <c r="D529" s="89"/>
      <c r="E529" s="112"/>
      <c r="F529" s="9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4"/>
      <c r="R529" s="96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89"/>
      <c r="AG529" s="89"/>
      <c r="AH529" s="99"/>
      <c r="AI529" s="95"/>
      <c r="AJ529" s="99"/>
      <c r="AK529" s="100"/>
      <c r="AL529" s="100"/>
      <c r="AM529" s="100"/>
    </row>
    <row r="530" spans="1:39" ht="12" customHeight="1" x14ac:dyDescent="0.3">
      <c r="A530" s="87"/>
      <c r="B530" s="93"/>
      <c r="C530" s="91"/>
      <c r="D530" s="89"/>
      <c r="E530" s="112"/>
      <c r="F530" s="9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4"/>
      <c r="R530" s="96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89"/>
      <c r="AG530" s="89"/>
      <c r="AH530" s="99"/>
      <c r="AI530" s="95"/>
      <c r="AJ530" s="99"/>
      <c r="AK530" s="100"/>
      <c r="AL530" s="100"/>
      <c r="AM530" s="100"/>
    </row>
    <row r="531" spans="1:39" ht="12" customHeight="1" x14ac:dyDescent="0.3">
      <c r="A531" s="87"/>
      <c r="B531" s="93"/>
      <c r="C531" s="91"/>
      <c r="D531" s="89"/>
      <c r="E531" s="112"/>
      <c r="F531" s="9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4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89"/>
      <c r="AG531" s="89"/>
      <c r="AH531" s="99"/>
      <c r="AI531" s="95"/>
      <c r="AJ531" s="99"/>
      <c r="AK531" s="100"/>
      <c r="AL531" s="100"/>
      <c r="AM531" s="100"/>
    </row>
    <row r="532" spans="1:39" ht="12" customHeight="1" x14ac:dyDescent="0.3">
      <c r="A532" s="87"/>
      <c r="B532" s="93"/>
      <c r="C532" s="91"/>
      <c r="D532" s="89"/>
      <c r="E532" s="112"/>
      <c r="F532" s="9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4"/>
      <c r="R532" s="97"/>
      <c r="S532" s="97"/>
      <c r="T532" s="97"/>
      <c r="U532" s="97"/>
      <c r="V532" s="93"/>
      <c r="W532" s="123"/>
      <c r="X532" s="89"/>
      <c r="Y532" s="98"/>
      <c r="Z532" s="89"/>
      <c r="AA532" s="97"/>
      <c r="AB532" s="91"/>
      <c r="AC532" s="120"/>
      <c r="AD532" s="89"/>
      <c r="AE532" s="89"/>
      <c r="AF532" s="89"/>
      <c r="AG532" s="89"/>
      <c r="AH532" s="99"/>
      <c r="AI532" s="95"/>
      <c r="AJ532" s="99"/>
      <c r="AK532" s="100"/>
      <c r="AL532" s="100"/>
      <c r="AM532" s="100"/>
    </row>
    <row r="533" spans="1:39" ht="12" customHeight="1" x14ac:dyDescent="0.3">
      <c r="A533" s="87"/>
      <c r="B533" s="93"/>
      <c r="C533" s="91"/>
      <c r="D533" s="89"/>
      <c r="E533" s="112"/>
      <c r="F533" s="9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4"/>
      <c r="R533" s="97"/>
      <c r="S533" s="97"/>
      <c r="T533" s="97"/>
      <c r="U533" s="97"/>
      <c r="V533" s="93"/>
      <c r="W533" s="93"/>
      <c r="X533" s="93"/>
      <c r="Y533" s="98"/>
      <c r="Z533" s="89"/>
      <c r="AA533" s="97"/>
      <c r="AB533" s="91"/>
      <c r="AC533" s="120"/>
      <c r="AD533" s="89"/>
      <c r="AE533" s="89"/>
      <c r="AF533" s="89"/>
      <c r="AG533" s="89"/>
      <c r="AH533" s="99"/>
      <c r="AI533" s="99"/>
      <c r="AJ533" s="99"/>
      <c r="AK533" s="100"/>
      <c r="AL533" s="100"/>
      <c r="AM533" s="100"/>
    </row>
    <row r="534" spans="1:39" ht="12" customHeight="1" x14ac:dyDescent="0.3">
      <c r="A534" s="87"/>
      <c r="B534" s="93"/>
      <c r="C534" s="91"/>
      <c r="D534" s="89"/>
      <c r="E534" s="112"/>
      <c r="F534" s="9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4"/>
      <c r="R534" s="97"/>
      <c r="S534" s="97"/>
      <c r="T534" s="97"/>
      <c r="U534" s="97"/>
      <c r="V534" s="93"/>
      <c r="W534" s="93"/>
      <c r="X534" s="93"/>
      <c r="Y534" s="98"/>
      <c r="Z534" s="89"/>
      <c r="AA534" s="97"/>
      <c r="AB534" s="91"/>
      <c r="AC534" s="120"/>
      <c r="AD534" s="89"/>
      <c r="AE534" s="89"/>
      <c r="AF534" s="89"/>
      <c r="AG534" s="89"/>
      <c r="AH534" s="99"/>
      <c r="AI534" s="99"/>
      <c r="AJ534" s="99"/>
      <c r="AK534" s="100"/>
      <c r="AL534" s="100"/>
      <c r="AM534" s="100"/>
    </row>
    <row r="535" spans="1:39" ht="12" customHeight="1" x14ac:dyDescent="0.3">
      <c r="A535" s="87"/>
      <c r="B535" s="93"/>
      <c r="C535" s="91"/>
      <c r="D535" s="89"/>
      <c r="E535" s="112"/>
      <c r="F535" s="9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4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89"/>
      <c r="AG535" s="89"/>
      <c r="AH535" s="99"/>
      <c r="AI535" s="99"/>
      <c r="AJ535" s="99"/>
      <c r="AK535" s="100"/>
      <c r="AL535" s="100"/>
      <c r="AM535" s="100"/>
    </row>
    <row r="536" spans="1:39" ht="12" customHeight="1" x14ac:dyDescent="0.3">
      <c r="A536" s="87"/>
      <c r="B536" s="93"/>
      <c r="C536" s="91"/>
      <c r="D536" s="89"/>
      <c r="E536" s="112"/>
      <c r="F536" s="9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4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89"/>
      <c r="AG536" s="89"/>
      <c r="AH536" s="99"/>
      <c r="AI536" s="99"/>
      <c r="AJ536" s="99"/>
      <c r="AK536" s="100"/>
      <c r="AL536" s="100"/>
      <c r="AM536" s="100"/>
    </row>
    <row r="537" spans="1:39" ht="12" customHeight="1" x14ac:dyDescent="0.3">
      <c r="A537" s="87"/>
      <c r="B537" s="93"/>
      <c r="C537" s="91"/>
      <c r="D537" s="89"/>
      <c r="E537" s="112"/>
      <c r="F537" s="9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4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89"/>
      <c r="AG537" s="89"/>
      <c r="AH537" s="99"/>
      <c r="AI537" s="99"/>
      <c r="AJ537" s="99"/>
      <c r="AK537" s="100"/>
      <c r="AL537" s="100"/>
      <c r="AM537" s="100"/>
    </row>
    <row r="538" spans="1:39" ht="12" customHeight="1" x14ac:dyDescent="0.3">
      <c r="A538" s="87"/>
      <c r="B538" s="93"/>
      <c r="C538" s="91"/>
      <c r="D538" s="89"/>
      <c r="E538" s="112"/>
      <c r="F538" s="9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4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89"/>
      <c r="AG538" s="89"/>
      <c r="AH538" s="99"/>
      <c r="AI538" s="99"/>
      <c r="AJ538" s="99"/>
      <c r="AK538" s="100"/>
      <c r="AL538" s="100"/>
      <c r="AM538" s="100"/>
    </row>
    <row r="539" spans="1:39" ht="12" customHeight="1" x14ac:dyDescent="0.3">
      <c r="A539" s="87"/>
      <c r="B539" s="93"/>
      <c r="C539" s="91"/>
      <c r="D539" s="89"/>
      <c r="E539" s="112"/>
      <c r="F539" s="9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4"/>
      <c r="R539" s="97"/>
      <c r="S539" s="97"/>
      <c r="T539" s="97"/>
      <c r="U539" s="97"/>
      <c r="V539" s="93"/>
      <c r="W539" s="93"/>
      <c r="X539" s="89"/>
      <c r="Y539" s="98"/>
      <c r="Z539" s="89"/>
      <c r="AA539" s="97"/>
      <c r="AB539" s="91"/>
      <c r="AC539" s="120"/>
      <c r="AD539" s="89"/>
      <c r="AE539" s="89"/>
      <c r="AF539" s="89"/>
      <c r="AG539" s="89"/>
      <c r="AH539" s="95"/>
      <c r="AI539" s="95"/>
      <c r="AJ539" s="95"/>
      <c r="AK539" s="100"/>
      <c r="AL539" s="100"/>
      <c r="AM539" s="100"/>
    </row>
    <row r="540" spans="1:39" ht="12" customHeight="1" x14ac:dyDescent="0.3">
      <c r="A540" s="87"/>
      <c r="B540" s="93"/>
      <c r="C540" s="91"/>
      <c r="D540" s="89"/>
      <c r="E540" s="112"/>
      <c r="F540" s="9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4"/>
      <c r="R540" s="97"/>
      <c r="S540" s="97"/>
      <c r="T540" s="97"/>
      <c r="U540" s="97"/>
      <c r="V540" s="93"/>
      <c r="W540" s="89"/>
      <c r="X540" s="89"/>
      <c r="Y540" s="98"/>
      <c r="Z540" s="89"/>
      <c r="AA540" s="97"/>
      <c r="AB540" s="91"/>
      <c r="AC540" s="120"/>
      <c r="AD540" s="89"/>
      <c r="AE540" s="89"/>
      <c r="AF540" s="89"/>
      <c r="AG540" s="89"/>
      <c r="AH540" s="95"/>
      <c r="AI540" s="95"/>
      <c r="AJ540" s="95"/>
      <c r="AK540" s="100"/>
      <c r="AL540" s="100"/>
      <c r="AM540" s="100"/>
    </row>
    <row r="541" spans="1:39" ht="12" customHeight="1" x14ac:dyDescent="0.3">
      <c r="A541" s="87"/>
      <c r="B541" s="93"/>
      <c r="C541" s="91"/>
      <c r="D541" s="89"/>
      <c r="E541" s="112"/>
      <c r="F541" s="9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4"/>
      <c r="R541" s="97"/>
      <c r="S541" s="97"/>
      <c r="T541" s="97"/>
      <c r="U541" s="97"/>
      <c r="V541" s="93"/>
      <c r="W541" s="89"/>
      <c r="X541" s="89"/>
      <c r="Y541" s="98"/>
      <c r="Z541" s="89"/>
      <c r="AA541" s="97"/>
      <c r="AB541" s="91"/>
      <c r="AC541" s="120"/>
      <c r="AD541" s="89"/>
      <c r="AE541" s="89"/>
      <c r="AF541" s="89"/>
      <c r="AG541" s="89"/>
      <c r="AH541" s="95"/>
      <c r="AI541" s="95"/>
      <c r="AJ541" s="95"/>
      <c r="AK541" s="100"/>
      <c r="AL541" s="100"/>
      <c r="AM541" s="100"/>
    </row>
    <row r="542" spans="1:39" ht="12" customHeight="1" x14ac:dyDescent="0.3">
      <c r="A542" s="87"/>
      <c r="B542" s="93"/>
      <c r="C542" s="91"/>
      <c r="D542" s="89"/>
      <c r="E542" s="112"/>
      <c r="F542" s="9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4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89"/>
      <c r="AG542" s="89"/>
      <c r="AH542" s="95"/>
      <c r="AI542" s="95"/>
      <c r="AJ542" s="95"/>
      <c r="AK542" s="100"/>
      <c r="AL542" s="100"/>
      <c r="AM542" s="100"/>
    </row>
    <row r="543" spans="1:39" ht="12" customHeight="1" x14ac:dyDescent="0.3">
      <c r="A543" s="87"/>
      <c r="B543" s="93"/>
      <c r="C543" s="91"/>
      <c r="D543" s="89"/>
      <c r="E543" s="112"/>
      <c r="F543" s="9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4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89"/>
      <c r="AG543" s="89"/>
      <c r="AH543" s="95"/>
      <c r="AI543" s="99"/>
      <c r="AJ543" s="95"/>
      <c r="AK543" s="100"/>
      <c r="AL543" s="100"/>
      <c r="AM543" s="100"/>
    </row>
    <row r="544" spans="1:39" ht="12" customHeight="1" x14ac:dyDescent="0.3">
      <c r="A544" s="87"/>
      <c r="B544" s="93"/>
      <c r="C544" s="91"/>
      <c r="D544" s="89"/>
      <c r="E544" s="112"/>
      <c r="F544" s="9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4"/>
      <c r="R544" s="97"/>
      <c r="S544" s="97"/>
      <c r="T544" s="97"/>
      <c r="U544" s="97"/>
      <c r="V544" s="93"/>
      <c r="W544" s="93"/>
      <c r="X544" s="123"/>
      <c r="Y544" s="98"/>
      <c r="Z544" s="89"/>
      <c r="AA544" s="97"/>
      <c r="AB544" s="91"/>
      <c r="AC544" s="120"/>
      <c r="AD544" s="89"/>
      <c r="AE544" s="89"/>
      <c r="AF544" s="89"/>
      <c r="AG544" s="89"/>
      <c r="AH544" s="95"/>
      <c r="AI544" s="95"/>
      <c r="AJ544" s="95"/>
      <c r="AK544" s="100"/>
      <c r="AL544" s="100"/>
      <c r="AM544" s="100"/>
    </row>
    <row r="545" spans="1:39" ht="12" customHeight="1" x14ac:dyDescent="0.3">
      <c r="A545" s="87"/>
      <c r="B545" s="93"/>
      <c r="C545" s="91"/>
      <c r="D545" s="89"/>
      <c r="E545" s="112"/>
      <c r="F545" s="9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4"/>
      <c r="R545" s="97"/>
      <c r="S545" s="97"/>
      <c r="T545" s="97"/>
      <c r="U545" s="97"/>
      <c r="V545" s="93"/>
      <c r="W545" s="93"/>
      <c r="X545" s="123"/>
      <c r="Y545" s="98"/>
      <c r="Z545" s="89"/>
      <c r="AA545" s="97"/>
      <c r="AB545" s="91"/>
      <c r="AC545" s="120"/>
      <c r="AD545" s="89"/>
      <c r="AE545" s="89"/>
      <c r="AF545" s="89"/>
      <c r="AG545" s="89"/>
      <c r="AH545" s="95"/>
      <c r="AI545" s="95"/>
      <c r="AJ545" s="95"/>
      <c r="AK545" s="100"/>
      <c r="AL545" s="100"/>
      <c r="AM545" s="100"/>
    </row>
    <row r="546" spans="1:39" ht="12" customHeight="1" x14ac:dyDescent="0.3">
      <c r="A546" s="87"/>
      <c r="B546" s="93"/>
      <c r="C546" s="91"/>
      <c r="D546" s="89"/>
      <c r="E546" s="112"/>
      <c r="F546" s="9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4"/>
      <c r="R546" s="96"/>
      <c r="S546" s="97"/>
      <c r="T546" s="97"/>
      <c r="U546" s="97"/>
      <c r="V546" s="93"/>
      <c r="W546" s="93"/>
      <c r="X546" s="89"/>
      <c r="Y546" s="98"/>
      <c r="Z546" s="89"/>
      <c r="AA546" s="97"/>
      <c r="AB546" s="91"/>
      <c r="AC546" s="120"/>
      <c r="AD546" s="89"/>
      <c r="AE546" s="89"/>
      <c r="AF546" s="89"/>
      <c r="AG546" s="89"/>
      <c r="AH546" s="95"/>
      <c r="AI546" s="95"/>
      <c r="AJ546" s="95"/>
      <c r="AK546" s="100"/>
      <c r="AL546" s="100"/>
      <c r="AM546" s="100"/>
    </row>
    <row r="547" spans="1:39" ht="12" customHeight="1" x14ac:dyDescent="0.3">
      <c r="A547" s="87"/>
      <c r="B547" s="93"/>
      <c r="C547" s="91"/>
      <c r="D547" s="89"/>
      <c r="E547" s="112"/>
      <c r="F547" s="9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4"/>
      <c r="R547" s="96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89"/>
      <c r="AG547" s="89"/>
      <c r="AH547" s="95"/>
      <c r="AI547" s="95"/>
      <c r="AJ547" s="95"/>
      <c r="AK547" s="100"/>
      <c r="AL547" s="100"/>
      <c r="AM547" s="100"/>
    </row>
    <row r="548" spans="1:39" ht="12" customHeight="1" x14ac:dyDescent="0.3">
      <c r="A548" s="87"/>
      <c r="B548" s="93"/>
      <c r="C548" s="91"/>
      <c r="D548" s="89"/>
      <c r="E548" s="112"/>
      <c r="F548" s="91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4"/>
      <c r="R548" s="97"/>
      <c r="S548" s="97"/>
      <c r="T548" s="97"/>
      <c r="U548" s="97"/>
      <c r="V548" s="93"/>
      <c r="W548" s="93"/>
      <c r="X548" s="93"/>
      <c r="Y548" s="98"/>
      <c r="Z548" s="89"/>
      <c r="AA548" s="97"/>
      <c r="AB548" s="91"/>
      <c r="AC548" s="120"/>
      <c r="AD548" s="89"/>
      <c r="AE548" s="89"/>
      <c r="AF548" s="89"/>
      <c r="AG548" s="89"/>
      <c r="AH548" s="95"/>
      <c r="AI548" s="95"/>
      <c r="AJ548" s="99"/>
      <c r="AK548" s="100"/>
      <c r="AL548" s="100"/>
      <c r="AM548" s="100"/>
    </row>
    <row r="549" spans="1:39" ht="12" customHeight="1" x14ac:dyDescent="0.3">
      <c r="A549" s="87"/>
      <c r="B549" s="93"/>
      <c r="C549" s="91"/>
      <c r="D549" s="89"/>
      <c r="E549" s="112"/>
      <c r="F549" s="91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4"/>
      <c r="R549" s="97"/>
      <c r="S549" s="97"/>
      <c r="T549" s="97"/>
      <c r="U549" s="97"/>
      <c r="V549" s="93"/>
      <c r="W549" s="93"/>
      <c r="X549" s="93"/>
      <c r="Y549" s="98"/>
      <c r="Z549" s="89"/>
      <c r="AA549" s="97"/>
      <c r="AB549" s="91"/>
      <c r="AC549" s="120"/>
      <c r="AD549" s="89"/>
      <c r="AE549" s="89"/>
      <c r="AF549" s="89"/>
      <c r="AG549" s="89"/>
      <c r="AH549" s="95"/>
      <c r="AI549" s="95"/>
      <c r="AJ549" s="99"/>
      <c r="AK549" s="100"/>
      <c r="AL549" s="100"/>
      <c r="AM549" s="100"/>
    </row>
    <row r="550" spans="1:39" ht="12" customHeight="1" x14ac:dyDescent="0.3">
      <c r="A550" s="87"/>
      <c r="B550" s="93"/>
      <c r="C550" s="91"/>
      <c r="D550" s="89"/>
      <c r="E550" s="112"/>
      <c r="F550" s="91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4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89"/>
      <c r="AG550" s="89"/>
      <c r="AH550" s="95"/>
      <c r="AI550" s="95"/>
      <c r="AJ550" s="99"/>
      <c r="AK550" s="100"/>
      <c r="AL550" s="100"/>
      <c r="AM550" s="100"/>
    </row>
    <row r="551" spans="1:39" ht="12" customHeight="1" x14ac:dyDescent="0.3">
      <c r="A551" s="87"/>
      <c r="B551" s="93"/>
      <c r="C551" s="91"/>
      <c r="D551" s="89"/>
      <c r="E551" s="112"/>
      <c r="F551" s="91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4"/>
      <c r="R551" s="97"/>
      <c r="S551" s="97"/>
      <c r="T551" s="97"/>
      <c r="U551" s="97"/>
      <c r="V551" s="93"/>
      <c r="W551" s="123"/>
      <c r="X551" s="89"/>
      <c r="Y551" s="98"/>
      <c r="Z551" s="89"/>
      <c r="AA551" s="97"/>
      <c r="AB551" s="91"/>
      <c r="AC551" s="120"/>
      <c r="AD551" s="89"/>
      <c r="AE551" s="89"/>
      <c r="AF551" s="89"/>
      <c r="AG551" s="89"/>
      <c r="AH551" s="95"/>
      <c r="AI551" s="95"/>
      <c r="AJ551" s="95"/>
      <c r="AK551" s="100"/>
      <c r="AL551" s="100"/>
      <c r="AM551" s="100"/>
    </row>
    <row r="552" spans="1:39" ht="12" customHeight="1" x14ac:dyDescent="0.3">
      <c r="A552" s="87"/>
      <c r="B552" s="93"/>
      <c r="C552" s="91"/>
      <c r="D552" s="89"/>
      <c r="E552" s="112"/>
      <c r="F552" s="91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4"/>
      <c r="R552" s="97"/>
      <c r="S552" s="97"/>
      <c r="T552" s="97"/>
      <c r="U552" s="97"/>
      <c r="V552" s="93"/>
      <c r="W552" s="93"/>
      <c r="X552" s="89"/>
      <c r="Y552" s="98"/>
      <c r="Z552" s="89"/>
      <c r="AA552" s="97"/>
      <c r="AB552" s="91"/>
      <c r="AC552" s="120"/>
      <c r="AD552" s="89"/>
      <c r="AE552" s="89"/>
      <c r="AF552" s="89"/>
      <c r="AG552" s="89"/>
      <c r="AH552" s="95"/>
      <c r="AI552" s="95"/>
      <c r="AJ552" s="95"/>
      <c r="AK552" s="100"/>
      <c r="AL552" s="100"/>
      <c r="AM552" s="100"/>
    </row>
    <row r="553" spans="1:39" ht="12" customHeight="1" x14ac:dyDescent="0.3">
      <c r="A553" s="87"/>
      <c r="B553" s="93"/>
      <c r="C553" s="91"/>
      <c r="D553" s="89"/>
      <c r="E553" s="112"/>
      <c r="F553" s="91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4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89"/>
      <c r="AG553" s="89"/>
      <c r="AH553" s="95"/>
      <c r="AI553" s="95"/>
      <c r="AJ553" s="95"/>
      <c r="AK553" s="100"/>
      <c r="AL553" s="100"/>
      <c r="AM553" s="100"/>
    </row>
    <row r="554" spans="1:39" ht="12" customHeight="1" x14ac:dyDescent="0.3">
      <c r="A554" s="87"/>
      <c r="B554" s="93"/>
      <c r="C554" s="91"/>
      <c r="D554" s="89"/>
      <c r="E554" s="112"/>
      <c r="F554" s="91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4"/>
      <c r="R554" s="96"/>
      <c r="S554" s="97"/>
      <c r="T554" s="97"/>
      <c r="U554" s="97"/>
      <c r="V554" s="93"/>
      <c r="W554" s="89"/>
      <c r="X554" s="89"/>
      <c r="Y554" s="98"/>
      <c r="Z554" s="89"/>
      <c r="AA554" s="97"/>
      <c r="AB554" s="91"/>
      <c r="AC554" s="120"/>
      <c r="AD554" s="89"/>
      <c r="AE554" s="89"/>
      <c r="AF554" s="89"/>
      <c r="AG554" s="89"/>
      <c r="AH554" s="95"/>
      <c r="AI554" s="95"/>
      <c r="AJ554" s="95"/>
      <c r="AK554" s="100"/>
      <c r="AL554" s="100"/>
      <c r="AM554" s="100"/>
    </row>
    <row r="555" spans="1:39" ht="12" customHeight="1" x14ac:dyDescent="0.3">
      <c r="A555" s="87"/>
      <c r="B555" s="93"/>
      <c r="C555" s="91"/>
      <c r="D555" s="89"/>
      <c r="E555" s="112"/>
      <c r="F555" s="91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4"/>
      <c r="R555" s="96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89"/>
      <c r="AG555" s="89"/>
      <c r="AH555" s="95"/>
      <c r="AI555" s="95"/>
      <c r="AJ555" s="95"/>
      <c r="AK555" s="100"/>
      <c r="AL555" s="100"/>
      <c r="AM555" s="100"/>
    </row>
    <row r="556" spans="1:39" ht="12" customHeight="1" x14ac:dyDescent="0.3">
      <c r="A556" s="87"/>
      <c r="B556" s="93"/>
      <c r="C556" s="91"/>
      <c r="D556" s="89"/>
      <c r="E556" s="112"/>
      <c r="F556" s="91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4"/>
      <c r="R556" s="97"/>
      <c r="S556" s="97"/>
      <c r="T556" s="97"/>
      <c r="U556" s="97"/>
      <c r="V556" s="93"/>
      <c r="W556" s="93"/>
      <c r="X556" s="89"/>
      <c r="Y556" s="98"/>
      <c r="Z556" s="89"/>
      <c r="AA556" s="97"/>
      <c r="AB556" s="91"/>
      <c r="AC556" s="120"/>
      <c r="AD556" s="89"/>
      <c r="AE556" s="89"/>
      <c r="AF556" s="89"/>
      <c r="AG556" s="89"/>
      <c r="AH556" s="95"/>
      <c r="AI556" s="95"/>
      <c r="AJ556" s="95"/>
      <c r="AK556" s="100"/>
      <c r="AL556" s="100"/>
      <c r="AM556" s="100"/>
    </row>
    <row r="557" spans="1:39" ht="12" customHeight="1" x14ac:dyDescent="0.3">
      <c r="A557" s="87"/>
      <c r="B557" s="93"/>
      <c r="C557" s="91"/>
      <c r="D557" s="89"/>
      <c r="E557" s="112"/>
      <c r="F557" s="91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4"/>
      <c r="R557" s="97"/>
      <c r="S557" s="97"/>
      <c r="T557" s="97"/>
      <c r="U557" s="97"/>
      <c r="V557" s="93"/>
      <c r="W557" s="93"/>
      <c r="X557" s="89"/>
      <c r="Y557" s="98"/>
      <c r="Z557" s="89"/>
      <c r="AA557" s="97"/>
      <c r="AB557" s="91"/>
      <c r="AC557" s="120"/>
      <c r="AD557" s="89"/>
      <c r="AE557" s="89"/>
      <c r="AF557" s="89"/>
      <c r="AG557" s="89"/>
      <c r="AH557" s="95"/>
      <c r="AI557" s="95"/>
      <c r="AJ557" s="95"/>
      <c r="AK557" s="100"/>
      <c r="AL557" s="100"/>
      <c r="AM557" s="100"/>
    </row>
    <row r="558" spans="1:39" ht="12" customHeight="1" x14ac:dyDescent="0.3">
      <c r="A558" s="87"/>
      <c r="B558" s="93"/>
      <c r="C558" s="91"/>
      <c r="D558" s="89"/>
      <c r="E558" s="112"/>
      <c r="F558" s="91"/>
      <c r="G558" s="92"/>
      <c r="H558" s="93"/>
      <c r="I558" s="92"/>
      <c r="J558" s="89"/>
      <c r="K558" s="89"/>
      <c r="L558" s="89"/>
      <c r="M558" s="89"/>
      <c r="N558" s="89"/>
      <c r="O558" s="91"/>
      <c r="P558" s="143"/>
      <c r="Q558" s="144"/>
      <c r="R558" s="97"/>
      <c r="S558" s="97"/>
      <c r="T558" s="97"/>
      <c r="U558" s="97"/>
      <c r="V558" s="93"/>
      <c r="W558" s="89"/>
      <c r="X558" s="89"/>
      <c r="Y558" s="98"/>
      <c r="Z558" s="89"/>
      <c r="AA558" s="97"/>
      <c r="AB558" s="91"/>
      <c r="AC558" s="120"/>
      <c r="AD558" s="89"/>
      <c r="AE558" s="89"/>
      <c r="AF558" s="89"/>
      <c r="AG558" s="89"/>
      <c r="AH558" s="95"/>
      <c r="AI558" s="95"/>
      <c r="AJ558" s="95"/>
      <c r="AK558" s="100"/>
      <c r="AL558" s="100"/>
      <c r="AM558" s="100"/>
    </row>
    <row r="559" spans="1:39" ht="12" customHeight="1" x14ac:dyDescent="0.3">
      <c r="A559" s="87"/>
      <c r="B559" s="93"/>
      <c r="C559" s="91"/>
      <c r="D559" s="89"/>
      <c r="E559" s="112"/>
      <c r="F559" s="91"/>
      <c r="G559" s="92"/>
      <c r="H559" s="93"/>
      <c r="I559" s="92"/>
      <c r="J559" s="89"/>
      <c r="K559" s="89"/>
      <c r="L559" s="89"/>
      <c r="M559" s="89"/>
      <c r="N559" s="89"/>
      <c r="O559" s="91"/>
      <c r="P559" s="143"/>
      <c r="Q559" s="144"/>
      <c r="R559" s="97"/>
      <c r="S559" s="97"/>
      <c r="T559" s="97"/>
      <c r="U559" s="97"/>
      <c r="V559" s="93"/>
      <c r="W559" s="89"/>
      <c r="X559" s="89"/>
      <c r="Y559" s="98"/>
      <c r="Z559" s="89"/>
      <c r="AA559" s="97"/>
      <c r="AB559" s="91"/>
      <c r="AC559" s="120"/>
      <c r="AD559" s="89"/>
      <c r="AE559" s="89"/>
      <c r="AF559" s="89"/>
      <c r="AG559" s="89"/>
      <c r="AH559" s="95"/>
      <c r="AI559" s="95"/>
      <c r="AJ559" s="95"/>
      <c r="AK559" s="100"/>
      <c r="AL559" s="100"/>
      <c r="AM559" s="100"/>
    </row>
    <row r="560" spans="1:39" ht="12" customHeight="1" x14ac:dyDescent="0.3">
      <c r="A560" s="87"/>
      <c r="B560" s="93"/>
      <c r="C560" s="91"/>
      <c r="D560" s="89"/>
      <c r="E560" s="112"/>
      <c r="F560" s="91"/>
      <c r="G560" s="92"/>
      <c r="H560" s="93"/>
      <c r="I560" s="92"/>
      <c r="J560" s="89"/>
      <c r="K560" s="89"/>
      <c r="L560" s="89"/>
      <c r="M560" s="89"/>
      <c r="N560" s="89"/>
      <c r="O560" s="91"/>
      <c r="P560" s="143"/>
      <c r="Q560" s="144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89"/>
      <c r="AG560" s="89"/>
      <c r="AH560" s="95"/>
      <c r="AI560" s="95"/>
      <c r="AJ560" s="95"/>
      <c r="AK560" s="100"/>
      <c r="AL560" s="100"/>
      <c r="AM560" s="100"/>
    </row>
    <row r="561" spans="1:39" ht="12" customHeight="1" x14ac:dyDescent="0.3">
      <c r="A561" s="87"/>
      <c r="B561" s="93"/>
      <c r="C561" s="91"/>
      <c r="D561" s="89"/>
      <c r="E561" s="112"/>
      <c r="F561" s="91"/>
      <c r="G561" s="92"/>
      <c r="H561" s="93"/>
      <c r="I561" s="92"/>
      <c r="J561" s="89"/>
      <c r="K561" s="89"/>
      <c r="L561" s="89"/>
      <c r="M561" s="89"/>
      <c r="N561" s="89"/>
      <c r="O561" s="91"/>
      <c r="P561" s="143"/>
      <c r="Q561" s="144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89"/>
      <c r="AG561" s="89"/>
      <c r="AH561" s="95"/>
      <c r="AI561" s="95"/>
      <c r="AJ561" s="95"/>
      <c r="AK561" s="100"/>
      <c r="AL561" s="100"/>
      <c r="AM561" s="100"/>
    </row>
    <row r="562" spans="1:39" ht="12" customHeight="1" x14ac:dyDescent="0.3">
      <c r="A562" s="87"/>
      <c r="B562" s="93"/>
      <c r="C562" s="91"/>
      <c r="D562" s="89"/>
      <c r="E562" s="112"/>
      <c r="F562" s="91"/>
      <c r="G562" s="92"/>
      <c r="H562" s="93"/>
      <c r="I562" s="92"/>
      <c r="J562" s="89"/>
      <c r="K562" s="89"/>
      <c r="L562" s="89"/>
      <c r="M562" s="89"/>
      <c r="N562" s="89"/>
      <c r="O562" s="91"/>
      <c r="P562" s="143"/>
      <c r="Q562" s="144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89"/>
      <c r="AG562" s="89"/>
      <c r="AH562" s="95"/>
      <c r="AI562" s="95"/>
      <c r="AJ562" s="95"/>
      <c r="AK562" s="100"/>
      <c r="AL562" s="100"/>
      <c r="AM562" s="100"/>
    </row>
    <row r="563" spans="1:39" ht="12" customHeight="1" x14ac:dyDescent="0.3">
      <c r="A563" s="87"/>
      <c r="B563" s="93"/>
      <c r="C563" s="91"/>
      <c r="D563" s="89"/>
      <c r="E563" s="112"/>
      <c r="F563" s="91"/>
      <c r="G563" s="92"/>
      <c r="H563" s="93"/>
      <c r="I563" s="92"/>
      <c r="J563" s="89"/>
      <c r="K563" s="89"/>
      <c r="L563" s="89"/>
      <c r="M563" s="89"/>
      <c r="N563" s="89"/>
      <c r="O563" s="91"/>
      <c r="P563" s="143"/>
      <c r="Q563" s="144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89"/>
      <c r="AG563" s="89"/>
      <c r="AH563" s="95"/>
      <c r="AI563" s="95"/>
      <c r="AJ563" s="95"/>
      <c r="AK563" s="100"/>
      <c r="AL563" s="100"/>
      <c r="AM563" s="100"/>
    </row>
    <row r="564" spans="1:39" ht="12" customHeight="1" x14ac:dyDescent="0.3">
      <c r="A564" s="87"/>
      <c r="B564" s="93"/>
      <c r="C564" s="91"/>
      <c r="D564" s="89"/>
      <c r="E564" s="112"/>
      <c r="F564" s="91"/>
      <c r="G564" s="92"/>
      <c r="H564" s="93"/>
      <c r="I564" s="92"/>
      <c r="J564" s="89"/>
      <c r="K564" s="89"/>
      <c r="L564" s="89"/>
      <c r="M564" s="89"/>
      <c r="N564" s="89"/>
      <c r="O564" s="91"/>
      <c r="P564" s="143"/>
      <c r="Q564" s="144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89"/>
      <c r="AG564" s="89"/>
      <c r="AH564" s="95"/>
      <c r="AI564" s="95"/>
      <c r="AJ564" s="95"/>
      <c r="AK564" s="100"/>
      <c r="AL564" s="100"/>
      <c r="AM564" s="100"/>
    </row>
    <row r="565" spans="1:39" ht="12" customHeight="1" x14ac:dyDescent="0.3">
      <c r="A565" s="87"/>
      <c r="B565" s="93"/>
      <c r="C565" s="91"/>
      <c r="D565" s="89"/>
      <c r="E565" s="112"/>
      <c r="F565" s="91"/>
      <c r="G565" s="92"/>
      <c r="H565" s="93"/>
      <c r="I565" s="92"/>
      <c r="J565" s="89"/>
      <c r="K565" s="89"/>
      <c r="L565" s="89"/>
      <c r="M565" s="89"/>
      <c r="N565" s="89"/>
      <c r="O565" s="91"/>
      <c r="P565" s="143"/>
      <c r="Q565" s="144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89"/>
      <c r="AG565" s="89"/>
      <c r="AH565" s="95"/>
      <c r="AI565" s="95"/>
      <c r="AJ565" s="95"/>
      <c r="AK565" s="100"/>
      <c r="AL565" s="100"/>
      <c r="AM565" s="100"/>
    </row>
    <row r="566" spans="1:39" ht="12" customHeight="1" x14ac:dyDescent="0.3">
      <c r="A566" s="87"/>
      <c r="B566" s="93"/>
      <c r="C566" s="91"/>
      <c r="D566" s="89"/>
      <c r="E566" s="112"/>
      <c r="F566" s="91"/>
      <c r="G566" s="92"/>
      <c r="H566" s="93"/>
      <c r="I566" s="92"/>
      <c r="J566" s="89"/>
      <c r="K566" s="89"/>
      <c r="L566" s="89"/>
      <c r="M566" s="89"/>
      <c r="N566" s="89"/>
      <c r="O566" s="91"/>
      <c r="P566" s="143"/>
      <c r="Q566" s="144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89"/>
      <c r="AG566" s="89"/>
      <c r="AH566" s="95"/>
      <c r="AI566" s="95"/>
      <c r="AJ566" s="95"/>
      <c r="AK566" s="100"/>
      <c r="AL566" s="100"/>
      <c r="AM566" s="100"/>
    </row>
  </sheetData>
  <autoFilter ref="A1:AW332" xr:uid="{9931A248-8A11-4D8E-BACD-A0C0D59E4D18}">
    <filterColumn colId="16">
      <filters>
        <filter val="1. Aceitou o programa"/>
      </filters>
    </filterColumn>
  </autoFilter>
  <conditionalFormatting sqref="A1:A566">
    <cfRule type="containsText" dxfId="25" priority="18" operator="containsText" text="Sim">
      <formula>NOT(ISERROR(SEARCH("Sim",A1)))</formula>
    </cfRule>
  </conditionalFormatting>
  <conditionalFormatting sqref="E1">
    <cfRule type="duplicateValues" dxfId="24" priority="30"/>
  </conditionalFormatting>
  <conditionalFormatting sqref="E567:E1048576">
    <cfRule type="duplicateValues" dxfId="23" priority="142"/>
  </conditionalFormatting>
  <conditionalFormatting sqref="E1:F1">
    <cfRule type="duplicateValues" dxfId="22" priority="32"/>
    <cfRule type="duplicateValues" dxfId="21" priority="33"/>
    <cfRule type="duplicateValues" dxfId="20" priority="34"/>
  </conditionalFormatting>
  <conditionalFormatting sqref="E2:F322">
    <cfRule type="duplicateValues" dxfId="19" priority="22"/>
  </conditionalFormatting>
  <conditionalFormatting sqref="F1">
    <cfRule type="duplicateValues" dxfId="18" priority="29"/>
    <cfRule type="duplicateValues" dxfId="17" priority="31"/>
  </conditionalFormatting>
  <conditionalFormatting sqref="F2:F322">
    <cfRule type="duplicateValues" dxfId="16" priority="21"/>
  </conditionalFormatting>
  <conditionalFormatting sqref="F24:F332 F334:F393">
    <cfRule type="duplicateValues" dxfId="15" priority="155"/>
  </conditionalFormatting>
  <conditionalFormatting sqref="F394:F493">
    <cfRule type="duplicateValues" dxfId="14" priority="23"/>
    <cfRule type="duplicateValues" dxfId="13" priority="24"/>
  </conditionalFormatting>
  <conditionalFormatting sqref="F494:F566">
    <cfRule type="duplicateValues" dxfId="12" priority="25"/>
  </conditionalFormatting>
  <conditionalFormatting sqref="F567:F1048576">
    <cfRule type="duplicateValues" dxfId="11" priority="145"/>
    <cfRule type="duplicateValues" dxfId="10" priority="146"/>
  </conditionalFormatting>
  <conditionalFormatting sqref="J1:J1048576">
    <cfRule type="containsText" dxfId="9" priority="16" operator="containsText" text="M">
      <formula>NOT(ISERROR(SEARCH("M",J1)))</formula>
    </cfRule>
    <cfRule type="containsText" dxfId="8" priority="17" operator="containsText" text="F">
      <formula>NOT(ISERROR(SEARCH("F",J1)))</formula>
    </cfRule>
  </conditionalFormatting>
  <conditionalFormatting sqref="K24:K393">
    <cfRule type="containsText" dxfId="7" priority="20" operator="containsText" text="RJ">
      <formula>NOT(ISERROR(SEARCH("RJ",K24)))</formula>
    </cfRule>
  </conditionalFormatting>
  <conditionalFormatting sqref="AK1:AM1 AL2:AL1048576">
    <cfRule type="containsText" dxfId="6" priority="1" operator="containsText" text="Pendente">
      <formula>NOT(ISERROR(SEARCH("Pendente",AK1)))</formula>
    </cfRule>
    <cfRule type="containsText" dxfId="5" priority="2" operator="containsText" text="Sim">
      <formula>NOT(ISERROR(SEARCH("Sim",AK1)))</formula>
    </cfRule>
  </conditionalFormatting>
  <hyperlinks>
    <hyperlink ref="G331" r:id="rId1" xr:uid="{5DECCB89-2B3A-4789-BDDB-44497EBC589D}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AN2:AN1048576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AH2:AH1048576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Suspensa'!$Z$2:$Z$6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AK2:AK1048576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AL2:AL1048576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AM2:AM1048576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AI2:AI1048576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AJ332:AJ1048576 AJ2:AJ330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 codeName="Planilha2">
    <tabColor rgb="FFF54CBC"/>
  </sheetPr>
  <dimension ref="A2:AE110"/>
  <sheetViews>
    <sheetView showGridLines="0" workbookViewId="0">
      <pane ySplit="10" topLeftCell="A11" activePane="bottomLeft" state="frozen"/>
      <selection pane="bottomLeft" activeCell="D17" sqref="D17"/>
    </sheetView>
  </sheetViews>
  <sheetFormatPr defaultRowHeight="14.4" x14ac:dyDescent="0.3"/>
  <cols>
    <col min="1" max="1" width="3.44140625" customWidth="1"/>
    <col min="2" max="2" width="42.109375" customWidth="1"/>
    <col min="3" max="3" width="23.441406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0" t="s">
        <v>39</v>
      </c>
      <c r="C2" s="81" t="s">
        <v>65</v>
      </c>
    </row>
    <row r="3" spans="1:31" x14ac:dyDescent="0.3">
      <c r="B3" s="210" t="s">
        <v>2</v>
      </c>
      <c r="C3" s="81"/>
      <c r="F3" s="40"/>
    </row>
    <row r="4" spans="1:31" x14ac:dyDescent="0.3">
      <c r="B4" s="210" t="s">
        <v>881</v>
      </c>
      <c r="C4" s="81" t="s">
        <v>882</v>
      </c>
      <c r="F4" s="40"/>
    </row>
    <row r="5" spans="1:31" x14ac:dyDescent="0.3">
      <c r="F5" s="40"/>
    </row>
    <row r="6" spans="1:31" x14ac:dyDescent="0.3">
      <c r="B6" s="211" t="s">
        <v>40</v>
      </c>
      <c r="C6" s="82">
        <v>46143</v>
      </c>
      <c r="D6" t="s">
        <v>883</v>
      </c>
    </row>
    <row r="8" spans="1:31" x14ac:dyDescent="0.3">
      <c r="B8" s="212" t="s">
        <v>884</v>
      </c>
      <c r="C8" s="78">
        <v>46023</v>
      </c>
    </row>
    <row r="9" spans="1:31" x14ac:dyDescent="0.3">
      <c r="B9" s="212" t="s">
        <v>885</v>
      </c>
      <c r="C9" s="78">
        <v>46171</v>
      </c>
    </row>
    <row r="11" spans="1:31" s="218" customFormat="1" x14ac:dyDescent="0.3">
      <c r="A11" s="216"/>
      <c r="B11" s="217" t="s">
        <v>886</v>
      </c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</row>
    <row r="13" spans="1:31" x14ac:dyDescent="0.3">
      <c r="B13" s="229" t="s">
        <v>16</v>
      </c>
      <c r="C13" s="175" t="s">
        <v>41</v>
      </c>
      <c r="D13" s="175"/>
      <c r="E13" s="175"/>
      <c r="F13" s="175"/>
      <c r="G13" s="175"/>
      <c r="H13" s="175" t="s">
        <v>887</v>
      </c>
      <c r="I13" s="175"/>
      <c r="K13" s="229" t="s">
        <v>888</v>
      </c>
      <c r="L13" s="175" t="s">
        <v>41</v>
      </c>
      <c r="M13" s="175"/>
      <c r="N13" s="175"/>
      <c r="O13" s="175"/>
      <c r="P13" s="175"/>
      <c r="Q13" s="175"/>
      <c r="S13" s="77" t="s">
        <v>16</v>
      </c>
      <c r="T13" s="77" t="s">
        <v>889</v>
      </c>
      <c r="U13" s="77" t="s">
        <v>890</v>
      </c>
      <c r="W13" s="185" t="s">
        <v>888</v>
      </c>
      <c r="X13" s="185"/>
      <c r="Y13" s="185"/>
    </row>
    <row r="14" spans="1:31" x14ac:dyDescent="0.3">
      <c r="B14" s="229"/>
      <c r="C14" s="37">
        <v>1</v>
      </c>
      <c r="D14" s="175">
        <v>2</v>
      </c>
      <c r="E14" s="175">
        <v>3</v>
      </c>
      <c r="F14" s="175">
        <v>4</v>
      </c>
      <c r="G14" s="175">
        <v>5</v>
      </c>
      <c r="H14" s="175" t="s">
        <v>889</v>
      </c>
      <c r="I14" s="175" t="s">
        <v>890</v>
      </c>
      <c r="K14" s="229"/>
      <c r="L14" s="176">
        <v>1</v>
      </c>
      <c r="M14" s="176">
        <v>2</v>
      </c>
      <c r="N14" s="176">
        <v>3</v>
      </c>
      <c r="O14" s="176">
        <v>4</v>
      </c>
      <c r="P14" s="176">
        <v>5</v>
      </c>
      <c r="Q14" s="175" t="s">
        <v>887</v>
      </c>
      <c r="S14" s="192" t="s">
        <v>59</v>
      </c>
      <c r="T14" s="79">
        <f>COUNTIFS(Consolidado!$AN:$AN,IF(ISBLANK($C$2),"&lt;&gt;",$C$2),Consolidado!$Q:$Q,Análise!S14,Consolidado!$B:$B,"&lt;="&amp;Análise!$C$9,Consolidado!$B:$B,"&gt;="&amp;Análise!$C$8,Consolidado!$C:$C,IF(ISBLANK($C$3),"&lt;&gt;",$C$3),Consolidado!$AW:$AW,"S")</f>
        <v>3</v>
      </c>
      <c r="U14" s="80">
        <f t="shared" ref="U14:U39" si="0">IFERROR(T14/$T$39,0)</f>
        <v>0.6</v>
      </c>
      <c r="W14" s="186" t="s">
        <v>891</v>
      </c>
      <c r="X14" s="186"/>
      <c r="Y14" s="187">
        <f>IFERROR(T14/T39,0)</f>
        <v>0.6</v>
      </c>
    </row>
    <row r="15" spans="1:31" x14ac:dyDescent="0.3">
      <c r="B15" s="193" t="s">
        <v>59</v>
      </c>
      <c r="C15" s="36">
        <f>COUNTIFS(Consolidado!$AP:$AP,Análise!C$14,Consolidado!$AO:$AO,Análise!$C$6,Consolidado!$AN:$AN,IF(ISBLANK($C$2),"&lt;&gt;",$C$2),Consolidado!$Q:$Q,Análise!$B15,Consolidado!$C:$C,IF(ISBLANK($C$3),"&lt;&gt;",$C$3),Consolidado!$AW:$AW,"S")</f>
        <v>0</v>
      </c>
      <c r="D15" s="36">
        <f>COUNTIFS(Consolidado!$AP:$AP,Análise!D$14,Consolidado!$AO:$AO,Análise!$C$6,Consolidado!$AN:$AN,IF(ISBLANK($C$2),"&lt;&gt;",$C$2),Consolidado!$Q:$Q,Análise!$B15,Consolidado!$C:$C,IF(ISBLANK($C$3),"&lt;&gt;",$C$3),Consolidado!$AW:$AW,"S")</f>
        <v>1</v>
      </c>
      <c r="E15" s="36">
        <f>COUNTIFS(Consolidado!$AP:$AP,Análise!E$14,Consolidado!$AO:$AO,Análise!$C$6,Consolidado!$AN:$AN,IF(ISBLANK($C$2),"&lt;&gt;",$C$2),Consolidado!$Q:$Q,Análise!$B15,Consolidado!$C:$C,IF(ISBLANK($C$3),"&lt;&gt;",$C$3),Consolidado!$AW:$AW,"S")</f>
        <v>0</v>
      </c>
      <c r="F15" s="36">
        <f>COUNTIFS(Consolidado!$AP:$AP,Análise!F$14,Consolidado!$AO:$AO,Análise!$C$6,Consolidado!$AN:$AN,IF(ISBLANK($C$2),"&lt;&gt;",$C$2),Consolidado!$Q:$Q,Análise!$B15,Consolidado!$C:$C,IF(ISBLANK($C$3),"&lt;&gt;",$C$3),Consolidado!$AW:$AW,"S")</f>
        <v>1</v>
      </c>
      <c r="G15" s="36">
        <f>COUNTIFS(Consolidado!$AP:$AP,Análise!G$14,Consolidado!$AO:$AO,Análise!$C$6,Consolidado!$AN:$AN,IF(ISBLANK($C$2),"&lt;&gt;",$C$2),Consolidado!$Q:$Q,Análise!$B15,Consolidado!$C:$C,IF(ISBLANK($C$3),"&lt;&gt;",$C$3),Consolidado!$AW:$AW,"S")</f>
        <v>1</v>
      </c>
      <c r="H15" s="44">
        <f>SUM(C15:G15)</f>
        <v>3</v>
      </c>
      <c r="I15" s="49">
        <f t="shared" ref="I15:I40" si="1">+IFERROR(H15/$H$40,0)</f>
        <v>0.6</v>
      </c>
      <c r="K15" s="36" t="s">
        <v>882</v>
      </c>
      <c r="L15" s="36">
        <f t="shared" ref="L15:Q15" si="2">+C40</f>
        <v>0</v>
      </c>
      <c r="M15" s="36">
        <f t="shared" si="2"/>
        <v>1</v>
      </c>
      <c r="N15" s="36">
        <f t="shared" si="2"/>
        <v>0</v>
      </c>
      <c r="O15" s="36">
        <f t="shared" si="2"/>
        <v>3</v>
      </c>
      <c r="P15" s="36">
        <f t="shared" si="2"/>
        <v>1</v>
      </c>
      <c r="Q15" s="44">
        <f t="shared" si="2"/>
        <v>5</v>
      </c>
      <c r="S15" s="205" t="s">
        <v>892</v>
      </c>
      <c r="T15" s="38">
        <f>COUNTIFS(Consolidado!$AN:$AN,IF(ISBLANK($C$2),"&lt;&gt;",$C$2),Consolidado!$Q:$Q,Análise!S15,Consolidado!$B:$B,"&lt;="&amp;Análise!$C$9,Consolidado!$B:$B,"&gt;="&amp;Análise!$C$8,Consolidado!$C:$C,IF(ISBLANK($C$3),"&lt;&gt;",$C$3),Consolidado!$AW:$AW,"S")</f>
        <v>0</v>
      </c>
      <c r="U15" s="182">
        <f t="shared" si="0"/>
        <v>0</v>
      </c>
      <c r="W15" s="207" t="s">
        <v>893</v>
      </c>
      <c r="X15" s="207"/>
      <c r="Y15" s="209">
        <f>IFERROR(SUMIFS(Consolidado!AS:AS,Consolidado!$AN:$AN,IF(ISBLANK($C$2),"&lt;&gt;",$C$2),Consolidado!$B:$B,"&lt;="&amp;Análise!$C$9,Consolidado!$B:$B,"&gt;="&amp;Análise!$C$8,Consolidado!$C:$C,IF(ISBLANK($C$3),"&lt;&gt;",$C$3))/T14,0)</f>
        <v>6.333333333333333</v>
      </c>
    </row>
    <row r="16" spans="1:31" x14ac:dyDescent="0.3">
      <c r="B16" s="194" t="s">
        <v>892</v>
      </c>
      <c r="C16" s="38">
        <f>COUNTIFS(Consolidado!$AP:$AP,Análise!C$14,Consolidado!$AO:$AO,Análise!$C$6,Consolidado!$AN:$AN,IF(ISBLANK($C$2),"&lt;&gt;",$C$2),Consolidado!$Q:$Q,Análise!$B16,Consolidado!$C:$C,IF(ISBLANK($C$3),"&lt;&gt;",$C$3),Consolidado!$AW:$AW,"S")</f>
        <v>0</v>
      </c>
      <c r="D16" s="38">
        <f>COUNTIFS(Consolidado!$AP:$AP,Análise!D$14,Consolidado!$AO:$AO,Análise!$C$6,Consolidado!$AN:$AN,IF(ISBLANK($C$2),"&lt;&gt;",$C$2),Consolidado!$Q:$Q,Análise!$B16,Consolidado!$C:$C,IF(ISBLANK($C$3),"&lt;&gt;",$C$3),Consolidado!$AW:$AW,"S")</f>
        <v>0</v>
      </c>
      <c r="E16" s="38">
        <f>COUNTIFS(Consolidado!$AP:$AP,Análise!E$14,Consolidado!$AO:$AO,Análise!$C$6,Consolidado!$AN:$AN,IF(ISBLANK($C$2),"&lt;&gt;",$C$2),Consolidado!$Q:$Q,Análise!$B16,Consolidado!$C:$C,IF(ISBLANK($C$3),"&lt;&gt;",$C$3),Consolidado!$AW:$AW,"S")</f>
        <v>0</v>
      </c>
      <c r="F16" s="38">
        <f>COUNTIFS(Consolidado!$AP:$AP,Análise!F$14,Consolidado!$AO:$AO,Análise!$C$6,Consolidado!$AN:$AN,IF(ISBLANK($C$2),"&lt;&gt;",$C$2),Consolidado!$Q:$Q,Análise!$B16,Consolidado!$C:$C,IF(ISBLANK($C$3),"&lt;&gt;",$C$3),Consolidado!$AW:$AW,"S")</f>
        <v>0</v>
      </c>
      <c r="G16" s="38">
        <f>COUNTIFS(Consolidado!$AP:$AP,Análise!G$14,Consolidado!$AO:$AO,Análise!$C$6,Consolidado!$AN:$AN,IF(ISBLANK($C$2),"&lt;&gt;",$C$2),Consolidado!$Q:$Q,Análise!$B16,Consolidado!$C:$C,IF(ISBLANK($C$3),"&lt;&gt;",$C$3),Consolidado!$AW:$AW,"S")</f>
        <v>0</v>
      </c>
      <c r="H16" s="39">
        <f t="shared" ref="H16:H39" si="3">SUM(C16:G16)</f>
        <v>0</v>
      </c>
      <c r="I16" s="43">
        <f t="shared" si="1"/>
        <v>0</v>
      </c>
      <c r="K16" s="194" t="s">
        <v>59</v>
      </c>
      <c r="L16" s="38">
        <f t="shared" ref="L16:Q16" si="4">+C15</f>
        <v>0</v>
      </c>
      <c r="M16" s="38">
        <f t="shared" si="4"/>
        <v>1</v>
      </c>
      <c r="N16" s="38">
        <f t="shared" si="4"/>
        <v>0</v>
      </c>
      <c r="O16" s="38">
        <f t="shared" si="4"/>
        <v>1</v>
      </c>
      <c r="P16" s="38">
        <f t="shared" si="4"/>
        <v>1</v>
      </c>
      <c r="Q16" s="39">
        <f t="shared" si="4"/>
        <v>3</v>
      </c>
      <c r="S16" s="192" t="s">
        <v>894</v>
      </c>
      <c r="T16" s="79">
        <f>COUNTIFS(Consolidado!$AN:$AN,IF(ISBLANK($C$2),"&lt;&gt;",$C$2),Consolidado!$Q:$Q,Análise!S16,Consolidado!$B:$B,"&lt;="&amp;Análise!$C$9,Consolidado!$B:$B,"&gt;="&amp;Análise!$C$8,Consolidado!$C:$C,IF(ISBLANK($C$3),"&lt;&gt;",$C$3),Consolidado!$AW:$AW,"S")</f>
        <v>0</v>
      </c>
      <c r="U16" s="80">
        <f t="shared" si="0"/>
        <v>0</v>
      </c>
      <c r="W16" s="186" t="s">
        <v>895</v>
      </c>
      <c r="X16" s="186"/>
      <c r="Y16" s="188">
        <f>IFERROR(SUMIFS(Consolidado!AU:AU,Consolidado!$AN:$AN,IF(ISBLANK($C$2),"&lt;&gt;",$C$2),Consolidado!$B:$B,"&lt;="&amp;Análise!$C$9,Consolidado!$B:$B,"&gt;="&amp;Análise!$C$8,Consolidado!$C:$C,IF(ISBLANK($C$3),"&lt;&gt;",$C$3))/COUNTIFS(Consolidado!$AN:$AN,IF(ISBLANK($C$2),"&lt;&gt;",$C$2),Consolidado!$Q:$Q,S$14,Consolidado!$B:$B,"&lt;="&amp;Análise!$C$9,Consolidado!$B:$B,"&gt;="&amp;Análise!$C$8,Consolidado!$C:$C,IF(ISBLANK($C$3),"&lt;&gt;",$C$3),Consolidado!$AU:$AU,"&lt;&gt;"&amp;0),0)</f>
        <v>0</v>
      </c>
    </row>
    <row r="17" spans="2:25" x14ac:dyDescent="0.3">
      <c r="B17" s="193" t="s">
        <v>894</v>
      </c>
      <c r="C17" s="36">
        <f>COUNTIFS(Consolidado!$AP:$AP,Análise!C$14,Consolidado!$AO:$AO,Análise!$C$6,Consolidado!$AN:$AN,IF(ISBLANK($C$2),"&lt;&gt;",$C$2),Consolidado!$Q:$Q,Análise!$B17,Consolidado!$C:$C,IF(ISBLANK($C$3),"&lt;&gt;",$C$3),Consolidado!$AW:$AW,"S")</f>
        <v>0</v>
      </c>
      <c r="D17" s="36">
        <f>COUNTIFS(Consolidado!$AP:$AP,Análise!D$14,Consolidado!$AO:$AO,Análise!$C$6,Consolidado!$AN:$AN,IF(ISBLANK($C$2),"&lt;&gt;",$C$2),Consolidado!$Q:$Q,Análise!$B17,Consolidado!$C:$C,IF(ISBLANK($C$3),"&lt;&gt;",$C$3),Consolidado!$AW:$AW,"S")</f>
        <v>0</v>
      </c>
      <c r="E17" s="36">
        <f>COUNTIFS(Consolidado!$AP:$AP,Análise!E$14,Consolidado!$AO:$AO,Análise!$C$6,Consolidado!$AN:$AN,IF(ISBLANK($C$2),"&lt;&gt;",$C$2),Consolidado!$Q:$Q,Análise!$B17,Consolidado!$C:$C,IF(ISBLANK($C$3),"&lt;&gt;",$C$3),Consolidado!$AW:$AW,"S")</f>
        <v>0</v>
      </c>
      <c r="F17" s="36">
        <f>COUNTIFS(Consolidado!$AP:$AP,Análise!F$14,Consolidado!$AO:$AO,Análise!$C$6,Consolidado!$AN:$AN,IF(ISBLANK($C$2),"&lt;&gt;",$C$2),Consolidado!$Q:$Q,Análise!$B17,Consolidado!$C:$C,IF(ISBLANK($C$3),"&lt;&gt;",$C$3),Consolidado!$AW:$AW,"S")</f>
        <v>0</v>
      </c>
      <c r="G17" s="36">
        <f>COUNTIFS(Consolidado!$AP:$AP,Análise!G$14,Consolidado!$AO:$AO,Análise!$C$6,Consolidado!$AN:$AN,IF(ISBLANK($C$2),"&lt;&gt;",$C$2),Consolidado!$Q:$Q,Análise!$B17,Consolidado!$C:$C,IF(ISBLANK($C$3),"&lt;&gt;",$C$3),Consolidado!$AW:$AW,"S")</f>
        <v>0</v>
      </c>
      <c r="H17" s="44">
        <f t="shared" si="3"/>
        <v>0</v>
      </c>
      <c r="I17" s="49">
        <f t="shared" si="1"/>
        <v>0</v>
      </c>
      <c r="K17" s="193" t="s">
        <v>891</v>
      </c>
      <c r="L17" s="41" t="str">
        <f t="shared" ref="L17:Q17" si="5">IFERROR(L16/L15,"")</f>
        <v/>
      </c>
      <c r="M17" s="41">
        <f t="shared" si="5"/>
        <v>1</v>
      </c>
      <c r="N17" s="41" t="str">
        <f t="shared" si="5"/>
        <v/>
      </c>
      <c r="O17" s="41">
        <f t="shared" si="5"/>
        <v>0.33333333333333331</v>
      </c>
      <c r="P17" s="41">
        <f t="shared" si="5"/>
        <v>1</v>
      </c>
      <c r="Q17" s="49">
        <f t="shared" si="5"/>
        <v>0.6</v>
      </c>
      <c r="S17" s="205" t="s">
        <v>896</v>
      </c>
      <c r="T17" s="38">
        <f>COUNTIFS(Consolidado!$AN:$AN,IF(ISBLANK($C$2),"&lt;&gt;",$C$2),Consolidado!$Q:$Q,Análise!S17,Consolidado!$B:$B,"&lt;="&amp;Análise!$C$9,Consolidado!$B:$B,"&gt;="&amp;Análise!$C$8,Consolidado!$C:$C,IF(ISBLANK($C$3),"&lt;&gt;",$C$3),Consolidado!$AW:$AW,"S")</f>
        <v>0</v>
      </c>
      <c r="U17" s="182">
        <f t="shared" si="0"/>
        <v>0</v>
      </c>
      <c r="W17" s="207" t="s">
        <v>897</v>
      </c>
      <c r="X17" s="207"/>
      <c r="Y17" s="209">
        <f>IFERROR(SUMIFS(Consolidado!AV:AV,Consolidado!$AN:$AN,IF(ISBLANK($C$2),"&lt;&gt;",$C$2),Consolidado!$B:$B,"&lt;="&amp;Análise!$C$9,Consolidado!$B:$B,"&gt;="&amp;Análise!$C$8,Consolidado!$C:$C,IF(ISBLANK($C$3),"&lt;&gt;",$C$3))/COUNTIFS(Consolidado!$AN:$AN,IF(ISBLANK($C$2),"&lt;&gt;",$C$2),Consolidado!$Q:$Q,S$14,Consolidado!$B:$B,"&lt;="&amp;Análise!$C$9,Consolidado!$B:$B,"&gt;="&amp;Análise!$C$8,Consolidado!$C:$C,IF(ISBLANK($C$3),"&lt;&gt;",$C$3),Consolidado!$AV:$AV,"&lt;&gt;"&amp;0),0)</f>
        <v>5.5</v>
      </c>
    </row>
    <row r="18" spans="2:25" x14ac:dyDescent="0.3">
      <c r="B18" s="194" t="s">
        <v>896</v>
      </c>
      <c r="C18" s="38">
        <f>COUNTIFS(Consolidado!$AP:$AP,Análise!C$14,Consolidado!$AO:$AO,Análise!$C$6,Consolidado!$AN:$AN,IF(ISBLANK($C$2),"&lt;&gt;",$C$2),Consolidado!$Q:$Q,Análise!$B18,Consolidado!$C:$C,IF(ISBLANK($C$3),"&lt;&gt;",$C$3),Consolidado!$AW:$AW,"S")</f>
        <v>0</v>
      </c>
      <c r="D18" s="38">
        <f>COUNTIFS(Consolidado!$AP:$AP,Análise!D$14,Consolidado!$AO:$AO,Análise!$C$6,Consolidado!$AN:$AN,IF(ISBLANK($C$2),"&lt;&gt;",$C$2),Consolidado!$Q:$Q,Análise!$B18,Consolidado!$C:$C,IF(ISBLANK($C$3),"&lt;&gt;",$C$3),Consolidado!$AW:$AW,"S")</f>
        <v>0</v>
      </c>
      <c r="E18" s="38">
        <f>COUNTIFS(Consolidado!$AP:$AP,Análise!E$14,Consolidado!$AO:$AO,Análise!$C$6,Consolidado!$AN:$AN,IF(ISBLANK($C$2),"&lt;&gt;",$C$2),Consolidado!$Q:$Q,Análise!$B18,Consolidado!$C:$C,IF(ISBLANK($C$3),"&lt;&gt;",$C$3),Consolidado!$AW:$AW,"S")</f>
        <v>0</v>
      </c>
      <c r="F18" s="38">
        <f>COUNTIFS(Consolidado!$AP:$AP,Análise!F$14,Consolidado!$AO:$AO,Análise!$C$6,Consolidado!$AN:$AN,IF(ISBLANK($C$2),"&lt;&gt;",$C$2),Consolidado!$Q:$Q,Análise!$B18,Consolidado!$C:$C,IF(ISBLANK($C$3),"&lt;&gt;",$C$3),Consolidado!$AW:$AW,"S")</f>
        <v>0</v>
      </c>
      <c r="G18" s="38">
        <f>COUNTIFS(Consolidado!$AP:$AP,Análise!G$14,Consolidado!$AO:$AO,Análise!$C$6,Consolidado!$AN:$AN,IF(ISBLANK($C$2),"&lt;&gt;",$C$2),Consolidado!$Q:$Q,Análise!$B18,Consolidado!$C:$C,IF(ISBLANK($C$3),"&lt;&gt;",$C$3),Consolidado!$AW:$AW,"S")</f>
        <v>0</v>
      </c>
      <c r="H18" s="39">
        <f t="shared" si="3"/>
        <v>0</v>
      </c>
      <c r="I18" s="43">
        <f t="shared" si="1"/>
        <v>0</v>
      </c>
      <c r="K18" s="194" t="s">
        <v>893</v>
      </c>
      <c r="L18" s="177">
        <f>IFERROR(SUMIFS(Consolidado!$AS:$AS,Consolidado!$AP:$AP,Análise!L14,Consolidado!$AO:$AO,Análise!$C$6,Consolidado!$AN:$AN,IF(ISBLANK($C$2),"&lt;&gt;",$C$2),Consolidado!$C:$C,IF(ISBLANK($C$3),"&lt;&gt;",$C$3))/L$16,0)</f>
        <v>0</v>
      </c>
      <c r="M18" s="177">
        <f>IFERROR(SUMIFS(Consolidado!$AS:$AS,Consolidado!$AP:$AP,Análise!M14,Consolidado!$AO:$AO,Análise!$C$6,Consolidado!$AN:$AN,IF(ISBLANK($C$2),"&lt;&gt;",$C$2),Consolidado!$C:$C,IF(ISBLANK($C$3),"&lt;&gt;",$C$3))/M$16,0)</f>
        <v>17</v>
      </c>
      <c r="N18" s="177">
        <f>IFERROR(SUMIFS(Consolidado!$AS:$AS,Consolidado!$AP:$AP,Análise!N14,Consolidado!$AO:$AO,Análise!$C$6,Consolidado!$AN:$AN,IF(ISBLANK($C$2),"&lt;&gt;",$C$2),Consolidado!$C:$C,IF(ISBLANK($C$3),"&lt;&gt;",$C$3))/N$16,0)</f>
        <v>0</v>
      </c>
      <c r="O18" s="177">
        <f>IFERROR(SUMIFS(Consolidado!$AS:$AS,Consolidado!$AP:$AP,Análise!O14,Consolidado!$AO:$AO,Análise!$C$6,Consolidado!$AN:$AN,IF(ISBLANK($C$2),"&lt;&gt;",$C$2),Consolidado!$C:$C,IF(ISBLANK($C$3),"&lt;&gt;",$C$3))/O$16,0)</f>
        <v>2</v>
      </c>
      <c r="P18" s="177">
        <f>IFERROR(SUMIFS(Consolidado!$AS:$AS,Consolidado!$AP:$AP,Análise!P14,Consolidado!$AO:$AO,Análise!$C$6,Consolidado!$AN:$AN,IF(ISBLANK($C$2),"&lt;&gt;",$C$2),Consolidado!$C:$C,IF(ISBLANK($C$3),"&lt;&gt;",$C$3))/P$16,0)</f>
        <v>0</v>
      </c>
      <c r="Q18" s="180">
        <f>IFERROR(SUMIFS(Consolidado!AS:AS,Consolidado!$AO:$AO,Análise!$C$6,Consolidado!$AN:$AN,IF(ISBLANK($C$2),"&lt;&gt;",$C$2),Consolidado!$C:$C,IF(ISBLANK($C$3),"&lt;&gt;",$C$3))/$Q16,0)</f>
        <v>6.333333333333333</v>
      </c>
      <c r="S18" s="192" t="s">
        <v>538</v>
      </c>
      <c r="T18" s="79">
        <f>COUNTIFS(Consolidado!$AN:$AN,IF(ISBLANK($C$2),"&lt;&gt;",$C$2),Consolidado!$Q:$Q,Análise!S18,Consolidado!$B:$B,"&lt;="&amp;Análise!$C$9,Consolidado!$B:$B,"&gt;="&amp;Análise!$C$8,Consolidado!$C:$C,IF(ISBLANK($C$3),"&lt;&gt;",$C$3),Consolidado!$AW:$AW,"S")</f>
        <v>0</v>
      </c>
      <c r="U18" s="80">
        <f t="shared" si="0"/>
        <v>0</v>
      </c>
      <c r="W18" s="186" t="s">
        <v>898</v>
      </c>
      <c r="X18" s="186"/>
      <c r="Y18" s="188">
        <f>IFERROR(SUMIFS(Consolidado!$AT:$AT,Consolidado!$B:$B,"&lt;="&amp;Análise!$C$9,Consolidado!$B:$B,"&gt;="&amp;Análise!$C$8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B:$B,"&lt;="&amp;Análise!$C$9,Consolidado!$B:$B,"&gt;="&amp;Análise!$C$8),0)</f>
        <v>0</v>
      </c>
    </row>
    <row r="19" spans="2:25" x14ac:dyDescent="0.3">
      <c r="B19" s="193" t="s">
        <v>538</v>
      </c>
      <c r="C19" s="36">
        <f>COUNTIFS(Consolidado!$AP:$AP,Análise!C$14,Consolidado!$AO:$AO,Análise!$C$6,Consolidado!$AN:$AN,IF(ISBLANK($C$2),"&lt;&gt;",$C$2),Consolidado!$Q:$Q,Análise!$B19,Consolidado!$C:$C,IF(ISBLANK($C$3),"&lt;&gt;",$C$3),Consolidado!$AW:$AW,"S")</f>
        <v>0</v>
      </c>
      <c r="D19" s="36">
        <f>COUNTIFS(Consolidado!$AP:$AP,Análise!D$14,Consolidado!$AO:$AO,Análise!$C$6,Consolidado!$AN:$AN,IF(ISBLANK($C$2),"&lt;&gt;",$C$2),Consolidado!$Q:$Q,Análise!$B19,Consolidado!$C:$C,IF(ISBLANK($C$3),"&lt;&gt;",$C$3),Consolidado!$AW:$AW,"S")</f>
        <v>0</v>
      </c>
      <c r="E19" s="36">
        <f>COUNTIFS(Consolidado!$AP:$AP,Análise!E$14,Consolidado!$AO:$AO,Análise!$C$6,Consolidado!$AN:$AN,IF(ISBLANK($C$2),"&lt;&gt;",$C$2),Consolidado!$Q:$Q,Análise!$B19,Consolidado!$C:$C,IF(ISBLANK($C$3),"&lt;&gt;",$C$3),Consolidado!$AW:$AW,"S")</f>
        <v>0</v>
      </c>
      <c r="F19" s="36">
        <f>COUNTIFS(Consolidado!$AP:$AP,Análise!F$14,Consolidado!$AO:$AO,Análise!$C$6,Consolidado!$AN:$AN,IF(ISBLANK($C$2),"&lt;&gt;",$C$2),Consolidado!$Q:$Q,Análise!$B19,Consolidado!$C:$C,IF(ISBLANK($C$3),"&lt;&gt;",$C$3),Consolidado!$AW:$AW,"S")</f>
        <v>0</v>
      </c>
      <c r="G19" s="36">
        <f>COUNTIFS(Consolidado!$AP:$AP,Análise!G$14,Consolidado!$AO:$AO,Análise!$C$6,Consolidado!$AN:$AN,IF(ISBLANK($C$2),"&lt;&gt;",$C$2),Consolidado!$Q:$Q,Análise!$B19,Consolidado!$C:$C,IF(ISBLANK($C$3),"&lt;&gt;",$C$3),Consolidado!$AW:$AW,"S")</f>
        <v>0</v>
      </c>
      <c r="H19" s="44">
        <f t="shared" si="3"/>
        <v>0</v>
      </c>
      <c r="I19" s="49">
        <f t="shared" si="1"/>
        <v>0</v>
      </c>
      <c r="K19" s="193" t="s">
        <v>895</v>
      </c>
      <c r="L19" s="178">
        <f>IFERROR(SUMIFS(Consolidado!$AU:$AU,Consolidado!$AP:$AP,Análise!L14,Consolidado!$AO:$AO,Análise!$C$6,Consolidado!$AN:$AN,IF(ISBLANK($C$2),"&lt;&gt;",$C$2),Consolidado!$C:$C,IF(ISBLANK($C$3),"&lt;&gt;",$C$3))/COUNTIFS(Consolidado!$AP:$AP,Análise!L14,Consolidado!$AO:$AO,Análise!$C$6,Consolidado!$AN:$AN,IF(ISBLANK($C$2),"&lt;&gt;",$C$2),Consolidado!$Q:$Q,$K16,Consolidado!$C:$C,IF(ISBLANK($C$3),"&lt;&gt;",$C$3),Consolidado!$AU:$AU,"&lt;&gt;"&amp;0),0)</f>
        <v>0</v>
      </c>
      <c r="M19" s="178">
        <f>IFERROR(SUMIFS(Consolidado!$AU:$AU,Consolidado!$AP:$AP,Análise!M14,Consolidado!$AO:$AO,Análise!$C$6,Consolidado!$AN:$AN,IF(ISBLANK($C$2),"&lt;&gt;",$C$2),Consolidado!$C:$C,IF(ISBLANK($C$3),"&lt;&gt;",$C$3))/COUNTIFS(Consolidado!$AP:$AP,Análise!M14,Consolidado!$AO:$AO,Análise!$C$6,Consolidado!$AN:$AN,IF(ISBLANK($C$2),"&lt;&gt;",$C$2),Consolidado!$Q:$Q,$K16,Consolidado!$C:$C,IF(ISBLANK($C$3),"&lt;&gt;",$C$3),Consolidado!$AU:$AU,"&lt;&gt;"&amp;0),0)</f>
        <v>0</v>
      </c>
      <c r="N19" s="178">
        <f>IFERROR(SUMIFS(Consolidado!$AU:$AU,Consolidado!$AP:$AP,Análise!N14,Consolidado!$AO:$AO,Análise!$C$6,Consolidado!$AN:$AN,IF(ISBLANK($C$2),"&lt;&gt;",$C$2),Consolidado!$C:$C,IF(ISBLANK($C$3),"&lt;&gt;",$C$3))/COUNTIFS(Consolidado!$AP:$AP,Análise!N14,Consolidado!$AO:$AO,Análise!$C$6,Consolidado!$AN:$AN,IF(ISBLANK($C$2),"&lt;&gt;",$C$2),Consolidado!$Q:$Q,$K16,Consolidado!$C:$C,IF(ISBLANK($C$3),"&lt;&gt;",$C$3),Consolidado!$AU:$AU,"&lt;&gt;"&amp;0),0)</f>
        <v>0</v>
      </c>
      <c r="O19" s="178">
        <f>IFERROR(SUMIFS(Consolidado!$AU:$AU,Consolidado!$AP:$AP,Análise!O14,Consolidado!$AO:$AO,Análise!$C$6,Consolidado!$AN:$AN,IF(ISBLANK($C$2),"&lt;&gt;",$C$2),Consolidado!$C:$C,IF(ISBLANK($C$3),"&lt;&gt;",$C$3))/COUNTIFS(Consolidado!$AP:$AP,Análise!O14,Consolidado!$AO:$AO,Análise!$C$6,Consolidado!$AN:$AN,IF(ISBLANK($C$2),"&lt;&gt;",$C$2),Consolidado!$Q:$Q,$K16,Consolidado!$C:$C,IF(ISBLANK($C$3),"&lt;&gt;",$C$3),Consolidado!$AU:$AU,"&lt;&gt;"&amp;0),0)</f>
        <v>0</v>
      </c>
      <c r="P19" s="178">
        <f>IFERROR(SUMIFS(Consolidado!$AU:$AU,Consolidado!$AP:$AP,Análise!P14,Consolidado!$AO:$AO,Análise!$C$6,Consolidado!$AN:$AN,IF(ISBLANK($C$2),"&lt;&gt;",$C$2),Consolidado!$C:$C,IF(ISBLANK($C$3),"&lt;&gt;",$C$3))/COUNTIFS(Consolidado!$AP:$AP,Análise!P14,Consolidado!$AO:$AO,Análise!$C$6,Consolidado!$AN:$AN,IF(ISBLANK($C$2),"&lt;&gt;",$C$2),Consolidado!$Q:$Q,$K16,Consolidado!$C:$C,IF(ISBLANK($C$3),"&lt;&gt;",$C$3),Consolidado!$AU:$AU,"&lt;&gt;"&amp;0),0)</f>
        <v>0</v>
      </c>
      <c r="Q19" s="181">
        <f>IFERROR(SUMIFS(Consolidado!AU:AU,Consolidado!$AO:$AO,Análise!$C$6,Consolidado!$AN:$AN,IF(ISBLANK($C$2),"&lt;&gt;",$C$2),Consolidado!$C:$C,IF(ISBLANK($C$3),"&lt;&gt;",$C$3))/COUNTIFS(Consolidado!$AO:$AO,Análise!$C$6,Consolidado!$AN:$AN,IF(ISBLANK($C$2),"&lt;&gt;",$C$2),Consolidado!$Q:$Q,K$16,Consolidado!$C:$C,IF(ISBLANK($C$3),"&lt;&gt;",$C$3),Consolidado!$AU:$AU,"&lt;&gt;"&amp;0),0)</f>
        <v>0</v>
      </c>
      <c r="S19" s="205" t="s">
        <v>899</v>
      </c>
      <c r="T19" s="38">
        <f>COUNTIFS(Consolidado!$AN:$AN,IF(ISBLANK($C$2),"&lt;&gt;",$C$2),Consolidado!$Q:$Q,Análise!S19,Consolidado!$B:$B,"&lt;="&amp;Análise!$C$9,Consolidado!$B:$B,"&gt;="&amp;Análise!$C$8,Consolidado!$C:$C,IF(ISBLANK($C$3),"&lt;&gt;",$C$3),Consolidado!$AW:$AW,"S")</f>
        <v>0</v>
      </c>
      <c r="U19" s="182">
        <f t="shared" si="0"/>
        <v>0</v>
      </c>
      <c r="W19" s="207" t="s">
        <v>900</v>
      </c>
      <c r="X19" s="207"/>
      <c r="Y19" s="208">
        <f>IFERROR((T14+T36)/T39,"")</f>
        <v>0.6</v>
      </c>
    </row>
    <row r="20" spans="2:25" x14ac:dyDescent="0.3">
      <c r="B20" s="194" t="s">
        <v>899</v>
      </c>
      <c r="C20" s="38">
        <f>COUNTIFS(Consolidado!$AP:$AP,Análise!C$14,Consolidado!$AO:$AO,Análise!$C$6,Consolidado!$AN:$AN,IF(ISBLANK($C$2),"&lt;&gt;",$C$2),Consolidado!$Q:$Q,Análise!$B20,Consolidado!$C:$C,IF(ISBLANK($C$3),"&lt;&gt;",$C$3),Consolidado!$AW:$AW,"S")</f>
        <v>0</v>
      </c>
      <c r="D20" s="38">
        <f>COUNTIFS(Consolidado!$AP:$AP,Análise!D$14,Consolidado!$AO:$AO,Análise!$C$6,Consolidado!$AN:$AN,IF(ISBLANK($C$2),"&lt;&gt;",$C$2),Consolidado!$Q:$Q,Análise!$B20,Consolidado!$C:$C,IF(ISBLANK($C$3),"&lt;&gt;",$C$3),Consolidado!$AW:$AW,"S")</f>
        <v>0</v>
      </c>
      <c r="E20" s="38">
        <f>COUNTIFS(Consolidado!$AP:$AP,Análise!E$14,Consolidado!$AO:$AO,Análise!$C$6,Consolidado!$AN:$AN,IF(ISBLANK($C$2),"&lt;&gt;",$C$2),Consolidado!$Q:$Q,Análise!$B20,Consolidado!$C:$C,IF(ISBLANK($C$3),"&lt;&gt;",$C$3),Consolidado!$AW:$AW,"S")</f>
        <v>0</v>
      </c>
      <c r="F20" s="38">
        <f>COUNTIFS(Consolidado!$AP:$AP,Análise!F$14,Consolidado!$AO:$AO,Análise!$C$6,Consolidado!$AN:$AN,IF(ISBLANK($C$2),"&lt;&gt;",$C$2),Consolidado!$Q:$Q,Análise!$B20,Consolidado!$C:$C,IF(ISBLANK($C$3),"&lt;&gt;",$C$3),Consolidado!$AW:$AW,"S")</f>
        <v>0</v>
      </c>
      <c r="G20" s="38">
        <f>COUNTIFS(Consolidado!$AP:$AP,Análise!G$14,Consolidado!$AO:$AO,Análise!$C$6,Consolidado!$AN:$AN,IF(ISBLANK($C$2),"&lt;&gt;",$C$2),Consolidado!$Q:$Q,Análise!$B20,Consolidado!$C:$C,IF(ISBLANK($C$3),"&lt;&gt;",$C$3),Consolidado!$AW:$AW,"S")</f>
        <v>0</v>
      </c>
      <c r="H20" s="39">
        <f t="shared" si="3"/>
        <v>0</v>
      </c>
      <c r="I20" s="43">
        <f t="shared" si="1"/>
        <v>0</v>
      </c>
      <c r="K20" s="194" t="s">
        <v>897</v>
      </c>
      <c r="L20" s="177">
        <f>IFERROR(SUMIFS(Consolidado!$AV:$AV,Consolidado!$AP:$AP,Análise!L14,Consolidado!$AO:$AO,Análise!$C$6,Consolidado!$AN:$AN,IF(ISBLANK($C$2),"&lt;&gt;",$C$2),Consolidado!$C:$C,IF(ISBLANK($C$3),"&lt;&gt;",$C$3))/COUNTIFS(Consolidado!$AP:$AP,Análise!L14,Consolidado!$AO:$AO,Análise!$C$6,Consolidado!$AN:$AN,IF(ISBLANK($C$2),"&lt;&gt;",$C$2),Consolidado!$Q:$Q,$K16,Consolidado!$C:$C,IF(ISBLANK($C$3),"&lt;&gt;",$C$3),Consolidado!$AV:$AV,"&lt;&gt;"&amp;0),0)</f>
        <v>0</v>
      </c>
      <c r="M20" s="177">
        <f>IFERROR(SUMIFS(Consolidado!$AV:$AV,Consolidado!$AP:$AP,Análise!M14,Consolidado!$AO:$AO,Análise!$C$6,Consolidado!$AN:$AN,IF(ISBLANK($C$2),"&lt;&gt;",$C$2),Consolidado!$C:$C,IF(ISBLANK($C$3),"&lt;&gt;",$C$3))/COUNTIFS(Consolidado!$AP:$AP,Análise!M14,Consolidado!$AO:$AO,Análise!$C$6,Consolidado!$AN:$AN,IF(ISBLANK($C$2),"&lt;&gt;",$C$2),Consolidado!$Q:$Q,$K16,Consolidado!$C:$C,IF(ISBLANK($C$3),"&lt;&gt;",$C$3),Consolidado!$AV:$AV,"&lt;&gt;"&amp;0),0)</f>
        <v>0</v>
      </c>
      <c r="N20" s="177">
        <f>IFERROR(SUMIFS(Consolidado!$AV:$AV,Consolidado!$AP:$AP,Análise!N14,Consolidado!$AO:$AO,Análise!$C$6,Consolidado!$AN:$AN,IF(ISBLANK($C$2),"&lt;&gt;",$C$2),Consolidado!$C:$C,IF(ISBLANK($C$3),"&lt;&gt;",$C$3))/COUNTIFS(Consolidado!$AP:$AP,Análise!N14,Consolidado!$AO:$AO,Análise!$C$6,Consolidado!$AN:$AN,IF(ISBLANK($C$2),"&lt;&gt;",$C$2),Consolidado!$Q:$Q,$K16,Consolidado!$C:$C,IF(ISBLANK($C$3),"&lt;&gt;",$C$3),Consolidado!$AV:$AV,"&lt;&gt;"&amp;0),0)</f>
        <v>0</v>
      </c>
      <c r="O20" s="177">
        <f>IFERROR(SUMIFS(Consolidado!$AV:$AV,Consolidado!$AP:$AP,Análise!O14,Consolidado!$AO:$AO,Análise!$C$6,Consolidado!$AN:$AN,IF(ISBLANK($C$2),"&lt;&gt;",$C$2),Consolidado!$C:$C,IF(ISBLANK($C$3),"&lt;&gt;",$C$3))/COUNTIFS(Consolidado!$AP:$AP,Análise!O14,Consolidado!$AO:$AO,Análise!$C$6,Consolidado!$AN:$AN,IF(ISBLANK($C$2),"&lt;&gt;",$C$2),Consolidado!$Q:$Q,$K16,Consolidado!$C:$C,IF(ISBLANK($C$3),"&lt;&gt;",$C$3),Consolidado!$AV:$AV,"&lt;&gt;"&amp;0),0)</f>
        <v>3</v>
      </c>
      <c r="P20" s="177">
        <f>IFERROR(SUMIFS(Consolidado!$AV:$AV,Consolidado!$AP:$AP,Análise!P14,Consolidado!$AO:$AO,Análise!$C$6,Consolidado!$AN:$AN,IF(ISBLANK($C$2),"&lt;&gt;",$C$2),Consolidado!$C:$C,IF(ISBLANK($C$3),"&lt;&gt;",$C$3))/COUNTIFS(Consolidado!$AP:$AP,Análise!P14,Consolidado!$AO:$AO,Análise!$C$6,Consolidado!$AN:$AN,IF(ISBLANK($C$2),"&lt;&gt;",$C$2),Consolidado!$Q:$Q,$K16,Consolidado!$C:$C,IF(ISBLANK($C$3),"&lt;&gt;",$C$3),Consolidado!$AV:$AV,"&lt;&gt;"&amp;0),0)</f>
        <v>8</v>
      </c>
      <c r="Q20" s="180">
        <f>IFERROR(SUMIFS(Consolidado!AV:AV,Consolidado!$AO:$AO,Análise!$C$6,Consolidado!$AN:$AN,IF(ISBLANK($C$2),"&lt;&gt;",$C$2),Consolidado!$C:$C,IF(ISBLANK($C$3),"&lt;&gt;",$C$3))/COUNTIFS(Consolidado!$AO:$AO,Análise!$C$6,Consolidado!$AN:$AN,IF(ISBLANK($C$2),"&lt;&gt;",$C$2),Consolidado!$Q:$Q,K$16,Consolidado!$C:$C,IF(ISBLANK($C$3),"&lt;&gt;",$C$3),Consolidado!$AV:$AV,"&lt;&gt;"&amp;0),0)</f>
        <v>5.5</v>
      </c>
      <c r="S20" s="192" t="s">
        <v>901</v>
      </c>
      <c r="T20" s="79">
        <f>COUNTIFS(Consolidado!$AN:$AN,IF(ISBLANK($C$2),"&lt;&gt;",$C$2),Consolidado!$Q:$Q,Análise!S20,Consolidado!$B:$B,"&lt;="&amp;Análise!$C$9,Consolidado!$B:$B,"&gt;="&amp;Análise!$C$8,Consolidado!$C:$C,IF(ISBLANK($C$3),"&lt;&gt;",$C$3),Consolidado!$AW:$AW,"S")</f>
        <v>0</v>
      </c>
      <c r="U20" s="80">
        <f t="shared" si="0"/>
        <v>0</v>
      </c>
    </row>
    <row r="21" spans="2:25" x14ac:dyDescent="0.3">
      <c r="B21" s="193" t="s">
        <v>901</v>
      </c>
      <c r="C21" s="36">
        <f>COUNTIFS(Consolidado!$AP:$AP,Análise!C$14,Consolidado!$AO:$AO,Análise!$C$6,Consolidado!$AN:$AN,IF(ISBLANK($C$2),"&lt;&gt;",$C$2),Consolidado!$Q:$Q,Análise!$B21,Consolidado!$C:$C,IF(ISBLANK($C$3),"&lt;&gt;",$C$3),Consolidado!$AW:$AW,"S")</f>
        <v>0</v>
      </c>
      <c r="D21" s="36">
        <f>COUNTIFS(Consolidado!$AP:$AP,Análise!D$14,Consolidado!$AO:$AO,Análise!$C$6,Consolidado!$AN:$AN,IF(ISBLANK($C$2),"&lt;&gt;",$C$2),Consolidado!$Q:$Q,Análise!$B21,Consolidado!$C:$C,IF(ISBLANK($C$3),"&lt;&gt;",$C$3),Consolidado!$AW:$AW,"S")</f>
        <v>0</v>
      </c>
      <c r="E21" s="36">
        <f>COUNTIFS(Consolidado!$AP:$AP,Análise!E$14,Consolidado!$AO:$AO,Análise!$C$6,Consolidado!$AN:$AN,IF(ISBLANK($C$2),"&lt;&gt;",$C$2),Consolidado!$Q:$Q,Análise!$B21,Consolidado!$C:$C,IF(ISBLANK($C$3),"&lt;&gt;",$C$3),Consolidado!$AW:$AW,"S")</f>
        <v>0</v>
      </c>
      <c r="F21" s="36">
        <f>COUNTIFS(Consolidado!$AP:$AP,Análise!F$14,Consolidado!$AO:$AO,Análise!$C$6,Consolidado!$AN:$AN,IF(ISBLANK($C$2),"&lt;&gt;",$C$2),Consolidado!$Q:$Q,Análise!$B21,Consolidado!$C:$C,IF(ISBLANK($C$3),"&lt;&gt;",$C$3),Consolidado!$AW:$AW,"S")</f>
        <v>0</v>
      </c>
      <c r="G21" s="36">
        <f>COUNTIFS(Consolidado!$AP:$AP,Análise!G$14,Consolidado!$AO:$AO,Análise!$C$6,Consolidado!$AN:$AN,IF(ISBLANK($C$2),"&lt;&gt;",$C$2),Consolidado!$Q:$Q,Análise!$B21,Consolidado!$C:$C,IF(ISBLANK($C$3),"&lt;&gt;",$C$3),Consolidado!$AW:$AW,"S")</f>
        <v>0</v>
      </c>
      <c r="H21" s="44">
        <f t="shared" si="3"/>
        <v>0</v>
      </c>
      <c r="I21" s="49">
        <f t="shared" si="1"/>
        <v>0</v>
      </c>
      <c r="S21" s="205" t="s">
        <v>902</v>
      </c>
      <c r="T21" s="38">
        <f>COUNTIFS(Consolidado!$AN:$AN,IF(ISBLANK($C$2),"&lt;&gt;",$C$2),Consolidado!$Q:$Q,Análise!S21,Consolidado!$B:$B,"&lt;="&amp;Análise!$C$9,Consolidado!$B:$B,"&gt;="&amp;Análise!$C$8,Consolidado!$C:$C,IF(ISBLANK($C$3),"&lt;&gt;",$C$3),Consolidado!$AW:$AW,"S")</f>
        <v>0</v>
      </c>
      <c r="U21" s="182">
        <f t="shared" si="0"/>
        <v>0</v>
      </c>
      <c r="W21" s="77" t="s">
        <v>903</v>
      </c>
      <c r="X21" s="77" t="s">
        <v>889</v>
      </c>
      <c r="Y21" s="77" t="s">
        <v>890</v>
      </c>
    </row>
    <row r="22" spans="2:25" x14ac:dyDescent="0.3">
      <c r="B22" s="194" t="s">
        <v>902</v>
      </c>
      <c r="C22" s="38">
        <f>COUNTIFS(Consolidado!$AP:$AP,Análise!C$14,Consolidado!$AO:$AO,Análise!$C$6,Consolidado!$AN:$AN,IF(ISBLANK($C$2),"&lt;&gt;",$C$2),Consolidado!$Q:$Q,Análise!$B22,Consolidado!$C:$C,IF(ISBLANK($C$3),"&lt;&gt;",$C$3),Consolidado!$AW:$AW,"S")</f>
        <v>0</v>
      </c>
      <c r="D22" s="38">
        <f>COUNTIFS(Consolidado!$AP:$AP,Análise!D$14,Consolidado!$AO:$AO,Análise!$C$6,Consolidado!$AN:$AN,IF(ISBLANK($C$2),"&lt;&gt;",$C$2),Consolidado!$Q:$Q,Análise!$B22,Consolidado!$C:$C,IF(ISBLANK($C$3),"&lt;&gt;",$C$3),Consolidado!$AW:$AW,"S")</f>
        <v>0</v>
      </c>
      <c r="E22" s="38">
        <f>COUNTIFS(Consolidado!$AP:$AP,Análise!E$14,Consolidado!$AO:$AO,Análise!$C$6,Consolidado!$AN:$AN,IF(ISBLANK($C$2),"&lt;&gt;",$C$2),Consolidado!$Q:$Q,Análise!$B22,Consolidado!$C:$C,IF(ISBLANK($C$3),"&lt;&gt;",$C$3),Consolidado!$AW:$AW,"S")</f>
        <v>0</v>
      </c>
      <c r="F22" s="38">
        <f>COUNTIFS(Consolidado!$AP:$AP,Análise!F$14,Consolidado!$AO:$AO,Análise!$C$6,Consolidado!$AN:$AN,IF(ISBLANK($C$2),"&lt;&gt;",$C$2),Consolidado!$Q:$Q,Análise!$B22,Consolidado!$C:$C,IF(ISBLANK($C$3),"&lt;&gt;",$C$3),Consolidado!$AW:$AW,"S")</f>
        <v>0</v>
      </c>
      <c r="G22" s="38">
        <f>COUNTIFS(Consolidado!$AP:$AP,Análise!G$14,Consolidado!$AO:$AO,Análise!$C$6,Consolidado!$AN:$AN,IF(ISBLANK($C$2),"&lt;&gt;",$C$2),Consolidado!$Q:$Q,Análise!$B22,Consolidado!$C:$C,IF(ISBLANK($C$3),"&lt;&gt;",$C$3),Consolidado!$AW:$AW,"S")</f>
        <v>0</v>
      </c>
      <c r="H22" s="39">
        <f t="shared" si="3"/>
        <v>0</v>
      </c>
      <c r="I22" s="43">
        <f t="shared" si="1"/>
        <v>0</v>
      </c>
      <c r="S22" s="192" t="s">
        <v>549</v>
      </c>
      <c r="T22" s="79">
        <f>COUNTIFS(Consolidado!$AN:$AN,IF(ISBLANK($C$2),"&lt;&gt;",$C$2),Consolidado!$Q:$Q,Análise!S22,Consolidado!$B:$B,"&lt;="&amp;Análise!$C$9,Consolidado!$B:$B,"&gt;="&amp;Análise!$C$8,Consolidado!$C:$C,IF(ISBLANK($C$3),"&lt;&gt;",$C$3),Consolidado!$AW:$AW,"S")</f>
        <v>2</v>
      </c>
      <c r="U22" s="80">
        <f t="shared" si="0"/>
        <v>0.4</v>
      </c>
      <c r="W22" s="184" t="s">
        <v>67</v>
      </c>
      <c r="X22" s="79">
        <f>COUNTIFS(Consolidado!$AN:$AN,IF(ISBLANK($C$2),"&lt;&gt;",$C$2),Consolidado!$Q:$Q,Análise!S14,Consolidado!$B:$B,"&lt;="&amp;Análise!$C$9,Consolidado!$B:$B,"&gt;="&amp;Análise!$C$8,Consolidado!$C:$C,IF(ISBLANK($C$3),"&lt;&gt;",$C$3),Consolidado!$J:$J,$W22,Consolidado!$AW:$AW,"S")</f>
        <v>1</v>
      </c>
      <c r="Y22" s="80">
        <f>IFERROR(X22/SUM($X$22:$X$23),"")</f>
        <v>1</v>
      </c>
    </row>
    <row r="23" spans="2:25" x14ac:dyDescent="0.3">
      <c r="B23" s="193" t="s">
        <v>549</v>
      </c>
      <c r="C23" s="36">
        <f>COUNTIFS(Consolidado!$AP:$AP,Análise!C$14,Consolidado!$AO:$AO,Análise!$C$6,Consolidado!$AN:$AN,IF(ISBLANK($C$2),"&lt;&gt;",$C$2),Consolidado!$Q:$Q,Análise!$B23,Consolidado!$C:$C,IF(ISBLANK($C$3),"&lt;&gt;",$C$3),Consolidado!$AW:$AW,"S")</f>
        <v>0</v>
      </c>
      <c r="D23" s="36">
        <f>COUNTIFS(Consolidado!$AP:$AP,Análise!D$14,Consolidado!$AO:$AO,Análise!$C$6,Consolidado!$AN:$AN,IF(ISBLANK($C$2),"&lt;&gt;",$C$2),Consolidado!$Q:$Q,Análise!$B23,Consolidado!$C:$C,IF(ISBLANK($C$3),"&lt;&gt;",$C$3),Consolidado!$AW:$AW,"S")</f>
        <v>0</v>
      </c>
      <c r="E23" s="36">
        <f>COUNTIFS(Consolidado!$AP:$AP,Análise!E$14,Consolidado!$AO:$AO,Análise!$C$6,Consolidado!$AN:$AN,IF(ISBLANK($C$2),"&lt;&gt;",$C$2),Consolidado!$Q:$Q,Análise!$B23,Consolidado!$C:$C,IF(ISBLANK($C$3),"&lt;&gt;",$C$3),Consolidado!$AW:$AW,"S")</f>
        <v>0</v>
      </c>
      <c r="F23" s="36">
        <f>COUNTIFS(Consolidado!$AP:$AP,Análise!F$14,Consolidado!$AO:$AO,Análise!$C$6,Consolidado!$AN:$AN,IF(ISBLANK($C$2),"&lt;&gt;",$C$2),Consolidado!$Q:$Q,Análise!$B23,Consolidado!$C:$C,IF(ISBLANK($C$3),"&lt;&gt;",$C$3),Consolidado!$AW:$AW,"S")</f>
        <v>2</v>
      </c>
      <c r="G23" s="36">
        <f>COUNTIFS(Consolidado!$AP:$AP,Análise!G$14,Consolidado!$AO:$AO,Análise!$C$6,Consolidado!$AN:$AN,IF(ISBLANK($C$2),"&lt;&gt;",$C$2),Consolidado!$Q:$Q,Análise!$B23,Consolidado!$C:$C,IF(ISBLANK($C$3),"&lt;&gt;",$C$3),Consolidado!$AW:$AW,"S")</f>
        <v>0</v>
      </c>
      <c r="H23" s="44">
        <f t="shared" si="3"/>
        <v>2</v>
      </c>
      <c r="I23" s="49">
        <f t="shared" si="1"/>
        <v>0.4</v>
      </c>
      <c r="K23" s="229" t="s">
        <v>888</v>
      </c>
      <c r="L23" s="175" t="s">
        <v>41</v>
      </c>
      <c r="M23" s="175"/>
      <c r="N23" s="175"/>
      <c r="O23" s="175"/>
      <c r="P23" s="175"/>
      <c r="Q23" s="175"/>
      <c r="S23" s="205" t="s">
        <v>545</v>
      </c>
      <c r="T23" s="38">
        <f>COUNTIFS(Consolidado!$AN:$AN,IF(ISBLANK($C$2),"&lt;&gt;",$C$2),Consolidado!$Q:$Q,Análise!S23,Consolidado!$B:$B,"&lt;="&amp;Análise!$C$9,Consolidado!$B:$B,"&gt;="&amp;Análise!$C$8,Consolidado!$C:$C,IF(ISBLANK($C$3),"&lt;&gt;",$C$3),Consolidado!$AW:$AW,"S")</f>
        <v>0</v>
      </c>
      <c r="U23" s="182">
        <f t="shared" si="0"/>
        <v>0</v>
      </c>
      <c r="W23" s="206" t="s">
        <v>53</v>
      </c>
      <c r="X23" s="38">
        <f>COUNTIFS(Consolidado!$AN:$AN,IF(ISBLANK($C$2),"&lt;&gt;",$C$2),Consolidado!$Q:$Q,Análise!S15,Consolidado!$B:$B,"&lt;="&amp;Análise!$C$9,Consolidado!$B:$B,"&gt;="&amp;Análise!$C$8,Consolidado!$C:$C,IF(ISBLANK($C$3),"&lt;&gt;",$C$3),Consolidado!$J:$J,$W23,Consolidado!$AW:$AW,"S")</f>
        <v>0</v>
      </c>
      <c r="Y23" s="182">
        <f>IFERROR(X23/SUM($X$22:$X$23),"")</f>
        <v>0</v>
      </c>
    </row>
    <row r="24" spans="2:25" x14ac:dyDescent="0.3">
      <c r="B24" s="194" t="s">
        <v>545</v>
      </c>
      <c r="C24" s="38">
        <f>COUNTIFS(Consolidado!$AP:$AP,Análise!C$14,Consolidado!$AO:$AO,Análise!$C$6,Consolidado!$AN:$AN,IF(ISBLANK($C$2),"&lt;&gt;",$C$2),Consolidado!$Q:$Q,Análise!$B24,Consolidado!$C:$C,IF(ISBLANK($C$3),"&lt;&gt;",$C$3),Consolidado!$AW:$AW,"S")</f>
        <v>0</v>
      </c>
      <c r="D24" s="38">
        <f>COUNTIFS(Consolidado!$AP:$AP,Análise!D$14,Consolidado!$AO:$AO,Análise!$C$6,Consolidado!$AN:$AN,IF(ISBLANK($C$2),"&lt;&gt;",$C$2),Consolidado!$Q:$Q,Análise!$B24,Consolidado!$C:$C,IF(ISBLANK($C$3),"&lt;&gt;",$C$3),Consolidado!$AW:$AW,"S")</f>
        <v>0</v>
      </c>
      <c r="E24" s="38">
        <f>COUNTIFS(Consolidado!$AP:$AP,Análise!E$14,Consolidado!$AO:$AO,Análise!$C$6,Consolidado!$AN:$AN,IF(ISBLANK($C$2),"&lt;&gt;",$C$2),Consolidado!$Q:$Q,Análise!$B24,Consolidado!$C:$C,IF(ISBLANK($C$3),"&lt;&gt;",$C$3),Consolidado!$AW:$AW,"S")</f>
        <v>0</v>
      </c>
      <c r="F24" s="38">
        <f>COUNTIFS(Consolidado!$AP:$AP,Análise!F$14,Consolidado!$AO:$AO,Análise!$C$6,Consolidado!$AN:$AN,IF(ISBLANK($C$2),"&lt;&gt;",$C$2),Consolidado!$Q:$Q,Análise!$B24,Consolidado!$C:$C,IF(ISBLANK($C$3),"&lt;&gt;",$C$3),Consolidado!$AW:$AW,"S")</f>
        <v>0</v>
      </c>
      <c r="G24" s="38">
        <f>COUNTIFS(Consolidado!$AP:$AP,Análise!G$14,Consolidado!$AO:$AO,Análise!$C$6,Consolidado!$AN:$AN,IF(ISBLANK($C$2),"&lt;&gt;",$C$2),Consolidado!$Q:$Q,Análise!$B24,Consolidado!$C:$C,IF(ISBLANK($C$3),"&lt;&gt;",$C$3),Consolidado!$AW:$AW,"S")</f>
        <v>0</v>
      </c>
      <c r="H24" s="39">
        <f t="shared" si="3"/>
        <v>0</v>
      </c>
      <c r="I24" s="43">
        <f t="shared" si="1"/>
        <v>0</v>
      </c>
      <c r="K24" s="229"/>
      <c r="L24" s="176">
        <v>1</v>
      </c>
      <c r="M24" s="176">
        <v>2</v>
      </c>
      <c r="N24" s="176">
        <v>3</v>
      </c>
      <c r="O24" s="176">
        <v>4</v>
      </c>
      <c r="P24" s="176">
        <v>5</v>
      </c>
      <c r="Q24" s="175" t="s">
        <v>887</v>
      </c>
      <c r="S24" s="192" t="s">
        <v>904</v>
      </c>
      <c r="T24" s="79">
        <f>COUNTIFS(Consolidado!$AN:$AN,IF(ISBLANK($C$2),"&lt;&gt;",$C$2),Consolidado!$Q:$Q,Análise!S24,Consolidado!$B:$B,"&lt;="&amp;Análise!$C$9,Consolidado!$B:$B,"&gt;="&amp;Análise!$C$8,Consolidado!$C:$C,IF(ISBLANK($C$3),"&lt;&gt;",$C$3),Consolidado!$AW:$AW,"S")</f>
        <v>0</v>
      </c>
      <c r="U24" s="80">
        <f t="shared" si="0"/>
        <v>0</v>
      </c>
    </row>
    <row r="25" spans="2:25" x14ac:dyDescent="0.3">
      <c r="B25" s="193" t="s">
        <v>904</v>
      </c>
      <c r="C25" s="36">
        <f>COUNTIFS(Consolidado!$AP:$AP,Análise!C$14,Consolidado!$AO:$AO,Análise!$C$6,Consolidado!$AN:$AN,IF(ISBLANK($C$2),"&lt;&gt;",$C$2),Consolidado!$Q:$Q,Análise!$B25,Consolidado!$C:$C,IF(ISBLANK($C$3),"&lt;&gt;",$C$3),Consolidado!$AW:$AW,"S")</f>
        <v>0</v>
      </c>
      <c r="D25" s="36">
        <f>COUNTIFS(Consolidado!$AP:$AP,Análise!D$14,Consolidado!$AO:$AO,Análise!$C$6,Consolidado!$AN:$AN,IF(ISBLANK($C$2),"&lt;&gt;",$C$2),Consolidado!$Q:$Q,Análise!$B25,Consolidado!$C:$C,IF(ISBLANK($C$3),"&lt;&gt;",$C$3),Consolidado!$AW:$AW,"S")</f>
        <v>0</v>
      </c>
      <c r="E25" s="36">
        <f>COUNTIFS(Consolidado!$AP:$AP,Análise!E$14,Consolidado!$AO:$AO,Análise!$C$6,Consolidado!$AN:$AN,IF(ISBLANK($C$2),"&lt;&gt;",$C$2),Consolidado!$Q:$Q,Análise!$B25,Consolidado!$C:$C,IF(ISBLANK($C$3),"&lt;&gt;",$C$3),Consolidado!$AW:$AW,"S")</f>
        <v>0</v>
      </c>
      <c r="F25" s="36">
        <f>COUNTIFS(Consolidado!$AP:$AP,Análise!F$14,Consolidado!$AO:$AO,Análise!$C$6,Consolidado!$AN:$AN,IF(ISBLANK($C$2),"&lt;&gt;",$C$2),Consolidado!$Q:$Q,Análise!$B25,Consolidado!$C:$C,IF(ISBLANK($C$3),"&lt;&gt;",$C$3),Consolidado!$AW:$AW,"S")</f>
        <v>0</v>
      </c>
      <c r="G25" s="36">
        <f>COUNTIFS(Consolidado!$AP:$AP,Análise!G$14,Consolidado!$AO:$AO,Análise!$C$6,Consolidado!$AN:$AN,IF(ISBLANK($C$2),"&lt;&gt;",$C$2),Consolidado!$Q:$Q,Análise!$B25,Consolidado!$C:$C,IF(ISBLANK($C$3),"&lt;&gt;",$C$3),Consolidado!$AW:$AW,"S")</f>
        <v>0</v>
      </c>
      <c r="H25" s="44">
        <f t="shared" si="3"/>
        <v>0</v>
      </c>
      <c r="I25" s="49">
        <f t="shared" si="1"/>
        <v>0</v>
      </c>
      <c r="K25" s="36" t="s">
        <v>898</v>
      </c>
      <c r="L25" s="75">
        <f>IFERROR(SUMIFS(Consolidado!AT:AT,Consolidado!$AP:$AP,L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L24),0)</f>
        <v>0</v>
      </c>
      <c r="M25" s="75">
        <f>IFERROR(SUMIFS(Consolidado!AT:AT,Consolidado!$AP:$AP,M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M24),0)</f>
        <v>0</v>
      </c>
      <c r="N25" s="75">
        <f>IFERROR(SUMIFS(Consolidado!AT:AT,Consolidado!$AP:$AP,N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N24),0)</f>
        <v>0</v>
      </c>
      <c r="O25" s="75">
        <f>IFERROR(SUMIFS(Consolidado!AT:AT,Consolidado!$AP:$AP,O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O24),0)</f>
        <v>0</v>
      </c>
      <c r="P25" s="75">
        <f>IFERROR(SUMIFS(Consolidado!AT:AT,Consolidado!$AP:$AP,P24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,Consolidado!$AP:$AP,P24),0)</f>
        <v>0</v>
      </c>
      <c r="Q25" s="179">
        <f>IFERROR(SUMIFS(Consolidado!AT:AT,Consolidado!$AO:$AO,Análise!$C$6,Consolidado!$AN:$AN,IF(ISBLANK($C$2),"&lt;&gt;",$C$2),Consolidado!$C:$C,IF(ISBLANK($C$3),"&lt;&gt;",$C$3))/COUNTIFS(Consolidado!$R:$R,"&lt;&gt;",Consolidado!$S:$S,"&lt;&gt;",Consolidado!$AO:$AO,Análise!$C$6,Consolidado!$AN:$AN,IF(ISBLANK($C$2),"&lt;&gt;",$C$2),Consolidado!$C:$C,IF(ISBLANK($C$3),"&lt;&gt;",$C$3)),0)</f>
        <v>0</v>
      </c>
      <c r="S25" s="205" t="s">
        <v>905</v>
      </c>
      <c r="T25" s="38">
        <f>COUNTIFS(Consolidado!$AN:$AN,IF(ISBLANK($C$2),"&lt;&gt;",$C$2),Consolidado!$Q:$Q,Análise!S25,Consolidado!$B:$B,"&lt;="&amp;Análise!$C$9,Consolidado!$B:$B,"&gt;="&amp;Análise!$C$8,Consolidado!$C:$C,IF(ISBLANK($C$3),"&lt;&gt;",$C$3),Consolidado!$AW:$AW,"S")</f>
        <v>0</v>
      </c>
      <c r="U25" s="182">
        <f t="shared" si="0"/>
        <v>0</v>
      </c>
    </row>
    <row r="26" spans="2:25" x14ac:dyDescent="0.3">
      <c r="B26" s="194" t="s">
        <v>905</v>
      </c>
      <c r="C26" s="38">
        <f>COUNTIFS(Consolidado!$AP:$AP,Análise!C$14,Consolidado!$AO:$AO,Análise!$C$6,Consolidado!$AN:$AN,IF(ISBLANK($C$2),"&lt;&gt;",$C$2),Consolidado!$Q:$Q,Análise!$B26,Consolidado!$C:$C,IF(ISBLANK($C$3),"&lt;&gt;",$C$3),Consolidado!$AW:$AW,"S")</f>
        <v>0</v>
      </c>
      <c r="D26" s="38">
        <f>COUNTIFS(Consolidado!$AP:$AP,Análise!D$14,Consolidado!$AO:$AO,Análise!$C$6,Consolidado!$AN:$AN,IF(ISBLANK($C$2),"&lt;&gt;",$C$2),Consolidado!$Q:$Q,Análise!$B26,Consolidado!$C:$C,IF(ISBLANK($C$3),"&lt;&gt;",$C$3),Consolidado!$AW:$AW,"S")</f>
        <v>0</v>
      </c>
      <c r="E26" s="38">
        <f>COUNTIFS(Consolidado!$AP:$AP,Análise!E$14,Consolidado!$AO:$AO,Análise!$C$6,Consolidado!$AN:$AN,IF(ISBLANK($C$2),"&lt;&gt;",$C$2),Consolidado!$Q:$Q,Análise!$B26,Consolidado!$C:$C,IF(ISBLANK($C$3),"&lt;&gt;",$C$3),Consolidado!$AW:$AW,"S")</f>
        <v>0</v>
      </c>
      <c r="F26" s="38">
        <f>COUNTIFS(Consolidado!$AP:$AP,Análise!F$14,Consolidado!$AO:$AO,Análise!$C$6,Consolidado!$AN:$AN,IF(ISBLANK($C$2),"&lt;&gt;",$C$2),Consolidado!$Q:$Q,Análise!$B26,Consolidado!$C:$C,IF(ISBLANK($C$3),"&lt;&gt;",$C$3),Consolidado!$AW:$AW,"S")</f>
        <v>0</v>
      </c>
      <c r="G26" s="38">
        <f>COUNTIFS(Consolidado!$AP:$AP,Análise!G$14,Consolidado!$AO:$AO,Análise!$C$6,Consolidado!$AN:$AN,IF(ISBLANK($C$2),"&lt;&gt;",$C$2),Consolidado!$Q:$Q,Análise!$B26,Consolidado!$C:$C,IF(ISBLANK($C$3),"&lt;&gt;",$C$3),Consolidado!$AW:$AW,"S")</f>
        <v>0</v>
      </c>
      <c r="H26" s="39">
        <f t="shared" si="3"/>
        <v>0</v>
      </c>
      <c r="I26" s="43">
        <f t="shared" si="1"/>
        <v>0</v>
      </c>
      <c r="S26" s="192" t="s">
        <v>906</v>
      </c>
      <c r="T26" s="79">
        <f>COUNTIFS(Consolidado!$AN:$AN,IF(ISBLANK($C$2),"&lt;&gt;",$C$2),Consolidado!$Q:$Q,Análise!S26,Consolidado!$B:$B,"&lt;="&amp;Análise!$C$9,Consolidado!$B:$B,"&gt;="&amp;Análise!$C$8,Consolidado!$C:$C,IF(ISBLANK($C$3),"&lt;&gt;",$C$3),Consolidado!$AW:$AW,"S")</f>
        <v>0</v>
      </c>
      <c r="U26" s="80">
        <f t="shared" si="0"/>
        <v>0</v>
      </c>
    </row>
    <row r="27" spans="2:25" x14ac:dyDescent="0.3">
      <c r="B27" s="193" t="s">
        <v>906</v>
      </c>
      <c r="C27" s="36">
        <f>COUNTIFS(Consolidado!$AP:$AP,Análise!C$14,Consolidado!$AO:$AO,Análise!$C$6,Consolidado!$AN:$AN,IF(ISBLANK($C$2),"&lt;&gt;",$C$2),Consolidado!$Q:$Q,Análise!$B27,Consolidado!$C:$C,IF(ISBLANK($C$3),"&lt;&gt;",$C$3),Consolidado!$AW:$AW,"S")</f>
        <v>0</v>
      </c>
      <c r="D27" s="36">
        <f>COUNTIFS(Consolidado!$AP:$AP,Análise!D$14,Consolidado!$AO:$AO,Análise!$C$6,Consolidado!$AN:$AN,IF(ISBLANK($C$2),"&lt;&gt;",$C$2),Consolidado!$Q:$Q,Análise!$B27,Consolidado!$C:$C,IF(ISBLANK($C$3),"&lt;&gt;",$C$3),Consolidado!$AW:$AW,"S")</f>
        <v>0</v>
      </c>
      <c r="E27" s="36">
        <f>COUNTIFS(Consolidado!$AP:$AP,Análise!E$14,Consolidado!$AO:$AO,Análise!$C$6,Consolidado!$AN:$AN,IF(ISBLANK($C$2),"&lt;&gt;",$C$2),Consolidado!$Q:$Q,Análise!$B27,Consolidado!$C:$C,IF(ISBLANK($C$3),"&lt;&gt;",$C$3),Consolidado!$AW:$AW,"S")</f>
        <v>0</v>
      </c>
      <c r="F27" s="36">
        <f>COUNTIFS(Consolidado!$AP:$AP,Análise!F$14,Consolidado!$AO:$AO,Análise!$C$6,Consolidado!$AN:$AN,IF(ISBLANK($C$2),"&lt;&gt;",$C$2),Consolidado!$Q:$Q,Análise!$B27,Consolidado!$C:$C,IF(ISBLANK($C$3),"&lt;&gt;",$C$3),Consolidado!$AW:$AW,"S")</f>
        <v>0</v>
      </c>
      <c r="G27" s="36">
        <f>COUNTIFS(Consolidado!$AP:$AP,Análise!G$14,Consolidado!$AO:$AO,Análise!$C$6,Consolidado!$AN:$AN,IF(ISBLANK($C$2),"&lt;&gt;",$C$2),Consolidado!$Q:$Q,Análise!$B27,Consolidado!$C:$C,IF(ISBLANK($C$3),"&lt;&gt;",$C$3),Consolidado!$AW:$AW,"S")</f>
        <v>0</v>
      </c>
      <c r="H27" s="44">
        <f t="shared" si="3"/>
        <v>0</v>
      </c>
      <c r="I27" s="49">
        <f t="shared" si="1"/>
        <v>0</v>
      </c>
      <c r="S27" s="205" t="s">
        <v>84</v>
      </c>
      <c r="T27" s="38">
        <f>COUNTIFS(Consolidado!$AN:$AN,IF(ISBLANK($C$2),"&lt;&gt;",$C$2),Consolidado!$Q:$Q,Análise!S27,Consolidado!$B:$B,"&lt;="&amp;Análise!$C$9,Consolidado!$B:$B,"&gt;="&amp;Análise!$C$8,Consolidado!$C:$C,IF(ISBLANK($C$3),"&lt;&gt;",$C$3),Consolidado!$AW:$AW,"S")</f>
        <v>0</v>
      </c>
      <c r="U27" s="182">
        <f t="shared" si="0"/>
        <v>0</v>
      </c>
    </row>
    <row r="28" spans="2:25" x14ac:dyDescent="0.3">
      <c r="B28" s="194" t="s">
        <v>84</v>
      </c>
      <c r="C28" s="38">
        <f>COUNTIFS(Consolidado!$AP:$AP,Análise!C$14,Consolidado!$AO:$AO,Análise!$C$6,Consolidado!$AN:$AN,IF(ISBLANK($C$2),"&lt;&gt;",$C$2),Consolidado!$Q:$Q,Análise!$B28,Consolidado!$C:$C,IF(ISBLANK($C$3),"&lt;&gt;",$C$3),Consolidado!$AW:$AW,"S")</f>
        <v>0</v>
      </c>
      <c r="D28" s="38">
        <f>COUNTIFS(Consolidado!$AP:$AP,Análise!D$14,Consolidado!$AO:$AO,Análise!$C$6,Consolidado!$AN:$AN,IF(ISBLANK($C$2),"&lt;&gt;",$C$2),Consolidado!$Q:$Q,Análise!$B28,Consolidado!$C:$C,IF(ISBLANK($C$3),"&lt;&gt;",$C$3),Consolidado!$AW:$AW,"S")</f>
        <v>0</v>
      </c>
      <c r="E28" s="38">
        <f>COUNTIFS(Consolidado!$AP:$AP,Análise!E$14,Consolidado!$AO:$AO,Análise!$C$6,Consolidado!$AN:$AN,IF(ISBLANK($C$2),"&lt;&gt;",$C$2),Consolidado!$Q:$Q,Análise!$B28,Consolidado!$C:$C,IF(ISBLANK($C$3),"&lt;&gt;",$C$3),Consolidado!$AW:$AW,"S")</f>
        <v>0</v>
      </c>
      <c r="F28" s="38">
        <f>COUNTIFS(Consolidado!$AP:$AP,Análise!F$14,Consolidado!$AO:$AO,Análise!$C$6,Consolidado!$AN:$AN,IF(ISBLANK($C$2),"&lt;&gt;",$C$2),Consolidado!$Q:$Q,Análise!$B28,Consolidado!$C:$C,IF(ISBLANK($C$3),"&lt;&gt;",$C$3),Consolidado!$AW:$AW,"S")</f>
        <v>0</v>
      </c>
      <c r="G28" s="38">
        <f>COUNTIFS(Consolidado!$AP:$AP,Análise!G$14,Consolidado!$AO:$AO,Análise!$C$6,Consolidado!$AN:$AN,IF(ISBLANK($C$2),"&lt;&gt;",$C$2),Consolidado!$Q:$Q,Análise!$B28,Consolidado!$C:$C,IF(ISBLANK($C$3),"&lt;&gt;",$C$3),Consolidado!$AW:$AW,"S")</f>
        <v>0</v>
      </c>
      <c r="H28" s="39">
        <f t="shared" si="3"/>
        <v>0</v>
      </c>
      <c r="I28" s="43">
        <f t="shared" si="1"/>
        <v>0</v>
      </c>
      <c r="K28" s="229" t="s">
        <v>888</v>
      </c>
      <c r="L28" s="175" t="s">
        <v>41</v>
      </c>
      <c r="M28" s="175"/>
      <c r="N28" s="175"/>
      <c r="O28" s="175"/>
      <c r="P28" s="175"/>
      <c r="Q28" s="175"/>
      <c r="S28" s="192" t="s">
        <v>907</v>
      </c>
      <c r="T28" s="79">
        <f>COUNTIFS(Consolidado!$AN:$AN,IF(ISBLANK($C$2),"&lt;&gt;",$C$2),Consolidado!$Q:$Q,Análise!S28,Consolidado!$B:$B,"&lt;="&amp;Análise!$C$9,Consolidado!$B:$B,"&gt;="&amp;Análise!$C$8,Consolidado!$C:$C,IF(ISBLANK($C$3),"&lt;&gt;",$C$3),Consolidado!$AW:$AW,"S")</f>
        <v>0</v>
      </c>
      <c r="U28" s="80">
        <f t="shared" si="0"/>
        <v>0</v>
      </c>
    </row>
    <row r="29" spans="2:25" x14ac:dyDescent="0.3">
      <c r="B29" s="193" t="s">
        <v>907</v>
      </c>
      <c r="C29" s="36">
        <f>COUNTIFS(Consolidado!$AP:$AP,Análise!C$14,Consolidado!$AO:$AO,Análise!$C$6,Consolidado!$AN:$AN,IF(ISBLANK($C$2),"&lt;&gt;",$C$2),Consolidado!$Q:$Q,Análise!$B29,Consolidado!$C:$C,IF(ISBLANK($C$3),"&lt;&gt;",$C$3),Consolidado!$AW:$AW,"S")</f>
        <v>0</v>
      </c>
      <c r="D29" s="36">
        <f>COUNTIFS(Consolidado!$AP:$AP,Análise!D$14,Consolidado!$AO:$AO,Análise!$C$6,Consolidado!$AN:$AN,IF(ISBLANK($C$2),"&lt;&gt;",$C$2),Consolidado!$Q:$Q,Análise!$B29,Consolidado!$C:$C,IF(ISBLANK($C$3),"&lt;&gt;",$C$3),Consolidado!$AW:$AW,"S")</f>
        <v>0</v>
      </c>
      <c r="E29" s="36">
        <f>COUNTIFS(Consolidado!$AP:$AP,Análise!E$14,Consolidado!$AO:$AO,Análise!$C$6,Consolidado!$AN:$AN,IF(ISBLANK($C$2),"&lt;&gt;",$C$2),Consolidado!$Q:$Q,Análise!$B29,Consolidado!$C:$C,IF(ISBLANK($C$3),"&lt;&gt;",$C$3),Consolidado!$AW:$AW,"S")</f>
        <v>0</v>
      </c>
      <c r="F29" s="36">
        <f>COUNTIFS(Consolidado!$AP:$AP,Análise!F$14,Consolidado!$AO:$AO,Análise!$C$6,Consolidado!$AN:$AN,IF(ISBLANK($C$2),"&lt;&gt;",$C$2),Consolidado!$Q:$Q,Análise!$B29,Consolidado!$C:$C,IF(ISBLANK($C$3),"&lt;&gt;",$C$3),Consolidado!$AW:$AW,"S")</f>
        <v>0</v>
      </c>
      <c r="G29" s="36">
        <f>COUNTIFS(Consolidado!$AP:$AP,Análise!G$14,Consolidado!$AO:$AO,Análise!$C$6,Consolidado!$AN:$AN,IF(ISBLANK($C$2),"&lt;&gt;",$C$2),Consolidado!$Q:$Q,Análise!$B29,Consolidado!$C:$C,IF(ISBLANK($C$3),"&lt;&gt;",$C$3),Consolidado!$AW:$AW,"S")</f>
        <v>0</v>
      </c>
      <c r="H29" s="44">
        <f t="shared" si="3"/>
        <v>0</v>
      </c>
      <c r="I29" s="49">
        <f t="shared" si="1"/>
        <v>0</v>
      </c>
      <c r="K29" s="229"/>
      <c r="L29" s="176">
        <v>1</v>
      </c>
      <c r="M29" s="176">
        <v>2</v>
      </c>
      <c r="N29" s="176">
        <v>3</v>
      </c>
      <c r="O29" s="176">
        <v>4</v>
      </c>
      <c r="P29" s="176">
        <v>5</v>
      </c>
      <c r="Q29" s="175" t="s">
        <v>887</v>
      </c>
      <c r="S29" s="205" t="s">
        <v>908</v>
      </c>
      <c r="T29" s="38">
        <f>COUNTIFS(Consolidado!$AN:$AN,IF(ISBLANK($C$2),"&lt;&gt;",$C$2),Consolidado!$Q:$Q,Análise!S29,Consolidado!$B:$B,"&lt;="&amp;Análise!$C$9,Consolidado!$B:$B,"&gt;="&amp;Análise!$C$8,Consolidado!$C:$C,IF(ISBLANK($C$3),"&lt;&gt;",$C$3),Consolidado!$AW:$AW,"S")</f>
        <v>0</v>
      </c>
      <c r="U29" s="182">
        <f t="shared" si="0"/>
        <v>0</v>
      </c>
    </row>
    <row r="30" spans="2:25" x14ac:dyDescent="0.3">
      <c r="B30" s="194" t="s">
        <v>908</v>
      </c>
      <c r="C30" s="38">
        <f>COUNTIFS(Consolidado!$AP:$AP,Análise!C$14,Consolidado!$AO:$AO,Análise!$C$6,Consolidado!$AN:$AN,IF(ISBLANK($C$2),"&lt;&gt;",$C$2),Consolidado!$Q:$Q,Análise!$B30,Consolidado!$C:$C,IF(ISBLANK($C$3),"&lt;&gt;",$C$3),Consolidado!$AW:$AW,"S")</f>
        <v>0</v>
      </c>
      <c r="D30" s="38">
        <f>COUNTIFS(Consolidado!$AP:$AP,Análise!D$14,Consolidado!$AO:$AO,Análise!$C$6,Consolidado!$AN:$AN,IF(ISBLANK($C$2),"&lt;&gt;",$C$2),Consolidado!$Q:$Q,Análise!$B30,Consolidado!$C:$C,IF(ISBLANK($C$3),"&lt;&gt;",$C$3),Consolidado!$AW:$AW,"S")</f>
        <v>0</v>
      </c>
      <c r="E30" s="38">
        <f>COUNTIFS(Consolidado!$AP:$AP,Análise!E$14,Consolidado!$AO:$AO,Análise!$C$6,Consolidado!$AN:$AN,IF(ISBLANK($C$2),"&lt;&gt;",$C$2),Consolidado!$Q:$Q,Análise!$B30,Consolidado!$C:$C,IF(ISBLANK($C$3),"&lt;&gt;",$C$3),Consolidado!$AW:$AW,"S")</f>
        <v>0</v>
      </c>
      <c r="F30" s="38">
        <f>COUNTIFS(Consolidado!$AP:$AP,Análise!F$14,Consolidado!$AO:$AO,Análise!$C$6,Consolidado!$AN:$AN,IF(ISBLANK($C$2),"&lt;&gt;",$C$2),Consolidado!$Q:$Q,Análise!$B30,Consolidado!$C:$C,IF(ISBLANK($C$3),"&lt;&gt;",$C$3),Consolidado!$AW:$AW,"S")</f>
        <v>0</v>
      </c>
      <c r="G30" s="38">
        <f>COUNTIFS(Consolidado!$AP:$AP,Análise!G$14,Consolidado!$AO:$AO,Análise!$C$6,Consolidado!$AN:$AN,IF(ISBLANK($C$2),"&lt;&gt;",$C$2),Consolidado!$Q:$Q,Análise!$B30,Consolidado!$C:$C,IF(ISBLANK($C$3),"&lt;&gt;",$C$3),Consolidado!$AW:$AW,"S")</f>
        <v>0</v>
      </c>
      <c r="H30" s="39">
        <f t="shared" si="3"/>
        <v>0</v>
      </c>
      <c r="I30" s="43">
        <f t="shared" si="1"/>
        <v>0</v>
      </c>
      <c r="K30" s="38" t="s">
        <v>900</v>
      </c>
      <c r="L30" s="182" t="str">
        <f t="shared" ref="L30:Q30" si="6">IFERROR((C15+C37)/C40,"")</f>
        <v/>
      </c>
      <c r="M30" s="182">
        <f t="shared" si="6"/>
        <v>1</v>
      </c>
      <c r="N30" s="182" t="str">
        <f t="shared" si="6"/>
        <v/>
      </c>
      <c r="O30" s="182">
        <f t="shared" si="6"/>
        <v>0.33333333333333331</v>
      </c>
      <c r="P30" s="182">
        <f t="shared" si="6"/>
        <v>1</v>
      </c>
      <c r="Q30" s="183">
        <f t="shared" si="6"/>
        <v>0.6</v>
      </c>
      <c r="S30" s="192" t="s">
        <v>909</v>
      </c>
      <c r="T30" s="79">
        <f>COUNTIFS(Consolidado!$AN:$AN,IF(ISBLANK($C$2),"&lt;&gt;",$C$2),Consolidado!$Q:$Q,Análise!S30,Consolidado!$B:$B,"&lt;="&amp;Análise!$C$9,Consolidado!$B:$B,"&gt;="&amp;Análise!$C$8,Consolidado!$C:$C,IF(ISBLANK($C$3),"&lt;&gt;",$C$3),Consolidado!$AW:$AW,"S")</f>
        <v>0</v>
      </c>
      <c r="U30" s="80">
        <f t="shared" si="0"/>
        <v>0</v>
      </c>
    </row>
    <row r="31" spans="2:25" x14ac:dyDescent="0.3">
      <c r="B31" s="193" t="s">
        <v>909</v>
      </c>
      <c r="C31" s="36">
        <f>COUNTIFS(Consolidado!$AP:$AP,Análise!C$14,Consolidado!$AO:$AO,Análise!$C$6,Consolidado!$AN:$AN,IF(ISBLANK($C$2),"&lt;&gt;",$C$2),Consolidado!$Q:$Q,Análise!$B31,Consolidado!$C:$C,IF(ISBLANK($C$3),"&lt;&gt;",$C$3),Consolidado!$AW:$AW,"S")</f>
        <v>0</v>
      </c>
      <c r="D31" s="36">
        <f>COUNTIFS(Consolidado!$AP:$AP,Análise!D$14,Consolidado!$AO:$AO,Análise!$C$6,Consolidado!$AN:$AN,IF(ISBLANK($C$2),"&lt;&gt;",$C$2),Consolidado!$Q:$Q,Análise!$B31,Consolidado!$C:$C,IF(ISBLANK($C$3),"&lt;&gt;",$C$3),Consolidado!$AW:$AW,"S")</f>
        <v>0</v>
      </c>
      <c r="E31" s="36">
        <f>COUNTIFS(Consolidado!$AP:$AP,Análise!E$14,Consolidado!$AO:$AO,Análise!$C$6,Consolidado!$AN:$AN,IF(ISBLANK($C$2),"&lt;&gt;",$C$2),Consolidado!$Q:$Q,Análise!$B31,Consolidado!$C:$C,IF(ISBLANK($C$3),"&lt;&gt;",$C$3),Consolidado!$AW:$AW,"S")</f>
        <v>0</v>
      </c>
      <c r="F31" s="36">
        <f>COUNTIFS(Consolidado!$AP:$AP,Análise!F$14,Consolidado!$AO:$AO,Análise!$C$6,Consolidado!$AN:$AN,IF(ISBLANK($C$2),"&lt;&gt;",$C$2),Consolidado!$Q:$Q,Análise!$B31,Consolidado!$C:$C,IF(ISBLANK($C$3),"&lt;&gt;",$C$3),Consolidado!$AW:$AW,"S")</f>
        <v>0</v>
      </c>
      <c r="G31" s="36">
        <f>COUNTIFS(Consolidado!$AP:$AP,Análise!G$14,Consolidado!$AO:$AO,Análise!$C$6,Consolidado!$AN:$AN,IF(ISBLANK($C$2),"&lt;&gt;",$C$2),Consolidado!$Q:$Q,Análise!$B31,Consolidado!$C:$C,IF(ISBLANK($C$3),"&lt;&gt;",$C$3),Consolidado!$AW:$AW,"S")</f>
        <v>0</v>
      </c>
      <c r="H31" s="44">
        <f t="shared" si="3"/>
        <v>0</v>
      </c>
      <c r="I31" s="49">
        <f t="shared" si="1"/>
        <v>0</v>
      </c>
      <c r="S31" s="205" t="s">
        <v>910</v>
      </c>
      <c r="T31" s="38">
        <f>COUNTIFS(Consolidado!$AN:$AN,IF(ISBLANK($C$2),"&lt;&gt;",$C$2),Consolidado!$Q:$Q,Análise!S31,Consolidado!$B:$B,"&lt;="&amp;Análise!$C$9,Consolidado!$B:$B,"&gt;="&amp;Análise!$C$8,Consolidado!$C:$C,IF(ISBLANK($C$3),"&lt;&gt;",$C$3),Consolidado!$AW:$AW,"S")</f>
        <v>0</v>
      </c>
      <c r="U31" s="182">
        <f t="shared" si="0"/>
        <v>0</v>
      </c>
    </row>
    <row r="32" spans="2:25" x14ac:dyDescent="0.3">
      <c r="B32" s="194" t="s">
        <v>910</v>
      </c>
      <c r="C32" s="38">
        <f>COUNTIFS(Consolidado!$AP:$AP,Análise!C$14,Consolidado!$AO:$AO,Análise!$C$6,Consolidado!$AN:$AN,IF(ISBLANK($C$2),"&lt;&gt;",$C$2),Consolidado!$Q:$Q,Análise!$B32,Consolidado!$C:$C,IF(ISBLANK($C$3),"&lt;&gt;",$C$3),Consolidado!$AW:$AW,"S")</f>
        <v>0</v>
      </c>
      <c r="D32" s="38">
        <f>COUNTIFS(Consolidado!$AP:$AP,Análise!D$14,Consolidado!$AO:$AO,Análise!$C$6,Consolidado!$AN:$AN,IF(ISBLANK($C$2),"&lt;&gt;",$C$2),Consolidado!$Q:$Q,Análise!$B32,Consolidado!$C:$C,IF(ISBLANK($C$3),"&lt;&gt;",$C$3),Consolidado!$AW:$AW,"S")</f>
        <v>0</v>
      </c>
      <c r="E32" s="38">
        <f>COUNTIFS(Consolidado!$AP:$AP,Análise!E$14,Consolidado!$AO:$AO,Análise!$C$6,Consolidado!$AN:$AN,IF(ISBLANK($C$2),"&lt;&gt;",$C$2),Consolidado!$Q:$Q,Análise!$B32,Consolidado!$C:$C,IF(ISBLANK($C$3),"&lt;&gt;",$C$3),Consolidado!$AW:$AW,"S")</f>
        <v>0</v>
      </c>
      <c r="F32" s="38">
        <f>COUNTIFS(Consolidado!$AP:$AP,Análise!F$14,Consolidado!$AO:$AO,Análise!$C$6,Consolidado!$AN:$AN,IF(ISBLANK($C$2),"&lt;&gt;",$C$2),Consolidado!$Q:$Q,Análise!$B32,Consolidado!$C:$C,IF(ISBLANK($C$3),"&lt;&gt;",$C$3),Consolidado!$AW:$AW,"S")</f>
        <v>0</v>
      </c>
      <c r="G32" s="38">
        <f>COUNTIFS(Consolidado!$AP:$AP,Análise!G$14,Consolidado!$AO:$AO,Análise!$C$6,Consolidado!$AN:$AN,IF(ISBLANK($C$2),"&lt;&gt;",$C$2),Consolidado!$Q:$Q,Análise!$B32,Consolidado!$C:$C,IF(ISBLANK($C$3),"&lt;&gt;",$C$3),Consolidado!$AW:$AW,"S")</f>
        <v>0</v>
      </c>
      <c r="H32" s="39">
        <f t="shared" si="3"/>
        <v>0</v>
      </c>
      <c r="I32" s="43">
        <f t="shared" si="1"/>
        <v>0</v>
      </c>
      <c r="S32" s="192" t="s">
        <v>71</v>
      </c>
      <c r="T32" s="79">
        <f>COUNTIFS(Consolidado!$AN:$AN,IF(ISBLANK($C$2),"&lt;&gt;",$C$2),Consolidado!$Q:$Q,Análise!S32,Consolidado!$B:$B,"&lt;="&amp;Análise!$C$9,Consolidado!$B:$B,"&gt;="&amp;Análise!$C$8,Consolidado!$C:$C,IF(ISBLANK($C$3),"&lt;&gt;",$C$3),Consolidado!$AW:$AW,"S")</f>
        <v>0</v>
      </c>
      <c r="U32" s="80">
        <f t="shared" si="0"/>
        <v>0</v>
      </c>
    </row>
    <row r="33" spans="1:31" x14ac:dyDescent="0.3">
      <c r="B33" s="193" t="s">
        <v>71</v>
      </c>
      <c r="C33" s="36">
        <f>COUNTIFS(Consolidado!$AP:$AP,Análise!C$14,Consolidado!$AO:$AO,Análise!$C$6,Consolidado!$AN:$AN,IF(ISBLANK($C$2),"&lt;&gt;",$C$2),Consolidado!$Q:$Q,Análise!$B33,Consolidado!$C:$C,IF(ISBLANK($C$3),"&lt;&gt;",$C$3),Consolidado!$AW:$AW,"S")</f>
        <v>0</v>
      </c>
      <c r="D33" s="36">
        <f>COUNTIFS(Consolidado!$AP:$AP,Análise!D$14,Consolidado!$AO:$AO,Análise!$C$6,Consolidado!$AN:$AN,IF(ISBLANK($C$2),"&lt;&gt;",$C$2),Consolidado!$Q:$Q,Análise!$B33,Consolidado!$C:$C,IF(ISBLANK($C$3),"&lt;&gt;",$C$3),Consolidado!$AW:$AW,"S")</f>
        <v>0</v>
      </c>
      <c r="E33" s="36">
        <f>COUNTIFS(Consolidado!$AP:$AP,Análise!E$14,Consolidado!$AO:$AO,Análise!$C$6,Consolidado!$AN:$AN,IF(ISBLANK($C$2),"&lt;&gt;",$C$2),Consolidado!$Q:$Q,Análise!$B33,Consolidado!$C:$C,IF(ISBLANK($C$3),"&lt;&gt;",$C$3),Consolidado!$AW:$AW,"S")</f>
        <v>0</v>
      </c>
      <c r="F33" s="36">
        <f>COUNTIFS(Consolidado!$AP:$AP,Análise!F$14,Consolidado!$AO:$AO,Análise!$C$6,Consolidado!$AN:$AN,IF(ISBLANK($C$2),"&lt;&gt;",$C$2),Consolidado!$Q:$Q,Análise!$B33,Consolidado!$C:$C,IF(ISBLANK($C$3),"&lt;&gt;",$C$3),Consolidado!$AW:$AW,"S")</f>
        <v>0</v>
      </c>
      <c r="G33" s="36">
        <f>COUNTIFS(Consolidado!$AP:$AP,Análise!G$14,Consolidado!$AO:$AO,Análise!$C$6,Consolidado!$AN:$AN,IF(ISBLANK($C$2),"&lt;&gt;",$C$2),Consolidado!$Q:$Q,Análise!$B33,Consolidado!$C:$C,IF(ISBLANK($C$3),"&lt;&gt;",$C$3),Consolidado!$AW:$AW,"S")</f>
        <v>0</v>
      </c>
      <c r="H33" s="44">
        <f t="shared" si="3"/>
        <v>0</v>
      </c>
      <c r="I33" s="49">
        <f t="shared" si="1"/>
        <v>0</v>
      </c>
      <c r="K33" s="37" t="s">
        <v>903</v>
      </c>
      <c r="L33" s="37" t="s">
        <v>889</v>
      </c>
      <c r="M33" s="175" t="s">
        <v>890</v>
      </c>
      <c r="S33" s="205" t="s">
        <v>172</v>
      </c>
      <c r="T33" s="38">
        <f>COUNTIFS(Consolidado!$AN:$AN,IF(ISBLANK($C$2),"&lt;&gt;",$C$2),Consolidado!$Q:$Q,Análise!S33,Consolidado!$B:$B,"&lt;="&amp;Análise!$C$9,Consolidado!$B:$B,"&gt;="&amp;Análise!$C$8,Consolidado!$C:$C,IF(ISBLANK($C$3),"&lt;&gt;",$C$3),Consolidado!$AW:$AW,"S")</f>
        <v>0</v>
      </c>
      <c r="U33" s="182">
        <f t="shared" si="0"/>
        <v>0</v>
      </c>
    </row>
    <row r="34" spans="1:31" x14ac:dyDescent="0.3">
      <c r="B34" s="194" t="s">
        <v>172</v>
      </c>
      <c r="C34" s="38">
        <f>COUNTIFS(Consolidado!$AP:$AP,Análise!C$14,Consolidado!$AO:$AO,Análise!$C$6,Consolidado!$AN:$AN,IF(ISBLANK($C$2),"&lt;&gt;",$C$2),Consolidado!$Q:$Q,Análise!$B34,Consolidado!$C:$C,IF(ISBLANK($C$3),"&lt;&gt;",$C$3),Consolidado!$AW:$AW,"S")</f>
        <v>0</v>
      </c>
      <c r="D34" s="38">
        <f>COUNTIFS(Consolidado!$AP:$AP,Análise!D$14,Consolidado!$AO:$AO,Análise!$C$6,Consolidado!$AN:$AN,IF(ISBLANK($C$2),"&lt;&gt;",$C$2),Consolidado!$Q:$Q,Análise!$B34,Consolidado!$C:$C,IF(ISBLANK($C$3),"&lt;&gt;",$C$3),Consolidado!$AW:$AW,"S")</f>
        <v>0</v>
      </c>
      <c r="E34" s="38">
        <f>COUNTIFS(Consolidado!$AP:$AP,Análise!E$14,Consolidado!$AO:$AO,Análise!$C$6,Consolidado!$AN:$AN,IF(ISBLANK($C$2),"&lt;&gt;",$C$2),Consolidado!$Q:$Q,Análise!$B34,Consolidado!$C:$C,IF(ISBLANK($C$3),"&lt;&gt;",$C$3),Consolidado!$AW:$AW,"S")</f>
        <v>0</v>
      </c>
      <c r="F34" s="38">
        <f>COUNTIFS(Consolidado!$AP:$AP,Análise!F$14,Consolidado!$AO:$AO,Análise!$C$6,Consolidado!$AN:$AN,IF(ISBLANK($C$2),"&lt;&gt;",$C$2),Consolidado!$Q:$Q,Análise!$B34,Consolidado!$C:$C,IF(ISBLANK($C$3),"&lt;&gt;",$C$3),Consolidado!$AW:$AW,"S")</f>
        <v>0</v>
      </c>
      <c r="G34" s="38">
        <f>COUNTIFS(Consolidado!$AP:$AP,Análise!G$14,Consolidado!$AO:$AO,Análise!$C$6,Consolidado!$AN:$AN,IF(ISBLANK($C$2),"&lt;&gt;",$C$2),Consolidado!$Q:$Q,Análise!$B34,Consolidado!$C:$C,IF(ISBLANK($C$3),"&lt;&gt;",$C$3),Consolidado!$AW:$AW,"S")</f>
        <v>0</v>
      </c>
      <c r="H34" s="39">
        <f t="shared" si="3"/>
        <v>0</v>
      </c>
      <c r="I34" s="43">
        <f t="shared" si="1"/>
        <v>0</v>
      </c>
      <c r="K34" s="36" t="s">
        <v>67</v>
      </c>
      <c r="L34" s="36">
        <f>COUNTIFS(Consolidado!$AO:$AO,Análise!$C$6,Consolidado!$AN:$AN,IF(ISBLANK($C$2),"&lt;&gt;",$C$2),Consolidado!$Q:$Q,Análise!$B15,Consolidado!$C:$C,IF(ISBLANK($C$3),"&lt;&gt;",$C$3),Consolidado!$J:$J,K34,Consolidado!$AW:$AW,"S")</f>
        <v>1</v>
      </c>
      <c r="M34" s="41">
        <f>IFERROR(L34/SUM($L$34:$L$35),"")</f>
        <v>1</v>
      </c>
      <c r="S34" s="192" t="s">
        <v>911</v>
      </c>
      <c r="T34" s="79">
        <f>COUNTIFS(Consolidado!$AN:$AN,IF(ISBLANK($C$2),"&lt;&gt;",$C$2),Consolidado!$Q:$Q,Análise!S34,Consolidado!$B:$B,"&lt;="&amp;Análise!$C$9,Consolidado!$B:$B,"&gt;="&amp;Análise!$C$8,Consolidado!$C:$C,IF(ISBLANK($C$3),"&lt;&gt;",$C$3),Consolidado!$AW:$AW,"S")</f>
        <v>0</v>
      </c>
      <c r="U34" s="80">
        <f t="shared" si="0"/>
        <v>0</v>
      </c>
    </row>
    <row r="35" spans="1:31" x14ac:dyDescent="0.3">
      <c r="B35" s="193" t="s">
        <v>911</v>
      </c>
      <c r="C35" s="36">
        <f>COUNTIFS(Consolidado!$AP:$AP,Análise!C$14,Consolidado!$AO:$AO,Análise!$C$6,Consolidado!$AN:$AN,IF(ISBLANK($C$2),"&lt;&gt;",$C$2),Consolidado!$Q:$Q,Análise!$B35,Consolidado!$C:$C,IF(ISBLANK($C$3),"&lt;&gt;",$C$3),Consolidado!$AW:$AW,"S")</f>
        <v>0</v>
      </c>
      <c r="D35" s="36">
        <f>COUNTIFS(Consolidado!$AP:$AP,Análise!D$14,Consolidado!$AO:$AO,Análise!$C$6,Consolidado!$AN:$AN,IF(ISBLANK($C$2),"&lt;&gt;",$C$2),Consolidado!$Q:$Q,Análise!$B35,Consolidado!$C:$C,IF(ISBLANK($C$3),"&lt;&gt;",$C$3),Consolidado!$AW:$AW,"S")</f>
        <v>0</v>
      </c>
      <c r="E35" s="36">
        <f>COUNTIFS(Consolidado!$AP:$AP,Análise!E$14,Consolidado!$AO:$AO,Análise!$C$6,Consolidado!$AN:$AN,IF(ISBLANK($C$2),"&lt;&gt;",$C$2),Consolidado!$Q:$Q,Análise!$B35,Consolidado!$C:$C,IF(ISBLANK($C$3),"&lt;&gt;",$C$3),Consolidado!$AW:$AW,"S")</f>
        <v>0</v>
      </c>
      <c r="F35" s="36">
        <f>COUNTIFS(Consolidado!$AP:$AP,Análise!F$14,Consolidado!$AO:$AO,Análise!$C$6,Consolidado!$AN:$AN,IF(ISBLANK($C$2),"&lt;&gt;",$C$2),Consolidado!$Q:$Q,Análise!$B35,Consolidado!$C:$C,IF(ISBLANK($C$3),"&lt;&gt;",$C$3),Consolidado!$AW:$AW,"S")</f>
        <v>0</v>
      </c>
      <c r="G35" s="36">
        <f>COUNTIFS(Consolidado!$AP:$AP,Análise!G$14,Consolidado!$AO:$AO,Análise!$C$6,Consolidado!$AN:$AN,IF(ISBLANK($C$2),"&lt;&gt;",$C$2),Consolidado!$Q:$Q,Análise!$B35,Consolidado!$C:$C,IF(ISBLANK($C$3),"&lt;&gt;",$C$3),Consolidado!$AW:$AW,"S")</f>
        <v>0</v>
      </c>
      <c r="H35" s="44">
        <f t="shared" si="3"/>
        <v>0</v>
      </c>
      <c r="I35" s="49">
        <f t="shared" si="1"/>
        <v>0</v>
      </c>
      <c r="K35" s="38" t="s">
        <v>53</v>
      </c>
      <c r="L35" s="38">
        <f>COUNTIFS(Consolidado!$AO:$AO,Análise!$C$6,Consolidado!$AN:$AN,IF(ISBLANK($C$2),"&lt;&gt;",$C$2),Consolidado!$Q:$Q,Análise!$B16,Consolidado!$C:$C,IF(ISBLANK($C$3),"&lt;&gt;",$C$3),Consolidado!$J:$J,K35,Consolidado!$AW:$AW,"S")</f>
        <v>0</v>
      </c>
      <c r="M35" s="42">
        <f>IFERROR(L35/SUM($L$34:$L$35),"")</f>
        <v>0</v>
      </c>
      <c r="S35" s="205" t="s">
        <v>627</v>
      </c>
      <c r="T35" s="38">
        <f>COUNTIFS(Consolidado!$AN:$AN,IF(ISBLANK($C$2),"&lt;&gt;",$C$2),Consolidado!$Q:$Q,Análise!S35,Consolidado!$B:$B,"&lt;="&amp;Análise!$C$9,Consolidado!$B:$B,"&gt;="&amp;Análise!$C$8,Consolidado!$C:$C,IF(ISBLANK($C$3),"&lt;&gt;",$C$3),Consolidado!$AW:$AW,"S")</f>
        <v>0</v>
      </c>
      <c r="U35" s="182">
        <f t="shared" si="0"/>
        <v>0</v>
      </c>
    </row>
    <row r="36" spans="1:31" x14ac:dyDescent="0.3">
      <c r="B36" s="194" t="s">
        <v>627</v>
      </c>
      <c r="C36" s="38">
        <f>COUNTIFS(Consolidado!$AP:$AP,Análise!C$14,Consolidado!$AO:$AO,Análise!$C$6,Consolidado!$AN:$AN,IF(ISBLANK($C$2),"&lt;&gt;",$C$2),Consolidado!$Q:$Q,Análise!$B36,Consolidado!$C:$C,IF(ISBLANK($C$3),"&lt;&gt;",$C$3),Consolidado!$AW:$AW,"S")</f>
        <v>0</v>
      </c>
      <c r="D36" s="38">
        <f>COUNTIFS(Consolidado!$AP:$AP,Análise!D$14,Consolidado!$AO:$AO,Análise!$C$6,Consolidado!$AN:$AN,IF(ISBLANK($C$2),"&lt;&gt;",$C$2),Consolidado!$Q:$Q,Análise!$B36,Consolidado!$C:$C,IF(ISBLANK($C$3),"&lt;&gt;",$C$3),Consolidado!$AW:$AW,"S")</f>
        <v>0</v>
      </c>
      <c r="E36" s="38">
        <f>COUNTIFS(Consolidado!$AP:$AP,Análise!E$14,Consolidado!$AO:$AO,Análise!$C$6,Consolidado!$AN:$AN,IF(ISBLANK($C$2),"&lt;&gt;",$C$2),Consolidado!$Q:$Q,Análise!$B36,Consolidado!$C:$C,IF(ISBLANK($C$3),"&lt;&gt;",$C$3),Consolidado!$AW:$AW,"S")</f>
        <v>0</v>
      </c>
      <c r="F36" s="38">
        <f>COUNTIFS(Consolidado!$AP:$AP,Análise!F$14,Consolidado!$AO:$AO,Análise!$C$6,Consolidado!$AN:$AN,IF(ISBLANK($C$2),"&lt;&gt;",$C$2),Consolidado!$Q:$Q,Análise!$B36,Consolidado!$C:$C,IF(ISBLANK($C$3),"&lt;&gt;",$C$3),Consolidado!$AW:$AW,"S")</f>
        <v>0</v>
      </c>
      <c r="G36" s="38">
        <f>COUNTIFS(Consolidado!$AP:$AP,Análise!G$14,Consolidado!$AO:$AO,Análise!$C$6,Consolidado!$AN:$AN,IF(ISBLANK($C$2),"&lt;&gt;",$C$2),Consolidado!$Q:$Q,Análise!$B36,Consolidado!$C:$C,IF(ISBLANK($C$3),"&lt;&gt;",$C$3),Consolidado!$AW:$AW,"S")</f>
        <v>0</v>
      </c>
      <c r="H36" s="39">
        <f t="shared" si="3"/>
        <v>0</v>
      </c>
      <c r="I36" s="43">
        <f t="shared" si="1"/>
        <v>0</v>
      </c>
      <c r="S36" s="192" t="s">
        <v>689</v>
      </c>
      <c r="T36" s="79">
        <f>COUNTIFS(Consolidado!$AN:$AN,IF(ISBLANK($C$2),"&lt;&gt;",$C$2),Consolidado!$Q:$Q,Análise!S36,Consolidado!$B:$B,"&lt;="&amp;Análise!$C$9,Consolidado!$B:$B,"&gt;="&amp;Análise!$C$8,Consolidado!$C:$C,IF(ISBLANK($C$3),"&lt;&gt;",$C$3),Consolidado!$AW:$AW,"S")</f>
        <v>0</v>
      </c>
      <c r="U36" s="80">
        <f t="shared" si="0"/>
        <v>0</v>
      </c>
    </row>
    <row r="37" spans="1:31" x14ac:dyDescent="0.3">
      <c r="B37" s="193" t="s">
        <v>689</v>
      </c>
      <c r="C37" s="36">
        <f>COUNTIFS(Consolidado!$AP:$AP,Análise!C$14,Consolidado!$AO:$AO,Análise!$C$6,Consolidado!$AN:$AN,IF(ISBLANK($C$2),"&lt;&gt;",$C$2),Consolidado!$Q:$Q,Análise!$B37,Consolidado!$C:$C,IF(ISBLANK($C$3),"&lt;&gt;",$C$3),Consolidado!$AW:$AW,"S")</f>
        <v>0</v>
      </c>
      <c r="D37" s="36">
        <f>COUNTIFS(Consolidado!$AP:$AP,Análise!D$14,Consolidado!$AO:$AO,Análise!$C$6,Consolidado!$AN:$AN,IF(ISBLANK($C$2),"&lt;&gt;",$C$2),Consolidado!$Q:$Q,Análise!$B37,Consolidado!$C:$C,IF(ISBLANK($C$3),"&lt;&gt;",$C$3),Consolidado!$AW:$AW,"S")</f>
        <v>0</v>
      </c>
      <c r="E37" s="36">
        <f>COUNTIFS(Consolidado!$AP:$AP,Análise!E$14,Consolidado!$AO:$AO,Análise!$C$6,Consolidado!$AN:$AN,IF(ISBLANK($C$2),"&lt;&gt;",$C$2),Consolidado!$Q:$Q,Análise!$B37,Consolidado!$C:$C,IF(ISBLANK($C$3),"&lt;&gt;",$C$3),Consolidado!$AW:$AW,"S")</f>
        <v>0</v>
      </c>
      <c r="F37" s="36">
        <f>COUNTIFS(Consolidado!$AP:$AP,Análise!F$14,Consolidado!$AO:$AO,Análise!$C$6,Consolidado!$AN:$AN,IF(ISBLANK($C$2),"&lt;&gt;",$C$2),Consolidado!$Q:$Q,Análise!$B37,Consolidado!$C:$C,IF(ISBLANK($C$3),"&lt;&gt;",$C$3),Consolidado!$AW:$AW,"S")</f>
        <v>0</v>
      </c>
      <c r="G37" s="36">
        <f>COUNTIFS(Consolidado!$AP:$AP,Análise!G$14,Consolidado!$AO:$AO,Análise!$C$6,Consolidado!$AN:$AN,IF(ISBLANK($C$2),"&lt;&gt;",$C$2),Consolidado!$Q:$Q,Análise!$B37,Consolidado!$C:$C,IF(ISBLANK($C$3),"&lt;&gt;",$C$3),Consolidado!$AW:$AW,"S")</f>
        <v>0</v>
      </c>
      <c r="H37" s="44">
        <f t="shared" si="3"/>
        <v>0</v>
      </c>
      <c r="I37" s="49">
        <f t="shared" si="1"/>
        <v>0</v>
      </c>
      <c r="S37" s="205" t="s">
        <v>912</v>
      </c>
      <c r="T37" s="38">
        <f>COUNTIFS(Consolidado!$AN:$AN,IF(ISBLANK($C$2),"&lt;&gt;",$C$2),Consolidado!$Q:$Q,Análise!S37,Consolidado!$B:$B,"&lt;="&amp;Análise!$C$9,Consolidado!$B:$B,"&gt;="&amp;Análise!$C$8,Consolidado!$C:$C,IF(ISBLANK($C$3),"&lt;&gt;",$C$3),Consolidado!$AW:$AW,"S")</f>
        <v>0</v>
      </c>
      <c r="U37" s="182">
        <f t="shared" si="0"/>
        <v>0</v>
      </c>
    </row>
    <row r="38" spans="1:31" x14ac:dyDescent="0.3">
      <c r="B38" s="194" t="s">
        <v>912</v>
      </c>
      <c r="C38" s="38">
        <f>COUNTIFS(Consolidado!$AP:$AP,Análise!C$14,Consolidado!$AO:$AO,Análise!$C$6,Consolidado!$AN:$AN,IF(ISBLANK($C$2),"&lt;&gt;",$C$2),Consolidado!$Q:$Q,Análise!$B38,Consolidado!$C:$C,IF(ISBLANK($C$3),"&lt;&gt;",$C$3),Consolidado!$AW:$AW,"S")</f>
        <v>0</v>
      </c>
      <c r="D38" s="38">
        <f>COUNTIFS(Consolidado!$AP:$AP,Análise!D$14,Consolidado!$AO:$AO,Análise!$C$6,Consolidado!$AN:$AN,IF(ISBLANK($C$2),"&lt;&gt;",$C$2),Consolidado!$Q:$Q,Análise!$B38,Consolidado!$C:$C,IF(ISBLANK($C$3),"&lt;&gt;",$C$3),Consolidado!$AW:$AW,"S")</f>
        <v>0</v>
      </c>
      <c r="E38" s="38">
        <f>COUNTIFS(Consolidado!$AP:$AP,Análise!E$14,Consolidado!$AO:$AO,Análise!$C$6,Consolidado!$AN:$AN,IF(ISBLANK($C$2),"&lt;&gt;",$C$2),Consolidado!$Q:$Q,Análise!$B38,Consolidado!$C:$C,IF(ISBLANK($C$3),"&lt;&gt;",$C$3),Consolidado!$AW:$AW,"S")</f>
        <v>0</v>
      </c>
      <c r="F38" s="38">
        <f>COUNTIFS(Consolidado!$AP:$AP,Análise!F$14,Consolidado!$AO:$AO,Análise!$C$6,Consolidado!$AN:$AN,IF(ISBLANK($C$2),"&lt;&gt;",$C$2),Consolidado!$Q:$Q,Análise!$B38,Consolidado!$C:$C,IF(ISBLANK($C$3),"&lt;&gt;",$C$3),Consolidado!$AW:$AW,"S")</f>
        <v>0</v>
      </c>
      <c r="G38" s="38">
        <f>COUNTIFS(Consolidado!$AP:$AP,Análise!G$14,Consolidado!$AO:$AO,Análise!$C$6,Consolidado!$AN:$AN,IF(ISBLANK($C$2),"&lt;&gt;",$C$2),Consolidado!$Q:$Q,Análise!$B38,Consolidado!$C:$C,IF(ISBLANK($C$3),"&lt;&gt;",$C$3),Consolidado!$AW:$AW,"S")</f>
        <v>0</v>
      </c>
      <c r="H38" s="39">
        <f t="shared" si="3"/>
        <v>0</v>
      </c>
      <c r="I38" s="43">
        <f t="shared" si="1"/>
        <v>0</v>
      </c>
      <c r="S38" s="192" t="s">
        <v>913</v>
      </c>
      <c r="T38" s="79">
        <f>COUNTIFS(Consolidado!$AN:$AN,IF(ISBLANK($C$2),"&lt;&gt;",$C$2),Consolidado!$Q:$Q,Análise!S38,Consolidado!$B:$B,"&lt;="&amp;Análise!$C$9,Consolidado!$B:$B,"&gt;="&amp;Análise!$C$8,Consolidado!$C:$C,IF(ISBLANK($C$3),"&lt;&gt;",$C$3),Consolidado!$AW:$AW,"S")</f>
        <v>0</v>
      </c>
      <c r="U38" s="80">
        <f t="shared" si="0"/>
        <v>0</v>
      </c>
    </row>
    <row r="39" spans="1:31" x14ac:dyDescent="0.3">
      <c r="B39" s="193" t="s">
        <v>913</v>
      </c>
      <c r="C39" s="36">
        <f>COUNTIFS(Consolidado!$AP:$AP,Análise!C$14,Consolidado!$AO:$AO,Análise!$C$6,Consolidado!$AN:$AN,IF(ISBLANK($C$2),"&lt;&gt;",$C$2),Consolidado!$Q:$Q,Análise!$B39,Consolidado!$C:$C,IF(ISBLANK($C$3),"&lt;&gt;",$C$3),Consolidado!$AW:$AW,"S")</f>
        <v>0</v>
      </c>
      <c r="D39" s="36">
        <f>COUNTIFS(Consolidado!$AP:$AP,Análise!D$14,Consolidado!$AO:$AO,Análise!$C$6,Consolidado!$AN:$AN,IF(ISBLANK($C$2),"&lt;&gt;",$C$2),Consolidado!$Q:$Q,Análise!$B39,Consolidado!$C:$C,IF(ISBLANK($C$3),"&lt;&gt;",$C$3),Consolidado!$AW:$AW,"S")</f>
        <v>0</v>
      </c>
      <c r="E39" s="36">
        <f>COUNTIFS(Consolidado!$AP:$AP,Análise!E$14,Consolidado!$AO:$AO,Análise!$C$6,Consolidado!$AN:$AN,IF(ISBLANK($C$2),"&lt;&gt;",$C$2),Consolidado!$Q:$Q,Análise!$B39,Consolidado!$C:$C,IF(ISBLANK($C$3),"&lt;&gt;",$C$3),Consolidado!$AW:$AW,"S")</f>
        <v>0</v>
      </c>
      <c r="F39" s="36">
        <f>COUNTIFS(Consolidado!$AP:$AP,Análise!F$14,Consolidado!$AO:$AO,Análise!$C$6,Consolidado!$AN:$AN,IF(ISBLANK($C$2),"&lt;&gt;",$C$2),Consolidado!$Q:$Q,Análise!$B39,Consolidado!$C:$C,IF(ISBLANK($C$3),"&lt;&gt;",$C$3),Consolidado!$AW:$AW,"S")</f>
        <v>0</v>
      </c>
      <c r="G39" s="36">
        <f>COUNTIFS(Consolidado!$AP:$AP,Análise!G$14,Consolidado!$AO:$AO,Análise!$C$6,Consolidado!$AN:$AN,IF(ISBLANK($C$2),"&lt;&gt;",$C$2),Consolidado!$Q:$Q,Análise!$B39,Consolidado!$C:$C,IF(ISBLANK($C$3),"&lt;&gt;",$C$3),Consolidado!$AW:$AW,"S")</f>
        <v>0</v>
      </c>
      <c r="H39" s="44">
        <f t="shared" si="3"/>
        <v>0</v>
      </c>
      <c r="I39" s="49">
        <f t="shared" si="1"/>
        <v>0</v>
      </c>
      <c r="S39" s="206" t="s">
        <v>882</v>
      </c>
      <c r="T39" s="39">
        <f>SUM(T14:T38)</f>
        <v>5</v>
      </c>
      <c r="U39" s="183">
        <f t="shared" si="0"/>
        <v>1</v>
      </c>
    </row>
    <row r="40" spans="1:31" x14ac:dyDescent="0.3">
      <c r="B40" s="39" t="s">
        <v>882</v>
      </c>
      <c r="C40" s="39">
        <f t="shared" ref="C40:H40" si="7">SUM(C15:C39)</f>
        <v>0</v>
      </c>
      <c r="D40" s="39">
        <f t="shared" si="7"/>
        <v>1</v>
      </c>
      <c r="E40" s="39">
        <f t="shared" si="7"/>
        <v>0</v>
      </c>
      <c r="F40" s="39">
        <f t="shared" si="7"/>
        <v>3</v>
      </c>
      <c r="G40" s="39">
        <f t="shared" si="7"/>
        <v>1</v>
      </c>
      <c r="H40" s="39">
        <f t="shared" si="7"/>
        <v>5</v>
      </c>
      <c r="I40" s="43">
        <f t="shared" si="1"/>
        <v>1</v>
      </c>
    </row>
    <row r="42" spans="1:31" s="218" customFormat="1" x14ac:dyDescent="0.3">
      <c r="A42" s="216"/>
      <c r="B42" s="217" t="s">
        <v>914</v>
      </c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</row>
    <row r="44" spans="1:31" x14ac:dyDescent="0.3">
      <c r="B44" s="229" t="s">
        <v>16</v>
      </c>
      <c r="C44" s="175" t="s">
        <v>41</v>
      </c>
      <c r="D44" s="175"/>
      <c r="E44" s="175"/>
      <c r="F44" s="175"/>
      <c r="G44" s="175"/>
      <c r="H44" s="230" t="s">
        <v>887</v>
      </c>
    </row>
    <row r="45" spans="1:31" x14ac:dyDescent="0.3">
      <c r="B45" s="229"/>
      <c r="C45" s="37">
        <v>1</v>
      </c>
      <c r="D45" s="175">
        <v>2</v>
      </c>
      <c r="E45" s="175">
        <v>3</v>
      </c>
      <c r="F45" s="175">
        <v>4</v>
      </c>
      <c r="G45" s="175">
        <v>5</v>
      </c>
      <c r="H45" s="231"/>
    </row>
    <row r="46" spans="1:31" x14ac:dyDescent="0.3">
      <c r="B46" s="193" t="s">
        <v>59</v>
      </c>
      <c r="C46" s="36">
        <f>COUNTIFS(Consolidado!$AR:$AR,Análise!C$14,Consolidado!$AQ:$AQ,Análise!$C$6,Consolidado!$AN:$AN,IF(ISBLANK($C$2),"&lt;&gt;",$C$2),Consolidado!$Q:$Q,$B46,Consolidado!$C:$C,IF(ISBLANK($C$3),"&lt;&gt;",$C$3),Consolidado!$AW:$AW,"S")</f>
        <v>0</v>
      </c>
      <c r="D46" s="36">
        <f>COUNTIFS(Consolidado!$AR:$AR,Análise!D$14,Consolidado!$AQ:$AQ,Análise!$C$6,Consolidado!$AN:$AN,IF(ISBLANK($C$2),"&lt;&gt;",$C$2),Consolidado!$Q:$Q,$B46,Consolidado!$C:$C,IF(ISBLANK($C$3),"&lt;&gt;",$C$3),Consolidado!$AW:$AW,"S")</f>
        <v>0</v>
      </c>
      <c r="E46" s="36">
        <f>COUNTIFS(Consolidado!$AR:$AR,Análise!E$14,Consolidado!$AQ:$AQ,Análise!$C$6,Consolidado!$AN:$AN,IF(ISBLANK($C$2),"&lt;&gt;",$C$2),Consolidado!$Q:$Q,$B46,Consolidado!$C:$C,IF(ISBLANK($C$3),"&lt;&gt;",$C$3),Consolidado!$AW:$AW,"S")</f>
        <v>0</v>
      </c>
      <c r="F46" s="36">
        <f>COUNTIFS(Consolidado!$AR:$AR,Análise!F$14,Consolidado!$AQ:$AQ,Análise!$C$6,Consolidado!$AN:$AN,IF(ISBLANK($C$2),"&lt;&gt;",$C$2),Consolidado!$Q:$Q,$B46,Consolidado!$C:$C,IF(ISBLANK($C$3),"&lt;&gt;",$C$3),Consolidado!$AW:$AW,"S")</f>
        <v>2</v>
      </c>
      <c r="G46" s="36">
        <f>COUNTIFS(Consolidado!$AR:$AR,Análise!G$14,Consolidado!$AQ:$AQ,Análise!$C$6,Consolidado!$AN:$AN,IF(ISBLANK($C$2),"&lt;&gt;",$C$2),Consolidado!$Q:$Q,$B46,Consolidado!$C:$C,IF(ISBLANK($C$3),"&lt;&gt;",$C$3),Consolidado!$AW:$AW,"S")</f>
        <v>1</v>
      </c>
      <c r="H46" s="44">
        <f>SUM(C46:G46)</f>
        <v>3</v>
      </c>
    </row>
    <row r="48" spans="1:31" x14ac:dyDescent="0.3">
      <c r="B48" s="77" t="s">
        <v>16</v>
      </c>
      <c r="C48" s="77" t="s">
        <v>915</v>
      </c>
    </row>
    <row r="49" spans="1:31" x14ac:dyDescent="0.3">
      <c r="B49" s="192" t="s">
        <v>59</v>
      </c>
      <c r="C49" s="79">
        <f>COUNTIFS(Consolidado!$AN:$AN,IF(ISBLANK($C$2),"&lt;&gt;",$C$2),Consolidado!$Q:$Q,B49,Consolidado!$R:$R,"&lt;="&amp;Análise!$C$9,Consolidado!$R:$R,"&gt;="&amp;Análise!$C$8,Consolidado!$C:$C,IF(ISBLANK($C$3),"&lt;&gt;",$C$3),Consolidado!$AW:$AW,"S")</f>
        <v>3</v>
      </c>
    </row>
    <row r="51" spans="1:31" s="218" customFormat="1" x14ac:dyDescent="0.3">
      <c r="A51" s="216"/>
      <c r="B51" s="217" t="s">
        <v>916</v>
      </c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</row>
    <row r="53" spans="1:31" x14ac:dyDescent="0.3">
      <c r="B53" s="225" t="s">
        <v>917</v>
      </c>
      <c r="C53" s="175" t="s">
        <v>41</v>
      </c>
      <c r="D53" s="175"/>
      <c r="E53" s="175"/>
      <c r="F53" s="175"/>
      <c r="G53" s="175"/>
      <c r="H53" s="175"/>
      <c r="K53" s="226" t="s">
        <v>917</v>
      </c>
      <c r="L53" s="227" t="s">
        <v>915</v>
      </c>
    </row>
    <row r="54" spans="1:31" x14ac:dyDescent="0.3">
      <c r="B54" s="225"/>
      <c r="C54" s="37">
        <v>1</v>
      </c>
      <c r="D54" s="37">
        <v>2</v>
      </c>
      <c r="E54" s="37">
        <v>3</v>
      </c>
      <c r="F54" s="37">
        <v>4</v>
      </c>
      <c r="G54" s="37">
        <v>5</v>
      </c>
      <c r="H54" s="37" t="s">
        <v>882</v>
      </c>
      <c r="K54" s="226"/>
      <c r="L54" s="228"/>
    </row>
    <row r="55" spans="1:31" x14ac:dyDescent="0.3">
      <c r="B55" s="47" t="s">
        <v>379</v>
      </c>
      <c r="C55" s="36">
        <f>COUNTIFS(Consolidado!$AH:$AH,$B55,Consolidado!$AN:$AN,IF(ISBLANK($C$2),"&lt;&gt;",$C$2),Consolidado!$AO:$AO,$C$6,Consolidado!$AP:$AP,Análise!C$54,Consolidado!$C:$C,IF(ISBLANK($C$3),"&lt;&gt;",$C$3),Consolidado!$Q:$Q,"1. Aceitou o programa",Consolidado!$AW:$AW,"S")</f>
        <v>0</v>
      </c>
      <c r="D55" s="36">
        <f>COUNTIFS(Consolidado!$AH:$AH,$B55,Consolidado!$AN:$AN,IF(ISBLANK($C$2),"&lt;&gt;",$C$2),Consolidado!$AO:$AO,$C$6,Consolidado!$AP:$AP,Análise!D$54,Consolidado!$C:$C,IF(ISBLANK($C$3),"&lt;&gt;",$C$3),Consolidado!$Q:$Q,"1. Aceitou o programa",Consolidado!$AW:$AW,"S")</f>
        <v>0</v>
      </c>
      <c r="E55" s="36">
        <f>COUNTIFS(Consolidado!$AH:$AH,$B55,Consolidado!$AN:$AN,IF(ISBLANK($C$2),"&lt;&gt;",$C$2),Consolidado!$AO:$AO,$C$6,Consolidado!$AP:$AP,Análise!E$54,Consolidado!$C:$C,IF(ISBLANK($C$3),"&lt;&gt;",$C$3),Consolidado!$Q:$Q,"1. Aceitou o programa",Consolidado!$AW:$AW,"S")</f>
        <v>0</v>
      </c>
      <c r="F55" s="36">
        <f>COUNTIFS(Consolidado!$AH:$AH,$B55,Consolidado!$AN:$AN,IF(ISBLANK($C$2),"&lt;&gt;",$C$2),Consolidado!$AO:$AO,$C$6,Consolidado!$AP:$AP,Análise!F$54,Consolidado!$C:$C,IF(ISBLANK($C$3),"&lt;&gt;",$C$3),Consolidado!$Q:$Q,"1. Aceitou o programa",Consolidado!$AW:$AW,"S")</f>
        <v>0</v>
      </c>
      <c r="G55" s="36">
        <f>COUNTIFS(Consolidado!$AH:$AH,$B55,Consolidado!$AN:$AN,IF(ISBLANK($C$2),"&lt;&gt;",$C$2),Consolidado!$AO:$AO,$C$6,Consolidado!$AP:$AP,Análise!G$54,Consolidado!$C:$C,IF(ISBLANK($C$3),"&lt;&gt;",$C$3),Consolidado!$Q:$Q,"1. Aceitou o programa",Consolidado!$AW:$AW,"S")</f>
        <v>0</v>
      </c>
      <c r="H55" s="44">
        <f>SUM(C55:G55)</f>
        <v>0</v>
      </c>
      <c r="K55" s="203" t="s">
        <v>379</v>
      </c>
      <c r="L55" s="79">
        <f>COUNTIFS(Consolidado!$AH:$AH,$K55,Consolidado!$AN:$AN,IF(ISBLANK($C$2),"&lt;&gt;",$C$2),Consolidado!$B:$B,"&lt;="&amp;Análise!$C$9,Consolidado!$B:$B,"&gt;="&amp;Análise!$C$8,Consolidado!$C:$C,IF(ISBLANK($C$3),"&lt;&gt;",$C$3),Consolidado!$Q:$Q,"1.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6" spans="1:31" x14ac:dyDescent="0.3">
      <c r="B56" s="48" t="s">
        <v>448</v>
      </c>
      <c r="C56" s="38">
        <f>COUNTIFS(Consolidado!$AH:$AH,$B56,Consolidado!$AN:$AN,IF(ISBLANK($C$2),"&lt;&gt;",$C$2),Consolidado!$AO:$AO,$C$6,Consolidado!$AP:$AP,Análise!C$54,Consolidado!$C:$C,IF(ISBLANK($C$3),"&lt;&gt;",$C$3),Consolidado!$Q:$Q,"1. Aceitou o programa",Consolidado!$AW:$AW,"S")</f>
        <v>0</v>
      </c>
      <c r="D56" s="38">
        <f>COUNTIFS(Consolidado!$AH:$AH,$B56,Consolidado!$AN:$AN,IF(ISBLANK($C$2),"&lt;&gt;",$C$2),Consolidado!$AO:$AO,$C$6,Consolidado!$AP:$AP,Análise!D$54,Consolidado!$C:$C,IF(ISBLANK($C$3),"&lt;&gt;",$C$3),Consolidado!$Q:$Q,"1. Aceitou o programa",Consolidado!$AW:$AW,"S")</f>
        <v>0</v>
      </c>
      <c r="E56" s="38">
        <f>COUNTIFS(Consolidado!$AH:$AH,$B56,Consolidado!$AN:$AN,IF(ISBLANK($C$2),"&lt;&gt;",$C$2),Consolidado!$AO:$AO,$C$6,Consolidado!$AP:$AP,Análise!E$54,Consolidado!$C:$C,IF(ISBLANK($C$3),"&lt;&gt;",$C$3),Consolidado!$Q:$Q,"1. Aceitou o programa",Consolidado!$AW:$AW,"S")</f>
        <v>0</v>
      </c>
      <c r="F56" s="38">
        <f>COUNTIFS(Consolidado!$AH:$AH,$B56,Consolidado!$AN:$AN,IF(ISBLANK($C$2),"&lt;&gt;",$C$2),Consolidado!$AO:$AO,$C$6,Consolidado!$AP:$AP,Análise!F$54,Consolidado!$C:$C,IF(ISBLANK($C$3),"&lt;&gt;",$C$3),Consolidado!$Q:$Q,"1. Aceitou o programa",Consolidado!$AW:$AW,"S")</f>
        <v>0</v>
      </c>
      <c r="G56" s="38">
        <f>COUNTIFS(Consolidado!$AH:$AH,$B56,Consolidado!$AN:$AN,IF(ISBLANK($C$2),"&lt;&gt;",$C$2),Consolidado!$AO:$AO,$C$6,Consolidado!$AP:$AP,Análise!G$54,Consolidado!$C:$C,IF(ISBLANK($C$3),"&lt;&gt;",$C$3),Consolidado!$Q:$Q,"1. Aceitou o programa",Consolidado!$AW:$AW,"S")</f>
        <v>0</v>
      </c>
      <c r="H56" s="39">
        <f t="shared" ref="H56:H61" si="8">SUM(C56:G56)</f>
        <v>0</v>
      </c>
      <c r="K56" s="48" t="s">
        <v>448</v>
      </c>
      <c r="L56" s="38">
        <f>COUNTIFS(Consolidado!$AH:$AH,$K56,Consolidado!$AN:$AN,IF(ISBLANK($C$2),"&lt;&gt;",$C$2),Consolidado!$B:$B,"&lt;="&amp;Análise!$C$9,Consolidado!$B:$B,"&gt;="&amp;Análise!$C$8,Consolidado!$C:$C,IF(ISBLANK($C$3),"&lt;&gt;",$C$3),Consolidado!$Q:$Q,"1.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7" spans="1:31" x14ac:dyDescent="0.3">
      <c r="B57" s="47" t="s">
        <v>918</v>
      </c>
      <c r="C57" s="36">
        <f>COUNTIFS(Consolidado!$AH:$AH,$B57,Consolidado!$AN:$AN,IF(ISBLANK($C$2),"&lt;&gt;",$C$2),Consolidado!$AO:$AO,$C$6,Consolidado!$AP:$AP,Análise!C$54,Consolidado!$C:$C,IF(ISBLANK($C$3),"&lt;&gt;",$C$3),Consolidado!$Q:$Q,"1. Aceitou o programa",Consolidado!$AW:$AW,"S")</f>
        <v>0</v>
      </c>
      <c r="D57" s="36">
        <f>COUNTIFS(Consolidado!$AH:$AH,$B57,Consolidado!$AN:$AN,IF(ISBLANK($C$2),"&lt;&gt;",$C$2),Consolidado!$AO:$AO,$C$6,Consolidado!$AP:$AP,Análise!D$54,Consolidado!$C:$C,IF(ISBLANK($C$3),"&lt;&gt;",$C$3),Consolidado!$Q:$Q,"1. Aceitou o programa",Consolidado!$AW:$AW,"S")</f>
        <v>0</v>
      </c>
      <c r="E57" s="36">
        <f>COUNTIFS(Consolidado!$AH:$AH,$B57,Consolidado!$AN:$AN,IF(ISBLANK($C$2),"&lt;&gt;",$C$2),Consolidado!$AO:$AO,$C$6,Consolidado!$AP:$AP,Análise!E$54,Consolidado!$C:$C,IF(ISBLANK($C$3),"&lt;&gt;",$C$3),Consolidado!$Q:$Q,"1. Aceitou o programa",Consolidado!$AW:$AW,"S")</f>
        <v>0</v>
      </c>
      <c r="F57" s="36">
        <f>COUNTIFS(Consolidado!$AH:$AH,$B57,Consolidado!$AN:$AN,IF(ISBLANK($C$2),"&lt;&gt;",$C$2),Consolidado!$AO:$AO,$C$6,Consolidado!$AP:$AP,Análise!F$54,Consolidado!$C:$C,IF(ISBLANK($C$3),"&lt;&gt;",$C$3),Consolidado!$Q:$Q,"1. Aceitou o programa",Consolidado!$AW:$AW,"S")</f>
        <v>0</v>
      </c>
      <c r="G57" s="36">
        <f>COUNTIFS(Consolidado!$AH:$AH,$B57,Consolidado!$AN:$AN,IF(ISBLANK($C$2),"&lt;&gt;",$C$2),Consolidado!$AO:$AO,$C$6,Consolidado!$AP:$AP,Análise!G$54,Consolidado!$C:$C,IF(ISBLANK($C$3),"&lt;&gt;",$C$3),Consolidado!$Q:$Q,"1. Aceitou o programa",Consolidado!$AW:$AW,"S")</f>
        <v>0</v>
      </c>
      <c r="H57" s="44">
        <f t="shared" si="8"/>
        <v>0</v>
      </c>
      <c r="K57" s="203" t="s">
        <v>918</v>
      </c>
      <c r="L57" s="79">
        <f>COUNTIFS(Consolidado!$AH:$AH,$K57,Consolidado!$AN:$AN,IF(ISBLANK($C$2),"&lt;&gt;",$C$2),Consolidado!$B:$B,"&lt;="&amp;Análise!$C$9,Consolidado!$B:$B,"&gt;="&amp;Análise!$C$8,Consolidado!$C:$C,IF(ISBLANK($C$3),"&lt;&gt;",$C$3),Consolidado!$Q:$Q,"1.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8" spans="1:31" x14ac:dyDescent="0.3">
      <c r="B58" s="48" t="s">
        <v>181</v>
      </c>
      <c r="C58" s="38">
        <f>COUNTIFS(Consolidado!$AH:$AH,$B58,Consolidado!$AN:$AN,IF(ISBLANK($C$2),"&lt;&gt;",$C$2),Consolidado!$AO:$AO,$C$6,Consolidado!$AP:$AP,Análise!C$54,Consolidado!$C:$C,IF(ISBLANK($C$3),"&lt;&gt;",$C$3),Consolidado!$Q:$Q,"1. Aceitou o programa",Consolidado!$AW:$AW,"S")</f>
        <v>0</v>
      </c>
      <c r="D58" s="38">
        <f>COUNTIFS(Consolidado!$AH:$AH,$B58,Consolidado!$AN:$AN,IF(ISBLANK($C$2),"&lt;&gt;",$C$2),Consolidado!$AO:$AO,$C$6,Consolidado!$AP:$AP,Análise!D$54,Consolidado!$C:$C,IF(ISBLANK($C$3),"&lt;&gt;",$C$3),Consolidado!$Q:$Q,"1. Aceitou o programa",Consolidado!$AW:$AW,"S")</f>
        <v>0</v>
      </c>
      <c r="E58" s="38">
        <f>COUNTIFS(Consolidado!$AH:$AH,$B58,Consolidado!$AN:$AN,IF(ISBLANK($C$2),"&lt;&gt;",$C$2),Consolidado!$AO:$AO,$C$6,Consolidado!$AP:$AP,Análise!E$54,Consolidado!$C:$C,IF(ISBLANK($C$3),"&lt;&gt;",$C$3),Consolidado!$Q:$Q,"1. Aceitou o programa",Consolidado!$AW:$AW,"S")</f>
        <v>0</v>
      </c>
      <c r="F58" s="38">
        <f>COUNTIFS(Consolidado!$AH:$AH,$B58,Consolidado!$AN:$AN,IF(ISBLANK($C$2),"&lt;&gt;",$C$2),Consolidado!$AO:$AO,$C$6,Consolidado!$AP:$AP,Análise!F$54,Consolidado!$C:$C,IF(ISBLANK($C$3),"&lt;&gt;",$C$3),Consolidado!$Q:$Q,"1. Aceitou o programa",Consolidado!$AW:$AW,"S")</f>
        <v>0</v>
      </c>
      <c r="G58" s="38">
        <f>COUNTIFS(Consolidado!$AH:$AH,$B58,Consolidado!$AN:$AN,IF(ISBLANK($C$2),"&lt;&gt;",$C$2),Consolidado!$AO:$AO,$C$6,Consolidado!$AP:$AP,Análise!G$54,Consolidado!$C:$C,IF(ISBLANK($C$3),"&lt;&gt;",$C$3),Consolidado!$Q:$Q,"1. Aceitou o programa",Consolidado!$AW:$AW,"S")</f>
        <v>0</v>
      </c>
      <c r="H58" s="39">
        <f t="shared" si="8"/>
        <v>0</v>
      </c>
      <c r="K58" s="48" t="s">
        <v>181</v>
      </c>
      <c r="L58" s="38">
        <f>COUNTIFS(Consolidado!$AH:$AH,$K58,Consolidado!$AN:$AN,IF(ISBLANK($C$2),"&lt;&gt;",$C$2),Consolidado!$B:$B,"&lt;="&amp;Análise!$C$9,Consolidado!$B:$B,"&gt;="&amp;Análise!$C$8,Consolidado!$C:$C,IF(ISBLANK($C$3),"&lt;&gt;",$C$3),Consolidado!$Q:$Q,"1.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59" spans="1:31" x14ac:dyDescent="0.3">
      <c r="B59" s="47" t="s">
        <v>307</v>
      </c>
      <c r="C59" s="36">
        <f>COUNTIFS(Consolidado!$AH:$AH,$B59,Consolidado!$AN:$AN,IF(ISBLANK($C$2),"&lt;&gt;",$C$2),Consolidado!$AO:$AO,$C$6,Consolidado!$AP:$AP,Análise!C$54,Consolidado!$C:$C,IF(ISBLANK($C$3),"&lt;&gt;",$C$3),Consolidado!$Q:$Q,"1. Aceitou o programa",Consolidado!$AW:$AW,"S")</f>
        <v>0</v>
      </c>
      <c r="D59" s="36">
        <f>COUNTIFS(Consolidado!$AH:$AH,$B59,Consolidado!$AN:$AN,IF(ISBLANK($C$2),"&lt;&gt;",$C$2),Consolidado!$AO:$AO,$C$6,Consolidado!$AP:$AP,Análise!D$54,Consolidado!$C:$C,IF(ISBLANK($C$3),"&lt;&gt;",$C$3),Consolidado!$Q:$Q,"1. Aceitou o programa",Consolidado!$AW:$AW,"S")</f>
        <v>0</v>
      </c>
      <c r="E59" s="36">
        <f>COUNTIFS(Consolidado!$AH:$AH,$B59,Consolidado!$AN:$AN,IF(ISBLANK($C$2),"&lt;&gt;",$C$2),Consolidado!$AO:$AO,$C$6,Consolidado!$AP:$AP,Análise!E$54,Consolidado!$C:$C,IF(ISBLANK($C$3),"&lt;&gt;",$C$3),Consolidado!$Q:$Q,"1. Aceitou o programa",Consolidado!$AW:$AW,"S")</f>
        <v>0</v>
      </c>
      <c r="F59" s="36">
        <f>COUNTIFS(Consolidado!$AH:$AH,$B59,Consolidado!$AN:$AN,IF(ISBLANK($C$2),"&lt;&gt;",$C$2),Consolidado!$AO:$AO,$C$6,Consolidado!$AP:$AP,Análise!F$54,Consolidado!$C:$C,IF(ISBLANK($C$3),"&lt;&gt;",$C$3),Consolidado!$Q:$Q,"1. Aceitou o programa",Consolidado!$AW:$AW,"S")</f>
        <v>0</v>
      </c>
      <c r="G59" s="36">
        <f>COUNTIFS(Consolidado!$AH:$AH,$B59,Consolidado!$AN:$AN,IF(ISBLANK($C$2),"&lt;&gt;",$C$2),Consolidado!$AO:$AO,$C$6,Consolidado!$AP:$AP,Análise!G$54,Consolidado!$C:$C,IF(ISBLANK($C$3),"&lt;&gt;",$C$3),Consolidado!$Q:$Q,"1. Aceitou o programa",Consolidado!$AW:$AW,"S")</f>
        <v>0</v>
      </c>
      <c r="H59" s="44">
        <f t="shared" si="8"/>
        <v>0</v>
      </c>
      <c r="K59" s="203" t="s">
        <v>307</v>
      </c>
      <c r="L59" s="79">
        <f>COUNTIFS(Consolidado!$AH:$AH,$K59,Consolidado!$AN:$AN,IF(ISBLANK($C$2),"&lt;&gt;",$C$2),Consolidado!$B:$B,"&lt;="&amp;Análise!$C$9,Consolidado!$B:$B,"&gt;="&amp;Análise!$C$8,Consolidado!$C:$C,IF(ISBLANK($C$3),"&lt;&gt;",$C$3),Consolidado!$Q:$Q,"1.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60" spans="1:31" x14ac:dyDescent="0.3">
      <c r="B60" s="48" t="s">
        <v>90</v>
      </c>
      <c r="C60" s="38">
        <f>COUNTIFS(Consolidado!$AH:$AH,$B60,Consolidado!$AN:$AN,IF(ISBLANK($C$2),"&lt;&gt;",$C$2),Consolidado!$AO:$AO,$C$6,Consolidado!$AP:$AP,Análise!C$54,Consolidado!$C:$C,IF(ISBLANK($C$3),"&lt;&gt;",$C$3),Consolidado!$Q:$Q,"1. Aceitou o programa",Consolidado!$AW:$AW,"S")</f>
        <v>0</v>
      </c>
      <c r="D60" s="38">
        <f>COUNTIFS(Consolidado!$AH:$AH,$B60,Consolidado!$AN:$AN,IF(ISBLANK($C$2),"&lt;&gt;",$C$2),Consolidado!$AO:$AO,$C$6,Consolidado!$AP:$AP,Análise!D$54,Consolidado!$C:$C,IF(ISBLANK($C$3),"&lt;&gt;",$C$3),Consolidado!$Q:$Q,"1. Aceitou o programa",Consolidado!$AW:$AW,"S")</f>
        <v>0</v>
      </c>
      <c r="E60" s="38">
        <f>COUNTIFS(Consolidado!$AH:$AH,$B60,Consolidado!$AN:$AN,IF(ISBLANK($C$2),"&lt;&gt;",$C$2),Consolidado!$AO:$AO,$C$6,Consolidado!$AP:$AP,Análise!E$54,Consolidado!$C:$C,IF(ISBLANK($C$3),"&lt;&gt;",$C$3),Consolidado!$Q:$Q,"1. Aceitou o programa",Consolidado!$AW:$AW,"S")</f>
        <v>0</v>
      </c>
      <c r="F60" s="38">
        <f>COUNTIFS(Consolidado!$AH:$AH,$B60,Consolidado!$AN:$AN,IF(ISBLANK($C$2),"&lt;&gt;",$C$2),Consolidado!$AO:$AO,$C$6,Consolidado!$AP:$AP,Análise!F$54,Consolidado!$C:$C,IF(ISBLANK($C$3),"&lt;&gt;",$C$3),Consolidado!$Q:$Q,"1. Aceitou o programa",Consolidado!$AW:$AW,"S")</f>
        <v>0</v>
      </c>
      <c r="G60" s="38">
        <f>COUNTIFS(Consolidado!$AH:$AH,$B60,Consolidado!$AN:$AN,IF(ISBLANK($C$2),"&lt;&gt;",$C$2),Consolidado!$AO:$AO,$C$6,Consolidado!$AP:$AP,Análise!G$54,Consolidado!$C:$C,IF(ISBLANK($C$3),"&lt;&gt;",$C$3),Consolidado!$Q:$Q,"1. Aceitou o programa",Consolidado!$AW:$AW,"S")</f>
        <v>0</v>
      </c>
      <c r="H60" s="39">
        <f t="shared" si="8"/>
        <v>0</v>
      </c>
      <c r="K60" s="48" t="s">
        <v>90</v>
      </c>
      <c r="L60" s="38">
        <f>COUNTIFS(Consolidado!$AH:$AH,$K60,Consolidado!$AN:$AN,IF(ISBLANK($C$2),"&lt;&gt;",$C$2),Consolidado!$B:$B,"&lt;="&amp;Análise!$C$9,Consolidado!$B:$B,"&gt;="&amp;Análise!$C$8,Consolidado!$C:$C,IF(ISBLANK($C$3),"&lt;&gt;",$C$3),Consolidado!$Q:$Q,"1.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61" spans="1:31" x14ac:dyDescent="0.3">
      <c r="B61" s="47" t="s">
        <v>882</v>
      </c>
      <c r="C61" s="44">
        <f>SUM(C55:C60)</f>
        <v>0</v>
      </c>
      <c r="D61" s="44">
        <f>SUM(D55:D60)</f>
        <v>0</v>
      </c>
      <c r="E61" s="44">
        <f>SUM(E55:E60)</f>
        <v>0</v>
      </c>
      <c r="F61" s="44">
        <f>SUM(F55:F60)</f>
        <v>0</v>
      </c>
      <c r="G61" s="44">
        <f>SUM(G55:G60)</f>
        <v>0</v>
      </c>
      <c r="H61" s="44">
        <f t="shared" si="8"/>
        <v>0</v>
      </c>
      <c r="K61" s="203" t="s">
        <v>882</v>
      </c>
      <c r="L61" s="204">
        <f>SUM(L55:L60)</f>
        <v>0</v>
      </c>
    </row>
    <row r="63" spans="1:31" x14ac:dyDescent="0.3">
      <c r="B63" s="225" t="s">
        <v>919</v>
      </c>
      <c r="C63" s="175" t="s">
        <v>41</v>
      </c>
      <c r="D63" s="175"/>
      <c r="E63" s="175"/>
      <c r="F63" s="175"/>
      <c r="G63" s="175"/>
      <c r="H63" s="175"/>
      <c r="K63" s="226" t="s">
        <v>919</v>
      </c>
      <c r="L63" s="227" t="s">
        <v>915</v>
      </c>
    </row>
    <row r="64" spans="1:31" x14ac:dyDescent="0.3">
      <c r="B64" s="225"/>
      <c r="C64" s="37">
        <v>1</v>
      </c>
      <c r="D64" s="37">
        <v>2</v>
      </c>
      <c r="E64" s="37">
        <v>3</v>
      </c>
      <c r="F64" s="37">
        <v>4</v>
      </c>
      <c r="G64" s="37">
        <v>5</v>
      </c>
      <c r="H64" s="37" t="s">
        <v>882</v>
      </c>
      <c r="K64" s="226"/>
      <c r="L64" s="228"/>
    </row>
    <row r="65" spans="1:31" x14ac:dyDescent="0.3">
      <c r="B65" s="47" t="s">
        <v>379</v>
      </c>
      <c r="C65" s="41" t="str">
        <f>IFERROR(COUNTIFS(Consolidado!$AI:$AI,$B65,Consolidado!$AN:$AN,IF(ISBLANK($C$2),"&lt;&gt;",$C$2),Consolidado!$AO:$AO,$C$6,Consolidado!$AP:$AP,Análise!C$64,Consolidado!$C:$C,IF(ISBLANK($C$3),"&lt;&gt;",$C$3),Consolidado!$Q:$Q,"1. Aceitou o programa",Consolidado!$AH:$AH,"&lt;&gt;",Consolidado!$AH:$AH,"&lt;&gt;"&amp;$B65,Consolidado!$AW:$AW,"S")/(C$58+C$59+C$60),"")</f>
        <v/>
      </c>
      <c r="D65" s="41" t="str">
        <f>IFERROR(COUNTIFS(Consolidado!$AI:$AI,$B65,Consolidado!$AN:$AN,IF(ISBLANK($C$2),"&lt;&gt;",$C$2),Consolidado!$AO:$AO,$C$6,Consolidado!$AP:$AP,Análise!D$64,Consolidado!$C:$C,IF(ISBLANK($C$3),"&lt;&gt;",$C$3),Consolidado!$Q:$Q,"1. Aceitou o programa",Consolidado!$AH:$AH,"&lt;&gt;",Consolidado!$AH:$AH,"&lt;&gt;"&amp;$B65,Consolidado!$AW:$AW,"S")/(D$58+D$59+D$60),"")</f>
        <v/>
      </c>
      <c r="E65" s="41" t="str">
        <f>IFERROR(COUNTIFS(Consolidado!$AI:$AI,$B65,Consolidado!$AN:$AN,IF(ISBLANK($C$2),"&lt;&gt;",$C$2),Consolidado!$AO:$AO,$C$6,Consolidado!$AP:$AP,Análise!E$64,Consolidado!$C:$C,IF(ISBLANK($C$3),"&lt;&gt;",$C$3),Consolidado!$Q:$Q,"1. Aceitou o programa",Consolidado!$AH:$AH,"&lt;&gt;",Consolidado!$AH:$AH,"&lt;&gt;"&amp;$B65,Consolidado!$AW:$AW,"S")/(E$58+E$59+E$60),"")</f>
        <v/>
      </c>
      <c r="F65" s="41" t="str">
        <f>IFERROR(COUNTIFS(Consolidado!$AI:$AI,$B65,Consolidado!$AN:$AN,IF(ISBLANK($C$2),"&lt;&gt;",$C$2),Consolidado!$AO:$AO,$C$6,Consolidado!$AP:$AP,Análise!F$64,Consolidado!$C:$C,IF(ISBLANK($C$3),"&lt;&gt;",$C$3),Consolidado!$Q:$Q,"1. Aceitou o programa",Consolidado!$AH:$AH,"&lt;&gt;",Consolidado!$AH:$AH,"&lt;&gt;"&amp;$B65,Consolidado!$AW:$AW,"S")/(F$58+F$59+F$60),"")</f>
        <v/>
      </c>
      <c r="G65" s="41" t="str">
        <f>IFERROR(COUNTIFS(Consolidado!$AI:$AI,$B65,Consolidado!$AN:$AN,IF(ISBLANK($C$2),"&lt;&gt;",$C$2),Consolidado!$AO:$AO,$C$6,Consolidado!$AP:$AP,Análise!G$64,Consolidado!$C:$C,IF(ISBLANK($C$3),"&lt;&gt;",$C$3),Consolidado!$Q:$Q,"1. Aceitou o programa",Consolidado!$AH:$AH,"&lt;&gt;",Consolidado!$AH:$AH,"&lt;&gt;"&amp;$B65,Consolidado!$AW:$AW,"S")/(G$58+G$59+G$60),"")</f>
        <v/>
      </c>
      <c r="H65" s="49" t="str">
        <f>IFERROR(COUNTIFS(Consolidado!$AI:$AI,$B65,Consolidado!$AN:$AN,IF(ISBLANK($C$2),"&lt;&gt;",$C$2),Consolidado!$AO:$AO,$C$6,Consolidado!$C:$C,IF(ISBLANK($C$3),"&lt;&gt;",$C$3),Consolidado!$Q:$Q,"1. Aceitou o programa",Consolidado!$AH:$AH,"&lt;&gt;",Consolidado!$AH:$AH,"&lt;&gt;"&amp;$B65)/(H$58+H$59+H$60),"")</f>
        <v/>
      </c>
      <c r="K65" s="203" t="s">
        <v>379</v>
      </c>
      <c r="L65" s="80" t="str">
        <f>IFERROR(COUNTIFS(Consolidado!$AI:$AI,$K65,Consolidado!$AN:$AN,IF(ISBLANK($C$2),"&lt;&gt;",$C$2),Consolidado!$B:$B,"&lt;="&amp;Análise!$C$9,Consolidado!$B:$B,"&gt;="&amp;Análise!$C$8,Consolidado!$C:$C,IF(ISBLANK($C$3),"&lt;&gt;",$C$3),Consolidado!$Q:$Q,"1.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programa",Consolidado!$AH:$AH,"&lt;&gt;",Consolidado!$AH:$AH,"&lt;&gt;"&amp;$K65,Consolidado!$AW:$AW,"S")/(L$58+L$59+L$60),"")</f>
        <v/>
      </c>
    </row>
    <row r="66" spans="1:31" x14ac:dyDescent="0.3">
      <c r="B66" s="48" t="s">
        <v>448</v>
      </c>
      <c r="C66" s="42" t="str">
        <f>IFERROR(COUNTIFS(Consolidado!$AI:$AI,$B66,Consolidado!$AN:$AN,IF(ISBLANK($C$2),"&lt;&gt;",$C$2),Consolidado!$AO:$AO,$C$6,Consolidado!$AP:$AP,Análise!C$64,Consolidado!$C:$C,IF(ISBLANK($C$3),"&lt;&gt;",$C$3),Consolidado!$Q:$Q,"1. Aceitou o programa",Consolidado!$AH:$AH,"&lt;&gt;",Consolidado!$AH:$AH,"&lt;&gt;"&amp;$B66,Consolidado!$AW:$AW,"S")/(C$58+C$59+C$60),"")</f>
        <v/>
      </c>
      <c r="D66" s="42" t="str">
        <f>IFERROR(COUNTIFS(Consolidado!$AI:$AI,$B66,Consolidado!$AN:$AN,IF(ISBLANK($C$2),"&lt;&gt;",$C$2),Consolidado!$AO:$AO,$C$6,Consolidado!$AP:$AP,Análise!D$64,Consolidado!$C:$C,IF(ISBLANK($C$3),"&lt;&gt;",$C$3),Consolidado!$Q:$Q,"1. Aceitou o programa",Consolidado!$AH:$AH,"&lt;&gt;",Consolidado!$AH:$AH,"&lt;&gt;"&amp;$B66,Consolidado!$AW:$AW,"S")/(D$58+D$59+D$60),"")</f>
        <v/>
      </c>
      <c r="E66" s="42" t="str">
        <f>IFERROR(COUNTIFS(Consolidado!$AI:$AI,$B66,Consolidado!$AN:$AN,IF(ISBLANK($C$2),"&lt;&gt;",$C$2),Consolidado!$AO:$AO,$C$6,Consolidado!$AP:$AP,Análise!E$64,Consolidado!$C:$C,IF(ISBLANK($C$3),"&lt;&gt;",$C$3),Consolidado!$Q:$Q,"1. Aceitou o programa",Consolidado!$AH:$AH,"&lt;&gt;",Consolidado!$AH:$AH,"&lt;&gt;"&amp;$B66,Consolidado!$AW:$AW,"S")/(E$58+E$59+E$60),"")</f>
        <v/>
      </c>
      <c r="F66" s="42" t="str">
        <f>IFERROR(COUNTIFS(Consolidado!$AI:$AI,$B66,Consolidado!$AN:$AN,IF(ISBLANK($C$2),"&lt;&gt;",$C$2),Consolidado!$AO:$AO,$C$6,Consolidado!$AP:$AP,Análise!F$64,Consolidado!$C:$C,IF(ISBLANK($C$3),"&lt;&gt;",$C$3),Consolidado!$Q:$Q,"1. Aceitou o programa",Consolidado!$AH:$AH,"&lt;&gt;",Consolidado!$AH:$AH,"&lt;&gt;"&amp;$B66,Consolidado!$AW:$AW,"S")/(F$58+F$59+F$60),"")</f>
        <v/>
      </c>
      <c r="G66" s="42" t="str">
        <f>IFERROR(COUNTIFS(Consolidado!$AI:$AI,$B66,Consolidado!$AN:$AN,IF(ISBLANK($C$2),"&lt;&gt;",$C$2),Consolidado!$AO:$AO,$C$6,Consolidado!$AP:$AP,Análise!G$64,Consolidado!$C:$C,IF(ISBLANK($C$3),"&lt;&gt;",$C$3),Consolidado!$Q:$Q,"1. Aceitou o programa",Consolidado!$AH:$AH,"&lt;&gt;",Consolidado!$AH:$AH,"&lt;&gt;"&amp;$B66,Consolidado!$AW:$AW,"S")/(G$58+G$59+G$60),"")</f>
        <v/>
      </c>
      <c r="H66" s="43" t="str">
        <f>IFERROR(COUNTIFS(Consolidado!$AI:$AI,$B66,Consolidado!$AN:$AN,IF(ISBLANK($C$2),"&lt;&gt;",$C$2),Consolidado!$AO:$AO,$C$6,Consolidado!$C:$C,IF(ISBLANK($C$3),"&lt;&gt;",$C$3),Consolidado!$Q:$Q,"1. Aceitou o programa",Consolidado!$AH:$AH,"&lt;&gt;",Consolidado!$AH:$AH,"&lt;&gt;"&amp;$B66)/(H$58+H$59+H$60),"")</f>
        <v/>
      </c>
      <c r="K66" s="48" t="s">
        <v>448</v>
      </c>
      <c r="L66" s="42" t="str">
        <f>IFERROR(COUNTIFS(Consolidado!$AI:$AI,$K66,Consolidado!$AN:$AN,IF(ISBLANK($C$2),"&lt;&gt;",$C$2),Consolidado!$B:$B,"&lt;="&amp;Análise!$C$9,Consolidado!$B:$B,"&gt;="&amp;Análise!$C$8,Consolidado!$C:$C,IF(ISBLANK($C$3),"&lt;&gt;",$C$3),Consolidado!$Q:$Q,"1.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programa",Consolidado!$AH:$AH,"&lt;&gt;",Consolidado!$AH:$AH,"&lt;&gt;"&amp;$K66,Consolidado!$AW:$AW,"S")/(L$58+L$59+L$60),"")</f>
        <v/>
      </c>
    </row>
    <row r="67" spans="1:31" x14ac:dyDescent="0.3">
      <c r="B67" s="47" t="s">
        <v>920</v>
      </c>
      <c r="C67" s="41" t="str">
        <f>IFERROR(COUNTIFS(Consolidado!$AI:$AI,$B67,Consolidado!$AN:$AN,IF(ISBLANK($C$2),"&lt;&gt;",$C$2),Consolidado!$AO:$AO,$C$6,Consolidado!$AP:$AP,Análise!C$64,Consolidado!$C:$C,IF(ISBLANK($C$3),"&lt;&gt;",$C$3),Consolidado!$Q:$Q,"1. Aceitou o programa",Consolidado!$AH:$AH,"&lt;&gt;",Consolidado!$AH:$AH,"&lt;&gt;"&amp;$B67,Consolidado!$AW:$AW,"S")/(C$58+C$59+C$60),"")</f>
        <v/>
      </c>
      <c r="D67" s="41" t="str">
        <f>IFERROR(COUNTIFS(Consolidado!$AI:$AI,$B67,Consolidado!$AN:$AN,IF(ISBLANK($C$2),"&lt;&gt;",$C$2),Consolidado!$AO:$AO,$C$6,Consolidado!$AP:$AP,Análise!D$64,Consolidado!$C:$C,IF(ISBLANK($C$3),"&lt;&gt;",$C$3),Consolidado!$Q:$Q,"1. Aceitou o programa",Consolidado!$AH:$AH,"&lt;&gt;",Consolidado!$AH:$AH,"&lt;&gt;"&amp;$B67,Consolidado!$AW:$AW,"S")/(D$58+D$59+D$60),"")</f>
        <v/>
      </c>
      <c r="E67" s="41" t="str">
        <f>IFERROR(COUNTIFS(Consolidado!$AI:$AI,$B67,Consolidado!$AN:$AN,IF(ISBLANK($C$2),"&lt;&gt;",$C$2),Consolidado!$AO:$AO,$C$6,Consolidado!$AP:$AP,Análise!E$64,Consolidado!$C:$C,IF(ISBLANK($C$3),"&lt;&gt;",$C$3),Consolidado!$Q:$Q,"1. Aceitou o programa",Consolidado!$AH:$AH,"&lt;&gt;",Consolidado!$AH:$AH,"&lt;&gt;"&amp;$B67,Consolidado!$AW:$AW,"S")/(E$58+E$59+E$60),"")</f>
        <v/>
      </c>
      <c r="F67" s="41" t="str">
        <f>IFERROR(COUNTIFS(Consolidado!$AI:$AI,$B67,Consolidado!$AN:$AN,IF(ISBLANK($C$2),"&lt;&gt;",$C$2),Consolidado!$AO:$AO,$C$6,Consolidado!$AP:$AP,Análise!F$64,Consolidado!$C:$C,IF(ISBLANK($C$3),"&lt;&gt;",$C$3),Consolidado!$Q:$Q,"1. Aceitou o programa",Consolidado!$AH:$AH,"&lt;&gt;",Consolidado!$AH:$AH,"&lt;&gt;"&amp;$B67,Consolidado!$AW:$AW,"S")/(F$58+F$59+F$60),"")</f>
        <v/>
      </c>
      <c r="G67" s="41" t="str">
        <f>IFERROR(COUNTIFS(Consolidado!$AI:$AI,$B67,Consolidado!$AN:$AN,IF(ISBLANK($C$2),"&lt;&gt;",$C$2),Consolidado!$AO:$AO,$C$6,Consolidado!$AP:$AP,Análise!G$64,Consolidado!$C:$C,IF(ISBLANK($C$3),"&lt;&gt;",$C$3),Consolidado!$Q:$Q,"1. Aceitou o programa",Consolidado!$AH:$AH,"&lt;&gt;",Consolidado!$AH:$AH,"&lt;&gt;"&amp;$B67,Consolidado!$AW:$AW,"S")/(G$58+G$59+G$60),"")</f>
        <v/>
      </c>
      <c r="H67" s="49" t="str">
        <f>IFERROR(COUNTIFS(Consolidado!$AI:$AI,$B67,Consolidado!$AN:$AN,IF(ISBLANK($C$2),"&lt;&gt;",$C$2),Consolidado!$AO:$AO,$C$6,Consolidado!$C:$C,IF(ISBLANK($C$3),"&lt;&gt;",$C$3),Consolidado!$Q:$Q,"1. Aceitou o programa",Consolidado!$AH:$AH,"&lt;&gt;",Consolidado!$AH:$AH,"&lt;&gt;"&amp;$B67)/(H$58+H$59+H$60),"")</f>
        <v/>
      </c>
      <c r="K67" s="203" t="s">
        <v>920</v>
      </c>
      <c r="L67" s="80" t="str">
        <f>IFERROR(COUNTIFS(Consolidado!$AI:$AI,$K67,Consolidado!$AN:$AN,IF(ISBLANK($C$2),"&lt;&gt;",$C$2),Consolidado!$B:$B,"&lt;="&amp;Análise!$C$9,Consolidado!$B:$B,"&gt;="&amp;Análise!$C$8,Consolidado!$C:$C,IF(ISBLANK($C$3),"&lt;&gt;",$C$3),Consolidado!$Q:$Q,"1. Aceitou o programa",Consolidado!$AH:$AH,"&lt;&gt;",Consolidado!$AH:$AH,"&lt;&gt;"&amp;$K67,Consolidado!$AW:$AW,"S")/(L$58+L$59+L$60),"")</f>
        <v/>
      </c>
    </row>
    <row r="69" spans="1:31" s="218" customFormat="1" x14ac:dyDescent="0.3">
      <c r="A69" s="216"/>
      <c r="B69" s="217" t="s">
        <v>921</v>
      </c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</row>
    <row r="71" spans="1:31" x14ac:dyDescent="0.3">
      <c r="B71" s="35" t="s">
        <v>922</v>
      </c>
      <c r="C71" s="46">
        <v>1</v>
      </c>
      <c r="D71" s="46">
        <v>2</v>
      </c>
      <c r="E71" s="46">
        <v>3</v>
      </c>
      <c r="F71" s="46">
        <v>4</v>
      </c>
      <c r="G71" s="46">
        <v>5</v>
      </c>
      <c r="H71" s="46" t="s">
        <v>887</v>
      </c>
      <c r="K71" s="76" t="s">
        <v>922</v>
      </c>
      <c r="L71" s="213" t="s">
        <v>915</v>
      </c>
    </row>
    <row r="72" spans="1:31" x14ac:dyDescent="0.3">
      <c r="B72" s="47" t="s">
        <v>923</v>
      </c>
      <c r="C72" s="36">
        <f>COUNTIFS(Consolidado!$AJ:$AJ,$B72,Consolidado!$AN:$AN,IF(ISBLANK($C$2),"&lt;&gt;",$C$2),Consolidado!$AO:$AO,$C$6,Consolidado!$AP:$AP,Análise!C$54,Consolidado!$C:$C,IF(ISBLANK($C$3),"&lt;&gt;",$C$3),Consolidado!$Q:$Q,"1. Aceitou o programa",Consolidado!$AW:$AW,"S")</f>
        <v>0</v>
      </c>
      <c r="D72" s="36">
        <f>COUNTIFS(Consolidado!$AJ:$AJ,$B72,Consolidado!$AN:$AN,IF(ISBLANK($C$2),"&lt;&gt;",$C$2),Consolidado!$AO:$AO,$C$6,Consolidado!$AP:$AP,Análise!D$54,Consolidado!$C:$C,IF(ISBLANK($C$3),"&lt;&gt;",$C$3),Consolidado!$Q:$Q,"1. Aceitou o programa",Consolidado!$AW:$AW,"S")</f>
        <v>0</v>
      </c>
      <c r="E72" s="36">
        <f>COUNTIFS(Consolidado!$AJ:$AJ,$B72,Consolidado!$AN:$AN,IF(ISBLANK($C$2),"&lt;&gt;",$C$2),Consolidado!$AO:$AO,$C$6,Consolidado!$AP:$AP,Análise!E$54,Consolidado!$C:$C,IF(ISBLANK($C$3),"&lt;&gt;",$C$3),Consolidado!$Q:$Q,"1. Aceitou o programa",Consolidado!$AW:$AW,"S")</f>
        <v>0</v>
      </c>
      <c r="F72" s="36">
        <f>COUNTIFS(Consolidado!$AJ:$AJ,$B72,Consolidado!$AN:$AN,IF(ISBLANK($C$2),"&lt;&gt;",$C$2),Consolidado!$AO:$AO,$C$6,Consolidado!$AP:$AP,Análise!F$54,Consolidado!$C:$C,IF(ISBLANK($C$3),"&lt;&gt;",$C$3),Consolidado!$Q:$Q,"1. Aceitou o programa",Consolidado!$AW:$AW,"S")</f>
        <v>0</v>
      </c>
      <c r="G72" s="36">
        <f>COUNTIFS(Consolidado!$AJ:$AJ,$B72,Consolidado!$AN:$AN,IF(ISBLANK($C$2),"&lt;&gt;",$C$2),Consolidado!$AO:$AO,$C$6,Consolidado!$AP:$AP,Análise!G$54,Consolidado!$C:$C,IF(ISBLANK($C$3),"&lt;&gt;",$C$3),Consolidado!$Q:$Q,"1. Aceitou o programa",Consolidado!$AW:$AW,"S")</f>
        <v>0</v>
      </c>
      <c r="H72" s="44">
        <f>SUM(C72:G72)</f>
        <v>0</v>
      </c>
      <c r="K72" s="203" t="s">
        <v>923</v>
      </c>
      <c r="L72" s="79">
        <f>COUNTIFS(Consolidado!$AJ:$AJ,$B72,Consolidado!$AN:$AN,IF(ISBLANK($C$2),"&lt;&gt;",$C$2),Consolidado!$B:$B,"&lt;="&amp;Análise!$C$9,Consolidado!$B:$B,"&gt;="&amp;Análise!$C$8,Consolidado!$C:$C,IF(ISBLANK($C$3),"&lt;&gt;",$C$3),Consolidado!$Q:$Q,"1.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73" spans="1:31" x14ac:dyDescent="0.3">
      <c r="B73" s="48" t="s">
        <v>91</v>
      </c>
      <c r="C73" s="38">
        <f>COUNTIFS(Consolidado!$AJ:$AJ,$B73,Consolidado!$AN:$AN,IF(ISBLANK($C$2),"&lt;&gt;",$C$2),Consolidado!$AO:$AO,$C$6,Consolidado!$AP:$AP,Análise!C$54,Consolidado!$C:$C,IF(ISBLANK($C$3),"&lt;&gt;",$C$3),Consolidado!$Q:$Q,"1. Aceitou o programa",Consolidado!$AW:$AW,"S")</f>
        <v>0</v>
      </c>
      <c r="D73" s="38">
        <f>COUNTIFS(Consolidado!$AJ:$AJ,$B73,Consolidado!$AN:$AN,IF(ISBLANK($C$2),"&lt;&gt;",$C$2),Consolidado!$AO:$AO,$C$6,Consolidado!$AP:$AP,Análise!D$54,Consolidado!$C:$C,IF(ISBLANK($C$3),"&lt;&gt;",$C$3),Consolidado!$Q:$Q,"1. Aceitou o programa",Consolidado!$AW:$AW,"S")</f>
        <v>1</v>
      </c>
      <c r="E73" s="38">
        <f>COUNTIFS(Consolidado!$AJ:$AJ,$B73,Consolidado!$AN:$AN,IF(ISBLANK($C$2),"&lt;&gt;",$C$2),Consolidado!$AO:$AO,$C$6,Consolidado!$AP:$AP,Análise!E$54,Consolidado!$C:$C,IF(ISBLANK($C$3),"&lt;&gt;",$C$3),Consolidado!$Q:$Q,"1. Aceitou o programa",Consolidado!$AW:$AW,"S")</f>
        <v>0</v>
      </c>
      <c r="F73" s="38">
        <f>COUNTIFS(Consolidado!$AJ:$AJ,$B73,Consolidado!$AN:$AN,IF(ISBLANK($C$2),"&lt;&gt;",$C$2),Consolidado!$AO:$AO,$C$6,Consolidado!$AP:$AP,Análise!F$54,Consolidado!$C:$C,IF(ISBLANK($C$3),"&lt;&gt;",$C$3),Consolidado!$Q:$Q,"1. Aceitou o programa",Consolidado!$AW:$AW,"S")</f>
        <v>1</v>
      </c>
      <c r="G73" s="38">
        <f>COUNTIFS(Consolidado!$AJ:$AJ,$B73,Consolidado!$AN:$AN,IF(ISBLANK($C$2),"&lt;&gt;",$C$2),Consolidado!$AO:$AO,$C$6,Consolidado!$AP:$AP,Análise!G$54,Consolidado!$C:$C,IF(ISBLANK($C$3),"&lt;&gt;",$C$3),Consolidado!$Q:$Q,"1. Aceitou o programa",Consolidado!$AW:$AW,"S")</f>
        <v>0</v>
      </c>
      <c r="H73" s="39">
        <f t="shared" ref="H73:H74" si="9">SUM(C73:G73)</f>
        <v>2</v>
      </c>
      <c r="K73" s="48" t="s">
        <v>91</v>
      </c>
      <c r="L73" s="38">
        <f>COUNTIFS(Consolidado!$AJ:$AJ,$B73,Consolidado!$AN:$AN,IF(ISBLANK($C$2),"&lt;&gt;",$C$2),Consolidado!$B:$B,"&lt;="&amp;Análise!$C$9,Consolidado!$B:$B,"&gt;="&amp;Análise!$C$8,Consolidado!$C:$C,IF(ISBLANK($C$3),"&lt;&gt;",$C$3),Consolidado!$Q:$Q,"1. Aceitou o programa",Consolidado!$AW:$AW,"S")</f>
        <v>2</v>
      </c>
    </row>
    <row r="74" spans="1:31" x14ac:dyDescent="0.3">
      <c r="B74" s="47" t="s">
        <v>115</v>
      </c>
      <c r="C74" s="36">
        <f>COUNTIFS(Consolidado!$AJ:$AJ,$B74,Consolidado!$AN:$AN,IF(ISBLANK($C$2),"&lt;&gt;",$C$2),Consolidado!$AO:$AO,$C$6,Consolidado!$AP:$AP,Análise!C$54,Consolidado!$C:$C,IF(ISBLANK($C$3),"&lt;&gt;",$C$3),Consolidado!$Q:$Q,"1. Aceitou o programa",Consolidado!$AW:$AW,"S")</f>
        <v>0</v>
      </c>
      <c r="D74" s="36">
        <f>COUNTIFS(Consolidado!$AJ:$AJ,$B74,Consolidado!$AN:$AN,IF(ISBLANK($C$2),"&lt;&gt;",$C$2),Consolidado!$AO:$AO,$C$6,Consolidado!$AP:$AP,Análise!D$54,Consolidado!$C:$C,IF(ISBLANK($C$3),"&lt;&gt;",$C$3),Consolidado!$Q:$Q,"1. Aceitou o programa",Consolidado!$AW:$AW,"S")</f>
        <v>0</v>
      </c>
      <c r="E74" s="36">
        <f>COUNTIFS(Consolidado!$AJ:$AJ,$B74,Consolidado!$AN:$AN,IF(ISBLANK($C$2),"&lt;&gt;",$C$2),Consolidado!$AO:$AO,$C$6,Consolidado!$AP:$AP,Análise!E$54,Consolidado!$C:$C,IF(ISBLANK($C$3),"&lt;&gt;",$C$3),Consolidado!$Q:$Q,"1. Aceitou o programa",Consolidado!$AW:$AW,"S")</f>
        <v>0</v>
      </c>
      <c r="F74" s="36">
        <f>COUNTIFS(Consolidado!$AJ:$AJ,$B74,Consolidado!$AN:$AN,IF(ISBLANK($C$2),"&lt;&gt;",$C$2),Consolidado!$AO:$AO,$C$6,Consolidado!$AP:$AP,Análise!F$54,Consolidado!$C:$C,IF(ISBLANK($C$3),"&lt;&gt;",$C$3),Consolidado!$Q:$Q,"1. Aceitou o programa",Consolidado!$AW:$AW,"S")</f>
        <v>0</v>
      </c>
      <c r="G74" s="36">
        <f>COUNTIFS(Consolidado!$AJ:$AJ,$B74,Consolidado!$AN:$AN,IF(ISBLANK($C$2),"&lt;&gt;",$C$2),Consolidado!$AO:$AO,$C$6,Consolidado!$AP:$AP,Análise!G$54,Consolidado!$C:$C,IF(ISBLANK($C$3),"&lt;&gt;",$C$3),Consolidado!$Q:$Q,"1. Aceitou o programa",Consolidado!$AW:$AW,"S")</f>
        <v>0</v>
      </c>
      <c r="H74" s="44">
        <f t="shared" si="9"/>
        <v>0</v>
      </c>
      <c r="K74" s="203" t="s">
        <v>115</v>
      </c>
      <c r="L74" s="79">
        <f>COUNTIFS(Consolidado!$AJ:$AJ,$B74,Consolidado!$AN:$AN,IF(ISBLANK($C$2),"&lt;&gt;",$C$2),Consolidado!$B:$B,"&lt;="&amp;Análise!$C$9,Consolidado!$B:$B,"&gt;="&amp;Análise!$C$8,Consolidado!$C:$C,IF(ISBLANK($C$3),"&lt;&gt;",$C$3),Consolidado!$Q:$Q,"1. Aceitou o programa",Consolidado!$AW:$AW,"S")</f>
        <v>0</v>
      </c>
    </row>
    <row r="75" spans="1:31" x14ac:dyDescent="0.3">
      <c r="B75" s="48" t="s">
        <v>882</v>
      </c>
      <c r="C75" s="39">
        <f>SUM(C72:C74)</f>
        <v>0</v>
      </c>
      <c r="D75" s="39">
        <f t="shared" ref="D75:H75" si="10">SUM(D72:D74)</f>
        <v>1</v>
      </c>
      <c r="E75" s="39">
        <f t="shared" si="10"/>
        <v>0</v>
      </c>
      <c r="F75" s="39">
        <f t="shared" si="10"/>
        <v>1</v>
      </c>
      <c r="G75" s="39">
        <f t="shared" si="10"/>
        <v>0</v>
      </c>
      <c r="H75" s="39">
        <f t="shared" si="10"/>
        <v>2</v>
      </c>
      <c r="K75" s="48" t="s">
        <v>882</v>
      </c>
      <c r="L75" s="39">
        <f>SUM(L72:L74)</f>
        <v>2</v>
      </c>
    </row>
    <row r="77" spans="1:31" x14ac:dyDescent="0.3">
      <c r="B77" s="35" t="s">
        <v>924</v>
      </c>
      <c r="C77" s="46" t="s">
        <v>887</v>
      </c>
      <c r="K77" s="76" t="s">
        <v>924</v>
      </c>
      <c r="L77" s="213" t="s">
        <v>915</v>
      </c>
    </row>
    <row r="78" spans="1:31" x14ac:dyDescent="0.3">
      <c r="B78" s="47" t="s">
        <v>923</v>
      </c>
      <c r="C78" s="49">
        <f>IFERROR(H72/$H$75,"")</f>
        <v>0</v>
      </c>
      <c r="K78" s="203" t="s">
        <v>923</v>
      </c>
      <c r="L78" s="214">
        <f>IFERROR(L72/$L$75,"")</f>
        <v>0</v>
      </c>
    </row>
    <row r="79" spans="1:31" x14ac:dyDescent="0.3">
      <c r="B79" s="48" t="s">
        <v>91</v>
      </c>
      <c r="C79" s="50">
        <f>IFERROR(H73/$H$75,"")</f>
        <v>1</v>
      </c>
      <c r="K79" s="48" t="s">
        <v>91</v>
      </c>
      <c r="L79" s="50">
        <f>IFERROR(L73/$L$75,"")</f>
        <v>1</v>
      </c>
    </row>
    <row r="80" spans="1:31" x14ac:dyDescent="0.3">
      <c r="B80" s="47" t="s">
        <v>115</v>
      </c>
      <c r="C80" s="51">
        <f>IFERROR(H74/$H$75,"")</f>
        <v>0</v>
      </c>
      <c r="K80" s="203" t="s">
        <v>115</v>
      </c>
      <c r="L80" s="215">
        <f>IFERROR(L74/$L$75,"")</f>
        <v>0</v>
      </c>
    </row>
    <row r="82" spans="1:31" s="218" customFormat="1" x14ac:dyDescent="0.3">
      <c r="A82" s="216"/>
      <c r="B82" s="217" t="s">
        <v>925</v>
      </c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</row>
    <row r="84" spans="1:31" x14ac:dyDescent="0.3">
      <c r="B84" s="35" t="s">
        <v>926</v>
      </c>
      <c r="C84" s="46">
        <v>1</v>
      </c>
      <c r="D84" s="46">
        <v>2</v>
      </c>
      <c r="E84" s="46">
        <v>3</v>
      </c>
      <c r="F84" s="46">
        <v>4</v>
      </c>
      <c r="G84" s="46">
        <v>5</v>
      </c>
      <c r="H84" s="46" t="s">
        <v>887</v>
      </c>
      <c r="K84" s="76" t="s">
        <v>926</v>
      </c>
      <c r="L84" s="213" t="s">
        <v>915</v>
      </c>
    </row>
    <row r="85" spans="1:31" x14ac:dyDescent="0.3">
      <c r="B85" s="47" t="s">
        <v>62</v>
      </c>
      <c r="C85" s="36">
        <f>COUNTIFS(Consolidado!$Z:$Z,$B85,Consolidado!$AN:$AN,IF(ISBLANK($C$2),"&lt;&gt;",$C$2),Consolidado!$AO:$AO,$C$6,Consolidado!$AP:$AP,Análise!C$54,Consolidado!$C:$C,IF(ISBLANK($C$3),"&lt;&gt;",$C$3),Consolidado!$AW:$AW,"S")</f>
        <v>0</v>
      </c>
      <c r="D85" s="36">
        <f>COUNTIFS(Consolidado!$Z:$Z,$B85,Consolidado!$AN:$AN,IF(ISBLANK($C$2),"&lt;&gt;",$C$2),Consolidado!$AO:$AO,$C$6,Consolidado!$AP:$AP,Análise!D$54,Consolidado!$C:$C,IF(ISBLANK($C$3),"&lt;&gt;",$C$3),Consolidado!$AW:$AW,"S")</f>
        <v>1</v>
      </c>
      <c r="E85" s="36">
        <f>COUNTIFS(Consolidado!$Z:$Z,$B85,Consolidado!$AN:$AN,IF(ISBLANK($C$2),"&lt;&gt;",$C$2),Consolidado!$AO:$AO,$C$6,Consolidado!$AP:$AP,Análise!E$54,Consolidado!$C:$C,IF(ISBLANK($C$3),"&lt;&gt;",$C$3),Consolidado!$AW:$AW,"S")</f>
        <v>0</v>
      </c>
      <c r="F85" s="36">
        <f>COUNTIFS(Consolidado!$Z:$Z,$B85,Consolidado!$AN:$AN,IF(ISBLANK($C$2),"&lt;&gt;",$C$2),Consolidado!$AO:$AO,$C$6,Consolidado!$AP:$AP,Análise!F$54,Consolidado!$C:$C,IF(ISBLANK($C$3),"&lt;&gt;",$C$3),Consolidado!$AW:$AW,"S")</f>
        <v>1</v>
      </c>
      <c r="G85" s="36">
        <f>COUNTIFS(Consolidado!$Z:$Z,$B85,Consolidado!$AN:$AN,IF(ISBLANK($C$2),"&lt;&gt;",$C$2),Consolidado!$AO:$AO,$C$6,Consolidado!$AP:$AP,Análise!G$54,Consolidado!$C:$C,IF(ISBLANK($C$3),"&lt;&gt;",$C$3),Consolidado!$AW:$AW,"S")</f>
        <v>1</v>
      </c>
      <c r="H85" s="44">
        <f>SUM(C85:G85)</f>
        <v>3</v>
      </c>
      <c r="K85" s="203" t="s">
        <v>62</v>
      </c>
      <c r="L85" s="79">
        <f>COUNTIFS(Consolidado!$Z:$Z,$B85,Consolidado!$AN:$AN,IF(ISBLANK($C$2),"&lt;&gt;",$C$2),Consolidado!$B:$B,"&lt;="&amp;Análise!$C$9,Consolidado!$B:$B,"&gt;="&amp;Análise!$C$8,Consolidado!$C:$C,IF(ISBLANK($C$3),"&lt;&gt;",$C$3),Consolidado!$AW:$AW,"S")</f>
        <v>3</v>
      </c>
    </row>
    <row r="86" spans="1:31" x14ac:dyDescent="0.3">
      <c r="B86" s="48" t="s">
        <v>927</v>
      </c>
      <c r="C86" s="38">
        <f>COUNTIFS(Consolidado!$Z:$Z,$B86,Consolidado!$AN:$AN,IF(ISBLANK($C$2),"&lt;&gt;",$C$2),Consolidado!$AO:$AO,$C$6,Consolidado!$AP:$AP,Análise!C$54,Consolidado!$C:$C,IF(ISBLANK($C$3),"&lt;&gt;",$C$3),Consolidado!$AW:$AW,"S")</f>
        <v>0</v>
      </c>
      <c r="D86" s="38">
        <f>COUNTIFS(Consolidado!$Z:$Z,$B86,Consolidado!$AN:$AN,IF(ISBLANK($C$2),"&lt;&gt;",$C$2),Consolidado!$AO:$AO,$C$6,Consolidado!$AP:$AP,Análise!D$54,Consolidado!$C:$C,IF(ISBLANK($C$3),"&lt;&gt;",$C$3),Consolidado!$AW:$AW,"S")</f>
        <v>0</v>
      </c>
      <c r="E86" s="38">
        <f>COUNTIFS(Consolidado!$Z:$Z,$B86,Consolidado!$AN:$AN,IF(ISBLANK($C$2),"&lt;&gt;",$C$2),Consolidado!$AO:$AO,$C$6,Consolidado!$AP:$AP,Análise!E$54,Consolidado!$C:$C,IF(ISBLANK($C$3),"&lt;&gt;",$C$3),Consolidado!$AW:$AW,"S")</f>
        <v>0</v>
      </c>
      <c r="F86" s="38">
        <f>COUNTIFS(Consolidado!$Z:$Z,$B86,Consolidado!$AN:$AN,IF(ISBLANK($C$2),"&lt;&gt;",$C$2),Consolidado!$AO:$AO,$C$6,Consolidado!$AP:$AP,Análise!F$54,Consolidado!$C:$C,IF(ISBLANK($C$3),"&lt;&gt;",$C$3),Consolidado!$AW:$AW,"S")</f>
        <v>0</v>
      </c>
      <c r="G86" s="38">
        <f>COUNTIFS(Consolidado!$Z:$Z,$B86,Consolidado!$AN:$AN,IF(ISBLANK($C$2),"&lt;&gt;",$C$2),Consolidado!$AO:$AO,$C$6,Consolidado!$AP:$AP,Análise!G$54,Consolidado!$C:$C,IF(ISBLANK($C$3),"&lt;&gt;",$C$3),Consolidado!$AW:$AW,"S")</f>
        <v>0</v>
      </c>
      <c r="H86" s="39">
        <f t="shared" ref="H86:H87" si="11">SUM(C86:G86)</f>
        <v>0</v>
      </c>
      <c r="K86" s="48" t="s">
        <v>927</v>
      </c>
      <c r="L86" s="38">
        <f>COUNTIFS(Consolidado!$Z:$Z,$B86,Consolidado!$AN:$AN,IF(ISBLANK($C$2),"&lt;&gt;",$C$2),Consolidado!$B:$B,"&lt;="&amp;Análise!$C$9,Consolidado!$B:$B,"&gt;="&amp;Análise!$C$8,Consolidado!$C:$C,IF(ISBLANK($C$3),"&lt;&gt;",$C$3),Consolidado!$AW:$AW,"S")</f>
        <v>0</v>
      </c>
    </row>
    <row r="87" spans="1:31" x14ac:dyDescent="0.3">
      <c r="B87" s="47" t="s">
        <v>539</v>
      </c>
      <c r="C87" s="36">
        <f>COUNTIFS(Consolidado!$Z:$Z,$B87,Consolidado!$AN:$AN,IF(ISBLANK($C$2),"&lt;&gt;",$C$2),Consolidado!$AO:$AO,$C$6,Consolidado!$AP:$AP,Análise!C$54,Consolidado!$C:$C,IF(ISBLANK($C$3),"&lt;&gt;",$C$3),Consolidado!$AW:$AW,"S")</f>
        <v>0</v>
      </c>
      <c r="D87" s="36">
        <f>COUNTIFS(Consolidado!$Z:$Z,$B87,Consolidado!$AN:$AN,IF(ISBLANK($C$2),"&lt;&gt;",$C$2),Consolidado!$AO:$AO,$C$6,Consolidado!$AP:$AP,Análise!D$54,Consolidado!$C:$C,IF(ISBLANK($C$3),"&lt;&gt;",$C$3),Consolidado!$AW:$AW,"S")</f>
        <v>0</v>
      </c>
      <c r="E87" s="36">
        <f>COUNTIFS(Consolidado!$Z:$Z,$B87,Consolidado!$AN:$AN,IF(ISBLANK($C$2),"&lt;&gt;",$C$2),Consolidado!$AO:$AO,$C$6,Consolidado!$AP:$AP,Análise!E$54,Consolidado!$C:$C,IF(ISBLANK($C$3),"&lt;&gt;",$C$3),Consolidado!$AW:$AW,"S")</f>
        <v>0</v>
      </c>
      <c r="F87" s="36">
        <f>COUNTIFS(Consolidado!$Z:$Z,$B87,Consolidado!$AN:$AN,IF(ISBLANK($C$2),"&lt;&gt;",$C$2),Consolidado!$AO:$AO,$C$6,Consolidado!$AP:$AP,Análise!F$54,Consolidado!$C:$C,IF(ISBLANK($C$3),"&lt;&gt;",$C$3),Consolidado!$AW:$AW,"S")</f>
        <v>0</v>
      </c>
      <c r="G87" s="36">
        <f>COUNTIFS(Consolidado!$Z:$Z,$B87,Consolidado!$AN:$AN,IF(ISBLANK($C$2),"&lt;&gt;",$C$2),Consolidado!$AO:$AO,$C$6,Consolidado!$AP:$AP,Análise!G$54,Consolidado!$C:$C,IF(ISBLANK($C$3),"&lt;&gt;",$C$3),Consolidado!$AW:$AW,"S")</f>
        <v>0</v>
      </c>
      <c r="H87" s="44">
        <f t="shared" si="11"/>
        <v>0</v>
      </c>
      <c r="K87" s="203" t="s">
        <v>539</v>
      </c>
      <c r="L87" s="79">
        <f>COUNTIFS(Consolidado!$Z:$Z,$B87,Consolidado!$AN:$AN,IF(ISBLANK($C$2),"&lt;&gt;",$C$2),Consolidado!$B:$B,"&lt;="&amp;Análise!$C$9,Consolidado!$B:$B,"&gt;="&amp;Análise!$C$8,Consolidado!$C:$C,IF(ISBLANK($C$3),"&lt;&gt;",$C$3),Consolidado!$AW:$AW,"S")</f>
        <v>0</v>
      </c>
    </row>
    <row r="88" spans="1:31" x14ac:dyDescent="0.3">
      <c r="B88" s="48" t="s">
        <v>882</v>
      </c>
      <c r="C88" s="39">
        <f>SUM(C85:C87)</f>
        <v>0</v>
      </c>
      <c r="D88" s="39">
        <f t="shared" ref="D88:H88" si="12">SUM(D85:D87)</f>
        <v>1</v>
      </c>
      <c r="E88" s="39">
        <f t="shared" si="12"/>
        <v>0</v>
      </c>
      <c r="F88" s="39">
        <f t="shared" si="12"/>
        <v>1</v>
      </c>
      <c r="G88" s="39">
        <f t="shared" si="12"/>
        <v>1</v>
      </c>
      <c r="H88" s="39">
        <f t="shared" si="12"/>
        <v>3</v>
      </c>
      <c r="K88" s="48" t="s">
        <v>882</v>
      </c>
      <c r="L88" s="39">
        <f>SUM(L85:L87)</f>
        <v>3</v>
      </c>
    </row>
    <row r="90" spans="1:31" x14ac:dyDescent="0.3">
      <c r="B90" s="35" t="s">
        <v>928</v>
      </c>
      <c r="C90" s="46">
        <v>1</v>
      </c>
      <c r="D90" s="46">
        <v>2</v>
      </c>
      <c r="E90" s="46">
        <v>3</v>
      </c>
      <c r="F90" s="46">
        <v>4</v>
      </c>
      <c r="G90" s="46">
        <v>5</v>
      </c>
      <c r="H90" s="46" t="s">
        <v>887</v>
      </c>
      <c r="K90" s="76" t="s">
        <v>928</v>
      </c>
      <c r="L90" s="213" t="s">
        <v>915</v>
      </c>
    </row>
    <row r="91" spans="1:31" x14ac:dyDescent="0.3">
      <c r="B91" s="47" t="s">
        <v>75</v>
      </c>
      <c r="C91" s="36">
        <f>COUNTIFS(Consolidado!$AB:$AB,$B91,Consolidado!$AN:$AN,IF(ISBLANK($C$2),"&lt;&gt;",$C$2),Consolidado!$AO:$AO,$C$6,Consolidado!$AP:$AP,C$90,Consolidado!$C:$C,IF(ISBLANK($C$3),"&lt;&gt;",$C$3),Consolidado!$Z:$Z,"Agendada",Consolidado!$AW:$AW,"S")</f>
        <v>0</v>
      </c>
      <c r="D91" s="36">
        <f>COUNTIFS(Consolidado!$AB:$AB,$B91,Consolidado!$AN:$AN,IF(ISBLANK($C$2),"&lt;&gt;",$C$2),Consolidado!$AO:$AO,$C$6,Consolidado!$AP:$AP,D$90,Consolidado!$C:$C,IF(ISBLANK($C$3),"&lt;&gt;",$C$3),Consolidado!$Z:$Z,"Agendada",Consolidado!$AW:$AW,"S")</f>
        <v>1</v>
      </c>
      <c r="E91" s="36">
        <f>COUNTIFS(Consolidado!$AB:$AB,$B91,Consolidado!$AN:$AN,IF(ISBLANK($C$2),"&lt;&gt;",$C$2),Consolidado!$AO:$AO,$C$6,Consolidado!$AP:$AP,E$90,Consolidado!$C:$C,IF(ISBLANK($C$3),"&lt;&gt;",$C$3),Consolidado!$Z:$Z,"Agendada",Consolidado!$AW:$AW,"S")</f>
        <v>0</v>
      </c>
      <c r="F91" s="36">
        <f>COUNTIFS(Consolidado!$AB:$AB,$B91,Consolidado!$AN:$AN,IF(ISBLANK($C$2),"&lt;&gt;",$C$2),Consolidado!$AO:$AO,$C$6,Consolidado!$AP:$AP,F$90,Consolidado!$C:$C,IF(ISBLANK($C$3),"&lt;&gt;",$C$3),Consolidado!$Z:$Z,"Agendada",Consolidado!$AW:$AW,"S")</f>
        <v>1</v>
      </c>
      <c r="G91" s="36">
        <f>COUNTIFS(Consolidado!$AB:$AB,$B91,Consolidado!$AN:$AN,IF(ISBLANK($C$2),"&lt;&gt;",$C$2),Consolidado!$AO:$AO,$C$6,Consolidado!$AP:$AP,G$90,Consolidado!$C:$C,IF(ISBLANK($C$3),"&lt;&gt;",$C$3),Consolidado!$Z:$Z,"Agendada",Consolidado!$AW:$AW,"S")</f>
        <v>1</v>
      </c>
      <c r="H91" s="44">
        <f t="shared" ref="H91:H96" si="13">SUM(C91:G91)</f>
        <v>3</v>
      </c>
      <c r="K91" s="203" t="s">
        <v>75</v>
      </c>
      <c r="L91" s="79">
        <f>COUNTIFS(Consolidado!$AB:$AB,$B91,Consolidado!$AN:$AN,IF(ISBLANK($C$2),"&lt;&gt;",$C$2),Consolidado!$B:$B,"&lt;="&amp;Análise!$C$9,Consolidado!$B:$B,"&gt;="&amp;Análise!$C$8,Consolidado!$C:$C,IF(ISBLANK($C$3),"&lt;&gt;",$C$3),Consolidado!$Z:$Z,"Agendada",Consolidado!$AW:$AW,"S")</f>
        <v>3</v>
      </c>
    </row>
    <row r="92" spans="1:31" x14ac:dyDescent="0.3">
      <c r="B92" s="48" t="s">
        <v>929</v>
      </c>
      <c r="C92" s="38">
        <f>COUNTIFS(Consolidado!$AB:$AB,$B92,Consolidado!$AN:$AN,IF(ISBLANK($C$2),"&lt;&gt;",$C$2),Consolidado!$AO:$AO,$C$6,Consolidado!$AP:$AP,C$90,Consolidado!$C:$C,IF(ISBLANK($C$3),"&lt;&gt;",$C$3),Consolidado!$Z:$Z,"Agendada",Consolidado!$AW:$AW,"S")</f>
        <v>0</v>
      </c>
      <c r="D92" s="38">
        <f>COUNTIFS(Consolidado!$AB:$AB,$B92,Consolidado!$AN:$AN,IF(ISBLANK($C$2),"&lt;&gt;",$C$2),Consolidado!$AO:$AO,$C$6,Consolidado!$AP:$AP,D$90,Consolidado!$C:$C,IF(ISBLANK($C$3),"&lt;&gt;",$C$3),Consolidado!$Z:$Z,"Agendada",Consolidado!$AW:$AW,"S")</f>
        <v>0</v>
      </c>
      <c r="E92" s="38">
        <f>COUNTIFS(Consolidado!$AB:$AB,$B92,Consolidado!$AN:$AN,IF(ISBLANK($C$2),"&lt;&gt;",$C$2),Consolidado!$AO:$AO,$C$6,Consolidado!$AP:$AP,E$90,Consolidado!$C:$C,IF(ISBLANK($C$3),"&lt;&gt;",$C$3),Consolidado!$Z:$Z,"Agendada",Consolidado!$AW:$AW,"S")</f>
        <v>0</v>
      </c>
      <c r="F92" s="38">
        <f>COUNTIFS(Consolidado!$AB:$AB,$B92,Consolidado!$AN:$AN,IF(ISBLANK($C$2),"&lt;&gt;",$C$2),Consolidado!$AO:$AO,$C$6,Consolidado!$AP:$AP,F$90,Consolidado!$C:$C,IF(ISBLANK($C$3),"&lt;&gt;",$C$3),Consolidado!$Z:$Z,"Agendada",Consolidado!$AW:$AW,"S")</f>
        <v>0</v>
      </c>
      <c r="G92" s="38">
        <f>COUNTIFS(Consolidado!$AB:$AB,$B92,Consolidado!$AN:$AN,IF(ISBLANK($C$2),"&lt;&gt;",$C$2),Consolidado!$AO:$AO,$C$6,Consolidado!$AP:$AP,G$90,Consolidado!$C:$C,IF(ISBLANK($C$3),"&lt;&gt;",$C$3),Consolidado!$Z:$Z,"Agendada",Consolidado!$AW:$AW,"S")</f>
        <v>0</v>
      </c>
      <c r="H92" s="39">
        <f t="shared" si="13"/>
        <v>0</v>
      </c>
      <c r="K92" s="48" t="s">
        <v>929</v>
      </c>
      <c r="L92" s="38">
        <f>COUNTIFS(Consolidado!$AB:$AB,$B92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3" spans="1:31" x14ac:dyDescent="0.3">
      <c r="B93" s="47" t="s">
        <v>930</v>
      </c>
      <c r="C93" s="36">
        <f>COUNTIFS(Consolidado!$AB:$AB,$B93,Consolidado!$AN:$AN,IF(ISBLANK($C$2),"&lt;&gt;",$C$2),Consolidado!$AO:$AO,$C$6,Consolidado!$AP:$AP,C$90,Consolidado!$C:$C,IF(ISBLANK($C$3),"&lt;&gt;",$C$3),Consolidado!$Z:$Z,"Agendada",Consolidado!$AW:$AW,"S")</f>
        <v>0</v>
      </c>
      <c r="D93" s="36">
        <f>COUNTIFS(Consolidado!$AB:$AB,$B93,Consolidado!$AN:$AN,IF(ISBLANK($C$2),"&lt;&gt;",$C$2),Consolidado!$AO:$AO,$C$6,Consolidado!$AP:$AP,D$90,Consolidado!$C:$C,IF(ISBLANK($C$3),"&lt;&gt;",$C$3),Consolidado!$Z:$Z,"Agendada",Consolidado!$AW:$AW,"S")</f>
        <v>0</v>
      </c>
      <c r="E93" s="36">
        <f>COUNTIFS(Consolidado!$AB:$AB,$B93,Consolidado!$AN:$AN,IF(ISBLANK($C$2),"&lt;&gt;",$C$2),Consolidado!$AO:$AO,$C$6,Consolidado!$AP:$AP,E$90,Consolidado!$C:$C,IF(ISBLANK($C$3),"&lt;&gt;",$C$3),Consolidado!$Z:$Z,"Agendada",Consolidado!$AW:$AW,"S")</f>
        <v>0</v>
      </c>
      <c r="F93" s="36">
        <f>COUNTIFS(Consolidado!$AB:$AB,$B93,Consolidado!$AN:$AN,IF(ISBLANK($C$2),"&lt;&gt;",$C$2),Consolidado!$AO:$AO,$C$6,Consolidado!$AP:$AP,F$90,Consolidado!$C:$C,IF(ISBLANK($C$3),"&lt;&gt;",$C$3),Consolidado!$Z:$Z,"Agendada",Consolidado!$AW:$AW,"S")</f>
        <v>0</v>
      </c>
      <c r="G93" s="36">
        <f>COUNTIFS(Consolidado!$AB:$AB,$B93,Consolidado!$AN:$AN,IF(ISBLANK($C$2),"&lt;&gt;",$C$2),Consolidado!$AO:$AO,$C$6,Consolidado!$AP:$AP,G$90,Consolidado!$C:$C,IF(ISBLANK($C$3),"&lt;&gt;",$C$3),Consolidado!$Z:$Z,"Agendada",Consolidado!$AW:$AW,"S")</f>
        <v>0</v>
      </c>
      <c r="H93" s="44">
        <f t="shared" si="13"/>
        <v>0</v>
      </c>
      <c r="K93" s="203" t="s">
        <v>930</v>
      </c>
      <c r="L93" s="79">
        <f>COUNTIFS(Consolidado!$AB:$AB,$B93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4" spans="1:31" x14ac:dyDescent="0.3">
      <c r="B94" s="48" t="s">
        <v>142</v>
      </c>
      <c r="C94" s="38">
        <f>COUNTIFS(Consolidado!$AB:$AB,$B94,Consolidado!$AN:$AN,IF(ISBLANK($C$2),"&lt;&gt;",$C$2),Consolidado!$AO:$AO,$C$6,Consolidado!$AP:$AP,C$90,Consolidado!$C:$C,IF(ISBLANK($C$3),"&lt;&gt;",$C$3),Consolidado!$Z:$Z,"Agendada",Consolidado!$AW:$AW,"S")</f>
        <v>0</v>
      </c>
      <c r="D94" s="38">
        <f>COUNTIFS(Consolidado!$AB:$AB,$B94,Consolidado!$AN:$AN,IF(ISBLANK($C$2),"&lt;&gt;",$C$2),Consolidado!$AO:$AO,$C$6,Consolidado!$AP:$AP,D$90,Consolidado!$C:$C,IF(ISBLANK($C$3),"&lt;&gt;",$C$3),Consolidado!$Z:$Z,"Agendada",Consolidado!$AW:$AW,"S")</f>
        <v>0</v>
      </c>
      <c r="E94" s="38">
        <f>COUNTIFS(Consolidado!$AB:$AB,$B94,Consolidado!$AN:$AN,IF(ISBLANK($C$2),"&lt;&gt;",$C$2),Consolidado!$AO:$AO,$C$6,Consolidado!$AP:$AP,E$90,Consolidado!$C:$C,IF(ISBLANK($C$3),"&lt;&gt;",$C$3),Consolidado!$Z:$Z,"Agendada",Consolidado!$AW:$AW,"S")</f>
        <v>0</v>
      </c>
      <c r="F94" s="38">
        <f>COUNTIFS(Consolidado!$AB:$AB,$B94,Consolidado!$AN:$AN,IF(ISBLANK($C$2),"&lt;&gt;",$C$2),Consolidado!$AO:$AO,$C$6,Consolidado!$AP:$AP,F$90,Consolidado!$C:$C,IF(ISBLANK($C$3),"&lt;&gt;",$C$3),Consolidado!$Z:$Z,"Agendada",Consolidado!$AW:$AW,"S")</f>
        <v>0</v>
      </c>
      <c r="G94" s="38">
        <f>COUNTIFS(Consolidado!$AB:$AB,$B94,Consolidado!$AN:$AN,IF(ISBLANK($C$2),"&lt;&gt;",$C$2),Consolidado!$AO:$AO,$C$6,Consolidado!$AP:$AP,G$90,Consolidado!$C:$C,IF(ISBLANK($C$3),"&lt;&gt;",$C$3),Consolidado!$Z:$Z,"Agendada",Consolidado!$AW:$AW,"S")</f>
        <v>0</v>
      </c>
      <c r="H94" s="39">
        <f t="shared" si="13"/>
        <v>0</v>
      </c>
      <c r="K94" s="48" t="s">
        <v>142</v>
      </c>
      <c r="L94" s="38">
        <f>COUNTIFS(Consolidado!$AB:$AB,$B94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5" spans="1:31" x14ac:dyDescent="0.3">
      <c r="B95" s="47" t="s">
        <v>539</v>
      </c>
      <c r="C95" s="36">
        <f>COUNTIFS(Consolidado!$AB:$AB,$B95,Consolidado!$AN:$AN,IF(ISBLANK($C$2),"&lt;&gt;",$C$2),Consolidado!$AO:$AO,$C$6,Consolidado!$AP:$AP,C$90,Consolidado!$C:$C,IF(ISBLANK($C$3),"&lt;&gt;",$C$3),Consolidado!$Z:$Z,"Agendada",Consolidado!$AW:$AW,"S")</f>
        <v>0</v>
      </c>
      <c r="D95" s="36">
        <f>COUNTIFS(Consolidado!$AB:$AB,$B95,Consolidado!$AN:$AN,IF(ISBLANK($C$2),"&lt;&gt;",$C$2),Consolidado!$AO:$AO,$C$6,Consolidado!$AP:$AP,D$90,Consolidado!$C:$C,IF(ISBLANK($C$3),"&lt;&gt;",$C$3),Consolidado!$Z:$Z,"Agendada",Consolidado!$AW:$AW,"S")</f>
        <v>0</v>
      </c>
      <c r="E95" s="36">
        <f>COUNTIFS(Consolidado!$AB:$AB,$B95,Consolidado!$AN:$AN,IF(ISBLANK($C$2),"&lt;&gt;",$C$2),Consolidado!$AO:$AO,$C$6,Consolidado!$AP:$AP,E$90,Consolidado!$C:$C,IF(ISBLANK($C$3),"&lt;&gt;",$C$3),Consolidado!$Z:$Z,"Agendada",Consolidado!$AW:$AW,"S")</f>
        <v>0</v>
      </c>
      <c r="F95" s="36">
        <f>COUNTIFS(Consolidado!$AB:$AB,$B95,Consolidado!$AN:$AN,IF(ISBLANK($C$2),"&lt;&gt;",$C$2),Consolidado!$AO:$AO,$C$6,Consolidado!$AP:$AP,F$90,Consolidado!$C:$C,IF(ISBLANK($C$3),"&lt;&gt;",$C$3),Consolidado!$Z:$Z,"Agendada",Consolidado!$AW:$AW,"S")</f>
        <v>0</v>
      </c>
      <c r="G95" s="36">
        <f>COUNTIFS(Consolidado!$AB:$AB,$B95,Consolidado!$AN:$AN,IF(ISBLANK($C$2),"&lt;&gt;",$C$2),Consolidado!$AO:$AO,$C$6,Consolidado!$AP:$AP,G$90,Consolidado!$C:$C,IF(ISBLANK($C$3),"&lt;&gt;",$C$3),Consolidado!$Z:$Z,"Agendada",Consolidado!$AW:$AW,"S")</f>
        <v>0</v>
      </c>
      <c r="H95" s="44">
        <f t="shared" si="13"/>
        <v>0</v>
      </c>
      <c r="K95" s="203" t="s">
        <v>539</v>
      </c>
      <c r="L95" s="79">
        <f>COUNTIFS(Consolidado!$AB:$AB,$B95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6" spans="1:31" x14ac:dyDescent="0.3">
      <c r="B96" s="48" t="s">
        <v>931</v>
      </c>
      <c r="C96" s="38">
        <f>COUNTIFS(Consolidado!$AB:$AB,$B96,Consolidado!$AN:$AN,IF(ISBLANK($C$2),"&lt;&gt;",$C$2),Consolidado!$AO:$AO,$C$6,Consolidado!$AP:$AP,C$90,Consolidado!$C:$C,IF(ISBLANK($C$3),"&lt;&gt;",$C$3),Consolidado!$Z:$Z,"Agendada",Consolidado!$AW:$AW,"S")</f>
        <v>0</v>
      </c>
      <c r="D96" s="38">
        <f>COUNTIFS(Consolidado!$AB:$AB,$B96,Consolidado!$AN:$AN,IF(ISBLANK($C$2),"&lt;&gt;",$C$2),Consolidado!$AO:$AO,$C$6,Consolidado!$AP:$AP,D$90,Consolidado!$C:$C,IF(ISBLANK($C$3),"&lt;&gt;",$C$3),Consolidado!$Z:$Z,"Agendada",Consolidado!$AW:$AW,"S")</f>
        <v>0</v>
      </c>
      <c r="E96" s="38">
        <f>COUNTIFS(Consolidado!$AB:$AB,$B96,Consolidado!$AN:$AN,IF(ISBLANK($C$2),"&lt;&gt;",$C$2),Consolidado!$AO:$AO,$C$6,Consolidado!$AP:$AP,E$90,Consolidado!$C:$C,IF(ISBLANK($C$3),"&lt;&gt;",$C$3),Consolidado!$Z:$Z,"Agendada",Consolidado!$AW:$AW,"S")</f>
        <v>0</v>
      </c>
      <c r="F96" s="38">
        <f>COUNTIFS(Consolidado!$AB:$AB,$B96,Consolidado!$AN:$AN,IF(ISBLANK($C$2),"&lt;&gt;",$C$2),Consolidado!$AO:$AO,$C$6,Consolidado!$AP:$AP,F$90,Consolidado!$C:$C,IF(ISBLANK($C$3),"&lt;&gt;",$C$3),Consolidado!$Z:$Z,"Agendada",Consolidado!$AW:$AW,"S")</f>
        <v>0</v>
      </c>
      <c r="G96" s="38">
        <f>COUNTIFS(Consolidado!$AB:$AB,$B96,Consolidado!$AN:$AN,IF(ISBLANK($C$2),"&lt;&gt;",$C$2),Consolidado!$AO:$AO,$C$6,Consolidado!$AP:$AP,G$90,Consolidado!$C:$C,IF(ISBLANK($C$3),"&lt;&gt;",$C$3),Consolidado!$Z:$Z,"Agendada",Consolidado!$AW:$AW,"S")</f>
        <v>0</v>
      </c>
      <c r="H96" s="39">
        <f t="shared" si="13"/>
        <v>0</v>
      </c>
      <c r="K96" s="48" t="s">
        <v>931</v>
      </c>
      <c r="L96" s="38">
        <f>COUNTIFS(Consolidado!$AB:$AB,$B96,Consolidado!$AN:$AN,IF(ISBLANK($C$2),"&lt;&gt;",$C$2),Consolidado!$B:$B,"&lt;="&amp;Análise!$C$9,Consolidado!$B:$B,"&gt;="&amp;Análise!$C$8,Consolidado!$C:$C,IF(ISBLANK($C$3),"&lt;&gt;",$C$3),Consolidado!$Z:$Z,"Agendada",Consolidado!$AW:$AW,"S")</f>
        <v>0</v>
      </c>
    </row>
    <row r="97" spans="1:31" x14ac:dyDescent="0.3">
      <c r="B97" s="47" t="s">
        <v>882</v>
      </c>
      <c r="C97" s="44">
        <f t="shared" ref="C97:H97" si="14">SUM(C91:C96)</f>
        <v>0</v>
      </c>
      <c r="D97" s="44">
        <f t="shared" si="14"/>
        <v>1</v>
      </c>
      <c r="E97" s="44">
        <f t="shared" si="14"/>
        <v>0</v>
      </c>
      <c r="F97" s="44">
        <f t="shared" si="14"/>
        <v>1</v>
      </c>
      <c r="G97" s="44">
        <f t="shared" si="14"/>
        <v>1</v>
      </c>
      <c r="H97" s="44">
        <f t="shared" si="14"/>
        <v>3</v>
      </c>
      <c r="K97" s="203" t="s">
        <v>882</v>
      </c>
      <c r="L97" s="204">
        <f>SUM(L91:L96)</f>
        <v>3</v>
      </c>
    </row>
    <row r="99" spans="1:31" s="218" customFormat="1" x14ac:dyDescent="0.3">
      <c r="A99" s="216"/>
      <c r="B99" s="217" t="s">
        <v>932</v>
      </c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</row>
    <row r="100" spans="1:31" x14ac:dyDescent="0.3">
      <c r="E100" s="40"/>
      <c r="F100" s="40"/>
    </row>
    <row r="101" spans="1:31" x14ac:dyDescent="0.3">
      <c r="B101" s="225" t="s">
        <v>3</v>
      </c>
      <c r="C101" s="175" t="s">
        <v>41</v>
      </c>
      <c r="D101" s="175"/>
      <c r="E101" s="175"/>
      <c r="F101" s="175"/>
      <c r="G101" s="175"/>
      <c r="H101" s="175"/>
      <c r="K101" s="226" t="s">
        <v>3</v>
      </c>
      <c r="L101" s="227" t="s">
        <v>915</v>
      </c>
    </row>
    <row r="102" spans="1:31" x14ac:dyDescent="0.3">
      <c r="B102" s="225"/>
      <c r="C102" s="37">
        <v>1</v>
      </c>
      <c r="D102" s="37">
        <v>2</v>
      </c>
      <c r="E102" s="37">
        <v>3</v>
      </c>
      <c r="F102" s="37">
        <v>4</v>
      </c>
      <c r="G102" s="37">
        <v>5</v>
      </c>
      <c r="H102" s="37" t="s">
        <v>882</v>
      </c>
      <c r="K102" s="226"/>
      <c r="L102" s="228"/>
    </row>
    <row r="103" spans="1:31" x14ac:dyDescent="0.3">
      <c r="B103" s="47" t="s">
        <v>51</v>
      </c>
      <c r="C103" s="36">
        <f>COUNTIFS(Consolidado!$D:$D,$B103,Consolidado!$AN:$AN,IF(ISBLANK($C$2),"&lt;&gt;",$C$2),Consolidado!$AO:$AO,$C$6,Consolidado!$AP:$AP,C$102,Consolidado!$C:$C,IF(ISBLANK($C$3),"&lt;&gt;",$C$3),Consolidado!$AW:$AW,"S")</f>
        <v>0</v>
      </c>
      <c r="D103" s="36">
        <f>COUNTIFS(Consolidado!$D:$D,$B103,Consolidado!$AN:$AN,IF(ISBLANK($C$2),"&lt;&gt;",$C$2),Consolidado!$AO:$AO,$C$6,Consolidado!$AP:$AP,D$102,Consolidado!$C:$C,IF(ISBLANK($C$3),"&lt;&gt;",$C$3),Consolidado!$AW:$AW,"S")</f>
        <v>1</v>
      </c>
      <c r="E103" s="36">
        <f>COUNTIFS(Consolidado!$D:$D,$B103,Consolidado!$AN:$AN,IF(ISBLANK($C$2),"&lt;&gt;",$C$2),Consolidado!$AO:$AO,$C$6,Consolidado!$AP:$AP,E$102,Consolidado!$C:$C,IF(ISBLANK($C$3),"&lt;&gt;",$C$3),Consolidado!$AW:$AW,"S")</f>
        <v>0</v>
      </c>
      <c r="F103" s="36">
        <f>COUNTIFS(Consolidado!$D:$D,$B103,Consolidado!$AN:$AN,IF(ISBLANK($C$2),"&lt;&gt;",$C$2),Consolidado!$AO:$AO,$C$6,Consolidado!$AP:$AP,F$102,Consolidado!$C:$C,IF(ISBLANK($C$3),"&lt;&gt;",$C$3),Consolidado!$AW:$AW,"S")</f>
        <v>3</v>
      </c>
      <c r="G103" s="36">
        <f>COUNTIFS(Consolidado!$D:$D,$B103,Consolidado!$AN:$AN,IF(ISBLANK($C$2),"&lt;&gt;",$C$2),Consolidado!$AO:$AO,$C$6,Consolidado!$AP:$AP,G$102,Consolidado!$C:$C,IF(ISBLANK($C$3),"&lt;&gt;",$C$3),Consolidado!$AW:$AW,"S")</f>
        <v>1</v>
      </c>
      <c r="H103" s="44">
        <f>SUM(C103:G103)</f>
        <v>5</v>
      </c>
      <c r="K103" s="203" t="s">
        <v>51</v>
      </c>
      <c r="L103" s="79">
        <f>COUNTIFS(Consolidado!$D:$D,$K103,Consolidado!$AN:$AN,IF(ISBLANK($C$2),"&lt;&gt;",$C$2),Consolidado!$B:$B,"&lt;="&amp;Análise!$C$9,Consolidado!$B:$B,"&gt;="&amp;Análise!$C$8,Consolidado!$C:$C,IF(ISBLANK($C$3),"&lt;&gt;",$C$3),Consolidado!$AW:$AW,"S")</f>
        <v>5</v>
      </c>
    </row>
    <row r="104" spans="1:31" x14ac:dyDescent="0.3">
      <c r="B104" s="48" t="s">
        <v>144</v>
      </c>
      <c r="C104" s="38">
        <f>COUNTIFS(Consolidado!$D:$D,$B104,Consolidado!$AN:$AN,IF(ISBLANK($C$2),"&lt;&gt;",$C$2),Consolidado!$AO:$AO,$C$6,Consolidado!$AP:$AP,C$102,Consolidado!$C:$C,IF(ISBLANK($C$3),"&lt;&gt;",$C$3),Consolidado!$AW:$AW,"S")</f>
        <v>0</v>
      </c>
      <c r="D104" s="38">
        <f>COUNTIFS(Consolidado!$D:$D,$B104,Consolidado!$AN:$AN,IF(ISBLANK($C$2),"&lt;&gt;",$C$2),Consolidado!$AO:$AO,$C$6,Consolidado!$AP:$AP,D$102,Consolidado!$C:$C,IF(ISBLANK($C$3),"&lt;&gt;",$C$3),Consolidado!$AW:$AW,"S")</f>
        <v>0</v>
      </c>
      <c r="E104" s="38">
        <f>COUNTIFS(Consolidado!$D:$D,$B104,Consolidado!$AN:$AN,IF(ISBLANK($C$2),"&lt;&gt;",$C$2),Consolidado!$AO:$AO,$C$6,Consolidado!$AP:$AP,E$102,Consolidado!$C:$C,IF(ISBLANK($C$3),"&lt;&gt;",$C$3),Consolidado!$AW:$AW,"S")</f>
        <v>0</v>
      </c>
      <c r="F104" s="38">
        <f>COUNTIFS(Consolidado!$D:$D,$B104,Consolidado!$AN:$AN,IF(ISBLANK($C$2),"&lt;&gt;",$C$2),Consolidado!$AO:$AO,$C$6,Consolidado!$AP:$AP,F$102,Consolidado!$C:$C,IF(ISBLANK($C$3),"&lt;&gt;",$C$3),Consolidado!$AW:$AW,"S")</f>
        <v>0</v>
      </c>
      <c r="G104" s="38">
        <f>COUNTIFS(Consolidado!$D:$D,$B104,Consolidado!$AN:$AN,IF(ISBLANK($C$2),"&lt;&gt;",$C$2),Consolidado!$AO:$AO,$C$6,Consolidado!$AP:$AP,G$102,Consolidado!$C:$C,IF(ISBLANK($C$3),"&lt;&gt;",$C$3),Consolidado!$AW:$AW,"S")</f>
        <v>0</v>
      </c>
      <c r="H104" s="39">
        <f t="shared" ref="H104:H110" si="15">SUM(C104:G104)</f>
        <v>0</v>
      </c>
      <c r="K104" s="48" t="s">
        <v>144</v>
      </c>
      <c r="L104" s="38">
        <f>COUNTIFS(Consolidado!$D:$D,$K104,Consolidado!$AN:$AN,IF(ISBLANK($C$2),"&lt;&gt;",$C$2),Consolidado!$B:$B,"&lt;="&amp;Análise!$C$9,Consolidado!$B:$B,"&gt;="&amp;Análise!$C$8,Consolidado!$C:$C,IF(ISBLANK($C$3),"&lt;&gt;",$C$3),Consolidado!$AW:$AW,"S")</f>
        <v>0</v>
      </c>
    </row>
    <row r="105" spans="1:31" x14ac:dyDescent="0.3">
      <c r="B105" s="47" t="s">
        <v>609</v>
      </c>
      <c r="C105" s="36">
        <f>COUNTIFS(Consolidado!$D:$D,$B105,Consolidado!$AN:$AN,IF(ISBLANK($C$2),"&lt;&gt;",$C$2),Consolidado!$AO:$AO,$C$6,Consolidado!$AP:$AP,C$102,Consolidado!$C:$C,IF(ISBLANK($C$3),"&lt;&gt;",$C$3),Consolidado!$AW:$AW,"S")</f>
        <v>0</v>
      </c>
      <c r="D105" s="36">
        <f>COUNTIFS(Consolidado!$D:$D,$B105,Consolidado!$AN:$AN,IF(ISBLANK($C$2),"&lt;&gt;",$C$2),Consolidado!$AO:$AO,$C$6,Consolidado!$AP:$AP,D$102,Consolidado!$C:$C,IF(ISBLANK($C$3),"&lt;&gt;",$C$3),Consolidado!$AW:$AW,"S")</f>
        <v>0</v>
      </c>
      <c r="E105" s="36">
        <f>COUNTIFS(Consolidado!$D:$D,$B105,Consolidado!$AN:$AN,IF(ISBLANK($C$2),"&lt;&gt;",$C$2),Consolidado!$AO:$AO,$C$6,Consolidado!$AP:$AP,E$102,Consolidado!$C:$C,IF(ISBLANK($C$3),"&lt;&gt;",$C$3),Consolidado!$AW:$AW,"S")</f>
        <v>0</v>
      </c>
      <c r="F105" s="36">
        <f>COUNTIFS(Consolidado!$D:$D,$B105,Consolidado!$AN:$AN,IF(ISBLANK($C$2),"&lt;&gt;",$C$2),Consolidado!$AO:$AO,$C$6,Consolidado!$AP:$AP,F$102,Consolidado!$C:$C,IF(ISBLANK($C$3),"&lt;&gt;",$C$3),Consolidado!$AW:$AW,"S")</f>
        <v>0</v>
      </c>
      <c r="G105" s="36">
        <f>COUNTIFS(Consolidado!$D:$D,$B105,Consolidado!$AN:$AN,IF(ISBLANK($C$2),"&lt;&gt;",$C$2),Consolidado!$AO:$AO,$C$6,Consolidado!$AP:$AP,G$102,Consolidado!$C:$C,IF(ISBLANK($C$3),"&lt;&gt;",$C$3),Consolidado!$AW:$AW,"S")</f>
        <v>0</v>
      </c>
      <c r="H105" s="44">
        <f t="shared" si="15"/>
        <v>0</v>
      </c>
      <c r="K105" s="203" t="s">
        <v>609</v>
      </c>
      <c r="L105" s="79">
        <f>COUNTIFS(Consolidado!$D:$D,$K105,Consolidado!$AN:$AN,IF(ISBLANK($C$2),"&lt;&gt;",$C$2),Consolidado!$B:$B,"&lt;="&amp;Análise!$C$9,Consolidado!$B:$B,"&gt;="&amp;Análise!$C$8,Consolidado!$C:$C,IF(ISBLANK($C$3),"&lt;&gt;",$C$3),Consolidado!$AW:$AW,"S")</f>
        <v>0</v>
      </c>
    </row>
    <row r="106" spans="1:31" x14ac:dyDescent="0.3">
      <c r="B106" s="48" t="s">
        <v>933</v>
      </c>
      <c r="C106" s="38">
        <f>COUNTIFS(Consolidado!$D:$D,$B106,Consolidado!$AN:$AN,IF(ISBLANK($C$2),"&lt;&gt;",$C$2),Consolidado!$AO:$AO,$C$6,Consolidado!$AP:$AP,C$102,Consolidado!$C:$C,IF(ISBLANK($C$3),"&lt;&gt;",$C$3),Consolidado!$AW:$AW,"S")</f>
        <v>0</v>
      </c>
      <c r="D106" s="38">
        <f>COUNTIFS(Consolidado!$D:$D,$B106,Consolidado!$AN:$AN,IF(ISBLANK($C$2),"&lt;&gt;",$C$2),Consolidado!$AO:$AO,$C$6,Consolidado!$AP:$AP,D$102,Consolidado!$C:$C,IF(ISBLANK($C$3),"&lt;&gt;",$C$3),Consolidado!$AW:$AW,"S")</f>
        <v>0</v>
      </c>
      <c r="E106" s="38">
        <f>COUNTIFS(Consolidado!$D:$D,$B106,Consolidado!$AN:$AN,IF(ISBLANK($C$2),"&lt;&gt;",$C$2),Consolidado!$AO:$AO,$C$6,Consolidado!$AP:$AP,E$102,Consolidado!$C:$C,IF(ISBLANK($C$3),"&lt;&gt;",$C$3),Consolidado!$AW:$AW,"S")</f>
        <v>0</v>
      </c>
      <c r="F106" s="38">
        <f>COUNTIFS(Consolidado!$D:$D,$B106,Consolidado!$AN:$AN,IF(ISBLANK($C$2),"&lt;&gt;",$C$2),Consolidado!$AO:$AO,$C$6,Consolidado!$AP:$AP,F$102,Consolidado!$C:$C,IF(ISBLANK($C$3),"&lt;&gt;",$C$3),Consolidado!$AW:$AW,"S")</f>
        <v>0</v>
      </c>
      <c r="G106" s="38">
        <f>COUNTIFS(Consolidado!$D:$D,$B106,Consolidado!$AN:$AN,IF(ISBLANK($C$2),"&lt;&gt;",$C$2),Consolidado!$AO:$AO,$C$6,Consolidado!$AP:$AP,G$102,Consolidado!$C:$C,IF(ISBLANK($C$3),"&lt;&gt;",$C$3),Consolidado!$AW:$AW,"S")</f>
        <v>0</v>
      </c>
      <c r="H106" s="39">
        <f t="shared" si="15"/>
        <v>0</v>
      </c>
      <c r="K106" s="48" t="s">
        <v>933</v>
      </c>
      <c r="L106" s="38">
        <f>COUNTIFS(Consolidado!$D:$D,$K106,Consolidado!$AN:$AN,IF(ISBLANK($C$2),"&lt;&gt;",$C$2),Consolidado!$B:$B,"&lt;="&amp;Análise!$C$9,Consolidado!$B:$B,"&gt;="&amp;Análise!$C$8,Consolidado!$C:$C,IF(ISBLANK($C$3),"&lt;&gt;",$C$3),Consolidado!$AW:$AW,"S")</f>
        <v>0</v>
      </c>
    </row>
    <row r="107" spans="1:31" x14ac:dyDescent="0.3">
      <c r="B107" s="47" t="s">
        <v>934</v>
      </c>
      <c r="C107" s="36">
        <f>COUNTIFS(Consolidado!$D:$D,$B107,Consolidado!$AN:$AN,IF(ISBLANK($C$2),"&lt;&gt;",$C$2),Consolidado!$AO:$AO,$C$6,Consolidado!$AP:$AP,C$102,Consolidado!$C:$C,IF(ISBLANK($C$3),"&lt;&gt;",$C$3),Consolidado!$AW:$AW,"S")</f>
        <v>0</v>
      </c>
      <c r="D107" s="36">
        <f>COUNTIFS(Consolidado!$D:$D,$B107,Consolidado!$AN:$AN,IF(ISBLANK($C$2),"&lt;&gt;",$C$2),Consolidado!$AO:$AO,$C$6,Consolidado!$AP:$AP,D$102,Consolidado!$C:$C,IF(ISBLANK($C$3),"&lt;&gt;",$C$3),Consolidado!$AW:$AW,"S")</f>
        <v>0</v>
      </c>
      <c r="E107" s="36">
        <f>COUNTIFS(Consolidado!$D:$D,$B107,Consolidado!$AN:$AN,IF(ISBLANK($C$2),"&lt;&gt;",$C$2),Consolidado!$AO:$AO,$C$6,Consolidado!$AP:$AP,E$102,Consolidado!$C:$C,IF(ISBLANK($C$3),"&lt;&gt;",$C$3),Consolidado!$AW:$AW,"S")</f>
        <v>0</v>
      </c>
      <c r="F107" s="36">
        <f>COUNTIFS(Consolidado!$D:$D,$B107,Consolidado!$AN:$AN,IF(ISBLANK($C$2),"&lt;&gt;",$C$2),Consolidado!$AO:$AO,$C$6,Consolidado!$AP:$AP,F$102,Consolidado!$C:$C,IF(ISBLANK($C$3),"&lt;&gt;",$C$3),Consolidado!$AW:$AW,"S")</f>
        <v>0</v>
      </c>
      <c r="G107" s="36">
        <f>COUNTIFS(Consolidado!$D:$D,$B107,Consolidado!$AN:$AN,IF(ISBLANK($C$2),"&lt;&gt;",$C$2),Consolidado!$AO:$AO,$C$6,Consolidado!$AP:$AP,G$102,Consolidado!$C:$C,IF(ISBLANK($C$3),"&lt;&gt;",$C$3),Consolidado!$AW:$AW,"S")</f>
        <v>0</v>
      </c>
      <c r="H107" s="44">
        <f t="shared" si="15"/>
        <v>0</v>
      </c>
      <c r="K107" s="203" t="s">
        <v>934</v>
      </c>
      <c r="L107" s="79">
        <f>COUNTIFS(Consolidado!$D:$D,$K107,Consolidado!$AN:$AN,IF(ISBLANK($C$2),"&lt;&gt;",$C$2),Consolidado!$B:$B,"&lt;="&amp;Análise!$C$9,Consolidado!$B:$B,"&gt;="&amp;Análise!$C$8,Consolidado!$C:$C,IF(ISBLANK($C$3),"&lt;&gt;",$C$3),Consolidado!$AW:$AW,"S")</f>
        <v>0</v>
      </c>
    </row>
    <row r="108" spans="1:31" x14ac:dyDescent="0.3">
      <c r="B108" s="48" t="s">
        <v>935</v>
      </c>
      <c r="C108" s="38">
        <f>COUNTIFS(Consolidado!$D:$D,$B108,Consolidado!$AN:$AN,IF(ISBLANK($C$2),"&lt;&gt;",$C$2),Consolidado!$AO:$AO,$C$6,Consolidado!$AP:$AP,C$102,Consolidado!$C:$C,IF(ISBLANK($C$3),"&lt;&gt;",$C$3),Consolidado!$AW:$AW,"S")</f>
        <v>0</v>
      </c>
      <c r="D108" s="38">
        <f>COUNTIFS(Consolidado!$D:$D,$B108,Consolidado!$AN:$AN,IF(ISBLANK($C$2),"&lt;&gt;",$C$2),Consolidado!$AO:$AO,$C$6,Consolidado!$AP:$AP,D$102,Consolidado!$C:$C,IF(ISBLANK($C$3),"&lt;&gt;",$C$3),Consolidado!$AW:$AW,"S")</f>
        <v>0</v>
      </c>
      <c r="E108" s="38">
        <f>COUNTIFS(Consolidado!$D:$D,$B108,Consolidado!$AN:$AN,IF(ISBLANK($C$2),"&lt;&gt;",$C$2),Consolidado!$AO:$AO,$C$6,Consolidado!$AP:$AP,E$102,Consolidado!$C:$C,IF(ISBLANK($C$3),"&lt;&gt;",$C$3),Consolidado!$AW:$AW,"S")</f>
        <v>0</v>
      </c>
      <c r="F108" s="38">
        <f>COUNTIFS(Consolidado!$D:$D,$B108,Consolidado!$AN:$AN,IF(ISBLANK($C$2),"&lt;&gt;",$C$2),Consolidado!$AO:$AO,$C$6,Consolidado!$AP:$AP,F$102,Consolidado!$C:$C,IF(ISBLANK($C$3),"&lt;&gt;",$C$3),Consolidado!$AW:$AW,"S")</f>
        <v>0</v>
      </c>
      <c r="G108" s="38">
        <f>COUNTIFS(Consolidado!$D:$D,$B108,Consolidado!$AN:$AN,IF(ISBLANK($C$2),"&lt;&gt;",$C$2),Consolidado!$AO:$AO,$C$6,Consolidado!$AP:$AP,G$102,Consolidado!$C:$C,IF(ISBLANK($C$3),"&lt;&gt;",$C$3),Consolidado!$AW:$AW,"S")</f>
        <v>0</v>
      </c>
      <c r="H108" s="39">
        <f t="shared" si="15"/>
        <v>0</v>
      </c>
      <c r="K108" s="48" t="s">
        <v>935</v>
      </c>
      <c r="L108" s="38">
        <f>COUNTIFS(Consolidado!$D:$D,$K108,Consolidado!$AN:$AN,IF(ISBLANK($C$2),"&lt;&gt;",$C$2),Consolidado!$B:$B,"&lt;="&amp;Análise!$C$9,Consolidado!$B:$B,"&gt;="&amp;Análise!$C$8,Consolidado!$C:$C,IF(ISBLANK($C$3),"&lt;&gt;",$C$3),Consolidado!$AW:$AW,"S")</f>
        <v>0</v>
      </c>
    </row>
    <row r="109" spans="1:31" x14ac:dyDescent="0.3">
      <c r="B109" s="47" t="s">
        <v>936</v>
      </c>
      <c r="C109" s="36">
        <f>COUNTIFS(Consolidado!$D:$D,$B109,Consolidado!$AN:$AN,IF(ISBLANK($C$2),"&lt;&gt;",$C$2),Consolidado!$AO:$AO,$C$6,Consolidado!$AP:$AP,C$102,Consolidado!$C:$C,IF(ISBLANK($C$3),"&lt;&gt;",$C$3),Consolidado!$AW:$AW,"S")</f>
        <v>0</v>
      </c>
      <c r="D109" s="36">
        <f>COUNTIFS(Consolidado!$D:$D,$B109,Consolidado!$AN:$AN,IF(ISBLANK($C$2),"&lt;&gt;",$C$2),Consolidado!$AO:$AO,$C$6,Consolidado!$AP:$AP,D$102,Consolidado!$C:$C,IF(ISBLANK($C$3),"&lt;&gt;",$C$3),Consolidado!$AW:$AW,"S")</f>
        <v>0</v>
      </c>
      <c r="E109" s="36">
        <f>COUNTIFS(Consolidado!$D:$D,$B109,Consolidado!$AN:$AN,IF(ISBLANK($C$2),"&lt;&gt;",$C$2),Consolidado!$AO:$AO,$C$6,Consolidado!$AP:$AP,E$102,Consolidado!$C:$C,IF(ISBLANK($C$3),"&lt;&gt;",$C$3),Consolidado!$AW:$AW,"S")</f>
        <v>0</v>
      </c>
      <c r="F109" s="36">
        <f>COUNTIFS(Consolidado!$D:$D,$B109,Consolidado!$AN:$AN,IF(ISBLANK($C$2),"&lt;&gt;",$C$2),Consolidado!$AO:$AO,$C$6,Consolidado!$AP:$AP,F$102,Consolidado!$C:$C,IF(ISBLANK($C$3),"&lt;&gt;",$C$3),Consolidado!$AW:$AW,"S")</f>
        <v>0</v>
      </c>
      <c r="G109" s="36">
        <f>COUNTIFS(Consolidado!$D:$D,$B109,Consolidado!$AN:$AN,IF(ISBLANK($C$2),"&lt;&gt;",$C$2),Consolidado!$AO:$AO,$C$6,Consolidado!$AP:$AP,G$102,Consolidado!$C:$C,IF(ISBLANK($C$3),"&lt;&gt;",$C$3),Consolidado!$AW:$AW,"S")</f>
        <v>0</v>
      </c>
      <c r="H109" s="44">
        <f t="shared" si="15"/>
        <v>0</v>
      </c>
      <c r="K109" s="203" t="s">
        <v>936</v>
      </c>
      <c r="L109" s="79">
        <f>COUNTIFS(Consolidado!$D:$D,$K109,Consolidado!$AN:$AN,IF(ISBLANK($C$2),"&lt;&gt;",$C$2),Consolidado!$B:$B,"&lt;="&amp;Análise!$C$9,Consolidado!$B:$B,"&gt;="&amp;Análise!$C$8,Consolidado!$C:$C,IF(ISBLANK($C$3),"&lt;&gt;",$C$3),Consolidado!$AW:$AW,"S")</f>
        <v>0</v>
      </c>
    </row>
    <row r="110" spans="1:31" x14ac:dyDescent="0.3">
      <c r="B110" s="48" t="s">
        <v>882</v>
      </c>
      <c r="C110" s="39">
        <f>SUM(C103:C109)</f>
        <v>0</v>
      </c>
      <c r="D110" s="39">
        <f t="shared" ref="D110:G110" si="16">SUM(D103:D109)</f>
        <v>1</v>
      </c>
      <c r="E110" s="39">
        <f t="shared" si="16"/>
        <v>0</v>
      </c>
      <c r="F110" s="39">
        <f t="shared" si="16"/>
        <v>3</v>
      </c>
      <c r="G110" s="39">
        <f t="shared" si="16"/>
        <v>1</v>
      </c>
      <c r="H110" s="39">
        <f t="shared" si="15"/>
        <v>5</v>
      </c>
      <c r="K110" s="48" t="s">
        <v>882</v>
      </c>
      <c r="L110" s="39">
        <f>SUM(L103:L109)</f>
        <v>5</v>
      </c>
    </row>
  </sheetData>
  <mergeCells count="15">
    <mergeCell ref="B101:B102"/>
    <mergeCell ref="K101:K102"/>
    <mergeCell ref="L101:L102"/>
    <mergeCell ref="B13:B14"/>
    <mergeCell ref="K13:K14"/>
    <mergeCell ref="K23:K24"/>
    <mergeCell ref="K28:K29"/>
    <mergeCell ref="B53:B54"/>
    <mergeCell ref="B63:B64"/>
    <mergeCell ref="K53:K54"/>
    <mergeCell ref="L53:L54"/>
    <mergeCell ref="K63:K64"/>
    <mergeCell ref="L63:L64"/>
    <mergeCell ref="B44:B45"/>
    <mergeCell ref="H44:H4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49C737ED-AD8E-4231-A758-5640255C6A3E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sheetPr codeName="Planilha4"/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937</v>
      </c>
      <c r="AF1" s="15" t="s">
        <v>938</v>
      </c>
      <c r="AG1" s="16" t="s">
        <v>37</v>
      </c>
    </row>
    <row r="2" spans="1:33" x14ac:dyDescent="0.3">
      <c r="A2" s="17" t="s">
        <v>102</v>
      </c>
      <c r="B2" s="3"/>
      <c r="C2" s="3" t="s">
        <v>939</v>
      </c>
      <c r="D2" s="18" t="s">
        <v>940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59</v>
      </c>
      <c r="R2" s="20"/>
      <c r="S2" s="20"/>
      <c r="T2" s="20" t="s">
        <v>60</v>
      </c>
      <c r="U2" s="20" t="s">
        <v>61</v>
      </c>
      <c r="V2" s="20"/>
      <c r="W2" s="20"/>
      <c r="X2" s="20"/>
      <c r="Y2" s="20"/>
      <c r="Z2" s="3" t="s">
        <v>62</v>
      </c>
      <c r="AA2" s="20"/>
      <c r="AB2" s="3" t="s">
        <v>929</v>
      </c>
      <c r="AC2" s="3"/>
      <c r="AD2" s="3" t="s">
        <v>122</v>
      </c>
      <c r="AE2" s="3"/>
      <c r="AF2" s="3" t="s">
        <v>941</v>
      </c>
      <c r="AG2" s="17" t="s">
        <v>64</v>
      </c>
    </row>
    <row r="3" spans="1:33" x14ac:dyDescent="0.3">
      <c r="A3" s="17" t="s">
        <v>49</v>
      </c>
      <c r="B3" s="3"/>
      <c r="C3" s="3" t="s">
        <v>942</v>
      </c>
      <c r="D3" s="18" t="s">
        <v>609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892</v>
      </c>
      <c r="R3" s="3"/>
      <c r="S3" s="3"/>
      <c r="T3" s="3" t="s">
        <v>546</v>
      </c>
      <c r="U3" s="3" t="s">
        <v>690</v>
      </c>
      <c r="V3" s="3"/>
      <c r="W3" s="3"/>
      <c r="X3" s="3"/>
      <c r="Y3" s="3"/>
      <c r="Z3" s="3" t="s">
        <v>296</v>
      </c>
      <c r="AA3" s="3"/>
      <c r="AB3" s="3" t="s">
        <v>930</v>
      </c>
      <c r="AC3" s="3"/>
      <c r="AD3" s="3" t="s">
        <v>284</v>
      </c>
      <c r="AE3" s="3"/>
      <c r="AF3" s="3" t="s">
        <v>943</v>
      </c>
      <c r="AG3" s="17" t="s">
        <v>944</v>
      </c>
    </row>
    <row r="4" spans="1:33" x14ac:dyDescent="0.3">
      <c r="A4" s="3"/>
      <c r="B4" s="3"/>
      <c r="C4" s="3" t="s">
        <v>945</v>
      </c>
      <c r="D4" s="18" t="s">
        <v>934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894</v>
      </c>
      <c r="R4" s="3"/>
      <c r="S4" s="3"/>
      <c r="T4" s="3" t="s">
        <v>946</v>
      </c>
      <c r="U4" s="3"/>
      <c r="V4" s="3"/>
      <c r="W4" s="3"/>
      <c r="X4" s="3"/>
      <c r="Y4" s="3"/>
      <c r="Z4" s="3" t="s">
        <v>75</v>
      </c>
      <c r="AA4" s="3"/>
      <c r="AB4" s="21" t="s">
        <v>142</v>
      </c>
      <c r="AC4" s="3"/>
      <c r="AD4" s="3" t="s">
        <v>378</v>
      </c>
      <c r="AE4" s="3"/>
      <c r="AF4" s="3" t="s">
        <v>947</v>
      </c>
      <c r="AG4" s="17" t="s">
        <v>49</v>
      </c>
    </row>
    <row r="5" spans="1:33" x14ac:dyDescent="0.3">
      <c r="M5" s="1"/>
      <c r="O5" s="1"/>
      <c r="Q5" s="22" t="s">
        <v>896</v>
      </c>
      <c r="AB5" s="3" t="s">
        <v>75</v>
      </c>
      <c r="AF5" t="s">
        <v>948</v>
      </c>
    </row>
    <row r="6" spans="1:33" x14ac:dyDescent="0.3">
      <c r="M6" s="1"/>
      <c r="O6" s="1"/>
      <c r="Q6" s="23" t="s">
        <v>538</v>
      </c>
      <c r="AF6" t="s">
        <v>949</v>
      </c>
    </row>
    <row r="7" spans="1:33" x14ac:dyDescent="0.3">
      <c r="M7" s="1"/>
      <c r="O7" s="1"/>
      <c r="Q7" s="23" t="s">
        <v>899</v>
      </c>
      <c r="AF7" t="s">
        <v>950</v>
      </c>
    </row>
    <row r="8" spans="1:33" x14ac:dyDescent="0.3">
      <c r="M8" s="1"/>
      <c r="O8" s="1"/>
      <c r="Q8" s="23" t="s">
        <v>901</v>
      </c>
      <c r="AF8" t="s">
        <v>951</v>
      </c>
    </row>
    <row r="9" spans="1:33" x14ac:dyDescent="0.3">
      <c r="M9" s="1"/>
      <c r="O9" s="1"/>
      <c r="Q9" s="23" t="s">
        <v>902</v>
      </c>
      <c r="AF9" t="s">
        <v>952</v>
      </c>
    </row>
    <row r="10" spans="1:33" x14ac:dyDescent="0.3">
      <c r="M10" s="1"/>
      <c r="O10" s="1"/>
      <c r="Q10" s="23" t="s">
        <v>549</v>
      </c>
      <c r="AF10" t="s">
        <v>953</v>
      </c>
      <c r="AG10" t="s">
        <v>954</v>
      </c>
    </row>
    <row r="11" spans="1:33" x14ac:dyDescent="0.3">
      <c r="M11" s="1"/>
      <c r="O11" s="1"/>
      <c r="Q11" s="23" t="s">
        <v>545</v>
      </c>
      <c r="AF11" t="s">
        <v>955</v>
      </c>
    </row>
    <row r="12" spans="1:33" x14ac:dyDescent="0.3">
      <c r="M12" s="1"/>
      <c r="O12" s="1"/>
      <c r="Q12" s="23" t="s">
        <v>904</v>
      </c>
    </row>
    <row r="13" spans="1:33" x14ac:dyDescent="0.3">
      <c r="M13" s="1"/>
      <c r="O13" s="1"/>
      <c r="Q13" s="23" t="s">
        <v>905</v>
      </c>
    </row>
    <row r="14" spans="1:33" x14ac:dyDescent="0.3">
      <c r="M14" s="1"/>
      <c r="O14" s="1"/>
      <c r="Q14" s="23" t="s">
        <v>906</v>
      </c>
    </row>
    <row r="15" spans="1:33" x14ac:dyDescent="0.3">
      <c r="M15" s="1"/>
      <c r="O15" s="1"/>
      <c r="Q15" s="23" t="s">
        <v>84</v>
      </c>
    </row>
    <row r="16" spans="1:33" x14ac:dyDescent="0.3">
      <c r="M16" s="1"/>
      <c r="O16" s="1"/>
      <c r="Q16" s="23" t="s">
        <v>907</v>
      </c>
    </row>
    <row r="17" spans="13:33" x14ac:dyDescent="0.3">
      <c r="M17" s="1"/>
      <c r="O17" s="1"/>
      <c r="Q17" s="23" t="s">
        <v>908</v>
      </c>
      <c r="AF17" t="s">
        <v>956</v>
      </c>
    </row>
    <row r="18" spans="13:33" ht="43.2" x14ac:dyDescent="0.3">
      <c r="M18" s="1"/>
      <c r="O18" s="1"/>
      <c r="Q18" s="23" t="s">
        <v>909</v>
      </c>
      <c r="AF18" s="24" t="s">
        <v>938</v>
      </c>
      <c r="AG18" s="24" t="s">
        <v>957</v>
      </c>
    </row>
    <row r="19" spans="13:33" x14ac:dyDescent="0.3">
      <c r="M19" s="1"/>
      <c r="O19" s="1"/>
      <c r="Q19" s="23" t="s">
        <v>910</v>
      </c>
      <c r="AF19" t="s">
        <v>958</v>
      </c>
      <c r="AG19" t="s">
        <v>102</v>
      </c>
    </row>
    <row r="20" spans="13:33" x14ac:dyDescent="0.3">
      <c r="M20" s="1"/>
      <c r="O20" s="1"/>
      <c r="Q20" s="23" t="s">
        <v>71</v>
      </c>
      <c r="AF20" t="s">
        <v>959</v>
      </c>
      <c r="AG20" t="s">
        <v>49</v>
      </c>
    </row>
    <row r="21" spans="13:33" x14ac:dyDescent="0.3">
      <c r="M21" s="1"/>
      <c r="O21" s="1"/>
      <c r="Q21" s="23" t="s">
        <v>172</v>
      </c>
      <c r="AG21" t="s">
        <v>960</v>
      </c>
    </row>
    <row r="22" spans="13:33" x14ac:dyDescent="0.3">
      <c r="M22" s="1"/>
      <c r="O22" s="1"/>
      <c r="Q22" s="23" t="s">
        <v>911</v>
      </c>
    </row>
    <row r="23" spans="13:33" x14ac:dyDescent="0.3">
      <c r="M23" s="1"/>
      <c r="O23" s="1"/>
      <c r="Q23" s="23" t="s">
        <v>627</v>
      </c>
    </row>
    <row r="24" spans="13:33" x14ac:dyDescent="0.3">
      <c r="M24" s="1"/>
      <c r="O24" s="1"/>
      <c r="Q24" s="23" t="s">
        <v>689</v>
      </c>
    </row>
    <row r="25" spans="13:33" x14ac:dyDescent="0.3">
      <c r="M25" s="1"/>
      <c r="O25" s="1"/>
      <c r="Q25" s="23" t="s">
        <v>912</v>
      </c>
    </row>
    <row r="26" spans="13:33" x14ac:dyDescent="0.3">
      <c r="M26" s="1"/>
      <c r="O26" s="1"/>
      <c r="Q26" s="23" t="s">
        <v>913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 codeName="Planilha3">
    <tabColor rgb="FF7030A0"/>
  </sheetPr>
  <dimension ref="B1:AN170"/>
  <sheetViews>
    <sheetView showGridLines="0" topLeftCell="A41" workbookViewId="0">
      <selection activeCell="H46" sqref="H46:I46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2.5546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961</v>
      </c>
      <c r="G1" s="53"/>
      <c r="H1" s="154" t="s">
        <v>39</v>
      </c>
      <c r="I1" s="153" t="s">
        <v>962</v>
      </c>
      <c r="K1" s="71" t="s">
        <v>963</v>
      </c>
      <c r="L1" s="53"/>
      <c r="M1" s="54" t="s">
        <v>39</v>
      </c>
      <c r="N1" s="55" t="s">
        <v>964</v>
      </c>
      <c r="P1" s="157" t="s">
        <v>34</v>
      </c>
      <c r="R1" s="56" t="s">
        <v>965</v>
      </c>
      <c r="T1" s="74" t="s">
        <v>957</v>
      </c>
      <c r="V1" s="169" t="s">
        <v>16</v>
      </c>
      <c r="X1" s="167" t="s">
        <v>19</v>
      </c>
      <c r="Z1" s="222" t="s">
        <v>20</v>
      </c>
      <c r="AB1" s="165" t="s">
        <v>25</v>
      </c>
      <c r="AD1" s="163" t="s">
        <v>27</v>
      </c>
      <c r="AF1" s="163" t="s">
        <v>29</v>
      </c>
      <c r="AH1" s="160" t="s">
        <v>966</v>
      </c>
      <c r="AJ1" s="161" t="s">
        <v>37</v>
      </c>
      <c r="AL1" s="160" t="s">
        <v>38</v>
      </c>
      <c r="AN1" s="172" t="s">
        <v>0</v>
      </c>
    </row>
    <row r="2" spans="2:40" ht="15" thickBot="1" x14ac:dyDescent="0.35">
      <c r="B2" s="52" t="s">
        <v>967</v>
      </c>
      <c r="D2" s="147" t="s">
        <v>143</v>
      </c>
      <c r="F2" s="70" t="str" cm="1">
        <f t="array" ref="F2:F10">IF(COUNTIF(Consolidado!$AN:$AN,"Emagrecimento")&lt;&gt;0,_xlfn._xlws.FILTER($I$2:$I$54,$H$2:$H$54&lt;&gt;""),_xlfn._xlws.FILTER($I$2:$I$54,$H$2:$H$54="Outras"))</f>
        <v>Captado pela Amil/Call Center</v>
      </c>
      <c r="H2" s="79" t="s">
        <v>968</v>
      </c>
      <c r="I2" s="149" t="s">
        <v>51</v>
      </c>
      <c r="K2" s="57" t="str" cm="1">
        <f t="array" ref="K2:K45">IF(COUNTIF(Consolidado!$AN:$AN,"Emagrecimento")&lt;&gt;0,_xlfn._xlws.FILTER($N$2:$N$100,$M$2:$M$100&lt;&gt;""),_xlfn._xlws.FILTER($N$2:$N$100,$M$2:$M$100="Outras"))</f>
        <v>Amil Paulistano</v>
      </c>
      <c r="M2" s="79" t="s">
        <v>968</v>
      </c>
      <c r="N2" s="150" t="s">
        <v>379</v>
      </c>
      <c r="P2" s="158" t="s">
        <v>379</v>
      </c>
      <c r="R2" s="59" t="s">
        <v>969</v>
      </c>
      <c r="T2" s="85" t="s">
        <v>923</v>
      </c>
      <c r="V2" s="170" t="s">
        <v>59</v>
      </c>
      <c r="X2" s="168" t="s">
        <v>60</v>
      </c>
      <c r="Z2" s="168" t="s">
        <v>61</v>
      </c>
      <c r="AB2" s="147" t="s">
        <v>62</v>
      </c>
      <c r="AD2" s="158" t="s">
        <v>75</v>
      </c>
      <c r="AF2" s="158" t="s">
        <v>122</v>
      </c>
      <c r="AH2" s="158" t="s">
        <v>102</v>
      </c>
      <c r="AJ2" s="158" t="s">
        <v>64</v>
      </c>
      <c r="AL2" s="158" t="s">
        <v>102</v>
      </c>
      <c r="AN2" s="173" t="s">
        <v>102</v>
      </c>
    </row>
    <row r="3" spans="2:40" ht="15" thickBot="1" x14ac:dyDescent="0.35">
      <c r="D3" s="147" t="s">
        <v>558</v>
      </c>
      <c r="F3" s="68" t="str">
        <v>Casos Prioritário - E-mail</v>
      </c>
      <c r="H3" s="79" t="s">
        <v>968</v>
      </c>
      <c r="I3" s="149" t="s">
        <v>144</v>
      </c>
      <c r="K3" s="60" t="str">
        <v>Samaritano Higi</v>
      </c>
      <c r="M3" s="79" t="s">
        <v>968</v>
      </c>
      <c r="N3" s="150" t="s">
        <v>448</v>
      </c>
      <c r="P3" s="158" t="s">
        <v>448</v>
      </c>
      <c r="R3" s="59" t="s">
        <v>970</v>
      </c>
      <c r="T3" s="84" t="s">
        <v>91</v>
      </c>
      <c r="V3" s="170" t="s">
        <v>892</v>
      </c>
      <c r="X3" s="147" t="s">
        <v>546</v>
      </c>
      <c r="Z3" s="147" t="s">
        <v>690</v>
      </c>
      <c r="AB3" s="166" t="s">
        <v>296</v>
      </c>
      <c r="AD3" s="158" t="s">
        <v>929</v>
      </c>
      <c r="AF3" s="164" t="s">
        <v>284</v>
      </c>
      <c r="AH3" s="158" t="s">
        <v>49</v>
      </c>
      <c r="AJ3" s="162" t="s">
        <v>540</v>
      </c>
      <c r="AL3" s="158" t="s">
        <v>49</v>
      </c>
      <c r="AN3" s="173" t="s">
        <v>49</v>
      </c>
    </row>
    <row r="4" spans="2:40" x14ac:dyDescent="0.3">
      <c r="D4" s="147" t="s">
        <v>50</v>
      </c>
      <c r="F4" s="68" t="str">
        <v>Forms Total Care</v>
      </c>
      <c r="H4" s="79" t="s">
        <v>968</v>
      </c>
      <c r="I4" s="149" t="s">
        <v>609</v>
      </c>
      <c r="K4" s="60" t="str">
        <v>COI -RJ</v>
      </c>
      <c r="M4" s="79" t="s">
        <v>968</v>
      </c>
      <c r="N4" s="150" t="s">
        <v>918</v>
      </c>
      <c r="P4" s="158" t="s">
        <v>920</v>
      </c>
      <c r="R4" s="59" t="s">
        <v>971</v>
      </c>
      <c r="T4" s="84" t="s">
        <v>115</v>
      </c>
      <c r="V4" s="170" t="s">
        <v>894</v>
      </c>
      <c r="X4" s="166" t="s">
        <v>946</v>
      </c>
      <c r="Z4" s="59" t="s">
        <v>72</v>
      </c>
      <c r="AD4" s="158" t="s">
        <v>930</v>
      </c>
      <c r="AF4" s="164" t="s">
        <v>378</v>
      </c>
      <c r="AH4" s="159"/>
      <c r="AJ4" s="159" t="s">
        <v>944</v>
      </c>
      <c r="AL4" s="158" t="s">
        <v>972</v>
      </c>
      <c r="AN4" s="174"/>
    </row>
    <row r="5" spans="2:40" x14ac:dyDescent="0.3">
      <c r="D5" s="73" t="s">
        <v>1083</v>
      </c>
      <c r="F5" s="68" t="str">
        <v>GSC</v>
      </c>
      <c r="H5" s="79" t="s">
        <v>968</v>
      </c>
      <c r="I5" s="149" t="s">
        <v>933</v>
      </c>
      <c r="K5" s="60" t="str">
        <v>Interno - Amil Geral</v>
      </c>
      <c r="M5" s="79" t="s">
        <v>968</v>
      </c>
      <c r="N5" s="150" t="s">
        <v>181</v>
      </c>
      <c r="P5" s="159" t="s">
        <v>973</v>
      </c>
      <c r="R5" s="59" t="s">
        <v>974</v>
      </c>
      <c r="T5" s="86" t="s">
        <v>972</v>
      </c>
      <c r="V5" s="170" t="s">
        <v>896</v>
      </c>
      <c r="Z5" s="59"/>
      <c r="AD5" s="158" t="s">
        <v>142</v>
      </c>
      <c r="AF5" s="159"/>
      <c r="AH5" s="83"/>
      <c r="AJ5" s="159" t="s">
        <v>975</v>
      </c>
      <c r="AL5" s="159"/>
    </row>
    <row r="6" spans="2:40" x14ac:dyDescent="0.3">
      <c r="D6" s="73"/>
      <c r="F6" s="68" t="str">
        <v>Triggers</v>
      </c>
      <c r="H6" s="79" t="s">
        <v>968</v>
      </c>
      <c r="I6" s="149" t="s">
        <v>934</v>
      </c>
      <c r="K6" s="60" t="str">
        <v>Externo - Geral</v>
      </c>
      <c r="M6" s="79" t="s">
        <v>968</v>
      </c>
      <c r="N6" s="150" t="s">
        <v>307</v>
      </c>
      <c r="R6" s="59" t="s">
        <v>976</v>
      </c>
      <c r="V6" s="170" t="s">
        <v>538</v>
      </c>
      <c r="Z6" s="223"/>
      <c r="AD6" s="159" t="s">
        <v>539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968</v>
      </c>
      <c r="I7" s="149" t="s">
        <v>935</v>
      </c>
      <c r="K7" s="60" t="str">
        <v>Não Informou</v>
      </c>
      <c r="M7" s="79" t="s">
        <v>968</v>
      </c>
      <c r="N7" s="150" t="s">
        <v>90</v>
      </c>
      <c r="R7" s="59" t="s">
        <v>977</v>
      </c>
      <c r="V7" s="170" t="s">
        <v>899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968</v>
      </c>
      <c r="I8" s="149" t="s">
        <v>936</v>
      </c>
      <c r="K8" s="60" t="str">
        <v>CMDP - Centro Médico Dom Pedro</v>
      </c>
      <c r="M8" s="79" t="s">
        <v>968</v>
      </c>
      <c r="N8" s="150" t="s">
        <v>978</v>
      </c>
      <c r="R8" s="59" t="s">
        <v>65</v>
      </c>
      <c r="V8" s="170" t="s">
        <v>901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979</v>
      </c>
      <c r="I9" s="151" t="s">
        <v>980</v>
      </c>
      <c r="K9" s="60" t="str">
        <v>Outros</v>
      </c>
      <c r="M9" s="79" t="s">
        <v>968</v>
      </c>
      <c r="N9" s="150" t="s">
        <v>981</v>
      </c>
      <c r="R9" s="59" t="s">
        <v>982</v>
      </c>
      <c r="V9" s="170" t="s">
        <v>902</v>
      </c>
      <c r="Z9" s="1" t="s">
        <v>48</v>
      </c>
      <c r="AA9" s="1" t="s">
        <v>61</v>
      </c>
      <c r="AD9" s="83"/>
      <c r="AF9" s="83"/>
      <c r="AH9" s="83"/>
      <c r="AJ9" s="83"/>
      <c r="AL9" s="83"/>
    </row>
    <row r="10" spans="2:40" ht="15" thickBot="1" x14ac:dyDescent="0.35">
      <c r="D10" s="148"/>
      <c r="F10" s="68" t="str">
        <v>Captado Total Care</v>
      </c>
      <c r="H10" s="38" t="s">
        <v>979</v>
      </c>
      <c r="I10" s="152" t="s">
        <v>983</v>
      </c>
      <c r="K10" s="60" t="str">
        <v>Amil - Hospital Ipiranga Arujá - Ambulatório </v>
      </c>
      <c r="M10" s="79" t="s">
        <v>968</v>
      </c>
      <c r="N10" s="150" t="s">
        <v>984</v>
      </c>
      <c r="R10" s="59" t="s">
        <v>985</v>
      </c>
      <c r="V10" s="170" t="s">
        <v>549</v>
      </c>
      <c r="Z10" s="1" t="s">
        <v>48</v>
      </c>
      <c r="AA10" s="1" t="s">
        <v>690</v>
      </c>
      <c r="AD10" s="83"/>
      <c r="AF10" s="83"/>
      <c r="AJ10" s="83"/>
      <c r="AL10" s="83"/>
    </row>
    <row r="11" spans="2:40" x14ac:dyDescent="0.3">
      <c r="F11" s="68"/>
      <c r="H11" s="38" t="s">
        <v>979</v>
      </c>
      <c r="I11" s="152" t="s">
        <v>940</v>
      </c>
      <c r="K11" s="60" t="str">
        <v>Amil - Hospital Ipiranga Mogi - Ambulatório </v>
      </c>
      <c r="M11" s="79" t="s">
        <v>968</v>
      </c>
      <c r="N11" s="150" t="s">
        <v>986</v>
      </c>
      <c r="R11" s="59" t="s">
        <v>987</v>
      </c>
      <c r="V11" s="170" t="s">
        <v>545</v>
      </c>
      <c r="Z11" s="1" t="s">
        <v>61</v>
      </c>
      <c r="AA11" s="1" t="s">
        <v>61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979</v>
      </c>
      <c r="I12" s="152" t="s">
        <v>988</v>
      </c>
      <c r="K12" s="60" t="str">
        <v>Amil - Hospital Metropolitano - Centro Médico </v>
      </c>
      <c r="M12" s="79" t="s">
        <v>968</v>
      </c>
      <c r="N12" s="150" t="s">
        <v>989</v>
      </c>
      <c r="R12" s="59" t="s">
        <v>990</v>
      </c>
      <c r="V12" s="170" t="s">
        <v>904</v>
      </c>
      <c r="Z12" s="1" t="s">
        <v>690</v>
      </c>
      <c r="AA12" s="1" t="s">
        <v>690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979</v>
      </c>
      <c r="I13" s="152" t="s">
        <v>991</v>
      </c>
      <c r="K13" s="60" t="str">
        <v>Amil - Hospital Paulistano - Ambulatório </v>
      </c>
      <c r="M13" s="79" t="s">
        <v>968</v>
      </c>
      <c r="N13" s="150" t="s">
        <v>992</v>
      </c>
      <c r="R13" s="59" t="s">
        <v>993</v>
      </c>
      <c r="V13" s="170" t="s">
        <v>905</v>
      </c>
      <c r="Z13" s="1" t="s">
        <v>72</v>
      </c>
      <c r="AA13" s="1" t="s">
        <v>72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979</v>
      </c>
      <c r="I14" s="58" t="s">
        <v>994</v>
      </c>
      <c r="K14" s="60" t="str">
        <v>Amil - Ud Cubatão Sp - Hospital Da Luz </v>
      </c>
      <c r="M14" s="79" t="s">
        <v>968</v>
      </c>
      <c r="N14" s="150" t="s">
        <v>510</v>
      </c>
      <c r="R14" s="59" t="s">
        <v>979</v>
      </c>
      <c r="V14" s="170" t="s">
        <v>906</v>
      </c>
      <c r="Z14" s="1" t="s">
        <v>882</v>
      </c>
      <c r="AA14" s="1" t="s">
        <v>61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979</v>
      </c>
      <c r="I15" s="58" t="s">
        <v>995</v>
      </c>
      <c r="K15" s="60" t="str">
        <v>Amil - Unidade Avançada Carlos Chagas </v>
      </c>
      <c r="M15" s="79" t="s">
        <v>968</v>
      </c>
      <c r="N15" s="150" t="s">
        <v>996</v>
      </c>
      <c r="R15" s="59" t="s">
        <v>997</v>
      </c>
      <c r="V15" s="170" t="s">
        <v>84</v>
      </c>
      <c r="Z15" s="1" t="s">
        <v>882</v>
      </c>
      <c r="AA15" s="1" t="s">
        <v>690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979</v>
      </c>
      <c r="I16" s="58" t="s">
        <v>998</v>
      </c>
      <c r="K16" s="60" t="str">
        <v>Amil - Unidade Avançada Luz Butantã </v>
      </c>
      <c r="M16" s="79" t="s">
        <v>968</v>
      </c>
      <c r="N16" s="150" t="s">
        <v>111</v>
      </c>
      <c r="R16" s="59" t="s">
        <v>999</v>
      </c>
      <c r="V16" s="170" t="s">
        <v>907</v>
      </c>
      <c r="Z16" s="1" t="s">
        <v>882</v>
      </c>
      <c r="AA16" s="1" t="s">
        <v>72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979</v>
      </c>
      <c r="I17" s="58" t="s">
        <v>1000</v>
      </c>
      <c r="K17" s="60" t="str">
        <v>Amil - Unidade Avançada Luz Joao Dias </v>
      </c>
      <c r="M17" s="79" t="s">
        <v>968</v>
      </c>
      <c r="N17" s="150" t="s">
        <v>356</v>
      </c>
      <c r="R17" s="59" t="s">
        <v>1001</v>
      </c>
      <c r="V17" s="170" t="s">
        <v>908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979</v>
      </c>
      <c r="I18" s="58" t="s">
        <v>1002</v>
      </c>
      <c r="K18" s="60" t="str">
        <v>Amil - Unidade Avançada Vitoria </v>
      </c>
      <c r="M18" s="79" t="s">
        <v>968</v>
      </c>
      <c r="N18" s="150" t="s">
        <v>258</v>
      </c>
      <c r="R18" s="59" t="s">
        <v>1003</v>
      </c>
      <c r="V18" s="170" t="s">
        <v>909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979</v>
      </c>
      <c r="I19" s="58" t="s">
        <v>1004</v>
      </c>
      <c r="K19" s="60" t="str">
        <v>Amil Espaço Saúde - Ana Rosa </v>
      </c>
      <c r="M19" s="79" t="s">
        <v>968</v>
      </c>
      <c r="N19" s="150" t="s">
        <v>469</v>
      </c>
      <c r="R19" s="59" t="s">
        <v>1005</v>
      </c>
      <c r="V19" s="170" t="s">
        <v>910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979</v>
      </c>
      <c r="I20" s="58" t="s">
        <v>1006</v>
      </c>
      <c r="K20" s="60" t="str">
        <v>Amil Espaço Saúde - Botafogo </v>
      </c>
      <c r="M20" s="79" t="s">
        <v>968</v>
      </c>
      <c r="N20" s="150" t="s">
        <v>1007</v>
      </c>
      <c r="R20" s="59" t="s">
        <v>1008</v>
      </c>
      <c r="V20" s="170" t="s">
        <v>71</v>
      </c>
      <c r="Z20" s="1" t="str">
        <f>+[1]Análise!$C$4</f>
        <v>Total</v>
      </c>
      <c r="AA20" s="1" t="str" cm="1">
        <f t="array" ref="AA20:AA22">_xlfn._xlws.FILTER($AA$9:$AA$16,$Z$9:$Z$16=$Z$20)</f>
        <v>Ativo</v>
      </c>
      <c r="AB20" s="1" t="s">
        <v>1009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979</v>
      </c>
      <c r="I21" s="58" t="s">
        <v>1010</v>
      </c>
      <c r="K21" s="60" t="str">
        <v>Amil Espaço Saúde - Campo Grande </v>
      </c>
      <c r="M21" s="79" t="s">
        <v>968</v>
      </c>
      <c r="N21" s="150" t="s">
        <v>1011</v>
      </c>
      <c r="R21" s="59" t="s">
        <v>1012</v>
      </c>
      <c r="V21" s="170" t="s">
        <v>172</v>
      </c>
      <c r="AA21" s="1" t="str">
        <v>Inativo</v>
      </c>
      <c r="AB21" s="1" t="s">
        <v>1009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979</v>
      </c>
      <c r="I22" s="58" t="s">
        <v>1013</v>
      </c>
      <c r="K22" s="60" t="str">
        <v>Amil Espaço Saúde - Caxias </v>
      </c>
      <c r="M22" s="79" t="s">
        <v>968</v>
      </c>
      <c r="N22" s="150" t="s">
        <v>1014</v>
      </c>
      <c r="R22" s="59" t="s">
        <v>1015</v>
      </c>
      <c r="V22" s="170" t="s">
        <v>911</v>
      </c>
      <c r="AA22" s="1" t="str">
        <v>Fora da Linha</v>
      </c>
      <c r="AB22" s="1" t="s">
        <v>1009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979</v>
      </c>
      <c r="I23" s="58" t="s">
        <v>1016</v>
      </c>
      <c r="K23" s="60" t="str">
        <v>Amil Espaço Saúde - Guarulhos </v>
      </c>
      <c r="M23" s="79" t="s">
        <v>968</v>
      </c>
      <c r="N23" s="150" t="s">
        <v>880</v>
      </c>
      <c r="R23" s="59" t="s">
        <v>1017</v>
      </c>
      <c r="V23" s="170" t="s">
        <v>627</v>
      </c>
      <c r="AB23" s="1" t="s">
        <v>1009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979</v>
      </c>
      <c r="I24" s="58" t="s">
        <v>1018</v>
      </c>
      <c r="K24" s="60" t="str">
        <v>Amil Espaço Saúde - Niterói </v>
      </c>
      <c r="M24" s="79" t="s">
        <v>968</v>
      </c>
      <c r="N24" s="150" t="s">
        <v>1019</v>
      </c>
      <c r="R24" s="61" t="s">
        <v>1020</v>
      </c>
      <c r="V24" s="170" t="s">
        <v>689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979</v>
      </c>
      <c r="I25" s="58" t="s">
        <v>1021</v>
      </c>
      <c r="K25" s="60" t="str">
        <v>Amil Espaço Saúde - Nova Iguaçu </v>
      </c>
      <c r="M25" s="79" t="s">
        <v>968</v>
      </c>
      <c r="N25" s="150" t="s">
        <v>1022</v>
      </c>
      <c r="V25" s="170" t="s">
        <v>912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979</v>
      </c>
      <c r="I26" s="58" t="s">
        <v>1023</v>
      </c>
      <c r="K26" s="60" t="str">
        <v>Amil Espaço Saúde - Osasco </v>
      </c>
      <c r="M26" s="79" t="s">
        <v>968</v>
      </c>
      <c r="N26" s="150" t="s">
        <v>1024</v>
      </c>
      <c r="V26" s="171" t="s">
        <v>913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979</v>
      </c>
      <c r="I27" s="58" t="s">
        <v>1025</v>
      </c>
      <c r="K27" s="60" t="str">
        <v>Amil Espaço Saúde - Santana </v>
      </c>
      <c r="M27" s="79" t="s">
        <v>968</v>
      </c>
      <c r="N27" s="150" t="s">
        <v>1026</v>
      </c>
      <c r="Z27" s="1" t="s">
        <v>48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979</v>
      </c>
      <c r="I28" s="58" t="s">
        <v>1027</v>
      </c>
      <c r="K28" s="60" t="str">
        <v>Amil Espaço Saúde - Tijuca </v>
      </c>
      <c r="M28" s="79" t="s">
        <v>968</v>
      </c>
      <c r="N28" s="150" t="s">
        <v>1028</v>
      </c>
      <c r="Z28" s="1" t="s">
        <v>61</v>
      </c>
    </row>
    <row r="29" spans="6:38" x14ac:dyDescent="0.3">
      <c r="F29" s="68"/>
      <c r="H29" s="38" t="s">
        <v>979</v>
      </c>
      <c r="I29" s="58" t="s">
        <v>1029</v>
      </c>
      <c r="K29" s="60" t="str">
        <v>Amil Telemedicina </v>
      </c>
      <c r="M29" s="79" t="s">
        <v>968</v>
      </c>
      <c r="N29" s="150" t="s">
        <v>1030</v>
      </c>
      <c r="Z29" s="1" t="s">
        <v>690</v>
      </c>
    </row>
    <row r="30" spans="6:38" x14ac:dyDescent="0.3">
      <c r="F30" s="68"/>
      <c r="H30" s="38" t="s">
        <v>979</v>
      </c>
      <c r="I30" s="58" t="s">
        <v>1031</v>
      </c>
      <c r="K30" s="60" t="str">
        <v>Centro Médico Jardim </v>
      </c>
      <c r="M30" s="79" t="s">
        <v>968</v>
      </c>
      <c r="N30" s="150" t="s">
        <v>1032</v>
      </c>
      <c r="Z30" s="1" t="s">
        <v>72</v>
      </c>
    </row>
    <row r="31" spans="6:38" x14ac:dyDescent="0.3">
      <c r="F31" s="68"/>
      <c r="H31" s="38" t="s">
        <v>979</v>
      </c>
      <c r="I31" s="58" t="s">
        <v>1033</v>
      </c>
      <c r="K31" s="60" t="str">
        <v>Centro Médico Joao Azevedo - Sbc  II</v>
      </c>
      <c r="M31" s="79" t="s">
        <v>968</v>
      </c>
      <c r="N31" s="150" t="s">
        <v>1034</v>
      </c>
      <c r="Z31" s="1" t="s">
        <v>882</v>
      </c>
    </row>
    <row r="32" spans="6:38" x14ac:dyDescent="0.3">
      <c r="F32" s="68"/>
      <c r="H32" s="38" t="s">
        <v>979</v>
      </c>
      <c r="I32" s="58" t="s">
        <v>1035</v>
      </c>
      <c r="K32" s="60" t="str">
        <v>Centro Médico João Azevedo - Sbc I  </v>
      </c>
      <c r="M32" s="79" t="s">
        <v>968</v>
      </c>
      <c r="N32" s="150" t="s">
        <v>1036</v>
      </c>
    </row>
    <row r="33" spans="6:14" x14ac:dyDescent="0.3">
      <c r="F33" s="68"/>
      <c r="H33" s="38" t="s">
        <v>979</v>
      </c>
      <c r="I33" s="58" t="s">
        <v>1037</v>
      </c>
      <c r="K33" s="60" t="str">
        <v>Centro Médico Luiz Ferreira - Sbc </v>
      </c>
      <c r="M33" s="79" t="s">
        <v>968</v>
      </c>
      <c r="N33" s="150" t="s">
        <v>1038</v>
      </c>
    </row>
    <row r="34" spans="6:14" x14ac:dyDescent="0.3">
      <c r="F34" s="68"/>
      <c r="H34" s="38" t="s">
        <v>979</v>
      </c>
      <c r="I34" s="58" t="s">
        <v>1039</v>
      </c>
      <c r="K34" s="60" t="str">
        <v>Centro Médico - Samaritano Higienópolis </v>
      </c>
      <c r="M34" s="79" t="s">
        <v>968</v>
      </c>
      <c r="N34" s="150" t="s">
        <v>1040</v>
      </c>
    </row>
    <row r="35" spans="6:14" x14ac:dyDescent="0.3">
      <c r="F35" s="68"/>
      <c r="H35" s="38" t="s">
        <v>979</v>
      </c>
      <c r="I35" s="58" t="s">
        <v>1041</v>
      </c>
      <c r="K35" s="60" t="str">
        <v>Centro Médico Hospital São Lucas </v>
      </c>
      <c r="M35" s="79" t="s">
        <v>968</v>
      </c>
      <c r="N35" s="150" t="s">
        <v>1042</v>
      </c>
    </row>
    <row r="36" spans="6:14" x14ac:dyDescent="0.3">
      <c r="F36" s="68"/>
      <c r="H36" s="38" t="s">
        <v>979</v>
      </c>
      <c r="I36" s="58" t="s">
        <v>1043</v>
      </c>
      <c r="K36" s="60" t="str">
        <v>Hospital Alvorada Ambulatório Arapanés </v>
      </c>
      <c r="M36" s="79" t="s">
        <v>968</v>
      </c>
      <c r="N36" s="150" t="s">
        <v>1044</v>
      </c>
    </row>
    <row r="37" spans="6:14" x14ac:dyDescent="0.3">
      <c r="F37" s="68"/>
      <c r="H37" s="38" t="s">
        <v>979</v>
      </c>
      <c r="I37" s="58" t="s">
        <v>1045</v>
      </c>
      <c r="K37" s="60" t="str">
        <v>Hospital Alvorada Moema </v>
      </c>
      <c r="M37" s="79" t="s">
        <v>968</v>
      </c>
      <c r="N37" s="150" t="s">
        <v>106</v>
      </c>
    </row>
    <row r="38" spans="6:14" x14ac:dyDescent="0.3">
      <c r="F38" s="68"/>
      <c r="H38" s="38" t="s">
        <v>979</v>
      </c>
      <c r="I38" s="58" t="s">
        <v>1046</v>
      </c>
      <c r="K38" s="60" t="str">
        <v>Hospital Américas - Ambulatório </v>
      </c>
      <c r="M38" s="79" t="s">
        <v>968</v>
      </c>
      <c r="N38" s="150" t="s">
        <v>1047</v>
      </c>
    </row>
    <row r="39" spans="6:14" x14ac:dyDescent="0.3">
      <c r="F39" s="68"/>
      <c r="H39" s="38" t="s">
        <v>979</v>
      </c>
      <c r="I39" s="58" t="s">
        <v>1048</v>
      </c>
      <c r="K39" s="60" t="str">
        <v>Hospital Samaritano Paulista - Ambulatório </v>
      </c>
      <c r="M39" s="79" t="s">
        <v>968</v>
      </c>
      <c r="N39" s="150" t="s">
        <v>1049</v>
      </c>
    </row>
    <row r="40" spans="6:14" x14ac:dyDescent="0.3">
      <c r="F40" s="68"/>
      <c r="H40" s="38" t="s">
        <v>979</v>
      </c>
      <c r="I40" s="58" t="s">
        <v>1050</v>
      </c>
      <c r="K40" s="60" t="str">
        <v>Amil Espaço Saúde - Tatuapé</v>
      </c>
      <c r="M40" s="38" t="s">
        <v>979</v>
      </c>
      <c r="N40" s="58" t="s">
        <v>1051</v>
      </c>
    </row>
    <row r="41" spans="6:14" x14ac:dyDescent="0.3">
      <c r="F41" s="68"/>
      <c r="H41" s="38" t="s">
        <v>979</v>
      </c>
      <c r="I41" s="58" t="s">
        <v>1052</v>
      </c>
      <c r="K41" s="60" t="str">
        <v>Amil Espaço Saúde - Santo Amaro</v>
      </c>
      <c r="M41" s="38" t="s">
        <v>979</v>
      </c>
      <c r="N41" s="58" t="s">
        <v>1053</v>
      </c>
    </row>
    <row r="42" spans="6:14" x14ac:dyDescent="0.3">
      <c r="F42" s="68"/>
      <c r="H42" s="38" t="s">
        <v>979</v>
      </c>
      <c r="I42" s="58" t="s">
        <v>942</v>
      </c>
      <c r="K42" s="60" t="str">
        <v>Amil Espaço Saúde - Guarulhos</v>
      </c>
      <c r="M42" s="38" t="s">
        <v>979</v>
      </c>
      <c r="N42" s="58" t="s">
        <v>1054</v>
      </c>
    </row>
    <row r="43" spans="6:14" x14ac:dyDescent="0.3">
      <c r="F43" s="68"/>
      <c r="H43" s="38" t="s">
        <v>979</v>
      </c>
      <c r="I43" s="58" t="s">
        <v>1055</v>
      </c>
      <c r="K43" s="60" t="str">
        <v xml:space="preserve">Amil Espaço Saúde - Santa Helena </v>
      </c>
      <c r="M43" s="38" t="s">
        <v>979</v>
      </c>
      <c r="N43" s="58" t="s">
        <v>1056</v>
      </c>
    </row>
    <row r="44" spans="6:14" x14ac:dyDescent="0.3">
      <c r="F44" s="68"/>
      <c r="H44" s="38" t="s">
        <v>979</v>
      </c>
      <c r="I44" s="58" t="s">
        <v>1057</v>
      </c>
      <c r="K44" s="60" t="str">
        <v>Hospital Samaritano - Não Especificado</v>
      </c>
      <c r="M44" s="38" t="s">
        <v>979</v>
      </c>
      <c r="N44" s="58" t="s">
        <v>1058</v>
      </c>
    </row>
    <row r="45" spans="6:14" x14ac:dyDescent="0.3">
      <c r="F45" s="68"/>
      <c r="H45" s="38" t="s">
        <v>979</v>
      </c>
      <c r="I45" s="58" t="s">
        <v>1059</v>
      </c>
      <c r="K45" s="60" t="str">
        <v>SUS</v>
      </c>
      <c r="M45" s="38" t="s">
        <v>979</v>
      </c>
      <c r="N45" s="58" t="s">
        <v>1060</v>
      </c>
    </row>
    <row r="46" spans="6:14" x14ac:dyDescent="0.3">
      <c r="F46" s="68"/>
      <c r="H46" s="79" t="s">
        <v>968</v>
      </c>
      <c r="I46" s="149" t="s">
        <v>1061</v>
      </c>
      <c r="K46" s="60"/>
      <c r="M46" s="38" t="s">
        <v>979</v>
      </c>
      <c r="N46" s="58" t="s">
        <v>1062</v>
      </c>
    </row>
    <row r="47" spans="6:14" x14ac:dyDescent="0.3">
      <c r="F47" s="68"/>
      <c r="H47" s="38" t="s">
        <v>979</v>
      </c>
      <c r="I47" s="58" t="s">
        <v>1084</v>
      </c>
      <c r="K47" s="60"/>
      <c r="M47" s="38" t="s">
        <v>979</v>
      </c>
      <c r="N47" s="58" t="s">
        <v>1063</v>
      </c>
    </row>
    <row r="48" spans="6:14" x14ac:dyDescent="0.3">
      <c r="F48" s="68"/>
      <c r="H48" s="79" t="s">
        <v>968</v>
      </c>
      <c r="I48" s="149" t="s">
        <v>1084</v>
      </c>
      <c r="K48" s="60"/>
      <c r="M48" s="38" t="s">
        <v>979</v>
      </c>
      <c r="N48" s="58" t="s">
        <v>1064</v>
      </c>
    </row>
    <row r="49" spans="6:14" x14ac:dyDescent="0.3">
      <c r="F49" s="68"/>
      <c r="I49" s="62"/>
      <c r="K49" s="60"/>
      <c r="M49" s="38" t="s">
        <v>979</v>
      </c>
      <c r="N49" s="58" t="s">
        <v>1065</v>
      </c>
    </row>
    <row r="50" spans="6:14" x14ac:dyDescent="0.3">
      <c r="F50" s="68"/>
      <c r="I50" s="62"/>
      <c r="K50" s="60"/>
      <c r="M50" s="38" t="s">
        <v>979</v>
      </c>
      <c r="N50" s="58" t="s">
        <v>1066</v>
      </c>
    </row>
    <row r="51" spans="6:14" x14ac:dyDescent="0.3">
      <c r="F51" s="68"/>
      <c r="I51" s="62"/>
      <c r="K51" s="60"/>
      <c r="M51" s="38" t="s">
        <v>979</v>
      </c>
      <c r="N51" s="58" t="s">
        <v>1067</v>
      </c>
    </row>
    <row r="52" spans="6:14" x14ac:dyDescent="0.3">
      <c r="F52" s="68"/>
      <c r="I52" s="62"/>
      <c r="K52" s="60"/>
      <c r="M52" s="38" t="s">
        <v>979</v>
      </c>
      <c r="N52" s="58" t="s">
        <v>1068</v>
      </c>
    </row>
    <row r="53" spans="6:14" x14ac:dyDescent="0.3">
      <c r="F53" s="68"/>
      <c r="I53" s="62"/>
      <c r="K53" s="60"/>
      <c r="M53" s="38" t="s">
        <v>979</v>
      </c>
      <c r="N53" s="58" t="s">
        <v>1069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979</v>
      </c>
      <c r="N54" s="58" t="s">
        <v>1070</v>
      </c>
    </row>
    <row r="55" spans="6:14" ht="15" thickBot="1" x14ac:dyDescent="0.35">
      <c r="M55" s="155" t="s">
        <v>979</v>
      </c>
      <c r="N55" s="156" t="s">
        <v>978</v>
      </c>
    </row>
    <row r="56" spans="6:14" x14ac:dyDescent="0.3">
      <c r="M56" s="199" t="s">
        <v>968</v>
      </c>
      <c r="N56" s="200" t="s">
        <v>1071</v>
      </c>
    </row>
    <row r="57" spans="6:14" x14ac:dyDescent="0.3">
      <c r="M57" s="199" t="s">
        <v>968</v>
      </c>
      <c r="N57" s="200" t="s">
        <v>1072</v>
      </c>
    </row>
    <row r="58" spans="6:14" x14ac:dyDescent="0.3">
      <c r="M58" s="199" t="s">
        <v>968</v>
      </c>
      <c r="N58" s="200" t="s">
        <v>1073</v>
      </c>
    </row>
    <row r="59" spans="6:14" x14ac:dyDescent="0.3">
      <c r="M59" s="199" t="s">
        <v>968</v>
      </c>
      <c r="N59" s="201" t="s">
        <v>1074</v>
      </c>
    </row>
    <row r="60" spans="6:14" x14ac:dyDescent="0.3">
      <c r="M60" s="199" t="s">
        <v>968</v>
      </c>
      <c r="N60" s="202" t="s">
        <v>1075</v>
      </c>
    </row>
    <row r="61" spans="6:14" x14ac:dyDescent="0.3">
      <c r="M61" s="199" t="s">
        <v>968</v>
      </c>
      <c r="N61" s="202" t="s">
        <v>214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MODELO</vt:lpstr>
      <vt:lpstr>Lista Suspensa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Renata Cavalheiro</cp:lastModifiedBy>
  <cp:revision/>
  <dcterms:created xsi:type="dcterms:W3CDTF">2025-04-02T18:38:02Z</dcterms:created>
  <dcterms:modified xsi:type="dcterms:W3CDTF">2026-06-10T20:43:08Z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