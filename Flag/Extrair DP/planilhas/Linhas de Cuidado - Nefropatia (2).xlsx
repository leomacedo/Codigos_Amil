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563" documentId="8_{54F56F17-998D-4EF1-B2BB-9A8D7458E9B5}" xr6:coauthVersionLast="47" xr6:coauthVersionMax="47" xr10:uidLastSave="{37F4B0BD-2705-4C52-9BD7-C7EB0EB6EC54}"/>
  <bookViews>
    <workbookView xWindow="-108" yWindow="-108" windowWidth="23256" windowHeight="1389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Consolidado!$A$1:$AU$384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9" i="32" l="1"/>
  <c r="AN119" i="32"/>
  <c r="AO119" i="32"/>
  <c r="AP119" i="32"/>
  <c r="AU119" i="32"/>
  <c r="AM120" i="32"/>
  <c r="AN120" i="32"/>
  <c r="AO120" i="32"/>
  <c r="AP120" i="32"/>
  <c r="AU120" i="32"/>
  <c r="AM121" i="32"/>
  <c r="AN121" i="32"/>
  <c r="AO121" i="32"/>
  <c r="AP121" i="32"/>
  <c r="AU121" i="32"/>
  <c r="AM122" i="32"/>
  <c r="AN122" i="32"/>
  <c r="AO122" i="32"/>
  <c r="AP122" i="32"/>
  <c r="AU122" i="32"/>
  <c r="AM123" i="32"/>
  <c r="AN123" i="32"/>
  <c r="AO123" i="32"/>
  <c r="AP123" i="32"/>
  <c r="AU123" i="32"/>
  <c r="AM124" i="32"/>
  <c r="AN124" i="32"/>
  <c r="AO124" i="32"/>
  <c r="AP124" i="32"/>
  <c r="AU124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29" i="32"/>
  <c r="AN129" i="32"/>
  <c r="AO129" i="32"/>
  <c r="AP129" i="32"/>
  <c r="AU129" i="32"/>
  <c r="AM130" i="32"/>
  <c r="AN130" i="32"/>
  <c r="AO130" i="32"/>
  <c r="AP130" i="32"/>
  <c r="AU130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58" i="32"/>
  <c r="AN58" i="32"/>
  <c r="AO58" i="32"/>
  <c r="AP58" i="32"/>
  <c r="AU58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G105" i="54" s="1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241" i="32"/>
  <c r="AN241" i="32"/>
  <c r="AO241" i="32"/>
  <c r="AP241" i="32"/>
  <c r="AU241" i="32"/>
  <c r="AM242" i="32"/>
  <c r="AN242" i="32"/>
  <c r="AO242" i="32"/>
  <c r="AP242" i="32"/>
  <c r="AU242" i="32"/>
  <c r="AM243" i="32"/>
  <c r="AN243" i="32"/>
  <c r="AO243" i="32"/>
  <c r="AP243" i="32"/>
  <c r="AU243" i="32"/>
  <c r="AM244" i="32"/>
  <c r="AN244" i="32"/>
  <c r="AO244" i="32"/>
  <c r="AP244" i="32"/>
  <c r="AU244" i="32"/>
  <c r="AM245" i="32"/>
  <c r="AN245" i="32"/>
  <c r="AO245" i="32"/>
  <c r="AP245" i="32"/>
  <c r="AU245" i="32"/>
  <c r="AM246" i="32"/>
  <c r="AN246" i="32"/>
  <c r="AO246" i="32"/>
  <c r="AP246" i="32"/>
  <c r="AU246" i="32"/>
  <c r="AM247" i="32"/>
  <c r="AN247" i="32"/>
  <c r="AO247" i="32"/>
  <c r="AP247" i="32"/>
  <c r="AU247" i="32"/>
  <c r="AM248" i="32"/>
  <c r="AN248" i="32"/>
  <c r="AO248" i="32"/>
  <c r="AP248" i="32"/>
  <c r="AU248" i="32"/>
  <c r="AM249" i="32"/>
  <c r="AN249" i="32"/>
  <c r="AO249" i="32"/>
  <c r="AP249" i="32"/>
  <c r="AU249" i="32"/>
  <c r="AM250" i="32"/>
  <c r="AN250" i="32"/>
  <c r="AO250" i="32"/>
  <c r="AP250" i="32"/>
  <c r="AU250" i="32"/>
  <c r="AM251" i="32"/>
  <c r="AN251" i="32"/>
  <c r="AO251" i="32"/>
  <c r="AP251" i="32"/>
  <c r="AU251" i="32"/>
  <c r="AM252" i="32"/>
  <c r="AN252" i="32"/>
  <c r="AO252" i="32"/>
  <c r="AP252" i="32"/>
  <c r="AU252" i="32"/>
  <c r="AM253" i="32"/>
  <c r="AN253" i="32"/>
  <c r="AO253" i="32"/>
  <c r="AP253" i="32"/>
  <c r="AU253" i="32"/>
  <c r="AM254" i="32"/>
  <c r="AN254" i="32"/>
  <c r="AO254" i="32"/>
  <c r="AP254" i="32"/>
  <c r="AU254" i="32"/>
  <c r="AM255" i="32"/>
  <c r="AN255" i="32"/>
  <c r="AO255" i="32"/>
  <c r="AP255" i="32"/>
  <c r="AU255" i="32"/>
  <c r="AM256" i="32"/>
  <c r="AN256" i="32"/>
  <c r="AO256" i="32"/>
  <c r="AP256" i="32"/>
  <c r="AU256" i="32"/>
  <c r="AM257" i="32"/>
  <c r="AN257" i="32"/>
  <c r="AO257" i="32"/>
  <c r="AP257" i="32"/>
  <c r="AU257" i="32"/>
  <c r="AM258" i="32"/>
  <c r="AN258" i="32"/>
  <c r="AO258" i="32"/>
  <c r="AP258" i="32"/>
  <c r="AU258" i="32"/>
  <c r="AM259" i="32"/>
  <c r="AN259" i="32"/>
  <c r="AO259" i="32"/>
  <c r="AP259" i="32"/>
  <c r="AU259" i="32"/>
  <c r="AM260" i="32"/>
  <c r="AN260" i="32"/>
  <c r="AO260" i="32"/>
  <c r="AP260" i="32"/>
  <c r="AU260" i="32"/>
  <c r="AM261" i="32"/>
  <c r="AN261" i="32"/>
  <c r="AO261" i="32"/>
  <c r="AP261" i="32"/>
  <c r="AU261" i="32"/>
  <c r="AM262" i="32"/>
  <c r="AN262" i="32"/>
  <c r="AO262" i="32"/>
  <c r="AP262" i="32"/>
  <c r="AU262" i="32"/>
  <c r="AM263" i="32"/>
  <c r="AN263" i="32"/>
  <c r="AO263" i="32"/>
  <c r="AP263" i="32"/>
  <c r="AU263" i="32"/>
  <c r="AM264" i="32"/>
  <c r="AN264" i="32"/>
  <c r="AO264" i="32"/>
  <c r="AP264" i="32"/>
  <c r="AU264" i="32"/>
  <c r="AM265" i="32"/>
  <c r="AN265" i="32"/>
  <c r="AO265" i="32"/>
  <c r="AP265" i="32"/>
  <c r="AU265" i="32"/>
  <c r="AM266" i="32"/>
  <c r="AN266" i="32"/>
  <c r="AO266" i="32"/>
  <c r="AP266" i="32"/>
  <c r="AU266" i="32"/>
  <c r="AM267" i="32"/>
  <c r="AN267" i="32"/>
  <c r="AO267" i="32"/>
  <c r="AP267" i="32"/>
  <c r="AU267" i="32"/>
  <c r="AM268" i="32"/>
  <c r="AN268" i="32"/>
  <c r="AO268" i="32"/>
  <c r="AP268" i="32"/>
  <c r="AU268" i="32"/>
  <c r="AM269" i="32"/>
  <c r="AN269" i="32"/>
  <c r="AO269" i="32"/>
  <c r="AP269" i="32"/>
  <c r="AU269" i="32"/>
  <c r="AM270" i="32"/>
  <c r="AN270" i="32"/>
  <c r="AO270" i="32"/>
  <c r="AP270" i="32"/>
  <c r="AU270" i="32"/>
  <c r="AM271" i="32"/>
  <c r="AN271" i="32"/>
  <c r="AO271" i="32"/>
  <c r="AP271" i="32"/>
  <c r="AU271" i="32"/>
  <c r="AM272" i="32"/>
  <c r="AN272" i="32"/>
  <c r="AO272" i="32"/>
  <c r="AP272" i="32"/>
  <c r="AU272" i="32"/>
  <c r="AM273" i="32"/>
  <c r="AN273" i="32"/>
  <c r="AO273" i="32"/>
  <c r="AP273" i="32"/>
  <c r="AU273" i="32"/>
  <c r="AM274" i="32"/>
  <c r="AN274" i="32"/>
  <c r="AO274" i="32"/>
  <c r="AP274" i="32"/>
  <c r="AU274" i="32"/>
  <c r="AM275" i="32"/>
  <c r="AN275" i="32"/>
  <c r="AO275" i="32"/>
  <c r="AP275" i="32"/>
  <c r="AU275" i="32"/>
  <c r="AM276" i="32"/>
  <c r="AN276" i="32"/>
  <c r="AO276" i="32"/>
  <c r="AP276" i="32"/>
  <c r="AU276" i="32"/>
  <c r="AM277" i="32"/>
  <c r="AN277" i="32"/>
  <c r="AO277" i="32"/>
  <c r="AP277" i="32"/>
  <c r="AU277" i="32"/>
  <c r="AM278" i="32"/>
  <c r="AN278" i="32"/>
  <c r="AO278" i="32"/>
  <c r="AP278" i="32"/>
  <c r="AU278" i="32"/>
  <c r="AM279" i="32"/>
  <c r="AN279" i="32"/>
  <c r="AO279" i="32"/>
  <c r="AP279" i="32"/>
  <c r="AU279" i="32"/>
  <c r="AM280" i="32"/>
  <c r="AN280" i="32"/>
  <c r="AO280" i="32"/>
  <c r="AP280" i="32"/>
  <c r="AU280" i="32"/>
  <c r="AM281" i="32"/>
  <c r="AN281" i="32"/>
  <c r="AO281" i="32"/>
  <c r="AP281" i="32"/>
  <c r="AU281" i="32"/>
  <c r="AM282" i="32"/>
  <c r="AN282" i="32"/>
  <c r="AO282" i="32"/>
  <c r="AP282" i="32"/>
  <c r="AU282" i="32"/>
  <c r="AM283" i="32"/>
  <c r="AN283" i="32"/>
  <c r="AO283" i="32"/>
  <c r="AP283" i="32"/>
  <c r="AU283" i="32"/>
  <c r="AM284" i="32"/>
  <c r="AN284" i="32"/>
  <c r="AO284" i="32"/>
  <c r="AP284" i="32"/>
  <c r="AU284" i="32"/>
  <c r="AM285" i="32"/>
  <c r="AN285" i="32"/>
  <c r="AO285" i="32"/>
  <c r="AP285" i="32"/>
  <c r="AU285" i="32"/>
  <c r="AM286" i="32"/>
  <c r="AN286" i="32"/>
  <c r="AO286" i="32"/>
  <c r="AP286" i="32"/>
  <c r="AU286" i="32"/>
  <c r="AM287" i="32"/>
  <c r="AN287" i="32"/>
  <c r="AO287" i="32"/>
  <c r="AP287" i="32"/>
  <c r="AU287" i="32"/>
  <c r="AM288" i="32"/>
  <c r="AN288" i="32"/>
  <c r="AO288" i="32"/>
  <c r="AP288" i="32"/>
  <c r="AU288" i="32"/>
  <c r="AM289" i="32"/>
  <c r="AN289" i="32"/>
  <c r="AO289" i="32"/>
  <c r="AP289" i="32"/>
  <c r="AU289" i="32"/>
  <c r="AM290" i="32"/>
  <c r="AN290" i="32"/>
  <c r="AO290" i="32"/>
  <c r="AP290" i="32"/>
  <c r="AU290" i="32"/>
  <c r="AM291" i="32"/>
  <c r="AN291" i="32"/>
  <c r="AO291" i="32"/>
  <c r="AP291" i="32"/>
  <c r="AU291" i="32"/>
  <c r="AM292" i="32"/>
  <c r="AN292" i="32"/>
  <c r="AO292" i="32"/>
  <c r="AP292" i="32"/>
  <c r="AU292" i="32"/>
  <c r="AM293" i="32"/>
  <c r="AN293" i="32"/>
  <c r="AO293" i="32"/>
  <c r="AP293" i="32"/>
  <c r="AU293" i="32"/>
  <c r="AM294" i="32"/>
  <c r="AN294" i="32"/>
  <c r="AO294" i="32"/>
  <c r="AP294" i="32"/>
  <c r="AU294" i="32"/>
  <c r="AM295" i="32"/>
  <c r="AN295" i="32"/>
  <c r="AO295" i="32"/>
  <c r="AP295" i="32"/>
  <c r="AU295" i="32"/>
  <c r="AM296" i="32"/>
  <c r="AN296" i="32"/>
  <c r="AO296" i="32"/>
  <c r="AP296" i="32"/>
  <c r="AU296" i="32"/>
  <c r="AM297" i="32"/>
  <c r="AN297" i="32"/>
  <c r="AO297" i="32"/>
  <c r="AP297" i="32"/>
  <c r="AU297" i="32"/>
  <c r="AM298" i="32"/>
  <c r="AN298" i="32"/>
  <c r="AO298" i="32"/>
  <c r="AP298" i="32"/>
  <c r="AU298" i="32"/>
  <c r="AM299" i="32"/>
  <c r="AN299" i="32"/>
  <c r="AO299" i="32"/>
  <c r="AP299" i="32"/>
  <c r="AU299" i="32"/>
  <c r="AM300" i="32"/>
  <c r="AN300" i="32"/>
  <c r="AO300" i="32"/>
  <c r="AP300" i="32"/>
  <c r="AU300" i="32"/>
  <c r="AM301" i="32"/>
  <c r="AN301" i="32"/>
  <c r="AO301" i="32"/>
  <c r="AP301" i="32"/>
  <c r="AU301" i="32"/>
  <c r="AM302" i="32"/>
  <c r="AN302" i="32"/>
  <c r="AO302" i="32"/>
  <c r="AP302" i="32"/>
  <c r="AU302" i="32"/>
  <c r="AM303" i="32"/>
  <c r="AN303" i="32"/>
  <c r="AO303" i="32"/>
  <c r="AP303" i="32"/>
  <c r="AU303" i="32"/>
  <c r="AM304" i="32"/>
  <c r="AN304" i="32"/>
  <c r="AO304" i="32"/>
  <c r="AP304" i="32"/>
  <c r="AU304" i="32"/>
  <c r="AM305" i="32"/>
  <c r="AN305" i="32"/>
  <c r="AO305" i="32"/>
  <c r="AP305" i="32"/>
  <c r="AU305" i="32"/>
  <c r="AM306" i="32"/>
  <c r="AN306" i="32"/>
  <c r="AO306" i="32"/>
  <c r="AP306" i="32"/>
  <c r="AU306" i="32"/>
  <c r="AM307" i="32"/>
  <c r="AN307" i="32"/>
  <c r="AO307" i="32"/>
  <c r="AP307" i="32"/>
  <c r="AU307" i="32"/>
  <c r="AM308" i="32"/>
  <c r="AN308" i="32"/>
  <c r="AO308" i="32"/>
  <c r="AP308" i="32"/>
  <c r="AU308" i="32"/>
  <c r="AM309" i="32"/>
  <c r="AN309" i="32"/>
  <c r="AO309" i="32"/>
  <c r="AP309" i="32"/>
  <c r="AU309" i="32"/>
  <c r="AM310" i="32"/>
  <c r="AN310" i="32"/>
  <c r="AO310" i="32"/>
  <c r="AP310" i="32"/>
  <c r="AU310" i="32"/>
  <c r="AM311" i="32"/>
  <c r="AN311" i="32"/>
  <c r="AO311" i="32"/>
  <c r="AP311" i="32"/>
  <c r="AU311" i="32"/>
  <c r="AM312" i="32"/>
  <c r="AN312" i="32"/>
  <c r="AO312" i="32"/>
  <c r="AP312" i="32"/>
  <c r="AU312" i="32"/>
  <c r="AM313" i="32"/>
  <c r="AN313" i="32"/>
  <c r="AO313" i="32"/>
  <c r="AP313" i="32"/>
  <c r="AU313" i="32"/>
  <c r="AM314" i="32"/>
  <c r="AN314" i="32"/>
  <c r="AO314" i="32"/>
  <c r="AP314" i="32"/>
  <c r="AU314" i="32"/>
  <c r="AM315" i="32"/>
  <c r="AN315" i="32"/>
  <c r="AO315" i="32"/>
  <c r="AP315" i="32"/>
  <c r="AU315" i="32"/>
  <c r="AM316" i="32"/>
  <c r="AN316" i="32"/>
  <c r="AO316" i="32"/>
  <c r="AP316" i="32"/>
  <c r="AU316" i="32"/>
  <c r="AM317" i="32"/>
  <c r="AN317" i="32"/>
  <c r="AO317" i="32"/>
  <c r="AP317" i="32"/>
  <c r="AU317" i="32"/>
  <c r="AM318" i="32"/>
  <c r="AN318" i="32"/>
  <c r="AO318" i="32"/>
  <c r="AP318" i="32"/>
  <c r="AU318" i="32"/>
  <c r="AM319" i="32"/>
  <c r="AN319" i="32"/>
  <c r="AO319" i="32"/>
  <c r="AP319" i="32"/>
  <c r="AU319" i="32"/>
  <c r="AM320" i="32"/>
  <c r="AN320" i="32"/>
  <c r="AO320" i="32"/>
  <c r="AP320" i="32"/>
  <c r="AU320" i="32"/>
  <c r="AM321" i="32"/>
  <c r="AN321" i="32"/>
  <c r="AO321" i="32"/>
  <c r="AP321" i="32"/>
  <c r="AU321" i="32"/>
  <c r="AM322" i="32"/>
  <c r="AN322" i="32"/>
  <c r="AO322" i="32"/>
  <c r="AP322" i="32"/>
  <c r="AU322" i="32"/>
  <c r="AM323" i="32"/>
  <c r="AN323" i="32"/>
  <c r="AO323" i="32"/>
  <c r="AP323" i="32"/>
  <c r="AU323" i="32"/>
  <c r="AM324" i="32"/>
  <c r="AN324" i="32"/>
  <c r="AO324" i="32"/>
  <c r="AP324" i="32"/>
  <c r="AU324" i="32"/>
  <c r="AM325" i="32"/>
  <c r="AN325" i="32"/>
  <c r="AO325" i="32"/>
  <c r="AP325" i="32"/>
  <c r="AU325" i="32"/>
  <c r="AM326" i="32"/>
  <c r="AN326" i="32"/>
  <c r="AO326" i="32"/>
  <c r="AP326" i="32"/>
  <c r="AU326" i="32"/>
  <c r="AM327" i="32"/>
  <c r="AN327" i="32"/>
  <c r="AO327" i="32"/>
  <c r="AP327" i="32"/>
  <c r="AU327" i="32"/>
  <c r="AM328" i="32"/>
  <c r="AN328" i="32"/>
  <c r="AO328" i="32"/>
  <c r="AP328" i="32"/>
  <c r="AU328" i="32"/>
  <c r="AM329" i="32"/>
  <c r="AN329" i="32"/>
  <c r="AO329" i="32"/>
  <c r="AP329" i="32"/>
  <c r="AU329" i="32"/>
  <c r="AM330" i="32"/>
  <c r="AN330" i="32"/>
  <c r="AO330" i="32"/>
  <c r="AP330" i="32"/>
  <c r="AU330" i="32"/>
  <c r="AM331" i="32"/>
  <c r="AN331" i="32"/>
  <c r="AO331" i="32"/>
  <c r="AP331" i="32"/>
  <c r="AU331" i="32"/>
  <c r="AM332" i="32"/>
  <c r="AN332" i="32"/>
  <c r="AO332" i="32"/>
  <c r="AP332" i="32"/>
  <c r="AU332" i="32"/>
  <c r="AM333" i="32"/>
  <c r="AN333" i="32"/>
  <c r="AO333" i="32"/>
  <c r="AP333" i="32"/>
  <c r="AU333" i="32"/>
  <c r="AM334" i="32"/>
  <c r="AN334" i="32"/>
  <c r="AO334" i="32"/>
  <c r="AP334" i="32"/>
  <c r="AU334" i="32"/>
  <c r="AM335" i="32"/>
  <c r="AN335" i="32"/>
  <c r="AO335" i="32"/>
  <c r="AP335" i="32"/>
  <c r="AU335" i="32"/>
  <c r="AM336" i="32"/>
  <c r="AN336" i="32"/>
  <c r="AO336" i="32"/>
  <c r="AP336" i="32"/>
  <c r="AU336" i="32"/>
  <c r="AM337" i="32"/>
  <c r="AN337" i="32"/>
  <c r="AO337" i="32"/>
  <c r="AP337" i="32"/>
  <c r="AU337" i="32"/>
  <c r="AM338" i="32"/>
  <c r="AN338" i="32"/>
  <c r="AO338" i="32"/>
  <c r="AP338" i="32"/>
  <c r="AU338" i="32"/>
  <c r="AM339" i="32"/>
  <c r="AN339" i="32"/>
  <c r="AO339" i="32"/>
  <c r="AP339" i="32"/>
  <c r="AU339" i="32"/>
  <c r="AM340" i="32"/>
  <c r="AN340" i="32"/>
  <c r="AO340" i="32"/>
  <c r="AP340" i="32"/>
  <c r="AU340" i="32"/>
  <c r="AM341" i="32"/>
  <c r="AN341" i="32"/>
  <c r="AO341" i="32"/>
  <c r="AP341" i="32"/>
  <c r="AU341" i="32"/>
  <c r="AM342" i="32"/>
  <c r="AN342" i="32"/>
  <c r="AO342" i="32"/>
  <c r="AP342" i="32"/>
  <c r="AU342" i="32"/>
  <c r="AM343" i="32"/>
  <c r="AN343" i="32"/>
  <c r="AO343" i="32"/>
  <c r="AP343" i="32"/>
  <c r="AU343" i="32"/>
  <c r="AM344" i="32"/>
  <c r="AN344" i="32"/>
  <c r="AO344" i="32"/>
  <c r="AP344" i="32"/>
  <c r="AU344" i="32"/>
  <c r="AM345" i="32"/>
  <c r="AN345" i="32"/>
  <c r="AO345" i="32"/>
  <c r="AP345" i="32"/>
  <c r="AU345" i="32"/>
  <c r="AM346" i="32"/>
  <c r="AN346" i="32"/>
  <c r="AO346" i="32"/>
  <c r="AP346" i="32"/>
  <c r="AU346" i="32"/>
  <c r="AM347" i="32"/>
  <c r="AN347" i="32"/>
  <c r="AO347" i="32"/>
  <c r="AP347" i="32"/>
  <c r="AU347" i="32"/>
  <c r="AM348" i="32"/>
  <c r="AN348" i="32"/>
  <c r="AO348" i="32"/>
  <c r="AP348" i="32"/>
  <c r="AU348" i="32"/>
  <c r="AM349" i="32"/>
  <c r="AN349" i="32"/>
  <c r="AO349" i="32"/>
  <c r="AP349" i="32"/>
  <c r="AU349" i="32"/>
  <c r="AM350" i="32"/>
  <c r="AN350" i="32"/>
  <c r="AO350" i="32"/>
  <c r="AP350" i="32"/>
  <c r="AU350" i="32"/>
  <c r="AM351" i="32"/>
  <c r="AN351" i="32"/>
  <c r="AO351" i="32"/>
  <c r="AP351" i="32"/>
  <c r="AU351" i="32"/>
  <c r="AM352" i="32"/>
  <c r="AN352" i="32"/>
  <c r="AO352" i="32"/>
  <c r="AP352" i="32"/>
  <c r="AU352" i="32"/>
  <c r="AM353" i="32"/>
  <c r="AN353" i="32"/>
  <c r="AO353" i="32"/>
  <c r="AP353" i="32"/>
  <c r="AU353" i="32"/>
  <c r="AM354" i="32"/>
  <c r="AN354" i="32"/>
  <c r="AO354" i="32"/>
  <c r="AP354" i="32"/>
  <c r="AU354" i="32"/>
  <c r="AM355" i="32"/>
  <c r="AN355" i="32"/>
  <c r="AO355" i="32"/>
  <c r="AP355" i="32"/>
  <c r="AU355" i="32"/>
  <c r="AM356" i="32"/>
  <c r="AN356" i="32"/>
  <c r="AO356" i="32"/>
  <c r="AP356" i="32"/>
  <c r="AU356" i="32"/>
  <c r="AM357" i="32"/>
  <c r="AN357" i="32"/>
  <c r="AO357" i="32"/>
  <c r="AP357" i="32"/>
  <c r="AU357" i="32"/>
  <c r="AM358" i="32"/>
  <c r="AN358" i="32"/>
  <c r="AO358" i="32"/>
  <c r="AP358" i="32"/>
  <c r="AU358" i="32"/>
  <c r="AM359" i="32"/>
  <c r="AN359" i="32"/>
  <c r="AO359" i="32"/>
  <c r="AP359" i="32"/>
  <c r="AU359" i="32"/>
  <c r="AM360" i="32"/>
  <c r="AN360" i="32"/>
  <c r="AO360" i="32"/>
  <c r="AP360" i="32"/>
  <c r="AU360" i="32"/>
  <c r="AM361" i="32"/>
  <c r="AN361" i="32"/>
  <c r="AO361" i="32"/>
  <c r="AP361" i="32"/>
  <c r="AU361" i="32"/>
  <c r="AM362" i="32"/>
  <c r="AN362" i="32"/>
  <c r="AO362" i="32"/>
  <c r="AP362" i="32"/>
  <c r="AU362" i="32"/>
  <c r="AM363" i="32"/>
  <c r="AN363" i="32"/>
  <c r="AO363" i="32"/>
  <c r="AP363" i="32"/>
  <c r="AU363" i="32"/>
  <c r="AM364" i="32"/>
  <c r="AN364" i="32"/>
  <c r="AO364" i="32"/>
  <c r="AP364" i="32"/>
  <c r="AU364" i="32"/>
  <c r="AM365" i="32"/>
  <c r="AN365" i="32"/>
  <c r="AO365" i="32"/>
  <c r="AP365" i="32"/>
  <c r="AU365" i="32"/>
  <c r="AM366" i="32"/>
  <c r="AN366" i="32"/>
  <c r="AO366" i="32"/>
  <c r="AP366" i="32"/>
  <c r="AU366" i="32"/>
  <c r="AM367" i="32"/>
  <c r="AN367" i="32"/>
  <c r="AO367" i="32"/>
  <c r="AP367" i="32"/>
  <c r="AU367" i="32"/>
  <c r="AM368" i="32"/>
  <c r="AN368" i="32"/>
  <c r="AO368" i="32"/>
  <c r="AP368" i="32"/>
  <c r="AU368" i="32"/>
  <c r="AM369" i="32"/>
  <c r="AN369" i="32"/>
  <c r="AO369" i="32"/>
  <c r="AP369" i="32"/>
  <c r="AU369" i="32"/>
  <c r="AM370" i="32"/>
  <c r="AN370" i="32"/>
  <c r="AO370" i="32"/>
  <c r="AP370" i="32"/>
  <c r="AU370" i="32"/>
  <c r="AM371" i="32"/>
  <c r="AN371" i="32"/>
  <c r="AO371" i="32"/>
  <c r="AP371" i="32"/>
  <c r="AU371" i="32"/>
  <c r="AM372" i="32"/>
  <c r="AN372" i="32"/>
  <c r="AO372" i="32"/>
  <c r="AP372" i="32"/>
  <c r="AU372" i="32"/>
  <c r="AM373" i="32"/>
  <c r="AN373" i="32"/>
  <c r="AO373" i="32"/>
  <c r="AP373" i="32"/>
  <c r="AU373" i="32"/>
  <c r="AM374" i="32"/>
  <c r="AN374" i="32"/>
  <c r="AO374" i="32"/>
  <c r="AP374" i="32"/>
  <c r="AU374" i="32"/>
  <c r="AM375" i="32"/>
  <c r="AN375" i="32"/>
  <c r="AO375" i="32"/>
  <c r="AP375" i="32"/>
  <c r="AU375" i="32"/>
  <c r="AM376" i="32"/>
  <c r="AN376" i="32"/>
  <c r="AO376" i="32"/>
  <c r="AP376" i="32"/>
  <c r="AU376" i="32"/>
  <c r="AM377" i="32"/>
  <c r="AN377" i="32"/>
  <c r="AO377" i="32"/>
  <c r="AP377" i="32"/>
  <c r="AU377" i="32"/>
  <c r="AM378" i="32"/>
  <c r="AN378" i="32"/>
  <c r="AO378" i="32"/>
  <c r="AP378" i="32"/>
  <c r="AU378" i="32"/>
  <c r="AM379" i="32"/>
  <c r="AN379" i="32"/>
  <c r="AO379" i="32"/>
  <c r="AP379" i="32"/>
  <c r="AU379" i="32"/>
  <c r="AM380" i="32"/>
  <c r="AN380" i="32"/>
  <c r="AO380" i="32"/>
  <c r="AP380" i="32"/>
  <c r="AU380" i="32"/>
  <c r="AM381" i="32"/>
  <c r="AN381" i="32"/>
  <c r="AO381" i="32"/>
  <c r="AP381" i="32"/>
  <c r="AU381" i="32"/>
  <c r="AM382" i="32"/>
  <c r="AN382" i="32"/>
  <c r="AO382" i="32"/>
  <c r="AP382" i="32"/>
  <c r="AU382" i="32"/>
  <c r="AM383" i="32"/>
  <c r="AN383" i="32"/>
  <c r="AO383" i="32"/>
  <c r="AP383" i="32"/>
  <c r="AU383" i="32"/>
  <c r="AM384" i="32"/>
  <c r="AN384" i="32"/>
  <c r="AO384" i="32"/>
  <c r="AP384" i="32"/>
  <c r="AU384" i="32"/>
  <c r="AU118" i="32"/>
  <c r="AT118" i="32" s="1"/>
  <c r="AP118" i="32"/>
  <c r="AO118" i="32"/>
  <c r="AN118" i="32"/>
  <c r="AM11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54" i="32"/>
  <c r="AS54" i="32" s="1"/>
  <c r="AP54" i="32"/>
  <c r="AO54" i="32"/>
  <c r="AN54" i="32"/>
  <c r="AM54" i="32"/>
  <c r="AU53" i="32"/>
  <c r="AT53" i="32" s="1"/>
  <c r="AP53" i="32"/>
  <c r="AO53" i="32"/>
  <c r="AN53" i="32"/>
  <c r="AM53" i="32"/>
  <c r="AU112" i="32"/>
  <c r="AT112" i="32" s="1"/>
  <c r="AP112" i="32"/>
  <c r="AO112" i="32"/>
  <c r="AN112" i="32"/>
  <c r="AM112" i="32"/>
  <c r="AU111" i="32"/>
  <c r="AP111" i="32"/>
  <c r="AO111" i="32"/>
  <c r="AN111" i="32"/>
  <c r="AM111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110" i="32"/>
  <c r="AT110" i="32" s="1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T107" i="32" s="1"/>
  <c r="AP107" i="32"/>
  <c r="AO107" i="32"/>
  <c r="AN107" i="32"/>
  <c r="AM107" i="32"/>
  <c r="AU106" i="32"/>
  <c r="AT106" i="32" s="1"/>
  <c r="AP106" i="32"/>
  <c r="AO106" i="32"/>
  <c r="AN106" i="32"/>
  <c r="AM106" i="32"/>
  <c r="AU50" i="32"/>
  <c r="L74" i="54" s="1"/>
  <c r="AP50" i="32"/>
  <c r="AO50" i="32"/>
  <c r="AN50" i="32"/>
  <c r="AM50" i="32"/>
  <c r="AU49" i="32"/>
  <c r="AR49" i="32" s="1"/>
  <c r="AP49" i="32"/>
  <c r="AO49" i="32"/>
  <c r="AN49" i="32"/>
  <c r="AM49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R101" i="32" s="1"/>
  <c r="AP101" i="32"/>
  <c r="AO101" i="32"/>
  <c r="AN101" i="32"/>
  <c r="AM101" i="32"/>
  <c r="AU45" i="32"/>
  <c r="AS45" i="32" s="1"/>
  <c r="AP45" i="32"/>
  <c r="AO45" i="32"/>
  <c r="AN45" i="32"/>
  <c r="AM45" i="32"/>
  <c r="AU100" i="32"/>
  <c r="AT100" i="32" s="1"/>
  <c r="AP100" i="32"/>
  <c r="AO100" i="32"/>
  <c r="AN100" i="32"/>
  <c r="AM100" i="32"/>
  <c r="AU44" i="32"/>
  <c r="AT44" i="32" s="1"/>
  <c r="AP44" i="32"/>
  <c r="AO44" i="32"/>
  <c r="AN44" i="32"/>
  <c r="AM44" i="32"/>
  <c r="AU43" i="32"/>
  <c r="AR43" i="32" s="1"/>
  <c r="AP43" i="32"/>
  <c r="AO43" i="32"/>
  <c r="AN43" i="32"/>
  <c r="AM43" i="32"/>
  <c r="AU99" i="32"/>
  <c r="AT99" i="32" s="1"/>
  <c r="AP99" i="32"/>
  <c r="AO99" i="32"/>
  <c r="AN99" i="32"/>
  <c r="AM99" i="32"/>
  <c r="AU98" i="32"/>
  <c r="AT98" i="32" s="1"/>
  <c r="AP98" i="32"/>
  <c r="AO98" i="32"/>
  <c r="AN98" i="32"/>
  <c r="AM98" i="32"/>
  <c r="AU42" i="32"/>
  <c r="AP42" i="32"/>
  <c r="AO42" i="32"/>
  <c r="AN42" i="32"/>
  <c r="AM42" i="32"/>
  <c r="AU97" i="32"/>
  <c r="AR97" i="32" s="1"/>
  <c r="AP97" i="32"/>
  <c r="AO97" i="32"/>
  <c r="AN97" i="32"/>
  <c r="AM97" i="32"/>
  <c r="AU41" i="32"/>
  <c r="AS41" i="32" s="1"/>
  <c r="AP41" i="32"/>
  <c r="AO41" i="32"/>
  <c r="AN41" i="32"/>
  <c r="AM41" i="32"/>
  <c r="AU40" i="32"/>
  <c r="AT40" i="32" s="1"/>
  <c r="AP40" i="32"/>
  <c r="AO40" i="32"/>
  <c r="AN40" i="32"/>
  <c r="AM40" i="32"/>
  <c r="AU96" i="32"/>
  <c r="AT96" i="32" s="1"/>
  <c r="AP96" i="32"/>
  <c r="AO96" i="32"/>
  <c r="AN96" i="32"/>
  <c r="AM96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R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T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R89" i="32" s="1"/>
  <c r="AP89" i="32"/>
  <c r="AO89" i="32"/>
  <c r="AN89" i="32"/>
  <c r="AM89" i="32"/>
  <c r="AU37" i="32"/>
  <c r="AT37" i="32" s="1"/>
  <c r="AP37" i="32"/>
  <c r="AO37" i="32"/>
  <c r="AN37" i="32"/>
  <c r="AM37" i="32"/>
  <c r="AU88" i="32"/>
  <c r="AT88" i="32" s="1"/>
  <c r="AP88" i="32"/>
  <c r="AO88" i="32"/>
  <c r="AN88" i="32"/>
  <c r="AM88" i="32"/>
  <c r="AU36" i="32"/>
  <c r="AP36" i="32"/>
  <c r="AO36" i="32"/>
  <c r="AN36" i="32"/>
  <c r="AM36" i="32"/>
  <c r="AU35" i="32"/>
  <c r="AR35" i="32" s="1"/>
  <c r="AP35" i="32"/>
  <c r="AO35" i="32"/>
  <c r="AN35" i="32"/>
  <c r="AM35" i="32"/>
  <c r="AU34" i="32"/>
  <c r="AS34" i="32" s="1"/>
  <c r="AP34" i="32"/>
  <c r="AO34" i="32"/>
  <c r="AN34" i="32"/>
  <c r="AM34" i="32"/>
  <c r="AU87" i="32"/>
  <c r="AT87" i="32" s="1"/>
  <c r="AP87" i="32"/>
  <c r="AO87" i="32"/>
  <c r="AN87" i="32"/>
  <c r="AM87" i="32"/>
  <c r="AU33" i="32"/>
  <c r="AT33" i="32" s="1"/>
  <c r="AP33" i="32"/>
  <c r="AO33" i="32"/>
  <c r="AN33" i="32"/>
  <c r="AM33" i="32"/>
  <c r="AU32" i="32"/>
  <c r="AR32" i="32" s="1"/>
  <c r="AP32" i="32"/>
  <c r="AO32" i="32"/>
  <c r="AN32" i="32"/>
  <c r="AM32" i="32"/>
  <c r="AU86" i="32"/>
  <c r="AT86" i="32" s="1"/>
  <c r="AP86" i="32"/>
  <c r="AO86" i="32"/>
  <c r="AN86" i="32"/>
  <c r="AM86" i="32"/>
  <c r="AU85" i="32"/>
  <c r="AT85" i="32" s="1"/>
  <c r="AP85" i="32"/>
  <c r="AO85" i="32"/>
  <c r="AN85" i="32"/>
  <c r="AM85" i="32"/>
  <c r="AU31" i="32"/>
  <c r="AP31" i="32"/>
  <c r="AO31" i="32"/>
  <c r="AN31" i="32"/>
  <c r="AM31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30" i="32"/>
  <c r="AT30" i="32" s="1"/>
  <c r="AP30" i="32"/>
  <c r="AO30" i="32"/>
  <c r="AN30" i="32"/>
  <c r="AM30" i="32"/>
  <c r="AU82" i="32"/>
  <c r="AT82" i="32" s="1"/>
  <c r="AP82" i="32"/>
  <c r="AO82" i="32"/>
  <c r="AN82" i="32"/>
  <c r="AM82" i="32"/>
  <c r="AU29" i="32"/>
  <c r="AR29" i="32" s="1"/>
  <c r="AP29" i="32"/>
  <c r="AO29" i="32"/>
  <c r="AN29" i="32"/>
  <c r="AM29" i="32"/>
  <c r="AU81" i="32"/>
  <c r="AT81" i="32" s="1"/>
  <c r="AP81" i="32"/>
  <c r="AO81" i="32"/>
  <c r="AN81" i="32"/>
  <c r="AM81" i="32"/>
  <c r="AU28" i="32"/>
  <c r="AT28" i="32" s="1"/>
  <c r="AP28" i="32"/>
  <c r="AO28" i="32"/>
  <c r="AN28" i="32"/>
  <c r="AM28" i="32"/>
  <c r="AU27" i="32"/>
  <c r="AP27" i="32"/>
  <c r="AO27" i="32"/>
  <c r="AN27" i="32"/>
  <c r="AM27" i="32"/>
  <c r="AU26" i="32"/>
  <c r="AR26" i="32" s="1"/>
  <c r="AP26" i="32"/>
  <c r="AO26" i="32"/>
  <c r="AN26" i="32"/>
  <c r="AM26" i="32"/>
  <c r="AU25" i="32"/>
  <c r="AS25" i="32" s="1"/>
  <c r="AP25" i="32"/>
  <c r="AO25" i="32"/>
  <c r="AN25" i="32"/>
  <c r="AM25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24" i="32"/>
  <c r="AR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T76" i="32" s="1"/>
  <c r="AP76" i="32"/>
  <c r="AO76" i="32"/>
  <c r="AN76" i="32"/>
  <c r="AM76" i="32"/>
  <c r="AU17" i="32"/>
  <c r="AT17" i="32" s="1"/>
  <c r="AP17" i="32"/>
  <c r="AO17" i="32"/>
  <c r="AN17" i="32"/>
  <c r="AM17" i="32"/>
  <c r="AU16" i="32"/>
  <c r="AP16" i="32"/>
  <c r="AO16" i="32"/>
  <c r="AN16" i="32"/>
  <c r="AM16" i="32"/>
  <c r="AU75" i="32"/>
  <c r="AR75" i="32" s="1"/>
  <c r="AP75" i="32"/>
  <c r="AO75" i="32"/>
  <c r="AN75" i="32"/>
  <c r="AM75" i="32"/>
  <c r="AU74" i="32"/>
  <c r="AS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T72" i="32" s="1"/>
  <c r="AP72" i="32"/>
  <c r="AO72" i="32"/>
  <c r="AN72" i="32"/>
  <c r="AM72" i="32"/>
  <c r="AU15" i="32"/>
  <c r="AR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P12" i="32"/>
  <c r="AO12" i="32"/>
  <c r="AN12" i="32"/>
  <c r="AM12" i="32"/>
  <c r="AU71" i="32"/>
  <c r="AR71" i="32" s="1"/>
  <c r="AP71" i="32"/>
  <c r="AO71" i="32"/>
  <c r="AN71" i="32"/>
  <c r="AM71" i="32"/>
  <c r="AU11" i="32"/>
  <c r="AS11" i="32" s="1"/>
  <c r="AP11" i="32"/>
  <c r="AO11" i="32"/>
  <c r="AN11" i="32"/>
  <c r="AM1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T67" i="32" s="1"/>
  <c r="AP67" i="32"/>
  <c r="AO67" i="32"/>
  <c r="AN67" i="32"/>
  <c r="AM67" i="32"/>
  <c r="AU10" i="32"/>
  <c r="AT10" i="32" s="1"/>
  <c r="AP10" i="32"/>
  <c r="AO10" i="32"/>
  <c r="AN10" i="32"/>
  <c r="AM10" i="32"/>
  <c r="AU9" i="32"/>
  <c r="AP9" i="32"/>
  <c r="AO9" i="32"/>
  <c r="AN9" i="32"/>
  <c r="AM9" i="32"/>
  <c r="AU66" i="32"/>
  <c r="AR66" i="32" s="1"/>
  <c r="AP66" i="32"/>
  <c r="AO66" i="32"/>
  <c r="AN66" i="32"/>
  <c r="AM66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5" i="32"/>
  <c r="AT65" i="32" s="1"/>
  <c r="AP65" i="32"/>
  <c r="AO65" i="32"/>
  <c r="AN65" i="32"/>
  <c r="AM65" i="32"/>
  <c r="AU59" i="32"/>
  <c r="AR59" i="32" s="1"/>
  <c r="AP59" i="32"/>
  <c r="AO59" i="32"/>
  <c r="AN59" i="32"/>
  <c r="AM59" i="32"/>
  <c r="AU64" i="32"/>
  <c r="AT64" i="32" s="1"/>
  <c r="AP64" i="32"/>
  <c r="AO64" i="32"/>
  <c r="AN64" i="32"/>
  <c r="AM64" i="32"/>
  <c r="AU6" i="32"/>
  <c r="AT6" i="32" s="1"/>
  <c r="AP6" i="32"/>
  <c r="AO6" i="32"/>
  <c r="AN6" i="32"/>
  <c r="AM6" i="32"/>
  <c r="AU5" i="32"/>
  <c r="AP5" i="32"/>
  <c r="AO5" i="32"/>
  <c r="AN5" i="32"/>
  <c r="AM5" i="32"/>
  <c r="AU4" i="32"/>
  <c r="AR4" i="32" s="1"/>
  <c r="AP4" i="32"/>
  <c r="AO4" i="32"/>
  <c r="AN4" i="32"/>
  <c r="AM4" i="32"/>
  <c r="AU63" i="32"/>
  <c r="AS63" i="32" s="1"/>
  <c r="AP63" i="32"/>
  <c r="AO63" i="32"/>
  <c r="AN63" i="32"/>
  <c r="AM63" i="32"/>
  <c r="AU62" i="32"/>
  <c r="AT62" i="32" s="1"/>
  <c r="AP62" i="32"/>
  <c r="AO62" i="32"/>
  <c r="AN62" i="32"/>
  <c r="AM62" i="32"/>
  <c r="AU3" i="32"/>
  <c r="AT3" i="32" s="1"/>
  <c r="AP3" i="32"/>
  <c r="AO3" i="32"/>
  <c r="AN3" i="32"/>
  <c r="AM3" i="32"/>
  <c r="AU61" i="32"/>
  <c r="AR61" i="32" s="1"/>
  <c r="AP61" i="32"/>
  <c r="AO61" i="32"/>
  <c r="AN61" i="32"/>
  <c r="AM61" i="32"/>
  <c r="AU2" i="32"/>
  <c r="AT2" i="32" s="1"/>
  <c r="AP2" i="32"/>
  <c r="AO2" i="32"/>
  <c r="AN2" i="32"/>
  <c r="AM2" i="32"/>
  <c r="AP60" i="32"/>
  <c r="AO60" i="32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0" i="54"/>
  <c r="L109" i="54"/>
  <c r="L108" i="54"/>
  <c r="L107" i="54"/>
  <c r="L106" i="54"/>
  <c r="L105" i="54"/>
  <c r="L61" i="54"/>
  <c r="L58" i="54"/>
  <c r="L57" i="54"/>
  <c r="L56" i="54"/>
  <c r="G61" i="54"/>
  <c r="F61" i="54"/>
  <c r="E61" i="54"/>
  <c r="D61" i="54"/>
  <c r="C61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8" i="54"/>
  <c r="T35" i="54"/>
  <c r="T34" i="54"/>
  <c r="T33" i="54"/>
  <c r="T32" i="54"/>
  <c r="T31" i="54"/>
  <c r="T30" i="54"/>
  <c r="T29" i="54"/>
  <c r="T27" i="54"/>
  <c r="T26" i="54"/>
  <c r="T25" i="54"/>
  <c r="T24" i="54"/>
  <c r="T22" i="54"/>
  <c r="T21" i="54"/>
  <c r="T20" i="54"/>
  <c r="T19" i="54"/>
  <c r="T18" i="54"/>
  <c r="T17" i="54"/>
  <c r="T16" i="54"/>
  <c r="Z20" i="49"/>
  <c r="AA20" i="49" s="1" a="1"/>
  <c r="AA20" i="49" s="1"/>
  <c r="AU60" i="32" s="1"/>
  <c r="AT60" i="32" s="1"/>
  <c r="D105" i="54" l="1"/>
  <c r="C105" i="54"/>
  <c r="E105" i="54"/>
  <c r="F105" i="54"/>
  <c r="T23" i="54"/>
  <c r="C75" i="54"/>
  <c r="F75" i="54"/>
  <c r="AQ384" i="32"/>
  <c r="AR384" i="32"/>
  <c r="AS384" i="32"/>
  <c r="AT384" i="32"/>
  <c r="AQ383" i="32"/>
  <c r="AR383" i="32"/>
  <c r="AS383" i="32"/>
  <c r="AT383" i="32"/>
  <c r="AQ382" i="32"/>
  <c r="AR382" i="32"/>
  <c r="AS382" i="32"/>
  <c r="AT382" i="32"/>
  <c r="AQ381" i="32"/>
  <c r="AR381" i="32"/>
  <c r="AS381" i="32"/>
  <c r="AT381" i="32"/>
  <c r="AQ380" i="32"/>
  <c r="AR380" i="32"/>
  <c r="AS380" i="32"/>
  <c r="AT380" i="32"/>
  <c r="AQ379" i="32"/>
  <c r="AR379" i="32"/>
  <c r="AS379" i="32"/>
  <c r="AT379" i="32"/>
  <c r="AQ378" i="32"/>
  <c r="AR378" i="32"/>
  <c r="AS378" i="32"/>
  <c r="AT378" i="32"/>
  <c r="AQ377" i="32"/>
  <c r="AR377" i="32"/>
  <c r="AS377" i="32"/>
  <c r="AT377" i="32"/>
  <c r="AQ376" i="32"/>
  <c r="AR376" i="32"/>
  <c r="AS376" i="32"/>
  <c r="AT376" i="32"/>
  <c r="AQ375" i="32"/>
  <c r="AR375" i="32"/>
  <c r="AS375" i="32"/>
  <c r="AT375" i="32"/>
  <c r="AQ374" i="32"/>
  <c r="AR374" i="32"/>
  <c r="AS374" i="32"/>
  <c r="AT374" i="32"/>
  <c r="AQ373" i="32"/>
  <c r="AR373" i="32"/>
  <c r="AS373" i="32"/>
  <c r="AT373" i="32"/>
  <c r="AQ372" i="32"/>
  <c r="AR372" i="32"/>
  <c r="AS372" i="32"/>
  <c r="AT372" i="32"/>
  <c r="AQ371" i="32"/>
  <c r="AR371" i="32"/>
  <c r="AS371" i="32"/>
  <c r="AT371" i="32"/>
  <c r="AQ370" i="32"/>
  <c r="AR370" i="32"/>
  <c r="AS370" i="32"/>
  <c r="AT370" i="32"/>
  <c r="AQ369" i="32"/>
  <c r="AR369" i="32"/>
  <c r="AS369" i="32"/>
  <c r="AT369" i="32"/>
  <c r="AQ368" i="32"/>
  <c r="AR368" i="32"/>
  <c r="AS368" i="32"/>
  <c r="AT368" i="32"/>
  <c r="AQ367" i="32"/>
  <c r="AR367" i="32"/>
  <c r="AS367" i="32"/>
  <c r="AT367" i="32"/>
  <c r="AQ366" i="32"/>
  <c r="AR366" i="32"/>
  <c r="AS366" i="32"/>
  <c r="AT366" i="32"/>
  <c r="AQ365" i="32"/>
  <c r="AR365" i="32"/>
  <c r="AS365" i="32"/>
  <c r="AT365" i="32"/>
  <c r="AQ364" i="32"/>
  <c r="AR364" i="32"/>
  <c r="AS364" i="32"/>
  <c r="AT364" i="32"/>
  <c r="AQ363" i="32"/>
  <c r="AR363" i="32"/>
  <c r="AS363" i="32"/>
  <c r="AT363" i="32"/>
  <c r="AQ362" i="32"/>
  <c r="AR362" i="32"/>
  <c r="AS362" i="32"/>
  <c r="AT362" i="32"/>
  <c r="AQ361" i="32"/>
  <c r="AR361" i="32"/>
  <c r="AS361" i="32"/>
  <c r="AT361" i="32"/>
  <c r="AQ360" i="32"/>
  <c r="AR360" i="32"/>
  <c r="AS360" i="32"/>
  <c r="AT360" i="32"/>
  <c r="AQ359" i="32"/>
  <c r="AR359" i="32"/>
  <c r="AS359" i="32"/>
  <c r="AT359" i="32"/>
  <c r="AQ358" i="32"/>
  <c r="AR358" i="32"/>
  <c r="AS358" i="32"/>
  <c r="AT358" i="32"/>
  <c r="AQ357" i="32"/>
  <c r="AR357" i="32"/>
  <c r="AS357" i="32"/>
  <c r="AT357" i="32"/>
  <c r="AQ356" i="32"/>
  <c r="AR356" i="32"/>
  <c r="AS356" i="32"/>
  <c r="AT356" i="32"/>
  <c r="AQ355" i="32"/>
  <c r="AR355" i="32"/>
  <c r="AS355" i="32"/>
  <c r="AT355" i="32"/>
  <c r="AQ354" i="32"/>
  <c r="AR354" i="32"/>
  <c r="AS354" i="32"/>
  <c r="AT354" i="32"/>
  <c r="AQ353" i="32"/>
  <c r="AR353" i="32"/>
  <c r="AS353" i="32"/>
  <c r="AT353" i="32"/>
  <c r="AQ352" i="32"/>
  <c r="AR352" i="32"/>
  <c r="AS352" i="32"/>
  <c r="AT352" i="32"/>
  <c r="AQ351" i="32"/>
  <c r="AR351" i="32"/>
  <c r="AS351" i="32"/>
  <c r="AT351" i="32"/>
  <c r="AQ350" i="32"/>
  <c r="AR350" i="32"/>
  <c r="AS350" i="32"/>
  <c r="AT350" i="32"/>
  <c r="AQ349" i="32"/>
  <c r="AR349" i="32"/>
  <c r="AS349" i="32"/>
  <c r="AT349" i="32"/>
  <c r="AQ348" i="32"/>
  <c r="AR348" i="32"/>
  <c r="AS348" i="32"/>
  <c r="AT348" i="32"/>
  <c r="AQ347" i="32"/>
  <c r="AR347" i="32"/>
  <c r="AS347" i="32"/>
  <c r="AT347" i="32"/>
  <c r="AQ346" i="32"/>
  <c r="AR346" i="32"/>
  <c r="AS346" i="32"/>
  <c r="AT346" i="32"/>
  <c r="AQ345" i="32"/>
  <c r="AR345" i="32"/>
  <c r="AS345" i="32"/>
  <c r="AT345" i="32"/>
  <c r="AQ344" i="32"/>
  <c r="AR344" i="32"/>
  <c r="AS344" i="32"/>
  <c r="AT344" i="32"/>
  <c r="AQ343" i="32"/>
  <c r="AR343" i="32"/>
  <c r="AS343" i="32"/>
  <c r="AT343" i="32"/>
  <c r="AQ342" i="32"/>
  <c r="AR342" i="32"/>
  <c r="AS342" i="32"/>
  <c r="AT342" i="32"/>
  <c r="AQ341" i="32"/>
  <c r="AR341" i="32"/>
  <c r="AS341" i="32"/>
  <c r="AT341" i="32"/>
  <c r="AQ340" i="32"/>
  <c r="AR340" i="32"/>
  <c r="AS340" i="32"/>
  <c r="AT340" i="32"/>
  <c r="AQ339" i="32"/>
  <c r="AR339" i="32"/>
  <c r="AS339" i="32"/>
  <c r="AT339" i="32"/>
  <c r="AQ338" i="32"/>
  <c r="AR338" i="32"/>
  <c r="AS338" i="32"/>
  <c r="AT338" i="32"/>
  <c r="AQ337" i="32"/>
  <c r="AR337" i="32"/>
  <c r="AS337" i="32"/>
  <c r="AT337" i="32"/>
  <c r="AQ336" i="32"/>
  <c r="AR336" i="32"/>
  <c r="AS336" i="32"/>
  <c r="AT336" i="32"/>
  <c r="AQ335" i="32"/>
  <c r="AR335" i="32"/>
  <c r="AS335" i="32"/>
  <c r="AT335" i="32"/>
  <c r="AQ334" i="32"/>
  <c r="AR334" i="32"/>
  <c r="AS334" i="32"/>
  <c r="AT334" i="32"/>
  <c r="AQ333" i="32"/>
  <c r="AR333" i="32"/>
  <c r="AS333" i="32"/>
  <c r="AT333" i="32"/>
  <c r="AQ332" i="32"/>
  <c r="AR332" i="32"/>
  <c r="AS332" i="32"/>
  <c r="AT332" i="32"/>
  <c r="AQ331" i="32"/>
  <c r="AR331" i="32"/>
  <c r="AS331" i="32"/>
  <c r="AT331" i="32"/>
  <c r="AQ330" i="32"/>
  <c r="AR330" i="32"/>
  <c r="AS330" i="32"/>
  <c r="AT330" i="32"/>
  <c r="AQ329" i="32"/>
  <c r="AR329" i="32"/>
  <c r="AS329" i="32"/>
  <c r="AT329" i="32"/>
  <c r="AQ328" i="32"/>
  <c r="AR328" i="32"/>
  <c r="AS328" i="32"/>
  <c r="AT328" i="32"/>
  <c r="AQ327" i="32"/>
  <c r="AR327" i="32"/>
  <c r="AS327" i="32"/>
  <c r="AT327" i="32"/>
  <c r="AQ326" i="32"/>
  <c r="AR326" i="32"/>
  <c r="AS326" i="32"/>
  <c r="AT326" i="32"/>
  <c r="AQ325" i="32"/>
  <c r="AR325" i="32"/>
  <c r="AS325" i="32"/>
  <c r="AT325" i="32"/>
  <c r="AQ324" i="32"/>
  <c r="AR324" i="32"/>
  <c r="AS324" i="32"/>
  <c r="AT324" i="32"/>
  <c r="AQ323" i="32"/>
  <c r="AR323" i="32"/>
  <c r="AS323" i="32"/>
  <c r="AT323" i="32"/>
  <c r="AQ322" i="32"/>
  <c r="AR322" i="32"/>
  <c r="AS322" i="32"/>
  <c r="AT322" i="32"/>
  <c r="AQ321" i="32"/>
  <c r="AR321" i="32"/>
  <c r="AS321" i="32"/>
  <c r="AT321" i="32"/>
  <c r="AQ320" i="32"/>
  <c r="AR320" i="32"/>
  <c r="AS320" i="32"/>
  <c r="AT320" i="32"/>
  <c r="AQ319" i="32"/>
  <c r="AR319" i="32"/>
  <c r="AS319" i="32"/>
  <c r="AT319" i="32"/>
  <c r="AQ318" i="32"/>
  <c r="AR318" i="32"/>
  <c r="AS318" i="32"/>
  <c r="AT318" i="32"/>
  <c r="AQ317" i="32"/>
  <c r="AR317" i="32"/>
  <c r="AS317" i="32"/>
  <c r="AT317" i="32"/>
  <c r="AQ316" i="32"/>
  <c r="AR316" i="32"/>
  <c r="AS316" i="32"/>
  <c r="AT316" i="32"/>
  <c r="AQ315" i="32"/>
  <c r="AR315" i="32"/>
  <c r="AS315" i="32"/>
  <c r="AT315" i="32"/>
  <c r="AQ314" i="32"/>
  <c r="AR314" i="32"/>
  <c r="AS314" i="32"/>
  <c r="AT314" i="32"/>
  <c r="AQ313" i="32"/>
  <c r="AR313" i="32"/>
  <c r="AS313" i="32"/>
  <c r="AT313" i="32"/>
  <c r="AQ312" i="32"/>
  <c r="AR312" i="32"/>
  <c r="AS312" i="32"/>
  <c r="AT312" i="32"/>
  <c r="AQ311" i="32"/>
  <c r="AR311" i="32"/>
  <c r="AS311" i="32"/>
  <c r="AT311" i="32"/>
  <c r="AQ310" i="32"/>
  <c r="AR310" i="32"/>
  <c r="AS310" i="32"/>
  <c r="AT310" i="32"/>
  <c r="AQ309" i="32"/>
  <c r="AR309" i="32"/>
  <c r="AS309" i="32"/>
  <c r="AT309" i="32"/>
  <c r="AQ308" i="32"/>
  <c r="AR308" i="32"/>
  <c r="AS308" i="32"/>
  <c r="AT308" i="32"/>
  <c r="AQ307" i="32"/>
  <c r="AR307" i="32"/>
  <c r="AS307" i="32"/>
  <c r="AT307" i="32"/>
  <c r="AQ306" i="32"/>
  <c r="AR306" i="32"/>
  <c r="AS306" i="32"/>
  <c r="AT306" i="32"/>
  <c r="AQ305" i="32"/>
  <c r="AR305" i="32"/>
  <c r="AS305" i="32"/>
  <c r="AT305" i="32"/>
  <c r="AQ304" i="32"/>
  <c r="AR304" i="32"/>
  <c r="AS304" i="32"/>
  <c r="AT304" i="32"/>
  <c r="AQ303" i="32"/>
  <c r="AR303" i="32"/>
  <c r="AS303" i="32"/>
  <c r="AT303" i="32"/>
  <c r="AQ302" i="32"/>
  <c r="AR302" i="32"/>
  <c r="AS302" i="32"/>
  <c r="AT302" i="32"/>
  <c r="AQ301" i="32"/>
  <c r="AR301" i="32"/>
  <c r="AS301" i="32"/>
  <c r="AT301" i="32"/>
  <c r="AQ300" i="32"/>
  <c r="AR300" i="32"/>
  <c r="AS300" i="32"/>
  <c r="AT300" i="32"/>
  <c r="AQ299" i="32"/>
  <c r="AR299" i="32"/>
  <c r="AS299" i="32"/>
  <c r="AT299" i="32"/>
  <c r="AQ298" i="32"/>
  <c r="AR298" i="32"/>
  <c r="AS298" i="32"/>
  <c r="AT298" i="32"/>
  <c r="AQ297" i="32"/>
  <c r="AR297" i="32"/>
  <c r="AS297" i="32"/>
  <c r="AT297" i="32"/>
  <c r="AQ296" i="32"/>
  <c r="AR296" i="32"/>
  <c r="AS296" i="32"/>
  <c r="AT296" i="32"/>
  <c r="AQ295" i="32"/>
  <c r="AR295" i="32"/>
  <c r="AS295" i="32"/>
  <c r="AT295" i="32"/>
  <c r="AQ294" i="32"/>
  <c r="AR294" i="32"/>
  <c r="AS294" i="32"/>
  <c r="AT294" i="32"/>
  <c r="AQ293" i="32"/>
  <c r="AR293" i="32"/>
  <c r="AS293" i="32"/>
  <c r="AT293" i="32"/>
  <c r="AQ292" i="32"/>
  <c r="AR292" i="32"/>
  <c r="AS292" i="32"/>
  <c r="AT292" i="32"/>
  <c r="AQ291" i="32"/>
  <c r="AR291" i="32"/>
  <c r="AS291" i="32"/>
  <c r="AT291" i="32"/>
  <c r="AQ290" i="32"/>
  <c r="AR290" i="32"/>
  <c r="AS290" i="32"/>
  <c r="AT290" i="32"/>
  <c r="AQ289" i="32"/>
  <c r="AR289" i="32"/>
  <c r="AS289" i="32"/>
  <c r="AT289" i="32"/>
  <c r="AQ288" i="32"/>
  <c r="AR288" i="32"/>
  <c r="AS288" i="32"/>
  <c r="AT288" i="32"/>
  <c r="AQ287" i="32"/>
  <c r="AR287" i="32"/>
  <c r="AS287" i="32"/>
  <c r="AT287" i="32"/>
  <c r="AQ286" i="32"/>
  <c r="AR286" i="32"/>
  <c r="AS286" i="32"/>
  <c r="AT286" i="32"/>
  <c r="AQ285" i="32"/>
  <c r="AR285" i="32"/>
  <c r="AS285" i="32"/>
  <c r="AT285" i="32"/>
  <c r="AQ284" i="32"/>
  <c r="AR284" i="32"/>
  <c r="AS284" i="32"/>
  <c r="AT284" i="32"/>
  <c r="AQ283" i="32"/>
  <c r="AR283" i="32"/>
  <c r="AS283" i="32"/>
  <c r="AT283" i="32"/>
  <c r="AQ282" i="32"/>
  <c r="AR282" i="32"/>
  <c r="AS282" i="32"/>
  <c r="AT282" i="32"/>
  <c r="AQ281" i="32"/>
  <c r="AR281" i="32"/>
  <c r="AS281" i="32"/>
  <c r="AT281" i="32"/>
  <c r="AQ280" i="32"/>
  <c r="AR280" i="32"/>
  <c r="AS280" i="32"/>
  <c r="AT280" i="32"/>
  <c r="AQ279" i="32"/>
  <c r="AR279" i="32"/>
  <c r="AS279" i="32"/>
  <c r="AT279" i="32"/>
  <c r="AQ278" i="32"/>
  <c r="AR278" i="32"/>
  <c r="AS278" i="32"/>
  <c r="AT278" i="32"/>
  <c r="AQ277" i="32"/>
  <c r="AR277" i="32"/>
  <c r="AS277" i="32"/>
  <c r="AT277" i="32"/>
  <c r="AQ276" i="32"/>
  <c r="AR276" i="32"/>
  <c r="AS276" i="32"/>
  <c r="AT276" i="32"/>
  <c r="AQ275" i="32"/>
  <c r="AR275" i="32"/>
  <c r="AS275" i="32"/>
  <c r="AT275" i="32"/>
  <c r="AQ274" i="32"/>
  <c r="AR274" i="32"/>
  <c r="AS274" i="32"/>
  <c r="AT274" i="32"/>
  <c r="AQ273" i="32"/>
  <c r="AR273" i="32"/>
  <c r="AS273" i="32"/>
  <c r="AT273" i="32"/>
  <c r="AQ272" i="32"/>
  <c r="AR272" i="32"/>
  <c r="AS272" i="32"/>
  <c r="AT272" i="32"/>
  <c r="AQ271" i="32"/>
  <c r="AR271" i="32"/>
  <c r="AS271" i="32"/>
  <c r="AT271" i="32"/>
  <c r="AQ270" i="32"/>
  <c r="AR270" i="32"/>
  <c r="AS270" i="32"/>
  <c r="AT270" i="32"/>
  <c r="AQ269" i="32"/>
  <c r="AR269" i="32"/>
  <c r="AS269" i="32"/>
  <c r="AT269" i="32"/>
  <c r="AQ268" i="32"/>
  <c r="AR268" i="32"/>
  <c r="AS268" i="32"/>
  <c r="AT268" i="32"/>
  <c r="AQ267" i="32"/>
  <c r="AR267" i="32"/>
  <c r="AS267" i="32"/>
  <c r="AT267" i="32"/>
  <c r="AQ266" i="32"/>
  <c r="AR266" i="32"/>
  <c r="AS266" i="32"/>
  <c r="AT266" i="32"/>
  <c r="AQ265" i="32"/>
  <c r="AR265" i="32"/>
  <c r="AS265" i="32"/>
  <c r="AT265" i="32"/>
  <c r="AQ264" i="32"/>
  <c r="AR264" i="32"/>
  <c r="AS264" i="32"/>
  <c r="AT264" i="32"/>
  <c r="AQ263" i="32"/>
  <c r="AR263" i="32"/>
  <c r="AS263" i="32"/>
  <c r="AT263" i="32"/>
  <c r="AQ262" i="32"/>
  <c r="AR262" i="32"/>
  <c r="AS262" i="32"/>
  <c r="AT262" i="32"/>
  <c r="AQ261" i="32"/>
  <c r="AR261" i="32"/>
  <c r="AS261" i="32"/>
  <c r="AT261" i="32"/>
  <c r="AQ260" i="32"/>
  <c r="AR260" i="32"/>
  <c r="AS260" i="32"/>
  <c r="AT260" i="32"/>
  <c r="AQ259" i="32"/>
  <c r="AR259" i="32"/>
  <c r="AS259" i="32"/>
  <c r="AT259" i="32"/>
  <c r="AQ258" i="32"/>
  <c r="AR258" i="32"/>
  <c r="AS258" i="32"/>
  <c r="AT258" i="32"/>
  <c r="AQ257" i="32"/>
  <c r="AR257" i="32"/>
  <c r="AS257" i="32"/>
  <c r="AT257" i="32"/>
  <c r="AQ256" i="32"/>
  <c r="AR256" i="32"/>
  <c r="AS256" i="32"/>
  <c r="AT256" i="32"/>
  <c r="AQ255" i="32"/>
  <c r="AR255" i="32"/>
  <c r="AS255" i="32"/>
  <c r="AT255" i="32"/>
  <c r="AQ254" i="32"/>
  <c r="AR254" i="32"/>
  <c r="AS254" i="32"/>
  <c r="AT254" i="32"/>
  <c r="AQ253" i="32"/>
  <c r="AR253" i="32"/>
  <c r="AS253" i="32"/>
  <c r="AT253" i="32"/>
  <c r="AQ252" i="32"/>
  <c r="AR252" i="32"/>
  <c r="AS252" i="32"/>
  <c r="AT252" i="32"/>
  <c r="AQ251" i="32"/>
  <c r="AR251" i="32"/>
  <c r="AS251" i="32"/>
  <c r="AT251" i="32"/>
  <c r="AQ250" i="32"/>
  <c r="AR250" i="32"/>
  <c r="AS250" i="32"/>
  <c r="AT250" i="32"/>
  <c r="AQ249" i="32"/>
  <c r="AR249" i="32"/>
  <c r="AS249" i="32"/>
  <c r="AT249" i="32"/>
  <c r="AQ248" i="32"/>
  <c r="AR248" i="32"/>
  <c r="AS248" i="32"/>
  <c r="AT248" i="32"/>
  <c r="AQ247" i="32"/>
  <c r="AR247" i="32"/>
  <c r="AS247" i="32"/>
  <c r="AT247" i="32"/>
  <c r="AQ246" i="32"/>
  <c r="AR246" i="32"/>
  <c r="AS246" i="32"/>
  <c r="AT246" i="32"/>
  <c r="AQ245" i="32"/>
  <c r="AR245" i="32"/>
  <c r="AS245" i="32"/>
  <c r="AT245" i="32"/>
  <c r="AQ244" i="32"/>
  <c r="AR244" i="32"/>
  <c r="AS244" i="32"/>
  <c r="AT244" i="32"/>
  <c r="AQ243" i="32"/>
  <c r="AR243" i="32"/>
  <c r="AS243" i="32"/>
  <c r="AT243" i="32"/>
  <c r="AQ242" i="32"/>
  <c r="AR242" i="32"/>
  <c r="AS242" i="32"/>
  <c r="AT242" i="32"/>
  <c r="AQ241" i="32"/>
  <c r="AR241" i="32"/>
  <c r="AS241" i="32"/>
  <c r="AT241" i="32"/>
  <c r="AQ240" i="32"/>
  <c r="AR240" i="32"/>
  <c r="AS240" i="32"/>
  <c r="AT240" i="32"/>
  <c r="AQ239" i="32"/>
  <c r="AR239" i="32"/>
  <c r="AS239" i="32"/>
  <c r="AT239" i="32"/>
  <c r="AQ238" i="32"/>
  <c r="AR238" i="32"/>
  <c r="AS238" i="32"/>
  <c r="AT238" i="32"/>
  <c r="AQ237" i="32"/>
  <c r="AR237" i="32"/>
  <c r="AS237" i="32"/>
  <c r="AT237" i="32"/>
  <c r="AQ236" i="32"/>
  <c r="AR236" i="32"/>
  <c r="AS236" i="32"/>
  <c r="AT236" i="32"/>
  <c r="AQ235" i="32"/>
  <c r="AR235" i="32"/>
  <c r="AS235" i="32"/>
  <c r="AT235" i="32"/>
  <c r="AQ234" i="32"/>
  <c r="AR234" i="32"/>
  <c r="AS234" i="32"/>
  <c r="AT234" i="32"/>
  <c r="AQ233" i="32"/>
  <c r="AR233" i="32"/>
  <c r="AS233" i="32"/>
  <c r="AT233" i="32"/>
  <c r="AQ232" i="32"/>
  <c r="AR232" i="32"/>
  <c r="AS232" i="32"/>
  <c r="AT232" i="32"/>
  <c r="AQ231" i="32"/>
  <c r="AR231" i="32"/>
  <c r="AS231" i="32"/>
  <c r="AT231" i="32"/>
  <c r="AQ230" i="32"/>
  <c r="AR230" i="32"/>
  <c r="AS230" i="32"/>
  <c r="AT230" i="32"/>
  <c r="AQ229" i="32"/>
  <c r="AR229" i="32"/>
  <c r="AS229" i="32"/>
  <c r="AT229" i="32"/>
  <c r="AQ228" i="32"/>
  <c r="AR228" i="32"/>
  <c r="AS228" i="32"/>
  <c r="AT228" i="32"/>
  <c r="AQ227" i="32"/>
  <c r="AR227" i="32"/>
  <c r="AS227" i="32"/>
  <c r="AT227" i="32"/>
  <c r="AQ226" i="32"/>
  <c r="AR226" i="32"/>
  <c r="AS226" i="32"/>
  <c r="AT226" i="32"/>
  <c r="AQ225" i="32"/>
  <c r="AR225" i="32"/>
  <c r="AS225" i="32"/>
  <c r="AT225" i="32"/>
  <c r="AQ224" i="32"/>
  <c r="AR224" i="32"/>
  <c r="AS224" i="32"/>
  <c r="AT224" i="32"/>
  <c r="AQ223" i="32"/>
  <c r="AR223" i="32"/>
  <c r="AS223" i="32"/>
  <c r="AT223" i="32"/>
  <c r="AQ222" i="32"/>
  <c r="AR222" i="32"/>
  <c r="AS222" i="32"/>
  <c r="AT222" i="32"/>
  <c r="AQ221" i="32"/>
  <c r="AR221" i="32"/>
  <c r="AS221" i="32"/>
  <c r="AT221" i="32"/>
  <c r="AQ220" i="32"/>
  <c r="AR220" i="32"/>
  <c r="AS220" i="32"/>
  <c r="AT220" i="32"/>
  <c r="AQ219" i="32"/>
  <c r="AR219" i="32"/>
  <c r="AS219" i="32"/>
  <c r="AT219" i="32"/>
  <c r="AQ218" i="32"/>
  <c r="AR218" i="32"/>
  <c r="AS218" i="32"/>
  <c r="AT218" i="32"/>
  <c r="AQ217" i="32"/>
  <c r="AR217" i="32"/>
  <c r="AS217" i="32"/>
  <c r="AT217" i="32"/>
  <c r="AQ216" i="32"/>
  <c r="AR216" i="32"/>
  <c r="AS216" i="32"/>
  <c r="AT216" i="32"/>
  <c r="AQ58" i="32"/>
  <c r="AR58" i="32"/>
  <c r="AS58" i="32"/>
  <c r="AT58" i="32"/>
  <c r="AQ215" i="32"/>
  <c r="AR215" i="32"/>
  <c r="AS215" i="32"/>
  <c r="AT215" i="32"/>
  <c r="AQ214" i="32"/>
  <c r="AR214" i="32"/>
  <c r="AS214" i="32"/>
  <c r="AT214" i="32"/>
  <c r="AQ213" i="32"/>
  <c r="AR213" i="32"/>
  <c r="AS213" i="32"/>
  <c r="AT213" i="32"/>
  <c r="AQ212" i="32"/>
  <c r="AR212" i="32"/>
  <c r="AS212" i="32"/>
  <c r="AT212" i="32"/>
  <c r="AQ211" i="32"/>
  <c r="AR211" i="32"/>
  <c r="AS211" i="32"/>
  <c r="AT211" i="32"/>
  <c r="AQ210" i="32"/>
  <c r="AR210" i="32"/>
  <c r="AS210" i="32"/>
  <c r="AT210" i="32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AQ173" i="32"/>
  <c r="AR173" i="32"/>
  <c r="AS173" i="32"/>
  <c r="AT173" i="32"/>
  <c r="AQ172" i="32"/>
  <c r="AR172" i="32"/>
  <c r="AS172" i="32"/>
  <c r="AT172" i="32"/>
  <c r="AQ171" i="32"/>
  <c r="AR171" i="32"/>
  <c r="AS171" i="32"/>
  <c r="AT171" i="32"/>
  <c r="AQ170" i="32"/>
  <c r="AR170" i="32"/>
  <c r="AS170" i="32"/>
  <c r="AT170" i="32"/>
  <c r="AQ169" i="32"/>
  <c r="AR169" i="32"/>
  <c r="AS169" i="32"/>
  <c r="AT169" i="32"/>
  <c r="AQ168" i="32"/>
  <c r="AR168" i="32"/>
  <c r="AS168" i="32"/>
  <c r="AT168" i="32"/>
  <c r="AQ167" i="32"/>
  <c r="AR167" i="32"/>
  <c r="AS167" i="32"/>
  <c r="AT167" i="32"/>
  <c r="AQ166" i="32"/>
  <c r="AR166" i="32"/>
  <c r="AS166" i="32"/>
  <c r="AT166" i="32"/>
  <c r="AQ165" i="32"/>
  <c r="AR165" i="32"/>
  <c r="AS165" i="32"/>
  <c r="AT165" i="32"/>
  <c r="AQ164" i="32"/>
  <c r="AR164" i="32"/>
  <c r="AS164" i="32"/>
  <c r="AT164" i="32"/>
  <c r="AQ163" i="32"/>
  <c r="AR163" i="32"/>
  <c r="AS163" i="32"/>
  <c r="AT163" i="32"/>
  <c r="AQ162" i="32"/>
  <c r="AR162" i="32"/>
  <c r="AS162" i="32"/>
  <c r="AT162" i="32"/>
  <c r="AQ161" i="32"/>
  <c r="AR161" i="32"/>
  <c r="AS161" i="32"/>
  <c r="AT161" i="32"/>
  <c r="AQ160" i="32"/>
  <c r="AR160" i="32"/>
  <c r="AS160" i="32"/>
  <c r="AT160" i="32"/>
  <c r="AQ159" i="32"/>
  <c r="AR159" i="32"/>
  <c r="AS159" i="32"/>
  <c r="AT159" i="32"/>
  <c r="AQ158" i="32"/>
  <c r="AR158" i="32"/>
  <c r="AS158" i="32"/>
  <c r="AT158" i="32"/>
  <c r="AQ157" i="32"/>
  <c r="AR157" i="32"/>
  <c r="AS157" i="32"/>
  <c r="AT157" i="32"/>
  <c r="AQ156" i="32"/>
  <c r="AR156" i="32"/>
  <c r="AS156" i="32"/>
  <c r="AT156" i="32"/>
  <c r="AQ155" i="32"/>
  <c r="AR155" i="32"/>
  <c r="AS155" i="32"/>
  <c r="AT155" i="32"/>
  <c r="AQ154" i="32"/>
  <c r="AR154" i="32"/>
  <c r="AS154" i="32"/>
  <c r="AT154" i="32"/>
  <c r="AQ153" i="32"/>
  <c r="AR153" i="32"/>
  <c r="AS153" i="32"/>
  <c r="AT153" i="32"/>
  <c r="AQ152" i="32"/>
  <c r="AR152" i="32"/>
  <c r="AS152" i="32"/>
  <c r="AT152" i="32"/>
  <c r="AQ151" i="32"/>
  <c r="AR151" i="32"/>
  <c r="AS151" i="32"/>
  <c r="AT151" i="32"/>
  <c r="AQ150" i="32"/>
  <c r="AR150" i="32"/>
  <c r="AS150" i="32"/>
  <c r="AT150" i="32"/>
  <c r="AQ149" i="32"/>
  <c r="AR149" i="32"/>
  <c r="AS149" i="32"/>
  <c r="AT149" i="32"/>
  <c r="AQ148" i="32"/>
  <c r="AR148" i="32"/>
  <c r="AS148" i="32"/>
  <c r="AT148" i="32"/>
  <c r="AQ147" i="32"/>
  <c r="AR147" i="32"/>
  <c r="AS147" i="32"/>
  <c r="AT147" i="32"/>
  <c r="AQ146" i="32"/>
  <c r="AR146" i="32"/>
  <c r="AS146" i="32"/>
  <c r="AT146" i="32"/>
  <c r="AQ145" i="32"/>
  <c r="AR145" i="32"/>
  <c r="AS145" i="32"/>
  <c r="AT145" i="32"/>
  <c r="AQ144" i="32"/>
  <c r="AR144" i="32"/>
  <c r="AS144" i="32"/>
  <c r="AT144" i="32"/>
  <c r="AQ143" i="32"/>
  <c r="AR143" i="32"/>
  <c r="AS143" i="32"/>
  <c r="AT143" i="32"/>
  <c r="AQ142" i="32"/>
  <c r="AR142" i="32"/>
  <c r="AS142" i="32"/>
  <c r="AT142" i="32"/>
  <c r="AQ141" i="32"/>
  <c r="AR141" i="32"/>
  <c r="AS141" i="32"/>
  <c r="AT141" i="32"/>
  <c r="AQ140" i="32"/>
  <c r="AR140" i="32"/>
  <c r="AS140" i="32"/>
  <c r="AT140" i="32"/>
  <c r="AQ139" i="32"/>
  <c r="AR139" i="32"/>
  <c r="AS139" i="32"/>
  <c r="AT139" i="32"/>
  <c r="AQ138" i="32"/>
  <c r="AR138" i="32"/>
  <c r="AS138" i="32"/>
  <c r="AT138" i="32"/>
  <c r="AQ137" i="32"/>
  <c r="AR137" i="32"/>
  <c r="AS137" i="32"/>
  <c r="AT137" i="32"/>
  <c r="AQ136" i="32"/>
  <c r="AR136" i="32"/>
  <c r="AS136" i="32"/>
  <c r="AT136" i="32"/>
  <c r="AQ135" i="32"/>
  <c r="AR135" i="32"/>
  <c r="AS135" i="32"/>
  <c r="AT135" i="32"/>
  <c r="AQ134" i="32"/>
  <c r="AR134" i="32"/>
  <c r="AS134" i="32"/>
  <c r="AT134" i="32"/>
  <c r="AQ133" i="32"/>
  <c r="AR133" i="32"/>
  <c r="AS133" i="32"/>
  <c r="AT133" i="32"/>
  <c r="AQ132" i="32"/>
  <c r="AR132" i="32"/>
  <c r="AS132" i="32"/>
  <c r="AT132" i="32"/>
  <c r="AQ131" i="32"/>
  <c r="AR131" i="32"/>
  <c r="AS131" i="32"/>
  <c r="AT131" i="32"/>
  <c r="AQ130" i="32"/>
  <c r="AR130" i="32"/>
  <c r="AS130" i="32"/>
  <c r="AT130" i="32"/>
  <c r="AQ129" i="32"/>
  <c r="AR129" i="32"/>
  <c r="AS129" i="32"/>
  <c r="AT129" i="32"/>
  <c r="AQ128" i="32"/>
  <c r="AR128" i="32"/>
  <c r="AS128" i="32"/>
  <c r="AT128" i="32"/>
  <c r="AQ127" i="32"/>
  <c r="AR127" i="32"/>
  <c r="AS127" i="32"/>
  <c r="AT127" i="32"/>
  <c r="AQ126" i="32"/>
  <c r="AR126" i="32"/>
  <c r="AS126" i="32"/>
  <c r="AT126" i="32"/>
  <c r="AQ125" i="32"/>
  <c r="AR125" i="32"/>
  <c r="AS125" i="32"/>
  <c r="AT125" i="32"/>
  <c r="AQ124" i="32"/>
  <c r="AR124" i="32"/>
  <c r="AS124" i="32"/>
  <c r="AT124" i="32"/>
  <c r="AQ123" i="32"/>
  <c r="AR123" i="32"/>
  <c r="AS123" i="32"/>
  <c r="AT123" i="32"/>
  <c r="AQ122" i="32"/>
  <c r="AR122" i="32"/>
  <c r="AS122" i="32"/>
  <c r="AT122" i="32"/>
  <c r="AQ121" i="32"/>
  <c r="AR121" i="32"/>
  <c r="AS121" i="32"/>
  <c r="AT121" i="32"/>
  <c r="AQ120" i="32"/>
  <c r="AR120" i="32"/>
  <c r="AS120" i="32"/>
  <c r="AT120" i="32"/>
  <c r="AQ119" i="32"/>
  <c r="AR119" i="32"/>
  <c r="AS119" i="32"/>
  <c r="AT119" i="32"/>
  <c r="G75" i="54"/>
  <c r="F73" i="54"/>
  <c r="D75" i="54"/>
  <c r="E75" i="54"/>
  <c r="T28" i="54"/>
  <c r="X24" i="54"/>
  <c r="L73" i="54"/>
  <c r="C74" i="54"/>
  <c r="F95" i="54"/>
  <c r="F60" i="54"/>
  <c r="G73" i="54"/>
  <c r="X23" i="54"/>
  <c r="C59" i="54"/>
  <c r="G74" i="54"/>
  <c r="F74" i="54"/>
  <c r="D59" i="54"/>
  <c r="L59" i="54"/>
  <c r="E59" i="54"/>
  <c r="G59" i="54"/>
  <c r="C73" i="54"/>
  <c r="F59" i="54"/>
  <c r="D74" i="54"/>
  <c r="E74" i="54"/>
  <c r="D60" i="54"/>
  <c r="E92" i="54"/>
  <c r="D73" i="54"/>
  <c r="E73" i="54"/>
  <c r="L86" i="54"/>
  <c r="T36" i="54"/>
  <c r="AQ53" i="32"/>
  <c r="AR53" i="32"/>
  <c r="AQ16" i="32"/>
  <c r="AQ117" i="32"/>
  <c r="AR16" i="32"/>
  <c r="AR70" i="32"/>
  <c r="AQ70" i="32"/>
  <c r="AQ99" i="32"/>
  <c r="AT16" i="32"/>
  <c r="AR14" i="32"/>
  <c r="AR107" i="32"/>
  <c r="AQ50" i="32"/>
  <c r="AR117" i="32"/>
  <c r="AS117" i="32"/>
  <c r="AS16" i="32"/>
  <c r="AQ107" i="32"/>
  <c r="AR50" i="32"/>
  <c r="AQ14" i="32"/>
  <c r="AR99" i="32"/>
  <c r="D95" i="54"/>
  <c r="AR79" i="32"/>
  <c r="AQ95" i="32"/>
  <c r="AS17" i="32"/>
  <c r="AR17" i="32"/>
  <c r="AQ89" i="32"/>
  <c r="G86" i="54"/>
  <c r="AQ67" i="32"/>
  <c r="AQ112" i="32"/>
  <c r="AT50" i="32"/>
  <c r="AS50" i="32"/>
  <c r="AT116" i="32"/>
  <c r="AR112" i="32"/>
  <c r="AQ57" i="32"/>
  <c r="AR55" i="32"/>
  <c r="AQ55" i="32"/>
  <c r="AS42" i="32"/>
  <c r="AT52" i="32"/>
  <c r="AS103" i="32"/>
  <c r="AT97" i="32"/>
  <c r="AS94" i="32"/>
  <c r="AT89" i="32"/>
  <c r="AS33" i="32"/>
  <c r="AS85" i="32"/>
  <c r="AR30" i="32"/>
  <c r="AQ29" i="32"/>
  <c r="AQ56" i="32"/>
  <c r="AT54" i="32"/>
  <c r="AQ54" i="32"/>
  <c r="AT111" i="32"/>
  <c r="AS111" i="32"/>
  <c r="AR111" i="32"/>
  <c r="AQ111" i="32"/>
  <c r="AS109" i="32"/>
  <c r="AT108" i="32"/>
  <c r="AQ108" i="32"/>
  <c r="AR106" i="32"/>
  <c r="AQ106" i="32"/>
  <c r="AT47" i="32"/>
  <c r="AQ47" i="32"/>
  <c r="AR46" i="32"/>
  <c r="AQ46" i="32"/>
  <c r="AS44" i="32"/>
  <c r="AT43" i="32"/>
  <c r="AS43" i="32"/>
  <c r="AQ43" i="32"/>
  <c r="AS98" i="32"/>
  <c r="AR98" i="32"/>
  <c r="AQ98" i="32"/>
  <c r="AT42" i="32"/>
  <c r="AR42" i="32"/>
  <c r="AR40" i="32"/>
  <c r="AS96" i="32"/>
  <c r="AT94" i="32"/>
  <c r="AR94" i="32"/>
  <c r="AQ94" i="32"/>
  <c r="AS88" i="32"/>
  <c r="AQ88" i="32"/>
  <c r="AR36" i="32"/>
  <c r="AT35" i="32"/>
  <c r="AR87" i="32"/>
  <c r="AR85" i="32"/>
  <c r="AS82" i="32"/>
  <c r="AR82" i="32"/>
  <c r="AT29" i="32"/>
  <c r="AS29" i="32"/>
  <c r="AR80" i="32"/>
  <c r="AT117" i="32"/>
  <c r="AS55" i="32"/>
  <c r="AT49" i="32"/>
  <c r="AS48" i="32"/>
  <c r="AR102" i="32"/>
  <c r="AT101" i="32"/>
  <c r="AR100" i="32"/>
  <c r="AT39" i="32"/>
  <c r="AQ39" i="32"/>
  <c r="AR38" i="32"/>
  <c r="AQ38" i="32"/>
  <c r="AR95" i="32"/>
  <c r="AR37" i="32"/>
  <c r="AS32" i="32"/>
  <c r="AT31" i="32"/>
  <c r="AS31" i="32"/>
  <c r="AR31" i="32"/>
  <c r="AQ31" i="32"/>
  <c r="AS28" i="32"/>
  <c r="AR28" i="32"/>
  <c r="AQ28" i="32"/>
  <c r="AT27" i="32"/>
  <c r="AS27" i="32"/>
  <c r="AR27" i="32"/>
  <c r="AQ27" i="32"/>
  <c r="AT26" i="32"/>
  <c r="AR23" i="32"/>
  <c r="AQ23" i="32"/>
  <c r="AS22" i="32"/>
  <c r="AR22" i="32"/>
  <c r="AQ22" i="32"/>
  <c r="AT20" i="32"/>
  <c r="AR18" i="32"/>
  <c r="AQ18" i="32"/>
  <c r="AT77" i="32"/>
  <c r="AS77" i="32"/>
  <c r="AR76" i="32"/>
  <c r="AQ76" i="32"/>
  <c r="AT15" i="32"/>
  <c r="AS15" i="32"/>
  <c r="AQ15" i="32"/>
  <c r="AS13" i="32"/>
  <c r="AR13" i="32"/>
  <c r="AT12" i="32"/>
  <c r="AS12" i="32"/>
  <c r="AR12" i="32"/>
  <c r="AQ12" i="32"/>
  <c r="AS59" i="32"/>
  <c r="AS6" i="32"/>
  <c r="AT4" i="32"/>
  <c r="AR62" i="32"/>
  <c r="AQ62" i="32"/>
  <c r="AS3" i="32"/>
  <c r="AR3" i="32"/>
  <c r="AT61" i="32"/>
  <c r="AS61" i="32"/>
  <c r="AQ61" i="32"/>
  <c r="AS106" i="32"/>
  <c r="AQ103" i="32"/>
  <c r="AS102" i="32"/>
  <c r="AQ102" i="32"/>
  <c r="AQ42" i="32"/>
  <c r="AS39" i="32"/>
  <c r="AS95" i="32"/>
  <c r="AT93" i="32"/>
  <c r="AR91" i="32"/>
  <c r="AS90" i="32"/>
  <c r="AS89" i="32"/>
  <c r="AQ37" i="32"/>
  <c r="AQ36" i="32"/>
  <c r="AT32" i="32"/>
  <c r="AQ32" i="32"/>
  <c r="AR86" i="32"/>
  <c r="AQ86" i="32"/>
  <c r="AQ85" i="32"/>
  <c r="AQ80" i="32"/>
  <c r="AS79" i="32"/>
  <c r="AT24" i="32"/>
  <c r="AS24" i="32"/>
  <c r="AQ24" i="32"/>
  <c r="AS21" i="32"/>
  <c r="AQ21" i="32"/>
  <c r="AR56" i="32"/>
  <c r="AS112" i="32"/>
  <c r="AT102" i="32"/>
  <c r="AR90" i="32"/>
  <c r="AT36" i="32"/>
  <c r="AS36" i="32"/>
  <c r="AR33" i="32"/>
  <c r="AT21" i="32"/>
  <c r="AR21" i="32"/>
  <c r="AS78" i="32"/>
  <c r="AR78" i="32"/>
  <c r="AQ77" i="32"/>
  <c r="AT75" i="32"/>
  <c r="AR73" i="32"/>
  <c r="AQ73" i="32"/>
  <c r="AS72" i="32"/>
  <c r="AR72" i="32"/>
  <c r="AR67" i="32"/>
  <c r="AT66" i="32"/>
  <c r="AS65" i="32"/>
  <c r="AR65" i="32"/>
  <c r="AR103" i="32"/>
  <c r="AR88" i="32"/>
  <c r="AT84" i="32"/>
  <c r="AR81" i="32"/>
  <c r="AQ81" i="32"/>
  <c r="AT71" i="32"/>
  <c r="AR69" i="32"/>
  <c r="AT68" i="32"/>
  <c r="AS68" i="32"/>
  <c r="AQ68" i="32"/>
  <c r="AS10" i="32"/>
  <c r="AR10" i="32"/>
  <c r="AT9" i="32"/>
  <c r="AS9" i="32"/>
  <c r="AR9" i="32"/>
  <c r="AQ9" i="32"/>
  <c r="D86" i="54"/>
  <c r="AR2" i="32"/>
  <c r="AQ2" i="32"/>
  <c r="AS69" i="32"/>
  <c r="AR7" i="32"/>
  <c r="AQ7" i="32"/>
  <c r="AT59" i="32"/>
  <c r="AQ59" i="32"/>
  <c r="AR64" i="32"/>
  <c r="AQ64" i="32"/>
  <c r="AR6" i="32"/>
  <c r="AT5" i="32"/>
  <c r="AS5" i="32"/>
  <c r="AR5" i="32"/>
  <c r="AQ5" i="32"/>
  <c r="G60" i="54"/>
  <c r="T15" i="54"/>
  <c r="E60" i="54"/>
  <c r="C86" i="54"/>
  <c r="D92" i="54"/>
  <c r="E95" i="54"/>
  <c r="AT63" i="32"/>
  <c r="AS4" i="32"/>
  <c r="AQ6" i="32"/>
  <c r="AT8" i="32"/>
  <c r="AS66" i="32"/>
  <c r="AQ10" i="32"/>
  <c r="AT11" i="32"/>
  <c r="AS71" i="32"/>
  <c r="AQ13" i="32"/>
  <c r="AT74" i="32"/>
  <c r="AS75" i="32"/>
  <c r="AQ17" i="32"/>
  <c r="AT19" i="32"/>
  <c r="AS20" i="32"/>
  <c r="AT25" i="32"/>
  <c r="AS26" i="32"/>
  <c r="AT83" i="32"/>
  <c r="AS84" i="32"/>
  <c r="AT34" i="32"/>
  <c r="AS35" i="32"/>
  <c r="AT92" i="32"/>
  <c r="AS93" i="32"/>
  <c r="AT41" i="32"/>
  <c r="AS97" i="32"/>
  <c r="AT45" i="32"/>
  <c r="AS101" i="32"/>
  <c r="AT105" i="32"/>
  <c r="AS49" i="32"/>
  <c r="AT51" i="32"/>
  <c r="AS52" i="32"/>
  <c r="AT115" i="32"/>
  <c r="AS116" i="32"/>
  <c r="C92" i="54"/>
  <c r="L92" i="54"/>
  <c r="G92" i="54"/>
  <c r="E86" i="54"/>
  <c r="G47" i="54"/>
  <c r="AS2" i="32"/>
  <c r="AQ3" i="32"/>
  <c r="AS64" i="32"/>
  <c r="AQ65" i="32"/>
  <c r="AS67" i="32"/>
  <c r="AQ69" i="32"/>
  <c r="AS14" i="32"/>
  <c r="AQ72" i="32"/>
  <c r="AS76" i="32"/>
  <c r="AQ78" i="32"/>
  <c r="AS23" i="32"/>
  <c r="AQ79" i="32"/>
  <c r="AS81" i="32"/>
  <c r="AQ82" i="32"/>
  <c r="AS86" i="32"/>
  <c r="AQ33" i="32"/>
  <c r="AS37" i="32"/>
  <c r="AQ90" i="32"/>
  <c r="AS38" i="32"/>
  <c r="AQ96" i="32"/>
  <c r="AS99" i="32"/>
  <c r="AQ44" i="32"/>
  <c r="AS46" i="32"/>
  <c r="AR47" i="32"/>
  <c r="AQ48" i="32"/>
  <c r="AS107" i="32"/>
  <c r="AR108" i="32"/>
  <c r="AQ109" i="32"/>
  <c r="AS53" i="32"/>
  <c r="AR54" i="32"/>
  <c r="AQ113" i="32"/>
  <c r="AS56" i="32"/>
  <c r="AR57" i="32"/>
  <c r="AQ118" i="32"/>
  <c r="L60" i="54"/>
  <c r="F86" i="54"/>
  <c r="C50" i="54"/>
  <c r="AQ30" i="32"/>
  <c r="AQ87" i="32"/>
  <c r="AQ91" i="32"/>
  <c r="AR96" i="32"/>
  <c r="AQ40" i="32"/>
  <c r="AR44" i="32"/>
  <c r="AQ100" i="32"/>
  <c r="AR48" i="32"/>
  <c r="AQ104" i="32"/>
  <c r="AR109" i="32"/>
  <c r="AQ110" i="32"/>
  <c r="AR113" i="32"/>
  <c r="AQ114" i="32"/>
  <c r="AS57" i="32"/>
  <c r="AR118" i="32"/>
  <c r="F92" i="54"/>
  <c r="AQ63" i="32"/>
  <c r="AQ8" i="32"/>
  <c r="AQ11" i="32"/>
  <c r="AQ74" i="32"/>
  <c r="AQ19" i="32"/>
  <c r="AQ25" i="32"/>
  <c r="AQ83" i="32"/>
  <c r="AQ34" i="32"/>
  <c r="AQ92" i="32"/>
  <c r="AQ41" i="32"/>
  <c r="AQ45" i="32"/>
  <c r="AR104" i="32"/>
  <c r="AQ105" i="32"/>
  <c r="AR110" i="32"/>
  <c r="AQ51" i="32"/>
  <c r="AS113" i="32"/>
  <c r="AR114" i="32"/>
  <c r="AQ115" i="32"/>
  <c r="AS118" i="32"/>
  <c r="G95" i="54"/>
  <c r="C60" i="54"/>
  <c r="C95" i="54"/>
  <c r="AS62" i="32"/>
  <c r="AR63" i="32"/>
  <c r="AQ4" i="32"/>
  <c r="AS7" i="32"/>
  <c r="AR8" i="32"/>
  <c r="AQ66" i="32"/>
  <c r="AS70" i="32"/>
  <c r="AR11" i="32"/>
  <c r="AQ71" i="32"/>
  <c r="AS73" i="32"/>
  <c r="AR74" i="32"/>
  <c r="AQ75" i="32"/>
  <c r="AS18" i="32"/>
  <c r="AR19" i="32"/>
  <c r="AQ20" i="32"/>
  <c r="AS80" i="32"/>
  <c r="AR25" i="32"/>
  <c r="AQ26" i="32"/>
  <c r="AS30" i="32"/>
  <c r="AR83" i="32"/>
  <c r="AQ84" i="32"/>
  <c r="AS87" i="32"/>
  <c r="AR34" i="32"/>
  <c r="AQ35" i="32"/>
  <c r="AS91" i="32"/>
  <c r="AR92" i="32"/>
  <c r="AQ93" i="32"/>
  <c r="AS40" i="32"/>
  <c r="AR41" i="32"/>
  <c r="AQ97" i="32"/>
  <c r="AS100" i="32"/>
  <c r="AR45" i="32"/>
  <c r="AQ101" i="32"/>
  <c r="AS104" i="32"/>
  <c r="AR105" i="32"/>
  <c r="AQ49" i="32"/>
  <c r="AS110" i="32"/>
  <c r="AR51" i="32"/>
  <c r="AQ52" i="32"/>
  <c r="AS114" i="32"/>
  <c r="AR115" i="32"/>
  <c r="AQ116" i="32"/>
  <c r="L95" i="54"/>
  <c r="L104" i="54"/>
  <c r="L111" i="54" s="1"/>
  <c r="T37" i="54"/>
  <c r="C47" i="54"/>
  <c r="D47" i="54"/>
  <c r="E47" i="54"/>
  <c r="F47" i="54"/>
  <c r="AQ60" i="32"/>
  <c r="AR60" i="32"/>
  <c r="AS60" i="32"/>
  <c r="H110" i="54"/>
  <c r="H109" i="54"/>
  <c r="K2" i="49" a="1"/>
  <c r="K2" i="49" s="1"/>
  <c r="AM60" i="32"/>
  <c r="AN60" i="32"/>
  <c r="F2" i="49" a="1"/>
  <c r="F2" i="49" s="1"/>
  <c r="F68" i="54" l="1"/>
  <c r="F67" i="54"/>
  <c r="C68" i="54"/>
  <c r="E68" i="54"/>
  <c r="D67" i="54"/>
  <c r="L67" i="54"/>
  <c r="D66" i="54"/>
  <c r="D68" i="54"/>
  <c r="C66" i="54"/>
  <c r="G67" i="54"/>
  <c r="F66" i="54"/>
  <c r="G66" i="54"/>
  <c r="E66" i="54"/>
  <c r="E67" i="54"/>
  <c r="L66" i="54"/>
  <c r="G68" i="54"/>
  <c r="C67" i="54"/>
  <c r="L68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<sst xmlns="http://schemas.openxmlformats.org/spreadsheetml/2006/main" count="4668" uniqueCount="865">
  <si>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</si>
  <si>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</si>
  <si>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</si>
  <si>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</si>
  <si>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</si>
  <si>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</si>
  <si>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</si>
  <si>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</si>
  <si>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</si>
  <si>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</si>
  <si>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</si>
  <si>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</si>
  <si>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</si>
  <si>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</si>
  <si>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</si>
  <si>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</si>
  <si>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</si>
  <si>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</si>
  <si>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</si>
  <si>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</si>
  <si>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</si>
  <si>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</si>
  <si>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</si>
  <si>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</si>
  <si>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</si>
  <si>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</si>
  <si>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</si>
  <si>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</si>
  <si>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</si>
  <si>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</si>
  <si>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</si>
  <si>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</si>
  <si>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</si>
  <si>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</si>
  <si>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</si>
  <si>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</si>
  <si>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</si>
  <si>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</si>
  <si>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</si>
  <si>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</si>
  <si>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</si>
  <si>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</si>
  <si>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</si>
  <si>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</si>
  <si>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</si>
  <si>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</si>
  <si>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</si>
  <si>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</si>
  <si>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</si>
  <si>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</si>
  <si>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ALEXSANDRA SOUZA LIMA</t>
  </si>
  <si>
    <t>F</t>
  </si>
  <si>
    <t>SP</t>
  </si>
  <si>
    <t>CAMPINAS</t>
  </si>
  <si>
    <t>NÍVEL 80</t>
  </si>
  <si>
    <t>19-996280205</t>
  </si>
  <si>
    <t>Equipe cmdp</t>
  </si>
  <si>
    <t>1. Aceitou o programa</t>
  </si>
  <si>
    <t>Contato Com Sucesso</t>
  </si>
  <si>
    <t>Ativo</t>
  </si>
  <si>
    <t>Não se aplica</t>
  </si>
  <si>
    <t>Agendada</t>
  </si>
  <si>
    <t xml:space="preserve">Sim </t>
  </si>
  <si>
    <t>Sim</t>
  </si>
  <si>
    <t>Renal</t>
  </si>
  <si>
    <t>CELY BARRETO DA SILVA</t>
  </si>
  <si>
    <t>SAO PAULO</t>
  </si>
  <si>
    <t>NÍVEL 750</t>
  </si>
  <si>
    <t>11-996645121</t>
  </si>
  <si>
    <t>Realizada</t>
  </si>
  <si>
    <t>LUCIELEN PAMELA DA SILVA MIRANDA</t>
  </si>
  <si>
    <t>AMERICANA</t>
  </si>
  <si>
    <t>19-991539553</t>
  </si>
  <si>
    <t>LUIZ GUILHERME GIOIA</t>
  </si>
  <si>
    <t>M</t>
  </si>
  <si>
    <t>RJ</t>
  </si>
  <si>
    <t>RIO DE JANEIRO</t>
  </si>
  <si>
    <t>21-975472741</t>
  </si>
  <si>
    <t>MARIA LUCIA MARTINS SOARES</t>
  </si>
  <si>
    <t>SUZANO</t>
  </si>
  <si>
    <t>NÍVEL 60</t>
  </si>
  <si>
    <t>11-984842289</t>
  </si>
  <si>
    <t>RAFAEL SANTOS DE OLIVEIRA</t>
  </si>
  <si>
    <t>POA</t>
  </si>
  <si>
    <t>11-948499372</t>
  </si>
  <si>
    <t>SABRINA CRISTINA PIRES PERPETUO</t>
  </si>
  <si>
    <t>ITAPEVI</t>
  </si>
  <si>
    <t>11-915282800</t>
  </si>
  <si>
    <t>TAIS NOVAES GONCALVES</t>
  </si>
  <si>
    <t>11-963173039</t>
  </si>
  <si>
    <t>TATIANA LIMA AIELLO DE CASTRO CRUZ</t>
  </si>
  <si>
    <t>NÍVEL 50</t>
  </si>
  <si>
    <t>11-961005122</t>
  </si>
  <si>
    <t xml:space="preserve">Baixa </t>
  </si>
  <si>
    <t>Interno - Amil Geral</t>
  </si>
  <si>
    <t>Em Investigação</t>
  </si>
  <si>
    <t>AILTON DE ABREU</t>
  </si>
  <si>
    <t>NÍVEL 500</t>
  </si>
  <si>
    <t>11-998307456</t>
  </si>
  <si>
    <t xml:space="preserve">Média </t>
  </si>
  <si>
    <t>Externo - Geral</t>
  </si>
  <si>
    <t>ALEXANDRE TADEU REBOUCAS</t>
  </si>
  <si>
    <t>11-963803543</t>
  </si>
  <si>
    <t>ALFREDO GUSTAVO JAESS DA SILVA</t>
  </si>
  <si>
    <t>NÍVEL 600</t>
  </si>
  <si>
    <t>11-992529797</t>
  </si>
  <si>
    <t>ALINE CRISTINAE MARIANO CARDOSO</t>
  </si>
  <si>
    <t>GUARULHOS</t>
  </si>
  <si>
    <t>NÍVEL 100</t>
  </si>
  <si>
    <t>11-974116733</t>
  </si>
  <si>
    <t>ANA LUCIA DA SILVA SIMOES</t>
  </si>
  <si>
    <t>NÍVEL 380</t>
  </si>
  <si>
    <t>21-985678908</t>
  </si>
  <si>
    <t>APARECIDA ROSANGELA MARINHO</t>
  </si>
  <si>
    <t>11-950885523</t>
  </si>
  <si>
    <t xml:space="preserve">Não realizada - Falta </t>
  </si>
  <si>
    <t>ARTUR DOS SANTOS NASCIMENTO</t>
  </si>
  <si>
    <t>NÍVEL 300</t>
  </si>
  <si>
    <t>11-998645836</t>
  </si>
  <si>
    <t>DAIANE CRISTINA DE PASSOS</t>
  </si>
  <si>
    <t>NAZARE PAULISTA</t>
  </si>
  <si>
    <t>NÍVEL 400</t>
  </si>
  <si>
    <t>11-995179054</t>
  </si>
  <si>
    <t>DANIEL DA CRUZ PRIMITIVO</t>
  </si>
  <si>
    <t>11-976183119</t>
  </si>
  <si>
    <t>DERALDO SARAIVA LIBARINO</t>
  </si>
  <si>
    <t>11-981259770</t>
  </si>
  <si>
    <t>DIRCE FERNANDES PEREIRA ZAGO</t>
  </si>
  <si>
    <t>11-980932294</t>
  </si>
  <si>
    <t>EDUARDO NICOLAU</t>
  </si>
  <si>
    <t>NITEROI</t>
  </si>
  <si>
    <t>21-972149708</t>
  </si>
  <si>
    <t>EDUARDO WATACABE</t>
  </si>
  <si>
    <t>11-984622201</t>
  </si>
  <si>
    <t>ELEZ NURBEGOVIC</t>
  </si>
  <si>
    <t>11-984890098</t>
  </si>
  <si>
    <t>ELIE MULUMBA MUNGEDI</t>
  </si>
  <si>
    <t>DF</t>
  </si>
  <si>
    <t>BRASILIA</t>
  </si>
  <si>
    <t>61-981330253</t>
  </si>
  <si>
    <t>ERASMO BRAGA</t>
  </si>
  <si>
    <t>11-993258615</t>
  </si>
  <si>
    <t>ERENILDE PURCINA DA SILVA</t>
  </si>
  <si>
    <t>11-959593815</t>
  </si>
  <si>
    <t>ERICA KLATT DE MIRANDA</t>
  </si>
  <si>
    <t>21-970015770</t>
  </si>
  <si>
    <t>GERALDO ARTES MORENO</t>
  </si>
  <si>
    <t>11-989629570</t>
  </si>
  <si>
    <t>GISELLE LUIZ CALDAS</t>
  </si>
  <si>
    <t>NÍVEL 580</t>
  </si>
  <si>
    <t>21-964584089</t>
  </si>
  <si>
    <t>HELIO LEVISKY</t>
  </si>
  <si>
    <t>11-999041373</t>
  </si>
  <si>
    <t>JANAINA SUVOBIDA DE CARVALHO MELO</t>
  </si>
  <si>
    <t>21-970466105</t>
  </si>
  <si>
    <t>JOAO CARLOS MOREIRA DE FARIA</t>
  </si>
  <si>
    <t>21-966674505</t>
  </si>
  <si>
    <t>JOAO JOSE DA SILVA</t>
  </si>
  <si>
    <t>DUQUE DE CAXIAS</t>
  </si>
  <si>
    <t>21-973896688</t>
  </si>
  <si>
    <t>JOSE CALDEIRA CARDOSO FILHO</t>
  </si>
  <si>
    <t>85-988332482</t>
  </si>
  <si>
    <t>JOSE EVERALDO ELIAS</t>
  </si>
  <si>
    <t>11-968074208</t>
  </si>
  <si>
    <t>JOSE LUIZ BRUNI</t>
  </si>
  <si>
    <t>NÍVEL 800</t>
  </si>
  <si>
    <t>11-917498311</t>
  </si>
  <si>
    <t>LUCIANO LOPES DO CARMO</t>
  </si>
  <si>
    <t>NÍVEL 450</t>
  </si>
  <si>
    <t>11-966735498</t>
  </si>
  <si>
    <t>LUIZ CARLOS LILO LOPES</t>
  </si>
  <si>
    <t>11-945194977</t>
  </si>
  <si>
    <t>LUIZ FERNANDO NERI DOS SANTOS</t>
  </si>
  <si>
    <t>NÍVEL 40</t>
  </si>
  <si>
    <t>11-973311001</t>
  </si>
  <si>
    <t>MANOEL FRANCISCO RODRIGUES TANQUE</t>
  </si>
  <si>
    <t>SANTOS</t>
  </si>
  <si>
    <t>13-974113792</t>
  </si>
  <si>
    <t>MARCELO TRIANS FERNANDES</t>
  </si>
  <si>
    <t>21-999864695</t>
  </si>
  <si>
    <t>MARCOS ANTONIO DE SOUZA</t>
  </si>
  <si>
    <t>11-999004467</t>
  </si>
  <si>
    <t>MARCOS ANTONIO VERNILLE</t>
  </si>
  <si>
    <t>11-981416491</t>
  </si>
  <si>
    <t>MARIA ANGELA DA SILVA</t>
  </si>
  <si>
    <t>11-964540939</t>
  </si>
  <si>
    <t>MARIA RODRIGUES DE CASTRO</t>
  </si>
  <si>
    <t>11-994112921</t>
  </si>
  <si>
    <t>MARIA SANCHES ALTERO</t>
  </si>
  <si>
    <t>11-971840151</t>
  </si>
  <si>
    <t>MARIONICE SUZANO JERONIMO</t>
  </si>
  <si>
    <t>11-995995137</t>
  </si>
  <si>
    <t>MIGUEL GUILHERME DE SOUSA</t>
  </si>
  <si>
    <t>SAO BERNARDO DO CAMPO</t>
  </si>
  <si>
    <t>11-940318506</t>
  </si>
  <si>
    <t>NEUSA SUGAHARA EMI</t>
  </si>
  <si>
    <t>11-945961846</t>
  </si>
  <si>
    <t>Confirmado</t>
  </si>
  <si>
    <t>RENATO DE LEMOS BASILIO</t>
  </si>
  <si>
    <t>11-995532627</t>
  </si>
  <si>
    <t>ROBERTO JULIAO DA SILVA</t>
  </si>
  <si>
    <t>EMBU-GUAÇU</t>
  </si>
  <si>
    <t>11-967421362</t>
  </si>
  <si>
    <t>SIRLEIDE OLIVEIRA NERES DA CONCEICAO</t>
  </si>
  <si>
    <t>FRANCO DA ROCHA</t>
  </si>
  <si>
    <t>11-945924138</t>
  </si>
  <si>
    <t>TANIA CABRAL PRATI URSINI</t>
  </si>
  <si>
    <t>11-979765788</t>
  </si>
  <si>
    <t>VINICIUS BRANDAO FILHO</t>
  </si>
  <si>
    <t>21-989991916</t>
  </si>
  <si>
    <t>VINICIUS DO NASCIMENTO FONTES</t>
  </si>
  <si>
    <t>SAO JOAO DE MERITI</t>
  </si>
  <si>
    <t>NÍVEL 200</t>
  </si>
  <si>
    <t>21-985046163</t>
  </si>
  <si>
    <t>VIVIAN NEVES IZIDORO</t>
  </si>
  <si>
    <t>SANTO ANDRE</t>
  </si>
  <si>
    <t>11-974099257</t>
  </si>
  <si>
    <t xml:space="preserve">Captação + Navegação </t>
  </si>
  <si>
    <t>SIDNEI SOARES DO ROSARIO</t>
  </si>
  <si>
    <t>895.043.727-91</t>
  </si>
  <si>
    <t>JACAREPAGUA</t>
  </si>
  <si>
    <t>MARIETE CELINA ARAO GONCALVES</t>
  </si>
  <si>
    <t>11-992068791</t>
  </si>
  <si>
    <t>4. Inelegível fora do escopo</t>
  </si>
  <si>
    <t>Fora da Linha</t>
  </si>
  <si>
    <t>Negativo</t>
  </si>
  <si>
    <t>Desflagado</t>
  </si>
  <si>
    <t>ALAIN NADEAU</t>
  </si>
  <si>
    <t>11-992533296</t>
  </si>
  <si>
    <t>6. Contato sem sucesso</t>
  </si>
  <si>
    <t>Contato Sem Sucesso</t>
  </si>
  <si>
    <t>ANISIO TONON</t>
  </si>
  <si>
    <t>11-976776549</t>
  </si>
  <si>
    <t>FAUSTO LUIZ LACANNA</t>
  </si>
  <si>
    <t>11-999523970</t>
  </si>
  <si>
    <t>FLAVIO RENATO FLORENCIO DE ALMEIDA</t>
  </si>
  <si>
    <t>11-963951500</t>
  </si>
  <si>
    <t>MARIA SILVIA FRUTUOSO DE AGUIAR ANICETO</t>
  </si>
  <si>
    <t>11-99589542</t>
  </si>
  <si>
    <t>MAYARA NUNES DA SILVA</t>
  </si>
  <si>
    <t>11-969409645</t>
  </si>
  <si>
    <t>SIDNEI APARECIDO SIMOES</t>
  </si>
  <si>
    <t>11-982890357</t>
  </si>
  <si>
    <t>WILLAMS GARCIA DE OLIVEIRA</t>
  </si>
  <si>
    <t>11-988162076</t>
  </si>
  <si>
    <t>WILLIAM JOSE DE SOUZA ARAUJO</t>
  </si>
  <si>
    <t>11-965896523</t>
  </si>
  <si>
    <t>ADAIL DOMINGOS DE AZEVEDO</t>
  </si>
  <si>
    <t>61-991877000</t>
  </si>
  <si>
    <t>ADILSON MANGILI</t>
  </si>
  <si>
    <t>11-991319494</t>
  </si>
  <si>
    <t>ALCILIA APARECIDA ALVES</t>
  </si>
  <si>
    <t>11-992877602</t>
  </si>
  <si>
    <t>ANDREA PAULA BATISTA MANFRINATO TEIXEIRA</t>
  </si>
  <si>
    <t>11-998391968</t>
  </si>
  <si>
    <t>ANTONIO BRUNO DA SILVA GONCALVES</t>
  </si>
  <si>
    <t>SAO VICENTE</t>
  </si>
  <si>
    <t>13-991540668</t>
  </si>
  <si>
    <t>ANTONIO DE MELLO</t>
  </si>
  <si>
    <t>OSASCO</t>
  </si>
  <si>
    <t>11-971856831</t>
  </si>
  <si>
    <t>APARECIDA MARIA LINDOR FERREIRA</t>
  </si>
  <si>
    <t>11-953881448</t>
  </si>
  <si>
    <t>BEATRIZ DE SOUZA BARRETO</t>
  </si>
  <si>
    <t>11-981332447</t>
  </si>
  <si>
    <t>CHARIFEH KADRI CONIGERO</t>
  </si>
  <si>
    <t>11-997882884</t>
  </si>
  <si>
    <t>CREONICE FOGACA BATISTA</t>
  </si>
  <si>
    <t>11-994342391</t>
  </si>
  <si>
    <t>ELIANE RIBEIRO MENDES REGINALDO</t>
  </si>
  <si>
    <t>11-968010126</t>
  </si>
  <si>
    <t>ELIAS JOSE CATTACH</t>
  </si>
  <si>
    <t>11-991711218</t>
  </si>
  <si>
    <t>FRANCISCO CARLOS DE MORAES</t>
  </si>
  <si>
    <t>11-996522024</t>
  </si>
  <si>
    <t>GERALDO PEREIRA DE VASCONCELOS</t>
  </si>
  <si>
    <t>11-982260493</t>
  </si>
  <si>
    <t>GIULIA DO NASCIMENTO ALVES DE SOUZA</t>
  </si>
  <si>
    <t>21-985800977</t>
  </si>
  <si>
    <t>HANNA GHARIB</t>
  </si>
  <si>
    <t>NÍVEL 700</t>
  </si>
  <si>
    <t>11-996183236</t>
  </si>
  <si>
    <t>HELIO XAVIER ANTUNES</t>
  </si>
  <si>
    <t>11-932443555</t>
  </si>
  <si>
    <t>JAMIL SYRIO JUNIOR</t>
  </si>
  <si>
    <t>11-974679240</t>
  </si>
  <si>
    <t>JOAO HENRIQUE SEBASTIAO</t>
  </si>
  <si>
    <t>11-985436775</t>
  </si>
  <si>
    <t>JOSE JOAQUIM DE SOUSA</t>
  </si>
  <si>
    <t>11-999358848</t>
  </si>
  <si>
    <t>JOSE MANGUEIRA</t>
  </si>
  <si>
    <t>11-947762633</t>
  </si>
  <si>
    <t>JOSE MONTEIRO MARQUES</t>
  </si>
  <si>
    <t>11-944412220</t>
  </si>
  <si>
    <t>JULIA BARROS FORTES</t>
  </si>
  <si>
    <t>11-974043540</t>
  </si>
  <si>
    <t>JULIANA PEREIRA DE OLIVEIRA</t>
  </si>
  <si>
    <t>11-930021508</t>
  </si>
  <si>
    <t>KAMILA DE OLIVEIRA DE SOUZA</t>
  </si>
  <si>
    <t>11-983669577</t>
  </si>
  <si>
    <t>KAZUMA YAMAGISHI</t>
  </si>
  <si>
    <t>11-982234602</t>
  </si>
  <si>
    <t>LARISSA CRISTINA DA SILVA</t>
  </si>
  <si>
    <t>11-970503635</t>
  </si>
  <si>
    <t>LUIZ FERNANDO FIGUEIREDO BEZERRA</t>
  </si>
  <si>
    <t>21-985241456</t>
  </si>
  <si>
    <t>MARCELO SALES RIBEIRO</t>
  </si>
  <si>
    <t>11-968788568</t>
  </si>
  <si>
    <t>MARCO AURELIO DE SOUZA SPIEGEL</t>
  </si>
  <si>
    <t>21-984025522</t>
  </si>
  <si>
    <t>MARCO AURELIO MURO ARBULU</t>
  </si>
  <si>
    <t>MOGI DAS CRUZES</t>
  </si>
  <si>
    <t>11-978800738</t>
  </si>
  <si>
    <t>MARCOS BUCKENTIN BRUZZI</t>
  </si>
  <si>
    <t>21-996437399</t>
  </si>
  <si>
    <t>MARIA BARLETTA FERREIRA</t>
  </si>
  <si>
    <t>35-988587927</t>
  </si>
  <si>
    <t>MARIA GRACIENE ARAUJO SILVA DO CARMO</t>
  </si>
  <si>
    <t>21-985942191</t>
  </si>
  <si>
    <t>MARIA HELENA SANTANA BESERRA</t>
  </si>
  <si>
    <t>61-991741633</t>
  </si>
  <si>
    <t>MARLI DA SILVA VELOSO</t>
  </si>
  <si>
    <t>21-970038786</t>
  </si>
  <si>
    <t>MASSAKO TAIRA</t>
  </si>
  <si>
    <t>61-996942363</t>
  </si>
  <si>
    <t>PAULO CESAR DALESSIO</t>
  </si>
  <si>
    <t>11-992853357</t>
  </si>
  <si>
    <t>PAULO MAMORO FUKUSHIMA</t>
  </si>
  <si>
    <t>11-982790329</t>
  </si>
  <si>
    <t>PAULO SERGIO GODENY</t>
  </si>
  <si>
    <t>11-999522001</t>
  </si>
  <si>
    <t>PETERSON MONTEIRO DE LIMA</t>
  </si>
  <si>
    <t>11-986782548</t>
  </si>
  <si>
    <t>RAFAEL FERRAREZI</t>
  </si>
  <si>
    <t>11-947321018</t>
  </si>
  <si>
    <t>ROSELENE ORTEGA DOS SANTOS</t>
  </si>
  <si>
    <t>11-96573-0934</t>
  </si>
  <si>
    <t>SIDNEY PACO VILARIM</t>
  </si>
  <si>
    <t>11-947666796</t>
  </si>
  <si>
    <t>TATIANA CRUZ DE JESUS</t>
  </si>
  <si>
    <t>11-961797935</t>
  </si>
  <si>
    <t>TEREZINHA MARTINS BISPO</t>
  </si>
  <si>
    <t>61-986628422</t>
  </si>
  <si>
    <t>VALDELICE HERMINIO DOS SANTOS</t>
  </si>
  <si>
    <t>CARAPICUIBA</t>
  </si>
  <si>
    <t>11-976096796</t>
  </si>
  <si>
    <t>VALMIR MATHEUS BENEDICTO</t>
  </si>
  <si>
    <t>NÍVEL 110</t>
  </si>
  <si>
    <t>11-995966473</t>
  </si>
  <si>
    <t>VERONICA SATSUE HERATA</t>
  </si>
  <si>
    <t>11-969241044</t>
  </si>
  <si>
    <t xml:space="preserve">Navegação </t>
  </si>
  <si>
    <t>451261038</t>
  </si>
  <si>
    <t>RENATA DE GIACOMO SALLES</t>
  </si>
  <si>
    <t>VILA SANTANA</t>
  </si>
  <si>
    <t>AIMEE FISCH</t>
  </si>
  <si>
    <t>440.395.907-59</t>
  </si>
  <si>
    <t>TIJUCA</t>
  </si>
  <si>
    <t>7. Em fase de captação</t>
  </si>
  <si>
    <t>Inativo</t>
  </si>
  <si>
    <t>ALBERTO AVELINO FRAMBACH NETO</t>
  </si>
  <si>
    <t>734.194.607-59</t>
  </si>
  <si>
    <t>MEIER</t>
  </si>
  <si>
    <t>ALVARO ARNAUD DE PAIVA</t>
  </si>
  <si>
    <t>111.644.767-34</t>
  </si>
  <si>
    <t>FLAMENGO</t>
  </si>
  <si>
    <t>ANA MARIA DE CARVALHO CORREA</t>
  </si>
  <si>
    <t>735.281.457-49</t>
  </si>
  <si>
    <t>OLARIA</t>
  </si>
  <si>
    <t>ANDREA PINHEIRO MENDES DA COSTA</t>
  </si>
  <si>
    <t>975.086.837-49</t>
  </si>
  <si>
    <t>HUMAITA</t>
  </si>
  <si>
    <t>ANTONIO CARLOS MENDONCA FURTADO</t>
  </si>
  <si>
    <t>266.003.407-97</t>
  </si>
  <si>
    <t>FREGUESIA (JACAREPAGUA)</t>
  </si>
  <si>
    <t>ANTONIO CESAR CABALEIRO</t>
  </si>
  <si>
    <t>723.132.857-15</t>
  </si>
  <si>
    <t>VILA VALQUEIRE</t>
  </si>
  <si>
    <t>ANTONIO MARCO COSTA OLIVEIRA</t>
  </si>
  <si>
    <t>052.193.367-62</t>
  </si>
  <si>
    <t>COPACABANA</t>
  </si>
  <si>
    <t>3. Recusa por falta de interesse</t>
  </si>
  <si>
    <t>AURELINA CALDAS BLANCO</t>
  </si>
  <si>
    <t>401.190.337-04</t>
  </si>
  <si>
    <t>CAMPO GRANDE</t>
  </si>
  <si>
    <t>AZENY TEREZINHA BORGES PAIM PAMPLONA</t>
  </si>
  <si>
    <t>001.592.471-87</t>
  </si>
  <si>
    <t>CARLA ROCHA MOREIRA DA SILVA</t>
  </si>
  <si>
    <t>124.341.697-16</t>
  </si>
  <si>
    <t>PENHA CIRCULAR</t>
  </si>
  <si>
    <t>CARLOS AUGUSTO VASCONCELOS REIS</t>
  </si>
  <si>
    <t>829.492.127-00</t>
  </si>
  <si>
    <t>CENTRO</t>
  </si>
  <si>
    <t>CARLOS EDUARDO LOPES PINHEIRO</t>
  </si>
  <si>
    <t>827.414.507-06</t>
  </si>
  <si>
    <t>2196409-6432</t>
  </si>
  <si>
    <t>CARLOS HENRIQUE ANDRADE PINHEIRO</t>
  </si>
  <si>
    <t>269.257.703-59</t>
  </si>
  <si>
    <t>GUARATIBA</t>
  </si>
  <si>
    <t>NÍVEL 75</t>
  </si>
  <si>
    <t>CARLOS ROBERTO MARQUES DOS SANTOS</t>
  </si>
  <si>
    <t>070.343.347-49</t>
  </si>
  <si>
    <t>JARDIM SULACAP</t>
  </si>
  <si>
    <t>CESAR CAGNARELLI FORTUNATO</t>
  </si>
  <si>
    <t>600.734.627-72</t>
  </si>
  <si>
    <t>CLOVIS CARNEIRO DA SILVA JUNIOR</t>
  </si>
  <si>
    <t>771.593.067-91</t>
  </si>
  <si>
    <t>PRAÃ‡A SECA</t>
  </si>
  <si>
    <t>CRISTIANE OGNIBENI FONTANA</t>
  </si>
  <si>
    <t>025.991.227-16</t>
  </si>
  <si>
    <t>BOTAFOGO</t>
  </si>
  <si>
    <t>DERALDO CORREIA CALDAS</t>
  </si>
  <si>
    <t>412.137.005-82</t>
  </si>
  <si>
    <t>BARRA DA TIJUCA</t>
  </si>
  <si>
    <t>DIANA DA SILVA MOREIRA</t>
  </si>
  <si>
    <t>505.902.277-34</t>
  </si>
  <si>
    <t>GRAJAU</t>
  </si>
  <si>
    <t>EDUARDA DAMIAO NOGUEIRA</t>
  </si>
  <si>
    <t>208.079.007-29</t>
  </si>
  <si>
    <t>ANIL</t>
  </si>
  <si>
    <t>EDWARD HISSANORI UEHARA</t>
  </si>
  <si>
    <t>725.154.737-68</t>
  </si>
  <si>
    <t>JARDIM GUANABARA</t>
  </si>
  <si>
    <t>ELIANE DE SOUZA FERREIRA DA ROCHA</t>
  </si>
  <si>
    <t>459.853.167-34</t>
  </si>
  <si>
    <t>RAMOS</t>
  </si>
  <si>
    <t>ELIANE FERREIRA DE SOUZA EUGENIO</t>
  </si>
  <si>
    <t>010.914.377-93</t>
  </si>
  <si>
    <t>ENIO SANTOS DEFRANCO MANSO</t>
  </si>
  <si>
    <t>119.498.637-43</t>
  </si>
  <si>
    <t>ESTACIO</t>
  </si>
  <si>
    <t>ERIDAN DE OLIVEIRA MAIA FILHO</t>
  </si>
  <si>
    <t>385.965.807-78</t>
  </si>
  <si>
    <t>MARECHAL HERMES</t>
  </si>
  <si>
    <t>EVANILDO RIBEIRO DE SOUSA</t>
  </si>
  <si>
    <t>484.017.813-53</t>
  </si>
  <si>
    <t>SAUDE</t>
  </si>
  <si>
    <t>FRANCISCO DE ASSIS FONSECA RODRIGUES</t>
  </si>
  <si>
    <t>591.880.497-87</t>
  </si>
  <si>
    <t>TAQUARA</t>
  </si>
  <si>
    <t>FRANCISCO NUNES PEREIRA</t>
  </si>
  <si>
    <t>926.430.947-00</t>
  </si>
  <si>
    <t>DEL CASTILHO</t>
  </si>
  <si>
    <t>GABRIEL BOLOGNA MARTELLOZZO MENDES</t>
  </si>
  <si>
    <t>474.770.728-08</t>
  </si>
  <si>
    <t>JARDIM MARILU</t>
  </si>
  <si>
    <t>GERALDO CORREIA DE MENESES FILHO</t>
  </si>
  <si>
    <t>635.686.754-04</t>
  </si>
  <si>
    <t>NÍVEL 120</t>
  </si>
  <si>
    <t>GILBERTO DE OLIVEIRA PAVAO</t>
  </si>
  <si>
    <t>103.440.477-68</t>
  </si>
  <si>
    <t>CACHAMBI</t>
  </si>
  <si>
    <t>GUSTAVO HENRIQUE CORREA PUGA</t>
  </si>
  <si>
    <t>689.129.607-25</t>
  </si>
  <si>
    <t>HUMBERTO DANTAS DE CARVALHO</t>
  </si>
  <si>
    <t>308.776.527-91</t>
  </si>
  <si>
    <t>ITALO FAZIO</t>
  </si>
  <si>
    <t>400.178.427-00</t>
  </si>
  <si>
    <t>JAIME PEREIRA DA CUNHA</t>
  </si>
  <si>
    <t>009.510.487-91</t>
  </si>
  <si>
    <t>JOAO PERNET DOS GUARANYS ANTAS</t>
  </si>
  <si>
    <t>145.647.087-67</t>
  </si>
  <si>
    <t>RECREIO DOS BANDEIRANTES</t>
  </si>
  <si>
    <t>JOAQUIM ANTUNES</t>
  </si>
  <si>
    <t>499.243.706-00</t>
  </si>
  <si>
    <t>VARGEM GRANDE</t>
  </si>
  <si>
    <t>JORGE HORACIO DA CUNHA</t>
  </si>
  <si>
    <t>175.624.907-59</t>
  </si>
  <si>
    <t>JOSE ANTONIO LOPES DE NORONHA</t>
  </si>
  <si>
    <t>190.940.007-68</t>
  </si>
  <si>
    <t>JOSE FREDERICO SOUZA FERNANDES JUNIOR</t>
  </si>
  <si>
    <t>010.377.217-05</t>
  </si>
  <si>
    <t>JOSE LEANDRO DE PAULA NUNES</t>
  </si>
  <si>
    <t>052.208.107-07</t>
  </si>
  <si>
    <t>BENFICA</t>
  </si>
  <si>
    <t>JOSE MARCIO VIEIRA DE AGUIAR</t>
  </si>
  <si>
    <t>673.063.817-68</t>
  </si>
  <si>
    <t>JOSE VENANCIO DA SILVA</t>
  </si>
  <si>
    <t>295.478.814-34</t>
  </si>
  <si>
    <t>JOSEFA CZARNESKI</t>
  </si>
  <si>
    <t>587.879.849-20</t>
  </si>
  <si>
    <t>VILA SAO FRANCISCO (ZONA SUL)</t>
  </si>
  <si>
    <t>JOVELINA MENDES DE SOUZA</t>
  </si>
  <si>
    <t>824.997.217-15</t>
  </si>
  <si>
    <t>JARDIM BOTANICO</t>
  </si>
  <si>
    <t>JULIA RAMOS DAMASO</t>
  </si>
  <si>
    <t>163.276.847-00</t>
  </si>
  <si>
    <t>JULIETA FONTENELE DA SILVA SANTOS</t>
  </si>
  <si>
    <t>033.442.237-04</t>
  </si>
  <si>
    <t>LEBLON</t>
  </si>
  <si>
    <t>KARINA ALVES DE JESUS</t>
  </si>
  <si>
    <t>104.086.827-44</t>
  </si>
  <si>
    <t>LEOCADIO PIRES DE OLIVEIRA</t>
  </si>
  <si>
    <t>042.566.977-72</t>
  </si>
  <si>
    <t>MARACANA</t>
  </si>
  <si>
    <t>LETICIA SANTOS MARTINS</t>
  </si>
  <si>
    <t>028.428.933-79</t>
  </si>
  <si>
    <t>BELA VISTA</t>
  </si>
  <si>
    <t>LUCIO MAURO REIS DA COSTA</t>
  </si>
  <si>
    <t>023.434.537-30</t>
  </si>
  <si>
    <t>SANTA TERESA</t>
  </si>
  <si>
    <t>LUIS CLAUDIO DE MEDEIROS TELES</t>
  </si>
  <si>
    <t>635.232.567-04</t>
  </si>
  <si>
    <t>LUIZ CARLOS FERREIRA DOS SANTOS</t>
  </si>
  <si>
    <t>750.187.217-15</t>
  </si>
  <si>
    <t>LUIZ CARLOS RODRIGUES DIAS</t>
  </si>
  <si>
    <t>068.833.467-91</t>
  </si>
  <si>
    <t>LUIZ FELIPE MELLO DA SILVA</t>
  </si>
  <si>
    <t>093.340.337-20</t>
  </si>
  <si>
    <t>NAO INFORMADO</t>
  </si>
  <si>
    <t>LUIZ FERNANDO DE SOUZA</t>
  </si>
  <si>
    <t>102.136.194-15</t>
  </si>
  <si>
    <t>LUIZA ROCHA REIS</t>
  </si>
  <si>
    <t>148.244.687-10</t>
  </si>
  <si>
    <t>MANOEL DA SILVA</t>
  </si>
  <si>
    <t>261.617.537-15</t>
  </si>
  <si>
    <t>LINS DE VASCONCELOS</t>
  </si>
  <si>
    <t>MARCELO GABRIEL OLIVEIRA DE BRITO</t>
  </si>
  <si>
    <t>108.253.747-07</t>
  </si>
  <si>
    <t>MARCIO LEANDRO CAMELO DE FARIAS</t>
  </si>
  <si>
    <t>100.356.837-83</t>
  </si>
  <si>
    <t>CORDOVIL</t>
  </si>
  <si>
    <t>MARCIO VIEIRA FIGUEIREDO</t>
  </si>
  <si>
    <t>096.154.637-95</t>
  </si>
  <si>
    <t>MARIA APARECIDA DE VRIES MARSICO</t>
  </si>
  <si>
    <t>509.350.547-15</t>
  </si>
  <si>
    <t>IPANEMA</t>
  </si>
  <si>
    <t>MARIA CLARA PRADO DE REZENDE</t>
  </si>
  <si>
    <t>097.679.847-63</t>
  </si>
  <si>
    <t>MARIA DA PENHA CARDOSO CORDEIRO SANCHES</t>
  </si>
  <si>
    <t>456.362.147-15</t>
  </si>
  <si>
    <t>MARIA DO CARMO SILVA</t>
  </si>
  <si>
    <t>733.183.617-04</t>
  </si>
  <si>
    <t>QUINTINO BOCAIUVA</t>
  </si>
  <si>
    <t>MARIA LUCIA MENDES</t>
  </si>
  <si>
    <t>312.524.517-68</t>
  </si>
  <si>
    <t>MARIA MIRTES MARQUES AMORIM</t>
  </si>
  <si>
    <t>370.754.707-87</t>
  </si>
  <si>
    <t>MARIANA GUERRA E SOUZA</t>
  </si>
  <si>
    <t>045.941.376-79</t>
  </si>
  <si>
    <t>MASSATOSHI HATAKEYAMA</t>
  </si>
  <si>
    <t>079.318.407-04</t>
  </si>
  <si>
    <t>MAURICIO SOARES MESSERE</t>
  </si>
  <si>
    <t>011.549.387-51</t>
  </si>
  <si>
    <t>COLEGIO</t>
  </si>
  <si>
    <t>MICHEL MACHADO DA SILVA</t>
  </si>
  <si>
    <t>028.372.027-11</t>
  </si>
  <si>
    <t>MILTON DE ANDRADE PEREIRA MORAES</t>
  </si>
  <si>
    <t>006.354.727-91</t>
  </si>
  <si>
    <t>MIRIAM FRAGA ENDLICH LEITE</t>
  </si>
  <si>
    <t>661.380.517-34</t>
  </si>
  <si>
    <t>MOACYR AZEVEDO CORREA</t>
  </si>
  <si>
    <t>037.213.537-49</t>
  </si>
  <si>
    <t>MOACYR DA CRUZ NETO</t>
  </si>
  <si>
    <t>787.818.097-00</t>
  </si>
  <si>
    <t>PECHINCHA</t>
  </si>
  <si>
    <t>MONICA DE BARROS BARBOZA</t>
  </si>
  <si>
    <t>000.988.907-86</t>
  </si>
  <si>
    <t>TODOS OS SANTOS</t>
  </si>
  <si>
    <t>NIELSON BUCEDI DOS SANTOS</t>
  </si>
  <si>
    <t>056.931.487-93</t>
  </si>
  <si>
    <t>BANGU</t>
  </si>
  <si>
    <t>NILCE MARIA SPEZIA SALGADO</t>
  </si>
  <si>
    <t>221.753.000-30</t>
  </si>
  <si>
    <t>LAGOA</t>
  </si>
  <si>
    <t>NILDA DE FRIAS CAMPOS</t>
  </si>
  <si>
    <t>011.100.777-18</t>
  </si>
  <si>
    <t>BRAS DE PINA</t>
  </si>
  <si>
    <t>OVIDIO COLLISTET DE ARAUJO NETO</t>
  </si>
  <si>
    <t>030.799.617-49</t>
  </si>
  <si>
    <t>PATRICIA ROCHA SALES</t>
  </si>
  <si>
    <t>092.268.487-18</t>
  </si>
  <si>
    <t>PAULO KRAPP FILHO</t>
  </si>
  <si>
    <t>551.948.007-97</t>
  </si>
  <si>
    <t>PAULO ROBERTO MONTEIRO DA SILVA</t>
  </si>
  <si>
    <t>750.539.697-87</t>
  </si>
  <si>
    <t>PAULO SERGIO GATTO</t>
  </si>
  <si>
    <t>405.953.157-04</t>
  </si>
  <si>
    <t>PIEDADE</t>
  </si>
  <si>
    <t>RENATO LOURENCO DE ANDRADE</t>
  </si>
  <si>
    <t>008.830.717-46</t>
  </si>
  <si>
    <t>RICARDO DA SILVA HAYDU</t>
  </si>
  <si>
    <t>048.214.088-72</t>
  </si>
  <si>
    <t>SANTA CECILIA</t>
  </si>
  <si>
    <t>RICARDO KINGSTON FRAGA</t>
  </si>
  <si>
    <t>863.640.907-10</t>
  </si>
  <si>
    <t>ROBERTO CUSTODIO DA SILVA</t>
  </si>
  <si>
    <t>011.902.917-03</t>
  </si>
  <si>
    <t>INHOAIBA</t>
  </si>
  <si>
    <t>ROBERTO DOS SANTOS DO NASCIMENTO</t>
  </si>
  <si>
    <t>127.581.657-67</t>
  </si>
  <si>
    <t>JACARE</t>
  </si>
  <si>
    <t>RODRIGO RIBEIRO MATTOS</t>
  </si>
  <si>
    <t>093.372.917-03</t>
  </si>
  <si>
    <t>RODRIGO SILVA DE MORAIS</t>
  </si>
  <si>
    <t>137.009.157-56</t>
  </si>
  <si>
    <t>ROMARIO PEREIRA DE SOUZA</t>
  </si>
  <si>
    <t>052.913.607-47</t>
  </si>
  <si>
    <t>SALIM JOSE NIGRI</t>
  </si>
  <si>
    <t>159.999.987-00</t>
  </si>
  <si>
    <t>RIO COMPRIDO</t>
  </si>
  <si>
    <t>SANDRO DA ROCHA RODRIGUES</t>
  </si>
  <si>
    <t>048.290.457-79</t>
  </si>
  <si>
    <t>CURICICA</t>
  </si>
  <si>
    <t>SANDRO SOZINHO DE ANDRADE</t>
  </si>
  <si>
    <t>080.954.797-05</t>
  </si>
  <si>
    <t>SHIRLEY CALDEIRON DE OLIVEIRA</t>
  </si>
  <si>
    <t>984.612.817-72</t>
  </si>
  <si>
    <t>SIDNEY RODRIGUES FRANCHINI</t>
  </si>
  <si>
    <t>549.202.137-00</t>
  </si>
  <si>
    <t>SIMIRA MENDES RODRIGUES</t>
  </si>
  <si>
    <t>220.756.747-87</t>
  </si>
  <si>
    <t>SONIA MARIA NUNES PINHEIRO</t>
  </si>
  <si>
    <t>349.539.737-04</t>
  </si>
  <si>
    <t>THEOPHILO MASSAD DE OLIVEIRA</t>
  </si>
  <si>
    <t>072.864.387-19</t>
  </si>
  <si>
    <t>TOMAS DE AQUINO DE CARVALHO LIMA SAMPAIO</t>
  </si>
  <si>
    <t>028.536.477-49</t>
  </si>
  <si>
    <t>VERA LUCIA GONCALVES DOS SANTOS</t>
  </si>
  <si>
    <t>023.837.877-28</t>
  </si>
  <si>
    <t>VERA LUCIA VIEIRA</t>
  </si>
  <si>
    <t>259.885.817-49</t>
  </si>
  <si>
    <t>VICTOR ALBUQUERQUE BORGES QUARESMA GONCALVES</t>
  </si>
  <si>
    <t>086.778.377-01</t>
  </si>
  <si>
    <t>VILMA MARTINS BARBOSA</t>
  </si>
  <si>
    <t>313.382.597-68</t>
  </si>
  <si>
    <t>ANDARAI</t>
  </si>
  <si>
    <t>WAGNER LUIZ NUNES BARBOSA</t>
  </si>
  <si>
    <t>077.274.517-03</t>
  </si>
  <si>
    <t>WANESSA DOS SANTOS FERREIRA</t>
  </si>
  <si>
    <t>136.256.307-29</t>
  </si>
  <si>
    <t>WILSON BEZERRA ROMAO</t>
  </si>
  <si>
    <t>036.695.567-53</t>
  </si>
  <si>
    <t>YAN CONDE GONCALVES</t>
  </si>
  <si>
    <t>143.741.507-57</t>
  </si>
  <si>
    <t>Navegação</t>
  </si>
  <si>
    <t>IZABEL DE MELO</t>
  </si>
  <si>
    <t>VILA SANTO ANTONIO</t>
  </si>
  <si>
    <t>11968944681 1156606834</t>
  </si>
  <si>
    <t>JESUS DONIZETE FURTADO</t>
  </si>
  <si>
    <t>JARDIM MAGGI</t>
  </si>
  <si>
    <t>1139795033 11992322164 11976402000</t>
  </si>
  <si>
    <t>Casos Prioritário - E-mail</t>
  </si>
  <si>
    <r>
      <t>078533575</t>
    </r>
    <r>
      <rPr>
        <sz val="11"/>
        <color rgb="FFFF0000"/>
        <rFont val="Calibri"/>
        <family val="2"/>
        <scheme val="minor"/>
      </rPr>
      <t> </t>
    </r>
  </si>
  <si>
    <t>VANESSA SILVA MARTINS</t>
  </si>
  <si>
    <t xml:space="preserve">224.227.848-79 </t>
  </si>
  <si>
    <t xml:space="preserve">SAO PAULO </t>
  </si>
  <si>
    <t xml:space="preserve">VILA CLARA </t>
  </si>
  <si>
    <t>NÌVEL 60</t>
  </si>
  <si>
    <t>11961374897 / 11957449077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</si>
  <si>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</si>
  <si>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</si>
  <si>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</si>
  <si>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</si>
  <si>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</si>
  <si>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</si>
  <si>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</si>
  <si>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</si>
  <si>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</si>
  <si>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</si>
  <si>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</si>
  <si>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</si>
  <si>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</si>
  <si>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</si>
  <si>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</si>
  <si>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</si>
  <si>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</si>
  <si>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</si>
  <si>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</si>
  <si>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</si>
  <si>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</si>
  <si>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</si>
  <si>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</si>
  <si>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</si>
  <si>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</si>
  <si>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</si>
  <si>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</si>
  <si>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</si>
  <si>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</si>
  <si>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</si>
  <si>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</si>
  <si>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</si>
  <si>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</si>
  <si>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</si>
  <si>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</si>
  <si>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</si>
  <si>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</si>
  <si>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</si>
  <si>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</si>
  <si>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</si>
  <si>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</si>
  <si>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</si>
  <si>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</si>
  <si>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</si>
  <si>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</si>
  <si>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</si>
  <si>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</si>
  <si>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</si>
  <si>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</si>
  <si>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</si>
  <si>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</si>
  <si>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</si>
  <si>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</si>
  <si>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</si>
  <si>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</si>
  <si>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</si>
  <si>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</si>
  <si>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</si>
  <si>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</si>
  <si>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</si>
  <si>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</si>
  <si>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</si>
  <si>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</si>
  <si>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</si>
  <si>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</si>
  <si>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</si>
  <si>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</si>
  <si>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</si>
  <si>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</si>
  <si>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</si>
  <si>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</si>
  <si>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</si>
  <si>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</si>
  <si>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</si>
  <si>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</si>
  <si>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Aguardando Agendamento</t>
  </si>
  <si>
    <t>Pós-TMO</t>
  </si>
  <si>
    <t>Aguardando Contato</t>
  </si>
  <si>
    <t xml:space="preserve">Alta 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</si>
  <si>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</si>
  <si>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</si>
  <si>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</si>
  <si>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</si>
  <si>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</si>
  <si>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</si>
  <si>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</si>
  <si>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</si>
  <si>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</si>
  <si>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</si>
  <si>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</si>
  <si>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</si>
  <si>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</si>
  <si>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</si>
  <si>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</si>
  <si>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</si>
  <si>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</si>
  <si>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</si>
  <si>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</si>
  <si>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</si>
  <si>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</si>
  <si>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</si>
  <si>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</si>
  <si>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</si>
  <si>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</si>
  <si>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</si>
  <si>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</si>
  <si>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</si>
  <si>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</si>
  <si>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</si>
  <si>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</si>
  <si>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</si>
  <si>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</si>
  <si>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</si>
  <si>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</si>
  <si>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</si>
  <si>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</si>
  <si>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</si>
  <si>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</si>
  <si>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</si>
  <si>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</si>
  <si>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</si>
  <si>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</si>
  <si>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</si>
  <si>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</si>
  <si>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</si>
  <si>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</si>
  <si>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</si>
  <si>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</si>
  <si>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</si>
  <si>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</si>
  <si>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</si>
  <si>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</si>
  <si>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</si>
  <si>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</si>
  <si>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</si>
  <si>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</si>
  <si>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</si>
  <si>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</si>
  <si>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</si>
  <si>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</si>
  <si>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</si>
  <si>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</si>
  <si>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</si>
  <si>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</si>
  <si>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</si>
  <si>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</si>
  <si>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</si>
  <si>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</si>
  <si>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</si>
  <si>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</si>
  <si>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</si>
  <si>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</si>
  <si>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</si>
  <si>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</si>
  <si>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</si>
  <si>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</si>
  <si>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</si>
  <si>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</si>
  <si>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</si>
  <si>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</si>
  <si>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</si>
  <si>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</si>
  <si>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</si>
  <si>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</si>
  <si>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</si>
  <si>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</si>
  <si>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</si>
  <si>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</si>
  <si>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</si>
  <si>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</si>
  <si>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</si>
  <si>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</si>
  <si>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</si>
  <si>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</si>
  <si>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</si>
  <si>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</si>
  <si>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</si>
  <si>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</si>
  <si>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</si>
  <si>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</si>
  <si>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</si>
  <si>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</si>
  <si>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</si>
  <si>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</si>
  <si>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</si>
  <si>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</si>
  <si>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</si>
  <si>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</si>
  <si>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</si>
  <si>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</si>
  <si>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</si>
  <si>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</si>
  <si>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</si>
  <si>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</si>
  <si>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</si>
  <si>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Nefroclínicas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</si>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</sst>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FF00AA"/>
      <name val="Calibri"/>
      <family val="2"/>
    </font>
    <font>
      <sz val="8"/>
      <color rgb="FFFF0000"/>
      <name val="Calibri"/>
      <family val="2"/>
    </font>
    <font>
      <sz val="8"/>
      <color rgb="FF0070C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D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20" fillId="23" borderId="2" xfId="0" applyFont="1" applyFill="1" applyBorder="1" applyAlignment="1">
      <alignment horizontal="center" wrapText="1"/>
    </xf>
    <xf numFmtId="0" fontId="21" fillId="24" borderId="2" xfId="0" applyFont="1" applyFill="1" applyBorder="1" applyAlignment="1">
      <alignment horizontal="center" wrapText="1"/>
    </xf>
    <xf numFmtId="14" fontId="16" fillId="0" borderId="49" xfId="0" applyNumberFormat="1" applyFont="1" applyBorder="1" applyAlignment="1">
      <alignment horizontal="center" wrapText="1"/>
    </xf>
    <xf numFmtId="0" fontId="16" fillId="0" borderId="49" xfId="0" applyFont="1" applyBorder="1" applyAlignment="1">
      <alignment horizontal="center" wrapText="1"/>
    </xf>
    <xf numFmtId="0" fontId="22" fillId="25" borderId="2" xfId="0" applyFont="1" applyFill="1" applyBorder="1" applyAlignment="1">
      <alignment horizontal="center" wrapText="1"/>
    </xf>
    <xf numFmtId="0" fontId="16" fillId="0" borderId="49" xfId="0" applyFont="1" applyBorder="1" applyAlignment="1">
      <alignment horizontal="left" wrapText="1"/>
    </xf>
    <xf numFmtId="14" fontId="16" fillId="0" borderId="2" xfId="0" applyNumberFormat="1" applyFont="1" applyBorder="1" applyAlignment="1">
      <alignment horizontal="center" wrapText="1"/>
    </xf>
    <xf numFmtId="14" fontId="2" fillId="0" borderId="27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70" fontId="1" fillId="0" borderId="27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wrapText="1"/>
    </xf>
    <xf numFmtId="49" fontId="1" fillId="0" borderId="27" xfId="0" applyNumberFormat="1" applyFont="1" applyBorder="1" applyAlignment="1">
      <alignment horizontal="left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 wrapText="1"/>
    </xf>
    <xf numFmtId="0" fontId="21" fillId="24" borderId="49" xfId="0" applyFont="1" applyFill="1" applyBorder="1" applyAlignment="1">
      <alignment horizontal="center" wrapText="1"/>
    </xf>
    <xf numFmtId="0" fontId="2" fillId="0" borderId="27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0" fontId="24" fillId="0" borderId="1" xfId="0" applyFont="1" applyBorder="1"/>
    <xf numFmtId="0" fontId="24" fillId="0" borderId="50" xfId="0" applyFont="1" applyBorder="1"/>
    <xf numFmtId="0" fontId="24" fillId="26" borderId="6" xfId="0" applyFont="1" applyFill="1" applyBorder="1"/>
    <xf numFmtId="0" fontId="24" fillId="0" borderId="51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F03B75E5-911F-4606-85EE-E0A14585BB21}">
    <nsvFilter filterId="{9931A248-8A11-4D8E-BACD-A0C0D59E4D18}" ref="A1:AU384" tableId="0">
      <columnFilter colId="16">
        <filter colId="16">
          <x:filters>
            <x:filter val="1. Aceitou o programa"/>
          </x:filters>
        </filter>
      </columnFilter>
      <columnFilter colId="34">
        <filter colId="34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55"/>
  <sheetViews>
    <sheetView showGridLines="0" tabSelected="1" zoomScale="70" zoomScaleNormal="70" workbookViewId="0">
      <pane xSplit="6" ySplit="1" topLeftCell="J48" activePane="bottomRight" state="frozen"/>
      <selection pane="topRight"/>
      <selection pane="bottomLeft"/>
      <selection pane="bottomRight" activeCell="Q2" sqref="Q2:Q231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customWidth="1"/>
    <col min="4" max="4" width="21.6640625" style="29" bestFit="1" customWidth="1"/>
    <col min="5" max="5" width="11.6640625" style="28" bestFit="1" customWidth="1"/>
    <col min="6" max="6" width="27.6640625" style="223" customWidth="1"/>
    <col min="7" max="7" width="11.6640625" style="30" bestFit="1" customWidth="1"/>
    <col min="8" max="8" width="12.3320312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7.88671875" style="29" customWidth="1"/>
    <col min="13" max="13" width="16.88671875" style="29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18.88671875" style="31" customWidth="1"/>
    <col min="18" max="18" width="16.33203125" style="27" bestFit="1" customWidth="1"/>
    <col min="19" max="19" width="9.33203125" style="27" customWidth="1"/>
    <col min="20" max="20" width="17.33203125" style="27" bestFit="1" customWidth="1"/>
    <col min="21" max="21" width="9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2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97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46147</v>
      </c>
      <c r="C2" s="89" t="s">
        <v>48</v>
      </c>
      <c r="D2" s="89" t="s">
        <v>49</v>
      </c>
      <c r="E2" s="90">
        <v>94398928</v>
      </c>
      <c r="F2" s="221" t="s">
        <v>50</v>
      </c>
      <c r="G2" s="92">
        <v>12932780840</v>
      </c>
      <c r="H2" s="93">
        <v>26421</v>
      </c>
      <c r="I2" s="89">
        <v>54</v>
      </c>
      <c r="J2" s="89" t="s">
        <v>51</v>
      </c>
      <c r="K2" s="89" t="s">
        <v>52</v>
      </c>
      <c r="L2" s="89"/>
      <c r="M2" s="89" t="s">
        <v>53</v>
      </c>
      <c r="N2" s="89" t="s">
        <v>54</v>
      </c>
      <c r="O2" s="94" t="s">
        <v>55</v>
      </c>
      <c r="P2" s="95" t="s">
        <v>56</v>
      </c>
      <c r="Q2" s="145" t="s">
        <v>57</v>
      </c>
      <c r="R2" s="96">
        <v>46154</v>
      </c>
      <c r="S2" s="97"/>
      <c r="T2" s="97" t="s">
        <v>58</v>
      </c>
      <c r="U2" s="97" t="s">
        <v>59</v>
      </c>
      <c r="V2" s="93">
        <v>46153</v>
      </c>
      <c r="W2" s="93">
        <v>46154</v>
      </c>
      <c r="X2" s="93" t="s">
        <v>60</v>
      </c>
      <c r="Y2" s="98"/>
      <c r="Z2" s="89" t="s">
        <v>61</v>
      </c>
      <c r="AA2" s="97">
        <v>46163.583333333336</v>
      </c>
      <c r="AB2" s="89" t="s">
        <v>115</v>
      </c>
      <c r="AC2" s="120"/>
      <c r="AD2" s="89"/>
      <c r="AE2" s="89"/>
      <c r="AF2" s="99"/>
      <c r="AG2" s="99"/>
      <c r="AH2" s="99"/>
      <c r="AI2" s="100" t="s">
        <v>62</v>
      </c>
      <c r="AJ2" s="100" t="s">
        <v>63</v>
      </c>
      <c r="AK2" s="100" t="s">
        <v>62</v>
      </c>
      <c r="AL2" s="45" t="s">
        <v>64</v>
      </c>
      <c r="AM2" s="199" t="str">
        <f t="shared" ref="AM2:AM65" si="0">MONTH(B2)&amp;"/"&amp;YEAR(B2)</f>
        <v>5/2026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3</v>
      </c>
      <c r="AQ2" s="45">
        <f t="shared" ref="AQ2:AQ65" si="4">IF(AU2="S",IF(Q2="1. Aceitou o programa",R2-B2,0),0)</f>
        <v>7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1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46147</v>
      </c>
      <c r="C3" s="89" t="s">
        <v>48</v>
      </c>
      <c r="D3" s="89" t="s">
        <v>49</v>
      </c>
      <c r="E3" s="90">
        <v>89543280</v>
      </c>
      <c r="F3" s="221" t="s">
        <v>65</v>
      </c>
      <c r="G3" s="92">
        <v>15769537850</v>
      </c>
      <c r="H3" s="93">
        <v>26546</v>
      </c>
      <c r="I3" s="89">
        <v>53</v>
      </c>
      <c r="J3" s="89" t="s">
        <v>51</v>
      </c>
      <c r="K3" s="89" t="s">
        <v>52</v>
      </c>
      <c r="L3" s="89"/>
      <c r="M3" s="89" t="s">
        <v>66</v>
      </c>
      <c r="N3" s="89" t="s">
        <v>67</v>
      </c>
      <c r="O3" s="94" t="s">
        <v>68</v>
      </c>
      <c r="P3" s="95" t="s">
        <v>56</v>
      </c>
      <c r="Q3" s="145" t="s">
        <v>57</v>
      </c>
      <c r="R3" s="96">
        <v>46154</v>
      </c>
      <c r="S3" s="97"/>
      <c r="T3" s="97" t="s">
        <v>58</v>
      </c>
      <c r="U3" s="97" t="s">
        <v>59</v>
      </c>
      <c r="V3" s="93">
        <v>46153</v>
      </c>
      <c r="W3" s="93">
        <v>46154</v>
      </c>
      <c r="X3" s="93" t="s">
        <v>60</v>
      </c>
      <c r="Y3" s="98"/>
      <c r="Z3" s="89" t="s">
        <v>61</v>
      </c>
      <c r="AA3" s="97">
        <v>46162</v>
      </c>
      <c r="AB3" s="89" t="s">
        <v>69</v>
      </c>
      <c r="AC3" s="120"/>
      <c r="AD3" s="89"/>
      <c r="AE3" s="89"/>
      <c r="AF3" s="99"/>
      <c r="AG3" s="99"/>
      <c r="AH3" s="99"/>
      <c r="AI3" s="100" t="s">
        <v>62</v>
      </c>
      <c r="AJ3" s="100" t="s">
        <v>63</v>
      </c>
      <c r="AK3" s="100" t="s">
        <v>62</v>
      </c>
      <c r="AL3" s="45" t="s">
        <v>64</v>
      </c>
      <c r="AM3" s="199" t="str">
        <f t="shared" si="0"/>
        <v>5/2026</v>
      </c>
      <c r="AN3" s="45">
        <f t="shared" si="1"/>
        <v>2</v>
      </c>
      <c r="AO3" s="45" t="str">
        <f t="shared" si="2"/>
        <v>5/2026</v>
      </c>
      <c r="AP3" s="45">
        <f t="shared" si="3"/>
        <v>3</v>
      </c>
      <c r="AQ3" s="45">
        <f t="shared" si="4"/>
        <v>7</v>
      </c>
      <c r="AR3" s="45">
        <f t="shared" si="5"/>
        <v>0</v>
      </c>
      <c r="AS3" s="45">
        <f t="shared" si="6"/>
        <v>1</v>
      </c>
      <c r="AT3" s="45">
        <f t="shared" si="7"/>
        <v>8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46147</v>
      </c>
      <c r="C4" s="89" t="s">
        <v>48</v>
      </c>
      <c r="D4" s="89" t="s">
        <v>49</v>
      </c>
      <c r="E4" s="90">
        <v>93151355</v>
      </c>
      <c r="F4" s="221" t="s">
        <v>70</v>
      </c>
      <c r="G4" s="92">
        <v>32276103884</v>
      </c>
      <c r="H4" s="93">
        <v>30817</v>
      </c>
      <c r="I4" s="89">
        <v>42</v>
      </c>
      <c r="J4" s="89" t="s">
        <v>51</v>
      </c>
      <c r="K4" s="89" t="s">
        <v>52</v>
      </c>
      <c r="L4" s="89"/>
      <c r="M4" s="89" t="s">
        <v>71</v>
      </c>
      <c r="N4" s="89" t="s">
        <v>54</v>
      </c>
      <c r="O4" s="94" t="s">
        <v>72</v>
      </c>
      <c r="P4" s="95" t="s">
        <v>56</v>
      </c>
      <c r="Q4" s="145" t="s">
        <v>57</v>
      </c>
      <c r="R4" s="96">
        <v>46153</v>
      </c>
      <c r="S4" s="97"/>
      <c r="T4" s="97" t="s">
        <v>58</v>
      </c>
      <c r="U4" s="97" t="s">
        <v>59</v>
      </c>
      <c r="V4" s="93">
        <v>46153</v>
      </c>
      <c r="W4" s="93" t="s">
        <v>60</v>
      </c>
      <c r="X4" s="93" t="s">
        <v>60</v>
      </c>
      <c r="Y4" s="98"/>
      <c r="Z4" s="89" t="s">
        <v>61</v>
      </c>
      <c r="AA4" s="97">
        <v>46162</v>
      </c>
      <c r="AB4" s="89" t="s">
        <v>115</v>
      </c>
      <c r="AC4" s="120"/>
      <c r="AD4" s="89"/>
      <c r="AE4" s="89"/>
      <c r="AF4" s="99"/>
      <c r="AG4" s="99"/>
      <c r="AH4" s="99"/>
      <c r="AI4" s="100" t="s">
        <v>62</v>
      </c>
      <c r="AJ4" s="100" t="s">
        <v>63</v>
      </c>
      <c r="AK4" s="100" t="s">
        <v>62</v>
      </c>
      <c r="AL4" s="45" t="s">
        <v>64</v>
      </c>
      <c r="AM4" s="199" t="str">
        <f t="shared" si="0"/>
        <v>5/2026</v>
      </c>
      <c r="AN4" s="45">
        <f t="shared" si="1"/>
        <v>2</v>
      </c>
      <c r="AO4" s="45" t="str">
        <f t="shared" si="2"/>
        <v>5/2026</v>
      </c>
      <c r="AP4" s="45">
        <f t="shared" si="3"/>
        <v>3</v>
      </c>
      <c r="AQ4" s="45">
        <f t="shared" si="4"/>
        <v>6</v>
      </c>
      <c r="AR4" s="45">
        <f t="shared" si="5"/>
        <v>0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46147</v>
      </c>
      <c r="C5" s="89" t="s">
        <v>48</v>
      </c>
      <c r="D5" s="89" t="s">
        <v>49</v>
      </c>
      <c r="E5" s="90">
        <v>86289363</v>
      </c>
      <c r="F5" s="221" t="s">
        <v>73</v>
      </c>
      <c r="G5" s="92">
        <v>15235313712</v>
      </c>
      <c r="H5" s="93">
        <v>34267</v>
      </c>
      <c r="I5" s="89">
        <v>32</v>
      </c>
      <c r="J5" s="89" t="s">
        <v>74</v>
      </c>
      <c r="K5" s="89" t="s">
        <v>75</v>
      </c>
      <c r="L5" s="89"/>
      <c r="M5" s="89" t="s">
        <v>76</v>
      </c>
      <c r="N5" s="89" t="s">
        <v>54</v>
      </c>
      <c r="O5" s="94" t="s">
        <v>77</v>
      </c>
      <c r="P5" s="95" t="s">
        <v>56</v>
      </c>
      <c r="Q5" s="145" t="s">
        <v>57</v>
      </c>
      <c r="R5" s="96">
        <v>46153</v>
      </c>
      <c r="S5" s="97"/>
      <c r="T5" s="97" t="s">
        <v>58</v>
      </c>
      <c r="U5" s="97" t="s">
        <v>59</v>
      </c>
      <c r="V5" s="93">
        <v>46153</v>
      </c>
      <c r="W5" s="93" t="s">
        <v>60</v>
      </c>
      <c r="X5" s="93" t="s">
        <v>60</v>
      </c>
      <c r="Y5" s="98"/>
      <c r="Z5" s="89" t="s">
        <v>61</v>
      </c>
      <c r="AA5" s="97">
        <v>46132.583333333336</v>
      </c>
      <c r="AB5" s="89" t="s">
        <v>69</v>
      </c>
      <c r="AC5" s="120"/>
      <c r="AD5" s="89"/>
      <c r="AE5" s="89"/>
      <c r="AF5" s="99"/>
      <c r="AG5" s="99"/>
      <c r="AH5" s="99"/>
      <c r="AI5" s="100" t="s">
        <v>62</v>
      </c>
      <c r="AJ5" s="100" t="s">
        <v>63</v>
      </c>
      <c r="AK5" s="100" t="s">
        <v>62</v>
      </c>
      <c r="AL5" s="45" t="s">
        <v>64</v>
      </c>
      <c r="AM5" s="199" t="str">
        <f t="shared" si="0"/>
        <v>5/2026</v>
      </c>
      <c r="AN5" s="45">
        <f t="shared" si="1"/>
        <v>2</v>
      </c>
      <c r="AO5" s="45" t="str">
        <f t="shared" si="2"/>
        <v>5/2026</v>
      </c>
      <c r="AP5" s="45">
        <f t="shared" si="3"/>
        <v>3</v>
      </c>
      <c r="AQ5" s="45">
        <f t="shared" si="4"/>
        <v>6</v>
      </c>
      <c r="AR5" s="45">
        <f t="shared" si="5"/>
        <v>0</v>
      </c>
      <c r="AS5" s="45">
        <f t="shared" si="6"/>
        <v>0</v>
      </c>
      <c r="AT5" s="45">
        <f t="shared" si="7"/>
        <v>-20.416666666664241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46147</v>
      </c>
      <c r="C6" s="89" t="s">
        <v>48</v>
      </c>
      <c r="D6" s="89" t="s">
        <v>49</v>
      </c>
      <c r="E6" s="90">
        <v>95670712</v>
      </c>
      <c r="F6" s="221" t="s">
        <v>78</v>
      </c>
      <c r="G6" s="92">
        <v>24594221807</v>
      </c>
      <c r="H6" s="93">
        <v>21297</v>
      </c>
      <c r="I6" s="89">
        <v>68</v>
      </c>
      <c r="J6" s="89" t="s">
        <v>51</v>
      </c>
      <c r="K6" s="89" t="s">
        <v>52</v>
      </c>
      <c r="L6" s="89"/>
      <c r="M6" s="89" t="s">
        <v>79</v>
      </c>
      <c r="N6" s="89" t="s">
        <v>80</v>
      </c>
      <c r="O6" s="94" t="s">
        <v>81</v>
      </c>
      <c r="P6" s="95" t="s">
        <v>56</v>
      </c>
      <c r="Q6" s="145" t="s">
        <v>57</v>
      </c>
      <c r="R6" s="96">
        <v>46164</v>
      </c>
      <c r="S6" s="97"/>
      <c r="T6" s="97" t="s">
        <v>58</v>
      </c>
      <c r="U6" s="97" t="s">
        <v>59</v>
      </c>
      <c r="V6" s="93">
        <v>46153</v>
      </c>
      <c r="W6" s="93">
        <v>46154</v>
      </c>
      <c r="X6" s="93">
        <v>46164</v>
      </c>
      <c r="Y6" s="98"/>
      <c r="Z6" s="89" t="s">
        <v>61</v>
      </c>
      <c r="AA6" s="97">
        <v>46174</v>
      </c>
      <c r="AB6" s="89" t="s">
        <v>115</v>
      </c>
      <c r="AC6" s="120"/>
      <c r="AD6" s="89"/>
      <c r="AE6" s="89"/>
      <c r="AF6" s="99"/>
      <c r="AG6" s="99"/>
      <c r="AH6" s="99"/>
      <c r="AI6" s="100" t="s">
        <v>62</v>
      </c>
      <c r="AJ6" s="100" t="s">
        <v>63</v>
      </c>
      <c r="AK6" s="100" t="s">
        <v>62</v>
      </c>
      <c r="AL6" s="45" t="s">
        <v>64</v>
      </c>
      <c r="AM6" s="199" t="str">
        <f t="shared" si="0"/>
        <v>5/2026</v>
      </c>
      <c r="AN6" s="45">
        <f t="shared" si="1"/>
        <v>2</v>
      </c>
      <c r="AO6" s="45" t="str">
        <f t="shared" si="2"/>
        <v>5/2026</v>
      </c>
      <c r="AP6" s="45">
        <f t="shared" si="3"/>
        <v>4</v>
      </c>
      <c r="AQ6" s="45">
        <f t="shared" si="4"/>
        <v>17</v>
      </c>
      <c r="AR6" s="45">
        <f t="shared" si="5"/>
        <v>0</v>
      </c>
      <c r="AS6" s="45">
        <f t="shared" si="6"/>
        <v>5.5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46147</v>
      </c>
      <c r="C7" s="89" t="s">
        <v>48</v>
      </c>
      <c r="D7" s="89" t="s">
        <v>49</v>
      </c>
      <c r="E7" s="90">
        <v>95451618</v>
      </c>
      <c r="F7" s="221" t="s">
        <v>82</v>
      </c>
      <c r="G7" s="92">
        <v>23285401800</v>
      </c>
      <c r="H7" s="93">
        <v>33091</v>
      </c>
      <c r="I7" s="89">
        <v>35</v>
      </c>
      <c r="J7" s="89" t="s">
        <v>74</v>
      </c>
      <c r="K7" s="89" t="s">
        <v>52</v>
      </c>
      <c r="L7" s="89"/>
      <c r="M7" s="89" t="s">
        <v>83</v>
      </c>
      <c r="N7" s="89" t="s">
        <v>80</v>
      </c>
      <c r="O7" s="94" t="s">
        <v>84</v>
      </c>
      <c r="P7" s="95" t="s">
        <v>56</v>
      </c>
      <c r="Q7" s="145" t="s">
        <v>57</v>
      </c>
      <c r="R7" s="96">
        <v>46153</v>
      </c>
      <c r="S7" s="97"/>
      <c r="T7" s="97" t="s">
        <v>58</v>
      </c>
      <c r="U7" s="97" t="s">
        <v>59</v>
      </c>
      <c r="V7" s="93">
        <v>46153</v>
      </c>
      <c r="W7" s="93" t="s">
        <v>60</v>
      </c>
      <c r="X7" s="93" t="s">
        <v>60</v>
      </c>
      <c r="Y7" s="98"/>
      <c r="Z7" s="89" t="s">
        <v>61</v>
      </c>
      <c r="AA7" s="97">
        <v>46161</v>
      </c>
      <c r="AB7" s="89" t="s">
        <v>69</v>
      </c>
      <c r="AC7" s="120"/>
      <c r="AD7" s="89"/>
      <c r="AE7" s="89"/>
      <c r="AF7" s="99"/>
      <c r="AG7" s="99"/>
      <c r="AH7" s="99"/>
      <c r="AI7" s="100" t="s">
        <v>62</v>
      </c>
      <c r="AJ7" s="100" t="s">
        <v>63</v>
      </c>
      <c r="AK7" s="100" t="s">
        <v>62</v>
      </c>
      <c r="AL7" s="45" t="s">
        <v>64</v>
      </c>
      <c r="AM7" s="199" t="str">
        <f t="shared" si="0"/>
        <v>5/2026</v>
      </c>
      <c r="AN7" s="45">
        <f t="shared" si="1"/>
        <v>2</v>
      </c>
      <c r="AO7" s="45" t="str">
        <f t="shared" si="2"/>
        <v>5/2026</v>
      </c>
      <c r="AP7" s="45">
        <f t="shared" si="3"/>
        <v>3</v>
      </c>
      <c r="AQ7" s="45">
        <f t="shared" si="4"/>
        <v>6</v>
      </c>
      <c r="AR7" s="45">
        <f t="shared" si="5"/>
        <v>0</v>
      </c>
      <c r="AS7" s="45">
        <f t="shared" si="6"/>
        <v>0</v>
      </c>
      <c r="AT7" s="45">
        <f t="shared" si="7"/>
        <v>8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46147</v>
      </c>
      <c r="C8" s="89" t="s">
        <v>48</v>
      </c>
      <c r="D8" s="89" t="s">
        <v>49</v>
      </c>
      <c r="E8" s="90">
        <v>95870816</v>
      </c>
      <c r="F8" s="221" t="s">
        <v>85</v>
      </c>
      <c r="G8" s="92">
        <v>41279784814</v>
      </c>
      <c r="H8" s="93">
        <v>32961</v>
      </c>
      <c r="I8" s="89">
        <v>36</v>
      </c>
      <c r="J8" s="89" t="s">
        <v>51</v>
      </c>
      <c r="K8" s="89" t="s">
        <v>52</v>
      </c>
      <c r="L8" s="89"/>
      <c r="M8" s="89" t="s">
        <v>86</v>
      </c>
      <c r="N8" s="89" t="s">
        <v>80</v>
      </c>
      <c r="O8" s="94" t="s">
        <v>87</v>
      </c>
      <c r="P8" s="95" t="s">
        <v>56</v>
      </c>
      <c r="Q8" s="145" t="s">
        <v>57</v>
      </c>
      <c r="R8" s="96">
        <v>46153</v>
      </c>
      <c r="S8" s="97"/>
      <c r="T8" s="97" t="s">
        <v>58</v>
      </c>
      <c r="U8" s="97" t="s">
        <v>59</v>
      </c>
      <c r="V8" s="93">
        <v>46153</v>
      </c>
      <c r="W8" s="93" t="s">
        <v>60</v>
      </c>
      <c r="X8" s="93" t="s">
        <v>60</v>
      </c>
      <c r="Y8" s="98"/>
      <c r="Z8" s="89" t="s">
        <v>61</v>
      </c>
      <c r="AA8" s="97">
        <v>46161</v>
      </c>
      <c r="AB8" s="89" t="s">
        <v>69</v>
      </c>
      <c r="AC8" s="120"/>
      <c r="AD8" s="89"/>
      <c r="AE8" s="89"/>
      <c r="AF8" s="99"/>
      <c r="AG8" s="99"/>
      <c r="AH8" s="99"/>
      <c r="AI8" s="100" t="s">
        <v>62</v>
      </c>
      <c r="AJ8" s="100" t="s">
        <v>63</v>
      </c>
      <c r="AK8" s="100" t="s">
        <v>62</v>
      </c>
      <c r="AL8" s="45" t="s">
        <v>64</v>
      </c>
      <c r="AM8" s="199" t="str">
        <f t="shared" si="0"/>
        <v>5/2026</v>
      </c>
      <c r="AN8" s="45">
        <f t="shared" si="1"/>
        <v>2</v>
      </c>
      <c r="AO8" s="45" t="str">
        <f t="shared" si="2"/>
        <v>5/2026</v>
      </c>
      <c r="AP8" s="45">
        <f t="shared" si="3"/>
        <v>3</v>
      </c>
      <c r="AQ8" s="45">
        <f t="shared" si="4"/>
        <v>6</v>
      </c>
      <c r="AR8" s="45">
        <f t="shared" si="5"/>
        <v>0</v>
      </c>
      <c r="AS8" s="45">
        <f t="shared" si="6"/>
        <v>0</v>
      </c>
      <c r="AT8" s="45">
        <f t="shared" si="7"/>
        <v>8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46147</v>
      </c>
      <c r="C9" s="89" t="s">
        <v>48</v>
      </c>
      <c r="D9" s="89" t="s">
        <v>49</v>
      </c>
      <c r="E9" s="90">
        <v>92630891</v>
      </c>
      <c r="F9" s="221" t="s">
        <v>88</v>
      </c>
      <c r="G9" s="92">
        <v>23046868855</v>
      </c>
      <c r="H9" s="93">
        <v>35828</v>
      </c>
      <c r="I9" s="89">
        <v>28</v>
      </c>
      <c r="J9" s="89" t="s">
        <v>51</v>
      </c>
      <c r="K9" s="89" t="s">
        <v>52</v>
      </c>
      <c r="L9" s="89"/>
      <c r="M9" s="89" t="s">
        <v>66</v>
      </c>
      <c r="N9" s="89" t="s">
        <v>80</v>
      </c>
      <c r="O9" s="94" t="s">
        <v>89</v>
      </c>
      <c r="P9" s="95" t="s">
        <v>56</v>
      </c>
      <c r="Q9" s="145" t="s">
        <v>57</v>
      </c>
      <c r="R9" s="96">
        <v>46153</v>
      </c>
      <c r="S9" s="97"/>
      <c r="T9" s="97" t="s">
        <v>58</v>
      </c>
      <c r="U9" s="97" t="s">
        <v>59</v>
      </c>
      <c r="V9" s="93">
        <v>46153</v>
      </c>
      <c r="W9" s="93" t="s">
        <v>60</v>
      </c>
      <c r="X9" s="93" t="s">
        <v>60</v>
      </c>
      <c r="Y9" s="98"/>
      <c r="Z9" s="89" t="s">
        <v>61</v>
      </c>
      <c r="AA9" s="97">
        <v>46161</v>
      </c>
      <c r="AB9" s="89" t="s">
        <v>115</v>
      </c>
      <c r="AC9" s="120"/>
      <c r="AD9" s="89"/>
      <c r="AE9" s="89"/>
      <c r="AF9" s="99"/>
      <c r="AG9" s="99"/>
      <c r="AH9" s="99"/>
      <c r="AI9" s="100" t="s">
        <v>62</v>
      </c>
      <c r="AJ9" s="100" t="s">
        <v>63</v>
      </c>
      <c r="AK9" s="100" t="s">
        <v>62</v>
      </c>
      <c r="AL9" s="45" t="s">
        <v>64</v>
      </c>
      <c r="AM9" s="199" t="str">
        <f t="shared" si="0"/>
        <v>5/2026</v>
      </c>
      <c r="AN9" s="45">
        <f t="shared" si="1"/>
        <v>2</v>
      </c>
      <c r="AO9" s="45" t="str">
        <f t="shared" si="2"/>
        <v>5/2026</v>
      </c>
      <c r="AP9" s="45">
        <f t="shared" si="3"/>
        <v>3</v>
      </c>
      <c r="AQ9" s="45">
        <f t="shared" si="4"/>
        <v>6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46147</v>
      </c>
      <c r="C10" s="89" t="s">
        <v>48</v>
      </c>
      <c r="D10" s="89" t="s">
        <v>49</v>
      </c>
      <c r="E10" s="90">
        <v>77134281</v>
      </c>
      <c r="F10" s="221" t="s">
        <v>90</v>
      </c>
      <c r="G10" s="92">
        <v>29015435880</v>
      </c>
      <c r="H10" s="93">
        <v>28644</v>
      </c>
      <c r="I10" s="89">
        <v>47</v>
      </c>
      <c r="J10" s="89" t="s">
        <v>51</v>
      </c>
      <c r="K10" s="89" t="s">
        <v>52</v>
      </c>
      <c r="L10" s="89"/>
      <c r="M10" s="89" t="s">
        <v>66</v>
      </c>
      <c r="N10" s="89" t="s">
        <v>91</v>
      </c>
      <c r="O10" s="94" t="s">
        <v>92</v>
      </c>
      <c r="P10" s="95" t="s">
        <v>56</v>
      </c>
      <c r="Q10" s="145" t="s">
        <v>57</v>
      </c>
      <c r="R10" s="96">
        <v>46153</v>
      </c>
      <c r="S10" s="97"/>
      <c r="T10" s="97" t="s">
        <v>58</v>
      </c>
      <c r="U10" s="97" t="s">
        <v>59</v>
      </c>
      <c r="V10" s="93">
        <v>46153</v>
      </c>
      <c r="W10" s="93" t="s">
        <v>60</v>
      </c>
      <c r="X10" s="93" t="s">
        <v>60</v>
      </c>
      <c r="Y10" s="98"/>
      <c r="Z10" s="89" t="s">
        <v>61</v>
      </c>
      <c r="AA10" s="97">
        <v>46162</v>
      </c>
      <c r="AB10" s="89" t="s">
        <v>69</v>
      </c>
      <c r="AC10" s="120"/>
      <c r="AD10" s="89" t="s">
        <v>93</v>
      </c>
      <c r="AE10" s="89"/>
      <c r="AF10" s="99" t="s">
        <v>94</v>
      </c>
      <c r="AG10" s="99" t="s">
        <v>94</v>
      </c>
      <c r="AH10" s="99" t="s">
        <v>95</v>
      </c>
      <c r="AI10" s="100" t="s">
        <v>62</v>
      </c>
      <c r="AJ10" s="100" t="s">
        <v>63</v>
      </c>
      <c r="AK10" s="100" t="s">
        <v>62</v>
      </c>
      <c r="AL10" s="45" t="s">
        <v>64</v>
      </c>
      <c r="AM10" s="199" t="str">
        <f t="shared" si="0"/>
        <v>5/2026</v>
      </c>
      <c r="AN10" s="45">
        <f t="shared" si="1"/>
        <v>2</v>
      </c>
      <c r="AO10" s="45" t="str">
        <f t="shared" si="2"/>
        <v>5/2026</v>
      </c>
      <c r="AP10" s="45">
        <f t="shared" si="3"/>
        <v>3</v>
      </c>
      <c r="AQ10" s="45">
        <f t="shared" si="4"/>
        <v>6</v>
      </c>
      <c r="AR10" s="45">
        <f t="shared" si="5"/>
        <v>0</v>
      </c>
      <c r="AS10" s="45">
        <f t="shared" si="6"/>
        <v>0</v>
      </c>
      <c r="AT10" s="45">
        <f t="shared" si="7"/>
        <v>9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46147</v>
      </c>
      <c r="C11" s="89" t="s">
        <v>48</v>
      </c>
      <c r="D11" s="89" t="s">
        <v>49</v>
      </c>
      <c r="E11" s="90">
        <v>64520609</v>
      </c>
      <c r="F11" s="221" t="s">
        <v>96</v>
      </c>
      <c r="G11" s="92">
        <v>99003830878</v>
      </c>
      <c r="H11" s="93">
        <v>21117</v>
      </c>
      <c r="I11" s="89">
        <v>68</v>
      </c>
      <c r="J11" s="89" t="s">
        <v>74</v>
      </c>
      <c r="K11" s="89" t="s">
        <v>52</v>
      </c>
      <c r="L11" s="89"/>
      <c r="M11" s="89" t="s">
        <v>66</v>
      </c>
      <c r="N11" s="89" t="s">
        <v>97</v>
      </c>
      <c r="O11" s="94" t="s">
        <v>98</v>
      </c>
      <c r="P11" s="95" t="s">
        <v>56</v>
      </c>
      <c r="Q11" s="145" t="s">
        <v>57</v>
      </c>
      <c r="R11" s="96">
        <v>46154</v>
      </c>
      <c r="S11" s="97"/>
      <c r="T11" s="97" t="s">
        <v>58</v>
      </c>
      <c r="U11" s="97" t="s">
        <v>59</v>
      </c>
      <c r="V11" s="93">
        <v>46153</v>
      </c>
      <c r="W11" s="93">
        <v>46154</v>
      </c>
      <c r="X11" s="93" t="s">
        <v>60</v>
      </c>
      <c r="Y11" s="98"/>
      <c r="Z11" s="89" t="s">
        <v>61</v>
      </c>
      <c r="AA11" s="97">
        <v>46161</v>
      </c>
      <c r="AB11" s="89" t="s">
        <v>69</v>
      </c>
      <c r="AC11" s="120"/>
      <c r="AD11" s="89" t="s">
        <v>99</v>
      </c>
      <c r="AE11" s="89"/>
      <c r="AF11" s="99" t="s">
        <v>100</v>
      </c>
      <c r="AG11" s="99" t="s">
        <v>100</v>
      </c>
      <c r="AH11" s="99"/>
      <c r="AI11" s="100" t="s">
        <v>62</v>
      </c>
      <c r="AJ11" s="100" t="s">
        <v>63</v>
      </c>
      <c r="AK11" s="100" t="s">
        <v>62</v>
      </c>
      <c r="AL11" s="45" t="s">
        <v>64</v>
      </c>
      <c r="AM11" s="199" t="str">
        <f t="shared" si="0"/>
        <v>5/2026</v>
      </c>
      <c r="AN11" s="45">
        <f t="shared" si="1"/>
        <v>2</v>
      </c>
      <c r="AO11" s="45" t="str">
        <f t="shared" si="2"/>
        <v>5/2026</v>
      </c>
      <c r="AP11" s="45">
        <f t="shared" si="3"/>
        <v>3</v>
      </c>
      <c r="AQ11" s="45">
        <f t="shared" si="4"/>
        <v>7</v>
      </c>
      <c r="AR11" s="45">
        <f t="shared" si="5"/>
        <v>0</v>
      </c>
      <c r="AS11" s="45">
        <f t="shared" si="6"/>
        <v>1</v>
      </c>
      <c r="AT11" s="45">
        <f t="shared" si="7"/>
        <v>7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46147</v>
      </c>
      <c r="C12" s="89" t="s">
        <v>48</v>
      </c>
      <c r="D12" s="89" t="s">
        <v>49</v>
      </c>
      <c r="E12" s="90">
        <v>72857341</v>
      </c>
      <c r="F12" s="221" t="s">
        <v>101</v>
      </c>
      <c r="G12" s="92">
        <v>7412065874</v>
      </c>
      <c r="H12" s="93">
        <v>24659</v>
      </c>
      <c r="I12" s="89">
        <v>58</v>
      </c>
      <c r="J12" s="89" t="s">
        <v>74</v>
      </c>
      <c r="K12" s="89" t="s">
        <v>52</v>
      </c>
      <c r="L12" s="89"/>
      <c r="M12" s="89" t="s">
        <v>66</v>
      </c>
      <c r="N12" s="89" t="s">
        <v>91</v>
      </c>
      <c r="O12" s="94" t="s">
        <v>102</v>
      </c>
      <c r="P12" s="95" t="s">
        <v>56</v>
      </c>
      <c r="Q12" s="145" t="s">
        <v>57</v>
      </c>
      <c r="R12" s="96">
        <v>46153</v>
      </c>
      <c r="S12" s="97"/>
      <c r="T12" s="97" t="s">
        <v>58</v>
      </c>
      <c r="U12" s="97" t="s">
        <v>59</v>
      </c>
      <c r="V12" s="93">
        <v>46153</v>
      </c>
      <c r="W12" s="93" t="s">
        <v>60</v>
      </c>
      <c r="X12" s="93" t="s">
        <v>60</v>
      </c>
      <c r="Y12" s="98"/>
      <c r="Z12" s="89" t="s">
        <v>61</v>
      </c>
      <c r="AA12" s="97">
        <v>46162</v>
      </c>
      <c r="AB12" s="89" t="s">
        <v>115</v>
      </c>
      <c r="AC12" s="120"/>
      <c r="AD12" s="89"/>
      <c r="AE12" s="89"/>
      <c r="AF12" s="99"/>
      <c r="AG12" s="99"/>
      <c r="AH12" s="99"/>
      <c r="AI12" s="100" t="s">
        <v>62</v>
      </c>
      <c r="AJ12" s="100" t="s">
        <v>63</v>
      </c>
      <c r="AK12" s="100" t="s">
        <v>62</v>
      </c>
      <c r="AL12" s="45" t="s">
        <v>64</v>
      </c>
      <c r="AM12" s="199" t="str">
        <f t="shared" si="0"/>
        <v>5/2026</v>
      </c>
      <c r="AN12" s="45">
        <f t="shared" si="1"/>
        <v>2</v>
      </c>
      <c r="AO12" s="45" t="str">
        <f t="shared" si="2"/>
        <v>5/2026</v>
      </c>
      <c r="AP12" s="45">
        <f t="shared" si="3"/>
        <v>3</v>
      </c>
      <c r="AQ12" s="45">
        <f t="shared" si="4"/>
        <v>6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46147</v>
      </c>
      <c r="C13" s="89" t="s">
        <v>48</v>
      </c>
      <c r="D13" s="89" t="s">
        <v>49</v>
      </c>
      <c r="E13" s="90">
        <v>222636009</v>
      </c>
      <c r="F13" s="221" t="s">
        <v>103</v>
      </c>
      <c r="G13" s="92">
        <v>25739435854</v>
      </c>
      <c r="H13" s="93">
        <v>26920</v>
      </c>
      <c r="I13" s="89">
        <v>52</v>
      </c>
      <c r="J13" s="89" t="s">
        <v>74</v>
      </c>
      <c r="K13" s="89" t="s">
        <v>52</v>
      </c>
      <c r="L13" s="89"/>
      <c r="M13" s="89" t="s">
        <v>66</v>
      </c>
      <c r="N13" s="89" t="s">
        <v>104</v>
      </c>
      <c r="O13" s="94" t="s">
        <v>105</v>
      </c>
      <c r="P13" s="95" t="s">
        <v>56</v>
      </c>
      <c r="Q13" s="145" t="s">
        <v>57</v>
      </c>
      <c r="R13" s="96">
        <v>46154</v>
      </c>
      <c r="S13" s="97"/>
      <c r="T13" s="97" t="s">
        <v>58</v>
      </c>
      <c r="U13" s="97" t="s">
        <v>59</v>
      </c>
      <c r="V13" s="93">
        <v>46153</v>
      </c>
      <c r="W13" s="93">
        <v>46154</v>
      </c>
      <c r="X13" s="93" t="s">
        <v>60</v>
      </c>
      <c r="Y13" s="98"/>
      <c r="Z13" s="89" t="s">
        <v>61</v>
      </c>
      <c r="AA13" s="97">
        <v>46162.583333333336</v>
      </c>
      <c r="AB13" s="89" t="s">
        <v>115</v>
      </c>
      <c r="AC13" s="120"/>
      <c r="AD13" s="89"/>
      <c r="AE13" s="89"/>
      <c r="AF13" s="99"/>
      <c r="AG13" s="99"/>
      <c r="AH13" s="99"/>
      <c r="AI13" s="100" t="s">
        <v>62</v>
      </c>
      <c r="AJ13" s="100" t="s">
        <v>63</v>
      </c>
      <c r="AK13" s="100" t="s">
        <v>62</v>
      </c>
      <c r="AL13" s="45" t="s">
        <v>64</v>
      </c>
      <c r="AM13" s="199" t="str">
        <f t="shared" si="0"/>
        <v>5/2026</v>
      </c>
      <c r="AN13" s="45">
        <f t="shared" si="1"/>
        <v>2</v>
      </c>
      <c r="AO13" s="45" t="str">
        <f t="shared" si="2"/>
        <v>5/2026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1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46147</v>
      </c>
      <c r="C14" s="89" t="s">
        <v>48</v>
      </c>
      <c r="D14" s="89" t="s">
        <v>49</v>
      </c>
      <c r="E14" s="90">
        <v>810231808</v>
      </c>
      <c r="F14" s="221" t="s">
        <v>106</v>
      </c>
      <c r="G14" s="92">
        <v>44159794831</v>
      </c>
      <c r="H14" s="93">
        <v>34988</v>
      </c>
      <c r="I14" s="89">
        <v>30</v>
      </c>
      <c r="J14" s="89" t="s">
        <v>51</v>
      </c>
      <c r="K14" s="89" t="s">
        <v>52</v>
      </c>
      <c r="L14" s="89"/>
      <c r="M14" s="89" t="s">
        <v>107</v>
      </c>
      <c r="N14" s="89" t="s">
        <v>108</v>
      </c>
      <c r="O14" s="94" t="s">
        <v>109</v>
      </c>
      <c r="P14" s="95" t="s">
        <v>56</v>
      </c>
      <c r="Q14" s="145" t="s">
        <v>57</v>
      </c>
      <c r="R14" s="96">
        <v>46153</v>
      </c>
      <c r="S14" s="97"/>
      <c r="T14" s="97" t="s">
        <v>58</v>
      </c>
      <c r="U14" s="97" t="s">
        <v>59</v>
      </c>
      <c r="V14" s="93">
        <v>46153</v>
      </c>
      <c r="W14" s="93" t="s">
        <v>60</v>
      </c>
      <c r="X14" s="93" t="s">
        <v>60</v>
      </c>
      <c r="Y14" s="98"/>
      <c r="Z14" s="89" t="s">
        <v>61</v>
      </c>
      <c r="AA14" s="97">
        <v>46161</v>
      </c>
      <c r="AB14" s="89" t="s">
        <v>115</v>
      </c>
      <c r="AC14" s="120"/>
      <c r="AD14" s="89"/>
      <c r="AE14" s="89"/>
      <c r="AF14" s="99"/>
      <c r="AG14" s="99"/>
      <c r="AH14" s="99"/>
      <c r="AI14" s="100" t="s">
        <v>62</v>
      </c>
      <c r="AJ14" s="100" t="s">
        <v>63</v>
      </c>
      <c r="AK14" s="100" t="s">
        <v>62</v>
      </c>
      <c r="AL14" s="45" t="s">
        <v>64</v>
      </c>
      <c r="AM14" s="199" t="str">
        <f t="shared" si="0"/>
        <v>5/2026</v>
      </c>
      <c r="AN14" s="45">
        <f t="shared" si="1"/>
        <v>2</v>
      </c>
      <c r="AO14" s="45" t="str">
        <f t="shared" si="2"/>
        <v>5/2026</v>
      </c>
      <c r="AP14" s="45">
        <f t="shared" si="3"/>
        <v>3</v>
      </c>
      <c r="AQ14" s="45">
        <f t="shared" si="4"/>
        <v>6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46147</v>
      </c>
      <c r="C15" s="89" t="s">
        <v>48</v>
      </c>
      <c r="D15" s="89" t="s">
        <v>49</v>
      </c>
      <c r="E15" s="90">
        <v>86653730</v>
      </c>
      <c r="F15" s="221" t="s">
        <v>110</v>
      </c>
      <c r="G15" s="92">
        <v>1494041740</v>
      </c>
      <c r="H15" s="93">
        <v>25306</v>
      </c>
      <c r="I15" s="89">
        <v>57</v>
      </c>
      <c r="J15" s="89" t="s">
        <v>51</v>
      </c>
      <c r="K15" s="89" t="s">
        <v>75</v>
      </c>
      <c r="L15" s="89"/>
      <c r="M15" s="89" t="s">
        <v>76</v>
      </c>
      <c r="N15" s="89" t="s">
        <v>111</v>
      </c>
      <c r="O15" s="94" t="s">
        <v>112</v>
      </c>
      <c r="P15" s="95" t="s">
        <v>56</v>
      </c>
      <c r="Q15" s="145" t="s">
        <v>57</v>
      </c>
      <c r="R15" s="96">
        <v>46153</v>
      </c>
      <c r="S15" s="97"/>
      <c r="T15" s="97" t="s">
        <v>58</v>
      </c>
      <c r="U15" s="97" t="s">
        <v>59</v>
      </c>
      <c r="V15" s="93">
        <v>46153</v>
      </c>
      <c r="W15" s="93" t="s">
        <v>60</v>
      </c>
      <c r="X15" s="93" t="s">
        <v>60</v>
      </c>
      <c r="Y15" s="98"/>
      <c r="Z15" s="89" t="s">
        <v>61</v>
      </c>
      <c r="AA15" s="97">
        <v>46162</v>
      </c>
      <c r="AB15" s="89" t="s">
        <v>115</v>
      </c>
      <c r="AC15" s="120"/>
      <c r="AD15" s="89"/>
      <c r="AE15" s="89"/>
      <c r="AF15" s="99"/>
      <c r="AG15" s="99"/>
      <c r="AH15" s="99"/>
      <c r="AI15" s="100" t="s">
        <v>62</v>
      </c>
      <c r="AJ15" s="100" t="s">
        <v>63</v>
      </c>
      <c r="AK15" s="100" t="s">
        <v>62</v>
      </c>
      <c r="AL15" s="45" t="s">
        <v>64</v>
      </c>
      <c r="AM15" s="199" t="str">
        <f t="shared" si="0"/>
        <v>5/2026</v>
      </c>
      <c r="AN15" s="45">
        <f t="shared" si="1"/>
        <v>2</v>
      </c>
      <c r="AO15" s="45" t="str">
        <f t="shared" si="2"/>
        <v>5/2026</v>
      </c>
      <c r="AP15" s="45">
        <f t="shared" si="3"/>
        <v>3</v>
      </c>
      <c r="AQ15" s="45">
        <f t="shared" si="4"/>
        <v>6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46147</v>
      </c>
      <c r="C16" s="89" t="s">
        <v>48</v>
      </c>
      <c r="D16" s="89" t="s">
        <v>49</v>
      </c>
      <c r="E16" s="90">
        <v>74271286</v>
      </c>
      <c r="F16" s="221" t="s">
        <v>113</v>
      </c>
      <c r="G16" s="92">
        <v>17612538830</v>
      </c>
      <c r="H16" s="93">
        <v>21551</v>
      </c>
      <c r="I16" s="89">
        <v>67</v>
      </c>
      <c r="J16" s="89" t="s">
        <v>51</v>
      </c>
      <c r="K16" s="89" t="s">
        <v>52</v>
      </c>
      <c r="L16" s="89"/>
      <c r="M16" s="89" t="s">
        <v>66</v>
      </c>
      <c r="N16" s="89" t="s">
        <v>91</v>
      </c>
      <c r="O16" s="94" t="s">
        <v>114</v>
      </c>
      <c r="P16" s="95" t="s">
        <v>56</v>
      </c>
      <c r="Q16" s="145" t="s">
        <v>57</v>
      </c>
      <c r="R16" s="96">
        <v>46153</v>
      </c>
      <c r="S16" s="97"/>
      <c r="T16" s="97" t="s">
        <v>58</v>
      </c>
      <c r="U16" s="97" t="s">
        <v>59</v>
      </c>
      <c r="V16" s="93">
        <v>46153</v>
      </c>
      <c r="W16" s="93" t="s">
        <v>60</v>
      </c>
      <c r="X16" s="93" t="s">
        <v>60</v>
      </c>
      <c r="Y16" s="98"/>
      <c r="Z16" s="89" t="s">
        <v>61</v>
      </c>
      <c r="AA16" s="97">
        <v>46160</v>
      </c>
      <c r="AB16" s="89" t="s">
        <v>115</v>
      </c>
      <c r="AC16" s="120"/>
      <c r="AD16" s="89"/>
      <c r="AE16" s="89"/>
      <c r="AF16" s="99"/>
      <c r="AG16" s="99"/>
      <c r="AH16" s="99"/>
      <c r="AI16" s="100" t="s">
        <v>62</v>
      </c>
      <c r="AJ16" s="100" t="s">
        <v>63</v>
      </c>
      <c r="AK16" s="100" t="s">
        <v>62</v>
      </c>
      <c r="AL16" s="45" t="s">
        <v>64</v>
      </c>
      <c r="AM16" s="199" t="str">
        <f t="shared" si="0"/>
        <v>5/2026</v>
      </c>
      <c r="AN16" s="45">
        <f t="shared" si="1"/>
        <v>2</v>
      </c>
      <c r="AO16" s="45" t="str">
        <f t="shared" si="2"/>
        <v>5/2026</v>
      </c>
      <c r="AP16" s="45">
        <f t="shared" si="3"/>
        <v>3</v>
      </c>
      <c r="AQ16" s="45">
        <f t="shared" si="4"/>
        <v>6</v>
      </c>
      <c r="AR16" s="45">
        <f t="shared" si="5"/>
        <v>0</v>
      </c>
      <c r="AS16" s="45">
        <f t="shared" si="6"/>
        <v>0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46147</v>
      </c>
      <c r="C17" s="89" t="s">
        <v>48</v>
      </c>
      <c r="D17" s="89" t="s">
        <v>49</v>
      </c>
      <c r="E17" s="90">
        <v>85034811</v>
      </c>
      <c r="F17" s="221" t="s">
        <v>116</v>
      </c>
      <c r="G17" s="92">
        <v>32431817806</v>
      </c>
      <c r="H17" s="93">
        <v>30764</v>
      </c>
      <c r="I17" s="89">
        <v>42</v>
      </c>
      <c r="J17" s="89" t="s">
        <v>74</v>
      </c>
      <c r="K17" s="89" t="s">
        <v>52</v>
      </c>
      <c r="L17" s="89"/>
      <c r="M17" s="89" t="s">
        <v>66</v>
      </c>
      <c r="N17" s="89" t="s">
        <v>117</v>
      </c>
      <c r="O17" s="94" t="s">
        <v>118</v>
      </c>
      <c r="P17" s="95" t="s">
        <v>56</v>
      </c>
      <c r="Q17" s="145" t="s">
        <v>57</v>
      </c>
      <c r="R17" s="96">
        <v>46153</v>
      </c>
      <c r="S17" s="97"/>
      <c r="T17" s="97" t="s">
        <v>58</v>
      </c>
      <c r="U17" s="97" t="s">
        <v>59</v>
      </c>
      <c r="V17" s="93">
        <v>46153</v>
      </c>
      <c r="W17" s="93" t="s">
        <v>60</v>
      </c>
      <c r="X17" s="93" t="s">
        <v>60</v>
      </c>
      <c r="Y17" s="98"/>
      <c r="Z17" s="89" t="s">
        <v>61</v>
      </c>
      <c r="AA17" s="97">
        <v>46160</v>
      </c>
      <c r="AB17" s="89" t="s">
        <v>115</v>
      </c>
      <c r="AC17" s="120"/>
      <c r="AD17" s="89"/>
      <c r="AE17" s="89"/>
      <c r="AF17" s="99"/>
      <c r="AG17" s="99"/>
      <c r="AH17" s="99"/>
      <c r="AI17" s="100" t="s">
        <v>62</v>
      </c>
      <c r="AJ17" s="100" t="s">
        <v>63</v>
      </c>
      <c r="AK17" s="100" t="s">
        <v>62</v>
      </c>
      <c r="AL17" s="45" t="s">
        <v>64</v>
      </c>
      <c r="AM17" s="199" t="str">
        <f t="shared" si="0"/>
        <v>5/2026</v>
      </c>
      <c r="AN17" s="45">
        <f t="shared" si="1"/>
        <v>2</v>
      </c>
      <c r="AO17" s="45" t="str">
        <f t="shared" si="2"/>
        <v>5/2026</v>
      </c>
      <c r="AP17" s="45">
        <f t="shared" si="3"/>
        <v>3</v>
      </c>
      <c r="AQ17" s="45">
        <f t="shared" si="4"/>
        <v>6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46147</v>
      </c>
      <c r="C18" s="89" t="s">
        <v>48</v>
      </c>
      <c r="D18" s="89" t="s">
        <v>49</v>
      </c>
      <c r="E18" s="90">
        <v>420548670</v>
      </c>
      <c r="F18" s="221" t="s">
        <v>119</v>
      </c>
      <c r="G18" s="92">
        <v>35997574881</v>
      </c>
      <c r="H18" s="93">
        <v>31559</v>
      </c>
      <c r="I18" s="89">
        <v>39</v>
      </c>
      <c r="J18" s="89" t="s">
        <v>51</v>
      </c>
      <c r="K18" s="89" t="s">
        <v>52</v>
      </c>
      <c r="L18" s="89"/>
      <c r="M18" s="89" t="s">
        <v>120</v>
      </c>
      <c r="N18" s="89" t="s">
        <v>121</v>
      </c>
      <c r="O18" s="94" t="s">
        <v>122</v>
      </c>
      <c r="P18" s="95" t="s">
        <v>56</v>
      </c>
      <c r="Q18" s="145" t="s">
        <v>57</v>
      </c>
      <c r="R18" s="96">
        <v>46153</v>
      </c>
      <c r="S18" s="97"/>
      <c r="T18" s="97" t="s">
        <v>58</v>
      </c>
      <c r="U18" s="97" t="s">
        <v>59</v>
      </c>
      <c r="V18" s="93">
        <v>46153</v>
      </c>
      <c r="W18" s="93" t="s">
        <v>60</v>
      </c>
      <c r="X18" s="93" t="s">
        <v>60</v>
      </c>
      <c r="Y18" s="98"/>
      <c r="Z18" s="89" t="s">
        <v>61</v>
      </c>
      <c r="AA18" s="97">
        <v>46161</v>
      </c>
      <c r="AB18" s="89" t="s">
        <v>115</v>
      </c>
      <c r="AC18" s="120"/>
      <c r="AD18" s="89"/>
      <c r="AE18" s="89"/>
      <c r="AF18" s="99"/>
      <c r="AG18" s="99"/>
      <c r="AH18" s="99"/>
      <c r="AI18" s="100" t="s">
        <v>62</v>
      </c>
      <c r="AJ18" s="100" t="s">
        <v>63</v>
      </c>
      <c r="AK18" s="100" t="s">
        <v>62</v>
      </c>
      <c r="AL18" s="45" t="s">
        <v>64</v>
      </c>
      <c r="AM18" s="199" t="str">
        <f t="shared" si="0"/>
        <v>5/2026</v>
      </c>
      <c r="AN18" s="45">
        <f t="shared" si="1"/>
        <v>2</v>
      </c>
      <c r="AO18" s="45" t="str">
        <f t="shared" si="2"/>
        <v>5/2026</v>
      </c>
      <c r="AP18" s="45">
        <f t="shared" si="3"/>
        <v>3</v>
      </c>
      <c r="AQ18" s="45">
        <f t="shared" si="4"/>
        <v>6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46147</v>
      </c>
      <c r="C19" s="89" t="s">
        <v>48</v>
      </c>
      <c r="D19" s="89" t="s">
        <v>49</v>
      </c>
      <c r="E19" s="90">
        <v>807112186</v>
      </c>
      <c r="F19" s="221" t="s">
        <v>123</v>
      </c>
      <c r="G19" s="92">
        <v>27797981817</v>
      </c>
      <c r="H19" s="93">
        <v>29298</v>
      </c>
      <c r="I19" s="89">
        <v>46</v>
      </c>
      <c r="J19" s="89" t="s">
        <v>74</v>
      </c>
      <c r="K19" s="89" t="s">
        <v>52</v>
      </c>
      <c r="L19" s="89"/>
      <c r="M19" s="89" t="s">
        <v>66</v>
      </c>
      <c r="N19" s="89" t="s">
        <v>108</v>
      </c>
      <c r="O19" s="94" t="s">
        <v>124</v>
      </c>
      <c r="P19" s="95" t="s">
        <v>56</v>
      </c>
      <c r="Q19" s="145" t="s">
        <v>57</v>
      </c>
      <c r="R19" s="96">
        <v>46154</v>
      </c>
      <c r="S19" s="97"/>
      <c r="T19" s="97" t="s">
        <v>58</v>
      </c>
      <c r="U19" s="97" t="s">
        <v>59</v>
      </c>
      <c r="V19" s="93">
        <v>46153</v>
      </c>
      <c r="W19" s="93">
        <v>46154</v>
      </c>
      <c r="X19" s="93" t="s">
        <v>60</v>
      </c>
      <c r="Y19" s="98"/>
      <c r="Z19" s="89" t="s">
        <v>61</v>
      </c>
      <c r="AA19" s="97">
        <v>46162</v>
      </c>
      <c r="AB19" s="89" t="s">
        <v>115</v>
      </c>
      <c r="AC19" s="120">
        <v>46174</v>
      </c>
      <c r="AD19" s="89"/>
      <c r="AE19" s="89"/>
      <c r="AF19" s="99"/>
      <c r="AG19" s="99"/>
      <c r="AH19" s="99"/>
      <c r="AI19" s="100" t="s">
        <v>62</v>
      </c>
      <c r="AJ19" s="100" t="s">
        <v>63</v>
      </c>
      <c r="AK19" s="100" t="s">
        <v>62</v>
      </c>
      <c r="AL19" s="45" t="s">
        <v>64</v>
      </c>
      <c r="AM19" s="199" t="str">
        <f t="shared" si="0"/>
        <v>5/2026</v>
      </c>
      <c r="AN19" s="45">
        <f t="shared" si="1"/>
        <v>2</v>
      </c>
      <c r="AO19" s="45" t="str">
        <f t="shared" si="2"/>
        <v>5/2026</v>
      </c>
      <c r="AP19" s="45">
        <f t="shared" si="3"/>
        <v>3</v>
      </c>
      <c r="AQ19" s="45">
        <f t="shared" si="4"/>
        <v>7</v>
      </c>
      <c r="AR19" s="45">
        <f t="shared" si="5"/>
        <v>0</v>
      </c>
      <c r="AS19" s="45">
        <f t="shared" si="6"/>
        <v>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46147</v>
      </c>
      <c r="C20" s="89" t="s">
        <v>48</v>
      </c>
      <c r="D20" s="89" t="s">
        <v>49</v>
      </c>
      <c r="E20" s="90">
        <v>82893293</v>
      </c>
      <c r="F20" s="221" t="s">
        <v>125</v>
      </c>
      <c r="G20" s="92">
        <v>727050869</v>
      </c>
      <c r="H20" s="93">
        <v>20068</v>
      </c>
      <c r="I20" s="89">
        <v>71</v>
      </c>
      <c r="J20" s="89" t="s">
        <v>74</v>
      </c>
      <c r="K20" s="89" t="s">
        <v>52</v>
      </c>
      <c r="L20" s="89"/>
      <c r="M20" s="89" t="s">
        <v>66</v>
      </c>
      <c r="N20" s="89" t="s">
        <v>67</v>
      </c>
      <c r="O20" s="94" t="s">
        <v>126</v>
      </c>
      <c r="P20" s="95" t="s">
        <v>56</v>
      </c>
      <c r="Q20" s="145" t="s">
        <v>57</v>
      </c>
      <c r="R20" s="96">
        <v>46153</v>
      </c>
      <c r="S20" s="97"/>
      <c r="T20" s="97" t="s">
        <v>58</v>
      </c>
      <c r="U20" s="97" t="s">
        <v>59</v>
      </c>
      <c r="V20" s="93">
        <v>46153</v>
      </c>
      <c r="W20" s="93" t="s">
        <v>60</v>
      </c>
      <c r="X20" s="93" t="s">
        <v>60</v>
      </c>
      <c r="Y20" s="98"/>
      <c r="Z20" s="89" t="s">
        <v>61</v>
      </c>
      <c r="AA20" s="97">
        <v>46162</v>
      </c>
      <c r="AB20" s="89" t="s">
        <v>115</v>
      </c>
      <c r="AC20" s="120"/>
      <c r="AD20" s="89"/>
      <c r="AE20" s="89"/>
      <c r="AF20" s="99"/>
      <c r="AG20" s="99"/>
      <c r="AH20" s="99"/>
      <c r="AI20" s="100" t="s">
        <v>62</v>
      </c>
      <c r="AJ20" s="100" t="s">
        <v>63</v>
      </c>
      <c r="AK20" s="100" t="s">
        <v>62</v>
      </c>
      <c r="AL20" s="45" t="s">
        <v>64</v>
      </c>
      <c r="AM20" s="199" t="str">
        <f t="shared" si="0"/>
        <v>5/2026</v>
      </c>
      <c r="AN20" s="45">
        <f t="shared" si="1"/>
        <v>2</v>
      </c>
      <c r="AO20" s="45" t="str">
        <f t="shared" si="2"/>
        <v>5/2026</v>
      </c>
      <c r="AP20" s="45">
        <f t="shared" si="3"/>
        <v>3</v>
      </c>
      <c r="AQ20" s="45">
        <f t="shared" si="4"/>
        <v>6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46147</v>
      </c>
      <c r="C21" s="89" t="s">
        <v>48</v>
      </c>
      <c r="D21" s="89" t="s">
        <v>49</v>
      </c>
      <c r="E21" s="90">
        <v>80959695</v>
      </c>
      <c r="F21" s="221" t="s">
        <v>127</v>
      </c>
      <c r="G21" s="92">
        <v>4083165863</v>
      </c>
      <c r="H21" s="93">
        <v>21930</v>
      </c>
      <c r="I21" s="89">
        <v>66</v>
      </c>
      <c r="J21" s="89" t="s">
        <v>51</v>
      </c>
      <c r="K21" s="89" t="s">
        <v>52</v>
      </c>
      <c r="L21" s="89"/>
      <c r="M21" s="89" t="s">
        <v>66</v>
      </c>
      <c r="N21" s="89" t="s">
        <v>54</v>
      </c>
      <c r="O21" s="94" t="s">
        <v>128</v>
      </c>
      <c r="P21" s="95" t="s">
        <v>56</v>
      </c>
      <c r="Q21" s="145" t="s">
        <v>57</v>
      </c>
      <c r="R21" s="96">
        <v>46153</v>
      </c>
      <c r="S21" s="97"/>
      <c r="T21" s="97" t="s">
        <v>58</v>
      </c>
      <c r="U21" s="97" t="s">
        <v>59</v>
      </c>
      <c r="V21" s="93">
        <v>46153</v>
      </c>
      <c r="W21" s="93" t="s">
        <v>60</v>
      </c>
      <c r="X21" s="93" t="s">
        <v>60</v>
      </c>
      <c r="Y21" s="98"/>
      <c r="Z21" s="89" t="s">
        <v>61</v>
      </c>
      <c r="AA21" s="97">
        <v>46160</v>
      </c>
      <c r="AB21" s="89" t="s">
        <v>115</v>
      </c>
      <c r="AC21" s="120"/>
      <c r="AD21" s="89"/>
      <c r="AE21" s="89"/>
      <c r="AF21" s="99"/>
      <c r="AG21" s="99"/>
      <c r="AH21" s="99"/>
      <c r="AI21" s="100" t="s">
        <v>62</v>
      </c>
      <c r="AJ21" s="100" t="s">
        <v>63</v>
      </c>
      <c r="AK21" s="100" t="s">
        <v>62</v>
      </c>
      <c r="AL21" s="45" t="s">
        <v>64</v>
      </c>
      <c r="AM21" s="199" t="str">
        <f t="shared" si="0"/>
        <v>5/2026</v>
      </c>
      <c r="AN21" s="45">
        <f t="shared" si="1"/>
        <v>2</v>
      </c>
      <c r="AO21" s="45" t="str">
        <f t="shared" si="2"/>
        <v>5/2026</v>
      </c>
      <c r="AP21" s="45">
        <f t="shared" si="3"/>
        <v>3</v>
      </c>
      <c r="AQ21" s="45">
        <f t="shared" si="4"/>
        <v>6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46147</v>
      </c>
      <c r="C22" s="89" t="s">
        <v>48</v>
      </c>
      <c r="D22" s="89" t="s">
        <v>49</v>
      </c>
      <c r="E22" s="90">
        <v>881355240</v>
      </c>
      <c r="F22" s="221" t="s">
        <v>129</v>
      </c>
      <c r="G22" s="92">
        <v>50248359720</v>
      </c>
      <c r="H22" s="93">
        <v>20322</v>
      </c>
      <c r="I22" s="89">
        <v>70</v>
      </c>
      <c r="J22" s="89" t="s">
        <v>74</v>
      </c>
      <c r="K22" s="89" t="s">
        <v>75</v>
      </c>
      <c r="L22" s="89"/>
      <c r="M22" s="89" t="s">
        <v>130</v>
      </c>
      <c r="N22" s="89" t="s">
        <v>104</v>
      </c>
      <c r="O22" s="94" t="s">
        <v>131</v>
      </c>
      <c r="P22" s="95" t="s">
        <v>56</v>
      </c>
      <c r="Q22" s="145" t="s">
        <v>57</v>
      </c>
      <c r="R22" s="96">
        <v>46153</v>
      </c>
      <c r="S22" s="97"/>
      <c r="T22" s="97" t="s">
        <v>58</v>
      </c>
      <c r="U22" s="97" t="s">
        <v>59</v>
      </c>
      <c r="V22" s="93">
        <v>46153</v>
      </c>
      <c r="W22" s="93" t="s">
        <v>60</v>
      </c>
      <c r="X22" s="93" t="s">
        <v>60</v>
      </c>
      <c r="Y22" s="98"/>
      <c r="Z22" s="89" t="s">
        <v>61</v>
      </c>
      <c r="AA22" s="97">
        <v>46161</v>
      </c>
      <c r="AB22" s="89" t="s">
        <v>115</v>
      </c>
      <c r="AC22" s="120"/>
      <c r="AD22" s="89"/>
      <c r="AE22" s="89"/>
      <c r="AF22" s="99"/>
      <c r="AG22" s="99"/>
      <c r="AH22" s="99"/>
      <c r="AI22" s="100" t="s">
        <v>62</v>
      </c>
      <c r="AJ22" s="100" t="s">
        <v>63</v>
      </c>
      <c r="AK22" s="100" t="s">
        <v>62</v>
      </c>
      <c r="AL22" s="45" t="s">
        <v>64</v>
      </c>
      <c r="AM22" s="199" t="str">
        <f t="shared" si="0"/>
        <v>5/2026</v>
      </c>
      <c r="AN22" s="45">
        <f t="shared" si="1"/>
        <v>2</v>
      </c>
      <c r="AO22" s="45" t="str">
        <f t="shared" si="2"/>
        <v>5/2026</v>
      </c>
      <c r="AP22" s="45">
        <f t="shared" si="3"/>
        <v>3</v>
      </c>
      <c r="AQ22" s="45">
        <f t="shared" si="4"/>
        <v>6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46147</v>
      </c>
      <c r="C23" s="89" t="s">
        <v>48</v>
      </c>
      <c r="D23" s="89" t="s">
        <v>49</v>
      </c>
      <c r="E23" s="90">
        <v>424728249</v>
      </c>
      <c r="F23" s="221" t="s">
        <v>132</v>
      </c>
      <c r="G23" s="92">
        <v>1035232863</v>
      </c>
      <c r="H23" s="93">
        <v>21193</v>
      </c>
      <c r="I23" s="89">
        <v>68</v>
      </c>
      <c r="J23" s="89" t="s">
        <v>74</v>
      </c>
      <c r="K23" s="89" t="s">
        <v>52</v>
      </c>
      <c r="L23" s="89"/>
      <c r="M23" s="89" t="s">
        <v>66</v>
      </c>
      <c r="N23" s="89" t="s">
        <v>97</v>
      </c>
      <c r="O23" s="94" t="s">
        <v>133</v>
      </c>
      <c r="P23" s="95" t="s">
        <v>56</v>
      </c>
      <c r="Q23" s="145" t="s">
        <v>57</v>
      </c>
      <c r="R23" s="96">
        <v>46154</v>
      </c>
      <c r="S23" s="97"/>
      <c r="T23" s="97" t="s">
        <v>58</v>
      </c>
      <c r="U23" s="97" t="s">
        <v>59</v>
      </c>
      <c r="V23" s="93">
        <v>46153</v>
      </c>
      <c r="W23" s="93">
        <v>46154</v>
      </c>
      <c r="X23" s="93" t="s">
        <v>60</v>
      </c>
      <c r="Y23" s="98"/>
      <c r="Z23" s="89" t="s">
        <v>61</v>
      </c>
      <c r="AA23" s="97">
        <v>46162</v>
      </c>
      <c r="AB23" s="89" t="s">
        <v>115</v>
      </c>
      <c r="AC23" s="120"/>
      <c r="AD23" s="89"/>
      <c r="AE23" s="89"/>
      <c r="AF23" s="99"/>
      <c r="AG23" s="99"/>
      <c r="AH23" s="99"/>
      <c r="AI23" s="100" t="s">
        <v>62</v>
      </c>
      <c r="AJ23" s="100" t="s">
        <v>63</v>
      </c>
      <c r="AK23" s="100" t="s">
        <v>62</v>
      </c>
      <c r="AL23" s="45" t="s">
        <v>64</v>
      </c>
      <c r="AM23" s="199" t="str">
        <f t="shared" si="0"/>
        <v>5/2026</v>
      </c>
      <c r="AN23" s="45">
        <f t="shared" si="1"/>
        <v>2</v>
      </c>
      <c r="AO23" s="45" t="str">
        <f t="shared" si="2"/>
        <v>5/2026</v>
      </c>
      <c r="AP23" s="45">
        <f t="shared" si="3"/>
        <v>3</v>
      </c>
      <c r="AQ23" s="45">
        <f t="shared" si="4"/>
        <v>7</v>
      </c>
      <c r="AR23" s="45">
        <f t="shared" si="5"/>
        <v>0</v>
      </c>
      <c r="AS23" s="45">
        <f t="shared" si="6"/>
        <v>1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46147</v>
      </c>
      <c r="C24" s="89" t="s">
        <v>48</v>
      </c>
      <c r="D24" s="89" t="s">
        <v>49</v>
      </c>
      <c r="E24" s="90">
        <v>129916048</v>
      </c>
      <c r="F24" s="221" t="s">
        <v>134</v>
      </c>
      <c r="G24" s="92">
        <v>37871358804</v>
      </c>
      <c r="H24" s="93">
        <v>18984</v>
      </c>
      <c r="I24" s="89">
        <v>74</v>
      </c>
      <c r="J24" s="89" t="s">
        <v>74</v>
      </c>
      <c r="K24" s="89" t="s">
        <v>52</v>
      </c>
      <c r="L24" s="89"/>
      <c r="M24" s="89" t="s">
        <v>66</v>
      </c>
      <c r="N24" s="89" t="s">
        <v>104</v>
      </c>
      <c r="O24" s="94" t="s">
        <v>135</v>
      </c>
      <c r="P24" s="95" t="s">
        <v>56</v>
      </c>
      <c r="Q24" s="145" t="s">
        <v>57</v>
      </c>
      <c r="R24" s="96">
        <v>46154</v>
      </c>
      <c r="S24" s="97"/>
      <c r="T24" s="97" t="s">
        <v>58</v>
      </c>
      <c r="U24" s="97" t="s">
        <v>59</v>
      </c>
      <c r="V24" s="93">
        <v>46153</v>
      </c>
      <c r="W24" s="93">
        <v>46154</v>
      </c>
      <c r="X24" s="93" t="s">
        <v>60</v>
      </c>
      <c r="Y24" s="98"/>
      <c r="Z24" s="89" t="s">
        <v>61</v>
      </c>
      <c r="AA24" s="97">
        <v>46162</v>
      </c>
      <c r="AB24" s="89" t="s">
        <v>115</v>
      </c>
      <c r="AC24" s="120"/>
      <c r="AD24" s="89"/>
      <c r="AE24" s="89"/>
      <c r="AF24" s="99"/>
      <c r="AG24" s="99"/>
      <c r="AH24" s="99"/>
      <c r="AI24" s="100" t="s">
        <v>62</v>
      </c>
      <c r="AJ24" s="100" t="s">
        <v>63</v>
      </c>
      <c r="AK24" s="100" t="s">
        <v>62</v>
      </c>
      <c r="AL24" s="45" t="s">
        <v>64</v>
      </c>
      <c r="AM24" s="199" t="str">
        <f t="shared" si="0"/>
        <v>5/2026</v>
      </c>
      <c r="AN24" s="45">
        <f t="shared" si="1"/>
        <v>2</v>
      </c>
      <c r="AO24" s="45" t="str">
        <f t="shared" si="2"/>
        <v>5/2026</v>
      </c>
      <c r="AP24" s="45">
        <f t="shared" si="3"/>
        <v>3</v>
      </c>
      <c r="AQ24" s="45">
        <f t="shared" si="4"/>
        <v>7</v>
      </c>
      <c r="AR24" s="45">
        <f t="shared" si="5"/>
        <v>0</v>
      </c>
      <c r="AS24" s="45">
        <f t="shared" si="6"/>
        <v>1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46147</v>
      </c>
      <c r="C25" s="89" t="s">
        <v>48</v>
      </c>
      <c r="D25" s="89" t="s">
        <v>49</v>
      </c>
      <c r="E25" s="112">
        <v>87691698</v>
      </c>
      <c r="F25" s="221" t="s">
        <v>136</v>
      </c>
      <c r="G25" s="92">
        <v>7526612130</v>
      </c>
      <c r="H25" s="93">
        <v>34963</v>
      </c>
      <c r="I25" s="89">
        <v>30</v>
      </c>
      <c r="J25" s="89" t="s">
        <v>51</v>
      </c>
      <c r="K25" s="89" t="s">
        <v>137</v>
      </c>
      <c r="L25" s="89"/>
      <c r="M25" s="89" t="s">
        <v>138</v>
      </c>
      <c r="N25" s="89" t="s">
        <v>54</v>
      </c>
      <c r="O25" s="94" t="s">
        <v>139</v>
      </c>
      <c r="P25" s="95" t="s">
        <v>56</v>
      </c>
      <c r="Q25" s="145" t="s">
        <v>57</v>
      </c>
      <c r="R25" s="96">
        <v>46164</v>
      </c>
      <c r="S25" s="97"/>
      <c r="T25" s="97" t="s">
        <v>58</v>
      </c>
      <c r="U25" s="97" t="s">
        <v>59</v>
      </c>
      <c r="V25" s="93">
        <v>46153</v>
      </c>
      <c r="W25" s="93">
        <v>46154</v>
      </c>
      <c r="X25" s="93">
        <v>46164</v>
      </c>
      <c r="Y25" s="98"/>
      <c r="Z25" s="89" t="s">
        <v>61</v>
      </c>
      <c r="AA25" s="97">
        <v>46167</v>
      </c>
      <c r="AB25" s="89" t="s">
        <v>115</v>
      </c>
      <c r="AC25" s="120"/>
      <c r="AD25" s="89"/>
      <c r="AE25" s="89"/>
      <c r="AF25" s="99"/>
      <c r="AG25" s="99"/>
      <c r="AH25" s="99"/>
      <c r="AI25" s="100"/>
      <c r="AJ25" s="100" t="s">
        <v>62</v>
      </c>
      <c r="AK25" s="100" t="s">
        <v>62</v>
      </c>
      <c r="AL25" s="45" t="s">
        <v>64</v>
      </c>
      <c r="AM25" s="199" t="str">
        <f t="shared" si="0"/>
        <v>5/2026</v>
      </c>
      <c r="AN25" s="45">
        <f t="shared" si="1"/>
        <v>2</v>
      </c>
      <c r="AO25" s="45" t="str">
        <f t="shared" si="2"/>
        <v>5/2026</v>
      </c>
      <c r="AP25" s="45">
        <f t="shared" si="3"/>
        <v>4</v>
      </c>
      <c r="AQ25" s="45">
        <f t="shared" si="4"/>
        <v>17</v>
      </c>
      <c r="AR25" s="45">
        <f t="shared" si="5"/>
        <v>0</v>
      </c>
      <c r="AS25" s="45">
        <f t="shared" si="6"/>
        <v>5.5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46147</v>
      </c>
      <c r="C26" s="89" t="s">
        <v>48</v>
      </c>
      <c r="D26" s="89" t="s">
        <v>49</v>
      </c>
      <c r="E26" s="90">
        <v>773391320</v>
      </c>
      <c r="F26" s="221" t="s">
        <v>140</v>
      </c>
      <c r="G26" s="92">
        <v>52924491800</v>
      </c>
      <c r="H26" s="93">
        <v>18136</v>
      </c>
      <c r="I26" s="89">
        <v>76</v>
      </c>
      <c r="J26" s="89" t="s">
        <v>74</v>
      </c>
      <c r="K26" s="89" t="s">
        <v>52</v>
      </c>
      <c r="L26" s="89"/>
      <c r="M26" s="89" t="s">
        <v>66</v>
      </c>
      <c r="N26" s="89" t="s">
        <v>117</v>
      </c>
      <c r="O26" s="94" t="s">
        <v>141</v>
      </c>
      <c r="P26" s="95" t="s">
        <v>56</v>
      </c>
      <c r="Q26" s="145" t="s">
        <v>57</v>
      </c>
      <c r="R26" s="96">
        <v>46153</v>
      </c>
      <c r="S26" s="97"/>
      <c r="T26" s="97" t="s">
        <v>58</v>
      </c>
      <c r="U26" s="97" t="s">
        <v>59</v>
      </c>
      <c r="V26" s="93">
        <v>46153</v>
      </c>
      <c r="W26" s="93" t="s">
        <v>60</v>
      </c>
      <c r="X26" s="93" t="s">
        <v>60</v>
      </c>
      <c r="Y26" s="98"/>
      <c r="Z26" s="89" t="s">
        <v>61</v>
      </c>
      <c r="AA26" s="97">
        <v>46162</v>
      </c>
      <c r="AB26" s="89" t="s">
        <v>115</v>
      </c>
      <c r="AC26" s="120"/>
      <c r="AD26" s="89"/>
      <c r="AE26" s="89"/>
      <c r="AF26" s="99"/>
      <c r="AG26" s="99"/>
      <c r="AH26" s="99"/>
      <c r="AI26" s="100" t="s">
        <v>62</v>
      </c>
      <c r="AJ26" s="100" t="s">
        <v>63</v>
      </c>
      <c r="AK26" s="100" t="s">
        <v>62</v>
      </c>
      <c r="AL26" s="45" t="s">
        <v>64</v>
      </c>
      <c r="AM26" s="199" t="str">
        <f t="shared" si="0"/>
        <v>5/2026</v>
      </c>
      <c r="AN26" s="45">
        <f t="shared" si="1"/>
        <v>2</v>
      </c>
      <c r="AO26" s="45" t="str">
        <f t="shared" si="2"/>
        <v>5/2026</v>
      </c>
      <c r="AP26" s="45">
        <f t="shared" si="3"/>
        <v>3</v>
      </c>
      <c r="AQ26" s="45">
        <f t="shared" si="4"/>
        <v>6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46147</v>
      </c>
      <c r="C27" s="89" t="s">
        <v>48</v>
      </c>
      <c r="D27" s="89" t="s">
        <v>49</v>
      </c>
      <c r="E27" s="90">
        <v>772517290</v>
      </c>
      <c r="F27" s="221" t="s">
        <v>142</v>
      </c>
      <c r="G27" s="92">
        <v>19342681867</v>
      </c>
      <c r="H27" s="93">
        <v>15793</v>
      </c>
      <c r="I27" s="89">
        <v>83</v>
      </c>
      <c r="J27" s="89" t="s">
        <v>51</v>
      </c>
      <c r="K27" s="89" t="s">
        <v>52</v>
      </c>
      <c r="L27" s="89"/>
      <c r="M27" s="89" t="s">
        <v>66</v>
      </c>
      <c r="N27" s="89" t="s">
        <v>117</v>
      </c>
      <c r="O27" s="94" t="s">
        <v>143</v>
      </c>
      <c r="P27" s="95" t="s">
        <v>56</v>
      </c>
      <c r="Q27" s="145" t="s">
        <v>57</v>
      </c>
      <c r="R27" s="96">
        <v>46154</v>
      </c>
      <c r="S27" s="97"/>
      <c r="T27" s="97" t="s">
        <v>58</v>
      </c>
      <c r="U27" s="97" t="s">
        <v>59</v>
      </c>
      <c r="V27" s="93">
        <v>46153</v>
      </c>
      <c r="W27" s="93">
        <v>46154</v>
      </c>
      <c r="X27" s="93" t="s">
        <v>60</v>
      </c>
      <c r="Y27" s="98"/>
      <c r="Z27" s="89" t="s">
        <v>61</v>
      </c>
      <c r="AA27" s="97">
        <v>46163</v>
      </c>
      <c r="AB27" s="89" t="s">
        <v>115</v>
      </c>
      <c r="AC27" s="120">
        <v>46176</v>
      </c>
      <c r="AD27" s="89"/>
      <c r="AE27" s="89"/>
      <c r="AF27" s="99"/>
      <c r="AG27" s="99"/>
      <c r="AH27" s="99"/>
      <c r="AI27" s="100" t="s">
        <v>62</v>
      </c>
      <c r="AJ27" s="100" t="s">
        <v>63</v>
      </c>
      <c r="AK27" s="100" t="s">
        <v>62</v>
      </c>
      <c r="AL27" s="45" t="s">
        <v>64</v>
      </c>
      <c r="AM27" s="199" t="str">
        <f t="shared" si="0"/>
        <v>5/2026</v>
      </c>
      <c r="AN27" s="45">
        <f t="shared" si="1"/>
        <v>2</v>
      </c>
      <c r="AO27" s="45" t="str">
        <f t="shared" si="2"/>
        <v>5/2026</v>
      </c>
      <c r="AP27" s="45">
        <f t="shared" si="3"/>
        <v>3</v>
      </c>
      <c r="AQ27" s="45">
        <f t="shared" si="4"/>
        <v>7</v>
      </c>
      <c r="AR27" s="45">
        <f t="shared" si="5"/>
        <v>0</v>
      </c>
      <c r="AS27" s="45">
        <f t="shared" si="6"/>
        <v>1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46147</v>
      </c>
      <c r="C28" s="89" t="s">
        <v>48</v>
      </c>
      <c r="D28" s="89" t="s">
        <v>49</v>
      </c>
      <c r="E28" s="90">
        <v>76400013</v>
      </c>
      <c r="F28" s="221" t="s">
        <v>144</v>
      </c>
      <c r="G28" s="92">
        <v>76972054753</v>
      </c>
      <c r="H28" s="93">
        <v>23507</v>
      </c>
      <c r="I28" s="89">
        <v>62</v>
      </c>
      <c r="J28" s="89" t="s">
        <v>51</v>
      </c>
      <c r="K28" s="89" t="s">
        <v>75</v>
      </c>
      <c r="L28" s="89"/>
      <c r="M28" s="89" t="s">
        <v>76</v>
      </c>
      <c r="N28" s="89" t="s">
        <v>91</v>
      </c>
      <c r="O28" s="94" t="s">
        <v>145</v>
      </c>
      <c r="P28" s="95" t="s">
        <v>56</v>
      </c>
      <c r="Q28" s="145" t="s">
        <v>57</v>
      </c>
      <c r="R28" s="96">
        <v>46153</v>
      </c>
      <c r="S28" s="97"/>
      <c r="T28" s="97" t="s">
        <v>58</v>
      </c>
      <c r="U28" s="97" t="s">
        <v>59</v>
      </c>
      <c r="V28" s="93">
        <v>46153</v>
      </c>
      <c r="W28" s="93" t="s">
        <v>60</v>
      </c>
      <c r="X28" s="93" t="s">
        <v>60</v>
      </c>
      <c r="Y28" s="98"/>
      <c r="Z28" s="89" t="s">
        <v>61</v>
      </c>
      <c r="AA28" s="97">
        <v>46161</v>
      </c>
      <c r="AB28" s="89" t="s">
        <v>115</v>
      </c>
      <c r="AC28" s="120"/>
      <c r="AD28" s="89"/>
      <c r="AE28" s="89"/>
      <c r="AF28" s="99"/>
      <c r="AG28" s="99"/>
      <c r="AH28" s="99"/>
      <c r="AI28" s="100" t="s">
        <v>62</v>
      </c>
      <c r="AJ28" s="100" t="s">
        <v>63</v>
      </c>
      <c r="AK28" s="100" t="s">
        <v>62</v>
      </c>
      <c r="AL28" s="45" t="s">
        <v>64</v>
      </c>
      <c r="AM28" s="199" t="str">
        <f t="shared" si="0"/>
        <v>5/2026</v>
      </c>
      <c r="AN28" s="45">
        <f t="shared" si="1"/>
        <v>2</v>
      </c>
      <c r="AO28" s="45" t="str">
        <f t="shared" si="2"/>
        <v>5/2026</v>
      </c>
      <c r="AP28" s="45">
        <f t="shared" si="3"/>
        <v>3</v>
      </c>
      <c r="AQ28" s="45">
        <f t="shared" si="4"/>
        <v>6</v>
      </c>
      <c r="AR28" s="45">
        <f t="shared" si="5"/>
        <v>0</v>
      </c>
      <c r="AS28" s="45">
        <f t="shared" si="6"/>
        <v>0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46147</v>
      </c>
      <c r="C29" s="89" t="s">
        <v>48</v>
      </c>
      <c r="D29" s="89" t="s">
        <v>49</v>
      </c>
      <c r="E29" s="90">
        <v>200243594</v>
      </c>
      <c r="F29" s="221" t="s">
        <v>146</v>
      </c>
      <c r="G29" s="92">
        <v>12481963849</v>
      </c>
      <c r="H29" s="93">
        <v>15325</v>
      </c>
      <c r="I29" s="89">
        <v>84</v>
      </c>
      <c r="J29" s="89" t="s">
        <v>74</v>
      </c>
      <c r="K29" s="89" t="s">
        <v>52</v>
      </c>
      <c r="L29" s="89"/>
      <c r="M29" s="89" t="s">
        <v>66</v>
      </c>
      <c r="N29" s="89" t="s">
        <v>104</v>
      </c>
      <c r="O29" s="94" t="s">
        <v>147</v>
      </c>
      <c r="P29" s="95" t="s">
        <v>56</v>
      </c>
      <c r="Q29" s="145" t="s">
        <v>57</v>
      </c>
      <c r="R29" s="96">
        <v>46153</v>
      </c>
      <c r="S29" s="97"/>
      <c r="T29" s="97" t="s">
        <v>58</v>
      </c>
      <c r="U29" s="97" t="s">
        <v>59</v>
      </c>
      <c r="V29" s="93">
        <v>46153</v>
      </c>
      <c r="W29" s="93" t="s">
        <v>60</v>
      </c>
      <c r="X29" s="93" t="s">
        <v>60</v>
      </c>
      <c r="Y29" s="98"/>
      <c r="Z29" s="89" t="s">
        <v>61</v>
      </c>
      <c r="AA29" s="97">
        <v>46160</v>
      </c>
      <c r="AB29" s="89" t="s">
        <v>69</v>
      </c>
      <c r="AC29" s="120"/>
      <c r="AD29" s="89" t="s">
        <v>99</v>
      </c>
      <c r="AE29" s="89"/>
      <c r="AF29" s="99" t="s">
        <v>94</v>
      </c>
      <c r="AG29" s="99"/>
      <c r="AH29" s="99"/>
      <c r="AI29" s="100" t="s">
        <v>62</v>
      </c>
      <c r="AJ29" s="100" t="s">
        <v>63</v>
      </c>
      <c r="AK29" s="100" t="s">
        <v>62</v>
      </c>
      <c r="AL29" s="45" t="s">
        <v>64</v>
      </c>
      <c r="AM29" s="199" t="str">
        <f t="shared" si="0"/>
        <v>5/2026</v>
      </c>
      <c r="AN29" s="45">
        <f t="shared" si="1"/>
        <v>2</v>
      </c>
      <c r="AO29" s="45" t="str">
        <f t="shared" si="2"/>
        <v>5/2026</v>
      </c>
      <c r="AP29" s="45">
        <f t="shared" si="3"/>
        <v>3</v>
      </c>
      <c r="AQ29" s="45">
        <f t="shared" si="4"/>
        <v>6</v>
      </c>
      <c r="AR29" s="45">
        <f t="shared" si="5"/>
        <v>0</v>
      </c>
      <c r="AS29" s="45">
        <f t="shared" si="6"/>
        <v>0</v>
      </c>
      <c r="AT29" s="45">
        <f t="shared" si="7"/>
        <v>7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46147</v>
      </c>
      <c r="C30" s="89" t="s">
        <v>48</v>
      </c>
      <c r="D30" s="89" t="s">
        <v>49</v>
      </c>
      <c r="E30" s="90">
        <v>87553697</v>
      </c>
      <c r="F30" s="221" t="s">
        <v>148</v>
      </c>
      <c r="G30" s="92">
        <v>13795493706</v>
      </c>
      <c r="H30" s="93">
        <v>35438</v>
      </c>
      <c r="I30" s="89">
        <v>29</v>
      </c>
      <c r="J30" s="89" t="s">
        <v>51</v>
      </c>
      <c r="K30" s="89" t="s">
        <v>75</v>
      </c>
      <c r="L30" s="89"/>
      <c r="M30" s="89" t="s">
        <v>76</v>
      </c>
      <c r="N30" s="89" t="s">
        <v>149</v>
      </c>
      <c r="O30" s="94" t="s">
        <v>150</v>
      </c>
      <c r="P30" s="95" t="s">
        <v>56</v>
      </c>
      <c r="Q30" s="145" t="s">
        <v>57</v>
      </c>
      <c r="R30" s="96">
        <v>46161</v>
      </c>
      <c r="S30" s="97"/>
      <c r="T30" s="97" t="s">
        <v>58</v>
      </c>
      <c r="U30" s="97" t="s">
        <v>59</v>
      </c>
      <c r="V30" s="93">
        <v>46153</v>
      </c>
      <c r="W30" s="93">
        <v>46154</v>
      </c>
      <c r="X30" s="93">
        <v>46164</v>
      </c>
      <c r="Y30" s="98"/>
      <c r="Z30" s="89" t="s">
        <v>61</v>
      </c>
      <c r="AA30" s="97">
        <v>46176</v>
      </c>
      <c r="AB30" s="89" t="s">
        <v>115</v>
      </c>
      <c r="AC30" s="120">
        <v>46176</v>
      </c>
      <c r="AD30" s="89"/>
      <c r="AE30" s="89"/>
      <c r="AF30" s="99"/>
      <c r="AG30" s="99"/>
      <c r="AH30" s="99"/>
      <c r="AI30" s="100"/>
      <c r="AJ30" s="100" t="s">
        <v>62</v>
      </c>
      <c r="AK30" s="100" t="s">
        <v>63</v>
      </c>
      <c r="AL30" s="45" t="s">
        <v>64</v>
      </c>
      <c r="AM30" s="199" t="str">
        <f t="shared" si="0"/>
        <v>5/2026</v>
      </c>
      <c r="AN30" s="45">
        <f t="shared" si="1"/>
        <v>2</v>
      </c>
      <c r="AO30" s="45" t="str">
        <f t="shared" si="2"/>
        <v>5/2026</v>
      </c>
      <c r="AP30" s="45">
        <f t="shared" si="3"/>
        <v>4</v>
      </c>
      <c r="AQ30" s="45">
        <f t="shared" si="4"/>
        <v>14</v>
      </c>
      <c r="AR30" s="45">
        <f t="shared" si="5"/>
        <v>0</v>
      </c>
      <c r="AS30" s="45">
        <f t="shared" si="6"/>
        <v>5.5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46147</v>
      </c>
      <c r="C31" s="89" t="s">
        <v>48</v>
      </c>
      <c r="D31" s="89" t="s">
        <v>49</v>
      </c>
      <c r="E31" s="90">
        <v>451554205</v>
      </c>
      <c r="F31" s="221" t="s">
        <v>151</v>
      </c>
      <c r="G31" s="92">
        <v>464589800</v>
      </c>
      <c r="H31" s="93">
        <v>13642</v>
      </c>
      <c r="I31" s="89">
        <v>89</v>
      </c>
      <c r="J31" s="89" t="s">
        <v>74</v>
      </c>
      <c r="K31" s="89" t="s">
        <v>52</v>
      </c>
      <c r="L31" s="89"/>
      <c r="M31" s="89" t="s">
        <v>66</v>
      </c>
      <c r="N31" s="89" t="s">
        <v>104</v>
      </c>
      <c r="O31" s="94" t="s">
        <v>152</v>
      </c>
      <c r="P31" s="95" t="s">
        <v>56</v>
      </c>
      <c r="Q31" s="145" t="s">
        <v>57</v>
      </c>
      <c r="R31" s="96">
        <v>46153</v>
      </c>
      <c r="S31" s="97"/>
      <c r="T31" s="97" t="s">
        <v>58</v>
      </c>
      <c r="U31" s="97" t="s">
        <v>59</v>
      </c>
      <c r="V31" s="93">
        <v>46153</v>
      </c>
      <c r="W31" s="93" t="s">
        <v>60</v>
      </c>
      <c r="X31" s="93" t="s">
        <v>60</v>
      </c>
      <c r="Y31" s="98"/>
      <c r="Z31" s="89" t="s">
        <v>61</v>
      </c>
      <c r="AA31" s="97">
        <v>46161</v>
      </c>
      <c r="AB31" s="89" t="s">
        <v>69</v>
      </c>
      <c r="AC31" s="120"/>
      <c r="AD31" s="89"/>
      <c r="AE31" s="89"/>
      <c r="AF31" s="99"/>
      <c r="AG31" s="99"/>
      <c r="AH31" s="99"/>
      <c r="AI31" s="100" t="s">
        <v>62</v>
      </c>
      <c r="AJ31" s="100" t="s">
        <v>63</v>
      </c>
      <c r="AK31" s="100" t="s">
        <v>62</v>
      </c>
      <c r="AL31" s="45" t="s">
        <v>64</v>
      </c>
      <c r="AM31" s="199" t="str">
        <f t="shared" si="0"/>
        <v>5/2026</v>
      </c>
      <c r="AN31" s="45">
        <f t="shared" si="1"/>
        <v>2</v>
      </c>
      <c r="AO31" s="45" t="str">
        <f t="shared" si="2"/>
        <v>5/2026</v>
      </c>
      <c r="AP31" s="45">
        <f t="shared" si="3"/>
        <v>3</v>
      </c>
      <c r="AQ31" s="45">
        <f t="shared" si="4"/>
        <v>6</v>
      </c>
      <c r="AR31" s="45">
        <f t="shared" si="5"/>
        <v>0</v>
      </c>
      <c r="AS31" s="45">
        <f t="shared" si="6"/>
        <v>0</v>
      </c>
      <c r="AT31" s="45">
        <f t="shared" si="7"/>
        <v>8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46147</v>
      </c>
      <c r="C32" s="89" t="s">
        <v>48</v>
      </c>
      <c r="D32" s="89" t="s">
        <v>49</v>
      </c>
      <c r="E32" s="90">
        <v>438666330</v>
      </c>
      <c r="F32" s="221" t="s">
        <v>153</v>
      </c>
      <c r="G32" s="92">
        <v>665595700</v>
      </c>
      <c r="H32" s="93">
        <v>26866</v>
      </c>
      <c r="I32" s="89">
        <v>52</v>
      </c>
      <c r="J32" s="89" t="s">
        <v>51</v>
      </c>
      <c r="K32" s="89" t="s">
        <v>75</v>
      </c>
      <c r="L32" s="89"/>
      <c r="M32" s="89" t="s">
        <v>130</v>
      </c>
      <c r="N32" s="89" t="s">
        <v>117</v>
      </c>
      <c r="O32" s="94" t="s">
        <v>154</v>
      </c>
      <c r="P32" s="95" t="s">
        <v>56</v>
      </c>
      <c r="Q32" s="145" t="s">
        <v>57</v>
      </c>
      <c r="R32" s="96">
        <v>46154</v>
      </c>
      <c r="S32" s="97"/>
      <c r="T32" s="97" t="s">
        <v>58</v>
      </c>
      <c r="U32" s="97" t="s">
        <v>59</v>
      </c>
      <c r="V32" s="93">
        <v>46153</v>
      </c>
      <c r="W32" s="93">
        <v>46154</v>
      </c>
      <c r="X32" s="93" t="s">
        <v>60</v>
      </c>
      <c r="Y32" s="98"/>
      <c r="Z32" s="89" t="s">
        <v>61</v>
      </c>
      <c r="AA32" s="97">
        <v>46161</v>
      </c>
      <c r="AB32" s="89" t="s">
        <v>115</v>
      </c>
      <c r="AC32" s="120">
        <v>46184</v>
      </c>
      <c r="AD32" s="89"/>
      <c r="AE32" s="89"/>
      <c r="AF32" s="99"/>
      <c r="AG32" s="99"/>
      <c r="AH32" s="99"/>
      <c r="AI32" s="100" t="s">
        <v>62</v>
      </c>
      <c r="AJ32" s="100" t="s">
        <v>63</v>
      </c>
      <c r="AK32" s="100" t="s">
        <v>62</v>
      </c>
      <c r="AL32" s="45" t="s">
        <v>64</v>
      </c>
      <c r="AM32" s="199" t="str">
        <f t="shared" si="0"/>
        <v>5/2026</v>
      </c>
      <c r="AN32" s="45">
        <f t="shared" si="1"/>
        <v>2</v>
      </c>
      <c r="AO32" s="45" t="str">
        <f t="shared" si="2"/>
        <v>5/2026</v>
      </c>
      <c r="AP32" s="45">
        <f t="shared" si="3"/>
        <v>3</v>
      </c>
      <c r="AQ32" s="45">
        <f t="shared" si="4"/>
        <v>7</v>
      </c>
      <c r="AR32" s="45">
        <f t="shared" si="5"/>
        <v>0</v>
      </c>
      <c r="AS32" s="45">
        <f t="shared" si="6"/>
        <v>1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46147</v>
      </c>
      <c r="C33" s="89" t="s">
        <v>48</v>
      </c>
      <c r="D33" s="89" t="s">
        <v>49</v>
      </c>
      <c r="E33" s="90">
        <v>81363977</v>
      </c>
      <c r="F33" s="221" t="s">
        <v>155</v>
      </c>
      <c r="G33" s="92">
        <v>78188768715</v>
      </c>
      <c r="H33" s="93">
        <v>22387</v>
      </c>
      <c r="I33" s="89">
        <v>65</v>
      </c>
      <c r="J33" s="89" t="s">
        <v>74</v>
      </c>
      <c r="K33" s="89" t="s">
        <v>75</v>
      </c>
      <c r="L33" s="89"/>
      <c r="M33" s="89" t="s">
        <v>130</v>
      </c>
      <c r="N33" s="89" t="s">
        <v>80</v>
      </c>
      <c r="O33" s="94" t="s">
        <v>156</v>
      </c>
      <c r="P33" s="95" t="s">
        <v>56</v>
      </c>
      <c r="Q33" s="145" t="s">
        <v>57</v>
      </c>
      <c r="R33" s="96">
        <v>46154</v>
      </c>
      <c r="S33" s="97"/>
      <c r="T33" s="97" t="s">
        <v>58</v>
      </c>
      <c r="U33" s="97" t="s">
        <v>59</v>
      </c>
      <c r="V33" s="93">
        <v>46153</v>
      </c>
      <c r="W33" s="93">
        <v>46154</v>
      </c>
      <c r="X33" s="93" t="s">
        <v>60</v>
      </c>
      <c r="Y33" s="98"/>
      <c r="Z33" s="89" t="s">
        <v>61</v>
      </c>
      <c r="AA33" s="97">
        <v>46162</v>
      </c>
      <c r="AB33" s="89" t="s">
        <v>115</v>
      </c>
      <c r="AC33" s="120"/>
      <c r="AD33" s="89"/>
      <c r="AE33" s="89"/>
      <c r="AF33" s="99"/>
      <c r="AG33" s="99"/>
      <c r="AH33" s="99"/>
      <c r="AI33" s="100" t="s">
        <v>62</v>
      </c>
      <c r="AJ33" s="100" t="s">
        <v>63</v>
      </c>
      <c r="AK33" s="100" t="s">
        <v>62</v>
      </c>
      <c r="AL33" s="45" t="s">
        <v>64</v>
      </c>
      <c r="AM33" s="199" t="str">
        <f t="shared" si="0"/>
        <v>5/2026</v>
      </c>
      <c r="AN33" s="45">
        <f t="shared" si="1"/>
        <v>2</v>
      </c>
      <c r="AO33" s="45" t="str">
        <f t="shared" si="2"/>
        <v>5/2026</v>
      </c>
      <c r="AP33" s="45">
        <f t="shared" si="3"/>
        <v>3</v>
      </c>
      <c r="AQ33" s="45">
        <f t="shared" si="4"/>
        <v>7</v>
      </c>
      <c r="AR33" s="45">
        <f t="shared" si="5"/>
        <v>0</v>
      </c>
      <c r="AS33" s="45">
        <f t="shared" si="6"/>
        <v>1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46147</v>
      </c>
      <c r="C34" s="89" t="s">
        <v>48</v>
      </c>
      <c r="D34" s="89" t="s">
        <v>49</v>
      </c>
      <c r="E34" s="90">
        <v>81906722</v>
      </c>
      <c r="F34" s="221" t="s">
        <v>157</v>
      </c>
      <c r="G34" s="92">
        <v>78833000400</v>
      </c>
      <c r="H34" s="93">
        <v>24300</v>
      </c>
      <c r="I34" s="89">
        <v>59</v>
      </c>
      <c r="J34" s="89" t="s">
        <v>74</v>
      </c>
      <c r="K34" s="89" t="s">
        <v>75</v>
      </c>
      <c r="L34" s="89"/>
      <c r="M34" s="89" t="s">
        <v>158</v>
      </c>
      <c r="N34" s="89" t="s">
        <v>111</v>
      </c>
      <c r="O34" s="94" t="s">
        <v>159</v>
      </c>
      <c r="P34" s="95" t="s">
        <v>56</v>
      </c>
      <c r="Q34" s="145" t="s">
        <v>57</v>
      </c>
      <c r="R34" s="96">
        <v>46153</v>
      </c>
      <c r="S34" s="97"/>
      <c r="T34" s="97" t="s">
        <v>58</v>
      </c>
      <c r="U34" s="97" t="s">
        <v>59</v>
      </c>
      <c r="V34" s="93">
        <v>46153</v>
      </c>
      <c r="W34" s="93" t="s">
        <v>60</v>
      </c>
      <c r="X34" s="93" t="s">
        <v>60</v>
      </c>
      <c r="Y34" s="98"/>
      <c r="Z34" s="89" t="s">
        <v>61</v>
      </c>
      <c r="AA34" s="97">
        <v>46142.402777777781</v>
      </c>
      <c r="AB34" s="89" t="s">
        <v>115</v>
      </c>
      <c r="AC34" s="120"/>
      <c r="AD34" s="89"/>
      <c r="AE34" s="89"/>
      <c r="AF34" s="99"/>
      <c r="AG34" s="99"/>
      <c r="AH34" s="99"/>
      <c r="AI34" s="100" t="s">
        <v>62</v>
      </c>
      <c r="AJ34" s="100" t="s">
        <v>63</v>
      </c>
      <c r="AK34" s="100" t="s">
        <v>62</v>
      </c>
      <c r="AL34" s="45" t="s">
        <v>64</v>
      </c>
      <c r="AM34" s="199" t="str">
        <f t="shared" si="0"/>
        <v>5/2026</v>
      </c>
      <c r="AN34" s="45">
        <f t="shared" si="1"/>
        <v>2</v>
      </c>
      <c r="AO34" s="45" t="str">
        <f t="shared" si="2"/>
        <v>5/2026</v>
      </c>
      <c r="AP34" s="45">
        <f t="shared" si="3"/>
        <v>3</v>
      </c>
      <c r="AQ34" s="45">
        <f t="shared" si="4"/>
        <v>6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46147</v>
      </c>
      <c r="C35" s="89" t="s">
        <v>48</v>
      </c>
      <c r="D35" s="89" t="s">
        <v>49</v>
      </c>
      <c r="E35" s="90">
        <v>82031881</v>
      </c>
      <c r="F35" s="221" t="s">
        <v>160</v>
      </c>
      <c r="G35" s="92">
        <v>69661987815</v>
      </c>
      <c r="H35" s="93">
        <v>18267</v>
      </c>
      <c r="I35" s="89">
        <v>76</v>
      </c>
      <c r="J35" s="89" t="s">
        <v>74</v>
      </c>
      <c r="K35" s="89" t="s">
        <v>52</v>
      </c>
      <c r="L35" s="89"/>
      <c r="M35" s="89" t="s">
        <v>66</v>
      </c>
      <c r="N35" s="89" t="s">
        <v>80</v>
      </c>
      <c r="O35" s="94" t="s">
        <v>161</v>
      </c>
      <c r="P35" s="95" t="s">
        <v>56</v>
      </c>
      <c r="Q35" s="145" t="s">
        <v>57</v>
      </c>
      <c r="R35" s="96">
        <v>46154</v>
      </c>
      <c r="S35" s="97"/>
      <c r="T35" s="97" t="s">
        <v>58</v>
      </c>
      <c r="U35" s="97" t="s">
        <v>59</v>
      </c>
      <c r="V35" s="93">
        <v>46153</v>
      </c>
      <c r="W35" s="93">
        <v>46154</v>
      </c>
      <c r="X35" s="93" t="s">
        <v>60</v>
      </c>
      <c r="Y35" s="98"/>
      <c r="Z35" s="89" t="s">
        <v>61</v>
      </c>
      <c r="AA35" s="97">
        <v>46162.611111111109</v>
      </c>
      <c r="AB35" s="89" t="s">
        <v>115</v>
      </c>
      <c r="AC35" s="120"/>
      <c r="AD35" s="89"/>
      <c r="AE35" s="89"/>
      <c r="AF35" s="99"/>
      <c r="AG35" s="99"/>
      <c r="AH35" s="99"/>
      <c r="AI35" s="100" t="s">
        <v>62</v>
      </c>
      <c r="AJ35" s="100" t="s">
        <v>63</v>
      </c>
      <c r="AK35" s="100" t="s">
        <v>62</v>
      </c>
      <c r="AL35" s="45" t="s">
        <v>64</v>
      </c>
      <c r="AM35" s="199" t="str">
        <f t="shared" si="0"/>
        <v>5/2026</v>
      </c>
      <c r="AN35" s="45">
        <f t="shared" si="1"/>
        <v>2</v>
      </c>
      <c r="AO35" s="45" t="str">
        <f t="shared" si="2"/>
        <v>5/2026</v>
      </c>
      <c r="AP35" s="45">
        <f t="shared" si="3"/>
        <v>3</v>
      </c>
      <c r="AQ35" s="45">
        <f t="shared" si="4"/>
        <v>7</v>
      </c>
      <c r="AR35" s="45">
        <f t="shared" si="5"/>
        <v>0</v>
      </c>
      <c r="AS35" s="45">
        <f t="shared" si="6"/>
        <v>1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46147</v>
      </c>
      <c r="C36" s="89" t="s">
        <v>48</v>
      </c>
      <c r="D36" s="89" t="s">
        <v>49</v>
      </c>
      <c r="E36" s="90">
        <v>81980175</v>
      </c>
      <c r="F36" s="221" t="s">
        <v>162</v>
      </c>
      <c r="G36" s="92">
        <v>3607850852</v>
      </c>
      <c r="H36" s="93">
        <v>20739</v>
      </c>
      <c r="I36" s="89">
        <v>69</v>
      </c>
      <c r="J36" s="89" t="s">
        <v>74</v>
      </c>
      <c r="K36" s="89" t="s">
        <v>52</v>
      </c>
      <c r="L36" s="89"/>
      <c r="M36" s="89" t="s">
        <v>107</v>
      </c>
      <c r="N36" s="89" t="s">
        <v>54</v>
      </c>
      <c r="O36" s="94" t="s">
        <v>163</v>
      </c>
      <c r="P36" s="95" t="s">
        <v>56</v>
      </c>
      <c r="Q36" s="145" t="s">
        <v>57</v>
      </c>
      <c r="R36" s="96">
        <v>46154</v>
      </c>
      <c r="S36" s="97"/>
      <c r="T36" s="97" t="s">
        <v>58</v>
      </c>
      <c r="U36" s="97" t="s">
        <v>59</v>
      </c>
      <c r="V36" s="93">
        <v>46153</v>
      </c>
      <c r="W36" s="93">
        <v>46154</v>
      </c>
      <c r="X36" s="93" t="s">
        <v>60</v>
      </c>
      <c r="Y36" s="98"/>
      <c r="Z36" s="89" t="s">
        <v>61</v>
      </c>
      <c r="AA36" s="97">
        <v>46161</v>
      </c>
      <c r="AB36" s="89" t="s">
        <v>115</v>
      </c>
      <c r="AC36" s="120"/>
      <c r="AD36" s="89"/>
      <c r="AE36" s="89"/>
      <c r="AF36" s="99"/>
      <c r="AG36" s="99"/>
      <c r="AH36" s="99"/>
      <c r="AI36" s="100" t="s">
        <v>62</v>
      </c>
      <c r="AJ36" s="100" t="s">
        <v>63</v>
      </c>
      <c r="AK36" s="100" t="s">
        <v>62</v>
      </c>
      <c r="AL36" s="45" t="s">
        <v>64</v>
      </c>
      <c r="AM36" s="199" t="str">
        <f t="shared" si="0"/>
        <v>5/2026</v>
      </c>
      <c r="AN36" s="45">
        <f t="shared" si="1"/>
        <v>2</v>
      </c>
      <c r="AO36" s="45" t="str">
        <f t="shared" si="2"/>
        <v>5/2026</v>
      </c>
      <c r="AP36" s="45">
        <f t="shared" si="3"/>
        <v>3</v>
      </c>
      <c r="AQ36" s="45">
        <f t="shared" si="4"/>
        <v>7</v>
      </c>
      <c r="AR36" s="45">
        <f t="shared" si="5"/>
        <v>0</v>
      </c>
      <c r="AS36" s="45">
        <f t="shared" si="6"/>
        <v>1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46147</v>
      </c>
      <c r="C37" s="89" t="s">
        <v>48</v>
      </c>
      <c r="D37" s="89" t="s">
        <v>49</v>
      </c>
      <c r="E37" s="90">
        <v>830068600</v>
      </c>
      <c r="F37" s="221" t="s">
        <v>164</v>
      </c>
      <c r="G37" s="92">
        <v>18982913815</v>
      </c>
      <c r="H37" s="93">
        <v>17219</v>
      </c>
      <c r="I37" s="89">
        <v>79</v>
      </c>
      <c r="J37" s="89" t="s">
        <v>74</v>
      </c>
      <c r="K37" s="89" t="s">
        <v>52</v>
      </c>
      <c r="L37" s="89"/>
      <c r="M37" s="89" t="s">
        <v>66</v>
      </c>
      <c r="N37" s="89" t="s">
        <v>165</v>
      </c>
      <c r="O37" s="94" t="s">
        <v>166</v>
      </c>
      <c r="P37" s="95" t="s">
        <v>56</v>
      </c>
      <c r="Q37" s="145" t="s">
        <v>57</v>
      </c>
      <c r="R37" s="96">
        <v>46153</v>
      </c>
      <c r="S37" s="97"/>
      <c r="T37" s="97" t="s">
        <v>58</v>
      </c>
      <c r="U37" s="97" t="s">
        <v>59</v>
      </c>
      <c r="V37" s="93">
        <v>46153</v>
      </c>
      <c r="W37" s="93" t="s">
        <v>60</v>
      </c>
      <c r="X37" s="93" t="s">
        <v>60</v>
      </c>
      <c r="Y37" s="98"/>
      <c r="Z37" s="89" t="s">
        <v>61</v>
      </c>
      <c r="AA37" s="97">
        <v>46161</v>
      </c>
      <c r="AB37" s="89" t="s">
        <v>115</v>
      </c>
      <c r="AC37" s="120"/>
      <c r="AD37" s="89"/>
      <c r="AE37" s="89"/>
      <c r="AF37" s="99"/>
      <c r="AG37" s="99"/>
      <c r="AH37" s="99"/>
      <c r="AI37" s="100" t="s">
        <v>62</v>
      </c>
      <c r="AJ37" s="100" t="s">
        <v>63</v>
      </c>
      <c r="AK37" s="100" t="s">
        <v>62</v>
      </c>
      <c r="AL37" s="45" t="s">
        <v>64</v>
      </c>
      <c r="AM37" s="199" t="str">
        <f t="shared" si="0"/>
        <v>5/2026</v>
      </c>
      <c r="AN37" s="45">
        <f t="shared" si="1"/>
        <v>2</v>
      </c>
      <c r="AO37" s="45" t="str">
        <f t="shared" si="2"/>
        <v>5/2026</v>
      </c>
      <c r="AP37" s="45">
        <f t="shared" si="3"/>
        <v>3</v>
      </c>
      <c r="AQ37" s="45">
        <f t="shared" si="4"/>
        <v>6</v>
      </c>
      <c r="AR37" s="45">
        <f t="shared" si="5"/>
        <v>0</v>
      </c>
      <c r="AS37" s="45">
        <f t="shared" si="6"/>
        <v>0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46147</v>
      </c>
      <c r="C38" s="89" t="s">
        <v>48</v>
      </c>
      <c r="D38" s="89" t="s">
        <v>49</v>
      </c>
      <c r="E38" s="90">
        <v>80994541</v>
      </c>
      <c r="F38" s="221" t="s">
        <v>167</v>
      </c>
      <c r="G38" s="92">
        <v>24641759863</v>
      </c>
      <c r="H38" s="93">
        <v>28288</v>
      </c>
      <c r="I38" s="89">
        <v>48</v>
      </c>
      <c r="J38" s="89" t="s">
        <v>74</v>
      </c>
      <c r="K38" s="89" t="s">
        <v>52</v>
      </c>
      <c r="L38" s="89"/>
      <c r="M38" s="89" t="s">
        <v>66</v>
      </c>
      <c r="N38" s="89" t="s">
        <v>168</v>
      </c>
      <c r="O38" s="94" t="s">
        <v>169</v>
      </c>
      <c r="P38" s="95" t="s">
        <v>56</v>
      </c>
      <c r="Q38" s="145" t="s">
        <v>57</v>
      </c>
      <c r="R38" s="96">
        <v>46154</v>
      </c>
      <c r="S38" s="97"/>
      <c r="T38" s="97" t="s">
        <v>58</v>
      </c>
      <c r="U38" s="97" t="s">
        <v>59</v>
      </c>
      <c r="V38" s="93">
        <v>46153</v>
      </c>
      <c r="W38" s="93">
        <v>46154</v>
      </c>
      <c r="X38" s="93" t="s">
        <v>60</v>
      </c>
      <c r="Y38" s="98"/>
      <c r="Z38" s="89" t="s">
        <v>61</v>
      </c>
      <c r="AA38" s="97">
        <v>46161</v>
      </c>
      <c r="AB38" s="89" t="s">
        <v>115</v>
      </c>
      <c r="AC38" s="120"/>
      <c r="AD38" s="89"/>
      <c r="AE38" s="89"/>
      <c r="AF38" s="99"/>
      <c r="AG38" s="99"/>
      <c r="AH38" s="99"/>
      <c r="AI38" s="100" t="s">
        <v>62</v>
      </c>
      <c r="AJ38" s="100" t="s">
        <v>63</v>
      </c>
      <c r="AK38" s="100" t="s">
        <v>62</v>
      </c>
      <c r="AL38" s="45" t="s">
        <v>64</v>
      </c>
      <c r="AM38" s="199" t="str">
        <f t="shared" si="0"/>
        <v>5/2026</v>
      </c>
      <c r="AN38" s="45">
        <f t="shared" si="1"/>
        <v>2</v>
      </c>
      <c r="AO38" s="45" t="str">
        <f t="shared" si="2"/>
        <v>5/2026</v>
      </c>
      <c r="AP38" s="45">
        <f t="shared" si="3"/>
        <v>3</v>
      </c>
      <c r="AQ38" s="45">
        <f t="shared" si="4"/>
        <v>7</v>
      </c>
      <c r="AR38" s="45">
        <f t="shared" si="5"/>
        <v>0</v>
      </c>
      <c r="AS38" s="45">
        <f t="shared" si="6"/>
        <v>1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46147</v>
      </c>
      <c r="C39" s="89" t="s">
        <v>48</v>
      </c>
      <c r="D39" s="89" t="s">
        <v>49</v>
      </c>
      <c r="E39" s="90">
        <v>73621599</v>
      </c>
      <c r="F39" s="221" t="s">
        <v>170</v>
      </c>
      <c r="G39" s="92">
        <v>690458878</v>
      </c>
      <c r="H39" s="93">
        <v>20752</v>
      </c>
      <c r="I39" s="89">
        <v>69</v>
      </c>
      <c r="J39" s="89" t="s">
        <v>74</v>
      </c>
      <c r="K39" s="89" t="s">
        <v>52</v>
      </c>
      <c r="L39" s="89"/>
      <c r="M39" s="89" t="s">
        <v>66</v>
      </c>
      <c r="N39" s="89" t="s">
        <v>91</v>
      </c>
      <c r="O39" s="94" t="s">
        <v>171</v>
      </c>
      <c r="P39" s="95" t="s">
        <v>56</v>
      </c>
      <c r="Q39" s="145" t="s">
        <v>57</v>
      </c>
      <c r="R39" s="96">
        <v>46153</v>
      </c>
      <c r="S39" s="97"/>
      <c r="T39" s="97" t="s">
        <v>58</v>
      </c>
      <c r="U39" s="97" t="s">
        <v>59</v>
      </c>
      <c r="V39" s="93">
        <v>46153</v>
      </c>
      <c r="W39" s="93" t="s">
        <v>60</v>
      </c>
      <c r="X39" s="93" t="s">
        <v>60</v>
      </c>
      <c r="Y39" s="98"/>
      <c r="Z39" s="89" t="s">
        <v>61</v>
      </c>
      <c r="AA39" s="97">
        <v>46160</v>
      </c>
      <c r="AB39" s="89" t="s">
        <v>69</v>
      </c>
      <c r="AC39" s="120"/>
      <c r="AD39" s="89" t="s">
        <v>99</v>
      </c>
      <c r="AE39" s="89"/>
      <c r="AF39" s="99" t="s">
        <v>94</v>
      </c>
      <c r="AG39" s="99"/>
      <c r="AH39" s="99"/>
      <c r="AI39" s="100" t="s">
        <v>62</v>
      </c>
      <c r="AJ39" s="100" t="s">
        <v>63</v>
      </c>
      <c r="AK39" s="100" t="s">
        <v>62</v>
      </c>
      <c r="AL39" s="45" t="s">
        <v>64</v>
      </c>
      <c r="AM39" s="199" t="str">
        <f t="shared" si="0"/>
        <v>5/2026</v>
      </c>
      <c r="AN39" s="45">
        <f t="shared" si="1"/>
        <v>2</v>
      </c>
      <c r="AO39" s="45" t="str">
        <f t="shared" si="2"/>
        <v>5/2026</v>
      </c>
      <c r="AP39" s="45">
        <f t="shared" si="3"/>
        <v>3</v>
      </c>
      <c r="AQ39" s="45">
        <f t="shared" si="4"/>
        <v>6</v>
      </c>
      <c r="AR39" s="45">
        <f t="shared" si="5"/>
        <v>0</v>
      </c>
      <c r="AS39" s="45">
        <f t="shared" si="6"/>
        <v>0</v>
      </c>
      <c r="AT39" s="45">
        <f t="shared" si="7"/>
        <v>7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46147</v>
      </c>
      <c r="C40" s="89" t="s">
        <v>48</v>
      </c>
      <c r="D40" s="89" t="s">
        <v>49</v>
      </c>
      <c r="E40" s="90">
        <v>82695258</v>
      </c>
      <c r="F40" s="221" t="s">
        <v>172</v>
      </c>
      <c r="G40" s="92">
        <v>11788103807</v>
      </c>
      <c r="H40" s="93">
        <v>25298</v>
      </c>
      <c r="I40" s="89">
        <v>57</v>
      </c>
      <c r="J40" s="89" t="s">
        <v>74</v>
      </c>
      <c r="K40" s="89" t="s">
        <v>52</v>
      </c>
      <c r="L40" s="89"/>
      <c r="M40" s="89" t="s">
        <v>66</v>
      </c>
      <c r="N40" s="89" t="s">
        <v>173</v>
      </c>
      <c r="O40" s="94" t="s">
        <v>174</v>
      </c>
      <c r="P40" s="95" t="s">
        <v>56</v>
      </c>
      <c r="Q40" s="145" t="s">
        <v>57</v>
      </c>
      <c r="R40" s="96">
        <v>46153</v>
      </c>
      <c r="S40" s="97"/>
      <c r="T40" s="97" t="s">
        <v>58</v>
      </c>
      <c r="U40" s="97" t="s">
        <v>59</v>
      </c>
      <c r="V40" s="93">
        <v>46153</v>
      </c>
      <c r="W40" s="93" t="s">
        <v>60</v>
      </c>
      <c r="X40" s="93" t="s">
        <v>60</v>
      </c>
      <c r="Y40" s="98"/>
      <c r="Z40" s="89" t="s">
        <v>61</v>
      </c>
      <c r="AA40" s="97">
        <v>46160</v>
      </c>
      <c r="AB40" s="89" t="s">
        <v>115</v>
      </c>
      <c r="AC40" s="120"/>
      <c r="AD40" s="89"/>
      <c r="AE40" s="89"/>
      <c r="AF40" s="99"/>
      <c r="AG40" s="99"/>
      <c r="AH40" s="99"/>
      <c r="AI40" s="100" t="s">
        <v>62</v>
      </c>
      <c r="AJ40" s="100" t="s">
        <v>63</v>
      </c>
      <c r="AK40" s="100" t="s">
        <v>62</v>
      </c>
      <c r="AL40" s="45" t="s">
        <v>64</v>
      </c>
      <c r="AM40" s="199" t="str">
        <f t="shared" si="0"/>
        <v>5/2026</v>
      </c>
      <c r="AN40" s="45">
        <f t="shared" si="1"/>
        <v>2</v>
      </c>
      <c r="AO40" s="45" t="str">
        <f t="shared" si="2"/>
        <v>5/2026</v>
      </c>
      <c r="AP40" s="45">
        <f t="shared" si="3"/>
        <v>3</v>
      </c>
      <c r="AQ40" s="45">
        <f t="shared" si="4"/>
        <v>6</v>
      </c>
      <c r="AR40" s="45">
        <f t="shared" si="5"/>
        <v>0</v>
      </c>
      <c r="AS40" s="45">
        <f t="shared" si="6"/>
        <v>0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46147</v>
      </c>
      <c r="C41" s="89" t="s">
        <v>48</v>
      </c>
      <c r="D41" s="89" t="s">
        <v>49</v>
      </c>
      <c r="E41" s="90">
        <v>123018714</v>
      </c>
      <c r="F41" s="221" t="s">
        <v>175</v>
      </c>
      <c r="G41" s="92">
        <v>54596858853</v>
      </c>
      <c r="H41" s="93">
        <v>17822</v>
      </c>
      <c r="I41" s="89">
        <v>77</v>
      </c>
      <c r="J41" s="89" t="s">
        <v>74</v>
      </c>
      <c r="K41" s="89" t="s">
        <v>52</v>
      </c>
      <c r="L41" s="89"/>
      <c r="M41" s="89" t="s">
        <v>176</v>
      </c>
      <c r="N41" s="89" t="s">
        <v>121</v>
      </c>
      <c r="O41" s="94" t="s">
        <v>177</v>
      </c>
      <c r="P41" s="95" t="s">
        <v>56</v>
      </c>
      <c r="Q41" s="145" t="s">
        <v>57</v>
      </c>
      <c r="R41" s="96">
        <v>46153</v>
      </c>
      <c r="S41" s="97"/>
      <c r="T41" s="97" t="s">
        <v>58</v>
      </c>
      <c r="U41" s="97" t="s">
        <v>59</v>
      </c>
      <c r="V41" s="93">
        <v>46153</v>
      </c>
      <c r="W41" s="93" t="s">
        <v>60</v>
      </c>
      <c r="X41" s="93" t="s">
        <v>60</v>
      </c>
      <c r="Y41" s="98"/>
      <c r="Z41" s="89" t="s">
        <v>61</v>
      </c>
      <c r="AA41" s="97">
        <v>46162</v>
      </c>
      <c r="AB41" s="89" t="s">
        <v>115</v>
      </c>
      <c r="AC41" s="120"/>
      <c r="AD41" s="89"/>
      <c r="AE41" s="89"/>
      <c r="AF41" s="99"/>
      <c r="AG41" s="99"/>
      <c r="AH41" s="99"/>
      <c r="AI41" s="100" t="s">
        <v>62</v>
      </c>
      <c r="AJ41" s="100" t="s">
        <v>63</v>
      </c>
      <c r="AK41" s="100" t="s">
        <v>62</v>
      </c>
      <c r="AL41" s="45" t="s">
        <v>64</v>
      </c>
      <c r="AM41" s="199" t="str">
        <f t="shared" si="0"/>
        <v>5/2026</v>
      </c>
      <c r="AN41" s="45">
        <f t="shared" si="1"/>
        <v>2</v>
      </c>
      <c r="AO41" s="45" t="str">
        <f t="shared" si="2"/>
        <v>5/2026</v>
      </c>
      <c r="AP41" s="45">
        <f t="shared" si="3"/>
        <v>3</v>
      </c>
      <c r="AQ41" s="45">
        <f t="shared" si="4"/>
        <v>6</v>
      </c>
      <c r="AR41" s="45">
        <f t="shared" si="5"/>
        <v>0</v>
      </c>
      <c r="AS41" s="45">
        <f t="shared" si="6"/>
        <v>0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46147</v>
      </c>
      <c r="C42" s="89" t="s">
        <v>48</v>
      </c>
      <c r="D42" s="89" t="s">
        <v>49</v>
      </c>
      <c r="E42" s="90">
        <v>84971235</v>
      </c>
      <c r="F42" s="221" t="s">
        <v>178</v>
      </c>
      <c r="G42" s="92">
        <v>4293455779</v>
      </c>
      <c r="H42" s="93">
        <v>27513</v>
      </c>
      <c r="I42" s="89">
        <v>51</v>
      </c>
      <c r="J42" s="89" t="s">
        <v>74</v>
      </c>
      <c r="K42" s="89" t="s">
        <v>75</v>
      </c>
      <c r="L42" s="89"/>
      <c r="M42" s="89" t="s">
        <v>76</v>
      </c>
      <c r="N42" s="89" t="s">
        <v>67</v>
      </c>
      <c r="O42" s="94" t="s">
        <v>179</v>
      </c>
      <c r="P42" s="95" t="s">
        <v>56</v>
      </c>
      <c r="Q42" s="145" t="s">
        <v>57</v>
      </c>
      <c r="R42" s="96">
        <v>46153</v>
      </c>
      <c r="S42" s="97"/>
      <c r="T42" s="97" t="s">
        <v>58</v>
      </c>
      <c r="U42" s="97" t="s">
        <v>59</v>
      </c>
      <c r="V42" s="93">
        <v>46153</v>
      </c>
      <c r="W42" s="93" t="s">
        <v>60</v>
      </c>
      <c r="X42" s="93" t="s">
        <v>60</v>
      </c>
      <c r="Y42" s="98"/>
      <c r="Z42" s="89" t="s">
        <v>61</v>
      </c>
      <c r="AA42" s="97">
        <v>46161</v>
      </c>
      <c r="AB42" s="89" t="s">
        <v>115</v>
      </c>
      <c r="AC42" s="120"/>
      <c r="AD42" s="89"/>
      <c r="AE42" s="89"/>
      <c r="AF42" s="99"/>
      <c r="AG42" s="99"/>
      <c r="AH42" s="99"/>
      <c r="AI42" s="100" t="s">
        <v>62</v>
      </c>
      <c r="AJ42" s="100" t="s">
        <v>63</v>
      </c>
      <c r="AK42" s="100" t="s">
        <v>62</v>
      </c>
      <c r="AL42" s="45" t="s">
        <v>64</v>
      </c>
      <c r="AM42" s="199" t="str">
        <f t="shared" si="0"/>
        <v>5/2026</v>
      </c>
      <c r="AN42" s="45">
        <f t="shared" si="1"/>
        <v>2</v>
      </c>
      <c r="AO42" s="45" t="str">
        <f t="shared" si="2"/>
        <v>5/2026</v>
      </c>
      <c r="AP42" s="45">
        <f t="shared" si="3"/>
        <v>3</v>
      </c>
      <c r="AQ42" s="45">
        <f t="shared" si="4"/>
        <v>6</v>
      </c>
      <c r="AR42" s="45">
        <f t="shared" si="5"/>
        <v>0</v>
      </c>
      <c r="AS42" s="45">
        <f t="shared" si="6"/>
        <v>0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46147</v>
      </c>
      <c r="C43" s="89" t="s">
        <v>48</v>
      </c>
      <c r="D43" s="89" t="s">
        <v>49</v>
      </c>
      <c r="E43" s="112">
        <v>25558196</v>
      </c>
      <c r="F43" s="221" t="s">
        <v>180</v>
      </c>
      <c r="G43" s="92">
        <v>41135130825</v>
      </c>
      <c r="H43" s="93">
        <v>18990</v>
      </c>
      <c r="I43" s="89">
        <v>74</v>
      </c>
      <c r="J43" s="89" t="s">
        <v>74</v>
      </c>
      <c r="K43" s="89" t="s">
        <v>52</v>
      </c>
      <c r="L43" s="89"/>
      <c r="M43" s="89" t="s">
        <v>66</v>
      </c>
      <c r="N43" s="89" t="s">
        <v>104</v>
      </c>
      <c r="O43" s="94" t="s">
        <v>181</v>
      </c>
      <c r="P43" s="95" t="s">
        <v>56</v>
      </c>
      <c r="Q43" s="145" t="s">
        <v>57</v>
      </c>
      <c r="R43" s="96">
        <v>46164</v>
      </c>
      <c r="S43" s="97"/>
      <c r="T43" s="97" t="s">
        <v>58</v>
      </c>
      <c r="U43" s="97" t="s">
        <v>59</v>
      </c>
      <c r="V43" s="93">
        <v>46153</v>
      </c>
      <c r="W43" s="93">
        <v>46154</v>
      </c>
      <c r="X43" s="93">
        <v>46164</v>
      </c>
      <c r="Y43" s="98"/>
      <c r="Z43" s="89" t="s">
        <v>61</v>
      </c>
      <c r="AA43" s="97">
        <v>46171</v>
      </c>
      <c r="AB43" s="89" t="s">
        <v>115</v>
      </c>
      <c r="AC43" s="120"/>
      <c r="AD43" s="89"/>
      <c r="AE43" s="89"/>
      <c r="AF43" s="99"/>
      <c r="AG43" s="99"/>
      <c r="AH43" s="99"/>
      <c r="AI43" s="100"/>
      <c r="AJ43" s="100" t="s">
        <v>62</v>
      </c>
      <c r="AK43" s="100" t="s">
        <v>62</v>
      </c>
      <c r="AL43" s="45" t="s">
        <v>64</v>
      </c>
      <c r="AM43" s="199" t="str">
        <f t="shared" si="0"/>
        <v>5/2026</v>
      </c>
      <c r="AN43" s="45">
        <f t="shared" si="1"/>
        <v>2</v>
      </c>
      <c r="AO43" s="45" t="str">
        <f t="shared" si="2"/>
        <v>5/2026</v>
      </c>
      <c r="AP43" s="45">
        <f t="shared" si="3"/>
        <v>4</v>
      </c>
      <c r="AQ43" s="45">
        <f t="shared" si="4"/>
        <v>17</v>
      </c>
      <c r="AR43" s="45">
        <f t="shared" si="5"/>
        <v>0</v>
      </c>
      <c r="AS43" s="45">
        <f t="shared" si="6"/>
        <v>5.5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46147</v>
      </c>
      <c r="C44" s="89" t="s">
        <v>48</v>
      </c>
      <c r="D44" s="89" t="s">
        <v>49</v>
      </c>
      <c r="E44" s="90">
        <v>301440697</v>
      </c>
      <c r="F44" s="221" t="s">
        <v>182</v>
      </c>
      <c r="G44" s="92">
        <v>23054069834</v>
      </c>
      <c r="H44" s="93">
        <v>18674</v>
      </c>
      <c r="I44" s="89">
        <v>75</v>
      </c>
      <c r="J44" s="89" t="s">
        <v>74</v>
      </c>
      <c r="K44" s="89" t="s">
        <v>52</v>
      </c>
      <c r="L44" s="89"/>
      <c r="M44" s="89" t="s">
        <v>66</v>
      </c>
      <c r="N44" s="89" t="s">
        <v>165</v>
      </c>
      <c r="O44" s="94" t="s">
        <v>183</v>
      </c>
      <c r="P44" s="95" t="s">
        <v>56</v>
      </c>
      <c r="Q44" s="145" t="s">
        <v>57</v>
      </c>
      <c r="R44" s="96">
        <v>46153</v>
      </c>
      <c r="S44" s="97"/>
      <c r="T44" s="97" t="s">
        <v>58</v>
      </c>
      <c r="U44" s="97" t="s">
        <v>59</v>
      </c>
      <c r="V44" s="93">
        <v>46153</v>
      </c>
      <c r="W44" s="93" t="s">
        <v>60</v>
      </c>
      <c r="X44" s="93" t="s">
        <v>60</v>
      </c>
      <c r="Y44" s="98"/>
      <c r="Z44" s="89" t="s">
        <v>61</v>
      </c>
      <c r="AA44" s="97">
        <v>46161</v>
      </c>
      <c r="AB44" s="89" t="s">
        <v>115</v>
      </c>
      <c r="AC44" s="120"/>
      <c r="AD44" s="89"/>
      <c r="AE44" s="89"/>
      <c r="AF44" s="99"/>
      <c r="AG44" s="99"/>
      <c r="AH44" s="99"/>
      <c r="AI44" s="100" t="s">
        <v>62</v>
      </c>
      <c r="AJ44" s="100" t="s">
        <v>63</v>
      </c>
      <c r="AK44" s="100" t="s">
        <v>62</v>
      </c>
      <c r="AL44" s="45" t="s">
        <v>64</v>
      </c>
      <c r="AM44" s="199" t="str">
        <f t="shared" si="0"/>
        <v>5/2026</v>
      </c>
      <c r="AN44" s="45">
        <f t="shared" si="1"/>
        <v>2</v>
      </c>
      <c r="AO44" s="45" t="str">
        <f t="shared" si="2"/>
        <v>5/2026</v>
      </c>
      <c r="AP44" s="45">
        <f t="shared" si="3"/>
        <v>3</v>
      </c>
      <c r="AQ44" s="45">
        <f t="shared" si="4"/>
        <v>6</v>
      </c>
      <c r="AR44" s="45">
        <f t="shared" si="5"/>
        <v>0</v>
      </c>
      <c r="AS44" s="45">
        <f t="shared" si="6"/>
        <v>0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47</v>
      </c>
      <c r="B45" s="88">
        <v>46147</v>
      </c>
      <c r="C45" s="89" t="s">
        <v>48</v>
      </c>
      <c r="D45" s="89" t="s">
        <v>49</v>
      </c>
      <c r="E45" s="90">
        <v>595654274</v>
      </c>
      <c r="F45" s="221" t="s">
        <v>184</v>
      </c>
      <c r="G45" s="92">
        <v>3733851889</v>
      </c>
      <c r="H45" s="93">
        <v>18707</v>
      </c>
      <c r="I45" s="89">
        <v>75</v>
      </c>
      <c r="J45" s="89" t="s">
        <v>51</v>
      </c>
      <c r="K45" s="89" t="s">
        <v>52</v>
      </c>
      <c r="L45" s="89"/>
      <c r="M45" s="89" t="s">
        <v>107</v>
      </c>
      <c r="N45" s="89" t="s">
        <v>91</v>
      </c>
      <c r="O45" s="94" t="s">
        <v>185</v>
      </c>
      <c r="P45" s="95" t="s">
        <v>56</v>
      </c>
      <c r="Q45" s="145" t="s">
        <v>57</v>
      </c>
      <c r="R45" s="96">
        <v>46154</v>
      </c>
      <c r="S45" s="97"/>
      <c r="T45" s="97" t="s">
        <v>58</v>
      </c>
      <c r="U45" s="97" t="s">
        <v>59</v>
      </c>
      <c r="V45" s="93">
        <v>46153</v>
      </c>
      <c r="W45" s="93">
        <v>46154</v>
      </c>
      <c r="X45" s="93" t="s">
        <v>60</v>
      </c>
      <c r="Y45" s="98"/>
      <c r="Z45" s="89" t="s">
        <v>61</v>
      </c>
      <c r="AA45" s="97">
        <v>46161</v>
      </c>
      <c r="AB45" s="89" t="s">
        <v>115</v>
      </c>
      <c r="AC45" s="120"/>
      <c r="AD45" s="89"/>
      <c r="AE45" s="89"/>
      <c r="AF45" s="99"/>
      <c r="AG45" s="99"/>
      <c r="AH45" s="99"/>
      <c r="AI45" s="100" t="s">
        <v>62</v>
      </c>
      <c r="AJ45" s="100" t="s">
        <v>63</v>
      </c>
      <c r="AK45" s="100" t="s">
        <v>62</v>
      </c>
      <c r="AL45" s="45" t="s">
        <v>64</v>
      </c>
      <c r="AM45" s="199" t="str">
        <f t="shared" si="0"/>
        <v>5/2026</v>
      </c>
      <c r="AN45" s="45">
        <f t="shared" si="1"/>
        <v>2</v>
      </c>
      <c r="AO45" s="45" t="str">
        <f t="shared" si="2"/>
        <v>5/2026</v>
      </c>
      <c r="AP45" s="45">
        <f t="shared" si="3"/>
        <v>3</v>
      </c>
      <c r="AQ45" s="45">
        <f t="shared" si="4"/>
        <v>7</v>
      </c>
      <c r="AR45" s="45">
        <f t="shared" si="5"/>
        <v>0</v>
      </c>
      <c r="AS45" s="45">
        <f t="shared" si="6"/>
        <v>1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46147</v>
      </c>
      <c r="C46" s="89" t="s">
        <v>48</v>
      </c>
      <c r="D46" s="89" t="s">
        <v>49</v>
      </c>
      <c r="E46" s="90">
        <v>777831830</v>
      </c>
      <c r="F46" s="221" t="s">
        <v>186</v>
      </c>
      <c r="G46" s="92">
        <v>6467022890</v>
      </c>
      <c r="H46" s="93">
        <v>15960</v>
      </c>
      <c r="I46" s="89">
        <v>82</v>
      </c>
      <c r="J46" s="89" t="s">
        <v>51</v>
      </c>
      <c r="K46" s="89" t="s">
        <v>52</v>
      </c>
      <c r="L46" s="89"/>
      <c r="M46" s="89" t="s">
        <v>66</v>
      </c>
      <c r="N46" s="89" t="s">
        <v>117</v>
      </c>
      <c r="O46" s="94" t="s">
        <v>187</v>
      </c>
      <c r="P46" s="95" t="s">
        <v>56</v>
      </c>
      <c r="Q46" s="145" t="s">
        <v>57</v>
      </c>
      <c r="R46" s="96">
        <v>46153</v>
      </c>
      <c r="S46" s="97"/>
      <c r="T46" s="97" t="s">
        <v>58</v>
      </c>
      <c r="U46" s="97" t="s">
        <v>59</v>
      </c>
      <c r="V46" s="93">
        <v>46153</v>
      </c>
      <c r="W46" s="93" t="s">
        <v>60</v>
      </c>
      <c r="X46" s="93" t="s">
        <v>60</v>
      </c>
      <c r="Y46" s="98"/>
      <c r="Z46" s="89" t="s">
        <v>61</v>
      </c>
      <c r="AA46" s="97">
        <v>46162</v>
      </c>
      <c r="AB46" s="89" t="s">
        <v>115</v>
      </c>
      <c r="AC46" s="120"/>
      <c r="AD46" s="89"/>
      <c r="AE46" s="89"/>
      <c r="AF46" s="99"/>
      <c r="AG46" s="99"/>
      <c r="AH46" s="99"/>
      <c r="AI46" s="100" t="s">
        <v>62</v>
      </c>
      <c r="AJ46" s="100" t="s">
        <v>63</v>
      </c>
      <c r="AK46" s="100" t="s">
        <v>62</v>
      </c>
      <c r="AL46" s="45" t="s">
        <v>64</v>
      </c>
      <c r="AM46" s="199" t="str">
        <f t="shared" si="0"/>
        <v>5/2026</v>
      </c>
      <c r="AN46" s="45">
        <f t="shared" si="1"/>
        <v>2</v>
      </c>
      <c r="AO46" s="45" t="str">
        <f t="shared" si="2"/>
        <v>5/2026</v>
      </c>
      <c r="AP46" s="45">
        <f t="shared" si="3"/>
        <v>3</v>
      </c>
      <c r="AQ46" s="45">
        <f t="shared" si="4"/>
        <v>6</v>
      </c>
      <c r="AR46" s="45">
        <f t="shared" si="5"/>
        <v>0</v>
      </c>
      <c r="AS46" s="45">
        <f t="shared" si="6"/>
        <v>0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46147</v>
      </c>
      <c r="C47" s="89" t="s">
        <v>48</v>
      </c>
      <c r="D47" s="89" t="s">
        <v>49</v>
      </c>
      <c r="E47" s="112">
        <v>450055205</v>
      </c>
      <c r="F47" s="221" t="s">
        <v>188</v>
      </c>
      <c r="G47" s="92">
        <v>12678555844</v>
      </c>
      <c r="H47" s="93">
        <v>16916</v>
      </c>
      <c r="I47" s="89">
        <v>80</v>
      </c>
      <c r="J47" s="89" t="s">
        <v>51</v>
      </c>
      <c r="K47" s="89" t="s">
        <v>52</v>
      </c>
      <c r="L47" s="89"/>
      <c r="M47" s="89" t="s">
        <v>66</v>
      </c>
      <c r="N47" s="89" t="s">
        <v>97</v>
      </c>
      <c r="O47" s="94" t="s">
        <v>189</v>
      </c>
      <c r="P47" s="95" t="s">
        <v>56</v>
      </c>
      <c r="Q47" s="145" t="s">
        <v>57</v>
      </c>
      <c r="R47" s="96">
        <v>46164</v>
      </c>
      <c r="S47" s="97"/>
      <c r="T47" s="97" t="s">
        <v>58</v>
      </c>
      <c r="U47" s="97" t="s">
        <v>59</v>
      </c>
      <c r="V47" s="93">
        <v>46153</v>
      </c>
      <c r="W47" s="93">
        <v>46154</v>
      </c>
      <c r="X47" s="93">
        <v>46164</v>
      </c>
      <c r="Y47" s="98"/>
      <c r="Z47" s="89" t="s">
        <v>61</v>
      </c>
      <c r="AA47" s="97">
        <v>46171</v>
      </c>
      <c r="AB47" s="89" t="s">
        <v>115</v>
      </c>
      <c r="AC47" s="120"/>
      <c r="AD47" s="89"/>
      <c r="AE47" s="89"/>
      <c r="AF47" s="99"/>
      <c r="AG47" s="99"/>
      <c r="AH47" s="99"/>
      <c r="AI47" s="100"/>
      <c r="AJ47" s="100" t="s">
        <v>62</v>
      </c>
      <c r="AK47" s="100" t="s">
        <v>62</v>
      </c>
      <c r="AL47" s="45" t="s">
        <v>64</v>
      </c>
      <c r="AM47" s="199" t="str">
        <f t="shared" si="0"/>
        <v>5/2026</v>
      </c>
      <c r="AN47" s="45">
        <f t="shared" si="1"/>
        <v>2</v>
      </c>
      <c r="AO47" s="45" t="str">
        <f t="shared" si="2"/>
        <v>5/2026</v>
      </c>
      <c r="AP47" s="45">
        <f t="shared" si="3"/>
        <v>4</v>
      </c>
      <c r="AQ47" s="45">
        <f t="shared" si="4"/>
        <v>17</v>
      </c>
      <c r="AR47" s="45">
        <f t="shared" si="5"/>
        <v>0</v>
      </c>
      <c r="AS47" s="45">
        <f t="shared" si="6"/>
        <v>5.5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46147</v>
      </c>
      <c r="C48" s="89" t="s">
        <v>48</v>
      </c>
      <c r="D48" s="89" t="s">
        <v>49</v>
      </c>
      <c r="E48" s="90">
        <v>450186644</v>
      </c>
      <c r="F48" s="221" t="s">
        <v>190</v>
      </c>
      <c r="G48" s="92">
        <v>27468636850</v>
      </c>
      <c r="H48" s="93">
        <v>18834</v>
      </c>
      <c r="I48" s="89">
        <v>74</v>
      </c>
      <c r="J48" s="89" t="s">
        <v>51</v>
      </c>
      <c r="K48" s="89" t="s">
        <v>52</v>
      </c>
      <c r="L48" s="89"/>
      <c r="M48" s="89" t="s">
        <v>66</v>
      </c>
      <c r="N48" s="89" t="s">
        <v>108</v>
      </c>
      <c r="O48" s="94" t="s">
        <v>191</v>
      </c>
      <c r="P48" s="95" t="s">
        <v>56</v>
      </c>
      <c r="Q48" s="145" t="s">
        <v>57</v>
      </c>
      <c r="R48" s="96">
        <v>46153</v>
      </c>
      <c r="S48" s="97"/>
      <c r="T48" s="97" t="s">
        <v>58</v>
      </c>
      <c r="U48" s="97" t="s">
        <v>59</v>
      </c>
      <c r="V48" s="93">
        <v>46153</v>
      </c>
      <c r="W48" s="93" t="s">
        <v>60</v>
      </c>
      <c r="X48" s="93" t="s">
        <v>60</v>
      </c>
      <c r="Y48" s="98"/>
      <c r="Z48" s="89" t="s">
        <v>61</v>
      </c>
      <c r="AA48" s="97">
        <v>46162</v>
      </c>
      <c r="AB48" s="89" t="s">
        <v>69</v>
      </c>
      <c r="AC48" s="120"/>
      <c r="AD48" s="89"/>
      <c r="AE48" s="89"/>
      <c r="AF48" s="99"/>
      <c r="AG48" s="99"/>
      <c r="AH48" s="99"/>
      <c r="AI48" s="100" t="s">
        <v>62</v>
      </c>
      <c r="AJ48" s="100" t="s">
        <v>63</v>
      </c>
      <c r="AK48" s="100" t="s">
        <v>62</v>
      </c>
      <c r="AL48" s="45" t="s">
        <v>64</v>
      </c>
      <c r="AM48" s="199" t="str">
        <f t="shared" si="0"/>
        <v>5/2026</v>
      </c>
      <c r="AN48" s="45">
        <f t="shared" si="1"/>
        <v>2</v>
      </c>
      <c r="AO48" s="45" t="str">
        <f t="shared" si="2"/>
        <v>5/2026</v>
      </c>
      <c r="AP48" s="45">
        <f t="shared" si="3"/>
        <v>3</v>
      </c>
      <c r="AQ48" s="45">
        <f t="shared" si="4"/>
        <v>6</v>
      </c>
      <c r="AR48" s="45">
        <f t="shared" si="5"/>
        <v>0</v>
      </c>
      <c r="AS48" s="45">
        <f t="shared" si="6"/>
        <v>0</v>
      </c>
      <c r="AT48" s="45">
        <f t="shared" si="7"/>
        <v>9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46147</v>
      </c>
      <c r="C49" s="89" t="s">
        <v>48</v>
      </c>
      <c r="D49" s="89" t="s">
        <v>49</v>
      </c>
      <c r="E49" s="90">
        <v>782227678</v>
      </c>
      <c r="F49" s="221" t="s">
        <v>192</v>
      </c>
      <c r="G49" s="92">
        <v>716487802</v>
      </c>
      <c r="H49" s="93">
        <v>21374</v>
      </c>
      <c r="I49" s="89">
        <v>67</v>
      </c>
      <c r="J49" s="89" t="s">
        <v>74</v>
      </c>
      <c r="K49" s="89" t="s">
        <v>52</v>
      </c>
      <c r="L49" s="89"/>
      <c r="M49" s="89" t="s">
        <v>193</v>
      </c>
      <c r="N49" s="89" t="s">
        <v>121</v>
      </c>
      <c r="O49" s="94" t="s">
        <v>194</v>
      </c>
      <c r="P49" s="95" t="s">
        <v>56</v>
      </c>
      <c r="Q49" s="145" t="s">
        <v>57</v>
      </c>
      <c r="R49" s="96">
        <v>46154</v>
      </c>
      <c r="S49" s="97"/>
      <c r="T49" s="97" t="s">
        <v>58</v>
      </c>
      <c r="U49" s="97" t="s">
        <v>59</v>
      </c>
      <c r="V49" s="93">
        <v>46153</v>
      </c>
      <c r="W49" s="93">
        <v>46154</v>
      </c>
      <c r="X49" s="93" t="s">
        <v>60</v>
      </c>
      <c r="Y49" s="98"/>
      <c r="Z49" s="89" t="s">
        <v>61</v>
      </c>
      <c r="AA49" s="97">
        <v>46162</v>
      </c>
      <c r="AB49" s="89" t="s">
        <v>115</v>
      </c>
      <c r="AC49" s="120"/>
      <c r="AD49" s="89"/>
      <c r="AE49" s="89"/>
      <c r="AF49" s="99"/>
      <c r="AG49" s="99"/>
      <c r="AH49" s="99"/>
      <c r="AI49" s="100" t="s">
        <v>62</v>
      </c>
      <c r="AJ49" s="100" t="s">
        <v>63</v>
      </c>
      <c r="AK49" s="100" t="s">
        <v>62</v>
      </c>
      <c r="AL49" s="45" t="s">
        <v>64</v>
      </c>
      <c r="AM49" s="199" t="str">
        <f t="shared" si="0"/>
        <v>5/2026</v>
      </c>
      <c r="AN49" s="45">
        <f t="shared" si="1"/>
        <v>2</v>
      </c>
      <c r="AO49" s="45" t="str">
        <f t="shared" si="2"/>
        <v>5/2026</v>
      </c>
      <c r="AP49" s="45">
        <f t="shared" si="3"/>
        <v>3</v>
      </c>
      <c r="AQ49" s="45">
        <f t="shared" si="4"/>
        <v>7</v>
      </c>
      <c r="AR49" s="45">
        <f t="shared" si="5"/>
        <v>0</v>
      </c>
      <c r="AS49" s="45">
        <f t="shared" si="6"/>
        <v>1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46147</v>
      </c>
      <c r="C50" s="89" t="s">
        <v>48</v>
      </c>
      <c r="D50" s="89" t="s">
        <v>49</v>
      </c>
      <c r="E50" s="90">
        <v>200064789</v>
      </c>
      <c r="F50" s="221" t="s">
        <v>195</v>
      </c>
      <c r="G50" s="92">
        <v>37306545868</v>
      </c>
      <c r="H50" s="93">
        <v>16728</v>
      </c>
      <c r="I50" s="89">
        <v>80</v>
      </c>
      <c r="J50" s="89" t="s">
        <v>51</v>
      </c>
      <c r="K50" s="89" t="s">
        <v>52</v>
      </c>
      <c r="L50" s="89"/>
      <c r="M50" s="89" t="s">
        <v>66</v>
      </c>
      <c r="N50" s="89" t="s">
        <v>104</v>
      </c>
      <c r="O50" s="94" t="s">
        <v>196</v>
      </c>
      <c r="P50" s="95" t="s">
        <v>56</v>
      </c>
      <c r="Q50" s="145" t="s">
        <v>57</v>
      </c>
      <c r="R50" s="96">
        <v>46154</v>
      </c>
      <c r="S50" s="97"/>
      <c r="T50" s="97" t="s">
        <v>58</v>
      </c>
      <c r="U50" s="97" t="s">
        <v>59</v>
      </c>
      <c r="V50" s="93">
        <v>46153</v>
      </c>
      <c r="W50" s="93">
        <v>46154</v>
      </c>
      <c r="X50" s="93" t="s">
        <v>60</v>
      </c>
      <c r="Y50" s="98"/>
      <c r="Z50" s="89" t="s">
        <v>61</v>
      </c>
      <c r="AA50" s="97">
        <v>46163</v>
      </c>
      <c r="AB50" s="89" t="s">
        <v>69</v>
      </c>
      <c r="AC50" s="120"/>
      <c r="AD50" s="89" t="s">
        <v>99</v>
      </c>
      <c r="AE50" s="89"/>
      <c r="AF50" s="99" t="s">
        <v>100</v>
      </c>
      <c r="AG50" s="99" t="s">
        <v>100</v>
      </c>
      <c r="AH50" s="99" t="s">
        <v>197</v>
      </c>
      <c r="AI50" s="100" t="s">
        <v>62</v>
      </c>
      <c r="AJ50" s="100" t="s">
        <v>63</v>
      </c>
      <c r="AK50" s="100" t="s">
        <v>62</v>
      </c>
      <c r="AL50" s="45" t="s">
        <v>64</v>
      </c>
      <c r="AM50" s="199" t="str">
        <f t="shared" si="0"/>
        <v>5/2026</v>
      </c>
      <c r="AN50" s="45">
        <f t="shared" si="1"/>
        <v>2</v>
      </c>
      <c r="AO50" s="45" t="str">
        <f t="shared" si="2"/>
        <v>5/2026</v>
      </c>
      <c r="AP50" s="45">
        <f t="shared" si="3"/>
        <v>3</v>
      </c>
      <c r="AQ50" s="45">
        <f t="shared" si="4"/>
        <v>7</v>
      </c>
      <c r="AR50" s="45">
        <f t="shared" si="5"/>
        <v>0</v>
      </c>
      <c r="AS50" s="45">
        <f t="shared" si="6"/>
        <v>1</v>
      </c>
      <c r="AT50" s="45">
        <f t="shared" si="7"/>
        <v>9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46147</v>
      </c>
      <c r="C51" s="89" t="s">
        <v>48</v>
      </c>
      <c r="D51" s="89" t="s">
        <v>49</v>
      </c>
      <c r="E51" s="90">
        <v>423678221</v>
      </c>
      <c r="F51" s="221" t="s">
        <v>198</v>
      </c>
      <c r="G51" s="92">
        <v>4951034891</v>
      </c>
      <c r="H51" s="93">
        <v>12759</v>
      </c>
      <c r="I51" s="89">
        <v>91</v>
      </c>
      <c r="J51" s="89" t="s">
        <v>74</v>
      </c>
      <c r="K51" s="89" t="s">
        <v>52</v>
      </c>
      <c r="L51" s="89"/>
      <c r="M51" s="89" t="s">
        <v>66</v>
      </c>
      <c r="N51" s="89" t="s">
        <v>121</v>
      </c>
      <c r="O51" s="94" t="s">
        <v>199</v>
      </c>
      <c r="P51" s="95" t="s">
        <v>56</v>
      </c>
      <c r="Q51" s="145" t="s">
        <v>57</v>
      </c>
      <c r="R51" s="96">
        <v>46153</v>
      </c>
      <c r="S51" s="97"/>
      <c r="T51" s="97" t="s">
        <v>58</v>
      </c>
      <c r="U51" s="97" t="s">
        <v>59</v>
      </c>
      <c r="V51" s="93">
        <v>46153</v>
      </c>
      <c r="W51" s="93" t="s">
        <v>60</v>
      </c>
      <c r="X51" s="93" t="s">
        <v>60</v>
      </c>
      <c r="Y51" s="98"/>
      <c r="Z51" s="89" t="s">
        <v>61</v>
      </c>
      <c r="AA51" s="97">
        <v>46160</v>
      </c>
      <c r="AB51" s="89" t="s">
        <v>115</v>
      </c>
      <c r="AC51" s="120"/>
      <c r="AD51" s="89"/>
      <c r="AE51" s="89"/>
      <c r="AF51" s="99"/>
      <c r="AG51" s="99"/>
      <c r="AH51" s="99"/>
      <c r="AI51" s="100" t="s">
        <v>62</v>
      </c>
      <c r="AJ51" s="100" t="s">
        <v>63</v>
      </c>
      <c r="AK51" s="100" t="s">
        <v>62</v>
      </c>
      <c r="AL51" s="45" t="s">
        <v>64</v>
      </c>
      <c r="AM51" s="199" t="str">
        <f t="shared" si="0"/>
        <v>5/2026</v>
      </c>
      <c r="AN51" s="45">
        <f t="shared" si="1"/>
        <v>2</v>
      </c>
      <c r="AO51" s="45" t="str">
        <f t="shared" si="2"/>
        <v>5/2026</v>
      </c>
      <c r="AP51" s="45">
        <f t="shared" si="3"/>
        <v>3</v>
      </c>
      <c r="AQ51" s="45">
        <f t="shared" si="4"/>
        <v>6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46147</v>
      </c>
      <c r="C52" s="89" t="s">
        <v>48</v>
      </c>
      <c r="D52" s="89" t="s">
        <v>49</v>
      </c>
      <c r="E52" s="90">
        <v>798287861</v>
      </c>
      <c r="F52" s="221" t="s">
        <v>200</v>
      </c>
      <c r="G52" s="92">
        <v>75911922800</v>
      </c>
      <c r="H52" s="93">
        <v>19980</v>
      </c>
      <c r="I52" s="89">
        <v>71</v>
      </c>
      <c r="J52" s="89" t="s">
        <v>74</v>
      </c>
      <c r="K52" s="89" t="s">
        <v>52</v>
      </c>
      <c r="L52" s="89"/>
      <c r="M52" s="89" t="s">
        <v>201</v>
      </c>
      <c r="N52" s="89" t="s">
        <v>104</v>
      </c>
      <c r="O52" s="94" t="s">
        <v>202</v>
      </c>
      <c r="P52" s="95" t="s">
        <v>56</v>
      </c>
      <c r="Q52" s="145" t="s">
        <v>57</v>
      </c>
      <c r="R52" s="96">
        <v>46153</v>
      </c>
      <c r="S52" s="97"/>
      <c r="T52" s="97" t="s">
        <v>58</v>
      </c>
      <c r="U52" s="97" t="s">
        <v>59</v>
      </c>
      <c r="V52" s="93">
        <v>46153</v>
      </c>
      <c r="W52" s="93" t="s">
        <v>60</v>
      </c>
      <c r="X52" s="93" t="s">
        <v>60</v>
      </c>
      <c r="Y52" s="98"/>
      <c r="Z52" s="89" t="s">
        <v>61</v>
      </c>
      <c r="AA52" s="97">
        <v>46160</v>
      </c>
      <c r="AB52" s="89" t="s">
        <v>115</v>
      </c>
      <c r="AC52" s="120"/>
      <c r="AD52" s="89"/>
      <c r="AE52" s="89"/>
      <c r="AF52" s="99"/>
      <c r="AG52" s="99"/>
      <c r="AH52" s="99"/>
      <c r="AI52" s="100" t="s">
        <v>62</v>
      </c>
      <c r="AJ52" s="100" t="s">
        <v>63</v>
      </c>
      <c r="AK52" s="100" t="s">
        <v>62</v>
      </c>
      <c r="AL52" s="45" t="s">
        <v>64</v>
      </c>
      <c r="AM52" s="199" t="str">
        <f t="shared" si="0"/>
        <v>5/2026</v>
      </c>
      <c r="AN52" s="45">
        <f t="shared" si="1"/>
        <v>2</v>
      </c>
      <c r="AO52" s="45" t="str">
        <f t="shared" si="2"/>
        <v>5/2026</v>
      </c>
      <c r="AP52" s="45">
        <f t="shared" si="3"/>
        <v>3</v>
      </c>
      <c r="AQ52" s="45">
        <f t="shared" si="4"/>
        <v>6</v>
      </c>
      <c r="AR52" s="45">
        <f t="shared" si="5"/>
        <v>0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46147</v>
      </c>
      <c r="C53" s="89" t="s">
        <v>48</v>
      </c>
      <c r="D53" s="89" t="s">
        <v>49</v>
      </c>
      <c r="E53" s="90">
        <v>800496620</v>
      </c>
      <c r="F53" s="221" t="s">
        <v>203</v>
      </c>
      <c r="G53" s="92">
        <v>27670754818</v>
      </c>
      <c r="H53" s="93">
        <v>25781</v>
      </c>
      <c r="I53" s="89">
        <v>55</v>
      </c>
      <c r="J53" s="89" t="s">
        <v>51</v>
      </c>
      <c r="K53" s="89" t="s">
        <v>52</v>
      </c>
      <c r="L53" s="89"/>
      <c r="M53" s="89" t="s">
        <v>204</v>
      </c>
      <c r="N53" s="89" t="s">
        <v>108</v>
      </c>
      <c r="O53" s="94" t="s">
        <v>205</v>
      </c>
      <c r="P53" s="95" t="s">
        <v>56</v>
      </c>
      <c r="Q53" s="145" t="s">
        <v>57</v>
      </c>
      <c r="R53" s="96">
        <v>46153</v>
      </c>
      <c r="S53" s="97"/>
      <c r="T53" s="97" t="s">
        <v>58</v>
      </c>
      <c r="U53" s="97" t="s">
        <v>59</v>
      </c>
      <c r="V53" s="93">
        <v>46153</v>
      </c>
      <c r="W53" s="93" t="s">
        <v>60</v>
      </c>
      <c r="X53" s="93" t="s">
        <v>60</v>
      </c>
      <c r="Y53" s="98"/>
      <c r="Z53" s="89" t="s">
        <v>61</v>
      </c>
      <c r="AA53" s="97">
        <v>46161</v>
      </c>
      <c r="AB53" s="89" t="s">
        <v>115</v>
      </c>
      <c r="AC53" s="120"/>
      <c r="AD53" s="89"/>
      <c r="AE53" s="89"/>
      <c r="AF53" s="99"/>
      <c r="AG53" s="99"/>
      <c r="AH53" s="99"/>
      <c r="AI53" s="100" t="s">
        <v>62</v>
      </c>
      <c r="AJ53" s="100" t="s">
        <v>63</v>
      </c>
      <c r="AK53" s="100" t="s">
        <v>62</v>
      </c>
      <c r="AL53" s="45" t="s">
        <v>64</v>
      </c>
      <c r="AM53" s="199" t="str">
        <f t="shared" si="0"/>
        <v>5/2026</v>
      </c>
      <c r="AN53" s="45">
        <f t="shared" si="1"/>
        <v>2</v>
      </c>
      <c r="AO53" s="45" t="str">
        <f t="shared" si="2"/>
        <v>5/2026</v>
      </c>
      <c r="AP53" s="45">
        <f t="shared" si="3"/>
        <v>3</v>
      </c>
      <c r="AQ53" s="45">
        <f t="shared" si="4"/>
        <v>6</v>
      </c>
      <c r="AR53" s="45">
        <f t="shared" si="5"/>
        <v>0</v>
      </c>
      <c r="AS53" s="45">
        <f t="shared" si="6"/>
        <v>0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46147</v>
      </c>
      <c r="C54" s="89" t="s">
        <v>48</v>
      </c>
      <c r="D54" s="89" t="s">
        <v>49</v>
      </c>
      <c r="E54" s="90">
        <v>987285491</v>
      </c>
      <c r="F54" s="221" t="s">
        <v>206</v>
      </c>
      <c r="G54" s="92">
        <v>8677109854</v>
      </c>
      <c r="H54" s="93">
        <v>20984</v>
      </c>
      <c r="I54" s="89">
        <v>68</v>
      </c>
      <c r="J54" s="89" t="s">
        <v>51</v>
      </c>
      <c r="K54" s="89" t="s">
        <v>52</v>
      </c>
      <c r="L54" s="89"/>
      <c r="M54" s="89" t="s">
        <v>66</v>
      </c>
      <c r="N54" s="89" t="s">
        <v>121</v>
      </c>
      <c r="O54" s="94" t="s">
        <v>207</v>
      </c>
      <c r="P54" s="95" t="s">
        <v>56</v>
      </c>
      <c r="Q54" s="145" t="s">
        <v>57</v>
      </c>
      <c r="R54" s="96">
        <v>46153</v>
      </c>
      <c r="S54" s="97"/>
      <c r="T54" s="97" t="s">
        <v>58</v>
      </c>
      <c r="U54" s="97" t="s">
        <v>59</v>
      </c>
      <c r="V54" s="93">
        <v>46153</v>
      </c>
      <c r="W54" s="93" t="s">
        <v>60</v>
      </c>
      <c r="X54" s="93" t="s">
        <v>60</v>
      </c>
      <c r="Y54" s="98"/>
      <c r="Z54" s="89" t="s">
        <v>61</v>
      </c>
      <c r="AA54" s="97">
        <v>46160</v>
      </c>
      <c r="AB54" s="89" t="s">
        <v>69</v>
      </c>
      <c r="AC54" s="120"/>
      <c r="AD54" s="89" t="s">
        <v>99</v>
      </c>
      <c r="AE54" s="89"/>
      <c r="AF54" s="99" t="s">
        <v>94</v>
      </c>
      <c r="AG54" s="99"/>
      <c r="AH54" s="99"/>
      <c r="AI54" s="100" t="s">
        <v>62</v>
      </c>
      <c r="AJ54" s="100" t="s">
        <v>63</v>
      </c>
      <c r="AK54" s="100" t="s">
        <v>62</v>
      </c>
      <c r="AL54" s="45" t="s">
        <v>64</v>
      </c>
      <c r="AM54" s="199" t="str">
        <f t="shared" si="0"/>
        <v>5/2026</v>
      </c>
      <c r="AN54" s="45">
        <f t="shared" si="1"/>
        <v>2</v>
      </c>
      <c r="AO54" s="45" t="str">
        <f t="shared" si="2"/>
        <v>5/2026</v>
      </c>
      <c r="AP54" s="45">
        <f t="shared" si="3"/>
        <v>3</v>
      </c>
      <c r="AQ54" s="45">
        <f t="shared" si="4"/>
        <v>6</v>
      </c>
      <c r="AR54" s="45">
        <f t="shared" si="5"/>
        <v>0</v>
      </c>
      <c r="AS54" s="45">
        <f t="shared" si="6"/>
        <v>0</v>
      </c>
      <c r="AT54" s="45">
        <f t="shared" si="7"/>
        <v>7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46147</v>
      </c>
      <c r="C55" s="89" t="s">
        <v>48</v>
      </c>
      <c r="D55" s="89" t="s">
        <v>49</v>
      </c>
      <c r="E55" s="90">
        <v>755582314</v>
      </c>
      <c r="F55" s="221" t="s">
        <v>208</v>
      </c>
      <c r="G55" s="92">
        <v>9041914781</v>
      </c>
      <c r="H55" s="93">
        <v>29366</v>
      </c>
      <c r="I55" s="89">
        <v>45</v>
      </c>
      <c r="J55" s="89" t="s">
        <v>74</v>
      </c>
      <c r="K55" s="89" t="s">
        <v>75</v>
      </c>
      <c r="L55" s="89"/>
      <c r="M55" s="89" t="s">
        <v>76</v>
      </c>
      <c r="N55" s="89" t="s">
        <v>108</v>
      </c>
      <c r="O55" s="94" t="s">
        <v>209</v>
      </c>
      <c r="P55" s="95" t="s">
        <v>56</v>
      </c>
      <c r="Q55" s="145" t="s">
        <v>57</v>
      </c>
      <c r="R55" s="96">
        <v>46153</v>
      </c>
      <c r="S55" s="97"/>
      <c r="T55" s="97" t="s">
        <v>58</v>
      </c>
      <c r="U55" s="97" t="s">
        <v>59</v>
      </c>
      <c r="V55" s="93">
        <v>46153</v>
      </c>
      <c r="W55" s="93" t="s">
        <v>60</v>
      </c>
      <c r="X55" s="93" t="s">
        <v>60</v>
      </c>
      <c r="Y55" s="98"/>
      <c r="Z55" s="89" t="s">
        <v>61</v>
      </c>
      <c r="AA55" s="97">
        <v>46161</v>
      </c>
      <c r="AB55" s="89" t="s">
        <v>115</v>
      </c>
      <c r="AC55" s="120"/>
      <c r="AD55" s="89"/>
      <c r="AE55" s="89"/>
      <c r="AF55" s="99"/>
      <c r="AG55" s="99"/>
      <c r="AH55" s="99"/>
      <c r="AI55" s="100" t="s">
        <v>62</v>
      </c>
      <c r="AJ55" s="100" t="s">
        <v>63</v>
      </c>
      <c r="AK55" s="100" t="s">
        <v>62</v>
      </c>
      <c r="AL55" s="45" t="s">
        <v>64</v>
      </c>
      <c r="AM55" s="199" t="str">
        <f t="shared" si="0"/>
        <v>5/2026</v>
      </c>
      <c r="AN55" s="45">
        <f t="shared" si="1"/>
        <v>2</v>
      </c>
      <c r="AO55" s="45" t="str">
        <f t="shared" si="2"/>
        <v>5/2026</v>
      </c>
      <c r="AP55" s="45">
        <f t="shared" si="3"/>
        <v>3</v>
      </c>
      <c r="AQ55" s="45">
        <f t="shared" si="4"/>
        <v>6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46147</v>
      </c>
      <c r="C56" s="89" t="s">
        <v>48</v>
      </c>
      <c r="D56" s="89" t="s">
        <v>49</v>
      </c>
      <c r="E56" s="90">
        <v>743763254</v>
      </c>
      <c r="F56" s="221" t="s">
        <v>210</v>
      </c>
      <c r="G56" s="92">
        <v>5874517774</v>
      </c>
      <c r="H56" s="93">
        <v>31994</v>
      </c>
      <c r="I56" s="89">
        <v>38</v>
      </c>
      <c r="J56" s="89" t="s">
        <v>74</v>
      </c>
      <c r="K56" s="89" t="s">
        <v>75</v>
      </c>
      <c r="L56" s="89"/>
      <c r="M56" s="89" t="s">
        <v>211</v>
      </c>
      <c r="N56" s="89" t="s">
        <v>212</v>
      </c>
      <c r="O56" s="94" t="s">
        <v>213</v>
      </c>
      <c r="P56" s="95" t="s">
        <v>56</v>
      </c>
      <c r="Q56" s="145" t="s">
        <v>57</v>
      </c>
      <c r="R56" s="96">
        <v>46153</v>
      </c>
      <c r="S56" s="97"/>
      <c r="T56" s="97" t="s">
        <v>58</v>
      </c>
      <c r="U56" s="97" t="s">
        <v>59</v>
      </c>
      <c r="V56" s="93">
        <v>46153</v>
      </c>
      <c r="W56" s="93" t="s">
        <v>60</v>
      </c>
      <c r="X56" s="93" t="s">
        <v>60</v>
      </c>
      <c r="Y56" s="98"/>
      <c r="Z56" s="89" t="s">
        <v>61</v>
      </c>
      <c r="AA56" s="97">
        <v>46174</v>
      </c>
      <c r="AB56" s="89" t="s">
        <v>115</v>
      </c>
      <c r="AC56" s="120"/>
      <c r="AD56" s="89"/>
      <c r="AE56" s="89"/>
      <c r="AF56" s="99"/>
      <c r="AG56" s="99"/>
      <c r="AH56" s="99"/>
      <c r="AI56" s="100" t="s">
        <v>62</v>
      </c>
      <c r="AJ56" s="100" t="s">
        <v>63</v>
      </c>
      <c r="AK56" s="100" t="s">
        <v>62</v>
      </c>
      <c r="AL56" s="45" t="s">
        <v>64</v>
      </c>
      <c r="AM56" s="199" t="str">
        <f t="shared" si="0"/>
        <v>5/2026</v>
      </c>
      <c r="AN56" s="45">
        <f t="shared" si="1"/>
        <v>2</v>
      </c>
      <c r="AO56" s="45" t="str">
        <f t="shared" si="2"/>
        <v>5/2026</v>
      </c>
      <c r="AP56" s="45">
        <f t="shared" si="3"/>
        <v>3</v>
      </c>
      <c r="AQ56" s="45">
        <f t="shared" si="4"/>
        <v>6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46147</v>
      </c>
      <c r="C57" s="89" t="s">
        <v>48</v>
      </c>
      <c r="D57" s="89" t="s">
        <v>49</v>
      </c>
      <c r="E57" s="90">
        <v>421635495</v>
      </c>
      <c r="F57" s="221" t="s">
        <v>214</v>
      </c>
      <c r="G57" s="92">
        <v>28304582813</v>
      </c>
      <c r="H57" s="93">
        <v>28764</v>
      </c>
      <c r="I57" s="89">
        <v>47</v>
      </c>
      <c r="J57" s="89" t="s">
        <v>51</v>
      </c>
      <c r="K57" s="89" t="s">
        <v>52</v>
      </c>
      <c r="L57" s="89"/>
      <c r="M57" s="89" t="s">
        <v>215</v>
      </c>
      <c r="N57" s="89" t="s">
        <v>121</v>
      </c>
      <c r="O57" s="94" t="s">
        <v>216</v>
      </c>
      <c r="P57" s="95" t="s">
        <v>56</v>
      </c>
      <c r="Q57" s="145" t="s">
        <v>57</v>
      </c>
      <c r="R57" s="96">
        <v>46154</v>
      </c>
      <c r="S57" s="97"/>
      <c r="T57" s="97" t="s">
        <v>58</v>
      </c>
      <c r="U57" s="97" t="s">
        <v>59</v>
      </c>
      <c r="V57" s="93">
        <v>46153</v>
      </c>
      <c r="W57" s="93">
        <v>46154</v>
      </c>
      <c r="X57" s="93" t="s">
        <v>60</v>
      </c>
      <c r="Y57" s="98"/>
      <c r="Z57" s="89" t="s">
        <v>61</v>
      </c>
      <c r="AA57" s="97">
        <v>46161</v>
      </c>
      <c r="AB57" s="89" t="s">
        <v>115</v>
      </c>
      <c r="AC57" s="120"/>
      <c r="AD57" s="89"/>
      <c r="AE57" s="89"/>
      <c r="AF57" s="99"/>
      <c r="AG57" s="99"/>
      <c r="AH57" s="99"/>
      <c r="AI57" s="100" t="s">
        <v>62</v>
      </c>
      <c r="AJ57" s="100" t="s">
        <v>63</v>
      </c>
      <c r="AK57" s="100" t="s">
        <v>62</v>
      </c>
      <c r="AL57" s="45" t="s">
        <v>64</v>
      </c>
      <c r="AM57" s="199" t="str">
        <f t="shared" si="0"/>
        <v>5/2026</v>
      </c>
      <c r="AN57" s="45">
        <f t="shared" si="1"/>
        <v>2</v>
      </c>
      <c r="AO57" s="45" t="str">
        <f t="shared" si="2"/>
        <v>5/2026</v>
      </c>
      <c r="AP57" s="45">
        <f t="shared" si="3"/>
        <v>3</v>
      </c>
      <c r="AQ57" s="45">
        <f t="shared" si="4"/>
        <v>7</v>
      </c>
      <c r="AR57" s="45">
        <f t="shared" si="5"/>
        <v>0</v>
      </c>
      <c r="AS57" s="45">
        <f t="shared" si="6"/>
        <v>1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229" t="s">
        <v>47</v>
      </c>
      <c r="B58" s="236">
        <v>46168</v>
      </c>
      <c r="C58" s="229" t="s">
        <v>217</v>
      </c>
      <c r="D58" s="229" t="s">
        <v>49</v>
      </c>
      <c r="E58" s="229">
        <v>75036529</v>
      </c>
      <c r="F58" s="240" t="s">
        <v>218</v>
      </c>
      <c r="G58" s="229" t="s">
        <v>219</v>
      </c>
      <c r="H58" s="236">
        <v>24128</v>
      </c>
      <c r="I58" s="229">
        <v>60</v>
      </c>
      <c r="J58" s="234" t="s">
        <v>74</v>
      </c>
      <c r="K58" s="231" t="s">
        <v>75</v>
      </c>
      <c r="L58" s="229" t="s">
        <v>76</v>
      </c>
      <c r="M58" s="229" t="s">
        <v>220</v>
      </c>
      <c r="N58" s="229" t="s">
        <v>91</v>
      </c>
      <c r="O58" s="229">
        <v>21964464107</v>
      </c>
      <c r="P58" s="95" t="s">
        <v>56</v>
      </c>
      <c r="Q58" s="145" t="s">
        <v>57</v>
      </c>
      <c r="R58" s="122">
        <v>46171</v>
      </c>
      <c r="S58" s="121"/>
      <c r="T58" s="97" t="s">
        <v>58</v>
      </c>
      <c r="U58" s="97" t="s">
        <v>59</v>
      </c>
      <c r="V58" s="118">
        <v>46171</v>
      </c>
      <c r="W58" s="118" t="s">
        <v>60</v>
      </c>
      <c r="X58" s="118" t="s">
        <v>60</v>
      </c>
      <c r="Y58" s="98"/>
      <c r="Z58" s="89" t="s">
        <v>61</v>
      </c>
      <c r="AA58" s="97">
        <v>46181</v>
      </c>
      <c r="AB58" s="89" t="s">
        <v>115</v>
      </c>
      <c r="AC58" s="120"/>
      <c r="AD58" s="89"/>
      <c r="AE58" s="89"/>
      <c r="AF58" s="119"/>
      <c r="AG58" s="119"/>
      <c r="AH58" s="119"/>
      <c r="AI58" s="100"/>
      <c r="AJ58" s="100" t="s">
        <v>62</v>
      </c>
      <c r="AK58" s="100" t="s">
        <v>63</v>
      </c>
      <c r="AL58" s="45" t="s">
        <v>64</v>
      </c>
      <c r="AM58" s="199" t="str">
        <f t="shared" si="0"/>
        <v>5/2026</v>
      </c>
      <c r="AN58" s="45">
        <f t="shared" si="1"/>
        <v>5</v>
      </c>
      <c r="AO58" s="45" t="str">
        <f t="shared" si="2"/>
        <v>5/2026</v>
      </c>
      <c r="AP58" s="45">
        <f t="shared" si="3"/>
        <v>5</v>
      </c>
      <c r="AQ58" s="45">
        <f t="shared" si="4"/>
        <v>3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 x14ac:dyDescent="0.3">
      <c r="A59" s="87" t="s">
        <v>47</v>
      </c>
      <c r="B59" s="88">
        <v>46147</v>
      </c>
      <c r="C59" s="89" t="s">
        <v>48</v>
      </c>
      <c r="D59" s="89" t="s">
        <v>49</v>
      </c>
      <c r="E59" s="90">
        <v>451850513</v>
      </c>
      <c r="F59" s="221" t="s">
        <v>221</v>
      </c>
      <c r="G59" s="92">
        <v>5513018802</v>
      </c>
      <c r="H59" s="93">
        <v>23528</v>
      </c>
      <c r="I59" s="89">
        <v>61</v>
      </c>
      <c r="J59" s="89" t="s">
        <v>51</v>
      </c>
      <c r="K59" s="89" t="s">
        <v>52</v>
      </c>
      <c r="L59" s="89"/>
      <c r="M59" s="89" t="s">
        <v>66</v>
      </c>
      <c r="N59" s="89" t="s">
        <v>121</v>
      </c>
      <c r="O59" s="94" t="s">
        <v>222</v>
      </c>
      <c r="P59" s="95" t="s">
        <v>56</v>
      </c>
      <c r="Q59" s="145" t="s">
        <v>223</v>
      </c>
      <c r="R59" s="96"/>
      <c r="S59" s="97">
        <v>46171</v>
      </c>
      <c r="T59" s="97" t="s">
        <v>58</v>
      </c>
      <c r="U59" s="97" t="s">
        <v>224</v>
      </c>
      <c r="V59" s="93">
        <v>46153</v>
      </c>
      <c r="W59" s="93">
        <v>46154</v>
      </c>
      <c r="X59" s="93" t="s">
        <v>60</v>
      </c>
      <c r="Y59" s="98"/>
      <c r="Z59" s="89" t="s">
        <v>61</v>
      </c>
      <c r="AA59" s="97">
        <v>46171</v>
      </c>
      <c r="AB59" s="89" t="s">
        <v>69</v>
      </c>
      <c r="AC59" s="120"/>
      <c r="AD59" s="89"/>
      <c r="AE59" s="89"/>
      <c r="AF59" s="99"/>
      <c r="AG59" s="99"/>
      <c r="AH59" s="99" t="s">
        <v>225</v>
      </c>
      <c r="AI59" s="100" t="s">
        <v>62</v>
      </c>
      <c r="AJ59" s="100" t="s">
        <v>226</v>
      </c>
      <c r="AK59" s="100" t="s">
        <v>62</v>
      </c>
      <c r="AL59" s="45" t="s">
        <v>64</v>
      </c>
      <c r="AM59" s="199" t="str">
        <f t="shared" si="0"/>
        <v>5/2026</v>
      </c>
      <c r="AN59" s="45">
        <f t="shared" si="1"/>
        <v>2</v>
      </c>
      <c r="AO59" s="45" t="str">
        <f t="shared" si="2"/>
        <v>1/1900</v>
      </c>
      <c r="AP59" s="45" t="e">
        <f t="shared" si="3"/>
        <v>#NUM!</v>
      </c>
      <c r="AQ59" s="45">
        <f t="shared" si="4"/>
        <v>0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47</v>
      </c>
      <c r="B60" s="88">
        <v>46147</v>
      </c>
      <c r="C60" s="89" t="s">
        <v>48</v>
      </c>
      <c r="D60" s="89" t="s">
        <v>49</v>
      </c>
      <c r="E60" s="90">
        <v>200001302</v>
      </c>
      <c r="F60" s="221" t="s">
        <v>227</v>
      </c>
      <c r="G60" s="92">
        <v>15770088800</v>
      </c>
      <c r="H60" s="93">
        <v>21448</v>
      </c>
      <c r="I60" s="89">
        <v>67</v>
      </c>
      <c r="J60" s="89" t="s">
        <v>74</v>
      </c>
      <c r="K60" s="89" t="s">
        <v>52</v>
      </c>
      <c r="L60" s="89"/>
      <c r="M60" s="89" t="s">
        <v>66</v>
      </c>
      <c r="N60" s="89" t="s">
        <v>104</v>
      </c>
      <c r="O60" s="94" t="s">
        <v>228</v>
      </c>
      <c r="P60" s="95" t="s">
        <v>56</v>
      </c>
      <c r="Q60" s="145" t="s">
        <v>229</v>
      </c>
      <c r="R60" s="96"/>
      <c r="S60" s="97">
        <v>46167</v>
      </c>
      <c r="T60" s="97" t="s">
        <v>230</v>
      </c>
      <c r="U60" s="97" t="s">
        <v>224</v>
      </c>
      <c r="V60" s="93">
        <v>46153</v>
      </c>
      <c r="W60" s="93">
        <v>46154</v>
      </c>
      <c r="X60" s="93">
        <v>46164</v>
      </c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 t="s">
        <v>62</v>
      </c>
      <c r="AJ60" s="100" t="s">
        <v>226</v>
      </c>
      <c r="AK60" s="100" t="s">
        <v>62</v>
      </c>
      <c r="AL60" s="45" t="s">
        <v>64</v>
      </c>
      <c r="AM60" s="199" t="str">
        <f t="shared" si="0"/>
        <v>5/2026</v>
      </c>
      <c r="AN60" s="45">
        <f t="shared" si="1"/>
        <v>2</v>
      </c>
      <c r="AO60" s="45" t="str">
        <f t="shared" si="2"/>
        <v>1/1900</v>
      </c>
      <c r="AP60" s="45" t="e">
        <f t="shared" si="3"/>
        <v>#NUM!</v>
      </c>
      <c r="AQ60" s="45">
        <f t="shared" si="4"/>
        <v>0</v>
      </c>
      <c r="AR60" s="45">
        <f t="shared" si="5"/>
        <v>0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hidden="1" customHeight="1" x14ac:dyDescent="0.3">
      <c r="A61" s="87" t="s">
        <v>47</v>
      </c>
      <c r="B61" s="88">
        <v>46147</v>
      </c>
      <c r="C61" s="89" t="s">
        <v>48</v>
      </c>
      <c r="D61" s="89" t="s">
        <v>49</v>
      </c>
      <c r="E61" s="90">
        <v>301171629</v>
      </c>
      <c r="F61" s="221" t="s">
        <v>231</v>
      </c>
      <c r="G61" s="92">
        <v>41839218800</v>
      </c>
      <c r="H61" s="93">
        <v>14876</v>
      </c>
      <c r="I61" s="89">
        <v>85</v>
      </c>
      <c r="J61" s="89" t="s">
        <v>74</v>
      </c>
      <c r="K61" s="89" t="s">
        <v>52</v>
      </c>
      <c r="L61" s="89"/>
      <c r="M61" s="89" t="s">
        <v>66</v>
      </c>
      <c r="N61" s="89" t="s">
        <v>104</v>
      </c>
      <c r="O61" s="94" t="s">
        <v>232</v>
      </c>
      <c r="P61" s="95" t="s">
        <v>56</v>
      </c>
      <c r="Q61" s="145" t="s">
        <v>229</v>
      </c>
      <c r="R61" s="96"/>
      <c r="S61" s="97">
        <v>46167</v>
      </c>
      <c r="T61" s="97" t="s">
        <v>230</v>
      </c>
      <c r="U61" s="97" t="s">
        <v>224</v>
      </c>
      <c r="V61" s="93">
        <v>46153</v>
      </c>
      <c r="W61" s="93">
        <v>46154</v>
      </c>
      <c r="X61" s="93">
        <v>46164</v>
      </c>
      <c r="Y61" s="98"/>
      <c r="Z61" s="89"/>
      <c r="AA61" s="97"/>
      <c r="AB61" s="89"/>
      <c r="AC61" s="120"/>
      <c r="AD61" s="89"/>
      <c r="AE61" s="89"/>
      <c r="AF61" s="99"/>
      <c r="AG61" s="99"/>
      <c r="AH61" s="99"/>
      <c r="AI61" s="100" t="s">
        <v>62</v>
      </c>
      <c r="AJ61" s="100" t="s">
        <v>226</v>
      </c>
      <c r="AK61" s="100"/>
      <c r="AL61" s="45" t="s">
        <v>64</v>
      </c>
      <c r="AM61" s="199" t="str">
        <f t="shared" si="0"/>
        <v>5/2026</v>
      </c>
      <c r="AN61" s="45">
        <f t="shared" si="1"/>
        <v>2</v>
      </c>
      <c r="AO61" s="45" t="str">
        <f t="shared" si="2"/>
        <v>1/1900</v>
      </c>
      <c r="AP61" s="45" t="e">
        <f t="shared" si="3"/>
        <v>#NUM!</v>
      </c>
      <c r="AQ61" s="45">
        <f t="shared" si="4"/>
        <v>0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hidden="1" customHeight="1" x14ac:dyDescent="0.3">
      <c r="A62" s="87" t="s">
        <v>47</v>
      </c>
      <c r="B62" s="88">
        <v>46147</v>
      </c>
      <c r="C62" s="89" t="s">
        <v>48</v>
      </c>
      <c r="D62" s="89" t="s">
        <v>49</v>
      </c>
      <c r="E62" s="90">
        <v>451039270</v>
      </c>
      <c r="F62" s="221" t="s">
        <v>233</v>
      </c>
      <c r="G62" s="92">
        <v>61982563834</v>
      </c>
      <c r="H62" s="93">
        <v>19428</v>
      </c>
      <c r="I62" s="89">
        <v>73</v>
      </c>
      <c r="J62" s="89" t="s">
        <v>74</v>
      </c>
      <c r="K62" s="89" t="s">
        <v>52</v>
      </c>
      <c r="L62" s="89"/>
      <c r="M62" s="89" t="s">
        <v>66</v>
      </c>
      <c r="N62" s="89" t="s">
        <v>97</v>
      </c>
      <c r="O62" s="94" t="s">
        <v>234</v>
      </c>
      <c r="P62" s="95" t="s">
        <v>56</v>
      </c>
      <c r="Q62" s="145" t="s">
        <v>229</v>
      </c>
      <c r="R62" s="96"/>
      <c r="S62" s="97">
        <v>46167</v>
      </c>
      <c r="T62" s="97" t="s">
        <v>230</v>
      </c>
      <c r="U62" s="97" t="s">
        <v>224</v>
      </c>
      <c r="V62" s="93">
        <v>46153</v>
      </c>
      <c r="W62" s="93">
        <v>46154</v>
      </c>
      <c r="X62" s="93">
        <v>46164</v>
      </c>
      <c r="Y62" s="98"/>
      <c r="Z62" s="89"/>
      <c r="AA62" s="97"/>
      <c r="AB62" s="89"/>
      <c r="AC62" s="120"/>
      <c r="AD62" s="89"/>
      <c r="AE62" s="89"/>
      <c r="AF62" s="99"/>
      <c r="AG62" s="99"/>
      <c r="AH62" s="99"/>
      <c r="AI62" s="100" t="s">
        <v>62</v>
      </c>
      <c r="AJ62" s="100" t="s">
        <v>226</v>
      </c>
      <c r="AK62" s="100"/>
      <c r="AL62" s="45" t="s">
        <v>64</v>
      </c>
      <c r="AM62" s="199" t="str">
        <f t="shared" si="0"/>
        <v>5/2026</v>
      </c>
      <c r="AN62" s="45">
        <f t="shared" si="1"/>
        <v>2</v>
      </c>
      <c r="AO62" s="45" t="str">
        <f t="shared" si="2"/>
        <v>1/1900</v>
      </c>
      <c r="AP62" s="45" t="e">
        <f t="shared" si="3"/>
        <v>#NUM!</v>
      </c>
      <c r="AQ62" s="45">
        <f t="shared" si="4"/>
        <v>0</v>
      </c>
      <c r="AR62" s="45">
        <f t="shared" si="5"/>
        <v>0</v>
      </c>
      <c r="AS62" s="45">
        <f t="shared" si="6"/>
        <v>0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hidden="1" customHeight="1" x14ac:dyDescent="0.3">
      <c r="A63" s="87" t="s">
        <v>47</v>
      </c>
      <c r="B63" s="88">
        <v>46147</v>
      </c>
      <c r="C63" s="89" t="s">
        <v>48</v>
      </c>
      <c r="D63" s="89" t="s">
        <v>49</v>
      </c>
      <c r="E63" s="90">
        <v>595736106</v>
      </c>
      <c r="F63" s="221" t="s">
        <v>235</v>
      </c>
      <c r="G63" s="92">
        <v>18964188802</v>
      </c>
      <c r="H63" s="93">
        <v>28064</v>
      </c>
      <c r="I63" s="89">
        <v>49</v>
      </c>
      <c r="J63" s="89" t="s">
        <v>74</v>
      </c>
      <c r="K63" s="89" t="s">
        <v>52</v>
      </c>
      <c r="L63" s="89"/>
      <c r="M63" s="89" t="s">
        <v>66</v>
      </c>
      <c r="N63" s="89" t="s">
        <v>91</v>
      </c>
      <c r="O63" s="94" t="s">
        <v>236</v>
      </c>
      <c r="P63" s="95" t="s">
        <v>56</v>
      </c>
      <c r="Q63" s="145" t="s">
        <v>229</v>
      </c>
      <c r="R63" s="96"/>
      <c r="S63" s="97">
        <v>46167</v>
      </c>
      <c r="T63" s="97" t="s">
        <v>230</v>
      </c>
      <c r="U63" s="97" t="s">
        <v>224</v>
      </c>
      <c r="V63" s="93">
        <v>46153</v>
      </c>
      <c r="W63" s="93">
        <v>46154</v>
      </c>
      <c r="X63" s="93">
        <v>46164</v>
      </c>
      <c r="Y63" s="98"/>
      <c r="Z63" s="89"/>
      <c r="AA63" s="97"/>
      <c r="AB63" s="89"/>
      <c r="AC63" s="120"/>
      <c r="AD63" s="89"/>
      <c r="AE63" s="89"/>
      <c r="AF63" s="99"/>
      <c r="AG63" s="99"/>
      <c r="AH63" s="99"/>
      <c r="AI63" s="100" t="s">
        <v>62</v>
      </c>
      <c r="AJ63" s="100" t="s">
        <v>226</v>
      </c>
      <c r="AK63" s="100"/>
      <c r="AL63" s="45" t="s">
        <v>64</v>
      </c>
      <c r="AM63" s="199" t="str">
        <f t="shared" si="0"/>
        <v>5/2026</v>
      </c>
      <c r="AN63" s="45">
        <f t="shared" si="1"/>
        <v>2</v>
      </c>
      <c r="AO63" s="45" t="str">
        <f t="shared" si="2"/>
        <v>1/1900</v>
      </c>
      <c r="AP63" s="45" t="e">
        <f t="shared" si="3"/>
        <v>#NUM!</v>
      </c>
      <c r="AQ63" s="45">
        <f t="shared" si="4"/>
        <v>0</v>
      </c>
      <c r="AR63" s="45">
        <f t="shared" si="5"/>
        <v>0</v>
      </c>
      <c r="AS63" s="45">
        <f t="shared" si="6"/>
        <v>0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47</v>
      </c>
      <c r="B64" s="88">
        <v>46147</v>
      </c>
      <c r="C64" s="89" t="s">
        <v>48</v>
      </c>
      <c r="D64" s="89" t="s">
        <v>49</v>
      </c>
      <c r="E64" s="90">
        <v>94401916</v>
      </c>
      <c r="F64" s="221" t="s">
        <v>237</v>
      </c>
      <c r="G64" s="92">
        <v>11317774841</v>
      </c>
      <c r="H64" s="93">
        <v>25289</v>
      </c>
      <c r="I64" s="89">
        <v>57</v>
      </c>
      <c r="J64" s="89" t="s">
        <v>51</v>
      </c>
      <c r="K64" s="89" t="s">
        <v>52</v>
      </c>
      <c r="L64" s="89"/>
      <c r="M64" s="89" t="s">
        <v>66</v>
      </c>
      <c r="N64" s="89" t="s">
        <v>111</v>
      </c>
      <c r="O64" s="94" t="s">
        <v>238</v>
      </c>
      <c r="P64" s="95" t="s">
        <v>56</v>
      </c>
      <c r="Q64" s="145" t="s">
        <v>229</v>
      </c>
      <c r="R64" s="96"/>
      <c r="S64" s="97">
        <v>46167</v>
      </c>
      <c r="T64" s="97" t="s">
        <v>230</v>
      </c>
      <c r="U64" s="97" t="s">
        <v>224</v>
      </c>
      <c r="V64" s="93">
        <v>46153</v>
      </c>
      <c r="W64" s="93">
        <v>46154</v>
      </c>
      <c r="X64" s="93">
        <v>46164</v>
      </c>
      <c r="Y64" s="98"/>
      <c r="Z64" s="89"/>
      <c r="AA64" s="97"/>
      <c r="AB64" s="89"/>
      <c r="AC64" s="120"/>
      <c r="AD64" s="89"/>
      <c r="AE64" s="89"/>
      <c r="AF64" s="99"/>
      <c r="AG64" s="99"/>
      <c r="AH64" s="99"/>
      <c r="AI64" s="100" t="s">
        <v>62</v>
      </c>
      <c r="AJ64" s="100" t="s">
        <v>226</v>
      </c>
      <c r="AK64" s="100"/>
      <c r="AL64" s="45" t="s">
        <v>64</v>
      </c>
      <c r="AM64" s="199" t="str">
        <f t="shared" si="0"/>
        <v>5/2026</v>
      </c>
      <c r="AN64" s="45">
        <f t="shared" si="1"/>
        <v>2</v>
      </c>
      <c r="AO64" s="45" t="str">
        <f t="shared" si="2"/>
        <v>1/1900</v>
      </c>
      <c r="AP64" s="45" t="e">
        <f t="shared" si="3"/>
        <v>#NUM!</v>
      </c>
      <c r="AQ64" s="45">
        <f t="shared" si="4"/>
        <v>0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hidden="1" customHeight="1" x14ac:dyDescent="0.3">
      <c r="A65" s="87" t="s">
        <v>47</v>
      </c>
      <c r="B65" s="88">
        <v>46147</v>
      </c>
      <c r="C65" s="89" t="s">
        <v>48</v>
      </c>
      <c r="D65" s="89" t="s">
        <v>49</v>
      </c>
      <c r="E65" s="90">
        <v>89893775</v>
      </c>
      <c r="F65" s="221" t="s">
        <v>239</v>
      </c>
      <c r="G65" s="92">
        <v>37014817841</v>
      </c>
      <c r="H65" s="93">
        <v>33859</v>
      </c>
      <c r="I65" s="89">
        <v>33</v>
      </c>
      <c r="J65" s="89" t="s">
        <v>51</v>
      </c>
      <c r="K65" s="89" t="s">
        <v>52</v>
      </c>
      <c r="L65" s="89"/>
      <c r="M65" s="89" t="s">
        <v>193</v>
      </c>
      <c r="N65" s="89" t="s">
        <v>80</v>
      </c>
      <c r="O65" s="94" t="s">
        <v>240</v>
      </c>
      <c r="P65" s="95" t="s">
        <v>56</v>
      </c>
      <c r="Q65" s="145" t="s">
        <v>229</v>
      </c>
      <c r="R65" s="96"/>
      <c r="S65" s="97">
        <v>46167</v>
      </c>
      <c r="T65" s="97" t="s">
        <v>230</v>
      </c>
      <c r="U65" s="97" t="s">
        <v>224</v>
      </c>
      <c r="V65" s="93">
        <v>46153</v>
      </c>
      <c r="W65" s="93">
        <v>46154</v>
      </c>
      <c r="X65" s="93">
        <v>46164</v>
      </c>
      <c r="Y65" s="98"/>
      <c r="Z65" s="89"/>
      <c r="AA65" s="97"/>
      <c r="AB65" s="89"/>
      <c r="AC65" s="120"/>
      <c r="AD65" s="89"/>
      <c r="AE65" s="89"/>
      <c r="AF65" s="99"/>
      <c r="AG65" s="99"/>
      <c r="AH65" s="99"/>
      <c r="AI65" s="100" t="s">
        <v>62</v>
      </c>
      <c r="AJ65" s="100" t="s">
        <v>226</v>
      </c>
      <c r="AK65" s="100"/>
      <c r="AL65" s="45" t="s">
        <v>64</v>
      </c>
      <c r="AM65" s="199" t="str">
        <f t="shared" si="0"/>
        <v>5/2026</v>
      </c>
      <c r="AN65" s="45">
        <f t="shared" si="1"/>
        <v>2</v>
      </c>
      <c r="AO65" s="45" t="str">
        <f t="shared" si="2"/>
        <v>1/1900</v>
      </c>
      <c r="AP65" s="45" t="e">
        <f t="shared" si="3"/>
        <v>#NUM!</v>
      </c>
      <c r="AQ65" s="45">
        <f t="shared" si="4"/>
        <v>0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 x14ac:dyDescent="0.3">
      <c r="A66" s="87" t="s">
        <v>47</v>
      </c>
      <c r="B66" s="88">
        <v>46147</v>
      </c>
      <c r="C66" s="89" t="s">
        <v>48</v>
      </c>
      <c r="D66" s="89" t="s">
        <v>49</v>
      </c>
      <c r="E66" s="90">
        <v>87835275</v>
      </c>
      <c r="F66" s="221" t="s">
        <v>241</v>
      </c>
      <c r="G66" s="92">
        <v>7747278888</v>
      </c>
      <c r="H66" s="93">
        <v>24123</v>
      </c>
      <c r="I66" s="89">
        <v>60</v>
      </c>
      <c r="J66" s="89" t="s">
        <v>74</v>
      </c>
      <c r="K66" s="89" t="s">
        <v>52</v>
      </c>
      <c r="L66" s="89"/>
      <c r="M66" s="89" t="s">
        <v>66</v>
      </c>
      <c r="N66" s="89" t="s">
        <v>80</v>
      </c>
      <c r="O66" s="94" t="s">
        <v>242</v>
      </c>
      <c r="P66" s="95" t="s">
        <v>56</v>
      </c>
      <c r="Q66" s="145" t="s">
        <v>229</v>
      </c>
      <c r="R66" s="96"/>
      <c r="S66" s="97">
        <v>46167</v>
      </c>
      <c r="T66" s="97" t="s">
        <v>230</v>
      </c>
      <c r="U66" s="97" t="s">
        <v>224</v>
      </c>
      <c r="V66" s="93">
        <v>46153</v>
      </c>
      <c r="W66" s="93">
        <v>46154</v>
      </c>
      <c r="X66" s="93">
        <v>46164</v>
      </c>
      <c r="Y66" s="98"/>
      <c r="Z66" s="89"/>
      <c r="AA66" s="97"/>
      <c r="AB66" s="89"/>
      <c r="AC66" s="120"/>
      <c r="AD66" s="89"/>
      <c r="AE66" s="89"/>
      <c r="AF66" s="99"/>
      <c r="AG66" s="99"/>
      <c r="AH66" s="99"/>
      <c r="AI66" s="100" t="s">
        <v>62</v>
      </c>
      <c r="AJ66" s="100" t="s">
        <v>226</v>
      </c>
      <c r="AK66" s="100"/>
      <c r="AL66" s="45" t="s">
        <v>64</v>
      </c>
      <c r="AM66" s="199" t="str">
        <f t="shared" ref="AM66:AM129" si="8">MONTH(B66)&amp;"/"&amp;YEAR(B66)</f>
        <v>5/2026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1/1900</v>
      </c>
      <c r="AP66" s="45" t="e">
        <f t="shared" ref="AP66:AP129" si="11">WEEKNUM(R66)-WEEKNUM(EOMONTH(R66,-1)+1)+1</f>
        <v>#NUM!</v>
      </c>
      <c r="AQ66" s="45">
        <f t="shared" ref="AQ66:AQ129" si="12">IF(AU66="S",IF(Q66="1. Aceitou o programa",R66-B66,0),0)</f>
        <v>0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 x14ac:dyDescent="0.3">
      <c r="A67" s="87" t="s">
        <v>47</v>
      </c>
      <c r="B67" s="88">
        <v>46147</v>
      </c>
      <c r="C67" s="89" t="s">
        <v>48</v>
      </c>
      <c r="D67" s="89" t="s">
        <v>49</v>
      </c>
      <c r="E67" s="90">
        <v>72078197</v>
      </c>
      <c r="F67" s="221" t="s">
        <v>243</v>
      </c>
      <c r="G67" s="92">
        <v>5988872450</v>
      </c>
      <c r="H67" s="93">
        <v>31246</v>
      </c>
      <c r="I67" s="89">
        <v>40</v>
      </c>
      <c r="J67" s="89" t="s">
        <v>74</v>
      </c>
      <c r="K67" s="89" t="s">
        <v>52</v>
      </c>
      <c r="L67" s="89"/>
      <c r="M67" s="89" t="s">
        <v>66</v>
      </c>
      <c r="N67" s="89" t="s">
        <v>121</v>
      </c>
      <c r="O67" s="94" t="s">
        <v>244</v>
      </c>
      <c r="P67" s="95" t="s">
        <v>56</v>
      </c>
      <c r="Q67" s="145" t="s">
        <v>229</v>
      </c>
      <c r="R67" s="96"/>
      <c r="S67" s="97">
        <v>46167</v>
      </c>
      <c r="T67" s="97" t="s">
        <v>230</v>
      </c>
      <c r="U67" s="97" t="s">
        <v>224</v>
      </c>
      <c r="V67" s="93">
        <v>46153</v>
      </c>
      <c r="W67" s="93">
        <v>46154</v>
      </c>
      <c r="X67" s="93">
        <v>46164</v>
      </c>
      <c r="Y67" s="98"/>
      <c r="Z67" s="89"/>
      <c r="AA67" s="97"/>
      <c r="AB67" s="89"/>
      <c r="AC67" s="120"/>
      <c r="AD67" s="89"/>
      <c r="AE67" s="89"/>
      <c r="AF67" s="99"/>
      <c r="AG67" s="99"/>
      <c r="AH67" s="99"/>
      <c r="AI67" s="100" t="s">
        <v>62</v>
      </c>
      <c r="AJ67" s="100" t="s">
        <v>226</v>
      </c>
      <c r="AK67" s="100"/>
      <c r="AL67" s="45" t="s">
        <v>64</v>
      </c>
      <c r="AM67" s="199" t="str">
        <f t="shared" si="8"/>
        <v>5/2026</v>
      </c>
      <c r="AN67" s="45">
        <f t="shared" si="9"/>
        <v>2</v>
      </c>
      <c r="AO67" s="45" t="str">
        <f t="shared" si="10"/>
        <v>1/1900</v>
      </c>
      <c r="AP67" s="45" t="e">
        <f t="shared" si="11"/>
        <v>#NUM!</v>
      </c>
      <c r="AQ67" s="45">
        <f t="shared" si="12"/>
        <v>0</v>
      </c>
      <c r="AR67" s="45">
        <f t="shared" si="13"/>
        <v>0</v>
      </c>
      <c r="AS67" s="45">
        <f t="shared" si="14"/>
        <v>0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hidden="1" customHeight="1" x14ac:dyDescent="0.3">
      <c r="A68" s="87" t="s">
        <v>47</v>
      </c>
      <c r="B68" s="88">
        <v>46147</v>
      </c>
      <c r="C68" s="89" t="s">
        <v>48</v>
      </c>
      <c r="D68" s="89" t="s">
        <v>49</v>
      </c>
      <c r="E68" s="90">
        <v>95297516</v>
      </c>
      <c r="F68" s="221" t="s">
        <v>245</v>
      </c>
      <c r="G68" s="92">
        <v>33994214866</v>
      </c>
      <c r="H68" s="93">
        <v>30993</v>
      </c>
      <c r="I68" s="89">
        <v>41</v>
      </c>
      <c r="J68" s="89" t="s">
        <v>74</v>
      </c>
      <c r="K68" s="89" t="s">
        <v>52</v>
      </c>
      <c r="L68" s="89"/>
      <c r="M68" s="89" t="s">
        <v>107</v>
      </c>
      <c r="N68" s="89" t="s">
        <v>80</v>
      </c>
      <c r="O68" s="94" t="s">
        <v>246</v>
      </c>
      <c r="P68" s="95" t="s">
        <v>56</v>
      </c>
      <c r="Q68" s="145" t="s">
        <v>229</v>
      </c>
      <c r="R68" s="96"/>
      <c r="S68" s="97">
        <v>46167</v>
      </c>
      <c r="T68" s="97" t="s">
        <v>230</v>
      </c>
      <c r="U68" s="97" t="s">
        <v>224</v>
      </c>
      <c r="V68" s="93">
        <v>46153</v>
      </c>
      <c r="W68" s="93">
        <v>46154</v>
      </c>
      <c r="X68" s="93">
        <v>46164</v>
      </c>
      <c r="Y68" s="98"/>
      <c r="Z68" s="89"/>
      <c r="AA68" s="97"/>
      <c r="AB68" s="89"/>
      <c r="AC68" s="120"/>
      <c r="AD68" s="89"/>
      <c r="AE68" s="89"/>
      <c r="AF68" s="99"/>
      <c r="AG68" s="99"/>
      <c r="AH68" s="99"/>
      <c r="AI68" s="100" t="s">
        <v>62</v>
      </c>
      <c r="AJ68" s="100" t="s">
        <v>226</v>
      </c>
      <c r="AK68" s="100"/>
      <c r="AL68" s="45" t="s">
        <v>64</v>
      </c>
      <c r="AM68" s="199" t="str">
        <f t="shared" si="8"/>
        <v>5/2026</v>
      </c>
      <c r="AN68" s="45">
        <f t="shared" si="9"/>
        <v>2</v>
      </c>
      <c r="AO68" s="45" t="str">
        <f t="shared" si="10"/>
        <v>1/1900</v>
      </c>
      <c r="AP68" s="45" t="e">
        <f t="shared" si="11"/>
        <v>#NUM!</v>
      </c>
      <c r="AQ68" s="45">
        <f t="shared" si="12"/>
        <v>0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hidden="1" customHeight="1" x14ac:dyDescent="0.3">
      <c r="A69" s="87" t="s">
        <v>47</v>
      </c>
      <c r="B69" s="88">
        <v>46147</v>
      </c>
      <c r="C69" s="89" t="s">
        <v>48</v>
      </c>
      <c r="D69" s="89" t="s">
        <v>49</v>
      </c>
      <c r="E69" s="90">
        <v>74020594</v>
      </c>
      <c r="F69" s="221" t="s">
        <v>247</v>
      </c>
      <c r="G69" s="92">
        <v>41711955191</v>
      </c>
      <c r="H69" s="93">
        <v>25175</v>
      </c>
      <c r="I69" s="89">
        <v>57</v>
      </c>
      <c r="J69" s="89" t="s">
        <v>74</v>
      </c>
      <c r="K69" s="89" t="s">
        <v>137</v>
      </c>
      <c r="L69" s="89" t="e">
        <v>#N/A</v>
      </c>
      <c r="M69" s="89" t="s">
        <v>138</v>
      </c>
      <c r="N69" s="89" t="s">
        <v>121</v>
      </c>
      <c r="O69" s="94" t="s">
        <v>248</v>
      </c>
      <c r="P69" s="95" t="s">
        <v>56</v>
      </c>
      <c r="Q69" s="145" t="s">
        <v>229</v>
      </c>
      <c r="R69" s="96"/>
      <c r="S69" s="97">
        <v>46167</v>
      </c>
      <c r="T69" s="97" t="s">
        <v>230</v>
      </c>
      <c r="U69" s="97" t="s">
        <v>224</v>
      </c>
      <c r="V69" s="93">
        <v>46153</v>
      </c>
      <c r="W69" s="93">
        <v>46154</v>
      </c>
      <c r="X69" s="93">
        <v>46164</v>
      </c>
      <c r="Y69" s="98"/>
      <c r="Z69" s="89"/>
      <c r="AA69" s="97"/>
      <c r="AB69" s="89"/>
      <c r="AC69" s="120"/>
      <c r="AD69" s="89"/>
      <c r="AE69" s="89"/>
      <c r="AF69" s="99"/>
      <c r="AG69" s="99"/>
      <c r="AH69" s="99"/>
      <c r="AI69" s="100"/>
      <c r="AJ69" s="100"/>
      <c r="AK69" s="100"/>
      <c r="AL69" s="45" t="s">
        <v>64</v>
      </c>
      <c r="AM69" s="199" t="str">
        <f t="shared" si="8"/>
        <v>5/2026</v>
      </c>
      <c r="AN69" s="45">
        <f t="shared" si="9"/>
        <v>2</v>
      </c>
      <c r="AO69" s="45" t="str">
        <f t="shared" si="10"/>
        <v>1/1900</v>
      </c>
      <c r="AP69" s="45" t="e">
        <f t="shared" si="11"/>
        <v>#NUM!</v>
      </c>
      <c r="AQ69" s="45">
        <f t="shared" si="12"/>
        <v>0</v>
      </c>
      <c r="AR69" s="45">
        <f t="shared" si="13"/>
        <v>0</v>
      </c>
      <c r="AS69" s="45">
        <f t="shared" si="14"/>
        <v>0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47</v>
      </c>
      <c r="B70" s="88">
        <v>46147</v>
      </c>
      <c r="C70" s="89" t="s">
        <v>48</v>
      </c>
      <c r="D70" s="89" t="s">
        <v>49</v>
      </c>
      <c r="E70" s="90">
        <v>129794724</v>
      </c>
      <c r="F70" s="221" t="s">
        <v>249</v>
      </c>
      <c r="G70" s="92">
        <v>39711064804</v>
      </c>
      <c r="H70" s="93">
        <v>17598</v>
      </c>
      <c r="I70" s="89">
        <v>78</v>
      </c>
      <c r="J70" s="89" t="s">
        <v>74</v>
      </c>
      <c r="K70" s="89" t="s">
        <v>52</v>
      </c>
      <c r="L70" s="89"/>
      <c r="M70" s="89" t="s">
        <v>66</v>
      </c>
      <c r="N70" s="89" t="s">
        <v>104</v>
      </c>
      <c r="O70" s="94" t="s">
        <v>250</v>
      </c>
      <c r="P70" s="95" t="s">
        <v>56</v>
      </c>
      <c r="Q70" s="145" t="s">
        <v>229</v>
      </c>
      <c r="R70" s="96"/>
      <c r="S70" s="97">
        <v>46167</v>
      </c>
      <c r="T70" s="97" t="s">
        <v>230</v>
      </c>
      <c r="U70" s="97" t="s">
        <v>224</v>
      </c>
      <c r="V70" s="93">
        <v>46153</v>
      </c>
      <c r="W70" s="93">
        <v>46154</v>
      </c>
      <c r="X70" s="93">
        <v>46164</v>
      </c>
      <c r="Y70" s="98"/>
      <c r="Z70" s="89"/>
      <c r="AA70" s="97"/>
      <c r="AB70" s="89"/>
      <c r="AC70" s="120"/>
      <c r="AD70" s="89"/>
      <c r="AE70" s="89"/>
      <c r="AF70" s="99"/>
      <c r="AG70" s="99"/>
      <c r="AH70" s="99"/>
      <c r="AI70" s="100"/>
      <c r="AJ70" s="100"/>
      <c r="AK70" s="100"/>
      <c r="AL70" s="45" t="s">
        <v>64</v>
      </c>
      <c r="AM70" s="199" t="str">
        <f t="shared" si="8"/>
        <v>5/2026</v>
      </c>
      <c r="AN70" s="45">
        <f t="shared" si="9"/>
        <v>2</v>
      </c>
      <c r="AO70" s="45" t="str">
        <f t="shared" si="10"/>
        <v>1/1900</v>
      </c>
      <c r="AP70" s="45" t="e">
        <f t="shared" si="11"/>
        <v>#NUM!</v>
      </c>
      <c r="AQ70" s="45">
        <f t="shared" si="12"/>
        <v>0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 x14ac:dyDescent="0.3">
      <c r="A71" s="87" t="s">
        <v>47</v>
      </c>
      <c r="B71" s="88">
        <v>46147</v>
      </c>
      <c r="C71" s="89" t="s">
        <v>48</v>
      </c>
      <c r="D71" s="89" t="s">
        <v>49</v>
      </c>
      <c r="E71" s="90">
        <v>796499039</v>
      </c>
      <c r="F71" s="221" t="s">
        <v>251</v>
      </c>
      <c r="G71" s="92">
        <v>1179257804</v>
      </c>
      <c r="H71" s="93">
        <v>18677</v>
      </c>
      <c r="I71" s="89">
        <v>75</v>
      </c>
      <c r="J71" s="89" t="s">
        <v>51</v>
      </c>
      <c r="K71" s="89" t="s">
        <v>52</v>
      </c>
      <c r="L71" s="89"/>
      <c r="M71" s="89" t="s">
        <v>66</v>
      </c>
      <c r="N71" s="89" t="s">
        <v>117</v>
      </c>
      <c r="O71" s="94" t="s">
        <v>252</v>
      </c>
      <c r="P71" s="95" t="s">
        <v>56</v>
      </c>
      <c r="Q71" s="145" t="s">
        <v>229</v>
      </c>
      <c r="R71" s="96"/>
      <c r="S71" s="97">
        <v>46167</v>
      </c>
      <c r="T71" s="97" t="s">
        <v>230</v>
      </c>
      <c r="U71" s="97" t="s">
        <v>224</v>
      </c>
      <c r="V71" s="93">
        <v>46153</v>
      </c>
      <c r="W71" s="93">
        <v>46154</v>
      </c>
      <c r="X71" s="93">
        <v>46164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/>
      <c r="AJ71" s="100"/>
      <c r="AK71" s="100"/>
      <c r="AL71" s="45" t="s">
        <v>64</v>
      </c>
      <c r="AM71" s="199" t="str">
        <f t="shared" si="8"/>
        <v>5/2026</v>
      </c>
      <c r="AN71" s="45">
        <f t="shared" si="9"/>
        <v>2</v>
      </c>
      <c r="AO71" s="45" t="str">
        <f t="shared" si="10"/>
        <v>1/1900</v>
      </c>
      <c r="AP71" s="45" t="e">
        <f t="shared" si="11"/>
        <v>#NUM!</v>
      </c>
      <c r="AQ71" s="45">
        <f t="shared" si="12"/>
        <v>0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hidden="1" customHeight="1" x14ac:dyDescent="0.3">
      <c r="A72" s="87" t="s">
        <v>47</v>
      </c>
      <c r="B72" s="88">
        <v>46147</v>
      </c>
      <c r="C72" s="89" t="s">
        <v>48</v>
      </c>
      <c r="D72" s="89" t="s">
        <v>49</v>
      </c>
      <c r="E72" s="90">
        <v>82151083</v>
      </c>
      <c r="F72" s="221" t="s">
        <v>253</v>
      </c>
      <c r="G72" s="92">
        <v>11884684807</v>
      </c>
      <c r="H72" s="93">
        <v>25958</v>
      </c>
      <c r="I72" s="89">
        <v>55</v>
      </c>
      <c r="J72" s="89" t="s">
        <v>51</v>
      </c>
      <c r="K72" s="89" t="s">
        <v>52</v>
      </c>
      <c r="L72" s="89"/>
      <c r="M72" s="89" t="s">
        <v>66</v>
      </c>
      <c r="N72" s="89" t="s">
        <v>80</v>
      </c>
      <c r="O72" s="94" t="s">
        <v>254</v>
      </c>
      <c r="P72" s="95" t="s">
        <v>56</v>
      </c>
      <c r="Q72" s="145" t="s">
        <v>229</v>
      </c>
      <c r="R72" s="96"/>
      <c r="S72" s="97">
        <v>46167</v>
      </c>
      <c r="T72" s="97" t="s">
        <v>230</v>
      </c>
      <c r="U72" s="97" t="s">
        <v>224</v>
      </c>
      <c r="V72" s="93">
        <v>46153</v>
      </c>
      <c r="W72" s="93">
        <v>46154</v>
      </c>
      <c r="X72" s="93">
        <v>46164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/>
      <c r="AJ72" s="100"/>
      <c r="AK72" s="100"/>
      <c r="AL72" s="45" t="s">
        <v>64</v>
      </c>
      <c r="AM72" s="199" t="str">
        <f t="shared" si="8"/>
        <v>5/2026</v>
      </c>
      <c r="AN72" s="45">
        <f t="shared" si="9"/>
        <v>2</v>
      </c>
      <c r="AO72" s="45" t="str">
        <f t="shared" si="10"/>
        <v>1/1900</v>
      </c>
      <c r="AP72" s="45" t="e">
        <f t="shared" si="11"/>
        <v>#NUM!</v>
      </c>
      <c r="AQ72" s="45">
        <f t="shared" si="12"/>
        <v>0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 x14ac:dyDescent="0.3">
      <c r="A73" s="87" t="s">
        <v>47</v>
      </c>
      <c r="B73" s="88">
        <v>46147</v>
      </c>
      <c r="C73" s="89" t="s">
        <v>48</v>
      </c>
      <c r="D73" s="89" t="s">
        <v>49</v>
      </c>
      <c r="E73" s="90">
        <v>78334405</v>
      </c>
      <c r="F73" s="221" t="s">
        <v>255</v>
      </c>
      <c r="G73" s="92">
        <v>39390819814</v>
      </c>
      <c r="H73" s="93">
        <v>33677</v>
      </c>
      <c r="I73" s="89">
        <v>34</v>
      </c>
      <c r="J73" s="89" t="s">
        <v>74</v>
      </c>
      <c r="K73" s="89" t="s">
        <v>52</v>
      </c>
      <c r="L73" s="89"/>
      <c r="M73" s="89" t="s">
        <v>256</v>
      </c>
      <c r="N73" s="89" t="s">
        <v>111</v>
      </c>
      <c r="O73" s="94" t="s">
        <v>257</v>
      </c>
      <c r="P73" s="95" t="s">
        <v>56</v>
      </c>
      <c r="Q73" s="145" t="s">
        <v>229</v>
      </c>
      <c r="R73" s="96"/>
      <c r="S73" s="97">
        <v>46167</v>
      </c>
      <c r="T73" s="97" t="s">
        <v>230</v>
      </c>
      <c r="U73" s="97" t="s">
        <v>224</v>
      </c>
      <c r="V73" s="93">
        <v>46153</v>
      </c>
      <c r="W73" s="93">
        <v>46154</v>
      </c>
      <c r="X73" s="93">
        <v>46164</v>
      </c>
      <c r="Y73" s="98"/>
      <c r="Z73" s="89"/>
      <c r="AA73" s="97"/>
      <c r="AB73" s="89"/>
      <c r="AC73" s="120"/>
      <c r="AD73" s="89"/>
      <c r="AE73" s="89"/>
      <c r="AF73" s="99"/>
      <c r="AG73" s="99"/>
      <c r="AH73" s="99"/>
      <c r="AI73" s="100"/>
      <c r="AJ73" s="100"/>
      <c r="AK73" s="100"/>
      <c r="AL73" s="45" t="s">
        <v>64</v>
      </c>
      <c r="AM73" s="199" t="str">
        <f t="shared" si="8"/>
        <v>5/2026</v>
      </c>
      <c r="AN73" s="45">
        <f t="shared" si="9"/>
        <v>2</v>
      </c>
      <c r="AO73" s="45" t="str">
        <f t="shared" si="10"/>
        <v>1/1900</v>
      </c>
      <c r="AP73" s="45" t="e">
        <f t="shared" si="11"/>
        <v>#NUM!</v>
      </c>
      <c r="AQ73" s="45">
        <f t="shared" si="12"/>
        <v>0</v>
      </c>
      <c r="AR73" s="45">
        <f t="shared" si="13"/>
        <v>0</v>
      </c>
      <c r="AS73" s="45">
        <f t="shared" si="14"/>
        <v>0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hidden="1" customHeight="1" x14ac:dyDescent="0.3">
      <c r="A74" s="87" t="s">
        <v>47</v>
      </c>
      <c r="B74" s="88">
        <v>46147</v>
      </c>
      <c r="C74" s="89" t="s">
        <v>48</v>
      </c>
      <c r="D74" s="89" t="s">
        <v>49</v>
      </c>
      <c r="E74" s="90">
        <v>222647442</v>
      </c>
      <c r="F74" s="221" t="s">
        <v>258</v>
      </c>
      <c r="G74" s="92">
        <v>19166117887</v>
      </c>
      <c r="H74" s="93">
        <v>17625</v>
      </c>
      <c r="I74" s="89">
        <v>78</v>
      </c>
      <c r="J74" s="89" t="s">
        <v>74</v>
      </c>
      <c r="K74" s="89" t="s">
        <v>52</v>
      </c>
      <c r="L74" s="89"/>
      <c r="M74" s="89" t="s">
        <v>259</v>
      </c>
      <c r="N74" s="89" t="s">
        <v>121</v>
      </c>
      <c r="O74" s="94" t="s">
        <v>260</v>
      </c>
      <c r="P74" s="95" t="s">
        <v>56</v>
      </c>
      <c r="Q74" s="145" t="s">
        <v>229</v>
      </c>
      <c r="R74" s="96"/>
      <c r="S74" s="97">
        <v>46167</v>
      </c>
      <c r="T74" s="97" t="s">
        <v>230</v>
      </c>
      <c r="U74" s="97" t="s">
        <v>224</v>
      </c>
      <c r="V74" s="93">
        <v>46153</v>
      </c>
      <c r="W74" s="93">
        <v>46154</v>
      </c>
      <c r="X74" s="93">
        <v>46164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/>
      <c r="AJ74" s="100"/>
      <c r="AK74" s="100"/>
      <c r="AL74" s="45" t="s">
        <v>64</v>
      </c>
      <c r="AM74" s="199" t="str">
        <f t="shared" si="8"/>
        <v>5/2026</v>
      </c>
      <c r="AN74" s="45">
        <f t="shared" si="9"/>
        <v>2</v>
      </c>
      <c r="AO74" s="45" t="str">
        <f t="shared" si="10"/>
        <v>1/1900</v>
      </c>
      <c r="AP74" s="45" t="e">
        <f t="shared" si="11"/>
        <v>#NUM!</v>
      </c>
      <c r="AQ74" s="45">
        <f t="shared" si="12"/>
        <v>0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47</v>
      </c>
      <c r="B75" s="88">
        <v>46147</v>
      </c>
      <c r="C75" s="89" t="s">
        <v>48</v>
      </c>
      <c r="D75" s="89" t="s">
        <v>49</v>
      </c>
      <c r="E75" s="90">
        <v>810518619</v>
      </c>
      <c r="F75" s="221" t="s">
        <v>261</v>
      </c>
      <c r="G75" s="92">
        <v>8675545843</v>
      </c>
      <c r="H75" s="93">
        <v>23425</v>
      </c>
      <c r="I75" s="89">
        <v>62</v>
      </c>
      <c r="J75" s="89" t="s">
        <v>51</v>
      </c>
      <c r="K75" s="89" t="s">
        <v>52</v>
      </c>
      <c r="L75" s="89"/>
      <c r="M75" s="89" t="s">
        <v>66</v>
      </c>
      <c r="N75" s="89" t="s">
        <v>108</v>
      </c>
      <c r="O75" s="94" t="s">
        <v>262</v>
      </c>
      <c r="P75" s="95" t="s">
        <v>56</v>
      </c>
      <c r="Q75" s="145" t="s">
        <v>229</v>
      </c>
      <c r="R75" s="96"/>
      <c r="S75" s="97">
        <v>46167</v>
      </c>
      <c r="T75" s="97" t="s">
        <v>230</v>
      </c>
      <c r="U75" s="97" t="s">
        <v>224</v>
      </c>
      <c r="V75" s="93">
        <v>46153</v>
      </c>
      <c r="W75" s="93">
        <v>46154</v>
      </c>
      <c r="X75" s="93">
        <v>46164</v>
      </c>
      <c r="Y75" s="98"/>
      <c r="Z75" s="89"/>
      <c r="AA75" s="97"/>
      <c r="AB75" s="89"/>
      <c r="AC75" s="120"/>
      <c r="AD75" s="89"/>
      <c r="AE75" s="89"/>
      <c r="AF75" s="99"/>
      <c r="AG75" s="99"/>
      <c r="AH75" s="99"/>
      <c r="AI75" s="100"/>
      <c r="AJ75" s="100"/>
      <c r="AK75" s="100"/>
      <c r="AL75" s="45" t="s">
        <v>64</v>
      </c>
      <c r="AM75" s="199" t="str">
        <f t="shared" si="8"/>
        <v>5/2026</v>
      </c>
      <c r="AN75" s="45">
        <f t="shared" si="9"/>
        <v>2</v>
      </c>
      <c r="AO75" s="45" t="str">
        <f t="shared" si="10"/>
        <v>1/1900</v>
      </c>
      <c r="AP75" s="45" t="e">
        <f t="shared" si="11"/>
        <v>#NUM!</v>
      </c>
      <c r="AQ75" s="45">
        <f t="shared" si="12"/>
        <v>0</v>
      </c>
      <c r="AR75" s="45">
        <f t="shared" si="13"/>
        <v>0</v>
      </c>
      <c r="AS75" s="45">
        <f t="shared" si="14"/>
        <v>0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hidden="1" customHeight="1" x14ac:dyDescent="0.3">
      <c r="A76" s="87" t="s">
        <v>47</v>
      </c>
      <c r="B76" s="88">
        <v>46147</v>
      </c>
      <c r="C76" s="89" t="s">
        <v>48</v>
      </c>
      <c r="D76" s="89" t="s">
        <v>49</v>
      </c>
      <c r="E76" s="90">
        <v>985204150</v>
      </c>
      <c r="F76" s="221" t="s">
        <v>263</v>
      </c>
      <c r="G76" s="92">
        <v>49330259839</v>
      </c>
      <c r="H76" s="93">
        <v>35820</v>
      </c>
      <c r="I76" s="89">
        <v>28</v>
      </c>
      <c r="J76" s="89" t="s">
        <v>51</v>
      </c>
      <c r="K76" s="89" t="s">
        <v>52</v>
      </c>
      <c r="L76" s="89"/>
      <c r="M76" s="89" t="s">
        <v>66</v>
      </c>
      <c r="N76" s="89" t="s">
        <v>121</v>
      </c>
      <c r="O76" s="94" t="s">
        <v>264</v>
      </c>
      <c r="P76" s="95" t="s">
        <v>56</v>
      </c>
      <c r="Q76" s="145" t="s">
        <v>229</v>
      </c>
      <c r="R76" s="96"/>
      <c r="S76" s="97">
        <v>46167</v>
      </c>
      <c r="T76" s="97" t="s">
        <v>230</v>
      </c>
      <c r="U76" s="97" t="s">
        <v>224</v>
      </c>
      <c r="V76" s="93">
        <v>46153</v>
      </c>
      <c r="W76" s="93">
        <v>46154</v>
      </c>
      <c r="X76" s="93">
        <v>46164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/>
      <c r="AJ76" s="100"/>
      <c r="AK76" s="100"/>
      <c r="AL76" s="45" t="s">
        <v>64</v>
      </c>
      <c r="AM76" s="199" t="str">
        <f t="shared" si="8"/>
        <v>5/2026</v>
      </c>
      <c r="AN76" s="45">
        <f t="shared" si="9"/>
        <v>2</v>
      </c>
      <c r="AO76" s="45" t="str">
        <f t="shared" si="10"/>
        <v>1/1900</v>
      </c>
      <c r="AP76" s="45" t="e">
        <f t="shared" si="11"/>
        <v>#NUM!</v>
      </c>
      <c r="AQ76" s="45">
        <f t="shared" si="12"/>
        <v>0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hidden="1" customHeight="1" x14ac:dyDescent="0.3">
      <c r="A77" s="87" t="s">
        <v>47</v>
      </c>
      <c r="B77" s="88">
        <v>46147</v>
      </c>
      <c r="C77" s="89" t="s">
        <v>48</v>
      </c>
      <c r="D77" s="89" t="s">
        <v>49</v>
      </c>
      <c r="E77" s="90">
        <v>200062360</v>
      </c>
      <c r="F77" s="221" t="s">
        <v>265</v>
      </c>
      <c r="G77" s="92">
        <v>5250743846</v>
      </c>
      <c r="H77" s="93">
        <v>21381</v>
      </c>
      <c r="I77" s="89">
        <v>67</v>
      </c>
      <c r="J77" s="89" t="s">
        <v>74</v>
      </c>
      <c r="K77" s="89" t="s">
        <v>52</v>
      </c>
      <c r="L77" s="89"/>
      <c r="M77" s="89" t="s">
        <v>66</v>
      </c>
      <c r="N77" s="89" t="s">
        <v>104</v>
      </c>
      <c r="O77" s="94" t="s">
        <v>266</v>
      </c>
      <c r="P77" s="95" t="s">
        <v>56</v>
      </c>
      <c r="Q77" s="145" t="s">
        <v>229</v>
      </c>
      <c r="R77" s="96"/>
      <c r="S77" s="97">
        <v>46167</v>
      </c>
      <c r="T77" s="97" t="s">
        <v>230</v>
      </c>
      <c r="U77" s="97" t="s">
        <v>224</v>
      </c>
      <c r="V77" s="93">
        <v>46153</v>
      </c>
      <c r="W77" s="93">
        <v>46154</v>
      </c>
      <c r="X77" s="93">
        <v>46164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/>
      <c r="AJ77" s="100"/>
      <c r="AK77" s="100"/>
      <c r="AL77" s="45" t="s">
        <v>64</v>
      </c>
      <c r="AM77" s="199" t="str">
        <f t="shared" si="8"/>
        <v>5/2026</v>
      </c>
      <c r="AN77" s="45">
        <f t="shared" si="9"/>
        <v>2</v>
      </c>
      <c r="AO77" s="45" t="str">
        <f t="shared" si="10"/>
        <v>1/1900</v>
      </c>
      <c r="AP77" s="45" t="e">
        <f t="shared" si="11"/>
        <v>#NUM!</v>
      </c>
      <c r="AQ77" s="45">
        <f t="shared" si="12"/>
        <v>0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hidden="1" customHeight="1" x14ac:dyDescent="0.3">
      <c r="A78" s="87" t="s">
        <v>47</v>
      </c>
      <c r="B78" s="88">
        <v>46147</v>
      </c>
      <c r="C78" s="89" t="s">
        <v>48</v>
      </c>
      <c r="D78" s="89" t="s">
        <v>49</v>
      </c>
      <c r="E78" s="90">
        <v>200293605</v>
      </c>
      <c r="F78" s="221" t="s">
        <v>267</v>
      </c>
      <c r="G78" s="92">
        <v>75513536820</v>
      </c>
      <c r="H78" s="93">
        <v>20493</v>
      </c>
      <c r="I78" s="89">
        <v>70</v>
      </c>
      <c r="J78" s="89" t="s">
        <v>51</v>
      </c>
      <c r="K78" s="89" t="s">
        <v>52</v>
      </c>
      <c r="L78" s="89"/>
      <c r="M78" s="89" t="s">
        <v>66</v>
      </c>
      <c r="N78" s="89" t="s">
        <v>104</v>
      </c>
      <c r="O78" s="94" t="s">
        <v>268</v>
      </c>
      <c r="P78" s="95" t="s">
        <v>56</v>
      </c>
      <c r="Q78" s="145" t="s">
        <v>229</v>
      </c>
      <c r="R78" s="96"/>
      <c r="S78" s="97">
        <v>46167</v>
      </c>
      <c r="T78" s="97" t="s">
        <v>230</v>
      </c>
      <c r="U78" s="97" t="s">
        <v>224</v>
      </c>
      <c r="V78" s="93">
        <v>46153</v>
      </c>
      <c r="W78" s="93">
        <v>46154</v>
      </c>
      <c r="X78" s="93">
        <v>46164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/>
      <c r="AJ78" s="100"/>
      <c r="AK78" s="100"/>
      <c r="AL78" s="45" t="s">
        <v>64</v>
      </c>
      <c r="AM78" s="199" t="str">
        <f t="shared" si="8"/>
        <v>5/2026</v>
      </c>
      <c r="AN78" s="45">
        <f t="shared" si="9"/>
        <v>2</v>
      </c>
      <c r="AO78" s="45" t="str">
        <f t="shared" si="10"/>
        <v>1/1900</v>
      </c>
      <c r="AP78" s="45" t="e">
        <f t="shared" si="11"/>
        <v>#NUM!</v>
      </c>
      <c r="AQ78" s="45">
        <f t="shared" si="12"/>
        <v>0</v>
      </c>
      <c r="AR78" s="45">
        <f t="shared" si="13"/>
        <v>0</v>
      </c>
      <c r="AS78" s="45">
        <f t="shared" si="14"/>
        <v>0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 x14ac:dyDescent="0.3">
      <c r="A79" s="87" t="s">
        <v>47</v>
      </c>
      <c r="B79" s="88">
        <v>46147</v>
      </c>
      <c r="C79" s="89" t="s">
        <v>48</v>
      </c>
      <c r="D79" s="89" t="s">
        <v>49</v>
      </c>
      <c r="E79" s="90">
        <v>84517280</v>
      </c>
      <c r="F79" s="221" t="s">
        <v>269</v>
      </c>
      <c r="G79" s="92">
        <v>11443228800</v>
      </c>
      <c r="H79" s="93">
        <v>24977</v>
      </c>
      <c r="I79" s="89">
        <v>57</v>
      </c>
      <c r="J79" s="89" t="s">
        <v>51</v>
      </c>
      <c r="K79" s="89" t="s">
        <v>52</v>
      </c>
      <c r="L79" s="89"/>
      <c r="M79" s="89" t="s">
        <v>66</v>
      </c>
      <c r="N79" s="89" t="s">
        <v>80</v>
      </c>
      <c r="O79" s="94" t="s">
        <v>270</v>
      </c>
      <c r="P79" s="95" t="s">
        <v>56</v>
      </c>
      <c r="Q79" s="145" t="s">
        <v>229</v>
      </c>
      <c r="R79" s="96"/>
      <c r="S79" s="97">
        <v>46167</v>
      </c>
      <c r="T79" s="97" t="s">
        <v>230</v>
      </c>
      <c r="U79" s="97" t="s">
        <v>224</v>
      </c>
      <c r="V79" s="93">
        <v>46153</v>
      </c>
      <c r="W79" s="93">
        <v>46154</v>
      </c>
      <c r="X79" s="93">
        <v>46164</v>
      </c>
      <c r="Y79" s="98"/>
      <c r="Z79" s="89"/>
      <c r="AA79" s="97"/>
      <c r="AB79" s="89"/>
      <c r="AC79" s="120"/>
      <c r="AD79" s="89"/>
      <c r="AE79" s="89"/>
      <c r="AF79" s="99"/>
      <c r="AG79" s="99"/>
      <c r="AH79" s="99"/>
      <c r="AI79" s="100"/>
      <c r="AJ79" s="100"/>
      <c r="AK79" s="100"/>
      <c r="AL79" s="45" t="s">
        <v>64</v>
      </c>
      <c r="AM79" s="199" t="str">
        <f t="shared" si="8"/>
        <v>5/2026</v>
      </c>
      <c r="AN79" s="45">
        <f t="shared" si="9"/>
        <v>2</v>
      </c>
      <c r="AO79" s="45" t="str">
        <f t="shared" si="10"/>
        <v>1/1900</v>
      </c>
      <c r="AP79" s="45" t="e">
        <f t="shared" si="11"/>
        <v>#NUM!</v>
      </c>
      <c r="AQ79" s="45">
        <f t="shared" si="12"/>
        <v>0</v>
      </c>
      <c r="AR79" s="45">
        <f t="shared" si="13"/>
        <v>0</v>
      </c>
      <c r="AS79" s="45">
        <f t="shared" si="14"/>
        <v>0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hidden="1" customHeight="1" x14ac:dyDescent="0.3">
      <c r="A80" s="87" t="s">
        <v>47</v>
      </c>
      <c r="B80" s="88">
        <v>46147</v>
      </c>
      <c r="C80" s="89" t="s">
        <v>48</v>
      </c>
      <c r="D80" s="89" t="s">
        <v>49</v>
      </c>
      <c r="E80" s="90">
        <v>442099070</v>
      </c>
      <c r="F80" s="221" t="s">
        <v>271</v>
      </c>
      <c r="G80" s="92">
        <v>48627496820</v>
      </c>
      <c r="H80" s="93">
        <v>15023</v>
      </c>
      <c r="I80" s="89">
        <v>85</v>
      </c>
      <c r="J80" s="89" t="s">
        <v>74</v>
      </c>
      <c r="K80" s="89" t="s">
        <v>52</v>
      </c>
      <c r="L80" s="89"/>
      <c r="M80" s="89" t="s">
        <v>66</v>
      </c>
      <c r="N80" s="89" t="s">
        <v>121</v>
      </c>
      <c r="O80" s="94" t="s">
        <v>272</v>
      </c>
      <c r="P80" s="95" t="s">
        <v>56</v>
      </c>
      <c r="Q80" s="145" t="s">
        <v>229</v>
      </c>
      <c r="R80" s="96"/>
      <c r="S80" s="97">
        <v>46167</v>
      </c>
      <c r="T80" s="97" t="s">
        <v>230</v>
      </c>
      <c r="U80" s="97" t="s">
        <v>224</v>
      </c>
      <c r="V80" s="93">
        <v>46153</v>
      </c>
      <c r="W80" s="93">
        <v>46154</v>
      </c>
      <c r="X80" s="93">
        <v>46164</v>
      </c>
      <c r="Y80" s="98"/>
      <c r="Z80" s="89"/>
      <c r="AA80" s="97"/>
      <c r="AB80" s="89"/>
      <c r="AC80" s="120"/>
      <c r="AD80" s="89"/>
      <c r="AE80" s="89"/>
      <c r="AF80" s="99"/>
      <c r="AG80" s="99"/>
      <c r="AH80" s="99"/>
      <c r="AI80" s="100"/>
      <c r="AJ80" s="100"/>
      <c r="AK80" s="100"/>
      <c r="AL80" s="45" t="s">
        <v>64</v>
      </c>
      <c r="AM80" s="199" t="str">
        <f t="shared" si="8"/>
        <v>5/2026</v>
      </c>
      <c r="AN80" s="45">
        <f t="shared" si="9"/>
        <v>2</v>
      </c>
      <c r="AO80" s="45" t="str">
        <f t="shared" si="10"/>
        <v>1/1900</v>
      </c>
      <c r="AP80" s="45" t="e">
        <f t="shared" si="11"/>
        <v>#NUM!</v>
      </c>
      <c r="AQ80" s="45">
        <f t="shared" si="12"/>
        <v>0</v>
      </c>
      <c r="AR80" s="45">
        <f t="shared" si="13"/>
        <v>0</v>
      </c>
      <c r="AS80" s="45">
        <f t="shared" si="14"/>
        <v>0</v>
      </c>
      <c r="AT80" s="45">
        <f t="shared" si="15"/>
        <v>0</v>
      </c>
      <c r="AU80" s="45" t="str">
        <f>_xlfn.XLOOKUP(U80,'Lista Suspensa'!$AA$20:$AA$23,'Lista Suspensa'!$AB$20:$AB$23,"N/A")</f>
        <v>S</v>
      </c>
    </row>
    <row r="81" spans="1:47" ht="12" hidden="1" customHeight="1" x14ac:dyDescent="0.3">
      <c r="A81" s="87" t="s">
        <v>47</v>
      </c>
      <c r="B81" s="88">
        <v>46147</v>
      </c>
      <c r="C81" s="89" t="s">
        <v>48</v>
      </c>
      <c r="D81" s="89" t="s">
        <v>49</v>
      </c>
      <c r="E81" s="90">
        <v>592973751</v>
      </c>
      <c r="F81" s="221" t="s">
        <v>273</v>
      </c>
      <c r="G81" s="92">
        <v>2728308870</v>
      </c>
      <c r="H81" s="93">
        <v>22558</v>
      </c>
      <c r="I81" s="89">
        <v>64</v>
      </c>
      <c r="J81" s="89" t="s">
        <v>74</v>
      </c>
      <c r="K81" s="89" t="s">
        <v>52</v>
      </c>
      <c r="L81" s="89"/>
      <c r="M81" s="89" t="s">
        <v>107</v>
      </c>
      <c r="N81" s="89" t="s">
        <v>91</v>
      </c>
      <c r="O81" s="94" t="s">
        <v>274</v>
      </c>
      <c r="P81" s="95" t="s">
        <v>56</v>
      </c>
      <c r="Q81" s="145" t="s">
        <v>229</v>
      </c>
      <c r="R81" s="96"/>
      <c r="S81" s="97">
        <v>46167</v>
      </c>
      <c r="T81" s="97" t="s">
        <v>230</v>
      </c>
      <c r="U81" s="97" t="s">
        <v>224</v>
      </c>
      <c r="V81" s="93">
        <v>46153</v>
      </c>
      <c r="W81" s="93">
        <v>46154</v>
      </c>
      <c r="X81" s="93">
        <v>46164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/>
      <c r="AJ81" s="100"/>
      <c r="AK81" s="100"/>
      <c r="AL81" s="45" t="s">
        <v>64</v>
      </c>
      <c r="AM81" s="199" t="str">
        <f t="shared" si="8"/>
        <v>5/2026</v>
      </c>
      <c r="AN81" s="45">
        <f t="shared" si="9"/>
        <v>2</v>
      </c>
      <c r="AO81" s="45" t="str">
        <f t="shared" si="10"/>
        <v>1/1900</v>
      </c>
      <c r="AP81" s="45" t="e">
        <f t="shared" si="11"/>
        <v>#NUM!</v>
      </c>
      <c r="AQ81" s="45">
        <f t="shared" si="12"/>
        <v>0</v>
      </c>
      <c r="AR81" s="45">
        <f t="shared" si="13"/>
        <v>0</v>
      </c>
      <c r="AS81" s="45">
        <f t="shared" si="14"/>
        <v>0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hidden="1" customHeight="1" x14ac:dyDescent="0.3">
      <c r="A82" s="87" t="s">
        <v>47</v>
      </c>
      <c r="B82" s="88">
        <v>46147</v>
      </c>
      <c r="C82" s="89" t="s">
        <v>48</v>
      </c>
      <c r="D82" s="89" t="s">
        <v>49</v>
      </c>
      <c r="E82" s="90">
        <v>783056389</v>
      </c>
      <c r="F82" s="221" t="s">
        <v>275</v>
      </c>
      <c r="G82" s="92">
        <v>99745216887</v>
      </c>
      <c r="H82" s="93">
        <v>19771</v>
      </c>
      <c r="I82" s="89">
        <v>72</v>
      </c>
      <c r="J82" s="89" t="s">
        <v>74</v>
      </c>
      <c r="K82" s="89" t="s">
        <v>52</v>
      </c>
      <c r="L82" s="89"/>
      <c r="M82" s="89" t="s">
        <v>66</v>
      </c>
      <c r="N82" s="89" t="s">
        <v>117</v>
      </c>
      <c r="O82" s="94" t="s">
        <v>276</v>
      </c>
      <c r="P82" s="95" t="s">
        <v>56</v>
      </c>
      <c r="Q82" s="145" t="s">
        <v>229</v>
      </c>
      <c r="R82" s="96"/>
      <c r="S82" s="97">
        <v>46167</v>
      </c>
      <c r="T82" s="97" t="s">
        <v>230</v>
      </c>
      <c r="U82" s="97" t="s">
        <v>224</v>
      </c>
      <c r="V82" s="93">
        <v>46153</v>
      </c>
      <c r="W82" s="93">
        <v>46154</v>
      </c>
      <c r="X82" s="93">
        <v>46164</v>
      </c>
      <c r="Y82" s="98"/>
      <c r="Z82" s="89"/>
      <c r="AA82" s="97"/>
      <c r="AB82" s="89"/>
      <c r="AC82" s="120"/>
      <c r="AD82" s="89"/>
      <c r="AE82" s="89"/>
      <c r="AF82" s="99"/>
      <c r="AG82" s="99"/>
      <c r="AH82" s="99"/>
      <c r="AI82" s="100"/>
      <c r="AJ82" s="100"/>
      <c r="AK82" s="100"/>
      <c r="AL82" s="45" t="s">
        <v>64</v>
      </c>
      <c r="AM82" s="199" t="str">
        <f t="shared" si="8"/>
        <v>5/2026</v>
      </c>
      <c r="AN82" s="45">
        <f t="shared" si="9"/>
        <v>2</v>
      </c>
      <c r="AO82" s="45" t="str">
        <f t="shared" si="10"/>
        <v>1/1900</v>
      </c>
      <c r="AP82" s="45" t="e">
        <f t="shared" si="11"/>
        <v>#NUM!</v>
      </c>
      <c r="AQ82" s="45">
        <f t="shared" si="12"/>
        <v>0</v>
      </c>
      <c r="AR82" s="45">
        <f t="shared" si="13"/>
        <v>0</v>
      </c>
      <c r="AS82" s="45">
        <f t="shared" si="14"/>
        <v>0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 x14ac:dyDescent="0.3">
      <c r="A83" s="87" t="s">
        <v>47</v>
      </c>
      <c r="B83" s="88">
        <v>46147</v>
      </c>
      <c r="C83" s="89" t="s">
        <v>48</v>
      </c>
      <c r="D83" s="89" t="s">
        <v>49</v>
      </c>
      <c r="E83" s="90">
        <v>74053918</v>
      </c>
      <c r="F83" s="221" t="s">
        <v>277</v>
      </c>
      <c r="G83" s="92">
        <v>15121318731</v>
      </c>
      <c r="H83" s="93">
        <v>38296</v>
      </c>
      <c r="I83" s="89">
        <v>21</v>
      </c>
      <c r="J83" s="89" t="s">
        <v>51</v>
      </c>
      <c r="K83" s="89" t="s">
        <v>75</v>
      </c>
      <c r="L83" s="89"/>
      <c r="M83" s="89" t="s">
        <v>76</v>
      </c>
      <c r="N83" s="89" t="s">
        <v>91</v>
      </c>
      <c r="O83" s="94" t="s">
        <v>278</v>
      </c>
      <c r="P83" s="95" t="s">
        <v>56</v>
      </c>
      <c r="Q83" s="145" t="s">
        <v>229</v>
      </c>
      <c r="R83" s="96"/>
      <c r="S83" s="97">
        <v>46167</v>
      </c>
      <c r="T83" s="97" t="s">
        <v>230</v>
      </c>
      <c r="U83" s="97" t="s">
        <v>224</v>
      </c>
      <c r="V83" s="93">
        <v>46153</v>
      </c>
      <c r="W83" s="93">
        <v>46154</v>
      </c>
      <c r="X83" s="93">
        <v>46164</v>
      </c>
      <c r="Y83" s="98"/>
      <c r="Z83" s="89"/>
      <c r="AA83" s="97"/>
      <c r="AB83" s="89"/>
      <c r="AC83" s="120"/>
      <c r="AD83" s="89"/>
      <c r="AE83" s="89"/>
      <c r="AF83" s="99"/>
      <c r="AG83" s="99"/>
      <c r="AH83" s="99"/>
      <c r="AI83" s="100"/>
      <c r="AJ83" s="100"/>
      <c r="AK83" s="100"/>
      <c r="AL83" s="45" t="s">
        <v>64</v>
      </c>
      <c r="AM83" s="199" t="str">
        <f t="shared" si="8"/>
        <v>5/2026</v>
      </c>
      <c r="AN83" s="45">
        <f t="shared" si="9"/>
        <v>2</v>
      </c>
      <c r="AO83" s="45" t="str">
        <f t="shared" si="10"/>
        <v>1/1900</v>
      </c>
      <c r="AP83" s="45" t="e">
        <f t="shared" si="11"/>
        <v>#NUM!</v>
      </c>
      <c r="AQ83" s="45">
        <f t="shared" si="12"/>
        <v>0</v>
      </c>
      <c r="AR83" s="45">
        <f t="shared" si="13"/>
        <v>0</v>
      </c>
      <c r="AS83" s="45">
        <f t="shared" si="14"/>
        <v>0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hidden="1" customHeight="1" x14ac:dyDescent="0.3">
      <c r="A84" s="87" t="s">
        <v>47</v>
      </c>
      <c r="B84" s="88">
        <v>46147</v>
      </c>
      <c r="C84" s="89" t="s">
        <v>48</v>
      </c>
      <c r="D84" s="89" t="s">
        <v>49</v>
      </c>
      <c r="E84" s="90">
        <v>73166125</v>
      </c>
      <c r="F84" s="221" t="s">
        <v>279</v>
      </c>
      <c r="G84" s="92">
        <v>47509058872</v>
      </c>
      <c r="H84" s="93">
        <v>18241</v>
      </c>
      <c r="I84" s="89">
        <v>76</v>
      </c>
      <c r="J84" s="89" t="s">
        <v>51</v>
      </c>
      <c r="K84" s="89" t="s">
        <v>52</v>
      </c>
      <c r="L84" s="89"/>
      <c r="M84" s="89" t="s">
        <v>66</v>
      </c>
      <c r="N84" s="89" t="s">
        <v>280</v>
      </c>
      <c r="O84" s="94" t="s">
        <v>281</v>
      </c>
      <c r="P84" s="95" t="s">
        <v>56</v>
      </c>
      <c r="Q84" s="145" t="s">
        <v>229</v>
      </c>
      <c r="R84" s="96"/>
      <c r="S84" s="97">
        <v>46167</v>
      </c>
      <c r="T84" s="97" t="s">
        <v>230</v>
      </c>
      <c r="U84" s="97" t="s">
        <v>224</v>
      </c>
      <c r="V84" s="93">
        <v>46153</v>
      </c>
      <c r="W84" s="93">
        <v>46154</v>
      </c>
      <c r="X84" s="93">
        <v>46164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/>
      <c r="AJ84" s="100"/>
      <c r="AK84" s="100"/>
      <c r="AL84" s="45" t="s">
        <v>64</v>
      </c>
      <c r="AM84" s="199" t="str">
        <f t="shared" si="8"/>
        <v>5/2026</v>
      </c>
      <c r="AN84" s="45">
        <f t="shared" si="9"/>
        <v>2</v>
      </c>
      <c r="AO84" s="45" t="str">
        <f t="shared" si="10"/>
        <v>1/1900</v>
      </c>
      <c r="AP84" s="45" t="e">
        <f t="shared" si="11"/>
        <v>#NUM!</v>
      </c>
      <c r="AQ84" s="45">
        <f t="shared" si="12"/>
        <v>0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hidden="1" customHeight="1" x14ac:dyDescent="0.3">
      <c r="A85" s="87" t="s">
        <v>47</v>
      </c>
      <c r="B85" s="88">
        <v>46147</v>
      </c>
      <c r="C85" s="89" t="s">
        <v>48</v>
      </c>
      <c r="D85" s="89" t="s">
        <v>49</v>
      </c>
      <c r="E85" s="90">
        <v>451713869</v>
      </c>
      <c r="F85" s="221" t="s">
        <v>282</v>
      </c>
      <c r="G85" s="92">
        <v>64180859815</v>
      </c>
      <c r="H85" s="93">
        <v>17769</v>
      </c>
      <c r="I85" s="89">
        <v>77</v>
      </c>
      <c r="J85" s="89" t="s">
        <v>74</v>
      </c>
      <c r="K85" s="89" t="s">
        <v>52</v>
      </c>
      <c r="L85" s="89"/>
      <c r="M85" s="89" t="s">
        <v>66</v>
      </c>
      <c r="N85" s="89" t="s">
        <v>121</v>
      </c>
      <c r="O85" s="94" t="s">
        <v>283</v>
      </c>
      <c r="P85" s="95" t="s">
        <v>56</v>
      </c>
      <c r="Q85" s="145" t="s">
        <v>229</v>
      </c>
      <c r="R85" s="96"/>
      <c r="S85" s="97">
        <v>46167</v>
      </c>
      <c r="T85" s="97" t="s">
        <v>230</v>
      </c>
      <c r="U85" s="97" t="s">
        <v>224</v>
      </c>
      <c r="V85" s="93">
        <v>46153</v>
      </c>
      <c r="W85" s="93">
        <v>46154</v>
      </c>
      <c r="X85" s="93">
        <v>46164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/>
      <c r="AJ85" s="100"/>
      <c r="AK85" s="100"/>
      <c r="AL85" s="45" t="s">
        <v>64</v>
      </c>
      <c r="AM85" s="199" t="str">
        <f t="shared" si="8"/>
        <v>5/2026</v>
      </c>
      <c r="AN85" s="45">
        <f t="shared" si="9"/>
        <v>2</v>
      </c>
      <c r="AO85" s="45" t="str">
        <f t="shared" si="10"/>
        <v>1/1900</v>
      </c>
      <c r="AP85" s="45" t="e">
        <f t="shared" si="11"/>
        <v>#NUM!</v>
      </c>
      <c r="AQ85" s="45">
        <f t="shared" si="12"/>
        <v>0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hidden="1" customHeight="1" x14ac:dyDescent="0.3">
      <c r="A86" s="87" t="s">
        <v>47</v>
      </c>
      <c r="B86" s="88">
        <v>46147</v>
      </c>
      <c r="C86" s="89" t="s">
        <v>48</v>
      </c>
      <c r="D86" s="89" t="s">
        <v>49</v>
      </c>
      <c r="E86" s="90">
        <v>451800354</v>
      </c>
      <c r="F86" s="221" t="s">
        <v>284</v>
      </c>
      <c r="G86" s="92">
        <v>85513709872</v>
      </c>
      <c r="H86" s="93">
        <v>21394</v>
      </c>
      <c r="I86" s="89">
        <v>67</v>
      </c>
      <c r="J86" s="89" t="s">
        <v>74</v>
      </c>
      <c r="K86" s="89" t="s">
        <v>52</v>
      </c>
      <c r="L86" s="89"/>
      <c r="M86" s="89" t="s">
        <v>66</v>
      </c>
      <c r="N86" s="89" t="s">
        <v>121</v>
      </c>
      <c r="O86" s="94" t="s">
        <v>285</v>
      </c>
      <c r="P86" s="95" t="s">
        <v>56</v>
      </c>
      <c r="Q86" s="145" t="s">
        <v>229</v>
      </c>
      <c r="R86" s="96"/>
      <c r="S86" s="97">
        <v>46167</v>
      </c>
      <c r="T86" s="97" t="s">
        <v>230</v>
      </c>
      <c r="U86" s="97" t="s">
        <v>224</v>
      </c>
      <c r="V86" s="93">
        <v>46153</v>
      </c>
      <c r="W86" s="93">
        <v>46154</v>
      </c>
      <c r="X86" s="93">
        <v>46164</v>
      </c>
      <c r="Y86" s="98"/>
      <c r="Z86" s="89"/>
      <c r="AA86" s="97"/>
      <c r="AB86" s="89"/>
      <c r="AC86" s="120"/>
      <c r="AD86" s="89"/>
      <c r="AE86" s="89"/>
      <c r="AF86" s="99"/>
      <c r="AG86" s="99"/>
      <c r="AH86" s="99"/>
      <c r="AI86" s="100"/>
      <c r="AJ86" s="100"/>
      <c r="AK86" s="100"/>
      <c r="AL86" s="45" t="s">
        <v>64</v>
      </c>
      <c r="AM86" s="199" t="str">
        <f t="shared" si="8"/>
        <v>5/2026</v>
      </c>
      <c r="AN86" s="45">
        <f t="shared" si="9"/>
        <v>2</v>
      </c>
      <c r="AO86" s="45" t="str">
        <f t="shared" si="10"/>
        <v>1/1900</v>
      </c>
      <c r="AP86" s="45" t="e">
        <f t="shared" si="11"/>
        <v>#NUM!</v>
      </c>
      <c r="AQ86" s="45">
        <f t="shared" si="12"/>
        <v>0</v>
      </c>
      <c r="AR86" s="45">
        <f t="shared" si="13"/>
        <v>0</v>
      </c>
      <c r="AS86" s="45">
        <f t="shared" si="14"/>
        <v>0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hidden="1" customHeight="1" x14ac:dyDescent="0.3">
      <c r="A87" s="87" t="s">
        <v>47</v>
      </c>
      <c r="B87" s="88">
        <v>46147</v>
      </c>
      <c r="C87" s="89" t="s">
        <v>48</v>
      </c>
      <c r="D87" s="89" t="s">
        <v>49</v>
      </c>
      <c r="E87" s="90">
        <v>450751198</v>
      </c>
      <c r="F87" s="221" t="s">
        <v>286</v>
      </c>
      <c r="G87" s="92">
        <v>30346992800</v>
      </c>
      <c r="H87" s="93">
        <v>29747</v>
      </c>
      <c r="I87" s="89">
        <v>44</v>
      </c>
      <c r="J87" s="89" t="s">
        <v>74</v>
      </c>
      <c r="K87" s="89" t="s">
        <v>52</v>
      </c>
      <c r="L87" s="89"/>
      <c r="M87" s="89" t="s">
        <v>66</v>
      </c>
      <c r="N87" s="89" t="s">
        <v>117</v>
      </c>
      <c r="O87" s="94" t="s">
        <v>287</v>
      </c>
      <c r="P87" s="95" t="s">
        <v>56</v>
      </c>
      <c r="Q87" s="145" t="s">
        <v>229</v>
      </c>
      <c r="R87" s="96"/>
      <c r="S87" s="97">
        <v>46167</v>
      </c>
      <c r="T87" s="97" t="s">
        <v>230</v>
      </c>
      <c r="U87" s="97" t="s">
        <v>224</v>
      </c>
      <c r="V87" s="93">
        <v>46153</v>
      </c>
      <c r="W87" s="93">
        <v>46154</v>
      </c>
      <c r="X87" s="93">
        <v>46164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64</v>
      </c>
      <c r="AM87" s="199" t="str">
        <f t="shared" si="8"/>
        <v>5/2026</v>
      </c>
      <c r="AN87" s="45">
        <f t="shared" si="9"/>
        <v>2</v>
      </c>
      <c r="AO87" s="45" t="str">
        <f t="shared" si="10"/>
        <v>1/1900</v>
      </c>
      <c r="AP87" s="45" t="e">
        <f t="shared" si="11"/>
        <v>#NUM!</v>
      </c>
      <c r="AQ87" s="45">
        <f t="shared" si="12"/>
        <v>0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 x14ac:dyDescent="0.3">
      <c r="A88" s="87" t="s">
        <v>47</v>
      </c>
      <c r="B88" s="88">
        <v>46147</v>
      </c>
      <c r="C88" s="89" t="s">
        <v>48</v>
      </c>
      <c r="D88" s="89" t="s">
        <v>49</v>
      </c>
      <c r="E88" s="90">
        <v>222555564</v>
      </c>
      <c r="F88" s="221" t="s">
        <v>288</v>
      </c>
      <c r="G88" s="92">
        <v>10493190872</v>
      </c>
      <c r="H88" s="93">
        <v>17771</v>
      </c>
      <c r="I88" s="89">
        <v>77</v>
      </c>
      <c r="J88" s="89" t="s">
        <v>74</v>
      </c>
      <c r="K88" s="89" t="s">
        <v>52</v>
      </c>
      <c r="L88" s="89"/>
      <c r="M88" s="89" t="s">
        <v>66</v>
      </c>
      <c r="N88" s="89" t="s">
        <v>104</v>
      </c>
      <c r="O88" s="94" t="s">
        <v>289</v>
      </c>
      <c r="P88" s="95" t="s">
        <v>56</v>
      </c>
      <c r="Q88" s="145" t="s">
        <v>229</v>
      </c>
      <c r="R88" s="96"/>
      <c r="S88" s="97">
        <v>46167</v>
      </c>
      <c r="T88" s="97" t="s">
        <v>230</v>
      </c>
      <c r="U88" s="97" t="s">
        <v>224</v>
      </c>
      <c r="V88" s="93">
        <v>46153</v>
      </c>
      <c r="W88" s="93">
        <v>46154</v>
      </c>
      <c r="X88" s="93">
        <v>46164</v>
      </c>
      <c r="Y88" s="98"/>
      <c r="Z88" s="89"/>
      <c r="AA88" s="97"/>
      <c r="AB88" s="89"/>
      <c r="AC88" s="120"/>
      <c r="AD88" s="89"/>
      <c r="AE88" s="89"/>
      <c r="AF88" s="99"/>
      <c r="AG88" s="99"/>
      <c r="AH88" s="99"/>
      <c r="AI88" s="100"/>
      <c r="AJ88" s="100"/>
      <c r="AK88" s="100"/>
      <c r="AL88" s="45" t="s">
        <v>64</v>
      </c>
      <c r="AM88" s="199" t="str">
        <f t="shared" si="8"/>
        <v>5/2026</v>
      </c>
      <c r="AN88" s="45">
        <f t="shared" si="9"/>
        <v>2</v>
      </c>
      <c r="AO88" s="45" t="str">
        <f t="shared" si="10"/>
        <v>1/1900</v>
      </c>
      <c r="AP88" s="45" t="e">
        <f t="shared" si="11"/>
        <v>#NUM!</v>
      </c>
      <c r="AQ88" s="45">
        <f t="shared" si="12"/>
        <v>0</v>
      </c>
      <c r="AR88" s="45">
        <f t="shared" si="13"/>
        <v>0</v>
      </c>
      <c r="AS88" s="45">
        <f t="shared" si="14"/>
        <v>0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 x14ac:dyDescent="0.3">
      <c r="A89" s="87" t="s">
        <v>47</v>
      </c>
      <c r="B89" s="88">
        <v>46147</v>
      </c>
      <c r="C89" s="89" t="s">
        <v>48</v>
      </c>
      <c r="D89" s="89" t="s">
        <v>49</v>
      </c>
      <c r="E89" s="90">
        <v>79412175</v>
      </c>
      <c r="F89" s="221" t="s">
        <v>290</v>
      </c>
      <c r="G89" s="92">
        <v>65394470863</v>
      </c>
      <c r="H89" s="93">
        <v>18400</v>
      </c>
      <c r="I89" s="89">
        <v>75</v>
      </c>
      <c r="J89" s="89" t="s">
        <v>74</v>
      </c>
      <c r="K89" s="89" t="s">
        <v>52</v>
      </c>
      <c r="L89" s="89"/>
      <c r="M89" s="89" t="s">
        <v>66</v>
      </c>
      <c r="N89" s="89" t="s">
        <v>80</v>
      </c>
      <c r="O89" s="94" t="s">
        <v>291</v>
      </c>
      <c r="P89" s="95" t="s">
        <v>56</v>
      </c>
      <c r="Q89" s="145" t="s">
        <v>229</v>
      </c>
      <c r="R89" s="96"/>
      <c r="S89" s="97">
        <v>46167</v>
      </c>
      <c r="T89" s="97" t="s">
        <v>230</v>
      </c>
      <c r="U89" s="97" t="s">
        <v>224</v>
      </c>
      <c r="V89" s="93">
        <v>46153</v>
      </c>
      <c r="W89" s="93">
        <v>46154</v>
      </c>
      <c r="X89" s="93">
        <v>46164</v>
      </c>
      <c r="Y89" s="98"/>
      <c r="Z89" s="89"/>
      <c r="AA89" s="97"/>
      <c r="AB89" s="89"/>
      <c r="AC89" s="120"/>
      <c r="AD89" s="89"/>
      <c r="AE89" s="89"/>
      <c r="AF89" s="99"/>
      <c r="AG89" s="99"/>
      <c r="AH89" s="99"/>
      <c r="AI89" s="100"/>
      <c r="AJ89" s="100"/>
      <c r="AK89" s="100"/>
      <c r="AL89" s="45" t="s">
        <v>64</v>
      </c>
      <c r="AM89" s="199" t="str">
        <f t="shared" si="8"/>
        <v>5/2026</v>
      </c>
      <c r="AN89" s="45">
        <f t="shared" si="9"/>
        <v>2</v>
      </c>
      <c r="AO89" s="45" t="str">
        <f t="shared" si="10"/>
        <v>1/1900</v>
      </c>
      <c r="AP89" s="45" t="e">
        <f t="shared" si="11"/>
        <v>#NUM!</v>
      </c>
      <c r="AQ89" s="45">
        <f t="shared" si="12"/>
        <v>0</v>
      </c>
      <c r="AR89" s="45">
        <f t="shared" si="13"/>
        <v>0</v>
      </c>
      <c r="AS89" s="45">
        <f t="shared" si="14"/>
        <v>0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47</v>
      </c>
      <c r="B90" s="88">
        <v>46147</v>
      </c>
      <c r="C90" s="89" t="s">
        <v>48</v>
      </c>
      <c r="D90" s="89" t="s">
        <v>49</v>
      </c>
      <c r="E90" s="90">
        <v>329584219</v>
      </c>
      <c r="F90" s="221" t="s">
        <v>292</v>
      </c>
      <c r="G90" s="92">
        <v>11907266887</v>
      </c>
      <c r="H90" s="93">
        <v>14508</v>
      </c>
      <c r="I90" s="89">
        <v>86</v>
      </c>
      <c r="J90" s="89" t="s">
        <v>74</v>
      </c>
      <c r="K90" s="89" t="s">
        <v>52</v>
      </c>
      <c r="L90" s="89"/>
      <c r="M90" s="89" t="s">
        <v>66</v>
      </c>
      <c r="N90" s="89" t="s">
        <v>104</v>
      </c>
      <c r="O90" s="94" t="s">
        <v>293</v>
      </c>
      <c r="P90" s="95" t="s">
        <v>56</v>
      </c>
      <c r="Q90" s="145" t="s">
        <v>229</v>
      </c>
      <c r="R90" s="96"/>
      <c r="S90" s="97">
        <v>46167</v>
      </c>
      <c r="T90" s="97" t="s">
        <v>230</v>
      </c>
      <c r="U90" s="97" t="s">
        <v>224</v>
      </c>
      <c r="V90" s="93">
        <v>46153</v>
      </c>
      <c r="W90" s="93">
        <v>46154</v>
      </c>
      <c r="X90" s="93">
        <v>46164</v>
      </c>
      <c r="Y90" s="98"/>
      <c r="Z90" s="89"/>
      <c r="AA90" s="97"/>
      <c r="AB90" s="89"/>
      <c r="AC90" s="120"/>
      <c r="AD90" s="89"/>
      <c r="AE90" s="89"/>
      <c r="AF90" s="99"/>
      <c r="AG90" s="99"/>
      <c r="AH90" s="99"/>
      <c r="AI90" s="100"/>
      <c r="AJ90" s="100"/>
      <c r="AK90" s="100"/>
      <c r="AL90" s="45" t="s">
        <v>64</v>
      </c>
      <c r="AM90" s="199" t="str">
        <f t="shared" si="8"/>
        <v>5/2026</v>
      </c>
      <c r="AN90" s="45">
        <f t="shared" si="9"/>
        <v>2</v>
      </c>
      <c r="AO90" s="45" t="str">
        <f t="shared" si="10"/>
        <v>1/1900</v>
      </c>
      <c r="AP90" s="45" t="e">
        <f t="shared" si="11"/>
        <v>#NUM!</v>
      </c>
      <c r="AQ90" s="45">
        <f t="shared" si="12"/>
        <v>0</v>
      </c>
      <c r="AR90" s="45">
        <f t="shared" si="13"/>
        <v>0</v>
      </c>
      <c r="AS90" s="45">
        <f t="shared" si="14"/>
        <v>0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 x14ac:dyDescent="0.3">
      <c r="A91" s="87" t="s">
        <v>47</v>
      </c>
      <c r="B91" s="88">
        <v>46147</v>
      </c>
      <c r="C91" s="89" t="s">
        <v>48</v>
      </c>
      <c r="D91" s="89" t="s">
        <v>49</v>
      </c>
      <c r="E91" s="90">
        <v>451663012</v>
      </c>
      <c r="F91" s="221" t="s">
        <v>294</v>
      </c>
      <c r="G91" s="92">
        <v>4298249808</v>
      </c>
      <c r="H91" s="93">
        <v>22524</v>
      </c>
      <c r="I91" s="89">
        <v>64</v>
      </c>
      <c r="J91" s="89" t="s">
        <v>51</v>
      </c>
      <c r="K91" s="89" t="s">
        <v>52</v>
      </c>
      <c r="L91" s="89"/>
      <c r="M91" s="89" t="s">
        <v>66</v>
      </c>
      <c r="N91" s="89" t="s">
        <v>97</v>
      </c>
      <c r="O91" s="94" t="s">
        <v>295</v>
      </c>
      <c r="P91" s="95" t="s">
        <v>56</v>
      </c>
      <c r="Q91" s="145" t="s">
        <v>229</v>
      </c>
      <c r="R91" s="96"/>
      <c r="S91" s="97">
        <v>46167</v>
      </c>
      <c r="T91" s="97" t="s">
        <v>230</v>
      </c>
      <c r="U91" s="97" t="s">
        <v>224</v>
      </c>
      <c r="V91" s="93">
        <v>46153</v>
      </c>
      <c r="W91" s="93">
        <v>46154</v>
      </c>
      <c r="X91" s="93">
        <v>46164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64</v>
      </c>
      <c r="AM91" s="199" t="str">
        <f t="shared" si="8"/>
        <v>5/2026</v>
      </c>
      <c r="AN91" s="45">
        <f t="shared" si="9"/>
        <v>2</v>
      </c>
      <c r="AO91" s="45" t="str">
        <f t="shared" si="10"/>
        <v>1/1900</v>
      </c>
      <c r="AP91" s="45" t="e">
        <f t="shared" si="11"/>
        <v>#NUM!</v>
      </c>
      <c r="AQ91" s="45">
        <f t="shared" si="12"/>
        <v>0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 x14ac:dyDescent="0.3">
      <c r="A92" s="87" t="s">
        <v>47</v>
      </c>
      <c r="B92" s="88">
        <v>46147</v>
      </c>
      <c r="C92" s="89" t="s">
        <v>48</v>
      </c>
      <c r="D92" s="89" t="s">
        <v>49</v>
      </c>
      <c r="E92" s="90">
        <v>74326172</v>
      </c>
      <c r="F92" s="221" t="s">
        <v>296</v>
      </c>
      <c r="G92" s="92">
        <v>32174539802</v>
      </c>
      <c r="H92" s="93">
        <v>30455</v>
      </c>
      <c r="I92" s="89">
        <v>42</v>
      </c>
      <c r="J92" s="89" t="s">
        <v>51</v>
      </c>
      <c r="K92" s="89" t="s">
        <v>52</v>
      </c>
      <c r="L92" s="89"/>
      <c r="M92" s="89" t="s">
        <v>66</v>
      </c>
      <c r="N92" s="89" t="s">
        <v>91</v>
      </c>
      <c r="O92" s="94" t="s">
        <v>297</v>
      </c>
      <c r="P92" s="95" t="s">
        <v>56</v>
      </c>
      <c r="Q92" s="145" t="s">
        <v>229</v>
      </c>
      <c r="R92" s="96"/>
      <c r="S92" s="97">
        <v>46167</v>
      </c>
      <c r="T92" s="97" t="s">
        <v>230</v>
      </c>
      <c r="U92" s="97" t="s">
        <v>224</v>
      </c>
      <c r="V92" s="93">
        <v>46153</v>
      </c>
      <c r="W92" s="93">
        <v>46154</v>
      </c>
      <c r="X92" s="93">
        <v>46164</v>
      </c>
      <c r="Y92" s="98"/>
      <c r="Z92" s="89"/>
      <c r="AA92" s="97"/>
      <c r="AB92" s="89"/>
      <c r="AC92" s="120"/>
      <c r="AD92" s="89"/>
      <c r="AE92" s="89"/>
      <c r="AF92" s="99"/>
      <c r="AG92" s="99"/>
      <c r="AH92" s="99"/>
      <c r="AI92" s="100"/>
      <c r="AJ92" s="100"/>
      <c r="AK92" s="100"/>
      <c r="AL92" s="45" t="s">
        <v>64</v>
      </c>
      <c r="AM92" s="199" t="str">
        <f t="shared" si="8"/>
        <v>5/2026</v>
      </c>
      <c r="AN92" s="45">
        <f t="shared" si="9"/>
        <v>2</v>
      </c>
      <c r="AO92" s="45" t="str">
        <f t="shared" si="10"/>
        <v>1/1900</v>
      </c>
      <c r="AP92" s="45" t="e">
        <f t="shared" si="11"/>
        <v>#NUM!</v>
      </c>
      <c r="AQ92" s="45">
        <f t="shared" si="12"/>
        <v>0</v>
      </c>
      <c r="AR92" s="45">
        <f t="shared" si="13"/>
        <v>0</v>
      </c>
      <c r="AS92" s="45">
        <f t="shared" si="14"/>
        <v>0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 x14ac:dyDescent="0.3">
      <c r="A93" s="87" t="s">
        <v>47</v>
      </c>
      <c r="B93" s="88">
        <v>46147</v>
      </c>
      <c r="C93" s="89" t="s">
        <v>48</v>
      </c>
      <c r="D93" s="89" t="s">
        <v>49</v>
      </c>
      <c r="E93" s="90">
        <v>69501912</v>
      </c>
      <c r="F93" s="221" t="s">
        <v>298</v>
      </c>
      <c r="G93" s="92">
        <v>246673230</v>
      </c>
      <c r="H93" s="93">
        <v>32635</v>
      </c>
      <c r="I93" s="89">
        <v>37</v>
      </c>
      <c r="J93" s="89" t="s">
        <v>51</v>
      </c>
      <c r="K93" s="89" t="s">
        <v>52</v>
      </c>
      <c r="L93" s="89"/>
      <c r="M93" s="89" t="s">
        <v>66</v>
      </c>
      <c r="N93" s="89" t="s">
        <v>97</v>
      </c>
      <c r="O93" s="94" t="s">
        <v>299</v>
      </c>
      <c r="P93" s="95" t="s">
        <v>56</v>
      </c>
      <c r="Q93" s="145" t="s">
        <v>229</v>
      </c>
      <c r="R93" s="96"/>
      <c r="S93" s="97">
        <v>46167</v>
      </c>
      <c r="T93" s="97" t="s">
        <v>230</v>
      </c>
      <c r="U93" s="97" t="s">
        <v>224</v>
      </c>
      <c r="V93" s="93">
        <v>46153</v>
      </c>
      <c r="W93" s="93">
        <v>46154</v>
      </c>
      <c r="X93" s="93">
        <v>46164</v>
      </c>
      <c r="Y93" s="98"/>
      <c r="Z93" s="89"/>
      <c r="AA93" s="97"/>
      <c r="AB93" s="89"/>
      <c r="AC93" s="120"/>
      <c r="AD93" s="89"/>
      <c r="AE93" s="89"/>
      <c r="AF93" s="99"/>
      <c r="AG93" s="99"/>
      <c r="AH93" s="99"/>
      <c r="AI93" s="100"/>
      <c r="AJ93" s="100"/>
      <c r="AK93" s="100"/>
      <c r="AL93" s="45" t="s">
        <v>64</v>
      </c>
      <c r="AM93" s="199" t="str">
        <f t="shared" si="8"/>
        <v>5/2026</v>
      </c>
      <c r="AN93" s="45">
        <f t="shared" si="9"/>
        <v>2</v>
      </c>
      <c r="AO93" s="45" t="str">
        <f t="shared" si="10"/>
        <v>1/1900</v>
      </c>
      <c r="AP93" s="45" t="e">
        <f t="shared" si="11"/>
        <v>#NUM!</v>
      </c>
      <c r="AQ93" s="45">
        <f t="shared" si="12"/>
        <v>0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47</v>
      </c>
      <c r="B94" s="88">
        <v>46147</v>
      </c>
      <c r="C94" s="89" t="s">
        <v>48</v>
      </c>
      <c r="D94" s="89" t="s">
        <v>49</v>
      </c>
      <c r="E94" s="90">
        <v>791889246</v>
      </c>
      <c r="F94" s="221" t="s">
        <v>300</v>
      </c>
      <c r="G94" s="92">
        <v>31363382861</v>
      </c>
      <c r="H94" s="93">
        <v>30949</v>
      </c>
      <c r="I94" s="89">
        <v>41</v>
      </c>
      <c r="J94" s="89" t="s">
        <v>74</v>
      </c>
      <c r="K94" s="89" t="s">
        <v>52</v>
      </c>
      <c r="L94" s="89"/>
      <c r="M94" s="89" t="s">
        <v>66</v>
      </c>
      <c r="N94" s="89" t="s">
        <v>121</v>
      </c>
      <c r="O94" s="94" t="s">
        <v>301</v>
      </c>
      <c r="P94" s="95" t="s">
        <v>56</v>
      </c>
      <c r="Q94" s="145" t="s">
        <v>229</v>
      </c>
      <c r="R94" s="96"/>
      <c r="S94" s="97">
        <v>46167</v>
      </c>
      <c r="T94" s="97" t="s">
        <v>230</v>
      </c>
      <c r="U94" s="97" t="s">
        <v>224</v>
      </c>
      <c r="V94" s="93">
        <v>46153</v>
      </c>
      <c r="W94" s="93">
        <v>46154</v>
      </c>
      <c r="X94" s="93">
        <v>46164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64</v>
      </c>
      <c r="AM94" s="199" t="str">
        <f t="shared" si="8"/>
        <v>5/2026</v>
      </c>
      <c r="AN94" s="45">
        <f t="shared" si="9"/>
        <v>2</v>
      </c>
      <c r="AO94" s="45" t="str">
        <f t="shared" si="10"/>
        <v>1/1900</v>
      </c>
      <c r="AP94" s="45" t="e">
        <f t="shared" si="11"/>
        <v>#NUM!</v>
      </c>
      <c r="AQ94" s="45">
        <f t="shared" si="12"/>
        <v>0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 x14ac:dyDescent="0.3">
      <c r="A95" s="87" t="s">
        <v>47</v>
      </c>
      <c r="B95" s="88">
        <v>46147</v>
      </c>
      <c r="C95" s="89" t="s">
        <v>48</v>
      </c>
      <c r="D95" s="89" t="s">
        <v>49</v>
      </c>
      <c r="E95" s="90">
        <v>89187326</v>
      </c>
      <c r="F95" s="221" t="s">
        <v>302</v>
      </c>
      <c r="G95" s="92">
        <v>48011160869</v>
      </c>
      <c r="H95" s="93">
        <v>35884</v>
      </c>
      <c r="I95" s="89">
        <v>28</v>
      </c>
      <c r="J95" s="89" t="s">
        <v>51</v>
      </c>
      <c r="K95" s="89" t="s">
        <v>52</v>
      </c>
      <c r="L95" s="89"/>
      <c r="M95" s="89" t="s">
        <v>66</v>
      </c>
      <c r="N95" s="89" t="s">
        <v>168</v>
      </c>
      <c r="O95" s="94" t="s">
        <v>303</v>
      </c>
      <c r="P95" s="95" t="s">
        <v>56</v>
      </c>
      <c r="Q95" s="145" t="s">
        <v>229</v>
      </c>
      <c r="R95" s="96"/>
      <c r="S95" s="97">
        <v>46167</v>
      </c>
      <c r="T95" s="97" t="s">
        <v>230</v>
      </c>
      <c r="U95" s="97" t="s">
        <v>224</v>
      </c>
      <c r="V95" s="93">
        <v>46153</v>
      </c>
      <c r="W95" s="93">
        <v>46154</v>
      </c>
      <c r="X95" s="93">
        <v>46164</v>
      </c>
      <c r="Y95" s="98"/>
      <c r="Z95" s="89"/>
      <c r="AA95" s="97"/>
      <c r="AB95" s="89"/>
      <c r="AC95" s="120"/>
      <c r="AD95" s="89"/>
      <c r="AE95" s="89"/>
      <c r="AF95" s="99"/>
      <c r="AG95" s="99"/>
      <c r="AH95" s="99"/>
      <c r="AI95" s="100"/>
      <c r="AJ95" s="100"/>
      <c r="AK95" s="100"/>
      <c r="AL95" s="45" t="s">
        <v>64</v>
      </c>
      <c r="AM95" s="199" t="str">
        <f t="shared" si="8"/>
        <v>5/2026</v>
      </c>
      <c r="AN95" s="45">
        <f t="shared" si="9"/>
        <v>2</v>
      </c>
      <c r="AO95" s="45" t="str">
        <f t="shared" si="10"/>
        <v>1/1900</v>
      </c>
      <c r="AP95" s="45" t="e">
        <f t="shared" si="11"/>
        <v>#NUM!</v>
      </c>
      <c r="AQ95" s="45">
        <f t="shared" si="12"/>
        <v>0</v>
      </c>
      <c r="AR95" s="45">
        <f t="shared" si="13"/>
        <v>0</v>
      </c>
      <c r="AS95" s="45">
        <f t="shared" si="14"/>
        <v>0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hidden="1" customHeight="1" x14ac:dyDescent="0.3">
      <c r="A96" s="87" t="s">
        <v>47</v>
      </c>
      <c r="B96" s="88">
        <v>46147</v>
      </c>
      <c r="C96" s="89" t="s">
        <v>48</v>
      </c>
      <c r="D96" s="89" t="s">
        <v>49</v>
      </c>
      <c r="E96" s="90">
        <v>78930723</v>
      </c>
      <c r="F96" s="221" t="s">
        <v>304</v>
      </c>
      <c r="G96" s="92">
        <v>91919789715</v>
      </c>
      <c r="H96" s="93">
        <v>24555</v>
      </c>
      <c r="I96" s="89">
        <v>59</v>
      </c>
      <c r="J96" s="89" t="s">
        <v>74</v>
      </c>
      <c r="K96" s="89" t="s">
        <v>75</v>
      </c>
      <c r="L96" s="89"/>
      <c r="M96" s="89" t="s">
        <v>76</v>
      </c>
      <c r="N96" s="89" t="s">
        <v>121</v>
      </c>
      <c r="O96" s="94" t="s">
        <v>305</v>
      </c>
      <c r="P96" s="95" t="s">
        <v>56</v>
      </c>
      <c r="Q96" s="145" t="s">
        <v>229</v>
      </c>
      <c r="R96" s="96"/>
      <c r="S96" s="97">
        <v>46167</v>
      </c>
      <c r="T96" s="97" t="s">
        <v>230</v>
      </c>
      <c r="U96" s="97" t="s">
        <v>224</v>
      </c>
      <c r="V96" s="93">
        <v>46153</v>
      </c>
      <c r="W96" s="93">
        <v>46154</v>
      </c>
      <c r="X96" s="93">
        <v>46164</v>
      </c>
      <c r="Y96" s="98"/>
      <c r="Z96" s="89"/>
      <c r="AA96" s="97"/>
      <c r="AB96" s="89"/>
      <c r="AC96" s="120"/>
      <c r="AD96" s="89"/>
      <c r="AE96" s="89"/>
      <c r="AF96" s="99"/>
      <c r="AG96" s="99"/>
      <c r="AH96" s="99"/>
      <c r="AI96" s="100"/>
      <c r="AJ96" s="100"/>
      <c r="AK96" s="100"/>
      <c r="AL96" s="45" t="s">
        <v>64</v>
      </c>
      <c r="AM96" s="199" t="str">
        <f t="shared" si="8"/>
        <v>5/2026</v>
      </c>
      <c r="AN96" s="45">
        <f t="shared" si="9"/>
        <v>2</v>
      </c>
      <c r="AO96" s="45" t="str">
        <f t="shared" si="10"/>
        <v>1/1900</v>
      </c>
      <c r="AP96" s="45" t="e">
        <f t="shared" si="11"/>
        <v>#NUM!</v>
      </c>
      <c r="AQ96" s="45">
        <f t="shared" si="12"/>
        <v>0</v>
      </c>
      <c r="AR96" s="45">
        <f t="shared" si="13"/>
        <v>0</v>
      </c>
      <c r="AS96" s="45">
        <f t="shared" si="14"/>
        <v>0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hidden="1" customHeight="1" x14ac:dyDescent="0.3">
      <c r="A97" s="87" t="s">
        <v>47</v>
      </c>
      <c r="B97" s="88">
        <v>46147</v>
      </c>
      <c r="C97" s="89" t="s">
        <v>48</v>
      </c>
      <c r="D97" s="89" t="s">
        <v>49</v>
      </c>
      <c r="E97" s="90">
        <v>93003583</v>
      </c>
      <c r="F97" s="221" t="s">
        <v>306</v>
      </c>
      <c r="G97" s="92">
        <v>27005370848</v>
      </c>
      <c r="H97" s="93">
        <v>28390</v>
      </c>
      <c r="I97" s="89">
        <v>48</v>
      </c>
      <c r="J97" s="89" t="s">
        <v>74</v>
      </c>
      <c r="K97" s="89" t="s">
        <v>52</v>
      </c>
      <c r="L97" s="89"/>
      <c r="M97" s="89" t="s">
        <v>107</v>
      </c>
      <c r="N97" s="89" t="s">
        <v>80</v>
      </c>
      <c r="O97" s="94" t="s">
        <v>307</v>
      </c>
      <c r="P97" s="95" t="s">
        <v>56</v>
      </c>
      <c r="Q97" s="145" t="s">
        <v>229</v>
      </c>
      <c r="R97" s="96"/>
      <c r="S97" s="97">
        <v>46167</v>
      </c>
      <c r="T97" s="97" t="s">
        <v>230</v>
      </c>
      <c r="U97" s="97" t="s">
        <v>224</v>
      </c>
      <c r="V97" s="93">
        <v>46153</v>
      </c>
      <c r="W97" s="93">
        <v>46154</v>
      </c>
      <c r="X97" s="93">
        <v>46164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64</v>
      </c>
      <c r="AM97" s="199" t="str">
        <f t="shared" si="8"/>
        <v>5/2026</v>
      </c>
      <c r="AN97" s="45">
        <f t="shared" si="9"/>
        <v>2</v>
      </c>
      <c r="AO97" s="45" t="str">
        <f t="shared" si="10"/>
        <v>1/1900</v>
      </c>
      <c r="AP97" s="45" t="e">
        <f t="shared" si="11"/>
        <v>#NUM!</v>
      </c>
      <c r="AQ97" s="45">
        <f t="shared" si="12"/>
        <v>0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 x14ac:dyDescent="0.3">
      <c r="A98" s="87" t="s">
        <v>47</v>
      </c>
      <c r="B98" s="88">
        <v>46147</v>
      </c>
      <c r="C98" s="89" t="s">
        <v>48</v>
      </c>
      <c r="D98" s="89" t="s">
        <v>49</v>
      </c>
      <c r="E98" s="90">
        <v>881489719</v>
      </c>
      <c r="F98" s="221" t="s">
        <v>308</v>
      </c>
      <c r="G98" s="92">
        <v>92959261704</v>
      </c>
      <c r="H98" s="93">
        <v>25015</v>
      </c>
      <c r="I98" s="89">
        <v>57</v>
      </c>
      <c r="J98" s="89" t="s">
        <v>74</v>
      </c>
      <c r="K98" s="89" t="s">
        <v>75</v>
      </c>
      <c r="L98" s="89"/>
      <c r="M98" s="89" t="s">
        <v>130</v>
      </c>
      <c r="N98" s="89" t="s">
        <v>104</v>
      </c>
      <c r="O98" s="94" t="s">
        <v>309</v>
      </c>
      <c r="P98" s="95" t="s">
        <v>56</v>
      </c>
      <c r="Q98" s="145" t="s">
        <v>229</v>
      </c>
      <c r="R98" s="96"/>
      <c r="S98" s="97">
        <v>46167</v>
      </c>
      <c r="T98" s="97" t="s">
        <v>230</v>
      </c>
      <c r="U98" s="97" t="s">
        <v>224</v>
      </c>
      <c r="V98" s="93">
        <v>46153</v>
      </c>
      <c r="W98" s="93">
        <v>46154</v>
      </c>
      <c r="X98" s="93">
        <v>46164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64</v>
      </c>
      <c r="AM98" s="199" t="str">
        <f t="shared" si="8"/>
        <v>5/2026</v>
      </c>
      <c r="AN98" s="45">
        <f t="shared" si="9"/>
        <v>2</v>
      </c>
      <c r="AO98" s="45" t="str">
        <f t="shared" si="10"/>
        <v>1/1900</v>
      </c>
      <c r="AP98" s="45" t="e">
        <f t="shared" si="11"/>
        <v>#NUM!</v>
      </c>
      <c r="AQ98" s="45">
        <f t="shared" si="12"/>
        <v>0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47</v>
      </c>
      <c r="B99" s="88">
        <v>46147</v>
      </c>
      <c r="C99" s="89" t="s">
        <v>48</v>
      </c>
      <c r="D99" s="89" t="s">
        <v>49</v>
      </c>
      <c r="E99" s="90">
        <v>807622079</v>
      </c>
      <c r="F99" s="221" t="s">
        <v>310</v>
      </c>
      <c r="G99" s="92">
        <v>98616056815</v>
      </c>
      <c r="H99" s="93">
        <v>19392</v>
      </c>
      <c r="I99" s="89">
        <v>73</v>
      </c>
      <c r="J99" s="89" t="s">
        <v>74</v>
      </c>
      <c r="K99" s="89" t="s">
        <v>52</v>
      </c>
      <c r="L99" s="89"/>
      <c r="M99" s="89" t="s">
        <v>311</v>
      </c>
      <c r="N99" s="89" t="s">
        <v>108</v>
      </c>
      <c r="O99" s="94" t="s">
        <v>312</v>
      </c>
      <c r="P99" s="95" t="s">
        <v>56</v>
      </c>
      <c r="Q99" s="145" t="s">
        <v>229</v>
      </c>
      <c r="R99" s="96"/>
      <c r="S99" s="97">
        <v>46167</v>
      </c>
      <c r="T99" s="97" t="s">
        <v>230</v>
      </c>
      <c r="U99" s="97" t="s">
        <v>224</v>
      </c>
      <c r="V99" s="93">
        <v>46153</v>
      </c>
      <c r="W99" s="93">
        <v>46154</v>
      </c>
      <c r="X99" s="93">
        <v>46164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64</v>
      </c>
      <c r="AM99" s="199" t="str">
        <f t="shared" si="8"/>
        <v>5/2026</v>
      </c>
      <c r="AN99" s="45">
        <f t="shared" si="9"/>
        <v>2</v>
      </c>
      <c r="AO99" s="45" t="str">
        <f t="shared" si="10"/>
        <v>1/1900</v>
      </c>
      <c r="AP99" s="45" t="e">
        <f t="shared" si="11"/>
        <v>#NUM!</v>
      </c>
      <c r="AQ99" s="45">
        <f t="shared" si="12"/>
        <v>0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 x14ac:dyDescent="0.3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88483440</v>
      </c>
      <c r="F100" s="221" t="s">
        <v>313</v>
      </c>
      <c r="G100" s="92">
        <v>77885074749</v>
      </c>
      <c r="H100" s="93">
        <v>22729</v>
      </c>
      <c r="I100" s="89">
        <v>64</v>
      </c>
      <c r="J100" s="89" t="s">
        <v>74</v>
      </c>
      <c r="K100" s="89" t="s">
        <v>75</v>
      </c>
      <c r="L100" s="89"/>
      <c r="M100" s="89" t="s">
        <v>76</v>
      </c>
      <c r="N100" s="89" t="s">
        <v>104</v>
      </c>
      <c r="O100" s="94" t="s">
        <v>314</v>
      </c>
      <c r="P100" s="95" t="s">
        <v>56</v>
      </c>
      <c r="Q100" s="145" t="s">
        <v>229</v>
      </c>
      <c r="R100" s="96"/>
      <c r="S100" s="97">
        <v>46167</v>
      </c>
      <c r="T100" s="97" t="s">
        <v>230</v>
      </c>
      <c r="U100" s="97" t="s">
        <v>224</v>
      </c>
      <c r="V100" s="93">
        <v>46153</v>
      </c>
      <c r="W100" s="93">
        <v>46154</v>
      </c>
      <c r="X100" s="93">
        <v>46164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64</v>
      </c>
      <c r="AM100" s="199" t="str">
        <f t="shared" si="8"/>
        <v>5/2026</v>
      </c>
      <c r="AN100" s="45">
        <f t="shared" si="9"/>
        <v>2</v>
      </c>
      <c r="AO100" s="45" t="str">
        <f t="shared" si="10"/>
        <v>1/1900</v>
      </c>
      <c r="AP100" s="45" t="e">
        <f t="shared" si="11"/>
        <v>#NUM!</v>
      </c>
      <c r="AQ100" s="45">
        <f t="shared" si="12"/>
        <v>0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222685751</v>
      </c>
      <c r="F101" s="221" t="s">
        <v>315</v>
      </c>
      <c r="G101" s="92">
        <v>3420007809</v>
      </c>
      <c r="H101" s="93">
        <v>14847</v>
      </c>
      <c r="I101" s="89">
        <v>85</v>
      </c>
      <c r="J101" s="89" t="s">
        <v>51</v>
      </c>
      <c r="K101" s="89" t="s">
        <v>52</v>
      </c>
      <c r="L101" s="89"/>
      <c r="M101" s="89" t="s">
        <v>66</v>
      </c>
      <c r="N101" s="89" t="s">
        <v>104</v>
      </c>
      <c r="O101" s="94" t="s">
        <v>316</v>
      </c>
      <c r="P101" s="95" t="s">
        <v>56</v>
      </c>
      <c r="Q101" s="145" t="s">
        <v>229</v>
      </c>
      <c r="R101" s="96"/>
      <c r="S101" s="97">
        <v>46167</v>
      </c>
      <c r="T101" s="97" t="s">
        <v>230</v>
      </c>
      <c r="U101" s="97" t="s">
        <v>224</v>
      </c>
      <c r="V101" s="93">
        <v>46153</v>
      </c>
      <c r="W101" s="93">
        <v>46154</v>
      </c>
      <c r="X101" s="93">
        <v>46164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64</v>
      </c>
      <c r="AM101" s="199" t="str">
        <f t="shared" si="8"/>
        <v>5/2026</v>
      </c>
      <c r="AN101" s="45">
        <f t="shared" si="9"/>
        <v>2</v>
      </c>
      <c r="AO101" s="45" t="str">
        <f t="shared" si="10"/>
        <v>1/1900</v>
      </c>
      <c r="AP101" s="45" t="e">
        <f t="shared" si="11"/>
        <v>#NUM!</v>
      </c>
      <c r="AQ101" s="45">
        <f t="shared" si="12"/>
        <v>0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 x14ac:dyDescent="0.3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78715649</v>
      </c>
      <c r="F102" s="221" t="s">
        <v>317</v>
      </c>
      <c r="G102" s="92">
        <v>10354588702</v>
      </c>
      <c r="H102" s="93">
        <v>31267</v>
      </c>
      <c r="I102" s="89">
        <v>40</v>
      </c>
      <c r="J102" s="89" t="s">
        <v>51</v>
      </c>
      <c r="K102" s="89" t="s">
        <v>75</v>
      </c>
      <c r="L102" s="89"/>
      <c r="M102" s="89" t="s">
        <v>76</v>
      </c>
      <c r="N102" s="89" t="s">
        <v>80</v>
      </c>
      <c r="O102" s="94" t="s">
        <v>318</v>
      </c>
      <c r="P102" s="95" t="s">
        <v>56</v>
      </c>
      <c r="Q102" s="145" t="s">
        <v>229</v>
      </c>
      <c r="R102" s="96"/>
      <c r="S102" s="97">
        <v>46167</v>
      </c>
      <c r="T102" s="97" t="s">
        <v>230</v>
      </c>
      <c r="U102" s="97" t="s">
        <v>224</v>
      </c>
      <c r="V102" s="93">
        <v>46153</v>
      </c>
      <c r="W102" s="93">
        <v>46154</v>
      </c>
      <c r="X102" s="93">
        <v>46164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64</v>
      </c>
      <c r="AM102" s="199" t="str">
        <f t="shared" si="8"/>
        <v>5/2026</v>
      </c>
      <c r="AN102" s="45">
        <f t="shared" si="9"/>
        <v>2</v>
      </c>
      <c r="AO102" s="45" t="str">
        <f t="shared" si="10"/>
        <v>1/1900</v>
      </c>
      <c r="AP102" s="45" t="e">
        <f t="shared" si="11"/>
        <v>#NUM!</v>
      </c>
      <c r="AQ102" s="45">
        <f t="shared" si="12"/>
        <v>0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 x14ac:dyDescent="0.3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88313692</v>
      </c>
      <c r="F103" s="221" t="s">
        <v>319</v>
      </c>
      <c r="G103" s="92">
        <v>41702565149</v>
      </c>
      <c r="H103" s="93">
        <v>20900</v>
      </c>
      <c r="I103" s="89">
        <v>69</v>
      </c>
      <c r="J103" s="89" t="s">
        <v>51</v>
      </c>
      <c r="K103" s="89" t="s">
        <v>137</v>
      </c>
      <c r="L103" s="89"/>
      <c r="M103" s="89" t="s">
        <v>138</v>
      </c>
      <c r="N103" s="89" t="s">
        <v>67</v>
      </c>
      <c r="O103" s="94" t="s">
        <v>320</v>
      </c>
      <c r="P103" s="95" t="s">
        <v>56</v>
      </c>
      <c r="Q103" s="145" t="s">
        <v>229</v>
      </c>
      <c r="R103" s="96"/>
      <c r="S103" s="97">
        <v>46167</v>
      </c>
      <c r="T103" s="97" t="s">
        <v>230</v>
      </c>
      <c r="U103" s="97" t="s">
        <v>224</v>
      </c>
      <c r="V103" s="93">
        <v>46153</v>
      </c>
      <c r="W103" s="93">
        <v>46154</v>
      </c>
      <c r="X103" s="93">
        <v>46164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64</v>
      </c>
      <c r="AM103" s="199" t="str">
        <f t="shared" si="8"/>
        <v>5/2026</v>
      </c>
      <c r="AN103" s="45">
        <f t="shared" si="9"/>
        <v>2</v>
      </c>
      <c r="AO103" s="45" t="str">
        <f t="shared" si="10"/>
        <v>1/1900</v>
      </c>
      <c r="AP103" s="45" t="e">
        <f t="shared" si="11"/>
        <v>#NUM!</v>
      </c>
      <c r="AQ103" s="45">
        <f t="shared" si="12"/>
        <v>0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 x14ac:dyDescent="0.3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79220915</v>
      </c>
      <c r="F104" s="221" t="s">
        <v>321</v>
      </c>
      <c r="G104" s="92">
        <v>10440421764</v>
      </c>
      <c r="H104" s="93">
        <v>22730</v>
      </c>
      <c r="I104" s="89">
        <v>64</v>
      </c>
      <c r="J104" s="89" t="s">
        <v>51</v>
      </c>
      <c r="K104" s="89" t="s">
        <v>75</v>
      </c>
      <c r="L104" s="89"/>
      <c r="M104" s="89" t="s">
        <v>76</v>
      </c>
      <c r="N104" s="89" t="s">
        <v>80</v>
      </c>
      <c r="O104" s="94" t="s">
        <v>322</v>
      </c>
      <c r="P104" s="95" t="s">
        <v>56</v>
      </c>
      <c r="Q104" s="145" t="s">
        <v>229</v>
      </c>
      <c r="R104" s="96"/>
      <c r="S104" s="97">
        <v>46167</v>
      </c>
      <c r="T104" s="97" t="s">
        <v>230</v>
      </c>
      <c r="U104" s="97" t="s">
        <v>224</v>
      </c>
      <c r="V104" s="93">
        <v>46153</v>
      </c>
      <c r="W104" s="93">
        <v>46154</v>
      </c>
      <c r="X104" s="93">
        <v>46164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64</v>
      </c>
      <c r="AM104" s="199" t="str">
        <f t="shared" si="8"/>
        <v>5/2026</v>
      </c>
      <c r="AN104" s="45">
        <f t="shared" si="9"/>
        <v>2</v>
      </c>
      <c r="AO104" s="45" t="str">
        <f t="shared" si="10"/>
        <v>1/1900</v>
      </c>
      <c r="AP104" s="45" t="e">
        <f t="shared" si="11"/>
        <v>#NUM!</v>
      </c>
      <c r="AQ104" s="45">
        <f t="shared" si="12"/>
        <v>0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100668020</v>
      </c>
      <c r="F105" s="221" t="s">
        <v>323</v>
      </c>
      <c r="G105" s="92">
        <v>49032925172</v>
      </c>
      <c r="H105" s="93">
        <v>13895</v>
      </c>
      <c r="I105" s="89">
        <v>88</v>
      </c>
      <c r="J105" s="89" t="s">
        <v>74</v>
      </c>
      <c r="K105" s="89" t="s">
        <v>137</v>
      </c>
      <c r="L105" s="89"/>
      <c r="M105" s="89" t="s">
        <v>138</v>
      </c>
      <c r="N105" s="89" t="s">
        <v>97</v>
      </c>
      <c r="O105" s="94" t="s">
        <v>324</v>
      </c>
      <c r="P105" s="95" t="s">
        <v>56</v>
      </c>
      <c r="Q105" s="145" t="s">
        <v>229</v>
      </c>
      <c r="R105" s="96"/>
      <c r="S105" s="97">
        <v>46167</v>
      </c>
      <c r="T105" s="97" t="s">
        <v>230</v>
      </c>
      <c r="U105" s="97" t="s">
        <v>224</v>
      </c>
      <c r="V105" s="93">
        <v>46153</v>
      </c>
      <c r="W105" s="93">
        <v>46154</v>
      </c>
      <c r="X105" s="93">
        <v>46164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64</v>
      </c>
      <c r="AM105" s="199" t="str">
        <f t="shared" si="8"/>
        <v>5/2026</v>
      </c>
      <c r="AN105" s="45">
        <f t="shared" si="9"/>
        <v>2</v>
      </c>
      <c r="AO105" s="45" t="str">
        <f t="shared" si="10"/>
        <v>1/1900</v>
      </c>
      <c r="AP105" s="45" t="e">
        <f t="shared" si="11"/>
        <v>#NUM!</v>
      </c>
      <c r="AQ105" s="45">
        <f t="shared" si="12"/>
        <v>0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 x14ac:dyDescent="0.3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441645739</v>
      </c>
      <c r="F106" s="221" t="s">
        <v>325</v>
      </c>
      <c r="G106" s="92">
        <v>75515695887</v>
      </c>
      <c r="H106" s="93">
        <v>20047</v>
      </c>
      <c r="I106" s="89">
        <v>71</v>
      </c>
      <c r="J106" s="89" t="s">
        <v>74</v>
      </c>
      <c r="K106" s="89" t="s">
        <v>52</v>
      </c>
      <c r="L106" s="89"/>
      <c r="M106" s="89" t="s">
        <v>66</v>
      </c>
      <c r="N106" s="89" t="s">
        <v>121</v>
      </c>
      <c r="O106" s="94" t="s">
        <v>326</v>
      </c>
      <c r="P106" s="95" t="s">
        <v>56</v>
      </c>
      <c r="Q106" s="145" t="s">
        <v>229</v>
      </c>
      <c r="R106" s="96"/>
      <c r="S106" s="97">
        <v>46167</v>
      </c>
      <c r="T106" s="97" t="s">
        <v>230</v>
      </c>
      <c r="U106" s="97" t="s">
        <v>224</v>
      </c>
      <c r="V106" s="93">
        <v>46153</v>
      </c>
      <c r="W106" s="93">
        <v>46154</v>
      </c>
      <c r="X106" s="93">
        <v>46164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64</v>
      </c>
      <c r="AM106" s="199" t="str">
        <f t="shared" si="8"/>
        <v>5/2026</v>
      </c>
      <c r="AN106" s="45">
        <f t="shared" si="9"/>
        <v>2</v>
      </c>
      <c r="AO106" s="45" t="str">
        <f t="shared" si="10"/>
        <v>1/1900</v>
      </c>
      <c r="AP106" s="45" t="e">
        <f t="shared" si="11"/>
        <v>#NUM!</v>
      </c>
      <c r="AQ106" s="45">
        <f t="shared" si="12"/>
        <v>0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hidden="1" customHeight="1" x14ac:dyDescent="0.3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222441011</v>
      </c>
      <c r="F107" s="221" t="s">
        <v>327</v>
      </c>
      <c r="G107" s="92">
        <v>3931382834</v>
      </c>
      <c r="H107" s="93">
        <v>15383</v>
      </c>
      <c r="I107" s="89">
        <v>84</v>
      </c>
      <c r="J107" s="89" t="s">
        <v>74</v>
      </c>
      <c r="K107" s="89" t="s">
        <v>52</v>
      </c>
      <c r="L107" s="89"/>
      <c r="M107" s="89" t="s">
        <v>66</v>
      </c>
      <c r="N107" s="89" t="s">
        <v>104</v>
      </c>
      <c r="O107" s="94" t="s">
        <v>328</v>
      </c>
      <c r="P107" s="95" t="s">
        <v>56</v>
      </c>
      <c r="Q107" s="145" t="s">
        <v>229</v>
      </c>
      <c r="R107" s="96"/>
      <c r="S107" s="97">
        <v>46167</v>
      </c>
      <c r="T107" s="97" t="s">
        <v>230</v>
      </c>
      <c r="U107" s="97" t="s">
        <v>224</v>
      </c>
      <c r="V107" s="93">
        <v>46153</v>
      </c>
      <c r="W107" s="93">
        <v>46154</v>
      </c>
      <c r="X107" s="93">
        <v>46164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64</v>
      </c>
      <c r="AM107" s="199" t="str">
        <f t="shared" si="8"/>
        <v>5/2026</v>
      </c>
      <c r="AN107" s="45">
        <f t="shared" si="9"/>
        <v>2</v>
      </c>
      <c r="AO107" s="45" t="str">
        <f t="shared" si="10"/>
        <v>1/1900</v>
      </c>
      <c r="AP107" s="45" t="e">
        <f t="shared" si="11"/>
        <v>#NUM!</v>
      </c>
      <c r="AQ107" s="45">
        <f t="shared" si="12"/>
        <v>0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78578558</v>
      </c>
      <c r="F108" s="221" t="s">
        <v>329</v>
      </c>
      <c r="G108" s="92">
        <v>6438149810</v>
      </c>
      <c r="H108" s="93">
        <v>23398</v>
      </c>
      <c r="I108" s="89">
        <v>62</v>
      </c>
      <c r="J108" s="89" t="s">
        <v>74</v>
      </c>
      <c r="K108" s="89" t="s">
        <v>52</v>
      </c>
      <c r="L108" s="89"/>
      <c r="M108" s="89" t="s">
        <v>66</v>
      </c>
      <c r="N108" s="89" t="s">
        <v>80</v>
      </c>
      <c r="O108" s="94" t="s">
        <v>330</v>
      </c>
      <c r="P108" s="95" t="s">
        <v>56</v>
      </c>
      <c r="Q108" s="145" t="s">
        <v>229</v>
      </c>
      <c r="R108" s="96"/>
      <c r="S108" s="97">
        <v>46167</v>
      </c>
      <c r="T108" s="97" t="s">
        <v>230</v>
      </c>
      <c r="U108" s="97" t="s">
        <v>224</v>
      </c>
      <c r="V108" s="93">
        <v>46153</v>
      </c>
      <c r="W108" s="93">
        <v>46154</v>
      </c>
      <c r="X108" s="93">
        <v>46164</v>
      </c>
      <c r="Y108" s="98"/>
      <c r="Z108" s="89"/>
      <c r="AA108" s="97"/>
      <c r="AB108" s="89"/>
      <c r="AC108" s="120"/>
      <c r="AD108" s="89"/>
      <c r="AE108" s="89"/>
      <c r="AF108" s="99"/>
      <c r="AG108" s="99"/>
      <c r="AH108" s="99"/>
      <c r="AI108" s="100"/>
      <c r="AJ108" s="100"/>
      <c r="AK108" s="100"/>
      <c r="AL108" s="45" t="s">
        <v>64</v>
      </c>
      <c r="AM108" s="199" t="str">
        <f t="shared" si="8"/>
        <v>5/2026</v>
      </c>
      <c r="AN108" s="45">
        <f t="shared" si="9"/>
        <v>2</v>
      </c>
      <c r="AO108" s="45" t="str">
        <f t="shared" si="10"/>
        <v>1/1900</v>
      </c>
      <c r="AP108" s="45" t="e">
        <f t="shared" si="11"/>
        <v>#NUM!</v>
      </c>
      <c r="AQ108" s="45">
        <f t="shared" si="12"/>
        <v>0</v>
      </c>
      <c r="AR108" s="45">
        <f t="shared" si="13"/>
        <v>0</v>
      </c>
      <c r="AS108" s="45">
        <f t="shared" si="14"/>
        <v>0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 x14ac:dyDescent="0.3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73397819</v>
      </c>
      <c r="F109" s="221" t="s">
        <v>331</v>
      </c>
      <c r="G109" s="92">
        <v>25484285836</v>
      </c>
      <c r="H109" s="93">
        <v>28494</v>
      </c>
      <c r="I109" s="89">
        <v>48</v>
      </c>
      <c r="J109" s="89" t="s">
        <v>74</v>
      </c>
      <c r="K109" s="89" t="s">
        <v>52</v>
      </c>
      <c r="L109" s="89"/>
      <c r="M109" s="89" t="s">
        <v>66</v>
      </c>
      <c r="N109" s="89" t="s">
        <v>91</v>
      </c>
      <c r="O109" s="94" t="s">
        <v>332</v>
      </c>
      <c r="P109" s="95" t="s">
        <v>56</v>
      </c>
      <c r="Q109" s="145" t="s">
        <v>229</v>
      </c>
      <c r="R109" s="96"/>
      <c r="S109" s="97">
        <v>46167</v>
      </c>
      <c r="T109" s="97" t="s">
        <v>230</v>
      </c>
      <c r="U109" s="97" t="s">
        <v>224</v>
      </c>
      <c r="V109" s="93">
        <v>46153</v>
      </c>
      <c r="W109" s="93">
        <v>46154</v>
      </c>
      <c r="X109" s="93">
        <v>46164</v>
      </c>
      <c r="Y109" s="98"/>
      <c r="Z109" s="89"/>
      <c r="AA109" s="97"/>
      <c r="AB109" s="89"/>
      <c r="AC109" s="120"/>
      <c r="AD109" s="89"/>
      <c r="AE109" s="89"/>
      <c r="AF109" s="99"/>
      <c r="AG109" s="99"/>
      <c r="AH109" s="99"/>
      <c r="AI109" s="100"/>
      <c r="AJ109" s="100"/>
      <c r="AK109" s="100"/>
      <c r="AL109" s="45" t="s">
        <v>64</v>
      </c>
      <c r="AM109" s="199" t="str">
        <f t="shared" si="8"/>
        <v>5/2026</v>
      </c>
      <c r="AN109" s="45">
        <f t="shared" si="9"/>
        <v>2</v>
      </c>
      <c r="AO109" s="45" t="str">
        <f t="shared" si="10"/>
        <v>1/1900</v>
      </c>
      <c r="AP109" s="45" t="e">
        <f t="shared" si="11"/>
        <v>#NUM!</v>
      </c>
      <c r="AQ109" s="45">
        <f t="shared" si="12"/>
        <v>0</v>
      </c>
      <c r="AR109" s="45">
        <f t="shared" si="13"/>
        <v>0</v>
      </c>
      <c r="AS109" s="45">
        <f t="shared" si="14"/>
        <v>0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hidden="1" customHeight="1" x14ac:dyDescent="0.3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86449489</v>
      </c>
      <c r="F110" s="221" t="s">
        <v>333</v>
      </c>
      <c r="G110" s="92">
        <v>37953047845</v>
      </c>
      <c r="H110" s="93">
        <v>33293</v>
      </c>
      <c r="I110" s="89">
        <v>35</v>
      </c>
      <c r="J110" s="89" t="s">
        <v>74</v>
      </c>
      <c r="K110" s="89" t="s">
        <v>52</v>
      </c>
      <c r="L110" s="89"/>
      <c r="M110" s="89" t="s">
        <v>66</v>
      </c>
      <c r="N110" s="89" t="s">
        <v>67</v>
      </c>
      <c r="O110" s="94" t="s">
        <v>334</v>
      </c>
      <c r="P110" s="95" t="s">
        <v>56</v>
      </c>
      <c r="Q110" s="145" t="s">
        <v>229</v>
      </c>
      <c r="R110" s="96"/>
      <c r="S110" s="97">
        <v>46167</v>
      </c>
      <c r="T110" s="97" t="s">
        <v>230</v>
      </c>
      <c r="U110" s="97" t="s">
        <v>224</v>
      </c>
      <c r="V110" s="93">
        <v>46153</v>
      </c>
      <c r="W110" s="93">
        <v>46154</v>
      </c>
      <c r="X110" s="93">
        <v>46164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64</v>
      </c>
      <c r="AM110" s="199" t="str">
        <f t="shared" si="8"/>
        <v>5/2026</v>
      </c>
      <c r="AN110" s="45">
        <f t="shared" si="9"/>
        <v>2</v>
      </c>
      <c r="AO110" s="45" t="str">
        <f t="shared" si="10"/>
        <v>1/1900</v>
      </c>
      <c r="AP110" s="45" t="e">
        <f t="shared" si="11"/>
        <v>#NUM!</v>
      </c>
      <c r="AQ110" s="45">
        <f t="shared" si="12"/>
        <v>0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 x14ac:dyDescent="0.3">
      <c r="A111" s="87" t="s">
        <v>47</v>
      </c>
      <c r="B111" s="88">
        <v>46147</v>
      </c>
      <c r="C111" s="89" t="s">
        <v>48</v>
      </c>
      <c r="D111" s="89" t="s">
        <v>49</v>
      </c>
      <c r="E111" s="90">
        <v>775641421</v>
      </c>
      <c r="F111" s="221" t="s">
        <v>335</v>
      </c>
      <c r="G111" s="92">
        <v>14301093869</v>
      </c>
      <c r="H111" s="93">
        <v>27099</v>
      </c>
      <c r="I111" s="89">
        <v>52</v>
      </c>
      <c r="J111" s="89" t="s">
        <v>51</v>
      </c>
      <c r="K111" s="89" t="s">
        <v>52</v>
      </c>
      <c r="L111" s="89"/>
      <c r="M111" s="89" t="s">
        <v>66</v>
      </c>
      <c r="N111" s="89" t="s">
        <v>117</v>
      </c>
      <c r="O111" s="94" t="s">
        <v>336</v>
      </c>
      <c r="P111" s="95" t="s">
        <v>56</v>
      </c>
      <c r="Q111" s="145" t="s">
        <v>229</v>
      </c>
      <c r="R111" s="96"/>
      <c r="S111" s="97">
        <v>46167</v>
      </c>
      <c r="T111" s="97" t="s">
        <v>230</v>
      </c>
      <c r="U111" s="97" t="s">
        <v>224</v>
      </c>
      <c r="V111" s="93">
        <v>46153</v>
      </c>
      <c r="W111" s="93">
        <v>46154</v>
      </c>
      <c r="X111" s="93">
        <v>46164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64</v>
      </c>
      <c r="AM111" s="199" t="str">
        <f t="shared" si="8"/>
        <v>5/2026</v>
      </c>
      <c r="AN111" s="45">
        <f t="shared" si="9"/>
        <v>2</v>
      </c>
      <c r="AO111" s="45" t="str">
        <f t="shared" si="10"/>
        <v>1/1900</v>
      </c>
      <c r="AP111" s="45" t="e">
        <f t="shared" si="11"/>
        <v>#NUM!</v>
      </c>
      <c r="AQ111" s="45">
        <f t="shared" si="12"/>
        <v>0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47</v>
      </c>
      <c r="B112" s="88">
        <v>46147</v>
      </c>
      <c r="C112" s="89" t="s">
        <v>48</v>
      </c>
      <c r="D112" s="89" t="s">
        <v>49</v>
      </c>
      <c r="E112" s="90">
        <v>800057198</v>
      </c>
      <c r="F112" s="221" t="s">
        <v>337</v>
      </c>
      <c r="G112" s="92">
        <v>30331223880</v>
      </c>
      <c r="H112" s="93">
        <v>29907</v>
      </c>
      <c r="I112" s="89">
        <v>44</v>
      </c>
      <c r="J112" s="89" t="s">
        <v>74</v>
      </c>
      <c r="K112" s="89" t="s">
        <v>52</v>
      </c>
      <c r="L112" s="89"/>
      <c r="M112" s="89" t="s">
        <v>66</v>
      </c>
      <c r="N112" s="89" t="s">
        <v>212</v>
      </c>
      <c r="O112" s="94" t="s">
        <v>338</v>
      </c>
      <c r="P112" s="95" t="s">
        <v>56</v>
      </c>
      <c r="Q112" s="145" t="s">
        <v>229</v>
      </c>
      <c r="R112" s="96"/>
      <c r="S112" s="97">
        <v>46167</v>
      </c>
      <c r="T112" s="97" t="s">
        <v>230</v>
      </c>
      <c r="U112" s="97" t="s">
        <v>224</v>
      </c>
      <c r="V112" s="93">
        <v>46153</v>
      </c>
      <c r="W112" s="93">
        <v>46154</v>
      </c>
      <c r="X112" s="93">
        <v>46164</v>
      </c>
      <c r="Y112" s="98"/>
      <c r="Z112" s="89"/>
      <c r="AA112" s="97"/>
      <c r="AB112" s="89"/>
      <c r="AC112" s="120"/>
      <c r="AD112" s="89"/>
      <c r="AE112" s="89"/>
      <c r="AF112" s="99"/>
      <c r="AG112" s="99"/>
      <c r="AH112" s="99"/>
      <c r="AI112" s="100"/>
      <c r="AJ112" s="100"/>
      <c r="AK112" s="100"/>
      <c r="AL112" s="45" t="s">
        <v>64</v>
      </c>
      <c r="AM112" s="199" t="str">
        <f t="shared" si="8"/>
        <v>5/2026</v>
      </c>
      <c r="AN112" s="45">
        <f t="shared" si="9"/>
        <v>2</v>
      </c>
      <c r="AO112" s="45" t="str">
        <f t="shared" si="10"/>
        <v>1/1900</v>
      </c>
      <c r="AP112" s="45" t="e">
        <f t="shared" si="11"/>
        <v>#NUM!</v>
      </c>
      <c r="AQ112" s="45">
        <f t="shared" si="12"/>
        <v>0</v>
      </c>
      <c r="AR112" s="45">
        <f t="shared" si="13"/>
        <v>0</v>
      </c>
      <c r="AS112" s="45">
        <f t="shared" si="14"/>
        <v>0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 x14ac:dyDescent="0.3">
      <c r="A113" s="87" t="s">
        <v>47</v>
      </c>
      <c r="B113" s="88">
        <v>46147</v>
      </c>
      <c r="C113" s="89" t="s">
        <v>48</v>
      </c>
      <c r="D113" s="89" t="s">
        <v>49</v>
      </c>
      <c r="E113" s="90">
        <v>442837500</v>
      </c>
      <c r="F113" s="221" t="s">
        <v>339</v>
      </c>
      <c r="G113" s="92">
        <v>28623508858</v>
      </c>
      <c r="H113" s="93">
        <v>29445</v>
      </c>
      <c r="I113" s="89">
        <v>45</v>
      </c>
      <c r="J113" s="89" t="s">
        <v>51</v>
      </c>
      <c r="K113" s="89" t="s">
        <v>52</v>
      </c>
      <c r="L113" s="89"/>
      <c r="M113" s="89" t="s">
        <v>66</v>
      </c>
      <c r="N113" s="89" t="s">
        <v>121</v>
      </c>
      <c r="O113" s="94" t="s">
        <v>340</v>
      </c>
      <c r="P113" s="95" t="s">
        <v>56</v>
      </c>
      <c r="Q113" s="145" t="s">
        <v>229</v>
      </c>
      <c r="R113" s="96"/>
      <c r="S113" s="97">
        <v>46167</v>
      </c>
      <c r="T113" s="97" t="s">
        <v>230</v>
      </c>
      <c r="U113" s="97" t="s">
        <v>224</v>
      </c>
      <c r="V113" s="93">
        <v>46153</v>
      </c>
      <c r="W113" s="93">
        <v>46154</v>
      </c>
      <c r="X113" s="93">
        <v>46164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64</v>
      </c>
      <c r="AM113" s="199" t="str">
        <f t="shared" si="8"/>
        <v>5/2026</v>
      </c>
      <c r="AN113" s="45">
        <f t="shared" si="9"/>
        <v>2</v>
      </c>
      <c r="AO113" s="45" t="str">
        <f t="shared" si="10"/>
        <v>1/1900</v>
      </c>
      <c r="AP113" s="45" t="e">
        <f t="shared" si="11"/>
        <v>#NUM!</v>
      </c>
      <c r="AQ113" s="45">
        <f t="shared" si="12"/>
        <v>0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 x14ac:dyDescent="0.3">
      <c r="A114" s="87" t="s">
        <v>47</v>
      </c>
      <c r="B114" s="88">
        <v>46147</v>
      </c>
      <c r="C114" s="89" t="s">
        <v>48</v>
      </c>
      <c r="D114" s="89" t="s">
        <v>49</v>
      </c>
      <c r="E114" s="90">
        <v>45713456</v>
      </c>
      <c r="F114" s="221" t="s">
        <v>341</v>
      </c>
      <c r="G114" s="92">
        <v>2363186168</v>
      </c>
      <c r="H114" s="93">
        <v>16395</v>
      </c>
      <c r="I114" s="89">
        <v>81</v>
      </c>
      <c r="J114" s="89" t="s">
        <v>51</v>
      </c>
      <c r="K114" s="89" t="s">
        <v>137</v>
      </c>
      <c r="L114" s="89"/>
      <c r="M114" s="89" t="s">
        <v>138</v>
      </c>
      <c r="N114" s="89" t="s">
        <v>104</v>
      </c>
      <c r="O114" s="94" t="s">
        <v>342</v>
      </c>
      <c r="P114" s="95" t="s">
        <v>56</v>
      </c>
      <c r="Q114" s="145" t="s">
        <v>229</v>
      </c>
      <c r="R114" s="96"/>
      <c r="S114" s="97">
        <v>46167</v>
      </c>
      <c r="T114" s="97" t="s">
        <v>230</v>
      </c>
      <c r="U114" s="97" t="s">
        <v>224</v>
      </c>
      <c r="V114" s="93">
        <v>46153</v>
      </c>
      <c r="W114" s="93">
        <v>46154</v>
      </c>
      <c r="X114" s="93">
        <v>46164</v>
      </c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/>
      <c r="AK114" s="100"/>
      <c r="AL114" s="45" t="s">
        <v>64</v>
      </c>
      <c r="AM114" s="199" t="str">
        <f t="shared" si="8"/>
        <v>5/2026</v>
      </c>
      <c r="AN114" s="45">
        <f t="shared" si="9"/>
        <v>2</v>
      </c>
      <c r="AO114" s="45" t="str">
        <f t="shared" si="10"/>
        <v>1/1900</v>
      </c>
      <c r="AP114" s="45" t="e">
        <f t="shared" si="11"/>
        <v>#NUM!</v>
      </c>
      <c r="AQ114" s="45">
        <f t="shared" si="12"/>
        <v>0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 x14ac:dyDescent="0.3">
      <c r="A115" s="87" t="s">
        <v>47</v>
      </c>
      <c r="B115" s="88">
        <v>46147</v>
      </c>
      <c r="C115" s="89" t="s">
        <v>48</v>
      </c>
      <c r="D115" s="89" t="s">
        <v>49</v>
      </c>
      <c r="E115" s="90">
        <v>450150976</v>
      </c>
      <c r="F115" s="221" t="s">
        <v>343</v>
      </c>
      <c r="G115" s="92">
        <v>6791443820</v>
      </c>
      <c r="H115" s="93">
        <v>18607</v>
      </c>
      <c r="I115" s="89">
        <v>75</v>
      </c>
      <c r="J115" s="89" t="s">
        <v>51</v>
      </c>
      <c r="K115" s="89" t="s">
        <v>52</v>
      </c>
      <c r="L115" s="89"/>
      <c r="M115" s="89" t="s">
        <v>344</v>
      </c>
      <c r="N115" s="89" t="s">
        <v>108</v>
      </c>
      <c r="O115" s="94" t="s">
        <v>345</v>
      </c>
      <c r="P115" s="95" t="s">
        <v>56</v>
      </c>
      <c r="Q115" s="145" t="s">
        <v>229</v>
      </c>
      <c r="R115" s="96"/>
      <c r="S115" s="97">
        <v>46167</v>
      </c>
      <c r="T115" s="97" t="s">
        <v>230</v>
      </c>
      <c r="U115" s="97" t="s">
        <v>224</v>
      </c>
      <c r="V115" s="93">
        <v>46153</v>
      </c>
      <c r="W115" s="93">
        <v>46154</v>
      </c>
      <c r="X115" s="93">
        <v>46164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64</v>
      </c>
      <c r="AM115" s="199" t="str">
        <f t="shared" si="8"/>
        <v>5/2026</v>
      </c>
      <c r="AN115" s="45">
        <f t="shared" si="9"/>
        <v>2</v>
      </c>
      <c r="AO115" s="45" t="str">
        <f t="shared" si="10"/>
        <v>1/1900</v>
      </c>
      <c r="AP115" s="45" t="e">
        <f t="shared" si="11"/>
        <v>#NUM!</v>
      </c>
      <c r="AQ115" s="45">
        <f t="shared" si="12"/>
        <v>0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 x14ac:dyDescent="0.3">
      <c r="A116" s="87" t="s">
        <v>47</v>
      </c>
      <c r="B116" s="88">
        <v>46147</v>
      </c>
      <c r="C116" s="89" t="s">
        <v>48</v>
      </c>
      <c r="D116" s="89" t="s">
        <v>49</v>
      </c>
      <c r="E116" s="90">
        <v>95115418</v>
      </c>
      <c r="F116" s="221" t="s">
        <v>346</v>
      </c>
      <c r="G116" s="92">
        <v>14703472880</v>
      </c>
      <c r="H116" s="93">
        <v>27345</v>
      </c>
      <c r="I116" s="89">
        <v>51</v>
      </c>
      <c r="J116" s="89" t="s">
        <v>74</v>
      </c>
      <c r="K116" s="89" t="s">
        <v>52</v>
      </c>
      <c r="L116" s="89"/>
      <c r="M116" s="89" t="s">
        <v>66</v>
      </c>
      <c r="N116" s="89" t="s">
        <v>347</v>
      </c>
      <c r="O116" s="94" t="s">
        <v>348</v>
      </c>
      <c r="P116" s="95" t="s">
        <v>56</v>
      </c>
      <c r="Q116" s="145" t="s">
        <v>229</v>
      </c>
      <c r="R116" s="96"/>
      <c r="S116" s="97">
        <v>46167</v>
      </c>
      <c r="T116" s="97" t="s">
        <v>230</v>
      </c>
      <c r="U116" s="97" t="s">
        <v>224</v>
      </c>
      <c r="V116" s="93">
        <v>46153</v>
      </c>
      <c r="W116" s="93">
        <v>46154</v>
      </c>
      <c r="X116" s="93">
        <v>46164</v>
      </c>
      <c r="Y116" s="98"/>
      <c r="Z116" s="89"/>
      <c r="AA116" s="97"/>
      <c r="AB116" s="89"/>
      <c r="AC116" s="120"/>
      <c r="AD116" s="89"/>
      <c r="AE116" s="89"/>
      <c r="AF116" s="99"/>
      <c r="AG116" s="99"/>
      <c r="AH116" s="99"/>
      <c r="AI116" s="100"/>
      <c r="AJ116" s="100"/>
      <c r="AK116" s="100"/>
      <c r="AL116" s="45" t="s">
        <v>64</v>
      </c>
      <c r="AM116" s="199" t="str">
        <f t="shared" si="8"/>
        <v>5/2026</v>
      </c>
      <c r="AN116" s="45">
        <f t="shared" si="9"/>
        <v>2</v>
      </c>
      <c r="AO116" s="45" t="str">
        <f t="shared" si="10"/>
        <v>1/1900</v>
      </c>
      <c r="AP116" s="45" t="e">
        <f t="shared" si="11"/>
        <v>#NUM!</v>
      </c>
      <c r="AQ116" s="45">
        <f t="shared" si="12"/>
        <v>0</v>
      </c>
      <c r="AR116" s="45">
        <f t="shared" si="13"/>
        <v>0</v>
      </c>
      <c r="AS116" s="45">
        <f t="shared" si="14"/>
        <v>0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 x14ac:dyDescent="0.3">
      <c r="A117" s="87" t="s">
        <v>47</v>
      </c>
      <c r="B117" s="88">
        <v>46147</v>
      </c>
      <c r="C117" s="89" t="s">
        <v>48</v>
      </c>
      <c r="D117" s="89" t="s">
        <v>49</v>
      </c>
      <c r="E117" s="90">
        <v>451949765</v>
      </c>
      <c r="F117" s="221" t="s">
        <v>349</v>
      </c>
      <c r="G117" s="92">
        <v>21838984887</v>
      </c>
      <c r="H117" s="93">
        <v>13891</v>
      </c>
      <c r="I117" s="89">
        <v>88</v>
      </c>
      <c r="J117" s="89" t="s">
        <v>51</v>
      </c>
      <c r="K117" s="89" t="s">
        <v>52</v>
      </c>
      <c r="L117" s="89"/>
      <c r="M117" s="89" t="s">
        <v>66</v>
      </c>
      <c r="N117" s="89" t="s">
        <v>117</v>
      </c>
      <c r="O117" s="94" t="s">
        <v>350</v>
      </c>
      <c r="P117" s="95" t="s">
        <v>56</v>
      </c>
      <c r="Q117" s="145" t="s">
        <v>229</v>
      </c>
      <c r="R117" s="96"/>
      <c r="S117" s="97">
        <v>46167</v>
      </c>
      <c r="T117" s="97" t="s">
        <v>230</v>
      </c>
      <c r="U117" s="97" t="s">
        <v>224</v>
      </c>
      <c r="V117" s="93">
        <v>46153</v>
      </c>
      <c r="W117" s="93">
        <v>46154</v>
      </c>
      <c r="X117" s="93">
        <v>46164</v>
      </c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/>
      <c r="AK117" s="100"/>
      <c r="AL117" s="45" t="s">
        <v>64</v>
      </c>
      <c r="AM117" s="199" t="str">
        <f t="shared" si="8"/>
        <v>5/2026</v>
      </c>
      <c r="AN117" s="45">
        <f t="shared" si="9"/>
        <v>2</v>
      </c>
      <c r="AO117" s="45" t="str">
        <f t="shared" si="10"/>
        <v>1/1900</v>
      </c>
      <c r="AP117" s="45" t="e">
        <f t="shared" si="11"/>
        <v>#NUM!</v>
      </c>
      <c r="AQ117" s="45">
        <f t="shared" si="12"/>
        <v>0</v>
      </c>
      <c r="AR117" s="45">
        <f t="shared" si="13"/>
        <v>0</v>
      </c>
      <c r="AS117" s="45">
        <f t="shared" si="14"/>
        <v>0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hidden="1" customHeight="1" x14ac:dyDescent="0.3">
      <c r="A118" s="87" t="s">
        <v>63</v>
      </c>
      <c r="B118" s="237">
        <v>46153</v>
      </c>
      <c r="C118" s="238" t="s">
        <v>351</v>
      </c>
      <c r="D118" s="238" t="s">
        <v>49</v>
      </c>
      <c r="E118" s="239" t="s">
        <v>352</v>
      </c>
      <c r="F118" s="241" t="s">
        <v>353</v>
      </c>
      <c r="G118" s="242">
        <v>37411963801</v>
      </c>
      <c r="H118" s="243">
        <v>32094</v>
      </c>
      <c r="I118" s="238">
        <v>38</v>
      </c>
      <c r="J118" s="89" t="s">
        <v>51</v>
      </c>
      <c r="K118" s="89" t="s">
        <v>52</v>
      </c>
      <c r="L118" s="238" t="s">
        <v>66</v>
      </c>
      <c r="M118" s="238" t="s">
        <v>354</v>
      </c>
      <c r="N118" s="238" t="s">
        <v>117</v>
      </c>
      <c r="O118" s="245">
        <v>11984164146</v>
      </c>
      <c r="P118" s="95" t="s">
        <v>56</v>
      </c>
      <c r="Q118" s="145" t="s">
        <v>229</v>
      </c>
      <c r="R118" s="96"/>
      <c r="S118" s="97">
        <v>46167</v>
      </c>
      <c r="T118" s="97" t="s">
        <v>230</v>
      </c>
      <c r="U118" s="97" t="s">
        <v>224</v>
      </c>
      <c r="V118" s="93">
        <v>46154</v>
      </c>
      <c r="W118" s="93">
        <v>46160</v>
      </c>
      <c r="X118" s="93">
        <v>46164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 t="s">
        <v>62</v>
      </c>
      <c r="AJ118" s="100" t="s">
        <v>226</v>
      </c>
      <c r="AK118" s="100"/>
      <c r="AL118" s="45" t="s">
        <v>64</v>
      </c>
      <c r="AM118" s="199" t="str">
        <f t="shared" si="8"/>
        <v>5/2026</v>
      </c>
      <c r="AN118" s="45">
        <f t="shared" si="9"/>
        <v>3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9" t="s">
        <v>63</v>
      </c>
      <c r="B119" s="232">
        <v>46168</v>
      </c>
      <c r="C119" s="233" t="s">
        <v>217</v>
      </c>
      <c r="D119" s="233" t="s">
        <v>49</v>
      </c>
      <c r="E119" s="233">
        <v>81208590</v>
      </c>
      <c r="F119" s="235" t="s">
        <v>355</v>
      </c>
      <c r="G119" s="233" t="s">
        <v>356</v>
      </c>
      <c r="H119" s="232">
        <v>19199</v>
      </c>
      <c r="I119" s="233">
        <v>73</v>
      </c>
      <c r="J119" s="230" t="s">
        <v>51</v>
      </c>
      <c r="K119" s="231" t="s">
        <v>75</v>
      </c>
      <c r="L119" s="233" t="s">
        <v>76</v>
      </c>
      <c r="M119" s="233" t="s">
        <v>357</v>
      </c>
      <c r="N119" s="233" t="s">
        <v>67</v>
      </c>
      <c r="O119" s="233">
        <v>21999825316</v>
      </c>
      <c r="P119" s="95" t="s">
        <v>56</v>
      </c>
      <c r="Q119" s="145" t="s">
        <v>57</v>
      </c>
      <c r="R119" s="122">
        <v>46178</v>
      </c>
      <c r="S119" s="121"/>
      <c r="T119" s="97" t="s">
        <v>58</v>
      </c>
      <c r="U119" s="97" t="s">
        <v>59</v>
      </c>
      <c r="V119" s="118">
        <v>46182</v>
      </c>
      <c r="W119" s="118"/>
      <c r="X119" s="118"/>
      <c r="Y119" s="98"/>
      <c r="Z119" s="89"/>
      <c r="AA119" s="97"/>
      <c r="AB119" s="89"/>
      <c r="AC119" s="120"/>
      <c r="AD119" s="89"/>
      <c r="AE119" s="89"/>
      <c r="AF119" s="119"/>
      <c r="AG119" s="119"/>
      <c r="AH119" s="119"/>
      <c r="AI119" s="100"/>
      <c r="AJ119" s="100" t="s">
        <v>729</v>
      </c>
      <c r="AK119" s="100"/>
      <c r="AL119" s="45" t="s">
        <v>64</v>
      </c>
      <c r="AM119" s="199" t="str">
        <f t="shared" si="8"/>
        <v>5/2026</v>
      </c>
      <c r="AN119" s="45">
        <f t="shared" si="9"/>
        <v>5</v>
      </c>
      <c r="AO119" s="45" t="str">
        <f t="shared" si="10"/>
        <v>6/2026</v>
      </c>
      <c r="AP119" s="45">
        <f t="shared" si="11"/>
        <v>1</v>
      </c>
      <c r="AQ119" s="45">
        <f t="shared" si="12"/>
        <v>10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9" t="s">
        <v>63</v>
      </c>
      <c r="B120" s="232">
        <v>46168</v>
      </c>
      <c r="C120" s="233" t="s">
        <v>217</v>
      </c>
      <c r="D120" s="233" t="s">
        <v>49</v>
      </c>
      <c r="E120" s="233">
        <v>881465313</v>
      </c>
      <c r="F120" s="235" t="s">
        <v>360</v>
      </c>
      <c r="G120" s="233" t="s">
        <v>361</v>
      </c>
      <c r="H120" s="232">
        <v>22978</v>
      </c>
      <c r="I120" s="233">
        <v>63</v>
      </c>
      <c r="J120" s="234" t="s">
        <v>74</v>
      </c>
      <c r="K120" s="231" t="s">
        <v>75</v>
      </c>
      <c r="L120" s="233" t="s">
        <v>76</v>
      </c>
      <c r="M120" s="233" t="s">
        <v>362</v>
      </c>
      <c r="N120" s="233" t="s">
        <v>104</v>
      </c>
      <c r="O120" s="233">
        <v>21969133731</v>
      </c>
      <c r="P120" s="95" t="s">
        <v>56</v>
      </c>
      <c r="Q120" s="145" t="s">
        <v>57</v>
      </c>
      <c r="R120" s="122">
        <v>46178</v>
      </c>
      <c r="S120" s="121"/>
      <c r="T120" s="97" t="s">
        <v>58</v>
      </c>
      <c r="U120" s="97" t="s">
        <v>59</v>
      </c>
      <c r="V120" s="118">
        <v>46182</v>
      </c>
      <c r="W120" s="118"/>
      <c r="X120" s="118"/>
      <c r="Y120" s="98"/>
      <c r="Z120" s="89"/>
      <c r="AA120" s="97"/>
      <c r="AB120" s="89"/>
      <c r="AC120" s="120"/>
      <c r="AD120" s="89"/>
      <c r="AE120" s="89"/>
      <c r="AF120" s="119"/>
      <c r="AG120" s="119"/>
      <c r="AH120" s="119"/>
      <c r="AI120" s="100"/>
      <c r="AJ120" s="100" t="s">
        <v>729</v>
      </c>
      <c r="AK120" s="100"/>
      <c r="AL120" s="45" t="s">
        <v>64</v>
      </c>
      <c r="AM120" s="199" t="str">
        <f t="shared" si="8"/>
        <v>5/2026</v>
      </c>
      <c r="AN120" s="45">
        <f t="shared" si="9"/>
        <v>5</v>
      </c>
      <c r="AO120" s="45" t="str">
        <f t="shared" si="10"/>
        <v>6/2026</v>
      </c>
      <c r="AP120" s="45">
        <f t="shared" si="11"/>
        <v>1</v>
      </c>
      <c r="AQ120" s="45">
        <f t="shared" si="12"/>
        <v>10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 x14ac:dyDescent="0.3">
      <c r="A121" s="89" t="s">
        <v>63</v>
      </c>
      <c r="B121" s="232">
        <v>46168</v>
      </c>
      <c r="C121" s="233" t="s">
        <v>217</v>
      </c>
      <c r="D121" s="233" t="s">
        <v>49</v>
      </c>
      <c r="E121" s="233">
        <v>112586686</v>
      </c>
      <c r="F121" s="235" t="s">
        <v>363</v>
      </c>
      <c r="G121" s="233" t="s">
        <v>364</v>
      </c>
      <c r="H121" s="232">
        <v>15551</v>
      </c>
      <c r="I121" s="233">
        <v>83</v>
      </c>
      <c r="J121" s="234" t="s">
        <v>74</v>
      </c>
      <c r="K121" s="231" t="s">
        <v>75</v>
      </c>
      <c r="L121" s="233" t="s">
        <v>76</v>
      </c>
      <c r="M121" s="233" t="s">
        <v>365</v>
      </c>
      <c r="N121" s="233" t="s">
        <v>104</v>
      </c>
      <c r="O121" s="233">
        <v>21997058904</v>
      </c>
      <c r="P121" s="95" t="s">
        <v>56</v>
      </c>
      <c r="Q121" s="145" t="s">
        <v>358</v>
      </c>
      <c r="R121" s="122"/>
      <c r="S121" s="121"/>
      <c r="T121" s="97" t="s">
        <v>230</v>
      </c>
      <c r="U121" s="97" t="s">
        <v>359</v>
      </c>
      <c r="V121" s="118">
        <v>46182</v>
      </c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L121" s="45" t="s">
        <v>64</v>
      </c>
      <c r="AM121" s="199" t="str">
        <f t="shared" si="8"/>
        <v>5/2026</v>
      </c>
      <c r="AN121" s="45">
        <f t="shared" si="9"/>
        <v>5</v>
      </c>
      <c r="AO121" s="45" t="str">
        <f t="shared" si="10"/>
        <v>1/1900</v>
      </c>
      <c r="AP121" s="45" t="e">
        <f t="shared" si="11"/>
        <v>#NUM!</v>
      </c>
      <c r="AQ121" s="45">
        <f t="shared" si="12"/>
        <v>0</v>
      </c>
      <c r="AR121" s="45">
        <f t="shared" si="13"/>
        <v>0</v>
      </c>
      <c r="AS121" s="45">
        <f t="shared" si="14"/>
        <v>0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9" t="s">
        <v>63</v>
      </c>
      <c r="B122" s="232">
        <v>46168</v>
      </c>
      <c r="C122" s="233" t="s">
        <v>217</v>
      </c>
      <c r="D122" s="233" t="s">
        <v>49</v>
      </c>
      <c r="E122" s="233">
        <v>81268644</v>
      </c>
      <c r="F122" s="235" t="s">
        <v>366</v>
      </c>
      <c r="G122" s="233" t="s">
        <v>367</v>
      </c>
      <c r="H122" s="232">
        <v>16986</v>
      </c>
      <c r="I122" s="233">
        <v>79</v>
      </c>
      <c r="J122" s="230" t="s">
        <v>51</v>
      </c>
      <c r="K122" s="231" t="s">
        <v>75</v>
      </c>
      <c r="L122" s="233" t="s">
        <v>76</v>
      </c>
      <c r="M122" s="233" t="s">
        <v>368</v>
      </c>
      <c r="N122" s="233" t="s">
        <v>67</v>
      </c>
      <c r="O122" s="233">
        <v>21988350209</v>
      </c>
      <c r="P122" s="95" t="s">
        <v>56</v>
      </c>
      <c r="Q122" s="145" t="s">
        <v>57</v>
      </c>
      <c r="R122" s="122">
        <v>46178</v>
      </c>
      <c r="S122" s="121"/>
      <c r="T122" s="97" t="s">
        <v>58</v>
      </c>
      <c r="U122" s="97" t="s">
        <v>59</v>
      </c>
      <c r="V122" s="118">
        <v>46182</v>
      </c>
      <c r="W122" s="118"/>
      <c r="X122" s="98"/>
      <c r="Y122" s="98"/>
      <c r="Z122" s="89"/>
      <c r="AA122" s="97"/>
      <c r="AB122" s="89"/>
      <c r="AC122" s="120"/>
      <c r="AD122" s="89"/>
      <c r="AE122" s="89"/>
      <c r="AF122" s="119"/>
      <c r="AG122" s="119"/>
      <c r="AH122" s="119"/>
      <c r="AI122" s="100"/>
      <c r="AJ122" s="100" t="s">
        <v>729</v>
      </c>
      <c r="AK122" s="100"/>
      <c r="AL122" s="45" t="s">
        <v>64</v>
      </c>
      <c r="AM122" s="199" t="str">
        <f t="shared" si="8"/>
        <v>5/2026</v>
      </c>
      <c r="AN122" s="45">
        <f t="shared" si="9"/>
        <v>5</v>
      </c>
      <c r="AO122" s="45" t="str">
        <f t="shared" si="10"/>
        <v>6/2026</v>
      </c>
      <c r="AP122" s="45">
        <f t="shared" si="11"/>
        <v>1</v>
      </c>
      <c r="AQ122" s="45">
        <f t="shared" si="12"/>
        <v>10</v>
      </c>
      <c r="AR122" s="45">
        <f t="shared" si="13"/>
        <v>0</v>
      </c>
      <c r="AS122" s="45">
        <f t="shared" si="14"/>
        <v>0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 x14ac:dyDescent="0.3">
      <c r="A123" s="89" t="s">
        <v>63</v>
      </c>
      <c r="B123" s="232">
        <v>46168</v>
      </c>
      <c r="C123" s="233" t="s">
        <v>217</v>
      </c>
      <c r="D123" s="233" t="s">
        <v>49</v>
      </c>
      <c r="E123" s="233">
        <v>214035255</v>
      </c>
      <c r="F123" s="235" t="s">
        <v>369</v>
      </c>
      <c r="G123" s="233" t="s">
        <v>370</v>
      </c>
      <c r="H123" s="232">
        <v>24664</v>
      </c>
      <c r="I123" s="233">
        <v>58</v>
      </c>
      <c r="J123" s="230" t="s">
        <v>51</v>
      </c>
      <c r="K123" s="231" t="s">
        <v>75</v>
      </c>
      <c r="L123" s="233" t="s">
        <v>76</v>
      </c>
      <c r="M123" s="233" t="s">
        <v>371</v>
      </c>
      <c r="N123" s="233" t="s">
        <v>104</v>
      </c>
      <c r="O123" s="233">
        <v>21993720165</v>
      </c>
      <c r="P123" s="95" t="s">
        <v>56</v>
      </c>
      <c r="Q123" s="145" t="s">
        <v>358</v>
      </c>
      <c r="R123" s="122"/>
      <c r="S123" s="121"/>
      <c r="T123" s="97" t="s">
        <v>230</v>
      </c>
      <c r="U123" s="97" t="s">
        <v>359</v>
      </c>
      <c r="V123" s="118">
        <v>46182</v>
      </c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L123" s="45" t="s">
        <v>64</v>
      </c>
      <c r="AM123" s="199" t="str">
        <f t="shared" si="8"/>
        <v>5/2026</v>
      </c>
      <c r="AN123" s="45">
        <f t="shared" si="9"/>
        <v>5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hidden="1" customHeight="1" x14ac:dyDescent="0.3">
      <c r="A124" s="89" t="s">
        <v>63</v>
      </c>
      <c r="B124" s="232">
        <v>46168</v>
      </c>
      <c r="C124" s="233" t="s">
        <v>217</v>
      </c>
      <c r="D124" s="233" t="s">
        <v>49</v>
      </c>
      <c r="E124" s="233">
        <v>115333576</v>
      </c>
      <c r="F124" s="235" t="s">
        <v>372</v>
      </c>
      <c r="G124" s="233" t="s">
        <v>373</v>
      </c>
      <c r="H124" s="232">
        <v>18195</v>
      </c>
      <c r="I124" s="233">
        <v>76</v>
      </c>
      <c r="J124" s="234" t="s">
        <v>74</v>
      </c>
      <c r="K124" s="231" t="s">
        <v>75</v>
      </c>
      <c r="L124" s="233" t="s">
        <v>76</v>
      </c>
      <c r="M124" s="233" t="s">
        <v>374</v>
      </c>
      <c r="N124" s="233" t="s">
        <v>121</v>
      </c>
      <c r="O124" s="233">
        <v>21996145670</v>
      </c>
      <c r="P124" s="95" t="s">
        <v>56</v>
      </c>
      <c r="Q124" s="145" t="s">
        <v>358</v>
      </c>
      <c r="R124" s="122"/>
      <c r="S124" s="121"/>
      <c r="T124" s="97" t="s">
        <v>230</v>
      </c>
      <c r="U124" s="97" t="s">
        <v>359</v>
      </c>
      <c r="V124" s="118">
        <v>46182</v>
      </c>
      <c r="W124" s="118"/>
      <c r="X124" s="98"/>
      <c r="Y124" s="98"/>
      <c r="Z124" s="89"/>
      <c r="AA124" s="122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L124" s="45" t="s">
        <v>64</v>
      </c>
      <c r="AM124" s="199" t="str">
        <f t="shared" si="8"/>
        <v>5/2026</v>
      </c>
      <c r="AN124" s="45">
        <f t="shared" si="9"/>
        <v>5</v>
      </c>
      <c r="AO124" s="45" t="str">
        <f t="shared" si="10"/>
        <v>1/1900</v>
      </c>
      <c r="AP124" s="45" t="e">
        <f t="shared" si="11"/>
        <v>#NUM!</v>
      </c>
      <c r="AQ124" s="45">
        <f t="shared" si="12"/>
        <v>0</v>
      </c>
      <c r="AR124" s="45">
        <f t="shared" si="13"/>
        <v>0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hidden="1" customHeight="1" x14ac:dyDescent="0.3">
      <c r="A125" s="89" t="s">
        <v>63</v>
      </c>
      <c r="B125" s="232">
        <v>46168</v>
      </c>
      <c r="C125" s="233" t="s">
        <v>217</v>
      </c>
      <c r="D125" s="233" t="s">
        <v>49</v>
      </c>
      <c r="E125" s="233">
        <v>79311854</v>
      </c>
      <c r="F125" s="235" t="s">
        <v>375</v>
      </c>
      <c r="G125" s="233" t="s">
        <v>376</v>
      </c>
      <c r="H125" s="232">
        <v>22183</v>
      </c>
      <c r="I125" s="233">
        <v>65</v>
      </c>
      <c r="J125" s="234" t="s">
        <v>74</v>
      </c>
      <c r="K125" s="231" t="s">
        <v>75</v>
      </c>
      <c r="L125" s="233" t="s">
        <v>76</v>
      </c>
      <c r="M125" s="233" t="s">
        <v>377</v>
      </c>
      <c r="N125" s="233" t="s">
        <v>67</v>
      </c>
      <c r="O125" s="233">
        <v>21995655357</v>
      </c>
      <c r="P125" s="95" t="s">
        <v>56</v>
      </c>
      <c r="Q125" s="145" t="s">
        <v>358</v>
      </c>
      <c r="R125" s="122"/>
      <c r="S125" s="121"/>
      <c r="T125" s="97" t="s">
        <v>230</v>
      </c>
      <c r="U125" s="97" t="s">
        <v>359</v>
      </c>
      <c r="V125" s="118">
        <v>46182</v>
      </c>
      <c r="W125" s="118"/>
      <c r="X125" s="98"/>
      <c r="Y125" s="9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L125" s="45" t="s">
        <v>64</v>
      </c>
      <c r="AM125" s="199" t="str">
        <f t="shared" si="8"/>
        <v>5/2026</v>
      </c>
      <c r="AN125" s="45">
        <f t="shared" si="9"/>
        <v>5</v>
      </c>
      <c r="AO125" s="45" t="str">
        <f t="shared" si="10"/>
        <v>1/1900</v>
      </c>
      <c r="AP125" s="45" t="e">
        <f t="shared" si="11"/>
        <v>#NUM!</v>
      </c>
      <c r="AQ125" s="45">
        <f t="shared" si="12"/>
        <v>0</v>
      </c>
      <c r="AR125" s="45">
        <f t="shared" si="13"/>
        <v>0</v>
      </c>
      <c r="AS125" s="45">
        <f t="shared" si="14"/>
        <v>0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hidden="1" customHeight="1" x14ac:dyDescent="0.3">
      <c r="A126" s="89" t="s">
        <v>63</v>
      </c>
      <c r="B126" s="232">
        <v>46168</v>
      </c>
      <c r="C126" s="233" t="s">
        <v>217</v>
      </c>
      <c r="D126" s="233" t="s">
        <v>49</v>
      </c>
      <c r="E126" s="233">
        <v>417990545</v>
      </c>
      <c r="F126" s="235" t="s">
        <v>378</v>
      </c>
      <c r="G126" s="233" t="s">
        <v>379</v>
      </c>
      <c r="H126" s="232">
        <v>29309</v>
      </c>
      <c r="I126" s="233">
        <v>46</v>
      </c>
      <c r="J126" s="234" t="s">
        <v>74</v>
      </c>
      <c r="K126" s="231" t="s">
        <v>75</v>
      </c>
      <c r="L126" s="233" t="s">
        <v>76</v>
      </c>
      <c r="M126" s="233" t="s">
        <v>380</v>
      </c>
      <c r="N126" s="233" t="s">
        <v>104</v>
      </c>
      <c r="O126" s="233">
        <v>21964748652</v>
      </c>
      <c r="P126" s="95" t="s">
        <v>56</v>
      </c>
      <c r="Q126" s="145" t="s">
        <v>381</v>
      </c>
      <c r="R126" s="122"/>
      <c r="S126" s="121"/>
      <c r="T126" s="97" t="s">
        <v>58</v>
      </c>
      <c r="U126" s="97" t="s">
        <v>359</v>
      </c>
      <c r="V126" s="118">
        <v>46182</v>
      </c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L126" s="45" t="s">
        <v>64</v>
      </c>
      <c r="AM126" s="199" t="str">
        <f t="shared" si="8"/>
        <v>5/2026</v>
      </c>
      <c r="AN126" s="45">
        <f t="shared" si="9"/>
        <v>5</v>
      </c>
      <c r="AO126" s="45" t="str">
        <f t="shared" si="10"/>
        <v>1/1900</v>
      </c>
      <c r="AP126" s="45" t="e">
        <f t="shared" si="11"/>
        <v>#NUM!</v>
      </c>
      <c r="AQ126" s="45">
        <f t="shared" si="12"/>
        <v>0</v>
      </c>
      <c r="AR126" s="45">
        <f t="shared" si="13"/>
        <v>0</v>
      </c>
      <c r="AS126" s="45">
        <f t="shared" si="14"/>
        <v>0</v>
      </c>
      <c r="AT126" s="45">
        <f t="shared" si="15"/>
        <v>0</v>
      </c>
      <c r="AU126" s="45" t="str">
        <f>_xlfn.XLOOKUP(U126,'Lista Suspensa'!$AA$20:$AA$23,'Lista Suspensa'!$AB$20:$AB$23,"N/A")</f>
        <v>S</v>
      </c>
    </row>
    <row r="127" spans="1:47" ht="12" hidden="1" customHeight="1" x14ac:dyDescent="0.3">
      <c r="A127" s="89" t="s">
        <v>63</v>
      </c>
      <c r="B127" s="232">
        <v>46168</v>
      </c>
      <c r="C127" s="233" t="s">
        <v>217</v>
      </c>
      <c r="D127" s="233" t="s">
        <v>49</v>
      </c>
      <c r="E127" s="233">
        <v>744642310</v>
      </c>
      <c r="F127" s="235" t="s">
        <v>382</v>
      </c>
      <c r="G127" s="233" t="s">
        <v>383</v>
      </c>
      <c r="H127" s="232">
        <v>17453</v>
      </c>
      <c r="I127" s="233">
        <v>78</v>
      </c>
      <c r="J127" s="230" t="s">
        <v>51</v>
      </c>
      <c r="K127" s="231" t="s">
        <v>75</v>
      </c>
      <c r="L127" s="233" t="s">
        <v>76</v>
      </c>
      <c r="M127" s="233" t="s">
        <v>384</v>
      </c>
      <c r="N127" s="233" t="s">
        <v>212</v>
      </c>
      <c r="O127" s="233">
        <v>2195161988</v>
      </c>
      <c r="P127" s="95" t="s">
        <v>56</v>
      </c>
      <c r="Q127" s="145" t="s">
        <v>358</v>
      </c>
      <c r="R127" s="122"/>
      <c r="S127" s="121"/>
      <c r="T127" s="97" t="s">
        <v>230</v>
      </c>
      <c r="U127" s="97" t="s">
        <v>359</v>
      </c>
      <c r="V127" s="118">
        <v>46182</v>
      </c>
      <c r="W127" s="118"/>
      <c r="X127" s="118"/>
      <c r="Y127" s="11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L127" s="45" t="s">
        <v>64</v>
      </c>
      <c r="AM127" s="199" t="str">
        <f t="shared" si="8"/>
        <v>5/2026</v>
      </c>
      <c r="AN127" s="45">
        <f t="shared" si="9"/>
        <v>5</v>
      </c>
      <c r="AO127" s="45" t="str">
        <f t="shared" si="10"/>
        <v>1/1900</v>
      </c>
      <c r="AP127" s="45" t="e">
        <f t="shared" si="11"/>
        <v>#NUM!</v>
      </c>
      <c r="AQ127" s="45">
        <f t="shared" si="12"/>
        <v>0</v>
      </c>
      <c r="AR127" s="45">
        <f t="shared" si="13"/>
        <v>0</v>
      </c>
      <c r="AS127" s="45">
        <f t="shared" si="14"/>
        <v>0</v>
      </c>
      <c r="AT127" s="45">
        <f t="shared" si="15"/>
        <v>0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9" t="s">
        <v>63</v>
      </c>
      <c r="B128" s="232">
        <v>46168</v>
      </c>
      <c r="C128" s="233" t="s">
        <v>217</v>
      </c>
      <c r="D128" s="233" t="s">
        <v>49</v>
      </c>
      <c r="E128" s="233">
        <v>86286171</v>
      </c>
      <c r="F128" s="235" t="s">
        <v>385</v>
      </c>
      <c r="G128" s="233" t="s">
        <v>386</v>
      </c>
      <c r="H128" s="232">
        <v>11576</v>
      </c>
      <c r="I128" s="233">
        <v>94</v>
      </c>
      <c r="J128" s="230" t="s">
        <v>51</v>
      </c>
      <c r="K128" s="231" t="s">
        <v>75</v>
      </c>
      <c r="L128" s="233" t="s">
        <v>76</v>
      </c>
      <c r="M128" s="233" t="s">
        <v>380</v>
      </c>
      <c r="N128" s="233" t="s">
        <v>67</v>
      </c>
      <c r="O128" s="233">
        <v>21982111115</v>
      </c>
      <c r="P128" s="95" t="s">
        <v>56</v>
      </c>
      <c r="Q128" s="145" t="s">
        <v>57</v>
      </c>
      <c r="R128" s="122">
        <v>46178</v>
      </c>
      <c r="S128" s="121"/>
      <c r="T128" s="97" t="s">
        <v>58</v>
      </c>
      <c r="U128" s="97" t="s">
        <v>59</v>
      </c>
      <c r="V128" s="118">
        <v>46182</v>
      </c>
      <c r="W128" s="118"/>
      <c r="X128" s="98"/>
      <c r="Y128" s="98"/>
      <c r="Z128" s="89"/>
      <c r="AA128" s="97"/>
      <c r="AB128" s="89"/>
      <c r="AC128" s="120"/>
      <c r="AD128" s="89"/>
      <c r="AE128" s="89"/>
      <c r="AF128" s="119"/>
      <c r="AG128" s="119"/>
      <c r="AH128" s="119"/>
      <c r="AI128" s="100"/>
      <c r="AJ128" s="100" t="s">
        <v>729</v>
      </c>
      <c r="AK128" s="100"/>
      <c r="AL128" s="45" t="s">
        <v>64</v>
      </c>
      <c r="AM128" s="199" t="str">
        <f t="shared" si="8"/>
        <v>5/2026</v>
      </c>
      <c r="AN128" s="45">
        <f t="shared" si="9"/>
        <v>5</v>
      </c>
      <c r="AO128" s="45" t="str">
        <f t="shared" si="10"/>
        <v>6/2026</v>
      </c>
      <c r="AP128" s="45">
        <f t="shared" si="11"/>
        <v>1</v>
      </c>
      <c r="AQ128" s="45">
        <f t="shared" si="12"/>
        <v>10</v>
      </c>
      <c r="AR128" s="45">
        <f t="shared" si="13"/>
        <v>0</v>
      </c>
      <c r="AS128" s="45">
        <f t="shared" si="14"/>
        <v>0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9" t="s">
        <v>63</v>
      </c>
      <c r="B129" s="232">
        <v>46168</v>
      </c>
      <c r="C129" s="233" t="s">
        <v>217</v>
      </c>
      <c r="D129" s="233" t="s">
        <v>49</v>
      </c>
      <c r="E129" s="233">
        <v>92875027</v>
      </c>
      <c r="F129" s="235" t="s">
        <v>387</v>
      </c>
      <c r="G129" s="233" t="s">
        <v>388</v>
      </c>
      <c r="H129" s="232">
        <v>31718</v>
      </c>
      <c r="I129" s="233">
        <v>39</v>
      </c>
      <c r="J129" s="230" t="s">
        <v>51</v>
      </c>
      <c r="K129" s="231" t="s">
        <v>75</v>
      </c>
      <c r="L129" s="233" t="s">
        <v>76</v>
      </c>
      <c r="M129" s="233" t="s">
        <v>389</v>
      </c>
      <c r="N129" s="233" t="s">
        <v>168</v>
      </c>
      <c r="O129" s="233">
        <v>21987626651</v>
      </c>
      <c r="P129" s="95" t="s">
        <v>56</v>
      </c>
      <c r="Q129" s="145" t="s">
        <v>57</v>
      </c>
      <c r="R129" s="122">
        <v>46178</v>
      </c>
      <c r="S129" s="121"/>
      <c r="T129" s="97" t="s">
        <v>58</v>
      </c>
      <c r="U129" s="97" t="s">
        <v>59</v>
      </c>
      <c r="V129" s="118">
        <v>46182</v>
      </c>
      <c r="W129" s="118"/>
      <c r="X129" s="98"/>
      <c r="Y129" s="98"/>
      <c r="Z129" s="89"/>
      <c r="AA129" s="97"/>
      <c r="AB129" s="89"/>
      <c r="AC129" s="120"/>
      <c r="AD129" s="89"/>
      <c r="AE129" s="89"/>
      <c r="AF129" s="119"/>
      <c r="AG129" s="119"/>
      <c r="AH129" s="119"/>
      <c r="AI129" s="100"/>
      <c r="AJ129" s="100" t="s">
        <v>729</v>
      </c>
      <c r="AK129" s="100"/>
      <c r="AL129" s="45" t="s">
        <v>64</v>
      </c>
      <c r="AM129" s="199" t="str">
        <f t="shared" si="8"/>
        <v>5/2026</v>
      </c>
      <c r="AN129" s="45">
        <f t="shared" si="9"/>
        <v>5</v>
      </c>
      <c r="AO129" s="45" t="str">
        <f t="shared" si="10"/>
        <v>6/2026</v>
      </c>
      <c r="AP129" s="45">
        <f t="shared" si="11"/>
        <v>1</v>
      </c>
      <c r="AQ129" s="45">
        <f t="shared" si="12"/>
        <v>10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9" t="s">
        <v>63</v>
      </c>
      <c r="B130" s="232">
        <v>46168</v>
      </c>
      <c r="C130" s="233" t="s">
        <v>217</v>
      </c>
      <c r="D130" s="233" t="s">
        <v>49</v>
      </c>
      <c r="E130" s="233">
        <v>93182439</v>
      </c>
      <c r="F130" s="235" t="s">
        <v>390</v>
      </c>
      <c r="G130" s="233" t="s">
        <v>391</v>
      </c>
      <c r="H130" s="232">
        <v>24020</v>
      </c>
      <c r="I130" s="233">
        <v>60</v>
      </c>
      <c r="J130" s="234" t="s">
        <v>74</v>
      </c>
      <c r="K130" s="231" t="s">
        <v>75</v>
      </c>
      <c r="L130" s="233" t="s">
        <v>76</v>
      </c>
      <c r="M130" s="233" t="s">
        <v>392</v>
      </c>
      <c r="N130" s="233" t="s">
        <v>67</v>
      </c>
      <c r="O130" s="233">
        <v>21964051299</v>
      </c>
      <c r="P130" s="95" t="s">
        <v>56</v>
      </c>
      <c r="Q130" s="145" t="s">
        <v>358</v>
      </c>
      <c r="R130" s="122"/>
      <c r="S130" s="121"/>
      <c r="T130" s="97" t="s">
        <v>230</v>
      </c>
      <c r="U130" s="97" t="s">
        <v>359</v>
      </c>
      <c r="V130" s="118">
        <v>46182</v>
      </c>
      <c r="W130" s="118"/>
      <c r="X130" s="98"/>
      <c r="Y130" s="98"/>
      <c r="Z130" s="89"/>
      <c r="AA130" s="122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L130" s="45" t="s">
        <v>64</v>
      </c>
      <c r="AM130" s="199" t="str">
        <f t="shared" ref="AM130:AM193" si="16">MONTH(B130)&amp;"/"&amp;YEAR(B130)</f>
        <v>5/2026</v>
      </c>
      <c r="AN130" s="45">
        <f t="shared" ref="AN130:AN193" si="17">WEEKNUM(B130)-WEEKNUM(EOMONTH(B130,-1)+1)+1</f>
        <v>5</v>
      </c>
      <c r="AO130" s="45" t="str">
        <f t="shared" ref="AO130:AO193" si="18">MONTH(R130)&amp;"/"&amp;YEAR(R130)</f>
        <v>1/1900</v>
      </c>
      <c r="AP130" s="45" t="e">
        <f t="shared" ref="AP130:AP193" si="19">WEEKNUM(R130)-WEEKNUM(EOMONTH(R130,-1)+1)+1</f>
        <v>#NUM!</v>
      </c>
      <c r="AQ130" s="45">
        <f t="shared" ref="AQ130:AQ193" si="20">IF(AU130="S",IF(Q130="1. Aceitou o programa",R130-B130,0),0)</f>
        <v>0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9" t="s">
        <v>63</v>
      </c>
      <c r="B131" s="232">
        <v>46168</v>
      </c>
      <c r="C131" s="233" t="s">
        <v>217</v>
      </c>
      <c r="D131" s="233" t="s">
        <v>49</v>
      </c>
      <c r="E131" s="233">
        <v>882086723</v>
      </c>
      <c r="F131" s="235" t="s">
        <v>393</v>
      </c>
      <c r="G131" s="233" t="s">
        <v>394</v>
      </c>
      <c r="H131" s="232">
        <v>23749</v>
      </c>
      <c r="I131" s="233">
        <v>61</v>
      </c>
      <c r="J131" s="234" t="s">
        <v>74</v>
      </c>
      <c r="K131" s="231" t="s">
        <v>75</v>
      </c>
      <c r="L131" s="233" t="s">
        <v>76</v>
      </c>
      <c r="M131" s="233" t="s">
        <v>374</v>
      </c>
      <c r="N131" s="233" t="s">
        <v>104</v>
      </c>
      <c r="O131" s="233" t="s">
        <v>395</v>
      </c>
      <c r="P131" s="95" t="s">
        <v>56</v>
      </c>
      <c r="Q131" s="145" t="s">
        <v>57</v>
      </c>
      <c r="R131" s="122">
        <v>46178</v>
      </c>
      <c r="S131" s="121"/>
      <c r="T131" s="97" t="s">
        <v>58</v>
      </c>
      <c r="U131" s="97" t="s">
        <v>59</v>
      </c>
      <c r="V131" s="118">
        <v>46182</v>
      </c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 t="s">
        <v>729</v>
      </c>
      <c r="AK131" s="100"/>
      <c r="AL131" s="45" t="s">
        <v>64</v>
      </c>
      <c r="AM131" s="199" t="str">
        <f t="shared" si="16"/>
        <v>5/2026</v>
      </c>
      <c r="AN131" s="45">
        <f t="shared" si="17"/>
        <v>5</v>
      </c>
      <c r="AO131" s="45" t="str">
        <f t="shared" si="18"/>
        <v>6/2026</v>
      </c>
      <c r="AP131" s="45">
        <f t="shared" si="19"/>
        <v>1</v>
      </c>
      <c r="AQ131" s="45">
        <f t="shared" si="20"/>
        <v>10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9" t="s">
        <v>63</v>
      </c>
      <c r="B132" s="232">
        <v>46168</v>
      </c>
      <c r="C132" s="233" t="s">
        <v>217</v>
      </c>
      <c r="D132" s="233" t="s">
        <v>49</v>
      </c>
      <c r="E132" s="233">
        <v>84001838</v>
      </c>
      <c r="F132" s="235" t="s">
        <v>396</v>
      </c>
      <c r="G132" s="233" t="s">
        <v>397</v>
      </c>
      <c r="H132" s="232">
        <v>24261</v>
      </c>
      <c r="I132" s="233">
        <v>59</v>
      </c>
      <c r="J132" s="234" t="s">
        <v>74</v>
      </c>
      <c r="K132" s="231" t="s">
        <v>75</v>
      </c>
      <c r="L132" s="233" t="s">
        <v>76</v>
      </c>
      <c r="M132" s="233" t="s">
        <v>398</v>
      </c>
      <c r="N132" s="233" t="s">
        <v>399</v>
      </c>
      <c r="O132" s="233">
        <v>21996301903</v>
      </c>
      <c r="P132" s="95" t="s">
        <v>56</v>
      </c>
      <c r="Q132" s="145" t="s">
        <v>57</v>
      </c>
      <c r="R132" s="122">
        <v>46178</v>
      </c>
      <c r="S132" s="121"/>
      <c r="T132" s="97" t="s">
        <v>58</v>
      </c>
      <c r="U132" s="97" t="s">
        <v>59</v>
      </c>
      <c r="V132" s="118">
        <v>46182</v>
      </c>
      <c r="W132" s="118"/>
      <c r="X132" s="98"/>
      <c r="Y132" s="98"/>
      <c r="Z132" s="89"/>
      <c r="AA132" s="97"/>
      <c r="AB132" s="89"/>
      <c r="AC132" s="120"/>
      <c r="AD132" s="89"/>
      <c r="AE132" s="89"/>
      <c r="AF132" s="119"/>
      <c r="AG132" s="119"/>
      <c r="AH132" s="119"/>
      <c r="AI132" s="100"/>
      <c r="AJ132" s="100" t="s">
        <v>729</v>
      </c>
      <c r="AK132" s="100"/>
      <c r="AL132" s="45" t="s">
        <v>64</v>
      </c>
      <c r="AM132" s="199" t="str">
        <f t="shared" si="16"/>
        <v>5/2026</v>
      </c>
      <c r="AN132" s="45">
        <f t="shared" si="17"/>
        <v>5</v>
      </c>
      <c r="AO132" s="45" t="str">
        <f t="shared" si="18"/>
        <v>6/2026</v>
      </c>
      <c r="AP132" s="45">
        <f t="shared" si="19"/>
        <v>1</v>
      </c>
      <c r="AQ132" s="45">
        <f t="shared" si="20"/>
        <v>10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 x14ac:dyDescent="0.3">
      <c r="A133" s="89" t="s">
        <v>63</v>
      </c>
      <c r="B133" s="232">
        <v>46168</v>
      </c>
      <c r="C133" s="233" t="s">
        <v>217</v>
      </c>
      <c r="D133" s="233" t="s">
        <v>49</v>
      </c>
      <c r="E133" s="233">
        <v>733955525</v>
      </c>
      <c r="F133" s="235" t="s">
        <v>400</v>
      </c>
      <c r="G133" s="233" t="s">
        <v>401</v>
      </c>
      <c r="H133" s="232">
        <v>16644</v>
      </c>
      <c r="I133" s="233">
        <v>80</v>
      </c>
      <c r="J133" s="234" t="s">
        <v>74</v>
      </c>
      <c r="K133" s="231" t="s">
        <v>75</v>
      </c>
      <c r="L133" s="233" t="s">
        <v>76</v>
      </c>
      <c r="M133" s="233" t="s">
        <v>402</v>
      </c>
      <c r="N133" s="233" t="s">
        <v>212</v>
      </c>
      <c r="O133" s="233">
        <v>21985795094</v>
      </c>
      <c r="P133" s="95" t="s">
        <v>56</v>
      </c>
      <c r="Q133" s="145" t="s">
        <v>358</v>
      </c>
      <c r="R133" s="122"/>
      <c r="S133" s="121"/>
      <c r="T133" s="97" t="s">
        <v>230</v>
      </c>
      <c r="U133" s="97" t="s">
        <v>359</v>
      </c>
      <c r="V133" s="118">
        <v>46182</v>
      </c>
      <c r="W133" s="118"/>
      <c r="X133" s="98"/>
      <c r="Y133" s="11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L133" s="45" t="s">
        <v>64</v>
      </c>
      <c r="AM133" s="199" t="str">
        <f t="shared" si="16"/>
        <v>5/2026</v>
      </c>
      <c r="AN133" s="45">
        <f t="shared" si="17"/>
        <v>5</v>
      </c>
      <c r="AO133" s="45" t="str">
        <f t="shared" si="18"/>
        <v>1/1900</v>
      </c>
      <c r="AP133" s="45" t="e">
        <f t="shared" si="19"/>
        <v>#NUM!</v>
      </c>
      <c r="AQ133" s="45">
        <f t="shared" si="20"/>
        <v>0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9" t="s">
        <v>63</v>
      </c>
      <c r="B134" s="232">
        <v>46168</v>
      </c>
      <c r="C134" s="233" t="s">
        <v>217</v>
      </c>
      <c r="D134" s="233" t="s">
        <v>49</v>
      </c>
      <c r="E134" s="233">
        <v>79343742</v>
      </c>
      <c r="F134" s="235" t="s">
        <v>403</v>
      </c>
      <c r="G134" s="233" t="s">
        <v>404</v>
      </c>
      <c r="H134" s="232">
        <v>20532</v>
      </c>
      <c r="I134" s="233">
        <v>70</v>
      </c>
      <c r="J134" s="234" t="s">
        <v>74</v>
      </c>
      <c r="K134" s="231" t="s">
        <v>75</v>
      </c>
      <c r="L134" s="233" t="s">
        <v>76</v>
      </c>
      <c r="M134" s="233" t="s">
        <v>380</v>
      </c>
      <c r="N134" s="233" t="s">
        <v>67</v>
      </c>
      <c r="O134" s="233">
        <v>21997781956</v>
      </c>
      <c r="P134" s="95" t="s">
        <v>56</v>
      </c>
      <c r="Q134" s="145" t="s">
        <v>57</v>
      </c>
      <c r="R134" s="122">
        <v>46178</v>
      </c>
      <c r="S134" s="121"/>
      <c r="T134" s="97" t="s">
        <v>58</v>
      </c>
      <c r="U134" s="97" t="s">
        <v>59</v>
      </c>
      <c r="V134" s="118">
        <v>46182</v>
      </c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 t="s">
        <v>729</v>
      </c>
      <c r="AK134" s="100"/>
      <c r="AL134" s="45" t="s">
        <v>64</v>
      </c>
      <c r="AM134" s="199" t="str">
        <f t="shared" si="16"/>
        <v>5/2026</v>
      </c>
      <c r="AN134" s="45">
        <f t="shared" si="17"/>
        <v>5</v>
      </c>
      <c r="AO134" s="45" t="str">
        <f t="shared" si="18"/>
        <v>6/2026</v>
      </c>
      <c r="AP134" s="45">
        <f t="shared" si="19"/>
        <v>1</v>
      </c>
      <c r="AQ134" s="45">
        <f t="shared" si="20"/>
        <v>10</v>
      </c>
      <c r="AR134" s="45">
        <f t="shared" si="21"/>
        <v>0</v>
      </c>
      <c r="AS134" s="45">
        <f t="shared" si="22"/>
        <v>0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hidden="1" customHeight="1" x14ac:dyDescent="0.3">
      <c r="A135" s="89" t="s">
        <v>63</v>
      </c>
      <c r="B135" s="232">
        <v>46168</v>
      </c>
      <c r="C135" s="233" t="s">
        <v>217</v>
      </c>
      <c r="D135" s="233" t="s">
        <v>49</v>
      </c>
      <c r="E135" s="233">
        <v>881364746</v>
      </c>
      <c r="F135" s="235" t="s">
        <v>405</v>
      </c>
      <c r="G135" s="233" t="s">
        <v>406</v>
      </c>
      <c r="H135" s="232">
        <v>22793</v>
      </c>
      <c r="I135" s="233">
        <v>63</v>
      </c>
      <c r="J135" s="234" t="s">
        <v>74</v>
      </c>
      <c r="K135" s="231" t="s">
        <v>75</v>
      </c>
      <c r="L135" s="233" t="s">
        <v>76</v>
      </c>
      <c r="M135" s="233" t="s">
        <v>407</v>
      </c>
      <c r="N135" s="233" t="s">
        <v>104</v>
      </c>
      <c r="O135" s="233">
        <v>21971071013</v>
      </c>
      <c r="P135" s="95" t="s">
        <v>56</v>
      </c>
      <c r="Q135" s="145" t="s">
        <v>358</v>
      </c>
      <c r="R135" s="122"/>
      <c r="S135" s="121"/>
      <c r="T135" s="97" t="s">
        <v>230</v>
      </c>
      <c r="U135" s="97" t="s">
        <v>359</v>
      </c>
      <c r="V135" s="118">
        <v>46182</v>
      </c>
      <c r="W135" s="118"/>
      <c r="X135" s="98"/>
      <c r="Y135" s="11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L135" s="45" t="s">
        <v>64</v>
      </c>
      <c r="AM135" s="199" t="str">
        <f t="shared" si="16"/>
        <v>5/2026</v>
      </c>
      <c r="AN135" s="45">
        <f t="shared" si="17"/>
        <v>5</v>
      </c>
      <c r="AO135" s="45" t="str">
        <f t="shared" si="18"/>
        <v>1/1900</v>
      </c>
      <c r="AP135" s="45" t="e">
        <f t="shared" si="19"/>
        <v>#NUM!</v>
      </c>
      <c r="AQ135" s="45">
        <f t="shared" si="20"/>
        <v>0</v>
      </c>
      <c r="AR135" s="45">
        <f t="shared" si="21"/>
        <v>0</v>
      </c>
      <c r="AS135" s="45">
        <f t="shared" si="22"/>
        <v>0</v>
      </c>
      <c r="AT135" s="45">
        <f t="shared" si="23"/>
        <v>0</v>
      </c>
      <c r="AU135" s="45" t="str">
        <f>_xlfn.XLOOKUP(U135,'Lista Suspensa'!$AA$20:$AA$23,'Lista Suspensa'!$AB$20:$AB$23,"N/A")</f>
        <v>S</v>
      </c>
    </row>
    <row r="136" spans="1:47" ht="12" hidden="1" customHeight="1" x14ac:dyDescent="0.3">
      <c r="A136" s="89" t="s">
        <v>63</v>
      </c>
      <c r="B136" s="232">
        <v>46168</v>
      </c>
      <c r="C136" s="233" t="s">
        <v>217</v>
      </c>
      <c r="D136" s="233" t="s">
        <v>49</v>
      </c>
      <c r="E136" s="233">
        <v>81719822</v>
      </c>
      <c r="F136" s="235" t="s">
        <v>408</v>
      </c>
      <c r="G136" s="233" t="s">
        <v>409</v>
      </c>
      <c r="H136" s="232">
        <v>27328</v>
      </c>
      <c r="I136" s="233">
        <v>51</v>
      </c>
      <c r="J136" s="230" t="s">
        <v>51</v>
      </c>
      <c r="K136" s="231" t="s">
        <v>75</v>
      </c>
      <c r="L136" s="233" t="s">
        <v>76</v>
      </c>
      <c r="M136" s="233" t="s">
        <v>410</v>
      </c>
      <c r="N136" s="233" t="s">
        <v>67</v>
      </c>
      <c r="O136" s="233">
        <v>21997921286</v>
      </c>
      <c r="P136" s="95" t="s">
        <v>56</v>
      </c>
      <c r="Q136" s="145" t="s">
        <v>358</v>
      </c>
      <c r="R136" s="122"/>
      <c r="S136" s="121"/>
      <c r="T136" s="97" t="s">
        <v>230</v>
      </c>
      <c r="U136" s="97" t="s">
        <v>359</v>
      </c>
      <c r="V136" s="118">
        <v>46182</v>
      </c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L136" s="45" t="s">
        <v>64</v>
      </c>
      <c r="AM136" s="199" t="str">
        <f t="shared" si="16"/>
        <v>5/2026</v>
      </c>
      <c r="AN136" s="45">
        <f t="shared" si="17"/>
        <v>5</v>
      </c>
      <c r="AO136" s="45" t="str">
        <f t="shared" si="18"/>
        <v>1/1900</v>
      </c>
      <c r="AP136" s="45" t="e">
        <f t="shared" si="19"/>
        <v>#NUM!</v>
      </c>
      <c r="AQ136" s="45">
        <f t="shared" si="20"/>
        <v>0</v>
      </c>
      <c r="AR136" s="45">
        <f t="shared" si="21"/>
        <v>0</v>
      </c>
      <c r="AS136" s="45">
        <f t="shared" si="22"/>
        <v>0</v>
      </c>
      <c r="AT136" s="45">
        <f t="shared" si="23"/>
        <v>0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9" t="s">
        <v>63</v>
      </c>
      <c r="B137" s="232">
        <v>46168</v>
      </c>
      <c r="C137" s="233" t="s">
        <v>217</v>
      </c>
      <c r="D137" s="233" t="s">
        <v>49</v>
      </c>
      <c r="E137" s="233">
        <v>83013265</v>
      </c>
      <c r="F137" s="235" t="s">
        <v>411</v>
      </c>
      <c r="G137" s="233" t="s">
        <v>412</v>
      </c>
      <c r="H137" s="232">
        <v>25312</v>
      </c>
      <c r="I137" s="233">
        <v>57</v>
      </c>
      <c r="J137" s="234" t="s">
        <v>74</v>
      </c>
      <c r="K137" s="231" t="s">
        <v>75</v>
      </c>
      <c r="L137" s="233" t="s">
        <v>76</v>
      </c>
      <c r="M137" s="233" t="s">
        <v>413</v>
      </c>
      <c r="N137" s="233" t="s">
        <v>54</v>
      </c>
      <c r="O137" s="233">
        <v>21979030499</v>
      </c>
      <c r="P137" s="95" t="s">
        <v>56</v>
      </c>
      <c r="Q137" s="145" t="s">
        <v>358</v>
      </c>
      <c r="R137" s="122"/>
      <c r="S137" s="121"/>
      <c r="T137" s="97" t="s">
        <v>230</v>
      </c>
      <c r="U137" s="97" t="s">
        <v>359</v>
      </c>
      <c r="V137" s="118">
        <v>46182</v>
      </c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64</v>
      </c>
      <c r="AM137" s="199" t="str">
        <f t="shared" si="16"/>
        <v>5/2026</v>
      </c>
      <c r="AN137" s="45">
        <f t="shared" si="17"/>
        <v>5</v>
      </c>
      <c r="AO137" s="45" t="str">
        <f t="shared" si="18"/>
        <v>1/1900</v>
      </c>
      <c r="AP137" s="45" t="e">
        <f t="shared" si="19"/>
        <v>#NUM!</v>
      </c>
      <c r="AQ137" s="45">
        <f t="shared" si="20"/>
        <v>0</v>
      </c>
      <c r="AR137" s="45">
        <f t="shared" si="21"/>
        <v>0</v>
      </c>
      <c r="AS137" s="45">
        <f t="shared" si="22"/>
        <v>0</v>
      </c>
      <c r="AT137" s="45">
        <f t="shared" si="23"/>
        <v>0</v>
      </c>
      <c r="AU137" s="45" t="str">
        <f>_xlfn.XLOOKUP(U137,'Lista Suspensa'!$AA$20:$AA$23,'Lista Suspensa'!$AB$20:$AB$23,"N/A")</f>
        <v>S</v>
      </c>
    </row>
    <row r="138" spans="1:47" ht="12" hidden="1" customHeight="1" x14ac:dyDescent="0.3">
      <c r="A138" s="89" t="s">
        <v>63</v>
      </c>
      <c r="B138" s="232">
        <v>46168</v>
      </c>
      <c r="C138" s="233" t="s">
        <v>217</v>
      </c>
      <c r="D138" s="233" t="s">
        <v>49</v>
      </c>
      <c r="E138" s="233">
        <v>74401306</v>
      </c>
      <c r="F138" s="235" t="s">
        <v>414</v>
      </c>
      <c r="G138" s="233" t="s">
        <v>415</v>
      </c>
      <c r="H138" s="232">
        <v>15171</v>
      </c>
      <c r="I138" s="233">
        <v>84</v>
      </c>
      <c r="J138" s="230" t="s">
        <v>51</v>
      </c>
      <c r="K138" s="231" t="s">
        <v>75</v>
      </c>
      <c r="L138" s="233" t="s">
        <v>76</v>
      </c>
      <c r="M138" s="233" t="s">
        <v>416</v>
      </c>
      <c r="N138" s="233" t="s">
        <v>104</v>
      </c>
      <c r="O138" s="233">
        <v>21982288909</v>
      </c>
      <c r="P138" s="95" t="s">
        <v>56</v>
      </c>
      <c r="Q138" s="145" t="s">
        <v>358</v>
      </c>
      <c r="R138" s="122"/>
      <c r="S138" s="121"/>
      <c r="T138" s="97" t="s">
        <v>230</v>
      </c>
      <c r="U138" s="97" t="s">
        <v>359</v>
      </c>
      <c r="V138" s="118">
        <v>46182</v>
      </c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64</v>
      </c>
      <c r="AM138" s="199" t="str">
        <f t="shared" si="16"/>
        <v>5/2026</v>
      </c>
      <c r="AN138" s="45">
        <f t="shared" si="17"/>
        <v>5</v>
      </c>
      <c r="AO138" s="45" t="str">
        <f t="shared" si="18"/>
        <v>1/1900</v>
      </c>
      <c r="AP138" s="45" t="e">
        <f t="shared" si="19"/>
        <v>#NUM!</v>
      </c>
      <c r="AQ138" s="45">
        <f t="shared" si="20"/>
        <v>0</v>
      </c>
      <c r="AR138" s="45">
        <f t="shared" si="21"/>
        <v>0</v>
      </c>
      <c r="AS138" s="45">
        <f t="shared" si="22"/>
        <v>0</v>
      </c>
      <c r="AT138" s="45">
        <f t="shared" si="23"/>
        <v>0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9" t="s">
        <v>63</v>
      </c>
      <c r="B139" s="232">
        <v>46168</v>
      </c>
      <c r="C139" s="233" t="s">
        <v>217</v>
      </c>
      <c r="D139" s="233" t="s">
        <v>49</v>
      </c>
      <c r="E139" s="233">
        <v>87290990</v>
      </c>
      <c r="F139" s="235" t="s">
        <v>417</v>
      </c>
      <c r="G139" s="233" t="s">
        <v>418</v>
      </c>
      <c r="H139" s="232">
        <v>37848</v>
      </c>
      <c r="I139" s="233">
        <v>22</v>
      </c>
      <c r="J139" s="230" t="s">
        <v>51</v>
      </c>
      <c r="K139" s="231" t="s">
        <v>75</v>
      </c>
      <c r="L139" s="233" t="s">
        <v>76</v>
      </c>
      <c r="M139" s="233" t="s">
        <v>419</v>
      </c>
      <c r="N139" s="233" t="s">
        <v>54</v>
      </c>
      <c r="O139" s="233">
        <v>21983127052</v>
      </c>
      <c r="P139" s="95" t="s">
        <v>56</v>
      </c>
      <c r="Q139" s="145" t="s">
        <v>57</v>
      </c>
      <c r="R139" s="122">
        <v>46178</v>
      </c>
      <c r="S139" s="121"/>
      <c r="T139" s="97" t="s">
        <v>58</v>
      </c>
      <c r="U139" s="97" t="s">
        <v>59</v>
      </c>
      <c r="V139" s="118">
        <v>46182</v>
      </c>
      <c r="W139" s="118"/>
      <c r="X139" s="98"/>
      <c r="Y139" s="98"/>
      <c r="Z139" s="89"/>
      <c r="AA139" s="97"/>
      <c r="AB139" s="89"/>
      <c r="AC139" s="120"/>
      <c r="AD139" s="89"/>
      <c r="AE139" s="89"/>
      <c r="AF139" s="119"/>
      <c r="AG139" s="119"/>
      <c r="AH139" s="119"/>
      <c r="AI139" s="100"/>
      <c r="AJ139" s="100" t="s">
        <v>729</v>
      </c>
      <c r="AK139" s="100"/>
      <c r="AL139" s="45" t="s">
        <v>64</v>
      </c>
      <c r="AM139" s="199" t="str">
        <f t="shared" si="16"/>
        <v>5/2026</v>
      </c>
      <c r="AN139" s="45">
        <f t="shared" si="17"/>
        <v>5</v>
      </c>
      <c r="AO139" s="45" t="str">
        <f t="shared" si="18"/>
        <v>6/2026</v>
      </c>
      <c r="AP139" s="45">
        <f t="shared" si="19"/>
        <v>1</v>
      </c>
      <c r="AQ139" s="45">
        <f t="shared" si="20"/>
        <v>10</v>
      </c>
      <c r="AR139" s="45">
        <f t="shared" si="21"/>
        <v>0</v>
      </c>
      <c r="AS139" s="45">
        <f t="shared" si="22"/>
        <v>0</v>
      </c>
      <c r="AT139" s="45">
        <f t="shared" si="23"/>
        <v>0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9" t="s">
        <v>63</v>
      </c>
      <c r="B140" s="232">
        <v>46168</v>
      </c>
      <c r="C140" s="233" t="s">
        <v>217</v>
      </c>
      <c r="D140" s="233" t="s">
        <v>49</v>
      </c>
      <c r="E140" s="233">
        <v>212050800</v>
      </c>
      <c r="F140" s="235" t="s">
        <v>420</v>
      </c>
      <c r="G140" s="233" t="s">
        <v>421</v>
      </c>
      <c r="H140" s="232">
        <v>22832</v>
      </c>
      <c r="I140" s="233">
        <v>63</v>
      </c>
      <c r="J140" s="234" t="s">
        <v>74</v>
      </c>
      <c r="K140" s="231" t="s">
        <v>75</v>
      </c>
      <c r="L140" s="233" t="s">
        <v>76</v>
      </c>
      <c r="M140" s="233" t="s">
        <v>422</v>
      </c>
      <c r="N140" s="233" t="s">
        <v>104</v>
      </c>
      <c r="O140" s="233">
        <v>21983372157</v>
      </c>
      <c r="P140" s="95" t="s">
        <v>56</v>
      </c>
      <c r="Q140" s="145" t="s">
        <v>57</v>
      </c>
      <c r="R140" s="122">
        <v>46178</v>
      </c>
      <c r="S140" s="121"/>
      <c r="T140" s="97" t="s">
        <v>58</v>
      </c>
      <c r="U140" s="97" t="s">
        <v>59</v>
      </c>
      <c r="V140" s="118">
        <v>46182</v>
      </c>
      <c r="W140" s="118"/>
      <c r="X140" s="98"/>
      <c r="Y140" s="98"/>
      <c r="Z140" s="89"/>
      <c r="AA140" s="122"/>
      <c r="AB140" s="89"/>
      <c r="AC140" s="120"/>
      <c r="AD140" s="89"/>
      <c r="AE140" s="89"/>
      <c r="AF140" s="119"/>
      <c r="AG140" s="119"/>
      <c r="AH140" s="119"/>
      <c r="AI140" s="100"/>
      <c r="AJ140" s="100" t="s">
        <v>729</v>
      </c>
      <c r="AK140" s="100"/>
      <c r="AL140" s="45" t="s">
        <v>64</v>
      </c>
      <c r="AM140" s="199" t="str">
        <f t="shared" si="16"/>
        <v>5/2026</v>
      </c>
      <c r="AN140" s="45">
        <f t="shared" si="17"/>
        <v>5</v>
      </c>
      <c r="AO140" s="45" t="str">
        <f t="shared" si="18"/>
        <v>6/2026</v>
      </c>
      <c r="AP140" s="45">
        <f t="shared" si="19"/>
        <v>1</v>
      </c>
      <c r="AQ140" s="45">
        <f t="shared" si="20"/>
        <v>10</v>
      </c>
      <c r="AR140" s="45">
        <f t="shared" si="21"/>
        <v>0</v>
      </c>
      <c r="AS140" s="45">
        <f t="shared" si="22"/>
        <v>0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hidden="1" customHeight="1" x14ac:dyDescent="0.3">
      <c r="A141" s="89" t="s">
        <v>63</v>
      </c>
      <c r="B141" s="232">
        <v>46168</v>
      </c>
      <c r="C141" s="233" t="s">
        <v>217</v>
      </c>
      <c r="D141" s="233" t="s">
        <v>49</v>
      </c>
      <c r="E141" s="233">
        <v>119526271</v>
      </c>
      <c r="F141" s="235" t="s">
        <v>423</v>
      </c>
      <c r="G141" s="233" t="s">
        <v>424</v>
      </c>
      <c r="H141" s="232">
        <v>20770</v>
      </c>
      <c r="I141" s="233">
        <v>69</v>
      </c>
      <c r="J141" s="230" t="s">
        <v>51</v>
      </c>
      <c r="K141" s="231" t="s">
        <v>75</v>
      </c>
      <c r="L141" s="233" t="s">
        <v>76</v>
      </c>
      <c r="M141" s="233" t="s">
        <v>425</v>
      </c>
      <c r="N141" s="233" t="s">
        <v>104</v>
      </c>
      <c r="O141" s="233">
        <v>21991922101</v>
      </c>
      <c r="P141" s="95" t="s">
        <v>56</v>
      </c>
      <c r="Q141" s="145" t="s">
        <v>358</v>
      </c>
      <c r="R141" s="122"/>
      <c r="S141" s="121"/>
      <c r="T141" s="97" t="s">
        <v>230</v>
      </c>
      <c r="U141" s="97" t="s">
        <v>359</v>
      </c>
      <c r="V141" s="118">
        <v>46182</v>
      </c>
      <c r="W141" s="118"/>
      <c r="X141" s="118"/>
      <c r="Y141" s="11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64</v>
      </c>
      <c r="AM141" s="199" t="str">
        <f t="shared" si="16"/>
        <v>5/2026</v>
      </c>
      <c r="AN141" s="45">
        <f t="shared" si="17"/>
        <v>5</v>
      </c>
      <c r="AO141" s="45" t="str">
        <f t="shared" si="18"/>
        <v>1/1900</v>
      </c>
      <c r="AP141" s="45" t="e">
        <f t="shared" si="19"/>
        <v>#NUM!</v>
      </c>
      <c r="AQ141" s="45">
        <f t="shared" si="20"/>
        <v>0</v>
      </c>
      <c r="AR141" s="45">
        <f t="shared" si="21"/>
        <v>0</v>
      </c>
      <c r="AS141" s="45">
        <f t="shared" si="22"/>
        <v>0</v>
      </c>
      <c r="AT141" s="45">
        <f t="shared" si="23"/>
        <v>0</v>
      </c>
      <c r="AU141" s="45" t="str">
        <f>_xlfn.XLOOKUP(U141,'Lista Suspensa'!$AA$20:$AA$23,'Lista Suspensa'!$AB$20:$AB$23,"N/A")</f>
        <v>S</v>
      </c>
    </row>
    <row r="142" spans="1:47" ht="12" hidden="1" customHeight="1" x14ac:dyDescent="0.3">
      <c r="A142" s="89" t="s">
        <v>63</v>
      </c>
      <c r="B142" s="232">
        <v>46168</v>
      </c>
      <c r="C142" s="233" t="s">
        <v>217</v>
      </c>
      <c r="D142" s="233" t="s">
        <v>49</v>
      </c>
      <c r="E142" s="233">
        <v>75044330</v>
      </c>
      <c r="F142" s="235" t="s">
        <v>426</v>
      </c>
      <c r="G142" s="233" t="s">
        <v>427</v>
      </c>
      <c r="H142" s="232">
        <v>25060</v>
      </c>
      <c r="I142" s="233">
        <v>57</v>
      </c>
      <c r="J142" s="230" t="s">
        <v>51</v>
      </c>
      <c r="K142" s="231" t="s">
        <v>75</v>
      </c>
      <c r="L142" s="233" t="s">
        <v>76</v>
      </c>
      <c r="M142" s="233" t="s">
        <v>357</v>
      </c>
      <c r="N142" s="233" t="s">
        <v>91</v>
      </c>
      <c r="O142" s="233">
        <v>21980745122</v>
      </c>
      <c r="P142" s="95" t="s">
        <v>56</v>
      </c>
      <c r="Q142" s="145" t="s">
        <v>358</v>
      </c>
      <c r="R142" s="122"/>
      <c r="S142" s="121"/>
      <c r="T142" s="97" t="s">
        <v>230</v>
      </c>
      <c r="U142" s="97" t="s">
        <v>359</v>
      </c>
      <c r="V142" s="118">
        <v>46182</v>
      </c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64</v>
      </c>
      <c r="AM142" s="199" t="str">
        <f t="shared" si="16"/>
        <v>5/2026</v>
      </c>
      <c r="AN142" s="45">
        <f t="shared" si="17"/>
        <v>5</v>
      </c>
      <c r="AO142" s="45" t="str">
        <f t="shared" si="18"/>
        <v>1/1900</v>
      </c>
      <c r="AP142" s="45" t="e">
        <f t="shared" si="19"/>
        <v>#NUM!</v>
      </c>
      <c r="AQ142" s="45">
        <f t="shared" si="20"/>
        <v>0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9" t="s">
        <v>63</v>
      </c>
      <c r="B143" s="232">
        <v>46168</v>
      </c>
      <c r="C143" s="233" t="s">
        <v>217</v>
      </c>
      <c r="D143" s="233" t="s">
        <v>49</v>
      </c>
      <c r="E143" s="233">
        <v>89779891</v>
      </c>
      <c r="F143" s="235" t="s">
        <v>428</v>
      </c>
      <c r="G143" s="233" t="s">
        <v>429</v>
      </c>
      <c r="H143" s="232">
        <v>32196</v>
      </c>
      <c r="I143" s="233">
        <v>38</v>
      </c>
      <c r="J143" s="234" t="s">
        <v>74</v>
      </c>
      <c r="K143" s="231" t="s">
        <v>75</v>
      </c>
      <c r="L143" s="233" t="s">
        <v>76</v>
      </c>
      <c r="M143" s="233" t="s">
        <v>430</v>
      </c>
      <c r="N143" s="233" t="s">
        <v>399</v>
      </c>
      <c r="O143" s="233">
        <v>21998150764</v>
      </c>
      <c r="P143" s="95" t="s">
        <v>56</v>
      </c>
      <c r="Q143" s="145" t="s">
        <v>57</v>
      </c>
      <c r="R143" s="122">
        <v>46178</v>
      </c>
      <c r="S143" s="121"/>
      <c r="T143" s="97" t="s">
        <v>58</v>
      </c>
      <c r="U143" s="97" t="s">
        <v>59</v>
      </c>
      <c r="V143" s="118">
        <v>46182</v>
      </c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 t="s">
        <v>729</v>
      </c>
      <c r="AK143" s="100"/>
      <c r="AL143" s="45" t="s">
        <v>64</v>
      </c>
      <c r="AM143" s="199" t="str">
        <f t="shared" si="16"/>
        <v>5/2026</v>
      </c>
      <c r="AN143" s="45">
        <f t="shared" si="17"/>
        <v>5</v>
      </c>
      <c r="AO143" s="45" t="str">
        <f t="shared" si="18"/>
        <v>6/2026</v>
      </c>
      <c r="AP143" s="45">
        <f t="shared" si="19"/>
        <v>1</v>
      </c>
      <c r="AQ143" s="45">
        <f t="shared" si="20"/>
        <v>10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9" t="s">
        <v>63</v>
      </c>
      <c r="B144" s="232">
        <v>46168</v>
      </c>
      <c r="C144" s="233" t="s">
        <v>217</v>
      </c>
      <c r="D144" s="233" t="s">
        <v>49</v>
      </c>
      <c r="E144" s="233">
        <v>87553618</v>
      </c>
      <c r="F144" s="235" t="s">
        <v>431</v>
      </c>
      <c r="G144" s="233" t="s">
        <v>432</v>
      </c>
      <c r="H144" s="232">
        <v>20026</v>
      </c>
      <c r="I144" s="233">
        <v>71</v>
      </c>
      <c r="J144" s="230" t="s">
        <v>51</v>
      </c>
      <c r="K144" s="231" t="s">
        <v>75</v>
      </c>
      <c r="L144" s="233" t="s">
        <v>76</v>
      </c>
      <c r="M144" s="233" t="s">
        <v>433</v>
      </c>
      <c r="N144" s="233" t="s">
        <v>111</v>
      </c>
      <c r="O144" s="233">
        <v>22974038243</v>
      </c>
      <c r="P144" s="95" t="s">
        <v>56</v>
      </c>
      <c r="Q144" s="145" t="s">
        <v>57</v>
      </c>
      <c r="R144" s="122">
        <v>46178</v>
      </c>
      <c r="S144" s="121"/>
      <c r="T144" s="97" t="s">
        <v>58</v>
      </c>
      <c r="U144" s="97" t="s">
        <v>59</v>
      </c>
      <c r="V144" s="118">
        <v>46182</v>
      </c>
      <c r="W144" s="118"/>
      <c r="X144" s="118"/>
      <c r="Y144" s="98"/>
      <c r="Z144" s="89"/>
      <c r="AA144" s="122"/>
      <c r="AB144" s="89"/>
      <c r="AC144" s="120"/>
      <c r="AD144" s="89"/>
      <c r="AE144" s="89"/>
      <c r="AF144" s="119"/>
      <c r="AG144" s="119"/>
      <c r="AH144" s="119"/>
      <c r="AI144" s="100"/>
      <c r="AJ144" s="100" t="s">
        <v>729</v>
      </c>
      <c r="AK144" s="100"/>
      <c r="AL144" s="45" t="s">
        <v>64</v>
      </c>
      <c r="AM144" s="199" t="str">
        <f t="shared" si="16"/>
        <v>5/2026</v>
      </c>
      <c r="AN144" s="45">
        <f t="shared" si="17"/>
        <v>5</v>
      </c>
      <c r="AO144" s="45" t="str">
        <f t="shared" si="18"/>
        <v>6/2026</v>
      </c>
      <c r="AP144" s="45">
        <f t="shared" si="19"/>
        <v>1</v>
      </c>
      <c r="AQ144" s="45">
        <f t="shared" si="20"/>
        <v>10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 x14ac:dyDescent="0.3">
      <c r="A145" s="89" t="s">
        <v>63</v>
      </c>
      <c r="B145" s="232">
        <v>46168</v>
      </c>
      <c r="C145" s="233" t="s">
        <v>217</v>
      </c>
      <c r="D145" s="233" t="s">
        <v>49</v>
      </c>
      <c r="E145" s="233">
        <v>84759621</v>
      </c>
      <c r="F145" s="235" t="s">
        <v>434</v>
      </c>
      <c r="G145" s="233" t="s">
        <v>435</v>
      </c>
      <c r="H145" s="232">
        <v>26313</v>
      </c>
      <c r="I145" s="233">
        <v>54</v>
      </c>
      <c r="J145" s="234" t="s">
        <v>74</v>
      </c>
      <c r="K145" s="231" t="s">
        <v>75</v>
      </c>
      <c r="L145" s="233" t="s">
        <v>76</v>
      </c>
      <c r="M145" s="233" t="s">
        <v>436</v>
      </c>
      <c r="N145" s="233" t="s">
        <v>168</v>
      </c>
      <c r="O145" s="233">
        <v>21970599316</v>
      </c>
      <c r="P145" s="95" t="s">
        <v>56</v>
      </c>
      <c r="Q145" s="145" t="s">
        <v>358</v>
      </c>
      <c r="R145" s="122"/>
      <c r="S145" s="121"/>
      <c r="T145" s="97" t="s">
        <v>230</v>
      </c>
      <c r="U145" s="97" t="s">
        <v>359</v>
      </c>
      <c r="V145" s="118">
        <v>46182</v>
      </c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64</v>
      </c>
      <c r="AM145" s="199" t="str">
        <f t="shared" si="16"/>
        <v>5/2026</v>
      </c>
      <c r="AN145" s="45">
        <f t="shared" si="17"/>
        <v>5</v>
      </c>
      <c r="AO145" s="45" t="str">
        <f t="shared" si="18"/>
        <v>1/1900</v>
      </c>
      <c r="AP145" s="45" t="e">
        <f t="shared" si="19"/>
        <v>#NUM!</v>
      </c>
      <c r="AQ145" s="45">
        <f t="shared" si="20"/>
        <v>0</v>
      </c>
      <c r="AR145" s="45">
        <f t="shared" si="21"/>
        <v>0</v>
      </c>
      <c r="AS145" s="45">
        <f t="shared" si="22"/>
        <v>0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hidden="1" customHeight="1" x14ac:dyDescent="0.3">
      <c r="A146" s="89" t="s">
        <v>63</v>
      </c>
      <c r="B146" s="232">
        <v>46168</v>
      </c>
      <c r="C146" s="233" t="s">
        <v>217</v>
      </c>
      <c r="D146" s="233" t="s">
        <v>49</v>
      </c>
      <c r="E146" s="233">
        <v>89487891</v>
      </c>
      <c r="F146" s="235" t="s">
        <v>437</v>
      </c>
      <c r="G146" s="233" t="s">
        <v>438</v>
      </c>
      <c r="H146" s="232">
        <v>21905</v>
      </c>
      <c r="I146" s="233">
        <v>66</v>
      </c>
      <c r="J146" s="234" t="s">
        <v>74</v>
      </c>
      <c r="K146" s="231" t="s">
        <v>75</v>
      </c>
      <c r="L146" s="233" t="s">
        <v>76</v>
      </c>
      <c r="M146" s="233" t="s">
        <v>439</v>
      </c>
      <c r="N146" s="233" t="s">
        <v>168</v>
      </c>
      <c r="O146" s="233">
        <v>21999021324</v>
      </c>
      <c r="P146" s="95" t="s">
        <v>56</v>
      </c>
      <c r="Q146" s="145" t="s">
        <v>358</v>
      </c>
      <c r="R146" s="122"/>
      <c r="S146" s="121"/>
      <c r="T146" s="97" t="s">
        <v>230</v>
      </c>
      <c r="U146" s="97" t="s">
        <v>359</v>
      </c>
      <c r="V146" s="118">
        <v>46182</v>
      </c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L146" s="45" t="s">
        <v>64</v>
      </c>
      <c r="AM146" s="199" t="str">
        <f t="shared" si="16"/>
        <v>5/2026</v>
      </c>
      <c r="AN146" s="45">
        <f t="shared" si="17"/>
        <v>5</v>
      </c>
      <c r="AO146" s="45" t="str">
        <f t="shared" si="18"/>
        <v>1/1900</v>
      </c>
      <c r="AP146" s="45" t="e">
        <f t="shared" si="19"/>
        <v>#NUM!</v>
      </c>
      <c r="AQ146" s="45">
        <f t="shared" si="20"/>
        <v>0</v>
      </c>
      <c r="AR146" s="45">
        <f t="shared" si="21"/>
        <v>0</v>
      </c>
      <c r="AS146" s="45">
        <f t="shared" si="22"/>
        <v>0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 x14ac:dyDescent="0.3">
      <c r="A147" s="89" t="s">
        <v>63</v>
      </c>
      <c r="B147" s="232">
        <v>46168</v>
      </c>
      <c r="C147" s="233" t="s">
        <v>217</v>
      </c>
      <c r="D147" s="233" t="s">
        <v>49</v>
      </c>
      <c r="E147" s="233">
        <v>82755312</v>
      </c>
      <c r="F147" s="235" t="s">
        <v>440</v>
      </c>
      <c r="G147" s="233" t="s">
        <v>441</v>
      </c>
      <c r="H147" s="232">
        <v>22281</v>
      </c>
      <c r="I147" s="233">
        <v>65</v>
      </c>
      <c r="J147" s="234" t="s">
        <v>74</v>
      </c>
      <c r="K147" s="244" t="s">
        <v>75</v>
      </c>
      <c r="L147" s="233" t="s">
        <v>76</v>
      </c>
      <c r="M147" s="233" t="s">
        <v>442</v>
      </c>
      <c r="N147" s="233" t="s">
        <v>173</v>
      </c>
      <c r="O147" s="233">
        <v>21982167416</v>
      </c>
      <c r="P147" s="95" t="s">
        <v>56</v>
      </c>
      <c r="Q147" s="145" t="s">
        <v>57</v>
      </c>
      <c r="R147" s="122">
        <v>46178</v>
      </c>
      <c r="S147" s="121"/>
      <c r="T147" s="97" t="s">
        <v>58</v>
      </c>
      <c r="U147" s="97" t="s">
        <v>59</v>
      </c>
      <c r="V147" s="118">
        <v>46182</v>
      </c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 t="s">
        <v>729</v>
      </c>
      <c r="AK147" s="100"/>
      <c r="AL147" s="45" t="s">
        <v>64</v>
      </c>
      <c r="AM147" s="199" t="str">
        <f t="shared" si="16"/>
        <v>5/2026</v>
      </c>
      <c r="AN147" s="45">
        <f t="shared" si="17"/>
        <v>5</v>
      </c>
      <c r="AO147" s="45" t="str">
        <f t="shared" si="18"/>
        <v>6/2026</v>
      </c>
      <c r="AP147" s="45">
        <f t="shared" si="19"/>
        <v>1</v>
      </c>
      <c r="AQ147" s="45">
        <f t="shared" si="20"/>
        <v>10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 x14ac:dyDescent="0.3">
      <c r="A148" s="89" t="s">
        <v>63</v>
      </c>
      <c r="B148" s="232">
        <v>46168</v>
      </c>
      <c r="C148" s="233" t="s">
        <v>217</v>
      </c>
      <c r="D148" s="233" t="s">
        <v>49</v>
      </c>
      <c r="E148" s="233">
        <v>85048835</v>
      </c>
      <c r="F148" s="235" t="s">
        <v>443</v>
      </c>
      <c r="G148" s="233" t="s">
        <v>444</v>
      </c>
      <c r="H148" s="232">
        <v>36151</v>
      </c>
      <c r="I148" s="233">
        <v>27</v>
      </c>
      <c r="J148" s="234" t="s">
        <v>74</v>
      </c>
      <c r="K148" s="229" t="s">
        <v>52</v>
      </c>
      <c r="L148" s="233" t="s">
        <v>66</v>
      </c>
      <c r="M148" s="233" t="s">
        <v>445</v>
      </c>
      <c r="N148" s="233" t="s">
        <v>168</v>
      </c>
      <c r="O148" s="233">
        <v>11972726493</v>
      </c>
      <c r="P148" s="95" t="s">
        <v>56</v>
      </c>
      <c r="Q148" s="145" t="s">
        <v>358</v>
      </c>
      <c r="R148" s="122"/>
      <c r="S148" s="121"/>
      <c r="T148" s="97" t="s">
        <v>230</v>
      </c>
      <c r="U148" s="97" t="s">
        <v>359</v>
      </c>
      <c r="V148" s="118">
        <v>46182</v>
      </c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64</v>
      </c>
      <c r="AM148" s="199" t="str">
        <f t="shared" si="16"/>
        <v>5/2026</v>
      </c>
      <c r="AN148" s="45">
        <f t="shared" si="17"/>
        <v>5</v>
      </c>
      <c r="AO148" s="45" t="str">
        <f t="shared" si="18"/>
        <v>1/1900</v>
      </c>
      <c r="AP148" s="45" t="e">
        <f t="shared" si="19"/>
        <v>#NUM!</v>
      </c>
      <c r="AQ148" s="45">
        <f t="shared" si="20"/>
        <v>0</v>
      </c>
      <c r="AR148" s="45">
        <f t="shared" si="21"/>
        <v>0</v>
      </c>
      <c r="AS148" s="45">
        <f t="shared" si="22"/>
        <v>0</v>
      </c>
      <c r="AT148" s="45">
        <f t="shared" si="23"/>
        <v>0</v>
      </c>
      <c r="AU148" s="45" t="str">
        <f>_xlfn.XLOOKUP(U148,'Lista Suspensa'!$AA$20:$AA$23,'Lista Suspensa'!$AB$20:$AB$23,"N/A")</f>
        <v>S</v>
      </c>
    </row>
    <row r="149" spans="1:47" ht="12" hidden="1" customHeight="1" x14ac:dyDescent="0.3">
      <c r="A149" s="89" t="s">
        <v>63</v>
      </c>
      <c r="B149" s="232">
        <v>46168</v>
      </c>
      <c r="C149" s="233" t="s">
        <v>217</v>
      </c>
      <c r="D149" s="233" t="s">
        <v>49</v>
      </c>
      <c r="E149" s="233">
        <v>89596847</v>
      </c>
      <c r="F149" s="235" t="s">
        <v>446</v>
      </c>
      <c r="G149" s="233" t="s">
        <v>447</v>
      </c>
      <c r="H149" s="232">
        <v>25263</v>
      </c>
      <c r="I149" s="233">
        <v>57</v>
      </c>
      <c r="J149" s="234" t="s">
        <v>74</v>
      </c>
      <c r="K149" s="231" t="s">
        <v>75</v>
      </c>
      <c r="L149" s="233" t="s">
        <v>76</v>
      </c>
      <c r="M149" s="233" t="s">
        <v>419</v>
      </c>
      <c r="N149" s="233" t="s">
        <v>448</v>
      </c>
      <c r="O149" s="233">
        <v>21976570491</v>
      </c>
      <c r="P149" s="95" t="s">
        <v>56</v>
      </c>
      <c r="Q149" s="145" t="s">
        <v>358</v>
      </c>
      <c r="R149" s="122"/>
      <c r="S149" s="121"/>
      <c r="T149" s="97" t="s">
        <v>230</v>
      </c>
      <c r="U149" s="97" t="s">
        <v>359</v>
      </c>
      <c r="V149" s="118">
        <v>46182</v>
      </c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64</v>
      </c>
      <c r="AM149" s="199" t="str">
        <f t="shared" si="16"/>
        <v>5/2026</v>
      </c>
      <c r="AN149" s="45">
        <f t="shared" si="17"/>
        <v>5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hidden="1" customHeight="1" x14ac:dyDescent="0.3">
      <c r="A150" s="89" t="s">
        <v>63</v>
      </c>
      <c r="B150" s="232">
        <v>46168</v>
      </c>
      <c r="C150" s="233" t="s">
        <v>217</v>
      </c>
      <c r="D150" s="233" t="s">
        <v>49</v>
      </c>
      <c r="E150" s="233">
        <v>81931640</v>
      </c>
      <c r="F150" s="235" t="s">
        <v>449</v>
      </c>
      <c r="G150" s="233" t="s">
        <v>450</v>
      </c>
      <c r="H150" s="232">
        <v>16116</v>
      </c>
      <c r="I150" s="233">
        <v>82</v>
      </c>
      <c r="J150" s="234" t="s">
        <v>74</v>
      </c>
      <c r="K150" s="231" t="s">
        <v>75</v>
      </c>
      <c r="L150" s="233" t="s">
        <v>76</v>
      </c>
      <c r="M150" s="233" t="s">
        <v>451</v>
      </c>
      <c r="N150" s="233" t="s">
        <v>104</v>
      </c>
      <c r="O150" s="233">
        <v>22999107748</v>
      </c>
      <c r="P150" s="95" t="s">
        <v>56</v>
      </c>
      <c r="Q150" s="145" t="s">
        <v>358</v>
      </c>
      <c r="R150" s="122"/>
      <c r="S150" s="121"/>
      <c r="T150" s="97" t="s">
        <v>230</v>
      </c>
      <c r="U150" s="97" t="s">
        <v>359</v>
      </c>
      <c r="V150" s="118">
        <v>46182</v>
      </c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64</v>
      </c>
      <c r="AM150" s="199" t="str">
        <f t="shared" si="16"/>
        <v>5/2026</v>
      </c>
      <c r="AN150" s="45">
        <f t="shared" si="17"/>
        <v>5</v>
      </c>
      <c r="AO150" s="45" t="str">
        <f t="shared" si="18"/>
        <v>1/1900</v>
      </c>
      <c r="AP150" s="45" t="e">
        <f t="shared" si="19"/>
        <v>#NUM!</v>
      </c>
      <c r="AQ150" s="45">
        <f t="shared" si="20"/>
        <v>0</v>
      </c>
      <c r="AR150" s="45">
        <f t="shared" si="21"/>
        <v>0</v>
      </c>
      <c r="AS150" s="45">
        <f t="shared" si="22"/>
        <v>0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hidden="1" customHeight="1" x14ac:dyDescent="0.3">
      <c r="A151" s="89" t="s">
        <v>63</v>
      </c>
      <c r="B151" s="232">
        <v>46168</v>
      </c>
      <c r="C151" s="233" t="s">
        <v>217</v>
      </c>
      <c r="D151" s="233" t="s">
        <v>49</v>
      </c>
      <c r="E151" s="233">
        <v>961088192</v>
      </c>
      <c r="F151" s="235" t="s">
        <v>452</v>
      </c>
      <c r="G151" s="233" t="s">
        <v>453</v>
      </c>
      <c r="H151" s="232">
        <v>22156</v>
      </c>
      <c r="I151" s="233">
        <v>65</v>
      </c>
      <c r="J151" s="234" t="s">
        <v>74</v>
      </c>
      <c r="K151" s="231" t="s">
        <v>75</v>
      </c>
      <c r="L151" s="233" t="s">
        <v>76</v>
      </c>
      <c r="M151" s="233" t="s">
        <v>413</v>
      </c>
      <c r="N151" s="233" t="s">
        <v>104</v>
      </c>
      <c r="O151" s="233">
        <v>21981113851</v>
      </c>
      <c r="P151" s="95" t="s">
        <v>56</v>
      </c>
      <c r="Q151" s="145" t="s">
        <v>358</v>
      </c>
      <c r="R151" s="122"/>
      <c r="S151" s="121"/>
      <c r="T151" s="97" t="s">
        <v>230</v>
      </c>
      <c r="U151" s="97" t="s">
        <v>359</v>
      </c>
      <c r="V151" s="118">
        <v>46182</v>
      </c>
      <c r="W151" s="98"/>
      <c r="X151" s="98"/>
      <c r="Y151" s="98"/>
      <c r="Z151" s="89"/>
      <c r="AA151" s="97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64</v>
      </c>
      <c r="AM151" s="199" t="str">
        <f t="shared" si="16"/>
        <v>5/2026</v>
      </c>
      <c r="AN151" s="45">
        <f t="shared" si="17"/>
        <v>5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9" t="s">
        <v>63</v>
      </c>
      <c r="B152" s="232">
        <v>46168</v>
      </c>
      <c r="C152" s="233" t="s">
        <v>217</v>
      </c>
      <c r="D152" s="233" t="s">
        <v>49</v>
      </c>
      <c r="E152" s="233">
        <v>117015385</v>
      </c>
      <c r="F152" s="235" t="s">
        <v>454</v>
      </c>
      <c r="G152" s="233" t="s">
        <v>455</v>
      </c>
      <c r="H152" s="232">
        <v>18869</v>
      </c>
      <c r="I152" s="233">
        <v>74</v>
      </c>
      <c r="J152" s="234" t="s">
        <v>74</v>
      </c>
      <c r="K152" s="231" t="s">
        <v>75</v>
      </c>
      <c r="L152" s="233" t="s">
        <v>76</v>
      </c>
      <c r="M152" s="233" t="s">
        <v>380</v>
      </c>
      <c r="N152" s="233" t="s">
        <v>104</v>
      </c>
      <c r="O152" s="233">
        <v>21988437925</v>
      </c>
      <c r="P152" s="95" t="s">
        <v>56</v>
      </c>
      <c r="Q152" s="145" t="s">
        <v>57</v>
      </c>
      <c r="R152" s="122">
        <v>46178</v>
      </c>
      <c r="S152" s="121"/>
      <c r="T152" s="97" t="s">
        <v>58</v>
      </c>
      <c r="U152" s="97" t="s">
        <v>59</v>
      </c>
      <c r="V152" s="118">
        <v>46182</v>
      </c>
      <c r="W152" s="98"/>
      <c r="X152" s="98"/>
      <c r="Y152" s="98"/>
      <c r="Z152" s="89"/>
      <c r="AA152" s="97"/>
      <c r="AB152" s="89"/>
      <c r="AC152" s="120"/>
      <c r="AD152" s="89"/>
      <c r="AE152" s="89"/>
      <c r="AF152" s="119"/>
      <c r="AG152" s="119"/>
      <c r="AH152" s="119"/>
      <c r="AI152" s="100"/>
      <c r="AJ152" s="100" t="s">
        <v>729</v>
      </c>
      <c r="AK152" s="100"/>
      <c r="AL152" s="45" t="s">
        <v>64</v>
      </c>
      <c r="AM152" s="199" t="str">
        <f t="shared" si="16"/>
        <v>5/2026</v>
      </c>
      <c r="AN152" s="45">
        <f t="shared" si="17"/>
        <v>5</v>
      </c>
      <c r="AO152" s="45" t="str">
        <f t="shared" si="18"/>
        <v>6/2026</v>
      </c>
      <c r="AP152" s="45">
        <f t="shared" si="19"/>
        <v>1</v>
      </c>
      <c r="AQ152" s="45">
        <f t="shared" si="20"/>
        <v>10</v>
      </c>
      <c r="AR152" s="45">
        <f t="shared" si="21"/>
        <v>0</v>
      </c>
      <c r="AS152" s="45">
        <f t="shared" si="22"/>
        <v>0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hidden="1" customHeight="1" x14ac:dyDescent="0.3">
      <c r="A153" s="89" t="s">
        <v>63</v>
      </c>
      <c r="B153" s="232">
        <v>46168</v>
      </c>
      <c r="C153" s="233" t="s">
        <v>217</v>
      </c>
      <c r="D153" s="233" t="s">
        <v>49</v>
      </c>
      <c r="E153" s="233">
        <v>743708342</v>
      </c>
      <c r="F153" s="235" t="s">
        <v>456</v>
      </c>
      <c r="G153" s="233" t="s">
        <v>457</v>
      </c>
      <c r="H153" s="232">
        <v>19456</v>
      </c>
      <c r="I153" s="233">
        <v>73</v>
      </c>
      <c r="J153" s="234" t="s">
        <v>74</v>
      </c>
      <c r="K153" s="231" t="s">
        <v>75</v>
      </c>
      <c r="L153" s="233" t="s">
        <v>76</v>
      </c>
      <c r="M153" s="233" t="s">
        <v>410</v>
      </c>
      <c r="N153" s="233" t="s">
        <v>212</v>
      </c>
      <c r="O153" s="233">
        <v>21999431597</v>
      </c>
      <c r="P153" s="95" t="s">
        <v>56</v>
      </c>
      <c r="Q153" s="145" t="s">
        <v>358</v>
      </c>
      <c r="R153" s="122"/>
      <c r="S153" s="121"/>
      <c r="T153" s="97" t="s">
        <v>230</v>
      </c>
      <c r="U153" s="97" t="s">
        <v>359</v>
      </c>
      <c r="V153" s="118">
        <v>46182</v>
      </c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64</v>
      </c>
      <c r="AM153" s="199" t="str">
        <f t="shared" si="16"/>
        <v>5/2026</v>
      </c>
      <c r="AN153" s="45">
        <f t="shared" si="17"/>
        <v>5</v>
      </c>
      <c r="AO153" s="45" t="str">
        <f t="shared" si="18"/>
        <v>1/1900</v>
      </c>
      <c r="AP153" s="45" t="e">
        <f t="shared" si="19"/>
        <v>#NUM!</v>
      </c>
      <c r="AQ153" s="45">
        <f t="shared" si="20"/>
        <v>0</v>
      </c>
      <c r="AR153" s="45">
        <f t="shared" si="21"/>
        <v>0</v>
      </c>
      <c r="AS153" s="45">
        <f t="shared" si="22"/>
        <v>0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9" t="s">
        <v>63</v>
      </c>
      <c r="B154" s="232">
        <v>46168</v>
      </c>
      <c r="C154" s="233" t="s">
        <v>217</v>
      </c>
      <c r="D154" s="233" t="s">
        <v>49</v>
      </c>
      <c r="E154" s="233">
        <v>218180560</v>
      </c>
      <c r="F154" s="235" t="s">
        <v>458</v>
      </c>
      <c r="G154" s="233" t="s">
        <v>459</v>
      </c>
      <c r="H154" s="232">
        <v>12369</v>
      </c>
      <c r="I154" s="233">
        <v>92</v>
      </c>
      <c r="J154" s="234" t="s">
        <v>74</v>
      </c>
      <c r="K154" s="231" t="s">
        <v>75</v>
      </c>
      <c r="L154" s="233" t="s">
        <v>76</v>
      </c>
      <c r="M154" s="233" t="s">
        <v>413</v>
      </c>
      <c r="N154" s="233" t="s">
        <v>121</v>
      </c>
      <c r="O154" s="233">
        <v>21971785638</v>
      </c>
      <c r="P154" s="95" t="s">
        <v>56</v>
      </c>
      <c r="Q154" s="145" t="s">
        <v>358</v>
      </c>
      <c r="R154" s="122"/>
      <c r="S154" s="121"/>
      <c r="T154" s="97" t="s">
        <v>230</v>
      </c>
      <c r="U154" s="97" t="s">
        <v>359</v>
      </c>
      <c r="V154" s="118">
        <v>46182</v>
      </c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L154" s="45" t="s">
        <v>64</v>
      </c>
      <c r="AM154" s="199" t="str">
        <f t="shared" si="16"/>
        <v>5/2026</v>
      </c>
      <c r="AN154" s="45">
        <f t="shared" si="17"/>
        <v>5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 x14ac:dyDescent="0.3">
      <c r="A155" s="89" t="s">
        <v>63</v>
      </c>
      <c r="B155" s="232">
        <v>46168</v>
      </c>
      <c r="C155" s="233" t="s">
        <v>217</v>
      </c>
      <c r="D155" s="233" t="s">
        <v>49</v>
      </c>
      <c r="E155" s="233">
        <v>190653434</v>
      </c>
      <c r="F155" s="235" t="s">
        <v>460</v>
      </c>
      <c r="G155" s="233" t="s">
        <v>461</v>
      </c>
      <c r="H155" s="232">
        <v>39846</v>
      </c>
      <c r="I155" s="233">
        <v>17</v>
      </c>
      <c r="J155" s="234" t="s">
        <v>74</v>
      </c>
      <c r="K155" s="231" t="s">
        <v>75</v>
      </c>
      <c r="L155" s="233" t="s">
        <v>76</v>
      </c>
      <c r="M155" s="233" t="s">
        <v>462</v>
      </c>
      <c r="N155" s="233" t="s">
        <v>97</v>
      </c>
      <c r="O155" s="233">
        <v>21983925060</v>
      </c>
      <c r="P155" s="95" t="s">
        <v>56</v>
      </c>
      <c r="Q155" s="145" t="s">
        <v>358</v>
      </c>
      <c r="R155" s="122"/>
      <c r="S155" s="121"/>
      <c r="T155" s="97" t="s">
        <v>230</v>
      </c>
      <c r="U155" s="97" t="s">
        <v>359</v>
      </c>
      <c r="V155" s="118">
        <v>46182</v>
      </c>
      <c r="W155" s="98"/>
      <c r="X155" s="98"/>
      <c r="Y155" s="98"/>
      <c r="Z155" s="89"/>
      <c r="AA155" s="122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L155" s="45" t="s">
        <v>64</v>
      </c>
      <c r="AM155" s="199" t="str">
        <f t="shared" si="16"/>
        <v>5/2026</v>
      </c>
      <c r="AN155" s="45">
        <f t="shared" si="17"/>
        <v>5</v>
      </c>
      <c r="AO155" s="45" t="str">
        <f t="shared" si="18"/>
        <v>1/1900</v>
      </c>
      <c r="AP155" s="45" t="e">
        <f t="shared" si="19"/>
        <v>#NUM!</v>
      </c>
      <c r="AQ155" s="45">
        <f t="shared" si="20"/>
        <v>0</v>
      </c>
      <c r="AR155" s="45">
        <f t="shared" si="21"/>
        <v>0</v>
      </c>
      <c r="AS155" s="45">
        <f t="shared" si="22"/>
        <v>0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hidden="1" customHeight="1" x14ac:dyDescent="0.3">
      <c r="A156" s="89" t="s">
        <v>63</v>
      </c>
      <c r="B156" s="232">
        <v>46168</v>
      </c>
      <c r="C156" s="233" t="s">
        <v>217</v>
      </c>
      <c r="D156" s="233" t="s">
        <v>49</v>
      </c>
      <c r="E156" s="233">
        <v>85436985</v>
      </c>
      <c r="F156" s="235" t="s">
        <v>463</v>
      </c>
      <c r="G156" s="233" t="s">
        <v>464</v>
      </c>
      <c r="H156" s="232">
        <v>22156</v>
      </c>
      <c r="I156" s="233">
        <v>65</v>
      </c>
      <c r="J156" s="234" t="s">
        <v>74</v>
      </c>
      <c r="K156" s="231" t="s">
        <v>75</v>
      </c>
      <c r="L156" s="233" t="s">
        <v>76</v>
      </c>
      <c r="M156" s="233" t="s">
        <v>465</v>
      </c>
      <c r="N156" s="233" t="s">
        <v>67</v>
      </c>
      <c r="O156" s="233">
        <v>21999830153</v>
      </c>
      <c r="P156" s="95" t="s">
        <v>56</v>
      </c>
      <c r="Q156" s="145" t="s">
        <v>358</v>
      </c>
      <c r="R156" s="122"/>
      <c r="S156" s="121"/>
      <c r="T156" s="97" t="s">
        <v>230</v>
      </c>
      <c r="U156" s="97" t="s">
        <v>359</v>
      </c>
      <c r="V156" s="118">
        <v>46182</v>
      </c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64</v>
      </c>
      <c r="AM156" s="199" t="str">
        <f t="shared" si="16"/>
        <v>5/2026</v>
      </c>
      <c r="AN156" s="45">
        <f t="shared" si="17"/>
        <v>5</v>
      </c>
      <c r="AO156" s="45" t="str">
        <f t="shared" si="18"/>
        <v>1/1900</v>
      </c>
      <c r="AP156" s="45" t="e">
        <f t="shared" si="19"/>
        <v>#NUM!</v>
      </c>
      <c r="AQ156" s="45">
        <f t="shared" si="20"/>
        <v>0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9" t="s">
        <v>63</v>
      </c>
      <c r="B157" s="232">
        <v>46168</v>
      </c>
      <c r="C157" s="233" t="s">
        <v>217</v>
      </c>
      <c r="D157" s="233" t="s">
        <v>49</v>
      </c>
      <c r="E157" s="233">
        <v>75077760</v>
      </c>
      <c r="F157" s="235" t="s">
        <v>466</v>
      </c>
      <c r="G157" s="233" t="s">
        <v>467</v>
      </c>
      <c r="H157" s="232">
        <v>17423</v>
      </c>
      <c r="I157" s="233">
        <v>78</v>
      </c>
      <c r="J157" s="234" t="s">
        <v>74</v>
      </c>
      <c r="K157" s="231" t="s">
        <v>75</v>
      </c>
      <c r="L157" s="233" t="s">
        <v>76</v>
      </c>
      <c r="M157" s="233" t="s">
        <v>419</v>
      </c>
      <c r="N157" s="233" t="s">
        <v>104</v>
      </c>
      <c r="O157" s="233">
        <v>21997636952</v>
      </c>
      <c r="P157" s="95" t="s">
        <v>56</v>
      </c>
      <c r="Q157" s="145" t="s">
        <v>57</v>
      </c>
      <c r="R157" s="122">
        <v>46178</v>
      </c>
      <c r="S157" s="121"/>
      <c r="T157" s="97" t="s">
        <v>58</v>
      </c>
      <c r="U157" s="97" t="s">
        <v>59</v>
      </c>
      <c r="V157" s="118">
        <v>46182</v>
      </c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 t="s">
        <v>729</v>
      </c>
      <c r="AK157" s="100"/>
      <c r="AL157" s="45" t="s">
        <v>64</v>
      </c>
      <c r="AM157" s="199" t="str">
        <f t="shared" si="16"/>
        <v>5/2026</v>
      </c>
      <c r="AN157" s="45">
        <f t="shared" si="17"/>
        <v>5</v>
      </c>
      <c r="AO157" s="45" t="str">
        <f t="shared" si="18"/>
        <v>6/2026</v>
      </c>
      <c r="AP157" s="45">
        <f t="shared" si="19"/>
        <v>1</v>
      </c>
      <c r="AQ157" s="45">
        <f t="shared" si="20"/>
        <v>10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 x14ac:dyDescent="0.3">
      <c r="A158" s="89" t="s">
        <v>63</v>
      </c>
      <c r="B158" s="232">
        <v>46168</v>
      </c>
      <c r="C158" s="233" t="s">
        <v>217</v>
      </c>
      <c r="D158" s="233" t="s">
        <v>49</v>
      </c>
      <c r="E158" s="233">
        <v>115537325</v>
      </c>
      <c r="F158" s="235" t="s">
        <v>468</v>
      </c>
      <c r="G158" s="233" t="s">
        <v>469</v>
      </c>
      <c r="H158" s="232">
        <v>17252</v>
      </c>
      <c r="I158" s="233">
        <v>79</v>
      </c>
      <c r="J158" s="234" t="s">
        <v>74</v>
      </c>
      <c r="K158" s="231" t="s">
        <v>75</v>
      </c>
      <c r="L158" s="233" t="s">
        <v>76</v>
      </c>
      <c r="M158" s="233" t="s">
        <v>362</v>
      </c>
      <c r="N158" s="233" t="s">
        <v>121</v>
      </c>
      <c r="O158" s="233">
        <v>21997478545</v>
      </c>
      <c r="P158" s="95" t="s">
        <v>56</v>
      </c>
      <c r="Q158" s="145" t="s">
        <v>358</v>
      </c>
      <c r="R158" s="122"/>
      <c r="S158" s="121"/>
      <c r="T158" s="97" t="s">
        <v>230</v>
      </c>
      <c r="U158" s="97" t="s">
        <v>359</v>
      </c>
      <c r="V158" s="118">
        <v>46182</v>
      </c>
      <c r="W158" s="118"/>
      <c r="X158" s="118"/>
      <c r="Y158" s="118"/>
      <c r="Z158" s="89"/>
      <c r="AA158" s="122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64</v>
      </c>
      <c r="AM158" s="199" t="str">
        <f t="shared" si="16"/>
        <v>5/2026</v>
      </c>
      <c r="AN158" s="45">
        <f t="shared" si="17"/>
        <v>5</v>
      </c>
      <c r="AO158" s="45" t="str">
        <f t="shared" si="18"/>
        <v>1/1900</v>
      </c>
      <c r="AP158" s="45" t="e">
        <f t="shared" si="19"/>
        <v>#NUM!</v>
      </c>
      <c r="AQ158" s="45">
        <f t="shared" si="20"/>
        <v>0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9" t="s">
        <v>63</v>
      </c>
      <c r="B159" s="232">
        <v>46168</v>
      </c>
      <c r="C159" s="233" t="s">
        <v>217</v>
      </c>
      <c r="D159" s="233" t="s">
        <v>49</v>
      </c>
      <c r="E159" s="233">
        <v>94057309</v>
      </c>
      <c r="F159" s="235" t="s">
        <v>470</v>
      </c>
      <c r="G159" s="233" t="s">
        <v>471</v>
      </c>
      <c r="H159" s="232">
        <v>27506</v>
      </c>
      <c r="I159" s="233">
        <v>51</v>
      </c>
      <c r="J159" s="234" t="s">
        <v>74</v>
      </c>
      <c r="K159" s="231" t="s">
        <v>75</v>
      </c>
      <c r="L159" s="233" t="s">
        <v>76</v>
      </c>
      <c r="M159" s="233" t="s">
        <v>462</v>
      </c>
      <c r="N159" s="233" t="s">
        <v>168</v>
      </c>
      <c r="O159" s="233">
        <v>21970455856</v>
      </c>
      <c r="P159" s="95" t="s">
        <v>56</v>
      </c>
      <c r="Q159" s="145" t="s">
        <v>57</v>
      </c>
      <c r="R159" s="122">
        <v>46178</v>
      </c>
      <c r="S159" s="121"/>
      <c r="T159" s="97" t="s">
        <v>58</v>
      </c>
      <c r="U159" s="97" t="s">
        <v>59</v>
      </c>
      <c r="V159" s="118">
        <v>46182</v>
      </c>
      <c r="W159" s="124"/>
      <c r="X159" s="98"/>
      <c r="Y159" s="98"/>
      <c r="Z159" s="89"/>
      <c r="AA159" s="122"/>
      <c r="AB159" s="89"/>
      <c r="AC159" s="120"/>
      <c r="AD159" s="89"/>
      <c r="AE159" s="89"/>
      <c r="AF159" s="119"/>
      <c r="AG159" s="119"/>
      <c r="AH159" s="119"/>
      <c r="AI159" s="100"/>
      <c r="AJ159" s="100" t="s">
        <v>729</v>
      </c>
      <c r="AK159" s="100"/>
      <c r="AL159" s="45" t="s">
        <v>64</v>
      </c>
      <c r="AM159" s="199" t="str">
        <f t="shared" si="16"/>
        <v>5/2026</v>
      </c>
      <c r="AN159" s="45">
        <f t="shared" si="17"/>
        <v>5</v>
      </c>
      <c r="AO159" s="45" t="str">
        <f t="shared" si="18"/>
        <v>6/2026</v>
      </c>
      <c r="AP159" s="45">
        <f t="shared" si="19"/>
        <v>1</v>
      </c>
      <c r="AQ159" s="45">
        <f t="shared" si="20"/>
        <v>10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9" t="s">
        <v>63</v>
      </c>
      <c r="B160" s="232">
        <v>46168</v>
      </c>
      <c r="C160" s="233" t="s">
        <v>217</v>
      </c>
      <c r="D160" s="233" t="s">
        <v>49</v>
      </c>
      <c r="E160" s="233">
        <v>77274203</v>
      </c>
      <c r="F160" s="235" t="s">
        <v>472</v>
      </c>
      <c r="G160" s="233" t="s">
        <v>473</v>
      </c>
      <c r="H160" s="232">
        <v>29433</v>
      </c>
      <c r="I160" s="233">
        <v>45</v>
      </c>
      <c r="J160" s="234" t="s">
        <v>74</v>
      </c>
      <c r="K160" s="231" t="s">
        <v>75</v>
      </c>
      <c r="L160" s="233" t="s">
        <v>76</v>
      </c>
      <c r="M160" s="233" t="s">
        <v>474</v>
      </c>
      <c r="N160" s="233" t="s">
        <v>91</v>
      </c>
      <c r="O160" s="233">
        <v>21997405990</v>
      </c>
      <c r="P160" s="95" t="s">
        <v>56</v>
      </c>
      <c r="Q160" s="145" t="s">
        <v>57</v>
      </c>
      <c r="R160" s="122">
        <v>46178</v>
      </c>
      <c r="S160" s="121"/>
      <c r="T160" s="97" t="s">
        <v>58</v>
      </c>
      <c r="U160" s="97" t="s">
        <v>59</v>
      </c>
      <c r="V160" s="118">
        <v>46182</v>
      </c>
      <c r="W160" s="98"/>
      <c r="X160" s="98"/>
      <c r="Y160" s="98"/>
      <c r="Z160" s="89"/>
      <c r="AA160" s="122"/>
      <c r="AB160" s="89"/>
      <c r="AC160" s="120"/>
      <c r="AD160" s="89"/>
      <c r="AE160" s="89"/>
      <c r="AF160" s="119"/>
      <c r="AG160" s="119"/>
      <c r="AH160" s="119"/>
      <c r="AI160" s="100"/>
      <c r="AJ160" s="100" t="s">
        <v>729</v>
      </c>
      <c r="AK160" s="100"/>
      <c r="AL160" s="45" t="s">
        <v>64</v>
      </c>
      <c r="AM160" s="199" t="str">
        <f t="shared" si="16"/>
        <v>5/2026</v>
      </c>
      <c r="AN160" s="45">
        <f t="shared" si="17"/>
        <v>5</v>
      </c>
      <c r="AO160" s="45" t="str">
        <f t="shared" si="18"/>
        <v>6/2026</v>
      </c>
      <c r="AP160" s="45">
        <f t="shared" si="19"/>
        <v>1</v>
      </c>
      <c r="AQ160" s="45">
        <f t="shared" si="20"/>
        <v>10</v>
      </c>
      <c r="AR160" s="45">
        <f t="shared" si="21"/>
        <v>0</v>
      </c>
      <c r="AS160" s="45">
        <f t="shared" si="22"/>
        <v>0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9" t="s">
        <v>63</v>
      </c>
      <c r="B161" s="232">
        <v>46168</v>
      </c>
      <c r="C161" s="233" t="s">
        <v>217</v>
      </c>
      <c r="D161" s="233" t="s">
        <v>49</v>
      </c>
      <c r="E161" s="233">
        <v>86800887</v>
      </c>
      <c r="F161" s="235" t="s">
        <v>475</v>
      </c>
      <c r="G161" s="233" t="s">
        <v>476</v>
      </c>
      <c r="H161" s="232">
        <v>22745</v>
      </c>
      <c r="I161" s="233">
        <v>64</v>
      </c>
      <c r="J161" s="234" t="s">
        <v>74</v>
      </c>
      <c r="K161" s="231" t="s">
        <v>75</v>
      </c>
      <c r="L161" s="233" t="s">
        <v>76</v>
      </c>
      <c r="M161" s="233" t="s">
        <v>462</v>
      </c>
      <c r="N161" s="233" t="s">
        <v>168</v>
      </c>
      <c r="O161" s="233">
        <v>21971411000</v>
      </c>
      <c r="P161" s="95" t="s">
        <v>56</v>
      </c>
      <c r="Q161" s="145" t="s">
        <v>57</v>
      </c>
      <c r="R161" s="122">
        <v>46178</v>
      </c>
      <c r="S161" s="121"/>
      <c r="T161" s="97" t="s">
        <v>58</v>
      </c>
      <c r="U161" s="97" t="s">
        <v>59</v>
      </c>
      <c r="V161" s="118">
        <v>46182</v>
      </c>
      <c r="W161" s="118"/>
      <c r="X161" s="118"/>
      <c r="Y161" s="118"/>
      <c r="Z161" s="89"/>
      <c r="AA161" s="122"/>
      <c r="AB161" s="89"/>
      <c r="AC161" s="120"/>
      <c r="AD161" s="89"/>
      <c r="AE161" s="89"/>
      <c r="AF161" s="119"/>
      <c r="AG161" s="119"/>
      <c r="AH161" s="119"/>
      <c r="AI161" s="100"/>
      <c r="AJ161" s="100" t="s">
        <v>729</v>
      </c>
      <c r="AK161" s="100"/>
      <c r="AL161" s="45" t="s">
        <v>64</v>
      </c>
      <c r="AM161" s="199" t="str">
        <f t="shared" si="16"/>
        <v>5/2026</v>
      </c>
      <c r="AN161" s="45">
        <f t="shared" si="17"/>
        <v>5</v>
      </c>
      <c r="AO161" s="45" t="str">
        <f t="shared" si="18"/>
        <v>6/2026</v>
      </c>
      <c r="AP161" s="45">
        <f t="shared" si="19"/>
        <v>1</v>
      </c>
      <c r="AQ161" s="45">
        <f t="shared" si="20"/>
        <v>10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hidden="1" customHeight="1" x14ac:dyDescent="0.3">
      <c r="A162" s="89" t="s">
        <v>63</v>
      </c>
      <c r="B162" s="232">
        <v>46168</v>
      </c>
      <c r="C162" s="233" t="s">
        <v>217</v>
      </c>
      <c r="D162" s="233" t="s">
        <v>49</v>
      </c>
      <c r="E162" s="233">
        <v>88129721</v>
      </c>
      <c r="F162" s="235" t="s">
        <v>477</v>
      </c>
      <c r="G162" s="233" t="s">
        <v>478</v>
      </c>
      <c r="H162" s="232">
        <v>20431</v>
      </c>
      <c r="I162" s="233">
        <v>70</v>
      </c>
      <c r="J162" s="234" t="s">
        <v>74</v>
      </c>
      <c r="K162" s="244" t="s">
        <v>75</v>
      </c>
      <c r="L162" s="233" t="s">
        <v>76</v>
      </c>
      <c r="M162" s="233" t="s">
        <v>398</v>
      </c>
      <c r="N162" s="233" t="s">
        <v>399</v>
      </c>
      <c r="O162" s="233">
        <v>21983550865</v>
      </c>
      <c r="P162" s="95" t="s">
        <v>56</v>
      </c>
      <c r="Q162" s="145" t="s">
        <v>358</v>
      </c>
      <c r="R162" s="122"/>
      <c r="S162" s="121"/>
      <c r="T162" s="97" t="s">
        <v>230</v>
      </c>
      <c r="U162" s="97" t="s">
        <v>359</v>
      </c>
      <c r="V162" s="118">
        <v>46182</v>
      </c>
      <c r="W162" s="124"/>
      <c r="X162" s="98"/>
      <c r="Y162" s="9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64</v>
      </c>
      <c r="AM162" s="199" t="str">
        <f t="shared" si="16"/>
        <v>5/2026</v>
      </c>
      <c r="AN162" s="45">
        <f t="shared" si="17"/>
        <v>5</v>
      </c>
      <c r="AO162" s="45" t="str">
        <f t="shared" si="18"/>
        <v>1/1900</v>
      </c>
      <c r="AP162" s="45" t="e">
        <f t="shared" si="19"/>
        <v>#NUM!</v>
      </c>
      <c r="AQ162" s="45">
        <f t="shared" si="20"/>
        <v>0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hidden="1" customHeight="1" x14ac:dyDescent="0.3">
      <c r="A163" s="89" t="s">
        <v>63</v>
      </c>
      <c r="B163" s="232">
        <v>46168</v>
      </c>
      <c r="C163" s="233" t="s">
        <v>217</v>
      </c>
      <c r="D163" s="233" t="s">
        <v>49</v>
      </c>
      <c r="E163" s="233">
        <v>553997025</v>
      </c>
      <c r="F163" s="235" t="s">
        <v>479</v>
      </c>
      <c r="G163" s="233" t="s">
        <v>480</v>
      </c>
      <c r="H163" s="232">
        <v>16840</v>
      </c>
      <c r="I163" s="233">
        <v>80</v>
      </c>
      <c r="J163" s="230" t="s">
        <v>51</v>
      </c>
      <c r="K163" s="229" t="s">
        <v>52</v>
      </c>
      <c r="L163" s="233" t="s">
        <v>66</v>
      </c>
      <c r="M163" s="233" t="s">
        <v>481</v>
      </c>
      <c r="N163" s="233" t="s">
        <v>212</v>
      </c>
      <c r="O163" s="233">
        <v>41988449351</v>
      </c>
      <c r="P163" s="95" t="s">
        <v>56</v>
      </c>
      <c r="Q163" s="145" t="s">
        <v>358</v>
      </c>
      <c r="R163" s="122"/>
      <c r="S163" s="121"/>
      <c r="T163" s="97" t="s">
        <v>230</v>
      </c>
      <c r="U163" s="97" t="s">
        <v>359</v>
      </c>
      <c r="V163" s="118">
        <v>46182</v>
      </c>
      <c r="W163" s="118"/>
      <c r="X163" s="11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64</v>
      </c>
      <c r="AM163" s="199" t="str">
        <f t="shared" si="16"/>
        <v>5/2026</v>
      </c>
      <c r="AN163" s="45">
        <f t="shared" si="17"/>
        <v>5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9" t="s">
        <v>63</v>
      </c>
      <c r="B164" s="232">
        <v>46168</v>
      </c>
      <c r="C164" s="233" t="s">
        <v>217</v>
      </c>
      <c r="D164" s="233" t="s">
        <v>49</v>
      </c>
      <c r="E164" s="233">
        <v>85271220</v>
      </c>
      <c r="F164" s="235" t="s">
        <v>482</v>
      </c>
      <c r="G164" s="233" t="s">
        <v>483</v>
      </c>
      <c r="H164" s="232">
        <v>22731</v>
      </c>
      <c r="I164" s="233">
        <v>64</v>
      </c>
      <c r="J164" s="230" t="s">
        <v>51</v>
      </c>
      <c r="K164" s="231" t="s">
        <v>75</v>
      </c>
      <c r="L164" s="233" t="s">
        <v>76</v>
      </c>
      <c r="M164" s="233" t="s">
        <v>484</v>
      </c>
      <c r="N164" s="233" t="s">
        <v>399</v>
      </c>
      <c r="O164" s="233">
        <v>21975090564</v>
      </c>
      <c r="P164" s="95" t="s">
        <v>56</v>
      </c>
      <c r="Q164" s="145" t="s">
        <v>358</v>
      </c>
      <c r="R164" s="122"/>
      <c r="S164" s="121"/>
      <c r="T164" s="97" t="s">
        <v>230</v>
      </c>
      <c r="U164" s="97" t="s">
        <v>359</v>
      </c>
      <c r="V164" s="118">
        <v>46182</v>
      </c>
      <c r="W164" s="118"/>
      <c r="X164" s="11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64</v>
      </c>
      <c r="AM164" s="199" t="str">
        <f t="shared" si="16"/>
        <v>5/2026</v>
      </c>
      <c r="AN164" s="45">
        <f t="shared" si="17"/>
        <v>5</v>
      </c>
      <c r="AO164" s="45" t="str">
        <f t="shared" si="18"/>
        <v>1/1900</v>
      </c>
      <c r="AP164" s="45" t="e">
        <f t="shared" si="19"/>
        <v>#NUM!</v>
      </c>
      <c r="AQ164" s="45">
        <f t="shared" si="20"/>
        <v>0</v>
      </c>
      <c r="AR164" s="45">
        <f t="shared" si="21"/>
        <v>0</v>
      </c>
      <c r="AS164" s="45">
        <f t="shared" si="22"/>
        <v>0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9" t="s">
        <v>63</v>
      </c>
      <c r="B165" s="232">
        <v>46168</v>
      </c>
      <c r="C165" s="233" t="s">
        <v>217</v>
      </c>
      <c r="D165" s="233" t="s">
        <v>49</v>
      </c>
      <c r="E165" s="233">
        <v>975215019</v>
      </c>
      <c r="F165" s="235" t="s">
        <v>485</v>
      </c>
      <c r="G165" s="233" t="s">
        <v>486</v>
      </c>
      <c r="H165" s="232">
        <v>38843</v>
      </c>
      <c r="I165" s="233">
        <v>20</v>
      </c>
      <c r="J165" s="230" t="s">
        <v>51</v>
      </c>
      <c r="K165" s="231" t="s">
        <v>75</v>
      </c>
      <c r="L165" s="233" t="s">
        <v>76</v>
      </c>
      <c r="M165" s="233" t="s">
        <v>462</v>
      </c>
      <c r="N165" s="233" t="s">
        <v>97</v>
      </c>
      <c r="O165" s="233">
        <v>21964683079</v>
      </c>
      <c r="P165" s="95" t="s">
        <v>56</v>
      </c>
      <c r="Q165" s="145" t="s">
        <v>57</v>
      </c>
      <c r="R165" s="122">
        <v>46178</v>
      </c>
      <c r="S165" s="121"/>
      <c r="T165" s="97" t="s">
        <v>58</v>
      </c>
      <c r="U165" s="97" t="s">
        <v>59</v>
      </c>
      <c r="V165" s="118">
        <v>46182</v>
      </c>
      <c r="W165" s="98"/>
      <c r="X165" s="98"/>
      <c r="Y165" s="98"/>
      <c r="Z165" s="89"/>
      <c r="AA165" s="97"/>
      <c r="AB165" s="89"/>
      <c r="AC165" s="120"/>
      <c r="AD165" s="89"/>
      <c r="AE165" s="89"/>
      <c r="AF165" s="119"/>
      <c r="AG165" s="119"/>
      <c r="AH165" s="119"/>
      <c r="AI165" s="100"/>
      <c r="AJ165" s="100" t="s">
        <v>729</v>
      </c>
      <c r="AK165" s="100"/>
      <c r="AL165" s="45" t="s">
        <v>64</v>
      </c>
      <c r="AM165" s="199" t="str">
        <f t="shared" si="16"/>
        <v>5/2026</v>
      </c>
      <c r="AN165" s="45">
        <f t="shared" si="17"/>
        <v>5</v>
      </c>
      <c r="AO165" s="45" t="str">
        <f t="shared" si="18"/>
        <v>6/2026</v>
      </c>
      <c r="AP165" s="45">
        <f t="shared" si="19"/>
        <v>1</v>
      </c>
      <c r="AQ165" s="45">
        <f t="shared" si="20"/>
        <v>10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9" t="s">
        <v>63</v>
      </c>
      <c r="B166" s="232">
        <v>46168</v>
      </c>
      <c r="C166" s="233" t="s">
        <v>217</v>
      </c>
      <c r="D166" s="233" t="s">
        <v>49</v>
      </c>
      <c r="E166" s="233">
        <v>86632062</v>
      </c>
      <c r="F166" s="235" t="s">
        <v>487</v>
      </c>
      <c r="G166" s="233" t="s">
        <v>488</v>
      </c>
      <c r="H166" s="232">
        <v>16357</v>
      </c>
      <c r="I166" s="233">
        <v>81</v>
      </c>
      <c r="J166" s="230" t="s">
        <v>51</v>
      </c>
      <c r="K166" s="231" t="s">
        <v>75</v>
      </c>
      <c r="L166" s="233" t="s">
        <v>76</v>
      </c>
      <c r="M166" s="233" t="s">
        <v>489</v>
      </c>
      <c r="N166" s="233" t="s">
        <v>67</v>
      </c>
      <c r="O166" s="233">
        <v>21996324198</v>
      </c>
      <c r="P166" s="95" t="s">
        <v>56</v>
      </c>
      <c r="Q166" s="145" t="s">
        <v>57</v>
      </c>
      <c r="R166" s="122">
        <v>46178</v>
      </c>
      <c r="S166" s="121"/>
      <c r="T166" s="97" t="s">
        <v>58</v>
      </c>
      <c r="U166" s="97" t="s">
        <v>59</v>
      </c>
      <c r="V166" s="118">
        <v>46182</v>
      </c>
      <c r="W166" s="98"/>
      <c r="X166" s="98"/>
      <c r="Y166" s="98"/>
      <c r="Z166" s="89"/>
      <c r="AA166" s="97"/>
      <c r="AB166" s="89"/>
      <c r="AC166" s="120"/>
      <c r="AD166" s="89"/>
      <c r="AE166" s="89"/>
      <c r="AF166" s="119"/>
      <c r="AG166" s="119"/>
      <c r="AH166" s="119"/>
      <c r="AI166" s="100"/>
      <c r="AJ166" s="100" t="s">
        <v>729</v>
      </c>
      <c r="AK166" s="100"/>
      <c r="AL166" s="45" t="s">
        <v>64</v>
      </c>
      <c r="AM166" s="199" t="str">
        <f t="shared" si="16"/>
        <v>5/2026</v>
      </c>
      <c r="AN166" s="45">
        <f t="shared" si="17"/>
        <v>5</v>
      </c>
      <c r="AO166" s="45" t="str">
        <f t="shared" si="18"/>
        <v>6/2026</v>
      </c>
      <c r="AP166" s="45">
        <f t="shared" si="19"/>
        <v>1</v>
      </c>
      <c r="AQ166" s="45">
        <f t="shared" si="20"/>
        <v>10</v>
      </c>
      <c r="AR166" s="45">
        <f t="shared" si="21"/>
        <v>0</v>
      </c>
      <c r="AS166" s="45">
        <f t="shared" si="22"/>
        <v>0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hidden="1" customHeight="1" x14ac:dyDescent="0.3">
      <c r="A167" s="89" t="s">
        <v>63</v>
      </c>
      <c r="B167" s="232">
        <v>46168</v>
      </c>
      <c r="C167" s="233" t="s">
        <v>217</v>
      </c>
      <c r="D167" s="233" t="s">
        <v>49</v>
      </c>
      <c r="E167" s="233">
        <v>92616230</v>
      </c>
      <c r="F167" s="235" t="s">
        <v>490</v>
      </c>
      <c r="G167" s="233" t="s">
        <v>491</v>
      </c>
      <c r="H167" s="232">
        <v>31333</v>
      </c>
      <c r="I167" s="233">
        <v>40</v>
      </c>
      <c r="J167" s="230" t="s">
        <v>51</v>
      </c>
      <c r="K167" s="231" t="s">
        <v>75</v>
      </c>
      <c r="L167" s="233" t="s">
        <v>76</v>
      </c>
      <c r="M167" s="233" t="s">
        <v>362</v>
      </c>
      <c r="N167" s="233" t="s">
        <v>80</v>
      </c>
      <c r="O167" s="233">
        <v>21980174371</v>
      </c>
      <c r="P167" s="95" t="s">
        <v>56</v>
      </c>
      <c r="Q167" s="145" t="s">
        <v>358</v>
      </c>
      <c r="R167" s="122"/>
      <c r="S167" s="121"/>
      <c r="T167" s="97" t="s">
        <v>230</v>
      </c>
      <c r="U167" s="97" t="s">
        <v>359</v>
      </c>
      <c r="V167" s="118">
        <v>46182</v>
      </c>
      <c r="W167" s="98"/>
      <c r="X167" s="98"/>
      <c r="Y167" s="98"/>
      <c r="Z167" s="89"/>
      <c r="AA167" s="97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L167" s="45" t="s">
        <v>64</v>
      </c>
      <c r="AM167" s="199" t="str">
        <f t="shared" si="16"/>
        <v>5/2026</v>
      </c>
      <c r="AN167" s="45">
        <f t="shared" si="17"/>
        <v>5</v>
      </c>
      <c r="AO167" s="45" t="str">
        <f t="shared" si="18"/>
        <v>1/1900</v>
      </c>
      <c r="AP167" s="45" t="e">
        <f t="shared" si="19"/>
        <v>#NUM!</v>
      </c>
      <c r="AQ167" s="45">
        <f t="shared" si="20"/>
        <v>0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hidden="1" customHeight="1" x14ac:dyDescent="0.3">
      <c r="A168" s="89" t="s">
        <v>63</v>
      </c>
      <c r="B168" s="232">
        <v>46168</v>
      </c>
      <c r="C168" s="233" t="s">
        <v>217</v>
      </c>
      <c r="D168" s="233" t="s">
        <v>49</v>
      </c>
      <c r="E168" s="233">
        <v>108841324</v>
      </c>
      <c r="F168" s="235" t="s">
        <v>492</v>
      </c>
      <c r="G168" s="233" t="s">
        <v>493</v>
      </c>
      <c r="H168" s="232">
        <v>15743</v>
      </c>
      <c r="I168" s="233">
        <v>83</v>
      </c>
      <c r="J168" s="234" t="s">
        <v>74</v>
      </c>
      <c r="K168" s="244" t="s">
        <v>75</v>
      </c>
      <c r="L168" s="233" t="s">
        <v>76</v>
      </c>
      <c r="M168" s="233" t="s">
        <v>494</v>
      </c>
      <c r="N168" s="233" t="s">
        <v>97</v>
      </c>
      <c r="O168" s="233">
        <v>21996323755</v>
      </c>
      <c r="P168" s="95" t="s">
        <v>56</v>
      </c>
      <c r="Q168" s="145" t="s">
        <v>358</v>
      </c>
      <c r="R168" s="122"/>
      <c r="S168" s="121"/>
      <c r="T168" s="97" t="s">
        <v>230</v>
      </c>
      <c r="U168" s="97" t="s">
        <v>359</v>
      </c>
      <c r="V168" s="118">
        <v>46182</v>
      </c>
      <c r="W168" s="98"/>
      <c r="X168" s="98"/>
      <c r="Y168" s="98"/>
      <c r="Z168" s="89"/>
      <c r="AA168" s="97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64</v>
      </c>
      <c r="AM168" s="199" t="str">
        <f t="shared" si="16"/>
        <v>5/2026</v>
      </c>
      <c r="AN168" s="45">
        <f t="shared" si="17"/>
        <v>5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9" t="s">
        <v>63</v>
      </c>
      <c r="B169" s="232">
        <v>46168</v>
      </c>
      <c r="C169" s="233" t="s">
        <v>217</v>
      </c>
      <c r="D169" s="233" t="s">
        <v>49</v>
      </c>
      <c r="E169" s="233">
        <v>87196314</v>
      </c>
      <c r="F169" s="235" t="s">
        <v>495</v>
      </c>
      <c r="G169" s="233" t="s">
        <v>496</v>
      </c>
      <c r="H169" s="232">
        <v>33304</v>
      </c>
      <c r="I169" s="233">
        <v>35</v>
      </c>
      <c r="J169" s="230" t="s">
        <v>51</v>
      </c>
      <c r="K169" s="229" t="s">
        <v>52</v>
      </c>
      <c r="L169" s="233" t="s">
        <v>66</v>
      </c>
      <c r="M169" s="233" t="s">
        <v>497</v>
      </c>
      <c r="N169" s="233" t="s">
        <v>111</v>
      </c>
      <c r="O169" s="233">
        <v>99982249857</v>
      </c>
      <c r="P169" s="95" t="s">
        <v>56</v>
      </c>
      <c r="Q169" s="145" t="s">
        <v>57</v>
      </c>
      <c r="R169" s="122">
        <v>46178</v>
      </c>
      <c r="S169" s="121"/>
      <c r="T169" s="97" t="s">
        <v>58</v>
      </c>
      <c r="U169" s="97" t="s">
        <v>59</v>
      </c>
      <c r="V169" s="118">
        <v>46182</v>
      </c>
      <c r="W169" s="98"/>
      <c r="X169" s="98"/>
      <c r="Y169" s="98"/>
      <c r="Z169" s="89"/>
      <c r="AA169" s="97"/>
      <c r="AB169" s="89"/>
      <c r="AC169" s="120"/>
      <c r="AD169" s="89"/>
      <c r="AE169" s="89"/>
      <c r="AF169" s="119"/>
      <c r="AG169" s="119"/>
      <c r="AH169" s="119"/>
      <c r="AI169" s="100"/>
      <c r="AJ169" s="100" t="s">
        <v>729</v>
      </c>
      <c r="AK169" s="100"/>
      <c r="AL169" s="45" t="s">
        <v>64</v>
      </c>
      <c r="AM169" s="199" t="str">
        <f t="shared" si="16"/>
        <v>5/2026</v>
      </c>
      <c r="AN169" s="45">
        <f t="shared" si="17"/>
        <v>5</v>
      </c>
      <c r="AO169" s="45" t="str">
        <f t="shared" si="18"/>
        <v>6/2026</v>
      </c>
      <c r="AP169" s="45">
        <f t="shared" si="19"/>
        <v>1</v>
      </c>
      <c r="AQ169" s="45">
        <f t="shared" si="20"/>
        <v>10</v>
      </c>
      <c r="AR169" s="45">
        <f t="shared" si="21"/>
        <v>0</v>
      </c>
      <c r="AS169" s="45">
        <f t="shared" si="22"/>
        <v>0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hidden="1" customHeight="1" x14ac:dyDescent="0.3">
      <c r="A170" s="89" t="s">
        <v>63</v>
      </c>
      <c r="B170" s="232">
        <v>46168</v>
      </c>
      <c r="C170" s="233" t="s">
        <v>217</v>
      </c>
      <c r="D170" s="233" t="s">
        <v>49</v>
      </c>
      <c r="E170" s="233">
        <v>93588777</v>
      </c>
      <c r="F170" s="235" t="s">
        <v>498</v>
      </c>
      <c r="G170" s="233" t="s">
        <v>499</v>
      </c>
      <c r="H170" s="232">
        <v>26304</v>
      </c>
      <c r="I170" s="233">
        <v>54</v>
      </c>
      <c r="J170" s="234" t="s">
        <v>74</v>
      </c>
      <c r="K170" s="231" t="s">
        <v>75</v>
      </c>
      <c r="L170" s="233" t="s">
        <v>76</v>
      </c>
      <c r="M170" s="233" t="s">
        <v>500</v>
      </c>
      <c r="N170" s="233" t="s">
        <v>399</v>
      </c>
      <c r="O170" s="233">
        <v>21968884197</v>
      </c>
      <c r="P170" s="95" t="s">
        <v>56</v>
      </c>
      <c r="Q170" s="145" t="s">
        <v>358</v>
      </c>
      <c r="R170" s="122"/>
      <c r="S170" s="121"/>
      <c r="T170" s="97" t="s">
        <v>230</v>
      </c>
      <c r="U170" s="97" t="s">
        <v>359</v>
      </c>
      <c r="V170" s="118">
        <v>46182</v>
      </c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64</v>
      </c>
      <c r="AM170" s="199" t="str">
        <f t="shared" si="16"/>
        <v>5/2026</v>
      </c>
      <c r="AN170" s="45">
        <f t="shared" si="17"/>
        <v>5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hidden="1" customHeight="1" x14ac:dyDescent="0.3">
      <c r="A171" s="89" t="s">
        <v>63</v>
      </c>
      <c r="B171" s="232">
        <v>46168</v>
      </c>
      <c r="C171" s="233" t="s">
        <v>217</v>
      </c>
      <c r="D171" s="233" t="s">
        <v>49</v>
      </c>
      <c r="E171" s="233">
        <v>93268117</v>
      </c>
      <c r="F171" s="235" t="s">
        <v>501</v>
      </c>
      <c r="G171" s="233" t="s">
        <v>502</v>
      </c>
      <c r="H171" s="232">
        <v>22235</v>
      </c>
      <c r="I171" s="233">
        <v>65</v>
      </c>
      <c r="J171" s="234" t="s">
        <v>74</v>
      </c>
      <c r="K171" s="231" t="s">
        <v>75</v>
      </c>
      <c r="L171" s="233" t="s">
        <v>76</v>
      </c>
      <c r="M171" s="233" t="s">
        <v>462</v>
      </c>
      <c r="N171" s="233" t="s">
        <v>168</v>
      </c>
      <c r="O171" s="233">
        <v>21982202820</v>
      </c>
      <c r="P171" s="95" t="s">
        <v>56</v>
      </c>
      <c r="Q171" s="145" t="s">
        <v>358</v>
      </c>
      <c r="R171" s="122"/>
      <c r="S171" s="121"/>
      <c r="T171" s="97" t="s">
        <v>230</v>
      </c>
      <c r="U171" s="97" t="s">
        <v>359</v>
      </c>
      <c r="V171" s="118">
        <v>46182</v>
      </c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L171" s="45" t="s">
        <v>64</v>
      </c>
      <c r="AM171" s="199" t="str">
        <f t="shared" si="16"/>
        <v>5/2026</v>
      </c>
      <c r="AN171" s="45">
        <f t="shared" si="17"/>
        <v>5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hidden="1" customHeight="1" x14ac:dyDescent="0.3">
      <c r="A172" s="89" t="s">
        <v>63</v>
      </c>
      <c r="B172" s="232">
        <v>46168</v>
      </c>
      <c r="C172" s="233" t="s">
        <v>217</v>
      </c>
      <c r="D172" s="233" t="s">
        <v>49</v>
      </c>
      <c r="E172" s="233">
        <v>882861336</v>
      </c>
      <c r="F172" s="235" t="s">
        <v>503</v>
      </c>
      <c r="G172" s="233" t="s">
        <v>504</v>
      </c>
      <c r="H172" s="232">
        <v>23095</v>
      </c>
      <c r="I172" s="233">
        <v>63</v>
      </c>
      <c r="J172" s="234" t="s">
        <v>74</v>
      </c>
      <c r="K172" s="231" t="s">
        <v>75</v>
      </c>
      <c r="L172" s="233" t="s">
        <v>76</v>
      </c>
      <c r="M172" s="233" t="s">
        <v>413</v>
      </c>
      <c r="N172" s="233" t="s">
        <v>97</v>
      </c>
      <c r="O172" s="233">
        <v>21981789966</v>
      </c>
      <c r="P172" s="95" t="s">
        <v>56</v>
      </c>
      <c r="Q172" s="145" t="s">
        <v>358</v>
      </c>
      <c r="R172" s="122"/>
      <c r="S172" s="121"/>
      <c r="T172" s="97" t="s">
        <v>230</v>
      </c>
      <c r="U172" s="97" t="s">
        <v>359</v>
      </c>
      <c r="V172" s="118">
        <v>46182</v>
      </c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64</v>
      </c>
      <c r="AM172" s="199" t="str">
        <f t="shared" si="16"/>
        <v>5/2026</v>
      </c>
      <c r="AN172" s="45">
        <f t="shared" si="17"/>
        <v>5</v>
      </c>
      <c r="AO172" s="45" t="str">
        <f t="shared" si="18"/>
        <v>1/1900</v>
      </c>
      <c r="AP172" s="45" t="e">
        <f t="shared" si="19"/>
        <v>#NUM!</v>
      </c>
      <c r="AQ172" s="45">
        <f t="shared" si="20"/>
        <v>0</v>
      </c>
      <c r="AR172" s="45">
        <f t="shared" si="21"/>
        <v>0</v>
      </c>
      <c r="AS172" s="45">
        <f t="shared" si="22"/>
        <v>0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hidden="1" customHeight="1" x14ac:dyDescent="0.3">
      <c r="A173" s="89" t="s">
        <v>63</v>
      </c>
      <c r="B173" s="232">
        <v>46168</v>
      </c>
      <c r="C173" s="233" t="s">
        <v>217</v>
      </c>
      <c r="D173" s="233" t="s">
        <v>49</v>
      </c>
      <c r="E173" s="233">
        <v>881978086</v>
      </c>
      <c r="F173" s="235" t="s">
        <v>505</v>
      </c>
      <c r="G173" s="233" t="s">
        <v>506</v>
      </c>
      <c r="H173" s="232">
        <v>14861</v>
      </c>
      <c r="I173" s="233">
        <v>85</v>
      </c>
      <c r="J173" s="234" t="s">
        <v>74</v>
      </c>
      <c r="K173" s="231" t="s">
        <v>75</v>
      </c>
      <c r="L173" s="233" t="s">
        <v>76</v>
      </c>
      <c r="M173" s="233" t="s">
        <v>462</v>
      </c>
      <c r="N173" s="233" t="s">
        <v>104</v>
      </c>
      <c r="O173" s="233">
        <v>21986223236</v>
      </c>
      <c r="P173" s="95" t="s">
        <v>56</v>
      </c>
      <c r="Q173" s="145" t="s">
        <v>358</v>
      </c>
      <c r="R173" s="122"/>
      <c r="S173" s="121"/>
      <c r="T173" s="97" t="s">
        <v>230</v>
      </c>
      <c r="U173" s="97" t="s">
        <v>359</v>
      </c>
      <c r="V173" s="118">
        <v>46182</v>
      </c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64</v>
      </c>
      <c r="AM173" s="199" t="str">
        <f t="shared" si="16"/>
        <v>5/2026</v>
      </c>
      <c r="AN173" s="45">
        <f t="shared" si="17"/>
        <v>5</v>
      </c>
      <c r="AO173" s="45" t="str">
        <f t="shared" si="18"/>
        <v>1/1900</v>
      </c>
      <c r="AP173" s="45" t="e">
        <f t="shared" si="19"/>
        <v>#NUM!</v>
      </c>
      <c r="AQ173" s="45">
        <f t="shared" si="20"/>
        <v>0</v>
      </c>
      <c r="AR173" s="45">
        <f t="shared" si="21"/>
        <v>0</v>
      </c>
      <c r="AS173" s="45">
        <f t="shared" si="22"/>
        <v>0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hidden="1" customHeight="1" x14ac:dyDescent="0.3">
      <c r="A174" s="89" t="s">
        <v>63</v>
      </c>
      <c r="B174" s="232">
        <v>46168</v>
      </c>
      <c r="C174" s="233" t="s">
        <v>217</v>
      </c>
      <c r="D174" s="233" t="s">
        <v>49</v>
      </c>
      <c r="E174" s="233">
        <v>86286349</v>
      </c>
      <c r="F174" s="235" t="s">
        <v>507</v>
      </c>
      <c r="G174" s="233" t="s">
        <v>508</v>
      </c>
      <c r="H174" s="232">
        <v>17449</v>
      </c>
      <c r="I174" s="233">
        <v>78</v>
      </c>
      <c r="J174" s="234" t="s">
        <v>74</v>
      </c>
      <c r="K174" s="231" t="s">
        <v>75</v>
      </c>
      <c r="L174" s="233" t="s">
        <v>76</v>
      </c>
      <c r="M174" s="233" t="s">
        <v>509</v>
      </c>
      <c r="N174" s="233" t="s">
        <v>111</v>
      </c>
      <c r="O174" s="233">
        <v>21964574998</v>
      </c>
      <c r="P174" s="95" t="s">
        <v>56</v>
      </c>
      <c r="Q174" s="145" t="s">
        <v>358</v>
      </c>
      <c r="R174" s="122"/>
      <c r="S174" s="121"/>
      <c r="T174" s="97" t="s">
        <v>230</v>
      </c>
      <c r="U174" s="97" t="s">
        <v>359</v>
      </c>
      <c r="V174" s="118">
        <v>46182</v>
      </c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64</v>
      </c>
      <c r="AM174" s="199" t="str">
        <f t="shared" si="16"/>
        <v>5/2026</v>
      </c>
      <c r="AN174" s="45">
        <f t="shared" si="17"/>
        <v>5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9" t="s">
        <v>63</v>
      </c>
      <c r="B175" s="232">
        <v>46168</v>
      </c>
      <c r="C175" s="233" t="s">
        <v>217</v>
      </c>
      <c r="D175" s="233" t="s">
        <v>49</v>
      </c>
      <c r="E175" s="233">
        <v>88518470</v>
      </c>
      <c r="F175" s="235" t="s">
        <v>510</v>
      </c>
      <c r="G175" s="233" t="s">
        <v>511</v>
      </c>
      <c r="H175" s="232">
        <v>20678</v>
      </c>
      <c r="I175" s="233">
        <v>69</v>
      </c>
      <c r="J175" s="234" t="s">
        <v>74</v>
      </c>
      <c r="K175" s="244" t="s">
        <v>75</v>
      </c>
      <c r="L175" s="233" t="s">
        <v>76</v>
      </c>
      <c r="M175" s="233" t="s">
        <v>392</v>
      </c>
      <c r="N175" s="233" t="s">
        <v>67</v>
      </c>
      <c r="O175" s="233">
        <v>21985673083</v>
      </c>
      <c r="P175" s="95" t="s">
        <v>56</v>
      </c>
      <c r="Q175" s="145" t="s">
        <v>57</v>
      </c>
      <c r="R175" s="122">
        <v>46178</v>
      </c>
      <c r="S175" s="121"/>
      <c r="T175" s="97" t="s">
        <v>58</v>
      </c>
      <c r="U175" s="97" t="s">
        <v>59</v>
      </c>
      <c r="V175" s="118">
        <v>46182</v>
      </c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 t="s">
        <v>729</v>
      </c>
      <c r="AK175" s="100"/>
      <c r="AL175" s="45" t="s">
        <v>64</v>
      </c>
      <c r="AM175" s="199" t="str">
        <f t="shared" si="16"/>
        <v>5/2026</v>
      </c>
      <c r="AN175" s="45">
        <f t="shared" si="17"/>
        <v>5</v>
      </c>
      <c r="AO175" s="45" t="str">
        <f t="shared" si="18"/>
        <v>6/2026</v>
      </c>
      <c r="AP175" s="45">
        <f t="shared" si="19"/>
        <v>1</v>
      </c>
      <c r="AQ175" s="45">
        <f t="shared" si="20"/>
        <v>10</v>
      </c>
      <c r="AR175" s="45">
        <f t="shared" si="21"/>
        <v>0</v>
      </c>
      <c r="AS175" s="45">
        <f t="shared" si="22"/>
        <v>0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hidden="1" customHeight="1" x14ac:dyDescent="0.3">
      <c r="A176" s="89" t="s">
        <v>63</v>
      </c>
      <c r="B176" s="232">
        <v>46168</v>
      </c>
      <c r="C176" s="233" t="s">
        <v>217</v>
      </c>
      <c r="D176" s="233" t="s">
        <v>49</v>
      </c>
      <c r="E176" s="233">
        <v>83161669</v>
      </c>
      <c r="F176" s="235" t="s">
        <v>512</v>
      </c>
      <c r="G176" s="233" t="s">
        <v>513</v>
      </c>
      <c r="H176" s="232">
        <v>35793</v>
      </c>
      <c r="I176" s="233">
        <v>28</v>
      </c>
      <c r="J176" s="230" t="s">
        <v>51</v>
      </c>
      <c r="K176" s="229" t="s">
        <v>52</v>
      </c>
      <c r="L176" s="233" t="s">
        <v>66</v>
      </c>
      <c r="M176" s="233" t="s">
        <v>497</v>
      </c>
      <c r="N176" s="233" t="s">
        <v>67</v>
      </c>
      <c r="O176" s="233">
        <v>21964190783</v>
      </c>
      <c r="P176" s="95" t="s">
        <v>56</v>
      </c>
      <c r="Q176" s="145" t="s">
        <v>358</v>
      </c>
      <c r="R176" s="122"/>
      <c r="S176" s="121"/>
      <c r="T176" s="97" t="s">
        <v>230</v>
      </c>
      <c r="U176" s="97" t="s">
        <v>359</v>
      </c>
      <c r="V176" s="118">
        <v>46182</v>
      </c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64</v>
      </c>
      <c r="AM176" s="199" t="str">
        <f t="shared" si="16"/>
        <v>5/2026</v>
      </c>
      <c r="AN176" s="45">
        <f t="shared" si="17"/>
        <v>5</v>
      </c>
      <c r="AO176" s="45" t="str">
        <f t="shared" si="18"/>
        <v>1/1900</v>
      </c>
      <c r="AP176" s="45" t="e">
        <f t="shared" si="19"/>
        <v>#NUM!</v>
      </c>
      <c r="AQ176" s="45">
        <f t="shared" si="20"/>
        <v>0</v>
      </c>
      <c r="AR176" s="45">
        <f t="shared" si="21"/>
        <v>0</v>
      </c>
      <c r="AS176" s="45">
        <f t="shared" si="22"/>
        <v>0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hidden="1" customHeight="1" x14ac:dyDescent="0.3">
      <c r="A177" s="89" t="s">
        <v>63</v>
      </c>
      <c r="B177" s="232">
        <v>46168</v>
      </c>
      <c r="C177" s="233" t="s">
        <v>217</v>
      </c>
      <c r="D177" s="233" t="s">
        <v>49</v>
      </c>
      <c r="E177" s="233">
        <v>86159813</v>
      </c>
      <c r="F177" s="235" t="s">
        <v>514</v>
      </c>
      <c r="G177" s="233" t="s">
        <v>515</v>
      </c>
      <c r="H177" s="232">
        <v>13506</v>
      </c>
      <c r="I177" s="233">
        <v>89</v>
      </c>
      <c r="J177" s="234" t="s">
        <v>74</v>
      </c>
      <c r="K177" s="231" t="s">
        <v>75</v>
      </c>
      <c r="L177" s="233" t="s">
        <v>76</v>
      </c>
      <c r="M177" s="233" t="s">
        <v>516</v>
      </c>
      <c r="N177" s="233" t="s">
        <v>67</v>
      </c>
      <c r="O177" s="233">
        <v>21999211918</v>
      </c>
      <c r="P177" s="95" t="s">
        <v>56</v>
      </c>
      <c r="Q177" s="145" t="s">
        <v>358</v>
      </c>
      <c r="R177" s="122"/>
      <c r="S177" s="121"/>
      <c r="T177" s="97" t="s">
        <v>230</v>
      </c>
      <c r="U177" s="97" t="s">
        <v>359</v>
      </c>
      <c r="V177" s="118">
        <v>46182</v>
      </c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L177" s="45" t="s">
        <v>64</v>
      </c>
      <c r="AM177" s="199" t="str">
        <f t="shared" si="16"/>
        <v>5/2026</v>
      </c>
      <c r="AN177" s="45">
        <f t="shared" si="17"/>
        <v>5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9" t="s">
        <v>63</v>
      </c>
      <c r="B178" s="232">
        <v>46168</v>
      </c>
      <c r="C178" s="233" t="s">
        <v>217</v>
      </c>
      <c r="D178" s="233" t="s">
        <v>49</v>
      </c>
      <c r="E178" s="233">
        <v>94505899</v>
      </c>
      <c r="F178" s="235" t="s">
        <v>517</v>
      </c>
      <c r="G178" s="233" t="s">
        <v>518</v>
      </c>
      <c r="H178" s="232">
        <v>31526</v>
      </c>
      <c r="I178" s="233">
        <v>40</v>
      </c>
      <c r="J178" s="234" t="s">
        <v>74</v>
      </c>
      <c r="K178" s="231" t="s">
        <v>75</v>
      </c>
      <c r="L178" s="233" t="s">
        <v>76</v>
      </c>
      <c r="M178" s="233" t="s">
        <v>392</v>
      </c>
      <c r="N178" s="233" t="s">
        <v>67</v>
      </c>
      <c r="O178" s="233">
        <v>21976319551</v>
      </c>
      <c r="P178" s="95" t="s">
        <v>56</v>
      </c>
      <c r="Q178" s="145" t="s">
        <v>57</v>
      </c>
      <c r="R178" s="122">
        <v>46178</v>
      </c>
      <c r="S178" s="121"/>
      <c r="T178" s="97" t="s">
        <v>58</v>
      </c>
      <c r="U178" s="97" t="s">
        <v>59</v>
      </c>
      <c r="V178" s="118">
        <v>46182</v>
      </c>
      <c r="W178" s="118"/>
      <c r="X178" s="98"/>
      <c r="Y178" s="118"/>
      <c r="Z178" s="89"/>
      <c r="AA178" s="122"/>
      <c r="AB178" s="89"/>
      <c r="AC178" s="120"/>
      <c r="AD178" s="89"/>
      <c r="AE178" s="89"/>
      <c r="AF178" s="119"/>
      <c r="AG178" s="119"/>
      <c r="AH178" s="119"/>
      <c r="AI178" s="100"/>
      <c r="AJ178" s="100" t="s">
        <v>729</v>
      </c>
      <c r="AK178" s="100"/>
      <c r="AL178" s="45" t="s">
        <v>64</v>
      </c>
      <c r="AM178" s="199" t="str">
        <f t="shared" si="16"/>
        <v>5/2026</v>
      </c>
      <c r="AN178" s="45">
        <f t="shared" si="17"/>
        <v>5</v>
      </c>
      <c r="AO178" s="45" t="str">
        <f t="shared" si="18"/>
        <v>6/2026</v>
      </c>
      <c r="AP178" s="45">
        <f t="shared" si="19"/>
        <v>1</v>
      </c>
      <c r="AQ178" s="45">
        <f t="shared" si="20"/>
        <v>10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9" t="s">
        <v>63</v>
      </c>
      <c r="B179" s="232">
        <v>46168</v>
      </c>
      <c r="C179" s="233" t="s">
        <v>217</v>
      </c>
      <c r="D179" s="233" t="s">
        <v>49</v>
      </c>
      <c r="E179" s="233">
        <v>78748864</v>
      </c>
      <c r="F179" s="235" t="s">
        <v>519</v>
      </c>
      <c r="G179" s="233" t="s">
        <v>520</v>
      </c>
      <c r="H179" s="232">
        <v>29450</v>
      </c>
      <c r="I179" s="233">
        <v>45</v>
      </c>
      <c r="J179" s="234" t="s">
        <v>74</v>
      </c>
      <c r="K179" s="231" t="s">
        <v>75</v>
      </c>
      <c r="L179" s="233" t="s">
        <v>76</v>
      </c>
      <c r="M179" s="233" t="s">
        <v>521</v>
      </c>
      <c r="N179" s="233" t="s">
        <v>80</v>
      </c>
      <c r="O179" s="233">
        <v>21990166040</v>
      </c>
      <c r="P179" s="95" t="s">
        <v>56</v>
      </c>
      <c r="Q179" s="145" t="s">
        <v>358</v>
      </c>
      <c r="R179" s="122"/>
      <c r="S179" s="121"/>
      <c r="T179" s="97" t="s">
        <v>230</v>
      </c>
      <c r="U179" s="97" t="s">
        <v>359</v>
      </c>
      <c r="V179" s="118">
        <v>46182</v>
      </c>
      <c r="W179" s="118"/>
      <c r="X179" s="121"/>
      <c r="Y179" s="118"/>
      <c r="Z179" s="89"/>
      <c r="AA179" s="122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64</v>
      </c>
      <c r="AM179" s="199" t="str">
        <f t="shared" si="16"/>
        <v>5/2026</v>
      </c>
      <c r="AN179" s="45">
        <f t="shared" si="17"/>
        <v>5</v>
      </c>
      <c r="AO179" s="45" t="str">
        <f t="shared" si="18"/>
        <v>1/1900</v>
      </c>
      <c r="AP179" s="45" t="e">
        <f t="shared" si="19"/>
        <v>#NUM!</v>
      </c>
      <c r="AQ179" s="45">
        <f t="shared" si="20"/>
        <v>0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 x14ac:dyDescent="0.3">
      <c r="A180" s="89" t="s">
        <v>63</v>
      </c>
      <c r="B180" s="232">
        <v>46168</v>
      </c>
      <c r="C180" s="233" t="s">
        <v>217</v>
      </c>
      <c r="D180" s="233" t="s">
        <v>49</v>
      </c>
      <c r="E180" s="233">
        <v>117735426</v>
      </c>
      <c r="F180" s="235" t="s">
        <v>522</v>
      </c>
      <c r="G180" s="233" t="s">
        <v>523</v>
      </c>
      <c r="H180" s="232">
        <v>29923</v>
      </c>
      <c r="I180" s="233">
        <v>44</v>
      </c>
      <c r="J180" s="234" t="s">
        <v>74</v>
      </c>
      <c r="K180" s="231" t="s">
        <v>75</v>
      </c>
      <c r="L180" s="233" t="s">
        <v>76</v>
      </c>
      <c r="M180" s="233" t="s">
        <v>419</v>
      </c>
      <c r="N180" s="233" t="s">
        <v>121</v>
      </c>
      <c r="O180" s="233">
        <v>21988553708</v>
      </c>
      <c r="P180" s="95" t="s">
        <v>56</v>
      </c>
      <c r="Q180" s="145" t="s">
        <v>57</v>
      </c>
      <c r="R180" s="122">
        <v>46178</v>
      </c>
      <c r="S180" s="121"/>
      <c r="T180" s="97" t="s">
        <v>58</v>
      </c>
      <c r="U180" s="97" t="s">
        <v>59</v>
      </c>
      <c r="V180" s="118">
        <v>46182</v>
      </c>
      <c r="W180" s="118"/>
      <c r="X180" s="98"/>
      <c r="Y180" s="118"/>
      <c r="Z180" s="89"/>
      <c r="AA180" s="122"/>
      <c r="AB180" s="89"/>
      <c r="AC180" s="120"/>
      <c r="AD180" s="89"/>
      <c r="AE180" s="89"/>
      <c r="AF180" s="119"/>
      <c r="AG180" s="119"/>
      <c r="AH180" s="119"/>
      <c r="AI180" s="100"/>
      <c r="AJ180" s="100" t="s">
        <v>729</v>
      </c>
      <c r="AK180" s="100"/>
      <c r="AL180" s="45" t="s">
        <v>64</v>
      </c>
      <c r="AM180" s="199" t="str">
        <f t="shared" si="16"/>
        <v>5/2026</v>
      </c>
      <c r="AN180" s="45">
        <f t="shared" si="17"/>
        <v>5</v>
      </c>
      <c r="AO180" s="45" t="str">
        <f t="shared" si="18"/>
        <v>6/2026</v>
      </c>
      <c r="AP180" s="45">
        <f t="shared" si="19"/>
        <v>1</v>
      </c>
      <c r="AQ180" s="45">
        <f t="shared" si="20"/>
        <v>10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hidden="1" customHeight="1" x14ac:dyDescent="0.3">
      <c r="A181" s="89" t="s">
        <v>63</v>
      </c>
      <c r="B181" s="232">
        <v>46168</v>
      </c>
      <c r="C181" s="233" t="s">
        <v>217</v>
      </c>
      <c r="D181" s="233" t="s">
        <v>49</v>
      </c>
      <c r="E181" s="233">
        <v>73079474</v>
      </c>
      <c r="F181" s="235" t="s">
        <v>524</v>
      </c>
      <c r="G181" s="233" t="s">
        <v>525</v>
      </c>
      <c r="H181" s="232">
        <v>19895</v>
      </c>
      <c r="I181" s="233">
        <v>71</v>
      </c>
      <c r="J181" s="230" t="s">
        <v>51</v>
      </c>
      <c r="K181" s="231" t="s">
        <v>75</v>
      </c>
      <c r="L181" s="233" t="s">
        <v>76</v>
      </c>
      <c r="M181" s="233" t="s">
        <v>526</v>
      </c>
      <c r="N181" s="233" t="s">
        <v>97</v>
      </c>
      <c r="O181" s="233">
        <v>21982953562</v>
      </c>
      <c r="P181" s="95" t="s">
        <v>56</v>
      </c>
      <c r="Q181" s="145" t="s">
        <v>358</v>
      </c>
      <c r="R181" s="122"/>
      <c r="S181" s="121"/>
      <c r="T181" s="97" t="s">
        <v>230</v>
      </c>
      <c r="U181" s="97" t="s">
        <v>359</v>
      </c>
      <c r="V181" s="118">
        <v>46182</v>
      </c>
      <c r="W181" s="118"/>
      <c r="X181" s="98"/>
      <c r="Y181" s="98"/>
      <c r="Z181" s="89"/>
      <c r="AA181" s="122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64</v>
      </c>
      <c r="AM181" s="199" t="str">
        <f t="shared" si="16"/>
        <v>5/2026</v>
      </c>
      <c r="AN181" s="45">
        <f t="shared" si="17"/>
        <v>5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hidden="1" customHeight="1" x14ac:dyDescent="0.3">
      <c r="A182" s="89" t="s">
        <v>63</v>
      </c>
      <c r="B182" s="232">
        <v>46168</v>
      </c>
      <c r="C182" s="233" t="s">
        <v>217</v>
      </c>
      <c r="D182" s="233" t="s">
        <v>49</v>
      </c>
      <c r="E182" s="233">
        <v>78108794</v>
      </c>
      <c r="F182" s="235" t="s">
        <v>527</v>
      </c>
      <c r="G182" s="233" t="s">
        <v>528</v>
      </c>
      <c r="H182" s="232">
        <v>29979</v>
      </c>
      <c r="I182" s="233">
        <v>44</v>
      </c>
      <c r="J182" s="230" t="s">
        <v>51</v>
      </c>
      <c r="K182" s="231" t="s">
        <v>75</v>
      </c>
      <c r="L182" s="233" t="s">
        <v>76</v>
      </c>
      <c r="M182" s="233" t="s">
        <v>220</v>
      </c>
      <c r="N182" s="233" t="s">
        <v>67</v>
      </c>
      <c r="O182" s="233">
        <v>21981527006</v>
      </c>
      <c r="P182" s="95" t="s">
        <v>56</v>
      </c>
      <c r="Q182" s="145" t="s">
        <v>358</v>
      </c>
      <c r="R182" s="122"/>
      <c r="S182" s="121"/>
      <c r="T182" s="97" t="s">
        <v>230</v>
      </c>
      <c r="U182" s="97" t="s">
        <v>359</v>
      </c>
      <c r="V182" s="118">
        <v>46182</v>
      </c>
      <c r="W182" s="118"/>
      <c r="X182" s="98"/>
      <c r="Y182" s="9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64</v>
      </c>
      <c r="AM182" s="199" t="str">
        <f t="shared" si="16"/>
        <v>5/2026</v>
      </c>
      <c r="AN182" s="45">
        <f t="shared" si="17"/>
        <v>5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hidden="1" customHeight="1" x14ac:dyDescent="0.3">
      <c r="A183" s="89" t="s">
        <v>63</v>
      </c>
      <c r="B183" s="232">
        <v>46168</v>
      </c>
      <c r="C183" s="233" t="s">
        <v>217</v>
      </c>
      <c r="D183" s="233" t="s">
        <v>49</v>
      </c>
      <c r="E183" s="233">
        <v>95502617</v>
      </c>
      <c r="F183" s="235" t="s">
        <v>529</v>
      </c>
      <c r="G183" s="233" t="s">
        <v>530</v>
      </c>
      <c r="H183" s="232">
        <v>21141</v>
      </c>
      <c r="I183" s="233">
        <v>68</v>
      </c>
      <c r="J183" s="230" t="s">
        <v>51</v>
      </c>
      <c r="K183" s="231" t="s">
        <v>75</v>
      </c>
      <c r="L183" s="233" t="s">
        <v>76</v>
      </c>
      <c r="M183" s="233" t="s">
        <v>357</v>
      </c>
      <c r="N183" s="233" t="s">
        <v>67</v>
      </c>
      <c r="O183" s="233">
        <v>21981335410</v>
      </c>
      <c r="P183" s="95" t="s">
        <v>56</v>
      </c>
      <c r="Q183" s="145" t="s">
        <v>358</v>
      </c>
      <c r="R183" s="122"/>
      <c r="S183" s="121"/>
      <c r="T183" s="97" t="s">
        <v>230</v>
      </c>
      <c r="U183" s="97" t="s">
        <v>359</v>
      </c>
      <c r="V183" s="118">
        <v>46182</v>
      </c>
      <c r="W183" s="118"/>
      <c r="X183" s="121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64</v>
      </c>
      <c r="AM183" s="199" t="str">
        <f t="shared" si="16"/>
        <v>5/2026</v>
      </c>
      <c r="AN183" s="45">
        <f t="shared" si="17"/>
        <v>5</v>
      </c>
      <c r="AO183" s="45" t="str">
        <f t="shared" si="18"/>
        <v>1/1900</v>
      </c>
      <c r="AP183" s="45" t="e">
        <f t="shared" si="19"/>
        <v>#NUM!</v>
      </c>
      <c r="AQ183" s="45">
        <f t="shared" si="20"/>
        <v>0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hidden="1" customHeight="1" x14ac:dyDescent="0.3">
      <c r="A184" s="89" t="s">
        <v>63</v>
      </c>
      <c r="B184" s="232">
        <v>46168</v>
      </c>
      <c r="C184" s="233" t="s">
        <v>217</v>
      </c>
      <c r="D184" s="233" t="s">
        <v>49</v>
      </c>
      <c r="E184" s="233">
        <v>73662940</v>
      </c>
      <c r="F184" s="235" t="s">
        <v>531</v>
      </c>
      <c r="G184" s="233" t="s">
        <v>532</v>
      </c>
      <c r="H184" s="232">
        <v>22736</v>
      </c>
      <c r="I184" s="233">
        <v>64</v>
      </c>
      <c r="J184" s="230" t="s">
        <v>51</v>
      </c>
      <c r="K184" s="231" t="s">
        <v>75</v>
      </c>
      <c r="L184" s="233" t="s">
        <v>76</v>
      </c>
      <c r="M184" s="233" t="s">
        <v>533</v>
      </c>
      <c r="N184" s="233" t="s">
        <v>91</v>
      </c>
      <c r="O184" s="233">
        <v>21995082866</v>
      </c>
      <c r="P184" s="95" t="s">
        <v>56</v>
      </c>
      <c r="Q184" s="145" t="s">
        <v>358</v>
      </c>
      <c r="R184" s="122"/>
      <c r="S184" s="121"/>
      <c r="T184" s="97" t="s">
        <v>230</v>
      </c>
      <c r="U184" s="97" t="s">
        <v>359</v>
      </c>
      <c r="V184" s="118">
        <v>46182</v>
      </c>
      <c r="W184" s="98"/>
      <c r="X184" s="98"/>
      <c r="Y184" s="9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64</v>
      </c>
      <c r="AM184" s="199" t="str">
        <f t="shared" si="16"/>
        <v>5/2026</v>
      </c>
      <c r="AN184" s="45">
        <f t="shared" si="17"/>
        <v>5</v>
      </c>
      <c r="AO184" s="45" t="str">
        <f t="shared" si="18"/>
        <v>1/1900</v>
      </c>
      <c r="AP184" s="45" t="e">
        <f t="shared" si="19"/>
        <v>#NUM!</v>
      </c>
      <c r="AQ184" s="45">
        <f t="shared" si="20"/>
        <v>0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hidden="1" customHeight="1" x14ac:dyDescent="0.3">
      <c r="A185" s="89" t="s">
        <v>63</v>
      </c>
      <c r="B185" s="232">
        <v>46168</v>
      </c>
      <c r="C185" s="233" t="s">
        <v>217</v>
      </c>
      <c r="D185" s="233" t="s">
        <v>49</v>
      </c>
      <c r="E185" s="233">
        <v>314417990</v>
      </c>
      <c r="F185" s="235" t="s">
        <v>534</v>
      </c>
      <c r="G185" s="233" t="s">
        <v>535</v>
      </c>
      <c r="H185" s="232">
        <v>18827</v>
      </c>
      <c r="I185" s="233">
        <v>74</v>
      </c>
      <c r="J185" s="230" t="s">
        <v>51</v>
      </c>
      <c r="K185" s="231" t="s">
        <v>75</v>
      </c>
      <c r="L185" s="233" t="s">
        <v>76</v>
      </c>
      <c r="M185" s="233" t="s">
        <v>410</v>
      </c>
      <c r="N185" s="233" t="s">
        <v>121</v>
      </c>
      <c r="O185" s="233">
        <v>21997541774</v>
      </c>
      <c r="P185" s="95" t="s">
        <v>56</v>
      </c>
      <c r="Q185" s="145" t="s">
        <v>358</v>
      </c>
      <c r="R185" s="122"/>
      <c r="S185" s="121"/>
      <c r="T185" s="97" t="s">
        <v>230</v>
      </c>
      <c r="U185" s="97" t="s">
        <v>359</v>
      </c>
      <c r="V185" s="118">
        <v>46182</v>
      </c>
      <c r="W185" s="118"/>
      <c r="X185" s="118"/>
      <c r="Y185" s="9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64</v>
      </c>
      <c r="AM185" s="199" t="str">
        <f t="shared" si="16"/>
        <v>5/2026</v>
      </c>
      <c r="AN185" s="45">
        <f t="shared" si="17"/>
        <v>5</v>
      </c>
      <c r="AO185" s="45" t="str">
        <f t="shared" si="18"/>
        <v>1/1900</v>
      </c>
      <c r="AP185" s="45" t="e">
        <f t="shared" si="19"/>
        <v>#NUM!</v>
      </c>
      <c r="AQ185" s="45">
        <f t="shared" si="20"/>
        <v>0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hidden="1" customHeight="1" x14ac:dyDescent="0.3">
      <c r="A186" s="89" t="s">
        <v>63</v>
      </c>
      <c r="B186" s="232">
        <v>46168</v>
      </c>
      <c r="C186" s="233" t="s">
        <v>217</v>
      </c>
      <c r="D186" s="233" t="s">
        <v>49</v>
      </c>
      <c r="E186" s="233">
        <v>741950006</v>
      </c>
      <c r="F186" s="235" t="s">
        <v>536</v>
      </c>
      <c r="G186" s="233" t="s">
        <v>537</v>
      </c>
      <c r="H186" s="232">
        <v>18659</v>
      </c>
      <c r="I186" s="233">
        <v>75</v>
      </c>
      <c r="J186" s="230" t="s">
        <v>51</v>
      </c>
      <c r="K186" s="231" t="s">
        <v>75</v>
      </c>
      <c r="L186" s="233" t="s">
        <v>76</v>
      </c>
      <c r="M186" s="233" t="s">
        <v>365</v>
      </c>
      <c r="N186" s="233" t="s">
        <v>212</v>
      </c>
      <c r="O186" s="233">
        <v>21991921672</v>
      </c>
      <c r="P186" s="95" t="s">
        <v>56</v>
      </c>
      <c r="Q186" s="145" t="s">
        <v>358</v>
      </c>
      <c r="R186" s="122"/>
      <c r="S186" s="121"/>
      <c r="T186" s="97" t="s">
        <v>230</v>
      </c>
      <c r="U186" s="97" t="s">
        <v>359</v>
      </c>
      <c r="V186" s="118">
        <v>46182</v>
      </c>
      <c r="W186" s="118"/>
      <c r="X186" s="11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64</v>
      </c>
      <c r="AM186" s="199" t="str">
        <f t="shared" si="16"/>
        <v>5/2026</v>
      </c>
      <c r="AN186" s="45">
        <f t="shared" si="17"/>
        <v>5</v>
      </c>
      <c r="AO186" s="45" t="str">
        <f t="shared" si="18"/>
        <v>1/1900</v>
      </c>
      <c r="AP186" s="45" t="e">
        <f t="shared" si="19"/>
        <v>#NUM!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hidden="1" customHeight="1" x14ac:dyDescent="0.3">
      <c r="A187" s="89" t="s">
        <v>63</v>
      </c>
      <c r="B187" s="232">
        <v>46168</v>
      </c>
      <c r="C187" s="233" t="s">
        <v>217</v>
      </c>
      <c r="D187" s="233" t="s">
        <v>49</v>
      </c>
      <c r="E187" s="233">
        <v>93432140</v>
      </c>
      <c r="F187" s="235" t="s">
        <v>538</v>
      </c>
      <c r="G187" s="233" t="s">
        <v>539</v>
      </c>
      <c r="H187" s="232">
        <v>29659</v>
      </c>
      <c r="I187" s="233">
        <v>45</v>
      </c>
      <c r="J187" s="230" t="s">
        <v>51</v>
      </c>
      <c r="K187" s="231" t="s">
        <v>75</v>
      </c>
      <c r="L187" s="233" t="s">
        <v>76</v>
      </c>
      <c r="M187" s="233" t="s">
        <v>410</v>
      </c>
      <c r="N187" s="233" t="s">
        <v>149</v>
      </c>
      <c r="O187" s="233">
        <v>73999968756</v>
      </c>
      <c r="P187" s="95" t="s">
        <v>56</v>
      </c>
      <c r="Q187" s="145" t="s">
        <v>358</v>
      </c>
      <c r="R187" s="122"/>
      <c r="S187" s="121"/>
      <c r="T187" s="97" t="s">
        <v>230</v>
      </c>
      <c r="U187" s="97" t="s">
        <v>359</v>
      </c>
      <c r="V187" s="118">
        <v>46182</v>
      </c>
      <c r="W187" s="118"/>
      <c r="X187" s="11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64</v>
      </c>
      <c r="AM187" s="199" t="str">
        <f t="shared" si="16"/>
        <v>5/2026</v>
      </c>
      <c r="AN187" s="45">
        <f t="shared" si="17"/>
        <v>5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hidden="1" customHeight="1" x14ac:dyDescent="0.3">
      <c r="A188" s="89" t="s">
        <v>63</v>
      </c>
      <c r="B188" s="232">
        <v>46168</v>
      </c>
      <c r="C188" s="233" t="s">
        <v>217</v>
      </c>
      <c r="D188" s="233" t="s">
        <v>49</v>
      </c>
      <c r="E188" s="233">
        <v>115563466</v>
      </c>
      <c r="F188" s="235" t="s">
        <v>540</v>
      </c>
      <c r="G188" s="233" t="s">
        <v>541</v>
      </c>
      <c r="H188" s="232">
        <v>14431</v>
      </c>
      <c r="I188" s="233">
        <v>86</v>
      </c>
      <c r="J188" s="234" t="s">
        <v>74</v>
      </c>
      <c r="K188" s="231" t="s">
        <v>75</v>
      </c>
      <c r="L188" s="233" t="s">
        <v>76</v>
      </c>
      <c r="M188" s="233" t="s">
        <v>384</v>
      </c>
      <c r="N188" s="233" t="s">
        <v>104</v>
      </c>
      <c r="O188" s="233">
        <v>21983187321</v>
      </c>
      <c r="P188" s="95" t="s">
        <v>56</v>
      </c>
      <c r="Q188" s="145" t="s">
        <v>358</v>
      </c>
      <c r="R188" s="122"/>
      <c r="S188" s="121"/>
      <c r="T188" s="97" t="s">
        <v>230</v>
      </c>
      <c r="U188" s="97" t="s">
        <v>359</v>
      </c>
      <c r="V188" s="118">
        <v>46182</v>
      </c>
      <c r="W188" s="118"/>
      <c r="X188" s="11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64</v>
      </c>
      <c r="AM188" s="199" t="str">
        <f t="shared" si="16"/>
        <v>5/2026</v>
      </c>
      <c r="AN188" s="45">
        <f t="shared" si="17"/>
        <v>5</v>
      </c>
      <c r="AO188" s="45" t="str">
        <f t="shared" si="18"/>
        <v>1/1900</v>
      </c>
      <c r="AP188" s="45" t="e">
        <f t="shared" si="19"/>
        <v>#NUM!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hidden="1" customHeight="1" x14ac:dyDescent="0.3">
      <c r="A189" s="89" t="s">
        <v>63</v>
      </c>
      <c r="B189" s="232">
        <v>46168</v>
      </c>
      <c r="C189" s="233" t="s">
        <v>217</v>
      </c>
      <c r="D189" s="233" t="s">
        <v>49</v>
      </c>
      <c r="E189" s="233">
        <v>73709450</v>
      </c>
      <c r="F189" s="235" t="s">
        <v>542</v>
      </c>
      <c r="G189" s="233" t="s">
        <v>543</v>
      </c>
      <c r="H189" s="232">
        <v>24891</v>
      </c>
      <c r="I189" s="233">
        <v>58</v>
      </c>
      <c r="J189" s="234" t="s">
        <v>74</v>
      </c>
      <c r="K189" s="231" t="s">
        <v>75</v>
      </c>
      <c r="L189" s="233" t="s">
        <v>76</v>
      </c>
      <c r="M189" s="233" t="s">
        <v>544</v>
      </c>
      <c r="N189" s="233" t="s">
        <v>280</v>
      </c>
      <c r="O189" s="233">
        <v>21976126703</v>
      </c>
      <c r="P189" s="95" t="s">
        <v>56</v>
      </c>
      <c r="Q189" s="145" t="s">
        <v>358</v>
      </c>
      <c r="R189" s="122"/>
      <c r="S189" s="121"/>
      <c r="T189" s="97" t="s">
        <v>230</v>
      </c>
      <c r="U189" s="97" t="s">
        <v>359</v>
      </c>
      <c r="V189" s="118">
        <v>46182</v>
      </c>
      <c r="W189" s="118"/>
      <c r="X189" s="11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64</v>
      </c>
      <c r="AM189" s="199" t="str">
        <f t="shared" si="16"/>
        <v>5/2026</v>
      </c>
      <c r="AN189" s="45">
        <f t="shared" si="17"/>
        <v>5</v>
      </c>
      <c r="AO189" s="45" t="str">
        <f t="shared" si="18"/>
        <v>1/1900</v>
      </c>
      <c r="AP189" s="45" t="e">
        <f t="shared" si="19"/>
        <v>#NUM!</v>
      </c>
      <c r="AQ189" s="45">
        <f t="shared" si="20"/>
        <v>0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9" t="s">
        <v>63</v>
      </c>
      <c r="B190" s="232">
        <v>46168</v>
      </c>
      <c r="C190" s="233" t="s">
        <v>217</v>
      </c>
      <c r="D190" s="233" t="s">
        <v>49</v>
      </c>
      <c r="E190" s="233">
        <v>94262614</v>
      </c>
      <c r="F190" s="235" t="s">
        <v>545</v>
      </c>
      <c r="G190" s="233" t="s">
        <v>546</v>
      </c>
      <c r="H190" s="232">
        <v>26995</v>
      </c>
      <c r="I190" s="233">
        <v>52</v>
      </c>
      <c r="J190" s="234" t="s">
        <v>74</v>
      </c>
      <c r="K190" s="231" t="s">
        <v>75</v>
      </c>
      <c r="L190" s="233" t="s">
        <v>76</v>
      </c>
      <c r="M190" s="233" t="s">
        <v>380</v>
      </c>
      <c r="N190" s="233" t="s">
        <v>448</v>
      </c>
      <c r="O190" s="233">
        <v>21964949284</v>
      </c>
      <c r="P190" s="95" t="s">
        <v>56</v>
      </c>
      <c r="Q190" s="145" t="s">
        <v>57</v>
      </c>
      <c r="R190" s="122">
        <v>46178</v>
      </c>
      <c r="S190" s="121"/>
      <c r="T190" s="97" t="s">
        <v>58</v>
      </c>
      <c r="U190" s="97" t="s">
        <v>59</v>
      </c>
      <c r="V190" s="118">
        <v>46182</v>
      </c>
      <c r="W190" s="118"/>
      <c r="X190" s="118"/>
      <c r="Y190" s="9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 t="s">
        <v>729</v>
      </c>
      <c r="AK190" s="100"/>
      <c r="AL190" s="45" t="s">
        <v>64</v>
      </c>
      <c r="AM190" s="199" t="str">
        <f t="shared" si="16"/>
        <v>5/2026</v>
      </c>
      <c r="AN190" s="45">
        <f t="shared" si="17"/>
        <v>5</v>
      </c>
      <c r="AO190" s="45" t="str">
        <f t="shared" si="18"/>
        <v>6/2026</v>
      </c>
      <c r="AP190" s="45">
        <f t="shared" si="19"/>
        <v>1</v>
      </c>
      <c r="AQ190" s="45">
        <f t="shared" si="20"/>
        <v>10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hidden="1" customHeight="1" x14ac:dyDescent="0.3">
      <c r="A191" s="89" t="s">
        <v>63</v>
      </c>
      <c r="B191" s="232">
        <v>46168</v>
      </c>
      <c r="C191" s="233" t="s">
        <v>217</v>
      </c>
      <c r="D191" s="233" t="s">
        <v>49</v>
      </c>
      <c r="E191" s="233">
        <v>116716355</v>
      </c>
      <c r="F191" s="235" t="s">
        <v>547</v>
      </c>
      <c r="G191" s="233" t="s">
        <v>548</v>
      </c>
      <c r="H191" s="232">
        <v>13930</v>
      </c>
      <c r="I191" s="233">
        <v>88</v>
      </c>
      <c r="J191" s="234" t="s">
        <v>74</v>
      </c>
      <c r="K191" s="231" t="s">
        <v>75</v>
      </c>
      <c r="L191" s="233" t="s">
        <v>76</v>
      </c>
      <c r="M191" s="233" t="s">
        <v>413</v>
      </c>
      <c r="N191" s="233" t="s">
        <v>104</v>
      </c>
      <c r="O191" s="233">
        <v>21983615994</v>
      </c>
      <c r="P191" s="95" t="s">
        <v>56</v>
      </c>
      <c r="Q191" s="145" t="s">
        <v>358</v>
      </c>
      <c r="R191" s="122"/>
      <c r="S191" s="121"/>
      <c r="T191" s="97" t="s">
        <v>230</v>
      </c>
      <c r="U191" s="97" t="s">
        <v>359</v>
      </c>
      <c r="V191" s="118">
        <v>46182</v>
      </c>
      <c r="W191" s="118"/>
      <c r="X191" s="11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64</v>
      </c>
      <c r="AM191" s="199" t="str">
        <f t="shared" si="16"/>
        <v>5/2026</v>
      </c>
      <c r="AN191" s="45">
        <f t="shared" si="17"/>
        <v>5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hidden="1" customHeight="1" x14ac:dyDescent="0.3">
      <c r="A192" s="89" t="s">
        <v>63</v>
      </c>
      <c r="B192" s="232">
        <v>46168</v>
      </c>
      <c r="C192" s="233" t="s">
        <v>217</v>
      </c>
      <c r="D192" s="233" t="s">
        <v>49</v>
      </c>
      <c r="E192" s="233">
        <v>86285140</v>
      </c>
      <c r="F192" s="235" t="s">
        <v>549</v>
      </c>
      <c r="G192" s="233" t="s">
        <v>550</v>
      </c>
      <c r="H192" s="232">
        <v>20873</v>
      </c>
      <c r="I192" s="233">
        <v>69</v>
      </c>
      <c r="J192" s="230" t="s">
        <v>51</v>
      </c>
      <c r="K192" s="231" t="s">
        <v>75</v>
      </c>
      <c r="L192" s="233" t="s">
        <v>76</v>
      </c>
      <c r="M192" s="233" t="s">
        <v>451</v>
      </c>
      <c r="N192" s="233" t="s">
        <v>111</v>
      </c>
      <c r="O192" s="233">
        <v>21998036563</v>
      </c>
      <c r="P192" s="95" t="s">
        <v>56</v>
      </c>
      <c r="Q192" s="145" t="s">
        <v>358</v>
      </c>
      <c r="R192" s="122"/>
      <c r="S192" s="121"/>
      <c r="T192" s="97" t="s">
        <v>230</v>
      </c>
      <c r="U192" s="97" t="s">
        <v>359</v>
      </c>
      <c r="V192" s="118">
        <v>46182</v>
      </c>
      <c r="W192" s="118"/>
      <c r="X192" s="11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64</v>
      </c>
      <c r="AM192" s="199" t="str">
        <f t="shared" si="16"/>
        <v>5/2026</v>
      </c>
      <c r="AN192" s="45">
        <f t="shared" si="17"/>
        <v>5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 x14ac:dyDescent="0.3">
      <c r="A193" s="89" t="s">
        <v>63</v>
      </c>
      <c r="B193" s="232">
        <v>46168</v>
      </c>
      <c r="C193" s="233" t="s">
        <v>217</v>
      </c>
      <c r="D193" s="233" t="s">
        <v>49</v>
      </c>
      <c r="E193" s="233">
        <v>190017040</v>
      </c>
      <c r="F193" s="235" t="s">
        <v>551</v>
      </c>
      <c r="G193" s="233" t="s">
        <v>552</v>
      </c>
      <c r="H193" s="232">
        <v>16102</v>
      </c>
      <c r="I193" s="233">
        <v>82</v>
      </c>
      <c r="J193" s="234" t="s">
        <v>74</v>
      </c>
      <c r="K193" s="231" t="s">
        <v>75</v>
      </c>
      <c r="L193" s="233" t="s">
        <v>76</v>
      </c>
      <c r="M193" s="233" t="s">
        <v>220</v>
      </c>
      <c r="N193" s="233" t="s">
        <v>104</v>
      </c>
      <c r="O193" s="233">
        <v>21998021722</v>
      </c>
      <c r="P193" s="95" t="s">
        <v>56</v>
      </c>
      <c r="Q193" s="145" t="s">
        <v>57</v>
      </c>
      <c r="R193" s="122">
        <v>46178</v>
      </c>
      <c r="S193" s="121"/>
      <c r="T193" s="97" t="s">
        <v>58</v>
      </c>
      <c r="U193" s="97" t="s">
        <v>59</v>
      </c>
      <c r="V193" s="118">
        <v>46182</v>
      </c>
      <c r="W193" s="118"/>
      <c r="X193" s="11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 t="s">
        <v>729</v>
      </c>
      <c r="AK193" s="100"/>
      <c r="AL193" s="45" t="s">
        <v>64</v>
      </c>
      <c r="AM193" s="199" t="str">
        <f t="shared" si="16"/>
        <v>5/2026</v>
      </c>
      <c r="AN193" s="45">
        <f t="shared" si="17"/>
        <v>5</v>
      </c>
      <c r="AO193" s="45" t="str">
        <f t="shared" si="18"/>
        <v>6/2026</v>
      </c>
      <c r="AP193" s="45">
        <f t="shared" si="19"/>
        <v>1</v>
      </c>
      <c r="AQ193" s="45">
        <f t="shared" si="20"/>
        <v>10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hidden="1" customHeight="1" x14ac:dyDescent="0.3">
      <c r="A194" s="89" t="s">
        <v>63</v>
      </c>
      <c r="B194" s="232">
        <v>46168</v>
      </c>
      <c r="C194" s="233" t="s">
        <v>217</v>
      </c>
      <c r="D194" s="233" t="s">
        <v>49</v>
      </c>
      <c r="E194" s="233">
        <v>89360921</v>
      </c>
      <c r="F194" s="235" t="s">
        <v>553</v>
      </c>
      <c r="G194" s="233" t="s">
        <v>554</v>
      </c>
      <c r="H194" s="232">
        <v>25014</v>
      </c>
      <c r="I194" s="233">
        <v>57</v>
      </c>
      <c r="J194" s="234" t="s">
        <v>74</v>
      </c>
      <c r="K194" s="231" t="s">
        <v>75</v>
      </c>
      <c r="L194" s="233" t="s">
        <v>76</v>
      </c>
      <c r="M194" s="233" t="s">
        <v>555</v>
      </c>
      <c r="N194" s="233" t="s">
        <v>111</v>
      </c>
      <c r="O194" s="233">
        <v>21970253838</v>
      </c>
      <c r="P194" s="95" t="s">
        <v>56</v>
      </c>
      <c r="Q194" s="145" t="s">
        <v>358</v>
      </c>
      <c r="R194" s="122"/>
      <c r="S194" s="121"/>
      <c r="T194" s="97" t="s">
        <v>230</v>
      </c>
      <c r="U194" s="97" t="s">
        <v>359</v>
      </c>
      <c r="V194" s="118">
        <v>46182</v>
      </c>
      <c r="W194" s="98"/>
      <c r="X194" s="9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64</v>
      </c>
      <c r="AM194" s="199" t="str">
        <f t="shared" ref="AM194:AM257" si="24">MONTH(B194)&amp;"/"&amp;YEAR(B194)</f>
        <v>5/2026</v>
      </c>
      <c r="AN194" s="45">
        <f t="shared" ref="AN194:AN257" si="25">WEEKNUM(B194)-WEEKNUM(EOMONTH(B194,-1)+1)+1</f>
        <v>5</v>
      </c>
      <c r="AO194" s="45" t="str">
        <f t="shared" ref="AO194:AO257" si="26">MONTH(R194)&amp;"/"&amp;YEAR(R194)</f>
        <v>1/1900</v>
      </c>
      <c r="AP194" s="45" t="e">
        <f t="shared" ref="AP194:AP257" si="27">WEEKNUM(R194)-WEEKNUM(EOMONTH(R194,-1)+1)+1</f>
        <v>#NUM!</v>
      </c>
      <c r="AQ194" s="45">
        <f t="shared" ref="AQ194:AQ257" si="28">IF(AU194="S",IF(Q194="1. Aceitou o programa",R194-B194,0),0)</f>
        <v>0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hidden="1" customHeight="1" x14ac:dyDescent="0.3">
      <c r="A195" s="89" t="s">
        <v>63</v>
      </c>
      <c r="B195" s="232">
        <v>46168</v>
      </c>
      <c r="C195" s="233" t="s">
        <v>217</v>
      </c>
      <c r="D195" s="233" t="s">
        <v>49</v>
      </c>
      <c r="E195" s="233">
        <v>87439626</v>
      </c>
      <c r="F195" s="235" t="s">
        <v>556</v>
      </c>
      <c r="G195" s="233" t="s">
        <v>557</v>
      </c>
      <c r="H195" s="232">
        <v>24552</v>
      </c>
      <c r="I195" s="233">
        <v>59</v>
      </c>
      <c r="J195" s="230" t="s">
        <v>51</v>
      </c>
      <c r="K195" s="231" t="s">
        <v>75</v>
      </c>
      <c r="L195" s="233" t="s">
        <v>76</v>
      </c>
      <c r="M195" s="233" t="s">
        <v>558</v>
      </c>
      <c r="N195" s="233" t="s">
        <v>168</v>
      </c>
      <c r="O195" s="233">
        <v>21981522851</v>
      </c>
      <c r="P195" s="95" t="s">
        <v>56</v>
      </c>
      <c r="Q195" s="145" t="s">
        <v>358</v>
      </c>
      <c r="R195" s="122"/>
      <c r="S195" s="121"/>
      <c r="T195" s="97" t="s">
        <v>230</v>
      </c>
      <c r="U195" s="97" t="s">
        <v>359</v>
      </c>
      <c r="V195" s="118">
        <v>46182</v>
      </c>
      <c r="W195" s="98"/>
      <c r="X195" s="9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64</v>
      </c>
      <c r="AM195" s="199" t="str">
        <f t="shared" si="24"/>
        <v>5/2026</v>
      </c>
      <c r="AN195" s="45">
        <f t="shared" si="25"/>
        <v>5</v>
      </c>
      <c r="AO195" s="45" t="str">
        <f t="shared" si="26"/>
        <v>1/1900</v>
      </c>
      <c r="AP195" s="45" t="e">
        <f t="shared" si="27"/>
        <v>#NUM!</v>
      </c>
      <c r="AQ195" s="45">
        <f t="shared" si="28"/>
        <v>0</v>
      </c>
      <c r="AR195" s="45">
        <f t="shared" si="29"/>
        <v>0</v>
      </c>
      <c r="AS195" s="45">
        <f t="shared" si="30"/>
        <v>0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 x14ac:dyDescent="0.3">
      <c r="A196" s="89" t="s">
        <v>63</v>
      </c>
      <c r="B196" s="232">
        <v>46168</v>
      </c>
      <c r="C196" s="233" t="s">
        <v>217</v>
      </c>
      <c r="D196" s="233" t="s">
        <v>49</v>
      </c>
      <c r="E196" s="233">
        <v>82600379</v>
      </c>
      <c r="F196" s="235" t="s">
        <v>559</v>
      </c>
      <c r="G196" s="233" t="s">
        <v>560</v>
      </c>
      <c r="H196" s="232">
        <v>29769</v>
      </c>
      <c r="I196" s="233">
        <v>44</v>
      </c>
      <c r="J196" s="234" t="s">
        <v>74</v>
      </c>
      <c r="K196" s="231" t="s">
        <v>75</v>
      </c>
      <c r="L196" s="233" t="s">
        <v>76</v>
      </c>
      <c r="M196" s="233" t="s">
        <v>561</v>
      </c>
      <c r="N196" s="233" t="s">
        <v>111</v>
      </c>
      <c r="O196" s="233">
        <v>21964433377</v>
      </c>
      <c r="P196" s="95" t="s">
        <v>56</v>
      </c>
      <c r="Q196" s="145" t="s">
        <v>57</v>
      </c>
      <c r="R196" s="122">
        <v>46178</v>
      </c>
      <c r="S196" s="121"/>
      <c r="T196" s="97" t="s">
        <v>58</v>
      </c>
      <c r="U196" s="97" t="s">
        <v>59</v>
      </c>
      <c r="V196" s="118">
        <v>46182</v>
      </c>
      <c r="W196" s="98"/>
      <c r="X196" s="9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 t="s">
        <v>729</v>
      </c>
      <c r="AK196" s="100"/>
      <c r="AL196" s="45" t="s">
        <v>64</v>
      </c>
      <c r="AM196" s="199" t="str">
        <f t="shared" si="24"/>
        <v>5/2026</v>
      </c>
      <c r="AN196" s="45">
        <f t="shared" si="25"/>
        <v>5</v>
      </c>
      <c r="AO196" s="45" t="str">
        <f t="shared" si="26"/>
        <v>6/2026</v>
      </c>
      <c r="AP196" s="45">
        <f t="shared" si="27"/>
        <v>1</v>
      </c>
      <c r="AQ196" s="45">
        <f t="shared" si="28"/>
        <v>10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 x14ac:dyDescent="0.3">
      <c r="A197" s="89" t="s">
        <v>63</v>
      </c>
      <c r="B197" s="232">
        <v>46168</v>
      </c>
      <c r="C197" s="233" t="s">
        <v>217</v>
      </c>
      <c r="D197" s="233" t="s">
        <v>49</v>
      </c>
      <c r="E197" s="233">
        <v>84270288</v>
      </c>
      <c r="F197" s="235" t="s">
        <v>562</v>
      </c>
      <c r="G197" s="233" t="s">
        <v>563</v>
      </c>
      <c r="H197" s="232">
        <v>20161</v>
      </c>
      <c r="I197" s="233">
        <v>71</v>
      </c>
      <c r="J197" s="230" t="s">
        <v>51</v>
      </c>
      <c r="K197" s="231" t="s">
        <v>75</v>
      </c>
      <c r="L197" s="233" t="s">
        <v>76</v>
      </c>
      <c r="M197" s="233" t="s">
        <v>564</v>
      </c>
      <c r="N197" s="233" t="s">
        <v>149</v>
      </c>
      <c r="O197" s="233">
        <v>21998086661</v>
      </c>
      <c r="P197" s="95" t="s">
        <v>56</v>
      </c>
      <c r="Q197" s="145" t="s">
        <v>57</v>
      </c>
      <c r="R197" s="122">
        <v>46178</v>
      </c>
      <c r="S197" s="121"/>
      <c r="T197" s="97" t="s">
        <v>58</v>
      </c>
      <c r="U197" s="97" t="s">
        <v>59</v>
      </c>
      <c r="V197" s="118">
        <v>46182</v>
      </c>
      <c r="W197" s="98"/>
      <c r="X197" s="9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 t="s">
        <v>729</v>
      </c>
      <c r="AK197" s="100"/>
      <c r="AL197" s="45" t="s">
        <v>64</v>
      </c>
      <c r="AM197" s="199" t="str">
        <f t="shared" si="24"/>
        <v>5/2026</v>
      </c>
      <c r="AN197" s="45">
        <f t="shared" si="25"/>
        <v>5</v>
      </c>
      <c r="AO197" s="45" t="str">
        <f t="shared" si="26"/>
        <v>6/2026</v>
      </c>
      <c r="AP197" s="45">
        <f t="shared" si="27"/>
        <v>1</v>
      </c>
      <c r="AQ197" s="45">
        <f t="shared" si="28"/>
        <v>10</v>
      </c>
      <c r="AR197" s="45">
        <f t="shared" si="29"/>
        <v>0</v>
      </c>
      <c r="AS197" s="45">
        <f t="shared" si="30"/>
        <v>0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hidden="1" customHeight="1" x14ac:dyDescent="0.3">
      <c r="A198" s="89" t="s">
        <v>63</v>
      </c>
      <c r="B198" s="232">
        <v>46168</v>
      </c>
      <c r="C198" s="233" t="s">
        <v>217</v>
      </c>
      <c r="D198" s="233" t="s">
        <v>49</v>
      </c>
      <c r="E198" s="233">
        <v>413567800</v>
      </c>
      <c r="F198" s="235" t="s">
        <v>565</v>
      </c>
      <c r="G198" s="233" t="s">
        <v>566</v>
      </c>
      <c r="H198" s="232">
        <v>20520</v>
      </c>
      <c r="I198" s="233">
        <v>70</v>
      </c>
      <c r="J198" s="230" t="s">
        <v>51</v>
      </c>
      <c r="K198" s="231" t="s">
        <v>75</v>
      </c>
      <c r="L198" s="233" t="s">
        <v>76</v>
      </c>
      <c r="M198" s="233" t="s">
        <v>567</v>
      </c>
      <c r="N198" s="233" t="s">
        <v>121</v>
      </c>
      <c r="O198" s="233">
        <v>21994523689</v>
      </c>
      <c r="P198" s="95" t="s">
        <v>56</v>
      </c>
      <c r="Q198" s="145" t="s">
        <v>358</v>
      </c>
      <c r="R198" s="122"/>
      <c r="S198" s="121"/>
      <c r="T198" s="97" t="s">
        <v>230</v>
      </c>
      <c r="U198" s="97" t="s">
        <v>359</v>
      </c>
      <c r="V198" s="118">
        <v>46182</v>
      </c>
      <c r="W198" s="98"/>
      <c r="X198" s="9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64</v>
      </c>
      <c r="AM198" s="199" t="str">
        <f t="shared" si="24"/>
        <v>5/2026</v>
      </c>
      <c r="AN198" s="45">
        <f t="shared" si="25"/>
        <v>5</v>
      </c>
      <c r="AO198" s="45" t="str">
        <f t="shared" si="26"/>
        <v>1/1900</v>
      </c>
      <c r="AP198" s="45" t="e">
        <f t="shared" si="27"/>
        <v>#NUM!</v>
      </c>
      <c r="AQ198" s="45">
        <f t="shared" si="28"/>
        <v>0</v>
      </c>
      <c r="AR198" s="45">
        <f t="shared" si="29"/>
        <v>0</v>
      </c>
      <c r="AS198" s="45">
        <f t="shared" si="30"/>
        <v>0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hidden="1" customHeight="1" x14ac:dyDescent="0.3">
      <c r="A199" s="89" t="s">
        <v>63</v>
      </c>
      <c r="B199" s="232">
        <v>46168</v>
      </c>
      <c r="C199" s="233" t="s">
        <v>217</v>
      </c>
      <c r="D199" s="233" t="s">
        <v>49</v>
      </c>
      <c r="E199" s="233">
        <v>210286245</v>
      </c>
      <c r="F199" s="235" t="s">
        <v>568</v>
      </c>
      <c r="G199" s="233" t="s">
        <v>569</v>
      </c>
      <c r="H199" s="232">
        <v>15967</v>
      </c>
      <c r="I199" s="233">
        <v>82</v>
      </c>
      <c r="J199" s="234" t="s">
        <v>74</v>
      </c>
      <c r="K199" s="231" t="s">
        <v>75</v>
      </c>
      <c r="L199" s="233" t="s">
        <v>76</v>
      </c>
      <c r="M199" s="233" t="s">
        <v>489</v>
      </c>
      <c r="N199" s="233" t="s">
        <v>104</v>
      </c>
      <c r="O199" s="233">
        <v>21994601463</v>
      </c>
      <c r="P199" s="95" t="s">
        <v>56</v>
      </c>
      <c r="Q199" s="145" t="s">
        <v>358</v>
      </c>
      <c r="R199" s="122"/>
      <c r="S199" s="121"/>
      <c r="T199" s="97" t="s">
        <v>230</v>
      </c>
      <c r="U199" s="97" t="s">
        <v>359</v>
      </c>
      <c r="V199" s="118">
        <v>46182</v>
      </c>
      <c r="W199" s="98"/>
      <c r="X199" s="9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64</v>
      </c>
      <c r="AM199" s="199" t="str">
        <f t="shared" si="24"/>
        <v>5/2026</v>
      </c>
      <c r="AN199" s="45">
        <f t="shared" si="25"/>
        <v>5</v>
      </c>
      <c r="AO199" s="45" t="str">
        <f t="shared" si="26"/>
        <v>1/1900</v>
      </c>
      <c r="AP199" s="45" t="e">
        <f t="shared" si="27"/>
        <v>#NUM!</v>
      </c>
      <c r="AQ199" s="45">
        <f t="shared" si="28"/>
        <v>0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hidden="1" customHeight="1" x14ac:dyDescent="0.3">
      <c r="A200" s="89" t="s">
        <v>63</v>
      </c>
      <c r="B200" s="232">
        <v>46168</v>
      </c>
      <c r="C200" s="233" t="s">
        <v>217</v>
      </c>
      <c r="D200" s="233" t="s">
        <v>49</v>
      </c>
      <c r="E200" s="233">
        <v>94144913</v>
      </c>
      <c r="F200" s="235" t="s">
        <v>570</v>
      </c>
      <c r="G200" s="233" t="s">
        <v>571</v>
      </c>
      <c r="H200" s="232">
        <v>29909</v>
      </c>
      <c r="I200" s="233">
        <v>44</v>
      </c>
      <c r="J200" s="230" t="s">
        <v>51</v>
      </c>
      <c r="K200" s="231" t="s">
        <v>75</v>
      </c>
      <c r="L200" s="233" t="s">
        <v>76</v>
      </c>
      <c r="M200" s="233" t="s">
        <v>392</v>
      </c>
      <c r="N200" s="233" t="s">
        <v>67</v>
      </c>
      <c r="O200" s="233">
        <v>21981608076</v>
      </c>
      <c r="P200" s="95" t="s">
        <v>56</v>
      </c>
      <c r="Q200" s="145" t="s">
        <v>358</v>
      </c>
      <c r="R200" s="122"/>
      <c r="S200" s="121"/>
      <c r="T200" s="97" t="s">
        <v>230</v>
      </c>
      <c r="U200" s="97" t="s">
        <v>359</v>
      </c>
      <c r="V200" s="118">
        <v>46182</v>
      </c>
      <c r="W200" s="98"/>
      <c r="X200" s="9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64</v>
      </c>
      <c r="AM200" s="199" t="str">
        <f t="shared" si="24"/>
        <v>5/2026</v>
      </c>
      <c r="AN200" s="45">
        <f t="shared" si="25"/>
        <v>5</v>
      </c>
      <c r="AO200" s="45" t="str">
        <f t="shared" si="26"/>
        <v>1/1900</v>
      </c>
      <c r="AP200" s="45" t="e">
        <f t="shared" si="27"/>
        <v>#NUM!</v>
      </c>
      <c r="AQ200" s="45">
        <f t="shared" si="28"/>
        <v>0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 x14ac:dyDescent="0.3">
      <c r="A201" s="89" t="s">
        <v>63</v>
      </c>
      <c r="B201" s="232">
        <v>46168</v>
      </c>
      <c r="C201" s="233" t="s">
        <v>217</v>
      </c>
      <c r="D201" s="233" t="s">
        <v>49</v>
      </c>
      <c r="E201" s="233">
        <v>82289456</v>
      </c>
      <c r="F201" s="235" t="s">
        <v>572</v>
      </c>
      <c r="G201" s="233" t="s">
        <v>573</v>
      </c>
      <c r="H201" s="232">
        <v>17170</v>
      </c>
      <c r="I201" s="233">
        <v>79</v>
      </c>
      <c r="J201" s="234" t="s">
        <v>74</v>
      </c>
      <c r="K201" s="231" t="s">
        <v>75</v>
      </c>
      <c r="L201" s="233" t="s">
        <v>76</v>
      </c>
      <c r="M201" s="233" t="s">
        <v>451</v>
      </c>
      <c r="N201" s="233" t="s">
        <v>67</v>
      </c>
      <c r="O201" s="233">
        <v>21996050012</v>
      </c>
      <c r="P201" s="95" t="s">
        <v>56</v>
      </c>
      <c r="Q201" s="145" t="s">
        <v>57</v>
      </c>
      <c r="R201" s="122">
        <v>46178</v>
      </c>
      <c r="S201" s="121"/>
      <c r="T201" s="97" t="s">
        <v>58</v>
      </c>
      <c r="U201" s="97" t="s">
        <v>59</v>
      </c>
      <c r="V201" s="118">
        <v>46182</v>
      </c>
      <c r="W201" s="98"/>
      <c r="X201" s="9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 t="s">
        <v>729</v>
      </c>
      <c r="AK201" s="100"/>
      <c r="AL201" s="45" t="s">
        <v>64</v>
      </c>
      <c r="AM201" s="199" t="str">
        <f t="shared" si="24"/>
        <v>5/2026</v>
      </c>
      <c r="AN201" s="45">
        <f t="shared" si="25"/>
        <v>5</v>
      </c>
      <c r="AO201" s="45" t="str">
        <f t="shared" si="26"/>
        <v>6/2026</v>
      </c>
      <c r="AP201" s="45">
        <f t="shared" si="27"/>
        <v>1</v>
      </c>
      <c r="AQ201" s="45">
        <f t="shared" si="28"/>
        <v>10</v>
      </c>
      <c r="AR201" s="45">
        <f t="shared" si="29"/>
        <v>0</v>
      </c>
      <c r="AS201" s="45">
        <f t="shared" si="30"/>
        <v>0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hidden="1" customHeight="1" x14ac:dyDescent="0.3">
      <c r="A202" s="89" t="s">
        <v>63</v>
      </c>
      <c r="B202" s="232">
        <v>46168</v>
      </c>
      <c r="C202" s="233" t="s">
        <v>217</v>
      </c>
      <c r="D202" s="233" t="s">
        <v>49</v>
      </c>
      <c r="E202" s="233">
        <v>81130389</v>
      </c>
      <c r="F202" s="235" t="s">
        <v>574</v>
      </c>
      <c r="G202" s="233" t="s">
        <v>575</v>
      </c>
      <c r="H202" s="232">
        <v>23826</v>
      </c>
      <c r="I202" s="233">
        <v>61</v>
      </c>
      <c r="J202" s="234" t="s">
        <v>74</v>
      </c>
      <c r="K202" s="231" t="s">
        <v>75</v>
      </c>
      <c r="L202" s="233" t="s">
        <v>76</v>
      </c>
      <c r="M202" s="233" t="s">
        <v>220</v>
      </c>
      <c r="N202" s="233" t="s">
        <v>67</v>
      </c>
      <c r="O202" s="233">
        <v>21999203817</v>
      </c>
      <c r="P202" s="95" t="s">
        <v>56</v>
      </c>
      <c r="Q202" s="145" t="s">
        <v>358</v>
      </c>
      <c r="R202" s="122"/>
      <c r="S202" s="121"/>
      <c r="T202" s="97" t="s">
        <v>230</v>
      </c>
      <c r="U202" s="97" t="s">
        <v>359</v>
      </c>
      <c r="V202" s="118">
        <v>46182</v>
      </c>
      <c r="W202" s="98"/>
      <c r="X202" s="9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64</v>
      </c>
      <c r="AM202" s="199" t="str">
        <f t="shared" si="24"/>
        <v>5/2026</v>
      </c>
      <c r="AN202" s="45">
        <f t="shared" si="25"/>
        <v>5</v>
      </c>
      <c r="AO202" s="45" t="str">
        <f t="shared" si="26"/>
        <v>1/1900</v>
      </c>
      <c r="AP202" s="45" t="e">
        <f t="shared" si="27"/>
        <v>#NUM!</v>
      </c>
      <c r="AQ202" s="45">
        <f t="shared" si="28"/>
        <v>0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hidden="1" customHeight="1" x14ac:dyDescent="0.3">
      <c r="A203" s="89" t="s">
        <v>63</v>
      </c>
      <c r="B203" s="232">
        <v>46168</v>
      </c>
      <c r="C203" s="233" t="s">
        <v>217</v>
      </c>
      <c r="D203" s="233" t="s">
        <v>49</v>
      </c>
      <c r="E203" s="233">
        <v>86340630</v>
      </c>
      <c r="F203" s="235" t="s">
        <v>576</v>
      </c>
      <c r="G203" s="233" t="s">
        <v>577</v>
      </c>
      <c r="H203" s="232">
        <v>19564</v>
      </c>
      <c r="I203" s="233">
        <v>72</v>
      </c>
      <c r="J203" s="234" t="s">
        <v>74</v>
      </c>
      <c r="K203" s="231" t="s">
        <v>75</v>
      </c>
      <c r="L203" s="233" t="s">
        <v>76</v>
      </c>
      <c r="M203" s="233" t="s">
        <v>578</v>
      </c>
      <c r="N203" s="233" t="s">
        <v>67</v>
      </c>
      <c r="O203" s="233">
        <v>21991851310</v>
      </c>
      <c r="P203" s="95" t="s">
        <v>56</v>
      </c>
      <c r="Q203" s="145" t="s">
        <v>358</v>
      </c>
      <c r="R203" s="122"/>
      <c r="S203" s="121"/>
      <c r="T203" s="97" t="s">
        <v>230</v>
      </c>
      <c r="U203" s="97" t="s">
        <v>359</v>
      </c>
      <c r="V203" s="118">
        <v>46182</v>
      </c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64</v>
      </c>
      <c r="AM203" s="199" t="str">
        <f t="shared" si="24"/>
        <v>5/2026</v>
      </c>
      <c r="AN203" s="45">
        <f t="shared" si="25"/>
        <v>5</v>
      </c>
      <c r="AO203" s="45" t="str">
        <f t="shared" si="26"/>
        <v>1/1900</v>
      </c>
      <c r="AP203" s="45" t="e">
        <f t="shared" si="27"/>
        <v>#NUM!</v>
      </c>
      <c r="AQ203" s="45">
        <f t="shared" si="28"/>
        <v>0</v>
      </c>
      <c r="AR203" s="45">
        <f t="shared" si="29"/>
        <v>0</v>
      </c>
      <c r="AS203" s="45">
        <f t="shared" si="30"/>
        <v>0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hidden="1" customHeight="1" x14ac:dyDescent="0.3">
      <c r="A204" s="89" t="s">
        <v>63</v>
      </c>
      <c r="B204" s="232">
        <v>46168</v>
      </c>
      <c r="C204" s="233" t="s">
        <v>217</v>
      </c>
      <c r="D204" s="233" t="s">
        <v>49</v>
      </c>
      <c r="E204" s="233">
        <v>111912628</v>
      </c>
      <c r="F204" s="235" t="s">
        <v>579</v>
      </c>
      <c r="G204" s="233" t="s">
        <v>580</v>
      </c>
      <c r="H204" s="232">
        <v>25506</v>
      </c>
      <c r="I204" s="233">
        <v>56</v>
      </c>
      <c r="J204" s="234" t="s">
        <v>74</v>
      </c>
      <c r="K204" s="244" t="s">
        <v>75</v>
      </c>
      <c r="L204" s="233" t="s">
        <v>76</v>
      </c>
      <c r="M204" s="233" t="s">
        <v>365</v>
      </c>
      <c r="N204" s="233" t="s">
        <v>121</v>
      </c>
      <c r="O204" s="233">
        <v>21999913632</v>
      </c>
      <c r="P204" s="95" t="s">
        <v>56</v>
      </c>
      <c r="Q204" s="145" t="s">
        <v>358</v>
      </c>
      <c r="R204" s="122"/>
      <c r="S204" s="121"/>
      <c r="T204" s="97" t="s">
        <v>230</v>
      </c>
      <c r="U204" s="97" t="s">
        <v>359</v>
      </c>
      <c r="V204" s="118">
        <v>46182</v>
      </c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64</v>
      </c>
      <c r="AM204" s="199" t="str">
        <f t="shared" si="24"/>
        <v>5/2026</v>
      </c>
      <c r="AN204" s="45">
        <f t="shared" si="25"/>
        <v>5</v>
      </c>
      <c r="AO204" s="45" t="str">
        <f t="shared" si="26"/>
        <v>1/1900</v>
      </c>
      <c r="AP204" s="45" t="e">
        <f t="shared" si="27"/>
        <v>#NUM!</v>
      </c>
      <c r="AQ204" s="45">
        <f t="shared" si="28"/>
        <v>0</v>
      </c>
      <c r="AR204" s="45">
        <f t="shared" si="29"/>
        <v>0</v>
      </c>
      <c r="AS204" s="45">
        <f t="shared" si="30"/>
        <v>0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 x14ac:dyDescent="0.3">
      <c r="A205" s="89" t="s">
        <v>63</v>
      </c>
      <c r="B205" s="232">
        <v>46168</v>
      </c>
      <c r="C205" s="233" t="s">
        <v>217</v>
      </c>
      <c r="D205" s="233" t="s">
        <v>49</v>
      </c>
      <c r="E205" s="233">
        <v>301001561</v>
      </c>
      <c r="F205" s="235" t="s">
        <v>581</v>
      </c>
      <c r="G205" s="233" t="s">
        <v>582</v>
      </c>
      <c r="H205" s="232">
        <v>13960</v>
      </c>
      <c r="I205" s="233">
        <v>88</v>
      </c>
      <c r="J205" s="234" t="s">
        <v>74</v>
      </c>
      <c r="K205" s="229" t="s">
        <v>52</v>
      </c>
      <c r="L205" s="233" t="s">
        <v>66</v>
      </c>
      <c r="M205" s="233" t="s">
        <v>583</v>
      </c>
      <c r="N205" s="233" t="s">
        <v>104</v>
      </c>
      <c r="O205" s="233">
        <v>11995952104</v>
      </c>
      <c r="P205" s="95" t="s">
        <v>56</v>
      </c>
      <c r="Q205" s="145" t="s">
        <v>57</v>
      </c>
      <c r="R205" s="122">
        <v>46178</v>
      </c>
      <c r="S205" s="121"/>
      <c r="T205" s="97" t="s">
        <v>58</v>
      </c>
      <c r="U205" s="97" t="s">
        <v>59</v>
      </c>
      <c r="V205" s="118">
        <v>46182</v>
      </c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 t="s">
        <v>729</v>
      </c>
      <c r="AK205" s="100"/>
      <c r="AL205" s="45" t="s">
        <v>64</v>
      </c>
      <c r="AM205" s="199" t="str">
        <f t="shared" si="24"/>
        <v>5/2026</v>
      </c>
      <c r="AN205" s="45">
        <f t="shared" si="25"/>
        <v>5</v>
      </c>
      <c r="AO205" s="45" t="str">
        <f t="shared" si="26"/>
        <v>6/2026</v>
      </c>
      <c r="AP205" s="45">
        <f t="shared" si="27"/>
        <v>1</v>
      </c>
      <c r="AQ205" s="45">
        <f t="shared" si="28"/>
        <v>10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9" t="s">
        <v>63</v>
      </c>
      <c r="B206" s="232">
        <v>46168</v>
      </c>
      <c r="C206" s="233" t="s">
        <v>217</v>
      </c>
      <c r="D206" s="233" t="s">
        <v>49</v>
      </c>
      <c r="E206" s="233">
        <v>79089771</v>
      </c>
      <c r="F206" s="235" t="s">
        <v>584</v>
      </c>
      <c r="G206" s="233" t="s">
        <v>585</v>
      </c>
      <c r="H206" s="232">
        <v>23639</v>
      </c>
      <c r="I206" s="233">
        <v>61</v>
      </c>
      <c r="J206" s="234" t="s">
        <v>74</v>
      </c>
      <c r="K206" s="231" t="s">
        <v>75</v>
      </c>
      <c r="L206" s="233" t="s">
        <v>76</v>
      </c>
      <c r="M206" s="233" t="s">
        <v>413</v>
      </c>
      <c r="N206" s="233" t="s">
        <v>280</v>
      </c>
      <c r="O206" s="233">
        <v>21998977899</v>
      </c>
      <c r="P206" s="95" t="s">
        <v>56</v>
      </c>
      <c r="Q206" s="145" t="s">
        <v>57</v>
      </c>
      <c r="R206" s="122">
        <v>46178</v>
      </c>
      <c r="S206" s="121"/>
      <c r="T206" s="97" t="s">
        <v>58</v>
      </c>
      <c r="U206" s="97" t="s">
        <v>59</v>
      </c>
      <c r="V206" s="118">
        <v>46182</v>
      </c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 t="s">
        <v>729</v>
      </c>
      <c r="AK206" s="100"/>
      <c r="AL206" s="45" t="s">
        <v>64</v>
      </c>
      <c r="AM206" s="199" t="str">
        <f t="shared" si="24"/>
        <v>5/2026</v>
      </c>
      <c r="AN206" s="45">
        <f t="shared" si="25"/>
        <v>5</v>
      </c>
      <c r="AO206" s="45" t="str">
        <f t="shared" si="26"/>
        <v>6/2026</v>
      </c>
      <c r="AP206" s="45">
        <f t="shared" si="27"/>
        <v>1</v>
      </c>
      <c r="AQ206" s="45">
        <f t="shared" si="28"/>
        <v>10</v>
      </c>
      <c r="AR206" s="45">
        <f t="shared" si="29"/>
        <v>0</v>
      </c>
      <c r="AS206" s="45">
        <f t="shared" si="30"/>
        <v>0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hidden="1" customHeight="1" x14ac:dyDescent="0.3">
      <c r="A207" s="89" t="s">
        <v>63</v>
      </c>
      <c r="B207" s="232">
        <v>46168</v>
      </c>
      <c r="C207" s="233" t="s">
        <v>217</v>
      </c>
      <c r="D207" s="233" t="s">
        <v>49</v>
      </c>
      <c r="E207" s="233">
        <v>94138810</v>
      </c>
      <c r="F207" s="235" t="s">
        <v>586</v>
      </c>
      <c r="G207" s="233" t="s">
        <v>587</v>
      </c>
      <c r="H207" s="232">
        <v>25864</v>
      </c>
      <c r="I207" s="233">
        <v>55</v>
      </c>
      <c r="J207" s="234" t="s">
        <v>74</v>
      </c>
      <c r="K207" s="231" t="s">
        <v>75</v>
      </c>
      <c r="L207" s="233" t="s">
        <v>76</v>
      </c>
      <c r="M207" s="233" t="s">
        <v>588</v>
      </c>
      <c r="N207" s="233" t="s">
        <v>168</v>
      </c>
      <c r="O207" s="233">
        <v>21973970289</v>
      </c>
      <c r="P207" s="95" t="s">
        <v>56</v>
      </c>
      <c r="Q207" s="145" t="s">
        <v>358</v>
      </c>
      <c r="R207" s="122"/>
      <c r="S207" s="121"/>
      <c r="T207" s="97" t="s">
        <v>230</v>
      </c>
      <c r="U207" s="97" t="s">
        <v>359</v>
      </c>
      <c r="V207" s="118">
        <v>46182</v>
      </c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64</v>
      </c>
      <c r="AM207" s="199" t="str">
        <f t="shared" si="24"/>
        <v>5/2026</v>
      </c>
      <c r="AN207" s="45">
        <f t="shared" si="25"/>
        <v>5</v>
      </c>
      <c r="AO207" s="45" t="str">
        <f t="shared" si="26"/>
        <v>1/1900</v>
      </c>
      <c r="AP207" s="45" t="e">
        <f t="shared" si="27"/>
        <v>#NUM!</v>
      </c>
      <c r="AQ207" s="45">
        <f t="shared" si="28"/>
        <v>0</v>
      </c>
      <c r="AR207" s="45">
        <f t="shared" si="29"/>
        <v>0</v>
      </c>
      <c r="AS207" s="45">
        <f t="shared" si="30"/>
        <v>0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9" t="s">
        <v>63</v>
      </c>
      <c r="B208" s="232">
        <v>46168</v>
      </c>
      <c r="C208" s="233" t="s">
        <v>217</v>
      </c>
      <c r="D208" s="233" t="s">
        <v>49</v>
      </c>
      <c r="E208" s="233">
        <v>82939007</v>
      </c>
      <c r="F208" s="235" t="s">
        <v>589</v>
      </c>
      <c r="G208" s="233" t="s">
        <v>590</v>
      </c>
      <c r="H208" s="232">
        <v>33259</v>
      </c>
      <c r="I208" s="233">
        <v>35</v>
      </c>
      <c r="J208" s="234" t="s">
        <v>74</v>
      </c>
      <c r="K208" s="231" t="s">
        <v>75</v>
      </c>
      <c r="L208" s="233" t="s">
        <v>76</v>
      </c>
      <c r="M208" s="233" t="s">
        <v>591</v>
      </c>
      <c r="N208" s="233" t="s">
        <v>173</v>
      </c>
      <c r="O208" s="233">
        <v>21996145156</v>
      </c>
      <c r="P208" s="95" t="s">
        <v>56</v>
      </c>
      <c r="Q208" s="145" t="s">
        <v>57</v>
      </c>
      <c r="R208" s="122">
        <v>46178</v>
      </c>
      <c r="S208" s="121"/>
      <c r="T208" s="97" t="s">
        <v>58</v>
      </c>
      <c r="U208" s="97" t="s">
        <v>59</v>
      </c>
      <c r="V208" s="118">
        <v>46182</v>
      </c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 t="s">
        <v>729</v>
      </c>
      <c r="AK208" s="100"/>
      <c r="AL208" s="45" t="s">
        <v>64</v>
      </c>
      <c r="AM208" s="199" t="str">
        <f t="shared" si="24"/>
        <v>5/2026</v>
      </c>
      <c r="AN208" s="45">
        <f t="shared" si="25"/>
        <v>5</v>
      </c>
      <c r="AO208" s="45" t="str">
        <f t="shared" si="26"/>
        <v>6/2026</v>
      </c>
      <c r="AP208" s="45">
        <f t="shared" si="27"/>
        <v>1</v>
      </c>
      <c r="AQ208" s="45">
        <f t="shared" si="28"/>
        <v>10</v>
      </c>
      <c r="AR208" s="45">
        <f t="shared" si="29"/>
        <v>0</v>
      </c>
      <c r="AS208" s="45">
        <f t="shared" si="30"/>
        <v>0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9" t="s">
        <v>63</v>
      </c>
      <c r="B209" s="232">
        <v>46168</v>
      </c>
      <c r="C209" s="233" t="s">
        <v>217</v>
      </c>
      <c r="D209" s="233" t="s">
        <v>49</v>
      </c>
      <c r="E209" s="233">
        <v>92988893</v>
      </c>
      <c r="F209" s="235" t="s">
        <v>592</v>
      </c>
      <c r="G209" s="233" t="s">
        <v>593</v>
      </c>
      <c r="H209" s="232">
        <v>29655</v>
      </c>
      <c r="I209" s="233">
        <v>45</v>
      </c>
      <c r="J209" s="234" t="s">
        <v>74</v>
      </c>
      <c r="K209" s="231" t="s">
        <v>75</v>
      </c>
      <c r="L209" s="233" t="s">
        <v>76</v>
      </c>
      <c r="M209" s="233" t="s">
        <v>220</v>
      </c>
      <c r="N209" s="233" t="s">
        <v>67</v>
      </c>
      <c r="O209" s="233">
        <v>21987572223</v>
      </c>
      <c r="P209" s="95" t="s">
        <v>56</v>
      </c>
      <c r="Q209" s="145" t="s">
        <v>57</v>
      </c>
      <c r="R209" s="122">
        <v>46178</v>
      </c>
      <c r="S209" s="121"/>
      <c r="T209" s="97" t="s">
        <v>58</v>
      </c>
      <c r="U209" s="97" t="s">
        <v>59</v>
      </c>
      <c r="V209" s="118">
        <v>46182</v>
      </c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 t="s">
        <v>729</v>
      </c>
      <c r="AK209" s="100"/>
      <c r="AL209" s="45" t="s">
        <v>64</v>
      </c>
      <c r="AM209" s="199" t="str">
        <f t="shared" si="24"/>
        <v>5/2026</v>
      </c>
      <c r="AN209" s="45">
        <f t="shared" si="25"/>
        <v>5</v>
      </c>
      <c r="AO209" s="45" t="str">
        <f t="shared" si="26"/>
        <v>6/2026</v>
      </c>
      <c r="AP209" s="45">
        <f t="shared" si="27"/>
        <v>1</v>
      </c>
      <c r="AQ209" s="45">
        <f t="shared" si="28"/>
        <v>10</v>
      </c>
      <c r="AR209" s="45">
        <f t="shared" si="29"/>
        <v>0</v>
      </c>
      <c r="AS209" s="45">
        <f t="shared" si="30"/>
        <v>0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 x14ac:dyDescent="0.3">
      <c r="A210" s="89" t="s">
        <v>63</v>
      </c>
      <c r="B210" s="232">
        <v>46168</v>
      </c>
      <c r="C210" s="233" t="s">
        <v>217</v>
      </c>
      <c r="D210" s="233" t="s">
        <v>49</v>
      </c>
      <c r="E210" s="233">
        <v>213598612</v>
      </c>
      <c r="F210" s="235" t="s">
        <v>594</v>
      </c>
      <c r="G210" s="233" t="s">
        <v>595</v>
      </c>
      <c r="H210" s="232">
        <v>33135</v>
      </c>
      <c r="I210" s="233">
        <v>35</v>
      </c>
      <c r="J210" s="234" t="s">
        <v>74</v>
      </c>
      <c r="K210" s="231" t="s">
        <v>75</v>
      </c>
      <c r="L210" s="233" t="s">
        <v>76</v>
      </c>
      <c r="M210" s="233" t="s">
        <v>365</v>
      </c>
      <c r="N210" s="233" t="s">
        <v>121</v>
      </c>
      <c r="O210" s="233">
        <v>21999178644</v>
      </c>
      <c r="P210" s="95" t="s">
        <v>56</v>
      </c>
      <c r="Q210" s="145" t="s">
        <v>57</v>
      </c>
      <c r="R210" s="122">
        <v>46178</v>
      </c>
      <c r="S210" s="121"/>
      <c r="T210" s="97" t="s">
        <v>58</v>
      </c>
      <c r="U210" s="97" t="s">
        <v>59</v>
      </c>
      <c r="V210" s="118">
        <v>46182</v>
      </c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 t="s">
        <v>729</v>
      </c>
      <c r="AK210" s="100"/>
      <c r="AL210" s="45" t="s">
        <v>64</v>
      </c>
      <c r="AM210" s="199" t="str">
        <f t="shared" si="24"/>
        <v>5/2026</v>
      </c>
      <c r="AN210" s="45">
        <f t="shared" si="25"/>
        <v>5</v>
      </c>
      <c r="AO210" s="45" t="str">
        <f t="shared" si="26"/>
        <v>6/2026</v>
      </c>
      <c r="AP210" s="45">
        <f t="shared" si="27"/>
        <v>1</v>
      </c>
      <c r="AQ210" s="45">
        <f t="shared" si="28"/>
        <v>10</v>
      </c>
      <c r="AR210" s="45">
        <f t="shared" si="29"/>
        <v>0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9" t="s">
        <v>63</v>
      </c>
      <c r="B211" s="232">
        <v>46168</v>
      </c>
      <c r="C211" s="233" t="s">
        <v>217</v>
      </c>
      <c r="D211" s="233" t="s">
        <v>49</v>
      </c>
      <c r="E211" s="233">
        <v>85119356</v>
      </c>
      <c r="F211" s="235" t="s">
        <v>596</v>
      </c>
      <c r="G211" s="233" t="s">
        <v>597</v>
      </c>
      <c r="H211" s="232">
        <v>29384</v>
      </c>
      <c r="I211" s="233">
        <v>45</v>
      </c>
      <c r="J211" s="234" t="s">
        <v>74</v>
      </c>
      <c r="K211" s="231" t="s">
        <v>75</v>
      </c>
      <c r="L211" s="233" t="s">
        <v>76</v>
      </c>
      <c r="M211" s="233" t="s">
        <v>588</v>
      </c>
      <c r="N211" s="233" t="s">
        <v>168</v>
      </c>
      <c r="O211" s="233">
        <v>21976591730</v>
      </c>
      <c r="P211" s="95" t="s">
        <v>56</v>
      </c>
      <c r="Q211" s="145" t="s">
        <v>57</v>
      </c>
      <c r="R211" s="122">
        <v>46178</v>
      </c>
      <c r="S211" s="121"/>
      <c r="T211" s="97" t="s">
        <v>58</v>
      </c>
      <c r="U211" s="97" t="s">
        <v>59</v>
      </c>
      <c r="V211" s="118">
        <v>46182</v>
      </c>
      <c r="W211" s="118"/>
      <c r="X211" s="98"/>
      <c r="Y211" s="98"/>
      <c r="Z211" s="89"/>
      <c r="AA211" s="97"/>
      <c r="AB211" s="89"/>
      <c r="AC211" s="120"/>
      <c r="AD211" s="89"/>
      <c r="AE211" s="89"/>
      <c r="AF211" s="119"/>
      <c r="AG211" s="119"/>
      <c r="AH211" s="119"/>
      <c r="AI211" s="100"/>
      <c r="AJ211" s="100" t="s">
        <v>729</v>
      </c>
      <c r="AK211" s="100"/>
      <c r="AL211" s="45" t="s">
        <v>64</v>
      </c>
      <c r="AM211" s="199" t="str">
        <f t="shared" si="24"/>
        <v>5/2026</v>
      </c>
      <c r="AN211" s="45">
        <f t="shared" si="25"/>
        <v>5</v>
      </c>
      <c r="AO211" s="45" t="str">
        <f t="shared" si="26"/>
        <v>6/2026</v>
      </c>
      <c r="AP211" s="45">
        <f t="shared" si="27"/>
        <v>1</v>
      </c>
      <c r="AQ211" s="45">
        <f t="shared" si="28"/>
        <v>10</v>
      </c>
      <c r="AR211" s="45">
        <f t="shared" si="29"/>
        <v>0</v>
      </c>
      <c r="AS211" s="45">
        <f t="shared" si="30"/>
        <v>0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hidden="1" customHeight="1" x14ac:dyDescent="0.3">
      <c r="A212" s="89" t="s">
        <v>63</v>
      </c>
      <c r="B212" s="232">
        <v>46168</v>
      </c>
      <c r="C212" s="233" t="s">
        <v>217</v>
      </c>
      <c r="D212" s="233" t="s">
        <v>49</v>
      </c>
      <c r="E212" s="233">
        <v>83051393</v>
      </c>
      <c r="F212" s="235" t="s">
        <v>598</v>
      </c>
      <c r="G212" s="233" t="s">
        <v>599</v>
      </c>
      <c r="H212" s="232">
        <v>12744</v>
      </c>
      <c r="I212" s="233">
        <v>91</v>
      </c>
      <c r="J212" s="234" t="s">
        <v>74</v>
      </c>
      <c r="K212" s="231" t="s">
        <v>75</v>
      </c>
      <c r="L212" s="233" t="s">
        <v>76</v>
      </c>
      <c r="M212" s="233" t="s">
        <v>600</v>
      </c>
      <c r="N212" s="233" t="s">
        <v>67</v>
      </c>
      <c r="O212" s="233">
        <v>21991174545</v>
      </c>
      <c r="P212" s="95" t="s">
        <v>56</v>
      </c>
      <c r="Q212" s="145" t="s">
        <v>358</v>
      </c>
      <c r="R212" s="122"/>
      <c r="S212" s="121"/>
      <c r="T212" s="97" t="s">
        <v>230</v>
      </c>
      <c r="U212" s="97" t="s">
        <v>359</v>
      </c>
      <c r="V212" s="118">
        <v>46182</v>
      </c>
      <c r="W212" s="118"/>
      <c r="X212" s="11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64</v>
      </c>
      <c r="AM212" s="199" t="str">
        <f t="shared" si="24"/>
        <v>5/2026</v>
      </c>
      <c r="AN212" s="45">
        <f t="shared" si="25"/>
        <v>5</v>
      </c>
      <c r="AO212" s="45" t="str">
        <f t="shared" si="26"/>
        <v>1/1900</v>
      </c>
      <c r="AP212" s="45" t="e">
        <f t="shared" si="27"/>
        <v>#NUM!</v>
      </c>
      <c r="AQ212" s="45">
        <f t="shared" si="28"/>
        <v>0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9" t="s">
        <v>63</v>
      </c>
      <c r="B213" s="232">
        <v>46168</v>
      </c>
      <c r="C213" s="233" t="s">
        <v>217</v>
      </c>
      <c r="D213" s="233" t="s">
        <v>49</v>
      </c>
      <c r="E213" s="233">
        <v>88172129</v>
      </c>
      <c r="F213" s="235" t="s">
        <v>601</v>
      </c>
      <c r="G213" s="233" t="s">
        <v>602</v>
      </c>
      <c r="H213" s="232">
        <v>29333</v>
      </c>
      <c r="I213" s="233">
        <v>46</v>
      </c>
      <c r="J213" s="234" t="s">
        <v>74</v>
      </c>
      <c r="K213" s="231" t="s">
        <v>75</v>
      </c>
      <c r="L213" s="233" t="s">
        <v>76</v>
      </c>
      <c r="M213" s="233" t="s">
        <v>603</v>
      </c>
      <c r="N213" s="233" t="s">
        <v>104</v>
      </c>
      <c r="O213" s="233">
        <v>21967588889</v>
      </c>
      <c r="P213" s="95" t="s">
        <v>56</v>
      </c>
      <c r="Q213" s="145" t="s">
        <v>57</v>
      </c>
      <c r="R213" s="122">
        <v>46178</v>
      </c>
      <c r="S213" s="121"/>
      <c r="T213" s="97" t="s">
        <v>58</v>
      </c>
      <c r="U213" s="97" t="s">
        <v>59</v>
      </c>
      <c r="V213" s="118">
        <v>46182</v>
      </c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 t="s">
        <v>729</v>
      </c>
      <c r="AK213" s="100"/>
      <c r="AL213" s="45" t="s">
        <v>64</v>
      </c>
      <c r="AM213" s="199" t="str">
        <f t="shared" si="24"/>
        <v>5/2026</v>
      </c>
      <c r="AN213" s="45">
        <f t="shared" si="25"/>
        <v>5</v>
      </c>
      <c r="AO213" s="45" t="str">
        <f t="shared" si="26"/>
        <v>6/2026</v>
      </c>
      <c r="AP213" s="45">
        <f t="shared" si="27"/>
        <v>1</v>
      </c>
      <c r="AQ213" s="45">
        <f t="shared" si="28"/>
        <v>10</v>
      </c>
      <c r="AR213" s="45">
        <f t="shared" si="29"/>
        <v>0</v>
      </c>
      <c r="AS213" s="45">
        <f t="shared" si="30"/>
        <v>0</v>
      </c>
      <c r="AT213" s="45">
        <f t="shared" si="31"/>
        <v>0</v>
      </c>
      <c r="AU213" s="45" t="str">
        <f>_xlfn.XLOOKUP(U213,'Lista Suspensa'!$AA$20:$AA$23,'Lista Suspensa'!$AB$20:$AB$23,"N/A")</f>
        <v>S</v>
      </c>
    </row>
    <row r="214" spans="1:47" ht="12" hidden="1" customHeight="1" x14ac:dyDescent="0.3">
      <c r="A214" s="89" t="s">
        <v>63</v>
      </c>
      <c r="B214" s="232">
        <v>46168</v>
      </c>
      <c r="C214" s="233" t="s">
        <v>217</v>
      </c>
      <c r="D214" s="233" t="s">
        <v>49</v>
      </c>
      <c r="E214" s="233">
        <v>82812240</v>
      </c>
      <c r="F214" s="235" t="s">
        <v>604</v>
      </c>
      <c r="G214" s="233" t="s">
        <v>605</v>
      </c>
      <c r="H214" s="232">
        <v>28286</v>
      </c>
      <c r="I214" s="233">
        <v>48</v>
      </c>
      <c r="J214" s="234" t="s">
        <v>74</v>
      </c>
      <c r="K214" s="231" t="s">
        <v>75</v>
      </c>
      <c r="L214" s="233" t="s">
        <v>76</v>
      </c>
      <c r="M214" s="233" t="s">
        <v>384</v>
      </c>
      <c r="N214" s="233" t="s">
        <v>111</v>
      </c>
      <c r="O214" s="233">
        <v>21984633097</v>
      </c>
      <c r="P214" s="95" t="s">
        <v>56</v>
      </c>
      <c r="Q214" s="145" t="s">
        <v>358</v>
      </c>
      <c r="R214" s="122"/>
      <c r="S214" s="121"/>
      <c r="T214" s="97" t="s">
        <v>230</v>
      </c>
      <c r="U214" s="97" t="s">
        <v>359</v>
      </c>
      <c r="V214" s="118">
        <v>46182</v>
      </c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L214" s="45" t="s">
        <v>64</v>
      </c>
      <c r="AM214" s="199" t="str">
        <f t="shared" si="24"/>
        <v>5/2026</v>
      </c>
      <c r="AN214" s="45">
        <f t="shared" si="25"/>
        <v>5</v>
      </c>
      <c r="AO214" s="45" t="str">
        <f t="shared" si="26"/>
        <v>1/1900</v>
      </c>
      <c r="AP214" s="45" t="e">
        <f t="shared" si="27"/>
        <v>#NUM!</v>
      </c>
      <c r="AQ214" s="45">
        <f t="shared" si="28"/>
        <v>0</v>
      </c>
      <c r="AR214" s="45">
        <f t="shared" si="29"/>
        <v>0</v>
      </c>
      <c r="AS214" s="45">
        <f t="shared" si="30"/>
        <v>0</v>
      </c>
      <c r="AT214" s="45">
        <f t="shared" si="31"/>
        <v>0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9" t="s">
        <v>63</v>
      </c>
      <c r="B215" s="232">
        <v>46168</v>
      </c>
      <c r="C215" s="233" t="s">
        <v>217</v>
      </c>
      <c r="D215" s="233" t="s">
        <v>49</v>
      </c>
      <c r="E215" s="233">
        <v>436978407</v>
      </c>
      <c r="F215" s="235" t="s">
        <v>606</v>
      </c>
      <c r="G215" s="233" t="s">
        <v>607</v>
      </c>
      <c r="H215" s="232">
        <v>14301</v>
      </c>
      <c r="I215" s="233">
        <v>87</v>
      </c>
      <c r="J215" s="230" t="s">
        <v>51</v>
      </c>
      <c r="K215" s="231" t="s">
        <v>75</v>
      </c>
      <c r="L215" s="233" t="s">
        <v>76</v>
      </c>
      <c r="M215" s="233" t="s">
        <v>526</v>
      </c>
      <c r="N215" s="233" t="s">
        <v>104</v>
      </c>
      <c r="O215" s="233">
        <v>21936181769</v>
      </c>
      <c r="P215" s="95" t="s">
        <v>56</v>
      </c>
      <c r="Q215" s="145" t="s">
        <v>57</v>
      </c>
      <c r="R215" s="122">
        <v>46178</v>
      </c>
      <c r="S215" s="121"/>
      <c r="T215" s="97" t="s">
        <v>58</v>
      </c>
      <c r="U215" s="97" t="s">
        <v>59</v>
      </c>
      <c r="V215" s="118">
        <v>46182</v>
      </c>
      <c r="W215" s="118"/>
      <c r="X215" s="11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 t="s">
        <v>729</v>
      </c>
      <c r="AK215" s="100"/>
      <c r="AL215" s="45" t="s">
        <v>64</v>
      </c>
      <c r="AM215" s="199" t="str">
        <f t="shared" si="24"/>
        <v>5/2026</v>
      </c>
      <c r="AN215" s="45">
        <f t="shared" si="25"/>
        <v>5</v>
      </c>
      <c r="AO215" s="45" t="str">
        <f t="shared" si="26"/>
        <v>6/2026</v>
      </c>
      <c r="AP215" s="45">
        <f t="shared" si="27"/>
        <v>1</v>
      </c>
      <c r="AQ215" s="45">
        <f t="shared" si="28"/>
        <v>10</v>
      </c>
      <c r="AR215" s="45">
        <f t="shared" si="29"/>
        <v>0</v>
      </c>
      <c r="AS215" s="45">
        <f t="shared" si="30"/>
        <v>0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hidden="1" customHeight="1" x14ac:dyDescent="0.3">
      <c r="A216" s="89" t="s">
        <v>63</v>
      </c>
      <c r="B216" s="232">
        <v>46168</v>
      </c>
      <c r="C216" s="233" t="s">
        <v>217</v>
      </c>
      <c r="D216" s="233" t="s">
        <v>49</v>
      </c>
      <c r="E216" s="233">
        <v>82505834</v>
      </c>
      <c r="F216" s="235" t="s">
        <v>608</v>
      </c>
      <c r="G216" s="233" t="s">
        <v>609</v>
      </c>
      <c r="H216" s="232">
        <v>19119</v>
      </c>
      <c r="I216" s="233">
        <v>74</v>
      </c>
      <c r="J216" s="234" t="s">
        <v>74</v>
      </c>
      <c r="K216" s="231" t="s">
        <v>75</v>
      </c>
      <c r="L216" s="233" t="s">
        <v>76</v>
      </c>
      <c r="M216" s="233" t="s">
        <v>561</v>
      </c>
      <c r="N216" s="233" t="s">
        <v>67</v>
      </c>
      <c r="O216" s="233">
        <v>21992359501</v>
      </c>
      <c r="P216" s="95" t="s">
        <v>56</v>
      </c>
      <c r="Q216" s="145" t="s">
        <v>358</v>
      </c>
      <c r="R216" s="122"/>
      <c r="S216" s="121"/>
      <c r="T216" s="97" t="s">
        <v>230</v>
      </c>
      <c r="U216" s="97" t="s">
        <v>359</v>
      </c>
      <c r="V216" s="118">
        <v>46182</v>
      </c>
      <c r="W216" s="118"/>
      <c r="X216" s="118"/>
      <c r="Y216" s="98"/>
      <c r="Z216" s="89"/>
      <c r="AA216" s="97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64</v>
      </c>
      <c r="AM216" s="199" t="str">
        <f t="shared" si="24"/>
        <v>5/2026</v>
      </c>
      <c r="AN216" s="45">
        <f t="shared" si="25"/>
        <v>5</v>
      </c>
      <c r="AO216" s="45" t="str">
        <f t="shared" si="26"/>
        <v>1/1900</v>
      </c>
      <c r="AP216" s="45" t="e">
        <f t="shared" si="27"/>
        <v>#NUM!</v>
      </c>
      <c r="AQ216" s="45">
        <f t="shared" si="28"/>
        <v>0</v>
      </c>
      <c r="AR216" s="45">
        <f t="shared" si="29"/>
        <v>0</v>
      </c>
      <c r="AS216" s="45">
        <f t="shared" si="30"/>
        <v>0</v>
      </c>
      <c r="AT216" s="45">
        <f t="shared" si="31"/>
        <v>0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9" t="s">
        <v>63</v>
      </c>
      <c r="B217" s="232">
        <v>46168</v>
      </c>
      <c r="C217" s="233" t="s">
        <v>217</v>
      </c>
      <c r="D217" s="233" t="s">
        <v>49</v>
      </c>
      <c r="E217" s="233">
        <v>212414550</v>
      </c>
      <c r="F217" s="235" t="s">
        <v>610</v>
      </c>
      <c r="G217" s="233" t="s">
        <v>611</v>
      </c>
      <c r="H217" s="232">
        <v>16089</v>
      </c>
      <c r="I217" s="233">
        <v>82</v>
      </c>
      <c r="J217" s="230" t="s">
        <v>51</v>
      </c>
      <c r="K217" s="231" t="s">
        <v>75</v>
      </c>
      <c r="L217" s="233" t="s">
        <v>76</v>
      </c>
      <c r="M217" s="233" t="s">
        <v>561</v>
      </c>
      <c r="N217" s="233" t="s">
        <v>121</v>
      </c>
      <c r="O217" s="233">
        <v>21994316875</v>
      </c>
      <c r="P217" s="95" t="s">
        <v>56</v>
      </c>
      <c r="Q217" s="145" t="s">
        <v>57</v>
      </c>
      <c r="R217" s="122">
        <v>46178</v>
      </c>
      <c r="S217" s="121"/>
      <c r="T217" s="97" t="s">
        <v>58</v>
      </c>
      <c r="U217" s="97" t="s">
        <v>59</v>
      </c>
      <c r="V217" s="118">
        <v>46182</v>
      </c>
      <c r="W217" s="118"/>
      <c r="X217" s="118"/>
      <c r="Y217" s="98"/>
      <c r="Z217" s="89"/>
      <c r="AA217" s="97"/>
      <c r="AB217" s="89"/>
      <c r="AC217" s="120"/>
      <c r="AD217" s="89"/>
      <c r="AE217" s="89"/>
      <c r="AF217" s="119"/>
      <c r="AG217" s="119"/>
      <c r="AH217" s="119"/>
      <c r="AI217" s="100"/>
      <c r="AJ217" s="100" t="s">
        <v>729</v>
      </c>
      <c r="AK217" s="100"/>
      <c r="AL217" s="45" t="s">
        <v>64</v>
      </c>
      <c r="AM217" s="199" t="str">
        <f t="shared" si="24"/>
        <v>5/2026</v>
      </c>
      <c r="AN217" s="45">
        <f t="shared" si="25"/>
        <v>5</v>
      </c>
      <c r="AO217" s="45" t="str">
        <f t="shared" si="26"/>
        <v>6/2026</v>
      </c>
      <c r="AP217" s="45">
        <f t="shared" si="27"/>
        <v>1</v>
      </c>
      <c r="AQ217" s="45">
        <f t="shared" si="28"/>
        <v>10</v>
      </c>
      <c r="AR217" s="45">
        <f t="shared" si="29"/>
        <v>0</v>
      </c>
      <c r="AS217" s="45">
        <f t="shared" si="30"/>
        <v>0</v>
      </c>
      <c r="AT217" s="45">
        <f t="shared" si="31"/>
        <v>0</v>
      </c>
      <c r="AU217" s="45" t="str">
        <f>_xlfn.XLOOKUP(U217,'Lista Suspensa'!$AA$20:$AA$23,'Lista Suspensa'!$AB$20:$AB$23,"N/A")</f>
        <v>S</v>
      </c>
    </row>
    <row r="218" spans="1:47" ht="12" hidden="1" customHeight="1" x14ac:dyDescent="0.3">
      <c r="A218" s="89" t="s">
        <v>63</v>
      </c>
      <c r="B218" s="232">
        <v>46168</v>
      </c>
      <c r="C218" s="233" t="s">
        <v>217</v>
      </c>
      <c r="D218" s="233" t="s">
        <v>49</v>
      </c>
      <c r="E218" s="233">
        <v>86724440</v>
      </c>
      <c r="F218" s="235" t="s">
        <v>612</v>
      </c>
      <c r="G218" s="233" t="s">
        <v>613</v>
      </c>
      <c r="H218" s="232">
        <v>20154</v>
      </c>
      <c r="I218" s="233">
        <v>71</v>
      </c>
      <c r="J218" s="230" t="s">
        <v>51</v>
      </c>
      <c r="K218" s="231" t="s">
        <v>75</v>
      </c>
      <c r="L218" s="233" t="s">
        <v>76</v>
      </c>
      <c r="M218" s="233" t="s">
        <v>413</v>
      </c>
      <c r="N218" s="233" t="s">
        <v>168</v>
      </c>
      <c r="O218" s="233">
        <v>21988917745</v>
      </c>
      <c r="P218" s="95" t="s">
        <v>56</v>
      </c>
      <c r="Q218" s="145" t="s">
        <v>358</v>
      </c>
      <c r="R218" s="122"/>
      <c r="S218" s="121"/>
      <c r="T218" s="97" t="s">
        <v>230</v>
      </c>
      <c r="U218" s="97" t="s">
        <v>359</v>
      </c>
      <c r="V218" s="118">
        <v>46182</v>
      </c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64</v>
      </c>
      <c r="AM218" s="199" t="str">
        <f t="shared" si="24"/>
        <v>5/2026</v>
      </c>
      <c r="AN218" s="45">
        <f t="shared" si="25"/>
        <v>5</v>
      </c>
      <c r="AO218" s="45" t="str">
        <f t="shared" si="26"/>
        <v>1/1900</v>
      </c>
      <c r="AP218" s="45" t="e">
        <f t="shared" si="27"/>
        <v>#NUM!</v>
      </c>
      <c r="AQ218" s="45">
        <f t="shared" si="28"/>
        <v>0</v>
      </c>
      <c r="AR218" s="45">
        <f t="shared" si="29"/>
        <v>0</v>
      </c>
      <c r="AS218" s="45">
        <f t="shared" si="30"/>
        <v>0</v>
      </c>
      <c r="AT218" s="45">
        <f t="shared" si="31"/>
        <v>0</v>
      </c>
      <c r="AU218" s="45" t="str">
        <f>_xlfn.XLOOKUP(U218,'Lista Suspensa'!$AA$20:$AA$23,'Lista Suspensa'!$AB$20:$AB$23,"N/A")</f>
        <v>S</v>
      </c>
    </row>
    <row r="219" spans="1:47" ht="12" customHeight="1" x14ac:dyDescent="0.3">
      <c r="A219" s="89" t="s">
        <v>63</v>
      </c>
      <c r="B219" s="232">
        <v>46168</v>
      </c>
      <c r="C219" s="233" t="s">
        <v>217</v>
      </c>
      <c r="D219" s="233" t="s">
        <v>49</v>
      </c>
      <c r="E219" s="233">
        <v>87225904</v>
      </c>
      <c r="F219" s="235" t="s">
        <v>614</v>
      </c>
      <c r="G219" s="233" t="s">
        <v>615</v>
      </c>
      <c r="H219" s="232">
        <v>28187</v>
      </c>
      <c r="I219" s="233">
        <v>49</v>
      </c>
      <c r="J219" s="234" t="s">
        <v>74</v>
      </c>
      <c r="K219" s="231" t="s">
        <v>75</v>
      </c>
      <c r="L219" s="233" t="s">
        <v>76</v>
      </c>
      <c r="M219" s="233" t="s">
        <v>439</v>
      </c>
      <c r="N219" s="233" t="s">
        <v>67</v>
      </c>
      <c r="O219" s="233">
        <v>21991356933</v>
      </c>
      <c r="P219" s="95" t="s">
        <v>56</v>
      </c>
      <c r="Q219" s="145" t="s">
        <v>57</v>
      </c>
      <c r="R219" s="122">
        <v>46178</v>
      </c>
      <c r="S219" s="121"/>
      <c r="T219" s="97" t="s">
        <v>58</v>
      </c>
      <c r="U219" s="97" t="s">
        <v>59</v>
      </c>
      <c r="V219" s="118">
        <v>46182</v>
      </c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 t="s">
        <v>729</v>
      </c>
      <c r="AK219" s="100"/>
      <c r="AL219" s="45" t="s">
        <v>64</v>
      </c>
      <c r="AM219" s="199" t="str">
        <f t="shared" si="24"/>
        <v>5/2026</v>
      </c>
      <c r="AN219" s="45">
        <f t="shared" si="25"/>
        <v>5</v>
      </c>
      <c r="AO219" s="45" t="str">
        <f t="shared" si="26"/>
        <v>6/2026</v>
      </c>
      <c r="AP219" s="45">
        <f t="shared" si="27"/>
        <v>1</v>
      </c>
      <c r="AQ219" s="45">
        <f t="shared" si="28"/>
        <v>10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hidden="1" customHeight="1" x14ac:dyDescent="0.3">
      <c r="A220" s="89" t="s">
        <v>63</v>
      </c>
      <c r="B220" s="232">
        <v>46168</v>
      </c>
      <c r="C220" s="233" t="s">
        <v>217</v>
      </c>
      <c r="D220" s="233" t="s">
        <v>49</v>
      </c>
      <c r="E220" s="233">
        <v>96410749</v>
      </c>
      <c r="F220" s="235" t="s">
        <v>616</v>
      </c>
      <c r="G220" s="233" t="s">
        <v>617</v>
      </c>
      <c r="H220" s="232">
        <v>14144</v>
      </c>
      <c r="I220" s="233">
        <v>87</v>
      </c>
      <c r="J220" s="234" t="s">
        <v>74</v>
      </c>
      <c r="K220" s="231" t="s">
        <v>75</v>
      </c>
      <c r="L220" s="233" t="s">
        <v>76</v>
      </c>
      <c r="M220" s="233" t="s">
        <v>357</v>
      </c>
      <c r="N220" s="233" t="s">
        <v>280</v>
      </c>
      <c r="O220" s="233">
        <v>21999667912</v>
      </c>
      <c r="P220" s="95" t="s">
        <v>56</v>
      </c>
      <c r="Q220" s="145" t="s">
        <v>358</v>
      </c>
      <c r="R220" s="122"/>
      <c r="S220" s="121"/>
      <c r="T220" s="97" t="s">
        <v>230</v>
      </c>
      <c r="U220" s="97" t="s">
        <v>359</v>
      </c>
      <c r="V220" s="118">
        <v>46182</v>
      </c>
      <c r="W220" s="9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64</v>
      </c>
      <c r="AM220" s="199" t="str">
        <f t="shared" si="24"/>
        <v>5/2026</v>
      </c>
      <c r="AN220" s="45">
        <f t="shared" si="25"/>
        <v>5</v>
      </c>
      <c r="AO220" s="45" t="str">
        <f t="shared" si="26"/>
        <v>1/1900</v>
      </c>
      <c r="AP220" s="45" t="e">
        <f t="shared" si="27"/>
        <v>#NUM!</v>
      </c>
      <c r="AQ220" s="45">
        <f t="shared" si="28"/>
        <v>0</v>
      </c>
      <c r="AR220" s="45">
        <f t="shared" si="29"/>
        <v>0</v>
      </c>
      <c r="AS220" s="45">
        <f t="shared" si="30"/>
        <v>0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9" t="s">
        <v>63</v>
      </c>
      <c r="B221" s="232">
        <v>46168</v>
      </c>
      <c r="C221" s="233" t="s">
        <v>217</v>
      </c>
      <c r="D221" s="233" t="s">
        <v>49</v>
      </c>
      <c r="E221" s="233">
        <v>210727519</v>
      </c>
      <c r="F221" s="235" t="s">
        <v>618</v>
      </c>
      <c r="G221" s="233" t="s">
        <v>619</v>
      </c>
      <c r="H221" s="232">
        <v>19138</v>
      </c>
      <c r="I221" s="233">
        <v>74</v>
      </c>
      <c r="J221" s="230" t="s">
        <v>51</v>
      </c>
      <c r="K221" s="231" t="s">
        <v>75</v>
      </c>
      <c r="L221" s="233" t="s">
        <v>76</v>
      </c>
      <c r="M221" s="233" t="s">
        <v>413</v>
      </c>
      <c r="N221" s="233" t="s">
        <v>104</v>
      </c>
      <c r="O221" s="233">
        <v>21971892498</v>
      </c>
      <c r="P221" s="95" t="s">
        <v>56</v>
      </c>
      <c r="Q221" s="145" t="s">
        <v>57</v>
      </c>
      <c r="R221" s="122">
        <v>46178</v>
      </c>
      <c r="S221" s="121"/>
      <c r="T221" s="97" t="s">
        <v>58</v>
      </c>
      <c r="U221" s="97" t="s">
        <v>59</v>
      </c>
      <c r="V221" s="118">
        <v>46182</v>
      </c>
      <c r="W221" s="98"/>
      <c r="X221" s="9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 t="s">
        <v>729</v>
      </c>
      <c r="AK221" s="100"/>
      <c r="AL221" s="45" t="s">
        <v>64</v>
      </c>
      <c r="AM221" s="199" t="str">
        <f t="shared" si="24"/>
        <v>5/2026</v>
      </c>
      <c r="AN221" s="45">
        <f t="shared" si="25"/>
        <v>5</v>
      </c>
      <c r="AO221" s="45" t="str">
        <f t="shared" si="26"/>
        <v>6/2026</v>
      </c>
      <c r="AP221" s="45">
        <f t="shared" si="27"/>
        <v>1</v>
      </c>
      <c r="AQ221" s="45">
        <f t="shared" si="28"/>
        <v>10</v>
      </c>
      <c r="AR221" s="45">
        <f t="shared" si="29"/>
        <v>0</v>
      </c>
      <c r="AS221" s="45">
        <f t="shared" si="30"/>
        <v>0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hidden="1" customHeight="1" x14ac:dyDescent="0.3">
      <c r="A222" s="89" t="s">
        <v>63</v>
      </c>
      <c r="B222" s="232">
        <v>46168</v>
      </c>
      <c r="C222" s="233" t="s">
        <v>217</v>
      </c>
      <c r="D222" s="233" t="s">
        <v>49</v>
      </c>
      <c r="E222" s="233">
        <v>887664580</v>
      </c>
      <c r="F222" s="235" t="s">
        <v>620</v>
      </c>
      <c r="G222" s="233" t="s">
        <v>621</v>
      </c>
      <c r="H222" s="232">
        <v>16521</v>
      </c>
      <c r="I222" s="233">
        <v>81</v>
      </c>
      <c r="J222" s="230" t="s">
        <v>51</v>
      </c>
      <c r="K222" s="231" t="s">
        <v>75</v>
      </c>
      <c r="L222" s="233" t="s">
        <v>76</v>
      </c>
      <c r="M222" s="233" t="s">
        <v>398</v>
      </c>
      <c r="N222" s="233" t="s">
        <v>104</v>
      </c>
      <c r="O222" s="233">
        <v>21996408123</v>
      </c>
      <c r="P222" s="95" t="s">
        <v>56</v>
      </c>
      <c r="Q222" s="145" t="s">
        <v>358</v>
      </c>
      <c r="R222" s="122"/>
      <c r="S222" s="121"/>
      <c r="T222" s="97" t="s">
        <v>230</v>
      </c>
      <c r="U222" s="97" t="s">
        <v>359</v>
      </c>
      <c r="V222" s="118">
        <v>46182</v>
      </c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64</v>
      </c>
      <c r="AM222" s="199" t="str">
        <f t="shared" si="24"/>
        <v>5/2026</v>
      </c>
      <c r="AN222" s="45">
        <f t="shared" si="25"/>
        <v>5</v>
      </c>
      <c r="AO222" s="45" t="str">
        <f t="shared" si="26"/>
        <v>1/1900</v>
      </c>
      <c r="AP222" s="45" t="e">
        <f t="shared" si="27"/>
        <v>#NUM!</v>
      </c>
      <c r="AQ222" s="45">
        <f t="shared" si="28"/>
        <v>0</v>
      </c>
      <c r="AR222" s="45">
        <f t="shared" si="29"/>
        <v>0</v>
      </c>
      <c r="AS222" s="45">
        <f t="shared" si="30"/>
        <v>0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hidden="1" customHeight="1" x14ac:dyDescent="0.3">
      <c r="A223" s="89" t="s">
        <v>63</v>
      </c>
      <c r="B223" s="232">
        <v>46168</v>
      </c>
      <c r="C223" s="233" t="s">
        <v>217</v>
      </c>
      <c r="D223" s="233" t="s">
        <v>49</v>
      </c>
      <c r="E223" s="233">
        <v>82736630</v>
      </c>
      <c r="F223" s="235" t="s">
        <v>622</v>
      </c>
      <c r="G223" s="233" t="s">
        <v>623</v>
      </c>
      <c r="H223" s="232">
        <v>29442</v>
      </c>
      <c r="I223" s="233">
        <v>45</v>
      </c>
      <c r="J223" s="234" t="s">
        <v>74</v>
      </c>
      <c r="K223" s="231" t="s">
        <v>75</v>
      </c>
      <c r="L223" s="233" t="s">
        <v>76</v>
      </c>
      <c r="M223" s="233" t="s">
        <v>416</v>
      </c>
      <c r="N223" s="233" t="s">
        <v>67</v>
      </c>
      <c r="O223" s="233">
        <v>21988704687</v>
      </c>
      <c r="P223" s="95" t="s">
        <v>56</v>
      </c>
      <c r="Q223" s="145" t="s">
        <v>358</v>
      </c>
      <c r="R223" s="122"/>
      <c r="S223" s="121"/>
      <c r="T223" s="97" t="s">
        <v>230</v>
      </c>
      <c r="U223" s="97" t="s">
        <v>359</v>
      </c>
      <c r="V223" s="118">
        <v>46182</v>
      </c>
      <c r="W223" s="98"/>
      <c r="X223" s="98"/>
      <c r="Y223" s="98"/>
      <c r="Z223" s="89"/>
      <c r="AA223" s="97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L223" s="45" t="s">
        <v>64</v>
      </c>
      <c r="AM223" s="199" t="str">
        <f t="shared" si="24"/>
        <v>5/2026</v>
      </c>
      <c r="AN223" s="45">
        <f t="shared" si="25"/>
        <v>5</v>
      </c>
      <c r="AO223" s="45" t="str">
        <f t="shared" si="26"/>
        <v>1/1900</v>
      </c>
      <c r="AP223" s="45" t="e">
        <f t="shared" si="27"/>
        <v>#NUM!</v>
      </c>
      <c r="AQ223" s="45">
        <f t="shared" si="28"/>
        <v>0</v>
      </c>
      <c r="AR223" s="45">
        <f t="shared" si="29"/>
        <v>0</v>
      </c>
      <c r="AS223" s="45">
        <f t="shared" si="30"/>
        <v>0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9" t="s">
        <v>63</v>
      </c>
      <c r="B224" s="232">
        <v>46168</v>
      </c>
      <c r="C224" s="233" t="s">
        <v>217</v>
      </c>
      <c r="D224" s="233" t="s">
        <v>49</v>
      </c>
      <c r="E224" s="233">
        <v>218592787</v>
      </c>
      <c r="F224" s="235" t="s">
        <v>624</v>
      </c>
      <c r="G224" s="233" t="s">
        <v>625</v>
      </c>
      <c r="H224" s="232">
        <v>16924</v>
      </c>
      <c r="I224" s="233">
        <v>80</v>
      </c>
      <c r="J224" s="234" t="s">
        <v>74</v>
      </c>
      <c r="K224" s="231" t="s">
        <v>75</v>
      </c>
      <c r="L224" s="233" t="s">
        <v>76</v>
      </c>
      <c r="M224" s="233" t="s">
        <v>626</v>
      </c>
      <c r="N224" s="233" t="s">
        <v>117</v>
      </c>
      <c r="O224" s="233">
        <v>21968696623</v>
      </c>
      <c r="P224" s="95" t="s">
        <v>56</v>
      </c>
      <c r="Q224" s="145" t="s">
        <v>57</v>
      </c>
      <c r="R224" s="122">
        <v>46178</v>
      </c>
      <c r="S224" s="121"/>
      <c r="T224" s="97" t="s">
        <v>58</v>
      </c>
      <c r="U224" s="97" t="s">
        <v>59</v>
      </c>
      <c r="V224" s="118">
        <v>46182</v>
      </c>
      <c r="W224" s="98"/>
      <c r="X224" s="9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 t="s">
        <v>729</v>
      </c>
      <c r="AK224" s="100"/>
      <c r="AL224" s="45" t="s">
        <v>64</v>
      </c>
      <c r="AM224" s="199" t="str">
        <f t="shared" si="24"/>
        <v>5/2026</v>
      </c>
      <c r="AN224" s="45">
        <f t="shared" si="25"/>
        <v>5</v>
      </c>
      <c r="AO224" s="45" t="str">
        <f t="shared" si="26"/>
        <v>6/2026</v>
      </c>
      <c r="AP224" s="45">
        <f t="shared" si="27"/>
        <v>1</v>
      </c>
      <c r="AQ224" s="45">
        <f t="shared" si="28"/>
        <v>10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9" t="s">
        <v>63</v>
      </c>
      <c r="B225" s="232">
        <v>46168</v>
      </c>
      <c r="C225" s="233" t="s">
        <v>217</v>
      </c>
      <c r="D225" s="233" t="s">
        <v>49</v>
      </c>
      <c r="E225" s="233">
        <v>94534323</v>
      </c>
      <c r="F225" s="235" t="s">
        <v>627</v>
      </c>
      <c r="G225" s="233" t="s">
        <v>628</v>
      </c>
      <c r="H225" s="232">
        <v>28704</v>
      </c>
      <c r="I225" s="233">
        <v>47</v>
      </c>
      <c r="J225" s="234" t="s">
        <v>74</v>
      </c>
      <c r="K225" s="231" t="s">
        <v>75</v>
      </c>
      <c r="L225" s="233" t="s">
        <v>76</v>
      </c>
      <c r="M225" s="233" t="s">
        <v>413</v>
      </c>
      <c r="N225" s="233" t="s">
        <v>168</v>
      </c>
      <c r="O225" s="233">
        <v>21995360466</v>
      </c>
      <c r="P225" s="95" t="s">
        <v>56</v>
      </c>
      <c r="Q225" s="145" t="s">
        <v>57</v>
      </c>
      <c r="R225" s="122">
        <v>46178</v>
      </c>
      <c r="S225" s="121"/>
      <c r="T225" s="97" t="s">
        <v>58</v>
      </c>
      <c r="U225" s="97" t="s">
        <v>59</v>
      </c>
      <c r="V225" s="118">
        <v>46182</v>
      </c>
      <c r="W225" s="98"/>
      <c r="X225" s="9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 t="s">
        <v>729</v>
      </c>
      <c r="AK225" s="100"/>
      <c r="AL225" s="45" t="s">
        <v>64</v>
      </c>
      <c r="AM225" s="199" t="str">
        <f t="shared" si="24"/>
        <v>5/2026</v>
      </c>
      <c r="AN225" s="45">
        <f t="shared" si="25"/>
        <v>5</v>
      </c>
      <c r="AO225" s="45" t="str">
        <f t="shared" si="26"/>
        <v>6/2026</v>
      </c>
      <c r="AP225" s="45">
        <f t="shared" si="27"/>
        <v>1</v>
      </c>
      <c r="AQ225" s="45">
        <f t="shared" si="28"/>
        <v>10</v>
      </c>
      <c r="AR225" s="45">
        <f t="shared" si="29"/>
        <v>0</v>
      </c>
      <c r="AS225" s="45">
        <f t="shared" si="30"/>
        <v>0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hidden="1" customHeight="1" x14ac:dyDescent="0.3">
      <c r="A226" s="89" t="s">
        <v>63</v>
      </c>
      <c r="B226" s="232">
        <v>46168</v>
      </c>
      <c r="C226" s="233" t="s">
        <v>217</v>
      </c>
      <c r="D226" s="233" t="s">
        <v>49</v>
      </c>
      <c r="E226" s="233">
        <v>86961368</v>
      </c>
      <c r="F226" s="235" t="s">
        <v>629</v>
      </c>
      <c r="G226" s="233" t="s">
        <v>630</v>
      </c>
      <c r="H226" s="232">
        <v>32944</v>
      </c>
      <c r="I226" s="233">
        <v>36</v>
      </c>
      <c r="J226" s="230" t="s">
        <v>51</v>
      </c>
      <c r="K226" s="231" t="s">
        <v>75</v>
      </c>
      <c r="L226" s="233" t="s">
        <v>76</v>
      </c>
      <c r="M226" s="233" t="s">
        <v>392</v>
      </c>
      <c r="N226" s="233" t="s">
        <v>111</v>
      </c>
      <c r="O226" s="233">
        <v>21989969837</v>
      </c>
      <c r="P226" s="95" t="s">
        <v>56</v>
      </c>
      <c r="Q226" s="145" t="s">
        <v>358</v>
      </c>
      <c r="R226" s="122"/>
      <c r="S226" s="121"/>
      <c r="T226" s="97" t="s">
        <v>230</v>
      </c>
      <c r="U226" s="97" t="s">
        <v>359</v>
      </c>
      <c r="V226" s="118">
        <v>46182</v>
      </c>
      <c r="W226" s="98"/>
      <c r="X226" s="9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64</v>
      </c>
      <c r="AM226" s="199" t="str">
        <f t="shared" si="24"/>
        <v>5/2026</v>
      </c>
      <c r="AN226" s="45">
        <f t="shared" si="25"/>
        <v>5</v>
      </c>
      <c r="AO226" s="45" t="str">
        <f t="shared" si="26"/>
        <v>1/1900</v>
      </c>
      <c r="AP226" s="45" t="e">
        <f t="shared" si="27"/>
        <v>#NUM!</v>
      </c>
      <c r="AQ226" s="45">
        <f t="shared" si="28"/>
        <v>0</v>
      </c>
      <c r="AR226" s="45">
        <f t="shared" si="29"/>
        <v>0</v>
      </c>
      <c r="AS226" s="45">
        <f t="shared" si="30"/>
        <v>0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hidden="1" customHeight="1" x14ac:dyDescent="0.3">
      <c r="A227" s="89" t="s">
        <v>63</v>
      </c>
      <c r="B227" s="232">
        <v>46168</v>
      </c>
      <c r="C227" s="233" t="s">
        <v>217</v>
      </c>
      <c r="D227" s="233" t="s">
        <v>49</v>
      </c>
      <c r="E227" s="233">
        <v>87553315</v>
      </c>
      <c r="F227" s="235" t="s">
        <v>631</v>
      </c>
      <c r="G227" s="233" t="s">
        <v>632</v>
      </c>
      <c r="H227" s="232">
        <v>14578</v>
      </c>
      <c r="I227" s="233">
        <v>86</v>
      </c>
      <c r="J227" s="234" t="s">
        <v>74</v>
      </c>
      <c r="K227" s="231" t="s">
        <v>75</v>
      </c>
      <c r="L227" s="233" t="s">
        <v>76</v>
      </c>
      <c r="M227" s="233" t="s">
        <v>561</v>
      </c>
      <c r="N227" s="233" t="s">
        <v>111</v>
      </c>
      <c r="O227" s="233">
        <v>21996114555</v>
      </c>
      <c r="P227" s="95" t="s">
        <v>56</v>
      </c>
      <c r="Q227" s="145" t="s">
        <v>358</v>
      </c>
      <c r="R227" s="122"/>
      <c r="S227" s="121"/>
      <c r="T227" s="97" t="s">
        <v>230</v>
      </c>
      <c r="U227" s="97" t="s">
        <v>359</v>
      </c>
      <c r="V227" s="118">
        <v>46182</v>
      </c>
      <c r="W227" s="98"/>
      <c r="X227" s="98"/>
      <c r="Y227" s="98"/>
      <c r="Z227" s="89"/>
      <c r="AA227" s="122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64</v>
      </c>
      <c r="AM227" s="199" t="str">
        <f t="shared" si="24"/>
        <v>5/2026</v>
      </c>
      <c r="AN227" s="45">
        <f t="shared" si="25"/>
        <v>5</v>
      </c>
      <c r="AO227" s="45" t="str">
        <f t="shared" si="26"/>
        <v>1/1900</v>
      </c>
      <c r="AP227" s="45" t="e">
        <f t="shared" si="27"/>
        <v>#NUM!</v>
      </c>
      <c r="AQ227" s="45">
        <f t="shared" si="28"/>
        <v>0</v>
      </c>
      <c r="AR227" s="45">
        <f t="shared" si="29"/>
        <v>0</v>
      </c>
      <c r="AS227" s="45">
        <f t="shared" si="30"/>
        <v>0</v>
      </c>
      <c r="AT227" s="45">
        <f t="shared" si="31"/>
        <v>0</v>
      </c>
      <c r="AU227" s="45" t="str">
        <f>_xlfn.XLOOKUP(U227,'Lista Suspensa'!$AA$20:$AA$23,'Lista Suspensa'!$AB$20:$AB$23,"N/A")</f>
        <v>S</v>
      </c>
    </row>
    <row r="228" spans="1:47" ht="12" hidden="1" customHeight="1" x14ac:dyDescent="0.3">
      <c r="A228" s="89" t="s">
        <v>63</v>
      </c>
      <c r="B228" s="232">
        <v>46168</v>
      </c>
      <c r="C228" s="233" t="s">
        <v>217</v>
      </c>
      <c r="D228" s="233" t="s">
        <v>49</v>
      </c>
      <c r="E228" s="233">
        <v>74019840</v>
      </c>
      <c r="F228" s="235" t="s">
        <v>633</v>
      </c>
      <c r="G228" s="233" t="s">
        <v>634</v>
      </c>
      <c r="H228" s="232">
        <v>39642</v>
      </c>
      <c r="I228" s="233">
        <v>17</v>
      </c>
      <c r="J228" s="234" t="s">
        <v>74</v>
      </c>
      <c r="K228" s="231" t="s">
        <v>75</v>
      </c>
      <c r="L228" s="233" t="s">
        <v>76</v>
      </c>
      <c r="M228" s="233" t="s">
        <v>555</v>
      </c>
      <c r="N228" s="233" t="s">
        <v>121</v>
      </c>
      <c r="O228" s="233">
        <v>21991412045</v>
      </c>
      <c r="P228" s="95" t="s">
        <v>56</v>
      </c>
      <c r="Q228" s="145" t="s">
        <v>358</v>
      </c>
      <c r="R228" s="122"/>
      <c r="S228" s="121"/>
      <c r="T228" s="97" t="s">
        <v>230</v>
      </c>
      <c r="U228" s="97" t="s">
        <v>359</v>
      </c>
      <c r="V228" s="118">
        <v>46182</v>
      </c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64</v>
      </c>
      <c r="AM228" s="199" t="str">
        <f t="shared" si="24"/>
        <v>5/2026</v>
      </c>
      <c r="AN228" s="45">
        <f t="shared" si="25"/>
        <v>5</v>
      </c>
      <c r="AO228" s="45" t="str">
        <f t="shared" si="26"/>
        <v>1/1900</v>
      </c>
      <c r="AP228" s="45" t="e">
        <f t="shared" si="27"/>
        <v>#NUM!</v>
      </c>
      <c r="AQ228" s="45">
        <f t="shared" si="28"/>
        <v>0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hidden="1" customHeight="1" x14ac:dyDescent="0.3">
      <c r="A229" s="89" t="s">
        <v>63</v>
      </c>
      <c r="B229" s="93">
        <v>46175</v>
      </c>
      <c r="C229" s="89" t="s">
        <v>635</v>
      </c>
      <c r="D229" s="89" t="s">
        <v>49</v>
      </c>
      <c r="E229" s="112">
        <v>452010144</v>
      </c>
      <c r="F229" s="221" t="s">
        <v>636</v>
      </c>
      <c r="G229" s="113">
        <v>19586300803</v>
      </c>
      <c r="H229" s="98">
        <v>28348</v>
      </c>
      <c r="I229" s="92"/>
      <c r="J229" s="114" t="s">
        <v>51</v>
      </c>
      <c r="K229" s="89" t="s">
        <v>52</v>
      </c>
      <c r="L229" s="89" t="s">
        <v>66</v>
      </c>
      <c r="M229" s="89" t="s">
        <v>637</v>
      </c>
      <c r="N229" s="89">
        <v>100</v>
      </c>
      <c r="O229" s="91" t="s">
        <v>638</v>
      </c>
      <c r="P229" s="95" t="s">
        <v>56</v>
      </c>
      <c r="Q229" s="145" t="s">
        <v>358</v>
      </c>
      <c r="R229" s="122"/>
      <c r="S229" s="121"/>
      <c r="T229" s="97" t="s">
        <v>230</v>
      </c>
      <c r="U229" s="97" t="s">
        <v>359</v>
      </c>
      <c r="V229" s="118">
        <v>46182</v>
      </c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 t="s">
        <v>63</v>
      </c>
      <c r="AK229" s="100" t="s">
        <v>63</v>
      </c>
      <c r="AL229" s="45" t="s">
        <v>64</v>
      </c>
      <c r="AM229" s="199" t="str">
        <f t="shared" si="24"/>
        <v>6/2026</v>
      </c>
      <c r="AN229" s="45">
        <f t="shared" si="25"/>
        <v>1</v>
      </c>
      <c r="AO229" s="45" t="str">
        <f t="shared" si="26"/>
        <v>1/1900</v>
      </c>
      <c r="AP229" s="45" t="e">
        <f t="shared" si="27"/>
        <v>#NUM!</v>
      </c>
      <c r="AQ229" s="45">
        <f t="shared" si="28"/>
        <v>0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hidden="1" customHeight="1" x14ac:dyDescent="0.3">
      <c r="A230" s="89" t="s">
        <v>63</v>
      </c>
      <c r="B230" s="93">
        <v>46175</v>
      </c>
      <c r="C230" s="89" t="s">
        <v>635</v>
      </c>
      <c r="D230" s="89" t="s">
        <v>49</v>
      </c>
      <c r="E230" s="112">
        <v>800186184</v>
      </c>
      <c r="F230" s="221" t="s">
        <v>639</v>
      </c>
      <c r="G230" s="113">
        <v>3935081880</v>
      </c>
      <c r="H230" s="98">
        <v>22906</v>
      </c>
      <c r="I230" s="92"/>
      <c r="J230" s="114" t="s">
        <v>74</v>
      </c>
      <c r="K230" s="89" t="s">
        <v>52</v>
      </c>
      <c r="L230" s="89" t="s">
        <v>66</v>
      </c>
      <c r="M230" s="89" t="s">
        <v>640</v>
      </c>
      <c r="N230" s="89">
        <v>100</v>
      </c>
      <c r="O230" s="91" t="s">
        <v>641</v>
      </c>
      <c r="P230" s="95" t="s">
        <v>56</v>
      </c>
      <c r="Q230" s="145" t="s">
        <v>358</v>
      </c>
      <c r="R230" s="122"/>
      <c r="S230" s="121"/>
      <c r="T230" s="97" t="s">
        <v>230</v>
      </c>
      <c r="U230" s="97" t="s">
        <v>359</v>
      </c>
      <c r="V230" s="118">
        <v>46182</v>
      </c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 t="s">
        <v>63</v>
      </c>
      <c r="AK230" s="100" t="s">
        <v>63</v>
      </c>
      <c r="AL230" s="45" t="s">
        <v>64</v>
      </c>
      <c r="AM230" s="199" t="str">
        <f t="shared" si="24"/>
        <v>6/2026</v>
      </c>
      <c r="AN230" s="45">
        <f t="shared" si="25"/>
        <v>1</v>
      </c>
      <c r="AO230" s="45" t="str">
        <f t="shared" si="26"/>
        <v>1/1900</v>
      </c>
      <c r="AP230" s="45" t="e">
        <f t="shared" si="27"/>
        <v>#NUM!</v>
      </c>
      <c r="AQ230" s="45">
        <f t="shared" si="28"/>
        <v>0</v>
      </c>
      <c r="AR230" s="45">
        <f t="shared" si="29"/>
        <v>0</v>
      </c>
      <c r="AS230" s="45">
        <f t="shared" si="30"/>
        <v>0</v>
      </c>
      <c r="AT230" s="45">
        <f t="shared" si="31"/>
        <v>0</v>
      </c>
      <c r="AU230" s="45" t="str">
        <f>_xlfn.XLOOKUP(U230,'Lista Suspensa'!$AA$20:$AA$23,'Lista Suspensa'!$AB$20:$AB$23,"N/A")</f>
        <v>S</v>
      </c>
    </row>
    <row r="231" spans="1:47" ht="12" customHeight="1" x14ac:dyDescent="0.3">
      <c r="A231" s="89" t="s">
        <v>63</v>
      </c>
      <c r="B231" s="93">
        <v>46181</v>
      </c>
      <c r="C231" s="89" t="s">
        <v>217</v>
      </c>
      <c r="D231" s="89" t="s">
        <v>642</v>
      </c>
      <c r="E231" s="112" t="s">
        <v>643</v>
      </c>
      <c r="F231" s="246" t="s">
        <v>644</v>
      </c>
      <c r="G231" s="113" t="s">
        <v>645</v>
      </c>
      <c r="H231" s="98">
        <v>29886</v>
      </c>
      <c r="I231" s="92">
        <v>44</v>
      </c>
      <c r="J231" s="114" t="s">
        <v>51</v>
      </c>
      <c r="K231" s="89" t="s">
        <v>52</v>
      </c>
      <c r="L231" s="89" t="s">
        <v>646</v>
      </c>
      <c r="M231" s="89" t="s">
        <v>647</v>
      </c>
      <c r="N231" s="89" t="s">
        <v>648</v>
      </c>
      <c r="O231" s="91" t="s">
        <v>649</v>
      </c>
      <c r="P231" s="95" t="s">
        <v>56</v>
      </c>
      <c r="Q231" s="145" t="s">
        <v>57</v>
      </c>
      <c r="R231" s="122">
        <v>46181</v>
      </c>
      <c r="S231" s="95"/>
      <c r="T231" s="97" t="s">
        <v>58</v>
      </c>
      <c r="U231" s="97" t="s">
        <v>59</v>
      </c>
      <c r="V231" s="118">
        <v>46181</v>
      </c>
      <c r="W231" s="98"/>
      <c r="X231" s="98"/>
      <c r="Y231" s="98"/>
      <c r="Z231" s="89"/>
      <c r="AA231" s="122">
        <v>46188</v>
      </c>
      <c r="AB231" s="89"/>
      <c r="AC231" s="120"/>
      <c r="AD231" s="89"/>
      <c r="AE231" s="89"/>
      <c r="AF231" s="119"/>
      <c r="AG231" s="119"/>
      <c r="AH231" s="119"/>
      <c r="AI231" s="100"/>
      <c r="AJ231" s="100" t="s">
        <v>62</v>
      </c>
      <c r="AK231" s="100" t="s">
        <v>62</v>
      </c>
      <c r="AL231" s="45" t="s">
        <v>64</v>
      </c>
      <c r="AM231" s="199" t="str">
        <f t="shared" si="24"/>
        <v>6/2026</v>
      </c>
      <c r="AN231" s="45">
        <f t="shared" si="25"/>
        <v>2</v>
      </c>
      <c r="AO231" s="45" t="str">
        <f t="shared" si="26"/>
        <v>6/2026</v>
      </c>
      <c r="AP231" s="45">
        <f t="shared" si="27"/>
        <v>2</v>
      </c>
      <c r="AQ231" s="45">
        <f t="shared" si="28"/>
        <v>0</v>
      </c>
      <c r="AR231" s="45">
        <f t="shared" si="29"/>
        <v>0</v>
      </c>
      <c r="AS231" s="45">
        <f t="shared" si="30"/>
        <v>0</v>
      </c>
      <c r="AT231" s="45">
        <f t="shared" si="31"/>
        <v>0</v>
      </c>
      <c r="AU231" s="45" t="str">
        <f>_xlfn.XLOOKUP(U231,'Lista Suspensa'!$AA$20:$AA$23,'Lista Suspensa'!$AB$20:$AB$23,"N/A")</f>
        <v>S</v>
      </c>
    </row>
    <row r="232" spans="1:47" ht="12" hidden="1" customHeight="1" x14ac:dyDescent="0.3">
      <c r="A232" s="89"/>
      <c r="B232" s="93"/>
      <c r="C232" s="89"/>
      <c r="D232" s="89"/>
      <c r="E232" s="112"/>
      <c r="F232" s="221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5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L232" s="45" t="s">
        <v>64</v>
      </c>
      <c r="AM232" s="199" t="str">
        <f t="shared" si="24"/>
        <v>1/1900</v>
      </c>
      <c r="AN232" s="45" t="e">
        <f t="shared" si="25"/>
        <v>#NUM!</v>
      </c>
      <c r="AO232" s="45" t="str">
        <f t="shared" si="26"/>
        <v>1/1900</v>
      </c>
      <c r="AP232" s="45" t="e">
        <f t="shared" si="27"/>
        <v>#NUM!</v>
      </c>
      <c r="AQ232" s="45">
        <f t="shared" si="28"/>
        <v>0</v>
      </c>
      <c r="AR232" s="45">
        <f t="shared" si="29"/>
        <v>0</v>
      </c>
      <c r="AS232" s="45">
        <f t="shared" si="30"/>
        <v>0</v>
      </c>
      <c r="AT232" s="45">
        <f t="shared" si="31"/>
        <v>0</v>
      </c>
      <c r="AU232" s="45" t="str">
        <f>_xlfn.XLOOKUP(U232,'Lista Suspensa'!$AA$20:$AA$23,'Lista Suspensa'!$AB$20:$AB$23,"N/A")</f>
        <v>S</v>
      </c>
    </row>
    <row r="233" spans="1:47" ht="12" hidden="1" customHeight="1" x14ac:dyDescent="0.3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64</v>
      </c>
      <c r="AM233" s="199" t="str">
        <f t="shared" si="24"/>
        <v>1/1900</v>
      </c>
      <c r="AN233" s="45" t="e">
        <f t="shared" si="25"/>
        <v>#NUM!</v>
      </c>
      <c r="AO233" s="45" t="str">
        <f t="shared" si="26"/>
        <v>1/1900</v>
      </c>
      <c r="AP233" s="45" t="e">
        <f t="shared" si="27"/>
        <v>#NUM!</v>
      </c>
      <c r="AQ233" s="45">
        <f t="shared" si="28"/>
        <v>0</v>
      </c>
      <c r="AR233" s="45">
        <f t="shared" si="29"/>
        <v>0</v>
      </c>
      <c r="AS233" s="45">
        <f t="shared" si="30"/>
        <v>0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hidden="1" customHeight="1" x14ac:dyDescent="0.3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64</v>
      </c>
      <c r="AM234" s="199" t="str">
        <f t="shared" si="24"/>
        <v>1/1900</v>
      </c>
      <c r="AN234" s="45" t="e">
        <f t="shared" si="25"/>
        <v>#NUM!</v>
      </c>
      <c r="AO234" s="45" t="str">
        <f t="shared" si="26"/>
        <v>1/1900</v>
      </c>
      <c r="AP234" s="45" t="e">
        <f t="shared" si="27"/>
        <v>#NUM!</v>
      </c>
      <c r="AQ234" s="45">
        <f t="shared" si="28"/>
        <v>0</v>
      </c>
      <c r="AR234" s="45">
        <f t="shared" si="29"/>
        <v>0</v>
      </c>
      <c r="AS234" s="45">
        <f t="shared" si="30"/>
        <v>0</v>
      </c>
      <c r="AT234" s="45">
        <f t="shared" si="31"/>
        <v>0</v>
      </c>
      <c r="AU234" s="45" t="str">
        <f>_xlfn.XLOOKUP(U234,'Lista Suspensa'!$AA$20:$AA$23,'Lista Suspensa'!$AB$20:$AB$23,"N/A")</f>
        <v>S</v>
      </c>
    </row>
    <row r="235" spans="1:47" ht="12" hidden="1" customHeight="1" x14ac:dyDescent="0.3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7"/>
      <c r="T235" s="97"/>
      <c r="U235" s="97"/>
      <c r="V235" s="118"/>
      <c r="W235" s="98"/>
      <c r="X235" s="98"/>
      <c r="Y235" s="98"/>
      <c r="Z235" s="89"/>
      <c r="AA235" s="97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64</v>
      </c>
      <c r="AM235" s="199" t="str">
        <f t="shared" si="24"/>
        <v>1/1900</v>
      </c>
      <c r="AN235" s="45" t="e">
        <f t="shared" si="25"/>
        <v>#NUM!</v>
      </c>
      <c r="AO235" s="45" t="str">
        <f t="shared" si="26"/>
        <v>1/1900</v>
      </c>
      <c r="AP235" s="45" t="e">
        <f t="shared" si="27"/>
        <v>#NUM!</v>
      </c>
      <c r="AQ235" s="45">
        <f t="shared" si="28"/>
        <v>0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hidden="1" customHeight="1" x14ac:dyDescent="0.3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7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64</v>
      </c>
      <c r="AM236" s="199" t="str">
        <f t="shared" si="24"/>
        <v>1/1900</v>
      </c>
      <c r="AN236" s="45" t="e">
        <f t="shared" si="25"/>
        <v>#NUM!</v>
      </c>
      <c r="AO236" s="45" t="str">
        <f t="shared" si="26"/>
        <v>1/1900</v>
      </c>
      <c r="AP236" s="45" t="e">
        <f t="shared" si="27"/>
        <v>#NUM!</v>
      </c>
      <c r="AQ236" s="45">
        <f t="shared" si="28"/>
        <v>0</v>
      </c>
      <c r="AR236" s="45">
        <f t="shared" si="29"/>
        <v>0</v>
      </c>
      <c r="AS236" s="45">
        <f t="shared" si="30"/>
        <v>0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hidden="1" customHeight="1" x14ac:dyDescent="0.3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118"/>
      <c r="X237" s="118"/>
      <c r="Y237" s="11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64</v>
      </c>
      <c r="AM237" s="199" t="str">
        <f t="shared" si="24"/>
        <v>1/1900</v>
      </c>
      <c r="AN237" s="45" t="e">
        <f t="shared" si="25"/>
        <v>#NUM!</v>
      </c>
      <c r="AO237" s="45" t="str">
        <f t="shared" si="26"/>
        <v>1/1900</v>
      </c>
      <c r="AP237" s="45" t="e">
        <f t="shared" si="27"/>
        <v>#NUM!</v>
      </c>
      <c r="AQ237" s="45">
        <f t="shared" si="28"/>
        <v>0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hidden="1" customHeight="1" x14ac:dyDescent="0.3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118"/>
      <c r="X238" s="98"/>
      <c r="Y238" s="11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64</v>
      </c>
      <c r="AM238" s="199" t="str">
        <f t="shared" si="24"/>
        <v>1/1900</v>
      </c>
      <c r="AN238" s="45" t="e">
        <f t="shared" si="25"/>
        <v>#NUM!</v>
      </c>
      <c r="AO238" s="45" t="str">
        <f t="shared" si="26"/>
        <v>1/1900</v>
      </c>
      <c r="AP238" s="45" t="e">
        <f t="shared" si="27"/>
        <v>#NUM!</v>
      </c>
      <c r="AQ238" s="45">
        <f t="shared" si="28"/>
        <v>0</v>
      </c>
      <c r="AR238" s="45">
        <f t="shared" si="29"/>
        <v>0</v>
      </c>
      <c r="AS238" s="45">
        <f t="shared" si="30"/>
        <v>0</v>
      </c>
      <c r="AT238" s="45">
        <f t="shared" si="31"/>
        <v>0</v>
      </c>
      <c r="AU238" s="45" t="str">
        <f>_xlfn.XLOOKUP(U238,'Lista Suspensa'!$AA$20:$AA$23,'Lista Suspensa'!$AB$20:$AB$23,"N/A")</f>
        <v>S</v>
      </c>
    </row>
    <row r="239" spans="1:47" ht="12" hidden="1" customHeight="1" x14ac:dyDescent="0.3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118"/>
      <c r="X239" s="118"/>
      <c r="Y239" s="118"/>
      <c r="Z239" s="89"/>
      <c r="AA239" s="97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64</v>
      </c>
      <c r="AM239" s="199" t="str">
        <f t="shared" si="24"/>
        <v>1/1900</v>
      </c>
      <c r="AN239" s="45" t="e">
        <f t="shared" si="25"/>
        <v>#NUM!</v>
      </c>
      <c r="AO239" s="45" t="str">
        <f t="shared" si="26"/>
        <v>1/1900</v>
      </c>
      <c r="AP239" s="45" t="e">
        <f t="shared" si="27"/>
        <v>#NUM!</v>
      </c>
      <c r="AQ239" s="45">
        <f t="shared" si="28"/>
        <v>0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hidden="1" customHeight="1" x14ac:dyDescent="0.3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121"/>
      <c r="T240" s="97"/>
      <c r="U240" s="97"/>
      <c r="V240" s="118"/>
      <c r="W240" s="118"/>
      <c r="X240" s="118"/>
      <c r="Y240" s="98"/>
      <c r="Z240" s="89"/>
      <c r="AA240" s="97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64</v>
      </c>
      <c r="AM240" s="199" t="str">
        <f t="shared" si="24"/>
        <v>1/1900</v>
      </c>
      <c r="AN240" s="45" t="e">
        <f t="shared" si="25"/>
        <v>#NUM!</v>
      </c>
      <c r="AO240" s="45" t="str">
        <f t="shared" si="26"/>
        <v>1/1900</v>
      </c>
      <c r="AP240" s="45" t="e">
        <f t="shared" si="27"/>
        <v>#NUM!</v>
      </c>
      <c r="AQ240" s="45">
        <f t="shared" si="28"/>
        <v>0</v>
      </c>
      <c r="AR240" s="45">
        <f t="shared" si="29"/>
        <v>0</v>
      </c>
      <c r="AS240" s="45">
        <f t="shared" si="30"/>
        <v>0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hidden="1" customHeight="1" x14ac:dyDescent="0.3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121"/>
      <c r="T241" s="97"/>
      <c r="U241" s="97"/>
      <c r="V241" s="118"/>
      <c r="W241" s="118"/>
      <c r="X241" s="118"/>
      <c r="Y241" s="98"/>
      <c r="Z241" s="89"/>
      <c r="AA241" s="97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L241" s="45" t="s">
        <v>64</v>
      </c>
      <c r="AM241" s="199" t="str">
        <f t="shared" si="24"/>
        <v>1/1900</v>
      </c>
      <c r="AN241" s="45" t="e">
        <f t="shared" si="25"/>
        <v>#NUM!</v>
      </c>
      <c r="AO241" s="45" t="str">
        <f t="shared" si="26"/>
        <v>1/1900</v>
      </c>
      <c r="AP241" s="45" t="e">
        <f t="shared" si="27"/>
        <v>#NUM!</v>
      </c>
      <c r="AQ241" s="45">
        <f t="shared" si="28"/>
        <v>0</v>
      </c>
      <c r="AR241" s="45">
        <f t="shared" si="29"/>
        <v>0</v>
      </c>
      <c r="AS241" s="45">
        <f t="shared" si="30"/>
        <v>0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hidden="1" customHeight="1" x14ac:dyDescent="0.3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121"/>
      <c r="T242" s="97"/>
      <c r="U242" s="97"/>
      <c r="V242" s="118"/>
      <c r="W242" s="118"/>
      <c r="X242" s="118"/>
      <c r="Y242" s="98"/>
      <c r="Z242" s="89"/>
      <c r="AA242" s="97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L242" s="45" t="s">
        <v>64</v>
      </c>
      <c r="AM242" s="199" t="str">
        <f t="shared" si="24"/>
        <v>1/1900</v>
      </c>
      <c r="AN242" s="45" t="e">
        <f t="shared" si="25"/>
        <v>#NUM!</v>
      </c>
      <c r="AO242" s="45" t="str">
        <f t="shared" si="26"/>
        <v>1/1900</v>
      </c>
      <c r="AP242" s="45" t="e">
        <f t="shared" si="27"/>
        <v>#NUM!</v>
      </c>
      <c r="AQ242" s="45">
        <f t="shared" si="28"/>
        <v>0</v>
      </c>
      <c r="AR242" s="45">
        <f t="shared" si="29"/>
        <v>0</v>
      </c>
      <c r="AS242" s="45">
        <f t="shared" si="30"/>
        <v>0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hidden="1" customHeight="1" x14ac:dyDescent="0.3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121"/>
      <c r="T243" s="97"/>
      <c r="U243" s="97"/>
      <c r="V243" s="118"/>
      <c r="W243" s="118"/>
      <c r="X243" s="118"/>
      <c r="Y243" s="98"/>
      <c r="Z243" s="89"/>
      <c r="AA243" s="97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L243" s="45" t="s">
        <v>64</v>
      </c>
      <c r="AM243" s="199" t="str">
        <f t="shared" si="24"/>
        <v>1/1900</v>
      </c>
      <c r="AN243" s="45" t="e">
        <f t="shared" si="25"/>
        <v>#NUM!</v>
      </c>
      <c r="AO243" s="45" t="str">
        <f t="shared" si="26"/>
        <v>1/1900</v>
      </c>
      <c r="AP243" s="45" t="e">
        <f t="shared" si="27"/>
        <v>#NUM!</v>
      </c>
      <c r="AQ243" s="45">
        <f t="shared" si="28"/>
        <v>0</v>
      </c>
      <c r="AR243" s="45">
        <f t="shared" si="29"/>
        <v>0</v>
      </c>
      <c r="AS243" s="45">
        <f t="shared" si="30"/>
        <v>0</v>
      </c>
      <c r="AT243" s="45">
        <f t="shared" si="31"/>
        <v>0</v>
      </c>
      <c r="AU243" s="45" t="str">
        <f>_xlfn.XLOOKUP(U243,'Lista Suspensa'!$AA$20:$AA$23,'Lista Suspensa'!$AB$20:$AB$23,"N/A")</f>
        <v>S</v>
      </c>
    </row>
    <row r="244" spans="1:47" ht="12" hidden="1" customHeight="1" x14ac:dyDescent="0.3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121"/>
      <c r="T244" s="97"/>
      <c r="U244" s="97"/>
      <c r="V244" s="118"/>
      <c r="W244" s="118"/>
      <c r="X244" s="118"/>
      <c r="Y244" s="98"/>
      <c r="Z244" s="89"/>
      <c r="AA244" s="97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L244" s="45" t="s">
        <v>64</v>
      </c>
      <c r="AM244" s="199" t="str">
        <f t="shared" si="24"/>
        <v>1/1900</v>
      </c>
      <c r="AN244" s="45" t="e">
        <f t="shared" si="25"/>
        <v>#NUM!</v>
      </c>
      <c r="AO244" s="45" t="str">
        <f t="shared" si="26"/>
        <v>1/1900</v>
      </c>
      <c r="AP244" s="45" t="e">
        <f t="shared" si="27"/>
        <v>#NUM!</v>
      </c>
      <c r="AQ244" s="45">
        <f t="shared" si="28"/>
        <v>0</v>
      </c>
      <c r="AR244" s="45">
        <f t="shared" si="29"/>
        <v>0</v>
      </c>
      <c r="AS244" s="45">
        <f t="shared" si="30"/>
        <v>0</v>
      </c>
      <c r="AT244" s="45">
        <f t="shared" si="31"/>
        <v>0</v>
      </c>
      <c r="AU244" s="45" t="str">
        <f>_xlfn.XLOOKUP(U244,'Lista Suspensa'!$AA$20:$AA$23,'Lista Suspensa'!$AB$20:$AB$23,"N/A")</f>
        <v>S</v>
      </c>
    </row>
    <row r="245" spans="1:47" ht="12" hidden="1" customHeight="1" x14ac:dyDescent="0.3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121"/>
      <c r="T245" s="97"/>
      <c r="U245" s="97"/>
      <c r="V245" s="118"/>
      <c r="W245" s="118"/>
      <c r="X245" s="11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L245" s="45" t="s">
        <v>64</v>
      </c>
      <c r="AM245" s="199" t="str">
        <f t="shared" si="24"/>
        <v>1/1900</v>
      </c>
      <c r="AN245" s="45" t="e">
        <f t="shared" si="25"/>
        <v>#NUM!</v>
      </c>
      <c r="AO245" s="45" t="str">
        <f t="shared" si="26"/>
        <v>1/1900</v>
      </c>
      <c r="AP245" s="45" t="e">
        <f t="shared" si="27"/>
        <v>#NUM!</v>
      </c>
      <c r="AQ245" s="45">
        <f t="shared" si="28"/>
        <v>0</v>
      </c>
      <c r="AR245" s="45">
        <f t="shared" si="29"/>
        <v>0</v>
      </c>
      <c r="AS245" s="45">
        <f t="shared" si="30"/>
        <v>0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hidden="1" customHeight="1" x14ac:dyDescent="0.3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121"/>
      <c r="T246" s="97"/>
      <c r="U246" s="97"/>
      <c r="V246" s="118"/>
      <c r="W246" s="118"/>
      <c r="X246" s="11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L246" s="45" t="s">
        <v>64</v>
      </c>
      <c r="AM246" s="199" t="str">
        <f t="shared" si="24"/>
        <v>1/1900</v>
      </c>
      <c r="AN246" s="45" t="e">
        <f t="shared" si="25"/>
        <v>#NUM!</v>
      </c>
      <c r="AO246" s="45" t="str">
        <f t="shared" si="26"/>
        <v>1/1900</v>
      </c>
      <c r="AP246" s="45" t="e">
        <f t="shared" si="27"/>
        <v>#NUM!</v>
      </c>
      <c r="AQ246" s="45">
        <f t="shared" si="28"/>
        <v>0</v>
      </c>
      <c r="AR246" s="45">
        <f t="shared" si="29"/>
        <v>0</v>
      </c>
      <c r="AS246" s="45">
        <f t="shared" si="30"/>
        <v>0</v>
      </c>
      <c r="AT246" s="45">
        <f t="shared" si="31"/>
        <v>0</v>
      </c>
      <c r="AU246" s="45" t="str">
        <f>_xlfn.XLOOKUP(U246,'Lista Suspensa'!$AA$20:$AA$23,'Lista Suspensa'!$AB$20:$AB$23,"N/A")</f>
        <v>S</v>
      </c>
    </row>
    <row r="247" spans="1:47" ht="12" hidden="1" customHeight="1" x14ac:dyDescent="0.3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121"/>
      <c r="T247" s="97"/>
      <c r="U247" s="97"/>
      <c r="V247" s="118"/>
      <c r="W247" s="118"/>
      <c r="X247" s="11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L247" s="45" t="s">
        <v>64</v>
      </c>
      <c r="AM247" s="199" t="str">
        <f t="shared" si="24"/>
        <v>1/1900</v>
      </c>
      <c r="AN247" s="45" t="e">
        <f t="shared" si="25"/>
        <v>#NUM!</v>
      </c>
      <c r="AO247" s="45" t="str">
        <f t="shared" si="26"/>
        <v>1/1900</v>
      </c>
      <c r="AP247" s="45" t="e">
        <f t="shared" si="27"/>
        <v>#NUM!</v>
      </c>
      <c r="AQ247" s="45">
        <f t="shared" si="28"/>
        <v>0</v>
      </c>
      <c r="AR247" s="45">
        <f t="shared" si="29"/>
        <v>0</v>
      </c>
      <c r="AS247" s="45">
        <f t="shared" si="30"/>
        <v>0</v>
      </c>
      <c r="AT247" s="45">
        <f t="shared" si="31"/>
        <v>0</v>
      </c>
      <c r="AU247" s="45" t="str">
        <f>_xlfn.XLOOKUP(U247,'Lista Suspensa'!$AA$20:$AA$23,'Lista Suspensa'!$AB$20:$AB$23,"N/A")</f>
        <v>S</v>
      </c>
    </row>
    <row r="248" spans="1:47" ht="12" hidden="1" customHeight="1" x14ac:dyDescent="0.3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121"/>
      <c r="T248" s="97"/>
      <c r="U248" s="97"/>
      <c r="V248" s="118"/>
      <c r="W248" s="118"/>
      <c r="X248" s="118"/>
      <c r="Y248" s="98"/>
      <c r="Z248" s="89"/>
      <c r="AA248" s="97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L248" s="45" t="s">
        <v>64</v>
      </c>
      <c r="AM248" s="199" t="str">
        <f t="shared" si="24"/>
        <v>1/1900</v>
      </c>
      <c r="AN248" s="45" t="e">
        <f t="shared" si="25"/>
        <v>#NUM!</v>
      </c>
      <c r="AO248" s="45" t="str">
        <f t="shared" si="26"/>
        <v>1/1900</v>
      </c>
      <c r="AP248" s="45" t="e">
        <f t="shared" si="27"/>
        <v>#NUM!</v>
      </c>
      <c r="AQ248" s="45">
        <f t="shared" si="28"/>
        <v>0</v>
      </c>
      <c r="AR248" s="45">
        <f t="shared" si="29"/>
        <v>0</v>
      </c>
      <c r="AS248" s="45">
        <f t="shared" si="30"/>
        <v>0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hidden="1" customHeight="1" x14ac:dyDescent="0.3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121"/>
      <c r="T249" s="97"/>
      <c r="U249" s="97"/>
      <c r="V249" s="118"/>
      <c r="W249" s="118"/>
      <c r="X249" s="118"/>
      <c r="Y249" s="98"/>
      <c r="Z249" s="89"/>
      <c r="AA249" s="97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L249" s="45" t="s">
        <v>64</v>
      </c>
      <c r="AM249" s="199" t="str">
        <f t="shared" si="24"/>
        <v>1/1900</v>
      </c>
      <c r="AN249" s="45" t="e">
        <f t="shared" si="25"/>
        <v>#NUM!</v>
      </c>
      <c r="AO249" s="45" t="str">
        <f t="shared" si="26"/>
        <v>1/1900</v>
      </c>
      <c r="AP249" s="45" t="e">
        <f t="shared" si="27"/>
        <v>#NUM!</v>
      </c>
      <c r="AQ249" s="45">
        <f t="shared" si="28"/>
        <v>0</v>
      </c>
      <c r="AR249" s="45">
        <f t="shared" si="29"/>
        <v>0</v>
      </c>
      <c r="AS249" s="45">
        <f t="shared" si="30"/>
        <v>0</v>
      </c>
      <c r="AT249" s="45">
        <f t="shared" si="31"/>
        <v>0</v>
      </c>
      <c r="AU249" s="45" t="str">
        <f>_xlfn.XLOOKUP(U249,'Lista Suspensa'!$AA$20:$AA$23,'Lista Suspensa'!$AB$20:$AB$23,"N/A")</f>
        <v>S</v>
      </c>
    </row>
    <row r="250" spans="1:47" ht="12" hidden="1" customHeight="1" x14ac:dyDescent="0.3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121"/>
      <c r="T250" s="97"/>
      <c r="U250" s="97"/>
      <c r="V250" s="118"/>
      <c r="W250" s="118"/>
      <c r="X250" s="118"/>
      <c r="Y250" s="9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L250" s="45" t="s">
        <v>64</v>
      </c>
      <c r="AM250" s="199" t="str">
        <f t="shared" si="24"/>
        <v>1/1900</v>
      </c>
      <c r="AN250" s="45" t="e">
        <f t="shared" si="25"/>
        <v>#NUM!</v>
      </c>
      <c r="AO250" s="45" t="str">
        <f t="shared" si="26"/>
        <v>1/1900</v>
      </c>
      <c r="AP250" s="45" t="e">
        <f t="shared" si="27"/>
        <v>#NUM!</v>
      </c>
      <c r="AQ250" s="45">
        <f t="shared" si="28"/>
        <v>0</v>
      </c>
      <c r="AR250" s="45">
        <f t="shared" si="29"/>
        <v>0</v>
      </c>
      <c r="AS250" s="45">
        <f t="shared" si="30"/>
        <v>0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hidden="1" customHeight="1" x14ac:dyDescent="0.3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1"/>
      <c r="S251" s="95"/>
      <c r="T251" s="97"/>
      <c r="U251" s="97"/>
      <c r="V251" s="118"/>
      <c r="W251" s="118"/>
      <c r="X251" s="98"/>
      <c r="Y251" s="118"/>
      <c r="Z251" s="89"/>
      <c r="AA251" s="122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L251" s="45" t="s">
        <v>64</v>
      </c>
      <c r="AM251" s="199" t="str">
        <f t="shared" si="24"/>
        <v>1/1900</v>
      </c>
      <c r="AN251" s="45" t="e">
        <f t="shared" si="25"/>
        <v>#NUM!</v>
      </c>
      <c r="AO251" s="45" t="str">
        <f t="shared" si="26"/>
        <v>1/1900</v>
      </c>
      <c r="AP251" s="45" t="e">
        <f t="shared" si="27"/>
        <v>#NUM!</v>
      </c>
      <c r="AQ251" s="45">
        <f t="shared" si="28"/>
        <v>0</v>
      </c>
      <c r="AR251" s="45">
        <f t="shared" si="29"/>
        <v>0</v>
      </c>
      <c r="AS251" s="45">
        <f t="shared" si="30"/>
        <v>0</v>
      </c>
      <c r="AT251" s="45">
        <f t="shared" si="31"/>
        <v>0</v>
      </c>
      <c r="AU251" s="45" t="str">
        <f>_xlfn.XLOOKUP(U251,'Lista Suspensa'!$AA$20:$AA$23,'Lista Suspensa'!$AB$20:$AB$23,"N/A")</f>
        <v>S</v>
      </c>
    </row>
    <row r="252" spans="1:47" ht="12" hidden="1" customHeight="1" x14ac:dyDescent="0.3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1"/>
      <c r="S252" s="95"/>
      <c r="T252" s="97"/>
      <c r="U252" s="97"/>
      <c r="V252" s="118"/>
      <c r="W252" s="118"/>
      <c r="X252" s="98"/>
      <c r="Y252" s="118"/>
      <c r="Z252" s="89"/>
      <c r="AA252" s="122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L252" s="45" t="s">
        <v>64</v>
      </c>
      <c r="AM252" s="199" t="str">
        <f t="shared" si="24"/>
        <v>1/1900</v>
      </c>
      <c r="AN252" s="45" t="e">
        <f t="shared" si="25"/>
        <v>#NUM!</v>
      </c>
      <c r="AO252" s="45" t="str">
        <f t="shared" si="26"/>
        <v>1/1900</v>
      </c>
      <c r="AP252" s="45" t="e">
        <f t="shared" si="27"/>
        <v>#NUM!</v>
      </c>
      <c r="AQ252" s="45">
        <f t="shared" si="28"/>
        <v>0</v>
      </c>
      <c r="AR252" s="45">
        <f t="shared" si="29"/>
        <v>0</v>
      </c>
      <c r="AS252" s="45">
        <f t="shared" si="30"/>
        <v>0</v>
      </c>
      <c r="AT252" s="45">
        <f t="shared" si="31"/>
        <v>0</v>
      </c>
      <c r="AU252" s="45" t="str">
        <f>_xlfn.XLOOKUP(U252,'Lista Suspensa'!$AA$20:$AA$23,'Lista Suspensa'!$AB$20:$AB$23,"N/A")</f>
        <v>S</v>
      </c>
    </row>
    <row r="253" spans="1:47" ht="12" hidden="1" customHeight="1" x14ac:dyDescent="0.3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1"/>
      <c r="S253" s="95"/>
      <c r="T253" s="97"/>
      <c r="U253" s="97"/>
      <c r="V253" s="118"/>
      <c r="W253" s="118"/>
      <c r="X253" s="98"/>
      <c r="Y253" s="118"/>
      <c r="Z253" s="89"/>
      <c r="AA253" s="122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L253" s="45" t="s">
        <v>64</v>
      </c>
      <c r="AM253" s="199" t="str">
        <f t="shared" si="24"/>
        <v>1/1900</v>
      </c>
      <c r="AN253" s="45" t="e">
        <f t="shared" si="25"/>
        <v>#NUM!</v>
      </c>
      <c r="AO253" s="45" t="str">
        <f t="shared" si="26"/>
        <v>1/1900</v>
      </c>
      <c r="AP253" s="45" t="e">
        <f t="shared" si="27"/>
        <v>#NUM!</v>
      </c>
      <c r="AQ253" s="45">
        <f t="shared" si="28"/>
        <v>0</v>
      </c>
      <c r="AR253" s="45">
        <f t="shared" si="29"/>
        <v>0</v>
      </c>
      <c r="AS253" s="45">
        <f t="shared" si="30"/>
        <v>0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hidden="1" customHeight="1" x14ac:dyDescent="0.3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1"/>
      <c r="S254" s="95"/>
      <c r="T254" s="97"/>
      <c r="U254" s="97"/>
      <c r="V254" s="118"/>
      <c r="W254" s="118"/>
      <c r="X254" s="98"/>
      <c r="Y254" s="118"/>
      <c r="Z254" s="89"/>
      <c r="AA254" s="122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L254" s="45" t="s">
        <v>64</v>
      </c>
      <c r="AM254" s="199" t="str">
        <f t="shared" si="24"/>
        <v>1/1900</v>
      </c>
      <c r="AN254" s="45" t="e">
        <f t="shared" si="25"/>
        <v>#NUM!</v>
      </c>
      <c r="AO254" s="45" t="str">
        <f t="shared" si="26"/>
        <v>1/1900</v>
      </c>
      <c r="AP254" s="45" t="e">
        <f t="shared" si="27"/>
        <v>#NUM!</v>
      </c>
      <c r="AQ254" s="45">
        <f t="shared" si="28"/>
        <v>0</v>
      </c>
      <c r="AR254" s="45">
        <f t="shared" si="29"/>
        <v>0</v>
      </c>
      <c r="AS254" s="45">
        <f t="shared" si="30"/>
        <v>0</v>
      </c>
      <c r="AT254" s="45">
        <f t="shared" si="31"/>
        <v>0</v>
      </c>
      <c r="AU254" s="45" t="str">
        <f>_xlfn.XLOOKUP(U254,'Lista Suspensa'!$AA$20:$AA$23,'Lista Suspensa'!$AB$20:$AB$23,"N/A")</f>
        <v>S</v>
      </c>
    </row>
    <row r="255" spans="1:47" ht="12" hidden="1" customHeight="1" x14ac:dyDescent="0.3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1"/>
      <c r="S255" s="95"/>
      <c r="T255" s="97"/>
      <c r="U255" s="97"/>
      <c r="V255" s="118"/>
      <c r="W255" s="118"/>
      <c r="X255" s="121"/>
      <c r="Y255" s="11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L255" s="45" t="s">
        <v>64</v>
      </c>
      <c r="AM255" s="199" t="str">
        <f t="shared" si="24"/>
        <v>1/1900</v>
      </c>
      <c r="AN255" s="45" t="e">
        <f t="shared" si="25"/>
        <v>#NUM!</v>
      </c>
      <c r="AO255" s="45" t="str">
        <f t="shared" si="26"/>
        <v>1/1900</v>
      </c>
      <c r="AP255" s="45" t="e">
        <f t="shared" si="27"/>
        <v>#NUM!</v>
      </c>
      <c r="AQ255" s="45">
        <f t="shared" si="28"/>
        <v>0</v>
      </c>
      <c r="AR255" s="45">
        <f t="shared" si="29"/>
        <v>0</v>
      </c>
      <c r="AS255" s="45">
        <f t="shared" si="30"/>
        <v>0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hidden="1" customHeight="1" x14ac:dyDescent="0.3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1"/>
      <c r="S256" s="95"/>
      <c r="T256" s="97"/>
      <c r="U256" s="97"/>
      <c r="V256" s="118"/>
      <c r="W256" s="118"/>
      <c r="X256" s="121"/>
      <c r="Y256" s="11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L256" s="45" t="s">
        <v>64</v>
      </c>
      <c r="AM256" s="199" t="str">
        <f t="shared" si="24"/>
        <v>1/1900</v>
      </c>
      <c r="AN256" s="45" t="e">
        <f t="shared" si="25"/>
        <v>#NUM!</v>
      </c>
      <c r="AO256" s="45" t="str">
        <f t="shared" si="26"/>
        <v>1/1900</v>
      </c>
      <c r="AP256" s="45" t="e">
        <f t="shared" si="27"/>
        <v>#NUM!</v>
      </c>
      <c r="AQ256" s="45">
        <f t="shared" si="28"/>
        <v>0</v>
      </c>
      <c r="AR256" s="45">
        <f t="shared" si="29"/>
        <v>0</v>
      </c>
      <c r="AS256" s="45">
        <f t="shared" si="30"/>
        <v>0</v>
      </c>
      <c r="AT256" s="45">
        <f t="shared" si="31"/>
        <v>0</v>
      </c>
      <c r="AU256" s="45" t="str">
        <f>_xlfn.XLOOKUP(U256,'Lista Suspensa'!$AA$20:$AA$23,'Lista Suspensa'!$AB$20:$AB$23,"N/A")</f>
        <v>S</v>
      </c>
    </row>
    <row r="257" spans="1:47" ht="12" hidden="1" customHeight="1" x14ac:dyDescent="0.3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1"/>
      <c r="S257" s="95"/>
      <c r="T257" s="97"/>
      <c r="U257" s="97"/>
      <c r="V257" s="118"/>
      <c r="W257" s="118"/>
      <c r="X257" s="98"/>
      <c r="Y257" s="118"/>
      <c r="Z257" s="89"/>
      <c r="AA257" s="122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L257" s="45" t="s">
        <v>64</v>
      </c>
      <c r="AM257" s="199" t="str">
        <f t="shared" si="24"/>
        <v>1/1900</v>
      </c>
      <c r="AN257" s="45" t="e">
        <f t="shared" si="25"/>
        <v>#NUM!</v>
      </c>
      <c r="AO257" s="45" t="str">
        <f t="shared" si="26"/>
        <v>1/1900</v>
      </c>
      <c r="AP257" s="45" t="e">
        <f t="shared" si="27"/>
        <v>#NUM!</v>
      </c>
      <c r="AQ257" s="45">
        <f t="shared" si="28"/>
        <v>0</v>
      </c>
      <c r="AR257" s="45">
        <f t="shared" si="29"/>
        <v>0</v>
      </c>
      <c r="AS257" s="45">
        <f t="shared" si="30"/>
        <v>0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hidden="1" customHeight="1" x14ac:dyDescent="0.3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95"/>
      <c r="T258" s="97"/>
      <c r="U258" s="97"/>
      <c r="V258" s="118"/>
      <c r="W258" s="118"/>
      <c r="X258" s="118"/>
      <c r="Y258" s="11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L258" s="45" t="s">
        <v>64</v>
      </c>
      <c r="AM258" s="199" t="str">
        <f t="shared" ref="AM258:AM321" si="32">MONTH(B258)&amp;"/"&amp;YEAR(B258)</f>
        <v>1/1900</v>
      </c>
      <c r="AN258" s="45" t="e">
        <f t="shared" ref="AN258:AN321" si="33">WEEKNUM(B258)-WEEKNUM(EOMONTH(B258,-1)+1)+1</f>
        <v>#NUM!</v>
      </c>
      <c r="AO258" s="45" t="str">
        <f t="shared" ref="AO258:AO321" si="34">MONTH(R258)&amp;"/"&amp;YEAR(R258)</f>
        <v>1/1900</v>
      </c>
      <c r="AP258" s="45" t="e">
        <f t="shared" ref="AP258:AP321" si="35">WEEKNUM(R258)-WEEKNUM(EOMONTH(R258,-1)+1)+1</f>
        <v>#NUM!</v>
      </c>
      <c r="AQ258" s="45">
        <f t="shared" ref="AQ258:AQ321" si="36">IF(AU258="S",IF(Q258="1. Aceitou o programa",R258-B258,0),0)</f>
        <v>0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0</v>
      </c>
      <c r="AT258" s="45">
        <f t="shared" ref="AT258:AT321" si="39"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hidden="1" customHeight="1" x14ac:dyDescent="0.3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1"/>
      <c r="S259" s="95"/>
      <c r="T259" s="97"/>
      <c r="U259" s="97"/>
      <c r="V259" s="118"/>
      <c r="W259" s="118"/>
      <c r="X259" s="98"/>
      <c r="Y259" s="118"/>
      <c r="Z259" s="89"/>
      <c r="AA259" s="122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L259" s="45" t="s">
        <v>64</v>
      </c>
      <c r="AM259" s="199" t="str">
        <f t="shared" si="32"/>
        <v>1/1900</v>
      </c>
      <c r="AN259" s="45" t="e">
        <f t="shared" si="33"/>
        <v>#NUM!</v>
      </c>
      <c r="AO259" s="45" t="str">
        <f t="shared" si="34"/>
        <v>1/1900</v>
      </c>
      <c r="AP259" s="45" t="e">
        <f t="shared" si="35"/>
        <v>#NUM!</v>
      </c>
      <c r="AQ259" s="45">
        <f t="shared" si="36"/>
        <v>0</v>
      </c>
      <c r="AR259" s="45">
        <f t="shared" si="37"/>
        <v>0</v>
      </c>
      <c r="AS259" s="45">
        <f t="shared" si="38"/>
        <v>0</v>
      </c>
      <c r="AT259" s="45">
        <f t="shared" si="39"/>
        <v>0</v>
      </c>
      <c r="AU259" s="45" t="str">
        <f>_xlfn.XLOOKUP(U259,'Lista Suspensa'!$AA$20:$AA$23,'Lista Suspensa'!$AB$20:$AB$23,"N/A")</f>
        <v>S</v>
      </c>
    </row>
    <row r="260" spans="1:47" ht="12" hidden="1" customHeight="1" x14ac:dyDescent="0.3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95"/>
      <c r="T260" s="97"/>
      <c r="U260" s="97"/>
      <c r="V260" s="118"/>
      <c r="W260" s="118"/>
      <c r="X260" s="118"/>
      <c r="Y260" s="11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L260" s="45" t="s">
        <v>64</v>
      </c>
      <c r="AM260" s="199" t="str">
        <f t="shared" si="32"/>
        <v>1/1900</v>
      </c>
      <c r="AN260" s="45" t="e">
        <f t="shared" si="33"/>
        <v>#NUM!</v>
      </c>
      <c r="AO260" s="45" t="str">
        <f t="shared" si="34"/>
        <v>1/1900</v>
      </c>
      <c r="AP260" s="45" t="e">
        <f t="shared" si="35"/>
        <v>#NUM!</v>
      </c>
      <c r="AQ260" s="45">
        <f t="shared" si="36"/>
        <v>0</v>
      </c>
      <c r="AR260" s="45">
        <f t="shared" si="37"/>
        <v>0</v>
      </c>
      <c r="AS260" s="45">
        <f t="shared" si="38"/>
        <v>0</v>
      </c>
      <c r="AT260" s="45">
        <f t="shared" si="39"/>
        <v>0</v>
      </c>
      <c r="AU260" s="45" t="str">
        <f>_xlfn.XLOOKUP(U260,'Lista Suspensa'!$AA$20:$AA$23,'Lista Suspensa'!$AB$20:$AB$23,"N/A")</f>
        <v>S</v>
      </c>
    </row>
    <row r="261" spans="1:47" ht="12" hidden="1" customHeight="1" x14ac:dyDescent="0.3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1"/>
      <c r="S261" s="95"/>
      <c r="T261" s="97"/>
      <c r="U261" s="97"/>
      <c r="V261" s="118"/>
      <c r="W261" s="118"/>
      <c r="X261" s="98"/>
      <c r="Y261" s="118"/>
      <c r="Z261" s="89"/>
      <c r="AA261" s="122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L261" s="45" t="s">
        <v>64</v>
      </c>
      <c r="AM261" s="199" t="str">
        <f t="shared" si="32"/>
        <v>1/1900</v>
      </c>
      <c r="AN261" s="45" t="e">
        <f t="shared" si="33"/>
        <v>#NUM!</v>
      </c>
      <c r="AO261" s="45" t="str">
        <f t="shared" si="34"/>
        <v>1/1900</v>
      </c>
      <c r="AP261" s="45" t="e">
        <f t="shared" si="35"/>
        <v>#NUM!</v>
      </c>
      <c r="AQ261" s="45">
        <f t="shared" si="36"/>
        <v>0</v>
      </c>
      <c r="AR261" s="45">
        <f t="shared" si="37"/>
        <v>0</v>
      </c>
      <c r="AS261" s="45">
        <f t="shared" si="38"/>
        <v>0</v>
      </c>
      <c r="AT261" s="45">
        <f t="shared" si="39"/>
        <v>0</v>
      </c>
      <c r="AU261" s="45" t="str">
        <f>_xlfn.XLOOKUP(U261,'Lista Suspensa'!$AA$20:$AA$23,'Lista Suspensa'!$AB$20:$AB$23,"N/A")</f>
        <v>S</v>
      </c>
    </row>
    <row r="262" spans="1:47" ht="12" hidden="1" customHeight="1" x14ac:dyDescent="0.3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11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L262" s="45" t="s">
        <v>64</v>
      </c>
      <c r="AM262" s="199" t="str">
        <f t="shared" si="32"/>
        <v>1/1900</v>
      </c>
      <c r="AN262" s="45" t="e">
        <f t="shared" si="33"/>
        <v>#NUM!</v>
      </c>
      <c r="AO262" s="45" t="str">
        <f t="shared" si="34"/>
        <v>1/1900</v>
      </c>
      <c r="AP262" s="45" t="e">
        <f t="shared" si="35"/>
        <v>#NUM!</v>
      </c>
      <c r="AQ262" s="45">
        <f t="shared" si="36"/>
        <v>0</v>
      </c>
      <c r="AR262" s="45">
        <f t="shared" si="37"/>
        <v>0</v>
      </c>
      <c r="AS262" s="45">
        <f t="shared" si="38"/>
        <v>0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hidden="1" customHeight="1" x14ac:dyDescent="0.3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L263" s="45" t="s">
        <v>64</v>
      </c>
      <c r="AM263" s="199" t="str">
        <f t="shared" si="32"/>
        <v>1/1900</v>
      </c>
      <c r="AN263" s="45" t="e">
        <f t="shared" si="33"/>
        <v>#NUM!</v>
      </c>
      <c r="AO263" s="45" t="str">
        <f t="shared" si="34"/>
        <v>1/1900</v>
      </c>
      <c r="AP263" s="45" t="e">
        <f t="shared" si="35"/>
        <v>#NUM!</v>
      </c>
      <c r="AQ263" s="45">
        <f t="shared" si="36"/>
        <v>0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hidden="1" customHeight="1" x14ac:dyDescent="0.3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2"/>
      <c r="S264" s="95"/>
      <c r="T264" s="97"/>
      <c r="U264" s="97"/>
      <c r="V264" s="118"/>
      <c r="W264" s="118"/>
      <c r="X264" s="11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L264" s="45" t="s">
        <v>64</v>
      </c>
      <c r="AM264" s="199" t="str">
        <f t="shared" si="32"/>
        <v>1/1900</v>
      </c>
      <c r="AN264" s="45" t="e">
        <f t="shared" si="33"/>
        <v>#NUM!</v>
      </c>
      <c r="AO264" s="45" t="str">
        <f t="shared" si="34"/>
        <v>1/1900</v>
      </c>
      <c r="AP264" s="45" t="e">
        <f t="shared" si="35"/>
        <v>#NUM!</v>
      </c>
      <c r="AQ264" s="45">
        <f t="shared" si="36"/>
        <v>0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hidden="1" customHeight="1" x14ac:dyDescent="0.3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2"/>
      <c r="S265" s="95"/>
      <c r="T265" s="97"/>
      <c r="U265" s="97"/>
      <c r="V265" s="118"/>
      <c r="W265" s="118"/>
      <c r="X265" s="118"/>
      <c r="Y265" s="118"/>
      <c r="Z265" s="89"/>
      <c r="AA265" s="97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L265" s="45" t="s">
        <v>64</v>
      </c>
      <c r="AM265" s="199" t="str">
        <f t="shared" si="32"/>
        <v>1/1900</v>
      </c>
      <c r="AN265" s="45" t="e">
        <f t="shared" si="33"/>
        <v>#NUM!</v>
      </c>
      <c r="AO265" s="45" t="str">
        <f t="shared" si="34"/>
        <v>1/1900</v>
      </c>
      <c r="AP265" s="45" t="e">
        <f t="shared" si="35"/>
        <v>#NUM!</v>
      </c>
      <c r="AQ265" s="45">
        <f t="shared" si="36"/>
        <v>0</v>
      </c>
      <c r="AR265" s="45">
        <f t="shared" si="37"/>
        <v>0</v>
      </c>
      <c r="AS265" s="45">
        <f t="shared" si="38"/>
        <v>0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hidden="1" customHeight="1" x14ac:dyDescent="0.3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6"/>
      <c r="R266" s="122"/>
      <c r="S266" s="97"/>
      <c r="T266" s="97"/>
      <c r="U266" s="97"/>
      <c r="V266" s="118"/>
      <c r="W266" s="118"/>
      <c r="X266" s="98"/>
      <c r="Y266" s="98"/>
      <c r="Z266" s="89"/>
      <c r="AA266" s="97"/>
      <c r="AB266" s="89"/>
      <c r="AC266" s="120"/>
      <c r="AD266" s="89"/>
      <c r="AE266" s="89"/>
      <c r="AF266" s="117"/>
      <c r="AG266" s="117"/>
      <c r="AH266" s="119"/>
      <c r="AI266" s="100"/>
      <c r="AJ266" s="100"/>
      <c r="AK266" s="100"/>
      <c r="AL266" s="45" t="s">
        <v>64</v>
      </c>
      <c r="AM266" s="199" t="str">
        <f t="shared" si="32"/>
        <v>1/1900</v>
      </c>
      <c r="AN266" s="45" t="e">
        <f t="shared" si="33"/>
        <v>#NUM!</v>
      </c>
      <c r="AO266" s="45" t="str">
        <f t="shared" si="34"/>
        <v>1/1900</v>
      </c>
      <c r="AP266" s="45" t="e">
        <f t="shared" si="35"/>
        <v>#NUM!</v>
      </c>
      <c r="AQ266" s="45">
        <f t="shared" si="36"/>
        <v>0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hidden="1" customHeight="1" x14ac:dyDescent="0.3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98"/>
      <c r="Y267" s="118"/>
      <c r="Z267" s="89"/>
      <c r="AA267" s="122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L267" s="45" t="s">
        <v>64</v>
      </c>
      <c r="AM267" s="199" t="str">
        <f t="shared" si="32"/>
        <v>1/1900</v>
      </c>
      <c r="AN267" s="45" t="e">
        <f t="shared" si="33"/>
        <v>#NUM!</v>
      </c>
      <c r="AO267" s="45" t="str">
        <f t="shared" si="34"/>
        <v>1/1900</v>
      </c>
      <c r="AP267" s="45" t="e">
        <f t="shared" si="35"/>
        <v>#NUM!</v>
      </c>
      <c r="AQ267" s="45">
        <f t="shared" si="36"/>
        <v>0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hidden="1" customHeight="1" x14ac:dyDescent="0.3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2"/>
      <c r="S268" s="95"/>
      <c r="T268" s="97"/>
      <c r="U268" s="97"/>
      <c r="V268" s="118"/>
      <c r="W268" s="98"/>
      <c r="X268" s="98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L268" s="45" t="s">
        <v>64</v>
      </c>
      <c r="AM268" s="199" t="str">
        <f t="shared" si="32"/>
        <v>1/1900</v>
      </c>
      <c r="AN268" s="45" t="e">
        <f t="shared" si="33"/>
        <v>#NUM!</v>
      </c>
      <c r="AO268" s="45" t="str">
        <f t="shared" si="34"/>
        <v>1/1900</v>
      </c>
      <c r="AP268" s="45" t="e">
        <f t="shared" si="35"/>
        <v>#NUM!</v>
      </c>
      <c r="AQ268" s="45">
        <f t="shared" si="36"/>
        <v>0</v>
      </c>
      <c r="AR268" s="45">
        <f t="shared" si="37"/>
        <v>0</v>
      </c>
      <c r="AS268" s="45">
        <f t="shared" si="38"/>
        <v>0</v>
      </c>
      <c r="AT268" s="45">
        <f t="shared" si="39"/>
        <v>0</v>
      </c>
      <c r="AU268" s="45" t="str">
        <f>_xlfn.XLOOKUP(U268,'Lista Suspensa'!$AA$20:$AA$23,'Lista Suspensa'!$AB$20:$AB$23,"N/A")</f>
        <v>S</v>
      </c>
    </row>
    <row r="269" spans="1:47" ht="12" hidden="1" customHeight="1" x14ac:dyDescent="0.3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L269" s="45" t="s">
        <v>64</v>
      </c>
      <c r="AM269" s="199" t="str">
        <f t="shared" si="32"/>
        <v>1/1900</v>
      </c>
      <c r="AN269" s="45" t="e">
        <f t="shared" si="33"/>
        <v>#NUM!</v>
      </c>
      <c r="AO269" s="45" t="str">
        <f t="shared" si="34"/>
        <v>1/1900</v>
      </c>
      <c r="AP269" s="45" t="e">
        <f t="shared" si="35"/>
        <v>#NUM!</v>
      </c>
      <c r="AQ269" s="45">
        <f t="shared" si="36"/>
        <v>0</v>
      </c>
      <c r="AR269" s="45">
        <f t="shared" si="37"/>
        <v>0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hidden="1" customHeight="1" x14ac:dyDescent="0.3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11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L270" s="45" t="s">
        <v>64</v>
      </c>
      <c r="AM270" s="199" t="str">
        <f t="shared" si="32"/>
        <v>1/1900</v>
      </c>
      <c r="AN270" s="45" t="e">
        <f t="shared" si="33"/>
        <v>#NUM!</v>
      </c>
      <c r="AO270" s="45" t="str">
        <f t="shared" si="34"/>
        <v>1/1900</v>
      </c>
      <c r="AP270" s="45" t="e">
        <f t="shared" si="35"/>
        <v>#NUM!</v>
      </c>
      <c r="AQ270" s="45">
        <f t="shared" si="36"/>
        <v>0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hidden="1" customHeight="1" x14ac:dyDescent="0.3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L271" s="45" t="s">
        <v>64</v>
      </c>
      <c r="AM271" s="199" t="str">
        <f t="shared" si="32"/>
        <v>1/1900</v>
      </c>
      <c r="AN271" s="45" t="e">
        <f t="shared" si="33"/>
        <v>#NUM!</v>
      </c>
      <c r="AO271" s="45" t="str">
        <f t="shared" si="34"/>
        <v>1/1900</v>
      </c>
      <c r="AP271" s="45" t="e">
        <f t="shared" si="35"/>
        <v>#NUM!</v>
      </c>
      <c r="AQ271" s="45">
        <f t="shared" si="36"/>
        <v>0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hidden="1" customHeight="1" x14ac:dyDescent="0.3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11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L272" s="45" t="s">
        <v>64</v>
      </c>
      <c r="AM272" s="199" t="str">
        <f t="shared" si="32"/>
        <v>1/1900</v>
      </c>
      <c r="AN272" s="45" t="e">
        <f t="shared" si="33"/>
        <v>#NUM!</v>
      </c>
      <c r="AO272" s="45" t="str">
        <f t="shared" si="34"/>
        <v>1/1900</v>
      </c>
      <c r="AP272" s="45" t="e">
        <f t="shared" si="35"/>
        <v>#NUM!</v>
      </c>
      <c r="AQ272" s="45">
        <f t="shared" si="36"/>
        <v>0</v>
      </c>
      <c r="AR272" s="45">
        <f t="shared" si="37"/>
        <v>0</v>
      </c>
      <c r="AS272" s="45">
        <f t="shared" si="38"/>
        <v>0</v>
      </c>
      <c r="AT272" s="45">
        <f t="shared" si="39"/>
        <v>0</v>
      </c>
      <c r="AU272" s="45" t="str">
        <f>_xlfn.XLOOKUP(U272,'Lista Suspensa'!$AA$20:$AA$23,'Lista Suspensa'!$AB$20:$AB$23,"N/A")</f>
        <v>S</v>
      </c>
    </row>
    <row r="273" spans="1:47" ht="12" hidden="1" customHeight="1" x14ac:dyDescent="0.3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2"/>
      <c r="S273" s="95"/>
      <c r="T273" s="97"/>
      <c r="U273" s="97"/>
      <c r="V273" s="118"/>
      <c r="W273" s="98"/>
      <c r="X273" s="98"/>
      <c r="Y273" s="118"/>
      <c r="Z273" s="89"/>
      <c r="AA273" s="97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L273" s="45" t="s">
        <v>64</v>
      </c>
      <c r="AM273" s="199" t="str">
        <f t="shared" si="32"/>
        <v>1/1900</v>
      </c>
      <c r="AN273" s="45" t="e">
        <f t="shared" si="33"/>
        <v>#NUM!</v>
      </c>
      <c r="AO273" s="45" t="str">
        <f t="shared" si="34"/>
        <v>1/1900</v>
      </c>
      <c r="AP273" s="45" t="e">
        <f t="shared" si="35"/>
        <v>#NUM!</v>
      </c>
      <c r="AQ273" s="45">
        <f t="shared" si="36"/>
        <v>0</v>
      </c>
      <c r="AR273" s="45">
        <f t="shared" si="37"/>
        <v>0</v>
      </c>
      <c r="AS273" s="45">
        <f t="shared" si="38"/>
        <v>0</v>
      </c>
      <c r="AT273" s="45">
        <f t="shared" si="39"/>
        <v>0</v>
      </c>
      <c r="AU273" s="45" t="str">
        <f>_xlfn.XLOOKUP(U273,'Lista Suspensa'!$AA$20:$AA$23,'Lista Suspensa'!$AB$20:$AB$23,"N/A")</f>
        <v>S</v>
      </c>
    </row>
    <row r="274" spans="1:47" ht="12" hidden="1" customHeight="1" x14ac:dyDescent="0.3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2"/>
      <c r="S274" s="95"/>
      <c r="T274" s="97"/>
      <c r="U274" s="97"/>
      <c r="V274" s="118"/>
      <c r="W274" s="98"/>
      <c r="X274" s="98"/>
      <c r="Y274" s="118"/>
      <c r="Z274" s="89"/>
      <c r="AA274" s="97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L274" s="45" t="s">
        <v>64</v>
      </c>
      <c r="AM274" s="199" t="str">
        <f t="shared" si="32"/>
        <v>1/1900</v>
      </c>
      <c r="AN274" s="45" t="e">
        <f t="shared" si="33"/>
        <v>#NUM!</v>
      </c>
      <c r="AO274" s="45" t="str">
        <f t="shared" si="34"/>
        <v>1/1900</v>
      </c>
      <c r="AP274" s="45" t="e">
        <f t="shared" si="35"/>
        <v>#NUM!</v>
      </c>
      <c r="AQ274" s="45">
        <f t="shared" si="36"/>
        <v>0</v>
      </c>
      <c r="AR274" s="45">
        <f t="shared" si="37"/>
        <v>0</v>
      </c>
      <c r="AS274" s="45">
        <f t="shared" si="38"/>
        <v>0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hidden="1" customHeight="1" x14ac:dyDescent="0.3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98"/>
      <c r="X275" s="98"/>
      <c r="Y275" s="118"/>
      <c r="Z275" s="89"/>
      <c r="AA275" s="97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L275" s="45" t="s">
        <v>64</v>
      </c>
      <c r="AM275" s="199" t="str">
        <f t="shared" si="32"/>
        <v>1/1900</v>
      </c>
      <c r="AN275" s="45" t="e">
        <f t="shared" si="33"/>
        <v>#NUM!</v>
      </c>
      <c r="AO275" s="45" t="str">
        <f t="shared" si="34"/>
        <v>1/1900</v>
      </c>
      <c r="AP275" s="45" t="e">
        <f t="shared" si="35"/>
        <v>#NUM!</v>
      </c>
      <c r="AQ275" s="45">
        <f t="shared" si="36"/>
        <v>0</v>
      </c>
      <c r="AR275" s="45">
        <f t="shared" si="37"/>
        <v>0</v>
      </c>
      <c r="AS275" s="45">
        <f t="shared" si="38"/>
        <v>0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hidden="1" customHeight="1" x14ac:dyDescent="0.3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6"/>
      <c r="R276" s="122"/>
      <c r="S276" s="97"/>
      <c r="T276" s="97"/>
      <c r="U276" s="97"/>
      <c r="V276" s="118"/>
      <c r="W276" s="118"/>
      <c r="X276" s="98"/>
      <c r="Y276" s="98"/>
      <c r="Z276" s="89"/>
      <c r="AA276" s="97"/>
      <c r="AB276" s="89"/>
      <c r="AC276" s="120"/>
      <c r="AD276" s="89"/>
      <c r="AE276" s="89"/>
      <c r="AF276" s="117"/>
      <c r="AG276" s="117"/>
      <c r="AH276" s="119"/>
      <c r="AI276" s="100"/>
      <c r="AJ276" s="100"/>
      <c r="AK276" s="100"/>
      <c r="AL276" s="45" t="s">
        <v>64</v>
      </c>
      <c r="AM276" s="199" t="str">
        <f t="shared" si="32"/>
        <v>1/1900</v>
      </c>
      <c r="AN276" s="45" t="e">
        <f t="shared" si="33"/>
        <v>#NUM!</v>
      </c>
      <c r="AO276" s="45" t="str">
        <f t="shared" si="34"/>
        <v>1/1900</v>
      </c>
      <c r="AP276" s="45" t="e">
        <f t="shared" si="35"/>
        <v>#NUM!</v>
      </c>
      <c r="AQ276" s="45">
        <f t="shared" si="36"/>
        <v>0</v>
      </c>
      <c r="AR276" s="45">
        <f t="shared" si="37"/>
        <v>0</v>
      </c>
      <c r="AS276" s="45">
        <f t="shared" si="38"/>
        <v>0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hidden="1" customHeight="1" x14ac:dyDescent="0.3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L277" s="45" t="s">
        <v>64</v>
      </c>
      <c r="AM277" s="199" t="str">
        <f t="shared" si="32"/>
        <v>1/1900</v>
      </c>
      <c r="AN277" s="45" t="e">
        <f t="shared" si="33"/>
        <v>#NUM!</v>
      </c>
      <c r="AO277" s="45" t="str">
        <f t="shared" si="34"/>
        <v>1/1900</v>
      </c>
      <c r="AP277" s="45" t="e">
        <f t="shared" si="35"/>
        <v>#NUM!</v>
      </c>
      <c r="AQ277" s="45">
        <f t="shared" si="36"/>
        <v>0</v>
      </c>
      <c r="AR277" s="45">
        <f t="shared" si="37"/>
        <v>0</v>
      </c>
      <c r="AS277" s="45">
        <f t="shared" si="38"/>
        <v>0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hidden="1" customHeight="1" x14ac:dyDescent="0.3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L278" s="45" t="s">
        <v>64</v>
      </c>
      <c r="AM278" s="199" t="str">
        <f t="shared" si="32"/>
        <v>1/1900</v>
      </c>
      <c r="AN278" s="45" t="e">
        <f t="shared" si="33"/>
        <v>#NUM!</v>
      </c>
      <c r="AO278" s="45" t="str">
        <f t="shared" si="34"/>
        <v>1/1900</v>
      </c>
      <c r="AP278" s="45" t="e">
        <f t="shared" si="35"/>
        <v>#NUM!</v>
      </c>
      <c r="AQ278" s="45">
        <f t="shared" si="36"/>
        <v>0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hidden="1" customHeight="1" x14ac:dyDescent="0.3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6"/>
      <c r="R279" s="122"/>
      <c r="S279" s="97"/>
      <c r="T279" s="97"/>
      <c r="U279" s="97"/>
      <c r="V279" s="118"/>
      <c r="W279" s="118"/>
      <c r="X279" s="98"/>
      <c r="Y279" s="98"/>
      <c r="Z279" s="89"/>
      <c r="AA279" s="97"/>
      <c r="AB279" s="89"/>
      <c r="AC279" s="120"/>
      <c r="AD279" s="89"/>
      <c r="AE279" s="89"/>
      <c r="AF279" s="117"/>
      <c r="AG279" s="117"/>
      <c r="AH279" s="119"/>
      <c r="AI279" s="100"/>
      <c r="AJ279" s="100"/>
      <c r="AK279" s="100"/>
      <c r="AL279" s="45" t="s">
        <v>64</v>
      </c>
      <c r="AM279" s="199" t="str">
        <f t="shared" si="32"/>
        <v>1/1900</v>
      </c>
      <c r="AN279" s="45" t="e">
        <f t="shared" si="33"/>
        <v>#NUM!</v>
      </c>
      <c r="AO279" s="45" t="str">
        <f t="shared" si="34"/>
        <v>1/1900</v>
      </c>
      <c r="AP279" s="45" t="e">
        <f t="shared" si="35"/>
        <v>#NUM!</v>
      </c>
      <c r="AQ279" s="45">
        <f t="shared" si="36"/>
        <v>0</v>
      </c>
      <c r="AR279" s="45">
        <f t="shared" si="37"/>
        <v>0</v>
      </c>
      <c r="AS279" s="45">
        <f t="shared" si="38"/>
        <v>0</v>
      </c>
      <c r="AT279" s="45">
        <f t="shared" si="39"/>
        <v>0</v>
      </c>
      <c r="AU279" s="45" t="str">
        <f>_xlfn.XLOOKUP(U279,'Lista Suspensa'!$AA$20:$AA$23,'Lista Suspensa'!$AB$20:$AB$23,"N/A")</f>
        <v>S</v>
      </c>
    </row>
    <row r="280" spans="1:47" ht="12" hidden="1" customHeight="1" x14ac:dyDescent="0.3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6"/>
      <c r="R280" s="122"/>
      <c r="S280" s="97"/>
      <c r="T280" s="97"/>
      <c r="U280" s="97"/>
      <c r="V280" s="118"/>
      <c r="W280" s="118"/>
      <c r="X280" s="98"/>
      <c r="Y280" s="98"/>
      <c r="Z280" s="89"/>
      <c r="AA280" s="97"/>
      <c r="AB280" s="89"/>
      <c r="AC280" s="120"/>
      <c r="AD280" s="89"/>
      <c r="AE280" s="89"/>
      <c r="AF280" s="117"/>
      <c r="AG280" s="117"/>
      <c r="AH280" s="119"/>
      <c r="AI280" s="100"/>
      <c r="AJ280" s="100"/>
      <c r="AK280" s="100"/>
      <c r="AL280" s="45" t="s">
        <v>64</v>
      </c>
      <c r="AM280" s="199" t="str">
        <f t="shared" si="32"/>
        <v>1/1900</v>
      </c>
      <c r="AN280" s="45" t="e">
        <f t="shared" si="33"/>
        <v>#NUM!</v>
      </c>
      <c r="AO280" s="45" t="str">
        <f t="shared" si="34"/>
        <v>1/1900</v>
      </c>
      <c r="AP280" s="45" t="e">
        <f t="shared" si="35"/>
        <v>#NUM!</v>
      </c>
      <c r="AQ280" s="45">
        <f t="shared" si="36"/>
        <v>0</v>
      </c>
      <c r="AR280" s="45">
        <f t="shared" si="37"/>
        <v>0</v>
      </c>
      <c r="AS280" s="45">
        <f t="shared" si="38"/>
        <v>0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hidden="1" customHeight="1" x14ac:dyDescent="0.3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6"/>
      <c r="R281" s="122"/>
      <c r="S281" s="97"/>
      <c r="T281" s="97"/>
      <c r="U281" s="97"/>
      <c r="V281" s="118"/>
      <c r="W281" s="118"/>
      <c r="X281" s="98"/>
      <c r="Y281" s="98"/>
      <c r="Z281" s="89"/>
      <c r="AA281" s="97"/>
      <c r="AB281" s="89"/>
      <c r="AC281" s="120"/>
      <c r="AD281" s="89"/>
      <c r="AE281" s="89"/>
      <c r="AF281" s="117"/>
      <c r="AG281" s="117"/>
      <c r="AH281" s="119"/>
      <c r="AI281" s="100"/>
      <c r="AJ281" s="100"/>
      <c r="AK281" s="100"/>
      <c r="AL281" s="45" t="s">
        <v>64</v>
      </c>
      <c r="AM281" s="199" t="str">
        <f t="shared" si="32"/>
        <v>1/1900</v>
      </c>
      <c r="AN281" s="45" t="e">
        <f t="shared" si="33"/>
        <v>#NUM!</v>
      </c>
      <c r="AO281" s="45" t="str">
        <f t="shared" si="34"/>
        <v>1/1900</v>
      </c>
      <c r="AP281" s="45" t="e">
        <f t="shared" si="35"/>
        <v>#NUM!</v>
      </c>
      <c r="AQ281" s="45">
        <f t="shared" si="36"/>
        <v>0</v>
      </c>
      <c r="AR281" s="45">
        <f t="shared" si="37"/>
        <v>0</v>
      </c>
      <c r="AS281" s="45">
        <f t="shared" si="38"/>
        <v>0</v>
      </c>
      <c r="AT281" s="45">
        <f t="shared" si="39"/>
        <v>0</v>
      </c>
      <c r="AU281" s="45" t="str">
        <f>_xlfn.XLOOKUP(U281,'Lista Suspensa'!$AA$20:$AA$23,'Lista Suspensa'!$AB$20:$AB$23,"N/A")</f>
        <v>S</v>
      </c>
    </row>
    <row r="282" spans="1:47" ht="12" hidden="1" customHeight="1" x14ac:dyDescent="0.3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2"/>
      <c r="S282" s="95"/>
      <c r="T282" s="97"/>
      <c r="U282" s="97"/>
      <c r="V282" s="118"/>
      <c r="W282" s="9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L282" s="45" t="s">
        <v>64</v>
      </c>
      <c r="AM282" s="199" t="str">
        <f t="shared" si="32"/>
        <v>1/1900</v>
      </c>
      <c r="AN282" s="45" t="e">
        <f t="shared" si="33"/>
        <v>#NUM!</v>
      </c>
      <c r="AO282" s="45" t="str">
        <f t="shared" si="34"/>
        <v>1/1900</v>
      </c>
      <c r="AP282" s="45" t="e">
        <f t="shared" si="35"/>
        <v>#NUM!</v>
      </c>
      <c r="AQ282" s="45">
        <f t="shared" si="36"/>
        <v>0</v>
      </c>
      <c r="AR282" s="45">
        <f t="shared" si="37"/>
        <v>0</v>
      </c>
      <c r="AS282" s="45">
        <f t="shared" si="38"/>
        <v>0</v>
      </c>
      <c r="AT282" s="45">
        <f t="shared" si="39"/>
        <v>0</v>
      </c>
      <c r="AU282" s="45" t="str">
        <f>_xlfn.XLOOKUP(U282,'Lista Suspensa'!$AA$20:$AA$23,'Lista Suspensa'!$AB$20:$AB$23,"N/A")</f>
        <v>S</v>
      </c>
    </row>
    <row r="283" spans="1:47" ht="12" hidden="1" customHeight="1" x14ac:dyDescent="0.3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2"/>
      <c r="S283" s="95"/>
      <c r="T283" s="97"/>
      <c r="U283" s="97"/>
      <c r="V283" s="118"/>
      <c r="W283" s="9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L283" s="45" t="s">
        <v>64</v>
      </c>
      <c r="AM283" s="199" t="str">
        <f t="shared" si="32"/>
        <v>1/1900</v>
      </c>
      <c r="AN283" s="45" t="e">
        <f t="shared" si="33"/>
        <v>#NUM!</v>
      </c>
      <c r="AO283" s="45" t="str">
        <f t="shared" si="34"/>
        <v>1/1900</v>
      </c>
      <c r="AP283" s="45" t="e">
        <f t="shared" si="35"/>
        <v>#NUM!</v>
      </c>
      <c r="AQ283" s="45">
        <f t="shared" si="36"/>
        <v>0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hidden="1" customHeight="1" x14ac:dyDescent="0.3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L284" s="45" t="s">
        <v>64</v>
      </c>
      <c r="AM284" s="199" t="str">
        <f t="shared" si="32"/>
        <v>1/1900</v>
      </c>
      <c r="AN284" s="45" t="e">
        <f t="shared" si="33"/>
        <v>#NUM!</v>
      </c>
      <c r="AO284" s="45" t="str">
        <f t="shared" si="34"/>
        <v>1/1900</v>
      </c>
      <c r="AP284" s="45" t="e">
        <f t="shared" si="35"/>
        <v>#NUM!</v>
      </c>
      <c r="AQ284" s="45">
        <f t="shared" si="36"/>
        <v>0</v>
      </c>
      <c r="AR284" s="45">
        <f t="shared" si="37"/>
        <v>0</v>
      </c>
      <c r="AS284" s="45">
        <f t="shared" si="38"/>
        <v>0</v>
      </c>
      <c r="AT284" s="45">
        <f t="shared" si="39"/>
        <v>0</v>
      </c>
      <c r="AU284" s="45" t="str">
        <f>_xlfn.XLOOKUP(U284,'Lista Suspensa'!$AA$20:$AA$23,'Lista Suspensa'!$AB$20:$AB$23,"N/A")</f>
        <v>S</v>
      </c>
    </row>
    <row r="285" spans="1:47" ht="12" hidden="1" customHeight="1" x14ac:dyDescent="0.3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122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L285" s="45" t="s">
        <v>64</v>
      </c>
      <c r="AM285" s="199" t="str">
        <f t="shared" si="32"/>
        <v>1/1900</v>
      </c>
      <c r="AN285" s="45" t="e">
        <f t="shared" si="33"/>
        <v>#NUM!</v>
      </c>
      <c r="AO285" s="45" t="str">
        <f t="shared" si="34"/>
        <v>1/1900</v>
      </c>
      <c r="AP285" s="45" t="e">
        <f t="shared" si="35"/>
        <v>#NUM!</v>
      </c>
      <c r="AQ285" s="45">
        <f t="shared" si="36"/>
        <v>0</v>
      </c>
      <c r="AR285" s="45">
        <f t="shared" si="37"/>
        <v>0</v>
      </c>
      <c r="AS285" s="45">
        <f t="shared" si="38"/>
        <v>0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hidden="1" customHeight="1" x14ac:dyDescent="0.3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122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L286" s="45" t="s">
        <v>64</v>
      </c>
      <c r="AM286" s="199" t="str">
        <f t="shared" si="32"/>
        <v>1/1900</v>
      </c>
      <c r="AN286" s="45" t="e">
        <f t="shared" si="33"/>
        <v>#NUM!</v>
      </c>
      <c r="AO286" s="45" t="str">
        <f t="shared" si="34"/>
        <v>1/1900</v>
      </c>
      <c r="AP286" s="45" t="e">
        <f t="shared" si="35"/>
        <v>#NUM!</v>
      </c>
      <c r="AQ286" s="45">
        <f t="shared" si="36"/>
        <v>0</v>
      </c>
      <c r="AR286" s="45">
        <f t="shared" si="37"/>
        <v>0</v>
      </c>
      <c r="AS286" s="45">
        <f t="shared" si="38"/>
        <v>0</v>
      </c>
      <c r="AT286" s="45">
        <f t="shared" si="39"/>
        <v>0</v>
      </c>
      <c r="AU286" s="45" t="str">
        <f>_xlfn.XLOOKUP(U286,'Lista Suspensa'!$AA$20:$AA$23,'Lista Suspensa'!$AB$20:$AB$23,"N/A")</f>
        <v>S</v>
      </c>
    </row>
    <row r="287" spans="1:47" ht="12" hidden="1" customHeight="1" x14ac:dyDescent="0.3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118"/>
      <c r="Z287" s="89"/>
      <c r="AA287" s="122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L287" s="45" t="s">
        <v>64</v>
      </c>
      <c r="AM287" s="199" t="str">
        <f t="shared" si="32"/>
        <v>1/1900</v>
      </c>
      <c r="AN287" s="45" t="e">
        <f t="shared" si="33"/>
        <v>#NUM!</v>
      </c>
      <c r="AO287" s="45" t="str">
        <f t="shared" si="34"/>
        <v>1/1900</v>
      </c>
      <c r="AP287" s="45" t="e">
        <f t="shared" si="35"/>
        <v>#NUM!</v>
      </c>
      <c r="AQ287" s="45">
        <f t="shared" si="36"/>
        <v>0</v>
      </c>
      <c r="AR287" s="45">
        <f t="shared" si="37"/>
        <v>0</v>
      </c>
      <c r="AS287" s="45">
        <f t="shared" si="38"/>
        <v>0</v>
      </c>
      <c r="AT287" s="45">
        <f t="shared" si="39"/>
        <v>0</v>
      </c>
      <c r="AU287" s="45" t="str">
        <f>_xlfn.XLOOKUP(U287,'Lista Suspensa'!$AA$20:$AA$23,'Lista Suspensa'!$AB$20:$AB$23,"N/A")</f>
        <v>S</v>
      </c>
    </row>
    <row r="288" spans="1:47" ht="12" hidden="1" customHeight="1" x14ac:dyDescent="0.3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5"/>
      <c r="T288" s="97"/>
      <c r="U288" s="97"/>
      <c r="V288" s="118"/>
      <c r="W288" s="98"/>
      <c r="X288" s="98"/>
      <c r="Y288" s="118"/>
      <c r="Z288" s="89"/>
      <c r="AA288" s="122"/>
      <c r="AB288" s="89"/>
      <c r="AC288" s="120"/>
      <c r="AD288" s="89"/>
      <c r="AE288" s="89"/>
      <c r="AF288" s="119"/>
      <c r="AG288" s="119"/>
      <c r="AH288" s="119"/>
      <c r="AI288" s="100"/>
      <c r="AJ288" s="100"/>
      <c r="AK288" s="100"/>
      <c r="AL288" s="45" t="s">
        <v>64</v>
      </c>
      <c r="AM288" s="199" t="str">
        <f t="shared" si="32"/>
        <v>1/1900</v>
      </c>
      <c r="AN288" s="45" t="e">
        <f t="shared" si="33"/>
        <v>#NUM!</v>
      </c>
      <c r="AO288" s="45" t="str">
        <f t="shared" si="34"/>
        <v>1/1900</v>
      </c>
      <c r="AP288" s="45" t="e">
        <f t="shared" si="35"/>
        <v>#NUM!</v>
      </c>
      <c r="AQ288" s="45">
        <f t="shared" si="36"/>
        <v>0</v>
      </c>
      <c r="AR288" s="45">
        <f t="shared" si="37"/>
        <v>0</v>
      </c>
      <c r="AS288" s="45">
        <f t="shared" si="38"/>
        <v>0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hidden="1" customHeight="1" x14ac:dyDescent="0.3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5"/>
      <c r="T289" s="97"/>
      <c r="U289" s="97"/>
      <c r="V289" s="118"/>
      <c r="W289" s="98"/>
      <c r="X289" s="98"/>
      <c r="Y289" s="118"/>
      <c r="Z289" s="89"/>
      <c r="AA289" s="122"/>
      <c r="AB289" s="89"/>
      <c r="AC289" s="120"/>
      <c r="AD289" s="89"/>
      <c r="AE289" s="89"/>
      <c r="AF289" s="119"/>
      <c r="AG289" s="119"/>
      <c r="AH289" s="119"/>
      <c r="AI289" s="100"/>
      <c r="AJ289" s="100"/>
      <c r="AK289" s="100"/>
      <c r="AL289" s="45" t="s">
        <v>64</v>
      </c>
      <c r="AM289" s="199" t="str">
        <f t="shared" si="32"/>
        <v>1/1900</v>
      </c>
      <c r="AN289" s="45" t="e">
        <f t="shared" si="33"/>
        <v>#NUM!</v>
      </c>
      <c r="AO289" s="45" t="str">
        <f t="shared" si="34"/>
        <v>1/1900</v>
      </c>
      <c r="AP289" s="45" t="e">
        <f t="shared" si="35"/>
        <v>#NUM!</v>
      </c>
      <c r="AQ289" s="45">
        <f t="shared" si="36"/>
        <v>0</v>
      </c>
      <c r="AR289" s="45">
        <f t="shared" si="37"/>
        <v>0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hidden="1" customHeight="1" x14ac:dyDescent="0.3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5"/>
      <c r="T290" s="97"/>
      <c r="U290" s="97"/>
      <c r="V290" s="118"/>
      <c r="W290" s="98"/>
      <c r="X290" s="98"/>
      <c r="Y290" s="118"/>
      <c r="Z290" s="89"/>
      <c r="AA290" s="122"/>
      <c r="AB290" s="89"/>
      <c r="AC290" s="120"/>
      <c r="AD290" s="89"/>
      <c r="AE290" s="89"/>
      <c r="AF290" s="119"/>
      <c r="AG290" s="119"/>
      <c r="AH290" s="119"/>
      <c r="AI290" s="100"/>
      <c r="AJ290" s="100"/>
      <c r="AK290" s="100"/>
      <c r="AL290" s="45" t="s">
        <v>64</v>
      </c>
      <c r="AM290" s="199" t="str">
        <f t="shared" si="32"/>
        <v>1/1900</v>
      </c>
      <c r="AN290" s="45" t="e">
        <f t="shared" si="33"/>
        <v>#NUM!</v>
      </c>
      <c r="AO290" s="45" t="str">
        <f t="shared" si="34"/>
        <v>1/1900</v>
      </c>
      <c r="AP290" s="45" t="e">
        <f t="shared" si="35"/>
        <v>#NUM!</v>
      </c>
      <c r="AQ290" s="45">
        <f t="shared" si="36"/>
        <v>0</v>
      </c>
      <c r="AR290" s="45">
        <f t="shared" si="37"/>
        <v>0</v>
      </c>
      <c r="AS290" s="45">
        <f t="shared" si="38"/>
        <v>0</v>
      </c>
      <c r="AT290" s="45">
        <f t="shared" si="39"/>
        <v>0</v>
      </c>
      <c r="AU290" s="45" t="str">
        <f>_xlfn.XLOOKUP(U290,'Lista Suspensa'!$AA$20:$AA$23,'Lista Suspensa'!$AB$20:$AB$23,"N/A")</f>
        <v>S</v>
      </c>
    </row>
    <row r="291" spans="1:47" ht="12" hidden="1" customHeight="1" x14ac:dyDescent="0.3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5"/>
      <c r="T291" s="97"/>
      <c r="U291" s="97"/>
      <c r="V291" s="118"/>
      <c r="W291" s="98"/>
      <c r="X291" s="98"/>
      <c r="Y291" s="118"/>
      <c r="Z291" s="89"/>
      <c r="AA291" s="122"/>
      <c r="AB291" s="89"/>
      <c r="AC291" s="120"/>
      <c r="AD291" s="89"/>
      <c r="AE291" s="89"/>
      <c r="AF291" s="119"/>
      <c r="AG291" s="119"/>
      <c r="AH291" s="119"/>
      <c r="AI291" s="100"/>
      <c r="AJ291" s="100"/>
      <c r="AK291" s="100"/>
      <c r="AL291" s="45" t="s">
        <v>64</v>
      </c>
      <c r="AM291" s="199" t="str">
        <f t="shared" si="32"/>
        <v>1/1900</v>
      </c>
      <c r="AN291" s="45" t="e">
        <f t="shared" si="33"/>
        <v>#NUM!</v>
      </c>
      <c r="AO291" s="45" t="str">
        <f t="shared" si="34"/>
        <v>1/1900</v>
      </c>
      <c r="AP291" s="45" t="e">
        <f t="shared" si="35"/>
        <v>#NUM!</v>
      </c>
      <c r="AQ291" s="45">
        <f t="shared" si="36"/>
        <v>0</v>
      </c>
      <c r="AR291" s="45">
        <f t="shared" si="37"/>
        <v>0</v>
      </c>
      <c r="AS291" s="45">
        <f t="shared" si="38"/>
        <v>0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hidden="1" customHeight="1" x14ac:dyDescent="0.3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5"/>
      <c r="T292" s="97"/>
      <c r="U292" s="97"/>
      <c r="V292" s="118"/>
      <c r="W292" s="98"/>
      <c r="X292" s="98"/>
      <c r="Y292" s="118"/>
      <c r="Z292" s="89"/>
      <c r="AA292" s="122"/>
      <c r="AB292" s="89"/>
      <c r="AC292" s="120"/>
      <c r="AD292" s="89"/>
      <c r="AE292" s="89"/>
      <c r="AF292" s="119"/>
      <c r="AG292" s="119"/>
      <c r="AH292" s="119"/>
      <c r="AI292" s="100"/>
      <c r="AJ292" s="100"/>
      <c r="AK292" s="100"/>
      <c r="AL292" s="45" t="s">
        <v>64</v>
      </c>
      <c r="AM292" s="199" t="str">
        <f t="shared" si="32"/>
        <v>1/1900</v>
      </c>
      <c r="AN292" s="45" t="e">
        <f t="shared" si="33"/>
        <v>#NUM!</v>
      </c>
      <c r="AO292" s="45" t="str">
        <f t="shared" si="34"/>
        <v>1/1900</v>
      </c>
      <c r="AP292" s="45" t="e">
        <f t="shared" si="35"/>
        <v>#NUM!</v>
      </c>
      <c r="AQ292" s="45">
        <f t="shared" si="36"/>
        <v>0</v>
      </c>
      <c r="AR292" s="45">
        <f t="shared" si="37"/>
        <v>0</v>
      </c>
      <c r="AS292" s="45">
        <f t="shared" si="38"/>
        <v>0</v>
      </c>
      <c r="AT292" s="45">
        <f t="shared" si="39"/>
        <v>0</v>
      </c>
      <c r="AU292" s="45" t="str">
        <f>_xlfn.XLOOKUP(U292,'Lista Suspensa'!$AA$20:$AA$23,'Lista Suspensa'!$AB$20:$AB$23,"N/A")</f>
        <v>S</v>
      </c>
    </row>
    <row r="293" spans="1:47" ht="12" hidden="1" customHeight="1" x14ac:dyDescent="0.3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118"/>
      <c r="Z293" s="89"/>
      <c r="AA293" s="97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L293" s="45" t="s">
        <v>64</v>
      </c>
      <c r="AM293" s="199" t="str">
        <f t="shared" si="32"/>
        <v>1/1900</v>
      </c>
      <c r="AN293" s="45" t="e">
        <f t="shared" si="33"/>
        <v>#NUM!</v>
      </c>
      <c r="AO293" s="45" t="str">
        <f t="shared" si="34"/>
        <v>1/1900</v>
      </c>
      <c r="AP293" s="45" t="e">
        <f t="shared" si="35"/>
        <v>#NUM!</v>
      </c>
      <c r="AQ293" s="45">
        <f t="shared" si="36"/>
        <v>0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hidden="1" customHeight="1" x14ac:dyDescent="0.3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97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L294" s="45" t="s">
        <v>64</v>
      </c>
      <c r="AM294" s="199" t="str">
        <f t="shared" si="32"/>
        <v>1/1900</v>
      </c>
      <c r="AN294" s="45" t="e">
        <f t="shared" si="33"/>
        <v>#NUM!</v>
      </c>
      <c r="AO294" s="45" t="str">
        <f t="shared" si="34"/>
        <v>1/1900</v>
      </c>
      <c r="AP294" s="45" t="e">
        <f t="shared" si="35"/>
        <v>#NUM!</v>
      </c>
      <c r="AQ294" s="45">
        <f t="shared" si="36"/>
        <v>0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hidden="1" customHeight="1" x14ac:dyDescent="0.3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97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L295" s="45" t="s">
        <v>64</v>
      </c>
      <c r="AM295" s="199" t="str">
        <f t="shared" si="32"/>
        <v>1/1900</v>
      </c>
      <c r="AN295" s="45" t="e">
        <f t="shared" si="33"/>
        <v>#NUM!</v>
      </c>
      <c r="AO295" s="45" t="str">
        <f t="shared" si="34"/>
        <v>1/1900</v>
      </c>
      <c r="AP295" s="45" t="e">
        <f t="shared" si="35"/>
        <v>#NUM!</v>
      </c>
      <c r="AQ295" s="45">
        <f t="shared" si="36"/>
        <v>0</v>
      </c>
      <c r="AR295" s="45">
        <f t="shared" si="37"/>
        <v>0</v>
      </c>
      <c r="AS295" s="45">
        <f t="shared" si="38"/>
        <v>0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hidden="1" customHeight="1" x14ac:dyDescent="0.3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97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L296" s="45" t="s">
        <v>64</v>
      </c>
      <c r="AM296" s="199" t="str">
        <f t="shared" si="32"/>
        <v>1/1900</v>
      </c>
      <c r="AN296" s="45" t="e">
        <f t="shared" si="33"/>
        <v>#NUM!</v>
      </c>
      <c r="AO296" s="45" t="str">
        <f t="shared" si="34"/>
        <v>1/1900</v>
      </c>
      <c r="AP296" s="45" t="e">
        <f t="shared" si="35"/>
        <v>#NUM!</v>
      </c>
      <c r="AQ296" s="45">
        <f t="shared" si="36"/>
        <v>0</v>
      </c>
      <c r="AR296" s="45">
        <f t="shared" si="37"/>
        <v>0</v>
      </c>
      <c r="AS296" s="45">
        <f t="shared" si="38"/>
        <v>0</v>
      </c>
      <c r="AT296" s="45">
        <f t="shared" si="39"/>
        <v>0</v>
      </c>
      <c r="AU296" s="45" t="str">
        <f>_xlfn.XLOOKUP(U296,'Lista Suspensa'!$AA$20:$AA$23,'Lista Suspensa'!$AB$20:$AB$23,"N/A")</f>
        <v>S</v>
      </c>
    </row>
    <row r="297" spans="1:47" ht="12" hidden="1" customHeight="1" x14ac:dyDescent="0.3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97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L297" s="45" t="s">
        <v>64</v>
      </c>
      <c r="AM297" s="199" t="str">
        <f t="shared" si="32"/>
        <v>1/1900</v>
      </c>
      <c r="AN297" s="45" t="e">
        <f t="shared" si="33"/>
        <v>#NUM!</v>
      </c>
      <c r="AO297" s="45" t="str">
        <f t="shared" si="34"/>
        <v>1/1900</v>
      </c>
      <c r="AP297" s="45" t="e">
        <f t="shared" si="35"/>
        <v>#NUM!</v>
      </c>
      <c r="AQ297" s="45">
        <f t="shared" si="36"/>
        <v>0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hidden="1" customHeight="1" x14ac:dyDescent="0.3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97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L298" s="45" t="s">
        <v>64</v>
      </c>
      <c r="AM298" s="199" t="str">
        <f t="shared" si="32"/>
        <v>1/1900</v>
      </c>
      <c r="AN298" s="45" t="e">
        <f t="shared" si="33"/>
        <v>#NUM!</v>
      </c>
      <c r="AO298" s="45" t="str">
        <f t="shared" si="34"/>
        <v>1/1900</v>
      </c>
      <c r="AP298" s="45" t="e">
        <f t="shared" si="35"/>
        <v>#NUM!</v>
      </c>
      <c r="AQ298" s="45">
        <f t="shared" si="36"/>
        <v>0</v>
      </c>
      <c r="AR298" s="45">
        <f t="shared" si="37"/>
        <v>0</v>
      </c>
      <c r="AS298" s="45">
        <f t="shared" si="38"/>
        <v>0</v>
      </c>
      <c r="AT298" s="45">
        <f t="shared" si="39"/>
        <v>0</v>
      </c>
      <c r="AU298" s="45" t="str">
        <f>_xlfn.XLOOKUP(U298,'Lista Suspensa'!$AA$20:$AA$23,'Lista Suspensa'!$AB$20:$AB$23,"N/A")</f>
        <v>S</v>
      </c>
    </row>
    <row r="299" spans="1:47" ht="12" hidden="1" customHeight="1" x14ac:dyDescent="0.3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97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L299" s="45" t="s">
        <v>64</v>
      </c>
      <c r="AM299" s="199" t="str">
        <f t="shared" si="32"/>
        <v>1/1900</v>
      </c>
      <c r="AN299" s="45" t="e">
        <f t="shared" si="33"/>
        <v>#NUM!</v>
      </c>
      <c r="AO299" s="45" t="str">
        <f t="shared" si="34"/>
        <v>1/1900</v>
      </c>
      <c r="AP299" s="45" t="e">
        <f t="shared" si="35"/>
        <v>#NUM!</v>
      </c>
      <c r="AQ299" s="45">
        <f t="shared" si="36"/>
        <v>0</v>
      </c>
      <c r="AR299" s="45">
        <f t="shared" si="37"/>
        <v>0</v>
      </c>
      <c r="AS299" s="45">
        <f t="shared" si="38"/>
        <v>0</v>
      </c>
      <c r="AT299" s="45">
        <f t="shared" si="39"/>
        <v>0</v>
      </c>
      <c r="AU299" s="45" t="str">
        <f>_xlfn.XLOOKUP(U299,'Lista Suspensa'!$AA$20:$AA$23,'Lista Suspensa'!$AB$20:$AB$23,"N/A")</f>
        <v>S</v>
      </c>
    </row>
    <row r="300" spans="1:47" ht="12" hidden="1" customHeight="1" x14ac:dyDescent="0.3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97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L300" s="45" t="s">
        <v>64</v>
      </c>
      <c r="AM300" s="199" t="str">
        <f t="shared" si="32"/>
        <v>1/1900</v>
      </c>
      <c r="AN300" s="45" t="e">
        <f t="shared" si="33"/>
        <v>#NUM!</v>
      </c>
      <c r="AO300" s="45" t="str">
        <f t="shared" si="34"/>
        <v>1/1900</v>
      </c>
      <c r="AP300" s="45" t="e">
        <f t="shared" si="35"/>
        <v>#NUM!</v>
      </c>
      <c r="AQ300" s="45">
        <f t="shared" si="36"/>
        <v>0</v>
      </c>
      <c r="AR300" s="45">
        <f t="shared" si="37"/>
        <v>0</v>
      </c>
      <c r="AS300" s="45">
        <f t="shared" si="38"/>
        <v>0</v>
      </c>
      <c r="AT300" s="45">
        <f t="shared" si="39"/>
        <v>0</v>
      </c>
      <c r="AU300" s="45" t="str">
        <f>_xlfn.XLOOKUP(U300,'Lista Suspensa'!$AA$20:$AA$23,'Lista Suspensa'!$AB$20:$AB$23,"N/A")</f>
        <v>S</v>
      </c>
    </row>
    <row r="301" spans="1:47" ht="12" hidden="1" customHeight="1" x14ac:dyDescent="0.3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1"/>
      <c r="S301" s="95"/>
      <c r="T301" s="97"/>
      <c r="U301" s="97"/>
      <c r="V301" s="118"/>
      <c r="W301" s="98"/>
      <c r="X301" s="98"/>
      <c r="Y301" s="118"/>
      <c r="Z301" s="89"/>
      <c r="AA301" s="97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L301" s="45" t="s">
        <v>64</v>
      </c>
      <c r="AM301" s="199" t="str">
        <f t="shared" si="32"/>
        <v>1/1900</v>
      </c>
      <c r="AN301" s="45" t="e">
        <f t="shared" si="33"/>
        <v>#NUM!</v>
      </c>
      <c r="AO301" s="45" t="str">
        <f t="shared" si="34"/>
        <v>1/1900</v>
      </c>
      <c r="AP301" s="45" t="e">
        <f t="shared" si="35"/>
        <v>#NUM!</v>
      </c>
      <c r="AQ301" s="45">
        <f t="shared" si="36"/>
        <v>0</v>
      </c>
      <c r="AR301" s="45">
        <f t="shared" si="37"/>
        <v>0</v>
      </c>
      <c r="AS301" s="45">
        <f t="shared" si="38"/>
        <v>0</v>
      </c>
      <c r="AT301" s="45">
        <f t="shared" si="39"/>
        <v>0</v>
      </c>
      <c r="AU301" s="45" t="str">
        <f>_xlfn.XLOOKUP(U301,'Lista Suspensa'!$AA$20:$AA$23,'Lista Suspensa'!$AB$20:$AB$23,"N/A")</f>
        <v>S</v>
      </c>
    </row>
    <row r="302" spans="1:47" ht="12" hidden="1" customHeight="1" x14ac:dyDescent="0.3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97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L302" s="45" t="s">
        <v>64</v>
      </c>
      <c r="AM302" s="199" t="str">
        <f t="shared" si="32"/>
        <v>1/1900</v>
      </c>
      <c r="AN302" s="45" t="e">
        <f t="shared" si="33"/>
        <v>#NUM!</v>
      </c>
      <c r="AO302" s="45" t="str">
        <f t="shared" si="34"/>
        <v>1/1900</v>
      </c>
      <c r="AP302" s="45" t="e">
        <f t="shared" si="35"/>
        <v>#NUM!</v>
      </c>
      <c r="AQ302" s="45">
        <f t="shared" si="36"/>
        <v>0</v>
      </c>
      <c r="AR302" s="45">
        <f t="shared" si="37"/>
        <v>0</v>
      </c>
      <c r="AS302" s="45">
        <f t="shared" si="38"/>
        <v>0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hidden="1" customHeight="1" x14ac:dyDescent="0.3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97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L303" s="45" t="s">
        <v>64</v>
      </c>
      <c r="AM303" s="199" t="str">
        <f t="shared" si="32"/>
        <v>1/1900</v>
      </c>
      <c r="AN303" s="45" t="e">
        <f t="shared" si="33"/>
        <v>#NUM!</v>
      </c>
      <c r="AO303" s="45" t="str">
        <f t="shared" si="34"/>
        <v>1/1900</v>
      </c>
      <c r="AP303" s="45" t="e">
        <f t="shared" si="35"/>
        <v>#NUM!</v>
      </c>
      <c r="AQ303" s="45">
        <f t="shared" si="36"/>
        <v>0</v>
      </c>
      <c r="AR303" s="45">
        <f t="shared" si="37"/>
        <v>0</v>
      </c>
      <c r="AS303" s="45">
        <f t="shared" si="38"/>
        <v>0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hidden="1" customHeight="1" x14ac:dyDescent="0.3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L304" s="45" t="s">
        <v>64</v>
      </c>
      <c r="AM304" s="199" t="str">
        <f t="shared" si="32"/>
        <v>1/1900</v>
      </c>
      <c r="AN304" s="45" t="e">
        <f t="shared" si="33"/>
        <v>#NUM!</v>
      </c>
      <c r="AO304" s="45" t="str">
        <f t="shared" si="34"/>
        <v>1/1900</v>
      </c>
      <c r="AP304" s="45" t="e">
        <f t="shared" si="35"/>
        <v>#NUM!</v>
      </c>
      <c r="AQ304" s="45">
        <f t="shared" si="36"/>
        <v>0</v>
      </c>
      <c r="AR304" s="45">
        <f t="shared" si="37"/>
        <v>0</v>
      </c>
      <c r="AS304" s="45">
        <f t="shared" si="38"/>
        <v>0</v>
      </c>
      <c r="AT304" s="45">
        <f t="shared" si="39"/>
        <v>0</v>
      </c>
      <c r="AU304" s="45" t="str">
        <f>_xlfn.XLOOKUP(U304,'Lista Suspensa'!$AA$20:$AA$23,'Lista Suspensa'!$AB$20:$AB$23,"N/A")</f>
        <v>S</v>
      </c>
    </row>
    <row r="305" spans="1:47" ht="12" hidden="1" customHeight="1" x14ac:dyDescent="0.3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L305" s="45" t="s">
        <v>64</v>
      </c>
      <c r="AM305" s="199" t="str">
        <f t="shared" si="32"/>
        <v>1/1900</v>
      </c>
      <c r="AN305" s="45" t="e">
        <f t="shared" si="33"/>
        <v>#NUM!</v>
      </c>
      <c r="AO305" s="45" t="str">
        <f t="shared" si="34"/>
        <v>1/1900</v>
      </c>
      <c r="AP305" s="45" t="e">
        <f t="shared" si="35"/>
        <v>#NUM!</v>
      </c>
      <c r="AQ305" s="45">
        <f t="shared" si="36"/>
        <v>0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hidden="1" customHeight="1" x14ac:dyDescent="0.3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1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L306" s="45" t="s">
        <v>64</v>
      </c>
      <c r="AM306" s="199" t="str">
        <f t="shared" si="32"/>
        <v>1/1900</v>
      </c>
      <c r="AN306" s="45" t="e">
        <f t="shared" si="33"/>
        <v>#NUM!</v>
      </c>
      <c r="AO306" s="45" t="str">
        <f t="shared" si="34"/>
        <v>1/1900</v>
      </c>
      <c r="AP306" s="45" t="e">
        <f t="shared" si="35"/>
        <v>#NUM!</v>
      </c>
      <c r="AQ306" s="45">
        <f t="shared" si="36"/>
        <v>0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hidden="1" customHeight="1" x14ac:dyDescent="0.3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L307" s="45" t="s">
        <v>64</v>
      </c>
      <c r="AM307" s="199" t="str">
        <f t="shared" si="32"/>
        <v>1/1900</v>
      </c>
      <c r="AN307" s="45" t="e">
        <f t="shared" si="33"/>
        <v>#NUM!</v>
      </c>
      <c r="AO307" s="45" t="str">
        <f t="shared" si="34"/>
        <v>1/1900</v>
      </c>
      <c r="AP307" s="45" t="e">
        <f t="shared" si="35"/>
        <v>#NUM!</v>
      </c>
      <c r="AQ307" s="45">
        <f t="shared" si="36"/>
        <v>0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hidden="1" customHeight="1" x14ac:dyDescent="0.3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L308" s="45" t="s">
        <v>64</v>
      </c>
      <c r="AM308" s="199" t="str">
        <f t="shared" si="32"/>
        <v>1/1900</v>
      </c>
      <c r="AN308" s="45" t="e">
        <f t="shared" si="33"/>
        <v>#NUM!</v>
      </c>
      <c r="AO308" s="45" t="str">
        <f t="shared" si="34"/>
        <v>1/1900</v>
      </c>
      <c r="AP308" s="45" t="e">
        <f t="shared" si="35"/>
        <v>#NUM!</v>
      </c>
      <c r="AQ308" s="45">
        <f t="shared" si="36"/>
        <v>0</v>
      </c>
      <c r="AR308" s="45">
        <f t="shared" si="37"/>
        <v>0</v>
      </c>
      <c r="AS308" s="45">
        <f t="shared" si="38"/>
        <v>0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hidden="1" customHeight="1" x14ac:dyDescent="0.3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L309" s="45" t="s">
        <v>64</v>
      </c>
      <c r="AM309" s="199" t="str">
        <f t="shared" si="32"/>
        <v>1/1900</v>
      </c>
      <c r="AN309" s="45" t="e">
        <f t="shared" si="33"/>
        <v>#NUM!</v>
      </c>
      <c r="AO309" s="45" t="str">
        <f t="shared" si="34"/>
        <v>1/1900</v>
      </c>
      <c r="AP309" s="45" t="e">
        <f t="shared" si="35"/>
        <v>#NUM!</v>
      </c>
      <c r="AQ309" s="45">
        <f t="shared" si="36"/>
        <v>0</v>
      </c>
      <c r="AR309" s="45">
        <f t="shared" si="37"/>
        <v>0</v>
      </c>
      <c r="AS309" s="45">
        <f t="shared" si="38"/>
        <v>0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hidden="1" customHeight="1" x14ac:dyDescent="0.3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1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L310" s="45" t="s">
        <v>64</v>
      </c>
      <c r="AM310" s="199" t="str">
        <f t="shared" si="32"/>
        <v>1/1900</v>
      </c>
      <c r="AN310" s="45" t="e">
        <f t="shared" si="33"/>
        <v>#NUM!</v>
      </c>
      <c r="AO310" s="45" t="str">
        <f t="shared" si="34"/>
        <v>1/1900</v>
      </c>
      <c r="AP310" s="45" t="e">
        <f t="shared" si="35"/>
        <v>#NUM!</v>
      </c>
      <c r="AQ310" s="45">
        <f t="shared" si="36"/>
        <v>0</v>
      </c>
      <c r="AR310" s="45">
        <f t="shared" si="37"/>
        <v>0</v>
      </c>
      <c r="AS310" s="45">
        <f t="shared" si="38"/>
        <v>0</v>
      </c>
      <c r="AT310" s="45">
        <f t="shared" si="39"/>
        <v>0</v>
      </c>
      <c r="AU310" s="45" t="str">
        <f>_xlfn.XLOOKUP(U310,'Lista Suspensa'!$AA$20:$AA$23,'Lista Suspensa'!$AB$20:$AB$23,"N/A")</f>
        <v>S</v>
      </c>
    </row>
    <row r="311" spans="1:47" ht="12" hidden="1" customHeight="1" x14ac:dyDescent="0.3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122"/>
      <c r="T311" s="97"/>
      <c r="U311" s="97"/>
      <c r="V311" s="118"/>
      <c r="W311" s="98"/>
      <c r="X311" s="98"/>
      <c r="Y311" s="118"/>
      <c r="Z311" s="89"/>
      <c r="AA311" s="122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L311" s="45" t="s">
        <v>64</v>
      </c>
      <c r="AM311" s="199" t="str">
        <f t="shared" si="32"/>
        <v>1/1900</v>
      </c>
      <c r="AN311" s="45" t="e">
        <f t="shared" si="33"/>
        <v>#NUM!</v>
      </c>
      <c r="AO311" s="45" t="str">
        <f t="shared" si="34"/>
        <v>1/1900</v>
      </c>
      <c r="AP311" s="45" t="e">
        <f t="shared" si="35"/>
        <v>#NUM!</v>
      </c>
      <c r="AQ311" s="45">
        <f t="shared" si="36"/>
        <v>0</v>
      </c>
      <c r="AR311" s="45">
        <f t="shared" si="37"/>
        <v>0</v>
      </c>
      <c r="AS311" s="45">
        <f t="shared" si="38"/>
        <v>0</v>
      </c>
      <c r="AT311" s="45">
        <f t="shared" si="39"/>
        <v>0</v>
      </c>
      <c r="AU311" s="45" t="str">
        <f>_xlfn.XLOOKUP(U311,'Lista Suspensa'!$AA$20:$AA$23,'Lista Suspensa'!$AB$20:$AB$23,"N/A")</f>
        <v>S</v>
      </c>
    </row>
    <row r="312" spans="1:47" ht="12" hidden="1" customHeight="1" x14ac:dyDescent="0.3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6"/>
      <c r="R312" s="122"/>
      <c r="S312" s="97"/>
      <c r="T312" s="97"/>
      <c r="U312" s="97"/>
      <c r="V312" s="118"/>
      <c r="W312" s="118"/>
      <c r="X312" s="98"/>
      <c r="Y312" s="118"/>
      <c r="Z312" s="89"/>
      <c r="AA312" s="97"/>
      <c r="AB312" s="89"/>
      <c r="AC312" s="120"/>
      <c r="AD312" s="89"/>
      <c r="AE312" s="89"/>
      <c r="AF312" s="117"/>
      <c r="AG312" s="117"/>
      <c r="AH312" s="117"/>
      <c r="AI312" s="100"/>
      <c r="AJ312" s="100"/>
      <c r="AK312" s="100"/>
      <c r="AL312" s="45" t="s">
        <v>64</v>
      </c>
      <c r="AM312" s="199" t="str">
        <f t="shared" si="32"/>
        <v>1/1900</v>
      </c>
      <c r="AN312" s="45" t="e">
        <f t="shared" si="33"/>
        <v>#NUM!</v>
      </c>
      <c r="AO312" s="45" t="str">
        <f t="shared" si="34"/>
        <v>1/1900</v>
      </c>
      <c r="AP312" s="45" t="e">
        <f t="shared" si="35"/>
        <v>#NUM!</v>
      </c>
      <c r="AQ312" s="45">
        <f t="shared" si="36"/>
        <v>0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hidden="1" customHeight="1" x14ac:dyDescent="0.3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6"/>
      <c r="R313" s="115"/>
      <c r="S313" s="116"/>
      <c r="T313" s="97"/>
      <c r="U313" s="97"/>
      <c r="V313" s="98"/>
      <c r="W313" s="118"/>
      <c r="X313" s="98"/>
      <c r="Y313" s="98"/>
      <c r="Z313" s="89"/>
      <c r="AA313" s="97"/>
      <c r="AB313" s="89"/>
      <c r="AC313" s="120"/>
      <c r="AD313" s="89"/>
      <c r="AE313" s="89"/>
      <c r="AF313" s="117"/>
      <c r="AG313" s="119"/>
      <c r="AH313" s="117"/>
      <c r="AI313" s="100"/>
      <c r="AJ313" s="100"/>
      <c r="AK313" s="100"/>
      <c r="AL313" s="45" t="s">
        <v>64</v>
      </c>
      <c r="AM313" s="199" t="str">
        <f t="shared" si="32"/>
        <v>1/1900</v>
      </c>
      <c r="AN313" s="45" t="e">
        <f t="shared" si="33"/>
        <v>#NUM!</v>
      </c>
      <c r="AO313" s="45" t="str">
        <f t="shared" si="34"/>
        <v>1/1900</v>
      </c>
      <c r="AP313" s="45" t="e">
        <f t="shared" si="35"/>
        <v>#NUM!</v>
      </c>
      <c r="AQ313" s="45">
        <f t="shared" si="36"/>
        <v>0</v>
      </c>
      <c r="AR313" s="45">
        <f t="shared" si="37"/>
        <v>0</v>
      </c>
      <c r="AS313" s="45">
        <f t="shared" si="38"/>
        <v>0</v>
      </c>
      <c r="AT313" s="45">
        <f t="shared" si="39"/>
        <v>0</v>
      </c>
      <c r="AU313" s="45" t="str">
        <f>_xlfn.XLOOKUP(U313,'Lista Suspensa'!$AA$20:$AA$23,'Lista Suspensa'!$AB$20:$AB$23,"N/A")</f>
        <v>S</v>
      </c>
    </row>
    <row r="314" spans="1:47" ht="12" hidden="1" customHeight="1" x14ac:dyDescent="0.3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6"/>
      <c r="R314" s="115"/>
      <c r="S314" s="116"/>
      <c r="T314" s="97"/>
      <c r="U314" s="97"/>
      <c r="V314" s="98"/>
      <c r="W314" s="118"/>
      <c r="X314" s="98"/>
      <c r="Y314" s="98"/>
      <c r="Z314" s="89"/>
      <c r="AA314" s="97"/>
      <c r="AB314" s="89"/>
      <c r="AC314" s="120"/>
      <c r="AD314" s="89"/>
      <c r="AE314" s="89"/>
      <c r="AF314" s="117"/>
      <c r="AG314" s="119"/>
      <c r="AH314" s="117"/>
      <c r="AI314" s="100"/>
      <c r="AJ314" s="100"/>
      <c r="AK314" s="100"/>
      <c r="AL314" s="45" t="s">
        <v>64</v>
      </c>
      <c r="AM314" s="199" t="str">
        <f t="shared" si="32"/>
        <v>1/1900</v>
      </c>
      <c r="AN314" s="45" t="e">
        <f t="shared" si="33"/>
        <v>#NUM!</v>
      </c>
      <c r="AO314" s="45" t="str">
        <f t="shared" si="34"/>
        <v>1/1900</v>
      </c>
      <c r="AP314" s="45" t="e">
        <f t="shared" si="35"/>
        <v>#NUM!</v>
      </c>
      <c r="AQ314" s="45">
        <f t="shared" si="36"/>
        <v>0</v>
      </c>
      <c r="AR314" s="45">
        <f t="shared" si="37"/>
        <v>0</v>
      </c>
      <c r="AS314" s="45">
        <f t="shared" si="38"/>
        <v>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hidden="1" customHeight="1" x14ac:dyDescent="0.3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1"/>
      <c r="S315" s="121"/>
      <c r="T315" s="97"/>
      <c r="U315" s="97"/>
      <c r="V315" s="98"/>
      <c r="W315" s="98"/>
      <c r="X315" s="98"/>
      <c r="Y315" s="9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L315" s="45" t="s">
        <v>64</v>
      </c>
      <c r="AM315" s="199" t="str">
        <f t="shared" si="32"/>
        <v>1/1900</v>
      </c>
      <c r="AN315" s="45" t="e">
        <f t="shared" si="33"/>
        <v>#NUM!</v>
      </c>
      <c r="AO315" s="45" t="str">
        <f t="shared" si="34"/>
        <v>1/1900</v>
      </c>
      <c r="AP315" s="45" t="e">
        <f t="shared" si="35"/>
        <v>#NUM!</v>
      </c>
      <c r="AQ315" s="45">
        <f t="shared" si="36"/>
        <v>0</v>
      </c>
      <c r="AR315" s="45">
        <f t="shared" si="37"/>
        <v>0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hidden="1" customHeight="1" x14ac:dyDescent="0.3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1"/>
      <c r="S316" s="121"/>
      <c r="T316" s="97"/>
      <c r="U316" s="97"/>
      <c r="V316" s="98"/>
      <c r="W316" s="98"/>
      <c r="X316" s="98"/>
      <c r="Y316" s="9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L316" s="45" t="s">
        <v>64</v>
      </c>
      <c r="AM316" s="199" t="str">
        <f t="shared" si="32"/>
        <v>1/1900</v>
      </c>
      <c r="AN316" s="45" t="e">
        <f t="shared" si="33"/>
        <v>#NUM!</v>
      </c>
      <c r="AO316" s="45" t="str">
        <f t="shared" si="34"/>
        <v>1/1900</v>
      </c>
      <c r="AP316" s="45" t="e">
        <f t="shared" si="35"/>
        <v>#NUM!</v>
      </c>
      <c r="AQ316" s="45">
        <f t="shared" si="36"/>
        <v>0</v>
      </c>
      <c r="AR316" s="45">
        <f t="shared" si="37"/>
        <v>0</v>
      </c>
      <c r="AS316" s="45">
        <f t="shared" si="38"/>
        <v>0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hidden="1" customHeight="1" x14ac:dyDescent="0.3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6"/>
      <c r="R317" s="115"/>
      <c r="S317" s="116"/>
      <c r="T317" s="97"/>
      <c r="U317" s="97"/>
      <c r="V317" s="98"/>
      <c r="W317" s="118"/>
      <c r="X317" s="98"/>
      <c r="Y317" s="98"/>
      <c r="Z317" s="89"/>
      <c r="AA317" s="97"/>
      <c r="AB317" s="89"/>
      <c r="AC317" s="120"/>
      <c r="AD317" s="89"/>
      <c r="AE317" s="89"/>
      <c r="AF317" s="117"/>
      <c r="AG317" s="117"/>
      <c r="AH317" s="119"/>
      <c r="AI317" s="100"/>
      <c r="AJ317" s="100"/>
      <c r="AK317" s="100"/>
      <c r="AL317" s="45" t="s">
        <v>64</v>
      </c>
      <c r="AM317" s="199" t="str">
        <f t="shared" si="32"/>
        <v>1/1900</v>
      </c>
      <c r="AN317" s="45" t="e">
        <f t="shared" si="33"/>
        <v>#NUM!</v>
      </c>
      <c r="AO317" s="45" t="str">
        <f t="shared" si="34"/>
        <v>1/1900</v>
      </c>
      <c r="AP317" s="45" t="e">
        <f t="shared" si="35"/>
        <v>#NUM!</v>
      </c>
      <c r="AQ317" s="45">
        <f t="shared" si="36"/>
        <v>0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hidden="1" customHeight="1" x14ac:dyDescent="0.3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6"/>
      <c r="R318" s="115"/>
      <c r="S318" s="116"/>
      <c r="T318" s="97"/>
      <c r="U318" s="97"/>
      <c r="V318" s="98"/>
      <c r="W318" s="118"/>
      <c r="X318" s="98"/>
      <c r="Y318" s="98"/>
      <c r="Z318" s="89"/>
      <c r="AA318" s="97"/>
      <c r="AB318" s="89"/>
      <c r="AC318" s="120"/>
      <c r="AD318" s="89"/>
      <c r="AE318" s="89"/>
      <c r="AF318" s="117"/>
      <c r="AG318" s="117"/>
      <c r="AH318" s="119"/>
      <c r="AI318" s="100"/>
      <c r="AJ318" s="100"/>
      <c r="AK318" s="100"/>
      <c r="AL318" s="45" t="s">
        <v>64</v>
      </c>
      <c r="AM318" s="199" t="str">
        <f t="shared" si="32"/>
        <v>1/1900</v>
      </c>
      <c r="AN318" s="45" t="e">
        <f t="shared" si="33"/>
        <v>#NUM!</v>
      </c>
      <c r="AO318" s="45" t="str">
        <f t="shared" si="34"/>
        <v>1/1900</v>
      </c>
      <c r="AP318" s="45" t="e">
        <f t="shared" si="35"/>
        <v>#NUM!</v>
      </c>
      <c r="AQ318" s="45">
        <f t="shared" si="36"/>
        <v>0</v>
      </c>
      <c r="AR318" s="45">
        <f t="shared" si="37"/>
        <v>0</v>
      </c>
      <c r="AS318" s="45">
        <f t="shared" si="38"/>
        <v>0</v>
      </c>
      <c r="AT318" s="45">
        <f t="shared" si="39"/>
        <v>0</v>
      </c>
      <c r="AU318" s="45" t="str">
        <f>_xlfn.XLOOKUP(U318,'Lista Suspensa'!$AA$20:$AA$23,'Lista Suspensa'!$AB$20:$AB$23,"N/A")</f>
        <v>S</v>
      </c>
    </row>
    <row r="319" spans="1:47" ht="12" hidden="1" customHeight="1" x14ac:dyDescent="0.3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6"/>
      <c r="R319" s="115"/>
      <c r="S319" s="116"/>
      <c r="T319" s="97"/>
      <c r="U319" s="97"/>
      <c r="V319" s="98"/>
      <c r="W319" s="118"/>
      <c r="X319" s="98"/>
      <c r="Y319" s="98"/>
      <c r="Z319" s="89"/>
      <c r="AA319" s="97"/>
      <c r="AB319" s="89"/>
      <c r="AC319" s="120"/>
      <c r="AD319" s="89"/>
      <c r="AE319" s="89"/>
      <c r="AF319" s="117"/>
      <c r="AG319" s="117"/>
      <c r="AH319" s="119"/>
      <c r="AI319" s="100"/>
      <c r="AJ319" s="100"/>
      <c r="AK319" s="100"/>
      <c r="AL319" s="45" t="s">
        <v>64</v>
      </c>
      <c r="AM319" s="199" t="str">
        <f t="shared" si="32"/>
        <v>1/1900</v>
      </c>
      <c r="AN319" s="45" t="e">
        <f t="shared" si="33"/>
        <v>#NUM!</v>
      </c>
      <c r="AO319" s="45" t="str">
        <f t="shared" si="34"/>
        <v>1/1900</v>
      </c>
      <c r="AP319" s="45" t="e">
        <f t="shared" si="35"/>
        <v>#NUM!</v>
      </c>
      <c r="AQ319" s="45">
        <f t="shared" si="36"/>
        <v>0</v>
      </c>
      <c r="AR319" s="45">
        <f t="shared" si="37"/>
        <v>0</v>
      </c>
      <c r="AS319" s="45">
        <f t="shared" si="38"/>
        <v>0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hidden="1" customHeight="1" x14ac:dyDescent="0.3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6"/>
      <c r="R320" s="115"/>
      <c r="S320" s="116"/>
      <c r="T320" s="97"/>
      <c r="U320" s="97"/>
      <c r="V320" s="98"/>
      <c r="W320" s="118"/>
      <c r="X320" s="98"/>
      <c r="Y320" s="98"/>
      <c r="Z320" s="89"/>
      <c r="AA320" s="97"/>
      <c r="AB320" s="89"/>
      <c r="AC320" s="120"/>
      <c r="AD320" s="89"/>
      <c r="AE320" s="89"/>
      <c r="AF320" s="117"/>
      <c r="AG320" s="117"/>
      <c r="AH320" s="119"/>
      <c r="AI320" s="100"/>
      <c r="AJ320" s="100"/>
      <c r="AK320" s="100"/>
      <c r="AL320" s="45" t="s">
        <v>64</v>
      </c>
      <c r="AM320" s="199" t="str">
        <f t="shared" si="32"/>
        <v>1/1900</v>
      </c>
      <c r="AN320" s="45" t="e">
        <f t="shared" si="33"/>
        <v>#NUM!</v>
      </c>
      <c r="AO320" s="45" t="str">
        <f t="shared" si="34"/>
        <v>1/1900</v>
      </c>
      <c r="AP320" s="45" t="e">
        <f t="shared" si="35"/>
        <v>#NUM!</v>
      </c>
      <c r="AQ320" s="45">
        <f t="shared" si="36"/>
        <v>0</v>
      </c>
      <c r="AR320" s="45">
        <f t="shared" si="37"/>
        <v>0</v>
      </c>
      <c r="AS320" s="45">
        <f t="shared" si="38"/>
        <v>0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hidden="1" customHeight="1" x14ac:dyDescent="0.3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6"/>
      <c r="R321" s="115"/>
      <c r="S321" s="116"/>
      <c r="T321" s="97"/>
      <c r="U321" s="97"/>
      <c r="V321" s="98"/>
      <c r="W321" s="118"/>
      <c r="X321" s="98"/>
      <c r="Y321" s="98"/>
      <c r="Z321" s="89"/>
      <c r="AA321" s="97"/>
      <c r="AB321" s="89"/>
      <c r="AC321" s="120"/>
      <c r="AD321" s="89"/>
      <c r="AE321" s="89"/>
      <c r="AF321" s="117"/>
      <c r="AG321" s="117"/>
      <c r="AH321" s="119"/>
      <c r="AI321" s="100"/>
      <c r="AJ321" s="100"/>
      <c r="AK321" s="100"/>
      <c r="AL321" s="45" t="s">
        <v>64</v>
      </c>
      <c r="AM321" s="199" t="str">
        <f t="shared" si="32"/>
        <v>1/1900</v>
      </c>
      <c r="AN321" s="45" t="e">
        <f t="shared" si="33"/>
        <v>#NUM!</v>
      </c>
      <c r="AO321" s="45" t="str">
        <f t="shared" si="34"/>
        <v>1/1900</v>
      </c>
      <c r="AP321" s="45" t="e">
        <f t="shared" si="35"/>
        <v>#NUM!</v>
      </c>
      <c r="AQ321" s="45">
        <f t="shared" si="36"/>
        <v>0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hidden="1" customHeight="1" x14ac:dyDescent="0.3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6"/>
      <c r="R322" s="115"/>
      <c r="S322" s="116"/>
      <c r="T322" s="97"/>
      <c r="U322" s="97"/>
      <c r="V322" s="98"/>
      <c r="W322" s="118"/>
      <c r="X322" s="98"/>
      <c r="Y322" s="98"/>
      <c r="Z322" s="89"/>
      <c r="AA322" s="97"/>
      <c r="AB322" s="89"/>
      <c r="AC322" s="120"/>
      <c r="AD322" s="89"/>
      <c r="AE322" s="89"/>
      <c r="AF322" s="117"/>
      <c r="AG322" s="117"/>
      <c r="AH322" s="119"/>
      <c r="AI322" s="100"/>
      <c r="AJ322" s="100"/>
      <c r="AK322" s="100"/>
      <c r="AL322" s="45" t="s">
        <v>64</v>
      </c>
      <c r="AM322" s="199" t="str">
        <f t="shared" ref="AM322:AM384" si="40">MONTH(B322)&amp;"/"&amp;YEAR(B322)</f>
        <v>1/1900</v>
      </c>
      <c r="AN322" s="45" t="e">
        <f t="shared" ref="AN322:AN384" si="41">WEEKNUM(B322)-WEEKNUM(EOMONTH(B322,-1)+1)+1</f>
        <v>#NUM!</v>
      </c>
      <c r="AO322" s="45" t="str">
        <f t="shared" ref="AO322:AO384" si="42">MONTH(R322)&amp;"/"&amp;YEAR(R322)</f>
        <v>1/1900</v>
      </c>
      <c r="AP322" s="45" t="e">
        <f t="shared" ref="AP322:AP384" si="43">WEEKNUM(R322)-WEEKNUM(EOMONTH(R322,-1)+1)+1</f>
        <v>#NUM!</v>
      </c>
      <c r="AQ322" s="45">
        <f t="shared" ref="AQ322:AQ384" si="44">IF(AU322="S",IF(Q322="1. Aceitou o programa",R322-B322,0),0)</f>
        <v>0</v>
      </c>
      <c r="AR322" s="45">
        <f t="shared" ref="AR322:AR384" si="45">IF(AU322="S",IF(AND(S322&lt;&gt;"",R322&lt;&gt;""),S322-R322,0),0)</f>
        <v>0</v>
      </c>
      <c r="AS322" s="45">
        <f t="shared" ref="AS322:AS384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hidden="1" customHeight="1" x14ac:dyDescent="0.3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15"/>
      <c r="S323" s="116"/>
      <c r="T323" s="97"/>
      <c r="U323" s="97"/>
      <c r="V323" s="98"/>
      <c r="W323" s="118"/>
      <c r="X323" s="98"/>
      <c r="Y323" s="98"/>
      <c r="Z323" s="89"/>
      <c r="AA323" s="97"/>
      <c r="AB323" s="89"/>
      <c r="AC323" s="120"/>
      <c r="AD323" s="89"/>
      <c r="AE323" s="89"/>
      <c r="AF323" s="117"/>
      <c r="AG323" s="117"/>
      <c r="AH323" s="119"/>
      <c r="AI323" s="100"/>
      <c r="AJ323" s="100"/>
      <c r="AK323" s="100"/>
      <c r="AL323" s="45" t="s">
        <v>64</v>
      </c>
      <c r="AM323" s="199" t="str">
        <f t="shared" si="40"/>
        <v>1/1900</v>
      </c>
      <c r="AN323" s="45" t="e">
        <f t="shared" si="41"/>
        <v>#NUM!</v>
      </c>
      <c r="AO323" s="45" t="str">
        <f t="shared" si="42"/>
        <v>1/1900</v>
      </c>
      <c r="AP323" s="45" t="e">
        <f t="shared" si="43"/>
        <v>#NUM!</v>
      </c>
      <c r="AQ323" s="45">
        <f t="shared" si="44"/>
        <v>0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hidden="1" customHeight="1" x14ac:dyDescent="0.3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1"/>
      <c r="S324" s="116"/>
      <c r="T324" s="97"/>
      <c r="U324" s="97"/>
      <c r="V324" s="98"/>
      <c r="W324" s="98"/>
      <c r="X324" s="98"/>
      <c r="Y324" s="98"/>
      <c r="Z324" s="89"/>
      <c r="AA324" s="97"/>
      <c r="AB324" s="89"/>
      <c r="AC324" s="120"/>
      <c r="AD324" s="89"/>
      <c r="AE324" s="89"/>
      <c r="AF324" s="119"/>
      <c r="AG324" s="119"/>
      <c r="AH324" s="119"/>
      <c r="AI324" s="100"/>
      <c r="AJ324" s="100"/>
      <c r="AK324" s="100"/>
      <c r="AL324" s="45" t="s">
        <v>64</v>
      </c>
      <c r="AM324" s="199" t="str">
        <f t="shared" si="40"/>
        <v>1/1900</v>
      </c>
      <c r="AN324" s="45" t="e">
        <f t="shared" si="41"/>
        <v>#NUM!</v>
      </c>
      <c r="AO324" s="45" t="str">
        <f t="shared" si="42"/>
        <v>1/1900</v>
      </c>
      <c r="AP324" s="45" t="e">
        <f t="shared" si="43"/>
        <v>#NUM!</v>
      </c>
      <c r="AQ324" s="45">
        <f t="shared" si="44"/>
        <v>0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hidden="1" customHeight="1" x14ac:dyDescent="0.3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21"/>
      <c r="S325" s="116"/>
      <c r="T325" s="97"/>
      <c r="U325" s="97"/>
      <c r="V325" s="98"/>
      <c r="W325" s="98"/>
      <c r="X325" s="98"/>
      <c r="Y325" s="98"/>
      <c r="Z325" s="89"/>
      <c r="AA325" s="97"/>
      <c r="AB325" s="89"/>
      <c r="AC325" s="120"/>
      <c r="AD325" s="89"/>
      <c r="AE325" s="89"/>
      <c r="AF325" s="119"/>
      <c r="AG325" s="119"/>
      <c r="AH325" s="119"/>
      <c r="AI325" s="100"/>
      <c r="AJ325" s="100"/>
      <c r="AK325" s="100"/>
      <c r="AL325" s="45" t="s">
        <v>64</v>
      </c>
      <c r="AM325" s="199" t="str">
        <f t="shared" si="40"/>
        <v>1/1900</v>
      </c>
      <c r="AN325" s="45" t="e">
        <f t="shared" si="41"/>
        <v>#NUM!</v>
      </c>
      <c r="AO325" s="45" t="str">
        <f t="shared" si="42"/>
        <v>1/1900</v>
      </c>
      <c r="AP325" s="45" t="e">
        <f t="shared" si="43"/>
        <v>#NUM!</v>
      </c>
      <c r="AQ325" s="45">
        <f t="shared" si="44"/>
        <v>0</v>
      </c>
      <c r="AR325" s="45">
        <f t="shared" si="45"/>
        <v>0</v>
      </c>
      <c r="AS325" s="45">
        <f t="shared" si="46"/>
        <v>0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hidden="1" customHeight="1" x14ac:dyDescent="0.3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16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L326" s="45" t="s">
        <v>64</v>
      </c>
      <c r="AM326" s="199" t="str">
        <f t="shared" si="40"/>
        <v>1/1900</v>
      </c>
      <c r="AN326" s="45" t="e">
        <f t="shared" si="41"/>
        <v>#NUM!</v>
      </c>
      <c r="AO326" s="45" t="str">
        <f t="shared" si="42"/>
        <v>1/1900</v>
      </c>
      <c r="AP326" s="45" t="e">
        <f t="shared" si="43"/>
        <v>#NUM!</v>
      </c>
      <c r="AQ326" s="45">
        <f t="shared" si="44"/>
        <v>0</v>
      </c>
      <c r="AR326" s="45">
        <f t="shared" si="45"/>
        <v>0</v>
      </c>
      <c r="AS326" s="45">
        <f t="shared" si="46"/>
        <v>0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hidden="1" customHeight="1" x14ac:dyDescent="0.3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16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L327" s="45" t="s">
        <v>64</v>
      </c>
      <c r="AM327" s="199" t="str">
        <f t="shared" si="40"/>
        <v>1/1900</v>
      </c>
      <c r="AN327" s="45" t="e">
        <f t="shared" si="41"/>
        <v>#NUM!</v>
      </c>
      <c r="AO327" s="45" t="str">
        <f t="shared" si="42"/>
        <v>1/1900</v>
      </c>
      <c r="AP327" s="45" t="e">
        <f t="shared" si="43"/>
        <v>#NUM!</v>
      </c>
      <c r="AQ327" s="45">
        <f t="shared" si="44"/>
        <v>0</v>
      </c>
      <c r="AR327" s="45">
        <f t="shared" si="45"/>
        <v>0</v>
      </c>
      <c r="AS327" s="45">
        <f t="shared" si="46"/>
        <v>0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hidden="1" customHeight="1" x14ac:dyDescent="0.3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16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L328" s="45" t="s">
        <v>64</v>
      </c>
      <c r="AM328" s="199" t="str">
        <f t="shared" si="40"/>
        <v>1/1900</v>
      </c>
      <c r="AN328" s="45" t="e">
        <f t="shared" si="41"/>
        <v>#NUM!</v>
      </c>
      <c r="AO328" s="45" t="str">
        <f t="shared" si="42"/>
        <v>1/1900</v>
      </c>
      <c r="AP328" s="45" t="e">
        <f t="shared" si="43"/>
        <v>#NUM!</v>
      </c>
      <c r="AQ328" s="45">
        <f t="shared" si="44"/>
        <v>0</v>
      </c>
      <c r="AR328" s="45">
        <f t="shared" si="45"/>
        <v>0</v>
      </c>
      <c r="AS328" s="45">
        <f t="shared" si="46"/>
        <v>0</v>
      </c>
      <c r="AT328" s="45">
        <f t="shared" si="47"/>
        <v>0</v>
      </c>
      <c r="AU328" s="45" t="str">
        <f>_xlfn.XLOOKUP(U328,'Lista Suspensa'!$AA$20:$AA$23,'Lista Suspensa'!$AB$20:$AB$23,"N/A")</f>
        <v>S</v>
      </c>
    </row>
    <row r="329" spans="1:47" ht="12" hidden="1" customHeight="1" x14ac:dyDescent="0.3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21"/>
      <c r="S329" s="116"/>
      <c r="T329" s="97"/>
      <c r="U329" s="97"/>
      <c r="V329" s="98"/>
      <c r="W329" s="98"/>
      <c r="X329" s="98"/>
      <c r="Y329" s="98"/>
      <c r="Z329" s="89"/>
      <c r="AA329" s="97"/>
      <c r="AB329" s="89"/>
      <c r="AC329" s="120"/>
      <c r="AD329" s="89"/>
      <c r="AE329" s="89"/>
      <c r="AF329" s="119"/>
      <c r="AG329" s="119"/>
      <c r="AH329" s="119"/>
      <c r="AI329" s="100"/>
      <c r="AJ329" s="100"/>
      <c r="AK329" s="100"/>
      <c r="AL329" s="45" t="s">
        <v>64</v>
      </c>
      <c r="AM329" s="199" t="str">
        <f t="shared" si="40"/>
        <v>1/1900</v>
      </c>
      <c r="AN329" s="45" t="e">
        <f t="shared" si="41"/>
        <v>#NUM!</v>
      </c>
      <c r="AO329" s="45" t="str">
        <f t="shared" si="42"/>
        <v>1/1900</v>
      </c>
      <c r="AP329" s="45" t="e">
        <f t="shared" si="43"/>
        <v>#NUM!</v>
      </c>
      <c r="AQ329" s="45">
        <f t="shared" si="44"/>
        <v>0</v>
      </c>
      <c r="AR329" s="45">
        <f t="shared" si="45"/>
        <v>0</v>
      </c>
      <c r="AS329" s="45">
        <f t="shared" si="46"/>
        <v>0</v>
      </c>
      <c r="AT329" s="45">
        <f t="shared" si="47"/>
        <v>0</v>
      </c>
      <c r="AU329" s="45" t="str">
        <f>_xlfn.XLOOKUP(U329,'Lista Suspensa'!$AA$20:$AA$23,'Lista Suspensa'!$AB$20:$AB$23,"N/A")</f>
        <v>S</v>
      </c>
    </row>
    <row r="330" spans="1:47" ht="12" hidden="1" customHeight="1" x14ac:dyDescent="0.3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9"/>
      <c r="AH330" s="117"/>
      <c r="AI330" s="100"/>
      <c r="AJ330" s="100"/>
      <c r="AK330" s="100"/>
      <c r="AL330" s="45" t="s">
        <v>64</v>
      </c>
      <c r="AM330" s="199" t="str">
        <f t="shared" si="40"/>
        <v>1/1900</v>
      </c>
      <c r="AN330" s="45" t="e">
        <f t="shared" si="41"/>
        <v>#NUM!</v>
      </c>
      <c r="AO330" s="45" t="str">
        <f t="shared" si="42"/>
        <v>1/1900</v>
      </c>
      <c r="AP330" s="45" t="e">
        <f t="shared" si="43"/>
        <v>#NUM!</v>
      </c>
      <c r="AQ330" s="45">
        <f t="shared" si="44"/>
        <v>0</v>
      </c>
      <c r="AR330" s="45">
        <f t="shared" si="45"/>
        <v>0</v>
      </c>
      <c r="AS330" s="45">
        <f t="shared" si="46"/>
        <v>0</v>
      </c>
      <c r="AT330" s="45">
        <f t="shared" si="47"/>
        <v>0</v>
      </c>
      <c r="AU330" s="45" t="str">
        <f>_xlfn.XLOOKUP(U330,'Lista Suspensa'!$AA$20:$AA$23,'Lista Suspensa'!$AB$20:$AB$23,"N/A")</f>
        <v>S</v>
      </c>
    </row>
    <row r="331" spans="1:47" ht="12" hidden="1" customHeight="1" x14ac:dyDescent="0.3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21"/>
      <c r="S331" s="116"/>
      <c r="T331" s="97"/>
      <c r="U331" s="97"/>
      <c r="V331" s="98"/>
      <c r="W331" s="98"/>
      <c r="X331" s="98"/>
      <c r="Y331" s="98"/>
      <c r="Z331" s="89"/>
      <c r="AA331" s="97"/>
      <c r="AB331" s="89"/>
      <c r="AC331" s="120"/>
      <c r="AD331" s="89"/>
      <c r="AE331" s="89"/>
      <c r="AF331" s="119"/>
      <c r="AG331" s="119"/>
      <c r="AH331" s="119"/>
      <c r="AI331" s="100"/>
      <c r="AJ331" s="100"/>
      <c r="AK331" s="100"/>
      <c r="AL331" s="45" t="s">
        <v>64</v>
      </c>
      <c r="AM331" s="199" t="str">
        <f t="shared" si="40"/>
        <v>1/1900</v>
      </c>
      <c r="AN331" s="45" t="e">
        <f t="shared" si="41"/>
        <v>#NUM!</v>
      </c>
      <c r="AO331" s="45" t="str">
        <f t="shared" si="42"/>
        <v>1/1900</v>
      </c>
      <c r="AP331" s="45" t="e">
        <f t="shared" si="43"/>
        <v>#NUM!</v>
      </c>
      <c r="AQ331" s="45">
        <f t="shared" si="44"/>
        <v>0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hidden="1" customHeight="1" x14ac:dyDescent="0.3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21"/>
      <c r="S332" s="116"/>
      <c r="T332" s="97"/>
      <c r="U332" s="97"/>
      <c r="V332" s="98"/>
      <c r="W332" s="98"/>
      <c r="X332" s="98"/>
      <c r="Y332" s="98"/>
      <c r="Z332" s="89"/>
      <c r="AA332" s="97"/>
      <c r="AB332" s="89"/>
      <c r="AC332" s="120"/>
      <c r="AD332" s="89"/>
      <c r="AE332" s="89"/>
      <c r="AF332" s="119"/>
      <c r="AG332" s="119"/>
      <c r="AH332" s="119"/>
      <c r="AI332" s="100"/>
      <c r="AJ332" s="100"/>
      <c r="AK332" s="100"/>
      <c r="AL332" s="45" t="s">
        <v>64</v>
      </c>
      <c r="AM332" s="199" t="str">
        <f t="shared" si="40"/>
        <v>1/1900</v>
      </c>
      <c r="AN332" s="45" t="e">
        <f t="shared" si="41"/>
        <v>#NUM!</v>
      </c>
      <c r="AO332" s="45" t="str">
        <f t="shared" si="42"/>
        <v>1/1900</v>
      </c>
      <c r="AP332" s="45" t="e">
        <f t="shared" si="43"/>
        <v>#NUM!</v>
      </c>
      <c r="AQ332" s="45">
        <f t="shared" si="44"/>
        <v>0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hidden="1" customHeight="1" x14ac:dyDescent="0.3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21"/>
      <c r="S333" s="116"/>
      <c r="T333" s="97"/>
      <c r="U333" s="97"/>
      <c r="V333" s="98"/>
      <c r="W333" s="98"/>
      <c r="X333" s="98"/>
      <c r="Y333" s="98"/>
      <c r="Z333" s="89"/>
      <c r="AA333" s="97"/>
      <c r="AB333" s="89"/>
      <c r="AC333" s="120"/>
      <c r="AD333" s="89"/>
      <c r="AE333" s="89"/>
      <c r="AF333" s="119"/>
      <c r="AG333" s="119"/>
      <c r="AH333" s="119"/>
      <c r="AI333" s="100"/>
      <c r="AJ333" s="100"/>
      <c r="AK333" s="100"/>
      <c r="AL333" s="45" t="s">
        <v>64</v>
      </c>
      <c r="AM333" s="199" t="str">
        <f t="shared" si="40"/>
        <v>1/1900</v>
      </c>
      <c r="AN333" s="45" t="e">
        <f t="shared" si="41"/>
        <v>#NUM!</v>
      </c>
      <c r="AO333" s="45" t="str">
        <f t="shared" si="42"/>
        <v>1/1900</v>
      </c>
      <c r="AP333" s="45" t="e">
        <f t="shared" si="43"/>
        <v>#NUM!</v>
      </c>
      <c r="AQ333" s="45">
        <f t="shared" si="44"/>
        <v>0</v>
      </c>
      <c r="AR333" s="45">
        <f t="shared" si="45"/>
        <v>0</v>
      </c>
      <c r="AS333" s="45">
        <f t="shared" si="46"/>
        <v>0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hidden="1" customHeight="1" x14ac:dyDescent="0.3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9"/>
      <c r="AH334" s="117"/>
      <c r="AI334" s="100"/>
      <c r="AJ334" s="100"/>
      <c r="AK334" s="100"/>
      <c r="AL334" s="45" t="s">
        <v>64</v>
      </c>
      <c r="AM334" s="199" t="str">
        <f t="shared" si="40"/>
        <v>1/1900</v>
      </c>
      <c r="AN334" s="45" t="e">
        <f t="shared" si="41"/>
        <v>#NUM!</v>
      </c>
      <c r="AO334" s="45" t="str">
        <f t="shared" si="42"/>
        <v>1/1900</v>
      </c>
      <c r="AP334" s="45" t="e">
        <f t="shared" si="43"/>
        <v>#NUM!</v>
      </c>
      <c r="AQ334" s="45">
        <f t="shared" si="44"/>
        <v>0</v>
      </c>
      <c r="AR334" s="45">
        <f t="shared" si="45"/>
        <v>0</v>
      </c>
      <c r="AS334" s="45">
        <f t="shared" si="46"/>
        <v>0</v>
      </c>
      <c r="AT334" s="45">
        <f t="shared" si="47"/>
        <v>0</v>
      </c>
      <c r="AU334" s="45" t="str">
        <f>_xlfn.XLOOKUP(U334,'Lista Suspensa'!$AA$20:$AA$23,'Lista Suspensa'!$AB$20:$AB$23,"N/A")</f>
        <v>S</v>
      </c>
    </row>
    <row r="335" spans="1:47" ht="12" hidden="1" customHeight="1" x14ac:dyDescent="0.3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L335" s="45" t="s">
        <v>64</v>
      </c>
      <c r="AM335" s="199" t="str">
        <f t="shared" si="40"/>
        <v>1/1900</v>
      </c>
      <c r="AN335" s="45" t="e">
        <f t="shared" si="41"/>
        <v>#NUM!</v>
      </c>
      <c r="AO335" s="45" t="str">
        <f t="shared" si="42"/>
        <v>1/1900</v>
      </c>
      <c r="AP335" s="45" t="e">
        <f t="shared" si="43"/>
        <v>#NUM!</v>
      </c>
      <c r="AQ335" s="45">
        <f t="shared" si="44"/>
        <v>0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hidden="1" customHeight="1" x14ac:dyDescent="0.3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6"/>
      <c r="R336" s="115"/>
      <c r="S336" s="116"/>
      <c r="T336" s="97"/>
      <c r="U336" s="97"/>
      <c r="V336" s="98"/>
      <c r="W336" s="118"/>
      <c r="X336" s="98"/>
      <c r="Y336" s="98"/>
      <c r="Z336" s="89"/>
      <c r="AA336" s="97"/>
      <c r="AB336" s="89"/>
      <c r="AC336" s="120"/>
      <c r="AD336" s="89"/>
      <c r="AE336" s="89"/>
      <c r="AF336" s="117"/>
      <c r="AG336" s="119"/>
      <c r="AH336" s="117"/>
      <c r="AI336" s="100"/>
      <c r="AJ336" s="100"/>
      <c r="AK336" s="100"/>
      <c r="AL336" s="45" t="s">
        <v>64</v>
      </c>
      <c r="AM336" s="199" t="str">
        <f t="shared" si="40"/>
        <v>1/1900</v>
      </c>
      <c r="AN336" s="45" t="e">
        <f t="shared" si="41"/>
        <v>#NUM!</v>
      </c>
      <c r="AO336" s="45" t="str">
        <f t="shared" si="42"/>
        <v>1/1900</v>
      </c>
      <c r="AP336" s="45" t="e">
        <f t="shared" si="43"/>
        <v>#NUM!</v>
      </c>
      <c r="AQ336" s="45">
        <f t="shared" si="44"/>
        <v>0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hidden="1" customHeight="1" x14ac:dyDescent="0.3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L337" s="45" t="s">
        <v>64</v>
      </c>
      <c r="AM337" s="199" t="str">
        <f t="shared" si="40"/>
        <v>1/1900</v>
      </c>
      <c r="AN337" s="45" t="e">
        <f t="shared" si="41"/>
        <v>#NUM!</v>
      </c>
      <c r="AO337" s="45" t="str">
        <f t="shared" si="42"/>
        <v>1/1900</v>
      </c>
      <c r="AP337" s="45" t="e">
        <f t="shared" si="43"/>
        <v>#NUM!</v>
      </c>
      <c r="AQ337" s="45">
        <f t="shared" si="44"/>
        <v>0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hidden="1" customHeight="1" x14ac:dyDescent="0.3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21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L338" s="45" t="s">
        <v>64</v>
      </c>
      <c r="AM338" s="199" t="str">
        <f t="shared" si="40"/>
        <v>1/1900</v>
      </c>
      <c r="AN338" s="45" t="e">
        <f t="shared" si="41"/>
        <v>#NUM!</v>
      </c>
      <c r="AO338" s="45" t="str">
        <f t="shared" si="42"/>
        <v>1/1900</v>
      </c>
      <c r="AP338" s="45" t="e">
        <f t="shared" si="43"/>
        <v>#NUM!</v>
      </c>
      <c r="AQ338" s="45">
        <f t="shared" si="44"/>
        <v>0</v>
      </c>
      <c r="AR338" s="45">
        <f t="shared" si="45"/>
        <v>0</v>
      </c>
      <c r="AS338" s="45">
        <f t="shared" si="46"/>
        <v>0</v>
      </c>
      <c r="AT338" s="45">
        <f t="shared" si="47"/>
        <v>0</v>
      </c>
      <c r="AU338" s="45" t="str">
        <f>_xlfn.XLOOKUP(U338,'Lista Suspensa'!$AA$20:$AA$23,'Lista Suspensa'!$AB$20:$AB$23,"N/A")</f>
        <v>S</v>
      </c>
    </row>
    <row r="339" spans="1:47" ht="12" hidden="1" customHeight="1" x14ac:dyDescent="0.3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21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L339" s="45" t="s">
        <v>64</v>
      </c>
      <c r="AM339" s="199" t="str">
        <f t="shared" si="40"/>
        <v>1/1900</v>
      </c>
      <c r="AN339" s="45" t="e">
        <f t="shared" si="41"/>
        <v>#NUM!</v>
      </c>
      <c r="AO339" s="45" t="str">
        <f t="shared" si="42"/>
        <v>1/1900</v>
      </c>
      <c r="AP339" s="45" t="e">
        <f t="shared" si="43"/>
        <v>#NUM!</v>
      </c>
      <c r="AQ339" s="45">
        <f t="shared" si="44"/>
        <v>0</v>
      </c>
      <c r="AR339" s="45">
        <f t="shared" si="45"/>
        <v>0</v>
      </c>
      <c r="AS339" s="45">
        <f t="shared" si="46"/>
        <v>0</v>
      </c>
      <c r="AT339" s="45">
        <f t="shared" si="47"/>
        <v>0</v>
      </c>
      <c r="AU339" s="45" t="str">
        <f>_xlfn.XLOOKUP(U339,'Lista Suspensa'!$AA$20:$AA$23,'Lista Suspensa'!$AB$20:$AB$23,"N/A")</f>
        <v>S</v>
      </c>
    </row>
    <row r="340" spans="1:47" ht="12" hidden="1" customHeight="1" x14ac:dyDescent="0.3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6"/>
      <c r="R340" s="121"/>
      <c r="S340" s="116"/>
      <c r="T340" s="97"/>
      <c r="U340" s="97"/>
      <c r="V340" s="98"/>
      <c r="W340" s="118"/>
      <c r="X340" s="98"/>
      <c r="Y340" s="98"/>
      <c r="Z340" s="89"/>
      <c r="AA340" s="97"/>
      <c r="AB340" s="89"/>
      <c r="AC340" s="120"/>
      <c r="AD340" s="89"/>
      <c r="AE340" s="89"/>
      <c r="AF340" s="117"/>
      <c r="AG340" s="119"/>
      <c r="AH340" s="117"/>
      <c r="AI340" s="100"/>
      <c r="AJ340" s="100"/>
      <c r="AK340" s="100"/>
      <c r="AL340" s="45" t="s">
        <v>64</v>
      </c>
      <c r="AM340" s="199" t="str">
        <f t="shared" si="40"/>
        <v>1/1900</v>
      </c>
      <c r="AN340" s="45" t="e">
        <f t="shared" si="41"/>
        <v>#NUM!</v>
      </c>
      <c r="AO340" s="45" t="str">
        <f t="shared" si="42"/>
        <v>1/1900</v>
      </c>
      <c r="AP340" s="45" t="e">
        <f t="shared" si="43"/>
        <v>#NUM!</v>
      </c>
      <c r="AQ340" s="45">
        <f t="shared" si="44"/>
        <v>0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hidden="1" customHeight="1" x14ac:dyDescent="0.3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118"/>
      <c r="W341" s="9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L341" s="45" t="s">
        <v>64</v>
      </c>
      <c r="AM341" s="199" t="str">
        <f t="shared" si="40"/>
        <v>1/1900</v>
      </c>
      <c r="AN341" s="45" t="e">
        <f t="shared" si="41"/>
        <v>#NUM!</v>
      </c>
      <c r="AO341" s="45" t="str">
        <f t="shared" si="42"/>
        <v>1/1900</v>
      </c>
      <c r="AP341" s="45" t="e">
        <f t="shared" si="43"/>
        <v>#NUM!</v>
      </c>
      <c r="AQ341" s="45">
        <f t="shared" si="44"/>
        <v>0</v>
      </c>
      <c r="AR341" s="45">
        <f t="shared" si="45"/>
        <v>0</v>
      </c>
      <c r="AS341" s="45">
        <f t="shared" si="46"/>
        <v>0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hidden="1" customHeight="1" x14ac:dyDescent="0.3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118"/>
      <c r="W342" s="9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L342" s="45" t="s">
        <v>64</v>
      </c>
      <c r="AM342" s="199" t="str">
        <f t="shared" si="40"/>
        <v>1/1900</v>
      </c>
      <c r="AN342" s="45" t="e">
        <f t="shared" si="41"/>
        <v>#NUM!</v>
      </c>
      <c r="AO342" s="45" t="str">
        <f t="shared" si="42"/>
        <v>1/1900</v>
      </c>
      <c r="AP342" s="45" t="e">
        <f t="shared" si="43"/>
        <v>#NUM!</v>
      </c>
      <c r="AQ342" s="45">
        <f t="shared" si="44"/>
        <v>0</v>
      </c>
      <c r="AR342" s="45">
        <f t="shared" si="45"/>
        <v>0</v>
      </c>
      <c r="AS342" s="45">
        <f t="shared" si="46"/>
        <v>0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hidden="1" customHeight="1" x14ac:dyDescent="0.3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6"/>
      <c r="R343" s="115"/>
      <c r="S343" s="116"/>
      <c r="T343" s="97"/>
      <c r="U343" s="97"/>
      <c r="V343" s="118"/>
      <c r="W343" s="98"/>
      <c r="X343" s="98"/>
      <c r="Y343" s="98"/>
      <c r="Z343" s="89"/>
      <c r="AA343" s="97"/>
      <c r="AB343" s="89"/>
      <c r="AC343" s="120"/>
      <c r="AD343" s="89"/>
      <c r="AE343" s="89"/>
      <c r="AF343" s="117"/>
      <c r="AG343" s="119"/>
      <c r="AH343" s="117"/>
      <c r="AI343" s="100"/>
      <c r="AJ343" s="100"/>
      <c r="AK343" s="100"/>
      <c r="AL343" s="45" t="s">
        <v>64</v>
      </c>
      <c r="AM343" s="199" t="str">
        <f t="shared" si="40"/>
        <v>1/1900</v>
      </c>
      <c r="AN343" s="45" t="e">
        <f t="shared" si="41"/>
        <v>#NUM!</v>
      </c>
      <c r="AO343" s="45" t="str">
        <f t="shared" si="42"/>
        <v>1/1900</v>
      </c>
      <c r="AP343" s="45" t="e">
        <f t="shared" si="43"/>
        <v>#NUM!</v>
      </c>
      <c r="AQ343" s="45">
        <f t="shared" si="44"/>
        <v>0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hidden="1" customHeight="1" x14ac:dyDescent="0.3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6"/>
      <c r="R344" s="115"/>
      <c r="S344" s="116"/>
      <c r="T344" s="97"/>
      <c r="U344" s="97"/>
      <c r="V344" s="118"/>
      <c r="W344" s="98"/>
      <c r="X344" s="98"/>
      <c r="Y344" s="98"/>
      <c r="Z344" s="89"/>
      <c r="AA344" s="97"/>
      <c r="AB344" s="89"/>
      <c r="AC344" s="120"/>
      <c r="AD344" s="89"/>
      <c r="AE344" s="89"/>
      <c r="AF344" s="117"/>
      <c r="AG344" s="119"/>
      <c r="AH344" s="117"/>
      <c r="AI344" s="100"/>
      <c r="AJ344" s="100"/>
      <c r="AK344" s="100"/>
      <c r="AL344" s="45" t="s">
        <v>64</v>
      </c>
      <c r="AM344" s="199" t="str">
        <f t="shared" si="40"/>
        <v>1/1900</v>
      </c>
      <c r="AN344" s="45" t="e">
        <f t="shared" si="41"/>
        <v>#NUM!</v>
      </c>
      <c r="AO344" s="45" t="str">
        <f t="shared" si="42"/>
        <v>1/1900</v>
      </c>
      <c r="AP344" s="45" t="e">
        <f t="shared" si="43"/>
        <v>#NUM!</v>
      </c>
      <c r="AQ344" s="45">
        <f t="shared" si="44"/>
        <v>0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hidden="1" customHeight="1" x14ac:dyDescent="0.3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118"/>
      <c r="W345" s="9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L345" s="45" t="s">
        <v>64</v>
      </c>
      <c r="AM345" s="199" t="str">
        <f t="shared" si="40"/>
        <v>1/1900</v>
      </c>
      <c r="AN345" s="45" t="e">
        <f t="shared" si="41"/>
        <v>#NUM!</v>
      </c>
      <c r="AO345" s="45" t="str">
        <f t="shared" si="42"/>
        <v>1/1900</v>
      </c>
      <c r="AP345" s="45" t="e">
        <f t="shared" si="43"/>
        <v>#NUM!</v>
      </c>
      <c r="AQ345" s="45">
        <f t="shared" si="44"/>
        <v>0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hidden="1" customHeight="1" x14ac:dyDescent="0.3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118"/>
      <c r="W346" s="9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L346" s="45" t="s">
        <v>64</v>
      </c>
      <c r="AM346" s="199" t="str">
        <f t="shared" si="40"/>
        <v>1/1900</v>
      </c>
      <c r="AN346" s="45" t="e">
        <f t="shared" si="41"/>
        <v>#NUM!</v>
      </c>
      <c r="AO346" s="45" t="str">
        <f t="shared" si="42"/>
        <v>1/1900</v>
      </c>
      <c r="AP346" s="45" t="e">
        <f t="shared" si="43"/>
        <v>#NUM!</v>
      </c>
      <c r="AQ346" s="45">
        <f t="shared" si="44"/>
        <v>0</v>
      </c>
      <c r="AR346" s="45">
        <f t="shared" si="45"/>
        <v>0</v>
      </c>
      <c r="AS346" s="45">
        <f t="shared" si="46"/>
        <v>0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hidden="1" customHeight="1" x14ac:dyDescent="0.3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118"/>
      <c r="W347" s="9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L347" s="45" t="s">
        <v>64</v>
      </c>
      <c r="AM347" s="199" t="str">
        <f t="shared" si="40"/>
        <v>1/1900</v>
      </c>
      <c r="AN347" s="45" t="e">
        <f t="shared" si="41"/>
        <v>#NUM!</v>
      </c>
      <c r="AO347" s="45" t="str">
        <f t="shared" si="42"/>
        <v>1/1900</v>
      </c>
      <c r="AP347" s="45" t="e">
        <f t="shared" si="43"/>
        <v>#NUM!</v>
      </c>
      <c r="AQ347" s="45">
        <f t="shared" si="44"/>
        <v>0</v>
      </c>
      <c r="AR347" s="45">
        <f t="shared" si="45"/>
        <v>0</v>
      </c>
      <c r="AS347" s="45">
        <f t="shared" si="46"/>
        <v>0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hidden="1" customHeight="1" x14ac:dyDescent="0.3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118"/>
      <c r="W348" s="9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L348" s="45" t="s">
        <v>64</v>
      </c>
      <c r="AM348" s="199" t="str">
        <f t="shared" si="40"/>
        <v>1/1900</v>
      </c>
      <c r="AN348" s="45" t="e">
        <f t="shared" si="41"/>
        <v>#NUM!</v>
      </c>
      <c r="AO348" s="45" t="str">
        <f t="shared" si="42"/>
        <v>1/1900</v>
      </c>
      <c r="AP348" s="45" t="e">
        <f t="shared" si="43"/>
        <v>#NUM!</v>
      </c>
      <c r="AQ348" s="45">
        <f t="shared" si="44"/>
        <v>0</v>
      </c>
      <c r="AR348" s="45">
        <f t="shared" si="45"/>
        <v>0</v>
      </c>
      <c r="AS348" s="45">
        <f t="shared" si="46"/>
        <v>0</v>
      </c>
      <c r="AT348" s="45">
        <f t="shared" si="47"/>
        <v>0</v>
      </c>
      <c r="AU348" s="45" t="str">
        <f>_xlfn.XLOOKUP(U348,'Lista Suspensa'!$AA$20:$AA$23,'Lista Suspensa'!$AB$20:$AB$23,"N/A")</f>
        <v>S</v>
      </c>
    </row>
    <row r="349" spans="1:47" ht="12" hidden="1" customHeight="1" x14ac:dyDescent="0.3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6"/>
      <c r="R349" s="115"/>
      <c r="S349" s="116"/>
      <c r="T349" s="97"/>
      <c r="U349" s="97"/>
      <c r="V349" s="118"/>
      <c r="W349" s="98"/>
      <c r="X349" s="98"/>
      <c r="Y349" s="98"/>
      <c r="Z349" s="89"/>
      <c r="AA349" s="97"/>
      <c r="AB349" s="89"/>
      <c r="AC349" s="120"/>
      <c r="AD349" s="89"/>
      <c r="AE349" s="89"/>
      <c r="AF349" s="117"/>
      <c r="AG349" s="119"/>
      <c r="AH349" s="117"/>
      <c r="AI349" s="100"/>
      <c r="AJ349" s="100"/>
      <c r="AK349" s="100"/>
      <c r="AL349" s="45" t="s">
        <v>64</v>
      </c>
      <c r="AM349" s="199" t="str">
        <f t="shared" si="40"/>
        <v>1/1900</v>
      </c>
      <c r="AN349" s="45" t="e">
        <f t="shared" si="41"/>
        <v>#NUM!</v>
      </c>
      <c r="AO349" s="45" t="str">
        <f t="shared" si="42"/>
        <v>1/1900</v>
      </c>
      <c r="AP349" s="45" t="e">
        <f t="shared" si="43"/>
        <v>#NUM!</v>
      </c>
      <c r="AQ349" s="45">
        <f t="shared" si="44"/>
        <v>0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hidden="1" customHeight="1" x14ac:dyDescent="0.3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6"/>
      <c r="R350" s="115"/>
      <c r="S350" s="116"/>
      <c r="T350" s="97"/>
      <c r="U350" s="97"/>
      <c r="V350" s="118"/>
      <c r="W350" s="98"/>
      <c r="X350" s="98"/>
      <c r="Y350" s="98"/>
      <c r="Z350" s="89"/>
      <c r="AA350" s="97"/>
      <c r="AB350" s="89"/>
      <c r="AC350" s="120"/>
      <c r="AD350" s="89"/>
      <c r="AE350" s="89"/>
      <c r="AF350" s="117"/>
      <c r="AG350" s="117"/>
      <c r="AH350" s="117"/>
      <c r="AI350" s="100"/>
      <c r="AJ350" s="100"/>
      <c r="AK350" s="100"/>
      <c r="AL350" s="45" t="s">
        <v>64</v>
      </c>
      <c r="AM350" s="199" t="str">
        <f t="shared" si="40"/>
        <v>1/1900</v>
      </c>
      <c r="AN350" s="45" t="e">
        <f t="shared" si="41"/>
        <v>#NUM!</v>
      </c>
      <c r="AO350" s="45" t="str">
        <f t="shared" si="42"/>
        <v>1/1900</v>
      </c>
      <c r="AP350" s="45" t="e">
        <f t="shared" si="43"/>
        <v>#NUM!</v>
      </c>
      <c r="AQ350" s="45">
        <f t="shared" si="44"/>
        <v>0</v>
      </c>
      <c r="AR350" s="45">
        <f t="shared" si="45"/>
        <v>0</v>
      </c>
      <c r="AS350" s="45">
        <f t="shared" si="46"/>
        <v>0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hidden="1" customHeight="1" x14ac:dyDescent="0.3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15"/>
      <c r="S351" s="116"/>
      <c r="T351" s="97"/>
      <c r="U351" s="97"/>
      <c r="V351" s="118"/>
      <c r="W351" s="9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7"/>
      <c r="AH351" s="117"/>
      <c r="AI351" s="100"/>
      <c r="AJ351" s="100"/>
      <c r="AK351" s="100"/>
      <c r="AL351" s="45" t="s">
        <v>64</v>
      </c>
      <c r="AM351" s="199" t="str">
        <f t="shared" si="40"/>
        <v>1/1900</v>
      </c>
      <c r="AN351" s="45" t="e">
        <f t="shared" si="41"/>
        <v>#NUM!</v>
      </c>
      <c r="AO351" s="45" t="str">
        <f t="shared" si="42"/>
        <v>1/1900</v>
      </c>
      <c r="AP351" s="45" t="e">
        <f t="shared" si="43"/>
        <v>#NUM!</v>
      </c>
      <c r="AQ351" s="45">
        <f t="shared" si="44"/>
        <v>0</v>
      </c>
      <c r="AR351" s="45">
        <f t="shared" si="45"/>
        <v>0</v>
      </c>
      <c r="AS351" s="45">
        <f t="shared" si="46"/>
        <v>0</v>
      </c>
      <c r="AT351" s="45">
        <f t="shared" si="47"/>
        <v>0</v>
      </c>
      <c r="AU351" s="45" t="str">
        <f>_xlfn.XLOOKUP(U351,'Lista Suspensa'!$AA$20:$AA$23,'Lista Suspensa'!$AB$20:$AB$23,"N/A")</f>
        <v>S</v>
      </c>
    </row>
    <row r="352" spans="1:47" ht="12" hidden="1" customHeight="1" x14ac:dyDescent="0.3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7"/>
      <c r="AH352" s="117"/>
      <c r="AI352" s="100"/>
      <c r="AJ352" s="100"/>
      <c r="AK352" s="100"/>
      <c r="AL352" s="45" t="s">
        <v>64</v>
      </c>
      <c r="AM352" s="199" t="str">
        <f t="shared" si="40"/>
        <v>1/1900</v>
      </c>
      <c r="AN352" s="45" t="e">
        <f t="shared" si="41"/>
        <v>#NUM!</v>
      </c>
      <c r="AO352" s="45" t="str">
        <f t="shared" si="42"/>
        <v>1/1900</v>
      </c>
      <c r="AP352" s="45" t="e">
        <f t="shared" si="43"/>
        <v>#NUM!</v>
      </c>
      <c r="AQ352" s="45">
        <f t="shared" si="44"/>
        <v>0</v>
      </c>
      <c r="AR352" s="45">
        <f t="shared" si="45"/>
        <v>0</v>
      </c>
      <c r="AS352" s="45">
        <f t="shared" si="46"/>
        <v>0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hidden="1" customHeight="1" x14ac:dyDescent="0.3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21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L353" s="45" t="s">
        <v>64</v>
      </c>
      <c r="AM353" s="199" t="str">
        <f t="shared" si="40"/>
        <v>1/1900</v>
      </c>
      <c r="AN353" s="45" t="e">
        <f t="shared" si="41"/>
        <v>#NUM!</v>
      </c>
      <c r="AO353" s="45" t="str">
        <f t="shared" si="42"/>
        <v>1/1900</v>
      </c>
      <c r="AP353" s="45" t="e">
        <f t="shared" si="43"/>
        <v>#NUM!</v>
      </c>
      <c r="AQ353" s="45">
        <f t="shared" si="44"/>
        <v>0</v>
      </c>
      <c r="AR353" s="45">
        <f t="shared" si="45"/>
        <v>0</v>
      </c>
      <c r="AS353" s="45">
        <f t="shared" si="46"/>
        <v>0</v>
      </c>
      <c r="AT353" s="45">
        <f t="shared" si="47"/>
        <v>0</v>
      </c>
      <c r="AU353" s="45" t="str">
        <f>_xlfn.XLOOKUP(U353,'Lista Suspensa'!$AA$20:$AA$23,'Lista Suspensa'!$AB$20:$AB$23,"N/A")</f>
        <v>S</v>
      </c>
    </row>
    <row r="354" spans="1:47" ht="12" hidden="1" customHeight="1" x14ac:dyDescent="0.3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7"/>
      <c r="AH354" s="117"/>
      <c r="AI354" s="100"/>
      <c r="AJ354" s="100"/>
      <c r="AK354" s="100"/>
      <c r="AL354" s="45" t="s">
        <v>64</v>
      </c>
      <c r="AM354" s="199" t="str">
        <f t="shared" si="40"/>
        <v>1/1900</v>
      </c>
      <c r="AN354" s="45" t="e">
        <f t="shared" si="41"/>
        <v>#NUM!</v>
      </c>
      <c r="AO354" s="45" t="str">
        <f t="shared" si="42"/>
        <v>1/1900</v>
      </c>
      <c r="AP354" s="45" t="e">
        <f t="shared" si="43"/>
        <v>#NUM!</v>
      </c>
      <c r="AQ354" s="45">
        <f t="shared" si="44"/>
        <v>0</v>
      </c>
      <c r="AR354" s="45">
        <f t="shared" si="45"/>
        <v>0</v>
      </c>
      <c r="AS354" s="45">
        <f t="shared" si="46"/>
        <v>0</v>
      </c>
      <c r="AT354" s="45">
        <f t="shared" si="47"/>
        <v>0</v>
      </c>
      <c r="AU354" s="45" t="str">
        <f>_xlfn.XLOOKUP(U354,'Lista Suspensa'!$AA$20:$AA$23,'Lista Suspensa'!$AB$20:$AB$23,"N/A")</f>
        <v>S</v>
      </c>
    </row>
    <row r="355" spans="1:47" ht="12" hidden="1" customHeight="1" x14ac:dyDescent="0.3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L355" s="45" t="s">
        <v>64</v>
      </c>
      <c r="AM355" s="199" t="str">
        <f t="shared" si="40"/>
        <v>1/1900</v>
      </c>
      <c r="AN355" s="45" t="e">
        <f t="shared" si="41"/>
        <v>#NUM!</v>
      </c>
      <c r="AO355" s="45" t="str">
        <f t="shared" si="42"/>
        <v>1/1900</v>
      </c>
      <c r="AP355" s="45" t="e">
        <f t="shared" si="43"/>
        <v>#NUM!</v>
      </c>
      <c r="AQ355" s="45">
        <f t="shared" si="44"/>
        <v>0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hidden="1" customHeight="1" x14ac:dyDescent="0.3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L356" s="45" t="s">
        <v>64</v>
      </c>
      <c r="AM356" s="199" t="str">
        <f t="shared" si="40"/>
        <v>1/1900</v>
      </c>
      <c r="AN356" s="45" t="e">
        <f t="shared" si="41"/>
        <v>#NUM!</v>
      </c>
      <c r="AO356" s="45" t="str">
        <f t="shared" si="42"/>
        <v>1/1900</v>
      </c>
      <c r="AP356" s="45" t="e">
        <f t="shared" si="43"/>
        <v>#NUM!</v>
      </c>
      <c r="AQ356" s="45">
        <f t="shared" si="44"/>
        <v>0</v>
      </c>
      <c r="AR356" s="45">
        <f t="shared" si="45"/>
        <v>0</v>
      </c>
      <c r="AS356" s="45">
        <f t="shared" si="46"/>
        <v>0</v>
      </c>
      <c r="AT356" s="45">
        <f t="shared" si="47"/>
        <v>0</v>
      </c>
      <c r="AU356" s="45" t="str">
        <f>_xlfn.XLOOKUP(U356,'Lista Suspensa'!$AA$20:$AA$23,'Lista Suspensa'!$AB$20:$AB$23,"N/A")</f>
        <v>S</v>
      </c>
    </row>
    <row r="357" spans="1:47" ht="12" hidden="1" customHeight="1" x14ac:dyDescent="0.3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7"/>
      <c r="AH357" s="117"/>
      <c r="AI357" s="100"/>
      <c r="AJ357" s="100"/>
      <c r="AK357" s="100"/>
      <c r="AL357" s="45" t="s">
        <v>64</v>
      </c>
      <c r="AM357" s="199" t="str">
        <f t="shared" si="40"/>
        <v>1/1900</v>
      </c>
      <c r="AN357" s="45" t="e">
        <f t="shared" si="41"/>
        <v>#NUM!</v>
      </c>
      <c r="AO357" s="45" t="str">
        <f t="shared" si="42"/>
        <v>1/1900</v>
      </c>
      <c r="AP357" s="45" t="e">
        <f t="shared" si="43"/>
        <v>#NUM!</v>
      </c>
      <c r="AQ357" s="45">
        <f t="shared" si="44"/>
        <v>0</v>
      </c>
      <c r="AR357" s="45">
        <f t="shared" si="45"/>
        <v>0</v>
      </c>
      <c r="AS357" s="45">
        <f t="shared" si="46"/>
        <v>0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hidden="1" customHeight="1" x14ac:dyDescent="0.3">
      <c r="A358" s="89"/>
      <c r="B358" s="198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L358" s="45" t="s">
        <v>64</v>
      </c>
      <c r="AM358" s="199" t="str">
        <f t="shared" si="40"/>
        <v>1/1900</v>
      </c>
      <c r="AN358" s="45" t="e">
        <f t="shared" si="41"/>
        <v>#NUM!</v>
      </c>
      <c r="AO358" s="45" t="str">
        <f t="shared" si="42"/>
        <v>1/1900</v>
      </c>
      <c r="AP358" s="45" t="e">
        <f t="shared" si="43"/>
        <v>#NUM!</v>
      </c>
      <c r="AQ358" s="45">
        <f t="shared" si="44"/>
        <v>0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hidden="1" customHeight="1" x14ac:dyDescent="0.3">
      <c r="A359" s="89"/>
      <c r="B359" s="198"/>
      <c r="C359" s="89"/>
      <c r="D359" s="89"/>
      <c r="E359" s="112"/>
      <c r="F359" s="221"/>
      <c r="G359" s="91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L359" s="45" t="s">
        <v>64</v>
      </c>
      <c r="AM359" s="199" t="str">
        <f t="shared" si="40"/>
        <v>1/1900</v>
      </c>
      <c r="AN359" s="45" t="e">
        <f t="shared" si="41"/>
        <v>#NUM!</v>
      </c>
      <c r="AO359" s="45" t="str">
        <f t="shared" si="42"/>
        <v>1/1900</v>
      </c>
      <c r="AP359" s="45" t="e">
        <f t="shared" si="43"/>
        <v>#NUM!</v>
      </c>
      <c r="AQ359" s="45">
        <f t="shared" si="44"/>
        <v>0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hidden="1" customHeight="1" x14ac:dyDescent="0.3">
      <c r="A360" s="89"/>
      <c r="B360" s="198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L360" s="45" t="s">
        <v>64</v>
      </c>
      <c r="AM360" s="199" t="str">
        <f t="shared" si="40"/>
        <v>1/1900</v>
      </c>
      <c r="AN360" s="45" t="e">
        <f t="shared" si="41"/>
        <v>#NUM!</v>
      </c>
      <c r="AO360" s="45" t="str">
        <f t="shared" si="42"/>
        <v>1/1900</v>
      </c>
      <c r="AP360" s="45" t="e">
        <f t="shared" si="43"/>
        <v>#NUM!</v>
      </c>
      <c r="AQ360" s="45">
        <f t="shared" si="44"/>
        <v>0</v>
      </c>
      <c r="AR360" s="45">
        <f t="shared" si="45"/>
        <v>0</v>
      </c>
      <c r="AS360" s="45">
        <f t="shared" si="46"/>
        <v>0</v>
      </c>
      <c r="AT360" s="45">
        <f t="shared" si="47"/>
        <v>0</v>
      </c>
      <c r="AU360" s="45" t="str">
        <f>_xlfn.XLOOKUP(U360,'Lista Suspensa'!$AA$20:$AA$23,'Lista Suspensa'!$AB$20:$AB$23,"N/A")</f>
        <v>S</v>
      </c>
    </row>
    <row r="361" spans="1:47" ht="12" hidden="1" customHeight="1" x14ac:dyDescent="0.3">
      <c r="A361" s="89"/>
      <c r="B361" s="198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L361" s="45" t="s">
        <v>64</v>
      </c>
      <c r="AM361" s="199" t="str">
        <f t="shared" si="40"/>
        <v>1/1900</v>
      </c>
      <c r="AN361" s="45" t="e">
        <f t="shared" si="41"/>
        <v>#NUM!</v>
      </c>
      <c r="AO361" s="45" t="str">
        <f t="shared" si="42"/>
        <v>1/1900</v>
      </c>
      <c r="AP361" s="45" t="e">
        <f t="shared" si="43"/>
        <v>#NUM!</v>
      </c>
      <c r="AQ361" s="45">
        <f t="shared" si="44"/>
        <v>0</v>
      </c>
      <c r="AR361" s="45">
        <f t="shared" si="45"/>
        <v>0</v>
      </c>
      <c r="AS361" s="45">
        <f t="shared" si="46"/>
        <v>0</v>
      </c>
      <c r="AT361" s="45">
        <f t="shared" si="47"/>
        <v>0</v>
      </c>
      <c r="AU361" s="45" t="str">
        <f>_xlfn.XLOOKUP(U361,'Lista Suspensa'!$AA$20:$AA$23,'Lista Suspensa'!$AB$20:$AB$23,"N/A")</f>
        <v>S</v>
      </c>
    </row>
    <row r="362" spans="1:47" ht="12" hidden="1" customHeight="1" x14ac:dyDescent="0.3">
      <c r="A362" s="89"/>
      <c r="B362" s="198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9"/>
      <c r="AH362" s="117"/>
      <c r="AI362" s="100"/>
      <c r="AJ362" s="100"/>
      <c r="AK362" s="100"/>
      <c r="AL362" s="45" t="s">
        <v>64</v>
      </c>
      <c r="AM362" s="199" t="str">
        <f t="shared" si="40"/>
        <v>1/1900</v>
      </c>
      <c r="AN362" s="45" t="e">
        <f t="shared" si="41"/>
        <v>#NUM!</v>
      </c>
      <c r="AO362" s="45" t="str">
        <f t="shared" si="42"/>
        <v>1/1900</v>
      </c>
      <c r="AP362" s="45" t="e">
        <f t="shared" si="43"/>
        <v>#NUM!</v>
      </c>
      <c r="AQ362" s="45">
        <f t="shared" si="44"/>
        <v>0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hidden="1" customHeight="1" x14ac:dyDescent="0.3">
      <c r="A363" s="89"/>
      <c r="B363" s="198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9"/>
      <c r="AH363" s="117"/>
      <c r="AI363" s="100"/>
      <c r="AJ363" s="100"/>
      <c r="AK363" s="100"/>
      <c r="AL363" s="45" t="s">
        <v>64</v>
      </c>
      <c r="AM363" s="199" t="str">
        <f t="shared" si="40"/>
        <v>1/1900</v>
      </c>
      <c r="AN363" s="45" t="e">
        <f t="shared" si="41"/>
        <v>#NUM!</v>
      </c>
      <c r="AO363" s="45" t="str">
        <f t="shared" si="42"/>
        <v>1/1900</v>
      </c>
      <c r="AP363" s="45" t="e">
        <f t="shared" si="43"/>
        <v>#NUM!</v>
      </c>
      <c r="AQ363" s="45">
        <f t="shared" si="44"/>
        <v>0</v>
      </c>
      <c r="AR363" s="45">
        <f t="shared" si="45"/>
        <v>0</v>
      </c>
      <c r="AS363" s="45">
        <f t="shared" si="46"/>
        <v>0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hidden="1" customHeight="1" x14ac:dyDescent="0.3">
      <c r="A364" s="89"/>
      <c r="B364" s="198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L364" s="45" t="s">
        <v>64</v>
      </c>
      <c r="AM364" s="199" t="str">
        <f t="shared" si="40"/>
        <v>1/1900</v>
      </c>
      <c r="AN364" s="45" t="e">
        <f t="shared" si="41"/>
        <v>#NUM!</v>
      </c>
      <c r="AO364" s="45" t="str">
        <f t="shared" si="42"/>
        <v>1/1900</v>
      </c>
      <c r="AP364" s="45" t="e">
        <f t="shared" si="43"/>
        <v>#NUM!</v>
      </c>
      <c r="AQ364" s="45">
        <f t="shared" si="44"/>
        <v>0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hidden="1" customHeight="1" x14ac:dyDescent="0.3">
      <c r="A365" s="89"/>
      <c r="B365" s="198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L365" s="45" t="s">
        <v>64</v>
      </c>
      <c r="AM365" s="199" t="str">
        <f t="shared" si="40"/>
        <v>1/1900</v>
      </c>
      <c r="AN365" s="45" t="e">
        <f t="shared" si="41"/>
        <v>#NUM!</v>
      </c>
      <c r="AO365" s="45" t="str">
        <f t="shared" si="42"/>
        <v>1/1900</v>
      </c>
      <c r="AP365" s="45" t="e">
        <f t="shared" si="43"/>
        <v>#NUM!</v>
      </c>
      <c r="AQ365" s="45">
        <f t="shared" si="44"/>
        <v>0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hidden="1" customHeight="1" x14ac:dyDescent="0.3">
      <c r="A366" s="89"/>
      <c r="B366" s="198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L366" s="45" t="s">
        <v>64</v>
      </c>
      <c r="AM366" s="199" t="str">
        <f t="shared" si="40"/>
        <v>1/1900</v>
      </c>
      <c r="AN366" s="45" t="e">
        <f t="shared" si="41"/>
        <v>#NUM!</v>
      </c>
      <c r="AO366" s="45" t="str">
        <f t="shared" si="42"/>
        <v>1/1900</v>
      </c>
      <c r="AP366" s="45" t="e">
        <f t="shared" si="43"/>
        <v>#NUM!</v>
      </c>
      <c r="AQ366" s="45">
        <f t="shared" si="44"/>
        <v>0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hidden="1" customHeight="1" x14ac:dyDescent="0.3">
      <c r="A367" s="89"/>
      <c r="B367" s="198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L367" s="45" t="s">
        <v>64</v>
      </c>
      <c r="AM367" s="199" t="str">
        <f t="shared" si="40"/>
        <v>1/1900</v>
      </c>
      <c r="AN367" s="45" t="e">
        <f t="shared" si="41"/>
        <v>#NUM!</v>
      </c>
      <c r="AO367" s="45" t="str">
        <f t="shared" si="42"/>
        <v>1/1900</v>
      </c>
      <c r="AP367" s="45" t="e">
        <f t="shared" si="43"/>
        <v>#NUM!</v>
      </c>
      <c r="AQ367" s="45">
        <f t="shared" si="44"/>
        <v>0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hidden="1" customHeight="1" x14ac:dyDescent="0.3">
      <c r="A368" s="89"/>
      <c r="B368" s="198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L368" s="45" t="s">
        <v>64</v>
      </c>
      <c r="AM368" s="199" t="str">
        <f t="shared" si="40"/>
        <v>1/1900</v>
      </c>
      <c r="AN368" s="45" t="e">
        <f t="shared" si="41"/>
        <v>#NUM!</v>
      </c>
      <c r="AO368" s="45" t="str">
        <f t="shared" si="42"/>
        <v>1/1900</v>
      </c>
      <c r="AP368" s="45" t="e">
        <f t="shared" si="43"/>
        <v>#NUM!</v>
      </c>
      <c r="AQ368" s="45">
        <f t="shared" si="44"/>
        <v>0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hidden="1" customHeight="1" x14ac:dyDescent="0.3">
      <c r="A369" s="89"/>
      <c r="B369" s="198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L369" s="45" t="s">
        <v>64</v>
      </c>
      <c r="AM369" s="199" t="str">
        <f t="shared" si="40"/>
        <v>1/1900</v>
      </c>
      <c r="AN369" s="45" t="e">
        <f t="shared" si="41"/>
        <v>#NUM!</v>
      </c>
      <c r="AO369" s="45" t="str">
        <f t="shared" si="42"/>
        <v>1/1900</v>
      </c>
      <c r="AP369" s="45" t="e">
        <f t="shared" si="43"/>
        <v>#NUM!</v>
      </c>
      <c r="AQ369" s="45">
        <f t="shared" si="44"/>
        <v>0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hidden="1" customHeight="1" x14ac:dyDescent="0.3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9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7"/>
      <c r="AH370" s="117"/>
      <c r="AI370" s="100"/>
      <c r="AJ370" s="100"/>
      <c r="AK370" s="100"/>
      <c r="AL370" s="45" t="s">
        <v>64</v>
      </c>
      <c r="AM370" s="199" t="str">
        <f t="shared" si="40"/>
        <v>1/1900</v>
      </c>
      <c r="AN370" s="45" t="e">
        <f t="shared" si="41"/>
        <v>#NUM!</v>
      </c>
      <c r="AO370" s="45" t="str">
        <f t="shared" si="42"/>
        <v>1/1900</v>
      </c>
      <c r="AP370" s="45" t="e">
        <f t="shared" si="43"/>
        <v>#NUM!</v>
      </c>
      <c r="AQ370" s="45">
        <f t="shared" si="44"/>
        <v>0</v>
      </c>
      <c r="AR370" s="45">
        <f t="shared" si="45"/>
        <v>0</v>
      </c>
      <c r="AS370" s="45">
        <f t="shared" si="46"/>
        <v>0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hidden="1" customHeight="1" x14ac:dyDescent="0.3">
      <c r="A371" s="89"/>
      <c r="B371" s="198"/>
      <c r="C371" s="89"/>
      <c r="D371" s="89"/>
      <c r="E371" s="112"/>
      <c r="F371" s="221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9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7"/>
      <c r="AH371" s="117"/>
      <c r="AI371" s="100"/>
      <c r="AJ371" s="100"/>
      <c r="AK371" s="100"/>
      <c r="AL371" s="45" t="s">
        <v>64</v>
      </c>
      <c r="AM371" s="199" t="str">
        <f t="shared" si="40"/>
        <v>1/1900</v>
      </c>
      <c r="AN371" s="45" t="e">
        <f t="shared" si="41"/>
        <v>#NUM!</v>
      </c>
      <c r="AO371" s="45" t="str">
        <f t="shared" si="42"/>
        <v>1/1900</v>
      </c>
      <c r="AP371" s="45" t="e">
        <f t="shared" si="43"/>
        <v>#NUM!</v>
      </c>
      <c r="AQ371" s="45">
        <f t="shared" si="44"/>
        <v>0</v>
      </c>
      <c r="AR371" s="45">
        <f t="shared" si="45"/>
        <v>0</v>
      </c>
      <c r="AS371" s="45">
        <f t="shared" si="46"/>
        <v>0</v>
      </c>
      <c r="AT371" s="45">
        <f t="shared" si="47"/>
        <v>0</v>
      </c>
      <c r="AU371" s="45" t="str">
        <f>_xlfn.XLOOKUP(U371,'Lista Suspensa'!$AA$20:$AA$23,'Lista Suspensa'!$AB$20:$AB$23,"N/A")</f>
        <v>S</v>
      </c>
    </row>
    <row r="372" spans="1:47" ht="12" hidden="1" customHeight="1" x14ac:dyDescent="0.3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9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7"/>
      <c r="AH372" s="117"/>
      <c r="AI372" s="100"/>
      <c r="AJ372" s="100"/>
      <c r="AK372" s="100"/>
      <c r="AL372" s="45" t="s">
        <v>64</v>
      </c>
      <c r="AM372" s="199" t="str">
        <f t="shared" si="40"/>
        <v>1/1900</v>
      </c>
      <c r="AN372" s="45" t="e">
        <f t="shared" si="41"/>
        <v>#NUM!</v>
      </c>
      <c r="AO372" s="45" t="str">
        <f t="shared" si="42"/>
        <v>1/1900</v>
      </c>
      <c r="AP372" s="45" t="e">
        <f t="shared" si="43"/>
        <v>#NUM!</v>
      </c>
      <c r="AQ372" s="45">
        <f t="shared" si="44"/>
        <v>0</v>
      </c>
      <c r="AR372" s="45">
        <f t="shared" si="45"/>
        <v>0</v>
      </c>
      <c r="AS372" s="45">
        <f t="shared" si="46"/>
        <v>0</v>
      </c>
      <c r="AT372" s="45">
        <f t="shared" si="47"/>
        <v>0</v>
      </c>
      <c r="AU372" s="45" t="str">
        <f>_xlfn.XLOOKUP(U372,'Lista Suspensa'!$AA$20:$AA$23,'Lista Suspensa'!$AB$20:$AB$23,"N/A")</f>
        <v>S</v>
      </c>
    </row>
    <row r="373" spans="1:47" ht="12" hidden="1" customHeight="1" x14ac:dyDescent="0.3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9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7"/>
      <c r="AH373" s="117"/>
      <c r="AI373" s="100"/>
      <c r="AJ373" s="100"/>
      <c r="AK373" s="100"/>
      <c r="AL373" s="45" t="s">
        <v>64</v>
      </c>
      <c r="AM373" s="199" t="str">
        <f t="shared" si="40"/>
        <v>1/1900</v>
      </c>
      <c r="AN373" s="45" t="e">
        <f t="shared" si="41"/>
        <v>#NUM!</v>
      </c>
      <c r="AO373" s="45" t="str">
        <f t="shared" si="42"/>
        <v>1/1900</v>
      </c>
      <c r="AP373" s="45" t="e">
        <f t="shared" si="43"/>
        <v>#NUM!</v>
      </c>
      <c r="AQ373" s="45">
        <f t="shared" si="44"/>
        <v>0</v>
      </c>
      <c r="AR373" s="45">
        <f t="shared" si="45"/>
        <v>0</v>
      </c>
      <c r="AS373" s="45">
        <f t="shared" si="46"/>
        <v>0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hidden="1" customHeight="1" x14ac:dyDescent="0.3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9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7"/>
      <c r="AH374" s="117"/>
      <c r="AI374" s="100"/>
      <c r="AJ374" s="100"/>
      <c r="AK374" s="100"/>
      <c r="AL374" s="45" t="s">
        <v>64</v>
      </c>
      <c r="AM374" s="199" t="str">
        <f t="shared" si="40"/>
        <v>1/1900</v>
      </c>
      <c r="AN374" s="45" t="e">
        <f t="shared" si="41"/>
        <v>#NUM!</v>
      </c>
      <c r="AO374" s="45" t="str">
        <f t="shared" si="42"/>
        <v>1/1900</v>
      </c>
      <c r="AP374" s="45" t="e">
        <f t="shared" si="43"/>
        <v>#NUM!</v>
      </c>
      <c r="AQ374" s="45">
        <f t="shared" si="44"/>
        <v>0</v>
      </c>
      <c r="AR374" s="45">
        <f t="shared" si="45"/>
        <v>0</v>
      </c>
      <c r="AS374" s="45">
        <f t="shared" si="46"/>
        <v>0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hidden="1" customHeight="1" x14ac:dyDescent="0.3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9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7"/>
      <c r="AH375" s="117"/>
      <c r="AI375" s="100"/>
      <c r="AJ375" s="100"/>
      <c r="AK375" s="100"/>
      <c r="AL375" s="45" t="s">
        <v>64</v>
      </c>
      <c r="AM375" s="199" t="str">
        <f t="shared" si="40"/>
        <v>1/1900</v>
      </c>
      <c r="AN375" s="45" t="e">
        <f t="shared" si="41"/>
        <v>#NUM!</v>
      </c>
      <c r="AO375" s="45" t="str">
        <f t="shared" si="42"/>
        <v>1/1900</v>
      </c>
      <c r="AP375" s="45" t="e">
        <f t="shared" si="43"/>
        <v>#NUM!</v>
      </c>
      <c r="AQ375" s="45">
        <f t="shared" si="44"/>
        <v>0</v>
      </c>
      <c r="AR375" s="45">
        <f t="shared" si="45"/>
        <v>0</v>
      </c>
      <c r="AS375" s="45">
        <f t="shared" si="46"/>
        <v>0</v>
      </c>
      <c r="AT375" s="45">
        <f t="shared" si="47"/>
        <v>0</v>
      </c>
      <c r="AU375" s="45" t="str">
        <f>_xlfn.XLOOKUP(U375,'Lista Suspensa'!$AA$20:$AA$23,'Lista Suspensa'!$AB$20:$AB$23,"N/A")</f>
        <v>S</v>
      </c>
    </row>
    <row r="376" spans="1:47" ht="12" hidden="1" customHeight="1" x14ac:dyDescent="0.3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9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7"/>
      <c r="AH376" s="117"/>
      <c r="AI376" s="100"/>
      <c r="AJ376" s="100"/>
      <c r="AK376" s="100"/>
      <c r="AL376" s="45" t="s">
        <v>64</v>
      </c>
      <c r="AM376" s="199" t="str">
        <f t="shared" si="40"/>
        <v>1/1900</v>
      </c>
      <c r="AN376" s="45" t="e">
        <f t="shared" si="41"/>
        <v>#NUM!</v>
      </c>
      <c r="AO376" s="45" t="str">
        <f t="shared" si="42"/>
        <v>1/1900</v>
      </c>
      <c r="AP376" s="45" t="e">
        <f t="shared" si="43"/>
        <v>#NUM!</v>
      </c>
      <c r="AQ376" s="45">
        <f t="shared" si="44"/>
        <v>0</v>
      </c>
      <c r="AR376" s="45">
        <f t="shared" si="45"/>
        <v>0</v>
      </c>
      <c r="AS376" s="45">
        <f t="shared" si="46"/>
        <v>0</v>
      </c>
      <c r="AT376" s="45">
        <f t="shared" si="47"/>
        <v>0</v>
      </c>
      <c r="AU376" s="45" t="str">
        <f>_xlfn.XLOOKUP(U376,'Lista Suspensa'!$AA$20:$AA$23,'Lista Suspensa'!$AB$20:$AB$23,"N/A")</f>
        <v>S</v>
      </c>
    </row>
    <row r="377" spans="1:47" ht="12" hidden="1" customHeight="1" x14ac:dyDescent="0.3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9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7"/>
      <c r="AH377" s="117"/>
      <c r="AI377" s="100"/>
      <c r="AJ377" s="100"/>
      <c r="AK377" s="100"/>
      <c r="AL377" s="45" t="s">
        <v>64</v>
      </c>
      <c r="AM377" s="199" t="str">
        <f t="shared" si="40"/>
        <v>1/1900</v>
      </c>
      <c r="AN377" s="45" t="e">
        <f t="shared" si="41"/>
        <v>#NUM!</v>
      </c>
      <c r="AO377" s="45" t="str">
        <f t="shared" si="42"/>
        <v>1/1900</v>
      </c>
      <c r="AP377" s="45" t="e">
        <f t="shared" si="43"/>
        <v>#NUM!</v>
      </c>
      <c r="AQ377" s="45">
        <f t="shared" si="44"/>
        <v>0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hidden="1" customHeight="1" x14ac:dyDescent="0.3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9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7"/>
      <c r="AH378" s="117"/>
      <c r="AI378" s="100"/>
      <c r="AJ378" s="100"/>
      <c r="AK378" s="100"/>
      <c r="AL378" s="45" t="s">
        <v>64</v>
      </c>
      <c r="AM378" s="199" t="str">
        <f t="shared" si="40"/>
        <v>1/1900</v>
      </c>
      <c r="AN378" s="45" t="e">
        <f t="shared" si="41"/>
        <v>#NUM!</v>
      </c>
      <c r="AO378" s="45" t="str">
        <f t="shared" si="42"/>
        <v>1/1900</v>
      </c>
      <c r="AP378" s="45" t="e">
        <f t="shared" si="43"/>
        <v>#NUM!</v>
      </c>
      <c r="AQ378" s="45">
        <f t="shared" si="44"/>
        <v>0</v>
      </c>
      <c r="AR378" s="45">
        <f t="shared" si="45"/>
        <v>0</v>
      </c>
      <c r="AS378" s="45">
        <f t="shared" si="46"/>
        <v>0</v>
      </c>
      <c r="AT378" s="45">
        <f t="shared" si="47"/>
        <v>0</v>
      </c>
      <c r="AU378" s="45" t="str">
        <f>_xlfn.XLOOKUP(U378,'Lista Suspensa'!$AA$20:$AA$23,'Lista Suspensa'!$AB$20:$AB$23,"N/A")</f>
        <v>S</v>
      </c>
    </row>
    <row r="379" spans="1:47" ht="12" hidden="1" customHeight="1" x14ac:dyDescent="0.3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9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L379" s="45" t="s">
        <v>64</v>
      </c>
      <c r="AM379" s="199" t="str">
        <f t="shared" si="40"/>
        <v>1/1900</v>
      </c>
      <c r="AN379" s="45" t="e">
        <f t="shared" si="41"/>
        <v>#NUM!</v>
      </c>
      <c r="AO379" s="45" t="str">
        <f t="shared" si="42"/>
        <v>1/1900</v>
      </c>
      <c r="AP379" s="45" t="e">
        <f t="shared" si="43"/>
        <v>#NUM!</v>
      </c>
      <c r="AQ379" s="45">
        <f t="shared" si="44"/>
        <v>0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hidden="1" customHeight="1" x14ac:dyDescent="0.3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9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L380" s="45" t="s">
        <v>64</v>
      </c>
      <c r="AM380" s="199" t="str">
        <f t="shared" si="40"/>
        <v>1/1900</v>
      </c>
      <c r="AN380" s="45" t="e">
        <f t="shared" si="41"/>
        <v>#NUM!</v>
      </c>
      <c r="AO380" s="45" t="str">
        <f t="shared" si="42"/>
        <v>1/1900</v>
      </c>
      <c r="AP380" s="45" t="e">
        <f t="shared" si="43"/>
        <v>#NUM!</v>
      </c>
      <c r="AQ380" s="45">
        <f t="shared" si="44"/>
        <v>0</v>
      </c>
      <c r="AR380" s="45">
        <f t="shared" si="45"/>
        <v>0</v>
      </c>
      <c r="AS380" s="45">
        <f t="shared" si="46"/>
        <v>0</v>
      </c>
      <c r="AT380" s="45">
        <f t="shared" si="47"/>
        <v>0</v>
      </c>
      <c r="AU380" s="45" t="str">
        <f>_xlfn.XLOOKUP(U380,'Lista Suspensa'!$AA$20:$AA$23,'Lista Suspensa'!$AB$20:$AB$23,"N/A")</f>
        <v>S</v>
      </c>
    </row>
    <row r="381" spans="1:47" ht="12" hidden="1" customHeight="1" x14ac:dyDescent="0.3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L381" s="45" t="s">
        <v>64</v>
      </c>
      <c r="AM381" s="199" t="str">
        <f t="shared" si="40"/>
        <v>1/1900</v>
      </c>
      <c r="AN381" s="45" t="e">
        <f t="shared" si="41"/>
        <v>#NUM!</v>
      </c>
      <c r="AO381" s="45" t="str">
        <f t="shared" si="42"/>
        <v>1/1900</v>
      </c>
      <c r="AP381" s="45" t="e">
        <f t="shared" si="43"/>
        <v>#NUM!</v>
      </c>
      <c r="AQ381" s="45">
        <f t="shared" si="44"/>
        <v>0</v>
      </c>
      <c r="AR381" s="45">
        <f t="shared" si="45"/>
        <v>0</v>
      </c>
      <c r="AS381" s="45">
        <f t="shared" si="46"/>
        <v>0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hidden="1" customHeight="1" x14ac:dyDescent="0.3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L382" s="45" t="s">
        <v>64</v>
      </c>
      <c r="AM382" s="199" t="str">
        <f t="shared" si="40"/>
        <v>1/1900</v>
      </c>
      <c r="AN382" s="45" t="e">
        <f t="shared" si="41"/>
        <v>#NUM!</v>
      </c>
      <c r="AO382" s="45" t="str">
        <f t="shared" si="42"/>
        <v>1/1900</v>
      </c>
      <c r="AP382" s="45" t="e">
        <f t="shared" si="43"/>
        <v>#NUM!</v>
      </c>
      <c r="AQ382" s="45">
        <f t="shared" si="44"/>
        <v>0</v>
      </c>
      <c r="AR382" s="45">
        <f t="shared" si="45"/>
        <v>0</v>
      </c>
      <c r="AS382" s="45">
        <f t="shared" si="46"/>
        <v>0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hidden="1" customHeight="1" x14ac:dyDescent="0.3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L383" s="45" t="s">
        <v>64</v>
      </c>
      <c r="AM383" s="199" t="str">
        <f t="shared" si="40"/>
        <v>1/1900</v>
      </c>
      <c r="AN383" s="45" t="e">
        <f t="shared" si="41"/>
        <v>#NUM!</v>
      </c>
      <c r="AO383" s="45" t="str">
        <f t="shared" si="42"/>
        <v>1/1900</v>
      </c>
      <c r="AP383" s="45" t="e">
        <f t="shared" si="43"/>
        <v>#NUM!</v>
      </c>
      <c r="AQ383" s="45">
        <f t="shared" si="44"/>
        <v>0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hidden="1" customHeight="1" x14ac:dyDescent="0.3">
      <c r="A384" s="126"/>
      <c r="B384" s="88"/>
      <c r="C384" s="89"/>
      <c r="D384" s="89"/>
      <c r="E384" s="112"/>
      <c r="F384" s="221"/>
      <c r="G384" s="92"/>
      <c r="H384" s="93"/>
      <c r="I384" s="92"/>
      <c r="J384" s="127"/>
      <c r="K384" s="89"/>
      <c r="L384" s="89"/>
      <c r="M384" s="89"/>
      <c r="N384" s="89"/>
      <c r="O384" s="94"/>
      <c r="P384" s="95"/>
      <c r="Q384" s="145"/>
      <c r="R384" s="96"/>
      <c r="S384" s="97"/>
      <c r="T384" s="97"/>
      <c r="U384" s="97"/>
      <c r="V384" s="93"/>
      <c r="W384" s="93"/>
      <c r="X384" s="93"/>
      <c r="Y384" s="98"/>
      <c r="Z384" s="89"/>
      <c r="AA384" s="97"/>
      <c r="AB384" s="89"/>
      <c r="AC384" s="120"/>
      <c r="AD384" s="89"/>
      <c r="AE384" s="89"/>
      <c r="AF384" s="99"/>
      <c r="AG384" s="99"/>
      <c r="AH384" s="128"/>
      <c r="AI384" s="100"/>
      <c r="AJ384" s="100"/>
      <c r="AK384" s="129"/>
      <c r="AL384" s="45" t="s">
        <v>64</v>
      </c>
      <c r="AM384" s="199" t="str">
        <f t="shared" si="40"/>
        <v>1/1900</v>
      </c>
      <c r="AN384" s="45" t="e">
        <f t="shared" si="41"/>
        <v>#NUM!</v>
      </c>
      <c r="AO384" s="45" t="str">
        <f t="shared" si="42"/>
        <v>1/1900</v>
      </c>
      <c r="AP384" s="45" t="e">
        <f t="shared" si="43"/>
        <v>#NUM!</v>
      </c>
      <c r="AQ384" s="45">
        <f t="shared" si="44"/>
        <v>0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customHeight="1" x14ac:dyDescent="0.3">
      <c r="A385" s="126"/>
      <c r="B385" s="88"/>
      <c r="C385" s="89"/>
      <c r="D385" s="89"/>
      <c r="E385" s="112"/>
      <c r="F385" s="221"/>
      <c r="G385" s="92"/>
      <c r="H385" s="93"/>
      <c r="I385" s="92"/>
      <c r="J385" s="127"/>
      <c r="K385" s="89"/>
      <c r="L385" s="89"/>
      <c r="M385" s="89"/>
      <c r="N385" s="89"/>
      <c r="O385" s="94"/>
      <c r="P385" s="95"/>
      <c r="Q385" s="145"/>
      <c r="R385" s="96"/>
      <c r="S385" s="97"/>
      <c r="T385" s="97"/>
      <c r="U385" s="97"/>
      <c r="V385" s="93"/>
      <c r="W385" s="93"/>
      <c r="X385" s="93"/>
      <c r="Y385" s="98"/>
      <c r="Z385" s="89"/>
      <c r="AA385" s="97"/>
      <c r="AB385" s="89"/>
      <c r="AC385" s="120"/>
      <c r="AD385" s="89"/>
      <c r="AE385" s="89"/>
      <c r="AF385" s="99"/>
      <c r="AG385" s="99"/>
      <c r="AH385" s="128"/>
      <c r="AI385" s="100"/>
      <c r="AJ385" s="100"/>
      <c r="AK385" s="129"/>
      <c r="AU385" s="45"/>
    </row>
    <row r="386" spans="1:47" ht="12" customHeight="1" x14ac:dyDescent="0.3">
      <c r="A386" s="126"/>
      <c r="B386" s="88"/>
      <c r="C386" s="89"/>
      <c r="D386" s="89"/>
      <c r="E386" s="112"/>
      <c r="F386" s="221"/>
      <c r="G386" s="92"/>
      <c r="H386" s="93"/>
      <c r="I386" s="92"/>
      <c r="J386" s="127"/>
      <c r="K386" s="89"/>
      <c r="L386" s="89"/>
      <c r="M386" s="89"/>
      <c r="N386" s="89"/>
      <c r="O386" s="94"/>
      <c r="P386" s="95"/>
      <c r="Q386" s="145"/>
      <c r="R386" s="96"/>
      <c r="S386" s="97"/>
      <c r="T386" s="97"/>
      <c r="U386" s="97"/>
      <c r="V386" s="93"/>
      <c r="W386" s="89"/>
      <c r="X386" s="89"/>
      <c r="Y386" s="98"/>
      <c r="Z386" s="89"/>
      <c r="AA386" s="97"/>
      <c r="AB386" s="89"/>
      <c r="AC386" s="120"/>
      <c r="AD386" s="89"/>
      <c r="AE386" s="89"/>
      <c r="AF386" s="99"/>
      <c r="AG386" s="99"/>
      <c r="AH386" s="128"/>
      <c r="AI386" s="100"/>
      <c r="AJ386" s="100"/>
      <c r="AK386" s="129"/>
      <c r="AU386" s="45"/>
    </row>
    <row r="387" spans="1:47" ht="12" customHeight="1" x14ac:dyDescent="0.3">
      <c r="A387" s="126"/>
      <c r="B387" s="88"/>
      <c r="C387" s="89"/>
      <c r="D387" s="89"/>
      <c r="E387" s="112"/>
      <c r="F387" s="221"/>
      <c r="G387" s="92"/>
      <c r="H387" s="93"/>
      <c r="I387" s="92"/>
      <c r="J387" s="127"/>
      <c r="K387" s="89"/>
      <c r="L387" s="89"/>
      <c r="M387" s="89"/>
      <c r="N387" s="89"/>
      <c r="O387" s="94"/>
      <c r="P387" s="95"/>
      <c r="Q387" s="145"/>
      <c r="R387" s="96"/>
      <c r="S387" s="97"/>
      <c r="T387" s="97"/>
      <c r="U387" s="97"/>
      <c r="V387" s="93"/>
      <c r="W387" s="93"/>
      <c r="X387" s="93"/>
      <c r="Y387" s="98"/>
      <c r="Z387" s="89"/>
      <c r="AA387" s="97"/>
      <c r="AB387" s="89"/>
      <c r="AC387" s="120"/>
      <c r="AD387" s="89"/>
      <c r="AE387" s="89"/>
      <c r="AF387" s="128"/>
      <c r="AG387" s="99"/>
      <c r="AH387" s="99"/>
      <c r="AI387" s="100"/>
      <c r="AJ387" s="100"/>
      <c r="AK387" s="129"/>
      <c r="AU387" s="45"/>
    </row>
    <row r="388" spans="1:47" ht="12" customHeight="1" x14ac:dyDescent="0.3">
      <c r="A388" s="126"/>
      <c r="B388" s="88"/>
      <c r="C388" s="89"/>
      <c r="D388" s="89"/>
      <c r="E388" s="112"/>
      <c r="F388" s="221"/>
      <c r="G388" s="92"/>
      <c r="H388" s="93"/>
      <c r="I388" s="92"/>
      <c r="J388" s="127"/>
      <c r="K388" s="89"/>
      <c r="L388" s="89"/>
      <c r="M388" s="89"/>
      <c r="N388" s="89"/>
      <c r="O388" s="94"/>
      <c r="P388" s="95"/>
      <c r="Q388" s="145"/>
      <c r="R388" s="96"/>
      <c r="S388" s="97"/>
      <c r="T388" s="97"/>
      <c r="U388" s="97"/>
      <c r="V388" s="93"/>
      <c r="W388" s="93"/>
      <c r="X388" s="93"/>
      <c r="Y388" s="98"/>
      <c r="Z388" s="89"/>
      <c r="AA388" s="97"/>
      <c r="AB388" s="89"/>
      <c r="AC388" s="120"/>
      <c r="AD388" s="89"/>
      <c r="AE388" s="89"/>
      <c r="AF388" s="99"/>
      <c r="AG388" s="99"/>
      <c r="AH388" s="128"/>
      <c r="AI388" s="100"/>
      <c r="AJ388" s="100"/>
      <c r="AK388" s="129"/>
      <c r="AU388" s="45"/>
    </row>
    <row r="389" spans="1:47" ht="12" customHeight="1" x14ac:dyDescent="0.3">
      <c r="A389" s="126"/>
      <c r="B389" s="88"/>
      <c r="C389" s="89"/>
      <c r="D389" s="89"/>
      <c r="E389" s="112"/>
      <c r="F389" s="221"/>
      <c r="G389" s="92"/>
      <c r="H389" s="93"/>
      <c r="I389" s="92"/>
      <c r="J389" s="127"/>
      <c r="K389" s="89"/>
      <c r="L389" s="89"/>
      <c r="M389" s="89"/>
      <c r="N389" s="89"/>
      <c r="O389" s="94"/>
      <c r="P389" s="95"/>
      <c r="Q389" s="145"/>
      <c r="R389" s="96"/>
      <c r="S389" s="97"/>
      <c r="T389" s="97"/>
      <c r="U389" s="97"/>
      <c r="V389" s="93"/>
      <c r="W389" s="93"/>
      <c r="X389" s="93"/>
      <c r="Y389" s="98"/>
      <c r="Z389" s="89"/>
      <c r="AA389" s="97"/>
      <c r="AB389" s="89"/>
      <c r="AC389" s="120"/>
      <c r="AD389" s="89"/>
      <c r="AE389" s="89"/>
      <c r="AF389" s="99"/>
      <c r="AG389" s="99"/>
      <c r="AH389" s="128"/>
      <c r="AI389" s="100"/>
      <c r="AJ389" s="100"/>
      <c r="AK389" s="129"/>
      <c r="AU389" s="45"/>
    </row>
    <row r="390" spans="1:47" ht="12" customHeight="1" x14ac:dyDescent="0.3">
      <c r="A390" s="126"/>
      <c r="B390" s="88"/>
      <c r="C390" s="89"/>
      <c r="D390" s="89"/>
      <c r="E390" s="112"/>
      <c r="F390" s="221"/>
      <c r="G390" s="92"/>
      <c r="H390" s="93"/>
      <c r="I390" s="92"/>
      <c r="J390" s="127"/>
      <c r="K390" s="89"/>
      <c r="L390" s="89"/>
      <c r="M390" s="89"/>
      <c r="N390" s="89"/>
      <c r="O390" s="94"/>
      <c r="P390" s="95"/>
      <c r="Q390" s="145"/>
      <c r="R390" s="96"/>
      <c r="S390" s="97"/>
      <c r="T390" s="97"/>
      <c r="U390" s="97"/>
      <c r="V390" s="93"/>
      <c r="W390" s="89"/>
      <c r="X390" s="89"/>
      <c r="Y390" s="98"/>
      <c r="Z390" s="89"/>
      <c r="AA390" s="97"/>
      <c r="AB390" s="89"/>
      <c r="AC390" s="120"/>
      <c r="AD390" s="89"/>
      <c r="AE390" s="89"/>
      <c r="AF390" s="99"/>
      <c r="AG390" s="99"/>
      <c r="AH390" s="128"/>
      <c r="AI390" s="100"/>
      <c r="AJ390" s="100"/>
      <c r="AK390" s="129"/>
      <c r="AU390" s="45"/>
    </row>
    <row r="391" spans="1:47" ht="12" customHeight="1" x14ac:dyDescent="0.3">
      <c r="A391" s="126"/>
      <c r="B391" s="88"/>
      <c r="C391" s="89"/>
      <c r="D391" s="89"/>
      <c r="E391" s="112"/>
      <c r="F391" s="221"/>
      <c r="G391" s="92"/>
      <c r="H391" s="93"/>
      <c r="I391" s="92"/>
      <c r="J391" s="127"/>
      <c r="K391" s="89"/>
      <c r="L391" s="89"/>
      <c r="M391" s="89"/>
      <c r="N391" s="89"/>
      <c r="O391" s="94"/>
      <c r="P391" s="95"/>
      <c r="Q391" s="145"/>
      <c r="R391" s="96"/>
      <c r="S391" s="97"/>
      <c r="T391" s="97"/>
      <c r="U391" s="97"/>
      <c r="V391" s="93"/>
      <c r="W391" s="93"/>
      <c r="X391" s="93"/>
      <c r="Y391" s="98"/>
      <c r="Z391" s="89"/>
      <c r="AA391" s="97"/>
      <c r="AB391" s="89"/>
      <c r="AC391" s="120"/>
      <c r="AD391" s="89"/>
      <c r="AE391" s="89"/>
      <c r="AF391" s="99"/>
      <c r="AG391" s="99"/>
      <c r="AH391" s="128"/>
      <c r="AI391" s="100"/>
      <c r="AJ391" s="100"/>
      <c r="AK391" s="129"/>
      <c r="AU391" s="45"/>
    </row>
    <row r="392" spans="1:47" ht="12" customHeight="1" x14ac:dyDescent="0.3">
      <c r="A392" s="126"/>
      <c r="B392" s="88"/>
      <c r="C392" s="89"/>
      <c r="D392" s="89"/>
      <c r="E392" s="112"/>
      <c r="F392" s="221"/>
      <c r="G392" s="92"/>
      <c r="H392" s="93"/>
      <c r="I392" s="92"/>
      <c r="J392" s="127"/>
      <c r="K392" s="89"/>
      <c r="L392" s="89"/>
      <c r="M392" s="89"/>
      <c r="N392" s="89"/>
      <c r="O392" s="94"/>
      <c r="P392" s="95"/>
      <c r="Q392" s="145"/>
      <c r="R392" s="96"/>
      <c r="S392" s="97"/>
      <c r="T392" s="97"/>
      <c r="U392" s="97"/>
      <c r="V392" s="93"/>
      <c r="W392" s="93"/>
      <c r="X392" s="93"/>
      <c r="Y392" s="98"/>
      <c r="Z392" s="89"/>
      <c r="AA392" s="97"/>
      <c r="AB392" s="89"/>
      <c r="AC392" s="120"/>
      <c r="AD392" s="89"/>
      <c r="AE392" s="89"/>
      <c r="AF392" s="99"/>
      <c r="AG392" s="99"/>
      <c r="AH392" s="128"/>
      <c r="AI392" s="100"/>
      <c r="AJ392" s="100"/>
      <c r="AK392" s="129"/>
      <c r="AU392" s="45"/>
    </row>
    <row r="393" spans="1:47" ht="12" customHeight="1" x14ac:dyDescent="0.3">
      <c r="A393" s="126"/>
      <c r="B393" s="88"/>
      <c r="C393" s="89"/>
      <c r="D393" s="89"/>
      <c r="E393" s="112"/>
      <c r="F393" s="221"/>
      <c r="G393" s="92"/>
      <c r="H393" s="93"/>
      <c r="I393" s="92"/>
      <c r="J393" s="127"/>
      <c r="K393" s="89"/>
      <c r="L393" s="89"/>
      <c r="M393" s="89"/>
      <c r="N393" s="89"/>
      <c r="O393" s="94"/>
      <c r="P393" s="95"/>
      <c r="Q393" s="145"/>
      <c r="R393" s="96"/>
      <c r="S393" s="97"/>
      <c r="T393" s="97"/>
      <c r="U393" s="97"/>
      <c r="V393" s="93"/>
      <c r="W393" s="93"/>
      <c r="X393" s="93"/>
      <c r="Y393" s="98"/>
      <c r="Z393" s="89"/>
      <c r="AA393" s="97"/>
      <c r="AB393" s="89"/>
      <c r="AC393" s="120"/>
      <c r="AD393" s="89"/>
      <c r="AE393" s="89"/>
      <c r="AF393" s="99"/>
      <c r="AG393" s="99"/>
      <c r="AH393" s="128"/>
      <c r="AI393" s="100"/>
      <c r="AJ393" s="100"/>
      <c r="AK393" s="129"/>
      <c r="AU393" s="45"/>
    </row>
    <row r="394" spans="1:47" ht="12" customHeight="1" x14ac:dyDescent="0.3">
      <c r="A394" s="126"/>
      <c r="B394" s="88"/>
      <c r="C394" s="89"/>
      <c r="D394" s="89"/>
      <c r="E394" s="112"/>
      <c r="F394" s="221"/>
      <c r="G394" s="92"/>
      <c r="H394" s="93"/>
      <c r="I394" s="92"/>
      <c r="J394" s="127"/>
      <c r="K394" s="89"/>
      <c r="L394" s="89"/>
      <c r="M394" s="89"/>
      <c r="N394" s="89"/>
      <c r="O394" s="94"/>
      <c r="P394" s="95"/>
      <c r="Q394" s="145"/>
      <c r="R394" s="96"/>
      <c r="S394" s="97"/>
      <c r="T394" s="97"/>
      <c r="U394" s="97"/>
      <c r="V394" s="93"/>
      <c r="W394" s="93"/>
      <c r="X394" s="93"/>
      <c r="Y394" s="88"/>
      <c r="Z394" s="89"/>
      <c r="AA394" s="97"/>
      <c r="AB394" s="89"/>
      <c r="AC394" s="120"/>
      <c r="AD394" s="89"/>
      <c r="AE394" s="89"/>
      <c r="AF394" s="99"/>
      <c r="AG394" s="99"/>
      <c r="AH394" s="128"/>
      <c r="AI394" s="100"/>
      <c r="AJ394" s="100"/>
      <c r="AK394" s="129"/>
      <c r="AU394" s="45"/>
    </row>
    <row r="395" spans="1:47" ht="12" customHeight="1" x14ac:dyDescent="0.3">
      <c r="A395" s="126"/>
      <c r="B395" s="88"/>
      <c r="C395" s="89"/>
      <c r="D395" s="89"/>
      <c r="E395" s="112"/>
      <c r="F395" s="221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88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 x14ac:dyDescent="0.3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125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 x14ac:dyDescent="0.3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125"/>
      <c r="X397" s="93"/>
      <c r="Y397" s="8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 x14ac:dyDescent="0.3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88"/>
      <c r="W398" s="125"/>
      <c r="X398" s="93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 x14ac:dyDescent="0.3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88"/>
      <c r="W399" s="125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 x14ac:dyDescent="0.3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88"/>
      <c r="W400" s="125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 x14ac:dyDescent="0.3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88"/>
      <c r="W401" s="125"/>
      <c r="X401" s="93"/>
      <c r="Y401" s="8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 x14ac:dyDescent="0.3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8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 x14ac:dyDescent="0.3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88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 x14ac:dyDescent="0.3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125"/>
      <c r="X404" s="93"/>
      <c r="Y404" s="8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 x14ac:dyDescent="0.3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125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 x14ac:dyDescent="0.3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125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 x14ac:dyDescent="0.3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8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 x14ac:dyDescent="0.3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 x14ac:dyDescent="0.3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 x14ac:dyDescent="0.3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8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 x14ac:dyDescent="0.3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114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88"/>
      <c r="Z411" s="89"/>
      <c r="AA411" s="97"/>
      <c r="AB411" s="89"/>
      <c r="AC411" s="120"/>
      <c r="AD411" s="89"/>
      <c r="AE411" s="114"/>
      <c r="AF411" s="99"/>
      <c r="AG411" s="99"/>
      <c r="AH411" s="128"/>
      <c r="AI411" s="100"/>
      <c r="AJ411" s="100"/>
      <c r="AK411" s="129"/>
      <c r="AU411" s="45"/>
    </row>
    <row r="412" spans="1:47" ht="12" customHeight="1" x14ac:dyDescent="0.3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114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 x14ac:dyDescent="0.3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114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 x14ac:dyDescent="0.3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114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88"/>
      <c r="W414" s="93"/>
      <c r="X414" s="93"/>
      <c r="Y414" s="8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 x14ac:dyDescent="0.3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114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88"/>
      <c r="W415" s="93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 x14ac:dyDescent="0.3">
      <c r="A416" s="126"/>
      <c r="B416" s="93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1"/>
      <c r="P416" s="95"/>
      <c r="Q416" s="145"/>
      <c r="R416" s="96"/>
      <c r="S416" s="97"/>
      <c r="T416" s="97"/>
      <c r="U416" s="97"/>
      <c r="V416" s="88"/>
      <c r="W416" s="93"/>
      <c r="X416" s="93"/>
      <c r="Y416" s="9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 x14ac:dyDescent="0.3">
      <c r="A417" s="126"/>
      <c r="B417" s="93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1"/>
      <c r="P417" s="95"/>
      <c r="Q417" s="145"/>
      <c r="R417" s="96"/>
      <c r="S417" s="97"/>
      <c r="T417" s="97"/>
      <c r="U417" s="97"/>
      <c r="V417" s="88"/>
      <c r="W417" s="93"/>
      <c r="X417" s="93"/>
      <c r="Y417" s="9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 x14ac:dyDescent="0.3">
      <c r="A418" s="126"/>
      <c r="B418" s="93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1"/>
      <c r="P418" s="95"/>
      <c r="Q418" s="145"/>
      <c r="R418" s="96"/>
      <c r="S418" s="97"/>
      <c r="T418" s="97"/>
      <c r="U418" s="97"/>
      <c r="V418" s="88"/>
      <c r="W418" s="93"/>
      <c r="X418" s="93"/>
      <c r="Y418" s="9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 x14ac:dyDescent="0.3">
      <c r="A419" s="126"/>
      <c r="B419" s="93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1"/>
      <c r="P419" s="95"/>
      <c r="Q419" s="145"/>
      <c r="R419" s="96"/>
      <c r="S419" s="97"/>
      <c r="T419" s="97"/>
      <c r="U419" s="97"/>
      <c r="V419" s="88"/>
      <c r="W419" s="93"/>
      <c r="X419" s="93"/>
      <c r="Y419" s="9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 x14ac:dyDescent="0.3">
      <c r="A420" s="126"/>
      <c r="B420" s="93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1"/>
      <c r="P420" s="95"/>
      <c r="Q420" s="145"/>
      <c r="R420" s="96"/>
      <c r="S420" s="97"/>
      <c r="T420" s="97"/>
      <c r="U420" s="97"/>
      <c r="V420" s="88"/>
      <c r="W420" s="93"/>
      <c r="X420" s="93"/>
      <c r="Y420" s="9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 x14ac:dyDescent="0.3">
      <c r="A421" s="126"/>
      <c r="B421" s="93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1"/>
      <c r="P421" s="95"/>
      <c r="Q421" s="145"/>
      <c r="R421" s="96"/>
      <c r="S421" s="97"/>
      <c r="T421" s="97"/>
      <c r="U421" s="97"/>
      <c r="V421" s="88"/>
      <c r="W421" s="93"/>
      <c r="X421" s="93"/>
      <c r="Y421" s="9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 x14ac:dyDescent="0.3">
      <c r="A422" s="126"/>
      <c r="B422" s="93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1"/>
      <c r="P422" s="95"/>
      <c r="Q422" s="145"/>
      <c r="R422" s="96"/>
      <c r="S422" s="97"/>
      <c r="T422" s="97"/>
      <c r="U422" s="97"/>
      <c r="V422" s="88"/>
      <c r="W422" s="93"/>
      <c r="X422" s="123"/>
      <c r="Y422" s="9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 x14ac:dyDescent="0.3">
      <c r="A423" s="126"/>
      <c r="B423" s="93"/>
      <c r="C423" s="89"/>
      <c r="D423" s="89"/>
      <c r="E423" s="112"/>
      <c r="F423" s="221"/>
      <c r="G423" s="92"/>
      <c r="H423" s="93"/>
      <c r="I423" s="92"/>
      <c r="J423" s="127"/>
      <c r="K423" s="89"/>
      <c r="L423" s="89"/>
      <c r="M423" s="89"/>
      <c r="N423" s="89"/>
      <c r="O423" s="91"/>
      <c r="P423" s="95"/>
      <c r="Q423" s="145"/>
      <c r="R423" s="96"/>
      <c r="S423" s="97"/>
      <c r="T423" s="97"/>
      <c r="U423" s="97"/>
      <c r="V423" s="88"/>
      <c r="W423" s="93"/>
      <c r="X423" s="93"/>
      <c r="Y423" s="9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 x14ac:dyDescent="0.3">
      <c r="A424" s="126"/>
      <c r="B424" s="93"/>
      <c r="C424" s="89"/>
      <c r="D424" s="89"/>
      <c r="E424" s="112"/>
      <c r="F424" s="221"/>
      <c r="G424" s="92"/>
      <c r="H424" s="93"/>
      <c r="I424" s="92"/>
      <c r="J424" s="127"/>
      <c r="K424" s="89"/>
      <c r="L424" s="89"/>
      <c r="M424" s="89"/>
      <c r="N424" s="89"/>
      <c r="O424" s="91"/>
      <c r="P424" s="95"/>
      <c r="Q424" s="145"/>
      <c r="R424" s="96"/>
      <c r="S424" s="97"/>
      <c r="T424" s="97"/>
      <c r="U424" s="97"/>
      <c r="V424" s="88"/>
      <c r="W424" s="93"/>
      <c r="X424" s="93"/>
      <c r="Y424" s="9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 x14ac:dyDescent="0.3">
      <c r="A425" s="126"/>
      <c r="B425" s="93"/>
      <c r="C425" s="89"/>
      <c r="D425" s="89"/>
      <c r="E425" s="112"/>
      <c r="F425" s="221"/>
      <c r="G425" s="92"/>
      <c r="H425" s="93"/>
      <c r="I425" s="92"/>
      <c r="J425" s="127"/>
      <c r="K425" s="89"/>
      <c r="L425" s="89"/>
      <c r="M425" s="89"/>
      <c r="N425" s="89"/>
      <c r="O425" s="91"/>
      <c r="P425" s="95"/>
      <c r="Q425" s="145"/>
      <c r="R425" s="96"/>
      <c r="S425" s="97"/>
      <c r="T425" s="97"/>
      <c r="U425" s="97"/>
      <c r="V425" s="88"/>
      <c r="W425" s="93"/>
      <c r="X425" s="93"/>
      <c r="Y425" s="9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 x14ac:dyDescent="0.3">
      <c r="A426" s="126"/>
      <c r="B426" s="93"/>
      <c r="C426" s="89"/>
      <c r="D426" s="89"/>
      <c r="E426" s="112"/>
      <c r="F426" s="221"/>
      <c r="G426" s="92"/>
      <c r="H426" s="93"/>
      <c r="I426" s="92"/>
      <c r="J426" s="127"/>
      <c r="K426" s="89"/>
      <c r="L426" s="89"/>
      <c r="M426" s="89"/>
      <c r="N426" s="89"/>
      <c r="O426" s="91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 x14ac:dyDescent="0.3">
      <c r="A427" s="126"/>
      <c r="B427" s="93"/>
      <c r="C427" s="89"/>
      <c r="D427" s="89"/>
      <c r="E427" s="112"/>
      <c r="F427" s="221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12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 x14ac:dyDescent="0.3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 x14ac:dyDescent="0.3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 x14ac:dyDescent="0.3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 x14ac:dyDescent="0.3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 x14ac:dyDescent="0.3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12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 x14ac:dyDescent="0.3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 x14ac:dyDescent="0.3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 x14ac:dyDescent="0.3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 x14ac:dyDescent="0.3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 x14ac:dyDescent="0.3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 x14ac:dyDescent="0.3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 x14ac:dyDescent="0.3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 x14ac:dyDescent="0.3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 x14ac:dyDescent="0.3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 x14ac:dyDescent="0.3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 x14ac:dyDescent="0.3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 x14ac:dyDescent="0.3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 x14ac:dyDescent="0.3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 x14ac:dyDescent="0.3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12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 x14ac:dyDescent="0.3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 x14ac:dyDescent="0.3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 x14ac:dyDescent="0.3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93"/>
      <c r="W449" s="93"/>
      <c r="X449" s="93"/>
      <c r="Y449" s="98"/>
      <c r="Z449" s="89"/>
      <c r="AA449" s="97"/>
      <c r="AB449" s="89"/>
      <c r="AC449" s="120"/>
      <c r="AD449" s="89"/>
      <c r="AE449" s="89"/>
      <c r="AF449" s="95"/>
      <c r="AG449" s="99"/>
      <c r="AH449" s="95"/>
      <c r="AI449" s="100"/>
      <c r="AJ449" s="100"/>
      <c r="AK449" s="129"/>
      <c r="AU449" s="45"/>
    </row>
    <row r="450" spans="1:47" ht="12" customHeight="1" x14ac:dyDescent="0.3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93"/>
      <c r="W450" s="93"/>
      <c r="X450" s="93"/>
      <c r="Y450" s="98"/>
      <c r="Z450" s="89"/>
      <c r="AA450" s="97"/>
      <c r="AB450" s="89"/>
      <c r="AC450" s="120"/>
      <c r="AD450" s="89"/>
      <c r="AE450" s="89"/>
      <c r="AF450" s="95"/>
      <c r="AG450" s="99"/>
      <c r="AH450" s="95"/>
      <c r="AI450" s="100"/>
      <c r="AJ450" s="100"/>
      <c r="AK450" s="129"/>
      <c r="AU450" s="45"/>
    </row>
    <row r="451" spans="1:47" ht="12" customHeight="1" x14ac:dyDescent="0.3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93"/>
      <c r="W451" s="123"/>
      <c r="X451" s="123"/>
      <c r="Y451" s="98"/>
      <c r="Z451" s="89"/>
      <c r="AA451" s="97"/>
      <c r="AB451" s="89"/>
      <c r="AC451" s="120"/>
      <c r="AD451" s="89"/>
      <c r="AE451" s="89"/>
      <c r="AF451" s="95"/>
      <c r="AG451" s="99"/>
      <c r="AH451" s="95"/>
      <c r="AI451" s="100"/>
      <c r="AJ451" s="100"/>
      <c r="AK451" s="129"/>
      <c r="AU451" s="45"/>
    </row>
    <row r="452" spans="1:47" ht="12" customHeight="1" x14ac:dyDescent="0.3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93"/>
      <c r="W452" s="123"/>
      <c r="X452" s="123"/>
      <c r="Y452" s="98"/>
      <c r="Z452" s="89"/>
      <c r="AA452" s="97"/>
      <c r="AB452" s="89"/>
      <c r="AC452" s="120"/>
      <c r="AD452" s="89"/>
      <c r="AE452" s="89"/>
      <c r="AF452" s="95"/>
      <c r="AG452" s="95"/>
      <c r="AH452" s="95"/>
      <c r="AI452" s="100"/>
      <c r="AJ452" s="100"/>
      <c r="AK452" s="129"/>
      <c r="AU452" s="45"/>
    </row>
    <row r="453" spans="1:47" ht="12" customHeight="1" x14ac:dyDescent="0.3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93"/>
      <c r="W453" s="123"/>
      <c r="X453" s="123"/>
      <c r="Y453" s="98"/>
      <c r="Z453" s="89"/>
      <c r="AA453" s="97"/>
      <c r="AB453" s="89"/>
      <c r="AC453" s="120"/>
      <c r="AD453" s="89"/>
      <c r="AE453" s="89"/>
      <c r="AF453" s="95"/>
      <c r="AG453" s="99"/>
      <c r="AH453" s="95"/>
      <c r="AI453" s="100"/>
      <c r="AJ453" s="100"/>
      <c r="AK453" s="129"/>
      <c r="AU453" s="45"/>
    </row>
    <row r="454" spans="1:47" ht="12" customHeight="1" x14ac:dyDescent="0.3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93"/>
      <c r="W454" s="93"/>
      <c r="X454" s="93"/>
      <c r="Y454" s="98"/>
      <c r="Z454" s="89"/>
      <c r="AA454" s="97"/>
      <c r="AB454" s="89"/>
      <c r="AC454" s="120"/>
      <c r="AD454" s="89"/>
      <c r="AE454" s="89"/>
      <c r="AF454" s="95"/>
      <c r="AG454" s="95"/>
      <c r="AH454" s="128"/>
      <c r="AI454" s="100"/>
      <c r="AJ454" s="100"/>
      <c r="AK454" s="129"/>
      <c r="AU454" s="45"/>
    </row>
    <row r="455" spans="1:47" ht="12" customHeight="1" x14ac:dyDescent="0.3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93"/>
      <c r="W455" s="93"/>
      <c r="X455" s="93"/>
      <c r="Y455" s="98"/>
      <c r="Z455" s="89"/>
      <c r="AA455" s="97"/>
      <c r="AB455" s="89"/>
      <c r="AC455" s="120"/>
      <c r="AD455" s="89"/>
      <c r="AE455" s="89"/>
      <c r="AF455" s="95"/>
      <c r="AG455" s="99"/>
      <c r="AH455" s="95"/>
      <c r="AI455" s="100"/>
      <c r="AJ455" s="100"/>
      <c r="AK455" s="129"/>
      <c r="AU455" s="45"/>
    </row>
    <row r="456" spans="1:47" ht="12" customHeight="1" x14ac:dyDescent="0.3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93"/>
      <c r="W456" s="93"/>
      <c r="X456" s="93"/>
      <c r="Y456" s="98"/>
      <c r="Z456" s="89"/>
      <c r="AA456" s="97"/>
      <c r="AB456" s="89"/>
      <c r="AC456" s="120"/>
      <c r="AD456" s="89"/>
      <c r="AE456" s="89"/>
      <c r="AF456" s="95"/>
      <c r="AG456" s="99"/>
      <c r="AH456" s="95"/>
      <c r="AI456" s="100"/>
      <c r="AJ456" s="100"/>
      <c r="AK456" s="129"/>
      <c r="AU456" s="45"/>
    </row>
    <row r="457" spans="1:47" ht="12" customHeight="1" x14ac:dyDescent="0.3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93"/>
      <c r="W457" s="93"/>
      <c r="X457" s="93"/>
      <c r="Y457" s="98"/>
      <c r="Z457" s="89"/>
      <c r="AA457" s="97"/>
      <c r="AB457" s="89"/>
      <c r="AC457" s="120"/>
      <c r="AD457" s="89"/>
      <c r="AE457" s="89"/>
      <c r="AF457" s="95"/>
      <c r="AG457" s="95"/>
      <c r="AH457" s="128"/>
      <c r="AI457" s="100"/>
      <c r="AJ457" s="100"/>
      <c r="AK457" s="129"/>
      <c r="AU457" s="45"/>
    </row>
    <row r="458" spans="1:47" ht="12" customHeight="1" x14ac:dyDescent="0.3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93"/>
      <c r="W458" s="123"/>
      <c r="X458" s="89"/>
      <c r="Y458" s="98"/>
      <c r="Z458" s="89"/>
      <c r="AA458" s="97"/>
      <c r="AB458" s="89"/>
      <c r="AC458" s="120"/>
      <c r="AD458" s="89"/>
      <c r="AE458" s="89"/>
      <c r="AF458" s="95"/>
      <c r="AG458" s="95"/>
      <c r="AH458" s="95"/>
      <c r="AI458" s="100"/>
      <c r="AJ458" s="100"/>
      <c r="AK458" s="129"/>
      <c r="AU458" s="45"/>
    </row>
    <row r="459" spans="1:47" ht="12" customHeight="1" x14ac:dyDescent="0.3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93"/>
      <c r="W459" s="123"/>
      <c r="X459" s="89"/>
      <c r="Y459" s="98"/>
      <c r="Z459" s="89"/>
      <c r="AA459" s="97"/>
      <c r="AB459" s="89"/>
      <c r="AC459" s="120"/>
      <c r="AD459" s="89"/>
      <c r="AE459" s="89"/>
      <c r="AF459" s="95"/>
      <c r="AG459" s="95"/>
      <c r="AH459" s="95"/>
      <c r="AI459" s="100"/>
      <c r="AJ459" s="100"/>
      <c r="AK459" s="129"/>
      <c r="AU459" s="45"/>
    </row>
    <row r="460" spans="1:47" ht="12" customHeight="1" x14ac:dyDescent="0.3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123"/>
      <c r="X460" s="89"/>
      <c r="Y460" s="98"/>
      <c r="Z460" s="89"/>
      <c r="AA460" s="97"/>
      <c r="AB460" s="89"/>
      <c r="AC460" s="120"/>
      <c r="AD460" s="89"/>
      <c r="AE460" s="89"/>
      <c r="AF460" s="95"/>
      <c r="AG460" s="95"/>
      <c r="AH460" s="95"/>
      <c r="AI460" s="100"/>
      <c r="AJ460" s="100"/>
      <c r="AK460" s="129"/>
      <c r="AU460" s="45"/>
    </row>
    <row r="461" spans="1:47" ht="12" customHeight="1" x14ac:dyDescent="0.3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123"/>
      <c r="X461" s="89"/>
      <c r="Y461" s="98"/>
      <c r="Z461" s="89"/>
      <c r="AA461" s="97"/>
      <c r="AB461" s="89"/>
      <c r="AC461" s="120"/>
      <c r="AD461" s="89"/>
      <c r="AE461" s="89"/>
      <c r="AF461" s="95"/>
      <c r="AG461" s="95"/>
      <c r="AH461" s="95"/>
      <c r="AI461" s="100"/>
      <c r="AJ461" s="100"/>
      <c r="AK461" s="129"/>
      <c r="AU461" s="45"/>
    </row>
    <row r="462" spans="1:47" ht="12" customHeight="1" x14ac:dyDescent="0.3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 x14ac:dyDescent="0.3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89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 x14ac:dyDescent="0.3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93"/>
      <c r="X464" s="9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 x14ac:dyDescent="0.3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89"/>
      <c r="Y465" s="98"/>
      <c r="Z465" s="89"/>
      <c r="AA465" s="97"/>
      <c r="AB465" s="89"/>
      <c r="AC465" s="120"/>
      <c r="AD465" s="89"/>
      <c r="AE465" s="89"/>
      <c r="AF465" s="95"/>
      <c r="AG465" s="95"/>
      <c r="AH465" s="95"/>
      <c r="AI465" s="100"/>
      <c r="AJ465" s="100"/>
      <c r="AK465" s="129"/>
      <c r="AU465" s="45"/>
    </row>
    <row r="466" spans="1:47" ht="12" customHeight="1" x14ac:dyDescent="0.3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 x14ac:dyDescent="0.3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123"/>
      <c r="X467" s="89"/>
      <c r="Y467" s="98"/>
      <c r="Z467" s="89"/>
      <c r="AA467" s="97"/>
      <c r="AB467" s="89"/>
      <c r="AC467" s="120"/>
      <c r="AD467" s="89"/>
      <c r="AE467" s="89"/>
      <c r="AF467" s="95"/>
      <c r="AG467" s="95"/>
      <c r="AH467" s="95"/>
      <c r="AI467" s="100"/>
      <c r="AJ467" s="100"/>
      <c r="AK467" s="129"/>
      <c r="AU467" s="45"/>
    </row>
    <row r="468" spans="1:47" ht="12" customHeight="1" x14ac:dyDescent="0.3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 x14ac:dyDescent="0.3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 x14ac:dyDescent="0.3">
      <c r="A470" s="130"/>
      <c r="B470" s="131"/>
      <c r="C470" s="132"/>
      <c r="D470" s="132"/>
      <c r="E470" s="133"/>
      <c r="F470" s="222"/>
      <c r="G470" s="135"/>
      <c r="H470" s="131"/>
      <c r="I470" s="135"/>
      <c r="J470" s="136"/>
      <c r="K470" s="132"/>
      <c r="L470" s="132"/>
      <c r="M470" s="132"/>
      <c r="N470" s="132"/>
      <c r="O470" s="134"/>
      <c r="P470" s="137"/>
      <c r="Q470" s="147"/>
      <c r="R470" s="138"/>
      <c r="S470" s="139"/>
      <c r="T470" s="139"/>
      <c r="U470" s="139"/>
      <c r="V470" s="131"/>
      <c r="W470" s="140"/>
      <c r="X470" s="132"/>
      <c r="Y470" s="141"/>
      <c r="Z470" s="132"/>
      <c r="AA470" s="139"/>
      <c r="AB470" s="132"/>
      <c r="AC470" s="191"/>
      <c r="AD470" s="132"/>
      <c r="AE470" s="132"/>
      <c r="AF470" s="137"/>
      <c r="AG470" s="137"/>
      <c r="AH470" s="137"/>
      <c r="AI470" s="142"/>
      <c r="AJ470" s="142"/>
      <c r="AK470" s="143"/>
      <c r="AU470" s="45"/>
    </row>
    <row r="471" spans="1:47" ht="12" customHeight="1" x14ac:dyDescent="0.3">
      <c r="A471" s="130"/>
      <c r="B471" s="93"/>
      <c r="C471" s="132"/>
      <c r="D471" s="132"/>
      <c r="E471" s="112"/>
      <c r="F471" s="221"/>
      <c r="G471" s="92"/>
      <c r="H471" s="93"/>
      <c r="I471" s="92"/>
      <c r="J471" s="136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 x14ac:dyDescent="0.3">
      <c r="A472" s="130"/>
      <c r="B472" s="93"/>
      <c r="C472" s="132"/>
      <c r="D472" s="132"/>
      <c r="E472" s="112"/>
      <c r="F472" s="221"/>
      <c r="G472" s="92"/>
      <c r="H472" s="93"/>
      <c r="I472" s="92"/>
      <c r="J472" s="136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 x14ac:dyDescent="0.3">
      <c r="A473" s="130"/>
      <c r="B473" s="93"/>
      <c r="C473" s="132"/>
      <c r="D473" s="132"/>
      <c r="E473" s="112"/>
      <c r="F473" s="221"/>
      <c r="G473" s="92"/>
      <c r="H473" s="93"/>
      <c r="I473" s="92"/>
      <c r="J473" s="136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 x14ac:dyDescent="0.3">
      <c r="A474" s="130"/>
      <c r="B474" s="93"/>
      <c r="C474" s="132"/>
      <c r="D474" s="132"/>
      <c r="E474" s="112"/>
      <c r="F474" s="221"/>
      <c r="G474" s="92"/>
      <c r="H474" s="93"/>
      <c r="I474" s="92"/>
      <c r="J474" s="136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 x14ac:dyDescent="0.3">
      <c r="A475" s="130"/>
      <c r="B475" s="93"/>
      <c r="C475" s="132"/>
      <c r="D475" s="132"/>
      <c r="E475" s="112"/>
      <c r="F475" s="221"/>
      <c r="G475" s="92"/>
      <c r="H475" s="93"/>
      <c r="I475" s="92"/>
      <c r="J475" s="136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 x14ac:dyDescent="0.3">
      <c r="A476" s="130"/>
      <c r="B476" s="93"/>
      <c r="C476" s="132"/>
      <c r="D476" s="132"/>
      <c r="E476" s="112"/>
      <c r="F476" s="221"/>
      <c r="G476" s="92"/>
      <c r="H476" s="93"/>
      <c r="I476" s="92"/>
      <c r="J476" s="136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 x14ac:dyDescent="0.3">
      <c r="A477" s="130"/>
      <c r="B477" s="93"/>
      <c r="C477" s="132"/>
      <c r="D477" s="132"/>
      <c r="E477" s="112"/>
      <c r="F477" s="221"/>
      <c r="G477" s="92"/>
      <c r="H477" s="93"/>
      <c r="I477" s="92"/>
      <c r="J477" s="136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 x14ac:dyDescent="0.3">
      <c r="A478" s="130"/>
      <c r="B478" s="93"/>
      <c r="C478" s="132"/>
      <c r="D478" s="132"/>
      <c r="E478" s="112"/>
      <c r="F478" s="221"/>
      <c r="G478" s="92"/>
      <c r="H478" s="93"/>
      <c r="I478" s="92"/>
      <c r="J478" s="136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 x14ac:dyDescent="0.3">
      <c r="A479" s="130"/>
      <c r="B479" s="93"/>
      <c r="C479" s="132"/>
      <c r="D479" s="132"/>
      <c r="E479" s="112"/>
      <c r="F479" s="221"/>
      <c r="G479" s="92"/>
      <c r="H479" s="93"/>
      <c r="I479" s="92"/>
      <c r="J479" s="136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 x14ac:dyDescent="0.3">
      <c r="A480" s="130"/>
      <c r="B480" s="93"/>
      <c r="C480" s="132"/>
      <c r="D480" s="132"/>
      <c r="E480" s="112"/>
      <c r="F480" s="221"/>
      <c r="G480" s="92"/>
      <c r="H480" s="93"/>
      <c r="I480" s="92"/>
      <c r="J480" s="136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 x14ac:dyDescent="0.3">
      <c r="A481" s="130"/>
      <c r="B481" s="93"/>
      <c r="C481" s="132"/>
      <c r="D481" s="132"/>
      <c r="E481" s="112"/>
      <c r="F481" s="221"/>
      <c r="G481" s="92"/>
      <c r="H481" s="93"/>
      <c r="I481" s="92"/>
      <c r="J481" s="136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 x14ac:dyDescent="0.3">
      <c r="A482" s="130"/>
      <c r="B482" s="93"/>
      <c r="C482" s="132"/>
      <c r="D482" s="132"/>
      <c r="E482" s="112"/>
      <c r="F482" s="221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 x14ac:dyDescent="0.3">
      <c r="A483" s="130"/>
      <c r="B483" s="93"/>
      <c r="C483" s="132"/>
      <c r="D483" s="132"/>
      <c r="E483" s="133"/>
      <c r="F483" s="222"/>
      <c r="G483" s="135"/>
      <c r="H483" s="131"/>
      <c r="I483" s="135"/>
      <c r="J483" s="136"/>
      <c r="K483" s="132"/>
      <c r="L483" s="132"/>
      <c r="M483" s="132"/>
      <c r="N483" s="132"/>
      <c r="O483" s="134"/>
      <c r="P483" s="137"/>
      <c r="Q483" s="145"/>
      <c r="R483" s="138"/>
      <c r="S483" s="139"/>
      <c r="T483" s="97"/>
      <c r="U483" s="97"/>
      <c r="V483" s="131"/>
      <c r="W483" s="140"/>
      <c r="X483" s="132"/>
      <c r="Y483" s="141"/>
      <c r="Z483" s="132"/>
      <c r="AA483" s="139"/>
      <c r="AB483" s="132"/>
      <c r="AC483" s="191"/>
      <c r="AD483" s="132"/>
      <c r="AE483" s="132"/>
      <c r="AF483" s="137"/>
      <c r="AG483" s="137"/>
      <c r="AH483" s="137"/>
      <c r="AI483" s="142"/>
      <c r="AJ483" s="142"/>
      <c r="AK483" s="143"/>
      <c r="AU483" s="45"/>
    </row>
    <row r="484" spans="1:47" ht="12" customHeight="1" x14ac:dyDescent="0.3">
      <c r="A484" s="87"/>
      <c r="B484" s="88"/>
      <c r="C484" s="91"/>
      <c r="D484" s="89"/>
      <c r="E484" s="112"/>
      <c r="F484" s="221"/>
      <c r="G484" s="92"/>
      <c r="H484" s="93"/>
      <c r="I484" s="92"/>
      <c r="J484" s="89"/>
      <c r="K484" s="89"/>
      <c r="L484" s="89"/>
      <c r="M484" s="89"/>
      <c r="N484" s="89"/>
      <c r="O484" s="94"/>
      <c r="P484" s="95"/>
      <c r="Q484" s="145"/>
      <c r="R484" s="96"/>
      <c r="S484" s="97"/>
      <c r="T484" s="97"/>
      <c r="U484" s="97"/>
      <c r="V484" s="93"/>
      <c r="W484" s="125"/>
      <c r="X484" s="89"/>
      <c r="Y484" s="98"/>
      <c r="Z484" s="89"/>
      <c r="AA484" s="97"/>
      <c r="AB484" s="91"/>
      <c r="AC484" s="120"/>
      <c r="AD484" s="89"/>
      <c r="AE484" s="89"/>
      <c r="AF484" s="99"/>
      <c r="AG484" s="99"/>
      <c r="AH484" s="99"/>
      <c r="AI484" s="100"/>
      <c r="AJ484" s="100"/>
      <c r="AK484" s="100"/>
      <c r="AU484" s="45"/>
    </row>
    <row r="485" spans="1:47" ht="12" customHeight="1" x14ac:dyDescent="0.3">
      <c r="A485" s="87"/>
      <c r="B485" s="88"/>
      <c r="C485" s="91"/>
      <c r="D485" s="89"/>
      <c r="E485" s="112"/>
      <c r="F485" s="221"/>
      <c r="G485" s="92"/>
      <c r="H485" s="93"/>
      <c r="I485" s="92"/>
      <c r="J485" s="89"/>
      <c r="K485" s="89"/>
      <c r="L485" s="89"/>
      <c r="M485" s="89"/>
      <c r="N485" s="89"/>
      <c r="O485" s="94"/>
      <c r="P485" s="95"/>
      <c r="Q485" s="145"/>
      <c r="R485" s="96"/>
      <c r="S485" s="97"/>
      <c r="T485" s="97"/>
      <c r="U485" s="97"/>
      <c r="V485" s="93"/>
      <c r="W485" s="125"/>
      <c r="X485" s="93"/>
      <c r="Y485" s="98"/>
      <c r="Z485" s="89"/>
      <c r="AA485" s="97"/>
      <c r="AB485" s="91"/>
      <c r="AC485" s="120"/>
      <c r="AD485" s="89"/>
      <c r="AE485" s="89"/>
      <c r="AF485" s="99"/>
      <c r="AG485" s="99"/>
      <c r="AH485" s="99"/>
      <c r="AI485" s="100"/>
      <c r="AJ485" s="100"/>
      <c r="AK485" s="100"/>
      <c r="AU485" s="45"/>
    </row>
    <row r="486" spans="1:47" ht="12" customHeight="1" x14ac:dyDescent="0.3">
      <c r="A486" s="87"/>
      <c r="B486" s="88"/>
      <c r="C486" s="91"/>
      <c r="D486" s="89"/>
      <c r="E486" s="112"/>
      <c r="F486" s="221"/>
      <c r="G486" s="92"/>
      <c r="H486" s="93"/>
      <c r="I486" s="92"/>
      <c r="J486" s="89"/>
      <c r="K486" s="89"/>
      <c r="L486" s="89"/>
      <c r="M486" s="89"/>
      <c r="N486" s="89"/>
      <c r="O486" s="94"/>
      <c r="P486" s="95"/>
      <c r="Q486" s="145"/>
      <c r="R486" s="96"/>
      <c r="S486" s="97"/>
      <c r="T486" s="97"/>
      <c r="U486" s="97"/>
      <c r="V486" s="93"/>
      <c r="W486" s="125"/>
      <c r="X486" s="89"/>
      <c r="Y486" s="98"/>
      <c r="Z486" s="89"/>
      <c r="AA486" s="97"/>
      <c r="AB486" s="91"/>
      <c r="AC486" s="120"/>
      <c r="AD486" s="89"/>
      <c r="AE486" s="89"/>
      <c r="AF486" s="99"/>
      <c r="AG486" s="99"/>
      <c r="AH486" s="99"/>
      <c r="AI486" s="100"/>
      <c r="AJ486" s="100"/>
      <c r="AK486" s="100"/>
      <c r="AU486" s="45"/>
    </row>
    <row r="487" spans="1:47" ht="12" customHeight="1" x14ac:dyDescent="0.3">
      <c r="A487" s="87"/>
      <c r="B487" s="88"/>
      <c r="C487" s="91"/>
      <c r="D487" s="89"/>
      <c r="E487" s="112"/>
      <c r="F487" s="221"/>
      <c r="G487" s="92"/>
      <c r="H487" s="93"/>
      <c r="I487" s="92"/>
      <c r="J487" s="89"/>
      <c r="K487" s="89"/>
      <c r="L487" s="89"/>
      <c r="M487" s="89"/>
      <c r="N487" s="89"/>
      <c r="O487" s="94"/>
      <c r="P487" s="95"/>
      <c r="Q487" s="145"/>
      <c r="R487" s="96"/>
      <c r="S487" s="97"/>
      <c r="T487" s="97"/>
      <c r="U487" s="97"/>
      <c r="V487" s="93"/>
      <c r="W487" s="125"/>
      <c r="X487" s="89"/>
      <c r="Y487" s="98"/>
      <c r="Z487" s="89"/>
      <c r="AA487" s="97"/>
      <c r="AB487" s="91"/>
      <c r="AC487" s="120"/>
      <c r="AD487" s="89"/>
      <c r="AE487" s="89"/>
      <c r="AF487" s="99"/>
      <c r="AG487" s="99"/>
      <c r="AH487" s="99"/>
      <c r="AI487" s="100"/>
      <c r="AJ487" s="100"/>
      <c r="AK487" s="100"/>
      <c r="AU487" s="45"/>
    </row>
    <row r="488" spans="1:47" ht="12" customHeight="1" x14ac:dyDescent="0.3">
      <c r="A488" s="87"/>
      <c r="B488" s="88"/>
      <c r="C488" s="91"/>
      <c r="D488" s="89"/>
      <c r="E488" s="112"/>
      <c r="F488" s="221"/>
      <c r="G488" s="92"/>
      <c r="H488" s="93"/>
      <c r="I488" s="92"/>
      <c r="J488" s="89"/>
      <c r="K488" s="89"/>
      <c r="L488" s="89"/>
      <c r="M488" s="89"/>
      <c r="N488" s="89"/>
      <c r="O488" s="94"/>
      <c r="P488" s="95"/>
      <c r="Q488" s="145"/>
      <c r="R488" s="96"/>
      <c r="S488" s="97"/>
      <c r="T488" s="97"/>
      <c r="U488" s="97"/>
      <c r="V488" s="93"/>
      <c r="W488" s="89"/>
      <c r="X488" s="89"/>
      <c r="Y488" s="89"/>
      <c r="Z488" s="89"/>
      <c r="AA488" s="97"/>
      <c r="AB488" s="91"/>
      <c r="AC488" s="120"/>
      <c r="AD488" s="89"/>
      <c r="AE488" s="89"/>
      <c r="AF488" s="99"/>
      <c r="AG488" s="95"/>
      <c r="AH488" s="99"/>
      <c r="AI488" s="100"/>
      <c r="AJ488" s="100"/>
      <c r="AK488" s="100"/>
      <c r="AU488" s="45"/>
    </row>
    <row r="489" spans="1:47" ht="12" customHeight="1" x14ac:dyDescent="0.3">
      <c r="A489" s="87"/>
      <c r="B489" s="88"/>
      <c r="C489" s="91"/>
      <c r="D489" s="89"/>
      <c r="E489" s="112"/>
      <c r="F489" s="221"/>
      <c r="G489" s="92"/>
      <c r="H489" s="93"/>
      <c r="I489" s="92"/>
      <c r="J489" s="89"/>
      <c r="K489" s="89"/>
      <c r="L489" s="89"/>
      <c r="M489" s="89"/>
      <c r="N489" s="89"/>
      <c r="O489" s="94"/>
      <c r="P489" s="95"/>
      <c r="Q489" s="145"/>
      <c r="R489" s="96"/>
      <c r="S489" s="97"/>
      <c r="T489" s="97"/>
      <c r="U489" s="97"/>
      <c r="V489" s="93"/>
      <c r="W489" s="89"/>
      <c r="X489" s="89"/>
      <c r="Y489" s="89"/>
      <c r="Z489" s="89"/>
      <c r="AA489" s="97"/>
      <c r="AB489" s="91"/>
      <c r="AC489" s="120"/>
      <c r="AD489" s="89"/>
      <c r="AE489" s="89"/>
      <c r="AF489" s="99"/>
      <c r="AG489" s="95"/>
      <c r="AH489" s="99"/>
      <c r="AI489" s="100"/>
      <c r="AJ489" s="100"/>
      <c r="AK489" s="100"/>
      <c r="AU489" s="45"/>
    </row>
    <row r="490" spans="1:47" ht="12" customHeight="1" x14ac:dyDescent="0.3">
      <c r="A490" s="87"/>
      <c r="B490" s="88"/>
      <c r="C490" s="91"/>
      <c r="D490" s="89"/>
      <c r="E490" s="112"/>
      <c r="F490" s="221"/>
      <c r="G490" s="92"/>
      <c r="H490" s="93"/>
      <c r="I490" s="92"/>
      <c r="J490" s="89"/>
      <c r="K490" s="89"/>
      <c r="L490" s="89"/>
      <c r="M490" s="89"/>
      <c r="N490" s="89"/>
      <c r="O490" s="94"/>
      <c r="P490" s="95"/>
      <c r="Q490" s="145"/>
      <c r="R490" s="96"/>
      <c r="S490" s="97"/>
      <c r="T490" s="97"/>
      <c r="U490" s="97"/>
      <c r="V490" s="93"/>
      <c r="W490" s="89"/>
      <c r="X490" s="89"/>
      <c r="Y490" s="89"/>
      <c r="Z490" s="89"/>
      <c r="AA490" s="97"/>
      <c r="AB490" s="91"/>
      <c r="AC490" s="120"/>
      <c r="AD490" s="89"/>
      <c r="AE490" s="89"/>
      <c r="AF490" s="99"/>
      <c r="AG490" s="95"/>
      <c r="AH490" s="99"/>
      <c r="AI490" s="100"/>
      <c r="AJ490" s="100"/>
      <c r="AK490" s="100"/>
      <c r="AU490" s="45"/>
    </row>
    <row r="491" spans="1:47" ht="12" customHeight="1" x14ac:dyDescent="0.3">
      <c r="A491" s="87"/>
      <c r="B491" s="88"/>
      <c r="C491" s="91"/>
      <c r="D491" s="89"/>
      <c r="E491" s="112"/>
      <c r="F491" s="221"/>
      <c r="G491" s="92"/>
      <c r="H491" s="93"/>
      <c r="I491" s="92"/>
      <c r="J491" s="89"/>
      <c r="K491" s="89"/>
      <c r="L491" s="89"/>
      <c r="M491" s="89"/>
      <c r="N491" s="89"/>
      <c r="O491" s="94"/>
      <c r="P491" s="95"/>
      <c r="Q491" s="145"/>
      <c r="R491" s="96"/>
      <c r="S491" s="97"/>
      <c r="T491" s="97"/>
      <c r="U491" s="97"/>
      <c r="V491" s="93"/>
      <c r="W491" s="89"/>
      <c r="X491" s="89"/>
      <c r="Y491" s="89"/>
      <c r="Z491" s="89"/>
      <c r="AA491" s="97"/>
      <c r="AB491" s="91"/>
      <c r="AC491" s="120"/>
      <c r="AD491" s="89"/>
      <c r="AE491" s="89"/>
      <c r="AF491" s="99"/>
      <c r="AG491" s="95"/>
      <c r="AH491" s="99"/>
      <c r="AI491" s="100"/>
      <c r="AJ491" s="100"/>
      <c r="AK491" s="100"/>
      <c r="AU491" s="45"/>
    </row>
    <row r="492" spans="1:47" ht="12" customHeight="1" x14ac:dyDescent="0.3">
      <c r="A492" s="87"/>
      <c r="B492" s="88"/>
      <c r="C492" s="91"/>
      <c r="D492" s="89"/>
      <c r="E492" s="112"/>
      <c r="F492" s="221"/>
      <c r="G492" s="92"/>
      <c r="H492" s="93"/>
      <c r="I492" s="92"/>
      <c r="J492" s="89"/>
      <c r="K492" s="89"/>
      <c r="L492" s="89"/>
      <c r="M492" s="89"/>
      <c r="N492" s="89"/>
      <c r="O492" s="94"/>
      <c r="P492" s="95"/>
      <c r="Q492" s="145"/>
      <c r="R492" s="96"/>
      <c r="S492" s="97"/>
      <c r="T492" s="97"/>
      <c r="U492" s="97"/>
      <c r="V492" s="93"/>
      <c r="W492" s="89"/>
      <c r="X492" s="89"/>
      <c r="Y492" s="98"/>
      <c r="Z492" s="89"/>
      <c r="AA492" s="97"/>
      <c r="AB492" s="91"/>
      <c r="AC492" s="120"/>
      <c r="AD492" s="89"/>
      <c r="AE492" s="89"/>
      <c r="AF492" s="99"/>
      <c r="AG492" s="95"/>
      <c r="AH492" s="99"/>
      <c r="AI492" s="100"/>
      <c r="AJ492" s="100"/>
      <c r="AK492" s="100"/>
      <c r="AU492" s="45"/>
    </row>
    <row r="493" spans="1:47" ht="12" customHeight="1" x14ac:dyDescent="0.3">
      <c r="A493" s="87"/>
      <c r="B493" s="88"/>
      <c r="C493" s="91"/>
      <c r="D493" s="89"/>
      <c r="E493" s="112"/>
      <c r="F493" s="221"/>
      <c r="G493" s="92"/>
      <c r="H493" s="93"/>
      <c r="I493" s="92"/>
      <c r="J493" s="89"/>
      <c r="K493" s="89"/>
      <c r="L493" s="89"/>
      <c r="M493" s="89"/>
      <c r="N493" s="89"/>
      <c r="O493" s="94"/>
      <c r="P493" s="95"/>
      <c r="Q493" s="145"/>
      <c r="R493" s="96"/>
      <c r="S493" s="97"/>
      <c r="T493" s="97"/>
      <c r="U493" s="97"/>
      <c r="V493" s="93"/>
      <c r="W493" s="125"/>
      <c r="X493" s="93"/>
      <c r="Y493" s="98"/>
      <c r="Z493" s="89"/>
      <c r="AA493" s="97"/>
      <c r="AB493" s="91"/>
      <c r="AC493" s="120"/>
      <c r="AD493" s="89"/>
      <c r="AE493" s="89"/>
      <c r="AF493" s="99"/>
      <c r="AG493" s="99"/>
      <c r="AH493" s="99"/>
      <c r="AI493" s="100"/>
      <c r="AJ493" s="100"/>
      <c r="AK493" s="100"/>
      <c r="AU493" s="45"/>
    </row>
    <row r="494" spans="1:47" ht="12" customHeight="1" x14ac:dyDescent="0.3">
      <c r="A494" s="87"/>
      <c r="B494" s="88"/>
      <c r="C494" s="91"/>
      <c r="D494" s="89"/>
      <c r="E494" s="112"/>
      <c r="F494" s="221"/>
      <c r="G494" s="92"/>
      <c r="H494" s="93"/>
      <c r="I494" s="92"/>
      <c r="J494" s="89"/>
      <c r="K494" s="89"/>
      <c r="L494" s="89"/>
      <c r="M494" s="89"/>
      <c r="N494" s="89"/>
      <c r="O494" s="94"/>
      <c r="P494" s="95"/>
      <c r="Q494" s="145"/>
      <c r="R494" s="96"/>
      <c r="S494" s="97"/>
      <c r="T494" s="97"/>
      <c r="U494" s="97"/>
      <c r="V494" s="93"/>
      <c r="W494" s="125"/>
      <c r="X494" s="123"/>
      <c r="Y494" s="98"/>
      <c r="Z494" s="89"/>
      <c r="AA494" s="97"/>
      <c r="AB494" s="91"/>
      <c r="AC494" s="120"/>
      <c r="AD494" s="89"/>
      <c r="AE494" s="89"/>
      <c r="AF494" s="99"/>
      <c r="AG494" s="95"/>
      <c r="AH494" s="99"/>
      <c r="AI494" s="100"/>
      <c r="AJ494" s="100"/>
      <c r="AK494" s="100"/>
      <c r="AU494" s="45"/>
    </row>
    <row r="495" spans="1:47" ht="12" customHeight="1" x14ac:dyDescent="0.3">
      <c r="A495" s="87"/>
      <c r="B495" s="88"/>
      <c r="C495" s="91"/>
      <c r="D495" s="89"/>
      <c r="E495" s="112"/>
      <c r="F495" s="221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89"/>
      <c r="X495" s="89"/>
      <c r="Y495" s="89"/>
      <c r="Z495" s="89"/>
      <c r="AA495" s="97"/>
      <c r="AB495" s="91"/>
      <c r="AC495" s="120"/>
      <c r="AD495" s="89"/>
      <c r="AE495" s="89"/>
      <c r="AF495" s="99"/>
      <c r="AG495" s="95"/>
      <c r="AH495" s="99"/>
      <c r="AI495" s="100"/>
      <c r="AJ495" s="100"/>
      <c r="AK495" s="100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89"/>
      <c r="X496" s="89"/>
      <c r="Y496" s="89"/>
      <c r="Z496" s="89"/>
      <c r="AA496" s="97"/>
      <c r="AB496" s="91"/>
      <c r="AC496" s="120"/>
      <c r="AD496" s="89"/>
      <c r="AE496" s="89"/>
      <c r="AF496" s="99"/>
      <c r="AG496" s="95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89"/>
      <c r="X497" s="89"/>
      <c r="Y497" s="89"/>
      <c r="Z497" s="89"/>
      <c r="AA497" s="97"/>
      <c r="AB497" s="91"/>
      <c r="AC497" s="120"/>
      <c r="AD497" s="89"/>
      <c r="AE497" s="89"/>
      <c r="AF497" s="99"/>
      <c r="AG497" s="95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89"/>
      <c r="X498" s="89"/>
      <c r="Y498" s="98"/>
      <c r="Z498" s="89"/>
      <c r="AA498" s="97"/>
      <c r="AB498" s="91"/>
      <c r="AC498" s="120"/>
      <c r="AD498" s="89"/>
      <c r="AE498" s="89"/>
      <c r="AF498" s="99"/>
      <c r="AG498" s="95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98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98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98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98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123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88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88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88"/>
      <c r="W507" s="125"/>
      <c r="X507" s="123"/>
      <c r="Y507" s="98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125"/>
      <c r="X508" s="93"/>
      <c r="Y508" s="98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125"/>
      <c r="X509" s="93"/>
      <c r="Y509" s="98"/>
      <c r="Z509" s="89"/>
      <c r="AA509" s="97"/>
      <c r="AB509" s="91"/>
      <c r="AC509" s="120"/>
      <c r="AD509" s="89"/>
      <c r="AE509" s="89"/>
      <c r="AF509" s="99"/>
      <c r="AG509" s="99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125"/>
      <c r="X510" s="93"/>
      <c r="Y510" s="98"/>
      <c r="Z510" s="89"/>
      <c r="AA510" s="97"/>
      <c r="AB510" s="91"/>
      <c r="AC510" s="120"/>
      <c r="AD510" s="89"/>
      <c r="AE510" s="89"/>
      <c r="AF510" s="99"/>
      <c r="AG510" s="99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88"/>
      <c r="W511" s="125"/>
      <c r="X511" s="93"/>
      <c r="Y511" s="98"/>
      <c r="Z511" s="89"/>
      <c r="AA511" s="97"/>
      <c r="AB511" s="91"/>
      <c r="AC511" s="120"/>
      <c r="AD511" s="89"/>
      <c r="AE511" s="89"/>
      <c r="AF511" s="99"/>
      <c r="AG511" s="99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88"/>
      <c r="W512" s="125"/>
      <c r="X512" s="93"/>
      <c r="Y512" s="98"/>
      <c r="Z512" s="89"/>
      <c r="AA512" s="97"/>
      <c r="AB512" s="91"/>
      <c r="AC512" s="120"/>
      <c r="AD512" s="89"/>
      <c r="AE512" s="89"/>
      <c r="AF512" s="99"/>
      <c r="AG512" s="99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88"/>
      <c r="W513" s="125"/>
      <c r="X513" s="93"/>
      <c r="Y513" s="98"/>
      <c r="Z513" s="89"/>
      <c r="AA513" s="97"/>
      <c r="AB513" s="91"/>
      <c r="AC513" s="120"/>
      <c r="AD513" s="89"/>
      <c r="AE513" s="89"/>
      <c r="AF513" s="99"/>
      <c r="AG513" s="99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114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88"/>
      <c r="W514" s="125"/>
      <c r="X514" s="93"/>
      <c r="Y514" s="98"/>
      <c r="Z514" s="89"/>
      <c r="AA514" s="97"/>
      <c r="AB514" s="91"/>
      <c r="AC514" s="120"/>
      <c r="AD514" s="89"/>
      <c r="AE514" s="89"/>
      <c r="AF514" s="99"/>
      <c r="AG514" s="99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114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88"/>
      <c r="W515" s="125"/>
      <c r="X515" s="93"/>
      <c r="Y515" s="98"/>
      <c r="Z515" s="89"/>
      <c r="AA515" s="97"/>
      <c r="AB515" s="91"/>
      <c r="AC515" s="120"/>
      <c r="AD515" s="89"/>
      <c r="AE515" s="89"/>
      <c r="AF515" s="99"/>
      <c r="AG515" s="99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93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1"/>
      <c r="P516" s="95"/>
      <c r="Q516" s="145"/>
      <c r="R516" s="97"/>
      <c r="S516" s="97"/>
      <c r="T516" s="97"/>
      <c r="U516" s="97"/>
      <c r="V516" s="93"/>
      <c r="W516" s="89"/>
      <c r="X516" s="89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93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1"/>
      <c r="P517" s="95"/>
      <c r="Q517" s="145"/>
      <c r="R517" s="97"/>
      <c r="S517" s="97"/>
      <c r="T517" s="97"/>
      <c r="U517" s="97"/>
      <c r="V517" s="93"/>
      <c r="W517" s="89"/>
      <c r="X517" s="89"/>
      <c r="Y517" s="98"/>
      <c r="Z517" s="89"/>
      <c r="AA517" s="97"/>
      <c r="AB517" s="91"/>
      <c r="AC517" s="120"/>
      <c r="AD517" s="89"/>
      <c r="AE517" s="89"/>
      <c r="AF517" s="99"/>
      <c r="AG517" s="99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93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1"/>
      <c r="P518" s="95"/>
      <c r="Q518" s="145"/>
      <c r="R518" s="97"/>
      <c r="S518" s="97"/>
      <c r="T518" s="97"/>
      <c r="U518" s="97"/>
      <c r="V518" s="93"/>
      <c r="W518" s="93"/>
      <c r="X518" s="93"/>
      <c r="Y518" s="98"/>
      <c r="Z518" s="89"/>
      <c r="AA518" s="97"/>
      <c r="AB518" s="91"/>
      <c r="AC518" s="120"/>
      <c r="AD518" s="89"/>
      <c r="AE518" s="89"/>
      <c r="AF518" s="99"/>
      <c r="AG518" s="99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93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1"/>
      <c r="P519" s="95"/>
      <c r="Q519" s="145"/>
      <c r="R519" s="96"/>
      <c r="S519" s="97"/>
      <c r="T519" s="97"/>
      <c r="U519" s="97"/>
      <c r="V519" s="93"/>
      <c r="W519" s="89"/>
      <c r="X519" s="89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93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1"/>
      <c r="P520" s="95"/>
      <c r="Q520" s="145"/>
      <c r="R520" s="96"/>
      <c r="S520" s="97"/>
      <c r="T520" s="97"/>
      <c r="U520" s="97"/>
      <c r="V520" s="93"/>
      <c r="W520" s="89"/>
      <c r="X520" s="89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93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1"/>
      <c r="P521" s="95"/>
      <c r="Q521" s="145"/>
      <c r="R521" s="96"/>
      <c r="S521" s="97"/>
      <c r="T521" s="97"/>
      <c r="U521" s="97"/>
      <c r="V521" s="93"/>
      <c r="W521" s="89"/>
      <c r="X521" s="89"/>
      <c r="Y521" s="98"/>
      <c r="Z521" s="89"/>
      <c r="AA521" s="97"/>
      <c r="AB521" s="91"/>
      <c r="AC521" s="120"/>
      <c r="AD521" s="89"/>
      <c r="AE521" s="89"/>
      <c r="AF521" s="99"/>
      <c r="AG521" s="95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93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1"/>
      <c r="P522" s="95"/>
      <c r="Q522" s="145"/>
      <c r="R522" s="97"/>
      <c r="S522" s="97"/>
      <c r="T522" s="97"/>
      <c r="U522" s="97"/>
      <c r="V522" s="93"/>
      <c r="W522" s="123"/>
      <c r="X522" s="89"/>
      <c r="Y522" s="98"/>
      <c r="Z522" s="89"/>
      <c r="AA522" s="97"/>
      <c r="AB522" s="91"/>
      <c r="AC522" s="120"/>
      <c r="AD522" s="89"/>
      <c r="AE522" s="89"/>
      <c r="AF522" s="99"/>
      <c r="AG522" s="95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93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1"/>
      <c r="P523" s="95"/>
      <c r="Q523" s="145"/>
      <c r="R523" s="97"/>
      <c r="S523" s="97"/>
      <c r="T523" s="97"/>
      <c r="U523" s="97"/>
      <c r="V523" s="93"/>
      <c r="W523" s="93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93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1"/>
      <c r="P524" s="95"/>
      <c r="Q524" s="145"/>
      <c r="R524" s="97"/>
      <c r="S524" s="97"/>
      <c r="T524" s="97"/>
      <c r="U524" s="97"/>
      <c r="V524" s="93"/>
      <c r="W524" s="93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93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1"/>
      <c r="P525" s="95"/>
      <c r="Q525" s="145"/>
      <c r="R525" s="97"/>
      <c r="S525" s="97"/>
      <c r="T525" s="97"/>
      <c r="U525" s="97"/>
      <c r="V525" s="93"/>
      <c r="W525" s="93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93"/>
      <c r="C526" s="91"/>
      <c r="D526" s="89"/>
      <c r="E526" s="112"/>
      <c r="F526" s="221"/>
      <c r="G526" s="92"/>
      <c r="H526" s="93"/>
      <c r="I526" s="92"/>
      <c r="J526" s="89"/>
      <c r="K526" s="89"/>
      <c r="L526" s="89"/>
      <c r="M526" s="89"/>
      <c r="N526" s="89"/>
      <c r="O526" s="91"/>
      <c r="P526" s="95"/>
      <c r="Q526" s="145"/>
      <c r="R526" s="97"/>
      <c r="S526" s="97"/>
      <c r="T526" s="97"/>
      <c r="U526" s="97"/>
      <c r="V526" s="93"/>
      <c r="W526" s="93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93"/>
      <c r="C527" s="91"/>
      <c r="D527" s="89"/>
      <c r="E527" s="112"/>
      <c r="F527" s="221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93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93"/>
      <c r="X528" s="93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89"/>
      <c r="Y529" s="98"/>
      <c r="Z529" s="89"/>
      <c r="AA529" s="97"/>
      <c r="AB529" s="91"/>
      <c r="AC529" s="120"/>
      <c r="AD529" s="89"/>
      <c r="AE529" s="89"/>
      <c r="AF529" s="95"/>
      <c r="AG529" s="95"/>
      <c r="AH529" s="95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5"/>
      <c r="AG530" s="95"/>
      <c r="AH530" s="95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7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5"/>
      <c r="AG531" s="95"/>
      <c r="AH531" s="95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7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5"/>
      <c r="AG532" s="95"/>
      <c r="AH532" s="95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5"/>
      <c r="AG533" s="99"/>
      <c r="AH533" s="95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123"/>
      <c r="Y534" s="98"/>
      <c r="Z534" s="89"/>
      <c r="AA534" s="97"/>
      <c r="AB534" s="91"/>
      <c r="AC534" s="120"/>
      <c r="AD534" s="89"/>
      <c r="AE534" s="89"/>
      <c r="AF534" s="95"/>
      <c r="AG534" s="95"/>
      <c r="AH534" s="95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123"/>
      <c r="Y535" s="98"/>
      <c r="Z535" s="89"/>
      <c r="AA535" s="97"/>
      <c r="AB535" s="91"/>
      <c r="AC535" s="120"/>
      <c r="AD535" s="89"/>
      <c r="AE535" s="89"/>
      <c r="AF535" s="95"/>
      <c r="AG535" s="95"/>
      <c r="AH535" s="95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6"/>
      <c r="S536" s="97"/>
      <c r="T536" s="97"/>
      <c r="U536" s="97"/>
      <c r="V536" s="93"/>
      <c r="W536" s="93"/>
      <c r="X536" s="89"/>
      <c r="Y536" s="98"/>
      <c r="Z536" s="89"/>
      <c r="AA536" s="97"/>
      <c r="AB536" s="91"/>
      <c r="AC536" s="120"/>
      <c r="AD536" s="89"/>
      <c r="AE536" s="89"/>
      <c r="AF536" s="95"/>
      <c r="AG536" s="95"/>
      <c r="AH536" s="95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6"/>
      <c r="S537" s="97"/>
      <c r="T537" s="97"/>
      <c r="U537" s="97"/>
      <c r="V537" s="93"/>
      <c r="W537" s="93"/>
      <c r="X537" s="89"/>
      <c r="Y537" s="98"/>
      <c r="Z537" s="89"/>
      <c r="AA537" s="97"/>
      <c r="AB537" s="91"/>
      <c r="AC537" s="120"/>
      <c r="AD537" s="89"/>
      <c r="AE537" s="89"/>
      <c r="AF537" s="95"/>
      <c r="AG537" s="95"/>
      <c r="AH537" s="95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5"/>
      <c r="AG538" s="95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5"/>
      <c r="AG539" s="95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5"/>
      <c r="AG540" s="95"/>
      <c r="AH540" s="99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12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93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123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6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6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89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144"/>
      <c r="Q548" s="145"/>
      <c r="R548" s="97"/>
      <c r="S548" s="97"/>
      <c r="T548" s="97"/>
      <c r="U548" s="97"/>
      <c r="V548" s="93"/>
      <c r="W548" s="89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144"/>
      <c r="Q549" s="145"/>
      <c r="R549" s="97"/>
      <c r="S549" s="97"/>
      <c r="T549" s="97"/>
      <c r="U549" s="97"/>
      <c r="V549" s="93"/>
      <c r="W549" s="89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144"/>
      <c r="Q550" s="145"/>
      <c r="R550" s="97"/>
      <c r="S550" s="97"/>
      <c r="T550" s="97"/>
      <c r="U550" s="97"/>
      <c r="V550" s="93"/>
      <c r="W550" s="89"/>
      <c r="X550" s="89"/>
      <c r="Y550" s="98"/>
      <c r="Z550" s="89"/>
      <c r="AA550" s="97"/>
      <c r="AB550" s="91"/>
      <c r="AC550" s="120"/>
      <c r="AD550" s="89"/>
      <c r="AE550" s="89"/>
      <c r="AF550" s="95"/>
      <c r="AG550" s="95"/>
      <c r="AH550" s="95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144"/>
      <c r="Q551" s="145"/>
      <c r="R551" s="97"/>
      <c r="S551" s="97"/>
      <c r="T551" s="97"/>
      <c r="U551" s="97"/>
      <c r="V551" s="93"/>
      <c r="W551" s="89"/>
      <c r="X551" s="89"/>
      <c r="Y551" s="98"/>
      <c r="Z551" s="89"/>
      <c r="AA551" s="97"/>
      <c r="AB551" s="91"/>
      <c r="AC551" s="120"/>
      <c r="AD551" s="89"/>
      <c r="AE551" s="89"/>
      <c r="AF551" s="95"/>
      <c r="AG551" s="95"/>
      <c r="AH551" s="95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144"/>
      <c r="Q552" s="145"/>
      <c r="R552" s="97"/>
      <c r="S552" s="97"/>
      <c r="T552" s="97"/>
      <c r="U552" s="97"/>
      <c r="V552" s="93"/>
      <c r="W552" s="89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144"/>
      <c r="Q553" s="145"/>
      <c r="R553" s="97"/>
      <c r="S553" s="97"/>
      <c r="T553" s="97"/>
      <c r="U553" s="97"/>
      <c r="V553" s="93"/>
      <c r="W553" s="89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144"/>
      <c r="Q554" s="145"/>
      <c r="R554" s="97"/>
      <c r="S554" s="97"/>
      <c r="T554" s="97"/>
      <c r="U554" s="97"/>
      <c r="V554" s="93"/>
      <c r="W554" s="89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144"/>
      <c r="Q555" s="145"/>
      <c r="R555" s="97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144"/>
      <c r="Q556" s="145"/>
      <c r="R556" s="97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U557" s="45"/>
    </row>
    <row r="558" spans="1:47" ht="12" customHeight="1" x14ac:dyDescent="0.3">
      <c r="AU558" s="45"/>
    </row>
    <row r="559" spans="1:47" ht="12" customHeight="1" x14ac:dyDescent="0.3">
      <c r="AU559" s="45"/>
    </row>
    <row r="560" spans="1:47" ht="12" customHeight="1" x14ac:dyDescent="0.3">
      <c r="AU560" s="45"/>
    </row>
    <row r="561" spans="47:47" ht="12" customHeight="1" x14ac:dyDescent="0.3">
      <c r="AU561" s="45"/>
    </row>
    <row r="562" spans="47:47" ht="12" customHeight="1" x14ac:dyDescent="0.3">
      <c r="AU562" s="45"/>
    </row>
    <row r="563" spans="47:47" ht="12" customHeight="1" x14ac:dyDescent="0.3">
      <c r="AU563" s="45"/>
    </row>
    <row r="564" spans="47:47" ht="12" customHeight="1" x14ac:dyDescent="0.3">
      <c r="AU564" s="45"/>
    </row>
    <row r="565" spans="47:47" ht="12" customHeight="1" x14ac:dyDescent="0.3">
      <c r="AU565" s="45"/>
    </row>
    <row r="566" spans="47:47" ht="12" customHeight="1" x14ac:dyDescent="0.3">
      <c r="AU566" s="45"/>
    </row>
    <row r="567" spans="47:47" ht="12" customHeight="1" x14ac:dyDescent="0.3">
      <c r="AU567" s="45"/>
    </row>
    <row r="568" spans="47:47" ht="12" customHeight="1" x14ac:dyDescent="0.3">
      <c r="AU568" s="45"/>
    </row>
    <row r="569" spans="47:47" ht="12" customHeight="1" x14ac:dyDescent="0.3">
      <c r="AU569" s="45"/>
    </row>
    <row r="570" spans="47:47" ht="12" customHeight="1" x14ac:dyDescent="0.3">
      <c r="AU570" s="45"/>
    </row>
    <row r="571" spans="47:47" ht="12" customHeight="1" x14ac:dyDescent="0.3">
      <c r="AU571" s="45"/>
    </row>
    <row r="572" spans="47:47" ht="12" customHeight="1" x14ac:dyDescent="0.3">
      <c r="AU572" s="45"/>
    </row>
    <row r="573" spans="47:47" ht="12" customHeight="1" x14ac:dyDescent="0.3">
      <c r="AU573" s="45"/>
    </row>
    <row r="574" spans="47:47" ht="12" customHeight="1" x14ac:dyDescent="0.3">
      <c r="AU574" s="45"/>
    </row>
    <row r="575" spans="47:47" ht="12" customHeight="1" x14ac:dyDescent="0.3">
      <c r="AU575" s="45"/>
    </row>
    <row r="576" spans="47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</sheetData>
  <autoFilter ref="A1:AU384" xr:uid="{9931A248-8A11-4D8E-BACD-A0C0D59E4D18}">
    <filterColumn colId="16">
      <filters>
        <filter val="1. Aceitou o programa"/>
      </filters>
    </filterColumn>
  </autoFilter>
  <conditionalFormatting sqref="A1:A117 A119:A556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57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230 E232:F1048576">
    <cfRule type="duplicateValues" dxfId="21" priority="2"/>
  </conditionalFormatting>
  <conditionalFormatting sqref="E2:F117">
    <cfRule type="duplicateValues" dxfId="20" priority="20"/>
  </conditionalFormatting>
  <conditionalFormatting sqref="E231:F231">
    <cfRule type="duplicateValues" dxfId="19" priority="1"/>
  </conditionalFormatting>
  <conditionalFormatting sqref="F1">
    <cfRule type="duplicateValues" dxfId="18" priority="6"/>
    <cfRule type="duplicateValues" dxfId="17" priority="8"/>
  </conditionalFormatting>
  <conditionalFormatting sqref="F2:F117">
    <cfRule type="duplicateValues" dxfId="16" priority="19"/>
  </conditionalFormatting>
  <conditionalFormatting sqref="F229:F230 F24:F117 F232:F383">
    <cfRule type="duplicateValues" dxfId="15" priority="252"/>
  </conditionalFormatting>
  <conditionalFormatting sqref="F384:F483">
    <cfRule type="duplicateValues" dxfId="14" priority="21"/>
    <cfRule type="duplicateValues" dxfId="13" priority="22"/>
  </conditionalFormatting>
  <conditionalFormatting sqref="F484:F556">
    <cfRule type="duplicateValues" dxfId="12" priority="23"/>
  </conditionalFormatting>
  <conditionalFormatting sqref="F557:F1048576">
    <cfRule type="duplicateValues" dxfId="11" priority="143"/>
    <cfRule type="duplicateValues" dxfId="10" priority="144"/>
  </conditionalFormatting>
  <conditionalFormatting sqref="J1:J117 J229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117 K229:K383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55A8CD58-2A39-4EDC-A1EF-570999CD4FD9}">
          <x14:formula1>
            <xm:f>'Lista Suspensa'!$D$2:$D$10</xm:f>
          </x14:formula1>
          <xm:sqref>C2:C117 C229:C1048576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D2:D117 D229:D1048576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AK10 AK47 AK84 AK92 AI2:AI1048576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AK2:AK9 AK11:AK46 AK48:AK83 AK85:AK91 AK93:AK1048576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A2:A117 A119:A1048576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E10" sqref="E10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1" t="s">
        <v>37</v>
      </c>
      <c r="C2" s="81" t="s">
        <v>64</v>
      </c>
    </row>
    <row r="3" spans="1:31" x14ac:dyDescent="0.3">
      <c r="B3" s="211" t="s">
        <v>2</v>
      </c>
      <c r="C3" s="81"/>
      <c r="F3" s="40"/>
    </row>
    <row r="4" spans="1:31" x14ac:dyDescent="0.3">
      <c r="B4" s="211" t="s">
        <v>650</v>
      </c>
      <c r="C4" s="81" t="s">
        <v>651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2" t="s">
        <v>38</v>
      </c>
      <c r="C7" s="82">
        <v>46143</v>
      </c>
      <c r="D7" t="s">
        <v>652</v>
      </c>
    </row>
    <row r="9" spans="1:31" x14ac:dyDescent="0.3">
      <c r="B9" s="213" t="s">
        <v>653</v>
      </c>
      <c r="C9" s="78">
        <v>46023</v>
      </c>
    </row>
    <row r="10" spans="1:31" x14ac:dyDescent="0.3">
      <c r="B10" s="213" t="s">
        <v>654</v>
      </c>
      <c r="C10" s="78">
        <v>46165</v>
      </c>
    </row>
    <row r="12" spans="1:31" s="219" customFormat="1" x14ac:dyDescent="0.3">
      <c r="A12" s="217"/>
      <c r="B12" s="218" t="s">
        <v>655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 x14ac:dyDescent="0.3">
      <c r="B14" s="255" t="s">
        <v>16</v>
      </c>
      <c r="C14" s="176" t="s">
        <v>39</v>
      </c>
      <c r="D14" s="176"/>
      <c r="E14" s="176"/>
      <c r="F14" s="176"/>
      <c r="G14" s="176"/>
      <c r="H14" s="176" t="s">
        <v>656</v>
      </c>
      <c r="I14" s="176"/>
      <c r="K14" s="255" t="s">
        <v>657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658</v>
      </c>
      <c r="U14" s="77" t="s">
        <v>659</v>
      </c>
      <c r="W14" s="186" t="s">
        <v>657</v>
      </c>
      <c r="X14" s="186"/>
      <c r="Y14" s="186"/>
    </row>
    <row r="15" spans="1:31" x14ac:dyDescent="0.3">
      <c r="B15" s="255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658</v>
      </c>
      <c r="I15" s="176" t="s">
        <v>659</v>
      </c>
      <c r="K15" s="255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656</v>
      </c>
      <c r="S15" s="193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56</v>
      </c>
      <c r="U15" s="80">
        <f t="shared" ref="U15:U40" si="0">IFERROR(T15/$T$40,0)</f>
        <v>0.48275862068965519</v>
      </c>
      <c r="W15" s="187" t="s">
        <v>660</v>
      </c>
      <c r="X15" s="187"/>
      <c r="Y15" s="188">
        <f>IFERROR(T15/T40,0)</f>
        <v>0.48275862068965519</v>
      </c>
    </row>
    <row r="16" spans="1:31" x14ac:dyDescent="0.3">
      <c r="B16" s="194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56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43</v>
      </c>
      <c r="H16" s="44">
        <f>SUM(C16:G16)</f>
        <v>99</v>
      </c>
      <c r="I16" s="49">
        <f t="shared" ref="I16:I41" si="1">+IFERROR(H16/$H$41,0)</f>
        <v>0.43612334801762115</v>
      </c>
      <c r="K16" s="36" t="s">
        <v>651</v>
      </c>
      <c r="L16" s="36">
        <f t="shared" ref="L16:Q16" si="2">+C41</f>
        <v>0</v>
      </c>
      <c r="M16" s="36">
        <f t="shared" si="2"/>
        <v>115</v>
      </c>
      <c r="N16" s="36">
        <f t="shared" si="2"/>
        <v>1</v>
      </c>
      <c r="O16" s="36">
        <f t="shared" si="2"/>
        <v>0</v>
      </c>
      <c r="P16" s="36">
        <f t="shared" si="2"/>
        <v>111</v>
      </c>
      <c r="Q16" s="44">
        <f t="shared" si="2"/>
        <v>227</v>
      </c>
      <c r="S16" s="206" t="s">
        <v>661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662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7.2321428571428568</v>
      </c>
    </row>
    <row r="17" spans="2:25" x14ac:dyDescent="0.3">
      <c r="B17" s="195" t="s">
        <v>661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57</v>
      </c>
      <c r="L17" s="38">
        <f t="shared" ref="L17:Q17" si="4">+C16</f>
        <v>0</v>
      </c>
      <c r="M17" s="38">
        <f t="shared" si="4"/>
        <v>56</v>
      </c>
      <c r="N17" s="38">
        <f t="shared" si="4"/>
        <v>0</v>
      </c>
      <c r="O17" s="38">
        <f t="shared" si="4"/>
        <v>0</v>
      </c>
      <c r="P17" s="38">
        <f t="shared" si="4"/>
        <v>43</v>
      </c>
      <c r="Q17" s="39">
        <f t="shared" si="4"/>
        <v>99</v>
      </c>
      <c r="S17" s="193" t="s">
        <v>663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664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2.0227272727272729</v>
      </c>
    </row>
    <row r="18" spans="2:25" x14ac:dyDescent="0.3">
      <c r="B18" s="194" t="s">
        <v>663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660</v>
      </c>
      <c r="L18" s="41" t="str">
        <f t="shared" ref="L18:Q18" si="5">IFERROR(L17/L16,"")</f>
        <v/>
      </c>
      <c r="M18" s="41">
        <f t="shared" si="5"/>
        <v>0.48695652173913045</v>
      </c>
      <c r="N18" s="41">
        <f t="shared" si="5"/>
        <v>0</v>
      </c>
      <c r="O18" s="41" t="str">
        <f t="shared" si="5"/>
        <v/>
      </c>
      <c r="P18" s="41">
        <f t="shared" si="5"/>
        <v>0.38738738738738737</v>
      </c>
      <c r="Q18" s="49">
        <f t="shared" si="5"/>
        <v>0.43612334801762115</v>
      </c>
      <c r="S18" s="206" t="s">
        <v>665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666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5.5486111111113132</v>
      </c>
    </row>
    <row r="19" spans="2:25" x14ac:dyDescent="0.3">
      <c r="B19" s="195" t="s">
        <v>665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662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7.2321428571428568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9.8372093023255811</v>
      </c>
      <c r="Q19" s="181">
        <f>IFERROR(SUMIFS(Consolidado!AQ:AQ,Consolidado!$AM:$AM,Análise!$C$7,Consolidado!$AL:$AL,IF(ISBLANK($C$2),"&lt;&gt;",$C$2),Consolidado!$C:$C,IF(ISBLANK($C$3),"&lt;&gt;",$C$3))/$Q17,0)</f>
        <v>8.3636363636363633</v>
      </c>
      <c r="S19" s="193" t="s">
        <v>381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667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 x14ac:dyDescent="0.3">
      <c r="B20" s="194" t="s">
        <v>381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1</v>
      </c>
      <c r="H20" s="44">
        <f t="shared" si="3"/>
        <v>1</v>
      </c>
      <c r="I20" s="49">
        <f t="shared" si="1"/>
        <v>4.4052863436123352E-3</v>
      </c>
      <c r="K20" s="194" t="s">
        <v>664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2.0227272727272729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2.0227272727272729</v>
      </c>
      <c r="S20" s="206" t="s">
        <v>668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669</v>
      </c>
      <c r="X20" s="208"/>
      <c r="Y20" s="209">
        <f>IFERROR((T15+T37)/T40,"")</f>
        <v>0.48275862068965519</v>
      </c>
    </row>
    <row r="21" spans="2:25" x14ac:dyDescent="0.3">
      <c r="B21" s="195" t="s">
        <v>668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666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5.5486111111113132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5.5486111111113132</v>
      </c>
      <c r="S21" s="193" t="s">
        <v>670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4" t="s">
        <v>670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671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672</v>
      </c>
      <c r="X22" s="77" t="s">
        <v>658</v>
      </c>
      <c r="Y22" s="77" t="s">
        <v>659</v>
      </c>
    </row>
    <row r="23" spans="2:25" x14ac:dyDescent="0.3">
      <c r="B23" s="195" t="s">
        <v>671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223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1</v>
      </c>
      <c r="U23" s="80">
        <f t="shared" si="0"/>
        <v>8.6206896551724137E-3</v>
      </c>
      <c r="W23" s="185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25</v>
      </c>
      <c r="Y23" s="80">
        <f>IFERROR(X23/SUM($X$23:$X$24),"")</f>
        <v>0.44642857142857145</v>
      </c>
    </row>
    <row r="24" spans="2:25" x14ac:dyDescent="0.3">
      <c r="B24" s="194" t="s">
        <v>223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1</v>
      </c>
      <c r="I24" s="49">
        <f t="shared" si="1"/>
        <v>4.4052863436123352E-3</v>
      </c>
      <c r="K24" s="255" t="s">
        <v>657</v>
      </c>
      <c r="L24" s="176" t="s">
        <v>39</v>
      </c>
      <c r="M24" s="176"/>
      <c r="N24" s="176"/>
      <c r="O24" s="176"/>
      <c r="P24" s="176"/>
      <c r="Q24" s="176"/>
      <c r="S24" s="206" t="s">
        <v>673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74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31</v>
      </c>
      <c r="Y24" s="183">
        <f>IFERROR(X24/SUM($X$23:$X$24),"")</f>
        <v>0.5535714285714286</v>
      </c>
    </row>
    <row r="25" spans="2:25" x14ac:dyDescent="0.3">
      <c r="B25" s="195" t="s">
        <v>673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55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656</v>
      </c>
      <c r="S25" s="193" t="s">
        <v>674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4" t="s">
        <v>674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667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6" t="s">
        <v>675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 x14ac:dyDescent="0.3">
      <c r="B27" s="195" t="s">
        <v>675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676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4" t="s">
        <v>676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677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3">
        <f t="shared" si="0"/>
        <v>0</v>
      </c>
    </row>
    <row r="29" spans="2:25" x14ac:dyDescent="0.3">
      <c r="B29" s="195" t="s">
        <v>677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55" t="s">
        <v>657</v>
      </c>
      <c r="L29" s="176" t="s">
        <v>39</v>
      </c>
      <c r="M29" s="176"/>
      <c r="N29" s="176"/>
      <c r="O29" s="176"/>
      <c r="P29" s="176"/>
      <c r="Q29" s="176"/>
      <c r="S29" s="193" t="s">
        <v>678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4" t="s">
        <v>678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55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656</v>
      </c>
      <c r="S30" s="206" t="s">
        <v>679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 x14ac:dyDescent="0.3">
      <c r="B31" s="195" t="s">
        <v>679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669</v>
      </c>
      <c r="L31" s="183" t="str">
        <f t="shared" ref="L31:Q31" si="6">IFERROR((C16+C38)/C41,"")</f>
        <v/>
      </c>
      <c r="M31" s="183">
        <f t="shared" si="6"/>
        <v>0.48695652173913045</v>
      </c>
      <c r="N31" s="183">
        <f t="shared" si="6"/>
        <v>0</v>
      </c>
      <c r="O31" s="183" t="str">
        <f t="shared" si="6"/>
        <v/>
      </c>
      <c r="P31" s="183">
        <f t="shared" si="6"/>
        <v>0.99099099099099097</v>
      </c>
      <c r="Q31" s="184">
        <f t="shared" si="6"/>
        <v>0.7312775330396476</v>
      </c>
      <c r="S31" s="193" t="s">
        <v>680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94" t="s">
        <v>680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6" t="s">
        <v>681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 x14ac:dyDescent="0.3">
      <c r="B33" s="195" t="s">
        <v>681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682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4" t="s">
        <v>682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672</v>
      </c>
      <c r="L34" s="37" t="s">
        <v>658</v>
      </c>
      <c r="M34" s="176" t="s">
        <v>659</v>
      </c>
      <c r="S34" s="206" t="s">
        <v>683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 x14ac:dyDescent="0.3">
      <c r="B35" s="195" t="s">
        <v>683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38</v>
      </c>
      <c r="M35" s="41">
        <f>IFERROR(L35/SUM($L$35:$L$36),"")</f>
        <v>0.38383838383838381</v>
      </c>
      <c r="S35" s="193" t="s">
        <v>684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4" t="s">
        <v>684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74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61</v>
      </c>
      <c r="M36" s="42">
        <f>IFERROR(L36/SUM($L$35:$L$36),"")</f>
        <v>0.61616161616161613</v>
      </c>
      <c r="S36" s="206" t="s">
        <v>229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59</v>
      </c>
      <c r="U36" s="183">
        <f t="shared" si="0"/>
        <v>0.50862068965517238</v>
      </c>
    </row>
    <row r="37" spans="1:31" x14ac:dyDescent="0.3">
      <c r="B37" s="195" t="s">
        <v>229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58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59</v>
      </c>
      <c r="I37" s="43">
        <f t="shared" si="1"/>
        <v>0.25991189427312777</v>
      </c>
      <c r="S37" s="193" t="s">
        <v>358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0</v>
      </c>
      <c r="U37" s="80">
        <f t="shared" si="0"/>
        <v>0</v>
      </c>
    </row>
    <row r="38" spans="1:31" x14ac:dyDescent="0.3">
      <c r="B38" s="194" t="s">
        <v>358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67</v>
      </c>
      <c r="H38" s="44">
        <f t="shared" si="3"/>
        <v>67</v>
      </c>
      <c r="I38" s="49">
        <f t="shared" si="1"/>
        <v>0.29515418502202645</v>
      </c>
      <c r="S38" s="206" t="s">
        <v>685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 x14ac:dyDescent="0.3">
      <c r="B39" s="195" t="s">
        <v>685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686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4" t="s">
        <v>686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651</v>
      </c>
      <c r="T40" s="39">
        <f>SUM(T15:T39)</f>
        <v>116</v>
      </c>
      <c r="U40" s="184">
        <f t="shared" si="0"/>
        <v>1</v>
      </c>
    </row>
    <row r="41" spans="1:31" x14ac:dyDescent="0.3">
      <c r="B41" s="39" t="s">
        <v>651</v>
      </c>
      <c r="C41" s="39">
        <f t="shared" ref="C41:H41" si="7">SUM(C16:C40)</f>
        <v>0</v>
      </c>
      <c r="D41" s="39">
        <f t="shared" si="7"/>
        <v>115</v>
      </c>
      <c r="E41" s="39">
        <f t="shared" si="7"/>
        <v>1</v>
      </c>
      <c r="F41" s="39">
        <f t="shared" si="7"/>
        <v>0</v>
      </c>
      <c r="G41" s="39">
        <f t="shared" si="7"/>
        <v>111</v>
      </c>
      <c r="H41" s="39">
        <f t="shared" si="7"/>
        <v>227</v>
      </c>
      <c r="I41" s="43">
        <f t="shared" si="1"/>
        <v>1</v>
      </c>
    </row>
    <row r="43" spans="1:31" s="219" customFormat="1" x14ac:dyDescent="0.3">
      <c r="A43" s="217"/>
      <c r="B43" s="218" t="s">
        <v>687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 x14ac:dyDescent="0.3">
      <c r="B45" s="255" t="s">
        <v>16</v>
      </c>
      <c r="C45" s="176" t="s">
        <v>39</v>
      </c>
      <c r="D45" s="176"/>
      <c r="E45" s="176"/>
      <c r="F45" s="176"/>
      <c r="G45" s="176"/>
      <c r="H45" s="256" t="s">
        <v>656</v>
      </c>
    </row>
    <row r="46" spans="1:31" x14ac:dyDescent="0.3">
      <c r="B46" s="255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57"/>
    </row>
    <row r="47" spans="1:31" x14ac:dyDescent="0.3">
      <c r="B47" s="194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51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</v>
      </c>
      <c r="H47" s="44">
        <f>SUM(C47:G47)</f>
        <v>57</v>
      </c>
    </row>
    <row r="49" spans="1:31" x14ac:dyDescent="0.3">
      <c r="B49" s="77" t="s">
        <v>16</v>
      </c>
      <c r="C49" s="77" t="s">
        <v>688</v>
      </c>
    </row>
    <row r="50" spans="1:31" x14ac:dyDescent="0.3">
      <c r="B50" s="193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56</v>
      </c>
    </row>
    <row r="52" spans="1:31" s="219" customFormat="1" x14ac:dyDescent="0.3">
      <c r="A52" s="217"/>
      <c r="B52" s="218" t="s">
        <v>689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 x14ac:dyDescent="0.3">
      <c r="B54" s="251" t="s">
        <v>690</v>
      </c>
      <c r="C54" s="176" t="s">
        <v>39</v>
      </c>
      <c r="D54" s="176"/>
      <c r="E54" s="176"/>
      <c r="F54" s="176"/>
      <c r="G54" s="176"/>
      <c r="H54" s="176"/>
      <c r="K54" s="252" t="s">
        <v>690</v>
      </c>
      <c r="L54" s="253" t="s">
        <v>688</v>
      </c>
    </row>
    <row r="55" spans="1:31" x14ac:dyDescent="0.3">
      <c r="B55" s="251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651</v>
      </c>
      <c r="K55" s="252"/>
      <c r="L55" s="254"/>
    </row>
    <row r="56" spans="1:31" x14ac:dyDescent="0.3">
      <c r="B56" s="47" t="s">
        <v>691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691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692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692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693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693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94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4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4</v>
      </c>
      <c r="K59" s="48" t="s">
        <v>94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60" spans="1:31" x14ac:dyDescent="0.3">
      <c r="B60" s="47" t="s">
        <v>100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2</v>
      </c>
      <c r="K60" s="204" t="s">
        <v>100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1" spans="1:31" x14ac:dyDescent="0.3">
      <c r="B61" s="48" t="s">
        <v>694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694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651</v>
      </c>
      <c r="C62" s="44">
        <f>SUM(C56:C61)</f>
        <v>0</v>
      </c>
      <c r="D62" s="44">
        <f>SUM(D56:D61)</f>
        <v>6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6</v>
      </c>
      <c r="K62" s="204" t="s">
        <v>651</v>
      </c>
      <c r="L62" s="205">
        <f>SUM(L56:L61)</f>
        <v>6</v>
      </c>
    </row>
    <row r="64" spans="1:31" x14ac:dyDescent="0.3">
      <c r="B64" s="251" t="s">
        <v>695</v>
      </c>
      <c r="C64" s="176" t="s">
        <v>39</v>
      </c>
      <c r="D64" s="176"/>
      <c r="E64" s="176"/>
      <c r="F64" s="176"/>
      <c r="G64" s="176"/>
      <c r="H64" s="176"/>
      <c r="K64" s="252" t="s">
        <v>695</v>
      </c>
      <c r="L64" s="253" t="s">
        <v>688</v>
      </c>
    </row>
    <row r="65" spans="1:31" x14ac:dyDescent="0.3">
      <c r="B65" s="251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651</v>
      </c>
      <c r="K65" s="252"/>
      <c r="L65" s="254"/>
    </row>
    <row r="66" spans="1:31" x14ac:dyDescent="0.3">
      <c r="B66" s="47" t="s">
        <v>691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691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692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692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696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696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 x14ac:dyDescent="0.3">
      <c r="A70" s="217"/>
      <c r="B70" s="218" t="s">
        <v>697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 x14ac:dyDescent="0.3">
      <c r="B72" s="35" t="s">
        <v>698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656</v>
      </c>
      <c r="K72" s="76" t="s">
        <v>698</v>
      </c>
      <c r="L72" s="214" t="s">
        <v>688</v>
      </c>
    </row>
    <row r="73" spans="1:31" x14ac:dyDescent="0.3">
      <c r="B73" s="47" t="s">
        <v>95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1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4" t="s">
        <v>95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4" spans="1:31" x14ac:dyDescent="0.3">
      <c r="B74" s="48" t="s">
        <v>197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1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1</v>
      </c>
      <c r="K74" s="48" t="s">
        <v>197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5" spans="1:31" x14ac:dyDescent="0.3">
      <c r="B75" s="47" t="s">
        <v>225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4" t="s">
        <v>225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651</v>
      </c>
      <c r="C76" s="39">
        <f>SUM(C73:C75)</f>
        <v>0</v>
      </c>
      <c r="D76" s="39">
        <f t="shared" ref="D76:H76" si="10">SUM(D73:D75)</f>
        <v>2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2</v>
      </c>
      <c r="K76" s="48" t="s">
        <v>651</v>
      </c>
      <c r="L76" s="39">
        <f>SUM(L73:L75)</f>
        <v>2</v>
      </c>
    </row>
    <row r="78" spans="1:31" x14ac:dyDescent="0.3">
      <c r="B78" s="35" t="s">
        <v>699</v>
      </c>
      <c r="C78" s="46" t="s">
        <v>656</v>
      </c>
      <c r="K78" s="76" t="s">
        <v>699</v>
      </c>
      <c r="L78" s="214" t="s">
        <v>688</v>
      </c>
    </row>
    <row r="79" spans="1:31" x14ac:dyDescent="0.3">
      <c r="B79" s="47" t="s">
        <v>95</v>
      </c>
      <c r="C79" s="49">
        <f>IFERROR(H73/$H$76,"")</f>
        <v>0.5</v>
      </c>
      <c r="K79" s="204" t="s">
        <v>95</v>
      </c>
      <c r="L79" s="215">
        <f>IFERROR(L73/$L$76,"")</f>
        <v>0.5</v>
      </c>
    </row>
    <row r="80" spans="1:31" x14ac:dyDescent="0.3">
      <c r="B80" s="48" t="s">
        <v>197</v>
      </c>
      <c r="C80" s="50">
        <f>IFERROR(H74/$H$76,"")</f>
        <v>0.5</v>
      </c>
      <c r="K80" s="48" t="s">
        <v>197</v>
      </c>
      <c r="L80" s="50">
        <f>IFERROR(L74/$L$76,"")</f>
        <v>0.5</v>
      </c>
    </row>
    <row r="81" spans="1:31" x14ac:dyDescent="0.3">
      <c r="B81" s="47" t="s">
        <v>225</v>
      </c>
      <c r="C81" s="51">
        <f>IFERROR(H75/$H$76,"")</f>
        <v>0</v>
      </c>
      <c r="K81" s="204" t="s">
        <v>225</v>
      </c>
      <c r="L81" s="216">
        <f>IFERROR(L75/$L$76,"")</f>
        <v>0</v>
      </c>
    </row>
    <row r="83" spans="1:31" s="219" customFormat="1" x14ac:dyDescent="0.3">
      <c r="A83" s="217"/>
      <c r="B83" s="218" t="s">
        <v>700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 x14ac:dyDescent="0.3">
      <c r="B85" s="35" t="s">
        <v>701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656</v>
      </c>
      <c r="K85" s="76" t="s">
        <v>701</v>
      </c>
      <c r="L85" s="214" t="s">
        <v>688</v>
      </c>
    </row>
    <row r="86" spans="1:31" x14ac:dyDescent="0.3">
      <c r="B86" s="47" t="s">
        <v>61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57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1</v>
      </c>
      <c r="H86" s="44">
        <f>SUM(C86:G86)</f>
        <v>58</v>
      </c>
      <c r="K86" s="204" t="s">
        <v>61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57</v>
      </c>
    </row>
    <row r="87" spans="1:31" x14ac:dyDescent="0.3">
      <c r="B87" s="48" t="s">
        <v>702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702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703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703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651</v>
      </c>
      <c r="C89" s="39">
        <f>SUM(C86:C88)</f>
        <v>0</v>
      </c>
      <c r="D89" s="39">
        <f t="shared" ref="D89:H89" si="12">SUM(D86:D88)</f>
        <v>57</v>
      </c>
      <c r="E89" s="39">
        <f t="shared" si="12"/>
        <v>0</v>
      </c>
      <c r="F89" s="39">
        <f t="shared" si="12"/>
        <v>0</v>
      </c>
      <c r="G89" s="39">
        <f t="shared" si="12"/>
        <v>1</v>
      </c>
      <c r="H89" s="39">
        <f t="shared" si="12"/>
        <v>58</v>
      </c>
      <c r="K89" s="48" t="s">
        <v>651</v>
      </c>
      <c r="L89" s="39">
        <f>SUM(L86:L88)</f>
        <v>57</v>
      </c>
    </row>
    <row r="91" spans="1:31" x14ac:dyDescent="0.3">
      <c r="B91" s="35" t="s">
        <v>704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656</v>
      </c>
      <c r="K91" s="76" t="s">
        <v>704</v>
      </c>
      <c r="L91" s="214" t="s">
        <v>688</v>
      </c>
    </row>
    <row r="92" spans="1:31" x14ac:dyDescent="0.3">
      <c r="B92" s="47" t="s">
        <v>69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13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13</v>
      </c>
      <c r="K92" s="204" t="s">
        <v>69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13</v>
      </c>
    </row>
    <row r="93" spans="1:31" x14ac:dyDescent="0.3">
      <c r="B93" s="48" t="s">
        <v>705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705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706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4" t="s">
        <v>706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115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44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1</v>
      </c>
      <c r="H95" s="39">
        <f t="shared" si="13"/>
        <v>45</v>
      </c>
      <c r="K95" s="48" t="s">
        <v>115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44</v>
      </c>
    </row>
    <row r="96" spans="1:31" x14ac:dyDescent="0.3">
      <c r="B96" s="47" t="s">
        <v>703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4" t="s">
        <v>703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707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707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651</v>
      </c>
      <c r="C98" s="44">
        <f t="shared" ref="C98:H98" si="14">SUM(C92:C97)</f>
        <v>0</v>
      </c>
      <c r="D98" s="44">
        <f t="shared" si="14"/>
        <v>57</v>
      </c>
      <c r="E98" s="44">
        <f t="shared" si="14"/>
        <v>0</v>
      </c>
      <c r="F98" s="44">
        <f t="shared" si="14"/>
        <v>0</v>
      </c>
      <c r="G98" s="44">
        <f t="shared" si="14"/>
        <v>1</v>
      </c>
      <c r="H98" s="44">
        <f t="shared" si="14"/>
        <v>58</v>
      </c>
      <c r="K98" s="204" t="s">
        <v>651</v>
      </c>
      <c r="L98" s="205">
        <f>SUM(L92:L97)</f>
        <v>57</v>
      </c>
    </row>
    <row r="100" spans="1:31" s="219" customFormat="1" x14ac:dyDescent="0.3">
      <c r="A100" s="217"/>
      <c r="B100" s="218" t="s">
        <v>708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 x14ac:dyDescent="0.3">
      <c r="E101" s="40"/>
      <c r="F101" s="40"/>
    </row>
    <row r="102" spans="1:31" x14ac:dyDescent="0.3">
      <c r="B102" s="251" t="s">
        <v>3</v>
      </c>
      <c r="C102" s="176" t="s">
        <v>39</v>
      </c>
      <c r="D102" s="176"/>
      <c r="E102" s="176"/>
      <c r="F102" s="176"/>
      <c r="G102" s="176"/>
      <c r="H102" s="176"/>
      <c r="K102" s="252" t="s">
        <v>3</v>
      </c>
      <c r="L102" s="253" t="s">
        <v>688</v>
      </c>
    </row>
    <row r="103" spans="1:31" x14ac:dyDescent="0.3">
      <c r="B103" s="251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651</v>
      </c>
      <c r="K103" s="252"/>
      <c r="L103" s="254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115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111</v>
      </c>
      <c r="H104" s="44">
        <f>SUM(C104:G104)</f>
        <v>227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116</v>
      </c>
    </row>
    <row r="105" spans="1:31" x14ac:dyDescent="0.3">
      <c r="B105" s="48" t="s">
        <v>642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642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709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4" t="s">
        <v>709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8" t="s">
        <v>710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710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711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711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712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712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713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713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651</v>
      </c>
      <c r="C111" s="39">
        <f>SUM(C104:C110)</f>
        <v>0</v>
      </c>
      <c r="D111" s="39">
        <f t="shared" ref="D111:G111" si="16">SUM(D104:D110)</f>
        <v>115</v>
      </c>
      <c r="E111" s="39">
        <f t="shared" si="16"/>
        <v>1</v>
      </c>
      <c r="F111" s="39">
        <f t="shared" si="16"/>
        <v>0</v>
      </c>
      <c r="G111" s="39">
        <f t="shared" si="16"/>
        <v>111</v>
      </c>
      <c r="H111" s="39">
        <f t="shared" si="15"/>
        <v>227</v>
      </c>
      <c r="K111" s="48" t="s">
        <v>651</v>
      </c>
      <c r="L111" s="39">
        <f>SUM(L104:L110)</f>
        <v>116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714</v>
      </c>
      <c r="G1" s="53"/>
      <c r="H1" s="155" t="s">
        <v>37</v>
      </c>
      <c r="I1" s="154" t="s">
        <v>715</v>
      </c>
      <c r="K1" s="71" t="s">
        <v>716</v>
      </c>
      <c r="L1" s="53"/>
      <c r="M1" s="54" t="s">
        <v>37</v>
      </c>
      <c r="N1" s="55" t="s">
        <v>717</v>
      </c>
      <c r="P1" s="158" t="s">
        <v>32</v>
      </c>
      <c r="R1" s="56" t="s">
        <v>718</v>
      </c>
      <c r="T1" s="74" t="s">
        <v>719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720</v>
      </c>
      <c r="AJ1" s="162" t="s">
        <v>35</v>
      </c>
      <c r="AL1" s="161" t="s">
        <v>36</v>
      </c>
      <c r="AN1" s="173" t="s">
        <v>0</v>
      </c>
    </row>
    <row r="2" spans="2:40" ht="15" thickBot="1" x14ac:dyDescent="0.35">
      <c r="B2" s="52" t="s">
        <v>721</v>
      </c>
      <c r="D2" s="148" t="s">
        <v>217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722</v>
      </c>
      <c r="I2" s="150" t="s">
        <v>49</v>
      </c>
      <c r="K2" s="57" t="str" cm="1">
        <f t="array" ref="K2:K46">IF(COUNTIF(Consolidado!$AL:$AL,"Emagrecimento")&lt;&gt;0,_xlfn._xlws.FILTER($N$2:$N$100,$M$2:$M$100&lt;&gt;""),_xlfn._xlws.FILTER($N$2:$N$100,$M$2:$M$100="Outras"))</f>
        <v>Amil Paulistano</v>
      </c>
      <c r="M2" s="79" t="s">
        <v>722</v>
      </c>
      <c r="N2" s="151" t="s">
        <v>691</v>
      </c>
      <c r="P2" s="159" t="s">
        <v>691</v>
      </c>
      <c r="R2" s="59" t="s">
        <v>723</v>
      </c>
      <c r="T2" s="85" t="s">
        <v>95</v>
      </c>
      <c r="V2" s="171" t="s">
        <v>57</v>
      </c>
      <c r="X2" s="169" t="s">
        <v>58</v>
      </c>
      <c r="Z2" s="227" t="s">
        <v>59</v>
      </c>
      <c r="AB2" s="148" t="s">
        <v>61</v>
      </c>
      <c r="AD2" s="159" t="s">
        <v>69</v>
      </c>
      <c r="AF2" s="159" t="s">
        <v>93</v>
      </c>
      <c r="AH2" s="159" t="s">
        <v>63</v>
      </c>
      <c r="AJ2" s="159" t="s">
        <v>62</v>
      </c>
      <c r="AL2" s="159" t="s">
        <v>63</v>
      </c>
      <c r="AN2" s="174" t="s">
        <v>63</v>
      </c>
    </row>
    <row r="3" spans="2:40" ht="15" thickBot="1" x14ac:dyDescent="0.35">
      <c r="D3" s="148" t="s">
        <v>351</v>
      </c>
      <c r="F3" s="68" t="str">
        <v>Casos Prioritário - E-mail</v>
      </c>
      <c r="H3" s="79" t="s">
        <v>722</v>
      </c>
      <c r="I3" s="150" t="s">
        <v>642</v>
      </c>
      <c r="K3" s="60" t="str">
        <v>Samaritano Higi</v>
      </c>
      <c r="M3" s="79" t="s">
        <v>722</v>
      </c>
      <c r="N3" s="151" t="s">
        <v>692</v>
      </c>
      <c r="P3" s="159" t="s">
        <v>692</v>
      </c>
      <c r="R3" s="59" t="s">
        <v>724</v>
      </c>
      <c r="T3" s="84" t="s">
        <v>197</v>
      </c>
      <c r="V3" s="171" t="s">
        <v>661</v>
      </c>
      <c r="X3" s="148" t="s">
        <v>230</v>
      </c>
      <c r="Z3" s="148" t="s">
        <v>359</v>
      </c>
      <c r="AB3" s="167" t="s">
        <v>725</v>
      </c>
      <c r="AD3" s="159" t="s">
        <v>705</v>
      </c>
      <c r="AF3" s="165" t="s">
        <v>99</v>
      </c>
      <c r="AH3" s="159" t="s">
        <v>47</v>
      </c>
      <c r="AJ3" s="163" t="s">
        <v>226</v>
      </c>
      <c r="AL3" s="159" t="s">
        <v>47</v>
      </c>
      <c r="AN3" s="174" t="s">
        <v>47</v>
      </c>
    </row>
    <row r="4" spans="2:40" x14ac:dyDescent="0.3">
      <c r="D4" s="148" t="s">
        <v>48</v>
      </c>
      <c r="F4" s="68" t="str">
        <v>Forms Total Care</v>
      </c>
      <c r="H4" s="79" t="s">
        <v>722</v>
      </c>
      <c r="I4" s="150" t="s">
        <v>709</v>
      </c>
      <c r="K4" s="60" t="str">
        <v>COI -RJ</v>
      </c>
      <c r="M4" s="79" t="s">
        <v>722</v>
      </c>
      <c r="N4" s="151" t="s">
        <v>693</v>
      </c>
      <c r="P4" s="159" t="s">
        <v>696</v>
      </c>
      <c r="R4" s="59" t="s">
        <v>726</v>
      </c>
      <c r="T4" s="84" t="s">
        <v>225</v>
      </c>
      <c r="V4" s="171" t="s">
        <v>663</v>
      </c>
      <c r="X4" s="167" t="s">
        <v>727</v>
      </c>
      <c r="Z4" s="59" t="s">
        <v>224</v>
      </c>
      <c r="AD4" s="159" t="s">
        <v>706</v>
      </c>
      <c r="AF4" s="165" t="s">
        <v>728</v>
      </c>
      <c r="AH4" s="160"/>
      <c r="AJ4" s="160" t="s">
        <v>729</v>
      </c>
      <c r="AL4" s="159" t="s">
        <v>730</v>
      </c>
      <c r="AN4" s="175"/>
    </row>
    <row r="5" spans="2:40" x14ac:dyDescent="0.3">
      <c r="D5" s="73" t="s">
        <v>731</v>
      </c>
      <c r="F5" s="68" t="str">
        <v>GSC</v>
      </c>
      <c r="H5" s="79" t="s">
        <v>722</v>
      </c>
      <c r="I5" s="150" t="s">
        <v>710</v>
      </c>
      <c r="K5" s="60" t="str">
        <v>Interno - Amil Geral</v>
      </c>
      <c r="M5" s="79" t="s">
        <v>722</v>
      </c>
      <c r="N5" s="151" t="s">
        <v>94</v>
      </c>
      <c r="P5" s="160" t="s">
        <v>732</v>
      </c>
      <c r="R5" s="59" t="s">
        <v>733</v>
      </c>
      <c r="T5" s="86" t="s">
        <v>730</v>
      </c>
      <c r="V5" s="171" t="s">
        <v>665</v>
      </c>
      <c r="Z5" s="59"/>
      <c r="AD5" s="159" t="s">
        <v>115</v>
      </c>
      <c r="AF5" s="160"/>
      <c r="AH5" s="83"/>
      <c r="AJ5" s="160" t="s">
        <v>47</v>
      </c>
      <c r="AL5" s="160"/>
    </row>
    <row r="6" spans="2:40" x14ac:dyDescent="0.3">
      <c r="D6" s="73" t="s">
        <v>734</v>
      </c>
      <c r="F6" s="68" t="str">
        <v>Triggers</v>
      </c>
      <c r="H6" s="79" t="s">
        <v>722</v>
      </c>
      <c r="I6" s="150" t="s">
        <v>711</v>
      </c>
      <c r="K6" s="60" t="str">
        <v>Externo - Geral</v>
      </c>
      <c r="M6" s="79" t="s">
        <v>722</v>
      </c>
      <c r="N6" s="151" t="s">
        <v>100</v>
      </c>
      <c r="R6" s="59" t="s">
        <v>735</v>
      </c>
      <c r="V6" s="171" t="s">
        <v>381</v>
      </c>
      <c r="Z6" s="225"/>
      <c r="AD6" s="160" t="s">
        <v>703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722</v>
      </c>
      <c r="I7" s="150" t="s">
        <v>712</v>
      </c>
      <c r="K7" s="60" t="str">
        <v>Não Informou</v>
      </c>
      <c r="M7" s="79" t="s">
        <v>722</v>
      </c>
      <c r="N7" s="151" t="s">
        <v>694</v>
      </c>
      <c r="R7" s="59" t="s">
        <v>736</v>
      </c>
      <c r="V7" s="171" t="s">
        <v>668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722</v>
      </c>
      <c r="I8" s="150" t="s">
        <v>713</v>
      </c>
      <c r="K8" s="60" t="str">
        <v>CMDP - Centro Médico Dom Pedro</v>
      </c>
      <c r="M8" s="79" t="s">
        <v>722</v>
      </c>
      <c r="N8" s="151" t="s">
        <v>737</v>
      </c>
      <c r="R8" s="59" t="s">
        <v>738</v>
      </c>
      <c r="V8" s="171" t="s">
        <v>670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739</v>
      </c>
      <c r="I9" s="152" t="s">
        <v>740</v>
      </c>
      <c r="K9" s="60" t="str">
        <v>Outros</v>
      </c>
      <c r="M9" s="79" t="s">
        <v>722</v>
      </c>
      <c r="N9" s="151" t="s">
        <v>741</v>
      </c>
      <c r="R9" s="59" t="s">
        <v>742</v>
      </c>
      <c r="V9" s="171" t="s">
        <v>671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 x14ac:dyDescent="0.35">
      <c r="D10" s="149"/>
      <c r="F10" s="68" t="str">
        <v>Captado Total Care</v>
      </c>
      <c r="H10" s="38" t="s">
        <v>739</v>
      </c>
      <c r="I10" s="153" t="s">
        <v>743</v>
      </c>
      <c r="K10" s="60" t="str">
        <v>Amil - Hospital Ipiranga Arujá - Ambulatório </v>
      </c>
      <c r="M10" s="79" t="s">
        <v>722</v>
      </c>
      <c r="N10" s="151" t="s">
        <v>744</v>
      </c>
      <c r="R10" s="59" t="s">
        <v>745</v>
      </c>
      <c r="V10" s="171" t="s">
        <v>223</v>
      </c>
      <c r="Z10" s="1" t="s">
        <v>46</v>
      </c>
      <c r="AA10" s="1" t="s">
        <v>359</v>
      </c>
      <c r="AD10" s="83"/>
      <c r="AF10" s="83"/>
      <c r="AJ10" s="83"/>
      <c r="AL10" s="83"/>
    </row>
    <row r="11" spans="2:40" x14ac:dyDescent="0.3">
      <c r="F11" s="68"/>
      <c r="H11" s="38" t="s">
        <v>739</v>
      </c>
      <c r="I11" s="153" t="s">
        <v>746</v>
      </c>
      <c r="K11" s="60" t="str">
        <v>Amil - Hospital Ipiranga Mogi - Ambulatório </v>
      </c>
      <c r="M11" s="79" t="s">
        <v>722</v>
      </c>
      <c r="N11" s="151" t="s">
        <v>747</v>
      </c>
      <c r="R11" s="59" t="s">
        <v>748</v>
      </c>
      <c r="V11" s="171" t="s">
        <v>673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739</v>
      </c>
      <c r="I12" s="153" t="s">
        <v>749</v>
      </c>
      <c r="K12" s="60" t="str">
        <v>Amil - Hospital Metropolitano - Centro Médico </v>
      </c>
      <c r="M12" s="79" t="s">
        <v>722</v>
      </c>
      <c r="N12" s="151" t="s">
        <v>750</v>
      </c>
      <c r="R12" s="59" t="s">
        <v>751</v>
      </c>
      <c r="V12" s="171" t="s">
        <v>674</v>
      </c>
      <c r="Z12" s="1" t="s">
        <v>359</v>
      </c>
      <c r="AA12" s="1" t="s">
        <v>359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739</v>
      </c>
      <c r="I13" s="153" t="s">
        <v>752</v>
      </c>
      <c r="K13" s="60" t="str">
        <v>Amil - Hospital Paulistano - Ambulatório </v>
      </c>
      <c r="M13" s="79" t="s">
        <v>722</v>
      </c>
      <c r="N13" s="151" t="s">
        <v>753</v>
      </c>
      <c r="R13" s="59" t="s">
        <v>754</v>
      </c>
      <c r="V13" s="171" t="s">
        <v>675</v>
      </c>
      <c r="Z13" s="1" t="s">
        <v>224</v>
      </c>
      <c r="AA13" s="1" t="s">
        <v>224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739</v>
      </c>
      <c r="I14" s="58" t="s">
        <v>755</v>
      </c>
      <c r="K14" s="60" t="str">
        <v>Amil - Ud Cubatão Sp - Hospital Da Luz </v>
      </c>
      <c r="M14" s="79" t="s">
        <v>722</v>
      </c>
      <c r="N14" s="151" t="s">
        <v>756</v>
      </c>
      <c r="R14" s="59" t="s">
        <v>739</v>
      </c>
      <c r="V14" s="171" t="s">
        <v>676</v>
      </c>
      <c r="Z14" s="1" t="s">
        <v>651</v>
      </c>
      <c r="AA14" s="1" t="s">
        <v>59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739</v>
      </c>
      <c r="I15" s="58" t="s">
        <v>757</v>
      </c>
      <c r="K15" s="60" t="str">
        <v>Amil - Unidade Avançada Carlos Chagas </v>
      </c>
      <c r="M15" s="79" t="s">
        <v>722</v>
      </c>
      <c r="N15" s="151" t="s">
        <v>758</v>
      </c>
      <c r="R15" s="59" t="s">
        <v>759</v>
      </c>
      <c r="V15" s="171" t="s">
        <v>677</v>
      </c>
      <c r="Z15" s="1" t="s">
        <v>651</v>
      </c>
      <c r="AA15" s="1" t="s">
        <v>359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739</v>
      </c>
      <c r="I16" s="58" t="s">
        <v>760</v>
      </c>
      <c r="K16" s="60" t="str">
        <v>Amil - Unidade Avançada Luz Butantã </v>
      </c>
      <c r="M16" s="79" t="s">
        <v>722</v>
      </c>
      <c r="N16" s="151" t="s">
        <v>761</v>
      </c>
      <c r="R16" s="59" t="s">
        <v>762</v>
      </c>
      <c r="V16" s="171" t="s">
        <v>678</v>
      </c>
      <c r="Z16" s="1" t="s">
        <v>651</v>
      </c>
      <c r="AA16" s="1" t="s">
        <v>224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739</v>
      </c>
      <c r="I17" s="58" t="s">
        <v>763</v>
      </c>
      <c r="K17" s="60" t="str">
        <v>Amil - Unidade Avançada Luz Joao Dias </v>
      </c>
      <c r="M17" s="79" t="s">
        <v>722</v>
      </c>
      <c r="N17" s="151" t="s">
        <v>764</v>
      </c>
      <c r="R17" s="59" t="s">
        <v>765</v>
      </c>
      <c r="V17" s="171" t="s">
        <v>679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739</v>
      </c>
      <c r="I18" s="58" t="s">
        <v>766</v>
      </c>
      <c r="K18" s="60" t="str">
        <v>Amil - Unidade Avançada Vitoria </v>
      </c>
      <c r="M18" s="79" t="s">
        <v>722</v>
      </c>
      <c r="N18" s="151" t="s">
        <v>767</v>
      </c>
      <c r="R18" s="59" t="s">
        <v>768</v>
      </c>
      <c r="V18" s="171" t="s">
        <v>680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739</v>
      </c>
      <c r="I19" s="58" t="s">
        <v>769</v>
      </c>
      <c r="K19" s="60" t="str">
        <v>Amil Espaço Saúde - Ana Rosa </v>
      </c>
      <c r="M19" s="79" t="s">
        <v>722</v>
      </c>
      <c r="N19" s="151" t="s">
        <v>770</v>
      </c>
      <c r="R19" s="59" t="s">
        <v>771</v>
      </c>
      <c r="V19" s="171" t="s">
        <v>681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739</v>
      </c>
      <c r="I20" s="58" t="s">
        <v>772</v>
      </c>
      <c r="K20" s="60" t="str">
        <v>Amil Espaço Saúde - Botafogo </v>
      </c>
      <c r="M20" s="79" t="s">
        <v>722</v>
      </c>
      <c r="N20" s="151" t="s">
        <v>773</v>
      </c>
      <c r="R20" s="59" t="s">
        <v>774</v>
      </c>
      <c r="V20" s="171" t="s">
        <v>682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775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739</v>
      </c>
      <c r="I21" s="58" t="s">
        <v>776</v>
      </c>
      <c r="K21" s="60" t="str">
        <v>Amil Espaço Saúde - Campo Grande </v>
      </c>
      <c r="M21" s="79" t="s">
        <v>722</v>
      </c>
      <c r="N21" s="151" t="s">
        <v>777</v>
      </c>
      <c r="R21" s="59" t="s">
        <v>778</v>
      </c>
      <c r="V21" s="171" t="s">
        <v>683</v>
      </c>
      <c r="AA21" s="1" t="str">
        <v>Inativo</v>
      </c>
      <c r="AB21" s="1" t="s">
        <v>775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739</v>
      </c>
      <c r="I22" s="58" t="s">
        <v>779</v>
      </c>
      <c r="K22" s="60" t="str">
        <v>Amil Espaço Saúde - Caxias </v>
      </c>
      <c r="M22" s="79" t="s">
        <v>722</v>
      </c>
      <c r="N22" s="151" t="s">
        <v>780</v>
      </c>
      <c r="R22" s="59" t="s">
        <v>781</v>
      </c>
      <c r="V22" s="171" t="s">
        <v>684</v>
      </c>
      <c r="AA22" s="1" t="str">
        <v>Fora da Linha</v>
      </c>
      <c r="AB22" s="1" t="s">
        <v>775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739</v>
      </c>
      <c r="I23" s="58" t="s">
        <v>782</v>
      </c>
      <c r="K23" s="60" t="str">
        <v>Amil Espaço Saúde - Guarulhos </v>
      </c>
      <c r="M23" s="79" t="s">
        <v>722</v>
      </c>
      <c r="N23" s="151" t="s">
        <v>783</v>
      </c>
      <c r="R23" s="59" t="s">
        <v>64</v>
      </c>
      <c r="V23" s="171" t="s">
        <v>229</v>
      </c>
      <c r="AB23" s="1" t="s">
        <v>775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739</v>
      </c>
      <c r="I24" s="58" t="s">
        <v>784</v>
      </c>
      <c r="K24" s="60" t="str">
        <v>Amil Espaço Saúde - Niterói </v>
      </c>
      <c r="M24" s="79" t="s">
        <v>722</v>
      </c>
      <c r="N24" s="151" t="s">
        <v>785</v>
      </c>
      <c r="R24" s="61" t="s">
        <v>786</v>
      </c>
      <c r="V24" s="171" t="s">
        <v>358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739</v>
      </c>
      <c r="I25" s="58" t="s">
        <v>787</v>
      </c>
      <c r="K25" s="60" t="str">
        <v>Amil Espaço Saúde - Nova Iguaçu </v>
      </c>
      <c r="M25" s="79" t="s">
        <v>722</v>
      </c>
      <c r="N25" s="151" t="s">
        <v>788</v>
      </c>
      <c r="V25" s="171" t="s">
        <v>685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739</v>
      </c>
      <c r="I26" s="58" t="s">
        <v>789</v>
      </c>
      <c r="K26" s="60" t="str">
        <v>Amil Espaço Saúde - Osasco </v>
      </c>
      <c r="M26" s="79" t="s">
        <v>722</v>
      </c>
      <c r="N26" s="151" t="s">
        <v>790</v>
      </c>
      <c r="V26" s="172" t="s">
        <v>686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739</v>
      </c>
      <c r="I27" s="58" t="s">
        <v>791</v>
      </c>
      <c r="K27" s="60" t="str">
        <v>Amil Espaço Saúde - Santana </v>
      </c>
      <c r="M27" s="79" t="s">
        <v>722</v>
      </c>
      <c r="N27" s="151" t="s">
        <v>792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739</v>
      </c>
      <c r="I28" s="58" t="s">
        <v>793</v>
      </c>
      <c r="K28" s="60" t="str">
        <v>Amil Espaço Saúde - Tijuca </v>
      </c>
      <c r="M28" s="79" t="s">
        <v>722</v>
      </c>
      <c r="N28" s="151" t="s">
        <v>794</v>
      </c>
      <c r="Z28" s="1" t="s">
        <v>59</v>
      </c>
    </row>
    <row r="29" spans="6:38" x14ac:dyDescent="0.3">
      <c r="F29" s="68"/>
      <c r="H29" s="38" t="s">
        <v>739</v>
      </c>
      <c r="I29" s="58" t="s">
        <v>795</v>
      </c>
      <c r="K29" s="60" t="str">
        <v>Amil Telemedicina </v>
      </c>
      <c r="M29" s="79" t="s">
        <v>722</v>
      </c>
      <c r="N29" s="151" t="s">
        <v>796</v>
      </c>
      <c r="Z29" s="1" t="s">
        <v>359</v>
      </c>
    </row>
    <row r="30" spans="6:38" x14ac:dyDescent="0.3">
      <c r="F30" s="68"/>
      <c r="H30" s="38" t="s">
        <v>739</v>
      </c>
      <c r="I30" s="58" t="s">
        <v>797</v>
      </c>
      <c r="K30" s="60" t="str">
        <v>Centro Médico Jardim </v>
      </c>
      <c r="M30" s="79" t="s">
        <v>722</v>
      </c>
      <c r="N30" s="151" t="s">
        <v>798</v>
      </c>
      <c r="Z30" s="1" t="s">
        <v>224</v>
      </c>
    </row>
    <row r="31" spans="6:38" x14ac:dyDescent="0.3">
      <c r="F31" s="68"/>
      <c r="H31" s="38" t="s">
        <v>739</v>
      </c>
      <c r="I31" s="58" t="s">
        <v>799</v>
      </c>
      <c r="K31" s="60" t="str">
        <v>Centro Médico Joao Azevedo - Sbc  II</v>
      </c>
      <c r="M31" s="79" t="s">
        <v>722</v>
      </c>
      <c r="N31" s="151" t="s">
        <v>800</v>
      </c>
      <c r="Z31" s="1" t="s">
        <v>651</v>
      </c>
    </row>
    <row r="32" spans="6:38" x14ac:dyDescent="0.3">
      <c r="F32" s="68"/>
      <c r="H32" s="38" t="s">
        <v>739</v>
      </c>
      <c r="I32" s="58" t="s">
        <v>801</v>
      </c>
      <c r="K32" s="60" t="str">
        <v>Centro Médico João Azevedo - Sbc I  </v>
      </c>
      <c r="M32" s="79" t="s">
        <v>722</v>
      </c>
      <c r="N32" s="151" t="s">
        <v>802</v>
      </c>
    </row>
    <row r="33" spans="6:14" x14ac:dyDescent="0.3">
      <c r="F33" s="68"/>
      <c r="H33" s="38" t="s">
        <v>739</v>
      </c>
      <c r="I33" s="58" t="s">
        <v>803</v>
      </c>
      <c r="K33" s="60" t="str">
        <v>Centro Médico Luiz Ferreira - Sbc </v>
      </c>
      <c r="M33" s="79" t="s">
        <v>722</v>
      </c>
      <c r="N33" s="151" t="s">
        <v>804</v>
      </c>
    </row>
    <row r="34" spans="6:14" x14ac:dyDescent="0.3">
      <c r="F34" s="68"/>
      <c r="H34" s="38" t="s">
        <v>739</v>
      </c>
      <c r="I34" s="58" t="s">
        <v>805</v>
      </c>
      <c r="K34" s="60" t="str">
        <v>Centro Médico - Samaritano Higienópolis </v>
      </c>
      <c r="M34" s="79" t="s">
        <v>722</v>
      </c>
      <c r="N34" s="151" t="s">
        <v>806</v>
      </c>
    </row>
    <row r="35" spans="6:14" x14ac:dyDescent="0.3">
      <c r="F35" s="68"/>
      <c r="H35" s="38" t="s">
        <v>739</v>
      </c>
      <c r="I35" s="58" t="s">
        <v>807</v>
      </c>
      <c r="K35" s="60" t="str">
        <v>Centro Médico Hospital São Lucas </v>
      </c>
      <c r="M35" s="79" t="s">
        <v>722</v>
      </c>
      <c r="N35" s="151" t="s">
        <v>808</v>
      </c>
    </row>
    <row r="36" spans="6:14" x14ac:dyDescent="0.3">
      <c r="F36" s="68"/>
      <c r="H36" s="38" t="s">
        <v>739</v>
      </c>
      <c r="I36" s="58" t="s">
        <v>809</v>
      </c>
      <c r="K36" s="60" t="str">
        <v>Hospital Alvorada Ambulatório Arapanés </v>
      </c>
      <c r="M36" s="79" t="s">
        <v>722</v>
      </c>
      <c r="N36" s="151" t="s">
        <v>810</v>
      </c>
    </row>
    <row r="37" spans="6:14" x14ac:dyDescent="0.3">
      <c r="F37" s="68"/>
      <c r="H37" s="38" t="s">
        <v>739</v>
      </c>
      <c r="I37" s="58" t="s">
        <v>811</v>
      </c>
      <c r="K37" s="60" t="str">
        <v>Hospital Alvorada Moema </v>
      </c>
      <c r="M37" s="79" t="s">
        <v>722</v>
      </c>
      <c r="N37" s="151" t="s">
        <v>812</v>
      </c>
    </row>
    <row r="38" spans="6:14" x14ac:dyDescent="0.3">
      <c r="F38" s="68"/>
      <c r="H38" s="38" t="s">
        <v>739</v>
      </c>
      <c r="I38" s="58" t="s">
        <v>813</v>
      </c>
      <c r="K38" s="60" t="str">
        <v>Hospital Américas - Ambulatório </v>
      </c>
      <c r="M38" s="79" t="s">
        <v>722</v>
      </c>
      <c r="N38" s="151" t="s">
        <v>814</v>
      </c>
    </row>
    <row r="39" spans="6:14" x14ac:dyDescent="0.3">
      <c r="F39" s="68"/>
      <c r="H39" s="38" t="s">
        <v>739</v>
      </c>
      <c r="I39" s="58" t="s">
        <v>815</v>
      </c>
      <c r="K39" s="60" t="str">
        <v>Hospital Samaritano Paulista - Ambulatório </v>
      </c>
      <c r="M39" s="79" t="s">
        <v>722</v>
      </c>
      <c r="N39" s="151" t="s">
        <v>816</v>
      </c>
    </row>
    <row r="40" spans="6:14" x14ac:dyDescent="0.3">
      <c r="F40" s="68"/>
      <c r="H40" s="38" t="s">
        <v>739</v>
      </c>
      <c r="I40" s="58" t="s">
        <v>817</v>
      </c>
      <c r="K40" s="60" t="str">
        <v>Amil Espaço Saúde - Tatuapé</v>
      </c>
      <c r="M40" s="38" t="s">
        <v>739</v>
      </c>
      <c r="N40" s="58" t="s">
        <v>818</v>
      </c>
    </row>
    <row r="41" spans="6:14" x14ac:dyDescent="0.3">
      <c r="F41" s="68"/>
      <c r="H41" s="38" t="s">
        <v>739</v>
      </c>
      <c r="I41" s="58" t="s">
        <v>819</v>
      </c>
      <c r="K41" s="60" t="str">
        <v>Amil Espaço Saúde - Santo Amaro</v>
      </c>
      <c r="M41" s="38" t="s">
        <v>739</v>
      </c>
      <c r="N41" s="58" t="s">
        <v>820</v>
      </c>
    </row>
    <row r="42" spans="6:14" x14ac:dyDescent="0.3">
      <c r="F42" s="68"/>
      <c r="H42" s="38" t="s">
        <v>739</v>
      </c>
      <c r="I42" s="58" t="s">
        <v>635</v>
      </c>
      <c r="K42" s="60" t="str">
        <v>Amil Espaço Saúde - Guarulhos</v>
      </c>
      <c r="M42" s="38" t="s">
        <v>739</v>
      </c>
      <c r="N42" s="58" t="s">
        <v>821</v>
      </c>
    </row>
    <row r="43" spans="6:14" x14ac:dyDescent="0.3">
      <c r="F43" s="68"/>
      <c r="H43" s="38" t="s">
        <v>739</v>
      </c>
      <c r="I43" s="58" t="s">
        <v>822</v>
      </c>
      <c r="K43" s="60" t="str">
        <v xml:space="preserve">Amil Espaço Saúde - Santa Helena </v>
      </c>
      <c r="M43" s="38" t="s">
        <v>739</v>
      </c>
      <c r="N43" s="58" t="s">
        <v>823</v>
      </c>
    </row>
    <row r="44" spans="6:14" x14ac:dyDescent="0.3">
      <c r="F44" s="68"/>
      <c r="H44" s="38" t="s">
        <v>739</v>
      </c>
      <c r="I44" s="58" t="s">
        <v>824</v>
      </c>
      <c r="K44" s="60" t="str">
        <v>Hospital Samaritano - Não Especificado</v>
      </c>
      <c r="M44" s="38" t="s">
        <v>739</v>
      </c>
      <c r="N44" s="58" t="s">
        <v>825</v>
      </c>
    </row>
    <row r="45" spans="6:14" x14ac:dyDescent="0.3">
      <c r="F45" s="68"/>
      <c r="H45" s="38" t="s">
        <v>739</v>
      </c>
      <c r="I45" s="58" t="s">
        <v>826</v>
      </c>
      <c r="K45" s="60" t="str">
        <v>SUS</v>
      </c>
      <c r="M45" s="38" t="s">
        <v>739</v>
      </c>
      <c r="N45" s="58" t="s">
        <v>827</v>
      </c>
    </row>
    <row r="46" spans="6:14" x14ac:dyDescent="0.3">
      <c r="F46" s="68"/>
      <c r="H46" s="79" t="s">
        <v>722</v>
      </c>
      <c r="I46" s="150" t="s">
        <v>828</v>
      </c>
      <c r="K46" s="60" t="str">
        <v>Nefroclínicas</v>
      </c>
      <c r="M46" s="38" t="s">
        <v>739</v>
      </c>
      <c r="N46" s="58" t="s">
        <v>829</v>
      </c>
    </row>
    <row r="47" spans="6:14" x14ac:dyDescent="0.3">
      <c r="F47" s="68"/>
      <c r="H47" s="247" t="s">
        <v>739</v>
      </c>
      <c r="I47" s="248" t="s">
        <v>830</v>
      </c>
      <c r="K47" s="60"/>
      <c r="M47" s="38" t="s">
        <v>739</v>
      </c>
      <c r="N47" s="58" t="s">
        <v>831</v>
      </c>
    </row>
    <row r="48" spans="6:14" x14ac:dyDescent="0.3">
      <c r="F48" s="68"/>
      <c r="H48" s="249" t="s">
        <v>722</v>
      </c>
      <c r="I48" s="250" t="s">
        <v>830</v>
      </c>
      <c r="K48" s="60"/>
      <c r="M48" s="38" t="s">
        <v>739</v>
      </c>
      <c r="N48" s="58" t="s">
        <v>832</v>
      </c>
    </row>
    <row r="49" spans="6:14" x14ac:dyDescent="0.3">
      <c r="F49" s="68"/>
      <c r="I49" s="62"/>
      <c r="K49" s="60"/>
      <c r="M49" s="38" t="s">
        <v>739</v>
      </c>
      <c r="N49" s="58" t="s">
        <v>833</v>
      </c>
    </row>
    <row r="50" spans="6:14" x14ac:dyDescent="0.3">
      <c r="F50" s="68"/>
      <c r="I50" s="62"/>
      <c r="K50" s="60"/>
      <c r="M50" s="38" t="s">
        <v>739</v>
      </c>
      <c r="N50" s="58" t="s">
        <v>834</v>
      </c>
    </row>
    <row r="51" spans="6:14" x14ac:dyDescent="0.3">
      <c r="F51" s="68"/>
      <c r="I51" s="62"/>
      <c r="K51" s="60"/>
      <c r="M51" s="38" t="s">
        <v>739</v>
      </c>
      <c r="N51" s="58" t="s">
        <v>835</v>
      </c>
    </row>
    <row r="52" spans="6:14" x14ac:dyDescent="0.3">
      <c r="F52" s="68"/>
      <c r="I52" s="62"/>
      <c r="K52" s="60"/>
      <c r="M52" s="38" t="s">
        <v>739</v>
      </c>
      <c r="N52" s="58" t="s">
        <v>836</v>
      </c>
    </row>
    <row r="53" spans="6:14" x14ac:dyDescent="0.3">
      <c r="F53" s="68"/>
      <c r="I53" s="62"/>
      <c r="K53" s="60"/>
      <c r="M53" s="38" t="s">
        <v>739</v>
      </c>
      <c r="N53" s="58" t="s">
        <v>837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739</v>
      </c>
      <c r="N54" s="58" t="s">
        <v>838</v>
      </c>
    </row>
    <row r="55" spans="6:14" ht="15" thickBot="1" x14ac:dyDescent="0.35">
      <c r="M55" s="156" t="s">
        <v>739</v>
      </c>
      <c r="N55" s="157" t="s">
        <v>737</v>
      </c>
    </row>
    <row r="56" spans="6:14" x14ac:dyDescent="0.3">
      <c r="M56" s="200" t="s">
        <v>722</v>
      </c>
      <c r="N56" s="201" t="s">
        <v>839</v>
      </c>
    </row>
    <row r="57" spans="6:14" x14ac:dyDescent="0.3">
      <c r="M57" s="200" t="s">
        <v>722</v>
      </c>
      <c r="N57" s="201" t="s">
        <v>840</v>
      </c>
    </row>
    <row r="58" spans="6:14" x14ac:dyDescent="0.3">
      <c r="M58" s="200" t="s">
        <v>722</v>
      </c>
      <c r="N58" s="201" t="s">
        <v>841</v>
      </c>
    </row>
    <row r="59" spans="6:14" x14ac:dyDescent="0.3">
      <c r="M59" s="200" t="s">
        <v>722</v>
      </c>
      <c r="N59" s="202" t="s">
        <v>842</v>
      </c>
    </row>
    <row r="60" spans="6:14" x14ac:dyDescent="0.3">
      <c r="M60" s="200" t="s">
        <v>722</v>
      </c>
      <c r="N60" s="203" t="s">
        <v>843</v>
      </c>
    </row>
    <row r="61" spans="6:14" x14ac:dyDescent="0.3">
      <c r="M61" s="200" t="s">
        <v>722</v>
      </c>
      <c r="N61" s="203" t="s">
        <v>844</v>
      </c>
    </row>
    <row r="62" spans="6:14" x14ac:dyDescent="0.3">
      <c r="M62" s="200" t="s">
        <v>722</v>
      </c>
      <c r="N62" s="203" t="s">
        <v>845</v>
      </c>
    </row>
    <row r="63" spans="6:14" x14ac:dyDescent="0.3">
      <c r="M63" s="79"/>
      <c r="N63" s="150"/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846</v>
      </c>
      <c r="AF1" s="15" t="s">
        <v>847</v>
      </c>
      <c r="AG1" s="16" t="s">
        <v>35</v>
      </c>
    </row>
    <row r="2" spans="1:33" x14ac:dyDescent="0.3">
      <c r="A2" s="17" t="s">
        <v>63</v>
      </c>
      <c r="B2" s="3"/>
      <c r="C2" s="3" t="s">
        <v>848</v>
      </c>
      <c r="D2" s="18" t="s">
        <v>746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61</v>
      </c>
      <c r="AA2" s="20"/>
      <c r="AB2" s="3" t="s">
        <v>705</v>
      </c>
      <c r="AC2" s="3"/>
      <c r="AD2" s="3" t="s">
        <v>93</v>
      </c>
      <c r="AE2" s="3"/>
      <c r="AF2" s="3" t="s">
        <v>849</v>
      </c>
      <c r="AG2" s="17" t="s">
        <v>62</v>
      </c>
    </row>
    <row r="3" spans="1:33" x14ac:dyDescent="0.3">
      <c r="A3" s="17" t="s">
        <v>47</v>
      </c>
      <c r="B3" s="3"/>
      <c r="C3" s="3" t="s">
        <v>635</v>
      </c>
      <c r="D3" s="18" t="s">
        <v>709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661</v>
      </c>
      <c r="R3" s="3"/>
      <c r="S3" s="3"/>
      <c r="T3" s="3" t="s">
        <v>230</v>
      </c>
      <c r="U3" s="3" t="s">
        <v>359</v>
      </c>
      <c r="V3" s="3"/>
      <c r="W3" s="3"/>
      <c r="X3" s="3"/>
      <c r="Y3" s="3"/>
      <c r="Z3" s="3" t="s">
        <v>725</v>
      </c>
      <c r="AA3" s="3"/>
      <c r="AB3" s="3" t="s">
        <v>706</v>
      </c>
      <c r="AC3" s="3"/>
      <c r="AD3" s="3" t="s">
        <v>99</v>
      </c>
      <c r="AE3" s="3"/>
      <c r="AF3" s="3" t="s">
        <v>850</v>
      </c>
      <c r="AG3" s="17" t="s">
        <v>729</v>
      </c>
    </row>
    <row r="4" spans="1:33" x14ac:dyDescent="0.3">
      <c r="A4" s="3"/>
      <c r="B4" s="3"/>
      <c r="C4" s="3" t="s">
        <v>851</v>
      </c>
      <c r="D4" s="18" t="s">
        <v>711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663</v>
      </c>
      <c r="R4" s="3"/>
      <c r="S4" s="3"/>
      <c r="T4" s="3" t="s">
        <v>727</v>
      </c>
      <c r="U4" s="3"/>
      <c r="V4" s="3"/>
      <c r="W4" s="3"/>
      <c r="X4" s="3"/>
      <c r="Y4" s="3"/>
      <c r="Z4" s="3" t="s">
        <v>69</v>
      </c>
      <c r="AA4" s="3"/>
      <c r="AB4" s="21" t="s">
        <v>115</v>
      </c>
      <c r="AC4" s="3"/>
      <c r="AD4" s="3" t="s">
        <v>728</v>
      </c>
      <c r="AE4" s="3"/>
      <c r="AF4" s="3" t="s">
        <v>852</v>
      </c>
      <c r="AG4" s="17" t="s">
        <v>47</v>
      </c>
    </row>
    <row r="5" spans="1:33" x14ac:dyDescent="0.3">
      <c r="M5" s="1"/>
      <c r="O5" s="1"/>
      <c r="Q5" s="22" t="s">
        <v>665</v>
      </c>
      <c r="AB5" s="3" t="s">
        <v>69</v>
      </c>
      <c r="AF5" t="s">
        <v>853</v>
      </c>
    </row>
    <row r="6" spans="1:33" x14ac:dyDescent="0.3">
      <c r="M6" s="1"/>
      <c r="O6" s="1"/>
      <c r="Q6" s="23" t="s">
        <v>381</v>
      </c>
      <c r="AF6" t="s">
        <v>854</v>
      </c>
    </row>
    <row r="7" spans="1:33" x14ac:dyDescent="0.3">
      <c r="M7" s="1"/>
      <c r="O7" s="1"/>
      <c r="Q7" s="23" t="s">
        <v>668</v>
      </c>
      <c r="AF7" t="s">
        <v>855</v>
      </c>
    </row>
    <row r="8" spans="1:33" x14ac:dyDescent="0.3">
      <c r="M8" s="1"/>
      <c r="O8" s="1"/>
      <c r="Q8" s="23" t="s">
        <v>670</v>
      </c>
      <c r="AF8" t="s">
        <v>856</v>
      </c>
    </row>
    <row r="9" spans="1:33" x14ac:dyDescent="0.3">
      <c r="M9" s="1"/>
      <c r="O9" s="1"/>
      <c r="Q9" s="23" t="s">
        <v>671</v>
      </c>
      <c r="AF9" t="s">
        <v>857</v>
      </c>
    </row>
    <row r="10" spans="1:33" x14ac:dyDescent="0.3">
      <c r="M10" s="1"/>
      <c r="O10" s="1"/>
      <c r="Q10" s="23" t="s">
        <v>223</v>
      </c>
      <c r="AF10" t="s">
        <v>858</v>
      </c>
      <c r="AG10" t="s">
        <v>859</v>
      </c>
    </row>
    <row r="11" spans="1:33" x14ac:dyDescent="0.3">
      <c r="M11" s="1"/>
      <c r="O11" s="1"/>
      <c r="Q11" s="23" t="s">
        <v>673</v>
      </c>
      <c r="AF11" t="s">
        <v>860</v>
      </c>
    </row>
    <row r="12" spans="1:33" x14ac:dyDescent="0.3">
      <c r="M12" s="1"/>
      <c r="O12" s="1"/>
      <c r="Q12" s="23" t="s">
        <v>674</v>
      </c>
    </row>
    <row r="13" spans="1:33" x14ac:dyDescent="0.3">
      <c r="M13" s="1"/>
      <c r="O13" s="1"/>
      <c r="Q13" s="23" t="s">
        <v>675</v>
      </c>
    </row>
    <row r="14" spans="1:33" x14ac:dyDescent="0.3">
      <c r="M14" s="1"/>
      <c r="O14" s="1"/>
      <c r="Q14" s="23" t="s">
        <v>676</v>
      </c>
    </row>
    <row r="15" spans="1:33" x14ac:dyDescent="0.3">
      <c r="M15" s="1"/>
      <c r="O15" s="1"/>
      <c r="Q15" s="23" t="s">
        <v>677</v>
      </c>
    </row>
    <row r="16" spans="1:33" x14ac:dyDescent="0.3">
      <c r="M16" s="1"/>
      <c r="O16" s="1"/>
      <c r="Q16" s="23" t="s">
        <v>678</v>
      </c>
    </row>
    <row r="17" spans="13:33" x14ac:dyDescent="0.3">
      <c r="M17" s="1"/>
      <c r="O17" s="1"/>
      <c r="Q17" s="23" t="s">
        <v>679</v>
      </c>
      <c r="AF17" t="s">
        <v>861</v>
      </c>
    </row>
    <row r="18" spans="13:33" ht="43.2" x14ac:dyDescent="0.3">
      <c r="M18" s="1"/>
      <c r="O18" s="1"/>
      <c r="Q18" s="23" t="s">
        <v>680</v>
      </c>
      <c r="AF18" s="24" t="s">
        <v>847</v>
      </c>
      <c r="AG18" s="24" t="s">
        <v>719</v>
      </c>
    </row>
    <row r="19" spans="13:33" x14ac:dyDescent="0.3">
      <c r="M19" s="1"/>
      <c r="O19" s="1"/>
      <c r="Q19" s="23" t="s">
        <v>681</v>
      </c>
      <c r="AF19" t="s">
        <v>862</v>
      </c>
      <c r="AG19" t="s">
        <v>63</v>
      </c>
    </row>
    <row r="20" spans="13:33" x14ac:dyDescent="0.3">
      <c r="M20" s="1"/>
      <c r="O20" s="1"/>
      <c r="Q20" s="23" t="s">
        <v>682</v>
      </c>
      <c r="AF20" t="s">
        <v>863</v>
      </c>
      <c r="AG20" t="s">
        <v>47</v>
      </c>
    </row>
    <row r="21" spans="13:33" x14ac:dyDescent="0.3">
      <c r="M21" s="1"/>
      <c r="O21" s="1"/>
      <c r="Q21" s="23" t="s">
        <v>683</v>
      </c>
      <c r="AG21" t="s">
        <v>864</v>
      </c>
    </row>
    <row r="22" spans="13:33" x14ac:dyDescent="0.3">
      <c r="M22" s="1"/>
      <c r="O22" s="1"/>
      <c r="Q22" s="23" t="s">
        <v>684</v>
      </c>
    </row>
    <row r="23" spans="13:33" x14ac:dyDescent="0.3">
      <c r="M23" s="1"/>
      <c r="O23" s="1"/>
      <c r="Q23" s="23" t="s">
        <v>229</v>
      </c>
    </row>
    <row r="24" spans="13:33" x14ac:dyDescent="0.3">
      <c r="M24" s="1"/>
      <c r="O24" s="1"/>
      <c r="Q24" s="23" t="s">
        <v>358</v>
      </c>
    </row>
    <row r="25" spans="13:33" x14ac:dyDescent="0.3">
      <c r="M25" s="1"/>
      <c r="O25" s="1"/>
      <c r="Q25" s="23" t="s">
        <v>685</v>
      </c>
    </row>
    <row r="26" spans="13:33" x14ac:dyDescent="0.3">
      <c r="M26" s="1"/>
      <c r="O26" s="1"/>
      <c r="Q26" s="23" t="s">
        <v>686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Renata Cavalheiro</cp:lastModifiedBy>
  <cp:revision/>
  <dcterms:created xsi:type="dcterms:W3CDTF">2025-04-02T18:38:02Z</dcterms:created>
  <dcterms:modified xsi:type="dcterms:W3CDTF">2026-06-10T20:45:14Z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