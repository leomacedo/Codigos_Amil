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392" documentId="8_{4ED2CA62-C521-45AF-BB36-5860814BF344}" xr6:coauthVersionLast="47" xr6:coauthVersionMax="47" xr10:uidLastSave="{1E8011C3-766C-4FE2-BCFE-B56D24465E99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Consolidado!$A$1:$AU$69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62" i="32" l="1"/>
  <c r="AN62" i="32"/>
  <c r="AO62" i="32"/>
  <c r="AP62" i="32"/>
  <c r="AU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T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P57" i="32"/>
  <c r="AO57" i="32"/>
  <c r="AN57" i="32"/>
  <c r="AM57" i="32"/>
  <c r="AU56" i="32"/>
  <c r="AT56" i="32" s="1"/>
  <c r="AP56" i="32"/>
  <c r="AO56" i="32"/>
  <c r="AN56" i="32"/>
  <c r="AM56" i="32"/>
  <c r="AU55" i="32"/>
  <c r="AQ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T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P49" i="32"/>
  <c r="AO49" i="32"/>
  <c r="AN49" i="32"/>
  <c r="AM49" i="32"/>
  <c r="AU48" i="32"/>
  <c r="AR48" i="32" s="1"/>
  <c r="AP48" i="32"/>
  <c r="AO48" i="32"/>
  <c r="AN48" i="32"/>
  <c r="AM48" i="32"/>
  <c r="AU47" i="32"/>
  <c r="AR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T44" i="32" s="1"/>
  <c r="AP44" i="32"/>
  <c r="AO44" i="32"/>
  <c r="AN44" i="32"/>
  <c r="AM44" i="32"/>
  <c r="AU43" i="32"/>
  <c r="AT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P41" i="32"/>
  <c r="AO41" i="32"/>
  <c r="AN41" i="32"/>
  <c r="AM41" i="32"/>
  <c r="AU40" i="32"/>
  <c r="AR40" i="32" s="1"/>
  <c r="AP40" i="32"/>
  <c r="AO40" i="32"/>
  <c r="AN40" i="32"/>
  <c r="AM40" i="32"/>
  <c r="AU39" i="32"/>
  <c r="AR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T36" i="32" s="1"/>
  <c r="AP36" i="32"/>
  <c r="AO36" i="32"/>
  <c r="AN36" i="32"/>
  <c r="AM36" i="32"/>
  <c r="AU35" i="32"/>
  <c r="AT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P33" i="32"/>
  <c r="AO33" i="32"/>
  <c r="AN33" i="32"/>
  <c r="AM33" i="32"/>
  <c r="AU32" i="32"/>
  <c r="AQ32" i="32" s="1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S28" i="32" s="1"/>
  <c r="AP28" i="32"/>
  <c r="AO28" i="32"/>
  <c r="AN28" i="32"/>
  <c r="AM28" i="32"/>
  <c r="AU27" i="32"/>
  <c r="AT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P25" i="32"/>
  <c r="AO25" i="32"/>
  <c r="AN25" i="32"/>
  <c r="AM25" i="32"/>
  <c r="AU24" i="32"/>
  <c r="AQ24" i="32" s="1"/>
  <c r="AP24" i="32"/>
  <c r="AO24" i="32"/>
  <c r="AN24" i="32"/>
  <c r="AM24" i="32"/>
  <c r="AU23" i="32"/>
  <c r="AP23" i="32"/>
  <c r="AO23" i="32"/>
  <c r="AN23" i="32"/>
  <c r="AM23" i="32"/>
  <c r="AU22" i="32"/>
  <c r="AS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S20" i="32" s="1"/>
  <c r="AP20" i="32"/>
  <c r="AO20" i="32"/>
  <c r="AN20" i="32"/>
  <c r="AM20" i="32"/>
  <c r="AU19" i="32"/>
  <c r="AT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P17" i="32"/>
  <c r="AO17" i="32"/>
  <c r="AN17" i="32"/>
  <c r="AM17" i="32"/>
  <c r="AU16" i="32"/>
  <c r="AQ16" i="32" s="1"/>
  <c r="AP16" i="32"/>
  <c r="AO16" i="32"/>
  <c r="AN16" i="32"/>
  <c r="AM16" i="32"/>
  <c r="AU15" i="32"/>
  <c r="AR15" i="32" s="1"/>
  <c r="AP15" i="32"/>
  <c r="AO15" i="32"/>
  <c r="AN15" i="32"/>
  <c r="AM15" i="32"/>
  <c r="AU14" i="32"/>
  <c r="AS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P9" i="32"/>
  <c r="AO9" i="32"/>
  <c r="AN9" i="32"/>
  <c r="AM9" i="32"/>
  <c r="AU8" i="32"/>
  <c r="AP8" i="32"/>
  <c r="AO8" i="32"/>
  <c r="AN8" i="32"/>
  <c r="AM8" i="32"/>
  <c r="AU7" i="32"/>
  <c r="AR7" i="32" s="1"/>
  <c r="AP7" i="32"/>
  <c r="AO7" i="32"/>
  <c r="AN7" i="32"/>
  <c r="AM7" i="32"/>
  <c r="AU6" i="32"/>
  <c r="AS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Q62" i="32" l="1"/>
  <c r="AR62" i="32"/>
  <c r="AS62" i="32"/>
  <c r="AT62" i="32"/>
  <c r="AS58" i="32"/>
  <c r="AR58" i="32"/>
  <c r="AQ58" i="32"/>
  <c r="AS40" i="32"/>
  <c r="AS57" i="32"/>
  <c r="AQ56" i="32"/>
  <c r="AT49" i="32"/>
  <c r="AS49" i="32"/>
  <c r="AR49" i="32"/>
  <c r="AQ44" i="32"/>
  <c r="AS34" i="32"/>
  <c r="AQ34" i="32"/>
  <c r="AT33" i="32"/>
  <c r="AQ33" i="32"/>
  <c r="AS25" i="32"/>
  <c r="AR16" i="32"/>
  <c r="AT14" i="32"/>
  <c r="AQ10" i="32"/>
  <c r="AS7" i="32"/>
  <c r="AS56" i="32"/>
  <c r="AR56" i="32"/>
  <c r="AQ20" i="32"/>
  <c r="AT9" i="32"/>
  <c r="AQ9" i="32"/>
  <c r="AQ60" i="32"/>
  <c r="AR59" i="32"/>
  <c r="AQ59" i="32"/>
  <c r="AQ57" i="32"/>
  <c r="AQ49" i="32"/>
  <c r="AQ42" i="32"/>
  <c r="AS32" i="32"/>
  <c r="AR24" i="32"/>
  <c r="AT17" i="32"/>
  <c r="AS17" i="32"/>
  <c r="AR17" i="32"/>
  <c r="AQ17" i="32"/>
  <c r="AS8" i="32"/>
  <c r="AT4" i="32"/>
  <c r="AR50" i="32"/>
  <c r="AR18" i="32"/>
  <c r="AT12" i="32"/>
  <c r="AQ12" i="32"/>
  <c r="AT8" i="32"/>
  <c r="AR8" i="32"/>
  <c r="AT57" i="32"/>
  <c r="AT55" i="32"/>
  <c r="AS55" i="32"/>
  <c r="AR55" i="32"/>
  <c r="AQ52" i="32"/>
  <c r="AR42" i="32"/>
  <c r="AT39" i="32"/>
  <c r="AQ36" i="32"/>
  <c r="AR35" i="32"/>
  <c r="AQ35" i="32"/>
  <c r="AR32" i="32"/>
  <c r="AR27" i="32"/>
  <c r="AS23" i="32"/>
  <c r="AQ23" i="32"/>
  <c r="AT22" i="32"/>
  <c r="AS18" i="32"/>
  <c r="AQ18" i="32"/>
  <c r="AS16" i="32"/>
  <c r="AT15" i="32"/>
  <c r="AS9" i="32"/>
  <c r="AT6" i="32"/>
  <c r="AS47" i="32"/>
  <c r="AS33" i="32"/>
  <c r="AT25" i="32"/>
  <c r="AR25" i="32"/>
  <c r="AT23" i="32"/>
  <c r="AR23" i="32"/>
  <c r="AT20" i="32"/>
  <c r="AQ15" i="32"/>
  <c r="AS10" i="32"/>
  <c r="AR51" i="32"/>
  <c r="AQ51" i="32"/>
  <c r="AQ43" i="32"/>
  <c r="AR33" i="32"/>
  <c r="AT31" i="32"/>
  <c r="AS31" i="32"/>
  <c r="AR31" i="32"/>
  <c r="AQ31" i="32"/>
  <c r="AT28" i="32"/>
  <c r="AQ28" i="32"/>
  <c r="AR26" i="32"/>
  <c r="AQ7" i="32"/>
  <c r="AR57" i="32"/>
  <c r="AS50" i="32"/>
  <c r="AQ50" i="32"/>
  <c r="AS48" i="32"/>
  <c r="AT41" i="32"/>
  <c r="AR41" i="32"/>
  <c r="AQ41" i="32"/>
  <c r="AR19" i="32"/>
  <c r="AS15" i="32"/>
  <c r="AR9" i="32"/>
  <c r="AT47" i="32"/>
  <c r="AS41" i="32"/>
  <c r="AT30" i="32"/>
  <c r="AS26" i="32"/>
  <c r="AQ26" i="32"/>
  <c r="AS24" i="32"/>
  <c r="AQ11" i="32"/>
  <c r="AT7" i="32"/>
  <c r="AR43" i="32"/>
  <c r="AS42" i="32"/>
  <c r="AS39" i="32"/>
  <c r="AR34" i="32"/>
  <c r="AQ25" i="32"/>
  <c r="AR10" i="32"/>
  <c r="AQ8" i="32"/>
  <c r="AT16" i="32"/>
  <c r="AQ19" i="32"/>
  <c r="AT24" i="32"/>
  <c r="AQ27" i="32"/>
  <c r="AT32" i="32"/>
  <c r="AT40" i="32"/>
  <c r="AT48" i="32"/>
  <c r="AQ3" i="32"/>
  <c r="AR3" i="32"/>
  <c r="AQ4" i="32"/>
  <c r="AS3" i="32"/>
  <c r="AR4" i="32"/>
  <c r="AQ5" i="32"/>
  <c r="AS11" i="32"/>
  <c r="AR12" i="32"/>
  <c r="AQ13" i="32"/>
  <c r="AS19" i="32"/>
  <c r="AR20" i="32"/>
  <c r="AQ21" i="32"/>
  <c r="AS27" i="32"/>
  <c r="AR28" i="32"/>
  <c r="AQ29" i="32"/>
  <c r="AS35" i="32"/>
  <c r="AR36" i="32"/>
  <c r="AQ37" i="32"/>
  <c r="AS43" i="32"/>
  <c r="AR44" i="32"/>
  <c r="AQ45" i="32"/>
  <c r="AS51" i="32"/>
  <c r="AR52" i="32"/>
  <c r="AQ53" i="32"/>
  <c r="AS59" i="32"/>
  <c r="AR60" i="32"/>
  <c r="AQ61" i="32"/>
  <c r="AR11" i="32"/>
  <c r="AR5" i="32"/>
  <c r="AQ6" i="32"/>
  <c r="AR13" i="32"/>
  <c r="AQ14" i="32"/>
  <c r="AR21" i="32"/>
  <c r="AQ22" i="32"/>
  <c r="AR29" i="32"/>
  <c r="AQ30" i="32"/>
  <c r="AS36" i="32"/>
  <c r="AR37" i="32"/>
  <c r="AQ38" i="32"/>
  <c r="AS44" i="32"/>
  <c r="AR45" i="32"/>
  <c r="AQ46" i="32"/>
  <c r="AS52" i="32"/>
  <c r="AR53" i="32"/>
  <c r="AQ54" i="32"/>
  <c r="AS60" i="32"/>
  <c r="AR61" i="32"/>
  <c r="AS5" i="32"/>
  <c r="AR6" i="32"/>
  <c r="AS13" i="32"/>
  <c r="AR14" i="32"/>
  <c r="AS21" i="32"/>
  <c r="AR22" i="32"/>
  <c r="AS29" i="32"/>
  <c r="AR30" i="32"/>
  <c r="AS37" i="32"/>
  <c r="AR38" i="32"/>
  <c r="AQ39" i="32"/>
  <c r="AS45" i="32"/>
  <c r="AR46" i="32"/>
  <c r="AQ47" i="32"/>
  <c r="AS53" i="32"/>
  <c r="AR54" i="32"/>
  <c r="AS61" i="32"/>
  <c r="AS38" i="32"/>
  <c r="AQ40" i="32"/>
  <c r="AS46" i="32"/>
  <c r="AQ48" i="32"/>
  <c r="AS54" i="32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5" i="54"/>
  <c r="F105" i="54"/>
  <c r="E105" i="54"/>
  <c r="D105" i="54"/>
  <c r="C105" i="54"/>
  <c r="L110" i="54"/>
  <c r="L109" i="54"/>
  <c r="L108" i="54"/>
  <c r="L107" i="54"/>
  <c r="L105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A20" i="49" s="1"/>
  <c r="AU2" i="32" s="1"/>
  <c r="AT2" i="32" s="1"/>
  <c r="L106" i="54" l="1"/>
  <c r="T15" i="54"/>
  <c r="X24" i="54"/>
  <c r="L86" i="54"/>
  <c r="L92" i="54"/>
  <c r="C50" i="54"/>
  <c r="L104" i="54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K2" i="49" s="1"/>
  <c r="AM2" i="32"/>
  <c r="AN2" i="32"/>
  <c r="F2" i="49" a="1"/>
  <c r="F2" i="49" s="1"/>
  <c r="L111" i="54" l="1"/>
  <c r="H47" i="54"/>
  <c r="F86" i="54"/>
  <c r="E86" i="54"/>
  <c r="G92" i="54"/>
  <c r="G106" i="54"/>
  <c r="C106" i="54"/>
  <c r="D86" i="54"/>
  <c r="F92" i="54"/>
  <c r="F106" i="54"/>
  <c r="C92" i="54"/>
  <c r="G86" i="54"/>
  <c r="E92" i="54"/>
  <c r="E106" i="54"/>
  <c r="D92" i="54"/>
  <c r="D106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P26" i="54"/>
  <c r="Y16" i="54"/>
  <c r="H106" i="54" l="1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<sst xmlns="http://schemas.openxmlformats.org/spreadsheetml/2006/main" count="1914" uniqueCount="510">
  <si>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</si>
  <si>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</si>
  <si>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</si>
  <si>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</si>
  <si>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</si>
  <si>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</si>
  <si>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</si>
  <si>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</si>
  <si>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</si>
  <si>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</si>
  <si>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</si>
  <si>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</si>
  <si>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</si>
  <si>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</si>
  <si>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</si>
  <si>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</si>
  <si>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</si>
  <si>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</si>
  <si>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</si>
  <si>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</si>
  <si>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</si>
  <si>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</si>
  <si>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</si>
  <si>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</si>
  <si>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</si>
  <si>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</si>
  <si>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</si>
  <si>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</si>
  <si>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</si>
  <si>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</si>
  <si>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</si>
  <si>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</si>
  <si>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</si>
  <si>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</si>
  <si>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</si>
  <si>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</si>
  <si>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</si>
  <si>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</si>
  <si>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</si>
  <si>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</si>
  <si>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</si>
  <si>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</si>
  <si>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</si>
  <si>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</si>
  <si>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</si>
  <si>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</si>
  <si>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</si>
  <si>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Sim</t>
  </si>
  <si>
    <t xml:space="preserve">Captação + Navegação </t>
  </si>
  <si>
    <t xml:space="preserve">Forms </t>
  </si>
  <si>
    <t>GILVAN CARNEIRO</t>
  </si>
  <si>
    <t>M</t>
  </si>
  <si>
    <t>SP</t>
  </si>
  <si>
    <t>SAO PAULO</t>
  </si>
  <si>
    <t>Av Carlos Lacerda, 3232 - Pirajussara CEP 05789001 Sao Paulo SP</t>
  </si>
  <si>
    <t>11958997396</t>
  </si>
  <si>
    <t>Caio</t>
  </si>
  <si>
    <t>1. Aceitou o programa</t>
  </si>
  <si>
    <t>Contato Com Sucesso</t>
  </si>
  <si>
    <t>Ativo</t>
  </si>
  <si>
    <t>Não se aplica</t>
  </si>
  <si>
    <t>AVC RECENTE</t>
  </si>
  <si>
    <t>Agendada</t>
  </si>
  <si>
    <t>Realizada</t>
  </si>
  <si>
    <t>Pós-AVC</t>
  </si>
  <si>
    <t>ANTONIO SOBRINHO DA SILVA</t>
  </si>
  <si>
    <t>R Jorge Kobayashi, 72 - Colinas De Itapevi CEP 06655810 Itapevi SP</t>
  </si>
  <si>
    <t>11998978476</t>
  </si>
  <si>
    <t>3. Recusa por falta de interesse</t>
  </si>
  <si>
    <t>Fora da Linha</t>
  </si>
  <si>
    <t>27/12/2026 - Falo com Alessandra - Filha // Desligou de forma abrupa 12/03</t>
  </si>
  <si>
    <t>Desflagado</t>
  </si>
  <si>
    <t>CAZUMI JOSE HIRATA</t>
  </si>
  <si>
    <t>Av Jabaquara 1195, 1195 - Mirandopolis CEP 04045970 Sao Paulo SP</t>
  </si>
  <si>
    <t>11995061936</t>
  </si>
  <si>
    <t>FALO COM A SRA LUCI - ESPOSA -AVC RECENTE - NÃO ATENDE MAIS</t>
  </si>
  <si>
    <t>PAULO XAVIER DOS SANTOS</t>
  </si>
  <si>
    <t>ND</t>
  </si>
  <si>
    <t>11962088683</t>
  </si>
  <si>
    <t>NÃO DÁ SEGUIMENTO</t>
  </si>
  <si>
    <t xml:space="preserve">Baixa </t>
  </si>
  <si>
    <t>Interno - Amil Geral</t>
  </si>
  <si>
    <t>Triggers</t>
  </si>
  <si>
    <t>NEUSA DUTRA GOMES</t>
  </si>
  <si>
    <t>F</t>
  </si>
  <si>
    <t>PLANALTO PAULISTA</t>
  </si>
  <si>
    <t>600</t>
  </si>
  <si>
    <t>11-996001590; 11-996513083</t>
  </si>
  <si>
    <t>FALO COM A CINTIA</t>
  </si>
  <si>
    <t>Aguardando Agendamento</t>
  </si>
  <si>
    <t>MAURO GOUVEA</t>
  </si>
  <si>
    <t>VILA GUMERCINDO</t>
  </si>
  <si>
    <t>500</t>
  </si>
  <si>
    <t>11-32099067; 11-998012413</t>
  </si>
  <si>
    <t>POSSÍVEL AVC HÁ 20 DIAS - LIGAR EM 20 DIAS</t>
  </si>
  <si>
    <t>ISA ARAUJO FIGARELLA</t>
  </si>
  <si>
    <t>JARDIM INGA</t>
  </si>
  <si>
    <t>50</t>
  </si>
  <si>
    <t>11-55133065; 11-54154782; 11-954154782</t>
  </si>
  <si>
    <t>AVC HÁ 9 ANOS E AIT HÁ 3 MESES</t>
  </si>
  <si>
    <t>JULIANA AGUIAR ALVES</t>
  </si>
  <si>
    <t>VILA MARARI</t>
  </si>
  <si>
    <t>60</t>
  </si>
  <si>
    <t>11-969491797</t>
  </si>
  <si>
    <t>Giovanna</t>
  </si>
  <si>
    <t xml:space="preserve">Média </t>
  </si>
  <si>
    <t>Confirmado</t>
  </si>
  <si>
    <t>JONAS FRANCISCO PIRES</t>
  </si>
  <si>
    <t>Avenida Padre Antonio Jose Dos Santos, 296 - Cidade Monçoes CEP 04563000 Sao Paulo SP</t>
  </si>
  <si>
    <t>11947462849</t>
  </si>
  <si>
    <t>VOZ FEMININA RESPONDIA APENAS NÃO PARA AS PERGUNTAS</t>
  </si>
  <si>
    <t>YON WOOK PARK</t>
  </si>
  <si>
    <t>R Loureiro Da Cruz, 11 - Aclimaçao CEP 01529020 Sao Paulo SP</t>
  </si>
  <si>
    <t>11987630172</t>
  </si>
  <si>
    <t>DESLIGOU DE FORMA ABRUPTA</t>
  </si>
  <si>
    <t>MARIO CANDIDO</t>
  </si>
  <si>
    <t>R Francisco Alves, 721 - Jardim Sonia Maria CEP 09380360 Maua SP</t>
  </si>
  <si>
    <t>11985495973</t>
  </si>
  <si>
    <t>6. Contato sem sucesso</t>
  </si>
  <si>
    <t>Contato Sem Sucesso</t>
  </si>
  <si>
    <t>CHAMADA BLOQUEADA</t>
  </si>
  <si>
    <t>VALDECI APARECIDO BASSO</t>
  </si>
  <si>
    <t>11959020743</t>
  </si>
  <si>
    <t>NÃO ATENDE</t>
  </si>
  <si>
    <t>RINAUDA MARTA NOMURA</t>
  </si>
  <si>
    <t>R OSIRIS MAGALHAES DE ALMEIDA, 725, Jardim Monte Kemel</t>
  </si>
  <si>
    <t>11993929169</t>
  </si>
  <si>
    <t>Amil - Ud Cubatão Sp - Hospital Da Luz </t>
  </si>
  <si>
    <t>ROBERTA ELOISA DE AZEVEDO</t>
  </si>
  <si>
    <t>11974058870</t>
  </si>
  <si>
    <t>OCUPADA - AG. DISPONIBILIADE - Hemorragia subaracnoidea</t>
  </si>
  <si>
    <t>PEDRINA DEDES FERREIRA</t>
  </si>
  <si>
    <t>ANTONIO ANGELO CUZZIOL, 41, TABOÃO, SÃO BERNARDO DO CAMPO</t>
  </si>
  <si>
    <t>11968981957</t>
  </si>
  <si>
    <t>4. Inelegível fora do escopo</t>
  </si>
  <si>
    <t>JÁ DE ALTA DA FISIO</t>
  </si>
  <si>
    <t>Não</t>
  </si>
  <si>
    <t xml:space="preserve">Navegação </t>
  </si>
  <si>
    <t>Captado pela Amil/Call Center</t>
  </si>
  <si>
    <t>RITA DE CASSIA BANDEIRA REIMBERG</t>
  </si>
  <si>
    <t>TU DE COLUNA - CONFIRMADO AVC //  2021 E 2023 (TROMBOFILIAS)</t>
  </si>
  <si>
    <t>ANTONIO JOSE MILANI</t>
  </si>
  <si>
    <t>11976243144</t>
  </si>
  <si>
    <t>ANTONIO ANGELO BROGGIO</t>
  </si>
  <si>
    <t>11981446100</t>
  </si>
  <si>
    <t>INSTITUCIONALZIADO</t>
  </si>
  <si>
    <t>LUIZ LEOMAR DE SOUZA</t>
  </si>
  <si>
    <t>11982331392</t>
  </si>
  <si>
    <t>NEGA AVC</t>
  </si>
  <si>
    <t>EDILIANA DE ANDRADE SOUZA</t>
  </si>
  <si>
    <t xml:space="preserve">há dois anos, segue com hemiparesia. </t>
  </si>
  <si>
    <t>MAURO COSTA BITENCOURT</t>
  </si>
  <si>
    <t>PARQUE SANTO ANTONIO</t>
  </si>
  <si>
    <t>11961520901</t>
  </si>
  <si>
    <t>AVC - 01/02/2026 - APARENTEMENTE DISLALIA</t>
  </si>
  <si>
    <t>Migrou do Fluxo de Negativa</t>
  </si>
  <si>
    <t>Maria Aparecida Castelli</t>
  </si>
  <si>
    <t xml:space="preserve">(11) 9958-49371 </t>
  </si>
  <si>
    <t>Hellen</t>
  </si>
  <si>
    <t>Marlene Aparecida Cambili Almazan</t>
  </si>
  <si>
    <t>(11) 9994-38848  (11) 9640-58575</t>
  </si>
  <si>
    <t>JOSEFINA PEREIRA DE ANDRADE</t>
  </si>
  <si>
    <t xml:space="preserve">TABOAO </t>
  </si>
  <si>
    <t>11971270511</t>
  </si>
  <si>
    <t>EDILEUSA CELESTINO DE ALMEIDA</t>
  </si>
  <si>
    <t xml:space="preserve">VILA MARARI </t>
  </si>
  <si>
    <t>FEV/2026 - AVC // DISLALIA // escala ok</t>
  </si>
  <si>
    <t>LEIA OLIVEIRA</t>
  </si>
  <si>
    <t xml:space="preserve">VILA SOUZA </t>
  </si>
  <si>
    <t>FILHA Caroline - AVC 02/26 - Dislalia e sequela motora - INSTITUCIONALIZADA</t>
  </si>
  <si>
    <t>ROSANI BRIGIDA DE LANNA BATISTA</t>
  </si>
  <si>
    <t xml:space="preserve">CENTRO </t>
  </si>
  <si>
    <t xml:space="preserve">FALO COM ESPOSO - Não quer e não me deixou explicar </t>
  </si>
  <si>
    <t>MARCOS BELTRAN</t>
  </si>
  <si>
    <t>PONTE GRANDE</t>
  </si>
  <si>
    <t>RELATOU ESTAR BEM VIA MENSAGEM, NÃO DEU CONTINUIDADE</t>
  </si>
  <si>
    <t xml:space="preserve">Não realizada - Falta </t>
  </si>
  <si>
    <t>JOSE ANTONIO MARTINEZ Y PEREZ</t>
  </si>
  <si>
    <t>EM PLATO</t>
  </si>
  <si>
    <t>IDALICIO FERREIRA OLIVEIRA</t>
  </si>
  <si>
    <t xml:space="preserve">PARQUE RESIDENCIAL COCAIA </t>
  </si>
  <si>
    <t>LURDES (FILHA) - AVC HÁ 8 DIAS - DISLALIA LEVE</t>
  </si>
  <si>
    <t>NELSON FANTIM</t>
  </si>
  <si>
    <t>CIDADE PATRIARCA</t>
  </si>
  <si>
    <t>FALO COM IVONE - ESPOSA / HEMIPLEGIA BILATERAL - 01/03 e 02/03</t>
  </si>
  <si>
    <t>JOAO LUIZ DE OLIVEIRA JUNIOR</t>
  </si>
  <si>
    <t>CONJUNTO RESIDENCIAL JOSE BONIFACIO</t>
  </si>
  <si>
    <t>16.03.2026</t>
  </si>
  <si>
    <t xml:space="preserve"> HEMIP. A DIR. + DISLALIA - FISIO 2 X SEMANA // SEM FONO POR ORA</t>
  </si>
  <si>
    <t>GSC</t>
  </si>
  <si>
    <t>JOSÉ DANTAS DA SILVA</t>
  </si>
  <si>
    <t xml:space="preserve">GUARULHOS </t>
  </si>
  <si>
    <t>APARECIDA DA SILVA PEREIRA</t>
  </si>
  <si>
    <t>11974093645</t>
  </si>
  <si>
    <t>Externo - Geral</t>
  </si>
  <si>
    <t>ELIU YOSHIMITSU MATSUTANI</t>
  </si>
  <si>
    <t>MOGI DAS CRUZES</t>
  </si>
  <si>
    <t>11975061669</t>
  </si>
  <si>
    <t>06/05/2026 14:20</t>
  </si>
  <si>
    <t>LUIZ VIEIRA DA SILVA</t>
  </si>
  <si>
    <t>VILA PROGRESSO (ZONA LESTE)</t>
  </si>
  <si>
    <t>AKIKO KATSUKI YANAGUIMOTO</t>
  </si>
  <si>
    <t>VILA BRASILINA</t>
  </si>
  <si>
    <t>AMANDIO FERREIRA RAINHO</t>
  </si>
  <si>
    <t>JARDIM MONTE KEMEL</t>
  </si>
  <si>
    <t>16/04/2026 30/04 05/05</t>
  </si>
  <si>
    <t>PATRICIA KELLY FERNANDES DOS SANTOS</t>
  </si>
  <si>
    <t>Jardim Novo Pantanal</t>
  </si>
  <si>
    <t>HELVECIO JOSE SANT ANNA</t>
  </si>
  <si>
    <t>Jardim Danfer</t>
  </si>
  <si>
    <t>ROSANGELA GONCALVES VIEIRA DE SA</t>
  </si>
  <si>
    <t>VILA PARANAGUA</t>
  </si>
  <si>
    <t xml:space="preserve">Viva Bem </t>
  </si>
  <si>
    <t>JOSE VIEIRA GOMES</t>
  </si>
  <si>
    <t>VILA FLORIDA</t>
  </si>
  <si>
    <t xml:space="preserve">Alta </t>
  </si>
  <si>
    <t>RAIMUNDA MARIA SALES</t>
  </si>
  <si>
    <t>VILA MARIANA</t>
  </si>
  <si>
    <t>LUCIN KOUYOUMJIAM</t>
  </si>
  <si>
    <t>PARADA INGLESA</t>
  </si>
  <si>
    <t>LIDIANE DE JESUS RODRIGUES</t>
  </si>
  <si>
    <t xml:space="preserve">291.818.638-45 </t>
  </si>
  <si>
    <t xml:space="preserve">TABOAO DA SERRA </t>
  </si>
  <si>
    <t xml:space="preserve">em março </t>
  </si>
  <si>
    <t>DANIEL SILVA DE ASSUNCAO FABIAO ALVES</t>
  </si>
  <si>
    <t xml:space="preserve">316.716.888-99 </t>
  </si>
  <si>
    <t xml:space="preserve">VILA DO CASTELO </t>
  </si>
  <si>
    <t>04/05/2026 11:20</t>
  </si>
  <si>
    <t>EDSON CARLOS DA SILVA</t>
  </si>
  <si>
    <t>341.188.648-00</t>
  </si>
  <si>
    <t>UNIAO DE VILA NOVA</t>
  </si>
  <si>
    <t>ALEXANDRE GOMES DOS SANTOS</t>
  </si>
  <si>
    <t>BALNEARIO MAR PAULISTA</t>
  </si>
  <si>
    <t xml:space="preserve">Sim </t>
  </si>
  <si>
    <t>RITA BETANIA DINIZ PEREIRA</t>
  </si>
  <si>
    <t>CIDADE SOBERANA</t>
  </si>
  <si>
    <t>11961622016</t>
  </si>
  <si>
    <t>JOVINO RUBIM DE TOLEDO</t>
  </si>
  <si>
    <t>SE</t>
  </si>
  <si>
    <t>11945905786 / 11998675869 / 1131151629</t>
  </si>
  <si>
    <t>LILIAM DO CARMO ASSOLI SILVA</t>
  </si>
  <si>
    <t>VILA SAO JOAO</t>
  </si>
  <si>
    <t>11975517801 / 11992842590 / 11975517801</t>
  </si>
  <si>
    <t>ANTONIO EMILIO GLIBER</t>
  </si>
  <si>
    <t>944.640.228-04</t>
  </si>
  <si>
    <t>SAO BERNARDO DO CAMPO</t>
  </si>
  <si>
    <t>INDEPENDENCIA</t>
  </si>
  <si>
    <t>MARIA LUIZA CONCEICAO PINTO</t>
  </si>
  <si>
    <t>917.976.838-53</t>
  </si>
  <si>
    <t>GUARAPIRANGA</t>
  </si>
  <si>
    <t>04/05/2026 11:00</t>
  </si>
  <si>
    <t>MARTHA AYAKO NAKAYAMA</t>
  </si>
  <si>
    <t>380.921.237-72</t>
  </si>
  <si>
    <t>JOSE MANUEL DA SILVA MARTINS</t>
  </si>
  <si>
    <t>236.065.417-91</t>
  </si>
  <si>
    <t>RAIMUNDO FERNANDES DA SILVA</t>
  </si>
  <si>
    <t>012.235.518-06</t>
  </si>
  <si>
    <t xml:space="preserve">DIADEMA </t>
  </si>
  <si>
    <t>MARIA TERESA J TABUCO</t>
  </si>
  <si>
    <t>VILA BUENOS AIRES</t>
  </si>
  <si>
    <t>11982203439; 11983304758; 11932957812</t>
  </si>
  <si>
    <t>IZILDO GREGORIO JARDIM</t>
  </si>
  <si>
    <t>VILA GUARANI</t>
  </si>
  <si>
    <t>11-997321601; 11-50171402</t>
  </si>
  <si>
    <t>NILDO DE SOUZA BRITO</t>
  </si>
  <si>
    <t>892.612.325-15</t>
  </si>
  <si>
    <t>DIADEMA</t>
  </si>
  <si>
    <t>CENTRO</t>
  </si>
  <si>
    <t>7. Em fase de captação</t>
  </si>
  <si>
    <t>Inativo</t>
  </si>
  <si>
    <t>FELIPE ROSA</t>
  </si>
  <si>
    <t>386.724.560-68</t>
  </si>
  <si>
    <t>TATUAPE</t>
  </si>
  <si>
    <t>Captação + Navegação</t>
  </si>
  <si>
    <t>PAULO FRANCISCO VERA CRUZ</t>
  </si>
  <si>
    <t>994.167.868-53</t>
  </si>
  <si>
    <t>IEDA VALQUIRIA DA CUNHA SOUZA</t>
  </si>
  <si>
    <t>283.868.738-76</t>
  </si>
  <si>
    <t>VERA LUCIA DA SILVA E SILVA</t>
  </si>
  <si>
    <t>185.494.308-11</t>
  </si>
  <si>
    <t>DURLEI TEIXEIRA DE LIMA</t>
  </si>
  <si>
    <t>JARDIM ALZIRA</t>
  </si>
  <si>
    <t>SAULO DO AMOR DIVINO WEIGERT</t>
  </si>
  <si>
    <t>218.181.808-80</t>
  </si>
  <si>
    <t>BARRA FUNDA</t>
  </si>
  <si>
    <t>Forms</t>
  </si>
  <si>
    <t>WELHINGTON VIANA LIMA</t>
  </si>
  <si>
    <t>087.768.518-50</t>
  </si>
  <si>
    <t>VILA REGINA ( ZONA LESTE)</t>
  </si>
  <si>
    <t>SEBASTIAO NOGUEIRA DE LIMA</t>
  </si>
  <si>
    <t>994.741.318-72</t>
  </si>
  <si>
    <t>SERPA</t>
  </si>
  <si>
    <t>JUSCELINO SILVA PEREIRA</t>
  </si>
  <si>
    <t>086.289.668-11</t>
  </si>
  <si>
    <t>SITIO MORRO GRANDE</t>
  </si>
  <si>
    <t>CELSO ESTEVES MORON</t>
  </si>
  <si>
    <t>120.139.238-13</t>
  </si>
  <si>
    <t xml:space="preserve">ITAIM BIBI 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</si>
  <si>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</si>
  <si>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</si>
  <si>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</si>
  <si>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</si>
  <si>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</si>
  <si>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</si>
  <si>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</si>
  <si>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</si>
  <si>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</si>
  <si>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</si>
  <si>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</si>
  <si>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</si>
  <si>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</si>
  <si>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</si>
  <si>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</si>
  <si>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</si>
  <si>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</si>
  <si>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</si>
  <si>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</si>
  <si>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</si>
  <si>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</si>
  <si>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</si>
  <si>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</si>
  <si>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</si>
  <si>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</si>
  <si>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</si>
  <si>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</si>
  <si>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</si>
  <si>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</si>
  <si>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</si>
  <si>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</si>
  <si>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</si>
  <si>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</si>
  <si>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</si>
  <si>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</si>
  <si>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</si>
  <si>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</si>
  <si>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</si>
  <si>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</si>
  <si>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</si>
  <si>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</si>
  <si>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</si>
  <si>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</si>
  <si>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</si>
  <si>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</si>
  <si>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</si>
  <si>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</si>
  <si>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</si>
  <si>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</si>
  <si>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</si>
  <si>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Negativo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</si>
  <si>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</si>
  <si>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</si>
  <si>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</si>
  <si>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</si>
  <si>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</si>
  <si>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</si>
  <si>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</si>
  <si>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</si>
  <si>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>Sem Preenchimento</t>
  </si>
  <si>
    <t>ORIGEM</t>
  </si>
  <si>
    <t>Casos Prioritário - E-mail</t>
  </si>
  <si>
    <t>Forms Total Care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</si>
  <si>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</si>
  <si>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</si>
  <si>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</si>
  <si>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</si>
  <si>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</si>
  <si>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</si>
  <si>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</si>
  <si>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</si>
  <si>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</si>
  <si>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>Outras</t>
  </si>
  <si>
    <t>Colorretal</t>
  </si>
  <si>
    <t>Mama</t>
  </si>
  <si>
    <t>Transbordo/Navegação</t>
  </si>
  <si>
    <t>Pós-TMO</t>
  </si>
  <si>
    <t>Aguardando Contato</t>
  </si>
  <si>
    <t>Pendente</t>
  </si>
  <si>
    <t>NA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</si>
  <si>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</si>
  <si>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</si>
  <si>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</si>
  <si>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</si>
  <si>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</si>
  <si>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</si>
  <si>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</si>
  <si>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</si>
  <si>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</si>
  <si>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</si>
  <si>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</si>
  <si>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</si>
  <si>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</si>
  <si>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</si>
  <si>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</si>
  <si>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</si>
  <si>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</si>
  <si>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</si>
  <si>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</si>
  <si>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</si>
  <si>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</si>
  <si>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</si>
  <si>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</si>
  <si>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</si>
  <si>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</si>
  <si>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</si>
  <si>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</si>
  <si>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</si>
  <si>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</si>
  <si>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</si>
  <si>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</si>
  <si>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Amil - Unidade Avançada Luz Joao Dias </t>
  </si>
  <si>
    <t>CMDP Nutri - Maria Carolina Vieira Marrano</t>
  </si>
  <si>
    <t>Amil - Unidade Avançada Vitoria 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</si>
  <si>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</si>
  <si>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</si>
  <si>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</si>
  <si>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</si>
  <si>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</si>
  <si>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</si>
  <si>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</si>
  <si>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</si>
  <si>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</si>
  <si>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</si>
  <si>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</si>
  <si>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</si>
  <si>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</si>
  <si>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</si>
  <si>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</si>
  <si>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</si>
  <si>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</si>
  <si>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</si>
  <si>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</si>
  <si>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</si>
  <si>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</si>
  <si>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</si>
  <si>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</si>
  <si>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</si>
  <si>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</si>
  <si>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</si>
  <si>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</si>
  <si>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Amil Espaço Saúde - Tijuca 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</si>
  <si>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</si>
  <si>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</si>
  <si>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</si>
  <si>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</si>
  <si>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</si>
  <si>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</si>
  <si>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</si>
  <si>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</si>
  <si>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</si>
  <si>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</si>
  <si>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</si>
  <si>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</si>
  <si>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</si>
  <si>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</si>
  <si>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</si>
  <si>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</si>
  <si>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</si>
  <si>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</si>
  <si>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</si>
  <si>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</si>
  <si>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</si>
  <si>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</si>
  <si>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</si>
  <si>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</si>
  <si>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</si>
  <si>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</si>
  <si>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Navegação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</si>
  <si>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</si>
  <si>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</si>
  <si>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</si>
  <si>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</si>
  <si>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</si>
  <si>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</si>
  <si>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</si>
  <si>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AES - Nova Iguaçu &lt;= 400</t>
  </si>
  <si>
    <t>Optin</t>
  </si>
  <si>
    <t>ASM - Centro Médico Hospital São Lucas &gt; 400</t>
  </si>
  <si>
    <t>Captado Total Care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</si>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</sst>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21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B02F5B17-3809-40E0-9883-A21BD72C2878}">
    <nsvFilter filterId="{9931A248-8A11-4D8E-BACD-A0C0D59E4D18}" ref="A1:AU70" tableId="0">
      <columnFilter colId="16">
        <filter colId="16">
          <x:filters>
            <x:filter val="1. Aceitou o programa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6"/>
  <sheetViews>
    <sheetView showGridLines="0" tabSelected="1" zoomScaleNormal="100" workbookViewId="0">
      <pane xSplit="6" ySplit="1" topLeftCell="M13" activePane="bottomRight" state="frozen"/>
      <selection pane="bottomRight" activeCell="Q91" sqref="Q91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7.28515625" style="29" customWidth="1"/>
    <col min="4" max="4" width="21.7109375" style="29" bestFit="1" customWidth="1"/>
    <col min="5" max="5" width="11.7109375" style="28" bestFit="1" customWidth="1"/>
    <col min="6" max="6" width="31.85546875" style="224" bestFit="1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9.28515625" style="31" customWidth="1"/>
    <col min="18" max="18" width="16.28515625" style="27" bestFit="1" customWidth="1"/>
    <col min="19" max="19" width="14.7109375" style="27" customWidth="1"/>
    <col min="20" max="20" width="14.85546875" style="27" customWidth="1"/>
    <col min="21" max="21" width="13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93" customWidth="1"/>
    <col min="30" max="30" width="15.140625" style="31" customWidth="1"/>
    <col min="31" max="31" width="18.28515625" style="31" customWidth="1"/>
    <col min="32" max="33" width="24.85546875" style="31" customWidth="1"/>
    <col min="34" max="34" width="16.140625" style="31" customWidth="1"/>
    <col min="35" max="35" width="23.7109375" style="31" customWidth="1"/>
    <col min="36" max="36" width="8.140625" style="31" customWidth="1"/>
    <col min="37" max="37" width="25.7109375" style="31" customWidth="1"/>
    <col min="38" max="38" width="10.28515625" style="45" customWidth="1"/>
    <col min="39" max="39" width="9.42578125" style="198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1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1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5" t="s">
        <v>34</v>
      </c>
      <c r="AJ1" s="225" t="s">
        <v>35</v>
      </c>
      <c r="AK1" s="225" t="s">
        <v>36</v>
      </c>
      <c r="AL1" s="34" t="s">
        <v>37</v>
      </c>
      <c r="AM1" s="197" t="s">
        <v>38</v>
      </c>
      <c r="AN1" s="34" t="s">
        <v>39</v>
      </c>
      <c r="AO1" s="229" t="s">
        <v>40</v>
      </c>
      <c r="AP1" s="229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>
      <c r="A2" s="87" t="s">
        <v>47</v>
      </c>
      <c r="B2" s="88">
        <v>46030</v>
      </c>
      <c r="C2" s="89" t="s">
        <v>48</v>
      </c>
      <c r="D2" s="89" t="s">
        <v>49</v>
      </c>
      <c r="E2" s="90">
        <v>450110320</v>
      </c>
      <c r="F2" s="222" t="s">
        <v>50</v>
      </c>
      <c r="G2" s="92"/>
      <c r="H2" s="93">
        <v>26819</v>
      </c>
      <c r="I2" s="89">
        <v>52</v>
      </c>
      <c r="J2" s="89" t="s">
        <v>51</v>
      </c>
      <c r="K2" s="89" t="s">
        <v>52</v>
      </c>
      <c r="L2" s="89" t="s">
        <v>53</v>
      </c>
      <c r="M2" s="89" t="s">
        <v>54</v>
      </c>
      <c r="N2" s="89">
        <v>100</v>
      </c>
      <c r="O2" s="94" t="s">
        <v>55</v>
      </c>
      <c r="P2" s="95" t="s">
        <v>56</v>
      </c>
      <c r="Q2" s="145" t="s">
        <v>57</v>
      </c>
      <c r="R2" s="96">
        <v>46077</v>
      </c>
      <c r="S2" s="97"/>
      <c r="T2" s="97" t="s">
        <v>58</v>
      </c>
      <c r="U2" s="97" t="s">
        <v>59</v>
      </c>
      <c r="V2" s="93">
        <v>46077</v>
      </c>
      <c r="W2" s="93" t="s">
        <v>60</v>
      </c>
      <c r="X2" s="93" t="s">
        <v>60</v>
      </c>
      <c r="Y2" s="98" t="s">
        <v>61</v>
      </c>
      <c r="Z2" s="89" t="s">
        <v>62</v>
      </c>
      <c r="AA2" s="97">
        <v>46077</v>
      </c>
      <c r="AB2" s="89" t="s">
        <v>63</v>
      </c>
      <c r="AC2" s="120"/>
      <c r="AD2" s="89"/>
      <c r="AE2" s="89"/>
      <c r="AF2" s="99"/>
      <c r="AG2" s="99"/>
      <c r="AH2" s="99"/>
      <c r="AI2" s="100"/>
      <c r="AJ2" s="100" t="s">
        <v>47</v>
      </c>
      <c r="AK2" s="100" t="s">
        <v>47</v>
      </c>
      <c r="AL2" s="45" t="s">
        <v>64</v>
      </c>
      <c r="AM2" s="200" t="str">
        <f>MONTH(B2)&amp;"/"&amp;YEAR(B2)</f>
        <v>1/2026</v>
      </c>
      <c r="AN2" s="45">
        <f>WEEKNUM(B2)-WEEKNUM(EOMONTH(B2,-1)+1)+1</f>
        <v>2</v>
      </c>
      <c r="AO2" s="45" t="str">
        <f>MONTH(R2)&amp;"/"&amp;YEAR(R2)</f>
        <v>2/2026</v>
      </c>
      <c r="AP2" s="45">
        <f>WEEKNUM(R2)-WEEKNUM(EOMONTH(R2,-1)+1)+1</f>
        <v>4</v>
      </c>
      <c r="AQ2" s="45">
        <f>IF(AU2="S",IF(Q2="1. Aceitou o programa",R2-B2,0),0)</f>
        <v>47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0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hidden="1" customHeight="1">
      <c r="A3" s="87" t="s">
        <v>47</v>
      </c>
      <c r="B3" s="88">
        <v>46030</v>
      </c>
      <c r="C3" s="89" t="s">
        <v>48</v>
      </c>
      <c r="D3" s="89" t="s">
        <v>49</v>
      </c>
      <c r="E3" s="90">
        <v>94578522</v>
      </c>
      <c r="F3" s="222" t="s">
        <v>65</v>
      </c>
      <c r="G3" s="92"/>
      <c r="H3" s="93">
        <v>18008</v>
      </c>
      <c r="I3" s="89">
        <v>77</v>
      </c>
      <c r="J3" s="89" t="s">
        <v>51</v>
      </c>
      <c r="K3" s="89" t="s">
        <v>52</v>
      </c>
      <c r="L3" s="89" t="s">
        <v>53</v>
      </c>
      <c r="M3" s="89" t="s">
        <v>66</v>
      </c>
      <c r="N3" s="89">
        <v>60</v>
      </c>
      <c r="O3" s="94" t="s">
        <v>67</v>
      </c>
      <c r="P3" s="95" t="s">
        <v>56</v>
      </c>
      <c r="Q3" s="145" t="s">
        <v>68</v>
      </c>
      <c r="R3" s="96"/>
      <c r="S3" s="97">
        <v>46077</v>
      </c>
      <c r="T3" s="97" t="s">
        <v>58</v>
      </c>
      <c r="U3" s="97" t="s">
        <v>69</v>
      </c>
      <c r="V3" s="93">
        <v>46077</v>
      </c>
      <c r="W3" s="93">
        <v>46125</v>
      </c>
      <c r="X3" s="93"/>
      <c r="Y3" s="98" t="s">
        <v>70</v>
      </c>
      <c r="Z3" s="89"/>
      <c r="AA3" s="97"/>
      <c r="AB3" s="89"/>
      <c r="AC3" s="120"/>
      <c r="AD3" s="89"/>
      <c r="AE3" s="89"/>
      <c r="AF3" s="99"/>
      <c r="AG3" s="99"/>
      <c r="AH3" s="99"/>
      <c r="AI3" s="100"/>
      <c r="AJ3" s="100" t="s">
        <v>71</v>
      </c>
      <c r="AK3" s="100"/>
      <c r="AL3" s="45" t="s">
        <v>64</v>
      </c>
      <c r="AM3" s="200" t="str">
        <f>MONTH(B3)&amp;"/"&amp;YEAR(B3)</f>
        <v>1/2026</v>
      </c>
      <c r="AN3" s="45">
        <f>WEEKNUM(B3)-WEEKNUM(EOMONTH(B3,-1)+1)+1</f>
        <v>2</v>
      </c>
      <c r="AO3" s="45" t="str">
        <f>MONTH(R3)&amp;"/"&amp;YEAR(R3)</f>
        <v>1/1900</v>
      </c>
      <c r="AP3" s="45" t="e">
        <f>WEEKNUM(R3)-WEEKNUM(EOMONTH(R3,-1)+1)+1</f>
        <v>#NUM!</v>
      </c>
      <c r="AQ3" s="45">
        <f>IF(AU3="S",IF(Q3="1. Aceitou o programa",R3-B3,0),0)</f>
        <v>0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0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hidden="1" customHeight="1">
      <c r="A4" s="87" t="s">
        <v>47</v>
      </c>
      <c r="B4" s="88">
        <v>46030</v>
      </c>
      <c r="C4" s="89" t="s">
        <v>48</v>
      </c>
      <c r="D4" s="89" t="s">
        <v>49</v>
      </c>
      <c r="E4" s="90">
        <v>128560118</v>
      </c>
      <c r="F4" s="222" t="s">
        <v>72</v>
      </c>
      <c r="G4" s="92"/>
      <c r="H4" s="93">
        <v>13993</v>
      </c>
      <c r="I4" s="89">
        <v>88</v>
      </c>
      <c r="J4" s="89" t="s">
        <v>51</v>
      </c>
      <c r="K4" s="89" t="s">
        <v>52</v>
      </c>
      <c r="L4" s="89" t="s">
        <v>53</v>
      </c>
      <c r="M4" s="89" t="s">
        <v>73</v>
      </c>
      <c r="N4" s="89">
        <v>400</v>
      </c>
      <c r="O4" s="94" t="s">
        <v>74</v>
      </c>
      <c r="P4" s="95" t="s">
        <v>56</v>
      </c>
      <c r="Q4" s="145" t="s">
        <v>68</v>
      </c>
      <c r="R4" s="96"/>
      <c r="S4" s="97">
        <v>46077</v>
      </c>
      <c r="T4" s="97" t="s">
        <v>58</v>
      </c>
      <c r="U4" s="97" t="s">
        <v>69</v>
      </c>
      <c r="V4" s="93">
        <v>46077</v>
      </c>
      <c r="W4" s="93">
        <v>46125</v>
      </c>
      <c r="X4" s="93">
        <v>46141</v>
      </c>
      <c r="Y4" s="98" t="s">
        <v>75</v>
      </c>
      <c r="Z4" s="89" t="s">
        <v>62</v>
      </c>
      <c r="AA4" s="97">
        <v>46157</v>
      </c>
      <c r="AB4" s="89"/>
      <c r="AC4" s="120"/>
      <c r="AD4" s="89"/>
      <c r="AE4" s="89"/>
      <c r="AF4" s="99"/>
      <c r="AG4" s="99"/>
      <c r="AH4" s="99"/>
      <c r="AI4" s="100"/>
      <c r="AJ4" s="100" t="s">
        <v>71</v>
      </c>
      <c r="AK4" s="100"/>
      <c r="AL4" s="45" t="s">
        <v>64</v>
      </c>
      <c r="AM4" s="200" t="str">
        <f>MONTH(B4)&amp;"/"&amp;YEAR(B4)</f>
        <v>1/2026</v>
      </c>
      <c r="AN4" s="45">
        <f>WEEKNUM(B4)-WEEKNUM(EOMONTH(B4,-1)+1)+1</f>
        <v>2</v>
      </c>
      <c r="AO4" s="45" t="str">
        <f>MONTH(R4)&amp;"/"&amp;YEAR(R4)</f>
        <v>1/1900</v>
      </c>
      <c r="AP4" s="45" t="e">
        <f>WEEKNUM(R4)-WEEKNUM(EOMONTH(R4,-1)+1)+1</f>
        <v>#NUM!</v>
      </c>
      <c r="AQ4" s="45">
        <f>IF(AU4="S",IF(Q4="1. Aceitou o programa",R4-B4,0),0)</f>
        <v>0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0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hidden="1" customHeight="1">
      <c r="A5" s="87" t="s">
        <v>47</v>
      </c>
      <c r="B5" s="88">
        <v>46030</v>
      </c>
      <c r="C5" s="89" t="s">
        <v>48</v>
      </c>
      <c r="D5" s="89" t="s">
        <v>49</v>
      </c>
      <c r="E5" s="90">
        <v>86832934</v>
      </c>
      <c r="F5" s="222" t="s">
        <v>76</v>
      </c>
      <c r="G5" s="92"/>
      <c r="H5" s="93">
        <v>26573</v>
      </c>
      <c r="I5" s="89">
        <v>126</v>
      </c>
      <c r="J5" s="89" t="s">
        <v>51</v>
      </c>
      <c r="K5" s="89" t="s">
        <v>52</v>
      </c>
      <c r="L5" s="89" t="s">
        <v>53</v>
      </c>
      <c r="M5" s="89" t="s">
        <v>77</v>
      </c>
      <c r="N5" s="89">
        <v>60</v>
      </c>
      <c r="O5" s="94" t="s">
        <v>78</v>
      </c>
      <c r="P5" s="95" t="s">
        <v>56</v>
      </c>
      <c r="Q5" s="145" t="s">
        <v>57</v>
      </c>
      <c r="R5" s="96">
        <v>46127</v>
      </c>
      <c r="S5" s="97"/>
      <c r="T5" s="97" t="s">
        <v>58</v>
      </c>
      <c r="U5" s="97" t="s">
        <v>59</v>
      </c>
      <c r="V5" s="93">
        <v>46077</v>
      </c>
      <c r="W5" s="93">
        <v>46125</v>
      </c>
      <c r="X5" s="93" t="s">
        <v>60</v>
      </c>
      <c r="Y5" s="98" t="s">
        <v>79</v>
      </c>
      <c r="Z5" s="89" t="s">
        <v>62</v>
      </c>
      <c r="AA5" s="97">
        <v>46127</v>
      </c>
      <c r="AB5" s="89" t="s">
        <v>63</v>
      </c>
      <c r="AC5" s="120"/>
      <c r="AD5" s="89" t="s">
        <v>80</v>
      </c>
      <c r="AE5" s="89">
        <v>2</v>
      </c>
      <c r="AF5" s="99" t="s">
        <v>81</v>
      </c>
      <c r="AG5" s="99"/>
      <c r="AH5" s="99"/>
      <c r="AI5" s="100" t="s">
        <v>47</v>
      </c>
      <c r="AJ5" s="100" t="s">
        <v>47</v>
      </c>
      <c r="AK5" s="100" t="s">
        <v>47</v>
      </c>
      <c r="AL5" s="45" t="s">
        <v>64</v>
      </c>
      <c r="AM5" s="200" t="str">
        <f>MONTH(B5)&amp;"/"&amp;YEAR(B5)</f>
        <v>1/2026</v>
      </c>
      <c r="AN5" s="45">
        <f>WEEKNUM(B5)-WEEKNUM(EOMONTH(B5,-1)+1)+1</f>
        <v>2</v>
      </c>
      <c r="AO5" s="45" t="str">
        <f>MONTH(R5)&amp;"/"&amp;YEAR(R5)</f>
        <v>4/2026</v>
      </c>
      <c r="AP5" s="45">
        <f>WEEKNUM(R5)-WEEKNUM(EOMONTH(R5,-1)+1)+1</f>
        <v>3</v>
      </c>
      <c r="AQ5" s="45">
        <f>IF(AU5="S",IF(Q5="1. Aceitou o programa",R5-B5,0),0)</f>
        <v>97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48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hidden="1" customHeight="1">
      <c r="A6" s="87" t="s">
        <v>47</v>
      </c>
      <c r="B6" s="88">
        <v>46030</v>
      </c>
      <c r="C6" s="89" t="s">
        <v>48</v>
      </c>
      <c r="D6" s="89" t="s">
        <v>82</v>
      </c>
      <c r="E6" s="90">
        <v>222857366</v>
      </c>
      <c r="F6" s="222" t="s">
        <v>83</v>
      </c>
      <c r="G6" s="92"/>
      <c r="H6" s="93">
        <v>17250</v>
      </c>
      <c r="I6" s="89">
        <v>79</v>
      </c>
      <c r="J6" s="89" t="s">
        <v>84</v>
      </c>
      <c r="K6" s="89" t="s">
        <v>52</v>
      </c>
      <c r="L6" s="89" t="s">
        <v>53</v>
      </c>
      <c r="M6" s="89" t="s">
        <v>85</v>
      </c>
      <c r="N6" s="89" t="s">
        <v>86</v>
      </c>
      <c r="O6" s="94" t="s">
        <v>87</v>
      </c>
      <c r="P6" s="95" t="s">
        <v>56</v>
      </c>
      <c r="Q6" s="145" t="s">
        <v>57</v>
      </c>
      <c r="R6" s="96">
        <v>46078</v>
      </c>
      <c r="S6" s="97"/>
      <c r="T6" s="97" t="s">
        <v>58</v>
      </c>
      <c r="U6" s="97" t="s">
        <v>59</v>
      </c>
      <c r="V6" s="93">
        <v>46078</v>
      </c>
      <c r="W6" s="93" t="s">
        <v>60</v>
      </c>
      <c r="X6" s="93" t="s">
        <v>60</v>
      </c>
      <c r="Y6" s="98" t="s">
        <v>88</v>
      </c>
      <c r="Z6" s="89" t="s">
        <v>89</v>
      </c>
      <c r="AA6" s="97"/>
      <c r="AB6" s="89"/>
      <c r="AC6" s="120"/>
      <c r="AD6" s="89"/>
      <c r="AE6" s="89"/>
      <c r="AF6" s="99"/>
      <c r="AG6" s="99"/>
      <c r="AH6" s="99"/>
      <c r="AI6" s="100"/>
      <c r="AJ6" s="100" t="s">
        <v>47</v>
      </c>
      <c r="AK6" s="100" t="s">
        <v>47</v>
      </c>
      <c r="AL6" s="45" t="s">
        <v>64</v>
      </c>
      <c r="AM6" s="200" t="str">
        <f>MONTH(B6)&amp;"/"&amp;YEAR(B6)</f>
        <v>1/2026</v>
      </c>
      <c r="AN6" s="45">
        <f>WEEKNUM(B6)-WEEKNUM(EOMONTH(B6,-1)+1)+1</f>
        <v>2</v>
      </c>
      <c r="AO6" s="45" t="str">
        <f>MONTH(R6)&amp;"/"&amp;YEAR(R6)</f>
        <v>2/2026</v>
      </c>
      <c r="AP6" s="45">
        <f>WEEKNUM(R6)-WEEKNUM(EOMONTH(R6,-1)+1)+1</f>
        <v>4</v>
      </c>
      <c r="AQ6" s="45">
        <f>IF(AU6="S",IF(Q6="1. Aceitou o programa",R6-B6,0),0)</f>
        <v>48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0</v>
      </c>
      <c r="AT6" s="45">
        <f>IF(AU6="S",IF(AND(Q6="1. Aceitou o programa",AB6="Realizada"),IFERROR(IF(AA6="",0,AA6-R6),0),0),0)</f>
        <v>0</v>
      </c>
      <c r="AU6" s="45" t="str">
        <f>_xlfn.XLOOKUP(U6,'Lista Suspensa'!$AA$20:$AA$23,'Lista Suspensa'!$AB$20:$AB$23,"N/A")</f>
        <v>S</v>
      </c>
    </row>
    <row r="7" spans="1:47" ht="12" hidden="1" customHeight="1">
      <c r="A7" s="87" t="s">
        <v>47</v>
      </c>
      <c r="B7" s="88">
        <v>46030</v>
      </c>
      <c r="C7" s="89" t="s">
        <v>48</v>
      </c>
      <c r="D7" s="89" t="s">
        <v>82</v>
      </c>
      <c r="E7" s="90">
        <v>451708490</v>
      </c>
      <c r="F7" s="222" t="s">
        <v>90</v>
      </c>
      <c r="G7" s="92"/>
      <c r="H7" s="93">
        <v>16840</v>
      </c>
      <c r="I7" s="89">
        <v>80</v>
      </c>
      <c r="J7" s="89" t="s">
        <v>51</v>
      </c>
      <c r="K7" s="89" t="s">
        <v>52</v>
      </c>
      <c r="L7" s="89" t="s">
        <v>53</v>
      </c>
      <c r="M7" s="89" t="s">
        <v>91</v>
      </c>
      <c r="N7" s="89" t="s">
        <v>92</v>
      </c>
      <c r="O7" s="94" t="s">
        <v>93</v>
      </c>
      <c r="P7" s="95" t="s">
        <v>56</v>
      </c>
      <c r="Q7" s="145" t="s">
        <v>57</v>
      </c>
      <c r="R7" s="96">
        <v>46058</v>
      </c>
      <c r="S7" s="97"/>
      <c r="T7" s="97" t="s">
        <v>58</v>
      </c>
      <c r="U7" s="97" t="s">
        <v>59</v>
      </c>
      <c r="V7" s="93">
        <v>46058</v>
      </c>
      <c r="W7" s="93" t="s">
        <v>60</v>
      </c>
      <c r="X7" s="93" t="s">
        <v>60</v>
      </c>
      <c r="Y7" s="98" t="s">
        <v>94</v>
      </c>
      <c r="Z7" s="89" t="s">
        <v>89</v>
      </c>
      <c r="AA7" s="97"/>
      <c r="AB7" s="89"/>
      <c r="AC7" s="120"/>
      <c r="AD7" s="89"/>
      <c r="AE7" s="89"/>
      <c r="AF7" s="99"/>
      <c r="AG7" s="99"/>
      <c r="AH7" s="99"/>
      <c r="AI7" s="100"/>
      <c r="AJ7" s="100" t="s">
        <v>47</v>
      </c>
      <c r="AK7" s="100" t="s">
        <v>47</v>
      </c>
      <c r="AL7" s="45" t="s">
        <v>64</v>
      </c>
      <c r="AM7" s="200" t="str">
        <f>MONTH(B7)&amp;"/"&amp;YEAR(B7)</f>
        <v>1/2026</v>
      </c>
      <c r="AN7" s="45">
        <f>WEEKNUM(B7)-WEEKNUM(EOMONTH(B7,-1)+1)+1</f>
        <v>2</v>
      </c>
      <c r="AO7" s="45" t="str">
        <f>MONTH(R7)&amp;"/"&amp;YEAR(R7)</f>
        <v>2/2026</v>
      </c>
      <c r="AP7" s="45">
        <f>WEEKNUM(R7)-WEEKNUM(EOMONTH(R7,-1)+1)+1</f>
        <v>1</v>
      </c>
      <c r="AQ7" s="45">
        <f>IF(AU7="S",IF(Q7="1. Aceitou o programa",R7-B7,0),0)</f>
        <v>28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0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hidden="1" customHeight="1">
      <c r="A8" s="87" t="s">
        <v>47</v>
      </c>
      <c r="B8" s="88">
        <v>46030</v>
      </c>
      <c r="C8" s="89" t="s">
        <v>48</v>
      </c>
      <c r="D8" s="89" t="s">
        <v>82</v>
      </c>
      <c r="E8" s="90">
        <v>72529316</v>
      </c>
      <c r="F8" s="222" t="s">
        <v>95</v>
      </c>
      <c r="G8" s="92"/>
      <c r="H8" s="93">
        <v>31040</v>
      </c>
      <c r="I8" s="89">
        <v>41</v>
      </c>
      <c r="J8" s="89" t="s">
        <v>84</v>
      </c>
      <c r="K8" s="89" t="s">
        <v>52</v>
      </c>
      <c r="L8" s="89" t="s">
        <v>53</v>
      </c>
      <c r="M8" s="89" t="s">
        <v>96</v>
      </c>
      <c r="N8" s="89" t="s">
        <v>97</v>
      </c>
      <c r="O8" s="94" t="s">
        <v>98</v>
      </c>
      <c r="P8" s="95" t="s">
        <v>56</v>
      </c>
      <c r="Q8" s="145" t="s">
        <v>57</v>
      </c>
      <c r="R8" s="96">
        <v>46066</v>
      </c>
      <c r="S8" s="97"/>
      <c r="T8" s="97" t="s">
        <v>58</v>
      </c>
      <c r="U8" s="97" t="s">
        <v>59</v>
      </c>
      <c r="V8" s="93">
        <v>46066</v>
      </c>
      <c r="W8" s="93" t="s">
        <v>60</v>
      </c>
      <c r="X8" s="93" t="s">
        <v>60</v>
      </c>
      <c r="Y8" s="98" t="s">
        <v>99</v>
      </c>
      <c r="Z8" s="89" t="s">
        <v>89</v>
      </c>
      <c r="AA8" s="97"/>
      <c r="AB8" s="89"/>
      <c r="AC8" s="120"/>
      <c r="AD8" s="89"/>
      <c r="AE8" s="89"/>
      <c r="AF8" s="99"/>
      <c r="AG8" s="99"/>
      <c r="AH8" s="99"/>
      <c r="AI8" s="100"/>
      <c r="AJ8" s="100" t="s">
        <v>47</v>
      </c>
      <c r="AK8" s="100" t="s">
        <v>47</v>
      </c>
      <c r="AL8" s="45" t="s">
        <v>64</v>
      </c>
      <c r="AM8" s="200" t="str">
        <f>MONTH(B8)&amp;"/"&amp;YEAR(B8)</f>
        <v>1/2026</v>
      </c>
      <c r="AN8" s="45">
        <f>WEEKNUM(B8)-WEEKNUM(EOMONTH(B8,-1)+1)+1</f>
        <v>2</v>
      </c>
      <c r="AO8" s="45" t="str">
        <f>MONTH(R8)&amp;"/"&amp;YEAR(R8)</f>
        <v>2/2026</v>
      </c>
      <c r="AP8" s="45">
        <f>WEEKNUM(R8)-WEEKNUM(EOMONTH(R8,-1)+1)+1</f>
        <v>2</v>
      </c>
      <c r="AQ8" s="45">
        <f>IF(AU8="S",IF(Q8="1. Aceitou o programa",R8-B8,0),0)</f>
        <v>36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0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hidden="1" customHeight="1">
      <c r="A9" s="87" t="s">
        <v>47</v>
      </c>
      <c r="B9" s="88">
        <v>46030</v>
      </c>
      <c r="C9" s="89" t="s">
        <v>48</v>
      </c>
      <c r="D9" s="89" t="s">
        <v>82</v>
      </c>
      <c r="E9" s="90">
        <v>93636998</v>
      </c>
      <c r="F9" s="222" t="s">
        <v>100</v>
      </c>
      <c r="G9" s="92"/>
      <c r="H9" s="93">
        <v>34980</v>
      </c>
      <c r="I9" s="89">
        <v>30</v>
      </c>
      <c r="J9" s="89" t="s">
        <v>84</v>
      </c>
      <c r="K9" s="89" t="s">
        <v>52</v>
      </c>
      <c r="L9" s="89" t="s">
        <v>53</v>
      </c>
      <c r="M9" s="89" t="s">
        <v>101</v>
      </c>
      <c r="N9" s="89" t="s">
        <v>102</v>
      </c>
      <c r="O9" s="94" t="s">
        <v>103</v>
      </c>
      <c r="P9" s="95" t="s">
        <v>104</v>
      </c>
      <c r="Q9" s="145" t="s">
        <v>57</v>
      </c>
      <c r="R9" s="96">
        <v>46072</v>
      </c>
      <c r="S9" s="97"/>
      <c r="T9" s="97" t="s">
        <v>58</v>
      </c>
      <c r="U9" s="97" t="s">
        <v>59</v>
      </c>
      <c r="V9" s="93">
        <v>46072</v>
      </c>
      <c r="W9" s="93" t="s">
        <v>60</v>
      </c>
      <c r="X9" s="93" t="s">
        <v>60</v>
      </c>
      <c r="Y9" s="98"/>
      <c r="Z9" s="89" t="s">
        <v>62</v>
      </c>
      <c r="AA9" s="97">
        <v>46184</v>
      </c>
      <c r="AB9" s="89" t="s">
        <v>63</v>
      </c>
      <c r="AC9" s="120">
        <v>46184</v>
      </c>
      <c r="AD9" s="89" t="s">
        <v>105</v>
      </c>
      <c r="AE9" s="89"/>
      <c r="AF9" s="99"/>
      <c r="AG9" s="99"/>
      <c r="AH9" s="99" t="s">
        <v>106</v>
      </c>
      <c r="AI9" s="100"/>
      <c r="AJ9" s="100" t="s">
        <v>47</v>
      </c>
      <c r="AK9" s="100" t="s">
        <v>47</v>
      </c>
      <c r="AL9" s="45" t="s">
        <v>64</v>
      </c>
      <c r="AM9" s="200" t="str">
        <f>MONTH(B9)&amp;"/"&amp;YEAR(B9)</f>
        <v>1/2026</v>
      </c>
      <c r="AN9" s="45">
        <f>WEEKNUM(B9)-WEEKNUM(EOMONTH(B9,-1)+1)+1</f>
        <v>2</v>
      </c>
      <c r="AO9" s="45" t="str">
        <f>MONTH(R9)&amp;"/"&amp;YEAR(R9)</f>
        <v>2/2026</v>
      </c>
      <c r="AP9" s="45">
        <f>WEEKNUM(R9)-WEEKNUM(EOMONTH(R9,-1)+1)+1</f>
        <v>3</v>
      </c>
      <c r="AQ9" s="45">
        <f>IF(AU9="S",IF(Q9="1. Aceitou o programa",R9-B9,0),0)</f>
        <v>42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0</v>
      </c>
      <c r="AT9" s="45">
        <f>IF(AU9="S",IF(AND(Q9="1. Aceitou o programa",AB9="Realizada"),IFERROR(IF(AA9="",0,AA9-R9),0),0),0)</f>
        <v>112</v>
      </c>
      <c r="AU9" s="45" t="str">
        <f>_xlfn.XLOOKUP(U9,'Lista Suspensa'!$AA$20:$AA$23,'Lista Suspensa'!$AB$20:$AB$23,"N/A")</f>
        <v>S</v>
      </c>
    </row>
    <row r="10" spans="1:47" ht="12" hidden="1" customHeight="1">
      <c r="A10" s="87" t="s">
        <v>47</v>
      </c>
      <c r="B10" s="88">
        <v>46030</v>
      </c>
      <c r="C10" s="89" t="s">
        <v>48</v>
      </c>
      <c r="D10" s="89" t="s">
        <v>49</v>
      </c>
      <c r="E10" s="90">
        <v>76790019</v>
      </c>
      <c r="F10" s="222" t="s">
        <v>107</v>
      </c>
      <c r="G10" s="92"/>
      <c r="H10" s="93">
        <v>29270</v>
      </c>
      <c r="I10" s="89">
        <v>46</v>
      </c>
      <c r="J10" s="89" t="s">
        <v>51</v>
      </c>
      <c r="K10" s="89" t="s">
        <v>52</v>
      </c>
      <c r="L10" s="89" t="s">
        <v>53</v>
      </c>
      <c r="M10" s="89" t="s">
        <v>108</v>
      </c>
      <c r="N10" s="89">
        <v>50</v>
      </c>
      <c r="O10" s="94" t="s">
        <v>109</v>
      </c>
      <c r="P10" s="95" t="s">
        <v>56</v>
      </c>
      <c r="Q10" s="145" t="s">
        <v>68</v>
      </c>
      <c r="R10" s="96"/>
      <c r="S10" s="97">
        <v>46077</v>
      </c>
      <c r="T10" s="97" t="s">
        <v>58</v>
      </c>
      <c r="U10" s="97" t="s">
        <v>69</v>
      </c>
      <c r="V10" s="93">
        <v>46077</v>
      </c>
      <c r="W10" s="93">
        <v>46125</v>
      </c>
      <c r="X10" s="93"/>
      <c r="Y10" s="98" t="s">
        <v>110</v>
      </c>
      <c r="Z10" s="89"/>
      <c r="AA10" s="97"/>
      <c r="AB10" s="89"/>
      <c r="AC10" s="120"/>
      <c r="AD10" s="89"/>
      <c r="AE10" s="89"/>
      <c r="AF10" s="99"/>
      <c r="AG10" s="99"/>
      <c r="AH10" s="99"/>
      <c r="AI10" s="100"/>
      <c r="AJ10" s="100" t="s">
        <v>71</v>
      </c>
      <c r="AK10" s="100"/>
      <c r="AL10" s="45" t="s">
        <v>64</v>
      </c>
      <c r="AM10" s="200" t="str">
        <f>MONTH(B10)&amp;"/"&amp;YEAR(B10)</f>
        <v>1/2026</v>
      </c>
      <c r="AN10" s="45">
        <f>WEEKNUM(B10)-WEEKNUM(EOMONTH(B10,-1)+1)+1</f>
        <v>2</v>
      </c>
      <c r="AO10" s="45" t="str">
        <f>MONTH(R10)&amp;"/"&amp;YEAR(R10)</f>
        <v>1/1900</v>
      </c>
      <c r="AP10" s="45" t="e">
        <f>WEEKNUM(R10)-WEEKNUM(EOMONTH(R10,-1)+1)+1</f>
        <v>#NUM!</v>
      </c>
      <c r="AQ10" s="45">
        <f>IF(AU10="S",IF(Q10="1. Aceitou o programa",R10-B10,0),0)</f>
        <v>0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0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hidden="1" customHeight="1">
      <c r="A11" s="87" t="s">
        <v>47</v>
      </c>
      <c r="B11" s="88">
        <v>46030</v>
      </c>
      <c r="C11" s="89" t="s">
        <v>48</v>
      </c>
      <c r="D11" s="89" t="s">
        <v>49</v>
      </c>
      <c r="E11" s="90">
        <v>86198842</v>
      </c>
      <c r="F11" s="222" t="s">
        <v>111</v>
      </c>
      <c r="G11" s="92"/>
      <c r="H11" s="93">
        <v>23977</v>
      </c>
      <c r="I11" s="89">
        <v>60</v>
      </c>
      <c r="J11" s="89" t="s">
        <v>51</v>
      </c>
      <c r="K11" s="89" t="s">
        <v>52</v>
      </c>
      <c r="L11" s="89" t="s">
        <v>53</v>
      </c>
      <c r="M11" s="89" t="s">
        <v>112</v>
      </c>
      <c r="N11" s="89">
        <v>60</v>
      </c>
      <c r="O11" s="94" t="s">
        <v>113</v>
      </c>
      <c r="P11" s="95" t="s">
        <v>56</v>
      </c>
      <c r="Q11" s="145" t="s">
        <v>68</v>
      </c>
      <c r="R11" s="96"/>
      <c r="S11" s="97">
        <v>46077</v>
      </c>
      <c r="T11" s="97" t="s">
        <v>58</v>
      </c>
      <c r="U11" s="97" t="s">
        <v>69</v>
      </c>
      <c r="V11" s="93">
        <v>46077</v>
      </c>
      <c r="W11" s="93">
        <v>46125</v>
      </c>
      <c r="X11" s="93"/>
      <c r="Y11" s="98" t="s">
        <v>114</v>
      </c>
      <c r="Z11" s="89"/>
      <c r="AA11" s="97"/>
      <c r="AB11" s="89"/>
      <c r="AC11" s="120"/>
      <c r="AD11" s="89"/>
      <c r="AE11" s="89"/>
      <c r="AF11" s="99"/>
      <c r="AG11" s="99"/>
      <c r="AH11" s="99"/>
      <c r="AI11" s="100"/>
      <c r="AJ11" s="100"/>
      <c r="AK11" s="100"/>
      <c r="AL11" s="45" t="s">
        <v>64</v>
      </c>
      <c r="AM11" s="200" t="str">
        <f>MONTH(B11)&amp;"/"&amp;YEAR(B11)</f>
        <v>1/2026</v>
      </c>
      <c r="AN11" s="45">
        <f>WEEKNUM(B11)-WEEKNUM(EOMONTH(B11,-1)+1)+1</f>
        <v>2</v>
      </c>
      <c r="AO11" s="45" t="str">
        <f>MONTH(R11)&amp;"/"&amp;YEAR(R11)</f>
        <v>1/1900</v>
      </c>
      <c r="AP11" s="45" t="e">
        <f>WEEKNUM(R11)-WEEKNUM(EOMONTH(R11,-1)+1)+1</f>
        <v>#NUM!</v>
      </c>
      <c r="AQ11" s="45">
        <f>IF(AU11="S",IF(Q11="1. Aceitou o programa",R11-B11,0),0)</f>
        <v>0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0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hidden="1" customHeight="1">
      <c r="A12" s="87" t="s">
        <v>47</v>
      </c>
      <c r="B12" s="88">
        <v>46030</v>
      </c>
      <c r="C12" s="89" t="s">
        <v>48</v>
      </c>
      <c r="D12" s="89" t="s">
        <v>49</v>
      </c>
      <c r="E12" s="90">
        <v>79565265</v>
      </c>
      <c r="F12" s="222" t="s">
        <v>115</v>
      </c>
      <c r="G12" s="92"/>
      <c r="H12" s="93">
        <v>18094</v>
      </c>
      <c r="I12" s="89">
        <v>76</v>
      </c>
      <c r="J12" s="89" t="s">
        <v>51</v>
      </c>
      <c r="K12" s="89" t="s">
        <v>52</v>
      </c>
      <c r="L12" s="89" t="s">
        <v>53</v>
      </c>
      <c r="M12" s="89" t="s">
        <v>116</v>
      </c>
      <c r="N12" s="89">
        <v>60</v>
      </c>
      <c r="O12" s="94" t="s">
        <v>117</v>
      </c>
      <c r="P12" s="95" t="s">
        <v>56</v>
      </c>
      <c r="Q12" s="145" t="s">
        <v>118</v>
      </c>
      <c r="R12" s="96"/>
      <c r="S12" s="97">
        <v>46150</v>
      </c>
      <c r="T12" s="97" t="s">
        <v>119</v>
      </c>
      <c r="U12" s="97" t="s">
        <v>69</v>
      </c>
      <c r="V12" s="93">
        <v>46077</v>
      </c>
      <c r="W12" s="93">
        <v>46125</v>
      </c>
      <c r="X12" s="93">
        <v>46142</v>
      </c>
      <c r="Y12" s="98" t="s">
        <v>120</v>
      </c>
      <c r="Z12" s="89"/>
      <c r="AA12" s="97"/>
      <c r="AB12" s="89"/>
      <c r="AC12" s="120"/>
      <c r="AD12" s="89"/>
      <c r="AE12" s="89"/>
      <c r="AF12" s="99"/>
      <c r="AG12" s="99"/>
      <c r="AH12" s="99"/>
      <c r="AI12" s="100"/>
      <c r="AJ12" s="100"/>
      <c r="AK12" s="100"/>
      <c r="AL12" s="45" t="s">
        <v>64</v>
      </c>
      <c r="AM12" s="200" t="str">
        <f>MONTH(B12)&amp;"/"&amp;YEAR(B12)</f>
        <v>1/2026</v>
      </c>
      <c r="AN12" s="45">
        <f>WEEKNUM(B12)-WEEKNUM(EOMONTH(B12,-1)+1)+1</f>
        <v>2</v>
      </c>
      <c r="AO12" s="45" t="str">
        <f>MONTH(R12)&amp;"/"&amp;YEAR(R12)</f>
        <v>1/1900</v>
      </c>
      <c r="AP12" s="45" t="e">
        <f>WEEKNUM(R12)-WEEKNUM(EOMONTH(R12,-1)+1)+1</f>
        <v>#NUM!</v>
      </c>
      <c r="AQ12" s="45">
        <f>IF(AU12="S",IF(Q12="1. Aceitou o programa",R12-B12,0),0)</f>
        <v>0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0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46030</v>
      </c>
      <c r="C13" s="89" t="s">
        <v>48</v>
      </c>
      <c r="D13" s="89" t="s">
        <v>49</v>
      </c>
      <c r="E13" s="90">
        <v>95179124</v>
      </c>
      <c r="F13" s="222" t="s">
        <v>121</v>
      </c>
      <c r="G13" s="92"/>
      <c r="H13" s="93">
        <v>24037</v>
      </c>
      <c r="I13" s="89">
        <v>126</v>
      </c>
      <c r="J13" s="89" t="s">
        <v>51</v>
      </c>
      <c r="K13" s="89" t="s">
        <v>52</v>
      </c>
      <c r="L13" s="89" t="s">
        <v>53</v>
      </c>
      <c r="M13" s="89" t="s">
        <v>77</v>
      </c>
      <c r="N13" s="89">
        <v>110</v>
      </c>
      <c r="O13" s="94" t="s">
        <v>122</v>
      </c>
      <c r="P13" s="95" t="s">
        <v>56</v>
      </c>
      <c r="Q13" s="145" t="s">
        <v>57</v>
      </c>
      <c r="R13" s="96">
        <v>46189</v>
      </c>
      <c r="S13" s="97">
        <v>46150</v>
      </c>
      <c r="T13" s="97" t="s">
        <v>58</v>
      </c>
      <c r="U13" s="97" t="s">
        <v>59</v>
      </c>
      <c r="V13" s="93">
        <v>46077</v>
      </c>
      <c r="W13" s="93">
        <v>46125</v>
      </c>
      <c r="X13" s="93">
        <v>46142</v>
      </c>
      <c r="Y13" s="98" t="s">
        <v>123</v>
      </c>
      <c r="Z13" s="89" t="s">
        <v>62</v>
      </c>
      <c r="AA13" s="97">
        <v>46196</v>
      </c>
      <c r="AB13" s="89"/>
      <c r="AC13" s="120"/>
      <c r="AD13" s="89"/>
      <c r="AE13" s="89"/>
      <c r="AF13" s="99"/>
      <c r="AG13" s="99"/>
      <c r="AH13" s="99"/>
      <c r="AI13" s="100"/>
      <c r="AJ13" s="100" t="s">
        <v>47</v>
      </c>
      <c r="AK13" s="100"/>
      <c r="AL13" s="45" t="s">
        <v>64</v>
      </c>
      <c r="AM13" s="200" t="str">
        <f>MONTH(B13)&amp;"/"&amp;YEAR(B13)</f>
        <v>1/2026</v>
      </c>
      <c r="AN13" s="45">
        <f>WEEKNUM(B13)-WEEKNUM(EOMONTH(B13,-1)+1)+1</f>
        <v>2</v>
      </c>
      <c r="AO13" s="45" t="str">
        <f>MONTH(R13)&amp;"/"&amp;YEAR(R13)</f>
        <v>6/2026</v>
      </c>
      <c r="AP13" s="45">
        <f>WEEKNUM(R13)-WEEKNUM(EOMONTH(R13,-1)+1)+1</f>
        <v>3</v>
      </c>
      <c r="AQ13" s="45">
        <f>IF(AU13="S",IF(Q13="1. Aceitou o programa",R13-B13,0),0)</f>
        <v>159</v>
      </c>
      <c r="AR13" s="45">
        <f>IF(AU13="S",IF(AND(S13&lt;&gt;"",R13&lt;&gt;""),S13-R13,0),0)</f>
        <v>-39</v>
      </c>
      <c r="AS13" s="45">
        <f>IF(AU13="S",IF(Q13="1. Aceitou o programa",IF(OR(X13="Não se Aplica",X13=""),IF(OR(W13="Não se Aplica",W13=""),0,W13-V13),AVERAGE(X13-W13,W13-V13)),0),0)</f>
        <v>32.5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hidden="1" customHeight="1">
      <c r="A14" s="87" t="s">
        <v>47</v>
      </c>
      <c r="B14" s="88">
        <v>46035</v>
      </c>
      <c r="C14" s="89" t="s">
        <v>48</v>
      </c>
      <c r="D14" s="89" t="s">
        <v>49</v>
      </c>
      <c r="E14" s="90">
        <v>792036077</v>
      </c>
      <c r="F14" s="222" t="s">
        <v>124</v>
      </c>
      <c r="G14" s="92"/>
      <c r="H14" s="93">
        <v>15891</v>
      </c>
      <c r="I14" s="89">
        <v>82</v>
      </c>
      <c r="J14" s="89" t="s">
        <v>84</v>
      </c>
      <c r="K14" s="89" t="s">
        <v>52</v>
      </c>
      <c r="L14" s="89" t="s">
        <v>125</v>
      </c>
      <c r="M14" s="89" t="s">
        <v>125</v>
      </c>
      <c r="N14" s="89">
        <v>100</v>
      </c>
      <c r="O14" s="94" t="s">
        <v>126</v>
      </c>
      <c r="P14" s="95" t="s">
        <v>56</v>
      </c>
      <c r="Q14" s="145" t="s">
        <v>57</v>
      </c>
      <c r="R14" s="96">
        <v>46077</v>
      </c>
      <c r="S14" s="97"/>
      <c r="T14" s="97" t="s">
        <v>58</v>
      </c>
      <c r="U14" s="97" t="s">
        <v>59</v>
      </c>
      <c r="V14" s="93">
        <v>46078</v>
      </c>
      <c r="W14" s="93" t="s">
        <v>60</v>
      </c>
      <c r="X14" s="93" t="s">
        <v>60</v>
      </c>
      <c r="Y14" s="98" t="s">
        <v>88</v>
      </c>
      <c r="Z14" s="89" t="s">
        <v>62</v>
      </c>
      <c r="AA14" s="97">
        <v>46170</v>
      </c>
      <c r="AB14" s="89" t="s">
        <v>63</v>
      </c>
      <c r="AC14" s="120"/>
      <c r="AD14" s="89" t="s">
        <v>80</v>
      </c>
      <c r="AE14" s="89">
        <v>0</v>
      </c>
      <c r="AF14" s="99" t="s">
        <v>127</v>
      </c>
      <c r="AG14" s="99" t="s">
        <v>127</v>
      </c>
      <c r="AH14" s="99" t="s">
        <v>106</v>
      </c>
      <c r="AI14" s="100"/>
      <c r="AJ14" s="100" t="s">
        <v>47</v>
      </c>
      <c r="AK14" s="100" t="s">
        <v>47</v>
      </c>
      <c r="AL14" s="45" t="s">
        <v>64</v>
      </c>
      <c r="AM14" s="200" t="str">
        <f>MONTH(B14)&amp;"/"&amp;YEAR(B14)</f>
        <v>1/2026</v>
      </c>
      <c r="AN14" s="45">
        <f>WEEKNUM(B14)-WEEKNUM(EOMONTH(B14,-1)+1)+1</f>
        <v>3</v>
      </c>
      <c r="AO14" s="45" t="str">
        <f>MONTH(R14)&amp;"/"&amp;YEAR(R14)</f>
        <v>2/2026</v>
      </c>
      <c r="AP14" s="45">
        <f>WEEKNUM(R14)-WEEKNUM(EOMONTH(R14,-1)+1)+1</f>
        <v>4</v>
      </c>
      <c r="AQ14" s="45">
        <f>IF(AU14="S",IF(Q14="1. Aceitou o programa",R14-B14,0),0)</f>
        <v>42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0</v>
      </c>
      <c r="AT14" s="45">
        <f>IF(AU14="S",IF(AND(Q14="1. Aceitou o programa",AB14="Realizada"),IFERROR(IF(AA14="",0,AA14-R14),0),0),0)</f>
        <v>93</v>
      </c>
      <c r="AU14" s="45" t="str">
        <f>_xlfn.XLOOKUP(U14,'Lista Suspensa'!$AA$20:$AA$23,'Lista Suspensa'!$AB$20:$AB$23,"N/A")</f>
        <v>S</v>
      </c>
    </row>
    <row r="15" spans="1:47" ht="12" hidden="1" customHeight="1">
      <c r="A15" s="87" t="s">
        <v>47</v>
      </c>
      <c r="B15" s="88">
        <v>46041</v>
      </c>
      <c r="C15" s="89" t="s">
        <v>48</v>
      </c>
      <c r="D15" s="89" t="s">
        <v>49</v>
      </c>
      <c r="E15" s="90">
        <v>93805811</v>
      </c>
      <c r="F15" s="222" t="s">
        <v>128</v>
      </c>
      <c r="G15" s="92"/>
      <c r="H15" s="93">
        <v>30783</v>
      </c>
      <c r="I15" s="89">
        <v>42</v>
      </c>
      <c r="J15" s="89" t="s">
        <v>84</v>
      </c>
      <c r="K15" s="89" t="s">
        <v>52</v>
      </c>
      <c r="L15" s="89" t="s">
        <v>53</v>
      </c>
      <c r="M15" s="89" t="s">
        <v>77</v>
      </c>
      <c r="N15" s="89">
        <v>380</v>
      </c>
      <c r="O15" s="94" t="s">
        <v>129</v>
      </c>
      <c r="P15" s="95" t="s">
        <v>56</v>
      </c>
      <c r="Q15" s="145" t="s">
        <v>68</v>
      </c>
      <c r="R15" s="96"/>
      <c r="S15" s="97">
        <v>46078</v>
      </c>
      <c r="T15" s="97" t="s">
        <v>58</v>
      </c>
      <c r="U15" s="97" t="s">
        <v>69</v>
      </c>
      <c r="V15" s="93">
        <v>46078</v>
      </c>
      <c r="W15" s="93">
        <v>46125</v>
      </c>
      <c r="X15" s="93"/>
      <c r="Y15" s="98" t="s">
        <v>130</v>
      </c>
      <c r="Z15" s="89" t="s">
        <v>89</v>
      </c>
      <c r="AA15" s="97"/>
      <c r="AB15" s="89"/>
      <c r="AC15" s="120"/>
      <c r="AD15" s="89"/>
      <c r="AE15" s="89"/>
      <c r="AF15" s="99"/>
      <c r="AG15" s="99"/>
      <c r="AH15" s="99"/>
      <c r="AI15" s="100"/>
      <c r="AJ15" s="100"/>
      <c r="AK15" s="100"/>
      <c r="AL15" s="45" t="s">
        <v>64</v>
      </c>
      <c r="AM15" s="200" t="str">
        <f>MONTH(B15)&amp;"/"&amp;YEAR(B15)</f>
        <v>1/2026</v>
      </c>
      <c r="AN15" s="45">
        <f>WEEKNUM(B15)-WEEKNUM(EOMONTH(B15,-1)+1)+1</f>
        <v>4</v>
      </c>
      <c r="AO15" s="45" t="str">
        <f>MONTH(R15)&amp;"/"&amp;YEAR(R15)</f>
        <v>1/1900</v>
      </c>
      <c r="AP15" s="45" t="e">
        <f>WEEKNUM(R15)-WEEKNUM(EOMONTH(R15,-1)+1)+1</f>
        <v>#NUM!</v>
      </c>
      <c r="AQ15" s="45">
        <f>IF(AU15="S",IF(Q15="1. Aceitou o programa",R15-B15,0),0)</f>
        <v>0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0</v>
      </c>
      <c r="AT15" s="45">
        <f>IF(AU15="S",IF(AND(Q15="1. Aceitou o programa",AB15="Realizada"),IFERROR(IF(AA15="",0,AA15-R15),0),0),0)</f>
        <v>0</v>
      </c>
      <c r="AU15" s="45" t="str">
        <f>_xlfn.XLOOKUP(U15,'Lista Suspensa'!$AA$20:$AA$23,'Lista Suspensa'!$AB$20:$AB$23,"N/A")</f>
        <v>S</v>
      </c>
    </row>
    <row r="16" spans="1:47" ht="12" hidden="1" customHeight="1">
      <c r="A16" s="87" t="s">
        <v>47</v>
      </c>
      <c r="B16" s="88">
        <v>46041</v>
      </c>
      <c r="C16" s="89" t="s">
        <v>48</v>
      </c>
      <c r="D16" s="89" t="s">
        <v>49</v>
      </c>
      <c r="E16" s="90">
        <v>789137178</v>
      </c>
      <c r="F16" s="222" t="s">
        <v>131</v>
      </c>
      <c r="G16" s="92"/>
      <c r="H16" s="93">
        <v>12964</v>
      </c>
      <c r="I16" s="89">
        <v>90</v>
      </c>
      <c r="J16" s="89" t="s">
        <v>84</v>
      </c>
      <c r="K16" s="89" t="s">
        <v>52</v>
      </c>
      <c r="L16" s="89" t="s">
        <v>132</v>
      </c>
      <c r="M16" s="89" t="s">
        <v>132</v>
      </c>
      <c r="N16" s="89">
        <v>100</v>
      </c>
      <c r="O16" s="94" t="s">
        <v>133</v>
      </c>
      <c r="P16" s="95" t="s">
        <v>56</v>
      </c>
      <c r="Q16" s="145" t="s">
        <v>134</v>
      </c>
      <c r="R16" s="96"/>
      <c r="S16" s="97">
        <v>46078</v>
      </c>
      <c r="T16" s="97" t="s">
        <v>58</v>
      </c>
      <c r="U16" s="97" t="s">
        <v>69</v>
      </c>
      <c r="V16" s="93">
        <v>46078</v>
      </c>
      <c r="W16" s="93"/>
      <c r="X16" s="93"/>
      <c r="Y16" s="98" t="s">
        <v>135</v>
      </c>
      <c r="Z16" s="89"/>
      <c r="AA16" s="97"/>
      <c r="AB16" s="89"/>
      <c r="AC16" s="120"/>
      <c r="AD16" s="89"/>
      <c r="AE16" s="89"/>
      <c r="AF16" s="99"/>
      <c r="AG16" s="99"/>
      <c r="AH16" s="99"/>
      <c r="AI16" s="100"/>
      <c r="AJ16" s="100"/>
      <c r="AK16" s="100"/>
      <c r="AL16" s="45" t="s">
        <v>64</v>
      </c>
      <c r="AM16" s="200" t="str">
        <f>MONTH(B16)&amp;"/"&amp;YEAR(B16)</f>
        <v>1/2026</v>
      </c>
      <c r="AN16" s="45">
        <f>WEEKNUM(B16)-WEEKNUM(EOMONTH(B16,-1)+1)+1</f>
        <v>4</v>
      </c>
      <c r="AO16" s="45" t="str">
        <f>MONTH(R16)&amp;"/"&amp;YEAR(R16)</f>
        <v>1/1900</v>
      </c>
      <c r="AP16" s="45" t="e">
        <f>WEEKNUM(R16)-WEEKNUM(EOMONTH(R16,-1)+1)+1</f>
        <v>#NUM!</v>
      </c>
      <c r="AQ16" s="45">
        <f>IF(AU16="S",IF(Q16="1. Aceitou o programa",R16-B16,0),0)</f>
        <v>0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0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hidden="1" customHeight="1">
      <c r="A17" s="87" t="s">
        <v>136</v>
      </c>
      <c r="B17" s="88">
        <v>46042</v>
      </c>
      <c r="C17" s="89" t="s">
        <v>137</v>
      </c>
      <c r="D17" s="89" t="s">
        <v>138</v>
      </c>
      <c r="E17" s="90">
        <v>451948360</v>
      </c>
      <c r="F17" s="222" t="s">
        <v>139</v>
      </c>
      <c r="G17" s="92"/>
      <c r="H17" s="93">
        <v>25805</v>
      </c>
      <c r="I17" s="89">
        <v>55</v>
      </c>
      <c r="J17" s="89" t="s">
        <v>84</v>
      </c>
      <c r="K17" s="89" t="s">
        <v>52</v>
      </c>
      <c r="L17" s="89" t="s">
        <v>53</v>
      </c>
      <c r="M17" s="89" t="s">
        <v>77</v>
      </c>
      <c r="N17" s="89"/>
      <c r="O17" s="94">
        <v>11988437339</v>
      </c>
      <c r="P17" s="95" t="s">
        <v>56</v>
      </c>
      <c r="Q17" s="145" t="s">
        <v>57</v>
      </c>
      <c r="R17" s="96">
        <v>46125</v>
      </c>
      <c r="S17" s="97"/>
      <c r="T17" s="97" t="s">
        <v>58</v>
      </c>
      <c r="U17" s="97" t="s">
        <v>59</v>
      </c>
      <c r="V17" s="93">
        <v>46093</v>
      </c>
      <c r="W17" s="93">
        <v>46125</v>
      </c>
      <c r="X17" s="93" t="s">
        <v>60</v>
      </c>
      <c r="Y17" s="98" t="s">
        <v>140</v>
      </c>
      <c r="Z17" s="89" t="s">
        <v>62</v>
      </c>
      <c r="AA17" s="97">
        <v>46126</v>
      </c>
      <c r="AB17" s="89" t="s">
        <v>63</v>
      </c>
      <c r="AC17" s="120"/>
      <c r="AD17" s="89" t="s">
        <v>105</v>
      </c>
      <c r="AE17" s="89">
        <v>4</v>
      </c>
      <c r="AF17" s="99" t="s">
        <v>81</v>
      </c>
      <c r="AG17" s="99"/>
      <c r="AH17" s="99"/>
      <c r="AI17" s="100"/>
      <c r="AJ17" s="100" t="s">
        <v>47</v>
      </c>
      <c r="AK17" s="100" t="s">
        <v>47</v>
      </c>
      <c r="AL17" s="45" t="s">
        <v>64</v>
      </c>
      <c r="AM17" s="200" t="str">
        <f>MONTH(B17)&amp;"/"&amp;YEAR(B17)</f>
        <v>1/2026</v>
      </c>
      <c r="AN17" s="45">
        <f>WEEKNUM(B17)-WEEKNUM(EOMONTH(B17,-1)+1)+1</f>
        <v>4</v>
      </c>
      <c r="AO17" s="45" t="str">
        <f>MONTH(R17)&amp;"/"&amp;YEAR(R17)</f>
        <v>4/2026</v>
      </c>
      <c r="AP17" s="45">
        <f>WEEKNUM(R17)-WEEKNUM(EOMONTH(R17,-1)+1)+1</f>
        <v>3</v>
      </c>
      <c r="AQ17" s="45">
        <f>IF(AU17="S",IF(Q17="1. Aceitou o programa",R17-B17,0),0)</f>
        <v>83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32</v>
      </c>
      <c r="AT17" s="45">
        <f>IF(AU17="S",IF(AND(Q17="1. Aceitou o programa",AB17="Realizada"),IFERROR(IF(AA17="",0,AA17-R17),0),0),0)</f>
        <v>1</v>
      </c>
      <c r="AU17" s="45" t="str">
        <f>_xlfn.XLOOKUP(U17,'Lista Suspensa'!$AA$20:$AA$23,'Lista Suspensa'!$AB$20:$AB$23,"N/A")</f>
        <v>S</v>
      </c>
    </row>
    <row r="18" spans="1:47" ht="12" hidden="1" customHeight="1">
      <c r="A18" s="87" t="s">
        <v>47</v>
      </c>
      <c r="B18" s="88">
        <v>46043</v>
      </c>
      <c r="C18" s="89" t="s">
        <v>48</v>
      </c>
      <c r="D18" s="89" t="s">
        <v>49</v>
      </c>
      <c r="E18" s="90">
        <v>450026779</v>
      </c>
      <c r="F18" s="222" t="s">
        <v>141</v>
      </c>
      <c r="G18" s="92"/>
      <c r="H18" s="93">
        <v>14411</v>
      </c>
      <c r="I18" s="89">
        <v>86</v>
      </c>
      <c r="J18" s="89" t="s">
        <v>51</v>
      </c>
      <c r="K18" s="89" t="s">
        <v>52</v>
      </c>
      <c r="L18" s="89" t="s">
        <v>53</v>
      </c>
      <c r="M18" s="89" t="s">
        <v>77</v>
      </c>
      <c r="N18" s="89">
        <v>100</v>
      </c>
      <c r="O18" s="94" t="s">
        <v>142</v>
      </c>
      <c r="P18" s="95" t="s">
        <v>56</v>
      </c>
      <c r="Q18" s="145" t="s">
        <v>57</v>
      </c>
      <c r="R18" s="96">
        <v>46125</v>
      </c>
      <c r="S18" s="97"/>
      <c r="T18" s="97" t="s">
        <v>58</v>
      </c>
      <c r="U18" s="97" t="s">
        <v>59</v>
      </c>
      <c r="V18" s="93">
        <v>46079</v>
      </c>
      <c r="W18" s="93">
        <v>46125</v>
      </c>
      <c r="X18" s="93" t="s">
        <v>60</v>
      </c>
      <c r="Y18" s="98" t="s">
        <v>123</v>
      </c>
      <c r="Z18" s="89" t="s">
        <v>62</v>
      </c>
      <c r="AA18" s="97">
        <v>46126</v>
      </c>
      <c r="AB18" s="89"/>
      <c r="AC18" s="120"/>
      <c r="AD18" s="89"/>
      <c r="AE18" s="89"/>
      <c r="AF18" s="99"/>
      <c r="AG18" s="99"/>
      <c r="AH18" s="99"/>
      <c r="AI18" s="100"/>
      <c r="AJ18" s="100" t="s">
        <v>47</v>
      </c>
      <c r="AK18" s="100" t="s">
        <v>47</v>
      </c>
      <c r="AL18" s="45" t="s">
        <v>64</v>
      </c>
      <c r="AM18" s="200" t="str">
        <f>MONTH(B18)&amp;"/"&amp;YEAR(B18)</f>
        <v>1/2026</v>
      </c>
      <c r="AN18" s="45">
        <f>WEEKNUM(B18)-WEEKNUM(EOMONTH(B18,-1)+1)+1</f>
        <v>4</v>
      </c>
      <c r="AO18" s="45" t="str">
        <f>MONTH(R18)&amp;"/"&amp;YEAR(R18)</f>
        <v>4/2026</v>
      </c>
      <c r="AP18" s="45">
        <f>WEEKNUM(R18)-WEEKNUM(EOMONTH(R18,-1)+1)+1</f>
        <v>3</v>
      </c>
      <c r="AQ18" s="45">
        <f>IF(AU18="S",IF(Q18="1. Aceitou o programa",R18-B18,0),0)</f>
        <v>82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46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hidden="1" customHeight="1">
      <c r="A19" s="87" t="s">
        <v>47</v>
      </c>
      <c r="B19" s="88">
        <v>46043</v>
      </c>
      <c r="C19" s="89" t="s">
        <v>48</v>
      </c>
      <c r="D19" s="89" t="s">
        <v>49</v>
      </c>
      <c r="E19" s="90">
        <v>805067043</v>
      </c>
      <c r="F19" s="222" t="s">
        <v>143</v>
      </c>
      <c r="G19" s="92"/>
      <c r="H19" s="93">
        <v>16285</v>
      </c>
      <c r="I19" s="89">
        <v>81</v>
      </c>
      <c r="J19" s="89" t="s">
        <v>51</v>
      </c>
      <c r="K19" s="89" t="s">
        <v>52</v>
      </c>
      <c r="L19" s="89" t="s">
        <v>53</v>
      </c>
      <c r="M19" s="89" t="s">
        <v>77</v>
      </c>
      <c r="N19" s="89">
        <v>100</v>
      </c>
      <c r="O19" s="94" t="s">
        <v>144</v>
      </c>
      <c r="P19" s="95" t="s">
        <v>56</v>
      </c>
      <c r="Q19" s="145" t="s">
        <v>134</v>
      </c>
      <c r="R19" s="96"/>
      <c r="S19" s="97">
        <v>46078</v>
      </c>
      <c r="T19" s="97" t="s">
        <v>58</v>
      </c>
      <c r="U19" s="97" t="s">
        <v>69</v>
      </c>
      <c r="V19" s="93">
        <v>46078</v>
      </c>
      <c r="W19" s="93"/>
      <c r="X19" s="93"/>
      <c r="Y19" s="98" t="s">
        <v>145</v>
      </c>
      <c r="Z19" s="89"/>
      <c r="AA19" s="97"/>
      <c r="AB19" s="89"/>
      <c r="AC19" s="120"/>
      <c r="AD19" s="89"/>
      <c r="AE19" s="89"/>
      <c r="AF19" s="99"/>
      <c r="AG19" s="99"/>
      <c r="AH19" s="99"/>
      <c r="AI19" s="100"/>
      <c r="AJ19" s="100"/>
      <c r="AK19" s="100"/>
      <c r="AL19" s="45" t="s">
        <v>64</v>
      </c>
      <c r="AM19" s="200" t="str">
        <f>MONTH(B19)&amp;"/"&amp;YEAR(B19)</f>
        <v>1/2026</v>
      </c>
      <c r="AN19" s="45">
        <f>WEEKNUM(B19)-WEEKNUM(EOMONTH(B19,-1)+1)+1</f>
        <v>4</v>
      </c>
      <c r="AO19" s="45" t="str">
        <f>MONTH(R19)&amp;"/"&amp;YEAR(R19)</f>
        <v>1/1900</v>
      </c>
      <c r="AP19" s="45" t="e">
        <f>WEEKNUM(R19)-WEEKNUM(EOMONTH(R19,-1)+1)+1</f>
        <v>#NUM!</v>
      </c>
      <c r="AQ19" s="45">
        <f>IF(AU19="S",IF(Q19="1. Aceitou o programa",R19-B19,0),0)</f>
        <v>0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0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hidden="1" customHeight="1">
      <c r="A20" s="87" t="s">
        <v>47</v>
      </c>
      <c r="B20" s="88">
        <v>46044</v>
      </c>
      <c r="C20" s="89" t="s">
        <v>48</v>
      </c>
      <c r="D20" s="89" t="s">
        <v>49</v>
      </c>
      <c r="E20" s="90">
        <v>457869844</v>
      </c>
      <c r="F20" s="222" t="s">
        <v>146</v>
      </c>
      <c r="G20" s="92"/>
      <c r="H20" s="93">
        <v>16155</v>
      </c>
      <c r="I20" s="89">
        <v>82</v>
      </c>
      <c r="J20" s="89" t="s">
        <v>51</v>
      </c>
      <c r="K20" s="89" t="s">
        <v>52</v>
      </c>
      <c r="L20" s="89" t="s">
        <v>53</v>
      </c>
      <c r="M20" s="89" t="s">
        <v>77</v>
      </c>
      <c r="N20" s="89">
        <v>100</v>
      </c>
      <c r="O20" s="94" t="s">
        <v>147</v>
      </c>
      <c r="P20" s="95" t="s">
        <v>56</v>
      </c>
      <c r="Q20" s="145" t="s">
        <v>134</v>
      </c>
      <c r="R20" s="96"/>
      <c r="S20" s="97">
        <v>46079</v>
      </c>
      <c r="T20" s="97" t="s">
        <v>58</v>
      </c>
      <c r="U20" s="97" t="s">
        <v>69</v>
      </c>
      <c r="V20" s="93">
        <v>46079</v>
      </c>
      <c r="W20" s="93"/>
      <c r="X20" s="93"/>
      <c r="Y20" s="98" t="s">
        <v>148</v>
      </c>
      <c r="Z20" s="89"/>
      <c r="AA20" s="97"/>
      <c r="AB20" s="89"/>
      <c r="AC20" s="120"/>
      <c r="AD20" s="89"/>
      <c r="AE20" s="89"/>
      <c r="AF20" s="99"/>
      <c r="AG20" s="99"/>
      <c r="AH20" s="99"/>
      <c r="AI20" s="100"/>
      <c r="AJ20" s="100"/>
      <c r="AK20" s="100"/>
      <c r="AL20" s="45" t="s">
        <v>64</v>
      </c>
      <c r="AM20" s="200" t="str">
        <f>MONTH(B20)&amp;"/"&amp;YEAR(B20)</f>
        <v>1/2026</v>
      </c>
      <c r="AN20" s="45">
        <f>WEEKNUM(B20)-WEEKNUM(EOMONTH(B20,-1)+1)+1</f>
        <v>4</v>
      </c>
      <c r="AO20" s="45" t="str">
        <f>MONTH(R20)&amp;"/"&amp;YEAR(R20)</f>
        <v>1/1900</v>
      </c>
      <c r="AP20" s="45" t="e">
        <f>WEEKNUM(R20)-WEEKNUM(EOMONTH(R20,-1)+1)+1</f>
        <v>#NUM!</v>
      </c>
      <c r="AQ20" s="45">
        <f>IF(AU20="S",IF(Q20="1. Aceitou o programa",R20-B20,0),0)</f>
        <v>0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0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hidden="1" customHeight="1">
      <c r="A21" s="87" t="s">
        <v>136</v>
      </c>
      <c r="B21" s="88">
        <v>46051</v>
      </c>
      <c r="C21" s="89" t="s">
        <v>137</v>
      </c>
      <c r="D21" s="89" t="s">
        <v>138</v>
      </c>
      <c r="E21" s="90">
        <v>450914879</v>
      </c>
      <c r="F21" s="222" t="s">
        <v>149</v>
      </c>
      <c r="G21" s="92"/>
      <c r="H21" s="93">
        <v>30364</v>
      </c>
      <c r="I21" s="89">
        <v>43</v>
      </c>
      <c r="J21" s="89" t="s">
        <v>84</v>
      </c>
      <c r="K21" s="89" t="s">
        <v>52</v>
      </c>
      <c r="L21" s="89" t="s">
        <v>53</v>
      </c>
      <c r="M21" s="89" t="s">
        <v>77</v>
      </c>
      <c r="N21" s="89"/>
      <c r="O21" s="94">
        <v>11984780557</v>
      </c>
      <c r="P21" s="95" t="s">
        <v>56</v>
      </c>
      <c r="Q21" s="145" t="s">
        <v>57</v>
      </c>
      <c r="R21" s="96">
        <v>46125</v>
      </c>
      <c r="S21" s="97"/>
      <c r="T21" s="97" t="s">
        <v>58</v>
      </c>
      <c r="U21" s="97" t="s">
        <v>59</v>
      </c>
      <c r="V21" s="93">
        <v>46051</v>
      </c>
      <c r="W21" s="93">
        <v>46125</v>
      </c>
      <c r="X21" s="93" t="s">
        <v>60</v>
      </c>
      <c r="Y21" s="98" t="s">
        <v>150</v>
      </c>
      <c r="Z21" s="89" t="s">
        <v>62</v>
      </c>
      <c r="AA21" s="97">
        <v>46126</v>
      </c>
      <c r="AB21" s="89" t="s">
        <v>63</v>
      </c>
      <c r="AC21" s="120"/>
      <c r="AD21" s="89"/>
      <c r="AE21" s="89"/>
      <c r="AF21" s="99"/>
      <c r="AG21" s="99"/>
      <c r="AH21" s="99"/>
      <c r="AI21" s="100"/>
      <c r="AJ21" s="100" t="s">
        <v>47</v>
      </c>
      <c r="AK21" s="100" t="s">
        <v>47</v>
      </c>
      <c r="AL21" s="45" t="s">
        <v>64</v>
      </c>
      <c r="AM21" s="200" t="str">
        <f>MONTH(B21)&amp;"/"&amp;YEAR(B21)</f>
        <v>1/2026</v>
      </c>
      <c r="AN21" s="45">
        <f>WEEKNUM(B21)-WEEKNUM(EOMONTH(B21,-1)+1)+1</f>
        <v>5</v>
      </c>
      <c r="AO21" s="45" t="str">
        <f>MONTH(R21)&amp;"/"&amp;YEAR(R21)</f>
        <v>4/2026</v>
      </c>
      <c r="AP21" s="45">
        <f>WEEKNUM(R21)-WEEKNUM(EOMONTH(R21,-1)+1)+1</f>
        <v>3</v>
      </c>
      <c r="AQ21" s="45">
        <f>IF(AU21="S",IF(Q21="1. Aceitou o programa",R21-B21,0),0)</f>
        <v>74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74</v>
      </c>
      <c r="AT21" s="45">
        <f>IF(AU21="S",IF(AND(Q21="1. Aceitou o programa",AB21="Realizada"),IFERROR(IF(AA21="",0,AA21-R21),0),0),0)</f>
        <v>1</v>
      </c>
      <c r="AU21" s="45" t="str">
        <f>_xlfn.XLOOKUP(U21,'Lista Suspensa'!$AA$20:$AA$23,'Lista Suspensa'!$AB$20:$AB$23,"N/A")</f>
        <v>S</v>
      </c>
    </row>
    <row r="22" spans="1:47" ht="12" hidden="1" customHeight="1">
      <c r="A22" s="87" t="s">
        <v>47</v>
      </c>
      <c r="B22" s="88">
        <v>46055</v>
      </c>
      <c r="C22" s="89" t="s">
        <v>48</v>
      </c>
      <c r="D22" s="89" t="s">
        <v>49</v>
      </c>
      <c r="E22" s="90">
        <v>79541447</v>
      </c>
      <c r="F22" s="222" t="s">
        <v>151</v>
      </c>
      <c r="G22" s="92"/>
      <c r="H22" s="93">
        <v>25065</v>
      </c>
      <c r="I22" s="89">
        <v>57</v>
      </c>
      <c r="J22" s="89" t="s">
        <v>51</v>
      </c>
      <c r="K22" s="89" t="s">
        <v>52</v>
      </c>
      <c r="L22" s="89" t="s">
        <v>152</v>
      </c>
      <c r="M22" s="89" t="s">
        <v>77</v>
      </c>
      <c r="N22" s="89">
        <v>40</v>
      </c>
      <c r="O22" s="94" t="s">
        <v>153</v>
      </c>
      <c r="P22" s="95" t="s">
        <v>56</v>
      </c>
      <c r="Q22" s="145" t="s">
        <v>57</v>
      </c>
      <c r="R22" s="96">
        <v>46077</v>
      </c>
      <c r="S22" s="97"/>
      <c r="T22" s="97" t="s">
        <v>58</v>
      </c>
      <c r="U22" s="97" t="s">
        <v>59</v>
      </c>
      <c r="V22" s="93">
        <v>46079</v>
      </c>
      <c r="W22" s="93" t="s">
        <v>60</v>
      </c>
      <c r="X22" s="93" t="s">
        <v>60</v>
      </c>
      <c r="Y22" s="98" t="s">
        <v>154</v>
      </c>
      <c r="Z22" s="89" t="s">
        <v>89</v>
      </c>
      <c r="AA22" s="97"/>
      <c r="AB22" s="89"/>
      <c r="AC22" s="120"/>
      <c r="AD22" s="89"/>
      <c r="AE22" s="89"/>
      <c r="AF22" s="99"/>
      <c r="AG22" s="99"/>
      <c r="AH22" s="99"/>
      <c r="AI22" s="100"/>
      <c r="AJ22" s="100" t="s">
        <v>47</v>
      </c>
      <c r="AK22" s="100" t="s">
        <v>47</v>
      </c>
      <c r="AL22" s="45" t="s">
        <v>64</v>
      </c>
      <c r="AM22" s="200" t="str">
        <f>MONTH(B22)&amp;"/"&amp;YEAR(B22)</f>
        <v>2/2026</v>
      </c>
      <c r="AN22" s="45">
        <f>WEEKNUM(B22)-WEEKNUM(EOMONTH(B22,-1)+1)+1</f>
        <v>1</v>
      </c>
      <c r="AO22" s="45" t="str">
        <f>MONTH(R22)&amp;"/"&amp;YEAR(R22)</f>
        <v>2/2026</v>
      </c>
      <c r="AP22" s="45">
        <f>WEEKNUM(R22)-WEEKNUM(EOMONTH(R22,-1)+1)+1</f>
        <v>4</v>
      </c>
      <c r="AQ22" s="45">
        <f>IF(AU22="S",IF(Q22="1. Aceitou o programa",R22-B22,0),0)</f>
        <v>22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0</v>
      </c>
      <c r="AT22" s="45">
        <f>IF(AU22="S",IF(AND(Q22="1. Aceitou o programa",AB22="Realizada"),IFERROR(IF(AA22="",0,AA22-R22),0),0),0)</f>
        <v>0</v>
      </c>
      <c r="AU22" s="45" t="str">
        <f>_xlfn.XLOOKUP(U22,'Lista Suspensa'!$AA$20:$AA$23,'Lista Suspensa'!$AB$20:$AB$23,"N/A")</f>
        <v>S</v>
      </c>
    </row>
    <row r="23" spans="1:47" ht="12" hidden="1" customHeight="1">
      <c r="A23" s="87" t="s">
        <v>136</v>
      </c>
      <c r="B23" s="88">
        <v>46058</v>
      </c>
      <c r="C23" s="89" t="s">
        <v>48</v>
      </c>
      <c r="D23" s="89" t="s">
        <v>155</v>
      </c>
      <c r="E23" s="90">
        <v>87326861</v>
      </c>
      <c r="F23" s="222" t="s">
        <v>156</v>
      </c>
      <c r="G23" s="92"/>
      <c r="H23" s="93">
        <v>17841</v>
      </c>
      <c r="I23" s="89"/>
      <c r="J23" s="89" t="s">
        <v>84</v>
      </c>
      <c r="K23" s="89" t="s">
        <v>52</v>
      </c>
      <c r="L23" s="89" t="s">
        <v>53</v>
      </c>
      <c r="M23" s="89"/>
      <c r="N23" s="89"/>
      <c r="O23" s="94" t="s">
        <v>157</v>
      </c>
      <c r="P23" s="95" t="s">
        <v>158</v>
      </c>
      <c r="Q23" s="145" t="s">
        <v>57</v>
      </c>
      <c r="R23" s="96">
        <v>46058</v>
      </c>
      <c r="S23" s="97"/>
      <c r="T23" s="97" t="s">
        <v>58</v>
      </c>
      <c r="U23" s="97" t="s">
        <v>59</v>
      </c>
      <c r="V23" s="93">
        <v>46058</v>
      </c>
      <c r="W23" s="93" t="s">
        <v>60</v>
      </c>
      <c r="X23" s="93" t="s">
        <v>60</v>
      </c>
      <c r="Y23" s="98"/>
      <c r="Z23" s="89" t="s">
        <v>62</v>
      </c>
      <c r="AA23" s="97">
        <v>46126</v>
      </c>
      <c r="AB23" s="89" t="s">
        <v>63</v>
      </c>
      <c r="AC23" s="120"/>
      <c r="AD23" s="89" t="s">
        <v>80</v>
      </c>
      <c r="AE23" s="89">
        <v>1</v>
      </c>
      <c r="AF23" s="99" t="s">
        <v>81</v>
      </c>
      <c r="AG23" s="99"/>
      <c r="AH23" s="99"/>
      <c r="AI23" s="100" t="s">
        <v>47</v>
      </c>
      <c r="AJ23" s="100" t="s">
        <v>47</v>
      </c>
      <c r="AK23" s="100" t="s">
        <v>47</v>
      </c>
      <c r="AL23" s="45" t="s">
        <v>64</v>
      </c>
      <c r="AM23" s="200" t="str">
        <f>MONTH(B23)&amp;"/"&amp;YEAR(B23)</f>
        <v>2/2026</v>
      </c>
      <c r="AN23" s="45">
        <f>WEEKNUM(B23)-WEEKNUM(EOMONTH(B23,-1)+1)+1</f>
        <v>1</v>
      </c>
      <c r="AO23" s="45" t="str">
        <f>MONTH(R23)&amp;"/"&amp;YEAR(R23)</f>
        <v>2/2026</v>
      </c>
      <c r="AP23" s="45">
        <f>WEEKNUM(R23)-WEEKNUM(EOMONTH(R23,-1)+1)+1</f>
        <v>1</v>
      </c>
      <c r="AQ23" s="45">
        <f>IF(AU23="S",IF(Q23="1. Aceitou o programa",R23-B23,0),0)</f>
        <v>0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0</v>
      </c>
      <c r="AT23" s="45">
        <f>IF(AU23="S",IF(AND(Q23="1. Aceitou o programa",AB23="Realizada"),IFERROR(IF(AA23="",0,AA23-R23),0),0),0)</f>
        <v>68</v>
      </c>
      <c r="AU23" s="45" t="str">
        <f>_xlfn.XLOOKUP(U23,'Lista Suspensa'!$AA$20:$AA$23,'Lista Suspensa'!$AB$20:$AB$23,"N/A")</f>
        <v>S</v>
      </c>
    </row>
    <row r="24" spans="1:47" ht="12" hidden="1" customHeight="1">
      <c r="A24" s="87" t="s">
        <v>136</v>
      </c>
      <c r="B24" s="88">
        <v>46058</v>
      </c>
      <c r="C24" s="89" t="s">
        <v>48</v>
      </c>
      <c r="D24" s="89" t="s">
        <v>155</v>
      </c>
      <c r="E24" s="90">
        <v>800025164</v>
      </c>
      <c r="F24" s="222" t="s">
        <v>159</v>
      </c>
      <c r="G24" s="92"/>
      <c r="H24" s="93">
        <v>16409</v>
      </c>
      <c r="I24" s="89"/>
      <c r="J24" s="89" t="s">
        <v>84</v>
      </c>
      <c r="K24" s="89" t="s">
        <v>52</v>
      </c>
      <c r="L24" s="89" t="s">
        <v>53</v>
      </c>
      <c r="M24" s="89"/>
      <c r="N24" s="89"/>
      <c r="O24" s="94" t="s">
        <v>160</v>
      </c>
      <c r="P24" s="95" t="s">
        <v>158</v>
      </c>
      <c r="Q24" s="145" t="s">
        <v>57</v>
      </c>
      <c r="R24" s="96">
        <v>46058</v>
      </c>
      <c r="S24" s="97"/>
      <c r="T24" s="97" t="s">
        <v>58</v>
      </c>
      <c r="U24" s="97" t="s">
        <v>59</v>
      </c>
      <c r="V24" s="93">
        <v>46058</v>
      </c>
      <c r="W24" s="93" t="s">
        <v>60</v>
      </c>
      <c r="X24" s="93" t="s">
        <v>60</v>
      </c>
      <c r="Y24" s="98"/>
      <c r="Z24" s="89" t="s">
        <v>62</v>
      </c>
      <c r="AA24" s="97"/>
      <c r="AB24" s="89"/>
      <c r="AC24" s="120"/>
      <c r="AD24" s="89"/>
      <c r="AE24" s="89"/>
      <c r="AF24" s="99"/>
      <c r="AG24" s="99"/>
      <c r="AH24" s="99"/>
      <c r="AI24" s="100"/>
      <c r="AJ24" s="100" t="s">
        <v>47</v>
      </c>
      <c r="AK24" s="100" t="s">
        <v>47</v>
      </c>
      <c r="AL24" s="45" t="s">
        <v>64</v>
      </c>
      <c r="AM24" s="200" t="str">
        <f>MONTH(B24)&amp;"/"&amp;YEAR(B24)</f>
        <v>2/2026</v>
      </c>
      <c r="AN24" s="45">
        <f>WEEKNUM(B24)-WEEKNUM(EOMONTH(B24,-1)+1)+1</f>
        <v>1</v>
      </c>
      <c r="AO24" s="45" t="str">
        <f>MONTH(R24)&amp;"/"&amp;YEAR(R24)</f>
        <v>2/2026</v>
      </c>
      <c r="AP24" s="45">
        <f>WEEKNUM(R24)-WEEKNUM(EOMONTH(R24,-1)+1)+1</f>
        <v>1</v>
      </c>
      <c r="AQ24" s="45">
        <f>IF(AU24="S",IF(Q24="1. Aceitou o programa",R24-B24,0),0)</f>
        <v>0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0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hidden="1" customHeight="1">
      <c r="A25" s="87" t="s">
        <v>47</v>
      </c>
      <c r="B25" s="88">
        <v>46058</v>
      </c>
      <c r="C25" s="89" t="s">
        <v>48</v>
      </c>
      <c r="D25" s="89" t="s">
        <v>49</v>
      </c>
      <c r="E25" s="90">
        <v>772399328</v>
      </c>
      <c r="F25" s="222" t="s">
        <v>161</v>
      </c>
      <c r="G25" s="92"/>
      <c r="H25" s="93">
        <v>17299</v>
      </c>
      <c r="I25" s="89">
        <v>79</v>
      </c>
      <c r="J25" s="89" t="s">
        <v>84</v>
      </c>
      <c r="K25" s="89" t="s">
        <v>52</v>
      </c>
      <c r="L25" s="89" t="s">
        <v>162</v>
      </c>
      <c r="M25" s="89" t="s">
        <v>77</v>
      </c>
      <c r="N25" s="89">
        <v>100</v>
      </c>
      <c r="O25" s="94" t="s">
        <v>163</v>
      </c>
      <c r="P25" s="95" t="s">
        <v>56</v>
      </c>
      <c r="Q25" s="145" t="s">
        <v>118</v>
      </c>
      <c r="R25" s="96"/>
      <c r="S25" s="97">
        <v>46150</v>
      </c>
      <c r="T25" s="97" t="s">
        <v>119</v>
      </c>
      <c r="U25" s="97" t="s">
        <v>69</v>
      </c>
      <c r="V25" s="93">
        <v>46079</v>
      </c>
      <c r="W25" s="93">
        <v>46125</v>
      </c>
      <c r="X25" s="93">
        <v>46142</v>
      </c>
      <c r="Y25" s="98" t="s">
        <v>123</v>
      </c>
      <c r="Z25" s="89"/>
      <c r="AA25" s="97"/>
      <c r="AB25" s="89"/>
      <c r="AC25" s="120"/>
      <c r="AD25" s="89"/>
      <c r="AE25" s="89"/>
      <c r="AF25" s="99"/>
      <c r="AG25" s="99"/>
      <c r="AH25" s="99"/>
      <c r="AI25" s="100"/>
      <c r="AJ25" s="100"/>
      <c r="AK25" s="100"/>
      <c r="AL25" s="45" t="s">
        <v>64</v>
      </c>
      <c r="AM25" s="200" t="str">
        <f>MONTH(B25)&amp;"/"&amp;YEAR(B25)</f>
        <v>2/2026</v>
      </c>
      <c r="AN25" s="45">
        <f>WEEKNUM(B25)-WEEKNUM(EOMONTH(B25,-1)+1)+1</f>
        <v>1</v>
      </c>
      <c r="AO25" s="45" t="str">
        <f>MONTH(R25)&amp;"/"&amp;YEAR(R25)</f>
        <v>1/1900</v>
      </c>
      <c r="AP25" s="45" t="e">
        <f>WEEKNUM(R25)-WEEKNUM(EOMONTH(R25,-1)+1)+1</f>
        <v>#NUM!</v>
      </c>
      <c r="AQ25" s="45">
        <f>IF(AU25="S",IF(Q25="1. Aceitou o programa",R25-B25,0),0)</f>
        <v>0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0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hidden="1" customHeight="1">
      <c r="A26" s="87" t="s">
        <v>47</v>
      </c>
      <c r="B26" s="88">
        <v>46065</v>
      </c>
      <c r="C26" s="89" t="s">
        <v>48</v>
      </c>
      <c r="D26" s="89" t="s">
        <v>49</v>
      </c>
      <c r="E26" s="90">
        <v>452002621</v>
      </c>
      <c r="F26" s="222" t="s">
        <v>164</v>
      </c>
      <c r="G26" s="92"/>
      <c r="H26" s="93">
        <v>26526</v>
      </c>
      <c r="I26" s="89">
        <v>53</v>
      </c>
      <c r="J26" s="89" t="s">
        <v>84</v>
      </c>
      <c r="K26" s="89" t="s">
        <v>52</v>
      </c>
      <c r="L26" s="89" t="s">
        <v>165</v>
      </c>
      <c r="M26" s="89" t="s">
        <v>77</v>
      </c>
      <c r="N26" s="89">
        <v>100</v>
      </c>
      <c r="O26" s="94">
        <v>11982627039</v>
      </c>
      <c r="P26" s="95" t="s">
        <v>56</v>
      </c>
      <c r="Q26" s="145" t="s">
        <v>57</v>
      </c>
      <c r="R26" s="96">
        <v>46077</v>
      </c>
      <c r="S26" s="97"/>
      <c r="T26" s="97" t="s">
        <v>58</v>
      </c>
      <c r="U26" s="97" t="s">
        <v>59</v>
      </c>
      <c r="V26" s="93">
        <v>46079</v>
      </c>
      <c r="W26" s="93" t="s">
        <v>60</v>
      </c>
      <c r="X26" s="93" t="s">
        <v>60</v>
      </c>
      <c r="Y26" s="98" t="s">
        <v>166</v>
      </c>
      <c r="Z26" s="89" t="s">
        <v>62</v>
      </c>
      <c r="AA26" s="97">
        <v>46082</v>
      </c>
      <c r="AB26" s="89" t="s">
        <v>63</v>
      </c>
      <c r="AC26" s="120"/>
      <c r="AD26" s="89"/>
      <c r="AE26" s="89"/>
      <c r="AF26" s="99"/>
      <c r="AG26" s="99"/>
      <c r="AH26" s="99"/>
      <c r="AI26" s="100"/>
      <c r="AJ26" s="100" t="s">
        <v>47</v>
      </c>
      <c r="AK26" s="100" t="s">
        <v>47</v>
      </c>
      <c r="AL26" s="45" t="s">
        <v>64</v>
      </c>
      <c r="AM26" s="200" t="str">
        <f>MONTH(B26)&amp;"/"&amp;YEAR(B26)</f>
        <v>2/2026</v>
      </c>
      <c r="AN26" s="45">
        <f>WEEKNUM(B26)-WEEKNUM(EOMONTH(B26,-1)+1)+1</f>
        <v>2</v>
      </c>
      <c r="AO26" s="45" t="str">
        <f>MONTH(R26)&amp;"/"&amp;YEAR(R26)</f>
        <v>2/2026</v>
      </c>
      <c r="AP26" s="45">
        <f>WEEKNUM(R26)-WEEKNUM(EOMONTH(R26,-1)+1)+1</f>
        <v>4</v>
      </c>
      <c r="AQ26" s="45">
        <f>IF(AU26="S",IF(Q26="1. Aceitou o programa",R26-B26,0),0)</f>
        <v>12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0</v>
      </c>
      <c r="AT26" s="45">
        <f>IF(AU26="S",IF(AND(Q26="1. Aceitou o programa",AB26="Realizada"),IFERROR(IF(AA26="",0,AA26-R26),0),0),0)</f>
        <v>5</v>
      </c>
      <c r="AU26" s="45" t="str">
        <f>_xlfn.XLOOKUP(U26,'Lista Suspensa'!$AA$20:$AA$23,'Lista Suspensa'!$AB$20:$AB$23,"N/A")</f>
        <v>S</v>
      </c>
    </row>
    <row r="27" spans="1:47" ht="12" hidden="1" customHeight="1">
      <c r="A27" s="87" t="s">
        <v>47</v>
      </c>
      <c r="B27" s="88">
        <v>46065</v>
      </c>
      <c r="C27" s="89" t="s">
        <v>48</v>
      </c>
      <c r="D27" s="89" t="s">
        <v>49</v>
      </c>
      <c r="E27" s="90">
        <v>810659794</v>
      </c>
      <c r="F27" s="222" t="s">
        <v>167</v>
      </c>
      <c r="G27" s="92"/>
      <c r="H27" s="93">
        <v>22028</v>
      </c>
      <c r="I27" s="89">
        <v>126</v>
      </c>
      <c r="J27" s="89" t="s">
        <v>84</v>
      </c>
      <c r="K27" s="89" t="s">
        <v>52</v>
      </c>
      <c r="L27" s="89" t="s">
        <v>168</v>
      </c>
      <c r="M27" s="89" t="s">
        <v>77</v>
      </c>
      <c r="N27" s="89">
        <v>100</v>
      </c>
      <c r="O27" s="94">
        <v>11970777649</v>
      </c>
      <c r="P27" s="95" t="s">
        <v>56</v>
      </c>
      <c r="Q27" s="145" t="s">
        <v>134</v>
      </c>
      <c r="R27" s="96"/>
      <c r="S27" s="97">
        <v>46079</v>
      </c>
      <c r="T27" s="97" t="s">
        <v>58</v>
      </c>
      <c r="U27" s="97" t="s">
        <v>69</v>
      </c>
      <c r="V27" s="93">
        <v>46079</v>
      </c>
      <c r="W27" s="93"/>
      <c r="X27" s="93"/>
      <c r="Y27" s="98" t="s">
        <v>169</v>
      </c>
      <c r="Z27" s="89" t="s">
        <v>62</v>
      </c>
      <c r="AA27" s="97">
        <v>46054</v>
      </c>
      <c r="AB27" s="89" t="s">
        <v>63</v>
      </c>
      <c r="AC27" s="120"/>
      <c r="AD27" s="89"/>
      <c r="AE27" s="89"/>
      <c r="AF27" s="99"/>
      <c r="AG27" s="99"/>
      <c r="AH27" s="99"/>
      <c r="AI27" s="100"/>
      <c r="AJ27" s="100" t="s">
        <v>71</v>
      </c>
      <c r="AK27" s="100"/>
      <c r="AL27" s="45" t="s">
        <v>64</v>
      </c>
      <c r="AM27" s="200" t="str">
        <f>MONTH(B27)&amp;"/"&amp;YEAR(B27)</f>
        <v>2/2026</v>
      </c>
      <c r="AN27" s="45">
        <f>WEEKNUM(B27)-WEEKNUM(EOMONTH(B27,-1)+1)+1</f>
        <v>2</v>
      </c>
      <c r="AO27" s="45" t="str">
        <f>MONTH(R27)&amp;"/"&amp;YEAR(R27)</f>
        <v>1/1900</v>
      </c>
      <c r="AP27" s="45" t="e">
        <f>WEEKNUM(R27)-WEEKNUM(EOMONTH(R27,-1)+1)+1</f>
        <v>#NUM!</v>
      </c>
      <c r="AQ27" s="45">
        <f>IF(AU27="S",IF(Q27="1. Aceitou o programa",R27-B27,0),0)</f>
        <v>0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0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hidden="1" customHeight="1">
      <c r="A28" s="87" t="s">
        <v>47</v>
      </c>
      <c r="B28" s="88">
        <v>46072</v>
      </c>
      <c r="C28" s="89" t="s">
        <v>48</v>
      </c>
      <c r="D28" s="89" t="s">
        <v>49</v>
      </c>
      <c r="E28" s="90">
        <v>94429498</v>
      </c>
      <c r="F28" s="222" t="s">
        <v>170</v>
      </c>
      <c r="G28" s="92"/>
      <c r="H28" s="93">
        <v>31933</v>
      </c>
      <c r="I28" s="89">
        <v>38</v>
      </c>
      <c r="J28" s="89" t="s">
        <v>84</v>
      </c>
      <c r="K28" s="89" t="s">
        <v>52</v>
      </c>
      <c r="L28" s="89" t="s">
        <v>171</v>
      </c>
      <c r="M28" s="89" t="s">
        <v>77</v>
      </c>
      <c r="N28" s="89">
        <v>110</v>
      </c>
      <c r="O28" s="94">
        <v>11963422365</v>
      </c>
      <c r="P28" s="95" t="s">
        <v>56</v>
      </c>
      <c r="Q28" s="145" t="s">
        <v>57</v>
      </c>
      <c r="R28" s="96">
        <v>46127</v>
      </c>
      <c r="S28" s="97"/>
      <c r="T28" s="97" t="s">
        <v>58</v>
      </c>
      <c r="U28" s="97" t="s">
        <v>59</v>
      </c>
      <c r="V28" s="93">
        <v>46079</v>
      </c>
      <c r="W28" s="93">
        <v>46125</v>
      </c>
      <c r="X28" s="93" t="s">
        <v>60</v>
      </c>
      <c r="Y28" s="98" t="s">
        <v>172</v>
      </c>
      <c r="Z28" s="89" t="s">
        <v>62</v>
      </c>
      <c r="AA28" s="97">
        <v>46127</v>
      </c>
      <c r="AB28" s="89" t="s">
        <v>63</v>
      </c>
      <c r="AC28" s="120"/>
      <c r="AD28" s="89"/>
      <c r="AE28" s="89"/>
      <c r="AF28" s="99"/>
      <c r="AG28" s="99"/>
      <c r="AH28" s="99"/>
      <c r="AI28" s="100"/>
      <c r="AJ28" s="100" t="s">
        <v>47</v>
      </c>
      <c r="AK28" s="100" t="s">
        <v>47</v>
      </c>
      <c r="AL28" s="45" t="s">
        <v>64</v>
      </c>
      <c r="AM28" s="200" t="str">
        <f>MONTH(B28)&amp;"/"&amp;YEAR(B28)</f>
        <v>2/2026</v>
      </c>
      <c r="AN28" s="45">
        <f>WEEKNUM(B28)-WEEKNUM(EOMONTH(B28,-1)+1)+1</f>
        <v>3</v>
      </c>
      <c r="AO28" s="45" t="str">
        <f>MONTH(R28)&amp;"/"&amp;YEAR(R28)</f>
        <v>4/2026</v>
      </c>
      <c r="AP28" s="45">
        <f>WEEKNUM(R28)-WEEKNUM(EOMONTH(R28,-1)+1)+1</f>
        <v>3</v>
      </c>
      <c r="AQ28" s="45">
        <f>IF(AU28="S",IF(Q28="1. Aceitou o programa",R28-B28,0),0)</f>
        <v>55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46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hidden="1" customHeight="1">
      <c r="A29" s="87" t="s">
        <v>47</v>
      </c>
      <c r="B29" s="88">
        <v>46078</v>
      </c>
      <c r="C29" s="89" t="s">
        <v>48</v>
      </c>
      <c r="D29" s="89" t="s">
        <v>49</v>
      </c>
      <c r="E29" s="90">
        <v>94188885</v>
      </c>
      <c r="F29" s="222" t="s">
        <v>173</v>
      </c>
      <c r="G29" s="92"/>
      <c r="H29" s="93">
        <v>21627</v>
      </c>
      <c r="I29" s="89">
        <v>67</v>
      </c>
      <c r="J29" s="89" t="s">
        <v>51</v>
      </c>
      <c r="K29" s="89" t="s">
        <v>52</v>
      </c>
      <c r="L29" s="89" t="s">
        <v>174</v>
      </c>
      <c r="M29" s="89" t="s">
        <v>77</v>
      </c>
      <c r="N29" s="89">
        <v>110</v>
      </c>
      <c r="O29" s="94">
        <v>11996669409</v>
      </c>
      <c r="P29" s="95" t="s">
        <v>56</v>
      </c>
      <c r="Q29" s="145" t="s">
        <v>68</v>
      </c>
      <c r="R29" s="96"/>
      <c r="S29" s="97">
        <v>46092</v>
      </c>
      <c r="T29" s="97" t="s">
        <v>58</v>
      </c>
      <c r="U29" s="97" t="s">
        <v>69</v>
      </c>
      <c r="V29" s="93">
        <v>46092</v>
      </c>
      <c r="W29" s="93">
        <v>46125</v>
      </c>
      <c r="X29" s="93"/>
      <c r="Y29" s="98" t="s">
        <v>175</v>
      </c>
      <c r="Z29" s="89" t="s">
        <v>62</v>
      </c>
      <c r="AA29" s="97">
        <v>46157</v>
      </c>
      <c r="AB29" s="89" t="s">
        <v>176</v>
      </c>
      <c r="AC29" s="120"/>
      <c r="AD29" s="89"/>
      <c r="AE29" s="89"/>
      <c r="AF29" s="99"/>
      <c r="AG29" s="99"/>
      <c r="AH29" s="99"/>
      <c r="AI29" s="100"/>
      <c r="AJ29" s="100" t="s">
        <v>71</v>
      </c>
      <c r="AK29" s="100"/>
      <c r="AL29" s="45" t="s">
        <v>64</v>
      </c>
      <c r="AM29" s="200" t="str">
        <f>MONTH(B29)&amp;"/"&amp;YEAR(B29)</f>
        <v>2/2026</v>
      </c>
      <c r="AN29" s="45">
        <f>WEEKNUM(B29)-WEEKNUM(EOMONTH(B29,-1)+1)+1</f>
        <v>4</v>
      </c>
      <c r="AO29" s="45" t="str">
        <f>MONTH(R29)&amp;"/"&amp;YEAR(R29)</f>
        <v>1/1900</v>
      </c>
      <c r="AP29" s="45" t="e">
        <f>WEEKNUM(R29)-WEEKNUM(EOMONTH(R29,-1)+1)+1</f>
        <v>#NUM!</v>
      </c>
      <c r="AQ29" s="45">
        <f>IF(AU29="S",IF(Q29="1. Aceitou o programa",R29-B29,0),0)</f>
        <v>0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0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hidden="1" customHeight="1">
      <c r="A30" s="87" t="s">
        <v>47</v>
      </c>
      <c r="B30" s="88">
        <v>46079</v>
      </c>
      <c r="C30" s="89" t="s">
        <v>137</v>
      </c>
      <c r="D30" s="89" t="s">
        <v>138</v>
      </c>
      <c r="E30" s="90">
        <v>301361053</v>
      </c>
      <c r="F30" s="222" t="s">
        <v>177</v>
      </c>
      <c r="G30" s="92"/>
      <c r="H30" s="93">
        <v>21713</v>
      </c>
      <c r="I30" s="89">
        <v>66</v>
      </c>
      <c r="J30" s="89" t="s">
        <v>51</v>
      </c>
      <c r="K30" s="89" t="s">
        <v>52</v>
      </c>
      <c r="L30" s="89" t="s">
        <v>53</v>
      </c>
      <c r="M30" s="89" t="s">
        <v>77</v>
      </c>
      <c r="N30" s="89"/>
      <c r="O30" s="94">
        <v>11967669822</v>
      </c>
      <c r="P30" s="95" t="s">
        <v>56</v>
      </c>
      <c r="Q30" s="145" t="s">
        <v>134</v>
      </c>
      <c r="R30" s="96"/>
      <c r="S30" s="97">
        <v>46142</v>
      </c>
      <c r="T30" s="97" t="s">
        <v>58</v>
      </c>
      <c r="U30" s="97" t="s">
        <v>69</v>
      </c>
      <c r="V30" s="93">
        <v>46092</v>
      </c>
      <c r="W30" s="93">
        <v>46142</v>
      </c>
      <c r="X30" s="93" t="s">
        <v>60</v>
      </c>
      <c r="Y30" s="98" t="s">
        <v>178</v>
      </c>
      <c r="Z30" s="89"/>
      <c r="AA30" s="97"/>
      <c r="AB30" s="89"/>
      <c r="AC30" s="120"/>
      <c r="AD30" s="89"/>
      <c r="AE30" s="89"/>
      <c r="AF30" s="99"/>
      <c r="AG30" s="99"/>
      <c r="AH30" s="99"/>
      <c r="AI30" s="100"/>
      <c r="AJ30" s="100" t="s">
        <v>71</v>
      </c>
      <c r="AK30" s="100" t="s">
        <v>47</v>
      </c>
      <c r="AL30" s="45" t="s">
        <v>64</v>
      </c>
      <c r="AM30" s="200" t="str">
        <f>MONTH(B30)&amp;"/"&amp;YEAR(B30)</f>
        <v>2/2026</v>
      </c>
      <c r="AN30" s="45">
        <f>WEEKNUM(B30)-WEEKNUM(EOMONTH(B30,-1)+1)+1</f>
        <v>4</v>
      </c>
      <c r="AO30" s="45" t="str">
        <f>MONTH(R30)&amp;"/"&amp;YEAR(R30)</f>
        <v>1/1900</v>
      </c>
      <c r="AP30" s="45" t="e">
        <f>WEEKNUM(R30)-WEEKNUM(EOMONTH(R30,-1)+1)+1</f>
        <v>#NUM!</v>
      </c>
      <c r="AQ30" s="45">
        <f>IF(AU30="S",IF(Q30="1. Aceitou o programa",R30-B30,0),0)</f>
        <v>0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0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hidden="1" customHeight="1">
      <c r="A31" s="87" t="s">
        <v>47</v>
      </c>
      <c r="B31" s="88">
        <v>46091</v>
      </c>
      <c r="C31" s="89" t="s">
        <v>48</v>
      </c>
      <c r="D31" s="89" t="s">
        <v>49</v>
      </c>
      <c r="E31" s="90">
        <v>451632320</v>
      </c>
      <c r="F31" s="222" t="s">
        <v>179</v>
      </c>
      <c r="G31" s="92"/>
      <c r="H31" s="93">
        <v>16055</v>
      </c>
      <c r="I31" s="89">
        <v>82</v>
      </c>
      <c r="J31" s="89" t="s">
        <v>51</v>
      </c>
      <c r="K31" s="89" t="s">
        <v>52</v>
      </c>
      <c r="L31" s="89" t="s">
        <v>180</v>
      </c>
      <c r="M31" s="89" t="s">
        <v>77</v>
      </c>
      <c r="N31" s="89">
        <v>100</v>
      </c>
      <c r="O31" s="94">
        <v>11995084735</v>
      </c>
      <c r="P31" s="95" t="s">
        <v>56</v>
      </c>
      <c r="Q31" s="145" t="s">
        <v>57</v>
      </c>
      <c r="R31" s="96">
        <v>46092</v>
      </c>
      <c r="S31" s="97"/>
      <c r="T31" s="97" t="s">
        <v>58</v>
      </c>
      <c r="U31" s="97" t="s">
        <v>59</v>
      </c>
      <c r="V31" s="93">
        <v>46092</v>
      </c>
      <c r="W31" s="93" t="s">
        <v>60</v>
      </c>
      <c r="X31" s="93" t="s">
        <v>60</v>
      </c>
      <c r="Y31" s="98" t="s">
        <v>181</v>
      </c>
      <c r="Z31" s="89" t="s">
        <v>89</v>
      </c>
      <c r="AA31" s="97"/>
      <c r="AB31" s="89"/>
      <c r="AC31" s="120"/>
      <c r="AD31" s="89"/>
      <c r="AE31" s="89"/>
      <c r="AF31" s="99"/>
      <c r="AG31" s="99"/>
      <c r="AH31" s="99"/>
      <c r="AI31" s="100"/>
      <c r="AJ31" s="100" t="s">
        <v>47</v>
      </c>
      <c r="AK31" s="100" t="s">
        <v>47</v>
      </c>
      <c r="AL31" s="45" t="s">
        <v>64</v>
      </c>
      <c r="AM31" s="200" t="str">
        <f>MONTH(B31)&amp;"/"&amp;YEAR(B31)</f>
        <v>3/2026</v>
      </c>
      <c r="AN31" s="45">
        <f>WEEKNUM(B31)-WEEKNUM(EOMONTH(B31,-1)+1)+1</f>
        <v>2</v>
      </c>
      <c r="AO31" s="45" t="str">
        <f>MONTH(R31)&amp;"/"&amp;YEAR(R31)</f>
        <v>3/2026</v>
      </c>
      <c r="AP31" s="45">
        <f>WEEKNUM(R31)-WEEKNUM(EOMONTH(R31,-1)+1)+1</f>
        <v>2</v>
      </c>
      <c r="AQ31" s="45">
        <f>IF(AU31="S",IF(Q31="1. Aceitou o programa",R31-B31,0),0)</f>
        <v>1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0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hidden="1" customHeight="1">
      <c r="A32" s="87" t="s">
        <v>47</v>
      </c>
      <c r="B32" s="88">
        <v>46091</v>
      </c>
      <c r="C32" s="89" t="s">
        <v>48</v>
      </c>
      <c r="D32" s="89" t="s">
        <v>49</v>
      </c>
      <c r="E32" s="90">
        <v>79230426</v>
      </c>
      <c r="F32" s="222" t="s">
        <v>182</v>
      </c>
      <c r="G32" s="92"/>
      <c r="H32" s="93">
        <v>15494</v>
      </c>
      <c r="I32" s="89">
        <v>83</v>
      </c>
      <c r="J32" s="89" t="s">
        <v>51</v>
      </c>
      <c r="K32" s="89" t="s">
        <v>52</v>
      </c>
      <c r="L32" s="89" t="s">
        <v>183</v>
      </c>
      <c r="M32" s="89" t="s">
        <v>77</v>
      </c>
      <c r="N32" s="89">
        <v>50</v>
      </c>
      <c r="O32" s="94">
        <v>11975451357</v>
      </c>
      <c r="P32" s="95" t="s">
        <v>56</v>
      </c>
      <c r="Q32" s="145" t="s">
        <v>57</v>
      </c>
      <c r="R32" s="96">
        <v>46092</v>
      </c>
      <c r="S32" s="97"/>
      <c r="T32" s="97" t="s">
        <v>58</v>
      </c>
      <c r="U32" s="97" t="s">
        <v>59</v>
      </c>
      <c r="V32" s="93">
        <v>46092</v>
      </c>
      <c r="W32" s="93" t="s">
        <v>60</v>
      </c>
      <c r="X32" s="93" t="s">
        <v>60</v>
      </c>
      <c r="Y32" s="98" t="s">
        <v>184</v>
      </c>
      <c r="Z32" s="89" t="s">
        <v>89</v>
      </c>
      <c r="AA32" s="97"/>
      <c r="AB32" s="89"/>
      <c r="AC32" s="120"/>
      <c r="AD32" s="89"/>
      <c r="AE32" s="89"/>
      <c r="AF32" s="99"/>
      <c r="AG32" s="99"/>
      <c r="AH32" s="99" t="s">
        <v>106</v>
      </c>
      <c r="AI32" s="100"/>
      <c r="AJ32" s="100" t="s">
        <v>47</v>
      </c>
      <c r="AK32" s="100" t="s">
        <v>47</v>
      </c>
      <c r="AL32" s="45" t="s">
        <v>64</v>
      </c>
      <c r="AM32" s="200" t="str">
        <f>MONTH(B32)&amp;"/"&amp;YEAR(B32)</f>
        <v>3/2026</v>
      </c>
      <c r="AN32" s="45">
        <f>WEEKNUM(B32)-WEEKNUM(EOMONTH(B32,-1)+1)+1</f>
        <v>2</v>
      </c>
      <c r="AO32" s="45" t="str">
        <f>MONTH(R32)&amp;"/"&amp;YEAR(R32)</f>
        <v>3/2026</v>
      </c>
      <c r="AP32" s="45">
        <f>WEEKNUM(R32)-WEEKNUM(EOMONTH(R32,-1)+1)+1</f>
        <v>2</v>
      </c>
      <c r="AQ32" s="45">
        <f>IF(AU32="S",IF(Q32="1. Aceitou o programa",R32-B32,0),0)</f>
        <v>1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0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hidden="1" customHeight="1">
      <c r="A33" s="87" t="s">
        <v>47</v>
      </c>
      <c r="B33" s="88">
        <v>46093</v>
      </c>
      <c r="C33" s="89" t="s">
        <v>137</v>
      </c>
      <c r="D33" s="89" t="s">
        <v>138</v>
      </c>
      <c r="E33" s="90">
        <v>87532912</v>
      </c>
      <c r="F33" s="222" t="s">
        <v>185</v>
      </c>
      <c r="G33" s="92"/>
      <c r="H33" s="93">
        <v>29307</v>
      </c>
      <c r="I33" s="89">
        <v>46</v>
      </c>
      <c r="J33" s="89" t="s">
        <v>51</v>
      </c>
      <c r="K33" s="89" t="s">
        <v>52</v>
      </c>
      <c r="L33" s="89" t="s">
        <v>186</v>
      </c>
      <c r="M33" s="89" t="s">
        <v>77</v>
      </c>
      <c r="N33" s="89">
        <v>100</v>
      </c>
      <c r="O33" s="94">
        <v>11932178446</v>
      </c>
      <c r="P33" s="95" t="s">
        <v>56</v>
      </c>
      <c r="Q33" s="145" t="s">
        <v>57</v>
      </c>
      <c r="R33" s="96">
        <v>46091</v>
      </c>
      <c r="S33" s="97"/>
      <c r="T33" s="97" t="s">
        <v>58</v>
      </c>
      <c r="U33" s="97" t="s">
        <v>59</v>
      </c>
      <c r="V33" s="93" t="s">
        <v>187</v>
      </c>
      <c r="W33" s="93" t="s">
        <v>60</v>
      </c>
      <c r="X33" s="93" t="s">
        <v>60</v>
      </c>
      <c r="Y33" s="98" t="s">
        <v>188</v>
      </c>
      <c r="Z33" s="89" t="s">
        <v>89</v>
      </c>
      <c r="AA33" s="97"/>
      <c r="AB33" s="89"/>
      <c r="AC33" s="120"/>
      <c r="AD33" s="89"/>
      <c r="AE33" s="89"/>
      <c r="AF33" s="99"/>
      <c r="AG33" s="99"/>
      <c r="AH33" s="99"/>
      <c r="AI33" s="100"/>
      <c r="AJ33" s="100" t="s">
        <v>47</v>
      </c>
      <c r="AK33" s="100" t="s">
        <v>47</v>
      </c>
      <c r="AL33" s="45" t="s">
        <v>64</v>
      </c>
      <c r="AM33" s="200" t="str">
        <f>MONTH(B33)&amp;"/"&amp;YEAR(B33)</f>
        <v>3/2026</v>
      </c>
      <c r="AN33" s="45">
        <f>WEEKNUM(B33)-WEEKNUM(EOMONTH(B33,-1)+1)+1</f>
        <v>2</v>
      </c>
      <c r="AO33" s="45" t="str">
        <f>MONTH(R33)&amp;"/"&amp;YEAR(R33)</f>
        <v>3/2026</v>
      </c>
      <c r="AP33" s="45">
        <f>WEEKNUM(R33)-WEEKNUM(EOMONTH(R33,-1)+1)+1</f>
        <v>2</v>
      </c>
      <c r="AQ33" s="45">
        <f>IF(AU33="S",IF(Q33="1. Aceitou o programa",R33-B33,0),0)</f>
        <v>-2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0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hidden="1" customHeight="1">
      <c r="A34" s="87" t="s">
        <v>47</v>
      </c>
      <c r="B34" s="88">
        <v>46098</v>
      </c>
      <c r="C34" s="89" t="s">
        <v>48</v>
      </c>
      <c r="D34" s="89" t="s">
        <v>189</v>
      </c>
      <c r="E34" s="90">
        <v>80514839</v>
      </c>
      <c r="F34" s="222" t="s">
        <v>190</v>
      </c>
      <c r="G34" s="92"/>
      <c r="H34" s="93">
        <v>22167</v>
      </c>
      <c r="I34" s="89">
        <v>65</v>
      </c>
      <c r="J34" s="89" t="s">
        <v>51</v>
      </c>
      <c r="K34" s="89" t="s">
        <v>52</v>
      </c>
      <c r="L34" s="89" t="s">
        <v>191</v>
      </c>
      <c r="M34" s="89" t="s">
        <v>77</v>
      </c>
      <c r="N34" s="89">
        <v>700</v>
      </c>
      <c r="O34" s="94">
        <v>11999782669</v>
      </c>
      <c r="P34" s="95" t="s">
        <v>158</v>
      </c>
      <c r="Q34" s="145" t="s">
        <v>57</v>
      </c>
      <c r="R34" s="96">
        <v>46125</v>
      </c>
      <c r="S34" s="97"/>
      <c r="T34" s="97" t="s">
        <v>58</v>
      </c>
      <c r="U34" s="97" t="s">
        <v>59</v>
      </c>
      <c r="V34" s="93">
        <v>46100</v>
      </c>
      <c r="W34" s="93">
        <v>46125</v>
      </c>
      <c r="X34" s="93" t="s">
        <v>60</v>
      </c>
      <c r="Y34" s="98"/>
      <c r="Z34" s="89" t="s">
        <v>62</v>
      </c>
      <c r="AA34" s="97">
        <v>46126</v>
      </c>
      <c r="AB34" s="89" t="s">
        <v>176</v>
      </c>
      <c r="AC34" s="120"/>
      <c r="AD34" s="89"/>
      <c r="AE34" s="89"/>
      <c r="AF34" s="99"/>
      <c r="AG34" s="99"/>
      <c r="AH34" s="99"/>
      <c r="AI34" s="100"/>
      <c r="AJ34" s="100" t="s">
        <v>47</v>
      </c>
      <c r="AK34" s="100" t="s">
        <v>47</v>
      </c>
      <c r="AL34" s="45" t="s">
        <v>64</v>
      </c>
      <c r="AM34" s="200" t="str">
        <f>MONTH(B34)&amp;"/"&amp;YEAR(B34)</f>
        <v>3/2026</v>
      </c>
      <c r="AN34" s="45">
        <f>WEEKNUM(B34)-WEEKNUM(EOMONTH(B34,-1)+1)+1</f>
        <v>3</v>
      </c>
      <c r="AO34" s="45" t="str">
        <f>MONTH(R34)&amp;"/"&amp;YEAR(R34)</f>
        <v>4/2026</v>
      </c>
      <c r="AP34" s="45">
        <f>WEEKNUM(R34)-WEEKNUM(EOMONTH(R34,-1)+1)+1</f>
        <v>3</v>
      </c>
      <c r="AQ34" s="45">
        <f>IF(AU34="S",IF(Q34="1. Aceitou o programa",R34-B34,0),0)</f>
        <v>27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25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hidden="1" customHeight="1">
      <c r="A35" s="87" t="s">
        <v>47</v>
      </c>
      <c r="B35" s="88">
        <v>46099</v>
      </c>
      <c r="C35" s="89" t="s">
        <v>48</v>
      </c>
      <c r="D35" s="89" t="s">
        <v>49</v>
      </c>
      <c r="E35" s="90">
        <v>783548516</v>
      </c>
      <c r="F35" s="222" t="s">
        <v>192</v>
      </c>
      <c r="G35" s="92"/>
      <c r="H35" s="93">
        <v>15963</v>
      </c>
      <c r="I35" s="89">
        <v>82</v>
      </c>
      <c r="J35" s="89" t="s">
        <v>84</v>
      </c>
      <c r="K35" s="89" t="s">
        <v>52</v>
      </c>
      <c r="L35" s="89" t="s">
        <v>53</v>
      </c>
      <c r="M35" s="89" t="s">
        <v>77</v>
      </c>
      <c r="N35" s="89">
        <v>100</v>
      </c>
      <c r="O35" s="94" t="s">
        <v>193</v>
      </c>
      <c r="P35" s="95" t="s">
        <v>56</v>
      </c>
      <c r="Q35" s="145" t="s">
        <v>57</v>
      </c>
      <c r="R35" s="96">
        <v>46125</v>
      </c>
      <c r="S35" s="97"/>
      <c r="T35" s="97" t="s">
        <v>58</v>
      </c>
      <c r="U35" s="97" t="s">
        <v>59</v>
      </c>
      <c r="V35" s="93">
        <v>46100</v>
      </c>
      <c r="W35" s="93">
        <v>46125</v>
      </c>
      <c r="X35" s="93" t="s">
        <v>60</v>
      </c>
      <c r="Y35" s="98"/>
      <c r="Z35" s="89" t="s">
        <v>62</v>
      </c>
      <c r="AA35" s="97">
        <v>46127</v>
      </c>
      <c r="AB35" s="89" t="s">
        <v>63</v>
      </c>
      <c r="AC35" s="120"/>
      <c r="AD35" s="89" t="s">
        <v>80</v>
      </c>
      <c r="AE35" s="89">
        <v>0</v>
      </c>
      <c r="AF35" s="99" t="s">
        <v>194</v>
      </c>
      <c r="AG35" s="99"/>
      <c r="AH35" s="99"/>
      <c r="AI35" s="100" t="s">
        <v>47</v>
      </c>
      <c r="AJ35" s="100" t="s">
        <v>47</v>
      </c>
      <c r="AK35" s="100" t="s">
        <v>47</v>
      </c>
      <c r="AL35" s="45" t="s">
        <v>64</v>
      </c>
      <c r="AM35" s="200" t="str">
        <f>MONTH(B35)&amp;"/"&amp;YEAR(B35)</f>
        <v>3/2026</v>
      </c>
      <c r="AN35" s="45">
        <f>WEEKNUM(B35)-WEEKNUM(EOMONTH(B35,-1)+1)+1</f>
        <v>3</v>
      </c>
      <c r="AO35" s="45" t="str">
        <f>MONTH(R35)&amp;"/"&amp;YEAR(R35)</f>
        <v>4/2026</v>
      </c>
      <c r="AP35" s="45">
        <f>WEEKNUM(R35)-WEEKNUM(EOMONTH(R35,-1)+1)+1</f>
        <v>3</v>
      </c>
      <c r="AQ35" s="45">
        <f>IF(AU35="S",IF(Q35="1. Aceitou o programa",R35-B35,0),0)</f>
        <v>26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25</v>
      </c>
      <c r="AT35" s="45">
        <f>IF(AU35="S",IF(AND(Q35="1. Aceitou o programa",AB35="Realizada"),IFERROR(IF(AA35="",0,AA35-R35),0),0),0)</f>
        <v>2</v>
      </c>
      <c r="AU35" s="45" t="str">
        <f>_xlfn.XLOOKUP(U35,'Lista Suspensa'!$AA$20:$AA$23,'Lista Suspensa'!$AB$20:$AB$23,"N/A")</f>
        <v>S</v>
      </c>
    </row>
    <row r="36" spans="1:47" ht="12" hidden="1" customHeight="1">
      <c r="A36" s="87" t="s">
        <v>47</v>
      </c>
      <c r="B36" s="88">
        <v>46099</v>
      </c>
      <c r="C36" s="89" t="s">
        <v>48</v>
      </c>
      <c r="D36" s="89" t="s">
        <v>49</v>
      </c>
      <c r="E36" s="90">
        <v>77842835</v>
      </c>
      <c r="F36" s="222" t="s">
        <v>195</v>
      </c>
      <c r="G36" s="92">
        <v>5783748897</v>
      </c>
      <c r="H36" s="93">
        <v>23433</v>
      </c>
      <c r="I36" s="89">
        <v>62</v>
      </c>
      <c r="J36" s="89" t="s">
        <v>51</v>
      </c>
      <c r="K36" s="89" t="s">
        <v>52</v>
      </c>
      <c r="L36" s="89" t="s">
        <v>196</v>
      </c>
      <c r="M36" s="89" t="s">
        <v>77</v>
      </c>
      <c r="N36" s="89">
        <v>60</v>
      </c>
      <c r="O36" s="94" t="s">
        <v>197</v>
      </c>
      <c r="P36" s="95" t="s">
        <v>56</v>
      </c>
      <c r="Q36" s="145" t="s">
        <v>57</v>
      </c>
      <c r="R36" s="96">
        <v>46142</v>
      </c>
      <c r="S36" s="97"/>
      <c r="T36" s="97" t="s">
        <v>58</v>
      </c>
      <c r="U36" s="97" t="s">
        <v>59</v>
      </c>
      <c r="V36" s="93">
        <v>46100</v>
      </c>
      <c r="W36" s="93">
        <v>46125</v>
      </c>
      <c r="X36" s="93">
        <v>46142</v>
      </c>
      <c r="Y36" s="98"/>
      <c r="Z36" s="89" t="s">
        <v>62</v>
      </c>
      <c r="AA36" s="97" t="s">
        <v>198</v>
      </c>
      <c r="AB36" s="89" t="s">
        <v>176</v>
      </c>
      <c r="AC36" s="120">
        <v>46161</v>
      </c>
      <c r="AD36" s="89"/>
      <c r="AE36" s="89"/>
      <c r="AF36" s="99"/>
      <c r="AG36" s="99"/>
      <c r="AH36" s="99"/>
      <c r="AI36" s="100"/>
      <c r="AJ36" s="100" t="s">
        <v>47</v>
      </c>
      <c r="AK36" s="100" t="s">
        <v>47</v>
      </c>
      <c r="AL36" s="45" t="s">
        <v>64</v>
      </c>
      <c r="AM36" s="200" t="str">
        <f>MONTH(B36)&amp;"/"&amp;YEAR(B36)</f>
        <v>3/2026</v>
      </c>
      <c r="AN36" s="45">
        <f>WEEKNUM(B36)-WEEKNUM(EOMONTH(B36,-1)+1)+1</f>
        <v>3</v>
      </c>
      <c r="AO36" s="45" t="str">
        <f>MONTH(R36)&amp;"/"&amp;YEAR(R36)</f>
        <v>4/2026</v>
      </c>
      <c r="AP36" s="45">
        <f>WEEKNUM(R36)-WEEKNUM(EOMONTH(R36,-1)+1)+1</f>
        <v>5</v>
      </c>
      <c r="AQ36" s="45">
        <f>IF(AU36="S",IF(Q36="1. Aceitou o programa",R36-B36,0),0)</f>
        <v>43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21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hidden="1" customHeight="1">
      <c r="A37" s="87" t="s">
        <v>47</v>
      </c>
      <c r="B37" s="88">
        <v>46105</v>
      </c>
      <c r="C37" s="89" t="s">
        <v>48</v>
      </c>
      <c r="D37" s="89" t="s">
        <v>49</v>
      </c>
      <c r="E37" s="90">
        <v>84044774</v>
      </c>
      <c r="F37" s="222" t="s">
        <v>199</v>
      </c>
      <c r="G37" s="92">
        <v>56958757300</v>
      </c>
      <c r="H37" s="93">
        <v>27422</v>
      </c>
      <c r="I37" s="89">
        <v>51</v>
      </c>
      <c r="J37" s="89" t="s">
        <v>51</v>
      </c>
      <c r="K37" s="89" t="s">
        <v>52</v>
      </c>
      <c r="L37" s="89" t="s">
        <v>53</v>
      </c>
      <c r="M37" s="89" t="s">
        <v>200</v>
      </c>
      <c r="N37" s="89">
        <v>60</v>
      </c>
      <c r="O37" s="94">
        <v>11949003012</v>
      </c>
      <c r="P37" s="95" t="s">
        <v>56</v>
      </c>
      <c r="Q37" s="145" t="s">
        <v>57</v>
      </c>
      <c r="R37" s="96">
        <v>46125</v>
      </c>
      <c r="S37" s="97"/>
      <c r="T37" s="97" t="s">
        <v>58</v>
      </c>
      <c r="U37" s="97" t="s">
        <v>59</v>
      </c>
      <c r="V37" s="93">
        <v>46107</v>
      </c>
      <c r="W37" s="93">
        <v>46125</v>
      </c>
      <c r="X37" s="93" t="s">
        <v>60</v>
      </c>
      <c r="Y37" s="98"/>
      <c r="Z37" s="89" t="s">
        <v>62</v>
      </c>
      <c r="AA37" s="97">
        <v>46126</v>
      </c>
      <c r="AB37" s="89" t="s">
        <v>63</v>
      </c>
      <c r="AC37" s="120"/>
      <c r="AD37" s="89" t="s">
        <v>80</v>
      </c>
      <c r="AE37" s="89">
        <v>0</v>
      </c>
      <c r="AF37" s="99" t="s">
        <v>194</v>
      </c>
      <c r="AG37" s="99"/>
      <c r="AH37" s="99"/>
      <c r="AI37" s="100" t="s">
        <v>47</v>
      </c>
      <c r="AJ37" s="100" t="s">
        <v>47</v>
      </c>
      <c r="AK37" s="100" t="s">
        <v>47</v>
      </c>
      <c r="AL37" s="45" t="s">
        <v>64</v>
      </c>
      <c r="AM37" s="200" t="str">
        <f>MONTH(B37)&amp;"/"&amp;YEAR(B37)</f>
        <v>3/2026</v>
      </c>
      <c r="AN37" s="45">
        <f>WEEKNUM(B37)-WEEKNUM(EOMONTH(B37,-1)+1)+1</f>
        <v>4</v>
      </c>
      <c r="AO37" s="45" t="str">
        <f>MONTH(R37)&amp;"/"&amp;YEAR(R37)</f>
        <v>4/2026</v>
      </c>
      <c r="AP37" s="45">
        <f>WEEKNUM(R37)-WEEKNUM(EOMONTH(R37,-1)+1)+1</f>
        <v>3</v>
      </c>
      <c r="AQ37" s="45">
        <f>IF(AU37="S",IF(Q37="1. Aceitou o programa",R37-B37,0),0)</f>
        <v>20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18</v>
      </c>
      <c r="AT37" s="45">
        <f>IF(AU37="S",IF(AND(Q37="1. Aceitou o programa",AB37="Realizada"),IFERROR(IF(AA37="",0,AA37-R37),0),0),0)</f>
        <v>1</v>
      </c>
      <c r="AU37" s="45" t="str">
        <f>_xlfn.XLOOKUP(U37,'Lista Suspensa'!$AA$20:$AA$23,'Lista Suspensa'!$AB$20:$AB$23,"N/A")</f>
        <v>S</v>
      </c>
    </row>
    <row r="38" spans="1:47" ht="12" hidden="1" customHeight="1">
      <c r="A38" s="87" t="s">
        <v>47</v>
      </c>
      <c r="B38" s="88">
        <v>46105</v>
      </c>
      <c r="C38" s="89" t="s">
        <v>48</v>
      </c>
      <c r="D38" s="89" t="s">
        <v>49</v>
      </c>
      <c r="E38" s="90">
        <v>450182800</v>
      </c>
      <c r="F38" s="222" t="s">
        <v>201</v>
      </c>
      <c r="G38" s="92">
        <v>668772883</v>
      </c>
      <c r="H38" s="93">
        <v>15401</v>
      </c>
      <c r="I38" s="89">
        <v>84</v>
      </c>
      <c r="J38" s="89" t="s">
        <v>84</v>
      </c>
      <c r="K38" s="89" t="s">
        <v>52</v>
      </c>
      <c r="L38" s="89" t="s">
        <v>53</v>
      </c>
      <c r="M38" s="89" t="s">
        <v>202</v>
      </c>
      <c r="N38" s="89">
        <v>100</v>
      </c>
      <c r="O38" s="94">
        <v>11996049931</v>
      </c>
      <c r="P38" s="95" t="s">
        <v>56</v>
      </c>
      <c r="Q38" s="145" t="s">
        <v>118</v>
      </c>
      <c r="R38" s="96"/>
      <c r="S38" s="97">
        <v>46150</v>
      </c>
      <c r="T38" s="97" t="s">
        <v>119</v>
      </c>
      <c r="U38" s="97" t="s">
        <v>69</v>
      </c>
      <c r="V38" s="93">
        <v>46107</v>
      </c>
      <c r="W38" s="93">
        <v>46125</v>
      </c>
      <c r="X38" s="93">
        <v>46142</v>
      </c>
      <c r="Y38" s="98"/>
      <c r="Z38" s="89"/>
      <c r="AA38" s="97"/>
      <c r="AB38" s="89"/>
      <c r="AC38" s="120"/>
      <c r="AD38" s="89"/>
      <c r="AE38" s="89"/>
      <c r="AF38" s="99"/>
      <c r="AG38" s="99"/>
      <c r="AH38" s="99"/>
      <c r="AI38" s="100"/>
      <c r="AJ38" s="100"/>
      <c r="AK38" s="100"/>
      <c r="AL38" s="45" t="s">
        <v>64</v>
      </c>
      <c r="AM38" s="200" t="str">
        <f>MONTH(B38)&amp;"/"&amp;YEAR(B38)</f>
        <v>3/2026</v>
      </c>
      <c r="AN38" s="45">
        <f>WEEKNUM(B38)-WEEKNUM(EOMONTH(B38,-1)+1)+1</f>
        <v>4</v>
      </c>
      <c r="AO38" s="45" t="str">
        <f>MONTH(R38)&amp;"/"&amp;YEAR(R38)</f>
        <v>1/1900</v>
      </c>
      <c r="AP38" s="45" t="e">
        <f>WEEKNUM(R38)-WEEKNUM(EOMONTH(R38,-1)+1)+1</f>
        <v>#NUM!</v>
      </c>
      <c r="AQ38" s="45">
        <f>IF(AU38="S",IF(Q38="1. Aceitou o programa",R38-B38,0),0)</f>
        <v>0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0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hidden="1" customHeight="1">
      <c r="A39" s="87" t="s">
        <v>47</v>
      </c>
      <c r="B39" s="88">
        <v>46107</v>
      </c>
      <c r="C39" s="89" t="s">
        <v>48</v>
      </c>
      <c r="D39" s="89" t="s">
        <v>49</v>
      </c>
      <c r="E39" s="90">
        <v>451737474</v>
      </c>
      <c r="F39" s="222" t="s">
        <v>203</v>
      </c>
      <c r="G39" s="92">
        <v>61741361834</v>
      </c>
      <c r="H39" s="93">
        <v>12079</v>
      </c>
      <c r="I39" s="89">
        <v>93</v>
      </c>
      <c r="J39" s="89" t="s">
        <v>51</v>
      </c>
      <c r="K39" s="89" t="s">
        <v>52</v>
      </c>
      <c r="L39" s="89" t="s">
        <v>53</v>
      </c>
      <c r="M39" s="89" t="s">
        <v>204</v>
      </c>
      <c r="N39" s="89">
        <v>400</v>
      </c>
      <c r="O39" s="94">
        <v>11932029314</v>
      </c>
      <c r="P39" s="95" t="s">
        <v>56</v>
      </c>
      <c r="Q39" s="145" t="s">
        <v>118</v>
      </c>
      <c r="R39" s="96"/>
      <c r="S39" s="97">
        <v>46150</v>
      </c>
      <c r="T39" s="97" t="s">
        <v>119</v>
      </c>
      <c r="U39" s="97" t="s">
        <v>69</v>
      </c>
      <c r="V39" s="93">
        <v>46107</v>
      </c>
      <c r="W39" s="93">
        <v>46125</v>
      </c>
      <c r="X39" s="93">
        <v>46147</v>
      </c>
      <c r="Y39" s="98" t="s">
        <v>205</v>
      </c>
      <c r="Z39" s="89"/>
      <c r="AA39" s="97"/>
      <c r="AB39" s="89"/>
      <c r="AC39" s="120"/>
      <c r="AD39" s="89"/>
      <c r="AE39" s="89"/>
      <c r="AF39" s="99"/>
      <c r="AG39" s="99"/>
      <c r="AH39" s="99"/>
      <c r="AI39" s="100"/>
      <c r="AJ39" s="100"/>
      <c r="AK39" s="100"/>
      <c r="AL39" s="45" t="s">
        <v>64</v>
      </c>
      <c r="AM39" s="200" t="str">
        <f>MONTH(B39)&amp;"/"&amp;YEAR(B39)</f>
        <v>3/2026</v>
      </c>
      <c r="AN39" s="45">
        <f>WEEKNUM(B39)-WEEKNUM(EOMONTH(B39,-1)+1)+1</f>
        <v>4</v>
      </c>
      <c r="AO39" s="45" t="str">
        <f>MONTH(R39)&amp;"/"&amp;YEAR(R39)</f>
        <v>1/1900</v>
      </c>
      <c r="AP39" s="45" t="e">
        <f>WEEKNUM(R39)-WEEKNUM(EOMONTH(R39,-1)+1)+1</f>
        <v>#NUM!</v>
      </c>
      <c r="AQ39" s="45">
        <f>IF(AU39="S",IF(Q39="1. Aceitou o programa",R39-B39,0),0)</f>
        <v>0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0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hidden="1" customHeight="1">
      <c r="A40" s="87" t="s">
        <v>47</v>
      </c>
      <c r="B40" s="88">
        <v>46120</v>
      </c>
      <c r="C40" s="89" t="s">
        <v>48</v>
      </c>
      <c r="D40" s="89" t="s">
        <v>49</v>
      </c>
      <c r="E40" s="90">
        <v>94866348</v>
      </c>
      <c r="F40" s="222" t="s">
        <v>206</v>
      </c>
      <c r="G40" s="92">
        <v>41095646893</v>
      </c>
      <c r="H40" s="93">
        <v>33755</v>
      </c>
      <c r="I40" s="89">
        <v>33</v>
      </c>
      <c r="J40" s="89" t="s">
        <v>84</v>
      </c>
      <c r="K40" s="89" t="s">
        <v>52</v>
      </c>
      <c r="L40" s="89" t="s">
        <v>53</v>
      </c>
      <c r="M40" s="89" t="s">
        <v>207</v>
      </c>
      <c r="N40" s="89">
        <v>300</v>
      </c>
      <c r="O40" s="94">
        <v>11984468110</v>
      </c>
      <c r="P40" s="95" t="s">
        <v>158</v>
      </c>
      <c r="Q40" s="145" t="s">
        <v>57</v>
      </c>
      <c r="R40" s="96">
        <v>46125</v>
      </c>
      <c r="S40" s="97"/>
      <c r="T40" s="97" t="s">
        <v>58</v>
      </c>
      <c r="U40" s="97" t="s">
        <v>59</v>
      </c>
      <c r="V40" s="93">
        <v>46125</v>
      </c>
      <c r="W40" s="93" t="s">
        <v>60</v>
      </c>
      <c r="X40" s="93" t="s">
        <v>60</v>
      </c>
      <c r="Y40" s="98"/>
      <c r="Z40" s="89" t="s">
        <v>62</v>
      </c>
      <c r="AA40" s="97">
        <v>46127</v>
      </c>
      <c r="AB40" s="89" t="s">
        <v>63</v>
      </c>
      <c r="AC40" s="120"/>
      <c r="AD40" s="89"/>
      <c r="AE40" s="89"/>
      <c r="AF40" s="99"/>
      <c r="AG40" s="99"/>
      <c r="AH40" s="99"/>
      <c r="AI40" s="100"/>
      <c r="AJ40" s="100" t="s">
        <v>47</v>
      </c>
      <c r="AK40" s="100" t="s">
        <v>47</v>
      </c>
      <c r="AL40" s="45" t="s">
        <v>64</v>
      </c>
      <c r="AM40" s="200" t="str">
        <f>MONTH(B40)&amp;"/"&amp;YEAR(B40)</f>
        <v>4/2026</v>
      </c>
      <c r="AN40" s="45">
        <f>WEEKNUM(B40)-WEEKNUM(EOMONTH(B40,-1)+1)+1</f>
        <v>2</v>
      </c>
      <c r="AO40" s="45" t="str">
        <f>MONTH(R40)&amp;"/"&amp;YEAR(R40)</f>
        <v>4/2026</v>
      </c>
      <c r="AP40" s="45">
        <f>WEEKNUM(R40)-WEEKNUM(EOMONTH(R40,-1)+1)+1</f>
        <v>3</v>
      </c>
      <c r="AQ40" s="45">
        <f>IF(AU40="S",IF(Q40="1. Aceitou o programa",R40-B40,0),0)</f>
        <v>5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0</v>
      </c>
      <c r="AT40" s="45">
        <f>IF(AU40="S",IF(AND(Q40="1. Aceitou o programa",AB40="Realizada"),IFERROR(IF(AA40="",0,AA40-R40),0),0),0)</f>
        <v>2</v>
      </c>
      <c r="AU40" s="45" t="str">
        <f>_xlfn.XLOOKUP(U40,'Lista Suspensa'!$AA$20:$AA$23,'Lista Suspensa'!$AB$20:$AB$23,"N/A")</f>
        <v>S</v>
      </c>
    </row>
    <row r="41" spans="1:47" ht="12" hidden="1" customHeight="1">
      <c r="A41" s="87" t="s">
        <v>47</v>
      </c>
      <c r="B41" s="88">
        <v>46120</v>
      </c>
      <c r="C41" s="89" t="s">
        <v>137</v>
      </c>
      <c r="D41" s="89" t="s">
        <v>49</v>
      </c>
      <c r="E41" s="90">
        <v>82381457</v>
      </c>
      <c r="F41" s="222" t="s">
        <v>208</v>
      </c>
      <c r="G41" s="92">
        <v>29835410887</v>
      </c>
      <c r="H41" s="93">
        <v>15095</v>
      </c>
      <c r="I41" s="89">
        <v>84</v>
      </c>
      <c r="J41" s="89" t="s">
        <v>51</v>
      </c>
      <c r="K41" s="89" t="s">
        <v>52</v>
      </c>
      <c r="L41" s="89" t="s">
        <v>53</v>
      </c>
      <c r="M41" s="89" t="s">
        <v>209</v>
      </c>
      <c r="N41" s="89">
        <v>50</v>
      </c>
      <c r="O41" s="94">
        <v>11984103237</v>
      </c>
      <c r="P41" s="95" t="s">
        <v>158</v>
      </c>
      <c r="Q41" s="145" t="s">
        <v>57</v>
      </c>
      <c r="R41" s="96">
        <v>46125</v>
      </c>
      <c r="S41" s="97"/>
      <c r="T41" s="97" t="s">
        <v>58</v>
      </c>
      <c r="U41" s="97" t="s">
        <v>59</v>
      </c>
      <c r="V41" s="93">
        <v>46125</v>
      </c>
      <c r="W41" s="93" t="s">
        <v>60</v>
      </c>
      <c r="X41" s="93" t="s">
        <v>60</v>
      </c>
      <c r="Y41" s="98"/>
      <c r="Z41" s="89" t="s">
        <v>62</v>
      </c>
      <c r="AA41" s="97">
        <v>46129</v>
      </c>
      <c r="AB41" s="89" t="s">
        <v>63</v>
      </c>
      <c r="AC41" s="120"/>
      <c r="AD41" s="89"/>
      <c r="AE41" s="89"/>
      <c r="AF41" s="99"/>
      <c r="AG41" s="99"/>
      <c r="AH41" s="99"/>
      <c r="AI41" s="100"/>
      <c r="AJ41" s="100" t="s">
        <v>47</v>
      </c>
      <c r="AK41" s="100" t="s">
        <v>47</v>
      </c>
      <c r="AL41" s="45" t="s">
        <v>64</v>
      </c>
      <c r="AM41" s="200" t="str">
        <f>MONTH(B41)&amp;"/"&amp;YEAR(B41)</f>
        <v>4/2026</v>
      </c>
      <c r="AN41" s="45">
        <f>WEEKNUM(B41)-WEEKNUM(EOMONTH(B41,-1)+1)+1</f>
        <v>2</v>
      </c>
      <c r="AO41" s="45" t="str">
        <f>MONTH(R41)&amp;"/"&amp;YEAR(R41)</f>
        <v>4/2026</v>
      </c>
      <c r="AP41" s="45">
        <f>WEEKNUM(R41)-WEEKNUM(EOMONTH(R41,-1)+1)+1</f>
        <v>3</v>
      </c>
      <c r="AQ41" s="45">
        <f>IF(AU41="S",IF(Q41="1. Aceitou o programa",R41-B41,0),0)</f>
        <v>5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0</v>
      </c>
      <c r="AT41" s="45">
        <f>IF(AU41="S",IF(AND(Q41="1. Aceitou o programa",AB41="Realizada"),IFERROR(IF(AA41="",0,AA41-R41),0),0),0)</f>
        <v>4</v>
      </c>
      <c r="AU41" s="45" t="str">
        <f>_xlfn.XLOOKUP(U41,'Lista Suspensa'!$AA$20:$AA$23,'Lista Suspensa'!$AB$20:$AB$23,"N/A")</f>
        <v>S</v>
      </c>
    </row>
    <row r="42" spans="1:47" ht="12" hidden="1" customHeight="1">
      <c r="A42" s="87" t="s">
        <v>47</v>
      </c>
      <c r="B42" s="88">
        <v>46122</v>
      </c>
      <c r="C42" s="89" t="s">
        <v>137</v>
      </c>
      <c r="D42" s="89" t="s">
        <v>49</v>
      </c>
      <c r="E42" s="90">
        <v>95678122</v>
      </c>
      <c r="F42" s="222" t="s">
        <v>210</v>
      </c>
      <c r="G42" s="92">
        <v>12692722841</v>
      </c>
      <c r="H42" s="93">
        <v>26658</v>
      </c>
      <c r="I42" s="89">
        <v>53</v>
      </c>
      <c r="J42" s="89" t="s">
        <v>84</v>
      </c>
      <c r="K42" s="89" t="s">
        <v>52</v>
      </c>
      <c r="L42" s="89" t="s">
        <v>53</v>
      </c>
      <c r="M42" s="89" t="s">
        <v>211</v>
      </c>
      <c r="N42" s="89">
        <v>60</v>
      </c>
      <c r="O42" s="94">
        <v>11997298183</v>
      </c>
      <c r="P42" s="95" t="s">
        <v>158</v>
      </c>
      <c r="Q42" s="145" t="s">
        <v>57</v>
      </c>
      <c r="R42" s="96">
        <v>46125</v>
      </c>
      <c r="S42" s="97"/>
      <c r="T42" s="97" t="s">
        <v>58</v>
      </c>
      <c r="U42" s="97" t="s">
        <v>59</v>
      </c>
      <c r="V42" s="93">
        <v>46125</v>
      </c>
      <c r="W42" s="93" t="s">
        <v>60</v>
      </c>
      <c r="X42" s="93" t="s">
        <v>60</v>
      </c>
      <c r="Y42" s="98"/>
      <c r="Z42" s="89" t="s">
        <v>62</v>
      </c>
      <c r="AA42" s="97">
        <v>46127</v>
      </c>
      <c r="AB42" s="89" t="s">
        <v>63</v>
      </c>
      <c r="AC42" s="120"/>
      <c r="AD42" s="89"/>
      <c r="AE42" s="89"/>
      <c r="AF42" s="99"/>
      <c r="AG42" s="99"/>
      <c r="AH42" s="99"/>
      <c r="AI42" s="100" t="s">
        <v>47</v>
      </c>
      <c r="AJ42" s="100" t="s">
        <v>47</v>
      </c>
      <c r="AK42" s="100" t="s">
        <v>47</v>
      </c>
      <c r="AL42" s="45" t="s">
        <v>64</v>
      </c>
      <c r="AM42" s="200" t="str">
        <f>MONTH(B42)&amp;"/"&amp;YEAR(B42)</f>
        <v>4/2026</v>
      </c>
      <c r="AN42" s="45">
        <f>WEEKNUM(B42)-WEEKNUM(EOMONTH(B42,-1)+1)+1</f>
        <v>2</v>
      </c>
      <c r="AO42" s="45" t="str">
        <f>MONTH(R42)&amp;"/"&amp;YEAR(R42)</f>
        <v>4/2026</v>
      </c>
      <c r="AP42" s="45">
        <f>WEEKNUM(R42)-WEEKNUM(EOMONTH(R42,-1)+1)+1</f>
        <v>3</v>
      </c>
      <c r="AQ42" s="45">
        <f>IF(AU42="S",IF(Q42="1. Aceitou o programa",R42-B42,0),0)</f>
        <v>3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0</v>
      </c>
      <c r="AT42" s="45">
        <f>IF(AU42="S",IF(AND(Q42="1. Aceitou o programa",AB42="Realizada"),IFERROR(IF(AA42="",0,AA42-R42),0),0),0)</f>
        <v>2</v>
      </c>
      <c r="AU42" s="45" t="str">
        <f>_xlfn.XLOOKUP(U42,'Lista Suspensa'!$AA$20:$AA$23,'Lista Suspensa'!$AB$20:$AB$23,"N/A")</f>
        <v>S</v>
      </c>
    </row>
    <row r="43" spans="1:47" ht="12" hidden="1" customHeight="1">
      <c r="A43" s="87" t="s">
        <v>47</v>
      </c>
      <c r="B43" s="88">
        <v>46125</v>
      </c>
      <c r="C43" s="89" t="s">
        <v>48</v>
      </c>
      <c r="D43" s="89" t="s">
        <v>212</v>
      </c>
      <c r="E43" s="90">
        <v>79043738</v>
      </c>
      <c r="F43" s="222" t="s">
        <v>213</v>
      </c>
      <c r="G43" s="92">
        <v>27490602815</v>
      </c>
      <c r="H43" s="93">
        <v>14712</v>
      </c>
      <c r="I43" s="89">
        <v>86</v>
      </c>
      <c r="J43" s="89" t="s">
        <v>51</v>
      </c>
      <c r="K43" s="89" t="s">
        <v>52</v>
      </c>
      <c r="L43" s="89" t="s">
        <v>191</v>
      </c>
      <c r="M43" s="89" t="s">
        <v>214</v>
      </c>
      <c r="N43" s="89">
        <v>60</v>
      </c>
      <c r="O43" s="94">
        <v>11976385055</v>
      </c>
      <c r="P43" s="95" t="s">
        <v>158</v>
      </c>
      <c r="Q43" s="145" t="s">
        <v>57</v>
      </c>
      <c r="R43" s="96">
        <v>46125</v>
      </c>
      <c r="S43" s="97"/>
      <c r="T43" s="97" t="s">
        <v>58</v>
      </c>
      <c r="U43" s="97" t="s">
        <v>59</v>
      </c>
      <c r="V43" s="93">
        <v>46125</v>
      </c>
      <c r="W43" s="93" t="s">
        <v>60</v>
      </c>
      <c r="X43" s="93" t="s">
        <v>60</v>
      </c>
      <c r="Y43" s="98"/>
      <c r="Z43" s="89" t="s">
        <v>62</v>
      </c>
      <c r="AA43" s="97">
        <v>46128</v>
      </c>
      <c r="AB43" s="89" t="s">
        <v>63</v>
      </c>
      <c r="AC43" s="120"/>
      <c r="AD43" s="89" t="s">
        <v>215</v>
      </c>
      <c r="AE43" s="89">
        <v>21</v>
      </c>
      <c r="AF43" s="99" t="s">
        <v>81</v>
      </c>
      <c r="AG43" s="99"/>
      <c r="AH43" s="99"/>
      <c r="AI43" s="100" t="s">
        <v>47</v>
      </c>
      <c r="AJ43" s="100" t="s">
        <v>47</v>
      </c>
      <c r="AK43" s="100" t="s">
        <v>47</v>
      </c>
      <c r="AL43" s="45" t="s">
        <v>64</v>
      </c>
      <c r="AM43" s="200" t="str">
        <f>MONTH(B43)&amp;"/"&amp;YEAR(B43)</f>
        <v>4/2026</v>
      </c>
      <c r="AN43" s="45">
        <f>WEEKNUM(B43)-WEEKNUM(EOMONTH(B43,-1)+1)+1</f>
        <v>3</v>
      </c>
      <c r="AO43" s="45" t="str">
        <f>MONTH(R43)&amp;"/"&amp;YEAR(R43)</f>
        <v>4/2026</v>
      </c>
      <c r="AP43" s="45">
        <f>WEEKNUM(R43)-WEEKNUM(EOMONTH(R43,-1)+1)+1</f>
        <v>3</v>
      </c>
      <c r="AQ43" s="45">
        <f>IF(AU43="S",IF(Q43="1. Aceitou o programa",R43-B43,0),0)</f>
        <v>0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0</v>
      </c>
      <c r="AT43" s="45">
        <f>IF(AU43="S",IF(AND(Q43="1. Aceitou o programa",AB43="Realizada"),IFERROR(IF(AA43="",0,AA43-R43),0),0),0)</f>
        <v>3</v>
      </c>
      <c r="AU43" s="45" t="str">
        <f>_xlfn.XLOOKUP(U43,'Lista Suspensa'!$AA$20:$AA$23,'Lista Suspensa'!$AB$20:$AB$23,"N/A")</f>
        <v>S</v>
      </c>
    </row>
    <row r="44" spans="1:47" ht="12" hidden="1" customHeight="1">
      <c r="A44" s="87" t="s">
        <v>47</v>
      </c>
      <c r="B44" s="88">
        <v>46125</v>
      </c>
      <c r="C44" s="89" t="s">
        <v>48</v>
      </c>
      <c r="D44" s="89" t="s">
        <v>212</v>
      </c>
      <c r="E44" s="90">
        <v>451669983</v>
      </c>
      <c r="F44" s="222" t="s">
        <v>216</v>
      </c>
      <c r="G44" s="92">
        <v>29285900801</v>
      </c>
      <c r="H44" s="93">
        <v>18845</v>
      </c>
      <c r="I44" s="89">
        <v>74</v>
      </c>
      <c r="J44" s="89" t="s">
        <v>84</v>
      </c>
      <c r="K44" s="89" t="s">
        <v>52</v>
      </c>
      <c r="L44" s="89" t="s">
        <v>53</v>
      </c>
      <c r="M44" s="89" t="s">
        <v>217</v>
      </c>
      <c r="N44" s="89">
        <v>500</v>
      </c>
      <c r="O44" s="94">
        <v>11992887019</v>
      </c>
      <c r="P44" s="95" t="s">
        <v>158</v>
      </c>
      <c r="Q44" s="145" t="s">
        <v>118</v>
      </c>
      <c r="R44" s="96"/>
      <c r="S44" s="97">
        <v>46150</v>
      </c>
      <c r="T44" s="97" t="s">
        <v>119</v>
      </c>
      <c r="U44" s="97" t="s">
        <v>69</v>
      </c>
      <c r="V44" s="93">
        <v>46125</v>
      </c>
      <c r="W44" s="93">
        <v>46128</v>
      </c>
      <c r="X44" s="93">
        <v>46147</v>
      </c>
      <c r="Y44" s="98"/>
      <c r="Z44" s="89"/>
      <c r="AA44" s="97"/>
      <c r="AB44" s="89"/>
      <c r="AC44" s="120"/>
      <c r="AD44" s="89"/>
      <c r="AE44" s="89"/>
      <c r="AF44" s="99"/>
      <c r="AG44" s="99"/>
      <c r="AH44" s="99"/>
      <c r="AI44" s="100"/>
      <c r="AJ44" s="100"/>
      <c r="AK44" s="100"/>
      <c r="AL44" s="45" t="s">
        <v>64</v>
      </c>
      <c r="AM44" s="200" t="str">
        <f>MONTH(B44)&amp;"/"&amp;YEAR(B44)</f>
        <v>4/2026</v>
      </c>
      <c r="AN44" s="45">
        <f>WEEKNUM(B44)-WEEKNUM(EOMONTH(B44,-1)+1)+1</f>
        <v>3</v>
      </c>
      <c r="AO44" s="45" t="str">
        <f>MONTH(R44)&amp;"/"&amp;YEAR(R44)</f>
        <v>1/1900</v>
      </c>
      <c r="AP44" s="45" t="e">
        <f>WEEKNUM(R44)-WEEKNUM(EOMONTH(R44,-1)+1)+1</f>
        <v>#NUM!</v>
      </c>
      <c r="AQ44" s="45">
        <f>IF(AU44="S",IF(Q44="1. Aceitou o programa",R44-B44,0),0)</f>
        <v>0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0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hidden="1" customHeight="1">
      <c r="A45" s="87" t="s">
        <v>47</v>
      </c>
      <c r="B45" s="88">
        <v>46125</v>
      </c>
      <c r="C45" s="89" t="s">
        <v>48</v>
      </c>
      <c r="D45" s="89" t="s">
        <v>212</v>
      </c>
      <c r="E45" s="90">
        <v>791520960</v>
      </c>
      <c r="F45" s="222" t="s">
        <v>218</v>
      </c>
      <c r="G45" s="92">
        <v>37167260878</v>
      </c>
      <c r="H45" s="93">
        <v>13234</v>
      </c>
      <c r="I45" s="89">
        <v>90</v>
      </c>
      <c r="J45" s="89" t="s">
        <v>84</v>
      </c>
      <c r="K45" s="89" t="s">
        <v>52</v>
      </c>
      <c r="L45" s="89" t="s">
        <v>53</v>
      </c>
      <c r="M45" s="89" t="s">
        <v>219</v>
      </c>
      <c r="N45" s="89">
        <v>100</v>
      </c>
      <c r="O45" s="94">
        <v>11959164989</v>
      </c>
      <c r="P45" s="95" t="s">
        <v>158</v>
      </c>
      <c r="Q45" s="145" t="s">
        <v>118</v>
      </c>
      <c r="R45" s="96"/>
      <c r="S45" s="97">
        <v>46150</v>
      </c>
      <c r="T45" s="97" t="s">
        <v>119</v>
      </c>
      <c r="U45" s="97" t="s">
        <v>69</v>
      </c>
      <c r="V45" s="93">
        <v>46125</v>
      </c>
      <c r="W45" s="93">
        <v>46128</v>
      </c>
      <c r="X45" s="93">
        <v>46147</v>
      </c>
      <c r="Y45" s="98"/>
      <c r="Z45" s="89"/>
      <c r="AA45" s="97"/>
      <c r="AB45" s="89"/>
      <c r="AC45" s="120"/>
      <c r="AD45" s="89"/>
      <c r="AE45" s="89"/>
      <c r="AF45" s="99"/>
      <c r="AG45" s="99"/>
      <c r="AH45" s="99"/>
      <c r="AI45" s="100"/>
      <c r="AJ45" s="100"/>
      <c r="AK45" s="100"/>
      <c r="AL45" s="45" t="s">
        <v>64</v>
      </c>
      <c r="AM45" s="200" t="str">
        <f>MONTH(B45)&amp;"/"&amp;YEAR(B45)</f>
        <v>4/2026</v>
      </c>
      <c r="AN45" s="45">
        <f>WEEKNUM(B45)-WEEKNUM(EOMONTH(B45,-1)+1)+1</f>
        <v>3</v>
      </c>
      <c r="AO45" s="45" t="str">
        <f>MONTH(R45)&amp;"/"&amp;YEAR(R45)</f>
        <v>1/1900</v>
      </c>
      <c r="AP45" s="45" t="e">
        <f>WEEKNUM(R45)-WEEKNUM(EOMONTH(R45,-1)+1)+1</f>
        <v>#NUM!</v>
      </c>
      <c r="AQ45" s="45">
        <f>IF(AU45="S",IF(Q45="1. Aceitou o programa",R45-B45,0),0)</f>
        <v>0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0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hidden="1" customHeight="1">
      <c r="A46" s="87" t="s">
        <v>47</v>
      </c>
      <c r="B46" s="88">
        <v>46127</v>
      </c>
      <c r="C46" s="89" t="s">
        <v>48</v>
      </c>
      <c r="D46" s="89" t="s">
        <v>49</v>
      </c>
      <c r="E46" s="90">
        <v>92897618</v>
      </c>
      <c r="F46" s="222" t="s">
        <v>220</v>
      </c>
      <c r="G46" s="92" t="s">
        <v>221</v>
      </c>
      <c r="H46" s="93">
        <v>29836</v>
      </c>
      <c r="I46" s="89">
        <v>44</v>
      </c>
      <c r="J46" s="89" t="s">
        <v>84</v>
      </c>
      <c r="K46" s="89" t="s">
        <v>52</v>
      </c>
      <c r="L46" s="89" t="s">
        <v>222</v>
      </c>
      <c r="M46" s="89" t="s">
        <v>77</v>
      </c>
      <c r="N46" s="89">
        <v>80</v>
      </c>
      <c r="O46" s="94">
        <v>11973402734</v>
      </c>
      <c r="P46" s="95" t="s">
        <v>158</v>
      </c>
      <c r="Q46" s="145" t="s">
        <v>57</v>
      </c>
      <c r="R46" s="96">
        <v>46141</v>
      </c>
      <c r="S46" s="97"/>
      <c r="T46" s="97" t="s">
        <v>58</v>
      </c>
      <c r="U46" s="97" t="s">
        <v>59</v>
      </c>
      <c r="V46" s="93">
        <v>46128</v>
      </c>
      <c r="W46" s="93">
        <v>46141</v>
      </c>
      <c r="X46" s="93" t="s">
        <v>60</v>
      </c>
      <c r="Y46" s="230" t="s">
        <v>223</v>
      </c>
      <c r="Z46" s="89" t="s">
        <v>62</v>
      </c>
      <c r="AA46" s="97">
        <v>46146</v>
      </c>
      <c r="AB46" s="89" t="s">
        <v>63</v>
      </c>
      <c r="AC46" s="120"/>
      <c r="AD46" s="89" t="s">
        <v>80</v>
      </c>
      <c r="AE46" s="89">
        <v>0</v>
      </c>
      <c r="AF46" s="99" t="s">
        <v>81</v>
      </c>
      <c r="AG46" s="99"/>
      <c r="AH46" s="99" t="s">
        <v>106</v>
      </c>
      <c r="AI46" s="100" t="s">
        <v>47</v>
      </c>
      <c r="AJ46" s="100" t="s">
        <v>47</v>
      </c>
      <c r="AK46" s="100" t="s">
        <v>47</v>
      </c>
      <c r="AL46" s="45" t="s">
        <v>64</v>
      </c>
      <c r="AM46" s="200" t="str">
        <f>MONTH(B46)&amp;"/"&amp;YEAR(B46)</f>
        <v>4/2026</v>
      </c>
      <c r="AN46" s="45">
        <f>WEEKNUM(B46)-WEEKNUM(EOMONTH(B46,-1)+1)+1</f>
        <v>3</v>
      </c>
      <c r="AO46" s="45" t="str">
        <f>MONTH(R46)&amp;"/"&amp;YEAR(R46)</f>
        <v>4/2026</v>
      </c>
      <c r="AP46" s="45">
        <f>WEEKNUM(R46)-WEEKNUM(EOMONTH(R46,-1)+1)+1</f>
        <v>5</v>
      </c>
      <c r="AQ46" s="45">
        <f>IF(AU46="S",IF(Q46="1. Aceitou o programa",R46-B46,0),0)</f>
        <v>14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13</v>
      </c>
      <c r="AT46" s="45">
        <f>IF(AU46="S",IF(AND(Q46="1. Aceitou o programa",AB46="Realizada"),IFERROR(IF(AA46="",0,AA46-R46),0),0),0)</f>
        <v>5</v>
      </c>
      <c r="AU46" s="45" t="str">
        <f>_xlfn.XLOOKUP(U46,'Lista Suspensa'!$AA$20:$AA$23,'Lista Suspensa'!$AB$20:$AB$23,"N/A")</f>
        <v>S</v>
      </c>
    </row>
    <row r="47" spans="1:47" ht="12" hidden="1" customHeight="1">
      <c r="A47" s="87" t="s">
        <v>47</v>
      </c>
      <c r="B47" s="88">
        <v>46127</v>
      </c>
      <c r="C47" s="89" t="s">
        <v>137</v>
      </c>
      <c r="D47" s="89" t="s">
        <v>49</v>
      </c>
      <c r="E47" s="90">
        <v>72096770</v>
      </c>
      <c r="F47" s="222" t="s">
        <v>224</v>
      </c>
      <c r="G47" s="92" t="s">
        <v>225</v>
      </c>
      <c r="H47" s="93">
        <v>30415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226</v>
      </c>
      <c r="N47" s="89">
        <v>50</v>
      </c>
      <c r="O47" s="94">
        <v>11947515067</v>
      </c>
      <c r="P47" s="95" t="s">
        <v>158</v>
      </c>
      <c r="Q47" s="145" t="s">
        <v>57</v>
      </c>
      <c r="R47" s="96">
        <v>46141</v>
      </c>
      <c r="S47" s="97"/>
      <c r="T47" s="97" t="s">
        <v>58</v>
      </c>
      <c r="U47" s="97" t="s">
        <v>59</v>
      </c>
      <c r="V47" s="93">
        <v>46128</v>
      </c>
      <c r="W47" s="93">
        <v>46141</v>
      </c>
      <c r="X47" s="93" t="s">
        <v>60</v>
      </c>
      <c r="Y47" s="98"/>
      <c r="Z47" s="89" t="s">
        <v>62</v>
      </c>
      <c r="AA47" s="97" t="s">
        <v>227</v>
      </c>
      <c r="AB47" s="89" t="s">
        <v>63</v>
      </c>
      <c r="AC47" s="120"/>
      <c r="AD47" s="89" t="s">
        <v>215</v>
      </c>
      <c r="AE47" s="89">
        <v>8</v>
      </c>
      <c r="AF47" s="99" t="s">
        <v>194</v>
      </c>
      <c r="AG47" s="99"/>
      <c r="AH47" s="99"/>
      <c r="AI47" s="100" t="s">
        <v>47</v>
      </c>
      <c r="AJ47" s="100" t="s">
        <v>47</v>
      </c>
      <c r="AK47" s="100" t="s">
        <v>47</v>
      </c>
      <c r="AL47" s="45" t="s">
        <v>64</v>
      </c>
      <c r="AM47" s="200" t="str">
        <f>MONTH(B47)&amp;"/"&amp;YEAR(B47)</f>
        <v>4/2026</v>
      </c>
      <c r="AN47" s="45">
        <f>WEEKNUM(B47)-WEEKNUM(EOMONTH(B47,-1)+1)+1</f>
        <v>3</v>
      </c>
      <c r="AO47" s="45" t="str">
        <f>MONTH(R47)&amp;"/"&amp;YEAR(R47)</f>
        <v>4/2026</v>
      </c>
      <c r="AP47" s="45">
        <f>WEEKNUM(R47)-WEEKNUM(EOMONTH(R47,-1)+1)+1</f>
        <v>5</v>
      </c>
      <c r="AQ47" s="45">
        <f>IF(AU47="S",IF(Q47="1. Aceitou o programa",R47-B47,0),0)</f>
        <v>14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13</v>
      </c>
      <c r="AT47" s="45">
        <f>IF(AU47="S",IF(AND(Q47="1. Aceitou o programa",AB47="Realizada"),IFERROR(IF(AA47="",0,AA47-R47),0),0),0)</f>
        <v>5.4722222222189885</v>
      </c>
      <c r="AU47" s="45" t="str">
        <f>_xlfn.XLOOKUP(U47,'Lista Suspensa'!$AA$20:$AA$23,'Lista Suspensa'!$AB$20:$AB$23,"N/A")</f>
        <v>S</v>
      </c>
    </row>
    <row r="48" spans="1:47" ht="12" hidden="1" customHeight="1">
      <c r="A48" s="87" t="s">
        <v>47</v>
      </c>
      <c r="B48" s="88">
        <v>46128</v>
      </c>
      <c r="C48" s="89" t="s">
        <v>48</v>
      </c>
      <c r="D48" s="89" t="s">
        <v>189</v>
      </c>
      <c r="E48" s="90">
        <v>80257321</v>
      </c>
      <c r="F48" s="222" t="s">
        <v>228</v>
      </c>
      <c r="G48" s="92" t="s">
        <v>229</v>
      </c>
      <c r="H48" s="93">
        <v>31384</v>
      </c>
      <c r="I48" s="89">
        <v>41</v>
      </c>
      <c r="J48" s="89" t="s">
        <v>51</v>
      </c>
      <c r="K48" s="89" t="s">
        <v>52</v>
      </c>
      <c r="L48" s="89" t="s">
        <v>53</v>
      </c>
      <c r="M48" s="89" t="s">
        <v>230</v>
      </c>
      <c r="N48" s="89">
        <v>400</v>
      </c>
      <c r="O48" s="94">
        <v>11968816035</v>
      </c>
      <c r="P48" s="95" t="s">
        <v>158</v>
      </c>
      <c r="Q48" s="145" t="s">
        <v>118</v>
      </c>
      <c r="R48" s="96"/>
      <c r="S48" s="97">
        <v>46150</v>
      </c>
      <c r="T48" s="97" t="s">
        <v>119</v>
      </c>
      <c r="U48" s="97" t="s">
        <v>69</v>
      </c>
      <c r="V48" s="93">
        <v>46128</v>
      </c>
      <c r="W48" s="93">
        <v>46141</v>
      </c>
      <c r="X48" s="93">
        <v>46147</v>
      </c>
      <c r="Y48" s="98"/>
      <c r="Z48" s="89"/>
      <c r="AA48" s="97"/>
      <c r="AB48" s="89"/>
      <c r="AC48" s="120"/>
      <c r="AD48" s="89"/>
      <c r="AE48" s="89"/>
      <c r="AF48" s="99"/>
      <c r="AG48" s="99"/>
      <c r="AH48" s="99"/>
      <c r="AI48" s="100"/>
      <c r="AJ48" s="100"/>
      <c r="AK48" s="100"/>
      <c r="AL48" s="45" t="s">
        <v>64</v>
      </c>
      <c r="AM48" s="200" t="str">
        <f>MONTH(B48)&amp;"/"&amp;YEAR(B48)</f>
        <v>4/2026</v>
      </c>
      <c r="AN48" s="45">
        <f>WEEKNUM(B48)-WEEKNUM(EOMONTH(B48,-1)+1)+1</f>
        <v>3</v>
      </c>
      <c r="AO48" s="45" t="str">
        <f>MONTH(R48)&amp;"/"&amp;YEAR(R48)</f>
        <v>1/1900</v>
      </c>
      <c r="AP48" s="45" t="e">
        <f>WEEKNUM(R48)-WEEKNUM(EOMONTH(R48,-1)+1)+1</f>
        <v>#NUM!</v>
      </c>
      <c r="AQ48" s="45">
        <f>IF(AU48="S",IF(Q48="1. Aceitou o programa",R48-B48,0),0)</f>
        <v>0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0</v>
      </c>
      <c r="AT48" s="45">
        <f>IF(AU48="S",IF(AND(Q48="1. Aceitou o programa",AB48="Realizada"),IFERROR(IF(AA48="",0,AA48-R48),0),0),0)</f>
        <v>0</v>
      </c>
      <c r="AU48" s="45" t="str">
        <f>_xlfn.XLOOKUP(U48,'Lista Suspensa'!$AA$20:$AA$23,'Lista Suspensa'!$AB$20:$AB$23,"N/A")</f>
        <v>S</v>
      </c>
    </row>
    <row r="49" spans="1:47" ht="12" hidden="1" customHeight="1">
      <c r="A49" s="87" t="s">
        <v>47</v>
      </c>
      <c r="B49" s="88">
        <v>46129</v>
      </c>
      <c r="C49" s="89" t="s">
        <v>48</v>
      </c>
      <c r="D49" s="89" t="s">
        <v>189</v>
      </c>
      <c r="E49" s="90">
        <v>88204870</v>
      </c>
      <c r="F49" s="222" t="s">
        <v>231</v>
      </c>
      <c r="G49" s="92">
        <v>18471075830</v>
      </c>
      <c r="H49" s="93">
        <v>28265</v>
      </c>
      <c r="I49" s="89">
        <v>48</v>
      </c>
      <c r="J49" s="89" t="s">
        <v>51</v>
      </c>
      <c r="K49" s="89" t="s">
        <v>52</v>
      </c>
      <c r="L49" s="89" t="s">
        <v>53</v>
      </c>
      <c r="M49" s="89" t="s">
        <v>232</v>
      </c>
      <c r="N49" s="89">
        <v>50</v>
      </c>
      <c r="O49" s="94">
        <v>11993942324</v>
      </c>
      <c r="P49" s="95" t="s">
        <v>158</v>
      </c>
      <c r="Q49" s="145" t="s">
        <v>57</v>
      </c>
      <c r="R49" s="96">
        <v>46150</v>
      </c>
      <c r="S49" s="97"/>
      <c r="T49" s="97" t="s">
        <v>58</v>
      </c>
      <c r="U49" s="97" t="s">
        <v>59</v>
      </c>
      <c r="V49" s="93">
        <v>46139</v>
      </c>
      <c r="W49" s="93">
        <v>46141</v>
      </c>
      <c r="X49" s="93">
        <v>46147</v>
      </c>
      <c r="Y49" s="98"/>
      <c r="Z49" s="89" t="s">
        <v>62</v>
      </c>
      <c r="AA49" s="97">
        <v>46150</v>
      </c>
      <c r="AB49" s="89" t="s">
        <v>63</v>
      </c>
      <c r="AC49" s="120"/>
      <c r="AD49" s="89" t="s">
        <v>215</v>
      </c>
      <c r="AE49" s="89">
        <v>13</v>
      </c>
      <c r="AF49" s="99" t="s">
        <v>81</v>
      </c>
      <c r="AG49" s="99"/>
      <c r="AH49" s="99"/>
      <c r="AI49" s="100" t="s">
        <v>47</v>
      </c>
      <c r="AJ49" s="100" t="s">
        <v>233</v>
      </c>
      <c r="AK49" s="100" t="s">
        <v>47</v>
      </c>
      <c r="AL49" s="45" t="s">
        <v>64</v>
      </c>
      <c r="AM49" s="200" t="str">
        <f>MONTH(B49)&amp;"/"&amp;YEAR(B49)</f>
        <v>4/2026</v>
      </c>
      <c r="AN49" s="45">
        <f>WEEKNUM(B49)-WEEKNUM(EOMONTH(B49,-1)+1)+1</f>
        <v>3</v>
      </c>
      <c r="AO49" s="45" t="str">
        <f>MONTH(R49)&amp;"/"&amp;YEAR(R49)</f>
        <v>5/2026</v>
      </c>
      <c r="AP49" s="45">
        <f>WEEKNUM(R49)-WEEKNUM(EOMONTH(R49,-1)+1)+1</f>
        <v>2</v>
      </c>
      <c r="AQ49" s="45">
        <f>IF(AU49="S",IF(Q49="1. Aceitou o programa",R49-B49,0),0)</f>
        <v>21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4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hidden="1" customHeight="1">
      <c r="A50" s="87" t="s">
        <v>47</v>
      </c>
      <c r="B50" s="88">
        <v>46129</v>
      </c>
      <c r="C50" s="89" t="s">
        <v>137</v>
      </c>
      <c r="D50" s="89" t="s">
        <v>49</v>
      </c>
      <c r="E50" s="90">
        <v>93576426</v>
      </c>
      <c r="F50" s="222" t="s">
        <v>234</v>
      </c>
      <c r="G50" s="92">
        <v>18758099883</v>
      </c>
      <c r="H50" s="93">
        <v>25934</v>
      </c>
      <c r="I50" s="89">
        <v>55</v>
      </c>
      <c r="J50" s="89" t="s">
        <v>84</v>
      </c>
      <c r="K50" s="89" t="s">
        <v>52</v>
      </c>
      <c r="L50" s="89" t="s">
        <v>191</v>
      </c>
      <c r="M50" s="89" t="s">
        <v>235</v>
      </c>
      <c r="N50" s="89">
        <v>110</v>
      </c>
      <c r="O50" s="94" t="s">
        <v>236</v>
      </c>
      <c r="P50" s="95" t="s">
        <v>158</v>
      </c>
      <c r="Q50" s="145" t="s">
        <v>57</v>
      </c>
      <c r="R50" s="96">
        <v>46141</v>
      </c>
      <c r="S50" s="97"/>
      <c r="T50" s="97" t="s">
        <v>58</v>
      </c>
      <c r="U50" s="97" t="s">
        <v>59</v>
      </c>
      <c r="V50" s="93">
        <v>46139</v>
      </c>
      <c r="W50" s="93">
        <v>46141</v>
      </c>
      <c r="X50" s="93" t="s">
        <v>60</v>
      </c>
      <c r="Y50" s="98"/>
      <c r="Z50" s="89" t="s">
        <v>62</v>
      </c>
      <c r="AA50" s="97">
        <v>46150</v>
      </c>
      <c r="AB50" s="89" t="s">
        <v>63</v>
      </c>
      <c r="AC50" s="120"/>
      <c r="AD50" s="89"/>
      <c r="AE50" s="89"/>
      <c r="AF50" s="99"/>
      <c r="AG50" s="99"/>
      <c r="AH50" s="99"/>
      <c r="AI50" s="100"/>
      <c r="AJ50" s="100" t="s">
        <v>47</v>
      </c>
      <c r="AK50" s="100" t="s">
        <v>47</v>
      </c>
      <c r="AL50" s="45" t="s">
        <v>64</v>
      </c>
      <c r="AM50" s="200" t="str">
        <f>MONTH(B50)&amp;"/"&amp;YEAR(B50)</f>
        <v>4/2026</v>
      </c>
      <c r="AN50" s="45">
        <f>WEEKNUM(B50)-WEEKNUM(EOMONTH(B50,-1)+1)+1</f>
        <v>3</v>
      </c>
      <c r="AO50" s="45" t="str">
        <f>MONTH(R50)&amp;"/"&amp;YEAR(R50)</f>
        <v>4/2026</v>
      </c>
      <c r="AP50" s="45">
        <f>WEEKNUM(R50)-WEEKNUM(EOMONTH(R50,-1)+1)+1</f>
        <v>5</v>
      </c>
      <c r="AQ50" s="45">
        <f>IF(AU50="S",IF(Q50="1. Aceitou o programa",R50-B50,0),0)</f>
        <v>12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2</v>
      </c>
      <c r="AT50" s="45">
        <f>IF(AU50="S",IF(AND(Q50="1. Aceitou o programa",AB50="Realizada"),IFERROR(IF(AA50="",0,AA50-R50),0),0),0)</f>
        <v>9</v>
      </c>
      <c r="AU50" s="45" t="str">
        <f>_xlfn.XLOOKUP(U50,'Lista Suspensa'!$AA$20:$AA$23,'Lista Suspensa'!$AB$20:$AB$23,"N/A")</f>
        <v>S</v>
      </c>
    </row>
    <row r="51" spans="1:47" ht="12" hidden="1" customHeight="1">
      <c r="A51" s="87" t="s">
        <v>47</v>
      </c>
      <c r="B51" s="88">
        <v>46129</v>
      </c>
      <c r="C51" s="89" t="s">
        <v>48</v>
      </c>
      <c r="D51" s="89" t="s">
        <v>49</v>
      </c>
      <c r="E51" s="90">
        <v>301296065</v>
      </c>
      <c r="F51" s="222" t="s">
        <v>237</v>
      </c>
      <c r="G51" s="92">
        <v>40181545853</v>
      </c>
      <c r="H51" s="93">
        <v>15130</v>
      </c>
      <c r="I51" s="89">
        <v>84</v>
      </c>
      <c r="J51" s="89" t="s">
        <v>51</v>
      </c>
      <c r="K51" s="89" t="s">
        <v>52</v>
      </c>
      <c r="L51" s="89" t="s">
        <v>53</v>
      </c>
      <c r="M51" s="89" t="s">
        <v>238</v>
      </c>
      <c r="N51" s="89">
        <v>600</v>
      </c>
      <c r="O51" s="94" t="s">
        <v>239</v>
      </c>
      <c r="P51" s="95" t="s">
        <v>158</v>
      </c>
      <c r="Q51" s="145" t="s">
        <v>57</v>
      </c>
      <c r="R51" s="96">
        <v>46178</v>
      </c>
      <c r="S51" s="97"/>
      <c r="T51" s="97" t="s">
        <v>58</v>
      </c>
      <c r="U51" s="97" t="s">
        <v>59</v>
      </c>
      <c r="V51" s="93">
        <v>46139</v>
      </c>
      <c r="W51" s="93">
        <v>46141</v>
      </c>
      <c r="X51" s="93">
        <v>46147</v>
      </c>
      <c r="Y51" s="98"/>
      <c r="Z51" s="89" t="s">
        <v>62</v>
      </c>
      <c r="AA51" s="97">
        <v>46182</v>
      </c>
      <c r="AB51" s="89" t="s">
        <v>63</v>
      </c>
      <c r="AC51" s="120"/>
      <c r="AD51" s="89"/>
      <c r="AE51" s="89"/>
      <c r="AF51" s="99"/>
      <c r="AG51" s="99"/>
      <c r="AH51" s="99"/>
      <c r="AI51" s="100"/>
      <c r="AJ51" s="100" t="s">
        <v>47</v>
      </c>
      <c r="AK51" s="100" t="s">
        <v>47</v>
      </c>
      <c r="AL51" s="45" t="s">
        <v>64</v>
      </c>
      <c r="AM51" s="200" t="str">
        <f>MONTH(B51)&amp;"/"&amp;YEAR(B51)</f>
        <v>4/2026</v>
      </c>
      <c r="AN51" s="45">
        <f>WEEKNUM(B51)-WEEKNUM(EOMONTH(B51,-1)+1)+1</f>
        <v>3</v>
      </c>
      <c r="AO51" s="45" t="str">
        <f>MONTH(R51)&amp;"/"&amp;YEAR(R51)</f>
        <v>6/2026</v>
      </c>
      <c r="AP51" s="45">
        <f>WEEKNUM(R51)-WEEKNUM(EOMONTH(R51,-1)+1)+1</f>
        <v>1</v>
      </c>
      <c r="AQ51" s="45">
        <f>IF(AU51="S",IF(Q51="1. Aceitou o programa",R51-B51,0),0)</f>
        <v>49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4</v>
      </c>
      <c r="AT51" s="45">
        <f>IF(AU51="S",IF(AND(Q51="1. Aceitou o programa",AB51="Realizada"),IFERROR(IF(AA51="",0,AA51-R51),0),0),0)</f>
        <v>4</v>
      </c>
      <c r="AU51" s="45" t="str">
        <f>_xlfn.XLOOKUP(U51,'Lista Suspensa'!$AA$20:$AA$23,'Lista Suspensa'!$AB$20:$AB$23,"N/A")</f>
        <v>S</v>
      </c>
    </row>
    <row r="52" spans="1:47" ht="12" hidden="1" customHeight="1">
      <c r="A52" s="87" t="s">
        <v>47</v>
      </c>
      <c r="B52" s="88">
        <v>46129</v>
      </c>
      <c r="C52" s="89" t="s">
        <v>48</v>
      </c>
      <c r="D52" s="89" t="s">
        <v>49</v>
      </c>
      <c r="E52" s="90">
        <v>93743019</v>
      </c>
      <c r="F52" s="222" t="s">
        <v>240</v>
      </c>
      <c r="G52" s="92">
        <v>68103344834</v>
      </c>
      <c r="H52" s="93">
        <v>20396</v>
      </c>
      <c r="I52" s="89">
        <v>70</v>
      </c>
      <c r="J52" s="89" t="s">
        <v>84</v>
      </c>
      <c r="K52" s="89" t="s">
        <v>52</v>
      </c>
      <c r="L52" s="89" t="s">
        <v>191</v>
      </c>
      <c r="M52" s="89" t="s">
        <v>241</v>
      </c>
      <c r="N52" s="89">
        <v>60</v>
      </c>
      <c r="O52" s="94" t="s">
        <v>242</v>
      </c>
      <c r="P52" s="95" t="s">
        <v>158</v>
      </c>
      <c r="Q52" s="145" t="s">
        <v>57</v>
      </c>
      <c r="R52" s="96">
        <v>46147</v>
      </c>
      <c r="S52" s="97"/>
      <c r="T52" s="97" t="s">
        <v>58</v>
      </c>
      <c r="U52" s="97" t="s">
        <v>59</v>
      </c>
      <c r="V52" s="93">
        <v>46139</v>
      </c>
      <c r="W52" s="93">
        <v>46141</v>
      </c>
      <c r="X52" s="93">
        <v>46147</v>
      </c>
      <c r="Y52" s="98"/>
      <c r="Z52" s="89"/>
      <c r="AA52" s="97"/>
      <c r="AB52" s="89"/>
      <c r="AC52" s="120"/>
      <c r="AD52" s="89"/>
      <c r="AE52" s="89"/>
      <c r="AF52" s="99"/>
      <c r="AG52" s="99"/>
      <c r="AH52" s="99"/>
      <c r="AI52" s="100"/>
      <c r="AJ52" s="100" t="s">
        <v>47</v>
      </c>
      <c r="AK52" s="100" t="s">
        <v>47</v>
      </c>
      <c r="AL52" s="45" t="s">
        <v>64</v>
      </c>
      <c r="AM52" s="200" t="str">
        <f>MONTH(B52)&amp;"/"&amp;YEAR(B52)</f>
        <v>4/2026</v>
      </c>
      <c r="AN52" s="45">
        <f>WEEKNUM(B52)-WEEKNUM(EOMONTH(B52,-1)+1)+1</f>
        <v>3</v>
      </c>
      <c r="AO52" s="45" t="str">
        <f>MONTH(R52)&amp;"/"&amp;YEAR(R52)</f>
        <v>5/2026</v>
      </c>
      <c r="AP52" s="45">
        <f>WEEKNUM(R52)-WEEKNUM(EOMONTH(R52,-1)+1)+1</f>
        <v>2</v>
      </c>
      <c r="AQ52" s="45">
        <f>IF(AU52="S",IF(Q52="1. Aceitou o programa",R52-B52,0),0)</f>
        <v>18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4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hidden="1" customHeight="1">
      <c r="A53" s="87" t="s">
        <v>47</v>
      </c>
      <c r="B53" s="88">
        <v>46134</v>
      </c>
      <c r="C53" s="89" t="s">
        <v>137</v>
      </c>
      <c r="D53" s="89" t="s">
        <v>138</v>
      </c>
      <c r="E53" s="90">
        <v>85076986</v>
      </c>
      <c r="F53" s="222" t="s">
        <v>243</v>
      </c>
      <c r="G53" s="92" t="s">
        <v>244</v>
      </c>
      <c r="H53" s="93">
        <v>21616</v>
      </c>
      <c r="I53" s="89">
        <v>67</v>
      </c>
      <c r="J53" s="89" t="s">
        <v>51</v>
      </c>
      <c r="K53" s="89" t="s">
        <v>52</v>
      </c>
      <c r="L53" s="89" t="s">
        <v>245</v>
      </c>
      <c r="M53" s="89" t="s">
        <v>246</v>
      </c>
      <c r="N53" s="89">
        <v>80</v>
      </c>
      <c r="O53" s="94">
        <v>11915254500</v>
      </c>
      <c r="P53" s="95" t="s">
        <v>158</v>
      </c>
      <c r="Q53" s="145" t="s">
        <v>118</v>
      </c>
      <c r="R53" s="96"/>
      <c r="S53" s="97">
        <v>46150</v>
      </c>
      <c r="T53" s="97" t="s">
        <v>119</v>
      </c>
      <c r="U53" s="97" t="s">
        <v>69</v>
      </c>
      <c r="V53" s="93">
        <v>46139</v>
      </c>
      <c r="W53" s="93">
        <v>46141</v>
      </c>
      <c r="X53" s="93">
        <v>46147</v>
      </c>
      <c r="Y53" s="98"/>
      <c r="Z53" s="89"/>
      <c r="AA53" s="97"/>
      <c r="AB53" s="89"/>
      <c r="AC53" s="120"/>
      <c r="AD53" s="89"/>
      <c r="AE53" s="89"/>
      <c r="AF53" s="99"/>
      <c r="AG53" s="99"/>
      <c r="AH53" s="99"/>
      <c r="AI53" s="100"/>
      <c r="AJ53" s="100" t="s">
        <v>71</v>
      </c>
      <c r="AK53" s="100" t="s">
        <v>47</v>
      </c>
      <c r="AL53" s="45" t="s">
        <v>64</v>
      </c>
      <c r="AM53" s="200" t="str">
        <f>MONTH(B53)&amp;"/"&amp;YEAR(B53)</f>
        <v>4/2026</v>
      </c>
      <c r="AN53" s="45">
        <f>WEEKNUM(B53)-WEEKNUM(EOMONTH(B53,-1)+1)+1</f>
        <v>4</v>
      </c>
      <c r="AO53" s="45" t="str">
        <f>MONTH(R53)&amp;"/"&amp;YEAR(R53)</f>
        <v>1/1900</v>
      </c>
      <c r="AP53" s="45" t="e">
        <f>WEEKNUM(R53)-WEEKNUM(EOMONTH(R53,-1)+1)+1</f>
        <v>#NUM!</v>
      </c>
      <c r="AQ53" s="45">
        <f>IF(AU53="S",IF(Q53="1. Aceitou o programa",R53-B53,0),0)</f>
        <v>0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0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hidden="1" customHeight="1">
      <c r="A54" s="87" t="s">
        <v>47</v>
      </c>
      <c r="B54" s="88">
        <v>46135</v>
      </c>
      <c r="C54" s="89" t="s">
        <v>137</v>
      </c>
      <c r="D54" s="89" t="s">
        <v>138</v>
      </c>
      <c r="E54" s="90">
        <v>451661915</v>
      </c>
      <c r="F54" s="222" t="s">
        <v>247</v>
      </c>
      <c r="G54" s="92" t="s">
        <v>248</v>
      </c>
      <c r="H54" s="93">
        <v>18096</v>
      </c>
      <c r="I54" s="89">
        <v>76</v>
      </c>
      <c r="J54" s="89" t="s">
        <v>84</v>
      </c>
      <c r="K54" s="89" t="s">
        <v>52</v>
      </c>
      <c r="L54" s="89" t="s">
        <v>53</v>
      </c>
      <c r="M54" s="89" t="s">
        <v>249</v>
      </c>
      <c r="N54" s="89">
        <v>100</v>
      </c>
      <c r="O54" s="94">
        <v>11987895932</v>
      </c>
      <c r="P54" s="95" t="s">
        <v>158</v>
      </c>
      <c r="Q54" s="145" t="s">
        <v>57</v>
      </c>
      <c r="R54" s="96">
        <v>46141</v>
      </c>
      <c r="S54" s="97"/>
      <c r="T54" s="97" t="s">
        <v>58</v>
      </c>
      <c r="U54" s="97" t="s">
        <v>59</v>
      </c>
      <c r="V54" s="93">
        <v>46139</v>
      </c>
      <c r="W54" s="93">
        <v>46141</v>
      </c>
      <c r="X54" s="93" t="s">
        <v>60</v>
      </c>
      <c r="Y54" s="98"/>
      <c r="Z54" s="89" t="s">
        <v>62</v>
      </c>
      <c r="AA54" s="97" t="s">
        <v>250</v>
      </c>
      <c r="AB54" s="89" t="s">
        <v>176</v>
      </c>
      <c r="AC54" s="120"/>
      <c r="AD54" s="89"/>
      <c r="AE54" s="89"/>
      <c r="AF54" s="99"/>
      <c r="AG54" s="99"/>
      <c r="AH54" s="99"/>
      <c r="AI54" s="100"/>
      <c r="AJ54" s="100" t="s">
        <v>47</v>
      </c>
      <c r="AK54" s="100" t="s">
        <v>47</v>
      </c>
      <c r="AL54" s="45" t="s">
        <v>64</v>
      </c>
      <c r="AM54" s="200" t="str">
        <f>MONTH(B54)&amp;"/"&amp;YEAR(B54)</f>
        <v>4/2026</v>
      </c>
      <c r="AN54" s="45">
        <f>WEEKNUM(B54)-WEEKNUM(EOMONTH(B54,-1)+1)+1</f>
        <v>4</v>
      </c>
      <c r="AO54" s="45" t="str">
        <f>MONTH(R54)&amp;"/"&amp;YEAR(R54)</f>
        <v>4/2026</v>
      </c>
      <c r="AP54" s="45">
        <f>WEEKNUM(R54)-WEEKNUM(EOMONTH(R54,-1)+1)+1</f>
        <v>5</v>
      </c>
      <c r="AQ54" s="45">
        <f>IF(AU54="S",IF(Q54="1. Aceitou o programa",R54-B54,0),0)</f>
        <v>6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2</v>
      </c>
      <c r="AT54" s="45">
        <f>IF(AU54="S",IF(AND(Q54="1. Aceitou o programa",AB54="Realizada"),IFERROR(IF(AA54="",0,AA54-R54),0),0),0)</f>
        <v>0</v>
      </c>
      <c r="AU54" s="45" t="str">
        <f>_xlfn.XLOOKUP(U54,'Lista Suspensa'!$AA$20:$AA$23,'Lista Suspensa'!$AB$20:$AB$23,"N/A")</f>
        <v>S</v>
      </c>
    </row>
    <row r="55" spans="1:47" ht="12" hidden="1" customHeight="1">
      <c r="A55" s="87" t="s">
        <v>47</v>
      </c>
      <c r="B55" s="88">
        <v>46142</v>
      </c>
      <c r="C55" s="89" t="s">
        <v>137</v>
      </c>
      <c r="D55" s="89" t="s">
        <v>49</v>
      </c>
      <c r="E55" s="90">
        <v>93738820</v>
      </c>
      <c r="F55" s="222" t="s">
        <v>251</v>
      </c>
      <c r="G55" s="92" t="s">
        <v>252</v>
      </c>
      <c r="H55" s="93">
        <v>20383</v>
      </c>
      <c r="I55" s="89">
        <v>70</v>
      </c>
      <c r="J55" s="89" t="s">
        <v>84</v>
      </c>
      <c r="K55" s="89" t="s">
        <v>52</v>
      </c>
      <c r="L55" s="89" t="s">
        <v>53</v>
      </c>
      <c r="M55" s="89"/>
      <c r="N55" s="89">
        <v>110</v>
      </c>
      <c r="O55" s="94">
        <v>11972140877</v>
      </c>
      <c r="P55" s="95" t="s">
        <v>158</v>
      </c>
      <c r="Q55" s="145" t="s">
        <v>57</v>
      </c>
      <c r="R55" s="96">
        <v>46147</v>
      </c>
      <c r="S55" s="97"/>
      <c r="T55" s="97" t="s">
        <v>58</v>
      </c>
      <c r="U55" s="97" t="s">
        <v>59</v>
      </c>
      <c r="V55" s="93">
        <v>46147</v>
      </c>
      <c r="W55" s="93"/>
      <c r="X55" s="93"/>
      <c r="Y55" s="98"/>
      <c r="Z55" s="89" t="s">
        <v>89</v>
      </c>
      <c r="AA55" s="97"/>
      <c r="AB55" s="89"/>
      <c r="AC55" s="120"/>
      <c r="AD55" s="89"/>
      <c r="AE55" s="89"/>
      <c r="AF55" s="99"/>
      <c r="AG55" s="99"/>
      <c r="AH55" s="99"/>
      <c r="AI55" s="100"/>
      <c r="AJ55" s="100" t="s">
        <v>47</v>
      </c>
      <c r="AK55" s="100" t="s">
        <v>47</v>
      </c>
      <c r="AL55" s="45" t="s">
        <v>64</v>
      </c>
      <c r="AM55" s="200" t="str">
        <f>MONTH(B55)&amp;"/"&amp;YEAR(B55)</f>
        <v>4/2026</v>
      </c>
      <c r="AN55" s="45">
        <f>WEEKNUM(B55)-WEEKNUM(EOMONTH(B55,-1)+1)+1</f>
        <v>5</v>
      </c>
      <c r="AO55" s="45" t="str">
        <f>MONTH(R55)&amp;"/"&amp;YEAR(R55)</f>
        <v>5/2026</v>
      </c>
      <c r="AP55" s="45">
        <f>WEEKNUM(R55)-WEEKNUM(EOMONTH(R55,-1)+1)+1</f>
        <v>2</v>
      </c>
      <c r="AQ55" s="45">
        <f>IF(AU55="S",IF(Q55="1. Aceitou o programa",R55-B55,0),0)</f>
        <v>5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0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hidden="1" customHeight="1">
      <c r="A56" s="87" t="s">
        <v>47</v>
      </c>
      <c r="B56" s="88">
        <v>46142</v>
      </c>
      <c r="C56" s="89" t="s">
        <v>137</v>
      </c>
      <c r="D56" s="89" t="s">
        <v>49</v>
      </c>
      <c r="E56" s="90">
        <v>79126705</v>
      </c>
      <c r="F56" s="222" t="s">
        <v>253</v>
      </c>
      <c r="G56" s="92" t="s">
        <v>254</v>
      </c>
      <c r="H56" s="93">
        <v>18920</v>
      </c>
      <c r="I56" s="89">
        <v>74</v>
      </c>
      <c r="J56" s="89" t="s">
        <v>51</v>
      </c>
      <c r="K56" s="89" t="s">
        <v>52</v>
      </c>
      <c r="L56" s="89" t="s">
        <v>53</v>
      </c>
      <c r="M56" s="89"/>
      <c r="N56" s="89">
        <v>80</v>
      </c>
      <c r="O56" s="94">
        <v>11997344236</v>
      </c>
      <c r="P56" s="95" t="s">
        <v>158</v>
      </c>
      <c r="Q56" s="145" t="s">
        <v>57</v>
      </c>
      <c r="R56" s="96">
        <v>46147</v>
      </c>
      <c r="S56" s="97"/>
      <c r="T56" s="97" t="s">
        <v>58</v>
      </c>
      <c r="U56" s="97" t="s">
        <v>59</v>
      </c>
      <c r="V56" s="93">
        <v>46147</v>
      </c>
      <c r="W56" s="93"/>
      <c r="X56" s="93"/>
      <c r="Y56" s="98"/>
      <c r="Z56" s="89" t="s">
        <v>62</v>
      </c>
      <c r="AA56" s="97">
        <v>46183</v>
      </c>
      <c r="AB56" s="89" t="s">
        <v>63</v>
      </c>
      <c r="AC56" s="120"/>
      <c r="AD56" s="89"/>
      <c r="AE56" s="89"/>
      <c r="AF56" s="99"/>
      <c r="AG56" s="99"/>
      <c r="AH56" s="99"/>
      <c r="AI56" s="100"/>
      <c r="AJ56" s="100" t="s">
        <v>47</v>
      </c>
      <c r="AK56" s="100" t="s">
        <v>47</v>
      </c>
      <c r="AL56" s="45" t="s">
        <v>64</v>
      </c>
      <c r="AM56" s="200" t="str">
        <f>MONTH(B56)&amp;"/"&amp;YEAR(B56)</f>
        <v>4/2026</v>
      </c>
      <c r="AN56" s="45">
        <f>WEEKNUM(B56)-WEEKNUM(EOMONTH(B56,-1)+1)+1</f>
        <v>5</v>
      </c>
      <c r="AO56" s="45" t="str">
        <f>MONTH(R56)&amp;"/"&amp;YEAR(R56)</f>
        <v>5/2026</v>
      </c>
      <c r="AP56" s="45">
        <f>WEEKNUM(R56)-WEEKNUM(EOMONTH(R56,-1)+1)+1</f>
        <v>2</v>
      </c>
      <c r="AQ56" s="45">
        <f>IF(AU56="S",IF(Q56="1. Aceitou o programa",R56-B56,0),0)</f>
        <v>5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0</v>
      </c>
      <c r="AT56" s="45">
        <f>IF(AU56="S",IF(AND(Q56="1. Aceitou o programa",AB56="Realizada"),IFERROR(IF(AA56="",0,AA56-R56),0),0),0)</f>
        <v>36</v>
      </c>
      <c r="AU56" s="45" t="str">
        <f>_xlfn.XLOOKUP(U56,'Lista Suspensa'!$AA$20:$AA$23,'Lista Suspensa'!$AB$20:$AB$23,"N/A")</f>
        <v>S</v>
      </c>
    </row>
    <row r="57" spans="1:47" ht="12" hidden="1" customHeight="1">
      <c r="A57" s="87" t="s">
        <v>47</v>
      </c>
      <c r="B57" s="88">
        <v>46148</v>
      </c>
      <c r="C57" s="89" t="s">
        <v>137</v>
      </c>
      <c r="D57" s="89" t="s">
        <v>138</v>
      </c>
      <c r="E57" s="90">
        <v>94946466</v>
      </c>
      <c r="F57" s="222" t="s">
        <v>255</v>
      </c>
      <c r="G57" s="92" t="s">
        <v>256</v>
      </c>
      <c r="H57" s="93">
        <v>20343</v>
      </c>
      <c r="I57" s="89">
        <v>70</v>
      </c>
      <c r="J57" s="89" t="s">
        <v>51</v>
      </c>
      <c r="K57" s="89" t="s">
        <v>52</v>
      </c>
      <c r="L57" s="89" t="s">
        <v>257</v>
      </c>
      <c r="M57" s="89"/>
      <c r="N57" s="89">
        <v>110</v>
      </c>
      <c r="O57" s="94">
        <v>11932729414</v>
      </c>
      <c r="P57" s="95"/>
      <c r="Q57" s="145" t="s">
        <v>57</v>
      </c>
      <c r="R57" s="96">
        <v>46171</v>
      </c>
      <c r="S57" s="97"/>
      <c r="T57" s="97" t="s">
        <v>58</v>
      </c>
      <c r="U57" s="97" t="s">
        <v>59</v>
      </c>
      <c r="V57" s="93">
        <v>46150</v>
      </c>
      <c r="W57" s="93">
        <v>46164</v>
      </c>
      <c r="X57" s="93">
        <v>46170</v>
      </c>
      <c r="Y57" s="98"/>
      <c r="Z57" s="89" t="s">
        <v>62</v>
      </c>
      <c r="AA57" s="97">
        <v>46175</v>
      </c>
      <c r="AB57" s="89" t="s">
        <v>176</v>
      </c>
      <c r="AC57" s="120"/>
      <c r="AD57" s="89"/>
      <c r="AE57" s="89"/>
      <c r="AF57" s="99"/>
      <c r="AG57" s="99"/>
      <c r="AH57" s="99"/>
      <c r="AI57" s="100"/>
      <c r="AJ57" s="100" t="s">
        <v>47</v>
      </c>
      <c r="AK57" s="100" t="s">
        <v>47</v>
      </c>
      <c r="AL57" s="45" t="s">
        <v>64</v>
      </c>
      <c r="AM57" s="200" t="str">
        <f>MONTH(B57)&amp;"/"&amp;YEAR(B57)</f>
        <v>5/2026</v>
      </c>
      <c r="AN57" s="45">
        <f>WEEKNUM(B57)-WEEKNUM(EOMONTH(B57,-1)+1)+1</f>
        <v>2</v>
      </c>
      <c r="AO57" s="45" t="str">
        <f>MONTH(R57)&amp;"/"&amp;YEAR(R57)</f>
        <v>5/2026</v>
      </c>
      <c r="AP57" s="45">
        <f>WEEKNUM(R57)-WEEKNUM(EOMONTH(R57,-1)+1)+1</f>
        <v>5</v>
      </c>
      <c r="AQ57" s="45">
        <f>IF(AU57="S",IF(Q57="1. Aceitou o programa",R57-B57,0),0)</f>
        <v>23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10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hidden="1" customHeight="1">
      <c r="A58" s="87" t="s">
        <v>47</v>
      </c>
      <c r="B58" s="88">
        <v>46148</v>
      </c>
      <c r="C58" s="89" t="s">
        <v>48</v>
      </c>
      <c r="D58" s="89" t="s">
        <v>49</v>
      </c>
      <c r="E58" s="90">
        <v>772769613</v>
      </c>
      <c r="F58" s="222" t="s">
        <v>258</v>
      </c>
      <c r="G58" s="92">
        <v>76930297887</v>
      </c>
      <c r="H58" s="93">
        <v>19105</v>
      </c>
      <c r="I58" s="89">
        <v>74</v>
      </c>
      <c r="J58" s="89" t="s">
        <v>84</v>
      </c>
      <c r="K58" s="89" t="s">
        <v>52</v>
      </c>
      <c r="L58" s="89" t="s">
        <v>53</v>
      </c>
      <c r="M58" s="89" t="s">
        <v>259</v>
      </c>
      <c r="N58" s="89">
        <v>300</v>
      </c>
      <c r="O58" s="94" t="s">
        <v>260</v>
      </c>
      <c r="P58" s="95"/>
      <c r="Q58" s="145" t="s">
        <v>57</v>
      </c>
      <c r="R58" s="96">
        <v>46171</v>
      </c>
      <c r="S58" s="97"/>
      <c r="T58" s="97" t="s">
        <v>58</v>
      </c>
      <c r="U58" s="97" t="s">
        <v>59</v>
      </c>
      <c r="V58" s="93">
        <v>46150</v>
      </c>
      <c r="W58" s="93">
        <v>46164</v>
      </c>
      <c r="X58" s="93">
        <v>46170</v>
      </c>
      <c r="Y58" s="98"/>
      <c r="Z58" s="89" t="s">
        <v>62</v>
      </c>
      <c r="AA58" s="97">
        <v>46175</v>
      </c>
      <c r="AB58" s="89" t="s">
        <v>176</v>
      </c>
      <c r="AC58" s="120"/>
      <c r="AD58" s="89"/>
      <c r="AE58" s="89"/>
      <c r="AF58" s="99"/>
      <c r="AG58" s="99"/>
      <c r="AH58" s="99"/>
      <c r="AI58" s="100"/>
      <c r="AJ58" s="100" t="s">
        <v>47</v>
      </c>
      <c r="AK58" s="100" t="s">
        <v>47</v>
      </c>
      <c r="AL58" s="45" t="s">
        <v>64</v>
      </c>
      <c r="AM58" s="200" t="str">
        <f>MONTH(B58)&amp;"/"&amp;YEAR(B58)</f>
        <v>5/2026</v>
      </c>
      <c r="AN58" s="45">
        <f>WEEKNUM(B58)-WEEKNUM(EOMONTH(B58,-1)+1)+1</f>
        <v>2</v>
      </c>
      <c r="AO58" s="45" t="str">
        <f>MONTH(R58)&amp;"/"&amp;YEAR(R58)</f>
        <v>5/2026</v>
      </c>
      <c r="AP58" s="45">
        <f>WEEKNUM(R58)-WEEKNUM(EOMONTH(R58,-1)+1)+1</f>
        <v>5</v>
      </c>
      <c r="AQ58" s="45">
        <f>IF(AU58="S",IF(Q58="1. Aceitou o programa",R58-B58,0),0)</f>
        <v>23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10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hidden="1" customHeight="1">
      <c r="A59" s="87" t="s">
        <v>47</v>
      </c>
      <c r="B59" s="88">
        <v>46149</v>
      </c>
      <c r="C59" s="89" t="s">
        <v>48</v>
      </c>
      <c r="D59" s="89" t="s">
        <v>49</v>
      </c>
      <c r="E59" s="90">
        <v>452056845</v>
      </c>
      <c r="F59" s="222" t="s">
        <v>261</v>
      </c>
      <c r="G59" s="92">
        <v>7752423815</v>
      </c>
      <c r="H59" s="93">
        <v>13563</v>
      </c>
      <c r="I59" s="89">
        <v>89</v>
      </c>
      <c r="J59" s="89" t="s">
        <v>51</v>
      </c>
      <c r="K59" s="89" t="s">
        <v>52</v>
      </c>
      <c r="L59" s="89" t="s">
        <v>53</v>
      </c>
      <c r="M59" s="89" t="s">
        <v>262</v>
      </c>
      <c r="N59" s="89">
        <v>400</v>
      </c>
      <c r="O59" s="94" t="s">
        <v>263</v>
      </c>
      <c r="P59" s="95"/>
      <c r="Q59" s="145" t="s">
        <v>57</v>
      </c>
      <c r="R59" s="96">
        <v>46171</v>
      </c>
      <c r="S59" s="97"/>
      <c r="T59" s="97" t="s">
        <v>58</v>
      </c>
      <c r="U59" s="97" t="s">
        <v>59</v>
      </c>
      <c r="V59" s="93">
        <v>46150</v>
      </c>
      <c r="W59" s="93">
        <v>46164</v>
      </c>
      <c r="X59" s="93">
        <v>46170</v>
      </c>
      <c r="Y59" s="98"/>
      <c r="Z59" s="89" t="s">
        <v>62</v>
      </c>
      <c r="AA59" s="97">
        <v>46175</v>
      </c>
      <c r="AB59" s="89" t="s">
        <v>176</v>
      </c>
      <c r="AC59" s="120"/>
      <c r="AD59" s="89"/>
      <c r="AE59" s="89"/>
      <c r="AF59" s="99"/>
      <c r="AG59" s="99"/>
      <c r="AH59" s="99"/>
      <c r="AI59" s="100"/>
      <c r="AJ59" s="100" t="s">
        <v>47</v>
      </c>
      <c r="AK59" s="100" t="s">
        <v>47</v>
      </c>
      <c r="AL59" s="45" t="s">
        <v>64</v>
      </c>
      <c r="AM59" s="200" t="str">
        <f>MONTH(B59)&amp;"/"&amp;YEAR(B59)</f>
        <v>5/2026</v>
      </c>
      <c r="AN59" s="45">
        <f>WEEKNUM(B59)-WEEKNUM(EOMONTH(B59,-1)+1)+1</f>
        <v>2</v>
      </c>
      <c r="AO59" s="45" t="str">
        <f>MONTH(R59)&amp;"/"&amp;YEAR(R59)</f>
        <v>5/2026</v>
      </c>
      <c r="AP59" s="45">
        <f>WEEKNUM(R59)-WEEKNUM(EOMONTH(R59,-1)+1)+1</f>
        <v>5</v>
      </c>
      <c r="AQ59" s="45">
        <f>IF(AU59="S",IF(Q59="1. Aceitou o programa",R59-B59,0),0)</f>
        <v>22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10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hidden="1" customHeight="1">
      <c r="A60" s="87" t="s">
        <v>47</v>
      </c>
      <c r="B60" s="88">
        <v>46163</v>
      </c>
      <c r="C60" s="89" t="s">
        <v>137</v>
      </c>
      <c r="D60" s="89" t="s">
        <v>49</v>
      </c>
      <c r="E60" s="90">
        <v>82846593</v>
      </c>
      <c r="F60" s="222" t="s">
        <v>264</v>
      </c>
      <c r="G60" s="92" t="s">
        <v>265</v>
      </c>
      <c r="H60" s="93">
        <v>27788</v>
      </c>
      <c r="I60" s="89">
        <v>50</v>
      </c>
      <c r="J60" s="89" t="s">
        <v>51</v>
      </c>
      <c r="K60" s="89" t="s">
        <v>52</v>
      </c>
      <c r="L60" s="89" t="s">
        <v>266</v>
      </c>
      <c r="M60" s="89" t="s">
        <v>267</v>
      </c>
      <c r="N60" s="89">
        <v>40</v>
      </c>
      <c r="O60" s="94">
        <v>11973677390</v>
      </c>
      <c r="P60" s="95"/>
      <c r="Q60" s="145" t="s">
        <v>268</v>
      </c>
      <c r="R60" s="96"/>
      <c r="S60" s="97"/>
      <c r="T60" s="97" t="s">
        <v>119</v>
      </c>
      <c r="U60" s="97" t="s">
        <v>269</v>
      </c>
      <c r="V60" s="93">
        <v>46164</v>
      </c>
      <c r="W60" s="93">
        <v>46170</v>
      </c>
      <c r="X60" s="93"/>
      <c r="Y60" s="98"/>
      <c r="Z60" s="89"/>
      <c r="AA60" s="97"/>
      <c r="AB60" s="89"/>
      <c r="AC60" s="120"/>
      <c r="AD60" s="89"/>
      <c r="AE60" s="89"/>
      <c r="AF60" s="99"/>
      <c r="AG60" s="99"/>
      <c r="AH60" s="99"/>
      <c r="AI60" s="100"/>
      <c r="AJ60" s="100" t="s">
        <v>233</v>
      </c>
      <c r="AK60" s="100" t="s">
        <v>47</v>
      </c>
      <c r="AL60" s="45" t="s">
        <v>64</v>
      </c>
      <c r="AM60" s="200" t="str">
        <f>MONTH(B60)&amp;"/"&amp;YEAR(B60)</f>
        <v>5/2026</v>
      </c>
      <c r="AN60" s="45">
        <f>WEEKNUM(B60)-WEEKNUM(EOMONTH(B60,-1)+1)+1</f>
        <v>4</v>
      </c>
      <c r="AO60" s="45" t="str">
        <f>MONTH(R60)&amp;"/"&amp;YEAR(R60)</f>
        <v>1/1900</v>
      </c>
      <c r="AP60" s="45" t="e">
        <f>WEEKNUM(R60)-WEEKNUM(EOMONTH(R60,-1)+1)+1</f>
        <v>#NUM!</v>
      </c>
      <c r="AQ60" s="45">
        <f>IF(AU60="S",IF(Q60="1. Aceitou o programa",R60-B60,0),0)</f>
        <v>0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0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hidden="1" customHeight="1">
      <c r="A61" s="87" t="s">
        <v>47</v>
      </c>
      <c r="B61" s="88">
        <v>46163</v>
      </c>
      <c r="C61" s="89" t="s">
        <v>137</v>
      </c>
      <c r="D61" s="89" t="s">
        <v>49</v>
      </c>
      <c r="E61" s="90">
        <v>86176281</v>
      </c>
      <c r="F61" s="222" t="s">
        <v>270</v>
      </c>
      <c r="G61" s="92" t="s">
        <v>271</v>
      </c>
      <c r="H61" s="93">
        <v>22972</v>
      </c>
      <c r="I61" s="89">
        <v>63</v>
      </c>
      <c r="J61" s="89" t="s">
        <v>51</v>
      </c>
      <c r="K61" s="89" t="s">
        <v>52</v>
      </c>
      <c r="L61" s="89" t="s">
        <v>53</v>
      </c>
      <c r="M61" s="89" t="s">
        <v>272</v>
      </c>
      <c r="N61" s="89">
        <v>60</v>
      </c>
      <c r="O61" s="94">
        <v>11996737930</v>
      </c>
      <c r="P61" s="95"/>
      <c r="Q61" s="145" t="s">
        <v>57</v>
      </c>
      <c r="R61" s="96">
        <v>46178</v>
      </c>
      <c r="S61" s="97"/>
      <c r="T61" s="97" t="s">
        <v>58</v>
      </c>
      <c r="U61" s="97" t="s">
        <v>59</v>
      </c>
      <c r="V61" s="93">
        <v>46164</v>
      </c>
      <c r="W61" s="93">
        <v>46170</v>
      </c>
      <c r="X61" s="93"/>
      <c r="Y61" s="98"/>
      <c r="Z61" s="89" t="s">
        <v>62</v>
      </c>
      <c r="AA61" s="97">
        <v>46190</v>
      </c>
      <c r="AB61" s="89"/>
      <c r="AC61" s="120"/>
      <c r="AD61" s="89"/>
      <c r="AE61" s="89"/>
      <c r="AF61" s="99"/>
      <c r="AG61" s="99"/>
      <c r="AH61" s="99"/>
      <c r="AI61" s="100"/>
      <c r="AJ61" s="100" t="s">
        <v>47</v>
      </c>
      <c r="AK61" s="100" t="s">
        <v>47</v>
      </c>
      <c r="AL61" s="45" t="s">
        <v>64</v>
      </c>
      <c r="AM61" s="200" t="str">
        <f>MONTH(B61)&amp;"/"&amp;YEAR(B61)</f>
        <v>5/2026</v>
      </c>
      <c r="AN61" s="45">
        <f>WEEKNUM(B61)-WEEKNUM(EOMONTH(B61,-1)+1)+1</f>
        <v>4</v>
      </c>
      <c r="AO61" s="45" t="str">
        <f>MONTH(R61)&amp;"/"&amp;YEAR(R61)</f>
        <v>6/2026</v>
      </c>
      <c r="AP61" s="45">
        <f>WEEKNUM(R61)-WEEKNUM(EOMONTH(R61,-1)+1)+1</f>
        <v>1</v>
      </c>
      <c r="AQ61" s="45">
        <f>IF(AU61="S",IF(Q61="1. Aceitou o programa",R61-B61,0),0)</f>
        <v>15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6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hidden="1" customHeight="1">
      <c r="A62" s="87" t="s">
        <v>47</v>
      </c>
      <c r="B62" s="88">
        <v>46175</v>
      </c>
      <c r="C62" s="89" t="s">
        <v>273</v>
      </c>
      <c r="D62" s="89" t="s">
        <v>49</v>
      </c>
      <c r="E62" s="112">
        <v>84371438</v>
      </c>
      <c r="F62" s="222" t="s">
        <v>274</v>
      </c>
      <c r="G62" s="113" t="s">
        <v>275</v>
      </c>
      <c r="H62" s="98">
        <v>36186</v>
      </c>
      <c r="I62" s="92"/>
      <c r="J62" s="114" t="s">
        <v>51</v>
      </c>
      <c r="K62" s="89" t="s">
        <v>52</v>
      </c>
      <c r="L62" s="89" t="s">
        <v>53</v>
      </c>
      <c r="M62" s="89"/>
      <c r="N62" s="89">
        <v>60</v>
      </c>
      <c r="O62" s="91">
        <v>11940323072</v>
      </c>
      <c r="P62" s="95"/>
      <c r="Q62" s="145" t="s">
        <v>57</v>
      </c>
      <c r="R62" s="121">
        <v>46178</v>
      </c>
      <c r="S62" s="97"/>
      <c r="T62" s="97" t="s">
        <v>58</v>
      </c>
      <c r="U62" s="97" t="s">
        <v>59</v>
      </c>
      <c r="V62" s="98">
        <v>46181</v>
      </c>
      <c r="W62" s="98"/>
      <c r="X62" s="98"/>
      <c r="Y62" s="98"/>
      <c r="Z62" s="89" t="s">
        <v>62</v>
      </c>
      <c r="AA62" s="122">
        <v>46190</v>
      </c>
      <c r="AB62" s="89"/>
      <c r="AC62" s="120"/>
      <c r="AD62" s="89"/>
      <c r="AE62" s="89"/>
      <c r="AF62" s="119"/>
      <c r="AG62" s="119"/>
      <c r="AH62" s="119"/>
      <c r="AI62" s="100"/>
      <c r="AJ62" s="100" t="s">
        <v>47</v>
      </c>
      <c r="AK62" s="100" t="s">
        <v>47</v>
      </c>
      <c r="AL62" s="45" t="s">
        <v>64</v>
      </c>
      <c r="AM62" s="200" t="str">
        <f>MONTH(B62)&amp;"/"&amp;YEAR(B62)</f>
        <v>6/2026</v>
      </c>
      <c r="AN62" s="45">
        <f>WEEKNUM(B62)-WEEKNUM(EOMONTH(B62,-1)+1)+1</f>
        <v>1</v>
      </c>
      <c r="AO62" s="45" t="str">
        <f>MONTH(R62)&amp;"/"&amp;YEAR(R62)</f>
        <v>6/2026</v>
      </c>
      <c r="AP62" s="45">
        <f>WEEKNUM(R62)-WEEKNUM(EOMONTH(R62,-1)+1)+1</f>
        <v>1</v>
      </c>
      <c r="AQ62" s="45">
        <f>IF(AU62="S",IF(Q62="1. Aceitou o programa",R62-B62,0),0)</f>
        <v>3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0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hidden="1" customHeight="1">
      <c r="A63" s="87" t="s">
        <v>47</v>
      </c>
      <c r="B63" s="88">
        <v>46181</v>
      </c>
      <c r="C63" s="89" t="s">
        <v>273</v>
      </c>
      <c r="D63" s="89" t="s">
        <v>49</v>
      </c>
      <c r="E63" s="112">
        <v>93860868</v>
      </c>
      <c r="F63" s="222" t="s">
        <v>276</v>
      </c>
      <c r="G63" s="113" t="s">
        <v>277</v>
      </c>
      <c r="H63" s="98">
        <v>28793</v>
      </c>
      <c r="I63" s="92"/>
      <c r="J63" s="89" t="s">
        <v>84</v>
      </c>
      <c r="K63" s="89" t="s">
        <v>52</v>
      </c>
      <c r="L63" s="89" t="s">
        <v>53</v>
      </c>
      <c r="M63" s="89"/>
      <c r="N63" s="89">
        <v>60</v>
      </c>
      <c r="O63" s="91">
        <v>11981291567</v>
      </c>
      <c r="P63" s="95"/>
      <c r="Q63" s="145" t="s">
        <v>57</v>
      </c>
      <c r="R63" s="122">
        <v>46178</v>
      </c>
      <c r="S63" s="97"/>
      <c r="T63" s="97" t="s">
        <v>58</v>
      </c>
      <c r="U63" s="97" t="s">
        <v>59</v>
      </c>
      <c r="V63" s="98">
        <v>46181</v>
      </c>
      <c r="W63" s="98"/>
      <c r="X63" s="98"/>
      <c r="Y63" s="98"/>
      <c r="Z63" s="89" t="s">
        <v>62</v>
      </c>
      <c r="AA63" s="122">
        <v>46189</v>
      </c>
      <c r="AB63" s="89"/>
      <c r="AC63" s="120"/>
      <c r="AD63" s="89"/>
      <c r="AE63" s="89"/>
      <c r="AF63" s="119"/>
      <c r="AG63" s="119"/>
      <c r="AH63" s="119"/>
      <c r="AI63" s="100"/>
      <c r="AJ63" s="100" t="s">
        <v>47</v>
      </c>
      <c r="AK63" s="100" t="s">
        <v>47</v>
      </c>
      <c r="AU63" s="45"/>
    </row>
    <row r="64" spans="1:47" ht="12" hidden="1" customHeight="1">
      <c r="A64" s="87" t="s">
        <v>47</v>
      </c>
      <c r="B64" s="88">
        <v>46181</v>
      </c>
      <c r="C64" s="89" t="s">
        <v>273</v>
      </c>
      <c r="D64" s="89" t="s">
        <v>49</v>
      </c>
      <c r="E64" s="112">
        <v>93185615</v>
      </c>
      <c r="F64" s="222" t="s">
        <v>278</v>
      </c>
      <c r="G64" s="113" t="s">
        <v>279</v>
      </c>
      <c r="H64" s="98">
        <v>26448</v>
      </c>
      <c r="I64" s="92"/>
      <c r="J64" s="89" t="s">
        <v>84</v>
      </c>
      <c r="K64" s="89" t="s">
        <v>52</v>
      </c>
      <c r="L64" s="89" t="s">
        <v>53</v>
      </c>
      <c r="M64" s="89"/>
      <c r="N64" s="87">
        <v>120</v>
      </c>
      <c r="O64" s="91">
        <v>11971414270</v>
      </c>
      <c r="P64" s="95"/>
      <c r="Q64" s="145" t="s">
        <v>268</v>
      </c>
      <c r="R64" s="122"/>
      <c r="S64" s="97"/>
      <c r="T64" s="97" t="s">
        <v>119</v>
      </c>
      <c r="U64" s="97" t="s">
        <v>269</v>
      </c>
      <c r="V64" s="98">
        <v>46181</v>
      </c>
      <c r="W64" s="98"/>
      <c r="X64" s="98"/>
      <c r="Y64" s="98"/>
      <c r="Z64" s="89"/>
      <c r="AA64" s="122"/>
      <c r="AB64" s="89"/>
      <c r="AC64" s="120"/>
      <c r="AD64" s="89"/>
      <c r="AE64" s="89"/>
      <c r="AF64" s="119"/>
      <c r="AG64" s="119"/>
      <c r="AH64" s="119"/>
      <c r="AI64" s="100"/>
      <c r="AJ64" s="100"/>
      <c r="AK64" s="100"/>
      <c r="AU64" s="45"/>
    </row>
    <row r="65" spans="1:47" ht="12" customHeight="1">
      <c r="A65" s="87" t="s">
        <v>47</v>
      </c>
      <c r="B65" s="88">
        <v>46182</v>
      </c>
      <c r="C65" s="89" t="s">
        <v>273</v>
      </c>
      <c r="D65" s="89" t="s">
        <v>49</v>
      </c>
      <c r="E65" s="112">
        <v>451603141</v>
      </c>
      <c r="F65" s="222" t="s">
        <v>280</v>
      </c>
      <c r="G65" s="113"/>
      <c r="H65" s="98">
        <v>13589</v>
      </c>
      <c r="I65" s="92"/>
      <c r="J65" s="114" t="s">
        <v>51</v>
      </c>
      <c r="K65" s="89" t="s">
        <v>52</v>
      </c>
      <c r="L65" s="89" t="s">
        <v>53</v>
      </c>
      <c r="M65" s="89" t="s">
        <v>281</v>
      </c>
      <c r="N65" s="87">
        <v>400</v>
      </c>
      <c r="O65" s="91">
        <v>11992160849</v>
      </c>
      <c r="P65" s="95"/>
      <c r="Q65" s="145" t="s">
        <v>57</v>
      </c>
      <c r="R65" s="122">
        <v>46189</v>
      </c>
      <c r="S65" s="97"/>
      <c r="T65" s="97" t="s">
        <v>58</v>
      </c>
      <c r="U65" s="97" t="s">
        <v>59</v>
      </c>
      <c r="V65" s="98">
        <v>46188</v>
      </c>
      <c r="W65" s="98"/>
      <c r="X65" s="98"/>
      <c r="Y65" s="98"/>
      <c r="Z65" s="89" t="s">
        <v>62</v>
      </c>
      <c r="AA65" s="122">
        <v>46196</v>
      </c>
      <c r="AB65" s="89"/>
      <c r="AC65" s="120"/>
      <c r="AD65" s="89"/>
      <c r="AE65" s="89"/>
      <c r="AF65" s="119"/>
      <c r="AG65" s="119"/>
      <c r="AH65" s="119"/>
      <c r="AI65" s="100"/>
      <c r="AJ65" s="100" t="s">
        <v>47</v>
      </c>
      <c r="AK65" s="100"/>
      <c r="AU65" s="45"/>
    </row>
    <row r="66" spans="1:47" ht="12" customHeight="1">
      <c r="A66" s="87" t="s">
        <v>47</v>
      </c>
      <c r="B66" s="88">
        <v>46182</v>
      </c>
      <c r="C66" s="89" t="s">
        <v>273</v>
      </c>
      <c r="D66" s="89" t="s">
        <v>49</v>
      </c>
      <c r="E66" s="112">
        <v>87801677</v>
      </c>
      <c r="F66" s="222" t="s">
        <v>282</v>
      </c>
      <c r="G66" s="113" t="s">
        <v>283</v>
      </c>
      <c r="H66" s="98">
        <v>30312</v>
      </c>
      <c r="I66" s="92"/>
      <c r="J66" s="114" t="s">
        <v>51</v>
      </c>
      <c r="K66" s="89" t="s">
        <v>52</v>
      </c>
      <c r="L66" s="89" t="s">
        <v>53</v>
      </c>
      <c r="M66" s="89" t="s">
        <v>284</v>
      </c>
      <c r="N66" s="87">
        <v>100</v>
      </c>
      <c r="O66" s="91">
        <v>11982150350</v>
      </c>
      <c r="P66" s="95"/>
      <c r="Q66" s="145" t="s">
        <v>57</v>
      </c>
      <c r="R66" s="121">
        <v>46189</v>
      </c>
      <c r="S66" s="97"/>
      <c r="T66" s="97" t="s">
        <v>58</v>
      </c>
      <c r="U66" s="97" t="s">
        <v>59</v>
      </c>
      <c r="V66" s="98">
        <v>46188</v>
      </c>
      <c r="W66" s="98"/>
      <c r="X66" s="98"/>
      <c r="Y66" s="98"/>
      <c r="Z66" s="89" t="s">
        <v>62</v>
      </c>
      <c r="AA66" s="122">
        <v>46197</v>
      </c>
      <c r="AB66" s="89"/>
      <c r="AC66" s="120"/>
      <c r="AD66" s="89"/>
      <c r="AE66" s="89"/>
      <c r="AF66" s="119"/>
      <c r="AG66" s="119"/>
      <c r="AH66" s="119"/>
      <c r="AI66" s="100"/>
      <c r="AJ66" s="100" t="s">
        <v>47</v>
      </c>
      <c r="AK66" s="100"/>
      <c r="AU66" s="45"/>
    </row>
    <row r="67" spans="1:47" ht="12" hidden="1" customHeight="1">
      <c r="A67" s="87" t="s">
        <v>47</v>
      </c>
      <c r="B67" s="88">
        <v>46189</v>
      </c>
      <c r="C67" s="89" t="s">
        <v>273</v>
      </c>
      <c r="D67" s="89" t="s">
        <v>285</v>
      </c>
      <c r="E67" s="112">
        <v>93843146</v>
      </c>
      <c r="F67" s="222" t="s">
        <v>286</v>
      </c>
      <c r="G67" s="113" t="s">
        <v>287</v>
      </c>
      <c r="H67" s="98">
        <v>24981</v>
      </c>
      <c r="I67" s="92"/>
      <c r="J67" s="114" t="s">
        <v>51</v>
      </c>
      <c r="K67" s="89" t="s">
        <v>52</v>
      </c>
      <c r="L67" s="89" t="s">
        <v>53</v>
      </c>
      <c r="M67" s="89" t="s">
        <v>288</v>
      </c>
      <c r="N67" s="87">
        <v>60</v>
      </c>
      <c r="O67" s="91">
        <v>11946445094</v>
      </c>
      <c r="P67" s="95"/>
      <c r="Q67" s="145"/>
      <c r="R67" s="121"/>
      <c r="S67" s="97"/>
      <c r="T67" s="97"/>
      <c r="U67" s="97"/>
      <c r="V67" s="98"/>
      <c r="W67" s="98"/>
      <c r="X67" s="98"/>
      <c r="Y67" s="98"/>
      <c r="Z67" s="89"/>
      <c r="AA67" s="122"/>
      <c r="AB67" s="89"/>
      <c r="AC67" s="120"/>
      <c r="AD67" s="89"/>
      <c r="AE67" s="89"/>
      <c r="AF67" s="119"/>
      <c r="AG67" s="119"/>
      <c r="AH67" s="119"/>
      <c r="AI67" s="100"/>
      <c r="AJ67" s="100"/>
      <c r="AK67" s="100"/>
      <c r="AU67" s="45"/>
    </row>
    <row r="68" spans="1:47" ht="12" hidden="1" customHeight="1">
      <c r="A68" s="87" t="s">
        <v>47</v>
      </c>
      <c r="B68" s="88">
        <v>46189</v>
      </c>
      <c r="C68" s="89" t="s">
        <v>273</v>
      </c>
      <c r="D68" s="89" t="s">
        <v>285</v>
      </c>
      <c r="E68" s="112">
        <v>800071174</v>
      </c>
      <c r="F68" s="222" t="s">
        <v>289</v>
      </c>
      <c r="G68" s="113" t="s">
        <v>290</v>
      </c>
      <c r="H68" s="98">
        <v>19165</v>
      </c>
      <c r="I68" s="92"/>
      <c r="J68" s="114" t="s">
        <v>51</v>
      </c>
      <c r="K68" s="89" t="s">
        <v>52</v>
      </c>
      <c r="L68" s="89" t="s">
        <v>53</v>
      </c>
      <c r="M68" s="89" t="s">
        <v>291</v>
      </c>
      <c r="N68" s="87">
        <v>200</v>
      </c>
      <c r="O68" s="91">
        <v>11974116136</v>
      </c>
      <c r="P68" s="95"/>
      <c r="Q68" s="145"/>
      <c r="R68" s="122"/>
      <c r="S68" s="97"/>
      <c r="T68" s="97"/>
      <c r="U68" s="97"/>
      <c r="V68" s="98"/>
      <c r="W68" s="98"/>
      <c r="X68" s="98"/>
      <c r="Y68" s="98"/>
      <c r="Z68" s="89"/>
      <c r="AA68" s="122"/>
      <c r="AB68" s="89"/>
      <c r="AC68" s="120"/>
      <c r="AD68" s="89"/>
      <c r="AE68" s="89"/>
      <c r="AF68" s="119"/>
      <c r="AG68" s="119"/>
      <c r="AH68" s="119"/>
      <c r="AI68" s="100"/>
      <c r="AJ68" s="100"/>
      <c r="AK68" s="100"/>
      <c r="AU68" s="45"/>
    </row>
    <row r="69" spans="1:47" ht="12" hidden="1" customHeight="1">
      <c r="A69" s="87" t="s">
        <v>47</v>
      </c>
      <c r="B69" s="88">
        <v>46189</v>
      </c>
      <c r="C69" s="89" t="s">
        <v>273</v>
      </c>
      <c r="D69" s="89" t="s">
        <v>285</v>
      </c>
      <c r="E69" s="112">
        <v>82709829</v>
      </c>
      <c r="F69" s="222" t="s">
        <v>292</v>
      </c>
      <c r="G69" s="113" t="s">
        <v>293</v>
      </c>
      <c r="H69" s="98">
        <v>24504</v>
      </c>
      <c r="I69" s="92"/>
      <c r="J69" s="114" t="s">
        <v>51</v>
      </c>
      <c r="K69" s="89" t="s">
        <v>52</v>
      </c>
      <c r="L69" s="89" t="s">
        <v>53</v>
      </c>
      <c r="M69" s="89" t="s">
        <v>294</v>
      </c>
      <c r="N69" s="87">
        <v>40</v>
      </c>
      <c r="O69" s="91">
        <v>11968724929</v>
      </c>
      <c r="P69" s="95"/>
      <c r="Q69" s="145"/>
      <c r="R69" s="122"/>
      <c r="S69" s="97"/>
      <c r="T69" s="97"/>
      <c r="U69" s="97"/>
      <c r="V69" s="98"/>
      <c r="W69" s="98"/>
      <c r="X69" s="98"/>
      <c r="Y69" s="98"/>
      <c r="Z69" s="89"/>
      <c r="AA69" s="122"/>
      <c r="AB69" s="89"/>
      <c r="AC69" s="120"/>
      <c r="AD69" s="89"/>
      <c r="AE69" s="89"/>
      <c r="AF69" s="119"/>
      <c r="AG69" s="119"/>
      <c r="AH69" s="119"/>
      <c r="AI69" s="100"/>
      <c r="AJ69" s="100"/>
      <c r="AK69" s="100"/>
      <c r="AU69" s="45"/>
    </row>
    <row r="70" spans="1:47" ht="12" hidden="1" customHeight="1">
      <c r="A70" s="87" t="s">
        <v>47</v>
      </c>
      <c r="B70" s="88">
        <v>46191</v>
      </c>
      <c r="C70" s="89" t="s">
        <v>273</v>
      </c>
      <c r="D70" s="89" t="s">
        <v>285</v>
      </c>
      <c r="E70" s="112">
        <v>93514487</v>
      </c>
      <c r="F70" s="222" t="s">
        <v>295</v>
      </c>
      <c r="G70" s="113" t="s">
        <v>296</v>
      </c>
      <c r="H70" s="98">
        <v>22978</v>
      </c>
      <c r="I70" s="92"/>
      <c r="J70" s="114" t="s">
        <v>51</v>
      </c>
      <c r="K70" s="89" t="s">
        <v>52</v>
      </c>
      <c r="L70" s="89" t="s">
        <v>53</v>
      </c>
      <c r="M70" s="89" t="s">
        <v>297</v>
      </c>
      <c r="N70" s="87">
        <v>60</v>
      </c>
      <c r="O70" s="91">
        <v>11987477034</v>
      </c>
      <c r="P70" s="95"/>
      <c r="Q70" s="145"/>
      <c r="R70" s="122"/>
      <c r="S70" s="97"/>
      <c r="T70" s="97"/>
      <c r="U70" s="97"/>
      <c r="V70" s="98"/>
      <c r="W70" s="98"/>
      <c r="X70" s="98"/>
      <c r="Y70" s="98"/>
      <c r="Z70" s="89"/>
      <c r="AA70" s="122"/>
      <c r="AB70" s="89"/>
      <c r="AC70" s="120"/>
      <c r="AD70" s="89"/>
      <c r="AE70" s="89"/>
      <c r="AF70" s="119"/>
      <c r="AG70" s="119"/>
      <c r="AH70" s="119"/>
      <c r="AI70" s="100"/>
      <c r="AJ70" s="100"/>
      <c r="AK70" s="100"/>
      <c r="AU70" s="45"/>
    </row>
    <row r="71" spans="1:47" ht="12" customHeight="1">
      <c r="A71" s="87"/>
      <c r="B71" s="88"/>
      <c r="C71" s="89"/>
      <c r="D71" s="89"/>
      <c r="E71" s="112"/>
      <c r="F71" s="222"/>
      <c r="G71" s="113"/>
      <c r="H71" s="98"/>
      <c r="I71" s="92"/>
      <c r="J71" s="114"/>
      <c r="K71" s="89"/>
      <c r="L71" s="89"/>
      <c r="M71" s="89"/>
      <c r="N71" s="87"/>
      <c r="O71" s="91"/>
      <c r="P71" s="95"/>
      <c r="Q71" s="145"/>
      <c r="R71" s="121"/>
      <c r="S71" s="97"/>
      <c r="T71" s="97"/>
      <c r="U71" s="97"/>
      <c r="V71" s="98"/>
      <c r="W71" s="98"/>
      <c r="X71" s="118"/>
      <c r="Y71" s="98"/>
      <c r="Z71" s="89"/>
      <c r="AA71" s="122"/>
      <c r="AB71" s="89"/>
      <c r="AC71" s="120"/>
      <c r="AD71" s="89"/>
      <c r="AE71" s="89"/>
      <c r="AF71" s="119"/>
      <c r="AG71" s="119"/>
      <c r="AH71" s="119"/>
      <c r="AI71" s="100"/>
      <c r="AJ71" s="100"/>
      <c r="AK71" s="100"/>
      <c r="AU71" s="45"/>
    </row>
    <row r="72" spans="1:47" ht="12" customHeight="1">
      <c r="A72" s="87"/>
      <c r="B72" s="88"/>
      <c r="C72" s="89"/>
      <c r="D72" s="89"/>
      <c r="E72" s="112"/>
      <c r="F72" s="222"/>
      <c r="G72" s="113"/>
      <c r="H72" s="98"/>
      <c r="I72" s="92"/>
      <c r="J72" s="114"/>
      <c r="K72" s="89"/>
      <c r="L72" s="89"/>
      <c r="M72" s="89"/>
      <c r="N72" s="87"/>
      <c r="O72" s="91"/>
      <c r="P72" s="95"/>
      <c r="Q72" s="145"/>
      <c r="R72" s="121"/>
      <c r="S72" s="97"/>
      <c r="T72" s="97"/>
      <c r="U72" s="97"/>
      <c r="V72" s="98"/>
      <c r="W72" s="98"/>
      <c r="X72" s="121"/>
      <c r="Y72" s="98"/>
      <c r="Z72" s="89"/>
      <c r="AA72" s="122"/>
      <c r="AB72" s="89"/>
      <c r="AC72" s="120"/>
      <c r="AD72" s="89"/>
      <c r="AE72" s="89"/>
      <c r="AF72" s="119"/>
      <c r="AG72" s="119"/>
      <c r="AH72" s="119"/>
      <c r="AI72" s="100"/>
      <c r="AJ72" s="100"/>
      <c r="AK72" s="100"/>
      <c r="AU72" s="45"/>
    </row>
    <row r="73" spans="1:47" ht="12" customHeight="1">
      <c r="A73" s="87"/>
      <c r="B73" s="88"/>
      <c r="C73" s="89"/>
      <c r="D73" s="89"/>
      <c r="E73" s="112"/>
      <c r="F73" s="222"/>
      <c r="G73" s="113"/>
      <c r="H73" s="98"/>
      <c r="I73" s="92"/>
      <c r="J73" s="114"/>
      <c r="K73" s="89"/>
      <c r="L73" s="89"/>
      <c r="M73" s="89"/>
      <c r="N73" s="89"/>
      <c r="O73" s="91"/>
      <c r="P73" s="95"/>
      <c r="Q73" s="145"/>
      <c r="R73" s="122"/>
      <c r="S73" s="97"/>
      <c r="T73" s="97"/>
      <c r="U73" s="97"/>
      <c r="V73" s="98"/>
      <c r="W73" s="98"/>
      <c r="X73" s="98"/>
      <c r="Y73" s="98"/>
      <c r="Z73" s="89"/>
      <c r="AA73" s="122"/>
      <c r="AB73" s="89"/>
      <c r="AC73" s="120"/>
      <c r="AD73" s="89"/>
      <c r="AE73" s="89"/>
      <c r="AF73" s="119"/>
      <c r="AG73" s="119"/>
      <c r="AH73" s="119"/>
      <c r="AI73" s="100"/>
      <c r="AJ73" s="100"/>
      <c r="AK73" s="100"/>
      <c r="AU73" s="45"/>
    </row>
    <row r="74" spans="1:47" ht="12" customHeight="1">
      <c r="A74" s="87"/>
      <c r="B74" s="93"/>
      <c r="C74" s="89"/>
      <c r="D74" s="89"/>
      <c r="E74" s="112"/>
      <c r="F74" s="222"/>
      <c r="G74" s="113"/>
      <c r="H74" s="98"/>
      <c r="I74" s="92"/>
      <c r="J74" s="114"/>
      <c r="K74" s="89"/>
      <c r="L74" s="89"/>
      <c r="M74" s="89"/>
      <c r="N74" s="89"/>
      <c r="O74" s="91"/>
      <c r="P74" s="95"/>
      <c r="Q74" s="145"/>
      <c r="R74" s="121"/>
      <c r="S74" s="97"/>
      <c r="T74" s="97"/>
      <c r="U74" s="97"/>
      <c r="V74" s="98"/>
      <c r="W74" s="98"/>
      <c r="X74" s="98"/>
      <c r="Y74" s="98"/>
      <c r="Z74" s="89"/>
      <c r="AA74" s="122"/>
      <c r="AB74" s="89"/>
      <c r="AC74" s="120"/>
      <c r="AD74" s="89"/>
      <c r="AE74" s="89"/>
      <c r="AF74" s="119"/>
      <c r="AG74" s="119"/>
      <c r="AH74" s="119"/>
      <c r="AI74" s="100"/>
      <c r="AJ74" s="100"/>
      <c r="AK74" s="100"/>
      <c r="AU74" s="45"/>
    </row>
    <row r="75" spans="1:47" ht="12" customHeight="1">
      <c r="A75" s="87"/>
      <c r="B75" s="93"/>
      <c r="C75" s="89"/>
      <c r="D75" s="89"/>
      <c r="E75" s="112"/>
      <c r="F75" s="222"/>
      <c r="G75" s="113"/>
      <c r="H75" s="98"/>
      <c r="I75" s="92"/>
      <c r="J75" s="114"/>
      <c r="K75" s="89"/>
      <c r="L75" s="89"/>
      <c r="M75" s="89"/>
      <c r="N75" s="89"/>
      <c r="O75" s="91"/>
      <c r="P75" s="95"/>
      <c r="Q75" s="145"/>
      <c r="R75" s="122"/>
      <c r="S75" s="97"/>
      <c r="T75" s="97"/>
      <c r="U75" s="97"/>
      <c r="V75" s="98"/>
      <c r="W75" s="98"/>
      <c r="X75" s="98"/>
      <c r="Y75" s="98"/>
      <c r="Z75" s="89"/>
      <c r="AA75" s="122"/>
      <c r="AB75" s="89"/>
      <c r="AC75" s="120"/>
      <c r="AD75" s="89"/>
      <c r="AE75" s="89"/>
      <c r="AF75" s="119"/>
      <c r="AG75" s="119"/>
      <c r="AH75" s="119"/>
      <c r="AI75" s="100"/>
      <c r="AJ75" s="100"/>
      <c r="AK75" s="100"/>
      <c r="AU75" s="45"/>
    </row>
    <row r="76" spans="1:47" ht="12" customHeight="1">
      <c r="A76" s="87"/>
      <c r="B76" s="93"/>
      <c r="C76" s="89"/>
      <c r="D76" s="89"/>
      <c r="E76" s="112"/>
      <c r="F76" s="222"/>
      <c r="G76" s="113"/>
      <c r="H76" s="98"/>
      <c r="I76" s="92"/>
      <c r="J76" s="114"/>
      <c r="K76" s="89"/>
      <c r="L76" s="89"/>
      <c r="M76" s="89"/>
      <c r="N76" s="89"/>
      <c r="O76" s="91"/>
      <c r="P76" s="95"/>
      <c r="Q76" s="145"/>
      <c r="R76" s="122"/>
      <c r="S76" s="97"/>
      <c r="T76" s="97"/>
      <c r="U76" s="97"/>
      <c r="V76" s="98"/>
      <c r="W76" s="98"/>
      <c r="X76" s="118"/>
      <c r="Y76" s="98"/>
      <c r="Z76" s="89"/>
      <c r="AA76" s="122"/>
      <c r="AB76" s="89"/>
      <c r="AC76" s="120"/>
      <c r="AD76" s="89"/>
      <c r="AE76" s="89"/>
      <c r="AF76" s="119"/>
      <c r="AG76" s="119"/>
      <c r="AH76" s="119"/>
      <c r="AI76" s="100"/>
      <c r="AJ76" s="100"/>
      <c r="AK76" s="100"/>
      <c r="AU76" s="45"/>
    </row>
    <row r="77" spans="1:47" ht="12" customHeight="1">
      <c r="A77" s="87"/>
      <c r="B77" s="93"/>
      <c r="C77" s="89"/>
      <c r="D77" s="89"/>
      <c r="E77" s="112"/>
      <c r="F77" s="222"/>
      <c r="G77" s="113"/>
      <c r="H77" s="98"/>
      <c r="I77" s="92"/>
      <c r="J77" s="114"/>
      <c r="K77" s="89"/>
      <c r="L77" s="89"/>
      <c r="M77" s="89"/>
      <c r="N77" s="89"/>
      <c r="O77" s="91"/>
      <c r="P77" s="95"/>
      <c r="Q77" s="147"/>
      <c r="R77" s="122"/>
      <c r="S77" s="125"/>
      <c r="T77" s="97"/>
      <c r="U77" s="97"/>
      <c r="V77" s="98"/>
      <c r="W77" s="98"/>
      <c r="X77" s="98"/>
      <c r="Y77" s="98"/>
      <c r="Z77" s="89"/>
      <c r="AA77" s="122"/>
      <c r="AB77" s="89"/>
      <c r="AC77" s="120"/>
      <c r="AD77" s="89"/>
      <c r="AE77" s="89"/>
      <c r="AF77" s="119"/>
      <c r="AG77" s="119"/>
      <c r="AH77" s="119"/>
      <c r="AI77" s="100"/>
      <c r="AJ77" s="100"/>
      <c r="AK77" s="100"/>
      <c r="AU77" s="45"/>
    </row>
    <row r="78" spans="1:47" ht="12" customHeight="1">
      <c r="A78" s="87"/>
      <c r="B78" s="93"/>
      <c r="C78" s="89"/>
      <c r="D78" s="89"/>
      <c r="E78" s="112"/>
      <c r="F78" s="222"/>
      <c r="G78" s="113"/>
      <c r="H78" s="98"/>
      <c r="I78" s="92"/>
      <c r="J78" s="114"/>
      <c r="K78" s="89"/>
      <c r="L78" s="89"/>
      <c r="M78" s="89"/>
      <c r="N78" s="89"/>
      <c r="O78" s="91"/>
      <c r="P78" s="95"/>
      <c r="Q78" s="145"/>
      <c r="R78" s="122"/>
      <c r="S78" s="97"/>
      <c r="T78" s="97"/>
      <c r="U78" s="97"/>
      <c r="V78" s="98"/>
      <c r="W78" s="98"/>
      <c r="X78" s="98"/>
      <c r="Y78" s="98"/>
      <c r="Z78" s="89"/>
      <c r="AA78" s="122"/>
      <c r="AB78" s="89"/>
      <c r="AC78" s="120"/>
      <c r="AD78" s="89"/>
      <c r="AE78" s="89"/>
      <c r="AF78" s="119"/>
      <c r="AG78" s="119"/>
      <c r="AH78" s="119"/>
      <c r="AI78" s="100"/>
      <c r="AJ78" s="100"/>
      <c r="AK78" s="100"/>
      <c r="AU78" s="45"/>
    </row>
    <row r="79" spans="1:47" ht="12" customHeight="1">
      <c r="A79" s="87"/>
      <c r="B79" s="93"/>
      <c r="C79" s="89"/>
      <c r="D79" s="89"/>
      <c r="E79" s="112"/>
      <c r="F79" s="222"/>
      <c r="G79" s="113"/>
      <c r="H79" s="98"/>
      <c r="I79" s="92"/>
      <c r="J79" s="114"/>
      <c r="K79" s="89"/>
      <c r="L79" s="89"/>
      <c r="M79" s="89"/>
      <c r="N79" s="89"/>
      <c r="O79" s="91"/>
      <c r="P79" s="95"/>
      <c r="Q79" s="145"/>
      <c r="R79" s="122"/>
      <c r="S79" s="97"/>
      <c r="T79" s="97"/>
      <c r="U79" s="97"/>
      <c r="V79" s="98"/>
      <c r="W79" s="98"/>
      <c r="X79" s="98"/>
      <c r="Y79" s="98"/>
      <c r="Z79" s="89"/>
      <c r="AA79" s="122"/>
      <c r="AB79" s="89"/>
      <c r="AC79" s="120"/>
      <c r="AD79" s="89"/>
      <c r="AE79" s="89"/>
      <c r="AF79" s="119"/>
      <c r="AG79" s="119"/>
      <c r="AH79" s="119"/>
      <c r="AI79" s="100"/>
      <c r="AJ79" s="100"/>
      <c r="AK79" s="100"/>
      <c r="AU79" s="45"/>
    </row>
    <row r="80" spans="1:47" ht="12" customHeight="1">
      <c r="A80" s="87"/>
      <c r="B80" s="93"/>
      <c r="C80" s="89"/>
      <c r="D80" s="89"/>
      <c r="E80" s="112"/>
      <c r="F80" s="222"/>
      <c r="G80" s="113"/>
      <c r="H80" s="98"/>
      <c r="I80" s="92"/>
      <c r="J80" s="114"/>
      <c r="K80" s="89"/>
      <c r="L80" s="89"/>
      <c r="M80" s="89"/>
      <c r="N80" s="89"/>
      <c r="O80" s="91"/>
      <c r="P80" s="95"/>
      <c r="Q80" s="145"/>
      <c r="R80" s="121"/>
      <c r="S80" s="97"/>
      <c r="T80" s="97"/>
      <c r="U80" s="97"/>
      <c r="V80" s="98"/>
      <c r="W80" s="98"/>
      <c r="X80" s="98"/>
      <c r="Y80" s="98"/>
      <c r="Z80" s="89"/>
      <c r="AA80" s="122"/>
      <c r="AB80" s="89"/>
      <c r="AC80" s="120"/>
      <c r="AD80" s="89"/>
      <c r="AE80" s="89"/>
      <c r="AF80" s="119"/>
      <c r="AG80" s="119"/>
      <c r="AH80" s="119"/>
      <c r="AI80" s="100"/>
      <c r="AJ80" s="100"/>
      <c r="AK80" s="100"/>
      <c r="AU80" s="45"/>
    </row>
    <row r="81" spans="1:47" ht="12" customHeight="1">
      <c r="A81" s="87"/>
      <c r="B81" s="88"/>
      <c r="C81" s="89"/>
      <c r="D81" s="89"/>
      <c r="E81" s="112"/>
      <c r="F81" s="222"/>
      <c r="G81" s="113"/>
      <c r="H81" s="98"/>
      <c r="I81" s="92"/>
      <c r="J81" s="114"/>
      <c r="K81" s="89"/>
      <c r="L81" s="89"/>
      <c r="M81" s="89"/>
      <c r="N81" s="87"/>
      <c r="O81" s="91"/>
      <c r="P81" s="95"/>
      <c r="Q81" s="145"/>
      <c r="R81" s="121"/>
      <c r="S81" s="97"/>
      <c r="T81" s="97"/>
      <c r="U81" s="97"/>
      <c r="V81" s="98"/>
      <c r="W81" s="98"/>
      <c r="X81" s="98"/>
      <c r="Y81" s="98"/>
      <c r="Z81" s="89"/>
      <c r="AA81" s="122"/>
      <c r="AB81" s="89"/>
      <c r="AC81" s="120"/>
      <c r="AD81" s="89"/>
      <c r="AE81" s="89"/>
      <c r="AF81" s="119"/>
      <c r="AG81" s="119"/>
      <c r="AH81" s="119"/>
      <c r="AI81" s="100"/>
      <c r="AJ81" s="100"/>
      <c r="AK81" s="100"/>
      <c r="AU81" s="45"/>
    </row>
    <row r="82" spans="1:47" ht="12" customHeight="1">
      <c r="A82" s="87"/>
      <c r="B82" s="88"/>
      <c r="C82" s="89"/>
      <c r="D82" s="89"/>
      <c r="E82" s="112"/>
      <c r="F82" s="222"/>
      <c r="G82" s="113"/>
      <c r="H82" s="98"/>
      <c r="I82" s="92"/>
      <c r="J82" s="114"/>
      <c r="K82" s="89"/>
      <c r="L82" s="89"/>
      <c r="M82" s="89"/>
      <c r="N82" s="87"/>
      <c r="O82" s="91"/>
      <c r="P82" s="95"/>
      <c r="Q82" s="145"/>
      <c r="R82" s="121"/>
      <c r="S82" s="97"/>
      <c r="T82" s="97"/>
      <c r="U82" s="97"/>
      <c r="V82" s="98"/>
      <c r="W82" s="98"/>
      <c r="X82" s="98"/>
      <c r="Y82" s="98"/>
      <c r="Z82" s="89"/>
      <c r="AA82" s="122"/>
      <c r="AB82" s="89"/>
      <c r="AC82" s="120"/>
      <c r="AD82" s="89"/>
      <c r="AE82" s="89"/>
      <c r="AF82" s="119"/>
      <c r="AG82" s="119"/>
      <c r="AH82" s="119"/>
      <c r="AI82" s="100"/>
      <c r="AJ82" s="100"/>
      <c r="AK82" s="100"/>
      <c r="AU82" s="45"/>
    </row>
    <row r="83" spans="1:47" ht="12" customHeight="1">
      <c r="A83" s="87"/>
      <c r="B83" s="88"/>
      <c r="C83" s="89"/>
      <c r="D83" s="89"/>
      <c r="E83" s="112"/>
      <c r="F83" s="222"/>
      <c r="G83" s="113"/>
      <c r="H83" s="98"/>
      <c r="I83" s="92"/>
      <c r="J83" s="114"/>
      <c r="K83" s="89"/>
      <c r="L83" s="89"/>
      <c r="M83" s="89"/>
      <c r="N83" s="89"/>
      <c r="O83" s="94"/>
      <c r="P83" s="95"/>
      <c r="Q83" s="145"/>
      <c r="R83" s="121"/>
      <c r="S83" s="97"/>
      <c r="T83" s="97"/>
      <c r="U83" s="97"/>
      <c r="V83" s="98"/>
      <c r="W83" s="98"/>
      <c r="X83" s="98"/>
      <c r="Y83" s="98"/>
      <c r="Z83" s="89"/>
      <c r="AA83" s="97"/>
      <c r="AB83" s="89"/>
      <c r="AC83" s="120"/>
      <c r="AD83" s="89"/>
      <c r="AE83" s="89"/>
      <c r="AF83" s="119"/>
      <c r="AG83" s="119"/>
      <c r="AH83" s="119"/>
      <c r="AI83" s="100"/>
      <c r="AJ83" s="100"/>
      <c r="AK83" s="100"/>
      <c r="AU83" s="45"/>
    </row>
    <row r="84" spans="1:47" ht="12" customHeight="1">
      <c r="A84" s="87"/>
      <c r="B84" s="88"/>
      <c r="C84" s="89"/>
      <c r="D84" s="89"/>
      <c r="E84" s="112"/>
      <c r="F84" s="222"/>
      <c r="G84" s="113"/>
      <c r="H84" s="98"/>
      <c r="I84" s="92"/>
      <c r="J84" s="114"/>
      <c r="K84" s="89"/>
      <c r="L84" s="89"/>
      <c r="M84" s="89"/>
      <c r="N84" s="89"/>
      <c r="O84" s="94"/>
      <c r="P84" s="95"/>
      <c r="Q84" s="145"/>
      <c r="R84" s="121"/>
      <c r="S84" s="97"/>
      <c r="T84" s="97"/>
      <c r="U84" s="97"/>
      <c r="V84" s="98"/>
      <c r="W84" s="98"/>
      <c r="X84" s="98"/>
      <c r="Y84" s="98"/>
      <c r="Z84" s="89"/>
      <c r="AA84" s="97"/>
      <c r="AB84" s="89"/>
      <c r="AC84" s="120"/>
      <c r="AD84" s="89"/>
      <c r="AE84" s="89"/>
      <c r="AF84" s="119"/>
      <c r="AG84" s="119"/>
      <c r="AH84" s="119"/>
      <c r="AI84" s="100"/>
      <c r="AJ84" s="100"/>
      <c r="AK84" s="100"/>
      <c r="AU84" s="45"/>
    </row>
    <row r="85" spans="1:47" ht="12" customHeight="1">
      <c r="A85" s="87"/>
      <c r="B85" s="88"/>
      <c r="C85" s="89"/>
      <c r="D85" s="89"/>
      <c r="E85" s="112"/>
      <c r="F85" s="222"/>
      <c r="G85" s="113"/>
      <c r="H85" s="98"/>
      <c r="I85" s="92"/>
      <c r="J85" s="114"/>
      <c r="K85" s="89"/>
      <c r="L85" s="89"/>
      <c r="M85" s="89"/>
      <c r="N85" s="87"/>
      <c r="O85" s="91"/>
      <c r="P85" s="95"/>
      <c r="Q85" s="145"/>
      <c r="R85" s="121"/>
      <c r="S85" s="121"/>
      <c r="T85" s="97"/>
      <c r="U85" s="97"/>
      <c r="V85" s="98"/>
      <c r="W85" s="98"/>
      <c r="X85" s="118"/>
      <c r="Y85" s="98"/>
      <c r="Z85" s="89"/>
      <c r="AA85" s="122"/>
      <c r="AB85" s="89"/>
      <c r="AC85" s="120"/>
      <c r="AD85" s="89"/>
      <c r="AE85" s="89"/>
      <c r="AF85" s="119"/>
      <c r="AG85" s="119"/>
      <c r="AH85" s="119"/>
      <c r="AI85" s="100"/>
      <c r="AJ85" s="100"/>
      <c r="AK85" s="100"/>
      <c r="AU85" s="45"/>
    </row>
    <row r="86" spans="1:47" ht="12" customHeight="1">
      <c r="A86" s="87"/>
      <c r="B86" s="88"/>
      <c r="C86" s="89"/>
      <c r="D86" s="89"/>
      <c r="E86" s="112"/>
      <c r="F86" s="222"/>
      <c r="G86" s="113"/>
      <c r="H86" s="98"/>
      <c r="I86" s="92"/>
      <c r="J86" s="114"/>
      <c r="K86" s="89"/>
      <c r="L86" s="89"/>
      <c r="M86" s="89"/>
      <c r="N86" s="89"/>
      <c r="O86" s="94"/>
      <c r="P86" s="95"/>
      <c r="Q86" s="145"/>
      <c r="R86" s="121"/>
      <c r="S86" s="97"/>
      <c r="T86" s="97"/>
      <c r="U86" s="97"/>
      <c r="V86" s="98"/>
      <c r="W86" s="98"/>
      <c r="X86" s="98"/>
      <c r="Y86" s="98"/>
      <c r="Z86" s="89"/>
      <c r="AA86" s="97"/>
      <c r="AB86" s="89"/>
      <c r="AC86" s="120"/>
      <c r="AD86" s="89"/>
      <c r="AE86" s="89"/>
      <c r="AF86" s="119"/>
      <c r="AG86" s="119"/>
      <c r="AH86" s="119"/>
      <c r="AI86" s="100"/>
      <c r="AJ86" s="100"/>
      <c r="AK86" s="100"/>
      <c r="AU86" s="45"/>
    </row>
    <row r="87" spans="1:47" ht="12" customHeight="1">
      <c r="A87" s="87"/>
      <c r="B87" s="88"/>
      <c r="C87" s="89"/>
      <c r="D87" s="89"/>
      <c r="E87" s="112"/>
      <c r="F87" s="222"/>
      <c r="G87" s="113"/>
      <c r="H87" s="98"/>
      <c r="I87" s="92"/>
      <c r="J87" s="114"/>
      <c r="K87" s="89"/>
      <c r="L87" s="89"/>
      <c r="M87" s="89"/>
      <c r="N87" s="87"/>
      <c r="O87" s="91"/>
      <c r="P87" s="95"/>
      <c r="Q87" s="145"/>
      <c r="R87" s="122"/>
      <c r="S87" s="97"/>
      <c r="T87" s="97"/>
      <c r="U87" s="97"/>
      <c r="V87" s="98"/>
      <c r="W87" s="98"/>
      <c r="X87" s="98"/>
      <c r="Y87" s="98"/>
      <c r="Z87" s="89"/>
      <c r="AA87" s="122"/>
      <c r="AB87" s="89"/>
      <c r="AC87" s="120"/>
      <c r="AD87" s="89"/>
      <c r="AE87" s="89"/>
      <c r="AF87" s="119"/>
      <c r="AG87" s="119"/>
      <c r="AH87" s="119"/>
      <c r="AI87" s="100"/>
      <c r="AJ87" s="100"/>
      <c r="AK87" s="100"/>
      <c r="AU87" s="45"/>
    </row>
    <row r="88" spans="1:47" ht="12" customHeight="1">
      <c r="A88" s="87"/>
      <c r="B88" s="88"/>
      <c r="C88" s="89"/>
      <c r="D88" s="89"/>
      <c r="E88" s="112"/>
      <c r="F88" s="222"/>
      <c r="G88" s="113"/>
      <c r="H88" s="98"/>
      <c r="I88" s="92"/>
      <c r="J88" s="114"/>
      <c r="K88" s="89"/>
      <c r="L88" s="89"/>
      <c r="M88" s="89"/>
      <c r="N88" s="89"/>
      <c r="O88" s="91"/>
      <c r="P88" s="95"/>
      <c r="Q88" s="145"/>
      <c r="R88" s="122"/>
      <c r="S88" s="97"/>
      <c r="T88" s="97"/>
      <c r="U88" s="97"/>
      <c r="V88" s="98"/>
      <c r="W88" s="98"/>
      <c r="X88" s="98"/>
      <c r="Y88" s="98"/>
      <c r="Z88" s="89"/>
      <c r="AA88" s="122"/>
      <c r="AB88" s="89"/>
      <c r="AC88" s="120"/>
      <c r="AD88" s="89"/>
      <c r="AE88" s="89"/>
      <c r="AF88" s="119"/>
      <c r="AG88" s="119"/>
      <c r="AH88" s="119"/>
      <c r="AI88" s="100"/>
      <c r="AJ88" s="100"/>
      <c r="AK88" s="100"/>
      <c r="AU88" s="45"/>
    </row>
    <row r="89" spans="1:47" ht="12" customHeight="1">
      <c r="A89" s="87"/>
      <c r="B89" s="88"/>
      <c r="C89" s="89"/>
      <c r="D89" s="89"/>
      <c r="E89" s="112"/>
      <c r="F89" s="222"/>
      <c r="G89" s="113"/>
      <c r="H89" s="98"/>
      <c r="I89" s="92"/>
      <c r="J89" s="114"/>
      <c r="K89" s="89"/>
      <c r="L89" s="89"/>
      <c r="M89" s="89"/>
      <c r="N89" s="87"/>
      <c r="O89" s="91"/>
      <c r="P89" s="95"/>
      <c r="Q89" s="145"/>
      <c r="R89" s="122"/>
      <c r="S89" s="97"/>
      <c r="T89" s="97"/>
      <c r="U89" s="97"/>
      <c r="V89" s="98"/>
      <c r="W89" s="98"/>
      <c r="X89" s="98"/>
      <c r="Y89" s="98"/>
      <c r="Z89" s="89"/>
      <c r="AA89" s="122"/>
      <c r="AB89" s="89"/>
      <c r="AC89" s="120"/>
      <c r="AD89" s="89"/>
      <c r="AE89" s="89"/>
      <c r="AF89" s="119"/>
      <c r="AG89" s="119"/>
      <c r="AH89" s="119"/>
      <c r="AI89" s="100"/>
      <c r="AJ89" s="100"/>
      <c r="AK89" s="100"/>
      <c r="AU89" s="45"/>
    </row>
    <row r="90" spans="1:47" ht="12" customHeight="1">
      <c r="A90" s="87"/>
      <c r="B90" s="88"/>
      <c r="C90" s="89"/>
      <c r="D90" s="89"/>
      <c r="E90" s="112"/>
      <c r="F90" s="222"/>
      <c r="G90" s="113"/>
      <c r="H90" s="98"/>
      <c r="I90" s="92"/>
      <c r="J90" s="114"/>
      <c r="K90" s="89"/>
      <c r="L90" s="89"/>
      <c r="M90" s="89"/>
      <c r="N90" s="89"/>
      <c r="O90" s="94"/>
      <c r="P90" s="95"/>
      <c r="Q90" s="145"/>
      <c r="R90" s="121"/>
      <c r="S90" s="121"/>
      <c r="T90" s="97"/>
      <c r="U90" s="97"/>
      <c r="V90" s="98"/>
      <c r="W90" s="98"/>
      <c r="X90" s="98"/>
      <c r="Y90" s="98"/>
      <c r="Z90" s="89"/>
      <c r="AA90" s="122"/>
      <c r="AB90" s="89"/>
      <c r="AC90" s="120"/>
      <c r="AD90" s="89"/>
      <c r="AE90" s="89"/>
      <c r="AF90" s="119"/>
      <c r="AG90" s="119"/>
      <c r="AH90" s="119"/>
      <c r="AI90" s="100"/>
      <c r="AJ90" s="100"/>
      <c r="AK90" s="100"/>
      <c r="AU90" s="45"/>
    </row>
    <row r="91" spans="1:47" ht="12" customHeight="1">
      <c r="A91" s="87"/>
      <c r="B91" s="88"/>
      <c r="C91" s="89"/>
      <c r="D91" s="89"/>
      <c r="E91" s="112"/>
      <c r="F91" s="222"/>
      <c r="G91" s="113"/>
      <c r="H91" s="98"/>
      <c r="I91" s="92"/>
      <c r="J91" s="114"/>
      <c r="K91" s="89"/>
      <c r="L91" s="89"/>
      <c r="M91" s="89"/>
      <c r="N91" s="87"/>
      <c r="O91" s="91"/>
      <c r="P91" s="95"/>
      <c r="Q91" s="145"/>
      <c r="R91" s="121"/>
      <c r="S91" s="121"/>
      <c r="T91" s="97"/>
      <c r="U91" s="97"/>
      <c r="V91" s="98"/>
      <c r="W91" s="98"/>
      <c r="X91" s="118"/>
      <c r="Y91" s="98"/>
      <c r="Z91" s="89"/>
      <c r="AA91" s="122"/>
      <c r="AB91" s="89"/>
      <c r="AC91" s="120"/>
      <c r="AD91" s="89"/>
      <c r="AE91" s="89"/>
      <c r="AF91" s="119"/>
      <c r="AG91" s="119"/>
      <c r="AH91" s="119"/>
      <c r="AI91" s="100"/>
      <c r="AJ91" s="100"/>
      <c r="AK91" s="100"/>
      <c r="AU91" s="45"/>
    </row>
    <row r="92" spans="1:47" ht="12" customHeight="1">
      <c r="A92" s="87"/>
      <c r="B92" s="88"/>
      <c r="C92" s="89"/>
      <c r="D92" s="89"/>
      <c r="E92" s="112"/>
      <c r="F92" s="222"/>
      <c r="G92" s="113"/>
      <c r="H92" s="98"/>
      <c r="I92" s="92"/>
      <c r="J92" s="114"/>
      <c r="K92" s="89"/>
      <c r="L92" s="89"/>
      <c r="M92" s="89"/>
      <c r="N92" s="87"/>
      <c r="O92" s="91"/>
      <c r="P92" s="95"/>
      <c r="Q92" s="145"/>
      <c r="R92" s="121"/>
      <c r="S92" s="121"/>
      <c r="T92" s="97"/>
      <c r="U92" s="97"/>
      <c r="V92" s="98"/>
      <c r="W92" s="98"/>
      <c r="X92" s="118"/>
      <c r="Y92" s="98"/>
      <c r="Z92" s="89"/>
      <c r="AA92" s="122"/>
      <c r="AB92" s="89"/>
      <c r="AC92" s="120"/>
      <c r="AD92" s="89"/>
      <c r="AE92" s="89"/>
      <c r="AF92" s="119"/>
      <c r="AG92" s="119"/>
      <c r="AH92" s="119"/>
      <c r="AI92" s="100"/>
      <c r="AJ92" s="100"/>
      <c r="AK92" s="100"/>
      <c r="AU92" s="45"/>
    </row>
    <row r="93" spans="1:47" ht="12" customHeight="1">
      <c r="A93" s="87"/>
      <c r="B93" s="88"/>
      <c r="C93" s="89"/>
      <c r="D93" s="89"/>
      <c r="E93" s="112"/>
      <c r="F93" s="222"/>
      <c r="G93" s="113"/>
      <c r="H93" s="98"/>
      <c r="I93" s="92"/>
      <c r="J93" s="114"/>
      <c r="K93" s="89"/>
      <c r="L93" s="89"/>
      <c r="M93" s="89"/>
      <c r="N93" s="87"/>
      <c r="O93" s="91"/>
      <c r="P93" s="95"/>
      <c r="Q93" s="145"/>
      <c r="R93" s="121"/>
      <c r="S93" s="121"/>
      <c r="T93" s="97"/>
      <c r="U93" s="97"/>
      <c r="V93" s="98"/>
      <c r="W93" s="98"/>
      <c r="X93" s="118"/>
      <c r="Y93" s="98"/>
      <c r="Z93" s="89"/>
      <c r="AA93" s="122"/>
      <c r="AB93" s="89"/>
      <c r="AC93" s="120"/>
      <c r="AD93" s="89"/>
      <c r="AE93" s="89"/>
      <c r="AF93" s="119"/>
      <c r="AG93" s="119"/>
      <c r="AH93" s="119"/>
      <c r="AI93" s="100"/>
      <c r="AJ93" s="100"/>
      <c r="AK93" s="100"/>
      <c r="AU93" s="45"/>
    </row>
    <row r="94" spans="1:47" ht="12" customHeight="1">
      <c r="A94" s="87"/>
      <c r="B94" s="88"/>
      <c r="C94" s="89"/>
      <c r="D94" s="89"/>
      <c r="E94" s="112"/>
      <c r="F94" s="222"/>
      <c r="G94" s="113"/>
      <c r="H94" s="98"/>
      <c r="I94" s="92"/>
      <c r="J94" s="114"/>
      <c r="K94" s="89"/>
      <c r="L94" s="89"/>
      <c r="M94" s="89"/>
      <c r="N94" s="87"/>
      <c r="O94" s="91"/>
      <c r="P94" s="95"/>
      <c r="Q94" s="145"/>
      <c r="R94" s="121"/>
      <c r="S94" s="121"/>
      <c r="T94" s="97"/>
      <c r="U94" s="97"/>
      <c r="V94" s="98"/>
      <c r="W94" s="98"/>
      <c r="X94" s="118"/>
      <c r="Y94" s="98"/>
      <c r="Z94" s="89"/>
      <c r="AA94" s="122"/>
      <c r="AB94" s="89"/>
      <c r="AC94" s="120"/>
      <c r="AD94" s="89"/>
      <c r="AE94" s="89"/>
      <c r="AF94" s="119"/>
      <c r="AG94" s="119"/>
      <c r="AH94" s="119"/>
      <c r="AI94" s="100"/>
      <c r="AJ94" s="100"/>
      <c r="AK94" s="100"/>
      <c r="AU94" s="45"/>
    </row>
    <row r="95" spans="1:47" ht="12" customHeight="1">
      <c r="A95" s="87"/>
      <c r="B95" s="88"/>
      <c r="C95" s="89"/>
      <c r="D95" s="89"/>
      <c r="E95" s="112"/>
      <c r="F95" s="222"/>
      <c r="G95" s="113"/>
      <c r="H95" s="98"/>
      <c r="I95" s="92"/>
      <c r="J95" s="114"/>
      <c r="K95" s="89"/>
      <c r="L95" s="89"/>
      <c r="M95" s="89"/>
      <c r="N95" s="87"/>
      <c r="O95" s="91"/>
      <c r="P95" s="95"/>
      <c r="Q95" s="145"/>
      <c r="R95" s="121"/>
      <c r="S95" s="121"/>
      <c r="T95" s="97"/>
      <c r="U95" s="97"/>
      <c r="V95" s="98"/>
      <c r="W95" s="98"/>
      <c r="X95" s="118"/>
      <c r="Y95" s="98"/>
      <c r="Z95" s="89"/>
      <c r="AA95" s="122"/>
      <c r="AB95" s="89"/>
      <c r="AC95" s="120"/>
      <c r="AD95" s="89"/>
      <c r="AE95" s="89"/>
      <c r="AF95" s="119"/>
      <c r="AG95" s="119"/>
      <c r="AH95" s="119"/>
      <c r="AI95" s="100"/>
      <c r="AJ95" s="100"/>
      <c r="AK95" s="100"/>
      <c r="AU95" s="45"/>
    </row>
    <row r="96" spans="1:47" ht="12" customHeight="1">
      <c r="A96" s="87"/>
      <c r="B96" s="88"/>
      <c r="C96" s="89"/>
      <c r="D96" s="89"/>
      <c r="E96" s="112"/>
      <c r="F96" s="222"/>
      <c r="G96" s="113"/>
      <c r="H96" s="98"/>
      <c r="I96" s="92"/>
      <c r="J96" s="114"/>
      <c r="K96" s="89"/>
      <c r="L96" s="89"/>
      <c r="M96" s="89"/>
      <c r="N96" s="87"/>
      <c r="O96" s="91"/>
      <c r="P96" s="95"/>
      <c r="Q96" s="145"/>
      <c r="R96" s="121"/>
      <c r="S96" s="121"/>
      <c r="T96" s="97"/>
      <c r="U96" s="97"/>
      <c r="V96" s="98"/>
      <c r="W96" s="98"/>
      <c r="X96" s="118"/>
      <c r="Y96" s="98"/>
      <c r="Z96" s="89"/>
      <c r="AA96" s="122"/>
      <c r="AB96" s="89"/>
      <c r="AC96" s="120"/>
      <c r="AD96" s="89"/>
      <c r="AE96" s="89"/>
      <c r="AF96" s="119"/>
      <c r="AG96" s="119"/>
      <c r="AH96" s="119"/>
      <c r="AI96" s="100"/>
      <c r="AJ96" s="100"/>
      <c r="AK96" s="100"/>
      <c r="AU96" s="45"/>
    </row>
    <row r="97" spans="1:47" ht="12" customHeight="1">
      <c r="A97" s="87"/>
      <c r="B97" s="88"/>
      <c r="C97" s="89"/>
      <c r="D97" s="89"/>
      <c r="E97" s="112"/>
      <c r="F97" s="222"/>
      <c r="G97" s="113"/>
      <c r="H97" s="98"/>
      <c r="I97" s="92"/>
      <c r="J97" s="114"/>
      <c r="K97" s="89"/>
      <c r="L97" s="89"/>
      <c r="M97" s="89"/>
      <c r="N97" s="87"/>
      <c r="O97" s="91"/>
      <c r="P97" s="95"/>
      <c r="Q97" s="145"/>
      <c r="R97" s="121"/>
      <c r="S97" s="121"/>
      <c r="T97" s="97"/>
      <c r="U97" s="97"/>
      <c r="V97" s="98"/>
      <c r="W97" s="98"/>
      <c r="X97" s="118"/>
      <c r="Y97" s="98"/>
      <c r="Z97" s="89"/>
      <c r="AA97" s="122"/>
      <c r="AB97" s="89"/>
      <c r="AC97" s="120"/>
      <c r="AD97" s="89"/>
      <c r="AE97" s="89"/>
      <c r="AF97" s="119"/>
      <c r="AG97" s="119"/>
      <c r="AH97" s="119"/>
      <c r="AI97" s="100"/>
      <c r="AJ97" s="100"/>
      <c r="AK97" s="100"/>
      <c r="AU97" s="45"/>
    </row>
    <row r="98" spans="1:47" ht="12" customHeight="1">
      <c r="A98" s="87"/>
      <c r="B98" s="88"/>
      <c r="C98" s="89"/>
      <c r="D98" s="89"/>
      <c r="E98" s="112"/>
      <c r="F98" s="222"/>
      <c r="G98" s="113"/>
      <c r="H98" s="98"/>
      <c r="I98" s="92"/>
      <c r="J98" s="114"/>
      <c r="K98" s="89"/>
      <c r="L98" s="89"/>
      <c r="M98" s="89"/>
      <c r="N98" s="89"/>
      <c r="O98" s="91"/>
      <c r="P98" s="95"/>
      <c r="Q98" s="145"/>
      <c r="R98" s="122"/>
      <c r="S98" s="121"/>
      <c r="T98" s="97"/>
      <c r="U98" s="97"/>
      <c r="V98" s="98"/>
      <c r="W98" s="98"/>
      <c r="X98" s="118"/>
      <c r="Y98" s="98"/>
      <c r="Z98" s="89"/>
      <c r="AA98" s="122"/>
      <c r="AB98" s="89"/>
      <c r="AC98" s="120"/>
      <c r="AD98" s="89"/>
      <c r="AE98" s="89"/>
      <c r="AF98" s="119"/>
      <c r="AG98" s="119"/>
      <c r="AH98" s="119"/>
      <c r="AI98" s="100"/>
      <c r="AJ98" s="100"/>
      <c r="AK98" s="100"/>
      <c r="AU98" s="45"/>
    </row>
    <row r="99" spans="1:47" ht="12" customHeight="1">
      <c r="A99" s="87"/>
      <c r="B99" s="93"/>
      <c r="C99" s="89"/>
      <c r="D99" s="89"/>
      <c r="E99" s="112"/>
      <c r="F99" s="222"/>
      <c r="G99" s="113"/>
      <c r="H99" s="98"/>
      <c r="I99" s="92"/>
      <c r="J99" s="114"/>
      <c r="K99" s="89"/>
      <c r="L99" s="89"/>
      <c r="M99" s="89"/>
      <c r="N99" s="89"/>
      <c r="O99" s="91"/>
      <c r="P99" s="95"/>
      <c r="Q99" s="145"/>
      <c r="R99" s="122"/>
      <c r="S99" s="121"/>
      <c r="T99" s="97"/>
      <c r="U99" s="97"/>
      <c r="V99" s="98"/>
      <c r="W99" s="98"/>
      <c r="X99" s="118"/>
      <c r="Y99" s="98"/>
      <c r="Z99" s="89"/>
      <c r="AA99" s="122"/>
      <c r="AB99" s="89"/>
      <c r="AC99" s="120"/>
      <c r="AD99" s="89"/>
      <c r="AE99" s="89"/>
      <c r="AF99" s="119"/>
      <c r="AG99" s="119"/>
      <c r="AH99" s="119"/>
      <c r="AI99" s="100"/>
      <c r="AJ99" s="100"/>
      <c r="AK99" s="100"/>
      <c r="AU99" s="45"/>
    </row>
    <row r="100" spans="1:47" ht="12" customHeight="1">
      <c r="A100" s="87"/>
      <c r="B100" s="93"/>
      <c r="C100" s="89"/>
      <c r="D100" s="89"/>
      <c r="E100" s="112"/>
      <c r="F100" s="222"/>
      <c r="G100" s="113"/>
      <c r="H100" s="98"/>
      <c r="I100" s="92"/>
      <c r="J100" s="114"/>
      <c r="K100" s="89"/>
      <c r="L100" s="89"/>
      <c r="M100" s="89"/>
      <c r="N100" s="89"/>
      <c r="O100" s="91"/>
      <c r="P100" s="95"/>
      <c r="Q100" s="145"/>
      <c r="R100" s="122"/>
      <c r="S100" s="121"/>
      <c r="T100" s="97"/>
      <c r="U100" s="97"/>
      <c r="V100" s="98"/>
      <c r="W100" s="98"/>
      <c r="X100" s="118"/>
      <c r="Y100" s="98"/>
      <c r="Z100" s="89"/>
      <c r="AA100" s="122"/>
      <c r="AB100" s="89"/>
      <c r="AC100" s="120"/>
      <c r="AD100" s="89"/>
      <c r="AE100" s="89"/>
      <c r="AF100" s="119"/>
      <c r="AG100" s="119"/>
      <c r="AH100" s="119"/>
      <c r="AI100" s="100"/>
      <c r="AJ100" s="100"/>
      <c r="AK100" s="100"/>
      <c r="AU100" s="45"/>
    </row>
    <row r="101" spans="1:47" ht="12" customHeight="1">
      <c r="A101" s="87"/>
      <c r="B101" s="93"/>
      <c r="C101" s="89"/>
      <c r="D101" s="89"/>
      <c r="E101" s="112"/>
      <c r="F101" s="222"/>
      <c r="G101" s="113"/>
      <c r="H101" s="98"/>
      <c r="I101" s="92"/>
      <c r="J101" s="114"/>
      <c r="K101" s="89"/>
      <c r="L101" s="89"/>
      <c r="M101" s="89"/>
      <c r="N101" s="89"/>
      <c r="O101" s="91"/>
      <c r="P101" s="95"/>
      <c r="Q101" s="145"/>
      <c r="R101" s="122"/>
      <c r="S101" s="121"/>
      <c r="T101" s="97"/>
      <c r="U101" s="97"/>
      <c r="V101" s="98"/>
      <c r="W101" s="98"/>
      <c r="X101" s="118"/>
      <c r="Y101" s="98"/>
      <c r="Z101" s="89"/>
      <c r="AA101" s="122"/>
      <c r="AB101" s="89"/>
      <c r="AC101" s="120"/>
      <c r="AD101" s="89"/>
      <c r="AE101" s="89"/>
      <c r="AF101" s="119"/>
      <c r="AG101" s="119"/>
      <c r="AH101" s="119"/>
      <c r="AI101" s="100"/>
      <c r="AJ101" s="100"/>
      <c r="AK101" s="100"/>
      <c r="AU101" s="45"/>
    </row>
    <row r="102" spans="1:47" ht="12" customHeight="1">
      <c r="A102" s="87"/>
      <c r="B102" s="93"/>
      <c r="C102" s="89"/>
      <c r="D102" s="89"/>
      <c r="E102" s="112"/>
      <c r="F102" s="222"/>
      <c r="G102" s="113"/>
      <c r="H102" s="98"/>
      <c r="I102" s="92"/>
      <c r="J102" s="114"/>
      <c r="K102" s="89"/>
      <c r="L102" s="89"/>
      <c r="M102" s="89"/>
      <c r="N102" s="89"/>
      <c r="O102" s="91"/>
      <c r="P102" s="95"/>
      <c r="Q102" s="145"/>
      <c r="R102" s="122"/>
      <c r="S102" s="97"/>
      <c r="T102" s="97"/>
      <c r="U102" s="97"/>
      <c r="V102" s="118"/>
      <c r="W102" s="118"/>
      <c r="X102" s="118"/>
      <c r="Y102" s="118"/>
      <c r="Z102" s="89"/>
      <c r="AA102" s="97"/>
      <c r="AB102" s="89"/>
      <c r="AC102" s="120"/>
      <c r="AD102" s="89"/>
      <c r="AE102" s="89"/>
      <c r="AF102" s="119"/>
      <c r="AG102" s="119"/>
      <c r="AH102" s="119"/>
      <c r="AI102" s="100"/>
      <c r="AJ102" s="100"/>
      <c r="AK102" s="100"/>
      <c r="AU102" s="45"/>
    </row>
    <row r="103" spans="1:47" ht="12" customHeight="1">
      <c r="A103" s="87"/>
      <c r="B103" s="93"/>
      <c r="C103" s="89"/>
      <c r="D103" s="89"/>
      <c r="E103" s="112"/>
      <c r="F103" s="222"/>
      <c r="G103" s="113"/>
      <c r="H103" s="98"/>
      <c r="I103" s="92"/>
      <c r="J103" s="114"/>
      <c r="K103" s="89"/>
      <c r="L103" s="89"/>
      <c r="M103" s="89"/>
      <c r="N103" s="89"/>
      <c r="O103" s="91"/>
      <c r="P103" s="95"/>
      <c r="Q103" s="145"/>
      <c r="R103" s="122"/>
      <c r="S103" s="97"/>
      <c r="T103" s="97"/>
      <c r="U103" s="97"/>
      <c r="V103" s="118"/>
      <c r="W103" s="118"/>
      <c r="X103" s="118"/>
      <c r="Y103" s="98"/>
      <c r="Z103" s="89"/>
      <c r="AA103" s="122"/>
      <c r="AB103" s="89"/>
      <c r="AC103" s="120"/>
      <c r="AD103" s="89"/>
      <c r="AE103" s="89"/>
      <c r="AF103" s="119"/>
      <c r="AG103" s="119"/>
      <c r="AH103" s="119"/>
      <c r="AI103" s="100"/>
      <c r="AJ103" s="100"/>
      <c r="AK103" s="100"/>
      <c r="AU103" s="45"/>
    </row>
    <row r="104" spans="1:47" ht="12" customHeight="1">
      <c r="A104" s="87"/>
      <c r="B104" s="93"/>
      <c r="C104" s="89"/>
      <c r="D104" s="89"/>
      <c r="E104" s="112"/>
      <c r="F104" s="222"/>
      <c r="G104" s="113"/>
      <c r="H104" s="98"/>
      <c r="I104" s="92"/>
      <c r="J104" s="114"/>
      <c r="K104" s="89"/>
      <c r="L104" s="89"/>
      <c r="M104" s="89"/>
      <c r="N104" s="89"/>
      <c r="O104" s="91"/>
      <c r="P104" s="95"/>
      <c r="Q104" s="145"/>
      <c r="R104" s="122"/>
      <c r="S104" s="97"/>
      <c r="T104" s="97"/>
      <c r="U104" s="97"/>
      <c r="V104" s="118"/>
      <c r="W104" s="118"/>
      <c r="X104" s="98"/>
      <c r="Y104" s="118"/>
      <c r="Z104" s="89"/>
      <c r="AA104" s="122"/>
      <c r="AB104" s="89"/>
      <c r="AC104" s="120"/>
      <c r="AD104" s="89"/>
      <c r="AE104" s="89"/>
      <c r="AF104" s="119"/>
      <c r="AG104" s="119"/>
      <c r="AH104" s="119"/>
      <c r="AI104" s="100"/>
      <c r="AJ104" s="100"/>
      <c r="AK104" s="100"/>
      <c r="AU104" s="45"/>
    </row>
    <row r="105" spans="1:47" ht="12" customHeight="1">
      <c r="A105" s="87"/>
      <c r="B105" s="93"/>
      <c r="C105" s="89"/>
      <c r="D105" s="89"/>
      <c r="E105" s="112"/>
      <c r="F105" s="222"/>
      <c r="G105" s="113"/>
      <c r="H105" s="98"/>
      <c r="I105" s="92"/>
      <c r="J105" s="114"/>
      <c r="K105" s="89"/>
      <c r="L105" s="89"/>
      <c r="M105" s="89"/>
      <c r="N105" s="89"/>
      <c r="O105" s="91"/>
      <c r="P105" s="95"/>
      <c r="Q105" s="145"/>
      <c r="R105" s="122"/>
      <c r="S105" s="97"/>
      <c r="T105" s="97"/>
      <c r="U105" s="97"/>
      <c r="V105" s="118"/>
      <c r="W105" s="118"/>
      <c r="X105" s="118"/>
      <c r="Y105" s="118"/>
      <c r="Z105" s="89"/>
      <c r="AA105" s="97"/>
      <c r="AB105" s="89"/>
      <c r="AC105" s="120"/>
      <c r="AD105" s="89"/>
      <c r="AE105" s="89"/>
      <c r="AF105" s="119"/>
      <c r="AG105" s="119"/>
      <c r="AH105" s="119"/>
      <c r="AI105" s="100"/>
      <c r="AJ105" s="100"/>
      <c r="AK105" s="100"/>
      <c r="AU105" s="45"/>
    </row>
    <row r="106" spans="1:47" ht="12" customHeight="1">
      <c r="A106" s="87"/>
      <c r="B106" s="93"/>
      <c r="C106" s="89"/>
      <c r="D106" s="89"/>
      <c r="E106" s="112"/>
      <c r="F106" s="222"/>
      <c r="G106" s="113"/>
      <c r="H106" s="98"/>
      <c r="I106" s="92"/>
      <c r="J106" s="114"/>
      <c r="K106" s="89"/>
      <c r="L106" s="89"/>
      <c r="M106" s="89"/>
      <c r="N106" s="89"/>
      <c r="O106" s="91"/>
      <c r="P106" s="95"/>
      <c r="Q106" s="145"/>
      <c r="R106" s="122"/>
      <c r="S106" s="121"/>
      <c r="T106" s="97"/>
      <c r="U106" s="97"/>
      <c r="V106" s="118"/>
      <c r="W106" s="118"/>
      <c r="X106" s="118"/>
      <c r="Y106" s="98"/>
      <c r="Z106" s="89"/>
      <c r="AA106" s="97"/>
      <c r="AB106" s="89"/>
      <c r="AC106" s="120"/>
      <c r="AD106" s="89"/>
      <c r="AE106" s="89"/>
      <c r="AF106" s="119"/>
      <c r="AG106" s="119"/>
      <c r="AH106" s="119"/>
      <c r="AI106" s="100"/>
      <c r="AJ106" s="100"/>
      <c r="AK106" s="100"/>
      <c r="AU106" s="45"/>
    </row>
    <row r="107" spans="1:47" ht="12" customHeight="1">
      <c r="A107" s="87"/>
      <c r="B107" s="93"/>
      <c r="C107" s="89"/>
      <c r="D107" s="89"/>
      <c r="E107" s="112"/>
      <c r="F107" s="222"/>
      <c r="G107" s="113"/>
      <c r="H107" s="98"/>
      <c r="I107" s="92"/>
      <c r="J107" s="114"/>
      <c r="K107" s="89"/>
      <c r="L107" s="89"/>
      <c r="M107" s="89"/>
      <c r="N107" s="89"/>
      <c r="O107" s="91"/>
      <c r="P107" s="95"/>
      <c r="Q107" s="145"/>
      <c r="R107" s="122"/>
      <c r="S107" s="121"/>
      <c r="T107" s="97"/>
      <c r="U107" s="97"/>
      <c r="V107" s="118"/>
      <c r="W107" s="118"/>
      <c r="X107" s="118"/>
      <c r="Y107" s="98"/>
      <c r="Z107" s="89"/>
      <c r="AA107" s="97"/>
      <c r="AB107" s="89"/>
      <c r="AC107" s="120"/>
      <c r="AD107" s="89"/>
      <c r="AE107" s="89"/>
      <c r="AF107" s="119"/>
      <c r="AG107" s="119"/>
      <c r="AH107" s="119"/>
      <c r="AI107" s="100"/>
      <c r="AJ107" s="100"/>
      <c r="AK107" s="100"/>
      <c r="AU107" s="45"/>
    </row>
    <row r="108" spans="1:47" ht="12" customHeight="1">
      <c r="A108" s="87"/>
      <c r="B108" s="93"/>
      <c r="C108" s="89"/>
      <c r="D108" s="89"/>
      <c r="E108" s="112"/>
      <c r="F108" s="222"/>
      <c r="G108" s="113"/>
      <c r="H108" s="98"/>
      <c r="I108" s="92"/>
      <c r="J108" s="114"/>
      <c r="K108" s="89"/>
      <c r="L108" s="89"/>
      <c r="M108" s="89"/>
      <c r="N108" s="89"/>
      <c r="O108" s="91"/>
      <c r="P108" s="95"/>
      <c r="Q108" s="145"/>
      <c r="R108" s="122"/>
      <c r="S108" s="97"/>
      <c r="T108" s="97"/>
      <c r="U108" s="97"/>
      <c r="V108" s="118"/>
      <c r="W108" s="118"/>
      <c r="X108" s="118"/>
      <c r="Y108" s="118"/>
      <c r="Z108" s="89"/>
      <c r="AA108" s="97"/>
      <c r="AB108" s="89"/>
      <c r="AC108" s="120"/>
      <c r="AD108" s="89"/>
      <c r="AE108" s="89"/>
      <c r="AF108" s="119"/>
      <c r="AG108" s="119"/>
      <c r="AH108" s="119"/>
      <c r="AI108" s="100"/>
      <c r="AJ108" s="100"/>
      <c r="AK108" s="100"/>
      <c r="AU108" s="45"/>
    </row>
    <row r="109" spans="1:47" ht="12" customHeight="1">
      <c r="A109" s="87"/>
      <c r="B109" s="93"/>
      <c r="C109" s="89"/>
      <c r="D109" s="89"/>
      <c r="E109" s="112"/>
      <c r="F109" s="222"/>
      <c r="G109" s="113"/>
      <c r="H109" s="98"/>
      <c r="I109" s="92"/>
      <c r="J109" s="114"/>
      <c r="K109" s="89"/>
      <c r="L109" s="89"/>
      <c r="M109" s="89"/>
      <c r="N109" s="89"/>
      <c r="O109" s="91"/>
      <c r="P109" s="95"/>
      <c r="Q109" s="145"/>
      <c r="R109" s="122"/>
      <c r="S109" s="97"/>
      <c r="T109" s="97"/>
      <c r="U109" s="97"/>
      <c r="V109" s="118"/>
      <c r="W109" s="118"/>
      <c r="X109" s="118"/>
      <c r="Y109" s="118"/>
      <c r="Z109" s="89"/>
      <c r="AA109" s="97"/>
      <c r="AB109" s="89"/>
      <c r="AC109" s="120"/>
      <c r="AD109" s="89"/>
      <c r="AE109" s="89"/>
      <c r="AF109" s="119"/>
      <c r="AG109" s="119"/>
      <c r="AH109" s="119"/>
      <c r="AI109" s="100"/>
      <c r="AJ109" s="100"/>
      <c r="AK109" s="100"/>
      <c r="AU109" s="45"/>
    </row>
    <row r="110" spans="1:47" ht="12" customHeight="1">
      <c r="A110" s="87"/>
      <c r="B110" s="93"/>
      <c r="C110" s="89"/>
      <c r="D110" s="89"/>
      <c r="E110" s="112"/>
      <c r="F110" s="222"/>
      <c r="G110" s="113"/>
      <c r="H110" s="98"/>
      <c r="I110" s="92"/>
      <c r="J110" s="114"/>
      <c r="K110" s="89"/>
      <c r="L110" s="89"/>
      <c r="M110" s="89"/>
      <c r="N110" s="89"/>
      <c r="O110" s="91"/>
      <c r="P110" s="95"/>
      <c r="Q110" s="145"/>
      <c r="R110" s="122"/>
      <c r="S110" s="97"/>
      <c r="T110" s="97"/>
      <c r="U110" s="97"/>
      <c r="V110" s="118"/>
      <c r="W110" s="118"/>
      <c r="X110" s="118"/>
      <c r="Y110" s="98"/>
      <c r="Z110" s="89"/>
      <c r="AA110" s="97"/>
      <c r="AB110" s="89"/>
      <c r="AC110" s="120"/>
      <c r="AD110" s="89"/>
      <c r="AE110" s="89"/>
      <c r="AF110" s="119"/>
      <c r="AG110" s="119"/>
      <c r="AH110" s="119"/>
      <c r="AI110" s="100"/>
      <c r="AJ110" s="100"/>
      <c r="AK110" s="100"/>
      <c r="AU110" s="45"/>
    </row>
    <row r="111" spans="1:47" ht="12" customHeight="1">
      <c r="A111" s="87"/>
      <c r="B111" s="93"/>
      <c r="C111" s="89"/>
      <c r="D111" s="89"/>
      <c r="E111" s="112"/>
      <c r="F111" s="222"/>
      <c r="G111" s="113"/>
      <c r="H111" s="98"/>
      <c r="I111" s="92"/>
      <c r="J111" s="114"/>
      <c r="K111" s="89"/>
      <c r="L111" s="89"/>
      <c r="M111" s="89"/>
      <c r="N111" s="89"/>
      <c r="O111" s="91"/>
      <c r="P111" s="95"/>
      <c r="Q111" s="145"/>
      <c r="R111" s="122"/>
      <c r="S111" s="97"/>
      <c r="T111" s="97"/>
      <c r="U111" s="97"/>
      <c r="V111" s="118"/>
      <c r="W111" s="118"/>
      <c r="X111" s="118"/>
      <c r="Y111" s="98"/>
      <c r="Z111" s="89"/>
      <c r="AA111" s="122"/>
      <c r="AB111" s="89"/>
      <c r="AC111" s="120"/>
      <c r="AD111" s="89"/>
      <c r="AE111" s="89"/>
      <c r="AF111" s="119"/>
      <c r="AG111" s="119"/>
      <c r="AH111" s="119"/>
      <c r="AI111" s="100"/>
      <c r="AJ111" s="100"/>
      <c r="AK111" s="100"/>
      <c r="AU111" s="45"/>
    </row>
    <row r="112" spans="1:47" ht="12" customHeight="1">
      <c r="A112" s="87"/>
      <c r="B112" s="93"/>
      <c r="C112" s="89"/>
      <c r="D112" s="89"/>
      <c r="E112" s="112"/>
      <c r="F112" s="222"/>
      <c r="G112" s="113"/>
      <c r="H112" s="98"/>
      <c r="I112" s="92"/>
      <c r="J112" s="114"/>
      <c r="K112" s="89"/>
      <c r="L112" s="89"/>
      <c r="M112" s="89"/>
      <c r="N112" s="89"/>
      <c r="O112" s="91"/>
      <c r="P112" s="95"/>
      <c r="Q112" s="145"/>
      <c r="R112" s="122"/>
      <c r="S112" s="97"/>
      <c r="T112" s="97"/>
      <c r="U112" s="97"/>
      <c r="V112" s="118"/>
      <c r="W112" s="118"/>
      <c r="X112" s="118"/>
      <c r="Y112" s="118"/>
      <c r="Z112" s="89"/>
      <c r="AA112" s="97"/>
      <c r="AB112" s="89"/>
      <c r="AC112" s="120"/>
      <c r="AD112" s="89"/>
      <c r="AE112" s="89"/>
      <c r="AF112" s="119"/>
      <c r="AG112" s="119"/>
      <c r="AH112" s="119"/>
      <c r="AI112" s="100"/>
      <c r="AJ112" s="100"/>
      <c r="AK112" s="100"/>
      <c r="AU112" s="45"/>
    </row>
    <row r="113" spans="1:47" ht="12" customHeight="1">
      <c r="A113" s="87"/>
      <c r="B113" s="93"/>
      <c r="C113" s="89"/>
      <c r="D113" s="89"/>
      <c r="E113" s="112"/>
      <c r="F113" s="222"/>
      <c r="G113" s="113"/>
      <c r="H113" s="98"/>
      <c r="I113" s="92"/>
      <c r="J113" s="114"/>
      <c r="K113" s="89"/>
      <c r="L113" s="89"/>
      <c r="M113" s="89"/>
      <c r="N113" s="89"/>
      <c r="O113" s="91"/>
      <c r="P113" s="95"/>
      <c r="Q113" s="145"/>
      <c r="R113" s="122"/>
      <c r="S113" s="97"/>
      <c r="T113" s="97"/>
      <c r="U113" s="97"/>
      <c r="V113" s="118"/>
      <c r="W113" s="118"/>
      <c r="X113" s="118"/>
      <c r="Y113" s="98"/>
      <c r="Z113" s="89"/>
      <c r="AA113" s="122"/>
      <c r="AB113" s="89"/>
      <c r="AC113" s="120"/>
      <c r="AD113" s="89"/>
      <c r="AE113" s="89"/>
      <c r="AF113" s="119"/>
      <c r="AG113" s="119"/>
      <c r="AH113" s="119"/>
      <c r="AI113" s="100"/>
      <c r="AJ113" s="100"/>
      <c r="AK113" s="100"/>
      <c r="AU113" s="45"/>
    </row>
    <row r="114" spans="1:47" ht="12" customHeight="1">
      <c r="A114" s="87"/>
      <c r="B114" s="93"/>
      <c r="C114" s="89"/>
      <c r="D114" s="89"/>
      <c r="E114" s="112"/>
      <c r="F114" s="222"/>
      <c r="G114" s="113"/>
      <c r="H114" s="98"/>
      <c r="I114" s="92"/>
      <c r="J114" s="114"/>
      <c r="K114" s="89"/>
      <c r="L114" s="89"/>
      <c r="M114" s="89"/>
      <c r="N114" s="89"/>
      <c r="O114" s="91"/>
      <c r="P114" s="95"/>
      <c r="Q114" s="145"/>
      <c r="R114" s="122"/>
      <c r="S114" s="97"/>
      <c r="T114" s="97"/>
      <c r="U114" s="97"/>
      <c r="V114" s="118"/>
      <c r="W114" s="118"/>
      <c r="X114" s="118"/>
      <c r="Y114" s="118"/>
      <c r="Z114" s="89"/>
      <c r="AA114" s="122"/>
      <c r="AB114" s="89"/>
      <c r="AC114" s="120"/>
      <c r="AD114" s="89"/>
      <c r="AE114" s="89"/>
      <c r="AF114" s="119"/>
      <c r="AG114" s="119"/>
      <c r="AH114" s="119"/>
      <c r="AI114" s="100"/>
      <c r="AJ114" s="100"/>
      <c r="AK114" s="100"/>
      <c r="AU114" s="45"/>
    </row>
    <row r="115" spans="1:47" ht="12" customHeight="1">
      <c r="A115" s="87"/>
      <c r="B115" s="93"/>
      <c r="C115" s="89"/>
      <c r="D115" s="89"/>
      <c r="E115" s="112"/>
      <c r="F115" s="222"/>
      <c r="G115" s="113"/>
      <c r="H115" s="98"/>
      <c r="I115" s="92"/>
      <c r="J115" s="114"/>
      <c r="K115" s="89"/>
      <c r="L115" s="89"/>
      <c r="M115" s="89"/>
      <c r="N115" s="89"/>
      <c r="O115" s="91"/>
      <c r="P115" s="95"/>
      <c r="Q115" s="145"/>
      <c r="R115" s="122"/>
      <c r="S115" s="97"/>
      <c r="T115" s="97"/>
      <c r="U115" s="97"/>
      <c r="V115" s="118"/>
      <c r="W115" s="118"/>
      <c r="X115" s="118"/>
      <c r="Y115" s="118"/>
      <c r="Z115" s="89"/>
      <c r="AA115" s="97"/>
      <c r="AB115" s="89"/>
      <c r="AC115" s="120"/>
      <c r="AD115" s="89"/>
      <c r="AE115" s="89"/>
      <c r="AF115" s="119"/>
      <c r="AG115" s="119"/>
      <c r="AH115" s="119"/>
      <c r="AI115" s="100"/>
      <c r="AJ115" s="100"/>
      <c r="AK115" s="100"/>
      <c r="AU115" s="45"/>
    </row>
    <row r="116" spans="1:47" ht="12" customHeight="1">
      <c r="A116" s="87"/>
      <c r="B116" s="93"/>
      <c r="C116" s="89"/>
      <c r="D116" s="89"/>
      <c r="E116" s="112"/>
      <c r="F116" s="222"/>
      <c r="G116" s="113"/>
      <c r="H116" s="98"/>
      <c r="I116" s="92"/>
      <c r="J116" s="114"/>
      <c r="K116" s="89"/>
      <c r="L116" s="89"/>
      <c r="M116" s="89"/>
      <c r="N116" s="89"/>
      <c r="O116" s="91"/>
      <c r="P116" s="95"/>
      <c r="Q116" s="145"/>
      <c r="R116" s="122"/>
      <c r="S116" s="97"/>
      <c r="T116" s="97"/>
      <c r="U116" s="97"/>
      <c r="V116" s="118"/>
      <c r="W116" s="118"/>
      <c r="X116" s="98"/>
      <c r="Y116" s="98"/>
      <c r="Z116" s="89"/>
      <c r="AA116" s="122"/>
      <c r="AB116" s="89"/>
      <c r="AC116" s="120"/>
      <c r="AD116" s="89"/>
      <c r="AE116" s="89"/>
      <c r="AF116" s="119"/>
      <c r="AG116" s="119"/>
      <c r="AH116" s="119"/>
      <c r="AI116" s="100"/>
      <c r="AJ116" s="100"/>
      <c r="AK116" s="100"/>
      <c r="AU116" s="45"/>
    </row>
    <row r="117" spans="1:47" ht="12" customHeight="1">
      <c r="A117" s="87"/>
      <c r="B117" s="93"/>
      <c r="C117" s="89"/>
      <c r="D117" s="89"/>
      <c r="E117" s="112"/>
      <c r="F117" s="222"/>
      <c r="G117" s="113"/>
      <c r="H117" s="98"/>
      <c r="I117" s="92"/>
      <c r="J117" s="114"/>
      <c r="K117" s="89"/>
      <c r="L117" s="89"/>
      <c r="M117" s="89"/>
      <c r="N117" s="89"/>
      <c r="O117" s="91"/>
      <c r="P117" s="95"/>
      <c r="Q117" s="145"/>
      <c r="R117" s="122"/>
      <c r="S117" s="121"/>
      <c r="T117" s="97"/>
      <c r="U117" s="97"/>
      <c r="V117" s="118"/>
      <c r="W117" s="118"/>
      <c r="X117" s="118"/>
      <c r="Y117" s="98"/>
      <c r="Z117" s="89"/>
      <c r="AA117" s="97"/>
      <c r="AB117" s="89"/>
      <c r="AC117" s="120"/>
      <c r="AD117" s="89"/>
      <c r="AE117" s="89"/>
      <c r="AF117" s="119"/>
      <c r="AG117" s="119"/>
      <c r="AH117" s="119"/>
      <c r="AI117" s="100"/>
      <c r="AJ117" s="100"/>
      <c r="AK117" s="100"/>
      <c r="AU117" s="45"/>
    </row>
    <row r="118" spans="1:47" ht="12" customHeight="1">
      <c r="A118" s="87"/>
      <c r="B118" s="93"/>
      <c r="C118" s="89"/>
      <c r="D118" s="89"/>
      <c r="E118" s="112"/>
      <c r="F118" s="222"/>
      <c r="G118" s="113"/>
      <c r="H118" s="98"/>
      <c r="I118" s="92"/>
      <c r="J118" s="114"/>
      <c r="K118" s="89"/>
      <c r="L118" s="89"/>
      <c r="M118" s="89"/>
      <c r="N118" s="89"/>
      <c r="O118" s="91"/>
      <c r="P118" s="95"/>
      <c r="Q118" s="145"/>
      <c r="R118" s="122"/>
      <c r="S118" s="121"/>
      <c r="T118" s="97"/>
      <c r="U118" s="97"/>
      <c r="V118" s="118"/>
      <c r="W118" s="118"/>
      <c r="X118" s="118"/>
      <c r="Y118" s="98"/>
      <c r="Z118" s="89"/>
      <c r="AA118" s="97"/>
      <c r="AB118" s="89"/>
      <c r="AC118" s="120"/>
      <c r="AD118" s="89"/>
      <c r="AE118" s="89"/>
      <c r="AF118" s="119"/>
      <c r="AG118" s="119"/>
      <c r="AH118" s="119"/>
      <c r="AI118" s="100"/>
      <c r="AJ118" s="100"/>
      <c r="AK118" s="100"/>
      <c r="AU118" s="45"/>
    </row>
    <row r="119" spans="1:47" ht="12" customHeight="1">
      <c r="A119" s="87"/>
      <c r="B119" s="93"/>
      <c r="C119" s="89"/>
      <c r="D119" s="89"/>
      <c r="E119" s="112"/>
      <c r="F119" s="222"/>
      <c r="G119" s="113"/>
      <c r="H119" s="98"/>
      <c r="I119" s="92"/>
      <c r="J119" s="114"/>
      <c r="K119" s="89"/>
      <c r="L119" s="89"/>
      <c r="M119" s="89"/>
      <c r="N119" s="89"/>
      <c r="O119" s="91"/>
      <c r="P119" s="95"/>
      <c r="Q119" s="145"/>
      <c r="R119" s="122"/>
      <c r="S119" s="97"/>
      <c r="T119" s="97"/>
      <c r="U119" s="97"/>
      <c r="V119" s="118"/>
      <c r="W119" s="118"/>
      <c r="X119" s="98"/>
      <c r="Y119" s="98"/>
      <c r="Z119" s="89"/>
      <c r="AA119" s="97"/>
      <c r="AB119" s="89"/>
      <c r="AC119" s="120"/>
      <c r="AD119" s="89"/>
      <c r="AE119" s="89"/>
      <c r="AF119" s="119"/>
      <c r="AG119" s="119"/>
      <c r="AH119" s="119"/>
      <c r="AI119" s="100"/>
      <c r="AJ119" s="100"/>
      <c r="AK119" s="100"/>
      <c r="AU119" s="45"/>
    </row>
    <row r="120" spans="1:47" ht="12" customHeight="1">
      <c r="A120" s="87"/>
      <c r="B120" s="93"/>
      <c r="C120" s="89"/>
      <c r="D120" s="89"/>
      <c r="E120" s="112"/>
      <c r="F120" s="222"/>
      <c r="G120" s="113"/>
      <c r="H120" s="98"/>
      <c r="I120" s="92"/>
      <c r="J120" s="114"/>
      <c r="K120" s="89"/>
      <c r="L120" s="89"/>
      <c r="M120" s="89"/>
      <c r="N120" s="89"/>
      <c r="O120" s="91"/>
      <c r="P120" s="95"/>
      <c r="Q120" s="145"/>
      <c r="R120" s="122"/>
      <c r="S120" s="97"/>
      <c r="T120" s="97"/>
      <c r="U120" s="97"/>
      <c r="V120" s="118"/>
      <c r="W120" s="118"/>
      <c r="X120" s="98"/>
      <c r="Y120" s="98"/>
      <c r="Z120" s="89"/>
      <c r="AA120" s="97"/>
      <c r="AB120" s="89"/>
      <c r="AC120" s="120"/>
      <c r="AD120" s="89"/>
      <c r="AE120" s="89"/>
      <c r="AF120" s="119"/>
      <c r="AG120" s="119"/>
      <c r="AH120" s="119"/>
      <c r="AI120" s="100"/>
      <c r="AJ120" s="100"/>
      <c r="AK120" s="100"/>
      <c r="AU120" s="45"/>
    </row>
    <row r="121" spans="1:47" ht="12" customHeight="1">
      <c r="A121" s="87"/>
      <c r="B121" s="93"/>
      <c r="C121" s="89"/>
      <c r="D121" s="89"/>
      <c r="E121" s="112"/>
      <c r="F121" s="222"/>
      <c r="G121" s="113"/>
      <c r="H121" s="98"/>
      <c r="I121" s="92"/>
      <c r="J121" s="114"/>
      <c r="K121" s="89"/>
      <c r="L121" s="89"/>
      <c r="M121" s="89"/>
      <c r="N121" s="89"/>
      <c r="O121" s="91"/>
      <c r="P121" s="95"/>
      <c r="Q121" s="145"/>
      <c r="R121" s="122"/>
      <c r="S121" s="97"/>
      <c r="T121" s="97"/>
      <c r="U121" s="97"/>
      <c r="V121" s="118"/>
      <c r="W121" s="118"/>
      <c r="X121" s="98"/>
      <c r="Y121" s="98"/>
      <c r="Z121" s="89"/>
      <c r="AA121" s="97"/>
      <c r="AB121" s="89"/>
      <c r="AC121" s="120"/>
      <c r="AD121" s="89"/>
      <c r="AE121" s="89"/>
      <c r="AF121" s="119"/>
      <c r="AG121" s="119"/>
      <c r="AH121" s="119"/>
      <c r="AI121" s="100"/>
      <c r="AJ121" s="100"/>
      <c r="AK121" s="100"/>
      <c r="AU121" s="45"/>
    </row>
    <row r="122" spans="1:47" ht="12" customHeight="1">
      <c r="A122" s="87"/>
      <c r="B122" s="93"/>
      <c r="C122" s="89"/>
      <c r="D122" s="89"/>
      <c r="E122" s="112"/>
      <c r="F122" s="222"/>
      <c r="G122" s="113"/>
      <c r="H122" s="98"/>
      <c r="I122" s="92"/>
      <c r="J122" s="114"/>
      <c r="K122" s="89"/>
      <c r="L122" s="89"/>
      <c r="M122" s="89"/>
      <c r="N122" s="89"/>
      <c r="O122" s="91"/>
      <c r="P122" s="95"/>
      <c r="Q122" s="145"/>
      <c r="R122" s="122"/>
      <c r="S122" s="97"/>
      <c r="T122" s="97"/>
      <c r="U122" s="97"/>
      <c r="V122" s="118"/>
      <c r="W122" s="118"/>
      <c r="X122" s="98"/>
      <c r="Y122" s="98"/>
      <c r="Z122" s="89"/>
      <c r="AA122" s="122"/>
      <c r="AB122" s="89"/>
      <c r="AC122" s="120"/>
      <c r="AD122" s="89"/>
      <c r="AE122" s="89"/>
      <c r="AF122" s="119"/>
      <c r="AG122" s="119"/>
      <c r="AH122" s="119"/>
      <c r="AI122" s="100"/>
      <c r="AJ122" s="100"/>
      <c r="AK122" s="100"/>
      <c r="AU122" s="45"/>
    </row>
    <row r="123" spans="1:47" ht="12" customHeight="1">
      <c r="A123" s="87"/>
      <c r="B123" s="93"/>
      <c r="C123" s="89"/>
      <c r="D123" s="89"/>
      <c r="E123" s="112"/>
      <c r="F123" s="222"/>
      <c r="G123" s="113"/>
      <c r="H123" s="98"/>
      <c r="I123" s="92"/>
      <c r="J123" s="114"/>
      <c r="K123" s="89"/>
      <c r="L123" s="89"/>
      <c r="M123" s="89"/>
      <c r="N123" s="89"/>
      <c r="O123" s="91"/>
      <c r="P123" s="95"/>
      <c r="Q123" s="145"/>
      <c r="R123" s="122"/>
      <c r="S123" s="97"/>
      <c r="T123" s="97"/>
      <c r="U123" s="97"/>
      <c r="V123" s="118"/>
      <c r="W123" s="118"/>
      <c r="X123" s="98"/>
      <c r="Y123" s="98"/>
      <c r="Z123" s="89"/>
      <c r="AA123" s="97"/>
      <c r="AB123" s="89"/>
      <c r="AC123" s="120"/>
      <c r="AD123" s="89"/>
      <c r="AE123" s="89"/>
      <c r="AF123" s="119"/>
      <c r="AG123" s="119"/>
      <c r="AH123" s="119"/>
      <c r="AI123" s="100"/>
      <c r="AJ123" s="100"/>
      <c r="AK123" s="100"/>
      <c r="AU123" s="45"/>
    </row>
    <row r="124" spans="1:47" ht="12" customHeight="1">
      <c r="A124" s="87"/>
      <c r="B124" s="93"/>
      <c r="C124" s="89"/>
      <c r="D124" s="89"/>
      <c r="E124" s="112"/>
      <c r="F124" s="222"/>
      <c r="G124" s="113"/>
      <c r="H124" s="98"/>
      <c r="I124" s="92"/>
      <c r="J124" s="114"/>
      <c r="K124" s="89"/>
      <c r="L124" s="89"/>
      <c r="M124" s="89"/>
      <c r="N124" s="89"/>
      <c r="O124" s="91"/>
      <c r="P124" s="95"/>
      <c r="Q124" s="145"/>
      <c r="R124" s="122"/>
      <c r="S124" s="97"/>
      <c r="T124" s="97"/>
      <c r="U124" s="97"/>
      <c r="V124" s="118"/>
      <c r="W124" s="118"/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/>
      <c r="AK124" s="100"/>
      <c r="AU124" s="45"/>
    </row>
    <row r="125" spans="1:47" ht="12" customHeight="1">
      <c r="A125" s="87"/>
      <c r="B125" s="93"/>
      <c r="C125" s="89"/>
      <c r="D125" s="89"/>
      <c r="E125" s="112"/>
      <c r="F125" s="222"/>
      <c r="G125" s="113"/>
      <c r="H125" s="98"/>
      <c r="I125" s="92"/>
      <c r="J125" s="114"/>
      <c r="K125" s="89"/>
      <c r="L125" s="89"/>
      <c r="M125" s="89"/>
      <c r="N125" s="89"/>
      <c r="O125" s="91"/>
      <c r="P125" s="95"/>
      <c r="Q125" s="145"/>
      <c r="R125" s="122"/>
      <c r="S125" s="97"/>
      <c r="T125" s="97"/>
      <c r="U125" s="97"/>
      <c r="V125" s="118"/>
      <c r="W125" s="118"/>
      <c r="X125" s="118"/>
      <c r="Y125" s="118"/>
      <c r="Z125" s="89"/>
      <c r="AA125" s="97"/>
      <c r="AB125" s="89"/>
      <c r="AC125" s="120"/>
      <c r="AD125" s="89"/>
      <c r="AE125" s="89"/>
      <c r="AF125" s="119"/>
      <c r="AG125" s="119"/>
      <c r="AH125" s="119"/>
      <c r="AI125" s="100"/>
      <c r="AJ125" s="100"/>
      <c r="AK125" s="100"/>
      <c r="AU125" s="45"/>
    </row>
    <row r="126" spans="1:47" ht="12" customHeight="1">
      <c r="A126" s="87"/>
      <c r="B126" s="93"/>
      <c r="C126" s="89"/>
      <c r="D126" s="89"/>
      <c r="E126" s="112"/>
      <c r="F126" s="222"/>
      <c r="G126" s="113"/>
      <c r="H126" s="98"/>
      <c r="I126" s="92"/>
      <c r="J126" s="114"/>
      <c r="K126" s="89"/>
      <c r="L126" s="89"/>
      <c r="M126" s="89"/>
      <c r="N126" s="89"/>
      <c r="O126" s="91"/>
      <c r="P126" s="95"/>
      <c r="Q126" s="145"/>
      <c r="R126" s="122"/>
      <c r="S126" s="97"/>
      <c r="T126" s="97"/>
      <c r="U126" s="97"/>
      <c r="V126" s="118"/>
      <c r="W126" s="118"/>
      <c r="X126" s="98"/>
      <c r="Y126" s="98"/>
      <c r="Z126" s="89"/>
      <c r="AA126" s="97"/>
      <c r="AB126" s="89"/>
      <c r="AC126" s="120"/>
      <c r="AD126" s="89"/>
      <c r="AE126" s="89"/>
      <c r="AF126" s="119"/>
      <c r="AG126" s="119"/>
      <c r="AH126" s="119"/>
      <c r="AI126" s="100"/>
      <c r="AJ126" s="100"/>
      <c r="AK126" s="100"/>
      <c r="AU126" s="45"/>
    </row>
    <row r="127" spans="1:47" ht="12" customHeight="1">
      <c r="A127" s="87"/>
      <c r="B127" s="93"/>
      <c r="C127" s="89"/>
      <c r="D127" s="89"/>
      <c r="E127" s="112"/>
      <c r="F127" s="222"/>
      <c r="G127" s="113"/>
      <c r="H127" s="98"/>
      <c r="I127" s="92"/>
      <c r="J127" s="114"/>
      <c r="K127" s="89"/>
      <c r="L127" s="89"/>
      <c r="M127" s="89"/>
      <c r="N127" s="89"/>
      <c r="O127" s="91"/>
      <c r="P127" s="95"/>
      <c r="Q127" s="145"/>
      <c r="R127" s="122"/>
      <c r="S127" s="97"/>
      <c r="T127" s="97"/>
      <c r="U127" s="97"/>
      <c r="V127" s="118"/>
      <c r="W127" s="118"/>
      <c r="X127" s="98"/>
      <c r="Y127" s="98"/>
      <c r="Z127" s="89"/>
      <c r="AA127" s="97"/>
      <c r="AB127" s="89"/>
      <c r="AC127" s="120"/>
      <c r="AD127" s="89"/>
      <c r="AE127" s="89"/>
      <c r="AF127" s="119"/>
      <c r="AG127" s="119"/>
      <c r="AH127" s="119"/>
      <c r="AI127" s="100"/>
      <c r="AJ127" s="100"/>
      <c r="AK127" s="100"/>
      <c r="AU127" s="45"/>
    </row>
    <row r="128" spans="1:47" ht="12" customHeight="1">
      <c r="A128" s="87"/>
      <c r="B128" s="93"/>
      <c r="C128" s="89"/>
      <c r="D128" s="89"/>
      <c r="E128" s="112"/>
      <c r="F128" s="222"/>
      <c r="G128" s="113"/>
      <c r="H128" s="98"/>
      <c r="I128" s="92"/>
      <c r="J128" s="114"/>
      <c r="K128" s="89"/>
      <c r="L128" s="89"/>
      <c r="M128" s="89"/>
      <c r="N128" s="89"/>
      <c r="O128" s="91"/>
      <c r="P128" s="95"/>
      <c r="Q128" s="145"/>
      <c r="R128" s="122"/>
      <c r="S128" s="97"/>
      <c r="T128" s="97"/>
      <c r="U128" s="97"/>
      <c r="V128" s="118"/>
      <c r="W128" s="118"/>
      <c r="X128" s="98"/>
      <c r="Y128" s="98"/>
      <c r="Z128" s="89"/>
      <c r="AA128" s="97"/>
      <c r="AB128" s="89"/>
      <c r="AC128" s="120"/>
      <c r="AD128" s="89"/>
      <c r="AE128" s="89"/>
      <c r="AF128" s="119"/>
      <c r="AG128" s="119"/>
      <c r="AH128" s="119"/>
      <c r="AI128" s="100"/>
      <c r="AJ128" s="100"/>
      <c r="AK128" s="100"/>
      <c r="AU128" s="45"/>
    </row>
    <row r="129" spans="1:47" ht="12" customHeight="1">
      <c r="A129" s="87"/>
      <c r="B129" s="93"/>
      <c r="C129" s="89"/>
      <c r="D129" s="89"/>
      <c r="E129" s="112"/>
      <c r="F129" s="222"/>
      <c r="G129" s="113"/>
      <c r="H129" s="98"/>
      <c r="I129" s="92"/>
      <c r="J129" s="114"/>
      <c r="K129" s="89"/>
      <c r="L129" s="89"/>
      <c r="M129" s="89"/>
      <c r="N129" s="89"/>
      <c r="O129" s="91"/>
      <c r="P129" s="95"/>
      <c r="Q129" s="145"/>
      <c r="R129" s="122"/>
      <c r="S129" s="97"/>
      <c r="T129" s="97"/>
      <c r="U129" s="97"/>
      <c r="V129" s="118"/>
      <c r="W129" s="118"/>
      <c r="X129" s="98"/>
      <c r="Y129" s="98"/>
      <c r="Z129" s="89"/>
      <c r="AA129" s="122"/>
      <c r="AB129" s="89"/>
      <c r="AC129" s="120"/>
      <c r="AD129" s="89"/>
      <c r="AE129" s="89"/>
      <c r="AF129" s="119"/>
      <c r="AG129" s="119"/>
      <c r="AH129" s="119"/>
      <c r="AI129" s="100"/>
      <c r="AJ129" s="100"/>
      <c r="AK129" s="100"/>
      <c r="AU129" s="45"/>
    </row>
    <row r="130" spans="1:47" ht="12" customHeight="1">
      <c r="A130" s="87"/>
      <c r="B130" s="93"/>
      <c r="C130" s="89"/>
      <c r="D130" s="89"/>
      <c r="E130" s="112"/>
      <c r="F130" s="222"/>
      <c r="G130" s="113"/>
      <c r="H130" s="98"/>
      <c r="I130" s="92"/>
      <c r="J130" s="114"/>
      <c r="K130" s="89"/>
      <c r="L130" s="89"/>
      <c r="M130" s="89"/>
      <c r="N130" s="89"/>
      <c r="O130" s="91"/>
      <c r="P130" s="95"/>
      <c r="Q130" s="145"/>
      <c r="R130" s="122"/>
      <c r="S130" s="97"/>
      <c r="T130" s="97"/>
      <c r="U130" s="97"/>
      <c r="V130" s="118"/>
      <c r="W130" s="118"/>
      <c r="X130" s="98"/>
      <c r="Y130" s="98"/>
      <c r="Z130" s="89"/>
      <c r="AA130" s="97"/>
      <c r="AB130" s="89"/>
      <c r="AC130" s="120"/>
      <c r="AD130" s="89"/>
      <c r="AE130" s="89"/>
      <c r="AF130" s="119"/>
      <c r="AG130" s="119"/>
      <c r="AH130" s="119"/>
      <c r="AI130" s="100"/>
      <c r="AJ130" s="100"/>
      <c r="AK130" s="100"/>
      <c r="AU130" s="45"/>
    </row>
    <row r="131" spans="1:47" ht="12" customHeight="1">
      <c r="A131" s="87"/>
      <c r="B131" s="93"/>
      <c r="C131" s="89"/>
      <c r="D131" s="89"/>
      <c r="E131" s="112"/>
      <c r="F131" s="222"/>
      <c r="G131" s="113"/>
      <c r="H131" s="98"/>
      <c r="I131" s="92"/>
      <c r="J131" s="114"/>
      <c r="K131" s="89"/>
      <c r="L131" s="89"/>
      <c r="M131" s="89"/>
      <c r="N131" s="89"/>
      <c r="O131" s="91"/>
      <c r="P131" s="95"/>
      <c r="Q131" s="145"/>
      <c r="R131" s="122"/>
      <c r="S131" s="97"/>
      <c r="T131" s="97"/>
      <c r="U131" s="97"/>
      <c r="V131" s="118"/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/>
      <c r="AK131" s="100"/>
      <c r="AU131" s="45"/>
    </row>
    <row r="132" spans="1:47" ht="12" customHeight="1">
      <c r="A132" s="87"/>
      <c r="B132" s="93"/>
      <c r="C132" s="89"/>
      <c r="D132" s="89"/>
      <c r="E132" s="112"/>
      <c r="F132" s="222"/>
      <c r="G132" s="113"/>
      <c r="H132" s="98"/>
      <c r="I132" s="92"/>
      <c r="J132" s="114"/>
      <c r="K132" s="89"/>
      <c r="L132" s="89"/>
      <c r="M132" s="89"/>
      <c r="N132" s="89"/>
      <c r="O132" s="91"/>
      <c r="P132" s="95"/>
      <c r="Q132" s="145"/>
      <c r="R132" s="122"/>
      <c r="S132" s="97"/>
      <c r="T132" s="97"/>
      <c r="U132" s="97"/>
      <c r="V132" s="118"/>
      <c r="W132" s="118"/>
      <c r="X132" s="98"/>
      <c r="Y132" s="118"/>
      <c r="Z132" s="89"/>
      <c r="AA132" s="122"/>
      <c r="AB132" s="89"/>
      <c r="AC132" s="120"/>
      <c r="AD132" s="89"/>
      <c r="AE132" s="89"/>
      <c r="AF132" s="119"/>
      <c r="AG132" s="119"/>
      <c r="AH132" s="119"/>
      <c r="AI132" s="100"/>
      <c r="AJ132" s="100"/>
      <c r="AK132" s="100"/>
      <c r="AU132" s="45"/>
    </row>
    <row r="133" spans="1:47" ht="12" customHeight="1">
      <c r="A133" s="87"/>
      <c r="B133" s="93"/>
      <c r="C133" s="89"/>
      <c r="D133" s="89"/>
      <c r="E133" s="112"/>
      <c r="F133" s="222"/>
      <c r="G133" s="113"/>
      <c r="H133" s="98"/>
      <c r="I133" s="92"/>
      <c r="J133" s="114"/>
      <c r="K133" s="89"/>
      <c r="L133" s="89"/>
      <c r="M133" s="89"/>
      <c r="N133" s="89"/>
      <c r="O133" s="91"/>
      <c r="P133" s="95"/>
      <c r="Q133" s="145"/>
      <c r="R133" s="122"/>
      <c r="S133" s="121"/>
      <c r="T133" s="97"/>
      <c r="U133" s="97"/>
      <c r="V133" s="118"/>
      <c r="W133" s="118"/>
      <c r="X133" s="118"/>
      <c r="Y133" s="98"/>
      <c r="Z133" s="89"/>
      <c r="AA133" s="122"/>
      <c r="AB133" s="89"/>
      <c r="AC133" s="120"/>
      <c r="AD133" s="89"/>
      <c r="AE133" s="89"/>
      <c r="AF133" s="119"/>
      <c r="AG133" s="119"/>
      <c r="AH133" s="119"/>
      <c r="AI133" s="100"/>
      <c r="AJ133" s="100"/>
      <c r="AK133" s="100"/>
      <c r="AU133" s="45"/>
    </row>
    <row r="134" spans="1:47" ht="12" customHeight="1">
      <c r="A134" s="87"/>
      <c r="B134" s="93"/>
      <c r="C134" s="89"/>
      <c r="D134" s="89"/>
      <c r="E134" s="112"/>
      <c r="F134" s="222"/>
      <c r="G134" s="113"/>
      <c r="H134" s="98"/>
      <c r="I134" s="92"/>
      <c r="J134" s="114"/>
      <c r="K134" s="89"/>
      <c r="L134" s="89"/>
      <c r="M134" s="89"/>
      <c r="N134" s="89"/>
      <c r="O134" s="91"/>
      <c r="P134" s="95"/>
      <c r="Q134" s="145"/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/>
      <c r="AK134" s="100"/>
      <c r="AU134" s="45"/>
    </row>
    <row r="135" spans="1:47" ht="12" customHeight="1">
      <c r="A135" s="87"/>
      <c r="B135" s="93"/>
      <c r="C135" s="89"/>
      <c r="D135" s="89"/>
      <c r="E135" s="112"/>
      <c r="F135" s="222"/>
      <c r="G135" s="113"/>
      <c r="H135" s="98"/>
      <c r="I135" s="92"/>
      <c r="J135" s="114"/>
      <c r="K135" s="89"/>
      <c r="L135" s="89"/>
      <c r="M135" s="89"/>
      <c r="N135" s="89"/>
      <c r="O135" s="91"/>
      <c r="P135" s="95"/>
      <c r="Q135" s="145"/>
      <c r="R135" s="122"/>
      <c r="S135" s="97"/>
      <c r="T135" s="97"/>
      <c r="U135" s="97"/>
      <c r="V135" s="118"/>
      <c r="W135" s="118"/>
      <c r="X135" s="98"/>
      <c r="Y135" s="11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/>
      <c r="AK135" s="100"/>
      <c r="AU135" s="45"/>
    </row>
    <row r="136" spans="1:47" ht="12" customHeight="1">
      <c r="A136" s="87"/>
      <c r="B136" s="93"/>
      <c r="C136" s="89"/>
      <c r="D136" s="89"/>
      <c r="E136" s="112"/>
      <c r="F136" s="222"/>
      <c r="G136" s="113"/>
      <c r="H136" s="98"/>
      <c r="I136" s="92"/>
      <c r="J136" s="114"/>
      <c r="K136" s="89"/>
      <c r="L136" s="89"/>
      <c r="M136" s="89"/>
      <c r="N136" s="89"/>
      <c r="O136" s="91"/>
      <c r="P136" s="95"/>
      <c r="Q136" s="145"/>
      <c r="R136" s="122"/>
      <c r="S136" s="97"/>
      <c r="T136" s="97"/>
      <c r="U136" s="97"/>
      <c r="V136" s="118"/>
      <c r="W136" s="118"/>
      <c r="X136" s="98"/>
      <c r="Y136" s="9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/>
      <c r="AK136" s="100"/>
      <c r="AU136" s="45"/>
    </row>
    <row r="137" spans="1:47" ht="12" customHeight="1">
      <c r="A137" s="87"/>
      <c r="B137" s="93"/>
      <c r="C137" s="89"/>
      <c r="D137" s="89"/>
      <c r="E137" s="112"/>
      <c r="F137" s="222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U137" s="45"/>
    </row>
    <row r="138" spans="1:47" ht="12" customHeight="1">
      <c r="A138" s="87"/>
      <c r="B138" s="93"/>
      <c r="C138" s="89"/>
      <c r="D138" s="89"/>
      <c r="E138" s="112"/>
      <c r="F138" s="222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U138" s="45"/>
    </row>
    <row r="139" spans="1:47" ht="12" customHeight="1">
      <c r="A139" s="87"/>
      <c r="B139" s="93"/>
      <c r="C139" s="89"/>
      <c r="D139" s="89"/>
      <c r="E139" s="112"/>
      <c r="F139" s="222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97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U139" s="45"/>
    </row>
    <row r="140" spans="1:47" ht="12" customHeight="1">
      <c r="A140" s="87"/>
      <c r="B140" s="93"/>
      <c r="C140" s="89"/>
      <c r="D140" s="89"/>
      <c r="E140" s="112"/>
      <c r="F140" s="222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122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U140" s="45"/>
    </row>
    <row r="141" spans="1:47" ht="12" customHeight="1">
      <c r="A141" s="87"/>
      <c r="B141" s="93"/>
      <c r="C141" s="89"/>
      <c r="D141" s="89"/>
      <c r="E141" s="112"/>
      <c r="F141" s="222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118"/>
      <c r="Y141" s="11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U141" s="45"/>
    </row>
    <row r="142" spans="1:47" ht="12" customHeight="1">
      <c r="A142" s="87"/>
      <c r="B142" s="93"/>
      <c r="C142" s="89"/>
      <c r="D142" s="89"/>
      <c r="E142" s="112"/>
      <c r="F142" s="222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98"/>
      <c r="Y142" s="9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U142" s="45"/>
    </row>
    <row r="143" spans="1:47" ht="12" customHeight="1">
      <c r="A143" s="87"/>
      <c r="B143" s="93"/>
      <c r="C143" s="89"/>
      <c r="D143" s="89"/>
      <c r="E143" s="112"/>
      <c r="F143" s="222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U143" s="45"/>
    </row>
    <row r="144" spans="1:47" ht="12" customHeight="1">
      <c r="A144" s="87"/>
      <c r="B144" s="93"/>
      <c r="C144" s="89"/>
      <c r="D144" s="89"/>
      <c r="E144" s="112"/>
      <c r="F144" s="222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97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U144" s="45"/>
    </row>
    <row r="145" spans="1:47" ht="12" customHeight="1">
      <c r="A145" s="87"/>
      <c r="B145" s="93"/>
      <c r="C145" s="89"/>
      <c r="D145" s="89"/>
      <c r="E145" s="112"/>
      <c r="F145" s="222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121"/>
      <c r="T145" s="97"/>
      <c r="U145" s="97"/>
      <c r="V145" s="118"/>
      <c r="W145" s="118"/>
      <c r="X145" s="118"/>
      <c r="Y145" s="98"/>
      <c r="Z145" s="89"/>
      <c r="AA145" s="122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U145" s="45"/>
    </row>
    <row r="146" spans="1:47" ht="12" customHeight="1">
      <c r="A146" s="87"/>
      <c r="B146" s="93"/>
      <c r="C146" s="89"/>
      <c r="D146" s="89"/>
      <c r="E146" s="112"/>
      <c r="F146" s="222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U146" s="45"/>
    </row>
    <row r="147" spans="1:47" ht="12" customHeight="1">
      <c r="A147" s="87"/>
      <c r="B147" s="93"/>
      <c r="C147" s="89"/>
      <c r="D147" s="89"/>
      <c r="E147" s="112"/>
      <c r="F147" s="222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U147" s="45"/>
    </row>
    <row r="148" spans="1:47" ht="12" customHeight="1">
      <c r="A148" s="87"/>
      <c r="B148" s="93"/>
      <c r="C148" s="89"/>
      <c r="D148" s="89"/>
      <c r="E148" s="112"/>
      <c r="F148" s="222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U148" s="45"/>
    </row>
    <row r="149" spans="1:47" ht="12" customHeight="1">
      <c r="A149" s="87"/>
      <c r="B149" s="93"/>
      <c r="C149" s="89"/>
      <c r="D149" s="89"/>
      <c r="E149" s="112"/>
      <c r="F149" s="222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U149" s="45"/>
    </row>
    <row r="150" spans="1:47" ht="12" customHeight="1">
      <c r="A150" s="87"/>
      <c r="B150" s="93"/>
      <c r="C150" s="89"/>
      <c r="D150" s="89"/>
      <c r="E150" s="112"/>
      <c r="F150" s="222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U150" s="45"/>
    </row>
    <row r="151" spans="1:47" ht="12" customHeight="1">
      <c r="A151" s="87"/>
      <c r="B151" s="93"/>
      <c r="C151" s="89"/>
      <c r="D151" s="89"/>
      <c r="E151" s="112"/>
      <c r="F151" s="222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U151" s="45"/>
    </row>
    <row r="152" spans="1:47" ht="12" customHeight="1">
      <c r="A152" s="87"/>
      <c r="B152" s="93"/>
      <c r="C152" s="89"/>
      <c r="D152" s="89"/>
      <c r="E152" s="112"/>
      <c r="F152" s="222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97"/>
      <c r="T152" s="97"/>
      <c r="U152" s="97"/>
      <c r="V152" s="118"/>
      <c r="W152" s="98"/>
      <c r="X152" s="9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U152" s="45"/>
    </row>
    <row r="153" spans="1:47" ht="12" customHeight="1">
      <c r="A153" s="87"/>
      <c r="B153" s="93"/>
      <c r="C153" s="89"/>
      <c r="D153" s="89"/>
      <c r="E153" s="112"/>
      <c r="F153" s="222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97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U153" s="45"/>
    </row>
    <row r="154" spans="1:47" ht="12" customHeight="1">
      <c r="A154" s="87"/>
      <c r="B154" s="93"/>
      <c r="C154" s="89"/>
      <c r="D154" s="89"/>
      <c r="E154" s="112"/>
      <c r="F154" s="222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U154" s="45"/>
    </row>
    <row r="155" spans="1:47" ht="12" customHeight="1">
      <c r="A155" s="87"/>
      <c r="B155" s="93"/>
      <c r="C155" s="89"/>
      <c r="D155" s="89"/>
      <c r="E155" s="112"/>
      <c r="F155" s="222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U155" s="45"/>
    </row>
    <row r="156" spans="1:47" ht="12" customHeight="1">
      <c r="A156" s="87"/>
      <c r="B156" s="93"/>
      <c r="C156" s="89"/>
      <c r="D156" s="89"/>
      <c r="E156" s="112"/>
      <c r="F156" s="222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U156" s="45"/>
    </row>
    <row r="157" spans="1:47" ht="12" customHeight="1">
      <c r="A157" s="87"/>
      <c r="B157" s="93"/>
      <c r="C157" s="89"/>
      <c r="D157" s="89"/>
      <c r="E157" s="112"/>
      <c r="F157" s="222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U157" s="45"/>
    </row>
    <row r="158" spans="1:47" ht="12" customHeight="1">
      <c r="A158" s="87"/>
      <c r="B158" s="93"/>
      <c r="C158" s="89"/>
      <c r="D158" s="89"/>
      <c r="E158" s="112"/>
      <c r="F158" s="222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U158" s="45"/>
    </row>
    <row r="159" spans="1:47" ht="12" customHeight="1">
      <c r="A159" s="87"/>
      <c r="B159" s="93"/>
      <c r="C159" s="89"/>
      <c r="D159" s="89"/>
      <c r="E159" s="112"/>
      <c r="F159" s="222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122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U159" s="45"/>
    </row>
    <row r="160" spans="1:47" ht="12" customHeight="1">
      <c r="A160" s="87"/>
      <c r="B160" s="93"/>
      <c r="C160" s="89"/>
      <c r="D160" s="89"/>
      <c r="E160" s="112"/>
      <c r="F160" s="222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97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U160" s="45"/>
    </row>
    <row r="161" spans="1:47" ht="12" customHeight="1">
      <c r="A161" s="87"/>
      <c r="B161" s="93"/>
      <c r="C161" s="89"/>
      <c r="D161" s="89"/>
      <c r="E161" s="112"/>
      <c r="F161" s="222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U161" s="45"/>
    </row>
    <row r="162" spans="1:47" ht="12" customHeight="1">
      <c r="A162" s="87"/>
      <c r="B162" s="93"/>
      <c r="C162" s="89"/>
      <c r="D162" s="89"/>
      <c r="E162" s="112"/>
      <c r="F162" s="222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118"/>
      <c r="X162" s="118"/>
      <c r="Y162" s="118"/>
      <c r="Z162" s="89"/>
      <c r="AA162" s="122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U162" s="45"/>
    </row>
    <row r="163" spans="1:47" ht="12" customHeight="1">
      <c r="A163" s="87"/>
      <c r="B163" s="93"/>
      <c r="C163" s="89"/>
      <c r="D163" s="89"/>
      <c r="E163" s="112"/>
      <c r="F163" s="222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97"/>
      <c r="S163" s="97"/>
      <c r="T163" s="97"/>
      <c r="U163" s="97"/>
      <c r="V163" s="118"/>
      <c r="W163" s="124"/>
      <c r="X163" s="98"/>
      <c r="Y163" s="9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U163" s="45"/>
    </row>
    <row r="164" spans="1:47" ht="12" customHeight="1">
      <c r="A164" s="87"/>
      <c r="B164" s="93"/>
      <c r="C164" s="89"/>
      <c r="D164" s="89"/>
      <c r="E164" s="112"/>
      <c r="F164" s="222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6"/>
      <c r="R164" s="122"/>
      <c r="S164" s="95"/>
      <c r="T164" s="97"/>
      <c r="U164" s="97"/>
      <c r="V164" s="118"/>
      <c r="W164" s="98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U164" s="45"/>
    </row>
    <row r="165" spans="1:47" ht="12" customHeight="1">
      <c r="A165" s="87"/>
      <c r="B165" s="93"/>
      <c r="C165" s="89"/>
      <c r="D165" s="89"/>
      <c r="E165" s="112"/>
      <c r="F165" s="222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5"/>
      <c r="R165" s="122"/>
      <c r="S165" s="97"/>
      <c r="T165" s="97"/>
      <c r="U165" s="97"/>
      <c r="V165" s="118"/>
      <c r="W165" s="118"/>
      <c r="X165" s="118"/>
      <c r="Y165" s="11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U165" s="45"/>
    </row>
    <row r="166" spans="1:47" ht="12" customHeight="1">
      <c r="A166" s="87"/>
      <c r="B166" s="93"/>
      <c r="C166" s="89"/>
      <c r="D166" s="89"/>
      <c r="E166" s="112"/>
      <c r="F166" s="222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122"/>
      <c r="T166" s="97"/>
      <c r="U166" s="97"/>
      <c r="V166" s="118"/>
      <c r="W166" s="124"/>
      <c r="X166" s="98"/>
      <c r="Y166" s="9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U166" s="45"/>
    </row>
    <row r="167" spans="1:47" ht="12" customHeight="1">
      <c r="A167" s="87"/>
      <c r="B167" s="93"/>
      <c r="C167" s="89"/>
      <c r="D167" s="89"/>
      <c r="E167" s="112"/>
      <c r="F167" s="222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1"/>
      <c r="T167" s="97"/>
      <c r="U167" s="97"/>
      <c r="V167" s="118"/>
      <c r="W167" s="118"/>
      <c r="X167" s="11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U167" s="45"/>
    </row>
    <row r="168" spans="1:47" ht="12" customHeight="1">
      <c r="A168" s="89"/>
      <c r="B168" s="93"/>
      <c r="C168" s="89"/>
      <c r="D168" s="89"/>
      <c r="E168" s="112"/>
      <c r="F168" s="222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U168" s="45"/>
    </row>
    <row r="169" spans="1:47" ht="12" customHeight="1">
      <c r="A169" s="87"/>
      <c r="B169" s="93"/>
      <c r="C169" s="89"/>
      <c r="D169" s="89"/>
      <c r="E169" s="112"/>
      <c r="F169" s="222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97"/>
      <c r="T169" s="97"/>
      <c r="U169" s="97"/>
      <c r="V169" s="118"/>
      <c r="W169" s="98"/>
      <c r="X169" s="98"/>
      <c r="Y169" s="98"/>
      <c r="Z169" s="89"/>
      <c r="AA169" s="97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U169" s="45"/>
    </row>
    <row r="170" spans="1:47" ht="12" customHeight="1">
      <c r="A170" s="87"/>
      <c r="B170" s="93"/>
      <c r="C170" s="89"/>
      <c r="D170" s="89"/>
      <c r="E170" s="112"/>
      <c r="F170" s="222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5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U170" s="45"/>
    </row>
    <row r="171" spans="1:47" ht="12" customHeight="1">
      <c r="A171" s="87"/>
      <c r="B171" s="93"/>
      <c r="C171" s="89"/>
      <c r="D171" s="89"/>
      <c r="E171" s="112"/>
      <c r="F171" s="222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U171" s="45"/>
    </row>
    <row r="172" spans="1:47" ht="12" customHeight="1">
      <c r="A172" s="87"/>
      <c r="B172" s="93"/>
      <c r="C172" s="89"/>
      <c r="D172" s="89"/>
      <c r="E172" s="112"/>
      <c r="F172" s="222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U172" s="45"/>
    </row>
    <row r="173" spans="1:47" ht="12" customHeight="1">
      <c r="A173" s="87"/>
      <c r="B173" s="93"/>
      <c r="C173" s="89"/>
      <c r="D173" s="89"/>
      <c r="E173" s="112"/>
      <c r="F173" s="222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U173" s="45"/>
    </row>
    <row r="174" spans="1:47" ht="12" customHeight="1">
      <c r="A174" s="89"/>
      <c r="B174" s="93"/>
      <c r="C174" s="89"/>
      <c r="D174" s="89"/>
      <c r="E174" s="112"/>
      <c r="F174" s="222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6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U174" s="45"/>
    </row>
    <row r="175" spans="1:47" ht="12" customHeight="1">
      <c r="A175" s="89"/>
      <c r="B175" s="93"/>
      <c r="C175" s="89"/>
      <c r="D175" s="89"/>
      <c r="E175" s="112"/>
      <c r="F175" s="222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U175" s="45"/>
    </row>
    <row r="176" spans="1:47" ht="12" customHeight="1">
      <c r="A176" s="89"/>
      <c r="B176" s="93"/>
      <c r="C176" s="89"/>
      <c r="D176" s="89"/>
      <c r="E176" s="112"/>
      <c r="F176" s="222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U176" s="45"/>
    </row>
    <row r="177" spans="1:47" ht="12" customHeight="1">
      <c r="A177" s="87"/>
      <c r="B177" s="93"/>
      <c r="C177" s="89"/>
      <c r="D177" s="89"/>
      <c r="E177" s="112"/>
      <c r="F177" s="222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5"/>
      <c r="R177" s="122"/>
      <c r="S177" s="97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U177" s="45"/>
    </row>
    <row r="178" spans="1:47" ht="12" customHeight="1">
      <c r="A178" s="87"/>
      <c r="B178" s="93"/>
      <c r="C178" s="89"/>
      <c r="D178" s="89"/>
      <c r="E178" s="112"/>
      <c r="F178" s="222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U178" s="45"/>
    </row>
    <row r="179" spans="1:47" ht="12" customHeight="1">
      <c r="A179" s="87"/>
      <c r="B179" s="93"/>
      <c r="C179" s="89"/>
      <c r="D179" s="89"/>
      <c r="E179" s="112"/>
      <c r="F179" s="222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U179" s="45"/>
    </row>
    <row r="180" spans="1:47" ht="12" customHeight="1">
      <c r="A180" s="87"/>
      <c r="B180" s="93"/>
      <c r="C180" s="89"/>
      <c r="D180" s="89"/>
      <c r="E180" s="112"/>
      <c r="F180" s="222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U180" s="45"/>
    </row>
    <row r="181" spans="1:47" ht="12" customHeight="1">
      <c r="A181" s="87"/>
      <c r="B181" s="93"/>
      <c r="C181" s="89"/>
      <c r="D181" s="89"/>
      <c r="E181" s="112"/>
      <c r="F181" s="222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U181" s="45"/>
    </row>
    <row r="182" spans="1:47" ht="12" customHeight="1">
      <c r="A182" s="89"/>
      <c r="B182" s="93"/>
      <c r="C182" s="89"/>
      <c r="D182" s="89"/>
      <c r="E182" s="112"/>
      <c r="F182" s="222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5"/>
      <c r="T182" s="97"/>
      <c r="U182" s="97"/>
      <c r="V182" s="118"/>
      <c r="W182" s="118"/>
      <c r="X182" s="98"/>
      <c r="Y182" s="118"/>
      <c r="Z182" s="89"/>
      <c r="AA182" s="122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U182" s="45"/>
    </row>
    <row r="183" spans="1:47" ht="12" customHeight="1">
      <c r="A183" s="89"/>
      <c r="B183" s="93"/>
      <c r="C183" s="89"/>
      <c r="D183" s="89"/>
      <c r="E183" s="112"/>
      <c r="F183" s="222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U183" s="45"/>
    </row>
    <row r="184" spans="1:47" ht="12" customHeight="1">
      <c r="A184" s="89"/>
      <c r="B184" s="93"/>
      <c r="C184" s="89"/>
      <c r="D184" s="89"/>
      <c r="E184" s="112"/>
      <c r="F184" s="222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1"/>
      <c r="S184" s="95"/>
      <c r="T184" s="97"/>
      <c r="U184" s="97"/>
      <c r="V184" s="118"/>
      <c r="W184" s="118"/>
      <c r="X184" s="121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U184" s="45"/>
    </row>
    <row r="185" spans="1:47" ht="12" customHeight="1">
      <c r="A185" s="89"/>
      <c r="B185" s="93"/>
      <c r="C185" s="89"/>
      <c r="D185" s="89"/>
      <c r="E185" s="112"/>
      <c r="F185" s="222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2"/>
      <c r="S185" s="95"/>
      <c r="T185" s="97"/>
      <c r="U185" s="97"/>
      <c r="V185" s="118"/>
      <c r="W185" s="118"/>
      <c r="X185" s="98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U185" s="45"/>
    </row>
    <row r="186" spans="1:47" ht="12" customHeight="1">
      <c r="A186" s="87"/>
      <c r="B186" s="93"/>
      <c r="C186" s="89"/>
      <c r="D186" s="89"/>
      <c r="E186" s="112"/>
      <c r="F186" s="222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9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U186" s="45"/>
    </row>
    <row r="187" spans="1:47" ht="12" customHeight="1">
      <c r="A187" s="89"/>
      <c r="B187" s="93"/>
      <c r="C187" s="89"/>
      <c r="D187" s="89"/>
      <c r="E187" s="112"/>
      <c r="F187" s="222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6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U187" s="45"/>
    </row>
    <row r="188" spans="1:47" ht="12" customHeight="1">
      <c r="A188" s="89"/>
      <c r="B188" s="93"/>
      <c r="C188" s="89"/>
      <c r="D188" s="89"/>
      <c r="E188" s="112"/>
      <c r="F188" s="222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U188" s="45"/>
    </row>
    <row r="189" spans="1:47" ht="12" customHeight="1">
      <c r="A189" s="87"/>
      <c r="B189" s="93"/>
      <c r="C189" s="89"/>
      <c r="D189" s="89"/>
      <c r="E189" s="112"/>
      <c r="F189" s="222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5"/>
      <c r="R189" s="121"/>
      <c r="S189" s="97"/>
      <c r="T189" s="97"/>
      <c r="U189" s="97"/>
      <c r="V189" s="118"/>
      <c r="W189" s="118"/>
      <c r="X189" s="121"/>
      <c r="Y189" s="11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U189" s="45"/>
    </row>
    <row r="190" spans="1:47" ht="12" customHeight="1">
      <c r="A190" s="89"/>
      <c r="B190" s="93"/>
      <c r="C190" s="89"/>
      <c r="D190" s="89"/>
      <c r="E190" s="112"/>
      <c r="F190" s="222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6"/>
      <c r="R190" s="122"/>
      <c r="S190" s="95"/>
      <c r="T190" s="97"/>
      <c r="U190" s="97"/>
      <c r="V190" s="118"/>
      <c r="W190" s="98"/>
      <c r="X190" s="98"/>
      <c r="Y190" s="9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U190" s="45"/>
    </row>
    <row r="191" spans="1:47" ht="12" customHeight="1">
      <c r="A191" s="89"/>
      <c r="B191" s="93"/>
      <c r="C191" s="89"/>
      <c r="D191" s="89"/>
      <c r="E191" s="112"/>
      <c r="F191" s="222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U191" s="45"/>
    </row>
    <row r="192" spans="1:47" ht="12" customHeight="1">
      <c r="A192" s="89"/>
      <c r="B192" s="93"/>
      <c r="C192" s="89"/>
      <c r="D192" s="89"/>
      <c r="E192" s="112"/>
      <c r="F192" s="222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5"/>
      <c r="R192" s="122"/>
      <c r="S192" s="97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U192" s="45"/>
    </row>
    <row r="193" spans="1:47" ht="12" customHeight="1">
      <c r="A193" s="89"/>
      <c r="B193" s="93"/>
      <c r="C193" s="89"/>
      <c r="D193" s="89"/>
      <c r="E193" s="112"/>
      <c r="F193" s="222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121"/>
      <c r="T193" s="97"/>
      <c r="U193" s="97"/>
      <c r="V193" s="118"/>
      <c r="W193" s="118"/>
      <c r="X193" s="11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U193" s="45"/>
    </row>
    <row r="194" spans="1:47" ht="12" customHeight="1">
      <c r="A194" s="89"/>
      <c r="B194" s="93"/>
      <c r="C194" s="89"/>
      <c r="D194" s="89"/>
      <c r="E194" s="112"/>
      <c r="F194" s="222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U194" s="45"/>
    </row>
    <row r="195" spans="1:47" ht="12" customHeight="1">
      <c r="A195" s="89"/>
      <c r="B195" s="93"/>
      <c r="C195" s="89"/>
      <c r="D195" s="89"/>
      <c r="E195" s="112"/>
      <c r="F195" s="222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U195" s="45"/>
    </row>
    <row r="196" spans="1:47" ht="12" customHeight="1">
      <c r="A196" s="89"/>
      <c r="B196" s="93"/>
      <c r="C196" s="89"/>
      <c r="D196" s="89"/>
      <c r="E196" s="112"/>
      <c r="F196" s="222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U196" s="45"/>
    </row>
    <row r="197" spans="1:47" ht="12" customHeight="1">
      <c r="A197" s="89"/>
      <c r="B197" s="93"/>
      <c r="C197" s="89"/>
      <c r="D197" s="89"/>
      <c r="E197" s="112"/>
      <c r="F197" s="222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U197" s="45"/>
    </row>
    <row r="198" spans="1:47" ht="12" customHeight="1">
      <c r="A198" s="89"/>
      <c r="B198" s="93"/>
      <c r="C198" s="89"/>
      <c r="D198" s="89"/>
      <c r="E198" s="112"/>
      <c r="F198" s="222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U198" s="45"/>
    </row>
    <row r="199" spans="1:47" ht="12" customHeight="1">
      <c r="A199" s="89"/>
      <c r="B199" s="93"/>
      <c r="C199" s="89"/>
      <c r="D199" s="89"/>
      <c r="E199" s="112"/>
      <c r="F199" s="222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U199" s="45"/>
    </row>
    <row r="200" spans="1:47" ht="12" customHeight="1">
      <c r="A200" s="89"/>
      <c r="B200" s="93"/>
      <c r="C200" s="89"/>
      <c r="D200" s="89"/>
      <c r="E200" s="112"/>
      <c r="F200" s="222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U200" s="45"/>
    </row>
    <row r="201" spans="1:47" ht="12" customHeight="1">
      <c r="A201" s="89"/>
      <c r="B201" s="93"/>
      <c r="C201" s="89"/>
      <c r="D201" s="89"/>
      <c r="E201" s="112"/>
      <c r="F201" s="222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U201" s="45"/>
    </row>
    <row r="202" spans="1:47" ht="12" customHeight="1">
      <c r="A202" s="89"/>
      <c r="B202" s="93"/>
      <c r="C202" s="89"/>
      <c r="D202" s="89"/>
      <c r="E202" s="112"/>
      <c r="F202" s="222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6"/>
      <c r="R202" s="122"/>
      <c r="S202" s="95"/>
      <c r="T202" s="97"/>
      <c r="U202" s="97"/>
      <c r="V202" s="118"/>
      <c r="W202" s="98"/>
      <c r="X202" s="9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U202" s="45"/>
    </row>
    <row r="203" spans="1:47" ht="12" customHeight="1">
      <c r="A203" s="89"/>
      <c r="B203" s="93"/>
      <c r="C203" s="89"/>
      <c r="D203" s="89"/>
      <c r="E203" s="112"/>
      <c r="F203" s="222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U203" s="45"/>
    </row>
    <row r="204" spans="1:47" ht="12" customHeight="1">
      <c r="A204" s="89"/>
      <c r="B204" s="93"/>
      <c r="C204" s="89"/>
      <c r="D204" s="89"/>
      <c r="E204" s="112"/>
      <c r="F204" s="222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U204" s="45"/>
    </row>
    <row r="205" spans="1:47" ht="12" customHeight="1">
      <c r="A205" s="89"/>
      <c r="B205" s="93"/>
      <c r="C205" s="89"/>
      <c r="D205" s="89"/>
      <c r="E205" s="112"/>
      <c r="F205" s="222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U205" s="45"/>
    </row>
    <row r="206" spans="1:47" ht="12" customHeight="1">
      <c r="A206" s="89"/>
      <c r="B206" s="93"/>
      <c r="C206" s="89"/>
      <c r="D206" s="89"/>
      <c r="E206" s="112"/>
      <c r="F206" s="222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U206" s="45"/>
    </row>
    <row r="207" spans="1:47" ht="12" customHeight="1">
      <c r="A207" s="89"/>
      <c r="B207" s="93"/>
      <c r="C207" s="89"/>
      <c r="D207" s="89"/>
      <c r="E207" s="112"/>
      <c r="F207" s="222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U207" s="45"/>
    </row>
    <row r="208" spans="1:47" ht="12" customHeight="1">
      <c r="A208" s="89"/>
      <c r="B208" s="93"/>
      <c r="C208" s="89"/>
      <c r="D208" s="89"/>
      <c r="E208" s="112"/>
      <c r="F208" s="222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U208" s="45"/>
    </row>
    <row r="209" spans="1:47" ht="12" customHeight="1">
      <c r="A209" s="89"/>
      <c r="B209" s="93"/>
      <c r="C209" s="89"/>
      <c r="D209" s="89"/>
      <c r="E209" s="112"/>
      <c r="F209" s="222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U209" s="45"/>
    </row>
    <row r="210" spans="1:47" ht="12" customHeight="1">
      <c r="A210" s="89"/>
      <c r="B210" s="93"/>
      <c r="C210" s="89"/>
      <c r="D210" s="89"/>
      <c r="E210" s="112"/>
      <c r="F210" s="222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U210" s="45"/>
    </row>
    <row r="211" spans="1:47" ht="12" customHeight="1">
      <c r="A211" s="89"/>
      <c r="B211" s="93"/>
      <c r="C211" s="89"/>
      <c r="D211" s="89"/>
      <c r="E211" s="112"/>
      <c r="F211" s="222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U211" s="45"/>
    </row>
    <row r="212" spans="1:47" ht="12" customHeight="1">
      <c r="A212" s="89"/>
      <c r="B212" s="93"/>
      <c r="C212" s="89"/>
      <c r="D212" s="89"/>
      <c r="E212" s="112"/>
      <c r="F212" s="222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U212" s="45"/>
    </row>
    <row r="213" spans="1:47" ht="12" customHeight="1">
      <c r="A213" s="89"/>
      <c r="B213" s="93"/>
      <c r="C213" s="89"/>
      <c r="D213" s="89"/>
      <c r="E213" s="112"/>
      <c r="F213" s="222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U213" s="45"/>
    </row>
    <row r="214" spans="1:47" ht="12" customHeight="1">
      <c r="A214" s="89"/>
      <c r="B214" s="93"/>
      <c r="C214" s="89"/>
      <c r="D214" s="89"/>
      <c r="E214" s="112"/>
      <c r="F214" s="222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U214" s="45"/>
    </row>
    <row r="215" spans="1:47" ht="12" customHeight="1">
      <c r="A215" s="89"/>
      <c r="B215" s="93"/>
      <c r="C215" s="89"/>
      <c r="D215" s="89"/>
      <c r="E215" s="112"/>
      <c r="F215" s="222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U215" s="45"/>
    </row>
    <row r="216" spans="1:47" ht="12" customHeight="1">
      <c r="A216" s="89"/>
      <c r="B216" s="93"/>
      <c r="C216" s="89"/>
      <c r="D216" s="89"/>
      <c r="E216" s="112"/>
      <c r="F216" s="222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U216" s="45"/>
    </row>
    <row r="217" spans="1:47" ht="12" customHeight="1">
      <c r="A217" s="89"/>
      <c r="B217" s="93"/>
      <c r="C217" s="89"/>
      <c r="D217" s="89"/>
      <c r="E217" s="112"/>
      <c r="F217" s="222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U217" s="45"/>
    </row>
    <row r="218" spans="1:47" ht="12" customHeight="1">
      <c r="A218" s="89"/>
      <c r="B218" s="93"/>
      <c r="C218" s="89"/>
      <c r="D218" s="89"/>
      <c r="E218" s="112"/>
      <c r="F218" s="222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U218" s="45"/>
    </row>
    <row r="219" spans="1:47" ht="12" customHeight="1">
      <c r="A219" s="89"/>
      <c r="B219" s="93"/>
      <c r="C219" s="89"/>
      <c r="D219" s="89"/>
      <c r="E219" s="112"/>
      <c r="F219" s="222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118"/>
      <c r="X219" s="98"/>
      <c r="Y219" s="98"/>
      <c r="Z219" s="89"/>
      <c r="AA219" s="97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U219" s="45"/>
    </row>
    <row r="220" spans="1:47" ht="12" customHeight="1">
      <c r="A220" s="89"/>
      <c r="B220" s="93"/>
      <c r="C220" s="89"/>
      <c r="D220" s="89"/>
      <c r="E220" s="112"/>
      <c r="F220" s="222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5"/>
      <c r="R220" s="122"/>
      <c r="S220" s="95"/>
      <c r="T220" s="97"/>
      <c r="U220" s="97"/>
      <c r="V220" s="118"/>
      <c r="W220" s="118"/>
      <c r="X220" s="118"/>
      <c r="Y220" s="98"/>
      <c r="Z220" s="89"/>
      <c r="AA220" s="122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U220" s="45"/>
    </row>
    <row r="221" spans="1:47" ht="12" customHeight="1">
      <c r="A221" s="89"/>
      <c r="B221" s="93"/>
      <c r="C221" s="89"/>
      <c r="D221" s="89"/>
      <c r="E221" s="112"/>
      <c r="F221" s="222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6"/>
      <c r="R221" s="122"/>
      <c r="S221" s="95"/>
      <c r="T221" s="97"/>
      <c r="U221" s="97"/>
      <c r="V221" s="118"/>
      <c r="W221" s="98"/>
      <c r="X221" s="9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U221" s="45"/>
    </row>
    <row r="222" spans="1:47" ht="12" customHeight="1">
      <c r="A222" s="89"/>
      <c r="B222" s="93"/>
      <c r="C222" s="89"/>
      <c r="D222" s="89"/>
      <c r="E222" s="112"/>
      <c r="F222" s="222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7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U222" s="45"/>
    </row>
    <row r="223" spans="1:47" ht="12" customHeight="1">
      <c r="A223" s="89"/>
      <c r="B223" s="93"/>
      <c r="C223" s="89"/>
      <c r="D223" s="89"/>
      <c r="E223" s="112"/>
      <c r="F223" s="222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5"/>
      <c r="R223" s="122"/>
      <c r="S223" s="121"/>
      <c r="T223" s="97"/>
      <c r="U223" s="97"/>
      <c r="V223" s="118"/>
      <c r="W223" s="118"/>
      <c r="X223" s="11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U223" s="45"/>
    </row>
    <row r="224" spans="1:47" ht="12" customHeight="1">
      <c r="A224" s="89"/>
      <c r="B224" s="93"/>
      <c r="C224" s="89"/>
      <c r="D224" s="89"/>
      <c r="E224" s="112"/>
      <c r="F224" s="222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U224" s="45"/>
    </row>
    <row r="225" spans="1:47" ht="12" customHeight="1">
      <c r="A225" s="89"/>
      <c r="B225" s="93"/>
      <c r="C225" s="89"/>
      <c r="D225" s="89"/>
      <c r="E225" s="112"/>
      <c r="F225" s="222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97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U225" s="45"/>
    </row>
    <row r="226" spans="1:47" ht="12" customHeight="1">
      <c r="A226" s="89"/>
      <c r="B226" s="93"/>
      <c r="C226" s="89"/>
      <c r="D226" s="89"/>
      <c r="E226" s="112"/>
      <c r="F226" s="222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U226" s="45"/>
    </row>
    <row r="227" spans="1:47" ht="12" customHeight="1">
      <c r="A227" s="89"/>
      <c r="B227" s="93"/>
      <c r="C227" s="89"/>
      <c r="D227" s="89"/>
      <c r="E227" s="112"/>
      <c r="F227" s="222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U227" s="45"/>
    </row>
    <row r="228" spans="1:47" ht="12" customHeight="1">
      <c r="A228" s="89"/>
      <c r="B228" s="93"/>
      <c r="C228" s="89"/>
      <c r="D228" s="89"/>
      <c r="E228" s="112"/>
      <c r="F228" s="222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6"/>
      <c r="R228" s="122"/>
      <c r="S228" s="95"/>
      <c r="T228" s="97"/>
      <c r="U228" s="97"/>
      <c r="V228" s="118"/>
      <c r="W228" s="98"/>
      <c r="X228" s="98"/>
      <c r="Y228" s="98"/>
      <c r="Z228" s="89"/>
      <c r="AA228" s="122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U228" s="45"/>
    </row>
    <row r="229" spans="1:47" ht="12" customHeight="1">
      <c r="A229" s="89"/>
      <c r="B229" s="93"/>
      <c r="C229" s="89"/>
      <c r="D229" s="89"/>
      <c r="E229" s="112"/>
      <c r="F229" s="222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U229" s="45"/>
    </row>
    <row r="230" spans="1:47" ht="12" customHeight="1">
      <c r="A230" s="89"/>
      <c r="B230" s="93"/>
      <c r="C230" s="89"/>
      <c r="D230" s="89"/>
      <c r="E230" s="112"/>
      <c r="F230" s="222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97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U230" s="45"/>
    </row>
    <row r="231" spans="1:47" ht="12" customHeight="1">
      <c r="A231" s="89"/>
      <c r="B231" s="93"/>
      <c r="C231" s="89"/>
      <c r="D231" s="89"/>
      <c r="E231" s="112"/>
      <c r="F231" s="222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122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U231" s="45"/>
    </row>
    <row r="232" spans="1:47" ht="12" customHeight="1">
      <c r="A232" s="89"/>
      <c r="B232" s="93"/>
      <c r="C232" s="89"/>
      <c r="D232" s="89"/>
      <c r="E232" s="112"/>
      <c r="F232" s="222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U232" s="45"/>
    </row>
    <row r="233" spans="1:47" ht="12" customHeight="1">
      <c r="A233" s="89"/>
      <c r="B233" s="93"/>
      <c r="C233" s="89"/>
      <c r="D233" s="89"/>
      <c r="E233" s="112"/>
      <c r="F233" s="222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97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U233" s="45"/>
    </row>
    <row r="234" spans="1:47" ht="12" customHeight="1">
      <c r="A234" s="89"/>
      <c r="B234" s="93"/>
      <c r="C234" s="89"/>
      <c r="D234" s="89"/>
      <c r="E234" s="112"/>
      <c r="F234" s="222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122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U234" s="45"/>
    </row>
    <row r="235" spans="1:47" ht="12" customHeight="1">
      <c r="A235" s="89"/>
      <c r="B235" s="93"/>
      <c r="C235" s="89"/>
      <c r="D235" s="89"/>
      <c r="E235" s="112"/>
      <c r="F235" s="222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U235" s="45"/>
    </row>
    <row r="236" spans="1:47" ht="12" customHeight="1">
      <c r="A236" s="89"/>
      <c r="B236" s="93"/>
      <c r="C236" s="89"/>
      <c r="D236" s="89"/>
      <c r="E236" s="112"/>
      <c r="F236" s="222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U236" s="45"/>
    </row>
    <row r="237" spans="1:47" ht="12" customHeight="1">
      <c r="A237" s="89"/>
      <c r="B237" s="93"/>
      <c r="C237" s="89"/>
      <c r="D237" s="89"/>
      <c r="E237" s="112"/>
      <c r="F237" s="222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97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U237" s="45"/>
    </row>
    <row r="238" spans="1:47" ht="12" customHeight="1">
      <c r="A238" s="89"/>
      <c r="B238" s="93"/>
      <c r="C238" s="89"/>
      <c r="D238" s="89"/>
      <c r="E238" s="112"/>
      <c r="F238" s="222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122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U238" s="45"/>
    </row>
    <row r="239" spans="1:47" ht="12" customHeight="1">
      <c r="A239" s="89"/>
      <c r="B239" s="93"/>
      <c r="C239" s="89"/>
      <c r="D239" s="89"/>
      <c r="E239" s="112"/>
      <c r="F239" s="222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U239" s="45"/>
    </row>
    <row r="240" spans="1:47" ht="12" customHeight="1">
      <c r="A240" s="89"/>
      <c r="B240" s="93"/>
      <c r="C240" s="89"/>
      <c r="D240" s="89"/>
      <c r="E240" s="112"/>
      <c r="F240" s="222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U240" s="45"/>
    </row>
    <row r="241" spans="1:47" ht="12" customHeight="1">
      <c r="A241" s="89"/>
      <c r="B241" s="93"/>
      <c r="C241" s="89"/>
      <c r="D241" s="89"/>
      <c r="E241" s="112"/>
      <c r="F241" s="222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>
      <c r="A242" s="89"/>
      <c r="B242" s="93"/>
      <c r="C242" s="89"/>
      <c r="D242" s="89"/>
      <c r="E242" s="112"/>
      <c r="F242" s="222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>
      <c r="A243" s="89"/>
      <c r="B243" s="93"/>
      <c r="C243" s="89"/>
      <c r="D243" s="89"/>
      <c r="E243" s="112"/>
      <c r="F243" s="222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5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>
      <c r="A244" s="89"/>
      <c r="B244" s="93"/>
      <c r="C244" s="89"/>
      <c r="D244" s="89"/>
      <c r="E244" s="112"/>
      <c r="F244" s="222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6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>
      <c r="A245" s="89"/>
      <c r="B245" s="93"/>
      <c r="C245" s="89"/>
      <c r="D245" s="89"/>
      <c r="E245" s="112"/>
      <c r="F245" s="222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97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>
      <c r="A246" s="89"/>
      <c r="B246" s="93"/>
      <c r="C246" s="89"/>
      <c r="D246" s="89"/>
      <c r="E246" s="112"/>
      <c r="F246" s="222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7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>
      <c r="A247" s="89"/>
      <c r="B247" s="93"/>
      <c r="C247" s="89"/>
      <c r="D247" s="89"/>
      <c r="E247" s="112"/>
      <c r="F247" s="222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122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>
      <c r="A248" s="89"/>
      <c r="B248" s="93"/>
      <c r="C248" s="89"/>
      <c r="D248" s="89"/>
      <c r="E248" s="112"/>
      <c r="F248" s="222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5"/>
      <c r="R248" s="122"/>
      <c r="S248" s="95"/>
      <c r="T248" s="97"/>
      <c r="U248" s="97"/>
      <c r="V248" s="118"/>
      <c r="W248" s="118"/>
      <c r="X248" s="118"/>
      <c r="Y248" s="11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>
      <c r="A249" s="89"/>
      <c r="B249" s="93"/>
      <c r="C249" s="89"/>
      <c r="D249" s="89"/>
      <c r="E249" s="112"/>
      <c r="F249" s="222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9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>
      <c r="A250" s="89"/>
      <c r="B250" s="93"/>
      <c r="C250" s="89"/>
      <c r="D250" s="89"/>
      <c r="E250" s="112"/>
      <c r="F250" s="222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118"/>
      <c r="Y250" s="118"/>
      <c r="Z250" s="89"/>
      <c r="AA250" s="97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>
      <c r="A251" s="89"/>
      <c r="B251" s="93"/>
      <c r="C251" s="89"/>
      <c r="D251" s="89"/>
      <c r="E251" s="112"/>
      <c r="F251" s="222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121"/>
      <c r="T251" s="97"/>
      <c r="U251" s="97"/>
      <c r="V251" s="118"/>
      <c r="W251" s="118"/>
      <c r="X251" s="118"/>
      <c r="Y251" s="9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>
      <c r="A252" s="89"/>
      <c r="B252" s="93"/>
      <c r="C252" s="89"/>
      <c r="D252" s="89"/>
      <c r="E252" s="112"/>
      <c r="F252" s="222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>
      <c r="A253" s="89"/>
      <c r="B253" s="93"/>
      <c r="C253" s="89"/>
      <c r="D253" s="89"/>
      <c r="E253" s="112"/>
      <c r="F253" s="222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>
      <c r="A254" s="89"/>
      <c r="B254" s="93"/>
      <c r="C254" s="89"/>
      <c r="D254" s="89"/>
      <c r="E254" s="112"/>
      <c r="F254" s="222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>
      <c r="A255" s="89"/>
      <c r="B255" s="93"/>
      <c r="C255" s="89"/>
      <c r="D255" s="89"/>
      <c r="E255" s="112"/>
      <c r="F255" s="222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>
      <c r="A256" s="89"/>
      <c r="B256" s="93"/>
      <c r="C256" s="89"/>
      <c r="D256" s="89"/>
      <c r="E256" s="112"/>
      <c r="F256" s="222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>
      <c r="A257" s="89"/>
      <c r="B257" s="93"/>
      <c r="C257" s="89"/>
      <c r="D257" s="89"/>
      <c r="E257" s="112"/>
      <c r="F257" s="222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>
      <c r="A258" s="89"/>
      <c r="B258" s="93"/>
      <c r="C258" s="89"/>
      <c r="D258" s="89"/>
      <c r="E258" s="112"/>
      <c r="F258" s="222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>
      <c r="A259" s="89"/>
      <c r="B259" s="93"/>
      <c r="C259" s="89"/>
      <c r="D259" s="89"/>
      <c r="E259" s="112"/>
      <c r="F259" s="222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>
      <c r="A260" s="89"/>
      <c r="B260" s="93"/>
      <c r="C260" s="89"/>
      <c r="D260" s="89"/>
      <c r="E260" s="112"/>
      <c r="F260" s="222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>
      <c r="A261" s="89"/>
      <c r="B261" s="93"/>
      <c r="C261" s="89"/>
      <c r="D261" s="89"/>
      <c r="E261" s="112"/>
      <c r="F261" s="222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>
      <c r="A262" s="89"/>
      <c r="B262" s="93"/>
      <c r="C262" s="89"/>
      <c r="D262" s="89"/>
      <c r="E262" s="112"/>
      <c r="F262" s="222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1"/>
      <c r="S262" s="95"/>
      <c r="T262" s="97"/>
      <c r="U262" s="97"/>
      <c r="V262" s="118"/>
      <c r="W262" s="118"/>
      <c r="X262" s="98"/>
      <c r="Y262" s="118"/>
      <c r="Z262" s="89"/>
      <c r="AA262" s="122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>
      <c r="A263" s="89"/>
      <c r="B263" s="93"/>
      <c r="C263" s="89"/>
      <c r="D263" s="89"/>
      <c r="E263" s="112"/>
      <c r="F263" s="222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>
      <c r="A264" s="89"/>
      <c r="B264" s="93"/>
      <c r="C264" s="89"/>
      <c r="D264" s="89"/>
      <c r="E264" s="112"/>
      <c r="F264" s="222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>
      <c r="A265" s="89"/>
      <c r="B265" s="93"/>
      <c r="C265" s="89"/>
      <c r="D265" s="89"/>
      <c r="E265" s="112"/>
      <c r="F265" s="222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>
      <c r="A266" s="89"/>
      <c r="B266" s="93"/>
      <c r="C266" s="89"/>
      <c r="D266" s="89"/>
      <c r="E266" s="112"/>
      <c r="F266" s="222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121"/>
      <c r="Y266" s="118"/>
      <c r="Z266" s="89"/>
      <c r="AA266" s="97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>
      <c r="A267" s="89"/>
      <c r="B267" s="93"/>
      <c r="C267" s="89"/>
      <c r="D267" s="89"/>
      <c r="E267" s="112"/>
      <c r="F267" s="222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>
      <c r="A268" s="89"/>
      <c r="B268" s="93"/>
      <c r="C268" s="89"/>
      <c r="D268" s="89"/>
      <c r="E268" s="112"/>
      <c r="F268" s="222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98"/>
      <c r="Y268" s="118"/>
      <c r="Z268" s="89"/>
      <c r="AA268" s="122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>
      <c r="A269" s="89"/>
      <c r="B269" s="93"/>
      <c r="C269" s="89"/>
      <c r="D269" s="89"/>
      <c r="E269" s="112"/>
      <c r="F269" s="222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2"/>
      <c r="S269" s="95"/>
      <c r="T269" s="97"/>
      <c r="U269" s="97"/>
      <c r="V269" s="118"/>
      <c r="W269" s="118"/>
      <c r="X269" s="118"/>
      <c r="Y269" s="118"/>
      <c r="Z269" s="89"/>
      <c r="AA269" s="97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>
      <c r="A270" s="89"/>
      <c r="B270" s="93"/>
      <c r="C270" s="89"/>
      <c r="D270" s="89"/>
      <c r="E270" s="112"/>
      <c r="F270" s="222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1"/>
      <c r="S270" s="95"/>
      <c r="T270" s="97"/>
      <c r="U270" s="97"/>
      <c r="V270" s="118"/>
      <c r="W270" s="118"/>
      <c r="X270" s="98"/>
      <c r="Y270" s="118"/>
      <c r="Z270" s="89"/>
      <c r="AA270" s="122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>
      <c r="A271" s="89"/>
      <c r="B271" s="93"/>
      <c r="C271" s="89"/>
      <c r="D271" s="89"/>
      <c r="E271" s="112"/>
      <c r="F271" s="222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2"/>
      <c r="S271" s="95"/>
      <c r="T271" s="97"/>
      <c r="U271" s="97"/>
      <c r="V271" s="118"/>
      <c r="W271" s="118"/>
      <c r="X271" s="118"/>
      <c r="Y271" s="118"/>
      <c r="Z271" s="89"/>
      <c r="AA271" s="97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>
      <c r="A272" s="89"/>
      <c r="B272" s="93"/>
      <c r="C272" s="89"/>
      <c r="D272" s="89"/>
      <c r="E272" s="112"/>
      <c r="F272" s="222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1"/>
      <c r="S272" s="95"/>
      <c r="T272" s="97"/>
      <c r="U272" s="97"/>
      <c r="V272" s="118"/>
      <c r="W272" s="118"/>
      <c r="X272" s="98"/>
      <c r="Y272" s="118"/>
      <c r="Z272" s="89"/>
      <c r="AA272" s="122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>
      <c r="A273" s="89"/>
      <c r="B273" s="93"/>
      <c r="C273" s="89"/>
      <c r="D273" s="89"/>
      <c r="E273" s="112"/>
      <c r="F273" s="222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>
      <c r="A274" s="89"/>
      <c r="B274" s="93"/>
      <c r="C274" s="89"/>
      <c r="D274" s="89"/>
      <c r="E274" s="112"/>
      <c r="F274" s="222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>
      <c r="A275" s="89"/>
      <c r="B275" s="93"/>
      <c r="C275" s="89"/>
      <c r="D275" s="89"/>
      <c r="E275" s="112"/>
      <c r="F275" s="222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2"/>
      <c r="S275" s="95"/>
      <c r="T275" s="97"/>
      <c r="U275" s="97"/>
      <c r="V275" s="118"/>
      <c r="W275" s="118"/>
      <c r="X275" s="11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>
      <c r="A276" s="89"/>
      <c r="B276" s="93"/>
      <c r="C276" s="89"/>
      <c r="D276" s="89"/>
      <c r="E276" s="112"/>
      <c r="F276" s="222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97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>
      <c r="A277" s="89"/>
      <c r="B277" s="93"/>
      <c r="C277" s="89"/>
      <c r="D277" s="89"/>
      <c r="E277" s="112"/>
      <c r="F277" s="222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6"/>
      <c r="R277" s="122"/>
      <c r="S277" s="97"/>
      <c r="T277" s="97"/>
      <c r="U277" s="97"/>
      <c r="V277" s="118"/>
      <c r="W277" s="118"/>
      <c r="X277" s="98"/>
      <c r="Y277" s="98"/>
      <c r="Z277" s="89"/>
      <c r="AA277" s="97"/>
      <c r="AB277" s="89"/>
      <c r="AC277" s="120"/>
      <c r="AD277" s="89"/>
      <c r="AE277" s="89"/>
      <c r="AF277" s="117"/>
      <c r="AG277" s="117"/>
      <c r="AH277" s="119"/>
      <c r="AI277" s="100"/>
      <c r="AJ277" s="100"/>
      <c r="AK277" s="100"/>
      <c r="AU277" s="45"/>
    </row>
    <row r="278" spans="1:47" ht="12" customHeight="1">
      <c r="A278" s="89"/>
      <c r="B278" s="93"/>
      <c r="C278" s="89"/>
      <c r="D278" s="89"/>
      <c r="E278" s="112"/>
      <c r="F278" s="222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5"/>
      <c r="R278" s="121"/>
      <c r="S278" s="95"/>
      <c r="T278" s="97"/>
      <c r="U278" s="97"/>
      <c r="V278" s="118"/>
      <c r="W278" s="118"/>
      <c r="X278" s="98"/>
      <c r="Y278" s="118"/>
      <c r="Z278" s="89"/>
      <c r="AA278" s="122"/>
      <c r="AB278" s="89"/>
      <c r="AC278" s="120"/>
      <c r="AD278" s="89"/>
      <c r="AE278" s="89"/>
      <c r="AF278" s="119"/>
      <c r="AG278" s="119"/>
      <c r="AH278" s="119"/>
      <c r="AI278" s="100"/>
      <c r="AJ278" s="100"/>
      <c r="AK278" s="100"/>
      <c r="AU278" s="45"/>
    </row>
    <row r="279" spans="1:47" ht="12" customHeight="1">
      <c r="A279" s="89"/>
      <c r="B279" s="93"/>
      <c r="C279" s="89"/>
      <c r="D279" s="89"/>
      <c r="E279" s="112"/>
      <c r="F279" s="222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2"/>
      <c r="S279" s="95"/>
      <c r="T279" s="97"/>
      <c r="U279" s="97"/>
      <c r="V279" s="118"/>
      <c r="W279" s="98"/>
      <c r="X279" s="98"/>
      <c r="Y279" s="118"/>
      <c r="Z279" s="89"/>
      <c r="AA279" s="97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>
      <c r="A280" s="89"/>
      <c r="B280" s="93"/>
      <c r="C280" s="89"/>
      <c r="D280" s="89"/>
      <c r="E280" s="112"/>
      <c r="F280" s="222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1"/>
      <c r="S280" s="95"/>
      <c r="T280" s="97"/>
      <c r="U280" s="97"/>
      <c r="V280" s="118"/>
      <c r="W280" s="118"/>
      <c r="X280" s="98"/>
      <c r="Y280" s="118"/>
      <c r="Z280" s="89"/>
      <c r="AA280" s="122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>
      <c r="A281" s="89"/>
      <c r="B281" s="93"/>
      <c r="C281" s="89"/>
      <c r="D281" s="89"/>
      <c r="E281" s="112"/>
      <c r="F281" s="222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>
      <c r="A282" s="89"/>
      <c r="B282" s="93"/>
      <c r="C282" s="89"/>
      <c r="D282" s="89"/>
      <c r="E282" s="112"/>
      <c r="F282" s="222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>
      <c r="A283" s="89"/>
      <c r="B283" s="93"/>
      <c r="C283" s="89"/>
      <c r="D283" s="89"/>
      <c r="E283" s="112"/>
      <c r="F283" s="222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>
      <c r="A284" s="89"/>
      <c r="B284" s="93"/>
      <c r="C284" s="89"/>
      <c r="D284" s="89"/>
      <c r="E284" s="112"/>
      <c r="F284" s="222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2"/>
      <c r="S284" s="95"/>
      <c r="T284" s="97"/>
      <c r="U284" s="97"/>
      <c r="V284" s="118"/>
      <c r="W284" s="98"/>
      <c r="X284" s="98"/>
      <c r="Y284" s="118"/>
      <c r="Z284" s="89"/>
      <c r="AA284" s="97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>
      <c r="A285" s="89"/>
      <c r="B285" s="93"/>
      <c r="C285" s="89"/>
      <c r="D285" s="89"/>
      <c r="E285" s="112"/>
      <c r="F285" s="222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>
      <c r="A286" s="89"/>
      <c r="B286" s="93"/>
      <c r="C286" s="89"/>
      <c r="D286" s="89"/>
      <c r="E286" s="112"/>
      <c r="F286" s="222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>
      <c r="A287" s="89"/>
      <c r="B287" s="93"/>
      <c r="C287" s="89"/>
      <c r="D287" s="89"/>
      <c r="E287" s="112"/>
      <c r="F287" s="222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6"/>
      <c r="R287" s="122"/>
      <c r="S287" s="97"/>
      <c r="T287" s="97"/>
      <c r="U287" s="97"/>
      <c r="V287" s="118"/>
      <c r="W287" s="118"/>
      <c r="X287" s="98"/>
      <c r="Y287" s="98"/>
      <c r="Z287" s="89"/>
      <c r="AA287" s="97"/>
      <c r="AB287" s="89"/>
      <c r="AC287" s="120"/>
      <c r="AD287" s="89"/>
      <c r="AE287" s="89"/>
      <c r="AF287" s="117"/>
      <c r="AG287" s="117"/>
      <c r="AH287" s="119"/>
      <c r="AI287" s="100"/>
      <c r="AJ287" s="100"/>
      <c r="AK287" s="100"/>
      <c r="AU287" s="45"/>
    </row>
    <row r="288" spans="1:47" ht="12" customHeight="1">
      <c r="A288" s="89"/>
      <c r="B288" s="93"/>
      <c r="C288" s="89"/>
      <c r="D288" s="89"/>
      <c r="E288" s="112"/>
      <c r="F288" s="222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>
      <c r="A289" s="89"/>
      <c r="B289" s="93"/>
      <c r="C289" s="89"/>
      <c r="D289" s="89"/>
      <c r="E289" s="112"/>
      <c r="F289" s="222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>
      <c r="A290" s="89"/>
      <c r="B290" s="93"/>
      <c r="C290" s="89"/>
      <c r="D290" s="89"/>
      <c r="E290" s="112"/>
      <c r="F290" s="222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>
      <c r="A291" s="89"/>
      <c r="B291" s="93"/>
      <c r="C291" s="89"/>
      <c r="D291" s="89"/>
      <c r="E291" s="112"/>
      <c r="F291" s="222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>
      <c r="A292" s="89"/>
      <c r="B292" s="93"/>
      <c r="C292" s="89"/>
      <c r="D292" s="89"/>
      <c r="E292" s="112"/>
      <c r="F292" s="222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>
      <c r="A293" s="89"/>
      <c r="B293" s="93"/>
      <c r="C293" s="89"/>
      <c r="D293" s="89"/>
      <c r="E293" s="112"/>
      <c r="F293" s="222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5"/>
      <c r="R293" s="122"/>
      <c r="S293" s="95"/>
      <c r="T293" s="97"/>
      <c r="U293" s="97"/>
      <c r="V293" s="118"/>
      <c r="W293" s="98"/>
      <c r="X293" s="98"/>
      <c r="Y293" s="118"/>
      <c r="Z293" s="89"/>
      <c r="AA293" s="122"/>
      <c r="AB293" s="89"/>
      <c r="AC293" s="120"/>
      <c r="AD293" s="89"/>
      <c r="AE293" s="89"/>
      <c r="AF293" s="119"/>
      <c r="AG293" s="119"/>
      <c r="AH293" s="119"/>
      <c r="AI293" s="100"/>
      <c r="AJ293" s="100"/>
      <c r="AK293" s="100"/>
      <c r="AU293" s="45"/>
    </row>
    <row r="294" spans="1:47" ht="12" customHeight="1">
      <c r="A294" s="89"/>
      <c r="B294" s="93"/>
      <c r="C294" s="89"/>
      <c r="D294" s="89"/>
      <c r="E294" s="112"/>
      <c r="F294" s="222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>
      <c r="A295" s="89"/>
      <c r="B295" s="93"/>
      <c r="C295" s="89"/>
      <c r="D295" s="89"/>
      <c r="E295" s="112"/>
      <c r="F295" s="222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>
      <c r="A296" s="89"/>
      <c r="B296" s="93"/>
      <c r="C296" s="89"/>
      <c r="D296" s="89"/>
      <c r="E296" s="112"/>
      <c r="F296" s="222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>
      <c r="A297" s="89"/>
      <c r="B297" s="93"/>
      <c r="C297" s="89"/>
      <c r="D297" s="89"/>
      <c r="E297" s="112"/>
      <c r="F297" s="222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>
      <c r="A298" s="89"/>
      <c r="B298" s="93"/>
      <c r="C298" s="89"/>
      <c r="D298" s="89"/>
      <c r="E298" s="112"/>
      <c r="F298" s="222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>
      <c r="A299" s="89"/>
      <c r="B299" s="93"/>
      <c r="C299" s="89"/>
      <c r="D299" s="89"/>
      <c r="E299" s="112"/>
      <c r="F299" s="222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>
      <c r="A300" s="89"/>
      <c r="B300" s="93"/>
      <c r="C300" s="89"/>
      <c r="D300" s="89"/>
      <c r="E300" s="112"/>
      <c r="F300" s="222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>
      <c r="A301" s="89"/>
      <c r="B301" s="93"/>
      <c r="C301" s="89"/>
      <c r="D301" s="89"/>
      <c r="E301" s="112"/>
      <c r="F301" s="222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>
      <c r="A302" s="89"/>
      <c r="B302" s="93"/>
      <c r="C302" s="89"/>
      <c r="D302" s="89"/>
      <c r="E302" s="112"/>
      <c r="F302" s="222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>
      <c r="A303" s="89"/>
      <c r="B303" s="93"/>
      <c r="C303" s="89"/>
      <c r="D303" s="89"/>
      <c r="E303" s="112"/>
      <c r="F303" s="222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>
      <c r="A304" s="89"/>
      <c r="B304" s="93"/>
      <c r="C304" s="89"/>
      <c r="D304" s="89"/>
      <c r="E304" s="112"/>
      <c r="F304" s="222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97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>
      <c r="A305" s="89"/>
      <c r="B305" s="93"/>
      <c r="C305" s="89"/>
      <c r="D305" s="89"/>
      <c r="E305" s="112"/>
      <c r="F305" s="222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>
      <c r="A306" s="89"/>
      <c r="B306" s="93"/>
      <c r="C306" s="89"/>
      <c r="D306" s="89"/>
      <c r="E306" s="112"/>
      <c r="F306" s="222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>
      <c r="A307" s="89"/>
      <c r="B307" s="93"/>
      <c r="C307" s="89"/>
      <c r="D307" s="89"/>
      <c r="E307" s="112"/>
      <c r="F307" s="222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>
      <c r="A308" s="89"/>
      <c r="B308" s="93"/>
      <c r="C308" s="89"/>
      <c r="D308" s="89"/>
      <c r="E308" s="112"/>
      <c r="F308" s="222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>
      <c r="A309" s="89"/>
      <c r="B309" s="93"/>
      <c r="C309" s="89"/>
      <c r="D309" s="89"/>
      <c r="E309" s="112"/>
      <c r="F309" s="222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>
      <c r="A310" s="89"/>
      <c r="B310" s="93"/>
      <c r="C310" s="89"/>
      <c r="D310" s="89"/>
      <c r="E310" s="112"/>
      <c r="F310" s="222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>
      <c r="A311" s="89"/>
      <c r="B311" s="93"/>
      <c r="C311" s="89"/>
      <c r="D311" s="89"/>
      <c r="E311" s="112"/>
      <c r="F311" s="222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>
      <c r="A312" s="89"/>
      <c r="B312" s="93"/>
      <c r="C312" s="89"/>
      <c r="D312" s="89"/>
      <c r="E312" s="112"/>
      <c r="F312" s="222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1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>
      <c r="A313" s="89"/>
      <c r="B313" s="93"/>
      <c r="C313" s="89"/>
      <c r="D313" s="89"/>
      <c r="E313" s="112"/>
      <c r="F313" s="222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2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>
      <c r="A314" s="89"/>
      <c r="B314" s="93"/>
      <c r="C314" s="89"/>
      <c r="D314" s="89"/>
      <c r="E314" s="112"/>
      <c r="F314" s="222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>
      <c r="A315" s="89"/>
      <c r="B315" s="93"/>
      <c r="C315" s="89"/>
      <c r="D315" s="89"/>
      <c r="E315" s="112"/>
      <c r="F315" s="222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>
      <c r="A316" s="89"/>
      <c r="B316" s="93"/>
      <c r="C316" s="89"/>
      <c r="D316" s="89"/>
      <c r="E316" s="112"/>
      <c r="F316" s="222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>
      <c r="A317" s="89"/>
      <c r="B317" s="93"/>
      <c r="C317" s="89"/>
      <c r="D317" s="89"/>
      <c r="E317" s="112"/>
      <c r="F317" s="222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1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>
      <c r="A318" s="89"/>
      <c r="B318" s="93"/>
      <c r="C318" s="89"/>
      <c r="D318" s="89"/>
      <c r="E318" s="112"/>
      <c r="F318" s="222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2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>
      <c r="A319" s="89"/>
      <c r="B319" s="93"/>
      <c r="C319" s="89"/>
      <c r="D319" s="89"/>
      <c r="E319" s="112"/>
      <c r="F319" s="222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>
      <c r="A320" s="89"/>
      <c r="B320" s="93"/>
      <c r="C320" s="89"/>
      <c r="D320" s="89"/>
      <c r="E320" s="112"/>
      <c r="F320" s="222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>
      <c r="A321" s="89"/>
      <c r="B321" s="93"/>
      <c r="C321" s="89"/>
      <c r="D321" s="89"/>
      <c r="E321" s="112"/>
      <c r="F321" s="222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1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>
      <c r="A322" s="89"/>
      <c r="B322" s="93"/>
      <c r="C322" s="89"/>
      <c r="D322" s="89"/>
      <c r="E322" s="112"/>
      <c r="F322" s="222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2"/>
      <c r="S322" s="122"/>
      <c r="T322" s="97"/>
      <c r="U322" s="97"/>
      <c r="V322" s="118"/>
      <c r="W322" s="98"/>
      <c r="X322" s="98"/>
      <c r="Y322" s="118"/>
      <c r="Z322" s="89"/>
      <c r="AA322" s="122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>
      <c r="A323" s="89"/>
      <c r="B323" s="93"/>
      <c r="C323" s="89"/>
      <c r="D323" s="89"/>
      <c r="E323" s="112"/>
      <c r="F323" s="222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6"/>
      <c r="R323" s="122"/>
      <c r="S323" s="97"/>
      <c r="T323" s="97"/>
      <c r="U323" s="97"/>
      <c r="V323" s="118"/>
      <c r="W323" s="118"/>
      <c r="X323" s="98"/>
      <c r="Y323" s="118"/>
      <c r="Z323" s="89"/>
      <c r="AA323" s="97"/>
      <c r="AB323" s="89"/>
      <c r="AC323" s="120"/>
      <c r="AD323" s="89"/>
      <c r="AE323" s="89"/>
      <c r="AF323" s="117"/>
      <c r="AG323" s="117"/>
      <c r="AH323" s="117"/>
      <c r="AI323" s="100"/>
      <c r="AJ323" s="100"/>
      <c r="AK323" s="100"/>
      <c r="AU323" s="45"/>
    </row>
    <row r="324" spans="1:47" ht="12" customHeight="1">
      <c r="A324" s="89"/>
      <c r="B324" s="93"/>
      <c r="C324" s="89"/>
      <c r="D324" s="89"/>
      <c r="E324" s="112"/>
      <c r="F324" s="222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15"/>
      <c r="S324" s="116"/>
      <c r="T324" s="97"/>
      <c r="U324" s="97"/>
      <c r="V324" s="98"/>
      <c r="W324" s="118"/>
      <c r="X324" s="98"/>
      <c r="Y324" s="98"/>
      <c r="Z324" s="89"/>
      <c r="AA324" s="97"/>
      <c r="AB324" s="89"/>
      <c r="AC324" s="120"/>
      <c r="AD324" s="89"/>
      <c r="AE324" s="89"/>
      <c r="AF324" s="117"/>
      <c r="AG324" s="119"/>
      <c r="AH324" s="117"/>
      <c r="AI324" s="100"/>
      <c r="AJ324" s="100"/>
      <c r="AK324" s="100"/>
      <c r="AU324" s="45"/>
    </row>
    <row r="325" spans="1:47" ht="12" customHeight="1">
      <c r="A325" s="89"/>
      <c r="B325" s="93"/>
      <c r="C325" s="89"/>
      <c r="D325" s="89"/>
      <c r="E325" s="112"/>
      <c r="F325" s="222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>
      <c r="A326" s="89"/>
      <c r="B326" s="93"/>
      <c r="C326" s="89"/>
      <c r="D326" s="89"/>
      <c r="E326" s="112"/>
      <c r="F326" s="222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5"/>
      <c r="R326" s="121"/>
      <c r="S326" s="121"/>
      <c r="T326" s="97"/>
      <c r="U326" s="97"/>
      <c r="V326" s="98"/>
      <c r="W326" s="98"/>
      <c r="X326" s="98"/>
      <c r="Y326" s="98"/>
      <c r="Z326" s="89"/>
      <c r="AA326" s="97"/>
      <c r="AB326" s="89"/>
      <c r="AC326" s="120"/>
      <c r="AD326" s="89"/>
      <c r="AE326" s="89"/>
      <c r="AF326" s="119"/>
      <c r="AG326" s="119"/>
      <c r="AH326" s="119"/>
      <c r="AI326" s="100"/>
      <c r="AJ326" s="100"/>
      <c r="AK326" s="100"/>
      <c r="AU326" s="45"/>
    </row>
    <row r="327" spans="1:47" ht="12" customHeight="1">
      <c r="A327" s="89"/>
      <c r="B327" s="93"/>
      <c r="C327" s="89"/>
      <c r="D327" s="89"/>
      <c r="E327" s="112"/>
      <c r="F327" s="222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>
      <c r="A328" s="89"/>
      <c r="B328" s="93"/>
      <c r="C328" s="89"/>
      <c r="D328" s="89"/>
      <c r="E328" s="112"/>
      <c r="F328" s="222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6"/>
      <c r="R328" s="115"/>
      <c r="S328" s="116"/>
      <c r="T328" s="97"/>
      <c r="U328" s="97"/>
      <c r="V328" s="98"/>
      <c r="W328" s="118"/>
      <c r="X328" s="98"/>
      <c r="Y328" s="98"/>
      <c r="Z328" s="89"/>
      <c r="AA328" s="97"/>
      <c r="AB328" s="89"/>
      <c r="AC328" s="120"/>
      <c r="AD328" s="89"/>
      <c r="AE328" s="89"/>
      <c r="AF328" s="117"/>
      <c r="AG328" s="117"/>
      <c r="AH328" s="119"/>
      <c r="AI328" s="100"/>
      <c r="AJ328" s="100"/>
      <c r="AK328" s="100"/>
      <c r="AU328" s="45"/>
    </row>
    <row r="329" spans="1:47" ht="12" customHeight="1">
      <c r="A329" s="89"/>
      <c r="B329" s="93"/>
      <c r="C329" s="89"/>
      <c r="D329" s="89"/>
      <c r="E329" s="112"/>
      <c r="F329" s="222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>
      <c r="A330" s="89"/>
      <c r="B330" s="93"/>
      <c r="C330" s="89"/>
      <c r="D330" s="89"/>
      <c r="E330" s="112"/>
      <c r="F330" s="222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>
      <c r="A331" s="89"/>
      <c r="B331" s="93"/>
      <c r="C331" s="89"/>
      <c r="D331" s="89"/>
      <c r="E331" s="112"/>
      <c r="F331" s="222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>
      <c r="A332" s="89"/>
      <c r="B332" s="93"/>
      <c r="C332" s="89"/>
      <c r="D332" s="89"/>
      <c r="E332" s="112"/>
      <c r="F332" s="222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>
      <c r="A333" s="89"/>
      <c r="B333" s="93"/>
      <c r="C333" s="89"/>
      <c r="D333" s="89"/>
      <c r="E333" s="112"/>
      <c r="F333" s="222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>
      <c r="A334" s="89"/>
      <c r="B334" s="93"/>
      <c r="C334" s="89"/>
      <c r="D334" s="89"/>
      <c r="E334" s="112"/>
      <c r="F334" s="222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>
      <c r="A335" s="89"/>
      <c r="B335" s="93"/>
      <c r="C335" s="89"/>
      <c r="D335" s="89"/>
      <c r="E335" s="112"/>
      <c r="F335" s="222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5"/>
      <c r="R335" s="121"/>
      <c r="S335" s="116"/>
      <c r="T335" s="97"/>
      <c r="U335" s="97"/>
      <c r="V335" s="98"/>
      <c r="W335" s="98"/>
      <c r="X335" s="98"/>
      <c r="Y335" s="98"/>
      <c r="Z335" s="89"/>
      <c r="AA335" s="97"/>
      <c r="AB335" s="89"/>
      <c r="AC335" s="120"/>
      <c r="AD335" s="89"/>
      <c r="AE335" s="89"/>
      <c r="AF335" s="119"/>
      <c r="AG335" s="119"/>
      <c r="AH335" s="119"/>
      <c r="AI335" s="100"/>
      <c r="AJ335" s="100"/>
      <c r="AK335" s="100"/>
      <c r="AU335" s="45"/>
    </row>
    <row r="336" spans="1:47" ht="12" customHeight="1">
      <c r="A336" s="89"/>
      <c r="B336" s="93"/>
      <c r="C336" s="89"/>
      <c r="D336" s="89"/>
      <c r="E336" s="112"/>
      <c r="F336" s="222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>
      <c r="A337" s="89"/>
      <c r="B337" s="93"/>
      <c r="C337" s="89"/>
      <c r="D337" s="89"/>
      <c r="E337" s="112"/>
      <c r="F337" s="222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>
      <c r="A338" s="89"/>
      <c r="B338" s="93"/>
      <c r="C338" s="89"/>
      <c r="D338" s="89"/>
      <c r="E338" s="112"/>
      <c r="F338" s="222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>
      <c r="A339" s="89"/>
      <c r="B339" s="93"/>
      <c r="C339" s="89"/>
      <c r="D339" s="89"/>
      <c r="E339" s="112"/>
      <c r="F339" s="222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>
      <c r="A340" s="89"/>
      <c r="B340" s="93"/>
      <c r="C340" s="89"/>
      <c r="D340" s="89"/>
      <c r="E340" s="112"/>
      <c r="F340" s="222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>
      <c r="A341" s="89"/>
      <c r="B341" s="93"/>
      <c r="C341" s="89"/>
      <c r="D341" s="89"/>
      <c r="E341" s="112"/>
      <c r="F341" s="222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6"/>
      <c r="R341" s="115"/>
      <c r="S341" s="116"/>
      <c r="T341" s="97"/>
      <c r="U341" s="97"/>
      <c r="V341" s="98"/>
      <c r="W341" s="118"/>
      <c r="X341" s="98"/>
      <c r="Y341" s="98"/>
      <c r="Z341" s="89"/>
      <c r="AA341" s="97"/>
      <c r="AB341" s="89"/>
      <c r="AC341" s="120"/>
      <c r="AD341" s="89"/>
      <c r="AE341" s="89"/>
      <c r="AF341" s="117"/>
      <c r="AG341" s="119"/>
      <c r="AH341" s="117"/>
      <c r="AI341" s="100"/>
      <c r="AJ341" s="100"/>
      <c r="AK341" s="100"/>
      <c r="AU341" s="45"/>
    </row>
    <row r="342" spans="1:47" ht="12" customHeight="1">
      <c r="A342" s="89"/>
      <c r="B342" s="93"/>
      <c r="C342" s="89"/>
      <c r="D342" s="89"/>
      <c r="E342" s="112"/>
      <c r="F342" s="222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5"/>
      <c r="R342" s="121"/>
      <c r="S342" s="116"/>
      <c r="T342" s="97"/>
      <c r="U342" s="97"/>
      <c r="V342" s="98"/>
      <c r="W342" s="98"/>
      <c r="X342" s="98"/>
      <c r="Y342" s="98"/>
      <c r="Z342" s="89"/>
      <c r="AA342" s="97"/>
      <c r="AB342" s="89"/>
      <c r="AC342" s="120"/>
      <c r="AD342" s="89"/>
      <c r="AE342" s="89"/>
      <c r="AF342" s="119"/>
      <c r="AG342" s="119"/>
      <c r="AH342" s="119"/>
      <c r="AI342" s="100"/>
      <c r="AJ342" s="100"/>
      <c r="AK342" s="100"/>
      <c r="AU342" s="45"/>
    </row>
    <row r="343" spans="1:47" ht="12" customHeight="1">
      <c r="A343" s="89"/>
      <c r="B343" s="93"/>
      <c r="C343" s="89"/>
      <c r="D343" s="89"/>
      <c r="E343" s="112"/>
      <c r="F343" s="222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>
      <c r="A344" s="89"/>
      <c r="B344" s="93"/>
      <c r="C344" s="89"/>
      <c r="D344" s="89"/>
      <c r="E344" s="112"/>
      <c r="F344" s="222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>
      <c r="A345" s="89"/>
      <c r="B345" s="93"/>
      <c r="C345" s="89"/>
      <c r="D345" s="89"/>
      <c r="E345" s="112"/>
      <c r="F345" s="222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6"/>
      <c r="R345" s="115"/>
      <c r="S345" s="116"/>
      <c r="T345" s="97"/>
      <c r="U345" s="97"/>
      <c r="V345" s="98"/>
      <c r="W345" s="118"/>
      <c r="X345" s="98"/>
      <c r="Y345" s="98"/>
      <c r="Z345" s="89"/>
      <c r="AA345" s="97"/>
      <c r="AB345" s="89"/>
      <c r="AC345" s="120"/>
      <c r="AD345" s="89"/>
      <c r="AE345" s="89"/>
      <c r="AF345" s="117"/>
      <c r="AG345" s="119"/>
      <c r="AH345" s="117"/>
      <c r="AI345" s="100"/>
      <c r="AJ345" s="100"/>
      <c r="AK345" s="100"/>
      <c r="AU345" s="45"/>
    </row>
    <row r="346" spans="1:47" ht="12" customHeight="1">
      <c r="A346" s="89"/>
      <c r="B346" s="93"/>
      <c r="C346" s="89"/>
      <c r="D346" s="89"/>
      <c r="E346" s="112"/>
      <c r="F346" s="222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5"/>
      <c r="R346" s="121"/>
      <c r="S346" s="116"/>
      <c r="T346" s="97"/>
      <c r="U346" s="97"/>
      <c r="V346" s="98"/>
      <c r="W346" s="98"/>
      <c r="X346" s="98"/>
      <c r="Y346" s="98"/>
      <c r="Z346" s="89"/>
      <c r="AA346" s="97"/>
      <c r="AB346" s="89"/>
      <c r="AC346" s="120"/>
      <c r="AD346" s="89"/>
      <c r="AE346" s="89"/>
      <c r="AF346" s="119"/>
      <c r="AG346" s="119"/>
      <c r="AH346" s="119"/>
      <c r="AI346" s="100"/>
      <c r="AJ346" s="100"/>
      <c r="AK346" s="100"/>
      <c r="AU346" s="45"/>
    </row>
    <row r="347" spans="1:47" ht="12" customHeight="1">
      <c r="A347" s="89"/>
      <c r="B347" s="93"/>
      <c r="C347" s="89"/>
      <c r="D347" s="89"/>
      <c r="E347" s="112"/>
      <c r="F347" s="222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6"/>
      <c r="R347" s="115"/>
      <c r="S347" s="116"/>
      <c r="T347" s="97"/>
      <c r="U347" s="97"/>
      <c r="V347" s="98"/>
      <c r="W347" s="118"/>
      <c r="X347" s="98"/>
      <c r="Y347" s="98"/>
      <c r="Z347" s="89"/>
      <c r="AA347" s="97"/>
      <c r="AB347" s="89"/>
      <c r="AC347" s="120"/>
      <c r="AD347" s="89"/>
      <c r="AE347" s="89"/>
      <c r="AF347" s="117"/>
      <c r="AG347" s="119"/>
      <c r="AH347" s="117"/>
      <c r="AI347" s="100"/>
      <c r="AJ347" s="100"/>
      <c r="AK347" s="100"/>
      <c r="AU347" s="45"/>
    </row>
    <row r="348" spans="1:47" ht="12" customHeight="1">
      <c r="A348" s="89"/>
      <c r="B348" s="93"/>
      <c r="C348" s="89"/>
      <c r="D348" s="89"/>
      <c r="E348" s="112"/>
      <c r="F348" s="222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5"/>
      <c r="R348" s="121"/>
      <c r="S348" s="116"/>
      <c r="T348" s="97"/>
      <c r="U348" s="97"/>
      <c r="V348" s="98"/>
      <c r="W348" s="98"/>
      <c r="X348" s="98"/>
      <c r="Y348" s="98"/>
      <c r="Z348" s="89"/>
      <c r="AA348" s="97"/>
      <c r="AB348" s="89"/>
      <c r="AC348" s="120"/>
      <c r="AD348" s="89"/>
      <c r="AE348" s="89"/>
      <c r="AF348" s="119"/>
      <c r="AG348" s="119"/>
      <c r="AH348" s="119"/>
      <c r="AI348" s="100"/>
      <c r="AJ348" s="100"/>
      <c r="AK348" s="100"/>
      <c r="AU348" s="45"/>
    </row>
    <row r="349" spans="1:47" ht="12" customHeight="1">
      <c r="A349" s="89"/>
      <c r="B349" s="93"/>
      <c r="C349" s="89"/>
      <c r="D349" s="89"/>
      <c r="E349" s="112"/>
      <c r="F349" s="222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21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>
      <c r="A350" s="89"/>
      <c r="B350" s="93"/>
      <c r="C350" s="89"/>
      <c r="D350" s="89"/>
      <c r="E350" s="112"/>
      <c r="F350" s="222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>
      <c r="A351" s="89"/>
      <c r="B351" s="93"/>
      <c r="C351" s="89"/>
      <c r="D351" s="89"/>
      <c r="E351" s="112"/>
      <c r="F351" s="222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6"/>
      <c r="R351" s="121"/>
      <c r="S351" s="116"/>
      <c r="T351" s="97"/>
      <c r="U351" s="97"/>
      <c r="V351" s="98"/>
      <c r="W351" s="118"/>
      <c r="X351" s="98"/>
      <c r="Y351" s="98"/>
      <c r="Z351" s="89"/>
      <c r="AA351" s="97"/>
      <c r="AB351" s="89"/>
      <c r="AC351" s="120"/>
      <c r="AD351" s="89"/>
      <c r="AE351" s="89"/>
      <c r="AF351" s="117"/>
      <c r="AG351" s="119"/>
      <c r="AH351" s="117"/>
      <c r="AI351" s="100"/>
      <c r="AJ351" s="100"/>
      <c r="AK351" s="100"/>
      <c r="AU351" s="45"/>
    </row>
    <row r="352" spans="1:47" ht="12" customHeight="1">
      <c r="A352" s="89"/>
      <c r="B352" s="93"/>
      <c r="C352" s="89"/>
      <c r="D352" s="89"/>
      <c r="E352" s="112"/>
      <c r="F352" s="222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15"/>
      <c r="S352" s="116"/>
      <c r="T352" s="97"/>
      <c r="U352" s="97"/>
      <c r="V352" s="118"/>
      <c r="W352" s="9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>
      <c r="A353" s="89"/>
      <c r="B353" s="93"/>
      <c r="C353" s="89"/>
      <c r="D353" s="89"/>
      <c r="E353" s="112"/>
      <c r="F353" s="222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>
      <c r="A354" s="89"/>
      <c r="B354" s="93"/>
      <c r="C354" s="89"/>
      <c r="D354" s="89"/>
      <c r="E354" s="112"/>
      <c r="F354" s="222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>
      <c r="A355" s="89"/>
      <c r="B355" s="93"/>
      <c r="C355" s="89"/>
      <c r="D355" s="89"/>
      <c r="E355" s="112"/>
      <c r="F355" s="222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>
      <c r="A356" s="89"/>
      <c r="B356" s="93"/>
      <c r="C356" s="89"/>
      <c r="D356" s="89"/>
      <c r="E356" s="112"/>
      <c r="F356" s="222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>
      <c r="A357" s="89"/>
      <c r="B357" s="93"/>
      <c r="C357" s="89"/>
      <c r="D357" s="89"/>
      <c r="E357" s="112"/>
      <c r="F357" s="222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>
      <c r="A358" s="89"/>
      <c r="B358" s="93"/>
      <c r="C358" s="89"/>
      <c r="D358" s="89"/>
      <c r="E358" s="112"/>
      <c r="F358" s="222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>
      <c r="A359" s="89"/>
      <c r="B359" s="93"/>
      <c r="C359" s="89"/>
      <c r="D359" s="89"/>
      <c r="E359" s="112"/>
      <c r="F359" s="222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>
      <c r="A360" s="89"/>
      <c r="B360" s="93"/>
      <c r="C360" s="89"/>
      <c r="D360" s="89"/>
      <c r="E360" s="112"/>
      <c r="F360" s="222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>
      <c r="A361" s="89"/>
      <c r="B361" s="93"/>
      <c r="C361" s="89"/>
      <c r="D361" s="89"/>
      <c r="E361" s="112"/>
      <c r="F361" s="222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7"/>
      <c r="AH361" s="117"/>
      <c r="AI361" s="100"/>
      <c r="AJ361" s="100"/>
      <c r="AK361" s="100"/>
      <c r="AU361" s="45"/>
    </row>
    <row r="362" spans="1:47" ht="12" customHeight="1">
      <c r="A362" s="89"/>
      <c r="B362" s="93"/>
      <c r="C362" s="89"/>
      <c r="D362" s="89"/>
      <c r="E362" s="112"/>
      <c r="F362" s="222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>
      <c r="A363" s="89"/>
      <c r="B363" s="93"/>
      <c r="C363" s="89"/>
      <c r="D363" s="89"/>
      <c r="E363" s="112"/>
      <c r="F363" s="222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>
      <c r="A364" s="89"/>
      <c r="B364" s="93"/>
      <c r="C364" s="89"/>
      <c r="D364" s="89"/>
      <c r="E364" s="112"/>
      <c r="F364" s="222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21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9"/>
      <c r="AH364" s="117"/>
      <c r="AI364" s="100"/>
      <c r="AJ364" s="100"/>
      <c r="AK364" s="100"/>
      <c r="AU364" s="45"/>
    </row>
    <row r="365" spans="1:47" ht="12" customHeight="1">
      <c r="A365" s="89"/>
      <c r="B365" s="93"/>
      <c r="C365" s="89"/>
      <c r="D365" s="89"/>
      <c r="E365" s="112"/>
      <c r="F365" s="222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15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7"/>
      <c r="AH365" s="117"/>
      <c r="AI365" s="100"/>
      <c r="AJ365" s="100"/>
      <c r="AK365" s="100"/>
      <c r="AU365" s="45"/>
    </row>
    <row r="366" spans="1:47" ht="12" customHeight="1">
      <c r="A366" s="89"/>
      <c r="B366" s="93"/>
      <c r="C366" s="89"/>
      <c r="D366" s="89"/>
      <c r="E366" s="112"/>
      <c r="F366" s="222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9"/>
      <c r="AH366" s="117"/>
      <c r="AI366" s="100"/>
      <c r="AJ366" s="100"/>
      <c r="AK366" s="100"/>
      <c r="AU366" s="45"/>
    </row>
    <row r="367" spans="1:47" ht="12" customHeight="1">
      <c r="A367" s="89"/>
      <c r="B367" s="93"/>
      <c r="C367" s="89"/>
      <c r="D367" s="89"/>
      <c r="E367" s="112"/>
      <c r="F367" s="222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>
      <c r="A368" s="89"/>
      <c r="B368" s="93"/>
      <c r="C368" s="89"/>
      <c r="D368" s="89"/>
      <c r="E368" s="112"/>
      <c r="F368" s="222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7"/>
      <c r="AH368" s="117"/>
      <c r="AI368" s="100"/>
      <c r="AJ368" s="100"/>
      <c r="AK368" s="100"/>
      <c r="AU368" s="45"/>
    </row>
    <row r="369" spans="1:47" ht="12" customHeight="1">
      <c r="A369" s="89"/>
      <c r="B369" s="199"/>
      <c r="C369" s="89"/>
      <c r="D369" s="89"/>
      <c r="E369" s="112"/>
      <c r="F369" s="222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9"/>
      <c r="AH369" s="117"/>
      <c r="AI369" s="100"/>
      <c r="AJ369" s="100"/>
      <c r="AK369" s="100"/>
      <c r="AU369" s="45"/>
    </row>
    <row r="370" spans="1:47" ht="12" customHeight="1">
      <c r="A370" s="89"/>
      <c r="B370" s="199"/>
      <c r="C370" s="89"/>
      <c r="D370" s="89"/>
      <c r="E370" s="112"/>
      <c r="F370" s="222"/>
      <c r="G370" s="91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>
      <c r="A371" s="89"/>
      <c r="B371" s="199"/>
      <c r="C371" s="89"/>
      <c r="D371" s="89"/>
      <c r="E371" s="112"/>
      <c r="F371" s="222"/>
      <c r="G371" s="113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>
      <c r="A372" s="89"/>
      <c r="B372" s="199"/>
      <c r="C372" s="89"/>
      <c r="D372" s="89"/>
      <c r="E372" s="112"/>
      <c r="F372" s="222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>
      <c r="A373" s="89"/>
      <c r="B373" s="199"/>
      <c r="C373" s="89"/>
      <c r="D373" s="89"/>
      <c r="E373" s="112"/>
      <c r="F373" s="222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>
      <c r="A374" s="89"/>
      <c r="B374" s="199"/>
      <c r="C374" s="89"/>
      <c r="D374" s="89"/>
      <c r="E374" s="112"/>
      <c r="F374" s="222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>
      <c r="A375" s="89"/>
      <c r="B375" s="199"/>
      <c r="C375" s="89"/>
      <c r="D375" s="89"/>
      <c r="E375" s="112"/>
      <c r="F375" s="222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>
      <c r="A376" s="89"/>
      <c r="B376" s="199"/>
      <c r="C376" s="89"/>
      <c r="D376" s="89"/>
      <c r="E376" s="112"/>
      <c r="F376" s="222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>
      <c r="A377" s="89"/>
      <c r="B377" s="199"/>
      <c r="C377" s="89"/>
      <c r="D377" s="89"/>
      <c r="E377" s="112"/>
      <c r="F377" s="222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>
      <c r="A378" s="89"/>
      <c r="B378" s="199"/>
      <c r="C378" s="89"/>
      <c r="D378" s="89"/>
      <c r="E378" s="112"/>
      <c r="F378" s="222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>
      <c r="A379" s="89"/>
      <c r="B379" s="199"/>
      <c r="C379" s="89"/>
      <c r="D379" s="89"/>
      <c r="E379" s="112"/>
      <c r="F379" s="222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7"/>
      <c r="AH379" s="117"/>
      <c r="AI379" s="100"/>
      <c r="AJ379" s="100"/>
      <c r="AK379" s="100"/>
      <c r="AU379" s="45"/>
    </row>
    <row r="380" spans="1:47" ht="12" customHeight="1">
      <c r="A380" s="89"/>
      <c r="B380" s="199"/>
      <c r="C380" s="89"/>
      <c r="D380" s="89"/>
      <c r="E380" s="112"/>
      <c r="F380" s="222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>
      <c r="A381" s="89"/>
      <c r="B381" s="199"/>
      <c r="C381" s="89"/>
      <c r="D381" s="89"/>
      <c r="E381" s="112"/>
      <c r="F381" s="222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9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>
      <c r="A382" s="89"/>
      <c r="B382" s="199"/>
      <c r="C382" s="89"/>
      <c r="D382" s="89"/>
      <c r="E382" s="112"/>
      <c r="F382" s="222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>
      <c r="A383" s="89"/>
      <c r="B383" s="199"/>
      <c r="C383" s="89"/>
      <c r="D383" s="89"/>
      <c r="E383" s="112"/>
      <c r="F383" s="222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>
      <c r="A384" s="89"/>
      <c r="B384" s="199"/>
      <c r="C384" s="89"/>
      <c r="D384" s="89"/>
      <c r="E384" s="112"/>
      <c r="F384" s="222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>
      <c r="A385" s="89"/>
      <c r="B385" s="199"/>
      <c r="C385" s="89"/>
      <c r="D385" s="89"/>
      <c r="E385" s="112"/>
      <c r="F385" s="222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>
      <c r="A386" s="89"/>
      <c r="B386" s="199"/>
      <c r="C386" s="89"/>
      <c r="D386" s="89"/>
      <c r="E386" s="112"/>
      <c r="F386" s="222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>
      <c r="A387" s="89"/>
      <c r="B387" s="199"/>
      <c r="C387" s="89"/>
      <c r="D387" s="89"/>
      <c r="E387" s="112"/>
      <c r="F387" s="222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>
      <c r="A388" s="89"/>
      <c r="B388" s="199"/>
      <c r="C388" s="89"/>
      <c r="D388" s="89"/>
      <c r="E388" s="112"/>
      <c r="F388" s="222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>
      <c r="A389" s="89"/>
      <c r="B389" s="199"/>
      <c r="C389" s="89"/>
      <c r="D389" s="89"/>
      <c r="E389" s="112"/>
      <c r="F389" s="222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>
      <c r="A390" s="89"/>
      <c r="B390" s="199"/>
      <c r="C390" s="89"/>
      <c r="D390" s="89"/>
      <c r="E390" s="112"/>
      <c r="F390" s="222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>
      <c r="A391" s="89"/>
      <c r="B391" s="199"/>
      <c r="C391" s="89"/>
      <c r="D391" s="89"/>
      <c r="E391" s="112"/>
      <c r="F391" s="222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>
      <c r="A392" s="89"/>
      <c r="B392" s="199"/>
      <c r="C392" s="89"/>
      <c r="D392" s="89"/>
      <c r="E392" s="112"/>
      <c r="F392" s="222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>
      <c r="A393" s="89"/>
      <c r="B393" s="199"/>
      <c r="C393" s="89"/>
      <c r="D393" s="89"/>
      <c r="E393" s="112"/>
      <c r="F393" s="222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>
      <c r="A394" s="89"/>
      <c r="B394" s="199"/>
      <c r="C394" s="89"/>
      <c r="D394" s="89"/>
      <c r="E394" s="112"/>
      <c r="F394" s="222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>
      <c r="A395" s="126"/>
      <c r="B395" s="88"/>
      <c r="C395" s="89"/>
      <c r="D395" s="89"/>
      <c r="E395" s="112"/>
      <c r="F395" s="222"/>
      <c r="G395" s="92"/>
      <c r="H395" s="93"/>
      <c r="I395" s="92"/>
      <c r="J395" s="127"/>
      <c r="K395" s="89"/>
      <c r="L395" s="89"/>
      <c r="M395" s="89"/>
      <c r="N395" s="89"/>
      <c r="O395" s="94"/>
      <c r="P395" s="95"/>
      <c r="Q395" s="145"/>
      <c r="R395" s="96"/>
      <c r="S395" s="97"/>
      <c r="T395" s="97"/>
      <c r="U395" s="97"/>
      <c r="V395" s="93"/>
      <c r="W395" s="93"/>
      <c r="X395" s="93"/>
      <c r="Y395" s="98"/>
      <c r="Z395" s="89"/>
      <c r="AA395" s="97"/>
      <c r="AB395" s="89"/>
      <c r="AC395" s="120"/>
      <c r="AD395" s="89"/>
      <c r="AE395" s="89"/>
      <c r="AF395" s="99"/>
      <c r="AG395" s="99"/>
      <c r="AH395" s="128"/>
      <c r="AI395" s="100"/>
      <c r="AJ395" s="100"/>
      <c r="AK395" s="129"/>
      <c r="AU395" s="45"/>
    </row>
    <row r="396" spans="1:47" ht="12" customHeight="1">
      <c r="A396" s="126"/>
      <c r="B396" s="88"/>
      <c r="C396" s="89"/>
      <c r="D396" s="89"/>
      <c r="E396" s="112"/>
      <c r="F396" s="222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>
      <c r="A397" s="126"/>
      <c r="B397" s="88"/>
      <c r="C397" s="89"/>
      <c r="D397" s="89"/>
      <c r="E397" s="112"/>
      <c r="F397" s="222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89"/>
      <c r="X397" s="89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>
      <c r="A398" s="126"/>
      <c r="B398" s="88"/>
      <c r="C398" s="89"/>
      <c r="D398" s="89"/>
      <c r="E398" s="112"/>
      <c r="F398" s="222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93"/>
      <c r="X398" s="93"/>
      <c r="Y398" s="98"/>
      <c r="Z398" s="89"/>
      <c r="AA398" s="97"/>
      <c r="AB398" s="89"/>
      <c r="AC398" s="120"/>
      <c r="AD398" s="89"/>
      <c r="AE398" s="89"/>
      <c r="AF398" s="128"/>
      <c r="AG398" s="99"/>
      <c r="AH398" s="99"/>
      <c r="AI398" s="100"/>
      <c r="AJ398" s="100"/>
      <c r="AK398" s="129"/>
      <c r="AU398" s="45"/>
    </row>
    <row r="399" spans="1:47" ht="12" customHeight="1">
      <c r="A399" s="126"/>
      <c r="B399" s="88"/>
      <c r="C399" s="89"/>
      <c r="D399" s="89"/>
      <c r="E399" s="112"/>
      <c r="F399" s="222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99"/>
      <c r="AG399" s="99"/>
      <c r="AH399" s="128"/>
      <c r="AI399" s="100"/>
      <c r="AJ399" s="100"/>
      <c r="AK399" s="129"/>
      <c r="AU399" s="45"/>
    </row>
    <row r="400" spans="1:47" ht="12" customHeight="1">
      <c r="A400" s="126"/>
      <c r="B400" s="88"/>
      <c r="C400" s="89"/>
      <c r="D400" s="89"/>
      <c r="E400" s="112"/>
      <c r="F400" s="222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>
      <c r="A401" s="126"/>
      <c r="B401" s="88"/>
      <c r="C401" s="89"/>
      <c r="D401" s="89"/>
      <c r="E401" s="112"/>
      <c r="F401" s="222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89"/>
      <c r="X401" s="89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>
      <c r="A402" s="126"/>
      <c r="B402" s="88"/>
      <c r="C402" s="89"/>
      <c r="D402" s="89"/>
      <c r="E402" s="112"/>
      <c r="F402" s="222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93"/>
      <c r="X402" s="93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>
      <c r="A403" s="126"/>
      <c r="B403" s="88"/>
      <c r="C403" s="89"/>
      <c r="D403" s="89"/>
      <c r="E403" s="112"/>
      <c r="F403" s="222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>
      <c r="A404" s="126"/>
      <c r="B404" s="88"/>
      <c r="C404" s="89"/>
      <c r="D404" s="89"/>
      <c r="E404" s="112"/>
      <c r="F404" s="222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>
      <c r="A405" s="126"/>
      <c r="B405" s="88"/>
      <c r="C405" s="89"/>
      <c r="D405" s="89"/>
      <c r="E405" s="112"/>
      <c r="F405" s="222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8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>
      <c r="A406" s="126"/>
      <c r="B406" s="88"/>
      <c r="C406" s="89"/>
      <c r="D406" s="89"/>
      <c r="E406" s="112"/>
      <c r="F406" s="222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88"/>
      <c r="X406" s="93"/>
      <c r="Y406" s="9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>
      <c r="A407" s="126"/>
      <c r="B407" s="88"/>
      <c r="C407" s="89"/>
      <c r="D407" s="89"/>
      <c r="E407" s="112"/>
      <c r="F407" s="222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125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>
      <c r="A408" s="126"/>
      <c r="B408" s="88"/>
      <c r="C408" s="89"/>
      <c r="D408" s="89"/>
      <c r="E408" s="112"/>
      <c r="F408" s="222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8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>
      <c r="A409" s="126"/>
      <c r="B409" s="88"/>
      <c r="C409" s="89"/>
      <c r="D409" s="89"/>
      <c r="E409" s="112"/>
      <c r="F409" s="222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88"/>
      <c r="W409" s="125"/>
      <c r="X409" s="93"/>
      <c r="Y409" s="9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>
      <c r="A410" s="126"/>
      <c r="B410" s="88"/>
      <c r="C410" s="89"/>
      <c r="D410" s="89"/>
      <c r="E410" s="112"/>
      <c r="F410" s="222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>
      <c r="A411" s="126"/>
      <c r="B411" s="88"/>
      <c r="C411" s="89"/>
      <c r="D411" s="89"/>
      <c r="E411" s="112"/>
      <c r="F411" s="222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>
      <c r="A412" s="126"/>
      <c r="B412" s="88"/>
      <c r="C412" s="89"/>
      <c r="D412" s="89"/>
      <c r="E412" s="112"/>
      <c r="F412" s="222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8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>
      <c r="A413" s="126"/>
      <c r="B413" s="88"/>
      <c r="C413" s="89"/>
      <c r="D413" s="89"/>
      <c r="E413" s="112"/>
      <c r="F413" s="222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93"/>
      <c r="W413" s="88"/>
      <c r="X413" s="93"/>
      <c r="Y413" s="9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>
      <c r="A414" s="126"/>
      <c r="B414" s="88"/>
      <c r="C414" s="89"/>
      <c r="D414" s="89"/>
      <c r="E414" s="112"/>
      <c r="F414" s="222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>
      <c r="A415" s="126"/>
      <c r="B415" s="88"/>
      <c r="C415" s="89"/>
      <c r="D415" s="89"/>
      <c r="E415" s="112"/>
      <c r="F415" s="222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125"/>
      <c r="X415" s="93"/>
      <c r="Y415" s="8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>
      <c r="A416" s="126"/>
      <c r="B416" s="88"/>
      <c r="C416" s="89"/>
      <c r="D416" s="89"/>
      <c r="E416" s="112"/>
      <c r="F416" s="222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>
      <c r="A417" s="126"/>
      <c r="B417" s="88"/>
      <c r="C417" s="89"/>
      <c r="D417" s="89"/>
      <c r="E417" s="112"/>
      <c r="F417" s="222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>
      <c r="A418" s="126"/>
      <c r="B418" s="88"/>
      <c r="C418" s="89"/>
      <c r="D418" s="89"/>
      <c r="E418" s="112"/>
      <c r="F418" s="222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>
      <c r="A419" s="126"/>
      <c r="B419" s="88"/>
      <c r="C419" s="89"/>
      <c r="D419" s="89"/>
      <c r="E419" s="112"/>
      <c r="F419" s="222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>
      <c r="A420" s="126"/>
      <c r="B420" s="88"/>
      <c r="C420" s="89"/>
      <c r="D420" s="89"/>
      <c r="E420" s="112"/>
      <c r="F420" s="222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>
      <c r="A421" s="126"/>
      <c r="B421" s="88"/>
      <c r="C421" s="89"/>
      <c r="D421" s="89"/>
      <c r="E421" s="112"/>
      <c r="F421" s="222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88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>
      <c r="A422" s="126"/>
      <c r="B422" s="88"/>
      <c r="C422" s="89"/>
      <c r="D422" s="89"/>
      <c r="E422" s="112"/>
      <c r="F422" s="222"/>
      <c r="G422" s="92"/>
      <c r="H422" s="93"/>
      <c r="I422" s="92"/>
      <c r="J422" s="127"/>
      <c r="K422" s="114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114"/>
      <c r="AF422" s="99"/>
      <c r="AG422" s="99"/>
      <c r="AH422" s="128"/>
      <c r="AI422" s="100"/>
      <c r="AJ422" s="100"/>
      <c r="AK422" s="129"/>
      <c r="AU422" s="45"/>
    </row>
    <row r="423" spans="1:47" ht="12" customHeight="1">
      <c r="A423" s="126"/>
      <c r="B423" s="88"/>
      <c r="C423" s="89"/>
      <c r="D423" s="89"/>
      <c r="E423" s="112"/>
      <c r="F423" s="222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89"/>
      <c r="AF423" s="99"/>
      <c r="AG423" s="99"/>
      <c r="AH423" s="128"/>
      <c r="AI423" s="100"/>
      <c r="AJ423" s="100"/>
      <c r="AK423" s="129"/>
      <c r="AU423" s="45"/>
    </row>
    <row r="424" spans="1:47" ht="12" customHeight="1">
      <c r="A424" s="126"/>
      <c r="B424" s="88"/>
      <c r="C424" s="89"/>
      <c r="D424" s="89"/>
      <c r="E424" s="112"/>
      <c r="F424" s="222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>
      <c r="A425" s="126"/>
      <c r="B425" s="88"/>
      <c r="C425" s="89"/>
      <c r="D425" s="89"/>
      <c r="E425" s="112"/>
      <c r="F425" s="222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93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>
      <c r="A426" s="126"/>
      <c r="B426" s="88"/>
      <c r="C426" s="89"/>
      <c r="D426" s="89"/>
      <c r="E426" s="112"/>
      <c r="F426" s="222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9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>
      <c r="A427" s="126"/>
      <c r="B427" s="93"/>
      <c r="C427" s="89"/>
      <c r="D427" s="89"/>
      <c r="E427" s="112"/>
      <c r="F427" s="222"/>
      <c r="G427" s="92"/>
      <c r="H427" s="93"/>
      <c r="I427" s="92"/>
      <c r="J427" s="127"/>
      <c r="K427" s="89"/>
      <c r="L427" s="89"/>
      <c r="M427" s="89"/>
      <c r="N427" s="89"/>
      <c r="O427" s="91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>
      <c r="A428" s="126"/>
      <c r="B428" s="93"/>
      <c r="C428" s="89"/>
      <c r="D428" s="89"/>
      <c r="E428" s="112"/>
      <c r="F428" s="222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>
      <c r="A429" s="126"/>
      <c r="B429" s="93"/>
      <c r="C429" s="89"/>
      <c r="D429" s="89"/>
      <c r="E429" s="112"/>
      <c r="F429" s="222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>
      <c r="A430" s="126"/>
      <c r="B430" s="93"/>
      <c r="C430" s="89"/>
      <c r="D430" s="89"/>
      <c r="E430" s="112"/>
      <c r="F430" s="222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>
      <c r="A431" s="126"/>
      <c r="B431" s="93"/>
      <c r="C431" s="89"/>
      <c r="D431" s="89"/>
      <c r="E431" s="112"/>
      <c r="F431" s="222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>
      <c r="A432" s="126"/>
      <c r="B432" s="93"/>
      <c r="C432" s="89"/>
      <c r="D432" s="89"/>
      <c r="E432" s="112"/>
      <c r="F432" s="222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>
      <c r="A433" s="126"/>
      <c r="B433" s="93"/>
      <c r="C433" s="89"/>
      <c r="D433" s="89"/>
      <c r="E433" s="112"/>
      <c r="F433" s="222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12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>
      <c r="A434" s="126"/>
      <c r="B434" s="93"/>
      <c r="C434" s="89"/>
      <c r="D434" s="89"/>
      <c r="E434" s="112"/>
      <c r="F434" s="222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9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>
      <c r="A435" s="126"/>
      <c r="B435" s="93"/>
      <c r="C435" s="89"/>
      <c r="D435" s="89"/>
      <c r="E435" s="112"/>
      <c r="F435" s="222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>
      <c r="A436" s="126"/>
      <c r="B436" s="93"/>
      <c r="C436" s="89"/>
      <c r="D436" s="89"/>
      <c r="E436" s="112"/>
      <c r="F436" s="222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>
      <c r="A437" s="126"/>
      <c r="B437" s="93"/>
      <c r="C437" s="89"/>
      <c r="D437" s="89"/>
      <c r="E437" s="112"/>
      <c r="F437" s="222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>
      <c r="A438" s="126"/>
      <c r="B438" s="93"/>
      <c r="C438" s="89"/>
      <c r="D438" s="89"/>
      <c r="E438" s="112"/>
      <c r="F438" s="222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12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>
      <c r="A439" s="126"/>
      <c r="B439" s="93"/>
      <c r="C439" s="89"/>
      <c r="D439" s="89"/>
      <c r="E439" s="112"/>
      <c r="F439" s="222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9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>
      <c r="A440" s="126"/>
      <c r="B440" s="93"/>
      <c r="C440" s="89"/>
      <c r="D440" s="89"/>
      <c r="E440" s="112"/>
      <c r="F440" s="222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>
      <c r="A441" s="126"/>
      <c r="B441" s="93"/>
      <c r="C441" s="89"/>
      <c r="D441" s="89"/>
      <c r="E441" s="112"/>
      <c r="F441" s="222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>
      <c r="A442" s="126"/>
      <c r="B442" s="93"/>
      <c r="C442" s="89"/>
      <c r="D442" s="89"/>
      <c r="E442" s="112"/>
      <c r="F442" s="222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>
      <c r="A443" s="126"/>
      <c r="B443" s="93"/>
      <c r="C443" s="89"/>
      <c r="D443" s="89"/>
      <c r="E443" s="112"/>
      <c r="F443" s="222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12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>
      <c r="A444" s="126"/>
      <c r="B444" s="93"/>
      <c r="C444" s="89"/>
      <c r="D444" s="89"/>
      <c r="E444" s="112"/>
      <c r="F444" s="222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9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>
      <c r="A445" s="126"/>
      <c r="B445" s="93"/>
      <c r="C445" s="89"/>
      <c r="D445" s="89"/>
      <c r="E445" s="112"/>
      <c r="F445" s="222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>
      <c r="A446" s="126"/>
      <c r="B446" s="93"/>
      <c r="C446" s="89"/>
      <c r="D446" s="89"/>
      <c r="E446" s="112"/>
      <c r="F446" s="222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>
      <c r="A447" s="126"/>
      <c r="B447" s="93"/>
      <c r="C447" s="89"/>
      <c r="D447" s="89"/>
      <c r="E447" s="112"/>
      <c r="F447" s="222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>
      <c r="A448" s="126"/>
      <c r="B448" s="93"/>
      <c r="C448" s="89"/>
      <c r="D448" s="89"/>
      <c r="E448" s="112"/>
      <c r="F448" s="222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>
      <c r="A449" s="126"/>
      <c r="B449" s="93"/>
      <c r="C449" s="89"/>
      <c r="D449" s="89"/>
      <c r="E449" s="112"/>
      <c r="F449" s="222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>
      <c r="A450" s="126"/>
      <c r="B450" s="93"/>
      <c r="C450" s="89"/>
      <c r="D450" s="89"/>
      <c r="E450" s="112"/>
      <c r="F450" s="222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>
      <c r="A451" s="126"/>
      <c r="B451" s="93"/>
      <c r="C451" s="89"/>
      <c r="D451" s="89"/>
      <c r="E451" s="112"/>
      <c r="F451" s="222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>
      <c r="A452" s="126"/>
      <c r="B452" s="93"/>
      <c r="C452" s="89"/>
      <c r="D452" s="89"/>
      <c r="E452" s="112"/>
      <c r="F452" s="222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>
      <c r="A453" s="126"/>
      <c r="B453" s="93"/>
      <c r="C453" s="89"/>
      <c r="D453" s="89"/>
      <c r="E453" s="112"/>
      <c r="F453" s="222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>
      <c r="A454" s="126"/>
      <c r="B454" s="93"/>
      <c r="C454" s="89"/>
      <c r="D454" s="89"/>
      <c r="E454" s="112"/>
      <c r="F454" s="222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>
      <c r="A455" s="126"/>
      <c r="B455" s="93"/>
      <c r="C455" s="89"/>
      <c r="D455" s="89"/>
      <c r="E455" s="112"/>
      <c r="F455" s="222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>
      <c r="A456" s="126"/>
      <c r="B456" s="93"/>
      <c r="C456" s="89"/>
      <c r="D456" s="89"/>
      <c r="E456" s="112"/>
      <c r="F456" s="222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>
      <c r="A457" s="126"/>
      <c r="B457" s="93"/>
      <c r="C457" s="89"/>
      <c r="D457" s="89"/>
      <c r="E457" s="112"/>
      <c r="F457" s="222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12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>
      <c r="A458" s="126"/>
      <c r="B458" s="93"/>
      <c r="C458" s="89"/>
      <c r="D458" s="89"/>
      <c r="E458" s="112"/>
      <c r="F458" s="222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9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>
      <c r="A459" s="126"/>
      <c r="B459" s="93"/>
      <c r="C459" s="89"/>
      <c r="D459" s="89"/>
      <c r="E459" s="112"/>
      <c r="F459" s="222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>
      <c r="A460" s="126"/>
      <c r="B460" s="93"/>
      <c r="C460" s="89"/>
      <c r="D460" s="89"/>
      <c r="E460" s="112"/>
      <c r="F460" s="222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93"/>
      <c r="W460" s="93"/>
      <c r="X460" s="93"/>
      <c r="Y460" s="98"/>
      <c r="Z460" s="89"/>
      <c r="AA460" s="97"/>
      <c r="AB460" s="89"/>
      <c r="AC460" s="120"/>
      <c r="AD460" s="89"/>
      <c r="AE460" s="89"/>
      <c r="AF460" s="95"/>
      <c r="AG460" s="99"/>
      <c r="AH460" s="95"/>
      <c r="AI460" s="100"/>
      <c r="AJ460" s="100"/>
      <c r="AK460" s="129"/>
      <c r="AU460" s="45"/>
    </row>
    <row r="461" spans="1:47" ht="12" customHeight="1">
      <c r="A461" s="126"/>
      <c r="B461" s="93"/>
      <c r="C461" s="89"/>
      <c r="D461" s="89"/>
      <c r="E461" s="112"/>
      <c r="F461" s="222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>
      <c r="A462" s="126"/>
      <c r="B462" s="93"/>
      <c r="C462" s="89"/>
      <c r="D462" s="89"/>
      <c r="E462" s="112"/>
      <c r="F462" s="222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123"/>
      <c r="X462" s="12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>
      <c r="A463" s="126"/>
      <c r="B463" s="93"/>
      <c r="C463" s="89"/>
      <c r="D463" s="89"/>
      <c r="E463" s="112"/>
      <c r="F463" s="222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5"/>
      <c r="AH463" s="95"/>
      <c r="AI463" s="100"/>
      <c r="AJ463" s="100"/>
      <c r="AK463" s="129"/>
      <c r="AU463" s="45"/>
    </row>
    <row r="464" spans="1:47" ht="12" customHeight="1">
      <c r="A464" s="126"/>
      <c r="B464" s="93"/>
      <c r="C464" s="89"/>
      <c r="D464" s="89"/>
      <c r="E464" s="112"/>
      <c r="F464" s="222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9"/>
      <c r="AH464" s="95"/>
      <c r="AI464" s="100"/>
      <c r="AJ464" s="100"/>
      <c r="AK464" s="129"/>
      <c r="AU464" s="45"/>
    </row>
    <row r="465" spans="1:47" ht="12" customHeight="1">
      <c r="A465" s="126"/>
      <c r="B465" s="93"/>
      <c r="C465" s="89"/>
      <c r="D465" s="89"/>
      <c r="E465" s="112"/>
      <c r="F465" s="222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93"/>
      <c r="X465" s="93"/>
      <c r="Y465" s="98"/>
      <c r="Z465" s="89"/>
      <c r="AA465" s="97"/>
      <c r="AB465" s="89"/>
      <c r="AC465" s="120"/>
      <c r="AD465" s="89"/>
      <c r="AE465" s="89"/>
      <c r="AF465" s="95"/>
      <c r="AG465" s="95"/>
      <c r="AH465" s="128"/>
      <c r="AI465" s="100"/>
      <c r="AJ465" s="100"/>
      <c r="AK465" s="129"/>
      <c r="AU465" s="45"/>
    </row>
    <row r="466" spans="1:47" ht="12" customHeight="1">
      <c r="A466" s="126"/>
      <c r="B466" s="93"/>
      <c r="C466" s="89"/>
      <c r="D466" s="89"/>
      <c r="E466" s="112"/>
      <c r="F466" s="222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9"/>
      <c r="AH466" s="95"/>
      <c r="AI466" s="100"/>
      <c r="AJ466" s="100"/>
      <c r="AK466" s="129"/>
      <c r="AU466" s="45"/>
    </row>
    <row r="467" spans="1:47" ht="12" customHeight="1">
      <c r="A467" s="126"/>
      <c r="B467" s="93"/>
      <c r="C467" s="89"/>
      <c r="D467" s="89"/>
      <c r="E467" s="112"/>
      <c r="F467" s="222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>
      <c r="A468" s="126"/>
      <c r="B468" s="93"/>
      <c r="C468" s="89"/>
      <c r="D468" s="89"/>
      <c r="E468" s="112"/>
      <c r="F468" s="222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5"/>
      <c r="AH468" s="128"/>
      <c r="AI468" s="100"/>
      <c r="AJ468" s="100"/>
      <c r="AK468" s="129"/>
      <c r="AU468" s="45"/>
    </row>
    <row r="469" spans="1:47" ht="12" customHeight="1">
      <c r="A469" s="126"/>
      <c r="B469" s="93"/>
      <c r="C469" s="89"/>
      <c r="D469" s="89"/>
      <c r="E469" s="112"/>
      <c r="F469" s="222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123"/>
      <c r="X469" s="89"/>
      <c r="Y469" s="98"/>
      <c r="Z469" s="89"/>
      <c r="AA469" s="97"/>
      <c r="AB469" s="89"/>
      <c r="AC469" s="120"/>
      <c r="AD469" s="89"/>
      <c r="AE469" s="89"/>
      <c r="AF469" s="95"/>
      <c r="AG469" s="95"/>
      <c r="AH469" s="95"/>
      <c r="AI469" s="100"/>
      <c r="AJ469" s="100"/>
      <c r="AK469" s="129"/>
      <c r="AU469" s="45"/>
    </row>
    <row r="470" spans="1:47" ht="12" customHeight="1">
      <c r="A470" s="126"/>
      <c r="B470" s="93"/>
      <c r="C470" s="89"/>
      <c r="D470" s="89"/>
      <c r="E470" s="112"/>
      <c r="F470" s="222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>
      <c r="A471" s="126"/>
      <c r="B471" s="93"/>
      <c r="C471" s="89"/>
      <c r="D471" s="89"/>
      <c r="E471" s="112"/>
      <c r="F471" s="222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>
      <c r="A472" s="126"/>
      <c r="B472" s="93"/>
      <c r="C472" s="89"/>
      <c r="D472" s="89"/>
      <c r="E472" s="112"/>
      <c r="F472" s="222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>
      <c r="A473" s="126"/>
      <c r="B473" s="93"/>
      <c r="C473" s="89"/>
      <c r="D473" s="89"/>
      <c r="E473" s="112"/>
      <c r="F473" s="222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93"/>
      <c r="X473" s="93"/>
      <c r="Y473" s="98"/>
      <c r="Z473" s="89"/>
      <c r="AA473" s="97"/>
      <c r="AB473" s="89"/>
      <c r="AC473" s="120"/>
      <c r="AD473" s="89"/>
      <c r="AE473" s="89"/>
      <c r="AF473" s="95"/>
      <c r="AG473" s="99"/>
      <c r="AH473" s="95"/>
      <c r="AI473" s="100"/>
      <c r="AJ473" s="100"/>
      <c r="AK473" s="129"/>
      <c r="AU473" s="45"/>
    </row>
    <row r="474" spans="1:47" ht="12" customHeight="1">
      <c r="A474" s="126"/>
      <c r="B474" s="93"/>
      <c r="C474" s="89"/>
      <c r="D474" s="89"/>
      <c r="E474" s="112"/>
      <c r="F474" s="222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123"/>
      <c r="X474" s="89"/>
      <c r="Y474" s="98"/>
      <c r="Z474" s="89"/>
      <c r="AA474" s="97"/>
      <c r="AB474" s="89"/>
      <c r="AC474" s="120"/>
      <c r="AD474" s="89"/>
      <c r="AE474" s="89"/>
      <c r="AF474" s="95"/>
      <c r="AG474" s="95"/>
      <c r="AH474" s="95"/>
      <c r="AI474" s="100"/>
      <c r="AJ474" s="100"/>
      <c r="AK474" s="129"/>
      <c r="AU474" s="45"/>
    </row>
    <row r="475" spans="1:47" ht="12" customHeight="1">
      <c r="A475" s="126"/>
      <c r="B475" s="93"/>
      <c r="C475" s="89"/>
      <c r="D475" s="89"/>
      <c r="E475" s="112"/>
      <c r="F475" s="222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93"/>
      <c r="X475" s="93"/>
      <c r="Y475" s="98"/>
      <c r="Z475" s="89"/>
      <c r="AA475" s="97"/>
      <c r="AB475" s="89"/>
      <c r="AC475" s="120"/>
      <c r="AD475" s="89"/>
      <c r="AE475" s="89"/>
      <c r="AF475" s="95"/>
      <c r="AG475" s="99"/>
      <c r="AH475" s="95"/>
      <c r="AI475" s="100"/>
      <c r="AJ475" s="100"/>
      <c r="AK475" s="129"/>
      <c r="AU475" s="45"/>
    </row>
    <row r="476" spans="1:47" ht="12" customHeight="1">
      <c r="A476" s="126"/>
      <c r="B476" s="93"/>
      <c r="C476" s="89"/>
      <c r="D476" s="89"/>
      <c r="E476" s="112"/>
      <c r="F476" s="222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123"/>
      <c r="X476" s="89"/>
      <c r="Y476" s="98"/>
      <c r="Z476" s="89"/>
      <c r="AA476" s="97"/>
      <c r="AB476" s="89"/>
      <c r="AC476" s="120"/>
      <c r="AD476" s="89"/>
      <c r="AE476" s="89"/>
      <c r="AF476" s="95"/>
      <c r="AG476" s="95"/>
      <c r="AH476" s="95"/>
      <c r="AI476" s="100"/>
      <c r="AJ476" s="100"/>
      <c r="AK476" s="129"/>
      <c r="AU476" s="45"/>
    </row>
    <row r="477" spans="1:47" ht="12" customHeight="1">
      <c r="A477" s="126"/>
      <c r="B477" s="93"/>
      <c r="C477" s="89"/>
      <c r="D477" s="89"/>
      <c r="E477" s="112"/>
      <c r="F477" s="222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93"/>
      <c r="X477" s="93"/>
      <c r="Y477" s="98"/>
      <c r="Z477" s="89"/>
      <c r="AA477" s="97"/>
      <c r="AB477" s="89"/>
      <c r="AC477" s="120"/>
      <c r="AD477" s="89"/>
      <c r="AE477" s="89"/>
      <c r="AF477" s="95"/>
      <c r="AG477" s="99"/>
      <c r="AH477" s="95"/>
      <c r="AI477" s="100"/>
      <c r="AJ477" s="100"/>
      <c r="AK477" s="129"/>
      <c r="AU477" s="45"/>
    </row>
    <row r="478" spans="1:47" ht="12" customHeight="1">
      <c r="A478" s="126"/>
      <c r="B478" s="93"/>
      <c r="C478" s="89"/>
      <c r="D478" s="89"/>
      <c r="E478" s="112"/>
      <c r="F478" s="222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123"/>
      <c r="X478" s="89"/>
      <c r="Y478" s="98"/>
      <c r="Z478" s="89"/>
      <c r="AA478" s="97"/>
      <c r="AB478" s="89"/>
      <c r="AC478" s="120"/>
      <c r="AD478" s="89"/>
      <c r="AE478" s="89"/>
      <c r="AF478" s="95"/>
      <c r="AG478" s="95"/>
      <c r="AH478" s="95"/>
      <c r="AI478" s="100"/>
      <c r="AJ478" s="100"/>
      <c r="AK478" s="129"/>
      <c r="AU478" s="45"/>
    </row>
    <row r="479" spans="1:47" ht="12" customHeight="1">
      <c r="A479" s="126"/>
      <c r="B479" s="93"/>
      <c r="C479" s="89"/>
      <c r="D479" s="89"/>
      <c r="E479" s="112"/>
      <c r="F479" s="222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93"/>
      <c r="X479" s="93"/>
      <c r="Y479" s="98"/>
      <c r="Z479" s="89"/>
      <c r="AA479" s="97"/>
      <c r="AB479" s="89"/>
      <c r="AC479" s="120"/>
      <c r="AD479" s="89"/>
      <c r="AE479" s="89"/>
      <c r="AF479" s="95"/>
      <c r="AG479" s="99"/>
      <c r="AH479" s="95"/>
      <c r="AI479" s="100"/>
      <c r="AJ479" s="100"/>
      <c r="AK479" s="129"/>
      <c r="AU479" s="45"/>
    </row>
    <row r="480" spans="1:47" ht="12" customHeight="1">
      <c r="A480" s="126"/>
      <c r="B480" s="93"/>
      <c r="C480" s="89"/>
      <c r="D480" s="89"/>
      <c r="E480" s="112"/>
      <c r="F480" s="222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123"/>
      <c r="X480" s="89"/>
      <c r="Y480" s="98"/>
      <c r="Z480" s="89"/>
      <c r="AA480" s="97"/>
      <c r="AB480" s="89"/>
      <c r="AC480" s="120"/>
      <c r="AD480" s="89"/>
      <c r="AE480" s="89"/>
      <c r="AF480" s="95"/>
      <c r="AG480" s="95"/>
      <c r="AH480" s="95"/>
      <c r="AI480" s="100"/>
      <c r="AJ480" s="100"/>
      <c r="AK480" s="129"/>
      <c r="AU480" s="45"/>
    </row>
    <row r="481" spans="1:47" ht="12" customHeight="1">
      <c r="A481" s="130"/>
      <c r="B481" s="131"/>
      <c r="C481" s="132"/>
      <c r="D481" s="132"/>
      <c r="E481" s="133"/>
      <c r="F481" s="223"/>
      <c r="G481" s="135"/>
      <c r="H481" s="131"/>
      <c r="I481" s="135"/>
      <c r="J481" s="136"/>
      <c r="K481" s="132"/>
      <c r="L481" s="132"/>
      <c r="M481" s="132"/>
      <c r="N481" s="132"/>
      <c r="O481" s="134"/>
      <c r="P481" s="137"/>
      <c r="Q481" s="148"/>
      <c r="R481" s="138"/>
      <c r="S481" s="139"/>
      <c r="T481" s="139"/>
      <c r="U481" s="139"/>
      <c r="V481" s="131"/>
      <c r="W481" s="140"/>
      <c r="X481" s="132"/>
      <c r="Y481" s="141"/>
      <c r="Z481" s="132"/>
      <c r="AA481" s="139"/>
      <c r="AB481" s="132"/>
      <c r="AC481" s="192"/>
      <c r="AD481" s="132"/>
      <c r="AE481" s="132"/>
      <c r="AF481" s="137"/>
      <c r="AG481" s="137"/>
      <c r="AH481" s="137"/>
      <c r="AI481" s="142"/>
      <c r="AJ481" s="142"/>
      <c r="AK481" s="143"/>
      <c r="AU481" s="45"/>
    </row>
    <row r="482" spans="1:47" ht="12" customHeight="1">
      <c r="A482" s="130"/>
      <c r="B482" s="93"/>
      <c r="C482" s="132"/>
      <c r="D482" s="132"/>
      <c r="E482" s="112"/>
      <c r="F482" s="222"/>
      <c r="G482" s="92"/>
      <c r="H482" s="93"/>
      <c r="I482" s="92"/>
      <c r="J482" s="136"/>
      <c r="K482" s="89"/>
      <c r="L482" s="89"/>
      <c r="M482" s="89"/>
      <c r="N482" s="89"/>
      <c r="O482" s="91"/>
      <c r="P482" s="95"/>
      <c r="Q482" s="145"/>
      <c r="R482" s="96"/>
      <c r="S482" s="97"/>
      <c r="T482" s="97"/>
      <c r="U482" s="97"/>
      <c r="V482" s="93"/>
      <c r="W482" s="123"/>
      <c r="X482" s="89"/>
      <c r="Y482" s="98"/>
      <c r="Z482" s="89"/>
      <c r="AA482" s="97"/>
      <c r="AB482" s="89"/>
      <c r="AC482" s="120"/>
      <c r="AD482" s="89"/>
      <c r="AE482" s="89"/>
      <c r="AF482" s="95"/>
      <c r="AG482" s="95"/>
      <c r="AH482" s="95"/>
      <c r="AI482" s="100"/>
      <c r="AJ482" s="100"/>
      <c r="AK482" s="129"/>
      <c r="AU482" s="45"/>
    </row>
    <row r="483" spans="1:47" ht="12" customHeight="1">
      <c r="A483" s="130"/>
      <c r="B483" s="93"/>
      <c r="C483" s="132"/>
      <c r="D483" s="132"/>
      <c r="E483" s="112"/>
      <c r="F483" s="222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>
      <c r="A484" s="130"/>
      <c r="B484" s="93"/>
      <c r="C484" s="132"/>
      <c r="D484" s="132"/>
      <c r="E484" s="112"/>
      <c r="F484" s="222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>
      <c r="A485" s="130"/>
      <c r="B485" s="93"/>
      <c r="C485" s="132"/>
      <c r="D485" s="132"/>
      <c r="E485" s="112"/>
      <c r="F485" s="222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>
      <c r="A486" s="130"/>
      <c r="B486" s="93"/>
      <c r="C486" s="132"/>
      <c r="D486" s="132"/>
      <c r="E486" s="112"/>
      <c r="F486" s="222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>
      <c r="A487" s="130"/>
      <c r="B487" s="93"/>
      <c r="C487" s="132"/>
      <c r="D487" s="132"/>
      <c r="E487" s="112"/>
      <c r="F487" s="222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>
      <c r="A488" s="130"/>
      <c r="B488" s="93"/>
      <c r="C488" s="132"/>
      <c r="D488" s="132"/>
      <c r="E488" s="112"/>
      <c r="F488" s="222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>
      <c r="A489" s="130"/>
      <c r="B489" s="93"/>
      <c r="C489" s="132"/>
      <c r="D489" s="132"/>
      <c r="E489" s="112"/>
      <c r="F489" s="222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>
      <c r="A490" s="130"/>
      <c r="B490" s="93"/>
      <c r="C490" s="132"/>
      <c r="D490" s="132"/>
      <c r="E490" s="112"/>
      <c r="F490" s="222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>
      <c r="A491" s="130"/>
      <c r="B491" s="93"/>
      <c r="C491" s="132"/>
      <c r="D491" s="132"/>
      <c r="E491" s="112"/>
      <c r="F491" s="222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>
      <c r="A492" s="130"/>
      <c r="B492" s="93"/>
      <c r="C492" s="132"/>
      <c r="D492" s="132"/>
      <c r="E492" s="112"/>
      <c r="F492" s="222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>
      <c r="A493" s="130"/>
      <c r="B493" s="93"/>
      <c r="C493" s="132"/>
      <c r="D493" s="132"/>
      <c r="E493" s="112"/>
      <c r="F493" s="222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>
      <c r="A494" s="130"/>
      <c r="B494" s="93"/>
      <c r="C494" s="132"/>
      <c r="D494" s="132"/>
      <c r="E494" s="133"/>
      <c r="F494" s="223"/>
      <c r="G494" s="135"/>
      <c r="H494" s="131"/>
      <c r="I494" s="135"/>
      <c r="J494" s="136"/>
      <c r="K494" s="132"/>
      <c r="L494" s="132"/>
      <c r="M494" s="132"/>
      <c r="N494" s="132"/>
      <c r="O494" s="134"/>
      <c r="P494" s="137"/>
      <c r="Q494" s="145"/>
      <c r="R494" s="138"/>
      <c r="S494" s="139"/>
      <c r="T494" s="97"/>
      <c r="U494" s="97"/>
      <c r="V494" s="131"/>
      <c r="W494" s="140"/>
      <c r="X494" s="132"/>
      <c r="Y494" s="141"/>
      <c r="Z494" s="132"/>
      <c r="AA494" s="139"/>
      <c r="AB494" s="132"/>
      <c r="AC494" s="192"/>
      <c r="AD494" s="132"/>
      <c r="AE494" s="132"/>
      <c r="AF494" s="137"/>
      <c r="AG494" s="137"/>
      <c r="AH494" s="137"/>
      <c r="AI494" s="142"/>
      <c r="AJ494" s="142"/>
      <c r="AK494" s="143"/>
      <c r="AU494" s="45"/>
    </row>
    <row r="495" spans="1:47" ht="12" customHeight="1">
      <c r="A495" s="87"/>
      <c r="B495" s="88"/>
      <c r="C495" s="91"/>
      <c r="D495" s="89"/>
      <c r="E495" s="112"/>
      <c r="F495" s="222"/>
      <c r="G495" s="92"/>
      <c r="H495" s="93"/>
      <c r="I495" s="92"/>
      <c r="J495" s="89"/>
      <c r="K495" s="89"/>
      <c r="L495" s="89"/>
      <c r="M495" s="89"/>
      <c r="N495" s="89"/>
      <c r="O495" s="94"/>
      <c r="P495" s="95"/>
      <c r="Q495" s="145"/>
      <c r="R495" s="96"/>
      <c r="S495" s="97"/>
      <c r="T495" s="97"/>
      <c r="U495" s="97"/>
      <c r="V495" s="93"/>
      <c r="W495" s="125"/>
      <c r="X495" s="89"/>
      <c r="Y495" s="98"/>
      <c r="Z495" s="89"/>
      <c r="AA495" s="97"/>
      <c r="AB495" s="91"/>
      <c r="AC495" s="120"/>
      <c r="AD495" s="89"/>
      <c r="AE495" s="89"/>
      <c r="AF495" s="99"/>
      <c r="AG495" s="99"/>
      <c r="AH495" s="99"/>
      <c r="AI495" s="100"/>
      <c r="AJ495" s="100"/>
      <c r="AK495" s="100"/>
      <c r="AU495" s="45"/>
    </row>
    <row r="496" spans="1:47" ht="12" customHeight="1">
      <c r="A496" s="87"/>
      <c r="B496" s="88"/>
      <c r="C496" s="91"/>
      <c r="D496" s="89"/>
      <c r="E496" s="112"/>
      <c r="F496" s="222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93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>
      <c r="A497" s="87"/>
      <c r="B497" s="88"/>
      <c r="C497" s="91"/>
      <c r="D497" s="89"/>
      <c r="E497" s="112"/>
      <c r="F497" s="222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89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>
      <c r="A498" s="87"/>
      <c r="B498" s="88"/>
      <c r="C498" s="91"/>
      <c r="D498" s="89"/>
      <c r="E498" s="112"/>
      <c r="F498" s="222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>
      <c r="A499" s="87"/>
      <c r="B499" s="88"/>
      <c r="C499" s="91"/>
      <c r="D499" s="89"/>
      <c r="E499" s="112"/>
      <c r="F499" s="222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89"/>
      <c r="X499" s="89"/>
      <c r="Y499" s="89"/>
      <c r="Z499" s="89"/>
      <c r="AA499" s="97"/>
      <c r="AB499" s="91"/>
      <c r="AC499" s="120"/>
      <c r="AD499" s="89"/>
      <c r="AE499" s="89"/>
      <c r="AF499" s="99"/>
      <c r="AG499" s="95"/>
      <c r="AH499" s="99"/>
      <c r="AI499" s="100"/>
      <c r="AJ499" s="100"/>
      <c r="AK499" s="100"/>
      <c r="AU499" s="45"/>
    </row>
    <row r="500" spans="1:47" ht="12" customHeight="1">
      <c r="A500" s="87"/>
      <c r="B500" s="88"/>
      <c r="C500" s="91"/>
      <c r="D500" s="89"/>
      <c r="E500" s="112"/>
      <c r="F500" s="222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>
      <c r="A501" s="87"/>
      <c r="B501" s="88"/>
      <c r="C501" s="91"/>
      <c r="D501" s="89"/>
      <c r="E501" s="112"/>
      <c r="F501" s="222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>
      <c r="A502" s="87"/>
      <c r="B502" s="88"/>
      <c r="C502" s="91"/>
      <c r="D502" s="89"/>
      <c r="E502" s="112"/>
      <c r="F502" s="222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>
      <c r="A503" s="87"/>
      <c r="B503" s="88"/>
      <c r="C503" s="91"/>
      <c r="D503" s="89"/>
      <c r="E503" s="112"/>
      <c r="F503" s="222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98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>
      <c r="A504" s="87"/>
      <c r="B504" s="88"/>
      <c r="C504" s="91"/>
      <c r="D504" s="89"/>
      <c r="E504" s="112"/>
      <c r="F504" s="222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125"/>
      <c r="X504" s="93"/>
      <c r="Y504" s="98"/>
      <c r="Z504" s="89"/>
      <c r="AA504" s="97"/>
      <c r="AB504" s="91"/>
      <c r="AC504" s="120"/>
      <c r="AD504" s="89"/>
      <c r="AE504" s="89"/>
      <c r="AF504" s="99"/>
      <c r="AG504" s="99"/>
      <c r="AH504" s="99"/>
      <c r="AI504" s="100"/>
      <c r="AJ504" s="100"/>
      <c r="AK504" s="100"/>
      <c r="AU504" s="45"/>
    </row>
    <row r="505" spans="1:47" ht="12" customHeight="1">
      <c r="A505" s="87"/>
      <c r="B505" s="88"/>
      <c r="C505" s="91"/>
      <c r="D505" s="89"/>
      <c r="E505" s="112"/>
      <c r="F505" s="222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123"/>
      <c r="Y505" s="98"/>
      <c r="Z505" s="89"/>
      <c r="AA505" s="97"/>
      <c r="AB505" s="91"/>
      <c r="AC505" s="120"/>
      <c r="AD505" s="89"/>
      <c r="AE505" s="89"/>
      <c r="AF505" s="99"/>
      <c r="AG505" s="95"/>
      <c r="AH505" s="99"/>
      <c r="AI505" s="100"/>
      <c r="AJ505" s="100"/>
      <c r="AK505" s="100"/>
      <c r="AU505" s="45"/>
    </row>
    <row r="506" spans="1:47" ht="12" customHeight="1">
      <c r="A506" s="87"/>
      <c r="B506" s="88"/>
      <c r="C506" s="91"/>
      <c r="D506" s="89"/>
      <c r="E506" s="112"/>
      <c r="F506" s="222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89"/>
      <c r="X506" s="89"/>
      <c r="Y506" s="89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>
      <c r="A507" s="87"/>
      <c r="B507" s="88"/>
      <c r="C507" s="91"/>
      <c r="D507" s="89"/>
      <c r="E507" s="112"/>
      <c r="F507" s="222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>
      <c r="A508" s="87"/>
      <c r="B508" s="88"/>
      <c r="C508" s="91"/>
      <c r="D508" s="89"/>
      <c r="E508" s="112"/>
      <c r="F508" s="222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>
      <c r="A509" s="87"/>
      <c r="B509" s="88"/>
      <c r="C509" s="91"/>
      <c r="D509" s="89"/>
      <c r="E509" s="112"/>
      <c r="F509" s="222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98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>
      <c r="A510" s="87"/>
      <c r="B510" s="88"/>
      <c r="C510" s="91"/>
      <c r="D510" s="89"/>
      <c r="E510" s="112"/>
      <c r="F510" s="222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>
      <c r="A511" s="87"/>
      <c r="B511" s="88"/>
      <c r="C511" s="91"/>
      <c r="D511" s="89"/>
      <c r="E511" s="112"/>
      <c r="F511" s="222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>
      <c r="A512" s="87"/>
      <c r="B512" s="88"/>
      <c r="C512" s="91"/>
      <c r="D512" s="89"/>
      <c r="E512" s="112"/>
      <c r="F512" s="222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>
      <c r="A513" s="87"/>
      <c r="B513" s="88"/>
      <c r="C513" s="91"/>
      <c r="D513" s="89"/>
      <c r="E513" s="112"/>
      <c r="F513" s="222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>
      <c r="A514" s="87"/>
      <c r="B514" s="88"/>
      <c r="C514" s="91"/>
      <c r="D514" s="89"/>
      <c r="E514" s="112"/>
      <c r="F514" s="222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>
      <c r="A515" s="87"/>
      <c r="B515" s="88"/>
      <c r="C515" s="91"/>
      <c r="D515" s="89"/>
      <c r="E515" s="112"/>
      <c r="F515" s="222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125"/>
      <c r="X515" s="123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>
      <c r="A516" s="87"/>
      <c r="B516" s="88"/>
      <c r="C516" s="91"/>
      <c r="D516" s="89"/>
      <c r="E516" s="112"/>
      <c r="F516" s="222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88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>
      <c r="A517" s="87"/>
      <c r="B517" s="88"/>
      <c r="C517" s="91"/>
      <c r="D517" s="89"/>
      <c r="E517" s="112"/>
      <c r="F517" s="222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>
      <c r="A518" s="87"/>
      <c r="B518" s="88"/>
      <c r="C518" s="91"/>
      <c r="D518" s="89"/>
      <c r="E518" s="112"/>
      <c r="F518" s="222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>
      <c r="A519" s="87"/>
      <c r="B519" s="88"/>
      <c r="C519" s="91"/>
      <c r="D519" s="89"/>
      <c r="E519" s="112"/>
      <c r="F519" s="222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93"/>
      <c r="W519" s="125"/>
      <c r="X519" s="9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>
      <c r="A520" s="87"/>
      <c r="B520" s="88"/>
      <c r="C520" s="91"/>
      <c r="D520" s="89"/>
      <c r="E520" s="112"/>
      <c r="F520" s="222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9"/>
      <c r="AH520" s="99"/>
      <c r="AI520" s="100"/>
      <c r="AJ520" s="100"/>
      <c r="AK520" s="100"/>
      <c r="AU520" s="45"/>
    </row>
    <row r="521" spans="1:47" ht="12" customHeight="1">
      <c r="A521" s="87"/>
      <c r="B521" s="88"/>
      <c r="C521" s="91"/>
      <c r="D521" s="89"/>
      <c r="E521" s="112"/>
      <c r="F521" s="222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>
      <c r="A522" s="87"/>
      <c r="B522" s="88"/>
      <c r="C522" s="91"/>
      <c r="D522" s="89"/>
      <c r="E522" s="112"/>
      <c r="F522" s="222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88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>
      <c r="A523" s="87"/>
      <c r="B523" s="88"/>
      <c r="C523" s="91"/>
      <c r="D523" s="89"/>
      <c r="E523" s="112"/>
      <c r="F523" s="222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>
      <c r="A524" s="87"/>
      <c r="B524" s="88"/>
      <c r="C524" s="91"/>
      <c r="D524" s="89"/>
      <c r="E524" s="112"/>
      <c r="F524" s="222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>
      <c r="A525" s="87"/>
      <c r="B525" s="88"/>
      <c r="C525" s="91"/>
      <c r="D525" s="89"/>
      <c r="E525" s="112"/>
      <c r="F525" s="222"/>
      <c r="G525" s="92"/>
      <c r="H525" s="93"/>
      <c r="I525" s="92"/>
      <c r="J525" s="89"/>
      <c r="K525" s="114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>
      <c r="A526" s="87"/>
      <c r="B526" s="88"/>
      <c r="C526" s="91"/>
      <c r="D526" s="89"/>
      <c r="E526" s="112"/>
      <c r="F526" s="222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>
      <c r="A527" s="87"/>
      <c r="B527" s="93"/>
      <c r="C527" s="91"/>
      <c r="D527" s="89"/>
      <c r="E527" s="112"/>
      <c r="F527" s="222"/>
      <c r="G527" s="92"/>
      <c r="H527" s="93"/>
      <c r="I527" s="92"/>
      <c r="J527" s="89"/>
      <c r="K527" s="89"/>
      <c r="L527" s="89"/>
      <c r="M527" s="89"/>
      <c r="N527" s="89"/>
      <c r="O527" s="91"/>
      <c r="P527" s="95"/>
      <c r="Q527" s="145"/>
      <c r="R527" s="97"/>
      <c r="S527" s="97"/>
      <c r="T527" s="97"/>
      <c r="U527" s="97"/>
      <c r="V527" s="93"/>
      <c r="W527" s="89"/>
      <c r="X527" s="89"/>
      <c r="Y527" s="98"/>
      <c r="Z527" s="89"/>
      <c r="AA527" s="97"/>
      <c r="AB527" s="91"/>
      <c r="AC527" s="120"/>
      <c r="AD527" s="89"/>
      <c r="AE527" s="89"/>
      <c r="AF527" s="99"/>
      <c r="AG527" s="95"/>
      <c r="AH527" s="99"/>
      <c r="AI527" s="100"/>
      <c r="AJ527" s="100"/>
      <c r="AK527" s="100"/>
      <c r="AU527" s="45"/>
    </row>
    <row r="528" spans="1:47" ht="12" customHeight="1">
      <c r="A528" s="87"/>
      <c r="B528" s="93"/>
      <c r="C528" s="91"/>
      <c r="D528" s="89"/>
      <c r="E528" s="112"/>
      <c r="F528" s="222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9"/>
      <c r="AH528" s="99"/>
      <c r="AI528" s="100"/>
      <c r="AJ528" s="100"/>
      <c r="AK528" s="100"/>
      <c r="AU528" s="45"/>
    </row>
    <row r="529" spans="1:47" ht="12" customHeight="1">
      <c r="A529" s="87"/>
      <c r="B529" s="93"/>
      <c r="C529" s="91"/>
      <c r="D529" s="89"/>
      <c r="E529" s="112"/>
      <c r="F529" s="222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93"/>
      <c r="X529" s="93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>
      <c r="A530" s="87"/>
      <c r="B530" s="93"/>
      <c r="C530" s="91"/>
      <c r="D530" s="89"/>
      <c r="E530" s="112"/>
      <c r="F530" s="222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6"/>
      <c r="S530" s="97"/>
      <c r="T530" s="97"/>
      <c r="U530" s="97"/>
      <c r="V530" s="93"/>
      <c r="W530" s="89"/>
      <c r="X530" s="89"/>
      <c r="Y530" s="98"/>
      <c r="Z530" s="89"/>
      <c r="AA530" s="97"/>
      <c r="AB530" s="91"/>
      <c r="AC530" s="120"/>
      <c r="AD530" s="89"/>
      <c r="AE530" s="89"/>
      <c r="AF530" s="99"/>
      <c r="AG530" s="95"/>
      <c r="AH530" s="99"/>
      <c r="AI530" s="100"/>
      <c r="AJ530" s="100"/>
      <c r="AK530" s="100"/>
      <c r="AU530" s="45"/>
    </row>
    <row r="531" spans="1:47" ht="12" customHeight="1">
      <c r="A531" s="87"/>
      <c r="B531" s="93"/>
      <c r="C531" s="91"/>
      <c r="D531" s="89"/>
      <c r="E531" s="112"/>
      <c r="F531" s="222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>
      <c r="A532" s="87"/>
      <c r="B532" s="93"/>
      <c r="C532" s="91"/>
      <c r="D532" s="89"/>
      <c r="E532" s="112"/>
      <c r="F532" s="222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>
      <c r="A533" s="87"/>
      <c r="B533" s="93"/>
      <c r="C533" s="91"/>
      <c r="D533" s="89"/>
      <c r="E533" s="112"/>
      <c r="F533" s="222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7"/>
      <c r="S533" s="97"/>
      <c r="T533" s="97"/>
      <c r="U533" s="97"/>
      <c r="V533" s="93"/>
      <c r="W533" s="123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>
      <c r="A534" s="87"/>
      <c r="B534" s="93"/>
      <c r="C534" s="91"/>
      <c r="D534" s="89"/>
      <c r="E534" s="112"/>
      <c r="F534" s="222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93"/>
      <c r="X534" s="93"/>
      <c r="Y534" s="98"/>
      <c r="Z534" s="89"/>
      <c r="AA534" s="97"/>
      <c r="AB534" s="91"/>
      <c r="AC534" s="120"/>
      <c r="AD534" s="89"/>
      <c r="AE534" s="89"/>
      <c r="AF534" s="99"/>
      <c r="AG534" s="99"/>
      <c r="AH534" s="99"/>
      <c r="AI534" s="100"/>
      <c r="AJ534" s="100"/>
      <c r="AK534" s="100"/>
      <c r="AU534" s="45"/>
    </row>
    <row r="535" spans="1:47" ht="12" customHeight="1">
      <c r="A535" s="87"/>
      <c r="B535" s="93"/>
      <c r="C535" s="91"/>
      <c r="D535" s="89"/>
      <c r="E535" s="112"/>
      <c r="F535" s="222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>
      <c r="A536" s="87"/>
      <c r="B536" s="93"/>
      <c r="C536" s="91"/>
      <c r="D536" s="89"/>
      <c r="E536" s="112"/>
      <c r="F536" s="222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>
      <c r="A537" s="87"/>
      <c r="B537" s="93"/>
      <c r="C537" s="91"/>
      <c r="D537" s="89"/>
      <c r="E537" s="112"/>
      <c r="F537" s="222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>
      <c r="A538" s="87"/>
      <c r="B538" s="93"/>
      <c r="C538" s="91"/>
      <c r="D538" s="89"/>
      <c r="E538" s="112"/>
      <c r="F538" s="222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>
      <c r="A539" s="87"/>
      <c r="B539" s="93"/>
      <c r="C539" s="91"/>
      <c r="D539" s="89"/>
      <c r="E539" s="112"/>
      <c r="F539" s="222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>
      <c r="A540" s="87"/>
      <c r="B540" s="93"/>
      <c r="C540" s="91"/>
      <c r="D540" s="89"/>
      <c r="E540" s="112"/>
      <c r="F540" s="222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89"/>
      <c r="Y540" s="98"/>
      <c r="Z540" s="89"/>
      <c r="AA540" s="97"/>
      <c r="AB540" s="91"/>
      <c r="AC540" s="120"/>
      <c r="AD540" s="89"/>
      <c r="AE540" s="89"/>
      <c r="AF540" s="95"/>
      <c r="AG540" s="95"/>
      <c r="AH540" s="95"/>
      <c r="AI540" s="100"/>
      <c r="AJ540" s="100"/>
      <c r="AK540" s="100"/>
      <c r="AU540" s="45"/>
    </row>
    <row r="541" spans="1:47" ht="12" customHeight="1">
      <c r="A541" s="87"/>
      <c r="B541" s="93"/>
      <c r="C541" s="91"/>
      <c r="D541" s="89"/>
      <c r="E541" s="112"/>
      <c r="F541" s="222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89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>
      <c r="A542" s="87"/>
      <c r="B542" s="93"/>
      <c r="C542" s="91"/>
      <c r="D542" s="89"/>
      <c r="E542" s="112"/>
      <c r="F542" s="222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>
      <c r="A543" s="87"/>
      <c r="B543" s="93"/>
      <c r="C543" s="91"/>
      <c r="D543" s="89"/>
      <c r="E543" s="112"/>
      <c r="F543" s="222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>
      <c r="A544" s="87"/>
      <c r="B544" s="93"/>
      <c r="C544" s="91"/>
      <c r="D544" s="89"/>
      <c r="E544" s="112"/>
      <c r="F544" s="222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9"/>
      <c r="AH544" s="95"/>
      <c r="AI544" s="100"/>
      <c r="AJ544" s="100"/>
      <c r="AK544" s="100"/>
      <c r="AU544" s="45"/>
    </row>
    <row r="545" spans="1:47" ht="12" customHeight="1">
      <c r="A545" s="87"/>
      <c r="B545" s="93"/>
      <c r="C545" s="91"/>
      <c r="D545" s="89"/>
      <c r="E545" s="112"/>
      <c r="F545" s="222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93"/>
      <c r="X545" s="123"/>
      <c r="Y545" s="98"/>
      <c r="Z545" s="89"/>
      <c r="AA545" s="97"/>
      <c r="AB545" s="91"/>
      <c r="AC545" s="120"/>
      <c r="AD545" s="89"/>
      <c r="AE545" s="89"/>
      <c r="AF545" s="95"/>
      <c r="AG545" s="95"/>
      <c r="AH545" s="95"/>
      <c r="AI545" s="100"/>
      <c r="AJ545" s="100"/>
      <c r="AK545" s="100"/>
      <c r="AU545" s="45"/>
    </row>
    <row r="546" spans="1:47" ht="12" customHeight="1">
      <c r="A546" s="87"/>
      <c r="B546" s="93"/>
      <c r="C546" s="91"/>
      <c r="D546" s="89"/>
      <c r="E546" s="112"/>
      <c r="F546" s="222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>
      <c r="A547" s="87"/>
      <c r="B547" s="93"/>
      <c r="C547" s="91"/>
      <c r="D547" s="89"/>
      <c r="E547" s="112"/>
      <c r="F547" s="222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6"/>
      <c r="S547" s="97"/>
      <c r="T547" s="97"/>
      <c r="U547" s="97"/>
      <c r="V547" s="93"/>
      <c r="W547" s="93"/>
      <c r="X547" s="89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>
      <c r="A548" s="87"/>
      <c r="B548" s="93"/>
      <c r="C548" s="91"/>
      <c r="D548" s="89"/>
      <c r="E548" s="112"/>
      <c r="F548" s="222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>
      <c r="A549" s="87"/>
      <c r="B549" s="93"/>
      <c r="C549" s="91"/>
      <c r="D549" s="89"/>
      <c r="E549" s="112"/>
      <c r="F549" s="222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7"/>
      <c r="S549" s="97"/>
      <c r="T549" s="97"/>
      <c r="U549" s="97"/>
      <c r="V549" s="93"/>
      <c r="W549" s="93"/>
      <c r="X549" s="93"/>
      <c r="Y549" s="98"/>
      <c r="Z549" s="89"/>
      <c r="AA549" s="97"/>
      <c r="AB549" s="91"/>
      <c r="AC549" s="120"/>
      <c r="AD549" s="89"/>
      <c r="AE549" s="89"/>
      <c r="AF549" s="95"/>
      <c r="AG549" s="95"/>
      <c r="AH549" s="99"/>
      <c r="AI549" s="100"/>
      <c r="AJ549" s="100"/>
      <c r="AK549" s="100"/>
      <c r="AU549" s="45"/>
    </row>
    <row r="550" spans="1:47" ht="12" customHeight="1">
      <c r="A550" s="87"/>
      <c r="B550" s="93"/>
      <c r="C550" s="91"/>
      <c r="D550" s="89"/>
      <c r="E550" s="112"/>
      <c r="F550" s="222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>
      <c r="A551" s="87"/>
      <c r="B551" s="93"/>
      <c r="C551" s="91"/>
      <c r="D551" s="89"/>
      <c r="E551" s="112"/>
      <c r="F551" s="222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>
      <c r="A552" s="87"/>
      <c r="B552" s="93"/>
      <c r="C552" s="91"/>
      <c r="D552" s="89"/>
      <c r="E552" s="112"/>
      <c r="F552" s="222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123"/>
      <c r="X552" s="89"/>
      <c r="Y552" s="98"/>
      <c r="Z552" s="89"/>
      <c r="AA552" s="97"/>
      <c r="AB552" s="91"/>
      <c r="AC552" s="120"/>
      <c r="AD552" s="89"/>
      <c r="AE552" s="89"/>
      <c r="AF552" s="95"/>
      <c r="AG552" s="95"/>
      <c r="AH552" s="95"/>
      <c r="AI552" s="100"/>
      <c r="AJ552" s="100"/>
      <c r="AK552" s="100"/>
      <c r="AU552" s="45"/>
    </row>
    <row r="553" spans="1:47" ht="12" customHeight="1">
      <c r="A553" s="87"/>
      <c r="B553" s="93"/>
      <c r="C553" s="91"/>
      <c r="D553" s="89"/>
      <c r="E553" s="112"/>
      <c r="F553" s="222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9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>
      <c r="A554" s="87"/>
      <c r="B554" s="93"/>
      <c r="C554" s="91"/>
      <c r="D554" s="89"/>
      <c r="E554" s="112"/>
      <c r="F554" s="222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12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>
      <c r="A555" s="87"/>
      <c r="B555" s="93"/>
      <c r="C555" s="91"/>
      <c r="D555" s="89"/>
      <c r="E555" s="112"/>
      <c r="F555" s="222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6"/>
      <c r="S555" s="97"/>
      <c r="T555" s="97"/>
      <c r="U555" s="97"/>
      <c r="V555" s="93"/>
      <c r="W555" s="89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>
      <c r="A556" s="87"/>
      <c r="B556" s="93"/>
      <c r="C556" s="91"/>
      <c r="D556" s="89"/>
      <c r="E556" s="112"/>
      <c r="F556" s="222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>
      <c r="A557" s="87"/>
      <c r="B557" s="93"/>
      <c r="C557" s="91"/>
      <c r="D557" s="89"/>
      <c r="E557" s="112"/>
      <c r="F557" s="222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7"/>
      <c r="S557" s="97"/>
      <c r="T557" s="97"/>
      <c r="U557" s="97"/>
      <c r="V557" s="93"/>
      <c r="W557" s="93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>
      <c r="A558" s="87"/>
      <c r="B558" s="93"/>
      <c r="C558" s="91"/>
      <c r="D558" s="89"/>
      <c r="E558" s="112"/>
      <c r="F558" s="222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>
      <c r="A559" s="87"/>
      <c r="B559" s="93"/>
      <c r="C559" s="91"/>
      <c r="D559" s="89"/>
      <c r="E559" s="112"/>
      <c r="F559" s="222"/>
      <c r="G559" s="92"/>
      <c r="H559" s="93"/>
      <c r="I559" s="92"/>
      <c r="J559" s="89"/>
      <c r="K559" s="89"/>
      <c r="L559" s="89"/>
      <c r="M559" s="89"/>
      <c r="N559" s="89"/>
      <c r="O559" s="91"/>
      <c r="P559" s="144"/>
      <c r="Q559" s="145"/>
      <c r="R559" s="97"/>
      <c r="S559" s="97"/>
      <c r="T559" s="97"/>
      <c r="U559" s="97"/>
      <c r="V559" s="93"/>
      <c r="W559" s="89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>
      <c r="A560" s="87"/>
      <c r="B560" s="93"/>
      <c r="C560" s="91"/>
      <c r="D560" s="89"/>
      <c r="E560" s="112"/>
      <c r="F560" s="222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>
      <c r="A561" s="87"/>
      <c r="B561" s="93"/>
      <c r="C561" s="91"/>
      <c r="D561" s="89"/>
      <c r="E561" s="112"/>
      <c r="F561" s="222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>
      <c r="A562" s="87"/>
      <c r="B562" s="93"/>
      <c r="C562" s="91"/>
      <c r="D562" s="89"/>
      <c r="E562" s="112"/>
      <c r="F562" s="222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>
      <c r="A563" s="87"/>
      <c r="B563" s="93"/>
      <c r="C563" s="91"/>
      <c r="D563" s="89"/>
      <c r="E563" s="112"/>
      <c r="F563" s="222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>
      <c r="A564" s="87"/>
      <c r="B564" s="93"/>
      <c r="C564" s="91"/>
      <c r="D564" s="89"/>
      <c r="E564" s="112"/>
      <c r="F564" s="222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>
      <c r="A565" s="87"/>
      <c r="B565" s="93"/>
      <c r="C565" s="91"/>
      <c r="D565" s="89"/>
      <c r="E565" s="112"/>
      <c r="F565" s="222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>
      <c r="A566" s="87"/>
      <c r="B566" s="93"/>
      <c r="C566" s="91"/>
      <c r="D566" s="89"/>
      <c r="E566" s="112"/>
      <c r="F566" s="222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>
      <c r="A567" s="87"/>
      <c r="B567" s="93"/>
      <c r="C567" s="91"/>
      <c r="D567" s="89"/>
      <c r="E567" s="112"/>
      <c r="F567" s="222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>
      <c r="AU568" s="45"/>
    </row>
    <row r="569" spans="1:47" ht="12" customHeight="1">
      <c r="AU569" s="45"/>
    </row>
    <row r="570" spans="1:47" ht="12" customHeight="1">
      <c r="AU570" s="45"/>
    </row>
    <row r="571" spans="1:47" ht="12" customHeight="1">
      <c r="AU571" s="45"/>
    </row>
    <row r="572" spans="1:47" ht="12" customHeight="1">
      <c r="AU572" s="45"/>
    </row>
    <row r="573" spans="1:47" ht="12" customHeight="1">
      <c r="AU573" s="45"/>
    </row>
    <row r="574" spans="1:47" ht="12" customHeight="1">
      <c r="AU574" s="45"/>
    </row>
    <row r="575" spans="1:47" ht="12" customHeight="1">
      <c r="AU575" s="45"/>
    </row>
    <row r="576" spans="1:47" ht="12" customHeight="1">
      <c r="AU576" s="45"/>
    </row>
    <row r="577" spans="47:47" ht="12" customHeight="1">
      <c r="AU577" s="45"/>
    </row>
    <row r="578" spans="47:47" ht="12" customHeight="1">
      <c r="AU578" s="45"/>
    </row>
    <row r="579" spans="47:47" ht="12" customHeight="1">
      <c r="AU579" s="45"/>
    </row>
    <row r="580" spans="47:47" ht="12" customHeight="1">
      <c r="AU580" s="45"/>
    </row>
    <row r="581" spans="47:47" ht="12" customHeight="1">
      <c r="AU581" s="45"/>
    </row>
    <row r="582" spans="47:47" ht="12" customHeight="1">
      <c r="AU582" s="45"/>
    </row>
    <row r="583" spans="47:47" ht="12" customHeight="1">
      <c r="AU583" s="45"/>
    </row>
    <row r="584" spans="47:47" ht="12" customHeight="1">
      <c r="AU584" s="45"/>
    </row>
    <row r="585" spans="47:47" ht="12" customHeight="1">
      <c r="AU585" s="45"/>
    </row>
    <row r="586" spans="47:47" ht="12" customHeight="1">
      <c r="AU586" s="45"/>
    </row>
    <row r="587" spans="47:47" ht="12" customHeight="1">
      <c r="AU587" s="45"/>
    </row>
    <row r="588" spans="47:47" ht="12" customHeight="1">
      <c r="AU588" s="45"/>
    </row>
    <row r="589" spans="47:47" ht="12" customHeight="1">
      <c r="AU589" s="45"/>
    </row>
    <row r="590" spans="47:47" ht="12" customHeight="1">
      <c r="AU590" s="45"/>
    </row>
    <row r="591" spans="47:47" ht="12" customHeight="1">
      <c r="AU591" s="45"/>
    </row>
    <row r="592" spans="47:47" ht="12" customHeight="1">
      <c r="AU592" s="45"/>
    </row>
    <row r="593" spans="47:47" ht="12" customHeight="1">
      <c r="AU593" s="45"/>
    </row>
    <row r="594" spans="47:47" ht="12" customHeight="1">
      <c r="AU594" s="45"/>
    </row>
    <row r="595" spans="47:47" ht="12" customHeight="1">
      <c r="AU595" s="45"/>
    </row>
    <row r="596" spans="47:47" ht="12" customHeight="1">
      <c r="AU596" s="45"/>
    </row>
    <row r="597" spans="47:47" ht="12" customHeight="1">
      <c r="AU597" s="45"/>
    </row>
    <row r="598" spans="47:47" ht="12" customHeight="1">
      <c r="AU598" s="45"/>
    </row>
    <row r="599" spans="47:47" ht="12" customHeight="1">
      <c r="AU599" s="45"/>
    </row>
    <row r="600" spans="47:47" ht="12" customHeight="1">
      <c r="AU600" s="45"/>
    </row>
    <row r="601" spans="47:47" ht="12" customHeight="1">
      <c r="AU601" s="45"/>
    </row>
    <row r="602" spans="47:47" ht="12" customHeight="1">
      <c r="AU602" s="45"/>
    </row>
    <row r="603" spans="47:47" ht="12" customHeight="1">
      <c r="AU603" s="45"/>
    </row>
    <row r="604" spans="47:47" ht="12" customHeight="1">
      <c r="AU604" s="45"/>
    </row>
    <row r="605" spans="47:47" ht="12" customHeight="1">
      <c r="AU605" s="45"/>
    </row>
    <row r="606" spans="47:47" ht="12" customHeight="1">
      <c r="AU606" s="45"/>
    </row>
    <row r="607" spans="47:47" ht="12" customHeight="1">
      <c r="AU607" s="45"/>
    </row>
    <row r="608" spans="47:47" ht="12" customHeight="1">
      <c r="AU608" s="45"/>
    </row>
    <row r="609" spans="47:47" ht="12" customHeight="1">
      <c r="AU609" s="45"/>
    </row>
    <row r="610" spans="47:47" ht="12" customHeight="1">
      <c r="AU610" s="45"/>
    </row>
    <row r="611" spans="47:47" ht="12" customHeight="1">
      <c r="AU611" s="45"/>
    </row>
    <row r="612" spans="47:47" ht="12" customHeight="1">
      <c r="AU612" s="45"/>
    </row>
    <row r="613" spans="47:47" ht="12" customHeight="1">
      <c r="AU613" s="45"/>
    </row>
    <row r="614" spans="47:47" ht="12" customHeight="1">
      <c r="AU614" s="45"/>
    </row>
    <row r="615" spans="47:47" ht="12" customHeight="1">
      <c r="AU615" s="45"/>
    </row>
    <row r="616" spans="47:47" ht="12" customHeight="1">
      <c r="AU616" s="45"/>
    </row>
    <row r="617" spans="47:47" ht="12" customHeight="1">
      <c r="AU617" s="45"/>
    </row>
    <row r="618" spans="47:47" ht="12" customHeight="1">
      <c r="AU618" s="45"/>
    </row>
    <row r="619" spans="47:47" ht="12" customHeight="1">
      <c r="AU619" s="45"/>
    </row>
    <row r="620" spans="47:47" ht="12" customHeight="1">
      <c r="AU620" s="45"/>
    </row>
    <row r="621" spans="47:47" ht="12" customHeight="1">
      <c r="AU621" s="45"/>
    </row>
    <row r="622" spans="47:47" ht="12" customHeight="1">
      <c r="AU622" s="45"/>
    </row>
    <row r="623" spans="47:47" ht="12" customHeight="1">
      <c r="AU623" s="45"/>
    </row>
    <row r="624" spans="47:47" ht="12" customHeight="1">
      <c r="AU624" s="45"/>
    </row>
    <row r="625" spans="47:47" ht="12" customHeight="1">
      <c r="AU625" s="45"/>
    </row>
    <row r="626" spans="47:47" ht="12" customHeight="1">
      <c r="AU626" s="45"/>
    </row>
    <row r="627" spans="47:47" ht="12" customHeight="1">
      <c r="AU627" s="45"/>
    </row>
    <row r="628" spans="47:47" ht="12" customHeight="1">
      <c r="AU628" s="45"/>
    </row>
    <row r="629" spans="47:47" ht="12" customHeight="1">
      <c r="AU629" s="45"/>
    </row>
    <row r="630" spans="47:47" ht="12" customHeight="1">
      <c r="AU630" s="45"/>
    </row>
    <row r="631" spans="47:47" ht="12" customHeight="1">
      <c r="AU631" s="45"/>
    </row>
    <row r="632" spans="47:47" ht="12" customHeight="1">
      <c r="AU632" s="45"/>
    </row>
    <row r="633" spans="47:47" ht="12" customHeight="1">
      <c r="AU633" s="45"/>
    </row>
    <row r="634" spans="47:47" ht="12" customHeight="1">
      <c r="AU634" s="45"/>
    </row>
    <row r="635" spans="47:47" ht="12" customHeight="1">
      <c r="AU635" s="45"/>
    </row>
    <row r="636" spans="47:47" ht="12" customHeight="1">
      <c r="AU636" s="45"/>
    </row>
    <row r="637" spans="47:47" ht="12" customHeight="1">
      <c r="AU637" s="45"/>
    </row>
    <row r="638" spans="47:47" ht="12" customHeight="1">
      <c r="AU638" s="45"/>
    </row>
    <row r="639" spans="47:47" ht="12" customHeight="1">
      <c r="AU639" s="45"/>
    </row>
    <row r="640" spans="47:47" ht="12" customHeight="1">
      <c r="AU640" s="45"/>
    </row>
    <row r="641" spans="47:47" ht="12" customHeight="1">
      <c r="AU641" s="45"/>
    </row>
    <row r="642" spans="47:47" ht="12" customHeight="1">
      <c r="AU642" s="45"/>
    </row>
    <row r="643" spans="47:47" ht="12" customHeight="1">
      <c r="AU643" s="45"/>
    </row>
    <row r="644" spans="47:47" ht="12" customHeight="1">
      <c r="AU644" s="45"/>
    </row>
    <row r="645" spans="47:47" ht="12" customHeight="1">
      <c r="AU645" s="45"/>
    </row>
    <row r="646" spans="47:47" ht="12" customHeight="1">
      <c r="AU646" s="45"/>
    </row>
    <row r="647" spans="47:47" ht="12" customHeight="1">
      <c r="AU647" s="45"/>
    </row>
    <row r="648" spans="47:47" ht="12" customHeight="1">
      <c r="AU648" s="45"/>
    </row>
    <row r="649" spans="47:47" ht="12" customHeight="1">
      <c r="AU649" s="45"/>
    </row>
    <row r="650" spans="47:47" ht="12" customHeight="1">
      <c r="AU650" s="45"/>
    </row>
    <row r="651" spans="47:47" ht="12" customHeight="1">
      <c r="AU651" s="45"/>
    </row>
    <row r="652" spans="47:47" ht="12" customHeight="1">
      <c r="AU652" s="45"/>
    </row>
    <row r="653" spans="47:47" ht="12" customHeight="1">
      <c r="AU653" s="45"/>
    </row>
    <row r="654" spans="47:47" ht="12" customHeight="1">
      <c r="AU654" s="45"/>
    </row>
    <row r="655" spans="47:47" ht="12" customHeight="1">
      <c r="AU655" s="45"/>
    </row>
    <row r="656" spans="47:47" ht="12" customHeight="1">
      <c r="AU656" s="45"/>
    </row>
    <row r="657" spans="47:47" ht="12" customHeight="1">
      <c r="AU657" s="45"/>
    </row>
    <row r="658" spans="47:47" ht="12" customHeight="1">
      <c r="AU658" s="45"/>
    </row>
    <row r="659" spans="47:47" ht="12" customHeight="1">
      <c r="AU659" s="45"/>
    </row>
    <row r="660" spans="47:47" ht="12" customHeight="1">
      <c r="AU660" s="45"/>
    </row>
    <row r="661" spans="47:47" ht="12" customHeight="1">
      <c r="AU661" s="45"/>
    </row>
    <row r="662" spans="47:47" ht="12" customHeight="1">
      <c r="AU662" s="45"/>
    </row>
    <row r="663" spans="47:47" ht="12" customHeight="1">
      <c r="AU663" s="45"/>
    </row>
    <row r="664" spans="47:47" ht="12" customHeight="1">
      <c r="AU664" s="45"/>
    </row>
    <row r="665" spans="47:47" ht="12" customHeight="1">
      <c r="AU665" s="45"/>
    </row>
    <row r="666" spans="47:47" ht="12" customHeight="1">
      <c r="AU666" s="45"/>
    </row>
    <row r="667" spans="47:47" ht="12" customHeight="1">
      <c r="AU667" s="45"/>
    </row>
    <row r="668" spans="47:47" ht="12" customHeight="1">
      <c r="AU668" s="45"/>
    </row>
    <row r="669" spans="47:47" ht="12" customHeight="1">
      <c r="AU669" s="45"/>
    </row>
    <row r="670" spans="47:47" ht="12" customHeight="1">
      <c r="AU670" s="45"/>
    </row>
    <row r="671" spans="47:47" ht="12" customHeight="1">
      <c r="AU671" s="45"/>
    </row>
    <row r="672" spans="47:47" ht="12" customHeight="1">
      <c r="AU672" s="45"/>
    </row>
    <row r="673" spans="47:47" ht="12" customHeight="1">
      <c r="AU673" s="45"/>
    </row>
    <row r="674" spans="47:47" ht="12" customHeight="1">
      <c r="AU674" s="45"/>
    </row>
    <row r="675" spans="47:47" ht="12" customHeight="1">
      <c r="AU675" s="45"/>
    </row>
    <row r="676" spans="47:47" ht="12" customHeight="1">
      <c r="AU676" s="45"/>
    </row>
    <row r="677" spans="47:47" ht="12" customHeight="1">
      <c r="AU677" s="45"/>
    </row>
    <row r="678" spans="47:47" ht="12" customHeight="1">
      <c r="AU678" s="45"/>
    </row>
    <row r="679" spans="47:47" ht="12" customHeight="1">
      <c r="AU679" s="45"/>
    </row>
    <row r="680" spans="47:47" ht="12" customHeight="1">
      <c r="AU680" s="45"/>
    </row>
    <row r="681" spans="47:47" ht="12" customHeight="1">
      <c r="AU681" s="45"/>
    </row>
    <row r="682" spans="47:47" ht="12" customHeight="1">
      <c r="AU682" s="45"/>
    </row>
    <row r="683" spans="47:47" ht="12" customHeight="1">
      <c r="AU683" s="45"/>
    </row>
    <row r="684" spans="47:47" ht="12" customHeight="1">
      <c r="AU684" s="45"/>
    </row>
    <row r="685" spans="47:47" ht="12" customHeight="1">
      <c r="AU685" s="45"/>
    </row>
    <row r="686" spans="47:47" ht="12" customHeight="1">
      <c r="AU686" s="45"/>
    </row>
    <row r="687" spans="47:47" ht="12" customHeight="1">
      <c r="AU687" s="45"/>
    </row>
    <row r="688" spans="47:47" ht="12" customHeight="1">
      <c r="AU688" s="45"/>
    </row>
    <row r="689" spans="47:47" ht="12" customHeight="1">
      <c r="AU689" s="45"/>
    </row>
    <row r="690" spans="47:47" ht="12" customHeight="1">
      <c r="AU690" s="45"/>
    </row>
    <row r="691" spans="47:47" ht="12" customHeight="1">
      <c r="AU691" s="45"/>
    </row>
    <row r="692" spans="47:47" ht="12" customHeight="1">
      <c r="AU692" s="45"/>
    </row>
    <row r="693" spans="47:47" ht="12" customHeight="1">
      <c r="AU693" s="45"/>
    </row>
    <row r="694" spans="47:47" ht="12" customHeight="1">
      <c r="AU694" s="45"/>
    </row>
    <row r="695" spans="47:47" ht="12" customHeight="1">
      <c r="AU695" s="45"/>
    </row>
    <row r="696" spans="47:47" ht="12" customHeight="1">
      <c r="AU696" s="45"/>
    </row>
    <row r="697" spans="47:47" ht="12" customHeight="1">
      <c r="AU697" s="45"/>
    </row>
    <row r="698" spans="47:47" ht="12" customHeight="1">
      <c r="AU698" s="45"/>
    </row>
    <row r="699" spans="47:47" ht="12" customHeight="1">
      <c r="AU699" s="45"/>
    </row>
    <row r="700" spans="47:47" ht="12" customHeight="1">
      <c r="AU700" s="45"/>
    </row>
    <row r="701" spans="47:47" ht="12" customHeight="1">
      <c r="AU701" s="45"/>
    </row>
    <row r="702" spans="47:47" ht="12" customHeight="1">
      <c r="AU702" s="45"/>
    </row>
    <row r="703" spans="47:47" ht="12" customHeight="1">
      <c r="AU703" s="45"/>
    </row>
    <row r="704" spans="47:47" ht="12" customHeight="1">
      <c r="AU704" s="45"/>
    </row>
    <row r="705" spans="47:47" ht="12" customHeight="1">
      <c r="AU705" s="45"/>
    </row>
    <row r="706" spans="47:47" ht="12" customHeight="1">
      <c r="AU706" s="45"/>
    </row>
    <row r="707" spans="47:47" ht="12" customHeight="1">
      <c r="AU707" s="45"/>
    </row>
    <row r="708" spans="47:47" ht="12" customHeight="1">
      <c r="AU708" s="45"/>
    </row>
    <row r="709" spans="47:47" ht="12" customHeight="1">
      <c r="AU709" s="45"/>
    </row>
    <row r="710" spans="47:47" ht="12" customHeight="1">
      <c r="AU710" s="45"/>
    </row>
    <row r="711" spans="47:47" ht="12" customHeight="1">
      <c r="AU711" s="45"/>
    </row>
    <row r="712" spans="47:47" ht="12" customHeight="1">
      <c r="AU712" s="45"/>
    </row>
    <row r="713" spans="47:47" ht="12" customHeight="1">
      <c r="AU713" s="45"/>
    </row>
    <row r="714" spans="47:47" ht="12" customHeight="1">
      <c r="AU714" s="45"/>
    </row>
    <row r="715" spans="47:47" ht="12" customHeight="1">
      <c r="AU715" s="45"/>
    </row>
    <row r="716" spans="47:47" ht="12" customHeight="1">
      <c r="AU716" s="45"/>
    </row>
    <row r="717" spans="47:47" ht="12" customHeight="1">
      <c r="AU717" s="45"/>
    </row>
    <row r="718" spans="47:47" ht="12" customHeight="1">
      <c r="AU718" s="45"/>
    </row>
    <row r="719" spans="47:47" ht="12" customHeight="1">
      <c r="AU719" s="45"/>
    </row>
    <row r="720" spans="47:47" ht="12" customHeight="1">
      <c r="AU720" s="45"/>
    </row>
    <row r="721" spans="47:47" ht="12" customHeight="1">
      <c r="AU721" s="45"/>
    </row>
    <row r="722" spans="47:47" ht="12" customHeight="1">
      <c r="AU722" s="45"/>
    </row>
    <row r="723" spans="47:47" ht="12" customHeight="1">
      <c r="AU723" s="45"/>
    </row>
    <row r="724" spans="47:47" ht="12" customHeight="1">
      <c r="AU724" s="45"/>
    </row>
    <row r="725" spans="47:47" ht="12" customHeight="1">
      <c r="AU725" s="45"/>
    </row>
    <row r="726" spans="47:47" ht="12" customHeight="1">
      <c r="AU726" s="45"/>
    </row>
    <row r="727" spans="47:47" ht="12" customHeight="1">
      <c r="AU727" s="45"/>
    </row>
    <row r="728" spans="47:47" ht="12" customHeight="1">
      <c r="AU728" s="45"/>
    </row>
    <row r="729" spans="47:47" ht="12" customHeight="1">
      <c r="AU729" s="45"/>
    </row>
    <row r="730" spans="47:47" ht="12" customHeight="1">
      <c r="AU730" s="45"/>
    </row>
    <row r="731" spans="47:47" ht="12" customHeight="1">
      <c r="AU731" s="45"/>
    </row>
    <row r="732" spans="47:47" ht="12" customHeight="1">
      <c r="AU732" s="45"/>
    </row>
    <row r="733" spans="47:47" ht="12" customHeight="1">
      <c r="AU733" s="45"/>
    </row>
    <row r="734" spans="47:47" ht="12" customHeight="1">
      <c r="AU734" s="45"/>
    </row>
    <row r="735" spans="47:47" ht="12" customHeight="1">
      <c r="AU735" s="45"/>
    </row>
    <row r="736" spans="47:47" ht="12" customHeight="1">
      <c r="AU736" s="45"/>
    </row>
    <row r="737" spans="47:47" ht="12" customHeight="1">
      <c r="AU737" s="45"/>
    </row>
    <row r="738" spans="47:47" ht="12" customHeight="1">
      <c r="AU738" s="45"/>
    </row>
    <row r="739" spans="47:47" ht="12" customHeight="1">
      <c r="AU739" s="45"/>
    </row>
    <row r="740" spans="47:47" ht="12" customHeight="1">
      <c r="AU740" s="45"/>
    </row>
    <row r="741" spans="47:47" ht="12" customHeight="1">
      <c r="AU741" s="45"/>
    </row>
    <row r="742" spans="47:47" ht="12" customHeight="1">
      <c r="AU742" s="45"/>
    </row>
    <row r="743" spans="47:47" ht="12" customHeight="1">
      <c r="AU743" s="45"/>
    </row>
    <row r="744" spans="47:47" ht="12" customHeight="1">
      <c r="AU744" s="45"/>
    </row>
    <row r="745" spans="47:47" ht="12" customHeight="1">
      <c r="AU745" s="45"/>
    </row>
    <row r="746" spans="47:47" ht="12" customHeight="1">
      <c r="AU746" s="45"/>
    </row>
    <row r="747" spans="47:47" ht="12" customHeight="1">
      <c r="AU747" s="45"/>
    </row>
    <row r="748" spans="47:47" ht="12" customHeight="1">
      <c r="AU748" s="45"/>
    </row>
    <row r="749" spans="47:47" ht="12" customHeight="1">
      <c r="AU749" s="45"/>
    </row>
    <row r="750" spans="47:47" ht="12" customHeight="1">
      <c r="AU750" s="45"/>
    </row>
    <row r="751" spans="47:47" ht="12" customHeight="1">
      <c r="AU751" s="45"/>
    </row>
    <row r="752" spans="47:47" ht="12" customHeight="1">
      <c r="AU752" s="45"/>
    </row>
    <row r="753" spans="47:47" ht="12" customHeight="1">
      <c r="AU753" s="45"/>
    </row>
    <row r="754" spans="47:47" ht="12" customHeight="1">
      <c r="AU754" s="45"/>
    </row>
    <row r="755" spans="47:47" ht="12" customHeight="1">
      <c r="AU755" s="45"/>
    </row>
    <row r="756" spans="47:47" ht="12" customHeight="1">
      <c r="AU756" s="45"/>
    </row>
    <row r="757" spans="47:47" ht="12" customHeight="1">
      <c r="AU757" s="45"/>
    </row>
    <row r="758" spans="47:47" ht="12" customHeight="1">
      <c r="AU758" s="45"/>
    </row>
    <row r="759" spans="47:47" ht="12" customHeight="1">
      <c r="AU759" s="45"/>
    </row>
    <row r="760" spans="47:47" ht="12" customHeight="1">
      <c r="AU760" s="45"/>
    </row>
    <row r="761" spans="47:47" ht="12" customHeight="1">
      <c r="AU761" s="45"/>
    </row>
    <row r="762" spans="47:47" ht="12" customHeight="1">
      <c r="AU762" s="45"/>
    </row>
    <row r="763" spans="47:47" ht="12" customHeight="1">
      <c r="AU763" s="45"/>
    </row>
    <row r="764" spans="47:47" ht="12" customHeight="1">
      <c r="AU764" s="45"/>
    </row>
    <row r="765" spans="47:47" ht="12" customHeight="1">
      <c r="AU765" s="45"/>
    </row>
    <row r="766" spans="47:47" ht="12" customHeight="1">
      <c r="AU766" s="45"/>
    </row>
    <row r="767" spans="47:47" ht="12" customHeight="1">
      <c r="AU767" s="45"/>
    </row>
    <row r="768" spans="47:47" ht="12" customHeight="1">
      <c r="AU768" s="45"/>
    </row>
    <row r="769" spans="47:47" ht="12" customHeight="1">
      <c r="AU769" s="45"/>
    </row>
    <row r="770" spans="47:47" ht="12" customHeight="1">
      <c r="AU770" s="45"/>
    </row>
    <row r="771" spans="47:47" ht="12" customHeight="1">
      <c r="AU771" s="45"/>
    </row>
    <row r="772" spans="47:47" ht="12" customHeight="1">
      <c r="AU772" s="45"/>
    </row>
    <row r="773" spans="47:47" ht="12" customHeight="1">
      <c r="AU773" s="45"/>
    </row>
    <row r="774" spans="47:47" ht="12" customHeight="1">
      <c r="AU774" s="45"/>
    </row>
    <row r="775" spans="47:47" ht="12" customHeight="1">
      <c r="AU775" s="45"/>
    </row>
    <row r="776" spans="47:47" ht="12" customHeight="1">
      <c r="AU776" s="45"/>
    </row>
    <row r="777" spans="47:47" ht="12" customHeight="1">
      <c r="AU777" s="45"/>
    </row>
    <row r="778" spans="47:47" ht="12" customHeight="1">
      <c r="AU778" s="45"/>
    </row>
    <row r="779" spans="47:47" ht="12" customHeight="1">
      <c r="AU779" s="45"/>
    </row>
    <row r="780" spans="47:47" ht="12" customHeight="1">
      <c r="AU780" s="45"/>
    </row>
    <row r="781" spans="47:47" ht="12" customHeight="1">
      <c r="AU781" s="45"/>
    </row>
    <row r="782" spans="47:47" ht="12" customHeight="1">
      <c r="AU782" s="45"/>
    </row>
    <row r="783" spans="47:47" ht="12" customHeight="1">
      <c r="AU783" s="45"/>
    </row>
    <row r="784" spans="47:47" ht="12" customHeight="1">
      <c r="AU784" s="45"/>
    </row>
    <row r="785" spans="47:47" ht="12" customHeight="1">
      <c r="AU785" s="45"/>
    </row>
    <row r="786" spans="47:47" ht="12" customHeight="1">
      <c r="AU786" s="45"/>
    </row>
    <row r="787" spans="47:47" ht="12" customHeight="1">
      <c r="AU787" s="45"/>
    </row>
    <row r="788" spans="47:47" ht="12" customHeight="1">
      <c r="AU788" s="45"/>
    </row>
    <row r="789" spans="47:47" ht="12" customHeight="1">
      <c r="AU789" s="45"/>
    </row>
    <row r="790" spans="47:47" ht="12" customHeight="1">
      <c r="AU790" s="45"/>
    </row>
    <row r="791" spans="47:47" ht="12" customHeight="1">
      <c r="AU791" s="45"/>
    </row>
    <row r="792" spans="47:47" ht="12" customHeight="1">
      <c r="AU792" s="45"/>
    </row>
    <row r="793" spans="47:47" ht="12" customHeight="1">
      <c r="AU793" s="45"/>
    </row>
    <row r="794" spans="47:47" ht="12" customHeight="1">
      <c r="AU794" s="45"/>
    </row>
    <row r="795" spans="47:47" ht="12" customHeight="1">
      <c r="AU795" s="45"/>
    </row>
    <row r="796" spans="47:47" ht="12" customHeight="1">
      <c r="AU796" s="45"/>
    </row>
    <row r="797" spans="47:47" ht="12" customHeight="1">
      <c r="AU797" s="45"/>
    </row>
    <row r="798" spans="47:47" ht="12" customHeight="1">
      <c r="AU798" s="45"/>
    </row>
    <row r="799" spans="47:47" ht="12" customHeight="1">
      <c r="AU799" s="45"/>
    </row>
    <row r="800" spans="47:47" ht="12" customHeight="1">
      <c r="AU800" s="45"/>
    </row>
    <row r="801" spans="47:47" ht="12" customHeight="1">
      <c r="AU801" s="45"/>
    </row>
    <row r="802" spans="47:47" ht="12" customHeight="1">
      <c r="AU802" s="45"/>
    </row>
    <row r="803" spans="47:47" ht="12" customHeight="1">
      <c r="AU803" s="45"/>
    </row>
    <row r="804" spans="47:47" ht="12" customHeight="1">
      <c r="AU804" s="45"/>
    </row>
    <row r="805" spans="47:47" ht="12" customHeight="1">
      <c r="AU805" s="45"/>
    </row>
    <row r="806" spans="47:47" ht="12" customHeight="1">
      <c r="AU806" s="45"/>
    </row>
    <row r="807" spans="47:47" ht="12" customHeight="1">
      <c r="AU807" s="45"/>
    </row>
    <row r="808" spans="47:47" ht="12" customHeight="1">
      <c r="AU808" s="45"/>
    </row>
    <row r="809" spans="47:47" ht="12" customHeight="1">
      <c r="AU809" s="45"/>
    </row>
    <row r="810" spans="47:47" ht="12" customHeight="1">
      <c r="AU810" s="45"/>
    </row>
    <row r="811" spans="47:47" ht="12" customHeight="1">
      <c r="AU811" s="45"/>
    </row>
    <row r="812" spans="47:47" ht="12" customHeight="1">
      <c r="AU812" s="45"/>
    </row>
    <row r="813" spans="47:47" ht="12" customHeight="1">
      <c r="AU813" s="45"/>
    </row>
    <row r="814" spans="47:47" ht="12" customHeight="1">
      <c r="AU814" s="45"/>
    </row>
    <row r="815" spans="47:47" ht="12" customHeight="1">
      <c r="AU815" s="45"/>
    </row>
    <row r="816" spans="47:47" ht="12" customHeight="1">
      <c r="AU816" s="45"/>
    </row>
    <row r="817" spans="47:47" ht="12" customHeight="1">
      <c r="AU817" s="45"/>
    </row>
    <row r="818" spans="47:47" ht="12" customHeight="1">
      <c r="AU818" s="45"/>
    </row>
    <row r="819" spans="47:47" ht="12" customHeight="1">
      <c r="AU819" s="45"/>
    </row>
    <row r="820" spans="47:47" ht="12" customHeight="1">
      <c r="AU820" s="45"/>
    </row>
    <row r="821" spans="47:47" ht="12" customHeight="1">
      <c r="AU821" s="45"/>
    </row>
    <row r="822" spans="47:47" ht="12" customHeight="1">
      <c r="AU822" s="45"/>
    </row>
    <row r="823" spans="47:47" ht="12" customHeight="1">
      <c r="AU823" s="45"/>
    </row>
    <row r="824" spans="47:47" ht="12" customHeight="1">
      <c r="AU824" s="45"/>
    </row>
    <row r="825" spans="47:47" ht="12" customHeight="1">
      <c r="AU825" s="45"/>
    </row>
    <row r="826" spans="47:47" ht="12" customHeight="1">
      <c r="AU826" s="45"/>
    </row>
    <row r="827" spans="47:47" ht="12" customHeight="1">
      <c r="AU827" s="45"/>
    </row>
    <row r="828" spans="47:47" ht="12" customHeight="1">
      <c r="AU828" s="45"/>
    </row>
    <row r="829" spans="47:47" ht="12" customHeight="1">
      <c r="AU829" s="45"/>
    </row>
    <row r="830" spans="47:47" ht="12" customHeight="1">
      <c r="AU830" s="45"/>
    </row>
    <row r="831" spans="47:47" ht="12" customHeight="1">
      <c r="AU831" s="45"/>
    </row>
    <row r="832" spans="47:47" ht="12" customHeight="1">
      <c r="AU832" s="45"/>
    </row>
    <row r="833" spans="47:47" ht="12" customHeight="1">
      <c r="AU833" s="45"/>
    </row>
    <row r="834" spans="47:47" ht="12" customHeight="1">
      <c r="AU834" s="45"/>
    </row>
    <row r="835" spans="47:47" ht="12" customHeight="1">
      <c r="AU835" s="45"/>
    </row>
    <row r="836" spans="47:47" ht="12" customHeight="1">
      <c r="AU836" s="45"/>
    </row>
    <row r="837" spans="47:47" ht="12" customHeight="1">
      <c r="AU837" s="45"/>
    </row>
    <row r="838" spans="47:47" ht="12" customHeight="1">
      <c r="AU838" s="45"/>
    </row>
    <row r="839" spans="47:47" ht="12" customHeight="1">
      <c r="AU839" s="45"/>
    </row>
    <row r="840" spans="47:47" ht="12" customHeight="1">
      <c r="AU840" s="45"/>
    </row>
    <row r="841" spans="47:47" ht="12" customHeight="1">
      <c r="AU841" s="45"/>
    </row>
    <row r="842" spans="47:47" ht="12" customHeight="1">
      <c r="AU842" s="45"/>
    </row>
    <row r="843" spans="47:47" ht="12" customHeight="1">
      <c r="AU843" s="45"/>
    </row>
    <row r="844" spans="47:47" ht="12" customHeight="1">
      <c r="AU844" s="45"/>
    </row>
    <row r="845" spans="47:47" ht="12" customHeight="1">
      <c r="AU845" s="45"/>
    </row>
    <row r="846" spans="47:47" ht="12" customHeight="1">
      <c r="AU846" s="45"/>
    </row>
    <row r="847" spans="47:47" ht="12" customHeight="1">
      <c r="AU847" s="45"/>
    </row>
    <row r="848" spans="47:47" ht="12" customHeight="1">
      <c r="AU848" s="45"/>
    </row>
    <row r="849" spans="47:47" ht="12" customHeight="1">
      <c r="AU849" s="45"/>
    </row>
    <row r="850" spans="47:47" ht="12" customHeight="1">
      <c r="AU850" s="45"/>
    </row>
    <row r="851" spans="47:47" ht="12" customHeight="1">
      <c r="AU851" s="45"/>
    </row>
    <row r="852" spans="47:47" ht="12" customHeight="1">
      <c r="AU852" s="45"/>
    </row>
    <row r="853" spans="47:47" ht="12" customHeight="1">
      <c r="AU853" s="45"/>
    </row>
    <row r="854" spans="47:47" ht="12" customHeight="1">
      <c r="AU854" s="45"/>
    </row>
    <row r="855" spans="47:47" ht="12" customHeight="1">
      <c r="AU855" s="45"/>
    </row>
    <row r="856" spans="47:47" ht="12" customHeight="1">
      <c r="AU856" s="45"/>
    </row>
    <row r="857" spans="47:47" ht="12" customHeight="1">
      <c r="AU857" s="45"/>
    </row>
    <row r="858" spans="47:47" ht="12" customHeight="1">
      <c r="AU858" s="45"/>
    </row>
    <row r="859" spans="47:47" ht="12" customHeight="1">
      <c r="AU859" s="45"/>
    </row>
    <row r="860" spans="47:47" ht="12" customHeight="1">
      <c r="AU860" s="45"/>
    </row>
    <row r="861" spans="47:47" ht="12" customHeight="1">
      <c r="AU861" s="45"/>
    </row>
    <row r="862" spans="47:47" ht="12" customHeight="1">
      <c r="AU862" s="45"/>
    </row>
    <row r="863" spans="47:47" ht="12" customHeight="1">
      <c r="AU863" s="45"/>
    </row>
    <row r="864" spans="47:47" ht="12" customHeight="1">
      <c r="AU864" s="45"/>
    </row>
    <row r="865" spans="47:47" ht="12" customHeight="1">
      <c r="AU865" s="45"/>
    </row>
    <row r="866" spans="47:47" ht="12" customHeight="1">
      <c r="AU866" s="45"/>
    </row>
    <row r="867" spans="47:47" ht="12" customHeight="1">
      <c r="AU867" s="45"/>
    </row>
    <row r="868" spans="47:47" ht="12" customHeight="1">
      <c r="AU868" s="45"/>
    </row>
    <row r="869" spans="47:47" ht="12" customHeight="1">
      <c r="AU869" s="45"/>
    </row>
    <row r="870" spans="47:47" ht="12" customHeight="1">
      <c r="AU870" s="45"/>
    </row>
    <row r="871" spans="47:47" ht="12" customHeight="1">
      <c r="AU871" s="45"/>
    </row>
    <row r="872" spans="47:47" ht="12" customHeight="1">
      <c r="AU872" s="45"/>
    </row>
    <row r="873" spans="47:47" ht="12" customHeight="1">
      <c r="AU873" s="45"/>
    </row>
    <row r="874" spans="47:47" ht="12" customHeight="1">
      <c r="AU874" s="45"/>
    </row>
    <row r="875" spans="47:47" ht="12" customHeight="1">
      <c r="AU875" s="45"/>
    </row>
    <row r="876" spans="47:47" ht="12" customHeight="1">
      <c r="AU876" s="45"/>
    </row>
    <row r="877" spans="47:47" ht="12" customHeight="1">
      <c r="AU877" s="45"/>
    </row>
    <row r="878" spans="47:47" ht="12" customHeight="1">
      <c r="AU878" s="45"/>
    </row>
    <row r="879" spans="47:47" ht="12" customHeight="1">
      <c r="AU879" s="45"/>
    </row>
    <row r="880" spans="47:47" ht="12" customHeight="1">
      <c r="AU880" s="45"/>
    </row>
    <row r="881" spans="47:47" ht="12" customHeight="1">
      <c r="AU881" s="45"/>
    </row>
    <row r="882" spans="47:47" ht="12" customHeight="1">
      <c r="AU882" s="45"/>
    </row>
    <row r="883" spans="47:47" ht="12" customHeight="1">
      <c r="AU883" s="45"/>
    </row>
    <row r="884" spans="47:47" ht="12" customHeight="1">
      <c r="AU884" s="45"/>
    </row>
    <row r="885" spans="47:47" ht="12" customHeight="1">
      <c r="AU885" s="45"/>
    </row>
    <row r="886" spans="47:47" ht="12" customHeight="1">
      <c r="AU886" s="45"/>
    </row>
    <row r="887" spans="47:47" ht="12" customHeight="1">
      <c r="AU887" s="45"/>
    </row>
    <row r="888" spans="47:47" ht="12" customHeight="1">
      <c r="AU888" s="45"/>
    </row>
    <row r="889" spans="47:47" ht="12" customHeight="1">
      <c r="AU889" s="45"/>
    </row>
    <row r="890" spans="47:47" ht="12" customHeight="1">
      <c r="AU890" s="45"/>
    </row>
    <row r="891" spans="47:47" ht="12" customHeight="1">
      <c r="AU891" s="45"/>
    </row>
    <row r="892" spans="47:47" ht="12" customHeight="1">
      <c r="AU892" s="45"/>
    </row>
    <row r="893" spans="47:47" ht="12" customHeight="1">
      <c r="AU893" s="45"/>
    </row>
    <row r="894" spans="47:47" ht="12" customHeight="1">
      <c r="AU894" s="45"/>
    </row>
    <row r="895" spans="47:47" ht="12" customHeight="1">
      <c r="AU895" s="45"/>
    </row>
    <row r="896" spans="47:47" ht="12" customHeight="1">
      <c r="AU896" s="45"/>
    </row>
    <row r="897" spans="47:47" ht="12" customHeight="1">
      <c r="AU897" s="45"/>
    </row>
    <row r="898" spans="47:47" ht="12" customHeight="1">
      <c r="AU898" s="45"/>
    </row>
    <row r="899" spans="47:47" ht="12" customHeight="1">
      <c r="AU899" s="45"/>
    </row>
    <row r="900" spans="47:47" ht="12" customHeight="1">
      <c r="AU900" s="45"/>
    </row>
    <row r="901" spans="47:47" ht="12" customHeight="1">
      <c r="AU901" s="45"/>
    </row>
    <row r="902" spans="47:47" ht="12" customHeight="1">
      <c r="AU902" s="45"/>
    </row>
    <row r="903" spans="47:47" ht="12" customHeight="1">
      <c r="AU903" s="45"/>
    </row>
    <row r="904" spans="47:47" ht="12" customHeight="1">
      <c r="AU904" s="45"/>
    </row>
    <row r="905" spans="47:47" ht="12" customHeight="1">
      <c r="AU905" s="45"/>
    </row>
    <row r="906" spans="47:47" ht="12" customHeight="1">
      <c r="AU906" s="45"/>
    </row>
    <row r="907" spans="47:47" ht="12" customHeight="1">
      <c r="AU907" s="45"/>
    </row>
    <row r="908" spans="47:47" ht="12" customHeight="1">
      <c r="AU908" s="45"/>
    </row>
    <row r="909" spans="47:47" ht="12" customHeight="1">
      <c r="AU909" s="45"/>
    </row>
    <row r="910" spans="47:47" ht="12" customHeight="1">
      <c r="AU910" s="45"/>
    </row>
    <row r="911" spans="47:47" ht="12" customHeight="1">
      <c r="AU911" s="45"/>
    </row>
    <row r="912" spans="47:47" ht="12" customHeight="1">
      <c r="AU912" s="45"/>
    </row>
    <row r="913" spans="47:47" ht="12" customHeight="1">
      <c r="AU913" s="45"/>
    </row>
    <row r="914" spans="47:47" ht="12" customHeight="1">
      <c r="AU914" s="45"/>
    </row>
    <row r="915" spans="47:47" ht="12" customHeight="1">
      <c r="AU915" s="45"/>
    </row>
    <row r="916" spans="47:47" ht="12" customHeight="1">
      <c r="AU916" s="45"/>
    </row>
    <row r="917" spans="47:47" ht="12" customHeight="1">
      <c r="AU917" s="45"/>
    </row>
    <row r="918" spans="47:47" ht="12" customHeight="1">
      <c r="AU918" s="45"/>
    </row>
    <row r="919" spans="47:47" ht="12" customHeight="1">
      <c r="AU919" s="45"/>
    </row>
    <row r="920" spans="47:47" ht="12" customHeight="1">
      <c r="AU920" s="45"/>
    </row>
    <row r="921" spans="47:47" ht="12" customHeight="1">
      <c r="AU921" s="45"/>
    </row>
    <row r="922" spans="47:47" ht="12" customHeight="1">
      <c r="AU922" s="45"/>
    </row>
    <row r="923" spans="47:47" ht="12" customHeight="1">
      <c r="AU923" s="45"/>
    </row>
    <row r="924" spans="47:47" ht="12" customHeight="1">
      <c r="AU924" s="45"/>
    </row>
    <row r="925" spans="47:47" ht="12" customHeight="1">
      <c r="AU925" s="45"/>
    </row>
    <row r="926" spans="47:47" ht="12" customHeight="1">
      <c r="AU926" s="45"/>
    </row>
    <row r="927" spans="47:47" ht="12" customHeight="1">
      <c r="AU927" s="45"/>
    </row>
    <row r="928" spans="47:47" ht="12" customHeight="1">
      <c r="AU928" s="45"/>
    </row>
    <row r="929" spans="47:47" ht="12" customHeight="1">
      <c r="AU929" s="45"/>
    </row>
    <row r="930" spans="47:47" ht="12" customHeight="1">
      <c r="AU930" s="45"/>
    </row>
    <row r="931" spans="47:47" ht="12" customHeight="1">
      <c r="AU931" s="45"/>
    </row>
    <row r="932" spans="47:47" ht="12" customHeight="1">
      <c r="AU932" s="45"/>
    </row>
    <row r="933" spans="47:47" ht="12" customHeight="1">
      <c r="AU933" s="45"/>
    </row>
    <row r="934" spans="47:47" ht="12" customHeight="1">
      <c r="AU934" s="45"/>
    </row>
    <row r="935" spans="47:47" ht="12" customHeight="1">
      <c r="AU935" s="45"/>
    </row>
    <row r="936" spans="47:47" ht="12" customHeight="1">
      <c r="AU936" s="45"/>
    </row>
    <row r="937" spans="47:47" ht="12" customHeight="1">
      <c r="AU937" s="45"/>
    </row>
    <row r="938" spans="47:47" ht="12" customHeight="1">
      <c r="AU938" s="45"/>
    </row>
    <row r="939" spans="47:47" ht="12" customHeight="1">
      <c r="AU939" s="45"/>
    </row>
    <row r="940" spans="47:47" ht="12" customHeight="1">
      <c r="AU940" s="45"/>
    </row>
    <row r="941" spans="47:47" ht="12" customHeight="1">
      <c r="AU941" s="45"/>
    </row>
    <row r="942" spans="47:47" ht="12" customHeight="1">
      <c r="AU942" s="45"/>
    </row>
    <row r="943" spans="47:47" ht="12" customHeight="1">
      <c r="AU943" s="45"/>
    </row>
    <row r="944" spans="47:47" ht="12" customHeight="1">
      <c r="AU944" s="45"/>
    </row>
    <row r="945" spans="47:47" ht="12" customHeight="1">
      <c r="AU945" s="45"/>
    </row>
    <row r="946" spans="47:47" ht="12" customHeight="1">
      <c r="AU946" s="45"/>
    </row>
    <row r="947" spans="47:47" ht="12" customHeight="1">
      <c r="AU947" s="45"/>
    </row>
    <row r="948" spans="47:47" ht="12" customHeight="1">
      <c r="AU948" s="45"/>
    </row>
    <row r="949" spans="47:47" ht="12" customHeight="1">
      <c r="AU949" s="45"/>
    </row>
    <row r="950" spans="47:47" ht="12" customHeight="1">
      <c r="AU950" s="45"/>
    </row>
    <row r="951" spans="47:47" ht="12" customHeight="1">
      <c r="AU951" s="45"/>
    </row>
    <row r="952" spans="47:47" ht="12" customHeight="1">
      <c r="AU952" s="45"/>
    </row>
    <row r="953" spans="47:47" ht="12" customHeight="1">
      <c r="AU953" s="45"/>
    </row>
    <row r="954" spans="47:47" ht="12" customHeight="1">
      <c r="AU954" s="45"/>
    </row>
    <row r="955" spans="47:47" ht="12" customHeight="1">
      <c r="AU955" s="45"/>
    </row>
    <row r="956" spans="47:47" ht="12" customHeight="1">
      <c r="AU956" s="45"/>
    </row>
    <row r="957" spans="47:47" ht="12" customHeight="1">
      <c r="AU957" s="45"/>
    </row>
    <row r="958" spans="47:47" ht="12" customHeight="1">
      <c r="AU958" s="45"/>
    </row>
    <row r="959" spans="47:47" ht="12" customHeight="1">
      <c r="AU959" s="45"/>
    </row>
    <row r="960" spans="47:47" ht="12" customHeight="1">
      <c r="AU960" s="45"/>
    </row>
    <row r="961" spans="47:47" ht="12" customHeight="1">
      <c r="AU961" s="45"/>
    </row>
    <row r="962" spans="47:47" ht="12" customHeight="1">
      <c r="AU962" s="45"/>
    </row>
    <row r="963" spans="47:47" ht="12" customHeight="1">
      <c r="AU963" s="45"/>
    </row>
    <row r="964" spans="47:47" ht="12" customHeight="1">
      <c r="AU964" s="45"/>
    </row>
    <row r="965" spans="47:47" ht="12" customHeight="1">
      <c r="AU965" s="45"/>
    </row>
    <row r="966" spans="47:47" ht="12" customHeight="1">
      <c r="AU966" s="45"/>
    </row>
    <row r="967" spans="47:47" ht="12" customHeight="1">
      <c r="AU967" s="45"/>
    </row>
    <row r="968" spans="47:47" ht="12" customHeight="1">
      <c r="AU968" s="45"/>
    </row>
    <row r="969" spans="47:47" ht="12" customHeight="1">
      <c r="AU969" s="45"/>
    </row>
    <row r="970" spans="47:47" ht="12" customHeight="1">
      <c r="AU970" s="45"/>
    </row>
    <row r="971" spans="47:47" ht="12" customHeight="1">
      <c r="AU971" s="45"/>
    </row>
    <row r="972" spans="47:47" ht="12" customHeight="1">
      <c r="AU972" s="45"/>
    </row>
    <row r="973" spans="47:47" ht="12" customHeight="1">
      <c r="AU973" s="45"/>
    </row>
    <row r="974" spans="47:47" ht="12" customHeight="1">
      <c r="AU974" s="45"/>
    </row>
    <row r="975" spans="47:47" ht="12" customHeight="1">
      <c r="AU975" s="45"/>
    </row>
    <row r="976" spans="47:47" ht="12" customHeight="1">
      <c r="AU976" s="45"/>
    </row>
    <row r="977" spans="47:47" ht="12" customHeight="1">
      <c r="AU977" s="45"/>
    </row>
    <row r="978" spans="47:47" ht="12" customHeight="1">
      <c r="AU978" s="45"/>
    </row>
    <row r="979" spans="47:47" ht="12" customHeight="1">
      <c r="AU979" s="45"/>
    </row>
    <row r="980" spans="47:47" ht="12" customHeight="1">
      <c r="AU980" s="45"/>
    </row>
    <row r="981" spans="47:47" ht="12" customHeight="1">
      <c r="AU981" s="45"/>
    </row>
    <row r="982" spans="47:47" ht="12" customHeight="1">
      <c r="AU982" s="45"/>
    </row>
    <row r="983" spans="47:47" ht="12" customHeight="1">
      <c r="AU983" s="45"/>
    </row>
    <row r="984" spans="47:47" ht="12" customHeight="1">
      <c r="AU984" s="45"/>
    </row>
    <row r="985" spans="47:47" ht="12" customHeight="1">
      <c r="AU985" s="45"/>
    </row>
    <row r="986" spans="47:47" ht="12" customHeight="1">
      <c r="AU986" s="45"/>
    </row>
    <row r="987" spans="47:47" ht="12" customHeight="1">
      <c r="AU987" s="45"/>
    </row>
    <row r="988" spans="47:47" ht="12" customHeight="1">
      <c r="AU988" s="45"/>
    </row>
    <row r="989" spans="47:47" ht="12" customHeight="1">
      <c r="AU989" s="45"/>
    </row>
    <row r="990" spans="47:47" ht="12" customHeight="1">
      <c r="AU990" s="45"/>
    </row>
    <row r="991" spans="47:47" ht="12" customHeight="1">
      <c r="AU991" s="45"/>
    </row>
    <row r="992" spans="47:47" ht="12" customHeight="1">
      <c r="AU992" s="45"/>
    </row>
    <row r="993" spans="47:47" ht="12" customHeight="1">
      <c r="AU993" s="45"/>
    </row>
    <row r="994" spans="47:47" ht="12" customHeight="1">
      <c r="AU994" s="45"/>
    </row>
    <row r="995" spans="47:47" ht="12" customHeight="1">
      <c r="AU995" s="45"/>
    </row>
    <row r="996" spans="47:47" ht="12" customHeight="1">
      <c r="AU996" s="45"/>
    </row>
    <row r="997" spans="47:47" ht="12" customHeight="1">
      <c r="AU997" s="45"/>
    </row>
    <row r="998" spans="47:47" ht="12" customHeight="1">
      <c r="AU998" s="45"/>
    </row>
    <row r="999" spans="47:47" ht="12" customHeight="1">
      <c r="AU999" s="45"/>
    </row>
    <row r="1000" spans="47:47" ht="12" customHeight="1">
      <c r="AU1000" s="45"/>
    </row>
    <row r="1001" spans="47:47" ht="12" customHeight="1">
      <c r="AU1001" s="45"/>
    </row>
    <row r="1002" spans="47:47" ht="12" customHeight="1">
      <c r="AU1002" s="45"/>
    </row>
    <row r="1003" spans="47:47" ht="12" customHeight="1">
      <c r="AU1003" s="45"/>
    </row>
    <row r="1004" spans="47:47" ht="12" customHeight="1">
      <c r="AU1004" s="45"/>
    </row>
    <row r="1005" spans="47:47" ht="12" customHeight="1">
      <c r="AU1005" s="45"/>
    </row>
    <row r="1006" spans="47:47" ht="12" customHeight="1">
      <c r="AU1006" s="45"/>
    </row>
    <row r="1007" spans="47:47" ht="12" customHeight="1">
      <c r="AU1007" s="45"/>
    </row>
    <row r="1008" spans="47:47" ht="12" customHeight="1">
      <c r="AU1008" s="45"/>
    </row>
    <row r="1009" spans="47:47" ht="12" customHeight="1">
      <c r="AU1009" s="45"/>
    </row>
    <row r="1010" spans="47:47" ht="12" customHeight="1">
      <c r="AU1010" s="45"/>
    </row>
    <row r="1011" spans="47:47" ht="12" customHeight="1">
      <c r="AU1011" s="45"/>
    </row>
    <row r="1012" spans="47:47" ht="12" customHeight="1">
      <c r="AU1012" s="45"/>
    </row>
    <row r="1013" spans="47:47" ht="12" customHeight="1">
      <c r="AU1013" s="45"/>
    </row>
    <row r="1014" spans="47:47" ht="12" customHeight="1">
      <c r="AU1014" s="45"/>
    </row>
    <row r="1015" spans="47:47" ht="12" customHeight="1">
      <c r="AU1015" s="45"/>
    </row>
    <row r="1016" spans="47:47" ht="12" customHeight="1">
      <c r="AU1016" s="45"/>
    </row>
    <row r="1017" spans="47:47" ht="12" customHeight="1">
      <c r="AU1017" s="45"/>
    </row>
    <row r="1018" spans="47:47" ht="12" customHeight="1">
      <c r="AU1018" s="45"/>
    </row>
    <row r="1019" spans="47:47" ht="12" customHeight="1">
      <c r="AU1019" s="45"/>
    </row>
    <row r="1020" spans="47:47" ht="12" customHeight="1">
      <c r="AU1020" s="45"/>
    </row>
    <row r="1021" spans="47:47" ht="12" customHeight="1">
      <c r="AU1021" s="45"/>
    </row>
    <row r="1022" spans="47:47" ht="12" customHeight="1">
      <c r="AU1022" s="45"/>
    </row>
    <row r="1023" spans="47:47" ht="12" customHeight="1">
      <c r="AU1023" s="45"/>
    </row>
    <row r="1024" spans="47:47" ht="12" customHeight="1">
      <c r="AU1024" s="45"/>
    </row>
    <row r="1025" spans="47:47" ht="12" customHeight="1">
      <c r="AU1025" s="45"/>
    </row>
    <row r="1026" spans="47:47" ht="12" customHeight="1">
      <c r="AU1026" s="45"/>
    </row>
    <row r="1027" spans="47:47" ht="12" customHeight="1">
      <c r="AU1027" s="45"/>
    </row>
    <row r="1028" spans="47:47" ht="12" customHeight="1">
      <c r="AU1028" s="45"/>
    </row>
    <row r="1029" spans="47:47" ht="12" customHeight="1">
      <c r="AU1029" s="45"/>
    </row>
    <row r="1030" spans="47:47" ht="12" customHeight="1">
      <c r="AU1030" s="45"/>
    </row>
    <row r="1031" spans="47:47" ht="12" customHeight="1">
      <c r="AU1031" s="45"/>
    </row>
    <row r="1032" spans="47:47" ht="12" customHeight="1">
      <c r="AU1032" s="45"/>
    </row>
    <row r="1033" spans="47:47" ht="12" customHeight="1">
      <c r="AU1033" s="45"/>
    </row>
    <row r="1034" spans="47:47" ht="12" customHeight="1">
      <c r="AU1034" s="45"/>
    </row>
    <row r="1035" spans="47:47" ht="12" customHeight="1">
      <c r="AU1035" s="45"/>
    </row>
    <row r="1036" spans="47:47" ht="12" customHeight="1">
      <c r="AU1036" s="45"/>
    </row>
    <row r="1037" spans="47:47" ht="12" customHeight="1">
      <c r="AU1037" s="45"/>
    </row>
    <row r="1038" spans="47:47" ht="12" customHeight="1">
      <c r="AU1038" s="45"/>
    </row>
    <row r="1039" spans="47:47" ht="12" customHeight="1">
      <c r="AU1039" s="45"/>
    </row>
    <row r="1040" spans="47:47" ht="12" customHeight="1">
      <c r="AU1040" s="45"/>
    </row>
    <row r="1041" spans="47:47" ht="12" customHeight="1">
      <c r="AU1041" s="45"/>
    </row>
    <row r="1042" spans="47:47" ht="12" customHeight="1">
      <c r="AU1042" s="45"/>
    </row>
    <row r="1043" spans="47:47" ht="12" customHeight="1">
      <c r="AU1043" s="45"/>
    </row>
    <row r="1044" spans="47:47" ht="12" customHeight="1">
      <c r="AU1044" s="45"/>
    </row>
    <row r="1045" spans="47:47" ht="12" customHeight="1">
      <c r="AU1045" s="45"/>
    </row>
    <row r="1046" spans="47:47" ht="12" customHeight="1">
      <c r="AU1046" s="45"/>
    </row>
    <row r="1047" spans="47:47" ht="12" customHeight="1">
      <c r="AU1047" s="45"/>
    </row>
    <row r="1048" spans="47:47" ht="12" customHeight="1">
      <c r="AU1048" s="45"/>
    </row>
    <row r="1049" spans="47:47" ht="12" customHeight="1">
      <c r="AU1049" s="45"/>
    </row>
    <row r="1050" spans="47:47" ht="12" customHeight="1">
      <c r="AU1050" s="45"/>
    </row>
    <row r="1051" spans="47:47" ht="12" customHeight="1">
      <c r="AU1051" s="45"/>
    </row>
    <row r="1052" spans="47:47" ht="12" customHeight="1">
      <c r="AU1052" s="45"/>
    </row>
    <row r="1053" spans="47:47" ht="12" customHeight="1">
      <c r="AU1053" s="45"/>
    </row>
    <row r="1054" spans="47:47" ht="12" customHeight="1">
      <c r="AU1054" s="45"/>
    </row>
    <row r="1055" spans="47:47" ht="12" customHeight="1">
      <c r="AU1055" s="45"/>
    </row>
    <row r="1056" spans="47:47" ht="12" customHeight="1">
      <c r="AU1056" s="45"/>
    </row>
    <row r="1057" spans="47:47" ht="12" customHeight="1">
      <c r="AU1057" s="45"/>
    </row>
    <row r="1058" spans="47:47" ht="12" customHeight="1">
      <c r="AU1058" s="45"/>
    </row>
    <row r="1059" spans="47:47" ht="12" customHeight="1">
      <c r="AU1059" s="45"/>
    </row>
    <row r="1060" spans="47:47" ht="12" customHeight="1">
      <c r="AU1060" s="45"/>
    </row>
    <row r="1061" spans="47:47" ht="12" customHeight="1">
      <c r="AU1061" s="45"/>
    </row>
    <row r="1062" spans="47:47" ht="12" customHeight="1">
      <c r="AU1062" s="45"/>
    </row>
    <row r="1063" spans="47:47" ht="12" customHeight="1">
      <c r="AU1063" s="45"/>
    </row>
    <row r="1064" spans="47:47" ht="12" customHeight="1">
      <c r="AU1064" s="45"/>
    </row>
    <row r="1065" spans="47:47" ht="12" customHeight="1">
      <c r="AU1065" s="45"/>
    </row>
    <row r="1066" spans="47:47" ht="12" customHeight="1">
      <c r="AU1066" s="45"/>
    </row>
    <row r="1067" spans="47:47" ht="12" customHeight="1">
      <c r="AU1067" s="45"/>
    </row>
    <row r="1068" spans="47:47" ht="12" customHeight="1">
      <c r="AU1068" s="45"/>
    </row>
    <row r="1069" spans="47:47" ht="12" customHeight="1">
      <c r="AU1069" s="45"/>
    </row>
    <row r="1070" spans="47:47" ht="12" customHeight="1">
      <c r="AU1070" s="45"/>
    </row>
    <row r="1071" spans="47:47" ht="12" customHeight="1">
      <c r="AU1071" s="45"/>
    </row>
    <row r="1072" spans="47:47" ht="12" customHeight="1">
      <c r="AU1072" s="45"/>
    </row>
    <row r="1073" spans="47:47" ht="12" customHeight="1">
      <c r="AU1073" s="45"/>
    </row>
    <row r="1074" spans="47:47" ht="12" customHeight="1">
      <c r="AU1074" s="45"/>
    </row>
    <row r="1075" spans="47:47" ht="12" customHeight="1">
      <c r="AU1075" s="45"/>
    </row>
    <row r="1076" spans="47:47" ht="12" customHeight="1">
      <c r="AU1076" s="45"/>
    </row>
    <row r="1077" spans="47:47" ht="12" customHeight="1">
      <c r="AU1077" s="45"/>
    </row>
    <row r="1078" spans="47:47" ht="12" customHeight="1">
      <c r="AU1078" s="45"/>
    </row>
    <row r="1079" spans="47:47" ht="12" customHeight="1">
      <c r="AU1079" s="45"/>
    </row>
    <row r="1080" spans="47:47" ht="12" customHeight="1">
      <c r="AU1080" s="45"/>
    </row>
    <row r="1081" spans="47:47" ht="12" customHeight="1">
      <c r="AU1081" s="45"/>
    </row>
    <row r="1082" spans="47:47" ht="12" customHeight="1">
      <c r="AU1082" s="45"/>
    </row>
    <row r="1083" spans="47:47" ht="12" customHeight="1">
      <c r="AU1083" s="45"/>
    </row>
    <row r="1084" spans="47:47" ht="12" customHeight="1">
      <c r="AU1084" s="45"/>
    </row>
    <row r="1085" spans="47:47" ht="12" customHeight="1">
      <c r="AU1085" s="45"/>
    </row>
    <row r="1086" spans="47:47" ht="12" customHeight="1">
      <c r="AU1086" s="45"/>
    </row>
    <row r="1087" spans="47:47" ht="12" customHeight="1">
      <c r="AU1087" s="45"/>
    </row>
    <row r="1088" spans="47:47" ht="12" customHeight="1">
      <c r="AU1088" s="45"/>
    </row>
    <row r="1089" spans="47:47" ht="12" customHeight="1">
      <c r="AU1089" s="45"/>
    </row>
    <row r="1090" spans="47:47" ht="12" customHeight="1">
      <c r="AU1090" s="45"/>
    </row>
    <row r="1091" spans="47:47" ht="12" customHeight="1">
      <c r="AU1091" s="45"/>
    </row>
    <row r="1092" spans="47:47" ht="12" customHeight="1">
      <c r="AU1092" s="45"/>
    </row>
    <row r="1093" spans="47:47" ht="12" customHeight="1">
      <c r="AU1093" s="45"/>
    </row>
    <row r="1094" spans="47:47" ht="12" customHeight="1">
      <c r="AU1094" s="45"/>
    </row>
    <row r="1095" spans="47:47" ht="12" customHeight="1">
      <c r="AU1095" s="45"/>
    </row>
    <row r="1096" spans="47:47" ht="12" customHeight="1">
      <c r="AU1096" s="45"/>
    </row>
    <row r="1097" spans="47:47" ht="12" customHeight="1">
      <c r="AU1097" s="45"/>
    </row>
    <row r="1098" spans="47:47" ht="12" customHeight="1">
      <c r="AU1098" s="45"/>
    </row>
    <row r="1099" spans="47:47" ht="12" customHeight="1">
      <c r="AU1099" s="45"/>
    </row>
    <row r="1100" spans="47:47" ht="12" customHeight="1">
      <c r="AU1100" s="45"/>
    </row>
    <row r="1101" spans="47:47" ht="12" customHeight="1">
      <c r="AU1101" s="45"/>
    </row>
    <row r="1102" spans="47:47" ht="12" customHeight="1">
      <c r="AU1102" s="45"/>
    </row>
    <row r="1103" spans="47:47" ht="12" customHeight="1">
      <c r="AU1103" s="45"/>
    </row>
    <row r="1104" spans="47:47" ht="12" customHeight="1">
      <c r="AU1104" s="45"/>
    </row>
    <row r="1105" spans="47:47" ht="12" customHeight="1">
      <c r="AU1105" s="45"/>
    </row>
    <row r="1106" spans="47:47" ht="12" customHeight="1">
      <c r="AU1106" s="45"/>
    </row>
    <row r="1107" spans="47:47" ht="12" customHeight="1">
      <c r="AU1107" s="45"/>
    </row>
    <row r="1108" spans="47:47" ht="12" customHeight="1">
      <c r="AU1108" s="45"/>
    </row>
    <row r="1109" spans="47:47" ht="12" customHeight="1">
      <c r="AU1109" s="45"/>
    </row>
    <row r="1110" spans="47:47" ht="12" customHeight="1">
      <c r="AU1110" s="45"/>
    </row>
    <row r="1111" spans="47:47" ht="12" customHeight="1">
      <c r="AU1111" s="45"/>
    </row>
    <row r="1112" spans="47:47" ht="12" customHeight="1">
      <c r="AU1112" s="45"/>
    </row>
    <row r="1113" spans="47:47" ht="12" customHeight="1">
      <c r="AU1113" s="45"/>
    </row>
    <row r="1114" spans="47:47" ht="12" customHeight="1">
      <c r="AU1114" s="45"/>
    </row>
    <row r="1115" spans="47:47" ht="12" customHeight="1">
      <c r="AU1115" s="45"/>
    </row>
    <row r="1116" spans="47:47" ht="12" customHeight="1">
      <c r="AU1116" s="45"/>
    </row>
    <row r="1117" spans="47:47" ht="12" customHeight="1">
      <c r="AU1117" s="45"/>
    </row>
    <row r="1118" spans="47:47" ht="12" customHeight="1">
      <c r="AU1118" s="45"/>
    </row>
    <row r="1119" spans="47:47" ht="12" customHeight="1">
      <c r="AU1119" s="45"/>
    </row>
    <row r="1120" spans="47:47" ht="12" customHeight="1">
      <c r="AU1120" s="45"/>
    </row>
    <row r="1121" spans="47:47" ht="12" customHeight="1">
      <c r="AU1121" s="45"/>
    </row>
    <row r="1122" spans="47:47" ht="12" customHeight="1">
      <c r="AU1122" s="45"/>
    </row>
    <row r="1123" spans="47:47" ht="12" customHeight="1">
      <c r="AU1123" s="45"/>
    </row>
    <row r="1124" spans="47:47" ht="12" customHeight="1">
      <c r="AU1124" s="45"/>
    </row>
    <row r="1125" spans="47:47" ht="12" customHeight="1">
      <c r="AU1125" s="45"/>
    </row>
    <row r="1126" spans="47:47" ht="12" customHeight="1">
      <c r="AU1126" s="45"/>
    </row>
    <row r="1127" spans="47:47" ht="12" customHeight="1">
      <c r="AU1127" s="45"/>
    </row>
    <row r="1128" spans="47:47" ht="12" customHeight="1">
      <c r="AU1128" s="45"/>
    </row>
    <row r="1129" spans="47:47" ht="12" customHeight="1">
      <c r="AU1129" s="45"/>
    </row>
    <row r="1130" spans="47:47" ht="12" customHeight="1">
      <c r="AU1130" s="45"/>
    </row>
    <row r="1131" spans="47:47" ht="12" customHeight="1">
      <c r="AU1131" s="45"/>
    </row>
    <row r="1132" spans="47:47" ht="12" customHeight="1">
      <c r="AU1132" s="45"/>
    </row>
    <row r="1133" spans="47:47" ht="12" customHeight="1">
      <c r="AU1133" s="45"/>
    </row>
    <row r="1134" spans="47:47" ht="12" customHeight="1">
      <c r="AU1134" s="45"/>
    </row>
    <row r="1135" spans="47:47" ht="12" customHeight="1">
      <c r="AU1135" s="45"/>
    </row>
    <row r="1136" spans="47:47" ht="12" customHeight="1">
      <c r="AU1136" s="45"/>
    </row>
    <row r="1137" spans="47:47" ht="12" customHeight="1">
      <c r="AU1137" s="45"/>
    </row>
    <row r="1138" spans="47:47" ht="12" customHeight="1">
      <c r="AU1138" s="45"/>
    </row>
    <row r="1139" spans="47:47" ht="12" customHeight="1">
      <c r="AU1139" s="45"/>
    </row>
    <row r="1140" spans="47:47" ht="12" customHeight="1">
      <c r="AU1140" s="45"/>
    </row>
    <row r="1141" spans="47:47" ht="12" customHeight="1">
      <c r="AU1141" s="45"/>
    </row>
    <row r="1142" spans="47:47" ht="12" customHeight="1">
      <c r="AU1142" s="45"/>
    </row>
    <row r="1143" spans="47:47" ht="12" customHeight="1">
      <c r="AU1143" s="45"/>
    </row>
    <row r="1144" spans="47:47" ht="12" customHeight="1">
      <c r="AU1144" s="45"/>
    </row>
    <row r="1145" spans="47:47" ht="12" customHeight="1">
      <c r="AU1145" s="45"/>
    </row>
    <row r="1146" spans="47:47" ht="12" customHeight="1">
      <c r="AU1146" s="45"/>
    </row>
    <row r="1147" spans="47:47" ht="12" customHeight="1">
      <c r="AU1147" s="45"/>
    </row>
    <row r="1148" spans="47:47" ht="12" customHeight="1">
      <c r="AU1148" s="45"/>
    </row>
    <row r="1149" spans="47:47" ht="12" customHeight="1">
      <c r="AU1149" s="45"/>
    </row>
    <row r="1150" spans="47:47" ht="12" customHeight="1">
      <c r="AU1150" s="45"/>
    </row>
    <row r="1151" spans="47:47" ht="12" customHeight="1">
      <c r="AU1151" s="45"/>
    </row>
    <row r="1152" spans="47:47" ht="12" customHeight="1">
      <c r="AU1152" s="45"/>
    </row>
    <row r="1153" spans="47:47" ht="12" customHeight="1">
      <c r="AU1153" s="45"/>
    </row>
    <row r="1154" spans="47:47" ht="12" customHeight="1">
      <c r="AU1154" s="45"/>
    </row>
    <row r="1155" spans="47:47" ht="12" customHeight="1">
      <c r="AU1155" s="45"/>
    </row>
    <row r="1156" spans="47:47" ht="12" customHeight="1">
      <c r="AU1156" s="45"/>
    </row>
    <row r="1157" spans="47:47" ht="12" customHeight="1">
      <c r="AU1157" s="45"/>
    </row>
    <row r="1158" spans="47:47" ht="12" customHeight="1">
      <c r="AU1158" s="45"/>
    </row>
    <row r="1159" spans="47:47" ht="12" customHeight="1">
      <c r="AU1159" s="45"/>
    </row>
    <row r="1160" spans="47:47" ht="12" customHeight="1">
      <c r="AU1160" s="45"/>
    </row>
    <row r="1161" spans="47:47" ht="12" customHeight="1">
      <c r="AU1161" s="45"/>
    </row>
    <row r="1162" spans="47:47" ht="12" customHeight="1">
      <c r="AU1162" s="45"/>
    </row>
    <row r="1163" spans="47:47" ht="12" customHeight="1">
      <c r="AU1163" s="45"/>
    </row>
    <row r="1164" spans="47:47" ht="12" customHeight="1">
      <c r="AU1164" s="45"/>
    </row>
    <row r="1165" spans="47:47" ht="12" customHeight="1">
      <c r="AU1165" s="45"/>
    </row>
    <row r="1166" spans="47:47" ht="12" customHeight="1">
      <c r="AU1166" s="45"/>
    </row>
    <row r="1167" spans="47:47" ht="12" customHeight="1">
      <c r="AU1167" s="45"/>
    </row>
    <row r="1168" spans="47:47" ht="12" customHeight="1">
      <c r="AU1168" s="45"/>
    </row>
    <row r="1169" spans="47:47" ht="12" customHeight="1">
      <c r="AU1169" s="45"/>
    </row>
    <row r="1170" spans="47:47" ht="12" customHeight="1">
      <c r="AU1170" s="45"/>
    </row>
    <row r="1171" spans="47:47" ht="12" customHeight="1">
      <c r="AU1171" s="45"/>
    </row>
    <row r="1172" spans="47:47" ht="12" customHeight="1">
      <c r="AU1172" s="45"/>
    </row>
    <row r="1173" spans="47:47" ht="12" customHeight="1">
      <c r="AU1173" s="45"/>
    </row>
    <row r="1174" spans="47:47" ht="12" customHeight="1">
      <c r="AU1174" s="45"/>
    </row>
    <row r="1175" spans="47:47" ht="12" customHeight="1">
      <c r="AU1175" s="45"/>
    </row>
    <row r="1176" spans="47:47" ht="12" customHeight="1">
      <c r="AU1176" s="45"/>
    </row>
    <row r="1177" spans="47:47" ht="12" customHeight="1">
      <c r="AU1177" s="45"/>
    </row>
    <row r="1178" spans="47:47" ht="12" customHeight="1">
      <c r="AU1178" s="45"/>
    </row>
    <row r="1179" spans="47:47" ht="12" customHeight="1">
      <c r="AU1179" s="45"/>
    </row>
    <row r="1180" spans="47:47" ht="12" customHeight="1">
      <c r="AU1180" s="45"/>
    </row>
    <row r="1181" spans="47:47" ht="12" customHeight="1">
      <c r="AU1181" s="45"/>
    </row>
    <row r="1182" spans="47:47" ht="12" customHeight="1">
      <c r="AU1182" s="45"/>
    </row>
    <row r="1183" spans="47:47" ht="12" customHeight="1">
      <c r="AU1183" s="45"/>
    </row>
    <row r="1184" spans="47:47" ht="12" customHeight="1">
      <c r="AU1184" s="45"/>
    </row>
    <row r="1185" spans="47:47" ht="12" customHeight="1">
      <c r="AU1185" s="45"/>
    </row>
    <row r="1186" spans="47:47" ht="12" customHeight="1">
      <c r="AU1186" s="45"/>
    </row>
    <row r="1187" spans="47:47" ht="12" customHeight="1">
      <c r="AU1187" s="45"/>
    </row>
    <row r="1188" spans="47:47" ht="12" customHeight="1">
      <c r="AU1188" s="45"/>
    </row>
    <row r="1189" spans="47:47" ht="12" customHeight="1">
      <c r="AU1189" s="45"/>
    </row>
    <row r="1190" spans="47:47" ht="12" customHeight="1">
      <c r="AU1190" s="45"/>
    </row>
    <row r="1191" spans="47:47" ht="12" customHeight="1">
      <c r="AU1191" s="45"/>
    </row>
    <row r="1192" spans="47:47" ht="12" customHeight="1">
      <c r="AU1192" s="45"/>
    </row>
    <row r="1193" spans="47:47" ht="12" customHeight="1">
      <c r="AU1193" s="45"/>
    </row>
    <row r="1194" spans="47:47" ht="12" customHeight="1">
      <c r="AU1194" s="45"/>
    </row>
    <row r="1195" spans="47:47" ht="12" customHeight="1">
      <c r="AU1195" s="45"/>
    </row>
    <row r="1196" spans="47:47" ht="12" customHeight="1">
      <c r="AU1196" s="45"/>
    </row>
    <row r="1197" spans="47:47" ht="12" customHeight="1">
      <c r="AU1197" s="45"/>
    </row>
    <row r="1198" spans="47:47" ht="12" customHeight="1">
      <c r="AU1198" s="45"/>
    </row>
    <row r="1199" spans="47:47" ht="12" customHeight="1">
      <c r="AU1199" s="45"/>
    </row>
    <row r="1200" spans="47:47" ht="12" customHeight="1">
      <c r="AU1200" s="45"/>
    </row>
    <row r="1201" spans="47:47" ht="12" customHeight="1">
      <c r="AU1201" s="45"/>
    </row>
    <row r="1202" spans="47:47" ht="12" customHeight="1">
      <c r="AU1202" s="45"/>
    </row>
    <row r="1203" spans="47:47" ht="12" customHeight="1">
      <c r="AU1203" s="45"/>
    </row>
    <row r="1204" spans="47:47" ht="12" customHeight="1">
      <c r="AU1204" s="45"/>
    </row>
    <row r="1205" spans="47:47" ht="12" customHeight="1">
      <c r="AU1205" s="45"/>
    </row>
    <row r="1206" spans="47:47" ht="12" customHeight="1">
      <c r="AU1206" s="45"/>
    </row>
    <row r="1207" spans="47:47" ht="12" customHeight="1">
      <c r="AU1207" s="45"/>
    </row>
    <row r="1208" spans="47:47" ht="12" customHeight="1">
      <c r="AU1208" s="45"/>
    </row>
    <row r="1209" spans="47:47" ht="12" customHeight="1">
      <c r="AU1209" s="45"/>
    </row>
    <row r="1210" spans="47:47" ht="12" customHeight="1">
      <c r="AU1210" s="45"/>
    </row>
    <row r="1211" spans="47:47" ht="12" customHeight="1">
      <c r="AU1211" s="45"/>
    </row>
    <row r="1212" spans="47:47" ht="12" customHeight="1">
      <c r="AU1212" s="45"/>
    </row>
    <row r="1213" spans="47:47" ht="12" customHeight="1">
      <c r="AU1213" s="45"/>
    </row>
    <row r="1214" spans="47:47" ht="12" customHeight="1">
      <c r="AU1214" s="45"/>
    </row>
    <row r="1215" spans="47:47" ht="12" customHeight="1">
      <c r="AU1215" s="45"/>
    </row>
    <row r="1216" spans="47:47" ht="12" customHeight="1">
      <c r="AU1216" s="45"/>
    </row>
    <row r="1217" spans="47:47" ht="12" customHeight="1">
      <c r="AU1217" s="45"/>
    </row>
    <row r="1218" spans="47:47" ht="12" customHeight="1">
      <c r="AU1218" s="45"/>
    </row>
    <row r="1219" spans="47:47" ht="12" customHeight="1">
      <c r="AU1219" s="45"/>
    </row>
    <row r="1220" spans="47:47" ht="12" customHeight="1">
      <c r="AU1220" s="45"/>
    </row>
    <row r="1221" spans="47:47" ht="12" customHeight="1">
      <c r="AU1221" s="45"/>
    </row>
    <row r="1222" spans="47:47" ht="12" customHeight="1">
      <c r="AU1222" s="45"/>
    </row>
    <row r="1223" spans="47:47" ht="12" customHeight="1">
      <c r="AU1223" s="45"/>
    </row>
    <row r="1224" spans="47:47" ht="12" customHeight="1">
      <c r="AU1224" s="45"/>
    </row>
    <row r="1225" spans="47:47" ht="12" customHeight="1">
      <c r="AU1225" s="45"/>
    </row>
    <row r="1226" spans="47:47" ht="12" customHeight="1">
      <c r="AU1226" s="45"/>
    </row>
    <row r="1227" spans="47:47" ht="12" customHeight="1">
      <c r="AU1227" s="45"/>
    </row>
    <row r="1228" spans="47:47" ht="12" customHeight="1">
      <c r="AU1228" s="45"/>
    </row>
    <row r="1229" spans="47:47" ht="12" customHeight="1">
      <c r="AU1229" s="45"/>
    </row>
    <row r="1230" spans="47:47" ht="12" customHeight="1">
      <c r="AU1230" s="45"/>
    </row>
    <row r="1231" spans="47:47" ht="12" customHeight="1">
      <c r="AU1231" s="45"/>
    </row>
    <row r="1232" spans="47:47" ht="12" customHeight="1">
      <c r="AU1232" s="45"/>
    </row>
    <row r="1233" spans="47:47" ht="12" customHeight="1">
      <c r="AU1233" s="45"/>
    </row>
    <row r="1234" spans="47:47" ht="12" customHeight="1">
      <c r="AU1234" s="45"/>
    </row>
    <row r="1235" spans="47:47" ht="12" customHeight="1">
      <c r="AU1235" s="45"/>
    </row>
    <row r="1236" spans="47:47" ht="12" customHeight="1">
      <c r="AU1236" s="45"/>
    </row>
    <row r="1237" spans="47:47" ht="12" customHeight="1">
      <c r="AU1237" s="45"/>
    </row>
    <row r="1238" spans="47:47" ht="12" customHeight="1">
      <c r="AU1238" s="45"/>
    </row>
    <row r="1239" spans="47:47" ht="12" customHeight="1">
      <c r="AU1239" s="45"/>
    </row>
    <row r="1240" spans="47:47" ht="12" customHeight="1">
      <c r="AU1240" s="45"/>
    </row>
    <row r="1241" spans="47:47" ht="12" customHeight="1">
      <c r="AU1241" s="45"/>
    </row>
    <row r="1242" spans="47:47" ht="12" customHeight="1">
      <c r="AU1242" s="45"/>
    </row>
    <row r="1243" spans="47:47" ht="12" customHeight="1">
      <c r="AU1243" s="45"/>
    </row>
    <row r="1244" spans="47:47" ht="12" customHeight="1">
      <c r="AU1244" s="45"/>
    </row>
    <row r="1245" spans="47:47" ht="12" customHeight="1">
      <c r="AU1245" s="45"/>
    </row>
    <row r="1246" spans="47:47" ht="12" customHeight="1">
      <c r="AU1246" s="45"/>
    </row>
    <row r="1247" spans="47:47" ht="12" customHeight="1">
      <c r="AU1247" s="45"/>
    </row>
    <row r="1248" spans="47:47" ht="12" customHeight="1">
      <c r="AU1248" s="45"/>
    </row>
    <row r="1249" spans="47:47" ht="12" customHeight="1">
      <c r="AU1249" s="45"/>
    </row>
    <row r="1250" spans="47:47" ht="12" customHeight="1">
      <c r="AU1250" s="45"/>
    </row>
    <row r="1251" spans="47:47" ht="12" customHeight="1">
      <c r="AU1251" s="45"/>
    </row>
    <row r="1252" spans="47:47" ht="12" customHeight="1">
      <c r="AU1252" s="45"/>
    </row>
    <row r="1253" spans="47:47" ht="12" customHeight="1">
      <c r="AU1253" s="45"/>
    </row>
    <row r="1254" spans="47:47" ht="12" customHeight="1">
      <c r="AU1254" s="45"/>
    </row>
    <row r="1255" spans="47:47" ht="12" customHeight="1">
      <c r="AU1255" s="45"/>
    </row>
    <row r="1256" spans="47:47" ht="12" customHeight="1">
      <c r="AU1256" s="45"/>
    </row>
    <row r="1257" spans="47:47" ht="12" customHeight="1">
      <c r="AU1257" s="45"/>
    </row>
    <row r="1258" spans="47:47" ht="12" customHeight="1">
      <c r="AU1258" s="45"/>
    </row>
    <row r="1259" spans="47:47" ht="12" customHeight="1">
      <c r="AU1259" s="45"/>
    </row>
    <row r="1260" spans="47:47" ht="12" customHeight="1">
      <c r="AU1260" s="45"/>
    </row>
    <row r="1261" spans="47:47" ht="12" customHeight="1">
      <c r="AU1261" s="45"/>
    </row>
    <row r="1262" spans="47:47" ht="12" customHeight="1">
      <c r="AU1262" s="45"/>
    </row>
    <row r="1263" spans="47:47" ht="12" customHeight="1">
      <c r="AU1263" s="45"/>
    </row>
    <row r="1264" spans="47:47" ht="12" customHeight="1">
      <c r="AU1264" s="45"/>
    </row>
    <row r="1265" spans="47:47" ht="12" customHeight="1">
      <c r="AU1265" s="45"/>
    </row>
    <row r="1266" spans="47:47" ht="12" customHeight="1">
      <c r="AU1266" s="45"/>
    </row>
    <row r="1267" spans="47:47" ht="12" customHeight="1">
      <c r="AU1267" s="45"/>
    </row>
    <row r="1268" spans="47:47" ht="12" customHeight="1">
      <c r="AU1268" s="45"/>
    </row>
    <row r="1269" spans="47:47" ht="12" customHeight="1">
      <c r="AU1269" s="45"/>
    </row>
    <row r="1270" spans="47:47" ht="12" customHeight="1">
      <c r="AU1270" s="45"/>
    </row>
    <row r="1271" spans="47:47" ht="12" customHeight="1">
      <c r="AU1271" s="45"/>
    </row>
    <row r="1272" spans="47:47" ht="12" customHeight="1">
      <c r="AU1272" s="45"/>
    </row>
    <row r="1273" spans="47:47" ht="12" customHeight="1">
      <c r="AU1273" s="45"/>
    </row>
    <row r="1274" spans="47:47" ht="12" customHeight="1">
      <c r="AU1274" s="45"/>
    </row>
    <row r="1275" spans="47:47" ht="12" customHeight="1">
      <c r="AU1275" s="45"/>
    </row>
    <row r="1276" spans="47:47" ht="12" customHeight="1">
      <c r="AU1276" s="45"/>
    </row>
    <row r="1277" spans="47:47" ht="12" customHeight="1">
      <c r="AU1277" s="45"/>
    </row>
    <row r="1278" spans="47:47" ht="12" customHeight="1">
      <c r="AU1278" s="45"/>
    </row>
    <row r="1279" spans="47:47" ht="12" customHeight="1">
      <c r="AU1279" s="45"/>
    </row>
    <row r="1280" spans="47:47" ht="12" customHeight="1">
      <c r="AU1280" s="45"/>
    </row>
    <row r="1281" spans="47:47" ht="12" customHeight="1">
      <c r="AU1281" s="45"/>
    </row>
    <row r="1282" spans="47:47" ht="12" customHeight="1">
      <c r="AU1282" s="45"/>
    </row>
    <row r="1283" spans="47:47" ht="12" customHeight="1">
      <c r="AU1283" s="45"/>
    </row>
    <row r="1284" spans="47:47" ht="12" customHeight="1">
      <c r="AU1284" s="45"/>
    </row>
    <row r="1285" spans="47:47" ht="12" customHeight="1">
      <c r="AU1285" s="45"/>
    </row>
    <row r="1286" spans="47:47" ht="12" customHeight="1">
      <c r="AU1286" s="45"/>
    </row>
    <row r="1287" spans="47:47" ht="12" customHeight="1">
      <c r="AU1287" s="45"/>
    </row>
    <row r="1288" spans="47:47" ht="12" customHeight="1">
      <c r="AU1288" s="45"/>
    </row>
    <row r="1289" spans="47:47" ht="12" customHeight="1">
      <c r="AU1289" s="45"/>
    </row>
    <row r="1290" spans="47:47" ht="12" customHeight="1">
      <c r="AU1290" s="45"/>
    </row>
    <row r="1291" spans="47:47" ht="12" customHeight="1">
      <c r="AU1291" s="45"/>
    </row>
    <row r="1292" spans="47:47" ht="12" customHeight="1">
      <c r="AU1292" s="45"/>
    </row>
    <row r="1293" spans="47:47" ht="12" customHeight="1">
      <c r="AU1293" s="45"/>
    </row>
    <row r="1294" spans="47:47" ht="12" customHeight="1">
      <c r="AU1294" s="45"/>
    </row>
    <row r="1295" spans="47:47" ht="12" customHeight="1">
      <c r="AU1295" s="45"/>
    </row>
    <row r="1296" spans="47:47" ht="12" customHeight="1">
      <c r="AU1296" s="45"/>
    </row>
    <row r="1297" spans="47:47" ht="12" customHeight="1">
      <c r="AU1297" s="45"/>
    </row>
    <row r="1298" spans="47:47" ht="12" customHeight="1">
      <c r="AU1298" s="45"/>
    </row>
    <row r="1299" spans="47:47" ht="12" customHeight="1">
      <c r="AU1299" s="45"/>
    </row>
    <row r="1300" spans="47:47" ht="12" customHeight="1">
      <c r="AU1300" s="45"/>
    </row>
    <row r="1301" spans="47:47" ht="12" customHeight="1">
      <c r="AU1301" s="45"/>
    </row>
    <row r="1302" spans="47:47" ht="12" customHeight="1">
      <c r="AU1302" s="45"/>
    </row>
    <row r="1303" spans="47:47" ht="12" customHeight="1">
      <c r="AU1303" s="45"/>
    </row>
    <row r="1304" spans="47:47" ht="12" customHeight="1">
      <c r="AU1304" s="45"/>
    </row>
    <row r="1305" spans="47:47" ht="12" customHeight="1">
      <c r="AU1305" s="45"/>
    </row>
    <row r="1306" spans="47:47" ht="12" customHeight="1">
      <c r="AU1306" s="45"/>
    </row>
    <row r="1307" spans="47:47" ht="12" customHeight="1">
      <c r="AU1307" s="45"/>
    </row>
    <row r="1308" spans="47:47" ht="12" customHeight="1">
      <c r="AU1308" s="45"/>
    </row>
    <row r="1309" spans="47:47" ht="12" customHeight="1">
      <c r="AU1309" s="45"/>
    </row>
    <row r="1310" spans="47:47" ht="12" customHeight="1">
      <c r="AU1310" s="45"/>
    </row>
    <row r="1311" spans="47:47" ht="12" customHeight="1">
      <c r="AU1311" s="45"/>
    </row>
    <row r="1312" spans="47:47" ht="12" customHeight="1">
      <c r="AU1312" s="45"/>
    </row>
    <row r="1313" spans="47:47" ht="12" customHeight="1">
      <c r="AU1313" s="45"/>
    </row>
    <row r="1314" spans="47:47" ht="12" customHeight="1">
      <c r="AU1314" s="45"/>
    </row>
    <row r="1315" spans="47:47" ht="12" customHeight="1">
      <c r="AU1315" s="45"/>
    </row>
    <row r="1316" spans="47:47" ht="12" customHeight="1">
      <c r="AU1316" s="45"/>
    </row>
    <row r="1317" spans="47:47" ht="12" customHeight="1">
      <c r="AU1317" s="45"/>
    </row>
    <row r="1318" spans="47:47" ht="12" customHeight="1">
      <c r="AU1318" s="45"/>
    </row>
    <row r="1319" spans="47:47" ht="12" customHeight="1">
      <c r="AU1319" s="45"/>
    </row>
    <row r="1320" spans="47:47" ht="12" customHeight="1">
      <c r="AU1320" s="45"/>
    </row>
    <row r="1321" spans="47:47" ht="12" customHeight="1">
      <c r="AU1321" s="45"/>
    </row>
    <row r="1322" spans="47:47" ht="12" customHeight="1">
      <c r="AU1322" s="45"/>
    </row>
    <row r="1323" spans="47:47" ht="12" customHeight="1">
      <c r="AU1323" s="45"/>
    </row>
    <row r="1324" spans="47:47" ht="12" customHeight="1">
      <c r="AU1324" s="45"/>
    </row>
    <row r="1325" spans="47:47" ht="12" customHeight="1">
      <c r="AU1325" s="45"/>
    </row>
    <row r="1326" spans="47:47" ht="12" customHeight="1">
      <c r="AU1326" s="45"/>
    </row>
    <row r="1327" spans="47:47" ht="12" customHeight="1">
      <c r="AU1327" s="45"/>
    </row>
    <row r="1328" spans="47:47" ht="12" customHeight="1">
      <c r="AU1328" s="45"/>
    </row>
    <row r="1329" spans="47:47" ht="12" customHeight="1">
      <c r="AU1329" s="45"/>
    </row>
    <row r="1330" spans="47:47" ht="12" customHeight="1">
      <c r="AU1330" s="45"/>
    </row>
    <row r="1331" spans="47:47" ht="12" customHeight="1">
      <c r="AU1331" s="45"/>
    </row>
    <row r="1332" spans="47:47" ht="12" customHeight="1">
      <c r="AU1332" s="45"/>
    </row>
    <row r="1333" spans="47:47" ht="12" customHeight="1">
      <c r="AU1333" s="45"/>
    </row>
    <row r="1334" spans="47:47" ht="12" customHeight="1">
      <c r="AU1334" s="45"/>
    </row>
    <row r="1335" spans="47:47" ht="12" customHeight="1">
      <c r="AU1335" s="45"/>
    </row>
    <row r="1336" spans="47:47" ht="12" customHeight="1">
      <c r="AU1336" s="45"/>
    </row>
    <row r="1337" spans="47:47" ht="12" customHeight="1">
      <c r="AU1337" s="45"/>
    </row>
    <row r="1338" spans="47:47" ht="12" customHeight="1">
      <c r="AU1338" s="45"/>
    </row>
    <row r="1339" spans="47:47" ht="12" customHeight="1">
      <c r="AU1339" s="45"/>
    </row>
    <row r="1340" spans="47:47" ht="12" customHeight="1">
      <c r="AU1340" s="45"/>
    </row>
    <row r="1341" spans="47:47" ht="12" customHeight="1">
      <c r="AU1341" s="45"/>
    </row>
    <row r="1342" spans="47:47" ht="12" customHeight="1">
      <c r="AU1342" s="45"/>
    </row>
    <row r="1343" spans="47:47" ht="12" customHeight="1">
      <c r="AU1343" s="45"/>
    </row>
    <row r="1344" spans="47:47" ht="12" customHeight="1">
      <c r="AU1344" s="45"/>
    </row>
    <row r="1345" spans="47:47" ht="12" customHeight="1">
      <c r="AU1345" s="45"/>
    </row>
    <row r="1346" spans="47:47" ht="12" customHeight="1">
      <c r="AU1346" s="45"/>
    </row>
    <row r="1347" spans="47:47" ht="12" customHeight="1">
      <c r="AU1347" s="45"/>
    </row>
    <row r="1348" spans="47:47" ht="12" customHeight="1">
      <c r="AU1348" s="45"/>
    </row>
    <row r="1349" spans="47:47" ht="12" customHeight="1">
      <c r="AU1349" s="45"/>
    </row>
    <row r="1350" spans="47:47" ht="12" customHeight="1">
      <c r="AU1350" s="45"/>
    </row>
    <row r="1351" spans="47:47" ht="12" customHeight="1">
      <c r="AU1351" s="45"/>
    </row>
    <row r="1352" spans="47:47" ht="12" customHeight="1">
      <c r="AU1352" s="45"/>
    </row>
    <row r="1353" spans="47:47" ht="12" customHeight="1">
      <c r="AU1353" s="45"/>
    </row>
    <row r="1354" spans="47:47" ht="12" customHeight="1">
      <c r="AU1354" s="45"/>
    </row>
    <row r="1355" spans="47:47" ht="12" customHeight="1">
      <c r="AU1355" s="45"/>
    </row>
    <row r="1356" spans="47:47" ht="12" customHeight="1">
      <c r="AU1356" s="45"/>
    </row>
    <row r="1357" spans="47:47" ht="12" customHeight="1">
      <c r="AU1357" s="45"/>
    </row>
    <row r="1358" spans="47:47" ht="12" customHeight="1">
      <c r="AU1358" s="45"/>
    </row>
    <row r="1359" spans="47:47" ht="12" customHeight="1">
      <c r="AU1359" s="45"/>
    </row>
    <row r="1360" spans="47:47" ht="12" customHeight="1">
      <c r="AU1360" s="45"/>
    </row>
    <row r="1361" spans="47:47" ht="12" customHeight="1">
      <c r="AU1361" s="45"/>
    </row>
    <row r="1362" spans="47:47" ht="12" customHeight="1">
      <c r="AU1362" s="45"/>
    </row>
    <row r="1363" spans="47:47" ht="12" customHeight="1">
      <c r="AU1363" s="45"/>
    </row>
    <row r="1364" spans="47:47" ht="12" customHeight="1">
      <c r="AU1364" s="45"/>
    </row>
    <row r="1365" spans="47:47" ht="12" customHeight="1">
      <c r="AU1365" s="45"/>
    </row>
    <row r="1366" spans="47:47" ht="12" customHeight="1">
      <c r="AU1366" s="45"/>
    </row>
    <row r="1367" spans="47:47" ht="12" customHeight="1">
      <c r="AU1367" s="45"/>
    </row>
    <row r="1368" spans="47:47" ht="12" customHeight="1">
      <c r="AU1368" s="45"/>
    </row>
    <row r="1369" spans="47:47" ht="12" customHeight="1">
      <c r="AU1369" s="45"/>
    </row>
    <row r="1370" spans="47:47" ht="12" customHeight="1">
      <c r="AU1370" s="45"/>
    </row>
    <row r="1371" spans="47:47" ht="12" customHeight="1">
      <c r="AU1371" s="45"/>
    </row>
    <row r="1372" spans="47:47" ht="12" customHeight="1">
      <c r="AU1372" s="45"/>
    </row>
    <row r="1373" spans="47:47" ht="12" customHeight="1">
      <c r="AU1373" s="45"/>
    </row>
    <row r="1374" spans="47:47" ht="12" customHeight="1">
      <c r="AU1374" s="45"/>
    </row>
    <row r="1375" spans="47:47" ht="12" customHeight="1">
      <c r="AU1375" s="45"/>
    </row>
    <row r="1376" spans="47:47" ht="12" customHeight="1">
      <c r="AU1376" s="45"/>
    </row>
    <row r="1377" spans="47:47" ht="12" customHeight="1">
      <c r="AU1377" s="45"/>
    </row>
    <row r="1378" spans="47:47" ht="12" customHeight="1">
      <c r="AU1378" s="45"/>
    </row>
    <row r="1379" spans="47:47" ht="12" customHeight="1">
      <c r="AU1379" s="45"/>
    </row>
    <row r="1380" spans="47:47" ht="12" customHeight="1">
      <c r="AU1380" s="45"/>
    </row>
    <row r="1381" spans="47:47" ht="12" customHeight="1">
      <c r="AU1381" s="45"/>
    </row>
    <row r="1382" spans="47:47" ht="12" customHeight="1">
      <c r="AU1382" s="45"/>
    </row>
    <row r="1383" spans="47:47" ht="12" customHeight="1">
      <c r="AU1383" s="45"/>
    </row>
    <row r="1384" spans="47:47" ht="12" customHeight="1">
      <c r="AU1384" s="45"/>
    </row>
    <row r="1385" spans="47:47" ht="12" customHeight="1">
      <c r="AU1385" s="45"/>
    </row>
    <row r="1386" spans="47:47" ht="12" customHeight="1">
      <c r="AU1386" s="45"/>
    </row>
    <row r="1387" spans="47:47" ht="12" customHeight="1">
      <c r="AU1387" s="45"/>
    </row>
    <row r="1388" spans="47:47" ht="12" customHeight="1">
      <c r="AU1388" s="45"/>
    </row>
    <row r="1389" spans="47:47" ht="12" customHeight="1">
      <c r="AU1389" s="45"/>
    </row>
    <row r="1390" spans="47:47" ht="12" customHeight="1">
      <c r="AU1390" s="45"/>
    </row>
    <row r="1391" spans="47:47" ht="12" customHeight="1">
      <c r="AU1391" s="45"/>
    </row>
    <row r="1392" spans="47:47" ht="12" customHeight="1">
      <c r="AU1392" s="45"/>
    </row>
    <row r="1393" spans="47:47" ht="12" customHeight="1">
      <c r="AU1393" s="45"/>
    </row>
    <row r="1394" spans="47:47" ht="12" customHeight="1">
      <c r="AU1394" s="45"/>
    </row>
    <row r="1395" spans="47:47" ht="12" customHeight="1">
      <c r="AU1395" s="45"/>
    </row>
    <row r="1396" spans="47:47" ht="12" customHeight="1">
      <c r="AU1396" s="45"/>
    </row>
    <row r="1397" spans="47:47" ht="12" customHeight="1">
      <c r="AU1397" s="45"/>
    </row>
    <row r="1398" spans="47:47" ht="12" customHeight="1">
      <c r="AU1398" s="45"/>
    </row>
    <row r="1399" spans="47:47" ht="12" customHeight="1">
      <c r="AU1399" s="45"/>
    </row>
    <row r="1400" spans="47:47" ht="12" customHeight="1">
      <c r="AU1400" s="45"/>
    </row>
    <row r="1401" spans="47:47" ht="12" customHeight="1">
      <c r="AU1401" s="45"/>
    </row>
    <row r="1402" spans="47:47" ht="12" customHeight="1">
      <c r="AU1402" s="45"/>
    </row>
    <row r="1403" spans="47:47" ht="12" customHeight="1">
      <c r="AU1403" s="45"/>
    </row>
    <row r="1404" spans="47:47" ht="12" customHeight="1">
      <c r="AU1404" s="45"/>
    </row>
    <row r="1405" spans="47:47" ht="12" customHeight="1">
      <c r="AU1405" s="45"/>
    </row>
    <row r="1406" spans="47:47" ht="12" customHeight="1">
      <c r="AU1406" s="45"/>
    </row>
    <row r="1407" spans="47:47" ht="12" customHeight="1">
      <c r="AU1407" s="45"/>
    </row>
    <row r="1408" spans="47:47" ht="12" customHeight="1">
      <c r="AU1408" s="45"/>
    </row>
    <row r="1409" spans="47:47" ht="12" customHeight="1">
      <c r="AU1409" s="45"/>
    </row>
    <row r="1410" spans="47:47" ht="12" customHeight="1">
      <c r="AU1410" s="45"/>
    </row>
    <row r="1411" spans="47:47" ht="12" customHeight="1">
      <c r="AU1411" s="45"/>
    </row>
    <row r="1412" spans="47:47" ht="12" customHeight="1">
      <c r="AU1412" s="45"/>
    </row>
    <row r="1413" spans="47:47" ht="12" customHeight="1">
      <c r="AU1413" s="45"/>
    </row>
    <row r="1414" spans="47:47" ht="12" customHeight="1">
      <c r="AU1414" s="45"/>
    </row>
    <row r="1415" spans="47:47" ht="12" customHeight="1">
      <c r="AU1415" s="45"/>
    </row>
    <row r="1416" spans="47:47" ht="12" customHeight="1">
      <c r="AU1416" s="45"/>
    </row>
    <row r="1417" spans="47:47" ht="12" customHeight="1">
      <c r="AU1417" s="45"/>
    </row>
    <row r="1418" spans="47:47" ht="12" customHeight="1">
      <c r="AU1418" s="45"/>
    </row>
    <row r="1419" spans="47:47" ht="12" customHeight="1">
      <c r="AU1419" s="45"/>
    </row>
    <row r="1420" spans="47:47" ht="12" customHeight="1">
      <c r="AU1420" s="45"/>
    </row>
    <row r="1421" spans="47:47" ht="12" customHeight="1">
      <c r="AU1421" s="45"/>
    </row>
    <row r="1422" spans="47:47" ht="12" customHeight="1">
      <c r="AU1422" s="45"/>
    </row>
    <row r="1423" spans="47:47" ht="12" customHeight="1">
      <c r="AU1423" s="45"/>
    </row>
    <row r="1424" spans="47:47" ht="12" customHeight="1">
      <c r="AU1424" s="45"/>
    </row>
    <row r="1425" spans="47:47" ht="12" customHeight="1">
      <c r="AU1425" s="45"/>
    </row>
    <row r="1426" spans="47:47" ht="12" customHeight="1">
      <c r="AU1426" s="45"/>
    </row>
    <row r="1427" spans="47:47" ht="12" customHeight="1">
      <c r="AU1427" s="45"/>
    </row>
    <row r="1428" spans="47:47" ht="12" customHeight="1">
      <c r="AU1428" s="45"/>
    </row>
    <row r="1429" spans="47:47" ht="12" customHeight="1">
      <c r="AU1429" s="45"/>
    </row>
    <row r="1430" spans="47:47" ht="12" customHeight="1">
      <c r="AU1430" s="45"/>
    </row>
    <row r="1431" spans="47:47" ht="12" customHeight="1">
      <c r="AU1431" s="45"/>
    </row>
    <row r="1432" spans="47:47" ht="12" customHeight="1">
      <c r="AU1432" s="45"/>
    </row>
    <row r="1433" spans="47:47" ht="12" customHeight="1">
      <c r="AU1433" s="45"/>
    </row>
    <row r="1434" spans="47:47" ht="12" customHeight="1">
      <c r="AU1434" s="45"/>
    </row>
    <row r="1435" spans="47:47" ht="12" customHeight="1">
      <c r="AU1435" s="45"/>
    </row>
    <row r="1436" spans="47:47" ht="12" customHeight="1">
      <c r="AU1436" s="45"/>
    </row>
    <row r="1437" spans="47:47" ht="12" customHeight="1">
      <c r="AU1437" s="45"/>
    </row>
    <row r="1438" spans="47:47" ht="12" customHeight="1">
      <c r="AU1438" s="45"/>
    </row>
    <row r="1439" spans="47:47" ht="12" customHeight="1">
      <c r="AU1439" s="45"/>
    </row>
    <row r="1440" spans="47:47" ht="12" customHeight="1">
      <c r="AU1440" s="45"/>
    </row>
    <row r="1441" spans="47:47" ht="12" customHeight="1">
      <c r="AU1441" s="45"/>
    </row>
    <row r="1442" spans="47:47" ht="12" customHeight="1">
      <c r="AU1442" s="45"/>
    </row>
    <row r="1443" spans="47:47" ht="12" customHeight="1">
      <c r="AU1443" s="45"/>
    </row>
    <row r="1444" spans="47:47" ht="12" customHeight="1">
      <c r="AU1444" s="45"/>
    </row>
    <row r="1445" spans="47:47" ht="12" customHeight="1">
      <c r="AU1445" s="45"/>
    </row>
    <row r="1446" spans="47:47" ht="12" customHeight="1">
      <c r="AU1446" s="45"/>
    </row>
    <row r="1447" spans="47:47" ht="12" customHeight="1">
      <c r="AU1447" s="45"/>
    </row>
    <row r="1448" spans="47:47" ht="12" customHeight="1">
      <c r="AU1448" s="45"/>
    </row>
    <row r="1449" spans="47:47" ht="12" customHeight="1">
      <c r="AU1449" s="45"/>
    </row>
    <row r="1450" spans="47:47" ht="12" customHeight="1">
      <c r="AU1450" s="45"/>
    </row>
    <row r="1451" spans="47:47" ht="12" customHeight="1">
      <c r="AU1451" s="45"/>
    </row>
    <row r="1452" spans="47:47" ht="12" customHeight="1">
      <c r="AU1452" s="45"/>
    </row>
    <row r="1453" spans="47:47" ht="12" customHeight="1">
      <c r="AU1453" s="45"/>
    </row>
    <row r="1454" spans="47:47" ht="12" customHeight="1">
      <c r="AU1454" s="45"/>
    </row>
    <row r="1455" spans="47:47" ht="12" customHeight="1">
      <c r="AU1455" s="45"/>
    </row>
    <row r="1456" spans="47:47" ht="12" customHeight="1">
      <c r="AU1456" s="45"/>
    </row>
    <row r="1457" spans="47:47" ht="12" customHeight="1">
      <c r="AU1457" s="45"/>
    </row>
    <row r="1458" spans="47:47" ht="12" customHeight="1">
      <c r="AU1458" s="45"/>
    </row>
    <row r="1459" spans="47:47" ht="12" customHeight="1">
      <c r="AU1459" s="45"/>
    </row>
    <row r="1460" spans="47:47" ht="12" customHeight="1">
      <c r="AU1460" s="45"/>
    </row>
    <row r="1461" spans="47:47" ht="12" customHeight="1">
      <c r="AU1461" s="45"/>
    </row>
    <row r="1462" spans="47:47" ht="12" customHeight="1">
      <c r="AU1462" s="45"/>
    </row>
    <row r="1463" spans="47:47" ht="12" customHeight="1">
      <c r="AU1463" s="45"/>
    </row>
    <row r="1464" spans="47:47" ht="12" customHeight="1">
      <c r="AU1464" s="45"/>
    </row>
    <row r="1465" spans="47:47" ht="12" customHeight="1">
      <c r="AU1465" s="45"/>
    </row>
    <row r="1466" spans="47:47" ht="12" customHeight="1">
      <c r="AU1466" s="45"/>
    </row>
    <row r="1467" spans="47:47" ht="12" customHeight="1">
      <c r="AU1467" s="45"/>
    </row>
    <row r="1468" spans="47:47" ht="12" customHeight="1">
      <c r="AU1468" s="45"/>
    </row>
    <row r="1469" spans="47:47" ht="12" customHeight="1">
      <c r="AU1469" s="45"/>
    </row>
    <row r="1470" spans="47:47" ht="12" customHeight="1">
      <c r="AU1470" s="45"/>
    </row>
    <row r="1471" spans="47:47" ht="12" customHeight="1">
      <c r="AU1471" s="45"/>
    </row>
    <row r="1472" spans="47:47" ht="12" customHeight="1">
      <c r="AU1472" s="45"/>
    </row>
    <row r="1473" spans="47:47" ht="12" customHeight="1">
      <c r="AU1473" s="45"/>
    </row>
    <row r="1474" spans="47:47" ht="12" customHeight="1">
      <c r="AU1474" s="45"/>
    </row>
    <row r="1475" spans="47:47" ht="12" customHeight="1">
      <c r="AU1475" s="45"/>
    </row>
    <row r="1476" spans="47:47" ht="12" customHeight="1">
      <c r="AU1476" s="45"/>
    </row>
    <row r="1477" spans="47:47" ht="12" customHeight="1">
      <c r="AU1477" s="45"/>
    </row>
    <row r="1478" spans="47:47" ht="12" customHeight="1">
      <c r="AU1478" s="45"/>
    </row>
    <row r="1479" spans="47:47" ht="12" customHeight="1">
      <c r="AU1479" s="45"/>
    </row>
    <row r="1480" spans="47:47" ht="12" customHeight="1">
      <c r="AU1480" s="45"/>
    </row>
    <row r="1481" spans="47:47" ht="12" customHeight="1">
      <c r="AU1481" s="45"/>
    </row>
    <row r="1482" spans="47:47" ht="12" customHeight="1">
      <c r="AU1482" s="45"/>
    </row>
    <row r="1483" spans="47:47" ht="12" customHeight="1">
      <c r="AU1483" s="45"/>
    </row>
    <row r="1484" spans="47:47" ht="12" customHeight="1">
      <c r="AU1484" s="45"/>
    </row>
    <row r="1485" spans="47:47" ht="12" customHeight="1">
      <c r="AU1485" s="45"/>
    </row>
    <row r="1486" spans="47:47" ht="12" customHeight="1">
      <c r="AU1486" s="45"/>
    </row>
    <row r="1487" spans="47:47" ht="12" customHeight="1">
      <c r="AU1487" s="45"/>
    </row>
    <row r="1488" spans="47:47" ht="12" customHeight="1">
      <c r="AU1488" s="45"/>
    </row>
    <row r="1489" spans="47:47" ht="12" customHeight="1">
      <c r="AU1489" s="45"/>
    </row>
    <row r="1490" spans="47:47" ht="12" customHeight="1">
      <c r="AU1490" s="45"/>
    </row>
    <row r="1491" spans="47:47" ht="12" customHeight="1">
      <c r="AU1491" s="45"/>
    </row>
    <row r="1492" spans="47:47" ht="12" customHeight="1">
      <c r="AU1492" s="45"/>
    </row>
    <row r="1493" spans="47:47" ht="12" customHeight="1">
      <c r="AU1493" s="45"/>
    </row>
    <row r="1494" spans="47:47" ht="12" customHeight="1">
      <c r="AU1494" s="45"/>
    </row>
    <row r="1495" spans="47:47" ht="12" customHeight="1">
      <c r="AU1495" s="45"/>
    </row>
    <row r="1496" spans="47:47" ht="12" customHeight="1">
      <c r="AU1496" s="45"/>
    </row>
    <row r="1497" spans="47:47" ht="12" customHeight="1">
      <c r="AU1497" s="45"/>
    </row>
    <row r="1498" spans="47:47" ht="12" customHeight="1">
      <c r="AU1498" s="45"/>
    </row>
    <row r="1499" spans="47:47" ht="12" customHeight="1">
      <c r="AU1499" s="45"/>
    </row>
    <row r="1500" spans="47:47" ht="12" customHeight="1">
      <c r="AU1500" s="45"/>
    </row>
    <row r="1501" spans="47:47" ht="12" customHeight="1">
      <c r="AU1501" s="45"/>
    </row>
    <row r="1502" spans="47:47" ht="12" customHeight="1">
      <c r="AU1502" s="45"/>
    </row>
    <row r="1503" spans="47:47" ht="12" customHeight="1">
      <c r="AU1503" s="45"/>
    </row>
    <row r="1504" spans="47:47" ht="12" customHeight="1">
      <c r="AU1504" s="45"/>
    </row>
    <row r="1505" spans="47:47" ht="12" customHeight="1">
      <c r="AU1505" s="45"/>
    </row>
    <row r="1506" spans="47:47" ht="12" customHeight="1">
      <c r="AU1506" s="45"/>
    </row>
    <row r="1507" spans="47:47" ht="12" customHeight="1">
      <c r="AU1507" s="45"/>
    </row>
    <row r="1508" spans="47:47" ht="12" customHeight="1">
      <c r="AU1508" s="45"/>
    </row>
    <row r="1509" spans="47:47" ht="12" customHeight="1">
      <c r="AU1509" s="45"/>
    </row>
    <row r="1510" spans="47:47" ht="12" customHeight="1">
      <c r="AU1510" s="45"/>
    </row>
    <row r="1511" spans="47:47" ht="12" customHeight="1">
      <c r="AU1511" s="45"/>
    </row>
    <row r="1512" spans="47:47" ht="12" customHeight="1">
      <c r="AU1512" s="45"/>
    </row>
    <row r="1513" spans="47:47" ht="12" customHeight="1">
      <c r="AU1513" s="45"/>
    </row>
    <row r="1514" spans="47:47" ht="12" customHeight="1">
      <c r="AU1514" s="45"/>
    </row>
    <row r="1515" spans="47:47" ht="12" customHeight="1">
      <c r="AU1515" s="45"/>
    </row>
    <row r="1516" spans="47:47" ht="12" customHeight="1">
      <c r="AU1516" s="45"/>
    </row>
    <row r="1517" spans="47:47" ht="12" customHeight="1">
      <c r="AU1517" s="45"/>
    </row>
    <row r="1518" spans="47:47" ht="12" customHeight="1">
      <c r="AU1518" s="45"/>
    </row>
    <row r="1519" spans="47:47" ht="12" customHeight="1">
      <c r="AU1519" s="45"/>
    </row>
    <row r="1520" spans="47:47" ht="12" customHeight="1">
      <c r="AU1520" s="45"/>
    </row>
    <row r="1521" spans="47:47" ht="12" customHeight="1">
      <c r="AU1521" s="45"/>
    </row>
    <row r="1522" spans="47:47" ht="12" customHeight="1">
      <c r="AU1522" s="45"/>
    </row>
    <row r="1523" spans="47:47" ht="12" customHeight="1">
      <c r="AU1523" s="45"/>
    </row>
    <row r="1524" spans="47:47" ht="12" customHeight="1">
      <c r="AU1524" s="45"/>
    </row>
    <row r="1525" spans="47:47" ht="12" customHeight="1">
      <c r="AU1525" s="45"/>
    </row>
    <row r="1526" spans="47:47" ht="12" customHeight="1">
      <c r="AU1526" s="45"/>
    </row>
    <row r="1527" spans="47:47" ht="12" customHeight="1">
      <c r="AU1527" s="45"/>
    </row>
    <row r="1528" spans="47:47" ht="12" customHeight="1">
      <c r="AU1528" s="45"/>
    </row>
    <row r="1529" spans="47:47" ht="12" customHeight="1">
      <c r="AU1529" s="45"/>
    </row>
    <row r="1530" spans="47:47" ht="12" customHeight="1">
      <c r="AU1530" s="45"/>
    </row>
    <row r="1531" spans="47:47" ht="12" customHeight="1">
      <c r="AU1531" s="45"/>
    </row>
    <row r="1532" spans="47:47" ht="12" customHeight="1">
      <c r="AU1532" s="45"/>
    </row>
    <row r="1533" spans="47:47" ht="12" customHeight="1">
      <c r="AU1533" s="45"/>
    </row>
    <row r="1534" spans="47:47" ht="12" customHeight="1">
      <c r="AU1534" s="45"/>
    </row>
    <row r="1535" spans="47:47" ht="12" customHeight="1">
      <c r="AU1535" s="45"/>
    </row>
    <row r="1536" spans="47:47" ht="12" customHeight="1">
      <c r="AU1536" s="45"/>
    </row>
    <row r="1537" spans="47:47" ht="12" customHeight="1">
      <c r="AU1537" s="45"/>
    </row>
    <row r="1538" spans="47:47" ht="12" customHeight="1">
      <c r="AU1538" s="45"/>
    </row>
    <row r="1539" spans="47:47" ht="12" customHeight="1">
      <c r="AU1539" s="45"/>
    </row>
    <row r="1540" spans="47:47" ht="12" customHeight="1">
      <c r="AU1540" s="45"/>
    </row>
    <row r="1541" spans="47:47" ht="12" customHeight="1">
      <c r="AU1541" s="45"/>
    </row>
    <row r="1542" spans="47:47" ht="12" customHeight="1">
      <c r="AU1542" s="45"/>
    </row>
    <row r="1543" spans="47:47" ht="12" customHeight="1">
      <c r="AU1543" s="45"/>
    </row>
    <row r="1544" spans="47:47" ht="12" customHeight="1">
      <c r="AU1544" s="45"/>
    </row>
    <row r="1545" spans="47:47" ht="12" customHeight="1">
      <c r="AU1545" s="45"/>
    </row>
    <row r="1546" spans="47:47" ht="12" customHeight="1">
      <c r="AU1546" s="45"/>
    </row>
    <row r="1547" spans="47:47" ht="12" customHeight="1">
      <c r="AU1547" s="45"/>
    </row>
    <row r="1548" spans="47:47" ht="12" customHeight="1">
      <c r="AU1548" s="45"/>
    </row>
    <row r="1549" spans="47:47" ht="12" customHeight="1">
      <c r="AU1549" s="45"/>
    </row>
    <row r="1550" spans="47:47" ht="12" customHeight="1">
      <c r="AU1550" s="45"/>
    </row>
    <row r="1551" spans="47:47" ht="12" customHeight="1">
      <c r="AU1551" s="45"/>
    </row>
    <row r="1552" spans="47:47" ht="12" customHeight="1">
      <c r="AU1552" s="45"/>
    </row>
    <row r="1553" spans="47:47" ht="12" customHeight="1">
      <c r="AU1553" s="45"/>
    </row>
    <row r="1554" spans="47:47" ht="12" customHeight="1">
      <c r="AU1554" s="45"/>
    </row>
    <row r="1555" spans="47:47" ht="12" customHeight="1">
      <c r="AU1555" s="45"/>
    </row>
    <row r="1556" spans="47:47" ht="12" customHeight="1">
      <c r="AU1556" s="45"/>
    </row>
    <row r="1557" spans="47:47" ht="12" customHeight="1">
      <c r="AU1557" s="45"/>
    </row>
    <row r="1558" spans="47:47" ht="12" customHeight="1">
      <c r="AU1558" s="45"/>
    </row>
    <row r="1559" spans="47:47" ht="12" customHeight="1">
      <c r="AU1559" s="45"/>
    </row>
    <row r="1560" spans="47:47" ht="12" customHeight="1">
      <c r="AU1560" s="45"/>
    </row>
    <row r="1561" spans="47:47" ht="12" customHeight="1">
      <c r="AU1561" s="45"/>
    </row>
    <row r="1562" spans="47:47" ht="12" customHeight="1">
      <c r="AU1562" s="45"/>
    </row>
    <row r="1563" spans="47:47" ht="12" customHeight="1">
      <c r="AU1563" s="45"/>
    </row>
    <row r="1564" spans="47:47" ht="12" customHeight="1">
      <c r="AU1564" s="45"/>
    </row>
    <row r="1565" spans="47:47" ht="12" customHeight="1">
      <c r="AU1565" s="45"/>
    </row>
    <row r="1566" spans="47:47" ht="12" customHeight="1">
      <c r="AU1566" s="45"/>
    </row>
    <row r="1567" spans="47:47" ht="12" customHeight="1">
      <c r="AU1567" s="45"/>
    </row>
    <row r="1568" spans="47:47" ht="12" customHeight="1">
      <c r="AU1568" s="45"/>
    </row>
    <row r="1569" spans="47:47" ht="12" customHeight="1">
      <c r="AU1569" s="45"/>
    </row>
    <row r="1570" spans="47:47" ht="12" customHeight="1">
      <c r="AU1570" s="45"/>
    </row>
    <row r="1571" spans="47:47" ht="12" customHeight="1">
      <c r="AU1571" s="45"/>
    </row>
    <row r="1572" spans="47:47" ht="12" customHeight="1">
      <c r="AU1572" s="45"/>
    </row>
    <row r="1573" spans="47:47" ht="12" customHeight="1">
      <c r="AU1573" s="45"/>
    </row>
    <row r="1574" spans="47:47" ht="12" customHeight="1">
      <c r="AU1574" s="45"/>
    </row>
    <row r="1575" spans="47:47" ht="12" customHeight="1">
      <c r="AU1575" s="45"/>
    </row>
    <row r="1576" spans="47:47" ht="12" customHeight="1">
      <c r="AU1576" s="45"/>
    </row>
    <row r="1577" spans="47:47" ht="12" customHeight="1">
      <c r="AU1577" s="45"/>
    </row>
    <row r="1578" spans="47:47" ht="12" customHeight="1">
      <c r="AU1578" s="45"/>
    </row>
    <row r="1579" spans="47:47" ht="12" customHeight="1">
      <c r="AU1579" s="45"/>
    </row>
    <row r="1580" spans="47:47" ht="12" customHeight="1">
      <c r="AU1580" s="45"/>
    </row>
    <row r="1581" spans="47:47" ht="12" customHeight="1">
      <c r="AU1581" s="45"/>
    </row>
    <row r="1582" spans="47:47" ht="12" customHeight="1">
      <c r="AU1582" s="45"/>
    </row>
    <row r="1583" spans="47:47" ht="12" customHeight="1">
      <c r="AU1583" s="45"/>
    </row>
    <row r="1584" spans="47:47" ht="12" customHeight="1">
      <c r="AU1584" s="45"/>
    </row>
    <row r="1585" spans="47:47" ht="12" customHeight="1">
      <c r="AU1585" s="45"/>
    </row>
    <row r="1586" spans="47:47" ht="12" customHeight="1">
      <c r="AU1586" s="45"/>
    </row>
    <row r="1587" spans="47:47" ht="12" customHeight="1">
      <c r="AU1587" s="45"/>
    </row>
    <row r="1588" spans="47:47" ht="12" customHeight="1">
      <c r="AU1588" s="45"/>
    </row>
    <row r="1589" spans="47:47" ht="12" customHeight="1">
      <c r="AU1589" s="45"/>
    </row>
    <row r="1590" spans="47:47" ht="12" customHeight="1">
      <c r="AU1590" s="45"/>
    </row>
    <row r="1591" spans="47:47" ht="12" customHeight="1">
      <c r="AU1591" s="45"/>
    </row>
    <row r="1592" spans="47:47" ht="12" customHeight="1">
      <c r="AU1592" s="45"/>
    </row>
    <row r="1593" spans="47:47" ht="12" customHeight="1">
      <c r="AU1593" s="45"/>
    </row>
    <row r="1594" spans="47:47" ht="12" customHeight="1">
      <c r="AU1594" s="45"/>
    </row>
    <row r="1595" spans="47:47" ht="12" customHeight="1">
      <c r="AU1595" s="45"/>
    </row>
    <row r="1596" spans="47:47" ht="12" customHeight="1">
      <c r="AU1596" s="45"/>
    </row>
    <row r="1597" spans="47:47" ht="12" customHeight="1">
      <c r="AU1597" s="45"/>
    </row>
    <row r="1598" spans="47:47" ht="12" customHeight="1">
      <c r="AU1598" s="45"/>
    </row>
    <row r="1599" spans="47:47" ht="12" customHeight="1">
      <c r="AU1599" s="45"/>
    </row>
    <row r="1600" spans="47:47" ht="12" customHeight="1">
      <c r="AU1600" s="45"/>
    </row>
    <row r="1601" spans="47:47" ht="12" customHeight="1">
      <c r="AU1601" s="45"/>
    </row>
    <row r="1602" spans="47:47" ht="12" customHeight="1">
      <c r="AU1602" s="45"/>
    </row>
    <row r="1603" spans="47:47" ht="12" customHeight="1">
      <c r="AU1603" s="45"/>
    </row>
    <row r="1604" spans="47:47" ht="12" customHeight="1">
      <c r="AU1604" s="45"/>
    </row>
    <row r="1605" spans="47:47" ht="12" customHeight="1">
      <c r="AU1605" s="45"/>
    </row>
    <row r="1606" spans="47:47" ht="12" customHeight="1">
      <c r="AU1606" s="45"/>
    </row>
    <row r="1607" spans="47:47" ht="12" customHeight="1">
      <c r="AU1607" s="45"/>
    </row>
    <row r="1608" spans="47:47" ht="12" customHeight="1">
      <c r="AU1608" s="45"/>
    </row>
    <row r="1609" spans="47:47" ht="12" customHeight="1">
      <c r="AU1609" s="45"/>
    </row>
    <row r="1610" spans="47:47" ht="12" customHeight="1">
      <c r="AU1610" s="45"/>
    </row>
    <row r="1611" spans="47:47" ht="12" customHeight="1">
      <c r="AU1611" s="45"/>
    </row>
    <row r="1612" spans="47:47" ht="12" customHeight="1">
      <c r="AU1612" s="45"/>
    </row>
    <row r="1613" spans="47:47" ht="12" customHeight="1">
      <c r="AU1613" s="45"/>
    </row>
    <row r="1614" spans="47:47" ht="12" customHeight="1">
      <c r="AU1614" s="45"/>
    </row>
    <row r="1615" spans="47:47" ht="12" customHeight="1">
      <c r="AU1615" s="45"/>
    </row>
    <row r="1616" spans="47:47" ht="12" customHeight="1">
      <c r="AU1616" s="45"/>
    </row>
    <row r="1617" spans="47:47" ht="12" customHeight="1">
      <c r="AU1617" s="45"/>
    </row>
    <row r="1618" spans="47:47" ht="12" customHeight="1">
      <c r="AU1618" s="45"/>
    </row>
    <row r="1619" spans="47:47" ht="12" customHeight="1">
      <c r="AU1619" s="45"/>
    </row>
    <row r="1620" spans="47:47" ht="12" customHeight="1">
      <c r="AU1620" s="45"/>
    </row>
    <row r="1621" spans="47:47" ht="12" customHeight="1">
      <c r="AU1621" s="45"/>
    </row>
    <row r="1622" spans="47:47" ht="12" customHeight="1">
      <c r="AU1622" s="45"/>
    </row>
    <row r="1623" spans="47:47" ht="12" customHeight="1">
      <c r="AU1623" s="45"/>
    </row>
    <row r="1624" spans="47:47" ht="12" customHeight="1">
      <c r="AU1624" s="45"/>
    </row>
    <row r="1625" spans="47:47" ht="12" customHeight="1">
      <c r="AU1625" s="45"/>
    </row>
    <row r="1626" spans="47:47" ht="12" customHeight="1">
      <c r="AU1626" s="45"/>
    </row>
    <row r="1627" spans="47:47" ht="12" customHeight="1">
      <c r="AU1627" s="45"/>
    </row>
    <row r="1628" spans="47:47" ht="12" customHeight="1">
      <c r="AU1628" s="45"/>
    </row>
    <row r="1629" spans="47:47" ht="12" customHeight="1">
      <c r="AU1629" s="45"/>
    </row>
    <row r="1630" spans="47:47" ht="12" customHeight="1">
      <c r="AU1630" s="45"/>
    </row>
    <row r="1631" spans="47:47" ht="12" customHeight="1">
      <c r="AU1631" s="45"/>
    </row>
    <row r="1632" spans="47:47" ht="12" customHeight="1">
      <c r="AU1632" s="45"/>
    </row>
    <row r="1633" spans="47:47" ht="12" customHeight="1">
      <c r="AU1633" s="45"/>
    </row>
    <row r="1634" spans="47:47" ht="12" customHeight="1">
      <c r="AU1634" s="45"/>
    </row>
    <row r="1635" spans="47:47" ht="12" customHeight="1">
      <c r="AU1635" s="45"/>
    </row>
    <row r="1636" spans="47:47" ht="12" customHeight="1">
      <c r="AU1636" s="45"/>
    </row>
    <row r="1637" spans="47:47" ht="12" customHeight="1">
      <c r="AU1637" s="45"/>
    </row>
    <row r="1638" spans="47:47" ht="12" customHeight="1">
      <c r="AU1638" s="45"/>
    </row>
    <row r="1639" spans="47:47" ht="12" customHeight="1">
      <c r="AU1639" s="45"/>
    </row>
    <row r="1640" spans="47:47" ht="12" customHeight="1">
      <c r="AU1640" s="45"/>
    </row>
    <row r="1641" spans="47:47" ht="12" customHeight="1">
      <c r="AU1641" s="45"/>
    </row>
    <row r="1642" spans="47:47" ht="12" customHeight="1">
      <c r="AU1642" s="45"/>
    </row>
    <row r="1643" spans="47:47" ht="12" customHeight="1">
      <c r="AU1643" s="45"/>
    </row>
    <row r="1644" spans="47:47" ht="12" customHeight="1">
      <c r="AU1644" s="45"/>
    </row>
    <row r="1645" spans="47:47" ht="12" customHeight="1">
      <c r="AU1645" s="45"/>
    </row>
    <row r="1646" spans="47:47" ht="12" customHeight="1">
      <c r="AU1646" s="45"/>
    </row>
    <row r="1647" spans="47:47" ht="12" customHeight="1">
      <c r="AU1647" s="45"/>
    </row>
    <row r="1648" spans="47:47" ht="12" customHeight="1">
      <c r="AU1648" s="45"/>
    </row>
    <row r="1649" spans="47:47" ht="12" customHeight="1">
      <c r="AU1649" s="45"/>
    </row>
    <row r="1650" spans="47:47" ht="12" customHeight="1">
      <c r="AU1650" s="45"/>
    </row>
    <row r="1651" spans="47:47" ht="12" customHeight="1">
      <c r="AU1651" s="45"/>
    </row>
    <row r="1652" spans="47:47" ht="12" customHeight="1">
      <c r="AU1652" s="45"/>
    </row>
    <row r="1653" spans="47:47" ht="12" customHeight="1">
      <c r="AU1653" s="45"/>
    </row>
    <row r="1654" spans="47:47" ht="12" customHeight="1">
      <c r="AU1654" s="45"/>
    </row>
    <row r="1655" spans="47:47" ht="12" customHeight="1">
      <c r="AU1655" s="45"/>
    </row>
    <row r="1656" spans="47:47" ht="12" customHeight="1">
      <c r="AU1656" s="45"/>
    </row>
    <row r="1657" spans="47:47" ht="12" customHeight="1">
      <c r="AU1657" s="45"/>
    </row>
    <row r="1658" spans="47:47" ht="12" customHeight="1">
      <c r="AU1658" s="45"/>
    </row>
    <row r="1659" spans="47:47" ht="12" customHeight="1">
      <c r="AU1659" s="45"/>
    </row>
    <row r="1660" spans="47:47" ht="12" customHeight="1">
      <c r="AU1660" s="45"/>
    </row>
    <row r="1661" spans="47:47" ht="12" customHeight="1">
      <c r="AU1661" s="45"/>
    </row>
    <row r="1662" spans="47:47" ht="12" customHeight="1">
      <c r="AU1662" s="45"/>
    </row>
    <row r="1663" spans="47:47" ht="12" customHeight="1">
      <c r="AU1663" s="45"/>
    </row>
    <row r="1664" spans="47:47" ht="12" customHeight="1">
      <c r="AU1664" s="45"/>
    </row>
    <row r="1665" spans="47:47" ht="12" customHeight="1">
      <c r="AU1665" s="45"/>
    </row>
    <row r="1666" spans="47:47" ht="12" customHeight="1">
      <c r="AU1666" s="45"/>
    </row>
    <row r="1667" spans="47:47" ht="12" customHeight="1">
      <c r="AU1667" s="45"/>
    </row>
    <row r="1668" spans="47:47" ht="12" customHeight="1">
      <c r="AU1668" s="45"/>
    </row>
    <row r="1669" spans="47:47" ht="12" customHeight="1">
      <c r="AU1669" s="45"/>
    </row>
    <row r="1670" spans="47:47" ht="12" customHeight="1">
      <c r="AU1670" s="45"/>
    </row>
    <row r="1671" spans="47:47" ht="12" customHeight="1">
      <c r="AU1671" s="45"/>
    </row>
    <row r="1672" spans="47:47" ht="12" customHeight="1">
      <c r="AU1672" s="45"/>
    </row>
    <row r="1673" spans="47:47" ht="12" customHeight="1">
      <c r="AU1673" s="45"/>
    </row>
    <row r="1674" spans="47:47" ht="12" customHeight="1">
      <c r="AU1674" s="45"/>
    </row>
    <row r="1675" spans="47:47" ht="12" customHeight="1">
      <c r="AU1675" s="45"/>
    </row>
    <row r="1676" spans="47:47" ht="12" customHeight="1">
      <c r="AU1676" s="45"/>
    </row>
    <row r="1677" spans="47:47" ht="12" customHeight="1">
      <c r="AU1677" s="45"/>
    </row>
    <row r="1678" spans="47:47" ht="12" customHeight="1">
      <c r="AU1678" s="45"/>
    </row>
    <row r="1679" spans="47:47" ht="12" customHeight="1">
      <c r="AU1679" s="45"/>
    </row>
    <row r="1680" spans="47:47" ht="12" customHeight="1">
      <c r="AU1680" s="45"/>
    </row>
    <row r="1681" spans="47:47" ht="12" customHeight="1">
      <c r="AU1681" s="45"/>
    </row>
    <row r="1682" spans="47:47" ht="12" customHeight="1">
      <c r="AU1682" s="45"/>
    </row>
    <row r="1683" spans="47:47" ht="12" customHeight="1">
      <c r="AU1683" s="45"/>
    </row>
    <row r="1684" spans="47:47" ht="12" customHeight="1">
      <c r="AU1684" s="45"/>
    </row>
    <row r="1685" spans="47:47" ht="12" customHeight="1">
      <c r="AU1685" s="45"/>
    </row>
    <row r="1686" spans="47:47" ht="12" customHeight="1">
      <c r="AU1686" s="45"/>
    </row>
    <row r="1687" spans="47:47" ht="12" customHeight="1">
      <c r="AU1687" s="45"/>
    </row>
    <row r="1688" spans="47:47" ht="12" customHeight="1">
      <c r="AU1688" s="45"/>
    </row>
    <row r="1689" spans="47:47" ht="12" customHeight="1">
      <c r="AU1689" s="45"/>
    </row>
    <row r="1690" spans="47:47" ht="12" customHeight="1">
      <c r="AU1690" s="45"/>
    </row>
    <row r="1691" spans="47:47" ht="12" customHeight="1">
      <c r="AU1691" s="45"/>
    </row>
    <row r="1692" spans="47:47" ht="12" customHeight="1">
      <c r="AU1692" s="45"/>
    </row>
    <row r="1693" spans="47:47" ht="12" customHeight="1">
      <c r="AU1693" s="45"/>
    </row>
    <row r="1694" spans="47:47" ht="12" customHeight="1">
      <c r="AU1694" s="45"/>
    </row>
    <row r="1695" spans="47:47" ht="12" customHeight="1">
      <c r="AU1695" s="45"/>
    </row>
    <row r="1696" spans="47:47" ht="12" customHeight="1">
      <c r="AU1696" s="45"/>
    </row>
    <row r="1697" spans="47:47" ht="12" customHeight="1">
      <c r="AU1697" s="45"/>
    </row>
    <row r="1698" spans="47:47" ht="12" customHeight="1">
      <c r="AU1698" s="45"/>
    </row>
    <row r="1699" spans="47:47" ht="12" customHeight="1">
      <c r="AU1699" s="45"/>
    </row>
    <row r="1700" spans="47:47" ht="12" customHeight="1">
      <c r="AU1700" s="45"/>
    </row>
    <row r="1701" spans="47:47" ht="12" customHeight="1">
      <c r="AU1701" s="45"/>
    </row>
    <row r="1702" spans="47:47" ht="12" customHeight="1">
      <c r="AU1702" s="45"/>
    </row>
    <row r="1703" spans="47:47" ht="12" customHeight="1">
      <c r="AU1703" s="45"/>
    </row>
    <row r="1704" spans="47:47" ht="12" customHeight="1">
      <c r="AU1704" s="45"/>
    </row>
    <row r="1705" spans="47:47" ht="12" customHeight="1">
      <c r="AU1705" s="45"/>
    </row>
    <row r="1706" spans="47:47" ht="12" customHeight="1">
      <c r="AU1706" s="45"/>
    </row>
    <row r="1707" spans="47:47" ht="12" customHeight="1">
      <c r="AU1707" s="45"/>
    </row>
    <row r="1708" spans="47:47" ht="12" customHeight="1">
      <c r="AU1708" s="45"/>
    </row>
    <row r="1709" spans="47:47" ht="12" customHeight="1">
      <c r="AU1709" s="45"/>
    </row>
    <row r="1710" spans="47:47" ht="12" customHeight="1">
      <c r="AU1710" s="45"/>
    </row>
    <row r="1711" spans="47:47" ht="12" customHeight="1">
      <c r="AU1711" s="45"/>
    </row>
    <row r="1712" spans="47:47" ht="12" customHeight="1">
      <c r="AU1712" s="45"/>
    </row>
    <row r="1713" spans="47:47" ht="12" customHeight="1">
      <c r="AU1713" s="45"/>
    </row>
    <row r="1714" spans="47:47" ht="12" customHeight="1">
      <c r="AU1714" s="45"/>
    </row>
    <row r="1715" spans="47:47" ht="12" customHeight="1">
      <c r="AU1715" s="45"/>
    </row>
    <row r="1716" spans="47:47" ht="12" customHeight="1">
      <c r="AU1716" s="45"/>
    </row>
    <row r="1717" spans="47:47" ht="12" customHeight="1">
      <c r="AU1717" s="45"/>
    </row>
    <row r="1718" spans="47:47" ht="12" customHeight="1">
      <c r="AU1718" s="45"/>
    </row>
    <row r="1719" spans="47:47" ht="12" customHeight="1">
      <c r="AU1719" s="45"/>
    </row>
    <row r="1720" spans="47:47" ht="12" customHeight="1">
      <c r="AU1720" s="45"/>
    </row>
    <row r="1721" spans="47:47" ht="12" customHeight="1">
      <c r="AU1721" s="45"/>
    </row>
    <row r="1722" spans="47:47" ht="12" customHeight="1">
      <c r="AU1722" s="45"/>
    </row>
    <row r="1723" spans="47:47" ht="12" customHeight="1">
      <c r="AU1723" s="45"/>
    </row>
    <row r="1724" spans="47:47" ht="12" customHeight="1">
      <c r="AU1724" s="45"/>
    </row>
    <row r="1725" spans="47:47" ht="12" customHeight="1">
      <c r="AU1725" s="45"/>
    </row>
    <row r="1726" spans="47:47" ht="12" customHeight="1">
      <c r="AU1726" s="45"/>
    </row>
    <row r="1727" spans="47:47" ht="12" customHeight="1">
      <c r="AU1727" s="45"/>
    </row>
    <row r="1728" spans="47:47" ht="12" customHeight="1">
      <c r="AU1728" s="45"/>
    </row>
    <row r="1729" spans="47:47" ht="12" customHeight="1">
      <c r="AU1729" s="45"/>
    </row>
    <row r="1730" spans="47:47" ht="12" customHeight="1">
      <c r="AU1730" s="45"/>
    </row>
    <row r="1731" spans="47:47" ht="12" customHeight="1">
      <c r="AU1731" s="45"/>
    </row>
    <row r="1732" spans="47:47" ht="12" customHeight="1">
      <c r="AU1732" s="45"/>
    </row>
    <row r="1733" spans="47:47" ht="12" customHeight="1">
      <c r="AU1733" s="45"/>
    </row>
    <row r="1734" spans="47:47" ht="12" customHeight="1">
      <c r="AU1734" s="45"/>
    </row>
    <row r="1735" spans="47:47" ht="12" customHeight="1">
      <c r="AU1735" s="45"/>
    </row>
    <row r="1736" spans="47:47" ht="12" customHeight="1">
      <c r="AU1736" s="45"/>
    </row>
    <row r="1737" spans="47:47" ht="12" customHeight="1">
      <c r="AU1737" s="45"/>
    </row>
    <row r="1738" spans="47:47" ht="12" customHeight="1">
      <c r="AU1738" s="45"/>
    </row>
    <row r="1739" spans="47:47" ht="12" customHeight="1">
      <c r="AU1739" s="45"/>
    </row>
    <row r="1740" spans="47:47" ht="12" customHeight="1">
      <c r="AU1740" s="45"/>
    </row>
    <row r="1741" spans="47:47" ht="12" customHeight="1">
      <c r="AU1741" s="45"/>
    </row>
    <row r="1742" spans="47:47" ht="12" customHeight="1">
      <c r="AU1742" s="45"/>
    </row>
    <row r="1743" spans="47:47" ht="12" customHeight="1">
      <c r="AU1743" s="45"/>
    </row>
    <row r="1744" spans="47:47" ht="12" customHeight="1">
      <c r="AU1744" s="45"/>
    </row>
    <row r="1745" spans="47:47" ht="12" customHeight="1">
      <c r="AU1745" s="45"/>
    </row>
    <row r="1746" spans="47:47" ht="12" customHeight="1">
      <c r="AU1746" s="45"/>
    </row>
    <row r="1747" spans="47:47" ht="12" customHeight="1">
      <c r="AU1747" s="45"/>
    </row>
    <row r="1748" spans="47:47" ht="12" customHeight="1">
      <c r="AU1748" s="45"/>
    </row>
    <row r="1749" spans="47:47" ht="12" customHeight="1">
      <c r="AU1749" s="45"/>
    </row>
    <row r="1750" spans="47:47" ht="12" customHeight="1">
      <c r="AU1750" s="45"/>
    </row>
    <row r="1751" spans="47:47" ht="12" customHeight="1">
      <c r="AU1751" s="45"/>
    </row>
    <row r="1752" spans="47:47" ht="12" customHeight="1">
      <c r="AU1752" s="45"/>
    </row>
    <row r="1753" spans="47:47" ht="12" customHeight="1">
      <c r="AU1753" s="45"/>
    </row>
    <row r="1754" spans="47:47" ht="12" customHeight="1">
      <c r="AU1754" s="45"/>
    </row>
    <row r="1755" spans="47:47" ht="12" customHeight="1">
      <c r="AU1755" s="45"/>
    </row>
    <row r="1756" spans="47:47" ht="12" customHeight="1">
      <c r="AU1756" s="45"/>
    </row>
    <row r="1757" spans="47:47" ht="12" customHeight="1">
      <c r="AU1757" s="45"/>
    </row>
    <row r="1758" spans="47:47" ht="12" customHeight="1">
      <c r="AU1758" s="45"/>
    </row>
    <row r="1759" spans="47:47" ht="12" customHeight="1">
      <c r="AU1759" s="45"/>
    </row>
    <row r="1760" spans="47:47" ht="12" customHeight="1">
      <c r="AU1760" s="45"/>
    </row>
    <row r="1761" spans="47:47" ht="12" customHeight="1">
      <c r="AU1761" s="45"/>
    </row>
    <row r="1762" spans="47:47" ht="12" customHeight="1">
      <c r="AU1762" s="45"/>
    </row>
    <row r="1763" spans="47:47" ht="12" customHeight="1">
      <c r="AU1763" s="45"/>
    </row>
    <row r="1764" spans="47:47" ht="12" customHeight="1">
      <c r="AU1764" s="45"/>
    </row>
    <row r="1765" spans="47:47" ht="12" customHeight="1">
      <c r="AU1765" s="45"/>
    </row>
    <row r="1766" spans="47:47" ht="12" customHeight="1">
      <c r="AU1766" s="45"/>
    </row>
    <row r="1767" spans="47:47" ht="12" customHeight="1">
      <c r="AU1767" s="45"/>
    </row>
    <row r="1768" spans="47:47" ht="12" customHeight="1">
      <c r="AU1768" s="45"/>
    </row>
    <row r="1769" spans="47:47" ht="12" customHeight="1">
      <c r="AU1769" s="45"/>
    </row>
    <row r="1770" spans="47:47" ht="12" customHeight="1">
      <c r="AU1770" s="45"/>
    </row>
    <row r="1771" spans="47:47" ht="12" customHeight="1">
      <c r="AU1771" s="45"/>
    </row>
    <row r="1772" spans="47:47" ht="12" customHeight="1">
      <c r="AU1772" s="45"/>
    </row>
    <row r="1773" spans="47:47" ht="12" customHeight="1">
      <c r="AU1773" s="45"/>
    </row>
    <row r="1774" spans="47:47" ht="12" customHeight="1">
      <c r="AU1774" s="45"/>
    </row>
    <row r="1775" spans="47:47" ht="12" customHeight="1">
      <c r="AU1775" s="45"/>
    </row>
    <row r="1776" spans="47:47" ht="12" customHeight="1">
      <c r="AU1776" s="45"/>
    </row>
    <row r="1777" spans="47:47" ht="12" customHeight="1">
      <c r="AU1777" s="45"/>
    </row>
    <row r="1778" spans="47:47" ht="12" customHeight="1">
      <c r="AU1778" s="45"/>
    </row>
    <row r="1779" spans="47:47" ht="12" customHeight="1">
      <c r="AU1779" s="45"/>
    </row>
    <row r="1780" spans="47:47" ht="12" customHeight="1">
      <c r="AU1780" s="45"/>
    </row>
    <row r="1781" spans="47:47" ht="12" customHeight="1">
      <c r="AU1781" s="45"/>
    </row>
    <row r="1782" spans="47:47" ht="12" customHeight="1">
      <c r="AU1782" s="45"/>
    </row>
    <row r="1783" spans="47:47" ht="12" customHeight="1">
      <c r="AU1783" s="45"/>
    </row>
    <row r="1784" spans="47:47" ht="12" customHeight="1">
      <c r="AU1784" s="45"/>
    </row>
    <row r="1785" spans="47:47" ht="12" customHeight="1">
      <c r="AU1785" s="45"/>
    </row>
    <row r="1786" spans="47:47" ht="12" customHeight="1">
      <c r="AU1786" s="45"/>
    </row>
    <row r="1787" spans="47:47" ht="12" customHeight="1">
      <c r="AU1787" s="45"/>
    </row>
    <row r="1788" spans="47:47" ht="12" customHeight="1">
      <c r="AU1788" s="45"/>
    </row>
    <row r="1789" spans="47:47" ht="12" customHeight="1">
      <c r="AU1789" s="45"/>
    </row>
    <row r="1790" spans="47:47" ht="12" customHeight="1">
      <c r="AU1790" s="45"/>
    </row>
    <row r="1791" spans="47:47" ht="12" customHeight="1">
      <c r="AU1791" s="45"/>
    </row>
    <row r="1792" spans="47:47" ht="12" customHeight="1">
      <c r="AU1792" s="45"/>
    </row>
    <row r="1793" spans="47:47" ht="12" customHeight="1">
      <c r="AU1793" s="45"/>
    </row>
    <row r="1794" spans="47:47" ht="12" customHeight="1">
      <c r="AU1794" s="45"/>
    </row>
    <row r="1795" spans="47:47" ht="12" customHeight="1">
      <c r="AU1795" s="45"/>
    </row>
    <row r="1796" spans="47:47" ht="12" customHeight="1">
      <c r="AU1796" s="45"/>
    </row>
    <row r="1797" spans="47:47" ht="12" customHeight="1">
      <c r="AU1797" s="45"/>
    </row>
    <row r="1798" spans="47:47" ht="12" customHeight="1">
      <c r="AU1798" s="45"/>
    </row>
    <row r="1799" spans="47:47" ht="12" customHeight="1">
      <c r="AU1799" s="45"/>
    </row>
    <row r="1800" spans="47:47" ht="12" customHeight="1">
      <c r="AU1800" s="45"/>
    </row>
    <row r="1801" spans="47:47" ht="12" customHeight="1">
      <c r="AU1801" s="45"/>
    </row>
    <row r="1802" spans="47:47" ht="12" customHeight="1">
      <c r="AU1802" s="45"/>
    </row>
    <row r="1803" spans="47:47" ht="12" customHeight="1">
      <c r="AU1803" s="45"/>
    </row>
    <row r="1804" spans="47:47" ht="12" customHeight="1">
      <c r="AU1804" s="45"/>
    </row>
    <row r="1805" spans="47:47" ht="12" customHeight="1">
      <c r="AU1805" s="45"/>
    </row>
    <row r="1806" spans="47:47" ht="12" customHeight="1">
      <c r="AU1806" s="45"/>
    </row>
    <row r="1807" spans="47:47" ht="12" customHeight="1">
      <c r="AU1807" s="45"/>
    </row>
    <row r="1808" spans="47:47" ht="12" customHeight="1">
      <c r="AU1808" s="45"/>
    </row>
    <row r="1809" spans="47:47" ht="12" customHeight="1">
      <c r="AU1809" s="45"/>
    </row>
    <row r="1810" spans="47:47" ht="12" customHeight="1">
      <c r="AU1810" s="45"/>
    </row>
    <row r="1811" spans="47:47" ht="12" customHeight="1">
      <c r="AU1811" s="45"/>
    </row>
    <row r="1812" spans="47:47" ht="12" customHeight="1">
      <c r="AU1812" s="45"/>
    </row>
    <row r="1813" spans="47:47" ht="12" customHeight="1">
      <c r="AU1813" s="45"/>
    </row>
    <row r="1814" spans="47:47" ht="12" customHeight="1">
      <c r="AU1814" s="45"/>
    </row>
    <row r="1815" spans="47:47" ht="12" customHeight="1">
      <c r="AU1815" s="45"/>
    </row>
    <row r="1816" spans="47:47" ht="12" customHeight="1">
      <c r="AU1816" s="45"/>
    </row>
    <row r="1817" spans="47:47" ht="12" customHeight="1">
      <c r="AU1817" s="45"/>
    </row>
    <row r="1818" spans="47:47" ht="12" customHeight="1">
      <c r="AU1818" s="45"/>
    </row>
    <row r="1819" spans="47:47" ht="12" customHeight="1">
      <c r="AU1819" s="45"/>
    </row>
    <row r="1820" spans="47:47" ht="12" customHeight="1">
      <c r="AU1820" s="45"/>
    </row>
    <row r="1821" spans="47:47" ht="12" customHeight="1">
      <c r="AU1821" s="45"/>
    </row>
    <row r="1822" spans="47:47" ht="12" customHeight="1">
      <c r="AU1822" s="45"/>
    </row>
    <row r="1823" spans="47:47" ht="12" customHeight="1">
      <c r="AU1823" s="45"/>
    </row>
    <row r="1824" spans="47:47" ht="12" customHeight="1">
      <c r="AU1824" s="45"/>
    </row>
    <row r="1825" spans="47:47" ht="12" customHeight="1">
      <c r="AU1825" s="45"/>
    </row>
    <row r="1826" spans="47:47" ht="12" customHeight="1">
      <c r="AU1826" s="45"/>
    </row>
    <row r="1827" spans="47:47" ht="12" customHeight="1">
      <c r="AU1827" s="45"/>
    </row>
    <row r="1828" spans="47:47" ht="12" customHeight="1">
      <c r="AU1828" s="45"/>
    </row>
    <row r="1829" spans="47:47" ht="12" customHeight="1">
      <c r="AU1829" s="45"/>
    </row>
    <row r="1830" spans="47:47" ht="12" customHeight="1">
      <c r="AU1830" s="45"/>
    </row>
    <row r="1831" spans="47:47" ht="12" customHeight="1">
      <c r="AU1831" s="45"/>
    </row>
    <row r="1832" spans="47:47" ht="12" customHeight="1">
      <c r="AU1832" s="45"/>
    </row>
    <row r="1833" spans="47:47" ht="12" customHeight="1">
      <c r="AU1833" s="45"/>
    </row>
    <row r="1834" spans="47:47" ht="12" customHeight="1">
      <c r="AU1834" s="45"/>
    </row>
    <row r="1835" spans="47:47" ht="12" customHeight="1">
      <c r="AU1835" s="45"/>
    </row>
    <row r="1836" spans="47:47" ht="12" customHeight="1">
      <c r="AU1836" s="45"/>
    </row>
    <row r="1837" spans="47:47" ht="12" customHeight="1">
      <c r="AU1837" s="45"/>
    </row>
    <row r="1838" spans="47:47" ht="12" customHeight="1">
      <c r="AU1838" s="45"/>
    </row>
    <row r="1839" spans="47:47" ht="12" customHeight="1">
      <c r="AU1839" s="45"/>
    </row>
    <row r="1840" spans="47:47" ht="12" customHeight="1">
      <c r="AU1840" s="45"/>
    </row>
    <row r="1841" spans="47:47" ht="12" customHeight="1">
      <c r="AU1841" s="45"/>
    </row>
    <row r="1842" spans="47:47" ht="12" customHeight="1">
      <c r="AU1842" s="45"/>
    </row>
    <row r="1843" spans="47:47" ht="12" customHeight="1">
      <c r="AU1843" s="45"/>
    </row>
    <row r="1844" spans="47:47" ht="12" customHeight="1">
      <c r="AU1844" s="45"/>
    </row>
    <row r="1845" spans="47:47" ht="12" customHeight="1">
      <c r="AU1845" s="45"/>
    </row>
    <row r="1846" spans="47:47" ht="12" customHeight="1">
      <c r="AU1846" s="45"/>
    </row>
    <row r="1847" spans="47:47" ht="12" customHeight="1">
      <c r="AU1847" s="45"/>
    </row>
    <row r="1848" spans="47:47" ht="12" customHeight="1">
      <c r="AU1848" s="45"/>
    </row>
    <row r="1849" spans="47:47" ht="12" customHeight="1">
      <c r="AU1849" s="45"/>
    </row>
    <row r="1850" spans="47:47" ht="12" customHeight="1">
      <c r="AU1850" s="45"/>
    </row>
    <row r="1851" spans="47:47" ht="12" customHeight="1">
      <c r="AU1851" s="45"/>
    </row>
    <row r="1852" spans="47:47" ht="12" customHeight="1">
      <c r="AU1852" s="45"/>
    </row>
    <row r="1853" spans="47:47" ht="12" customHeight="1">
      <c r="AU1853" s="45"/>
    </row>
    <row r="1854" spans="47:47" ht="12" customHeight="1">
      <c r="AU1854" s="45"/>
    </row>
    <row r="1855" spans="47:47" ht="12" customHeight="1">
      <c r="AU1855" s="45"/>
    </row>
    <row r="1856" spans="47:47" ht="12" customHeight="1">
      <c r="AU1856" s="45"/>
    </row>
    <row r="1857" spans="47:47" ht="12" customHeight="1">
      <c r="AU1857" s="45"/>
    </row>
    <row r="1858" spans="47:47" ht="12" customHeight="1">
      <c r="AU1858" s="45"/>
    </row>
    <row r="1859" spans="47:47" ht="12" customHeight="1">
      <c r="AU1859" s="45"/>
    </row>
    <row r="1860" spans="47:47" ht="12" customHeight="1">
      <c r="AU1860" s="45"/>
    </row>
    <row r="1861" spans="47:47" ht="12" customHeight="1">
      <c r="AU1861" s="45"/>
    </row>
    <row r="1862" spans="47:47" ht="12" customHeight="1">
      <c r="AU1862" s="45"/>
    </row>
    <row r="1863" spans="47:47" ht="12" customHeight="1">
      <c r="AU1863" s="45"/>
    </row>
    <row r="1864" spans="47:47" ht="12" customHeight="1">
      <c r="AU1864" s="45"/>
    </row>
    <row r="1865" spans="47:47" ht="12" customHeight="1">
      <c r="AU1865" s="45"/>
    </row>
    <row r="1866" spans="47:47" ht="12" customHeight="1">
      <c r="AU1866" s="45"/>
    </row>
    <row r="1867" spans="47:47" ht="12" customHeight="1">
      <c r="AU1867" s="45"/>
    </row>
    <row r="1868" spans="47:47" ht="12" customHeight="1">
      <c r="AU1868" s="45"/>
    </row>
    <row r="1869" spans="47:47" ht="12" customHeight="1">
      <c r="AU1869" s="45"/>
    </row>
    <row r="1870" spans="47:47" ht="12" customHeight="1">
      <c r="AU1870" s="45"/>
    </row>
    <row r="1871" spans="47:47" ht="12" customHeight="1">
      <c r="AU1871" s="45"/>
    </row>
    <row r="1872" spans="47:47" ht="12" customHeight="1">
      <c r="AU1872" s="45"/>
    </row>
    <row r="1873" spans="47:47" ht="12" customHeight="1">
      <c r="AU1873" s="45"/>
    </row>
    <row r="1874" spans="47:47" ht="12" customHeight="1">
      <c r="AU1874" s="45"/>
    </row>
    <row r="1875" spans="47:47" ht="12" customHeight="1">
      <c r="AU1875" s="45"/>
    </row>
    <row r="1876" spans="47:47" ht="12" customHeight="1">
      <c r="AU1876" s="45"/>
    </row>
    <row r="1877" spans="47:47" ht="12" customHeight="1">
      <c r="AU1877" s="45"/>
    </row>
    <row r="1878" spans="47:47" ht="12" customHeight="1">
      <c r="AU1878" s="45"/>
    </row>
    <row r="1879" spans="47:47" ht="12" customHeight="1">
      <c r="AU1879" s="45"/>
    </row>
    <row r="1880" spans="47:47" ht="12" customHeight="1">
      <c r="AU1880" s="45"/>
    </row>
    <row r="1881" spans="47:47" ht="12" customHeight="1">
      <c r="AU1881" s="45"/>
    </row>
    <row r="1882" spans="47:47" ht="12" customHeight="1">
      <c r="AU1882" s="45"/>
    </row>
    <row r="1883" spans="47:47" ht="12" customHeight="1">
      <c r="AU1883" s="45"/>
    </row>
    <row r="1884" spans="47:47" ht="12" customHeight="1">
      <c r="AU1884" s="45"/>
    </row>
    <row r="1885" spans="47:47" ht="12" customHeight="1">
      <c r="AU1885" s="45"/>
    </row>
    <row r="1886" spans="47:47" ht="12" customHeight="1">
      <c r="AU1886" s="45"/>
    </row>
    <row r="1887" spans="47:47" ht="12" customHeight="1">
      <c r="AU1887" s="45"/>
    </row>
    <row r="1888" spans="47:47" ht="12" customHeight="1">
      <c r="AU1888" s="45"/>
    </row>
    <row r="1889" spans="47:47" ht="12" customHeight="1">
      <c r="AU1889" s="45"/>
    </row>
    <row r="1890" spans="47:47" ht="12" customHeight="1">
      <c r="AU1890" s="45"/>
    </row>
    <row r="1891" spans="47:47" ht="12" customHeight="1">
      <c r="AU1891" s="45"/>
    </row>
    <row r="1892" spans="47:47" ht="12" customHeight="1">
      <c r="AU1892" s="45"/>
    </row>
    <row r="1893" spans="47:47" ht="12" customHeight="1">
      <c r="AU1893" s="45"/>
    </row>
    <row r="1894" spans="47:47" ht="12" customHeight="1">
      <c r="AU1894" s="45"/>
    </row>
    <row r="1895" spans="47:47" ht="12" customHeight="1">
      <c r="AU1895" s="45"/>
    </row>
    <row r="1896" spans="47:47" ht="12" customHeight="1">
      <c r="AU1896" s="45"/>
    </row>
    <row r="1897" spans="47:47" ht="12" customHeight="1">
      <c r="AU1897" s="45"/>
    </row>
    <row r="1898" spans="47:47" ht="12" customHeight="1">
      <c r="AU1898" s="45"/>
    </row>
    <row r="1899" spans="47:47" ht="12" customHeight="1">
      <c r="AU1899" s="45"/>
    </row>
    <row r="1900" spans="47:47" ht="12" customHeight="1">
      <c r="AU1900" s="45"/>
    </row>
    <row r="1901" spans="47:47" ht="12" customHeight="1">
      <c r="AU1901" s="45"/>
    </row>
    <row r="1902" spans="47:47" ht="12" customHeight="1">
      <c r="AU1902" s="45"/>
    </row>
    <row r="1903" spans="47:47" ht="12" customHeight="1">
      <c r="AU1903" s="45"/>
    </row>
    <row r="1904" spans="47:47" ht="12" customHeight="1">
      <c r="AU1904" s="45"/>
    </row>
    <row r="1905" spans="47:47" ht="12" customHeight="1">
      <c r="AU1905" s="45"/>
    </row>
    <row r="1906" spans="47:47" ht="12" customHeight="1">
      <c r="AU1906" s="45"/>
    </row>
    <row r="1907" spans="47:47" ht="12" customHeight="1">
      <c r="AU1907" s="45"/>
    </row>
    <row r="1908" spans="47:47" ht="12" customHeight="1">
      <c r="AU1908" s="45"/>
    </row>
    <row r="1909" spans="47:47" ht="12" customHeight="1">
      <c r="AU1909" s="45"/>
    </row>
    <row r="1910" spans="47:47" ht="12" customHeight="1">
      <c r="AU1910" s="45"/>
    </row>
    <row r="1911" spans="47:47" ht="12" customHeight="1">
      <c r="AU1911" s="45"/>
    </row>
    <row r="1912" spans="47:47" ht="12" customHeight="1">
      <c r="AU1912" s="45"/>
    </row>
    <row r="1913" spans="47:47" ht="12" customHeight="1">
      <c r="AU1913" s="45"/>
    </row>
    <row r="1914" spans="47:47" ht="12" customHeight="1">
      <c r="AU1914" s="45"/>
    </row>
    <row r="1915" spans="47:47" ht="12" customHeight="1">
      <c r="AU1915" s="45"/>
    </row>
    <row r="1916" spans="47:47" ht="12" customHeight="1">
      <c r="AU1916" s="45"/>
    </row>
    <row r="1917" spans="47:47" ht="12" customHeight="1">
      <c r="AU1917" s="45"/>
    </row>
    <row r="1918" spans="47:47" ht="12" customHeight="1">
      <c r="AU1918" s="45"/>
    </row>
    <row r="1919" spans="47:47" ht="12" customHeight="1">
      <c r="AU1919" s="45"/>
    </row>
    <row r="1920" spans="47:47" ht="12" customHeight="1">
      <c r="AU1920" s="45"/>
    </row>
    <row r="1921" spans="47:47" ht="12" customHeight="1">
      <c r="AU1921" s="45"/>
    </row>
    <row r="1922" spans="47:47" ht="12" customHeight="1">
      <c r="AU1922" s="45"/>
    </row>
    <row r="1923" spans="47:47" ht="12" customHeight="1">
      <c r="AU1923" s="45"/>
    </row>
    <row r="1924" spans="47:47" ht="12" customHeight="1">
      <c r="AU1924" s="45"/>
    </row>
    <row r="1925" spans="47:47" ht="12" customHeight="1">
      <c r="AU1925" s="45"/>
    </row>
    <row r="1926" spans="47:47" ht="12" customHeight="1">
      <c r="AU1926" s="45"/>
    </row>
    <row r="1927" spans="47:47" ht="12" customHeight="1">
      <c r="AU1927" s="45"/>
    </row>
    <row r="1928" spans="47:47" ht="12" customHeight="1">
      <c r="AU1928" s="45"/>
    </row>
    <row r="1929" spans="47:47" ht="12" customHeight="1">
      <c r="AU1929" s="45"/>
    </row>
    <row r="1930" spans="47:47" ht="12" customHeight="1">
      <c r="AU1930" s="45"/>
    </row>
    <row r="1931" spans="47:47" ht="12" customHeight="1">
      <c r="AU1931" s="45"/>
    </row>
    <row r="1932" spans="47:47" ht="12" customHeight="1">
      <c r="AU1932" s="45"/>
    </row>
    <row r="1933" spans="47:47" ht="12" customHeight="1">
      <c r="AU1933" s="45"/>
    </row>
    <row r="1934" spans="47:47" ht="12" customHeight="1">
      <c r="AU1934" s="45"/>
    </row>
    <row r="1935" spans="47:47" ht="12" customHeight="1">
      <c r="AU1935" s="45"/>
    </row>
    <row r="1936" spans="47:47" ht="12" customHeight="1">
      <c r="AU1936" s="45"/>
    </row>
    <row r="1937" spans="47:47" ht="12" customHeight="1">
      <c r="AU1937" s="45"/>
    </row>
    <row r="1938" spans="47:47" ht="12" customHeight="1">
      <c r="AU1938" s="45"/>
    </row>
    <row r="1939" spans="47:47" ht="12" customHeight="1">
      <c r="AU1939" s="45"/>
    </row>
    <row r="1940" spans="47:47" ht="12" customHeight="1">
      <c r="AU1940" s="45"/>
    </row>
    <row r="1941" spans="47:47" ht="12" customHeight="1">
      <c r="AU1941" s="45"/>
    </row>
    <row r="1942" spans="47:47" ht="12" customHeight="1">
      <c r="AU1942" s="45"/>
    </row>
    <row r="1943" spans="47:47" ht="12" customHeight="1">
      <c r="AU1943" s="45"/>
    </row>
    <row r="1944" spans="47:47" ht="12" customHeight="1">
      <c r="AU1944" s="45"/>
    </row>
    <row r="1945" spans="47:47" ht="12" customHeight="1">
      <c r="AU1945" s="45"/>
    </row>
    <row r="1946" spans="47:47" ht="12" customHeight="1">
      <c r="AU1946" s="45"/>
    </row>
    <row r="1947" spans="47:47" ht="12" customHeight="1">
      <c r="AU1947" s="45"/>
    </row>
    <row r="1948" spans="47:47" ht="12" customHeight="1">
      <c r="AU1948" s="45"/>
    </row>
    <row r="1949" spans="47:47" ht="12" customHeight="1">
      <c r="AU1949" s="45"/>
    </row>
    <row r="1950" spans="47:47" ht="12" customHeight="1">
      <c r="AU1950" s="45"/>
    </row>
    <row r="1951" spans="47:47" ht="12" customHeight="1">
      <c r="AU1951" s="45"/>
    </row>
    <row r="1952" spans="47:47" ht="12" customHeight="1">
      <c r="AU1952" s="45"/>
    </row>
    <row r="1953" spans="47:47" ht="12" customHeight="1">
      <c r="AU1953" s="45"/>
    </row>
    <row r="1954" spans="47:47" ht="12" customHeight="1">
      <c r="AU1954" s="45"/>
    </row>
    <row r="1955" spans="47:47" ht="12" customHeight="1">
      <c r="AU1955" s="45"/>
    </row>
    <row r="1956" spans="47:47" ht="12" customHeight="1">
      <c r="AU1956" s="45"/>
    </row>
    <row r="1957" spans="47:47" ht="12" customHeight="1">
      <c r="AU1957" s="45"/>
    </row>
    <row r="1958" spans="47:47" ht="12" customHeight="1">
      <c r="AU1958" s="45"/>
    </row>
    <row r="1959" spans="47:47" ht="12" customHeight="1">
      <c r="AU1959" s="45"/>
    </row>
    <row r="1960" spans="47:47" ht="12" customHeight="1">
      <c r="AU1960" s="45"/>
    </row>
    <row r="1961" spans="47:47" ht="12" customHeight="1">
      <c r="AU1961" s="45"/>
    </row>
    <row r="1962" spans="47:47" ht="12" customHeight="1">
      <c r="AU1962" s="45"/>
    </row>
    <row r="1963" spans="47:47" ht="12" customHeight="1">
      <c r="AU1963" s="45"/>
    </row>
    <row r="1964" spans="47:47" ht="12" customHeight="1">
      <c r="AU1964" s="45"/>
    </row>
    <row r="1965" spans="47:47" ht="12" customHeight="1">
      <c r="AU1965" s="45"/>
    </row>
    <row r="1966" spans="47:47" ht="12" customHeight="1">
      <c r="AU1966" s="45"/>
    </row>
    <row r="1967" spans="47:47" ht="12" customHeight="1">
      <c r="AU1967" s="45"/>
    </row>
    <row r="1968" spans="47:47" ht="12" customHeight="1">
      <c r="AU1968" s="45"/>
    </row>
    <row r="1969" spans="47:47" ht="12" customHeight="1">
      <c r="AU1969" s="45"/>
    </row>
    <row r="1970" spans="47:47" ht="12" customHeight="1">
      <c r="AU1970" s="45"/>
    </row>
    <row r="1971" spans="47:47" ht="12" customHeight="1">
      <c r="AU1971" s="45"/>
    </row>
    <row r="1972" spans="47:47" ht="12" customHeight="1">
      <c r="AU1972" s="45"/>
    </row>
    <row r="1973" spans="47:47" ht="12" customHeight="1">
      <c r="AU1973" s="45"/>
    </row>
    <row r="1974" spans="47:47" ht="12" customHeight="1">
      <c r="AU1974" s="45"/>
    </row>
    <row r="1975" spans="47:47" ht="12" customHeight="1">
      <c r="AU1975" s="45"/>
    </row>
    <row r="1976" spans="47:47" ht="12" customHeight="1">
      <c r="AU1976" s="45"/>
    </row>
    <row r="1977" spans="47:47" ht="12" customHeight="1">
      <c r="AU1977" s="45"/>
    </row>
    <row r="1978" spans="47:47" ht="12" customHeight="1">
      <c r="AU1978" s="45"/>
    </row>
    <row r="1979" spans="47:47" ht="12" customHeight="1">
      <c r="AU1979" s="45"/>
    </row>
    <row r="1980" spans="47:47" ht="12" customHeight="1">
      <c r="AU1980" s="45"/>
    </row>
    <row r="1981" spans="47:47" ht="12" customHeight="1">
      <c r="AU1981" s="45"/>
    </row>
    <row r="1982" spans="47:47" ht="12" customHeight="1">
      <c r="AU1982" s="45"/>
    </row>
    <row r="1983" spans="47:47" ht="12" customHeight="1">
      <c r="AU1983" s="45"/>
    </row>
    <row r="1984" spans="47:47" ht="12" customHeight="1">
      <c r="AU1984" s="45"/>
    </row>
    <row r="1985" spans="47:47" ht="12" customHeight="1">
      <c r="AU1985" s="45"/>
    </row>
    <row r="1986" spans="47:47" ht="12" customHeight="1">
      <c r="AU1986" s="45"/>
    </row>
    <row r="1987" spans="47:47" ht="12" customHeight="1">
      <c r="AU1987" s="45"/>
    </row>
    <row r="1988" spans="47:47" ht="12" customHeight="1">
      <c r="AU1988" s="45"/>
    </row>
    <row r="1989" spans="47:47" ht="12" customHeight="1">
      <c r="AU1989" s="45"/>
    </row>
    <row r="1990" spans="47:47" ht="12" customHeight="1">
      <c r="AU1990" s="45"/>
    </row>
    <row r="1991" spans="47:47" ht="12" customHeight="1">
      <c r="AU1991" s="45"/>
    </row>
    <row r="1992" spans="47:47" ht="12" customHeight="1">
      <c r="AU1992" s="45"/>
    </row>
    <row r="1993" spans="47:47" ht="12" customHeight="1">
      <c r="AU1993" s="45"/>
    </row>
    <row r="1994" spans="47:47" ht="12" customHeight="1">
      <c r="AU1994" s="45"/>
    </row>
    <row r="1995" spans="47:47" ht="12" customHeight="1">
      <c r="AU1995" s="45"/>
    </row>
    <row r="1996" spans="47:47" ht="12" customHeight="1">
      <c r="AU1996" s="45"/>
    </row>
    <row r="1997" spans="47:47" ht="12" customHeight="1">
      <c r="AU1997" s="45"/>
    </row>
    <row r="1998" spans="47:47" ht="12" customHeight="1">
      <c r="AU1998" s="45"/>
    </row>
    <row r="1999" spans="47:47" ht="12" customHeight="1">
      <c r="AU1999" s="45"/>
    </row>
    <row r="2000" spans="47:47" ht="12" customHeight="1">
      <c r="AU2000" s="45"/>
    </row>
    <row r="2001" spans="47:47" ht="12" customHeight="1">
      <c r="AU2001" s="45"/>
    </row>
    <row r="2002" spans="47:47" ht="12" customHeight="1">
      <c r="AU2002" s="45"/>
    </row>
    <row r="2003" spans="47:47" ht="12" customHeight="1">
      <c r="AU2003" s="45"/>
    </row>
    <row r="2004" spans="47:47" ht="12" customHeight="1">
      <c r="AU2004" s="45"/>
    </row>
    <row r="2005" spans="47:47" ht="12" customHeight="1">
      <c r="AU2005" s="45"/>
    </row>
    <row r="2006" spans="47:47" ht="12" customHeight="1">
      <c r="AU2006" s="45"/>
    </row>
    <row r="2007" spans="47:47" ht="12" customHeight="1">
      <c r="AU2007" s="45"/>
    </row>
    <row r="2008" spans="47:47" ht="12" customHeight="1">
      <c r="AU2008" s="45"/>
    </row>
    <row r="2009" spans="47:47" ht="12" customHeight="1">
      <c r="AU2009" s="45"/>
    </row>
    <row r="2010" spans="47:47" ht="12" customHeight="1">
      <c r="AU2010" s="45"/>
    </row>
    <row r="2011" spans="47:47" ht="12" customHeight="1">
      <c r="AU2011" s="45"/>
    </row>
    <row r="2012" spans="47:47" ht="12" customHeight="1">
      <c r="AU2012" s="45"/>
    </row>
    <row r="2013" spans="47:47" ht="12" customHeight="1">
      <c r="AU2013" s="45"/>
    </row>
    <row r="2014" spans="47:47" ht="12" customHeight="1">
      <c r="AU2014" s="45"/>
    </row>
    <row r="2015" spans="47:47" ht="12" customHeight="1">
      <c r="AU2015" s="45"/>
    </row>
    <row r="2016" spans="47:47" ht="12" customHeight="1">
      <c r="AU2016" s="45"/>
    </row>
    <row r="2017" spans="47:47" ht="12" customHeight="1">
      <c r="AU2017" s="45"/>
    </row>
    <row r="2018" spans="47:47" ht="12" customHeight="1">
      <c r="AU2018" s="45"/>
    </row>
    <row r="2019" spans="47:47" ht="12" customHeight="1">
      <c r="AU2019" s="45"/>
    </row>
    <row r="2020" spans="47:47" ht="12" customHeight="1">
      <c r="AU2020" s="45"/>
    </row>
    <row r="2021" spans="47:47" ht="12" customHeight="1">
      <c r="AU2021" s="45"/>
    </row>
    <row r="2022" spans="47:47" ht="12" customHeight="1">
      <c r="AU2022" s="45"/>
    </row>
    <row r="2023" spans="47:47" ht="12" customHeight="1">
      <c r="AU2023" s="45"/>
    </row>
    <row r="2024" spans="47:47" ht="12" customHeight="1">
      <c r="AU2024" s="45"/>
    </row>
    <row r="2025" spans="47:47" ht="12" customHeight="1">
      <c r="AU2025" s="45"/>
    </row>
    <row r="2026" spans="47:47" ht="12" customHeight="1">
      <c r="AU2026" s="45"/>
    </row>
    <row r="2027" spans="47:47" ht="12" customHeight="1">
      <c r="AU2027" s="45"/>
    </row>
    <row r="2028" spans="47:47" ht="12" customHeight="1">
      <c r="AU2028" s="45"/>
    </row>
    <row r="2029" spans="47:47" ht="12" customHeight="1">
      <c r="AU2029" s="45"/>
    </row>
    <row r="2030" spans="47:47" ht="12" customHeight="1">
      <c r="AU2030" s="45"/>
    </row>
    <row r="2031" spans="47:47" ht="12" customHeight="1">
      <c r="AU2031" s="45"/>
    </row>
    <row r="2032" spans="47:47" ht="12" customHeight="1">
      <c r="AU2032" s="45"/>
    </row>
    <row r="2033" spans="47:47" ht="12" customHeight="1">
      <c r="AU2033" s="45"/>
    </row>
    <row r="2034" spans="47:47" ht="12" customHeight="1">
      <c r="AU2034" s="45"/>
    </row>
    <row r="2035" spans="47:47" ht="12" customHeight="1">
      <c r="AU2035" s="45"/>
    </row>
    <row r="2036" spans="47:47" ht="12" customHeight="1">
      <c r="AU2036" s="45"/>
    </row>
    <row r="2037" spans="47:47" ht="12" customHeight="1">
      <c r="AU2037" s="45"/>
    </row>
    <row r="2038" spans="47:47" ht="12" customHeight="1">
      <c r="AU2038" s="45"/>
    </row>
    <row r="2039" spans="47:47" ht="12" customHeight="1">
      <c r="AU2039" s="45"/>
    </row>
    <row r="2040" spans="47:47" ht="12" customHeight="1">
      <c r="AU2040" s="45"/>
    </row>
    <row r="2041" spans="47:47" ht="12" customHeight="1">
      <c r="AU2041" s="45"/>
    </row>
    <row r="2042" spans="47:47" ht="12" customHeight="1">
      <c r="AU2042" s="45"/>
    </row>
    <row r="2043" spans="47:47" ht="12" customHeight="1">
      <c r="AU2043" s="45"/>
    </row>
    <row r="2044" spans="47:47" ht="12" customHeight="1">
      <c r="AU2044" s="45"/>
    </row>
    <row r="2045" spans="47:47" ht="12" customHeight="1">
      <c r="AU2045" s="45"/>
    </row>
    <row r="2046" spans="47:47" ht="12" customHeight="1">
      <c r="AU2046" s="45"/>
    </row>
    <row r="2047" spans="47:47" ht="12" customHeight="1">
      <c r="AU2047" s="45"/>
    </row>
    <row r="2048" spans="47:47" ht="12" customHeight="1">
      <c r="AU2048" s="45"/>
    </row>
    <row r="2049" spans="47:47" ht="12" customHeight="1">
      <c r="AU2049" s="45"/>
    </row>
    <row r="2050" spans="47:47" ht="12" customHeight="1">
      <c r="AU2050" s="45"/>
    </row>
    <row r="2051" spans="47:47" ht="12" customHeight="1">
      <c r="AU2051" s="45"/>
    </row>
    <row r="2052" spans="47:47" ht="12" customHeight="1">
      <c r="AU2052" s="45"/>
    </row>
    <row r="2053" spans="47:47" ht="12" customHeight="1">
      <c r="AU2053" s="45"/>
    </row>
    <row r="2054" spans="47:47" ht="12" customHeight="1">
      <c r="AU2054" s="45"/>
    </row>
    <row r="2055" spans="47:47" ht="12" customHeight="1">
      <c r="AU2055" s="45"/>
    </row>
    <row r="2056" spans="47:47" ht="12" customHeight="1">
      <c r="AU2056" s="45"/>
    </row>
    <row r="2057" spans="47:47" ht="12" customHeight="1">
      <c r="AU2057" s="45"/>
    </row>
    <row r="2058" spans="47:47" ht="12" customHeight="1">
      <c r="AU2058" s="45"/>
    </row>
    <row r="2059" spans="47:47" ht="12" customHeight="1">
      <c r="AU2059" s="45"/>
    </row>
    <row r="2060" spans="47:47" ht="12" customHeight="1">
      <c r="AU2060" s="45"/>
    </row>
    <row r="2061" spans="47:47" ht="12" customHeight="1">
      <c r="AU2061" s="45"/>
    </row>
    <row r="2062" spans="47:47" ht="12" customHeight="1">
      <c r="AU2062" s="45"/>
    </row>
    <row r="2063" spans="47:47" ht="12" customHeight="1">
      <c r="AU2063" s="45"/>
    </row>
    <row r="2064" spans="47:47" ht="12" customHeight="1">
      <c r="AU2064" s="45"/>
    </row>
    <row r="2065" spans="47:47" ht="12" customHeight="1">
      <c r="AU2065" s="45"/>
    </row>
    <row r="2066" spans="47:47" ht="12" customHeight="1">
      <c r="AU2066" s="45"/>
    </row>
    <row r="2067" spans="47:47" ht="12" customHeight="1">
      <c r="AU2067" s="45"/>
    </row>
    <row r="2068" spans="47:47" ht="12" customHeight="1">
      <c r="AU2068" s="45"/>
    </row>
    <row r="2069" spans="47:47" ht="12" customHeight="1">
      <c r="AU2069" s="45"/>
    </row>
    <row r="2070" spans="47:47" ht="12" customHeight="1">
      <c r="AU2070" s="45"/>
    </row>
    <row r="2071" spans="47:47" ht="12" customHeight="1">
      <c r="AU2071" s="45"/>
    </row>
    <row r="2072" spans="47:47" ht="12" customHeight="1">
      <c r="AU2072" s="45"/>
    </row>
    <row r="2073" spans="47:47" ht="12" customHeight="1">
      <c r="AU2073" s="45"/>
    </row>
    <row r="2074" spans="47:47" ht="12" customHeight="1">
      <c r="AU2074" s="45"/>
    </row>
    <row r="2075" spans="47:47" ht="12" customHeight="1">
      <c r="AU2075" s="45"/>
    </row>
    <row r="2076" spans="47:47" ht="12" customHeight="1">
      <c r="AU2076" s="45"/>
    </row>
    <row r="2077" spans="47:47" ht="12" customHeight="1">
      <c r="AU2077" s="45"/>
    </row>
    <row r="2078" spans="47:47" ht="12" customHeight="1">
      <c r="AU2078" s="45"/>
    </row>
    <row r="2079" spans="47:47" ht="12" customHeight="1">
      <c r="AU2079" s="45"/>
    </row>
    <row r="2080" spans="47:47" ht="12" customHeight="1">
      <c r="AU2080" s="45"/>
    </row>
    <row r="2081" spans="47:47" ht="12" customHeight="1">
      <c r="AU2081" s="45"/>
    </row>
    <row r="2082" spans="47:47" ht="12" customHeight="1">
      <c r="AU2082" s="45"/>
    </row>
    <row r="2083" spans="47:47" ht="12" customHeight="1">
      <c r="AU2083" s="45"/>
    </row>
    <row r="2084" spans="47:47" ht="12" customHeight="1">
      <c r="AU2084" s="45"/>
    </row>
    <row r="2085" spans="47:47" ht="12" customHeight="1">
      <c r="AU2085" s="45"/>
    </row>
    <row r="2086" spans="47:47" ht="12" customHeight="1">
      <c r="AU2086" s="45"/>
    </row>
    <row r="2087" spans="47:47" ht="12" customHeight="1">
      <c r="AU2087" s="45"/>
    </row>
    <row r="2088" spans="47:47" ht="12" customHeight="1">
      <c r="AU2088" s="45"/>
    </row>
    <row r="2089" spans="47:47" ht="12" customHeight="1">
      <c r="AU2089" s="45"/>
    </row>
    <row r="2090" spans="47:47" ht="12" customHeight="1">
      <c r="AU2090" s="45"/>
    </row>
    <row r="2091" spans="47:47" ht="12" customHeight="1">
      <c r="AU2091" s="45"/>
    </row>
    <row r="2092" spans="47:47" ht="12" customHeight="1">
      <c r="AU2092" s="45"/>
    </row>
    <row r="2093" spans="47:47" ht="12" customHeight="1">
      <c r="AU2093" s="45"/>
    </row>
    <row r="2094" spans="47:47" ht="12" customHeight="1">
      <c r="AU2094" s="45"/>
    </row>
    <row r="2095" spans="47:47" ht="12" customHeight="1">
      <c r="AU2095" s="45"/>
    </row>
    <row r="2096" spans="47:47" ht="12" customHeight="1">
      <c r="AU2096" s="45"/>
    </row>
    <row r="2097" spans="47:47" ht="12" customHeight="1">
      <c r="AU2097" s="45"/>
    </row>
    <row r="2098" spans="47:47" ht="12" customHeight="1">
      <c r="AU2098" s="45"/>
    </row>
    <row r="2099" spans="47:47" ht="12" customHeight="1">
      <c r="AU2099" s="45"/>
    </row>
    <row r="2100" spans="47:47" ht="12" customHeight="1">
      <c r="AU2100" s="45"/>
    </row>
    <row r="2101" spans="47:47" ht="12" customHeight="1">
      <c r="AU2101" s="45"/>
    </row>
    <row r="2102" spans="47:47" ht="12" customHeight="1">
      <c r="AU2102" s="45"/>
    </row>
    <row r="2103" spans="47:47" ht="12" customHeight="1">
      <c r="AU2103" s="45"/>
    </row>
    <row r="2104" spans="47:47" ht="12" customHeight="1">
      <c r="AU2104" s="45"/>
    </row>
    <row r="2105" spans="47:47" ht="12" customHeight="1">
      <c r="AU2105" s="45"/>
    </row>
    <row r="2106" spans="47:47" ht="12" customHeight="1">
      <c r="AU2106" s="45"/>
    </row>
    <row r="2107" spans="47:47" ht="12" customHeight="1">
      <c r="AU2107" s="45"/>
    </row>
    <row r="2108" spans="47:47" ht="12" customHeight="1">
      <c r="AU2108" s="45"/>
    </row>
    <row r="2109" spans="47:47" ht="12" customHeight="1">
      <c r="AU2109" s="45"/>
    </row>
    <row r="2110" spans="47:47" ht="12" customHeight="1">
      <c r="AU2110" s="45"/>
    </row>
    <row r="2111" spans="47:47" ht="12" customHeight="1">
      <c r="AU2111" s="45"/>
    </row>
    <row r="2112" spans="47:47" ht="12" customHeight="1">
      <c r="AU2112" s="45"/>
    </row>
    <row r="2113" spans="47:47" ht="12" customHeight="1">
      <c r="AU2113" s="45"/>
    </row>
    <row r="2114" spans="47:47" ht="12" customHeight="1">
      <c r="AU2114" s="45"/>
    </row>
    <row r="2115" spans="47:47" ht="12" customHeight="1">
      <c r="AU2115" s="45"/>
    </row>
    <row r="2116" spans="47:47" ht="12" customHeight="1">
      <c r="AU2116" s="45"/>
    </row>
    <row r="2117" spans="47:47" ht="12" customHeight="1">
      <c r="AU2117" s="45"/>
    </row>
    <row r="2118" spans="47:47" ht="12" customHeight="1">
      <c r="AU2118" s="45"/>
    </row>
    <row r="2119" spans="47:47" ht="12" customHeight="1">
      <c r="AU2119" s="45"/>
    </row>
    <row r="2120" spans="47:47" ht="12" customHeight="1">
      <c r="AU2120" s="45"/>
    </row>
    <row r="2121" spans="47:47" ht="12" customHeight="1">
      <c r="AU2121" s="45"/>
    </row>
    <row r="2122" spans="47:47" ht="12" customHeight="1">
      <c r="AU2122" s="45"/>
    </row>
    <row r="2123" spans="47:47" ht="12" customHeight="1">
      <c r="AU2123" s="45"/>
    </row>
    <row r="2124" spans="47:47" ht="12" customHeight="1">
      <c r="AU2124" s="45"/>
    </row>
    <row r="2125" spans="47:47" ht="12" customHeight="1">
      <c r="AU2125" s="45"/>
    </row>
    <row r="2126" spans="47:47" ht="12" customHeight="1">
      <c r="AU2126" s="45"/>
    </row>
    <row r="2127" spans="47:47" ht="12" customHeight="1">
      <c r="AU2127" s="45"/>
    </row>
    <row r="2128" spans="47:47" ht="12" customHeight="1">
      <c r="AU2128" s="45"/>
    </row>
    <row r="2129" spans="47:47" ht="12" customHeight="1">
      <c r="AU2129" s="45"/>
    </row>
    <row r="2130" spans="47:47" ht="12" customHeight="1">
      <c r="AU2130" s="45"/>
    </row>
    <row r="2131" spans="47:47" ht="12" customHeight="1">
      <c r="AU2131" s="45"/>
    </row>
    <row r="2132" spans="47:47" ht="12" customHeight="1">
      <c r="AU2132" s="45"/>
    </row>
    <row r="2133" spans="47:47" ht="12" customHeight="1">
      <c r="AU2133" s="45"/>
    </row>
    <row r="2134" spans="47:47" ht="12" customHeight="1">
      <c r="AU2134" s="45"/>
    </row>
    <row r="2135" spans="47:47" ht="12" customHeight="1">
      <c r="AU2135" s="45"/>
    </row>
    <row r="2136" spans="47:47" ht="12" customHeight="1">
      <c r="AU2136" s="45"/>
    </row>
    <row r="2137" spans="47:47" ht="12" customHeight="1">
      <c r="AU2137" s="45"/>
    </row>
    <row r="2138" spans="47:47" ht="12" customHeight="1">
      <c r="AU2138" s="45"/>
    </row>
    <row r="2139" spans="47:47" ht="12" customHeight="1">
      <c r="AU2139" s="45"/>
    </row>
    <row r="2140" spans="47:47" ht="12" customHeight="1">
      <c r="AU2140" s="45"/>
    </row>
    <row r="2141" spans="47:47" ht="12" customHeight="1">
      <c r="AU2141" s="45"/>
    </row>
    <row r="2142" spans="47:47" ht="12" customHeight="1">
      <c r="AU2142" s="45"/>
    </row>
    <row r="2143" spans="47:47" ht="12" customHeight="1">
      <c r="AU2143" s="45"/>
    </row>
    <row r="2144" spans="47:47" ht="12" customHeight="1">
      <c r="AU2144" s="45"/>
    </row>
    <row r="2145" spans="47:47" ht="12" customHeight="1">
      <c r="AU2145" s="45"/>
    </row>
    <row r="2146" spans="47:47" ht="12" customHeight="1">
      <c r="AU2146" s="45"/>
    </row>
    <row r="2147" spans="47:47" ht="12" customHeight="1">
      <c r="AU2147" s="45"/>
    </row>
    <row r="2148" spans="47:47" ht="12" customHeight="1">
      <c r="AU2148" s="45"/>
    </row>
    <row r="2149" spans="47:47" ht="12" customHeight="1">
      <c r="AU2149" s="45"/>
    </row>
    <row r="2150" spans="47:47" ht="12" customHeight="1">
      <c r="AU2150" s="45"/>
    </row>
    <row r="2151" spans="47:47" ht="12" customHeight="1">
      <c r="AU2151" s="45"/>
    </row>
    <row r="2152" spans="47:47" ht="12" customHeight="1">
      <c r="AU2152" s="45"/>
    </row>
    <row r="2153" spans="47:47" ht="12" customHeight="1">
      <c r="AU2153" s="45"/>
    </row>
    <row r="2154" spans="47:47" ht="12" customHeight="1">
      <c r="AU2154" s="45"/>
    </row>
    <row r="2155" spans="47:47" ht="12" customHeight="1">
      <c r="AU2155" s="45"/>
    </row>
    <row r="2156" spans="47:47" ht="12" customHeight="1">
      <c r="AU2156" s="45"/>
    </row>
    <row r="2157" spans="47:47" ht="12" customHeight="1">
      <c r="AU2157" s="45"/>
    </row>
    <row r="2158" spans="47:47" ht="12" customHeight="1">
      <c r="AU2158" s="45"/>
    </row>
    <row r="2159" spans="47:47" ht="12" customHeight="1">
      <c r="AU2159" s="45"/>
    </row>
    <row r="2160" spans="47:47" ht="12" customHeight="1">
      <c r="AU2160" s="45"/>
    </row>
    <row r="2161" spans="47:47" ht="12" customHeight="1">
      <c r="AU2161" s="45"/>
    </row>
    <row r="2162" spans="47:47" ht="12" customHeight="1">
      <c r="AU2162" s="45"/>
    </row>
    <row r="2163" spans="47:47" ht="12" customHeight="1">
      <c r="AU2163" s="45"/>
    </row>
    <row r="2164" spans="47:47" ht="12" customHeight="1">
      <c r="AU2164" s="45"/>
    </row>
    <row r="2165" spans="47:47" ht="12" customHeight="1">
      <c r="AU2165" s="45"/>
    </row>
    <row r="2166" spans="47:47" ht="12" customHeight="1">
      <c r="AU2166" s="45"/>
    </row>
    <row r="2167" spans="47:47" ht="12" customHeight="1">
      <c r="AU2167" s="45"/>
    </row>
    <row r="2168" spans="47:47" ht="12" customHeight="1">
      <c r="AU2168" s="45"/>
    </row>
    <row r="2169" spans="47:47" ht="12" customHeight="1">
      <c r="AU2169" s="45"/>
    </row>
    <row r="2170" spans="47:47" ht="12" customHeight="1">
      <c r="AU2170" s="45"/>
    </row>
    <row r="2171" spans="47:47" ht="12" customHeight="1">
      <c r="AU2171" s="45"/>
    </row>
    <row r="2172" spans="47:47" ht="12" customHeight="1">
      <c r="AU2172" s="45"/>
    </row>
    <row r="2173" spans="47:47" ht="12" customHeight="1">
      <c r="AU2173" s="45"/>
    </row>
    <row r="2174" spans="47:47" ht="12" customHeight="1">
      <c r="AU2174" s="45"/>
    </row>
    <row r="2175" spans="47:47" ht="12" customHeight="1">
      <c r="AU2175" s="45"/>
    </row>
    <row r="2176" spans="47:47" ht="12" customHeight="1">
      <c r="AU2176" s="45"/>
    </row>
    <row r="2177" spans="47:47" ht="12" customHeight="1">
      <c r="AU2177" s="45"/>
    </row>
    <row r="2178" spans="47:47" ht="12" customHeight="1">
      <c r="AU2178" s="45"/>
    </row>
    <row r="2179" spans="47:47" ht="12" customHeight="1">
      <c r="AU2179" s="45"/>
    </row>
    <row r="2180" spans="47:47" ht="12" customHeight="1">
      <c r="AU2180" s="45"/>
    </row>
    <row r="2181" spans="47:47" ht="12" customHeight="1">
      <c r="AU2181" s="45"/>
    </row>
    <row r="2182" spans="47:47" ht="12" customHeight="1">
      <c r="AU2182" s="45"/>
    </row>
    <row r="2183" spans="47:47" ht="12" customHeight="1">
      <c r="AU2183" s="45"/>
    </row>
    <row r="2184" spans="47:47" ht="12" customHeight="1">
      <c r="AU2184" s="45"/>
    </row>
    <row r="2185" spans="47:47" ht="12" customHeight="1">
      <c r="AU2185" s="45"/>
    </row>
    <row r="2186" spans="47:47" ht="12" customHeight="1">
      <c r="AU2186" s="45"/>
    </row>
    <row r="2187" spans="47:47" ht="12" customHeight="1">
      <c r="AU2187" s="45"/>
    </row>
    <row r="2188" spans="47:47" ht="12" customHeight="1">
      <c r="AU2188" s="45"/>
    </row>
    <row r="2189" spans="47:47" ht="12" customHeight="1">
      <c r="AU2189" s="45"/>
    </row>
    <row r="2190" spans="47:47" ht="12" customHeight="1">
      <c r="AU2190" s="45"/>
    </row>
    <row r="2191" spans="47:47" ht="12" customHeight="1">
      <c r="AU2191" s="45"/>
    </row>
    <row r="2192" spans="47:47" ht="12" customHeight="1">
      <c r="AU2192" s="45"/>
    </row>
    <row r="2193" spans="47:47" ht="12" customHeight="1">
      <c r="AU2193" s="45"/>
    </row>
    <row r="2194" spans="47:47" ht="12" customHeight="1">
      <c r="AU2194" s="45"/>
    </row>
    <row r="2195" spans="47:47" ht="12" customHeight="1">
      <c r="AU2195" s="45"/>
    </row>
    <row r="2196" spans="47:47" ht="12" customHeight="1">
      <c r="AU2196" s="45"/>
    </row>
    <row r="2197" spans="47:47" ht="12" customHeight="1">
      <c r="AU2197" s="45"/>
    </row>
    <row r="2198" spans="47:47" ht="12" customHeight="1">
      <c r="AU2198" s="45"/>
    </row>
    <row r="2199" spans="47:47" ht="12" customHeight="1">
      <c r="AU2199" s="45"/>
    </row>
    <row r="2200" spans="47:47" ht="12" customHeight="1">
      <c r="AU2200" s="45"/>
    </row>
    <row r="2201" spans="47:47" ht="12" customHeight="1">
      <c r="AU2201" s="45"/>
    </row>
    <row r="2202" spans="47:47" ht="12" customHeight="1">
      <c r="AU2202" s="45"/>
    </row>
    <row r="2203" spans="47:47" ht="12" customHeight="1">
      <c r="AU2203" s="45"/>
    </row>
    <row r="2204" spans="47:47" ht="12" customHeight="1">
      <c r="AU2204" s="45"/>
    </row>
    <row r="2205" spans="47:47" ht="12" customHeight="1">
      <c r="AU2205" s="45"/>
    </row>
    <row r="2206" spans="47:47" ht="12" customHeight="1">
      <c r="AU2206" s="45"/>
    </row>
    <row r="2207" spans="47:47" ht="12" customHeight="1">
      <c r="AU2207" s="45"/>
    </row>
    <row r="2208" spans="47:47" ht="12" customHeight="1">
      <c r="AU2208" s="45"/>
    </row>
    <row r="2209" spans="47:47" ht="12" customHeight="1">
      <c r="AU2209" s="45"/>
    </row>
    <row r="2210" spans="47:47" ht="12" customHeight="1">
      <c r="AU2210" s="45"/>
    </row>
    <row r="2211" spans="47:47" ht="12" customHeight="1">
      <c r="AU2211" s="45"/>
    </row>
    <row r="2212" spans="47:47" ht="12" customHeight="1">
      <c r="AU2212" s="45"/>
    </row>
    <row r="2213" spans="47:47" ht="12" customHeight="1">
      <c r="AU2213" s="45"/>
    </row>
    <row r="2214" spans="47:47" ht="12" customHeight="1">
      <c r="AU2214" s="45"/>
    </row>
    <row r="2215" spans="47:47" ht="12" customHeight="1">
      <c r="AU2215" s="45"/>
    </row>
    <row r="2216" spans="47:47" ht="12" customHeight="1">
      <c r="AU2216" s="45"/>
    </row>
    <row r="2217" spans="47:47" ht="12" customHeight="1">
      <c r="AU2217" s="45"/>
    </row>
    <row r="2218" spans="47:47" ht="12" customHeight="1">
      <c r="AU2218" s="45"/>
    </row>
    <row r="2219" spans="47:47" ht="12" customHeight="1">
      <c r="AU2219" s="45"/>
    </row>
    <row r="2220" spans="47:47" ht="12" customHeight="1">
      <c r="AU2220" s="45"/>
    </row>
    <row r="2221" spans="47:47" ht="12" customHeight="1">
      <c r="AU2221" s="45"/>
    </row>
    <row r="2222" spans="47:47" ht="12" customHeight="1">
      <c r="AU2222" s="45"/>
    </row>
    <row r="2223" spans="47:47" ht="12" customHeight="1">
      <c r="AU2223" s="45"/>
    </row>
    <row r="2224" spans="47:47" ht="12" customHeight="1">
      <c r="AU2224" s="45"/>
    </row>
    <row r="2225" spans="47:47" ht="12" customHeight="1">
      <c r="AU2225" s="45"/>
    </row>
    <row r="2226" spans="47:47" ht="12" customHeight="1">
      <c r="AU2226" s="45"/>
    </row>
    <row r="2227" spans="47:47" ht="12" customHeight="1">
      <c r="AU2227" s="45"/>
    </row>
    <row r="2228" spans="47:47" ht="12" customHeight="1">
      <c r="AU2228" s="45"/>
    </row>
    <row r="2229" spans="47:47" ht="12" customHeight="1">
      <c r="AU2229" s="45"/>
    </row>
    <row r="2230" spans="47:47" ht="12" customHeight="1">
      <c r="AU2230" s="45"/>
    </row>
    <row r="2231" spans="47:47" ht="12" customHeight="1">
      <c r="AU2231" s="45"/>
    </row>
    <row r="2232" spans="47:47" ht="12" customHeight="1">
      <c r="AU2232" s="45"/>
    </row>
    <row r="2233" spans="47:47" ht="12" customHeight="1">
      <c r="AU2233" s="45"/>
    </row>
    <row r="2234" spans="47:47" ht="12" customHeight="1">
      <c r="AU2234" s="45"/>
    </row>
    <row r="2235" spans="47:47" ht="12" customHeight="1">
      <c r="AU2235" s="45"/>
    </row>
    <row r="2236" spans="47:47" ht="12" customHeight="1">
      <c r="AU2236" s="45"/>
    </row>
    <row r="2237" spans="47:47" ht="12" customHeight="1">
      <c r="AU2237" s="45"/>
    </row>
    <row r="2238" spans="47:47" ht="12" customHeight="1">
      <c r="AU2238" s="45"/>
    </row>
    <row r="2239" spans="47:47" ht="12" customHeight="1">
      <c r="AU2239" s="45"/>
    </row>
    <row r="2240" spans="47:47" ht="12" customHeight="1">
      <c r="AU2240" s="45"/>
    </row>
    <row r="2241" spans="47:47" ht="12" customHeight="1">
      <c r="AU2241" s="45"/>
    </row>
    <row r="2242" spans="47:47" ht="12" customHeight="1">
      <c r="AU2242" s="45"/>
    </row>
    <row r="2243" spans="47:47" ht="12" customHeight="1">
      <c r="AU2243" s="45"/>
    </row>
    <row r="2244" spans="47:47" ht="12" customHeight="1">
      <c r="AU2244" s="45"/>
    </row>
    <row r="2245" spans="47:47" ht="12" customHeight="1">
      <c r="AU2245" s="45"/>
    </row>
    <row r="2246" spans="47:47" ht="12" customHeight="1">
      <c r="AU2246" s="45"/>
    </row>
    <row r="2247" spans="47:47" ht="12" customHeight="1">
      <c r="AU2247" s="45"/>
    </row>
    <row r="2248" spans="47:47" ht="12" customHeight="1">
      <c r="AU2248" s="45"/>
    </row>
    <row r="2249" spans="47:47" ht="12" customHeight="1">
      <c r="AU2249" s="45"/>
    </row>
    <row r="2250" spans="47:47" ht="12" customHeight="1">
      <c r="AU2250" s="45"/>
    </row>
    <row r="2251" spans="47:47" ht="12" customHeight="1">
      <c r="AU2251" s="45"/>
    </row>
    <row r="2252" spans="47:47" ht="12" customHeight="1">
      <c r="AU2252" s="45"/>
    </row>
    <row r="2253" spans="47:47" ht="12" customHeight="1">
      <c r="AU2253" s="45"/>
    </row>
    <row r="2254" spans="47:47" ht="12" customHeight="1">
      <c r="AU2254" s="45"/>
    </row>
    <row r="2255" spans="47:47" ht="12" customHeight="1">
      <c r="AU2255" s="45"/>
    </row>
    <row r="2256" spans="47:47" ht="12" customHeight="1">
      <c r="AU2256" s="45"/>
    </row>
    <row r="2257" spans="47:47" ht="12" customHeight="1">
      <c r="AU2257" s="45"/>
    </row>
    <row r="2258" spans="47:47" ht="12" customHeight="1">
      <c r="AU2258" s="45"/>
    </row>
    <row r="2259" spans="47:47" ht="12" customHeight="1">
      <c r="AU2259" s="45"/>
    </row>
    <row r="2260" spans="47:47" ht="12" customHeight="1">
      <c r="AU2260" s="45"/>
    </row>
    <row r="2261" spans="47:47" ht="12" customHeight="1">
      <c r="AU2261" s="45"/>
    </row>
    <row r="2262" spans="47:47" ht="12" customHeight="1">
      <c r="AU2262" s="45"/>
    </row>
    <row r="2263" spans="47:47" ht="12" customHeight="1">
      <c r="AU2263" s="45"/>
    </row>
    <row r="2264" spans="47:47" ht="12" customHeight="1">
      <c r="AU2264" s="45"/>
    </row>
    <row r="2265" spans="47:47" ht="12" customHeight="1">
      <c r="AU2265" s="45"/>
    </row>
    <row r="2266" spans="47:47" ht="12" customHeight="1">
      <c r="AU2266" s="45"/>
    </row>
    <row r="2267" spans="47:47" ht="12" customHeight="1">
      <c r="AU2267" s="45"/>
    </row>
    <row r="2268" spans="47:47" ht="12" customHeight="1">
      <c r="AU2268" s="45"/>
    </row>
    <row r="2269" spans="47:47" ht="12" customHeight="1">
      <c r="AU2269" s="45"/>
    </row>
    <row r="2270" spans="47:47" ht="12" customHeight="1">
      <c r="AU2270" s="45"/>
    </row>
    <row r="2271" spans="47:47" ht="12" customHeight="1">
      <c r="AU2271" s="45"/>
    </row>
    <row r="2272" spans="47:47" ht="12" customHeight="1">
      <c r="AU2272" s="45"/>
    </row>
    <row r="2273" spans="47:47" ht="12" customHeight="1">
      <c r="AU2273" s="45"/>
    </row>
    <row r="2274" spans="47:47" ht="12" customHeight="1">
      <c r="AU2274" s="45"/>
    </row>
    <row r="2275" spans="47:47" ht="12" customHeight="1">
      <c r="AU2275" s="45"/>
    </row>
    <row r="2276" spans="47:47" ht="12" customHeight="1">
      <c r="AU2276" s="45"/>
    </row>
    <row r="2277" spans="47:47" ht="12" customHeight="1">
      <c r="AU2277" s="45"/>
    </row>
    <row r="2278" spans="47:47" ht="12" customHeight="1">
      <c r="AU2278" s="45"/>
    </row>
    <row r="2279" spans="47:47" ht="12" customHeight="1">
      <c r="AU2279" s="45"/>
    </row>
    <row r="2280" spans="47:47" ht="12" customHeight="1">
      <c r="AU2280" s="45"/>
    </row>
    <row r="2281" spans="47:47" ht="12" customHeight="1">
      <c r="AU2281" s="45"/>
    </row>
    <row r="2282" spans="47:47" ht="12" customHeight="1">
      <c r="AU2282" s="45"/>
    </row>
    <row r="2283" spans="47:47" ht="12" customHeight="1">
      <c r="AU2283" s="45"/>
    </row>
    <row r="2284" spans="47:47" ht="12" customHeight="1">
      <c r="AU2284" s="45"/>
    </row>
    <row r="2285" spans="47:47" ht="12" customHeight="1">
      <c r="AU2285" s="45"/>
    </row>
    <row r="2286" spans="47:47" ht="12" customHeight="1">
      <c r="AU2286" s="45"/>
    </row>
    <row r="2287" spans="47:47" ht="12" customHeight="1">
      <c r="AU2287" s="45"/>
    </row>
    <row r="2288" spans="47:47" ht="12" customHeight="1">
      <c r="AU2288" s="45"/>
    </row>
    <row r="2289" spans="47:47" ht="12" customHeight="1">
      <c r="AU2289" s="45"/>
    </row>
    <row r="2290" spans="47:47" ht="12" customHeight="1">
      <c r="AU2290" s="45"/>
    </row>
    <row r="2291" spans="47:47" ht="12" customHeight="1">
      <c r="AU2291" s="45"/>
    </row>
    <row r="2292" spans="47:47" ht="12" customHeight="1">
      <c r="AU2292" s="45"/>
    </row>
    <row r="2293" spans="47:47" ht="12" customHeight="1">
      <c r="AU2293" s="45"/>
    </row>
    <row r="2294" spans="47:47" ht="12" customHeight="1">
      <c r="AU2294" s="45"/>
    </row>
    <row r="2295" spans="47:47" ht="12" customHeight="1">
      <c r="AU2295" s="45"/>
    </row>
    <row r="2296" spans="47:47" ht="12" customHeight="1">
      <c r="AU2296" s="45"/>
    </row>
    <row r="2297" spans="47:47" ht="12" customHeight="1">
      <c r="AU2297" s="45"/>
    </row>
    <row r="2298" spans="47:47" ht="12" customHeight="1">
      <c r="AU2298" s="45"/>
    </row>
    <row r="2299" spans="47:47" ht="12" customHeight="1">
      <c r="AU2299" s="45"/>
    </row>
    <row r="2300" spans="47:47" ht="12" customHeight="1">
      <c r="AU2300" s="45"/>
    </row>
    <row r="2301" spans="47:47" ht="12" customHeight="1">
      <c r="AU2301" s="45"/>
    </row>
    <row r="2302" spans="47:47" ht="12" customHeight="1">
      <c r="AU2302" s="45"/>
    </row>
    <row r="2303" spans="47:47" ht="12" customHeight="1">
      <c r="AU2303" s="45"/>
    </row>
    <row r="2304" spans="47:47" ht="12" customHeight="1">
      <c r="AU2304" s="45"/>
    </row>
    <row r="2305" spans="47:47" ht="12" customHeight="1">
      <c r="AU2305" s="45"/>
    </row>
    <row r="2306" spans="47:47" ht="12" customHeight="1">
      <c r="AU2306" s="45"/>
    </row>
    <row r="2307" spans="47:47" ht="12" customHeight="1">
      <c r="AU2307" s="45"/>
    </row>
    <row r="2308" spans="47:47" ht="12" customHeight="1">
      <c r="AU2308" s="45"/>
    </row>
    <row r="2309" spans="47:47" ht="12" customHeight="1">
      <c r="AU2309" s="45"/>
    </row>
    <row r="2310" spans="47:47" ht="12" customHeight="1">
      <c r="AU2310" s="45"/>
    </row>
    <row r="2311" spans="47:47" ht="12" customHeight="1">
      <c r="AU2311" s="45"/>
    </row>
    <row r="2312" spans="47:47" ht="12" customHeight="1">
      <c r="AU2312" s="45"/>
    </row>
    <row r="2313" spans="47:47" ht="12" customHeight="1">
      <c r="AU2313" s="45"/>
    </row>
    <row r="2314" spans="47:47" ht="12" customHeight="1">
      <c r="AU2314" s="45"/>
    </row>
    <row r="2315" spans="47:47" ht="12" customHeight="1">
      <c r="AU2315" s="45"/>
    </row>
    <row r="2316" spans="47:47" ht="12" customHeight="1">
      <c r="AU2316" s="45"/>
    </row>
    <row r="2317" spans="47:47" ht="12" customHeight="1">
      <c r="AU2317" s="45"/>
    </row>
    <row r="2318" spans="47:47" ht="12" customHeight="1">
      <c r="AU2318" s="45"/>
    </row>
    <row r="2319" spans="47:47" ht="12" customHeight="1">
      <c r="AU2319" s="45"/>
    </row>
    <row r="2320" spans="47:47" ht="12" customHeight="1">
      <c r="AU2320" s="45"/>
    </row>
    <row r="2321" spans="47:47" ht="12" customHeight="1">
      <c r="AU2321" s="45"/>
    </row>
    <row r="2322" spans="47:47" ht="12" customHeight="1">
      <c r="AU2322" s="45"/>
    </row>
    <row r="2323" spans="47:47" ht="12" customHeight="1">
      <c r="AU2323" s="45"/>
    </row>
    <row r="2324" spans="47:47" ht="12" customHeight="1">
      <c r="AU2324" s="45"/>
    </row>
    <row r="2325" spans="47:47" ht="12" customHeight="1">
      <c r="AU2325" s="45"/>
    </row>
    <row r="2326" spans="47:47" ht="12" customHeight="1">
      <c r="AU2326" s="45"/>
    </row>
    <row r="2327" spans="47:47" ht="12" customHeight="1">
      <c r="AU2327" s="45"/>
    </row>
    <row r="2328" spans="47:47" ht="12" customHeight="1">
      <c r="AU2328" s="45"/>
    </row>
    <row r="2329" spans="47:47" ht="12" customHeight="1">
      <c r="AU2329" s="45"/>
    </row>
    <row r="2330" spans="47:47" ht="12" customHeight="1">
      <c r="AU2330" s="45"/>
    </row>
    <row r="2331" spans="47:47" ht="12" customHeight="1">
      <c r="AU2331" s="45"/>
    </row>
    <row r="2332" spans="47:47" ht="12" customHeight="1">
      <c r="AU2332" s="45"/>
    </row>
    <row r="2333" spans="47:47" ht="12" customHeight="1">
      <c r="AU2333" s="45"/>
    </row>
    <row r="2334" spans="47:47" ht="12" customHeight="1">
      <c r="AU2334" s="45"/>
    </row>
    <row r="2335" spans="47:47" ht="12" customHeight="1">
      <c r="AU2335" s="45"/>
    </row>
    <row r="2336" spans="47:47" ht="12" customHeight="1">
      <c r="AU2336" s="45"/>
    </row>
    <row r="2337" spans="47:47" ht="12" customHeight="1">
      <c r="AU2337" s="45"/>
    </row>
    <row r="2338" spans="47:47" ht="12" customHeight="1">
      <c r="AU2338" s="45"/>
    </row>
    <row r="2339" spans="47:47" ht="12" customHeight="1">
      <c r="AU2339" s="45"/>
    </row>
    <row r="2340" spans="47:47" ht="12" customHeight="1">
      <c r="AU2340" s="45"/>
    </row>
    <row r="2341" spans="47:47" ht="12" customHeight="1">
      <c r="AU2341" s="45"/>
    </row>
    <row r="2342" spans="47:47" ht="12" customHeight="1">
      <c r="AU2342" s="45"/>
    </row>
    <row r="2343" spans="47:47" ht="12" customHeight="1">
      <c r="AU2343" s="45"/>
    </row>
    <row r="2344" spans="47:47" ht="12" customHeight="1">
      <c r="AU2344" s="45"/>
    </row>
    <row r="2345" spans="47:47" ht="12" customHeight="1">
      <c r="AU2345" s="45"/>
    </row>
    <row r="2346" spans="47:47" ht="12" customHeight="1">
      <c r="AU2346" s="45"/>
    </row>
    <row r="2347" spans="47:47" ht="12" customHeight="1">
      <c r="AU2347" s="45"/>
    </row>
    <row r="2348" spans="47:47" ht="12" customHeight="1">
      <c r="AU2348" s="45"/>
    </row>
    <row r="2349" spans="47:47" ht="12" customHeight="1">
      <c r="AU2349" s="45"/>
    </row>
    <row r="2350" spans="47:47" ht="12" customHeight="1">
      <c r="AU2350" s="45"/>
    </row>
    <row r="2351" spans="47:47" ht="12" customHeight="1">
      <c r="AU2351" s="45"/>
    </row>
    <row r="2352" spans="47:47" ht="12" customHeight="1">
      <c r="AU2352" s="45"/>
    </row>
    <row r="2353" spans="47:47" ht="12" customHeight="1">
      <c r="AU2353" s="45"/>
    </row>
    <row r="2354" spans="47:47" ht="12" customHeight="1">
      <c r="AU2354" s="45"/>
    </row>
    <row r="2355" spans="47:47" ht="12" customHeight="1">
      <c r="AU2355" s="45"/>
    </row>
    <row r="2356" spans="47:47" ht="12" customHeight="1">
      <c r="AU2356" s="45"/>
    </row>
    <row r="2357" spans="47:47" ht="12" customHeight="1">
      <c r="AU2357" s="45"/>
    </row>
    <row r="2358" spans="47:47" ht="12" customHeight="1">
      <c r="AU2358" s="45"/>
    </row>
    <row r="2359" spans="47:47" ht="12" customHeight="1">
      <c r="AU2359" s="45"/>
    </row>
    <row r="2360" spans="47:47" ht="12" customHeight="1">
      <c r="AU2360" s="45"/>
    </row>
    <row r="2361" spans="47:47" ht="12" customHeight="1">
      <c r="AU2361" s="45"/>
    </row>
    <row r="2362" spans="47:47" ht="12" customHeight="1">
      <c r="AU2362" s="45"/>
    </row>
    <row r="2363" spans="47:47" ht="12" customHeight="1">
      <c r="AU2363" s="45"/>
    </row>
    <row r="2364" spans="47:47" ht="12" customHeight="1">
      <c r="AU2364" s="45"/>
    </row>
    <row r="2365" spans="47:47" ht="12" customHeight="1">
      <c r="AU2365" s="45"/>
    </row>
    <row r="2366" spans="47:47" ht="12" customHeight="1">
      <c r="AU2366" s="45"/>
    </row>
    <row r="2367" spans="47:47" ht="12" customHeight="1">
      <c r="AU2367" s="45"/>
    </row>
    <row r="2368" spans="47:47" ht="12" customHeight="1">
      <c r="AU2368" s="45"/>
    </row>
    <row r="2369" spans="47:47" ht="12" customHeight="1">
      <c r="AU2369" s="45"/>
    </row>
    <row r="2370" spans="47:47" ht="12" customHeight="1">
      <c r="AU2370" s="45"/>
    </row>
    <row r="2371" spans="47:47" ht="12" customHeight="1">
      <c r="AU2371" s="45"/>
    </row>
    <row r="2372" spans="47:47" ht="12" customHeight="1">
      <c r="AU2372" s="45"/>
    </row>
    <row r="2373" spans="47:47" ht="12" customHeight="1">
      <c r="AU2373" s="45"/>
    </row>
    <row r="2374" spans="47:47" ht="12" customHeight="1">
      <c r="AU2374" s="45"/>
    </row>
    <row r="2375" spans="47:47" ht="12" customHeight="1">
      <c r="AU2375" s="45"/>
    </row>
    <row r="2376" spans="47:47" ht="12" customHeight="1">
      <c r="AU2376" s="45"/>
    </row>
    <row r="2377" spans="47:47" ht="12" customHeight="1">
      <c r="AU2377" s="45"/>
    </row>
    <row r="2378" spans="47:47" ht="12" customHeight="1">
      <c r="AU2378" s="45"/>
    </row>
    <row r="2379" spans="47:47" ht="12" customHeight="1">
      <c r="AU2379" s="45"/>
    </row>
    <row r="2380" spans="47:47" ht="12" customHeight="1">
      <c r="AU2380" s="45"/>
    </row>
    <row r="2381" spans="47:47" ht="12" customHeight="1">
      <c r="AU2381" s="45"/>
    </row>
    <row r="2382" spans="47:47" ht="12" customHeight="1">
      <c r="AU2382" s="45"/>
    </row>
    <row r="2383" spans="47:47" ht="12" customHeight="1">
      <c r="AU2383" s="45"/>
    </row>
    <row r="2384" spans="47:47" ht="12" customHeight="1">
      <c r="AU2384" s="45"/>
    </row>
    <row r="2385" spans="47:47" ht="12" customHeight="1">
      <c r="AU2385" s="45"/>
    </row>
    <row r="2386" spans="47:47" ht="12" customHeight="1">
      <c r="AU2386" s="45"/>
    </row>
    <row r="2387" spans="47:47" ht="12" customHeight="1">
      <c r="AU2387" s="45"/>
    </row>
    <row r="2388" spans="47:47" ht="12" customHeight="1">
      <c r="AU2388" s="45"/>
    </row>
    <row r="2389" spans="47:47" ht="12" customHeight="1">
      <c r="AU2389" s="45"/>
    </row>
    <row r="2390" spans="47:47" ht="12" customHeight="1">
      <c r="AU2390" s="45"/>
    </row>
    <row r="2391" spans="47:47" ht="12" customHeight="1">
      <c r="AU2391" s="45"/>
    </row>
    <row r="2392" spans="47:47" ht="12" customHeight="1">
      <c r="AU2392" s="45"/>
    </row>
    <row r="2393" spans="47:47" ht="12" customHeight="1">
      <c r="AU2393" s="45"/>
    </row>
    <row r="2394" spans="47:47" ht="12" customHeight="1">
      <c r="AU2394" s="45"/>
    </row>
    <row r="2395" spans="47:47" ht="12" customHeight="1">
      <c r="AU2395" s="45"/>
    </row>
    <row r="2396" spans="47:47" ht="12" customHeight="1">
      <c r="AU2396" s="45"/>
    </row>
    <row r="2397" spans="47:47" ht="12" customHeight="1">
      <c r="AU2397" s="45"/>
    </row>
    <row r="2398" spans="47:47" ht="12" customHeight="1">
      <c r="AU2398" s="45"/>
    </row>
    <row r="2399" spans="47:47" ht="12" customHeight="1">
      <c r="AU2399" s="45"/>
    </row>
    <row r="2400" spans="47:47" ht="12" customHeight="1">
      <c r="AU2400" s="45"/>
    </row>
    <row r="2401" spans="47:47" ht="12" customHeight="1">
      <c r="AU2401" s="45"/>
    </row>
    <row r="2402" spans="47:47" ht="12" customHeight="1">
      <c r="AU2402" s="45"/>
    </row>
    <row r="2403" spans="47:47" ht="12" customHeight="1">
      <c r="AU2403" s="45"/>
    </row>
    <row r="2404" spans="47:47" ht="12" customHeight="1">
      <c r="AU2404" s="45"/>
    </row>
    <row r="2405" spans="47:47" ht="12" customHeight="1">
      <c r="AU2405" s="45"/>
    </row>
    <row r="2406" spans="47:47" ht="12" customHeight="1">
      <c r="AU2406" s="45"/>
    </row>
    <row r="2407" spans="47:47" ht="12" customHeight="1">
      <c r="AU2407" s="45"/>
    </row>
    <row r="2408" spans="47:47" ht="12" customHeight="1">
      <c r="AU2408" s="45"/>
    </row>
    <row r="2409" spans="47:47" ht="12" customHeight="1">
      <c r="AU2409" s="45"/>
    </row>
    <row r="2410" spans="47:47" ht="12" customHeight="1">
      <c r="AU2410" s="45"/>
    </row>
    <row r="2411" spans="47:47" ht="12" customHeight="1">
      <c r="AU2411" s="45"/>
    </row>
    <row r="2412" spans="47:47" ht="12" customHeight="1">
      <c r="AU2412" s="45"/>
    </row>
    <row r="2413" spans="47:47" ht="12" customHeight="1">
      <c r="AU2413" s="45"/>
    </row>
    <row r="2414" spans="47:47" ht="12" customHeight="1">
      <c r="AU2414" s="45"/>
    </row>
    <row r="2415" spans="47:47" ht="12" customHeight="1">
      <c r="AU2415" s="45"/>
    </row>
    <row r="2416" spans="47:47" ht="12" customHeight="1">
      <c r="AU2416" s="45"/>
    </row>
    <row r="2417" spans="47:47" ht="12" customHeight="1">
      <c r="AU2417" s="45"/>
    </row>
    <row r="2418" spans="47:47" ht="12" customHeight="1">
      <c r="AU2418" s="45"/>
    </row>
    <row r="2419" spans="47:47" ht="12" customHeight="1">
      <c r="AU2419" s="45"/>
    </row>
    <row r="2420" spans="47:47" ht="12" customHeight="1">
      <c r="AU2420" s="45"/>
    </row>
    <row r="2421" spans="47:47" ht="12" customHeight="1">
      <c r="AU2421" s="45"/>
    </row>
    <row r="2422" spans="47:47" ht="12" customHeight="1">
      <c r="AU2422" s="45"/>
    </row>
    <row r="2423" spans="47:47" ht="12" customHeight="1">
      <c r="AU2423" s="45"/>
    </row>
    <row r="2424" spans="47:47" ht="12" customHeight="1">
      <c r="AU2424" s="45"/>
    </row>
    <row r="2425" spans="47:47" ht="12" customHeight="1">
      <c r="AU2425" s="45"/>
    </row>
    <row r="2426" spans="47:47" ht="12" customHeight="1">
      <c r="AU2426" s="45"/>
    </row>
    <row r="2427" spans="47:47" ht="12" customHeight="1">
      <c r="AU2427" s="45"/>
    </row>
    <row r="2428" spans="47:47" ht="12" customHeight="1">
      <c r="AU2428" s="45"/>
    </row>
    <row r="2429" spans="47:47" ht="12" customHeight="1">
      <c r="AU2429" s="45"/>
    </row>
    <row r="2430" spans="47:47" ht="12" customHeight="1">
      <c r="AU2430" s="45"/>
    </row>
    <row r="2431" spans="47:47" ht="12" customHeight="1">
      <c r="AU2431" s="45"/>
    </row>
    <row r="2432" spans="47:47" ht="12" customHeight="1">
      <c r="AU2432" s="45"/>
    </row>
    <row r="2433" spans="47:47" ht="12" customHeight="1">
      <c r="AU2433" s="45"/>
    </row>
    <row r="2434" spans="47:47" ht="12" customHeight="1">
      <c r="AU2434" s="45"/>
    </row>
    <row r="2435" spans="47:47" ht="12" customHeight="1">
      <c r="AU2435" s="45"/>
    </row>
    <row r="2436" spans="47:47" ht="12" customHeight="1">
      <c r="AU2436" s="45"/>
    </row>
    <row r="2437" spans="47:47" ht="12" customHeight="1">
      <c r="AU2437" s="45"/>
    </row>
    <row r="2438" spans="47:47" ht="12" customHeight="1">
      <c r="AU2438" s="45"/>
    </row>
    <row r="2439" spans="47:47" ht="12" customHeight="1">
      <c r="AU2439" s="45"/>
    </row>
    <row r="2440" spans="47:47" ht="12" customHeight="1">
      <c r="AU2440" s="45"/>
    </row>
    <row r="2441" spans="47:47" ht="12" customHeight="1">
      <c r="AU2441" s="45"/>
    </row>
    <row r="2442" spans="47:47" ht="12" customHeight="1">
      <c r="AU2442" s="45"/>
    </row>
    <row r="2443" spans="47:47" ht="12" customHeight="1">
      <c r="AU2443" s="45"/>
    </row>
    <row r="2444" spans="47:47" ht="12" customHeight="1">
      <c r="AU2444" s="45"/>
    </row>
    <row r="2445" spans="47:47" ht="12" customHeight="1">
      <c r="AU2445" s="45"/>
    </row>
    <row r="2446" spans="47:47" ht="12" customHeight="1">
      <c r="AU2446" s="45"/>
    </row>
    <row r="2447" spans="47:47" ht="12" customHeight="1">
      <c r="AU2447" s="45"/>
    </row>
    <row r="2448" spans="47:47" ht="12" customHeight="1">
      <c r="AU2448" s="45"/>
    </row>
    <row r="2449" spans="47:47" ht="12" customHeight="1">
      <c r="AU2449" s="45"/>
    </row>
    <row r="2450" spans="47:47" ht="12" customHeight="1">
      <c r="AU2450" s="45"/>
    </row>
    <row r="2451" spans="47:47" ht="12" customHeight="1">
      <c r="AU2451" s="45"/>
    </row>
    <row r="2452" spans="47:47" ht="12" customHeight="1">
      <c r="AU2452" s="45"/>
    </row>
    <row r="2453" spans="47:47" ht="12" customHeight="1">
      <c r="AU2453" s="45"/>
    </row>
    <row r="2454" spans="47:47" ht="12" customHeight="1">
      <c r="AU2454" s="45"/>
    </row>
    <row r="2455" spans="47:47" ht="12" customHeight="1">
      <c r="AU2455" s="45"/>
    </row>
    <row r="2456" spans="47:47" ht="12" customHeight="1">
      <c r="AU2456" s="45"/>
    </row>
    <row r="2457" spans="47:47" ht="12" customHeight="1">
      <c r="AU2457" s="45"/>
    </row>
    <row r="2458" spans="47:47" ht="12" customHeight="1">
      <c r="AU2458" s="45"/>
    </row>
    <row r="2459" spans="47:47" ht="12" customHeight="1">
      <c r="AU2459" s="45"/>
    </row>
    <row r="2460" spans="47:47" ht="12" customHeight="1">
      <c r="AU2460" s="45"/>
    </row>
    <row r="2461" spans="47:47" ht="12" customHeight="1">
      <c r="AU2461" s="45"/>
    </row>
    <row r="2462" spans="47:47" ht="12" customHeight="1">
      <c r="AU2462" s="45"/>
    </row>
    <row r="2463" spans="47:47" ht="12" customHeight="1">
      <c r="AU2463" s="45"/>
    </row>
    <row r="2464" spans="47:47" ht="12" customHeight="1">
      <c r="AU2464" s="45"/>
    </row>
    <row r="2465" spans="47:47" ht="12" customHeight="1">
      <c r="AU2465" s="45"/>
    </row>
    <row r="2466" spans="47:47" ht="12" customHeight="1">
      <c r="AU2466" s="45"/>
    </row>
    <row r="2467" spans="47:47" ht="12" customHeight="1">
      <c r="AU2467" s="45"/>
    </row>
    <row r="2468" spans="47:47" ht="12" customHeight="1">
      <c r="AU2468" s="45"/>
    </row>
    <row r="2469" spans="47:47" ht="12" customHeight="1">
      <c r="AU2469" s="45"/>
    </row>
    <row r="2470" spans="47:47" ht="12" customHeight="1">
      <c r="AU2470" s="45"/>
    </row>
    <row r="2471" spans="47:47" ht="12" customHeight="1">
      <c r="AU2471" s="45"/>
    </row>
    <row r="2472" spans="47:47" ht="12" customHeight="1">
      <c r="AU2472" s="45"/>
    </row>
    <row r="2473" spans="47:47" ht="12" customHeight="1">
      <c r="AU2473" s="45"/>
    </row>
    <row r="2474" spans="47:47" ht="12" customHeight="1">
      <c r="AU2474" s="45"/>
    </row>
    <row r="2475" spans="47:47" ht="12" customHeight="1">
      <c r="AU2475" s="45"/>
    </row>
    <row r="2476" spans="47:47" ht="12" customHeight="1">
      <c r="AU2476" s="45"/>
    </row>
    <row r="2477" spans="47:47" ht="12" customHeight="1">
      <c r="AU2477" s="45"/>
    </row>
    <row r="2478" spans="47:47" ht="12" customHeight="1">
      <c r="AU2478" s="45"/>
    </row>
    <row r="2479" spans="47:47" ht="12" customHeight="1">
      <c r="AU2479" s="45"/>
    </row>
    <row r="2480" spans="47:47" ht="12" customHeight="1">
      <c r="AU2480" s="45"/>
    </row>
    <row r="2481" spans="47:47" ht="12" customHeight="1">
      <c r="AU2481" s="45"/>
    </row>
    <row r="2482" spans="47:47" ht="12" customHeight="1">
      <c r="AU2482" s="45"/>
    </row>
    <row r="2483" spans="47:47" ht="12" customHeight="1">
      <c r="AU2483" s="45"/>
    </row>
    <row r="2484" spans="47:47" ht="12" customHeight="1">
      <c r="AU2484" s="45"/>
    </row>
    <row r="2485" spans="47:47" ht="12" customHeight="1">
      <c r="AU2485" s="45"/>
    </row>
    <row r="2486" spans="47:47" ht="12" customHeight="1">
      <c r="AU2486" s="45"/>
    </row>
    <row r="2487" spans="47:47" ht="12" customHeight="1">
      <c r="AU2487" s="45"/>
    </row>
    <row r="2488" spans="47:47" ht="12" customHeight="1">
      <c r="AU2488" s="45"/>
    </row>
    <row r="2489" spans="47:47" ht="12" customHeight="1">
      <c r="AU2489" s="45"/>
    </row>
    <row r="2490" spans="47:47" ht="12" customHeight="1">
      <c r="AU2490" s="45"/>
    </row>
    <row r="2491" spans="47:47" ht="12" customHeight="1">
      <c r="AU2491" s="45"/>
    </row>
    <row r="2492" spans="47:47" ht="12" customHeight="1">
      <c r="AU2492" s="45"/>
    </row>
    <row r="2493" spans="47:47" ht="12" customHeight="1">
      <c r="AU2493" s="45"/>
    </row>
    <row r="2494" spans="47:47" ht="12" customHeight="1">
      <c r="AU2494" s="45"/>
    </row>
    <row r="2495" spans="47:47" ht="12" customHeight="1">
      <c r="AU2495" s="45"/>
    </row>
    <row r="2496" spans="47:47" ht="12" customHeight="1">
      <c r="AU2496" s="45"/>
    </row>
    <row r="2497" spans="47:47" ht="12" customHeight="1">
      <c r="AU2497" s="45"/>
    </row>
    <row r="2498" spans="47:47" ht="12" customHeight="1">
      <c r="AU2498" s="45"/>
    </row>
    <row r="2499" spans="47:47" ht="12" customHeight="1">
      <c r="AU2499" s="45"/>
    </row>
    <row r="2500" spans="47:47" ht="12" customHeight="1">
      <c r="AU2500" s="45"/>
    </row>
    <row r="2501" spans="47:47" ht="12" customHeight="1">
      <c r="AU2501" s="45"/>
    </row>
    <row r="2502" spans="47:47" ht="12" customHeight="1">
      <c r="AU2502" s="45"/>
    </row>
    <row r="2503" spans="47:47" ht="12" customHeight="1">
      <c r="AU2503" s="45"/>
    </row>
    <row r="2504" spans="47:47" ht="12" customHeight="1">
      <c r="AU2504" s="45"/>
    </row>
    <row r="2505" spans="47:47" ht="12" customHeight="1">
      <c r="AU2505" s="45"/>
    </row>
    <row r="2506" spans="47:47" ht="12" customHeight="1">
      <c r="AU2506" s="45"/>
    </row>
    <row r="2507" spans="47:47" ht="12" customHeight="1">
      <c r="AU2507" s="45"/>
    </row>
    <row r="2508" spans="47:47" ht="12" customHeight="1">
      <c r="AU2508" s="45"/>
    </row>
    <row r="2509" spans="47:47" ht="12" customHeight="1">
      <c r="AU2509" s="45"/>
    </row>
    <row r="2510" spans="47:47" ht="12" customHeight="1">
      <c r="AU2510" s="45"/>
    </row>
    <row r="2511" spans="47:47" ht="12" customHeight="1">
      <c r="AU2511" s="45"/>
    </row>
    <row r="2512" spans="47:47" ht="12" customHeight="1">
      <c r="AU2512" s="45"/>
    </row>
    <row r="2513" spans="47:47" ht="12" customHeight="1">
      <c r="AU2513" s="45"/>
    </row>
    <row r="2514" spans="47:47" ht="12" customHeight="1">
      <c r="AU2514" s="45"/>
    </row>
    <row r="2515" spans="47:47" ht="12" customHeight="1">
      <c r="AU2515" s="45"/>
    </row>
    <row r="2516" spans="47:47" ht="12" customHeight="1">
      <c r="AU2516" s="45"/>
    </row>
    <row r="2517" spans="47:47" ht="12" customHeight="1">
      <c r="AU2517" s="45"/>
    </row>
    <row r="2518" spans="47:47" ht="12" customHeight="1">
      <c r="AU2518" s="45"/>
    </row>
    <row r="2519" spans="47:47" ht="12" customHeight="1">
      <c r="AU2519" s="45"/>
    </row>
    <row r="2520" spans="47:47" ht="12" customHeight="1">
      <c r="AU2520" s="45"/>
    </row>
    <row r="2521" spans="47:47" ht="12" customHeight="1">
      <c r="AU2521" s="45"/>
    </row>
    <row r="2522" spans="47:47" ht="12" customHeight="1">
      <c r="AU2522" s="45"/>
    </row>
    <row r="2523" spans="47:47" ht="12" customHeight="1">
      <c r="AU2523" s="45"/>
    </row>
    <row r="2524" spans="47:47" ht="12" customHeight="1">
      <c r="AU2524" s="45"/>
    </row>
    <row r="2525" spans="47:47" ht="12" customHeight="1">
      <c r="AU2525" s="45"/>
    </row>
    <row r="2526" spans="47:47" ht="12" customHeight="1">
      <c r="AU2526" s="45"/>
    </row>
    <row r="2527" spans="47:47" ht="12" customHeight="1">
      <c r="AU2527" s="45"/>
    </row>
    <row r="2528" spans="47:47" ht="12" customHeight="1">
      <c r="AU2528" s="45"/>
    </row>
    <row r="2529" spans="47:47" ht="12" customHeight="1">
      <c r="AU2529" s="45"/>
    </row>
    <row r="2530" spans="47:47" ht="12" customHeight="1">
      <c r="AU2530" s="45"/>
    </row>
    <row r="2531" spans="47:47" ht="12" customHeight="1">
      <c r="AU2531" s="45"/>
    </row>
    <row r="2532" spans="47:47" ht="12" customHeight="1">
      <c r="AU2532" s="45"/>
    </row>
    <row r="2533" spans="47:47" ht="12" customHeight="1">
      <c r="AU2533" s="45"/>
    </row>
    <row r="2534" spans="47:47" ht="12" customHeight="1">
      <c r="AU2534" s="45"/>
    </row>
    <row r="2535" spans="47:47" ht="12" customHeight="1">
      <c r="AU2535" s="45"/>
    </row>
    <row r="2536" spans="47:47" ht="12" customHeight="1">
      <c r="AU2536" s="45"/>
    </row>
    <row r="2537" spans="47:47" ht="12" customHeight="1">
      <c r="AU2537" s="45"/>
    </row>
    <row r="2538" spans="47:47" ht="12" customHeight="1">
      <c r="AU2538" s="45"/>
    </row>
    <row r="2539" spans="47:47" ht="12" customHeight="1">
      <c r="AU2539" s="45"/>
    </row>
    <row r="2540" spans="47:47" ht="12" customHeight="1">
      <c r="AU2540" s="45"/>
    </row>
    <row r="2541" spans="47:47" ht="12" customHeight="1">
      <c r="AU2541" s="45"/>
    </row>
    <row r="2542" spans="47:47" ht="12" customHeight="1">
      <c r="AU2542" s="45"/>
    </row>
    <row r="2543" spans="47:47" ht="12" customHeight="1">
      <c r="AU2543" s="45"/>
    </row>
    <row r="2544" spans="47:47" ht="12" customHeight="1">
      <c r="AU2544" s="45"/>
    </row>
    <row r="2545" spans="47:47" ht="12" customHeight="1">
      <c r="AU2545" s="45"/>
    </row>
    <row r="2546" spans="47:47" ht="12" customHeight="1">
      <c r="AU2546" s="45"/>
    </row>
    <row r="2547" spans="47:47" ht="12" customHeight="1">
      <c r="AU2547" s="45"/>
    </row>
    <row r="2548" spans="47:47" ht="12" customHeight="1">
      <c r="AU2548" s="45"/>
    </row>
    <row r="2549" spans="47:47" ht="12" customHeight="1">
      <c r="AU2549" s="45"/>
    </row>
    <row r="2550" spans="47:47" ht="12" customHeight="1">
      <c r="AU2550" s="45"/>
    </row>
    <row r="2551" spans="47:47" ht="12" customHeight="1">
      <c r="AU2551" s="45"/>
    </row>
    <row r="2552" spans="47:47" ht="12" customHeight="1">
      <c r="AU2552" s="45"/>
    </row>
    <row r="2553" spans="47:47" ht="12" customHeight="1">
      <c r="AU2553" s="45"/>
    </row>
    <row r="2554" spans="47:47" ht="12" customHeight="1">
      <c r="AU2554" s="45"/>
    </row>
    <row r="2555" spans="47:47" ht="12" customHeight="1">
      <c r="AU2555" s="45"/>
    </row>
    <row r="2556" spans="47:47" ht="12" customHeight="1">
      <c r="AU2556" s="45"/>
    </row>
    <row r="2557" spans="47:47" ht="12" customHeight="1">
      <c r="AU2557" s="45"/>
    </row>
    <row r="2558" spans="47:47" ht="12" customHeight="1">
      <c r="AU2558" s="45"/>
    </row>
    <row r="2559" spans="47:47" ht="12" customHeight="1">
      <c r="AU2559" s="45"/>
    </row>
    <row r="2560" spans="47:47" ht="12" customHeight="1">
      <c r="AU2560" s="45"/>
    </row>
    <row r="2561" spans="47:47" ht="12" customHeight="1">
      <c r="AU2561" s="45"/>
    </row>
    <row r="2562" spans="47:47" ht="12" customHeight="1">
      <c r="AU2562" s="45"/>
    </row>
    <row r="2563" spans="47:47" ht="12" customHeight="1">
      <c r="AU2563" s="45"/>
    </row>
    <row r="2564" spans="47:47" ht="12" customHeight="1">
      <c r="AU2564" s="45"/>
    </row>
    <row r="2565" spans="47:47" ht="12" customHeight="1">
      <c r="AU2565" s="45"/>
    </row>
    <row r="2566" spans="47:47" ht="12" customHeight="1">
      <c r="AU2566" s="45"/>
    </row>
    <row r="2567" spans="47:47" ht="12" customHeight="1">
      <c r="AU2567" s="45"/>
    </row>
    <row r="2568" spans="47:47" ht="12" customHeight="1">
      <c r="AU2568" s="45"/>
    </row>
    <row r="2569" spans="47:47" ht="12" customHeight="1">
      <c r="AU2569" s="45"/>
    </row>
    <row r="2570" spans="47:47" ht="12" customHeight="1">
      <c r="AU2570" s="45"/>
    </row>
    <row r="2571" spans="47:47" ht="12" customHeight="1">
      <c r="AU2571" s="45"/>
    </row>
    <row r="2572" spans="47:47" ht="12" customHeight="1">
      <c r="AU2572" s="45"/>
    </row>
    <row r="2573" spans="47:47" ht="12" customHeight="1">
      <c r="AU2573" s="45"/>
    </row>
    <row r="2574" spans="47:47" ht="12" customHeight="1">
      <c r="AU2574" s="45"/>
    </row>
    <row r="2575" spans="47:47" ht="12" customHeight="1">
      <c r="AU2575" s="45"/>
    </row>
    <row r="2576" spans="47:47" ht="12" customHeight="1">
      <c r="AU2576" s="45"/>
    </row>
    <row r="2577" spans="47:47" ht="12" customHeight="1">
      <c r="AU2577" s="45"/>
    </row>
    <row r="2578" spans="47:47" ht="12" customHeight="1">
      <c r="AU2578" s="45"/>
    </row>
    <row r="2579" spans="47:47" ht="12" customHeight="1">
      <c r="AU2579" s="45"/>
    </row>
    <row r="2580" spans="47:47" ht="12" customHeight="1">
      <c r="AU2580" s="45"/>
    </row>
    <row r="2581" spans="47:47" ht="12" customHeight="1">
      <c r="AU2581" s="45"/>
    </row>
    <row r="2582" spans="47:47" ht="12" customHeight="1">
      <c r="AU2582" s="45"/>
    </row>
    <row r="2583" spans="47:47" ht="12" customHeight="1">
      <c r="AU2583" s="45"/>
    </row>
    <row r="2584" spans="47:47" ht="12" customHeight="1">
      <c r="AU2584" s="45"/>
    </row>
    <row r="2585" spans="47:47" ht="12" customHeight="1">
      <c r="AU2585" s="45"/>
    </row>
    <row r="2586" spans="47:47" ht="12" customHeight="1">
      <c r="AU2586" s="45"/>
    </row>
    <row r="2587" spans="47:47" ht="12" customHeight="1">
      <c r="AU2587" s="45"/>
    </row>
    <row r="2588" spans="47:47" ht="12" customHeight="1">
      <c r="AU2588" s="45"/>
    </row>
    <row r="2589" spans="47:47" ht="12" customHeight="1">
      <c r="AU2589" s="45"/>
    </row>
    <row r="2590" spans="47:47" ht="12" customHeight="1">
      <c r="AU2590" s="45"/>
    </row>
    <row r="2591" spans="47:47" ht="12" customHeight="1">
      <c r="AU2591" s="45"/>
    </row>
    <row r="2592" spans="47:47" ht="12" customHeight="1">
      <c r="AU2592" s="45"/>
    </row>
    <row r="2593" spans="47:47" ht="12" customHeight="1">
      <c r="AU2593" s="45"/>
    </row>
    <row r="2594" spans="47:47" ht="12" customHeight="1">
      <c r="AU2594" s="45"/>
    </row>
    <row r="2595" spans="47:47" ht="12" customHeight="1">
      <c r="AU2595" s="45"/>
    </row>
    <row r="2596" spans="47:47" ht="12" customHeight="1">
      <c r="AU2596" s="45"/>
    </row>
    <row r="2597" spans="47:47" ht="12" customHeight="1">
      <c r="AU2597" s="45"/>
    </row>
    <row r="2598" spans="47:47" ht="12" customHeight="1">
      <c r="AU2598" s="45"/>
    </row>
    <row r="2599" spans="47:47" ht="12" customHeight="1">
      <c r="AU2599" s="45"/>
    </row>
    <row r="2600" spans="47:47" ht="12" customHeight="1">
      <c r="AU2600" s="45"/>
    </row>
    <row r="2601" spans="47:47" ht="12" customHeight="1">
      <c r="AU2601" s="45"/>
    </row>
    <row r="2602" spans="47:47" ht="12" customHeight="1">
      <c r="AU2602" s="45"/>
    </row>
    <row r="2603" spans="47:47" ht="12" customHeight="1">
      <c r="AU2603" s="45"/>
    </row>
    <row r="2604" spans="47:47" ht="12" customHeight="1">
      <c r="AU2604" s="45"/>
    </row>
    <row r="2605" spans="47:47" ht="12" customHeight="1">
      <c r="AU2605" s="45"/>
    </row>
    <row r="2606" spans="47:47" ht="12" customHeight="1">
      <c r="AU2606" s="45"/>
    </row>
    <row r="2607" spans="47:47" ht="12" customHeight="1">
      <c r="AU2607" s="45"/>
    </row>
    <row r="2608" spans="47:47" ht="12" customHeight="1">
      <c r="AU2608" s="45"/>
    </row>
    <row r="2609" spans="47:47" ht="12" customHeight="1">
      <c r="AU2609" s="45"/>
    </row>
    <row r="2610" spans="47:47" ht="12" customHeight="1">
      <c r="AU2610" s="45"/>
    </row>
    <row r="2611" spans="47:47" ht="12" customHeight="1">
      <c r="AU2611" s="45"/>
    </row>
    <row r="2612" spans="47:47" ht="12" customHeight="1">
      <c r="AU2612" s="45"/>
    </row>
    <row r="2613" spans="47:47" ht="12" customHeight="1">
      <c r="AU2613" s="45"/>
    </row>
    <row r="2614" spans="47:47" ht="12" customHeight="1">
      <c r="AU2614" s="45"/>
    </row>
    <row r="2615" spans="47:47" ht="12" customHeight="1">
      <c r="AU2615" s="45"/>
    </row>
    <row r="2616" spans="47:47" ht="12" customHeight="1">
      <c r="AU2616" s="45"/>
    </row>
    <row r="2617" spans="47:47" ht="12" customHeight="1">
      <c r="AU2617" s="45"/>
    </row>
    <row r="2618" spans="47:47" ht="12" customHeight="1">
      <c r="AU2618" s="45"/>
    </row>
    <row r="2619" spans="47:47" ht="12" customHeight="1">
      <c r="AU2619" s="45"/>
    </row>
    <row r="2620" spans="47:47" ht="12" customHeight="1">
      <c r="AU2620" s="45"/>
    </row>
    <row r="2621" spans="47:47" ht="12" customHeight="1">
      <c r="AU2621" s="45"/>
    </row>
    <row r="2622" spans="47:47" ht="12" customHeight="1">
      <c r="AU2622" s="45"/>
    </row>
    <row r="2623" spans="47:47" ht="12" customHeight="1">
      <c r="AU2623" s="45"/>
    </row>
    <row r="2624" spans="47:47" ht="12" customHeight="1">
      <c r="AU2624" s="45"/>
    </row>
    <row r="2625" spans="47:47" ht="12" customHeight="1">
      <c r="AU2625" s="45"/>
    </row>
    <row r="2626" spans="47:47" ht="12" customHeight="1">
      <c r="AU2626" s="45"/>
    </row>
    <row r="2627" spans="47:47" ht="12" customHeight="1">
      <c r="AU2627" s="45"/>
    </row>
    <row r="2628" spans="47:47" ht="12" customHeight="1">
      <c r="AU2628" s="45"/>
    </row>
    <row r="2629" spans="47:47" ht="12" customHeight="1">
      <c r="AU2629" s="45"/>
    </row>
    <row r="2630" spans="47:47" ht="12" customHeight="1">
      <c r="AU2630" s="45"/>
    </row>
    <row r="2631" spans="47:47" ht="12" customHeight="1">
      <c r="AU2631" s="45"/>
    </row>
    <row r="2632" spans="47:47" ht="12" customHeight="1">
      <c r="AU2632" s="45"/>
    </row>
    <row r="2633" spans="47:47" ht="12" customHeight="1">
      <c r="AU2633" s="45"/>
    </row>
    <row r="2634" spans="47:47" ht="12" customHeight="1">
      <c r="AU2634" s="45"/>
    </row>
    <row r="2635" spans="47:47" ht="12" customHeight="1">
      <c r="AU2635" s="45"/>
    </row>
    <row r="2636" spans="47:47" ht="12" customHeight="1">
      <c r="AU2636" s="45"/>
    </row>
    <row r="2637" spans="47:47" ht="12" customHeight="1">
      <c r="AU2637" s="45"/>
    </row>
    <row r="2638" spans="47:47" ht="12" customHeight="1">
      <c r="AU2638" s="45"/>
    </row>
    <row r="2639" spans="47:47" ht="12" customHeight="1">
      <c r="AU2639" s="45"/>
    </row>
    <row r="2640" spans="47:47" ht="12" customHeight="1">
      <c r="AU2640" s="45"/>
    </row>
    <row r="2641" spans="47:47" ht="12" customHeight="1">
      <c r="AU2641" s="45"/>
    </row>
    <row r="2642" spans="47:47" ht="12" customHeight="1">
      <c r="AU2642" s="45"/>
    </row>
    <row r="2643" spans="47:47" ht="12" customHeight="1">
      <c r="AU2643" s="45"/>
    </row>
    <row r="2644" spans="47:47" ht="12" customHeight="1">
      <c r="AU2644" s="45"/>
    </row>
    <row r="2645" spans="47:47" ht="12" customHeight="1">
      <c r="AU2645" s="45"/>
    </row>
    <row r="2646" spans="47:47" ht="12" customHeight="1">
      <c r="AU2646" s="45"/>
    </row>
    <row r="2647" spans="47:47" ht="12" customHeight="1">
      <c r="AU2647" s="45"/>
    </row>
    <row r="2648" spans="47:47" ht="12" customHeight="1">
      <c r="AU2648" s="45"/>
    </row>
    <row r="2649" spans="47:47" ht="12" customHeight="1">
      <c r="AU2649" s="45"/>
    </row>
    <row r="2650" spans="47:47" ht="12" customHeight="1">
      <c r="AU2650" s="45"/>
    </row>
    <row r="2651" spans="47:47" ht="12" customHeight="1">
      <c r="AU2651" s="45"/>
    </row>
    <row r="2652" spans="47:47" ht="12" customHeight="1">
      <c r="AU2652" s="45"/>
    </row>
    <row r="2653" spans="47:47" ht="12" customHeight="1">
      <c r="AU2653" s="45"/>
    </row>
    <row r="2654" spans="47:47" ht="12" customHeight="1">
      <c r="AU2654" s="45"/>
    </row>
    <row r="2655" spans="47:47" ht="12" customHeight="1">
      <c r="AU2655" s="45"/>
    </row>
    <row r="2656" spans="47:47" ht="12" customHeight="1">
      <c r="AU2656" s="45"/>
    </row>
    <row r="2657" spans="47:47" ht="12" customHeight="1">
      <c r="AU2657" s="45"/>
    </row>
    <row r="2658" spans="47:47" ht="12" customHeight="1">
      <c r="AU2658" s="45"/>
    </row>
    <row r="2659" spans="47:47" ht="12" customHeight="1">
      <c r="AU2659" s="45"/>
    </row>
    <row r="2660" spans="47:47" ht="12" customHeight="1">
      <c r="AU2660" s="45"/>
    </row>
    <row r="2661" spans="47:47" ht="12" customHeight="1">
      <c r="AU2661" s="45"/>
    </row>
    <row r="2662" spans="47:47" ht="12" customHeight="1">
      <c r="AU2662" s="45"/>
    </row>
    <row r="2663" spans="47:47" ht="12" customHeight="1">
      <c r="AU2663" s="45"/>
    </row>
    <row r="2664" spans="47:47" ht="12" customHeight="1">
      <c r="AU2664" s="45"/>
    </row>
    <row r="2665" spans="47:47" ht="12" customHeight="1">
      <c r="AU2665" s="45"/>
    </row>
    <row r="2666" spans="47:47" ht="12" customHeight="1">
      <c r="AU2666" s="45"/>
    </row>
    <row r="2667" spans="47:47" ht="12" customHeight="1">
      <c r="AU2667" s="45"/>
    </row>
    <row r="2668" spans="47:47" ht="12" customHeight="1">
      <c r="AU2668" s="45"/>
    </row>
    <row r="2669" spans="47:47" ht="12" customHeight="1">
      <c r="AU2669" s="45"/>
    </row>
    <row r="2670" spans="47:47" ht="12" customHeight="1">
      <c r="AU2670" s="45"/>
    </row>
    <row r="2671" spans="47:47" ht="12" customHeight="1">
      <c r="AU2671" s="45"/>
    </row>
    <row r="2672" spans="47:47" ht="12" customHeight="1">
      <c r="AU2672" s="45"/>
    </row>
    <row r="2673" spans="47:47" ht="12" customHeight="1">
      <c r="AU2673" s="45"/>
    </row>
    <row r="2674" spans="47:47" ht="12" customHeight="1">
      <c r="AU2674" s="45"/>
    </row>
    <row r="2675" spans="47:47" ht="12" customHeight="1">
      <c r="AU2675" s="45"/>
    </row>
    <row r="2676" spans="47:47" ht="12" customHeight="1">
      <c r="AU2676" s="45"/>
    </row>
    <row r="2677" spans="47:47" ht="12" customHeight="1">
      <c r="AU2677" s="45"/>
    </row>
    <row r="2678" spans="47:47" ht="12" customHeight="1">
      <c r="AU2678" s="45"/>
    </row>
    <row r="2679" spans="47:47" ht="12" customHeight="1">
      <c r="AU2679" s="45"/>
    </row>
    <row r="2680" spans="47:47" ht="12" customHeight="1">
      <c r="AU2680" s="45"/>
    </row>
    <row r="2681" spans="47:47" ht="12" customHeight="1">
      <c r="AU2681" s="45"/>
    </row>
    <row r="2682" spans="47:47" ht="12" customHeight="1">
      <c r="AU2682" s="45"/>
    </row>
    <row r="2683" spans="47:47" ht="12" customHeight="1">
      <c r="AU2683" s="45"/>
    </row>
    <row r="2684" spans="47:47" ht="12" customHeight="1">
      <c r="AU2684" s="45"/>
    </row>
    <row r="2685" spans="47:47" ht="12" customHeight="1">
      <c r="AU2685" s="45"/>
    </row>
    <row r="2686" spans="47:47" ht="12" customHeight="1">
      <c r="AU2686" s="45"/>
    </row>
    <row r="2687" spans="47:47" ht="12" customHeight="1">
      <c r="AU2687" s="45"/>
    </row>
    <row r="2688" spans="47:47" ht="12" customHeight="1">
      <c r="AU2688" s="45"/>
    </row>
    <row r="2689" spans="47:47" ht="12" customHeight="1">
      <c r="AU2689" s="45"/>
    </row>
    <row r="2690" spans="47:47" ht="12" customHeight="1">
      <c r="AU2690" s="45"/>
    </row>
    <row r="2691" spans="47:47" ht="12" customHeight="1">
      <c r="AU2691" s="45"/>
    </row>
    <row r="2692" spans="47:47" ht="12" customHeight="1">
      <c r="AU2692" s="45"/>
    </row>
    <row r="2693" spans="47:47" ht="12" customHeight="1">
      <c r="AU2693" s="45"/>
    </row>
    <row r="2694" spans="47:47" ht="12" customHeight="1">
      <c r="AU2694" s="45"/>
    </row>
    <row r="2695" spans="47:47" ht="12" customHeight="1">
      <c r="AU2695" s="45"/>
    </row>
    <row r="2696" spans="47:47" ht="12" customHeight="1">
      <c r="AU2696" s="45"/>
    </row>
    <row r="2697" spans="47:47" ht="12" customHeight="1">
      <c r="AU2697" s="45"/>
    </row>
    <row r="2698" spans="47:47" ht="12" customHeight="1">
      <c r="AU2698" s="45"/>
    </row>
    <row r="2699" spans="47:47" ht="12" customHeight="1">
      <c r="AU2699" s="45"/>
    </row>
    <row r="2700" spans="47:47" ht="12" customHeight="1">
      <c r="AU2700" s="45"/>
    </row>
    <row r="2701" spans="47:47" ht="12" customHeight="1">
      <c r="AU2701" s="45"/>
    </row>
    <row r="2702" spans="47:47" ht="12" customHeight="1">
      <c r="AU2702" s="45"/>
    </row>
    <row r="2703" spans="47:47" ht="12" customHeight="1">
      <c r="AU2703" s="45"/>
    </row>
    <row r="2704" spans="47:47" ht="12" customHeight="1">
      <c r="AU2704" s="45"/>
    </row>
    <row r="2705" spans="47:47" ht="12" customHeight="1">
      <c r="AU2705" s="45"/>
    </row>
    <row r="2706" spans="47:47" ht="12" customHeight="1">
      <c r="AU2706" s="45"/>
    </row>
    <row r="2707" spans="47:47" ht="12" customHeight="1">
      <c r="AU2707" s="45"/>
    </row>
    <row r="2708" spans="47:47" ht="12" customHeight="1">
      <c r="AU2708" s="45"/>
    </row>
    <row r="2709" spans="47:47" ht="12" customHeight="1">
      <c r="AU2709" s="45"/>
    </row>
    <row r="2710" spans="47:47" ht="12" customHeight="1">
      <c r="AU2710" s="45"/>
    </row>
    <row r="2711" spans="47:47" ht="12" customHeight="1">
      <c r="AU2711" s="45"/>
    </row>
    <row r="2712" spans="47:47" ht="12" customHeight="1">
      <c r="AU2712" s="45"/>
    </row>
    <row r="2713" spans="47:47" ht="12" customHeight="1">
      <c r="AU2713" s="45"/>
    </row>
    <row r="2714" spans="47:47" ht="12" customHeight="1">
      <c r="AU2714" s="45"/>
    </row>
    <row r="2715" spans="47:47" ht="12" customHeight="1">
      <c r="AU2715" s="45"/>
    </row>
    <row r="2716" spans="47:47" ht="12" customHeight="1">
      <c r="AU2716" s="45"/>
    </row>
    <row r="2717" spans="47:47" ht="12" customHeight="1">
      <c r="AU2717" s="45"/>
    </row>
    <row r="2718" spans="47:47" ht="12" customHeight="1">
      <c r="AU2718" s="45"/>
    </row>
    <row r="2719" spans="47:47" ht="12" customHeight="1">
      <c r="AU2719" s="45"/>
    </row>
    <row r="2720" spans="47:47" ht="12" customHeight="1">
      <c r="AU2720" s="45"/>
    </row>
    <row r="2721" spans="47:47" ht="12" customHeight="1">
      <c r="AU2721" s="45"/>
    </row>
    <row r="2722" spans="47:47" ht="12" customHeight="1">
      <c r="AU2722" s="45"/>
    </row>
    <row r="2723" spans="47:47" ht="12" customHeight="1">
      <c r="AU2723" s="45"/>
    </row>
    <row r="2724" spans="47:47" ht="12" customHeight="1">
      <c r="AU2724" s="45"/>
    </row>
    <row r="2725" spans="47:47" ht="12" customHeight="1">
      <c r="AU2725" s="45"/>
    </row>
    <row r="2726" spans="47:47" ht="12" customHeight="1">
      <c r="AU2726" s="45"/>
    </row>
    <row r="2727" spans="47:47" ht="12" customHeight="1">
      <c r="AU2727" s="45"/>
    </row>
    <row r="2728" spans="47:47" ht="12" customHeight="1">
      <c r="AU2728" s="45"/>
    </row>
    <row r="2729" spans="47:47" ht="12" customHeight="1">
      <c r="AU2729" s="45"/>
    </row>
    <row r="2730" spans="47:47" ht="12" customHeight="1">
      <c r="AU2730" s="45"/>
    </row>
    <row r="2731" spans="47:47" ht="12" customHeight="1">
      <c r="AU2731" s="45"/>
    </row>
    <row r="2732" spans="47:47" ht="12" customHeight="1">
      <c r="AU2732" s="45"/>
    </row>
    <row r="2733" spans="47:47" ht="12" customHeight="1">
      <c r="AU2733" s="45"/>
    </row>
    <row r="2734" spans="47:47" ht="12" customHeight="1">
      <c r="AU2734" s="45"/>
    </row>
    <row r="2735" spans="47:47" ht="12" customHeight="1">
      <c r="AU2735" s="45"/>
    </row>
    <row r="2736" spans="47:47" ht="12" customHeight="1">
      <c r="AU2736" s="45"/>
    </row>
    <row r="2737" spans="47:47" ht="12" customHeight="1">
      <c r="AU2737" s="45"/>
    </row>
    <row r="2738" spans="47:47" ht="12" customHeight="1">
      <c r="AU2738" s="45"/>
    </row>
    <row r="2739" spans="47:47" ht="12" customHeight="1">
      <c r="AU2739" s="45"/>
    </row>
    <row r="2740" spans="47:47" ht="12" customHeight="1">
      <c r="AU2740" s="45"/>
    </row>
    <row r="2741" spans="47:47" ht="12" customHeight="1">
      <c r="AU2741" s="45"/>
    </row>
    <row r="2742" spans="47:47" ht="12" customHeight="1">
      <c r="AU2742" s="45"/>
    </row>
    <row r="2743" spans="47:47" ht="12" customHeight="1">
      <c r="AU2743" s="45"/>
    </row>
    <row r="2744" spans="47:47" ht="12" customHeight="1">
      <c r="AU2744" s="45"/>
    </row>
    <row r="2745" spans="47:47" ht="12" customHeight="1">
      <c r="AU2745" s="45"/>
    </row>
    <row r="2746" spans="47:47" ht="12" customHeight="1">
      <c r="AU2746" s="45"/>
    </row>
    <row r="2747" spans="47:47" ht="12" customHeight="1">
      <c r="AU2747" s="45"/>
    </row>
    <row r="2748" spans="47:47" ht="12" customHeight="1">
      <c r="AU2748" s="45"/>
    </row>
    <row r="2749" spans="47:47" ht="12" customHeight="1">
      <c r="AU2749" s="45"/>
    </row>
    <row r="2750" spans="47:47" ht="12" customHeight="1">
      <c r="AU2750" s="45"/>
    </row>
    <row r="2751" spans="47:47" ht="12" customHeight="1">
      <c r="AU2751" s="45"/>
    </row>
    <row r="2752" spans="47:47" ht="12" customHeight="1">
      <c r="AU2752" s="45"/>
    </row>
    <row r="2753" spans="47:47" ht="12" customHeight="1">
      <c r="AU2753" s="45"/>
    </row>
    <row r="2754" spans="47:47" ht="12" customHeight="1">
      <c r="AU2754" s="45"/>
    </row>
    <row r="2755" spans="47:47" ht="12" customHeight="1">
      <c r="AU2755" s="45"/>
    </row>
    <row r="2756" spans="47:47" ht="12" customHeight="1">
      <c r="AU2756" s="45"/>
    </row>
    <row r="2757" spans="47:47" ht="12" customHeight="1">
      <c r="AU2757" s="45"/>
    </row>
    <row r="2758" spans="47:47" ht="12" customHeight="1">
      <c r="AU2758" s="45"/>
    </row>
    <row r="2759" spans="47:47" ht="12" customHeight="1">
      <c r="AU2759" s="45"/>
    </row>
    <row r="2760" spans="47:47" ht="12" customHeight="1">
      <c r="AU2760" s="45"/>
    </row>
    <row r="2761" spans="47:47" ht="12" customHeight="1">
      <c r="AU2761" s="45"/>
    </row>
    <row r="2762" spans="47:47" ht="12" customHeight="1">
      <c r="AU2762" s="45"/>
    </row>
    <row r="2763" spans="47:47" ht="12" customHeight="1">
      <c r="AU2763" s="45"/>
    </row>
    <row r="2764" spans="47:47" ht="12" customHeight="1">
      <c r="AU2764" s="45"/>
    </row>
    <row r="2765" spans="47:47" ht="12" customHeight="1">
      <c r="AU2765" s="45"/>
    </row>
    <row r="2766" spans="47:47" ht="12" customHeight="1">
      <c r="AU2766" s="45"/>
    </row>
    <row r="2767" spans="47:47" ht="12" customHeight="1">
      <c r="AU2767" s="45"/>
    </row>
    <row r="2768" spans="47:47" ht="12" customHeight="1">
      <c r="AU2768" s="45"/>
    </row>
    <row r="2769" spans="47:47" ht="12" customHeight="1">
      <c r="AU2769" s="45"/>
    </row>
    <row r="2770" spans="47:47" ht="12" customHeight="1">
      <c r="AU2770" s="45"/>
    </row>
    <row r="2771" spans="47:47" ht="12" customHeight="1">
      <c r="AU2771" s="45"/>
    </row>
    <row r="2772" spans="47:47" ht="12" customHeight="1">
      <c r="AU2772" s="45"/>
    </row>
    <row r="2773" spans="47:47" ht="12" customHeight="1">
      <c r="AU2773" s="45"/>
    </row>
    <row r="2774" spans="47:47" ht="12" customHeight="1">
      <c r="AU2774" s="45"/>
    </row>
    <row r="2775" spans="47:47" ht="12" customHeight="1">
      <c r="AU2775" s="45"/>
    </row>
    <row r="2776" spans="47:47" ht="12" customHeight="1">
      <c r="AU2776" s="45"/>
    </row>
    <row r="2777" spans="47:47" ht="12" customHeight="1">
      <c r="AU2777" s="45"/>
    </row>
    <row r="2778" spans="47:47" ht="12" customHeight="1">
      <c r="AU2778" s="45"/>
    </row>
    <row r="2779" spans="47:47" ht="12" customHeight="1">
      <c r="AU2779" s="45"/>
    </row>
    <row r="2780" spans="47:47" ht="12" customHeight="1">
      <c r="AU2780" s="45"/>
    </row>
    <row r="2781" spans="47:47" ht="12" customHeight="1">
      <c r="AU2781" s="45"/>
    </row>
    <row r="2782" spans="47:47" ht="12" customHeight="1">
      <c r="AU2782" s="45"/>
    </row>
    <row r="2783" spans="47:47" ht="12" customHeight="1">
      <c r="AU2783" s="45"/>
    </row>
    <row r="2784" spans="47:47" ht="12" customHeight="1">
      <c r="AU2784" s="45"/>
    </row>
    <row r="2785" spans="47:47" ht="12" customHeight="1">
      <c r="AU2785" s="45"/>
    </row>
    <row r="2786" spans="47:47" ht="12" customHeight="1">
      <c r="AU2786" s="45"/>
    </row>
    <row r="2787" spans="47:47" ht="12" customHeight="1">
      <c r="AU2787" s="45"/>
    </row>
    <row r="2788" spans="47:47" ht="12" customHeight="1">
      <c r="AU2788" s="45"/>
    </row>
    <row r="2789" spans="47:47" ht="12" customHeight="1">
      <c r="AU2789" s="45"/>
    </row>
    <row r="2790" spans="47:47" ht="12" customHeight="1">
      <c r="AU2790" s="45"/>
    </row>
    <row r="2791" spans="47:47" ht="12" customHeight="1">
      <c r="AU2791" s="45"/>
    </row>
    <row r="2792" spans="47:47" ht="12" customHeight="1">
      <c r="AU2792" s="45"/>
    </row>
    <row r="2793" spans="47:47" ht="12" customHeight="1">
      <c r="AU2793" s="45"/>
    </row>
    <row r="2794" spans="47:47" ht="12" customHeight="1">
      <c r="AU2794" s="45"/>
    </row>
    <row r="2795" spans="47:47" ht="12" customHeight="1">
      <c r="AU2795" s="45"/>
    </row>
    <row r="2796" spans="47:47" ht="12" customHeight="1">
      <c r="AU2796" s="45"/>
    </row>
    <row r="2797" spans="47:47" ht="12" customHeight="1">
      <c r="AU2797" s="45"/>
    </row>
    <row r="2798" spans="47:47" ht="12" customHeight="1">
      <c r="AU2798" s="45"/>
    </row>
    <row r="2799" spans="47:47" ht="12" customHeight="1">
      <c r="AU2799" s="45"/>
    </row>
    <row r="2800" spans="47:47" ht="12" customHeight="1">
      <c r="AU2800" s="45"/>
    </row>
    <row r="2801" spans="47:47" ht="12" customHeight="1">
      <c r="AU2801" s="45"/>
    </row>
    <row r="2802" spans="47:47" ht="12" customHeight="1">
      <c r="AU2802" s="45"/>
    </row>
    <row r="2803" spans="47:47" ht="12" customHeight="1">
      <c r="AU2803" s="45"/>
    </row>
    <row r="2804" spans="47:47" ht="12" customHeight="1">
      <c r="AU2804" s="45"/>
    </row>
    <row r="2805" spans="47:47" ht="12" customHeight="1">
      <c r="AU2805" s="45"/>
    </row>
    <row r="2806" spans="47:47" ht="12" customHeight="1">
      <c r="AU2806" s="45"/>
    </row>
    <row r="2807" spans="47:47" ht="12" customHeight="1">
      <c r="AU2807" s="45"/>
    </row>
    <row r="2808" spans="47:47" ht="12" customHeight="1">
      <c r="AU2808" s="45"/>
    </row>
    <row r="2809" spans="47:47" ht="12" customHeight="1">
      <c r="AU2809" s="45"/>
    </row>
    <row r="2810" spans="47:47" ht="12" customHeight="1">
      <c r="AU2810" s="45"/>
    </row>
    <row r="2811" spans="47:47" ht="12" customHeight="1">
      <c r="AU2811" s="45"/>
    </row>
    <row r="2812" spans="47:47" ht="12" customHeight="1">
      <c r="AU2812" s="45"/>
    </row>
    <row r="2813" spans="47:47" ht="12" customHeight="1">
      <c r="AU2813" s="45"/>
    </row>
    <row r="2814" spans="47:47" ht="12" customHeight="1">
      <c r="AU2814" s="45"/>
    </row>
    <row r="2815" spans="47:47" ht="12" customHeight="1">
      <c r="AU2815" s="45"/>
    </row>
    <row r="2816" spans="47:47" ht="12" customHeight="1">
      <c r="AU2816" s="45"/>
    </row>
    <row r="2817" spans="47:47" ht="12" customHeight="1">
      <c r="AU2817" s="45"/>
    </row>
    <row r="2818" spans="47:47" ht="12" customHeight="1">
      <c r="AU2818" s="45"/>
    </row>
    <row r="2819" spans="47:47" ht="12" customHeight="1">
      <c r="AU2819" s="45"/>
    </row>
    <row r="2820" spans="47:47" ht="12" customHeight="1">
      <c r="AU2820" s="45"/>
    </row>
    <row r="2821" spans="47:47" ht="12" customHeight="1">
      <c r="AU2821" s="45"/>
    </row>
    <row r="2822" spans="47:47" ht="12" customHeight="1">
      <c r="AU2822" s="45"/>
    </row>
    <row r="2823" spans="47:47" ht="12" customHeight="1">
      <c r="AU2823" s="45"/>
    </row>
    <row r="2824" spans="47:47" ht="12" customHeight="1">
      <c r="AU2824" s="45"/>
    </row>
    <row r="2825" spans="47:47" ht="12" customHeight="1">
      <c r="AU2825" s="45"/>
    </row>
    <row r="2826" spans="47:47" ht="12" customHeight="1">
      <c r="AU2826" s="45"/>
    </row>
    <row r="2827" spans="47:47" ht="12" customHeight="1">
      <c r="AU2827" s="45"/>
    </row>
    <row r="2828" spans="47:47" ht="12" customHeight="1">
      <c r="AU2828" s="45"/>
    </row>
    <row r="2829" spans="47:47" ht="12" customHeight="1">
      <c r="AU2829" s="45"/>
    </row>
    <row r="2830" spans="47:47" ht="12" customHeight="1">
      <c r="AU2830" s="45"/>
    </row>
    <row r="2831" spans="47:47" ht="12" customHeight="1">
      <c r="AU2831" s="45"/>
    </row>
    <row r="2832" spans="47:47" ht="12" customHeight="1">
      <c r="AU2832" s="45"/>
    </row>
    <row r="2833" spans="47:47" ht="12" customHeight="1">
      <c r="AU2833" s="45"/>
    </row>
    <row r="2834" spans="47:47" ht="12" customHeight="1">
      <c r="AU2834" s="45"/>
    </row>
    <row r="2835" spans="47:47" ht="12" customHeight="1">
      <c r="AU2835" s="45"/>
    </row>
    <row r="2836" spans="47:47" ht="12" customHeight="1">
      <c r="AU2836" s="45"/>
    </row>
    <row r="2837" spans="47:47" ht="12" customHeight="1">
      <c r="AU2837" s="45"/>
    </row>
    <row r="2838" spans="47:47" ht="12" customHeight="1">
      <c r="AU2838" s="45"/>
    </row>
    <row r="2839" spans="47:47" ht="12" customHeight="1">
      <c r="AU2839" s="45"/>
    </row>
    <row r="2840" spans="47:47" ht="12" customHeight="1">
      <c r="AU2840" s="45"/>
    </row>
    <row r="2841" spans="47:47" ht="12" customHeight="1">
      <c r="AU2841" s="45"/>
    </row>
    <row r="2842" spans="47:47" ht="12" customHeight="1">
      <c r="AU2842" s="45"/>
    </row>
    <row r="2843" spans="47:47" ht="12" customHeight="1">
      <c r="AU2843" s="45"/>
    </row>
    <row r="2844" spans="47:47" ht="12" customHeight="1">
      <c r="AU2844" s="45"/>
    </row>
    <row r="2845" spans="47:47" ht="12" customHeight="1">
      <c r="AU2845" s="45"/>
    </row>
    <row r="2846" spans="47:47" ht="12" customHeight="1">
      <c r="AU2846" s="45"/>
    </row>
    <row r="2847" spans="47:47" ht="12" customHeight="1">
      <c r="AU2847" s="45"/>
    </row>
    <row r="2848" spans="47:47" ht="12" customHeight="1">
      <c r="AU2848" s="45"/>
    </row>
    <row r="2849" spans="47:47" ht="12" customHeight="1">
      <c r="AU2849" s="45"/>
    </row>
    <row r="2850" spans="47:47" ht="12" customHeight="1">
      <c r="AU2850" s="45"/>
    </row>
    <row r="2851" spans="47:47" ht="12" customHeight="1">
      <c r="AU2851" s="45"/>
    </row>
    <row r="2852" spans="47:47" ht="12" customHeight="1">
      <c r="AU2852" s="45"/>
    </row>
    <row r="2853" spans="47:47" ht="12" customHeight="1">
      <c r="AU2853" s="45"/>
    </row>
    <row r="2854" spans="47:47" ht="12" customHeight="1">
      <c r="AU2854" s="45"/>
    </row>
    <row r="2855" spans="47:47" ht="12" customHeight="1">
      <c r="AU2855" s="45"/>
    </row>
    <row r="2856" spans="47:47" ht="12" customHeight="1">
      <c r="AU2856" s="45"/>
    </row>
    <row r="2857" spans="47:47" ht="12" customHeight="1">
      <c r="AU2857" s="45"/>
    </row>
    <row r="2858" spans="47:47" ht="12" customHeight="1">
      <c r="AU2858" s="45"/>
    </row>
    <row r="2859" spans="47:47" ht="12" customHeight="1">
      <c r="AU2859" s="45"/>
    </row>
    <row r="2860" spans="47:47" ht="12" customHeight="1">
      <c r="AU2860" s="45"/>
    </row>
    <row r="2861" spans="47:47" ht="12" customHeight="1">
      <c r="AU2861" s="45"/>
    </row>
    <row r="2862" spans="47:47" ht="12" customHeight="1">
      <c r="AU2862" s="45"/>
    </row>
    <row r="2863" spans="47:47" ht="12" customHeight="1">
      <c r="AU2863" s="45"/>
    </row>
    <row r="2864" spans="47:47" ht="12" customHeight="1">
      <c r="AU2864" s="45"/>
    </row>
    <row r="2865" spans="47:47" ht="12" customHeight="1">
      <c r="AU2865" s="45"/>
    </row>
    <row r="2866" spans="47:47" ht="12" customHeight="1">
      <c r="AU2866" s="45"/>
    </row>
    <row r="2867" spans="47:47" ht="12" customHeight="1">
      <c r="AU2867" s="45"/>
    </row>
    <row r="2868" spans="47:47" ht="12" customHeight="1">
      <c r="AU2868" s="45"/>
    </row>
    <row r="2869" spans="47:47" ht="12" customHeight="1">
      <c r="AU2869" s="45"/>
    </row>
    <row r="2870" spans="47:47" ht="12" customHeight="1">
      <c r="AU2870" s="45"/>
    </row>
    <row r="2871" spans="47:47" ht="12" customHeight="1">
      <c r="AU2871" s="45"/>
    </row>
    <row r="2872" spans="47:47" ht="12" customHeight="1">
      <c r="AU2872" s="45"/>
    </row>
    <row r="2873" spans="47:47" ht="12" customHeight="1">
      <c r="AU2873" s="45"/>
    </row>
    <row r="2874" spans="47:47" ht="12" customHeight="1">
      <c r="AU2874" s="45"/>
    </row>
    <row r="2875" spans="47:47" ht="12" customHeight="1">
      <c r="AU2875" s="45"/>
    </row>
    <row r="2876" spans="47:47" ht="12" customHeight="1">
      <c r="AU2876" s="45"/>
    </row>
    <row r="2877" spans="47:47" ht="12" customHeight="1">
      <c r="AU2877" s="45"/>
    </row>
    <row r="2878" spans="47:47" ht="12" customHeight="1">
      <c r="AU2878" s="45"/>
    </row>
    <row r="2879" spans="47:47" ht="12" customHeight="1">
      <c r="AU2879" s="45"/>
    </row>
    <row r="2880" spans="47:47" ht="12" customHeight="1">
      <c r="AU2880" s="45"/>
    </row>
    <row r="2881" spans="47:47" ht="12" customHeight="1">
      <c r="AU2881" s="45"/>
    </row>
    <row r="2882" spans="47:47" ht="12" customHeight="1">
      <c r="AU2882" s="45"/>
    </row>
    <row r="2883" spans="47:47" ht="12" customHeight="1">
      <c r="AU2883" s="45"/>
    </row>
    <row r="2884" spans="47:47" ht="12" customHeight="1">
      <c r="AU2884" s="45"/>
    </row>
    <row r="2885" spans="47:47" ht="12" customHeight="1">
      <c r="AU2885" s="45"/>
    </row>
    <row r="2886" spans="47:47" ht="12" customHeight="1">
      <c r="AU2886" s="45"/>
    </row>
    <row r="2887" spans="47:47" ht="12" customHeight="1">
      <c r="AU2887" s="45"/>
    </row>
    <row r="2888" spans="47:47" ht="12" customHeight="1">
      <c r="AU2888" s="45"/>
    </row>
    <row r="2889" spans="47:47" ht="12" customHeight="1">
      <c r="AU2889" s="45"/>
    </row>
    <row r="2890" spans="47:47" ht="12" customHeight="1">
      <c r="AU2890" s="45"/>
    </row>
    <row r="2891" spans="47:47" ht="12" customHeight="1">
      <c r="AU2891" s="45"/>
    </row>
    <row r="2892" spans="47:47" ht="12" customHeight="1">
      <c r="AU2892" s="45"/>
    </row>
    <row r="2893" spans="47:47" ht="12" customHeight="1">
      <c r="AU2893" s="45"/>
    </row>
    <row r="2894" spans="47:47" ht="12" customHeight="1">
      <c r="AU2894" s="45"/>
    </row>
    <row r="2895" spans="47:47" ht="12" customHeight="1">
      <c r="AU2895" s="45"/>
    </row>
    <row r="2896" spans="47:47" ht="12" customHeight="1">
      <c r="AU2896" s="45"/>
    </row>
    <row r="2897" spans="47:47" ht="12" customHeight="1">
      <c r="AU2897" s="45"/>
    </row>
    <row r="2898" spans="47:47" ht="12" customHeight="1">
      <c r="AU2898" s="45"/>
    </row>
    <row r="2899" spans="47:47" ht="12" customHeight="1">
      <c r="AU2899" s="45"/>
    </row>
    <row r="2900" spans="47:47" ht="12" customHeight="1">
      <c r="AU2900" s="45"/>
    </row>
    <row r="2901" spans="47:47" ht="12" customHeight="1">
      <c r="AU2901" s="45"/>
    </row>
    <row r="2902" spans="47:47" ht="12" customHeight="1">
      <c r="AU2902" s="45"/>
    </row>
    <row r="2903" spans="47:47" ht="12" customHeight="1">
      <c r="AU2903" s="45"/>
    </row>
    <row r="2904" spans="47:47" ht="12" customHeight="1">
      <c r="AU2904" s="45"/>
    </row>
    <row r="2905" spans="47:47" ht="12" customHeight="1">
      <c r="AU2905" s="45"/>
    </row>
    <row r="2906" spans="47:47" ht="12" customHeight="1">
      <c r="AU2906" s="45"/>
    </row>
    <row r="2907" spans="47:47" ht="12" customHeight="1">
      <c r="AU2907" s="45"/>
    </row>
    <row r="2908" spans="47:47" ht="12" customHeight="1">
      <c r="AU2908" s="45"/>
    </row>
    <row r="2909" spans="47:47" ht="12" customHeight="1">
      <c r="AU2909" s="45"/>
    </row>
    <row r="2910" spans="47:47" ht="12" customHeight="1">
      <c r="AU2910" s="45"/>
    </row>
    <row r="2911" spans="47:47" ht="12" customHeight="1">
      <c r="AU2911" s="45"/>
    </row>
    <row r="2912" spans="47:47" ht="12" customHeight="1">
      <c r="AU2912" s="45"/>
    </row>
    <row r="2913" spans="47:47" ht="12" customHeight="1">
      <c r="AU2913" s="45"/>
    </row>
    <row r="2914" spans="47:47" ht="12" customHeight="1">
      <c r="AU2914" s="45"/>
    </row>
    <row r="2915" spans="47:47" ht="12" customHeight="1">
      <c r="AU2915" s="45"/>
    </row>
    <row r="2916" spans="47:47" ht="12" customHeight="1">
      <c r="AU2916" s="45"/>
    </row>
    <row r="2917" spans="47:47" ht="12" customHeight="1">
      <c r="AU2917" s="45"/>
    </row>
    <row r="2918" spans="47:47" ht="12" customHeight="1">
      <c r="AU2918" s="45"/>
    </row>
    <row r="2919" spans="47:47" ht="12" customHeight="1">
      <c r="AU2919" s="45"/>
    </row>
    <row r="2920" spans="47:47" ht="12" customHeight="1">
      <c r="AU2920" s="45"/>
    </row>
    <row r="2921" spans="47:47" ht="12" customHeight="1">
      <c r="AU2921" s="45"/>
    </row>
    <row r="2922" spans="47:47" ht="12" customHeight="1">
      <c r="AU2922" s="45"/>
    </row>
    <row r="2923" spans="47:47" ht="12" customHeight="1">
      <c r="AU2923" s="45"/>
    </row>
    <row r="2924" spans="47:47" ht="12" customHeight="1">
      <c r="AU2924" s="45"/>
    </row>
    <row r="2925" spans="47:47" ht="12" customHeight="1">
      <c r="AU2925" s="45"/>
    </row>
    <row r="2926" spans="47:47" ht="12" customHeight="1">
      <c r="AU2926" s="45"/>
    </row>
    <row r="2927" spans="47:47" ht="12" customHeight="1">
      <c r="AU2927" s="45"/>
    </row>
    <row r="2928" spans="47:47" ht="12" customHeight="1">
      <c r="AU2928" s="45"/>
    </row>
    <row r="2929" spans="47:47" ht="12" customHeight="1">
      <c r="AU2929" s="45"/>
    </row>
    <row r="2930" spans="47:47" ht="12" customHeight="1">
      <c r="AU2930" s="45"/>
    </row>
    <row r="2931" spans="47:47" ht="12" customHeight="1">
      <c r="AU2931" s="45"/>
    </row>
    <row r="2932" spans="47:47" ht="12" customHeight="1">
      <c r="AU2932" s="45"/>
    </row>
    <row r="2933" spans="47:47" ht="12" customHeight="1">
      <c r="AU2933" s="45"/>
    </row>
    <row r="2934" spans="47:47" ht="12" customHeight="1">
      <c r="AU2934" s="45"/>
    </row>
    <row r="2935" spans="47:47" ht="12" customHeight="1">
      <c r="AU2935" s="45"/>
    </row>
    <row r="2936" spans="47:47" ht="12" customHeight="1">
      <c r="AU2936" s="45"/>
    </row>
    <row r="2937" spans="47:47" ht="12" customHeight="1">
      <c r="AU2937" s="45"/>
    </row>
    <row r="2938" spans="47:47" ht="12" customHeight="1">
      <c r="AU2938" s="45"/>
    </row>
    <row r="2939" spans="47:47" ht="12" customHeight="1">
      <c r="AU2939" s="45"/>
    </row>
    <row r="2940" spans="47:47" ht="12" customHeight="1">
      <c r="AU2940" s="45"/>
    </row>
    <row r="2941" spans="47:47" ht="12" customHeight="1">
      <c r="AU2941" s="45"/>
    </row>
    <row r="2942" spans="47:47" ht="12" customHeight="1">
      <c r="AU2942" s="45"/>
    </row>
    <row r="2943" spans="47:47" ht="12" customHeight="1">
      <c r="AU2943" s="45"/>
    </row>
    <row r="2944" spans="47:47" ht="12" customHeight="1">
      <c r="AU2944" s="45"/>
    </row>
    <row r="2945" spans="47:47" ht="12" customHeight="1">
      <c r="AU2945" s="45"/>
    </row>
    <row r="2946" spans="47:47" ht="12" customHeight="1">
      <c r="AU2946" s="45"/>
    </row>
    <row r="2947" spans="47:47" ht="12" customHeight="1">
      <c r="AU2947" s="45"/>
    </row>
    <row r="2948" spans="47:47" ht="12" customHeight="1">
      <c r="AU2948" s="45"/>
    </row>
    <row r="2949" spans="47:47" ht="12" customHeight="1">
      <c r="AU2949" s="45"/>
    </row>
    <row r="2950" spans="47:47" ht="12" customHeight="1">
      <c r="AU2950" s="45"/>
    </row>
    <row r="2951" spans="47:47" ht="12" customHeight="1">
      <c r="AU2951" s="45"/>
    </row>
    <row r="2952" spans="47:47" ht="12" customHeight="1">
      <c r="AU2952" s="45"/>
    </row>
    <row r="2953" spans="47:47" ht="12" customHeight="1">
      <c r="AU2953" s="45"/>
    </row>
    <row r="2954" spans="47:47" ht="12" customHeight="1">
      <c r="AU2954" s="45"/>
    </row>
    <row r="2955" spans="47:47" ht="12" customHeight="1">
      <c r="AU2955" s="45"/>
    </row>
    <row r="2956" spans="47:47" ht="12" customHeight="1">
      <c r="AU2956" s="45"/>
    </row>
    <row r="2957" spans="47:47" ht="12" customHeight="1">
      <c r="AU2957" s="45"/>
    </row>
    <row r="2958" spans="47:47" ht="12" customHeight="1">
      <c r="AU2958" s="45"/>
    </row>
    <row r="2959" spans="47:47" ht="12" customHeight="1">
      <c r="AU2959" s="45"/>
    </row>
    <row r="2960" spans="47:47" ht="12" customHeight="1">
      <c r="AU2960" s="45"/>
    </row>
    <row r="2961" spans="47:47" ht="12" customHeight="1">
      <c r="AU2961" s="45"/>
    </row>
    <row r="2962" spans="47:47" ht="12" customHeight="1">
      <c r="AU2962" s="45"/>
    </row>
    <row r="2963" spans="47:47" ht="12" customHeight="1">
      <c r="AU2963" s="45"/>
    </row>
    <row r="2964" spans="47:47" ht="12" customHeight="1">
      <c r="AU2964" s="45"/>
    </row>
    <row r="2965" spans="47:47" ht="12" customHeight="1">
      <c r="AU2965" s="45"/>
    </row>
    <row r="2966" spans="47:47" ht="12" customHeight="1">
      <c r="AU2966" s="45"/>
    </row>
    <row r="2967" spans="47:47" ht="12" customHeight="1">
      <c r="AU2967" s="45"/>
    </row>
    <row r="2968" spans="47:47" ht="12" customHeight="1">
      <c r="AU2968" s="45"/>
    </row>
    <row r="2969" spans="47:47" ht="12" customHeight="1">
      <c r="AU2969" s="45"/>
    </row>
    <row r="2970" spans="47:47" ht="12" customHeight="1">
      <c r="AU2970" s="45"/>
    </row>
    <row r="2971" spans="47:47" ht="12" customHeight="1">
      <c r="AU2971" s="45"/>
    </row>
    <row r="2972" spans="47:47" ht="12" customHeight="1">
      <c r="AU2972" s="45"/>
    </row>
    <row r="2973" spans="47:47" ht="12" customHeight="1">
      <c r="AU2973" s="45"/>
    </row>
    <row r="2974" spans="47:47" ht="12" customHeight="1">
      <c r="AU2974" s="45"/>
    </row>
    <row r="2975" spans="47:47" ht="12" customHeight="1">
      <c r="AU2975" s="45"/>
    </row>
    <row r="2976" spans="47:47" ht="12" customHeight="1">
      <c r="AU2976" s="45"/>
    </row>
    <row r="2977" spans="47:47" ht="12" customHeight="1">
      <c r="AU2977" s="45"/>
    </row>
    <row r="2978" spans="47:47" ht="12" customHeight="1">
      <c r="AU2978" s="45"/>
    </row>
    <row r="2979" spans="47:47" ht="12" customHeight="1">
      <c r="AU2979" s="45"/>
    </row>
    <row r="2980" spans="47:47" ht="12" customHeight="1">
      <c r="AU2980" s="45"/>
    </row>
    <row r="2981" spans="47:47" ht="12" customHeight="1">
      <c r="AU2981" s="45"/>
    </row>
    <row r="2982" spans="47:47" ht="12" customHeight="1">
      <c r="AU2982" s="45"/>
    </row>
    <row r="2983" spans="47:47" ht="12" customHeight="1">
      <c r="AU2983" s="45"/>
    </row>
    <row r="2984" spans="47:47" ht="12" customHeight="1">
      <c r="AU2984" s="45"/>
    </row>
    <row r="2985" spans="47:47" ht="12" customHeight="1">
      <c r="AU2985" s="45"/>
    </row>
    <row r="2986" spans="47:47" ht="12" customHeight="1">
      <c r="AU2986" s="45"/>
    </row>
    <row r="2987" spans="47:47" ht="12" customHeight="1">
      <c r="AU2987" s="45"/>
    </row>
    <row r="2988" spans="47:47" ht="12" customHeight="1">
      <c r="AU2988" s="45"/>
    </row>
    <row r="2989" spans="47:47" ht="12" customHeight="1">
      <c r="AU2989" s="45"/>
    </row>
    <row r="2990" spans="47:47" ht="12" customHeight="1">
      <c r="AU2990" s="45"/>
    </row>
    <row r="2991" spans="47:47" ht="12" customHeight="1">
      <c r="AU2991" s="45"/>
    </row>
    <row r="2992" spans="47:47" ht="12" customHeight="1">
      <c r="AU2992" s="45"/>
    </row>
    <row r="2993" spans="47:47" ht="12" customHeight="1">
      <c r="AU2993" s="45"/>
    </row>
    <row r="2994" spans="47:47" ht="12" customHeight="1">
      <c r="AU2994" s="45"/>
    </row>
    <row r="2995" spans="47:47" ht="12" customHeight="1">
      <c r="AU2995" s="45"/>
    </row>
    <row r="2996" spans="47:47" ht="12" customHeight="1">
      <c r="AU2996" s="45"/>
    </row>
    <row r="2997" spans="47:47" ht="12" customHeight="1">
      <c r="AU2997" s="45"/>
    </row>
    <row r="2998" spans="47:47" ht="12" customHeight="1">
      <c r="AU2998" s="45"/>
    </row>
    <row r="2999" spans="47:47" ht="12" customHeight="1">
      <c r="AU2999" s="45"/>
    </row>
    <row r="3000" spans="47:47" ht="12" customHeight="1">
      <c r="AU3000" s="45"/>
    </row>
    <row r="3001" spans="47:47" ht="12" customHeight="1">
      <c r="AU3001" s="45"/>
    </row>
    <row r="3002" spans="47:47" ht="12" customHeight="1">
      <c r="AU3002" s="45"/>
    </row>
    <row r="3003" spans="47:47" ht="12" customHeight="1">
      <c r="AU3003" s="45"/>
    </row>
    <row r="3004" spans="47:47" ht="12" customHeight="1">
      <c r="AU3004" s="45"/>
    </row>
    <row r="3005" spans="47:47" ht="12" customHeight="1">
      <c r="AU3005" s="45"/>
    </row>
    <row r="3006" spans="47:47" ht="12" customHeight="1">
      <c r="AU3006" s="45"/>
    </row>
    <row r="3007" spans="47:47" ht="12" customHeight="1">
      <c r="AU3007" s="45"/>
    </row>
    <row r="3008" spans="47:47" ht="12" customHeight="1">
      <c r="AU3008" s="45"/>
    </row>
    <row r="3009" spans="47:47" ht="12" customHeight="1">
      <c r="AU3009" s="45"/>
    </row>
    <row r="3010" spans="47:47" ht="12" customHeight="1">
      <c r="AU3010" s="45"/>
    </row>
    <row r="3011" spans="47:47" ht="12" customHeight="1">
      <c r="AU3011" s="45"/>
    </row>
    <row r="3012" spans="47:47" ht="12" customHeight="1">
      <c r="AU3012" s="45"/>
    </row>
    <row r="3013" spans="47:47" ht="12" customHeight="1">
      <c r="AU3013" s="45"/>
    </row>
    <row r="3014" spans="47:47" ht="12" customHeight="1">
      <c r="AU3014" s="45"/>
    </row>
    <row r="3015" spans="47:47" ht="12" customHeight="1">
      <c r="AU3015" s="45"/>
    </row>
    <row r="3016" spans="47:47" ht="12" customHeight="1">
      <c r="AU3016" s="45"/>
    </row>
    <row r="3017" spans="47:47" ht="12" customHeight="1">
      <c r="AU3017" s="45"/>
    </row>
    <row r="3018" spans="47:47" ht="12" customHeight="1">
      <c r="AU3018" s="45"/>
    </row>
    <row r="3019" spans="47:47" ht="12" customHeight="1">
      <c r="AU3019" s="45"/>
    </row>
    <row r="3020" spans="47:47" ht="12" customHeight="1">
      <c r="AU3020" s="45"/>
    </row>
    <row r="3021" spans="47:47" ht="12" customHeight="1">
      <c r="AU3021" s="45"/>
    </row>
    <row r="3022" spans="47:47" ht="12" customHeight="1">
      <c r="AU3022" s="45"/>
    </row>
    <row r="3023" spans="47:47" ht="12" customHeight="1">
      <c r="AU3023" s="45"/>
    </row>
    <row r="3024" spans="47:47" ht="12" customHeight="1">
      <c r="AU3024" s="45"/>
    </row>
    <row r="3025" spans="47:47" ht="12" customHeight="1">
      <c r="AU3025" s="45"/>
    </row>
    <row r="3026" spans="47:47" ht="12" customHeight="1">
      <c r="AU3026" s="45"/>
    </row>
    <row r="3027" spans="47:47" ht="12" customHeight="1">
      <c r="AU3027" s="45"/>
    </row>
    <row r="3028" spans="47:47" ht="12" customHeight="1">
      <c r="AU3028" s="45"/>
    </row>
    <row r="3029" spans="47:47" ht="12" customHeight="1">
      <c r="AU3029" s="45"/>
    </row>
    <row r="3030" spans="47:47" ht="12" customHeight="1">
      <c r="AU3030" s="45"/>
    </row>
    <row r="3031" spans="47:47" ht="12" customHeight="1">
      <c r="AU3031" s="45"/>
    </row>
    <row r="3032" spans="47:47" ht="12" customHeight="1">
      <c r="AU3032" s="45"/>
    </row>
    <row r="3033" spans="47:47" ht="12" customHeight="1">
      <c r="AU3033" s="45"/>
    </row>
    <row r="3034" spans="47:47" ht="12" customHeight="1">
      <c r="AU3034" s="45"/>
    </row>
    <row r="3035" spans="47:47" ht="12" customHeight="1">
      <c r="AU3035" s="45"/>
    </row>
    <row r="3036" spans="47:47" ht="12" customHeight="1">
      <c r="AU3036" s="45"/>
    </row>
    <row r="3037" spans="47:47" ht="12" customHeight="1">
      <c r="AU3037" s="45"/>
    </row>
    <row r="3038" spans="47:47" ht="12" customHeight="1">
      <c r="AU3038" s="45"/>
    </row>
    <row r="3039" spans="47:47" ht="12" customHeight="1">
      <c r="AU3039" s="45"/>
    </row>
    <row r="3040" spans="47:47" ht="12" customHeight="1">
      <c r="AU3040" s="45"/>
    </row>
    <row r="3041" spans="47:47" ht="12" customHeight="1">
      <c r="AU3041" s="45"/>
    </row>
    <row r="3042" spans="47:47" ht="12" customHeight="1">
      <c r="AU3042" s="45"/>
    </row>
    <row r="3043" spans="47:47" ht="12" customHeight="1">
      <c r="AU3043" s="45"/>
    </row>
    <row r="3044" spans="47:47" ht="12" customHeight="1">
      <c r="AU3044" s="45"/>
    </row>
    <row r="3045" spans="47:47" ht="12" customHeight="1">
      <c r="AU3045" s="45"/>
    </row>
    <row r="3046" spans="47:47" ht="12" customHeight="1">
      <c r="AU3046" s="45"/>
    </row>
    <row r="3047" spans="47:47" ht="12" customHeight="1">
      <c r="AU3047" s="45"/>
    </row>
    <row r="3048" spans="47:47" ht="12" customHeight="1">
      <c r="AU3048" s="45"/>
    </row>
    <row r="3049" spans="47:47" ht="12" customHeight="1">
      <c r="AU3049" s="45"/>
    </row>
    <row r="3050" spans="47:47" ht="12" customHeight="1">
      <c r="AU3050" s="45"/>
    </row>
    <row r="3051" spans="47:47" ht="12" customHeight="1">
      <c r="AU3051" s="45"/>
    </row>
    <row r="3052" spans="47:47" ht="12" customHeight="1">
      <c r="AU3052" s="45"/>
    </row>
    <row r="3053" spans="47:47" ht="12" customHeight="1">
      <c r="AU3053" s="45"/>
    </row>
    <row r="3054" spans="47:47" ht="12" customHeight="1">
      <c r="AU3054" s="45"/>
    </row>
    <row r="3055" spans="47:47" ht="12" customHeight="1">
      <c r="AU3055" s="45"/>
    </row>
    <row r="3056" spans="47:47" ht="12" customHeight="1">
      <c r="AU3056" s="45"/>
    </row>
    <row r="3057" spans="47:47" ht="12" customHeight="1">
      <c r="AU3057" s="45"/>
    </row>
    <row r="3058" spans="47:47" ht="12" customHeight="1">
      <c r="AU3058" s="45"/>
    </row>
    <row r="3059" spans="47:47" ht="12" customHeight="1">
      <c r="AU3059" s="45"/>
    </row>
    <row r="3060" spans="47:47" ht="12" customHeight="1">
      <c r="AU3060" s="45"/>
    </row>
    <row r="3061" spans="47:47" ht="12" customHeight="1">
      <c r="AU3061" s="45"/>
    </row>
    <row r="3062" spans="47:47" ht="12" customHeight="1">
      <c r="AU3062" s="45"/>
    </row>
    <row r="3063" spans="47:47" ht="12" customHeight="1">
      <c r="AU3063" s="45"/>
    </row>
    <row r="3064" spans="47:47" ht="12" customHeight="1">
      <c r="AU3064" s="45"/>
    </row>
    <row r="3065" spans="47:47" ht="12" customHeight="1">
      <c r="AU3065" s="45"/>
    </row>
    <row r="3066" spans="47:47" ht="12" customHeight="1">
      <c r="AU3066" s="45"/>
    </row>
    <row r="3067" spans="47:47" ht="12" customHeight="1">
      <c r="AU3067" s="45"/>
    </row>
    <row r="3068" spans="47:47" ht="12" customHeight="1">
      <c r="AU3068" s="45"/>
    </row>
    <row r="3069" spans="47:47" ht="12" customHeight="1">
      <c r="AU3069" s="45"/>
    </row>
    <row r="3070" spans="47:47" ht="12" customHeight="1">
      <c r="AU3070" s="45"/>
    </row>
    <row r="3071" spans="47:47" ht="12" customHeight="1">
      <c r="AU3071" s="45"/>
    </row>
    <row r="3072" spans="47:47" ht="12" customHeight="1">
      <c r="AU3072" s="45"/>
    </row>
    <row r="3073" spans="47:47" ht="12" customHeight="1">
      <c r="AU3073" s="45"/>
    </row>
    <row r="3074" spans="47:47" ht="12" customHeight="1">
      <c r="AU3074" s="45"/>
    </row>
    <row r="3075" spans="47:47" ht="12" customHeight="1">
      <c r="AU3075" s="45"/>
    </row>
    <row r="3076" spans="47:47" ht="12" customHeight="1">
      <c r="AU3076" s="45"/>
    </row>
    <row r="3077" spans="47:47" ht="12" customHeight="1">
      <c r="AU3077" s="45"/>
    </row>
    <row r="3078" spans="47:47" ht="12" customHeight="1">
      <c r="AU3078" s="45"/>
    </row>
    <row r="3079" spans="47:47" ht="12" customHeight="1">
      <c r="AU3079" s="45"/>
    </row>
    <row r="3080" spans="47:47" ht="12" customHeight="1">
      <c r="AU3080" s="45"/>
    </row>
    <row r="3081" spans="47:47" ht="12" customHeight="1">
      <c r="AU3081" s="45"/>
    </row>
    <row r="3082" spans="47:47" ht="12" customHeight="1">
      <c r="AU3082" s="45"/>
    </row>
    <row r="3083" spans="47:47" ht="12" customHeight="1">
      <c r="AU3083" s="45"/>
    </row>
    <row r="3084" spans="47:47" ht="12" customHeight="1">
      <c r="AU3084" s="45"/>
    </row>
    <row r="3085" spans="47:47" ht="12" customHeight="1">
      <c r="AU3085" s="45"/>
    </row>
    <row r="3086" spans="47:47" ht="12" customHeight="1">
      <c r="AU3086" s="45"/>
    </row>
    <row r="3087" spans="47:47" ht="12" customHeight="1">
      <c r="AU3087" s="45"/>
    </row>
    <row r="3088" spans="47:47" ht="12" customHeight="1">
      <c r="AU3088" s="45"/>
    </row>
    <row r="3089" spans="47:47" ht="12" customHeight="1">
      <c r="AU3089" s="45"/>
    </row>
    <row r="3090" spans="47:47" ht="12" customHeight="1">
      <c r="AU3090" s="45"/>
    </row>
    <row r="3091" spans="47:47" ht="12" customHeight="1">
      <c r="AU3091" s="45"/>
    </row>
    <row r="3092" spans="47:47" ht="12" customHeight="1">
      <c r="AU3092" s="45"/>
    </row>
    <row r="3093" spans="47:47" ht="12" customHeight="1">
      <c r="AU3093" s="45"/>
    </row>
    <row r="3094" spans="47:47" ht="12" customHeight="1">
      <c r="AU3094" s="45"/>
    </row>
    <row r="3095" spans="47:47" ht="12" customHeight="1">
      <c r="AU3095" s="45"/>
    </row>
    <row r="3096" spans="47:47" ht="12" customHeight="1">
      <c r="AU3096" s="45"/>
    </row>
    <row r="3097" spans="47:47" ht="12" customHeight="1">
      <c r="AU3097" s="45"/>
    </row>
    <row r="3098" spans="47:47" ht="12" customHeight="1">
      <c r="AU3098" s="45"/>
    </row>
    <row r="3099" spans="47:47" ht="12" customHeight="1">
      <c r="AU3099" s="45"/>
    </row>
    <row r="3100" spans="47:47" ht="12" customHeight="1">
      <c r="AU3100" s="45"/>
    </row>
    <row r="3101" spans="47:47" ht="12" customHeight="1">
      <c r="AU3101" s="45"/>
    </row>
    <row r="3102" spans="47:47" ht="12" customHeight="1">
      <c r="AU3102" s="45"/>
    </row>
    <row r="3103" spans="47:47" ht="12" customHeight="1">
      <c r="AU3103" s="45"/>
    </row>
    <row r="3104" spans="47:47" ht="12" customHeight="1">
      <c r="AU3104" s="45"/>
    </row>
    <row r="3105" spans="47:47" ht="12" customHeight="1">
      <c r="AU3105" s="45"/>
    </row>
    <row r="3106" spans="47:47" ht="12" customHeight="1">
      <c r="AU3106" s="45"/>
    </row>
    <row r="3107" spans="47:47" ht="12" customHeight="1">
      <c r="AU3107" s="45"/>
    </row>
    <row r="3108" spans="47:47" ht="12" customHeight="1">
      <c r="AU3108" s="45"/>
    </row>
    <row r="3109" spans="47:47" ht="12" customHeight="1">
      <c r="AU3109" s="45"/>
    </row>
    <row r="3110" spans="47:47" ht="12" customHeight="1">
      <c r="AU3110" s="45"/>
    </row>
    <row r="3111" spans="47:47" ht="12" customHeight="1">
      <c r="AU3111" s="45"/>
    </row>
    <row r="3112" spans="47:47" ht="12" customHeight="1">
      <c r="AU3112" s="45"/>
    </row>
    <row r="3113" spans="47:47" ht="12" customHeight="1">
      <c r="AU3113" s="45"/>
    </row>
    <row r="3114" spans="47:47" ht="12" customHeight="1">
      <c r="AU3114" s="45"/>
    </row>
    <row r="3115" spans="47:47" ht="12" customHeight="1">
      <c r="AU3115" s="45"/>
    </row>
    <row r="3116" spans="47:47" ht="12" customHeight="1">
      <c r="AU3116" s="45"/>
    </row>
    <row r="3117" spans="47:47" ht="12" customHeight="1">
      <c r="AU3117" s="45"/>
    </row>
    <row r="3118" spans="47:47" ht="12" customHeight="1">
      <c r="AU3118" s="45"/>
    </row>
    <row r="3119" spans="47:47" ht="12" customHeight="1">
      <c r="AU3119" s="45"/>
    </row>
    <row r="3120" spans="47:47" ht="12" customHeight="1">
      <c r="AU3120" s="45"/>
    </row>
    <row r="3121" spans="47:47" ht="12" customHeight="1">
      <c r="AU3121" s="45"/>
    </row>
    <row r="3122" spans="47:47" ht="12" customHeight="1">
      <c r="AU3122" s="45"/>
    </row>
    <row r="3123" spans="47:47" ht="12" customHeight="1">
      <c r="AU3123" s="45"/>
    </row>
    <row r="3124" spans="47:47" ht="12" customHeight="1">
      <c r="AU3124" s="45"/>
    </row>
    <row r="3125" spans="47:47" ht="12" customHeight="1">
      <c r="AU3125" s="45"/>
    </row>
    <row r="3126" spans="47:47" ht="12" customHeight="1">
      <c r="AU3126" s="45"/>
    </row>
    <row r="3127" spans="47:47" ht="12" customHeight="1">
      <c r="AU3127" s="45"/>
    </row>
    <row r="3128" spans="47:47" ht="12" customHeight="1">
      <c r="AU3128" s="45"/>
    </row>
    <row r="3129" spans="47:47" ht="12" customHeight="1">
      <c r="AU3129" s="45"/>
    </row>
    <row r="3130" spans="47:47" ht="12" customHeight="1">
      <c r="AU3130" s="45"/>
    </row>
    <row r="3131" spans="47:47" ht="12" customHeight="1">
      <c r="AU3131" s="45"/>
    </row>
    <row r="3132" spans="47:47" ht="12" customHeight="1">
      <c r="AU3132" s="45"/>
    </row>
    <row r="3133" spans="47:47" ht="12" customHeight="1">
      <c r="AU3133" s="45"/>
    </row>
    <row r="3134" spans="47:47" ht="12" customHeight="1">
      <c r="AU3134" s="45"/>
    </row>
    <row r="3135" spans="47:47" ht="12" customHeight="1">
      <c r="AU3135" s="45"/>
    </row>
    <row r="3136" spans="47:47" ht="12" customHeight="1">
      <c r="AU3136" s="45"/>
    </row>
    <row r="3137" spans="47:47" ht="12" customHeight="1">
      <c r="AU3137" s="45"/>
    </row>
    <row r="3138" spans="47:47" ht="12" customHeight="1">
      <c r="AU3138" s="45"/>
    </row>
    <row r="3139" spans="47:47" ht="12" customHeight="1">
      <c r="AU3139" s="45"/>
    </row>
    <row r="3140" spans="47:47" ht="12" customHeight="1">
      <c r="AU3140" s="45"/>
    </row>
    <row r="3141" spans="47:47" ht="12" customHeight="1">
      <c r="AU3141" s="45"/>
    </row>
    <row r="3142" spans="47:47" ht="12" customHeight="1">
      <c r="AU3142" s="45"/>
    </row>
    <row r="3143" spans="47:47" ht="12" customHeight="1">
      <c r="AU3143" s="45"/>
    </row>
    <row r="3144" spans="47:47" ht="12" customHeight="1">
      <c r="AU3144" s="45"/>
    </row>
    <row r="3145" spans="47:47" ht="12" customHeight="1">
      <c r="AU3145" s="45"/>
    </row>
    <row r="3146" spans="47:47" ht="12" customHeight="1">
      <c r="AU3146" s="45"/>
    </row>
    <row r="3147" spans="47:47" ht="12" customHeight="1">
      <c r="AU3147" s="45"/>
    </row>
    <row r="3148" spans="47:47" ht="12" customHeight="1">
      <c r="AU3148" s="45"/>
    </row>
    <row r="3149" spans="47:47" ht="12" customHeight="1">
      <c r="AU3149" s="45"/>
    </row>
    <row r="3150" spans="47:47" ht="12" customHeight="1">
      <c r="AU3150" s="45"/>
    </row>
    <row r="3151" spans="47:47" ht="12" customHeight="1">
      <c r="AU3151" s="45"/>
    </row>
    <row r="3152" spans="47:47" ht="12" customHeight="1">
      <c r="AU3152" s="45"/>
    </row>
    <row r="3153" spans="47:47" ht="12" customHeight="1">
      <c r="AU3153" s="45"/>
    </row>
    <row r="3154" spans="47:47" ht="12" customHeight="1">
      <c r="AU3154" s="45"/>
    </row>
    <row r="3155" spans="47:47" ht="12" customHeight="1">
      <c r="AU3155" s="45"/>
    </row>
    <row r="3156" spans="47:47" ht="12" customHeight="1">
      <c r="AU3156" s="45"/>
    </row>
    <row r="3157" spans="47:47" ht="12" customHeight="1">
      <c r="AU3157" s="45"/>
    </row>
    <row r="3158" spans="47:47" ht="12" customHeight="1">
      <c r="AU3158" s="45"/>
    </row>
    <row r="3159" spans="47:47" ht="12" customHeight="1">
      <c r="AU3159" s="45"/>
    </row>
    <row r="3160" spans="47:47" ht="12" customHeight="1">
      <c r="AU3160" s="45"/>
    </row>
    <row r="3161" spans="47:47" ht="12" customHeight="1">
      <c r="AU3161" s="45"/>
    </row>
    <row r="3162" spans="47:47" ht="12" customHeight="1">
      <c r="AU3162" s="45"/>
    </row>
    <row r="3163" spans="47:47" ht="12" customHeight="1">
      <c r="AU3163" s="45"/>
    </row>
    <row r="3164" spans="47:47" ht="12" customHeight="1">
      <c r="AU3164" s="45"/>
    </row>
    <row r="3165" spans="47:47" ht="12" customHeight="1">
      <c r="AU3165" s="45"/>
    </row>
    <row r="3166" spans="47:47" ht="12" customHeight="1">
      <c r="AU3166" s="45"/>
    </row>
    <row r="3167" spans="47:47" ht="12" customHeight="1">
      <c r="AU3167" s="45"/>
    </row>
    <row r="3168" spans="47:47" ht="12" customHeight="1">
      <c r="AU3168" s="45"/>
    </row>
    <row r="3169" spans="47:47" ht="12" customHeight="1">
      <c r="AU3169" s="45"/>
    </row>
    <row r="3170" spans="47:47" ht="12" customHeight="1">
      <c r="AU3170" s="45"/>
    </row>
    <row r="3171" spans="47:47" ht="12" customHeight="1">
      <c r="AU3171" s="45"/>
    </row>
    <row r="3172" spans="47:47" ht="12" customHeight="1">
      <c r="AU3172" s="45"/>
    </row>
    <row r="3173" spans="47:47" ht="12" customHeight="1">
      <c r="AU3173" s="45"/>
    </row>
    <row r="3174" spans="47:47" ht="12" customHeight="1">
      <c r="AU3174" s="45"/>
    </row>
    <row r="3175" spans="47:47" ht="12" customHeight="1">
      <c r="AU3175" s="45"/>
    </row>
    <row r="3176" spans="47:47" ht="12" customHeight="1">
      <c r="AU3176" s="45"/>
    </row>
    <row r="3177" spans="47:47" ht="12" customHeight="1">
      <c r="AU3177" s="45"/>
    </row>
    <row r="3178" spans="47:47" ht="12" customHeight="1">
      <c r="AU3178" s="45"/>
    </row>
    <row r="3179" spans="47:47" ht="12" customHeight="1">
      <c r="AU3179" s="45"/>
    </row>
    <row r="3180" spans="47:47" ht="12" customHeight="1">
      <c r="AU3180" s="45"/>
    </row>
    <row r="3181" spans="47:47" ht="12" customHeight="1">
      <c r="AU3181" s="45"/>
    </row>
    <row r="3182" spans="47:47" ht="12" customHeight="1">
      <c r="AU3182" s="45"/>
    </row>
    <row r="3183" spans="47:47" ht="12" customHeight="1">
      <c r="AU3183" s="45"/>
    </row>
    <row r="3184" spans="47:47" ht="12" customHeight="1">
      <c r="AU3184" s="45"/>
    </row>
    <row r="3185" spans="47:47" ht="12" customHeight="1">
      <c r="AU3185" s="45"/>
    </row>
    <row r="3186" spans="47:47" ht="12" customHeight="1">
      <c r="AU3186" s="45"/>
    </row>
    <row r="3187" spans="47:47" ht="12" customHeight="1">
      <c r="AU3187" s="45"/>
    </row>
    <row r="3188" spans="47:47" ht="12" customHeight="1">
      <c r="AU3188" s="45"/>
    </row>
    <row r="3189" spans="47:47" ht="12" customHeight="1">
      <c r="AU3189" s="45"/>
    </row>
    <row r="3190" spans="47:47" ht="12" customHeight="1">
      <c r="AU3190" s="45"/>
    </row>
    <row r="3191" spans="47:47" ht="12" customHeight="1">
      <c r="AU3191" s="45"/>
    </row>
    <row r="3192" spans="47:47" ht="12" customHeight="1">
      <c r="AU3192" s="45"/>
    </row>
    <row r="3193" spans="47:47" ht="12" customHeight="1">
      <c r="AU3193" s="45"/>
    </row>
    <row r="3194" spans="47:47" ht="12" customHeight="1">
      <c r="AU3194" s="45"/>
    </row>
    <row r="3195" spans="47:47" ht="12" customHeight="1">
      <c r="AU3195" s="45"/>
    </row>
    <row r="3196" spans="47:47" ht="12" customHeight="1">
      <c r="AU3196" s="45"/>
    </row>
    <row r="3197" spans="47:47" ht="12" customHeight="1">
      <c r="AU3197" s="45"/>
    </row>
    <row r="3198" spans="47:47" ht="12" customHeight="1">
      <c r="AU3198" s="45"/>
    </row>
    <row r="3199" spans="47:47" ht="12" customHeight="1">
      <c r="AU3199" s="45"/>
    </row>
    <row r="3200" spans="47:47" ht="12" customHeight="1">
      <c r="AU3200" s="45"/>
    </row>
    <row r="3201" spans="47:47" ht="12" customHeight="1">
      <c r="AU3201" s="45"/>
    </row>
    <row r="3202" spans="47:47" ht="12" customHeight="1">
      <c r="AU3202" s="45"/>
    </row>
    <row r="3203" spans="47:47" ht="12" customHeight="1">
      <c r="AU3203" s="45"/>
    </row>
    <row r="3204" spans="47:47" ht="12" customHeight="1">
      <c r="AU3204" s="45"/>
    </row>
    <row r="3205" spans="47:47" ht="12" customHeight="1">
      <c r="AU3205" s="45"/>
    </row>
    <row r="3206" spans="47:47" ht="12" customHeight="1">
      <c r="AU3206" s="45"/>
    </row>
    <row r="3207" spans="47:47" ht="12" customHeight="1">
      <c r="AU3207" s="45"/>
    </row>
    <row r="3208" spans="47:47" ht="12" customHeight="1">
      <c r="AU3208" s="45"/>
    </row>
    <row r="3209" spans="47:47" ht="12" customHeight="1">
      <c r="AU3209" s="45"/>
    </row>
    <row r="3210" spans="47:47" ht="12" customHeight="1">
      <c r="AU3210" s="45"/>
    </row>
    <row r="3211" spans="47:47" ht="12" customHeight="1">
      <c r="AU3211" s="45"/>
    </row>
    <row r="3212" spans="47:47" ht="12" customHeight="1">
      <c r="AU3212" s="45"/>
    </row>
    <row r="3213" spans="47:47" ht="12" customHeight="1">
      <c r="AU3213" s="45"/>
    </row>
    <row r="3214" spans="47:47" ht="12" customHeight="1">
      <c r="AU3214" s="45"/>
    </row>
    <row r="3215" spans="47:47" ht="12" customHeight="1">
      <c r="AU3215" s="45"/>
    </row>
    <row r="3216" spans="47:47" ht="12" customHeight="1">
      <c r="AU3216" s="45"/>
    </row>
    <row r="3217" spans="47:47" ht="12" customHeight="1">
      <c r="AU3217" s="45"/>
    </row>
    <row r="3218" spans="47:47" ht="12" customHeight="1">
      <c r="AU3218" s="45"/>
    </row>
    <row r="3219" spans="47:47" ht="12" customHeight="1">
      <c r="AU3219" s="45"/>
    </row>
    <row r="3220" spans="47:47" ht="12" customHeight="1">
      <c r="AU3220" s="45"/>
    </row>
    <row r="3221" spans="47:47" ht="12" customHeight="1">
      <c r="AU3221" s="45"/>
    </row>
    <row r="3222" spans="47:47" ht="12" customHeight="1">
      <c r="AU3222" s="45"/>
    </row>
    <row r="3223" spans="47:47" ht="12" customHeight="1">
      <c r="AU3223" s="45"/>
    </row>
    <row r="3224" spans="47:47" ht="12" customHeight="1">
      <c r="AU3224" s="45"/>
    </row>
    <row r="3225" spans="47:47" ht="12" customHeight="1">
      <c r="AU3225" s="45"/>
    </row>
    <row r="3226" spans="47:47" ht="12" customHeight="1">
      <c r="AU3226" s="45"/>
    </row>
    <row r="3227" spans="47:47" ht="12" customHeight="1">
      <c r="AU3227" s="45"/>
    </row>
    <row r="3228" spans="47:47" ht="12" customHeight="1">
      <c r="AU3228" s="45"/>
    </row>
    <row r="3229" spans="47:47" ht="12" customHeight="1">
      <c r="AU3229" s="45"/>
    </row>
    <row r="3230" spans="47:47" ht="12" customHeight="1">
      <c r="AU3230" s="45"/>
    </row>
    <row r="3231" spans="47:47" ht="12" customHeight="1">
      <c r="AU3231" s="45"/>
    </row>
    <row r="3232" spans="47:47" ht="12" customHeight="1">
      <c r="AU3232" s="45"/>
    </row>
    <row r="3233" spans="47:47" ht="12" customHeight="1">
      <c r="AU3233" s="45"/>
    </row>
    <row r="3234" spans="47:47" ht="12" customHeight="1">
      <c r="AU3234" s="45"/>
    </row>
    <row r="3235" spans="47:47" ht="12" customHeight="1">
      <c r="AU3235" s="45"/>
    </row>
    <row r="3236" spans="47:47" ht="12" customHeight="1">
      <c r="AU3236" s="45"/>
    </row>
    <row r="3237" spans="47:47" ht="12" customHeight="1">
      <c r="AU3237" s="45"/>
    </row>
    <row r="3238" spans="47:47" ht="12" customHeight="1">
      <c r="AU3238" s="45"/>
    </row>
    <row r="3239" spans="47:47" ht="12" customHeight="1">
      <c r="AU3239" s="45"/>
    </row>
    <row r="3240" spans="47:47" ht="12" customHeight="1">
      <c r="AU3240" s="45"/>
    </row>
    <row r="3241" spans="47:47" ht="12" customHeight="1">
      <c r="AU3241" s="45"/>
    </row>
    <row r="3242" spans="47:47" ht="12" customHeight="1">
      <c r="AU3242" s="45"/>
    </row>
    <row r="3243" spans="47:47" ht="12" customHeight="1">
      <c r="AU3243" s="45"/>
    </row>
    <row r="3244" spans="47:47" ht="12" customHeight="1">
      <c r="AU3244" s="45"/>
    </row>
    <row r="3245" spans="47:47" ht="12" customHeight="1">
      <c r="AU3245" s="45"/>
    </row>
    <row r="3246" spans="47:47" ht="12" customHeight="1">
      <c r="AU3246" s="45"/>
    </row>
    <row r="3247" spans="47:47" ht="12" customHeight="1">
      <c r="AU3247" s="45"/>
    </row>
    <row r="3248" spans="47:47" ht="12" customHeight="1">
      <c r="AU3248" s="45"/>
    </row>
    <row r="3249" spans="47:47" ht="12" customHeight="1">
      <c r="AU3249" s="45"/>
    </row>
    <row r="3250" spans="47:47" ht="12" customHeight="1">
      <c r="AU3250" s="45"/>
    </row>
    <row r="3251" spans="47:47" ht="12" customHeight="1">
      <c r="AU3251" s="45"/>
    </row>
    <row r="3252" spans="47:47" ht="12" customHeight="1">
      <c r="AU3252" s="45"/>
    </row>
    <row r="3253" spans="47:47" ht="12" customHeight="1">
      <c r="AU3253" s="45"/>
    </row>
    <row r="3254" spans="47:47" ht="12" customHeight="1">
      <c r="AU3254" s="45"/>
    </row>
    <row r="3255" spans="47:47" ht="12" customHeight="1">
      <c r="AU3255" s="45"/>
    </row>
    <row r="3256" spans="47:47" ht="12" customHeight="1">
      <c r="AU3256" s="45"/>
    </row>
    <row r="3257" spans="47:47" ht="12" customHeight="1">
      <c r="AU3257" s="45"/>
    </row>
    <row r="3258" spans="47:47" ht="12" customHeight="1">
      <c r="AU3258" s="45"/>
    </row>
    <row r="3259" spans="47:47" ht="12" customHeight="1">
      <c r="AU3259" s="45"/>
    </row>
    <row r="3260" spans="47:47" ht="12" customHeight="1">
      <c r="AU3260" s="45"/>
    </row>
    <row r="3261" spans="47:47" ht="12" customHeight="1">
      <c r="AU3261" s="45"/>
    </row>
    <row r="3262" spans="47:47" ht="12" customHeight="1">
      <c r="AU3262" s="45"/>
    </row>
    <row r="3263" spans="47:47" ht="12" customHeight="1">
      <c r="AU3263" s="45"/>
    </row>
    <row r="3264" spans="47:47" ht="12" customHeight="1">
      <c r="AU3264" s="45"/>
    </row>
    <row r="3265" spans="47:47" ht="12" customHeight="1">
      <c r="AU3265" s="45"/>
    </row>
    <row r="3266" spans="47:47" ht="12" customHeight="1">
      <c r="AU3266" s="45"/>
    </row>
    <row r="3267" spans="47:47" ht="12" customHeight="1">
      <c r="AU3267" s="45"/>
    </row>
    <row r="3268" spans="47:47" ht="12" customHeight="1">
      <c r="AU3268" s="45"/>
    </row>
    <row r="3269" spans="47:47" ht="12" customHeight="1">
      <c r="AU3269" s="45"/>
    </row>
    <row r="3270" spans="47:47" ht="12" customHeight="1">
      <c r="AU3270" s="45"/>
    </row>
    <row r="3271" spans="47:47" ht="12" customHeight="1">
      <c r="AU3271" s="45"/>
    </row>
    <row r="3272" spans="47:47" ht="12" customHeight="1">
      <c r="AU3272" s="45"/>
    </row>
    <row r="3273" spans="47:47" ht="12" customHeight="1">
      <c r="AU3273" s="45"/>
    </row>
    <row r="3274" spans="47:47" ht="12" customHeight="1">
      <c r="AU3274" s="45"/>
    </row>
    <row r="3275" spans="47:47" ht="12" customHeight="1">
      <c r="AU3275" s="45"/>
    </row>
    <row r="3276" spans="47:47" ht="12" customHeight="1">
      <c r="AU3276" s="45"/>
    </row>
    <row r="3277" spans="47:47" ht="12" customHeight="1">
      <c r="AU3277" s="45"/>
    </row>
    <row r="3278" spans="47:47" ht="12" customHeight="1">
      <c r="AU3278" s="45"/>
    </row>
    <row r="3279" spans="47:47" ht="12" customHeight="1">
      <c r="AU3279" s="45"/>
    </row>
    <row r="3280" spans="47:47" ht="12" customHeight="1">
      <c r="AU3280" s="45"/>
    </row>
    <row r="3281" spans="47:47" ht="12" customHeight="1">
      <c r="AU3281" s="45"/>
    </row>
    <row r="3282" spans="47:47" ht="12" customHeight="1">
      <c r="AU3282" s="45"/>
    </row>
    <row r="3283" spans="47:47" ht="12" customHeight="1">
      <c r="AU3283" s="45"/>
    </row>
    <row r="3284" spans="47:47" ht="12" customHeight="1">
      <c r="AU3284" s="45"/>
    </row>
    <row r="3285" spans="47:47" ht="12" customHeight="1">
      <c r="AU3285" s="45"/>
    </row>
    <row r="3286" spans="47:47" ht="12" customHeight="1">
      <c r="AU3286" s="45"/>
    </row>
    <row r="3287" spans="47:47" ht="12" customHeight="1">
      <c r="AU3287" s="45"/>
    </row>
    <row r="3288" spans="47:47" ht="12" customHeight="1">
      <c r="AU3288" s="45"/>
    </row>
    <row r="3289" spans="47:47" ht="12" customHeight="1">
      <c r="AU3289" s="45"/>
    </row>
    <row r="3290" spans="47:47" ht="12" customHeight="1">
      <c r="AU3290" s="45"/>
    </row>
    <row r="3291" spans="47:47" ht="12" customHeight="1">
      <c r="AU3291" s="45"/>
    </row>
    <row r="3292" spans="47:47" ht="12" customHeight="1">
      <c r="AU3292" s="45"/>
    </row>
    <row r="3293" spans="47:47" ht="12" customHeight="1">
      <c r="AU3293" s="45"/>
    </row>
    <row r="3294" spans="47:47" ht="12" customHeight="1">
      <c r="AU3294" s="45"/>
    </row>
    <row r="3295" spans="47:47" ht="12" customHeight="1">
      <c r="AU3295" s="45"/>
    </row>
    <row r="3296" spans="47:47" ht="12" customHeight="1">
      <c r="AU3296" s="45"/>
    </row>
    <row r="3297" spans="47:47" ht="12" customHeight="1">
      <c r="AU3297" s="45"/>
    </row>
    <row r="3298" spans="47:47" ht="12" customHeight="1">
      <c r="AU3298" s="45"/>
    </row>
    <row r="3299" spans="47:47" ht="12" customHeight="1">
      <c r="AU3299" s="45"/>
    </row>
    <row r="3300" spans="47:47" ht="12" customHeight="1">
      <c r="AU3300" s="45"/>
    </row>
    <row r="3301" spans="47:47" ht="12" customHeight="1">
      <c r="AU3301" s="45"/>
    </row>
    <row r="3302" spans="47:47" ht="12" customHeight="1">
      <c r="AU3302" s="45"/>
    </row>
    <row r="3303" spans="47:47" ht="12" customHeight="1">
      <c r="AU3303" s="45"/>
    </row>
    <row r="3304" spans="47:47" ht="12" customHeight="1">
      <c r="AU3304" s="45"/>
    </row>
    <row r="3305" spans="47:47" ht="12" customHeight="1">
      <c r="AU3305" s="45"/>
    </row>
    <row r="3306" spans="47:47" ht="12" customHeight="1">
      <c r="AU3306" s="45"/>
    </row>
    <row r="3307" spans="47:47" ht="12" customHeight="1">
      <c r="AU3307" s="45"/>
    </row>
    <row r="3308" spans="47:47" ht="12" customHeight="1">
      <c r="AU3308" s="45"/>
    </row>
    <row r="3309" spans="47:47" ht="12" customHeight="1">
      <c r="AU3309" s="45"/>
    </row>
    <row r="3310" spans="47:47" ht="12" customHeight="1">
      <c r="AU3310" s="45"/>
    </row>
    <row r="3311" spans="47:47" ht="12" customHeight="1">
      <c r="AU3311" s="45"/>
    </row>
    <row r="3312" spans="47:47" ht="12" customHeight="1">
      <c r="AU3312" s="45"/>
    </row>
    <row r="3313" spans="47:47" ht="12" customHeight="1">
      <c r="AU3313" s="45"/>
    </row>
    <row r="3314" spans="47:47" ht="12" customHeight="1">
      <c r="AU3314" s="45"/>
    </row>
    <row r="3315" spans="47:47" ht="12" customHeight="1">
      <c r="AU3315" s="45"/>
    </row>
    <row r="3316" spans="47:47" ht="12" customHeight="1">
      <c r="AU3316" s="45"/>
    </row>
    <row r="3317" spans="47:47" ht="12" customHeight="1">
      <c r="AU3317" s="45"/>
    </row>
    <row r="3318" spans="47:47" ht="12" customHeight="1">
      <c r="AU3318" s="45"/>
    </row>
    <row r="3319" spans="47:47" ht="12" customHeight="1">
      <c r="AU3319" s="45"/>
    </row>
    <row r="3320" spans="47:47" ht="12" customHeight="1">
      <c r="AU3320" s="45"/>
    </row>
    <row r="3321" spans="47:47" ht="12" customHeight="1">
      <c r="AU3321" s="45"/>
    </row>
    <row r="3322" spans="47:47" ht="12" customHeight="1">
      <c r="AU3322" s="45"/>
    </row>
    <row r="3323" spans="47:47" ht="12" customHeight="1">
      <c r="AU3323" s="45"/>
    </row>
    <row r="3324" spans="47:47" ht="12" customHeight="1">
      <c r="AU3324" s="45"/>
    </row>
    <row r="3325" spans="47:47" ht="12" customHeight="1">
      <c r="AU3325" s="45"/>
    </row>
    <row r="3326" spans="47:47" ht="12" customHeight="1">
      <c r="AU3326" s="45"/>
    </row>
    <row r="3327" spans="47:47" ht="12" customHeight="1">
      <c r="AU3327" s="45"/>
    </row>
    <row r="3328" spans="47:47" ht="12" customHeight="1">
      <c r="AU3328" s="45"/>
    </row>
    <row r="3329" spans="47:47" ht="12" customHeight="1">
      <c r="AU3329" s="45"/>
    </row>
    <row r="3330" spans="47:47" ht="12" customHeight="1">
      <c r="AU3330" s="45"/>
    </row>
    <row r="3331" spans="47:47" ht="12" customHeight="1">
      <c r="AU3331" s="45"/>
    </row>
    <row r="3332" spans="47:47" ht="12" customHeight="1">
      <c r="AU3332" s="45"/>
    </row>
    <row r="3333" spans="47:47" ht="12" customHeight="1">
      <c r="AU3333" s="45"/>
    </row>
    <row r="3334" spans="47:47" ht="12" customHeight="1">
      <c r="AU3334" s="45"/>
    </row>
    <row r="3335" spans="47:47" ht="12" customHeight="1">
      <c r="AU3335" s="45"/>
    </row>
    <row r="3336" spans="47:47" ht="12" customHeight="1">
      <c r="AU3336" s="45"/>
    </row>
    <row r="3337" spans="47:47" ht="12" customHeight="1">
      <c r="AU3337" s="45"/>
    </row>
    <row r="3338" spans="47:47" ht="12" customHeight="1">
      <c r="AU3338" s="45"/>
    </row>
    <row r="3339" spans="47:47" ht="12" customHeight="1">
      <c r="AU3339" s="45"/>
    </row>
    <row r="3340" spans="47:47" ht="12" customHeight="1">
      <c r="AU3340" s="45"/>
    </row>
    <row r="3341" spans="47:47" ht="12" customHeight="1">
      <c r="AU3341" s="45"/>
    </row>
    <row r="3342" spans="47:47" ht="12" customHeight="1">
      <c r="AU3342" s="45"/>
    </row>
    <row r="3343" spans="47:47" ht="12" customHeight="1">
      <c r="AU3343" s="45"/>
    </row>
    <row r="3344" spans="47:47" ht="12" customHeight="1">
      <c r="AU3344" s="45"/>
    </row>
    <row r="3345" spans="47:47" ht="12" customHeight="1">
      <c r="AU3345" s="45"/>
    </row>
    <row r="3346" spans="47:47" ht="12" customHeight="1">
      <c r="AU3346" s="45"/>
    </row>
    <row r="3347" spans="47:47" ht="12" customHeight="1">
      <c r="AU3347" s="45"/>
    </row>
    <row r="3348" spans="47:47" ht="12" customHeight="1">
      <c r="AU3348" s="45"/>
    </row>
    <row r="3349" spans="47:47" ht="12" customHeight="1">
      <c r="AU3349" s="45"/>
    </row>
    <row r="3350" spans="47:47" ht="12" customHeight="1">
      <c r="AU3350" s="45"/>
    </row>
    <row r="3351" spans="47:47" ht="12" customHeight="1">
      <c r="AU3351" s="45"/>
    </row>
    <row r="3352" spans="47:47" ht="12" customHeight="1">
      <c r="AU3352" s="45"/>
    </row>
    <row r="3353" spans="47:47" ht="12" customHeight="1">
      <c r="AU3353" s="45"/>
    </row>
    <row r="3354" spans="47:47" ht="12" customHeight="1">
      <c r="AU3354" s="45"/>
    </row>
    <row r="3355" spans="47:47" ht="12" customHeight="1">
      <c r="AU3355" s="45"/>
    </row>
    <row r="3356" spans="47:47" ht="12" customHeight="1">
      <c r="AU3356" s="45"/>
    </row>
    <row r="3357" spans="47:47" ht="12" customHeight="1">
      <c r="AU3357" s="45"/>
    </row>
    <row r="3358" spans="47:47" ht="12" customHeight="1">
      <c r="AU3358" s="45"/>
    </row>
    <row r="3359" spans="47:47" ht="12" customHeight="1">
      <c r="AU3359" s="45"/>
    </row>
    <row r="3360" spans="47:47" ht="12" customHeight="1">
      <c r="AU3360" s="45"/>
    </row>
    <row r="3361" spans="47:47" ht="12" customHeight="1">
      <c r="AU3361" s="45"/>
    </row>
    <row r="3362" spans="47:47" ht="12" customHeight="1">
      <c r="AU3362" s="45"/>
    </row>
    <row r="3363" spans="47:47" ht="12" customHeight="1">
      <c r="AU3363" s="45"/>
    </row>
    <row r="3364" spans="47:47" ht="12" customHeight="1">
      <c r="AU3364" s="45"/>
    </row>
    <row r="3365" spans="47:47" ht="12" customHeight="1">
      <c r="AU3365" s="45"/>
    </row>
    <row r="3366" spans="47:47" ht="12" customHeight="1">
      <c r="AU3366" s="45"/>
    </row>
    <row r="3367" spans="47:47" ht="12" customHeight="1">
      <c r="AU3367" s="45"/>
    </row>
    <row r="3368" spans="47:47" ht="12" customHeight="1">
      <c r="AU3368" s="45"/>
    </row>
    <row r="3369" spans="47:47" ht="12" customHeight="1">
      <c r="AU3369" s="45"/>
    </row>
    <row r="3370" spans="47:47" ht="12" customHeight="1">
      <c r="AU3370" s="45"/>
    </row>
    <row r="3371" spans="47:47" ht="12" customHeight="1">
      <c r="AU3371" s="45"/>
    </row>
    <row r="3372" spans="47:47" ht="12" customHeight="1">
      <c r="AU3372" s="45"/>
    </row>
    <row r="3373" spans="47:47" ht="12" customHeight="1">
      <c r="AU3373" s="45"/>
    </row>
    <row r="3374" spans="47:47" ht="12" customHeight="1">
      <c r="AU3374" s="45"/>
    </row>
    <row r="3375" spans="47:47" ht="12" customHeight="1">
      <c r="AU3375" s="45"/>
    </row>
    <row r="3376" spans="47:47" ht="12" customHeight="1">
      <c r="AU3376" s="45"/>
    </row>
    <row r="3377" spans="47:47" ht="12" customHeight="1">
      <c r="AU3377" s="45"/>
    </row>
    <row r="3378" spans="47:47" ht="12" customHeight="1">
      <c r="AU3378" s="45"/>
    </row>
    <row r="3379" spans="47:47" ht="12" customHeight="1">
      <c r="AU3379" s="45"/>
    </row>
    <row r="3380" spans="47:47" ht="12" customHeight="1">
      <c r="AU3380" s="45"/>
    </row>
    <row r="3381" spans="47:47" ht="12" customHeight="1">
      <c r="AU3381" s="45"/>
    </row>
    <row r="3382" spans="47:47" ht="12" customHeight="1">
      <c r="AU3382" s="45"/>
    </row>
    <row r="3383" spans="47:47" ht="12" customHeight="1">
      <c r="AU3383" s="45"/>
    </row>
    <row r="3384" spans="47:47" ht="12" customHeight="1">
      <c r="AU3384" s="45"/>
    </row>
    <row r="3385" spans="47:47" ht="12" customHeight="1">
      <c r="AU3385" s="45"/>
    </row>
    <row r="3386" spans="47:47" ht="12" customHeight="1">
      <c r="AU3386" s="45"/>
    </row>
    <row r="3387" spans="47:47" ht="12" customHeight="1">
      <c r="AU3387" s="45"/>
    </row>
    <row r="3388" spans="47:47" ht="12" customHeight="1">
      <c r="AU3388" s="45"/>
    </row>
    <row r="3389" spans="47:47" ht="12" customHeight="1">
      <c r="AU3389" s="45"/>
    </row>
    <row r="3390" spans="47:47" ht="12" customHeight="1">
      <c r="AU3390" s="45"/>
    </row>
    <row r="3391" spans="47:47" ht="12" customHeight="1">
      <c r="AU3391" s="45"/>
    </row>
    <row r="3392" spans="47:47" ht="12" customHeight="1">
      <c r="AU3392" s="45"/>
    </row>
    <row r="3393" spans="47:47" ht="12" customHeight="1">
      <c r="AU3393" s="45"/>
    </row>
    <row r="3394" spans="47:47" ht="12" customHeight="1">
      <c r="AU3394" s="45"/>
    </row>
    <row r="3395" spans="47:47" ht="12" customHeight="1">
      <c r="AU3395" s="45"/>
    </row>
    <row r="3396" spans="47:47" ht="12" customHeight="1">
      <c r="AU3396" s="45"/>
    </row>
    <row r="3397" spans="47:47" ht="12" customHeight="1">
      <c r="AU3397" s="45"/>
    </row>
    <row r="3398" spans="47:47" ht="12" customHeight="1">
      <c r="AU3398" s="45"/>
    </row>
    <row r="3399" spans="47:47" ht="12" customHeight="1">
      <c r="AU3399" s="45"/>
    </row>
    <row r="3400" spans="47:47" ht="12" customHeight="1">
      <c r="AU3400" s="45"/>
    </row>
    <row r="3401" spans="47:47" ht="12" customHeight="1">
      <c r="AU3401" s="45"/>
    </row>
    <row r="3402" spans="47:47" ht="12" customHeight="1">
      <c r="AU3402" s="45"/>
    </row>
    <row r="3403" spans="47:47" ht="12" customHeight="1">
      <c r="AU3403" s="45"/>
    </row>
    <row r="3404" spans="47:47" ht="12" customHeight="1">
      <c r="AU3404" s="45"/>
    </row>
    <row r="3405" spans="47:47" ht="12" customHeight="1">
      <c r="AU3405" s="45"/>
    </row>
    <row r="3406" spans="47:47" ht="12" customHeight="1">
      <c r="AU3406" s="45"/>
    </row>
    <row r="3407" spans="47:47" ht="12" customHeight="1">
      <c r="AU3407" s="45"/>
    </row>
    <row r="3408" spans="47:47" ht="12" customHeight="1">
      <c r="AU3408" s="45"/>
    </row>
    <row r="3409" spans="47:47" ht="12" customHeight="1">
      <c r="AU3409" s="45"/>
    </row>
    <row r="3410" spans="47:47" ht="12" customHeight="1">
      <c r="AU3410" s="45"/>
    </row>
    <row r="3411" spans="47:47" ht="12" customHeight="1">
      <c r="AU3411" s="45"/>
    </row>
    <row r="3412" spans="47:47" ht="12" customHeight="1">
      <c r="AU3412" s="45"/>
    </row>
    <row r="3413" spans="47:47" ht="12" customHeight="1">
      <c r="AU3413" s="45"/>
    </row>
    <row r="3414" spans="47:47" ht="12" customHeight="1">
      <c r="AU3414" s="45"/>
    </row>
    <row r="3415" spans="47:47" ht="12" customHeight="1">
      <c r="AU3415" s="45"/>
    </row>
    <row r="3416" spans="47:47" ht="12" customHeight="1">
      <c r="AU3416" s="45"/>
    </row>
    <row r="3417" spans="47:47" ht="12" customHeight="1">
      <c r="AU3417" s="45"/>
    </row>
    <row r="3418" spans="47:47" ht="12" customHeight="1">
      <c r="AU3418" s="45"/>
    </row>
    <row r="3419" spans="47:47" ht="12" customHeight="1">
      <c r="AU3419" s="45"/>
    </row>
    <row r="3420" spans="47:47" ht="12" customHeight="1">
      <c r="AU3420" s="45"/>
    </row>
    <row r="3421" spans="47:47" ht="12" customHeight="1">
      <c r="AU3421" s="45"/>
    </row>
    <row r="3422" spans="47:47" ht="12" customHeight="1">
      <c r="AU3422" s="45"/>
    </row>
    <row r="3423" spans="47:47" ht="12" customHeight="1">
      <c r="AU3423" s="45"/>
    </row>
    <row r="3424" spans="47:47" ht="12" customHeight="1">
      <c r="AU3424" s="45"/>
    </row>
    <row r="3425" spans="47:47" ht="12" customHeight="1">
      <c r="AU3425" s="45"/>
    </row>
    <row r="3426" spans="47:47" ht="12" customHeight="1">
      <c r="AU3426" s="45"/>
    </row>
    <row r="3427" spans="47:47" ht="12" customHeight="1">
      <c r="AU3427" s="45"/>
    </row>
    <row r="3428" spans="47:47" ht="12" customHeight="1">
      <c r="AU3428" s="45"/>
    </row>
    <row r="3429" spans="47:47" ht="12" customHeight="1">
      <c r="AU3429" s="45"/>
    </row>
    <row r="3430" spans="47:47" ht="12" customHeight="1">
      <c r="AU3430" s="45"/>
    </row>
    <row r="3431" spans="47:47" ht="12" customHeight="1">
      <c r="AU3431" s="45"/>
    </row>
    <row r="3432" spans="47:47" ht="12" customHeight="1">
      <c r="AU3432" s="45"/>
    </row>
    <row r="3433" spans="47:47" ht="12" customHeight="1">
      <c r="AU3433" s="45"/>
    </row>
    <row r="3434" spans="47:47" ht="12" customHeight="1">
      <c r="AU3434" s="45"/>
    </row>
    <row r="3435" spans="47:47" ht="12" customHeight="1">
      <c r="AU3435" s="45"/>
    </row>
    <row r="3436" spans="47:47" ht="12" customHeight="1">
      <c r="AU3436" s="45"/>
    </row>
    <row r="3437" spans="47:47" ht="12" customHeight="1">
      <c r="AU3437" s="45"/>
    </row>
    <row r="3438" spans="47:47" ht="12" customHeight="1">
      <c r="AU3438" s="45"/>
    </row>
    <row r="3439" spans="47:47" ht="12" customHeight="1">
      <c r="AU3439" s="45"/>
    </row>
    <row r="3440" spans="47:47" ht="12" customHeight="1">
      <c r="AU3440" s="45"/>
    </row>
    <row r="3441" spans="47:47" ht="12" customHeight="1">
      <c r="AU3441" s="45"/>
    </row>
    <row r="3442" spans="47:47" ht="12" customHeight="1">
      <c r="AU3442" s="45"/>
    </row>
    <row r="3443" spans="47:47" ht="12" customHeight="1">
      <c r="AU3443" s="45"/>
    </row>
    <row r="3444" spans="47:47" ht="12" customHeight="1">
      <c r="AU3444" s="45"/>
    </row>
    <row r="3445" spans="47:47" ht="12" customHeight="1">
      <c r="AU3445" s="45"/>
    </row>
    <row r="3446" spans="47:47" ht="12" customHeight="1">
      <c r="AU3446" s="45"/>
    </row>
    <row r="3447" spans="47:47" ht="12" customHeight="1">
      <c r="AU3447" s="45"/>
    </row>
    <row r="3448" spans="47:47" ht="12" customHeight="1">
      <c r="AU3448" s="45"/>
    </row>
    <row r="3449" spans="47:47" ht="12" customHeight="1">
      <c r="AU3449" s="45"/>
    </row>
    <row r="3450" spans="47:47" ht="12" customHeight="1">
      <c r="AU3450" s="45"/>
    </row>
    <row r="3451" spans="47:47" ht="12" customHeight="1">
      <c r="AU3451" s="45"/>
    </row>
    <row r="3452" spans="47:47" ht="12" customHeight="1">
      <c r="AU3452" s="45"/>
    </row>
    <row r="3453" spans="47:47" ht="12" customHeight="1">
      <c r="AU3453" s="45"/>
    </row>
    <row r="3454" spans="47:47" ht="12" customHeight="1">
      <c r="AU3454" s="45"/>
    </row>
    <row r="3455" spans="47:47" ht="12" customHeight="1">
      <c r="AU3455" s="45"/>
    </row>
    <row r="3456" spans="47:47" ht="12" customHeight="1">
      <c r="AU3456" s="45"/>
    </row>
    <row r="3457" spans="47:47" ht="12" customHeight="1">
      <c r="AU3457" s="45"/>
    </row>
    <row r="3458" spans="47:47" ht="12" customHeight="1">
      <c r="AU3458" s="45"/>
    </row>
    <row r="3459" spans="47:47" ht="12" customHeight="1">
      <c r="AU3459" s="45"/>
    </row>
    <row r="3460" spans="47:47" ht="12" customHeight="1">
      <c r="AU3460" s="45"/>
    </row>
    <row r="3461" spans="47:47" ht="12" customHeight="1">
      <c r="AU3461" s="45"/>
    </row>
    <row r="3462" spans="47:47" ht="12" customHeight="1">
      <c r="AU3462" s="45"/>
    </row>
    <row r="3463" spans="47:47" ht="12" customHeight="1">
      <c r="AU3463" s="45"/>
    </row>
    <row r="3464" spans="47:47" ht="12" customHeight="1">
      <c r="AU3464" s="45"/>
    </row>
    <row r="3465" spans="47:47" ht="12" customHeight="1">
      <c r="AU3465" s="45"/>
    </row>
    <row r="3466" spans="47:47" ht="12" customHeight="1">
      <c r="AU3466" s="45"/>
    </row>
    <row r="3467" spans="47:47" ht="12" customHeight="1">
      <c r="AU3467" s="45"/>
    </row>
    <row r="3468" spans="47:47" ht="12" customHeight="1">
      <c r="AU3468" s="45"/>
    </row>
    <row r="3469" spans="47:47" ht="12" customHeight="1">
      <c r="AU3469" s="45"/>
    </row>
    <row r="3470" spans="47:47" ht="12" customHeight="1">
      <c r="AU3470" s="45"/>
    </row>
    <row r="3471" spans="47:47" ht="12" customHeight="1">
      <c r="AU3471" s="45"/>
    </row>
    <row r="3472" spans="47:47" ht="12" customHeight="1">
      <c r="AU3472" s="45"/>
    </row>
    <row r="3473" spans="47:47" ht="12" customHeight="1">
      <c r="AU3473" s="45"/>
    </row>
    <row r="3474" spans="47:47" ht="12" customHeight="1">
      <c r="AU3474" s="45"/>
    </row>
    <row r="3475" spans="47:47" ht="12" customHeight="1">
      <c r="AU3475" s="45"/>
    </row>
    <row r="3476" spans="47:47" ht="12" customHeight="1">
      <c r="AU3476" s="45"/>
    </row>
    <row r="3477" spans="47:47" ht="12" customHeight="1">
      <c r="AU3477" s="45"/>
    </row>
    <row r="3478" spans="47:47" ht="12" customHeight="1">
      <c r="AU3478" s="45"/>
    </row>
    <row r="3479" spans="47:47" ht="12" customHeight="1">
      <c r="AU3479" s="45"/>
    </row>
    <row r="3480" spans="47:47" ht="12" customHeight="1">
      <c r="AU3480" s="45"/>
    </row>
    <row r="3481" spans="47:47" ht="12" customHeight="1">
      <c r="AU3481" s="45"/>
    </row>
    <row r="3482" spans="47:47" ht="12" customHeight="1">
      <c r="AU3482" s="45"/>
    </row>
    <row r="3483" spans="47:47" ht="12" customHeight="1">
      <c r="AU3483" s="45"/>
    </row>
    <row r="3484" spans="47:47" ht="12" customHeight="1">
      <c r="AU3484" s="45"/>
    </row>
    <row r="3485" spans="47:47" ht="12" customHeight="1">
      <c r="AU3485" s="45"/>
    </row>
    <row r="3486" spans="47:47" ht="12" customHeight="1">
      <c r="AU3486" s="45"/>
    </row>
    <row r="3487" spans="47:47" ht="12" customHeight="1">
      <c r="AU3487" s="45"/>
    </row>
    <row r="3488" spans="47:47" ht="12" customHeight="1">
      <c r="AU3488" s="45"/>
    </row>
    <row r="3489" spans="47:47" ht="12" customHeight="1">
      <c r="AU3489" s="45"/>
    </row>
    <row r="3490" spans="47:47" ht="12" customHeight="1">
      <c r="AU3490" s="45"/>
    </row>
    <row r="3491" spans="47:47" ht="12" customHeight="1">
      <c r="AU3491" s="45"/>
    </row>
    <row r="3492" spans="47:47" ht="12" customHeight="1">
      <c r="AU3492" s="45"/>
    </row>
    <row r="3493" spans="47:47" ht="12" customHeight="1">
      <c r="AU3493" s="45"/>
    </row>
    <row r="3494" spans="47:47" ht="12" customHeight="1">
      <c r="AU3494" s="45"/>
    </row>
    <row r="3495" spans="47:47" ht="12" customHeight="1">
      <c r="AU3495" s="45"/>
    </row>
    <row r="3496" spans="47:47" ht="12" customHeight="1">
      <c r="AU3496" s="45"/>
    </row>
    <row r="3497" spans="47:47" ht="12" customHeight="1">
      <c r="AU3497" s="45"/>
    </row>
    <row r="3498" spans="47:47" ht="12" customHeight="1">
      <c r="AU3498" s="45"/>
    </row>
    <row r="3499" spans="47:47" ht="12" customHeight="1">
      <c r="AU3499" s="45"/>
    </row>
    <row r="3500" spans="47:47" ht="12" customHeight="1">
      <c r="AU3500" s="45"/>
    </row>
    <row r="3501" spans="47:47" ht="12" customHeight="1">
      <c r="AU3501" s="45"/>
    </row>
    <row r="3502" spans="47:47" ht="12" customHeight="1">
      <c r="AU3502" s="45"/>
    </row>
    <row r="3503" spans="47:47" ht="12" customHeight="1">
      <c r="AU3503" s="45"/>
    </row>
    <row r="3504" spans="47:47" ht="12" customHeight="1">
      <c r="AU3504" s="45"/>
    </row>
    <row r="3505" spans="47:47" ht="12" customHeight="1">
      <c r="AU3505" s="45"/>
    </row>
    <row r="3506" spans="47:47" ht="12" customHeight="1">
      <c r="AU3506" s="45"/>
    </row>
    <row r="3507" spans="47:47" ht="12" customHeight="1">
      <c r="AU3507" s="45"/>
    </row>
    <row r="3508" spans="47:47" ht="12" customHeight="1">
      <c r="AU3508" s="45"/>
    </row>
    <row r="3509" spans="47:47" ht="12" customHeight="1">
      <c r="AU3509" s="45"/>
    </row>
    <row r="3510" spans="47:47" ht="12" customHeight="1">
      <c r="AU3510" s="45"/>
    </row>
    <row r="3511" spans="47:47" ht="12" customHeight="1">
      <c r="AU3511" s="45"/>
    </row>
    <row r="3512" spans="47:47" ht="12" customHeight="1">
      <c r="AU3512" s="45"/>
    </row>
    <row r="3513" spans="47:47" ht="12" customHeight="1">
      <c r="AU3513" s="45"/>
    </row>
    <row r="3514" spans="47:47" ht="12" customHeight="1">
      <c r="AU3514" s="45"/>
    </row>
    <row r="3515" spans="47:47" ht="12" customHeight="1">
      <c r="AU3515" s="45"/>
    </row>
    <row r="3516" spans="47:47" ht="12" customHeight="1">
      <c r="AU3516" s="45"/>
    </row>
    <row r="3517" spans="47:47" ht="12" customHeight="1">
      <c r="AU3517" s="45"/>
    </row>
    <row r="3518" spans="47:47" ht="12" customHeight="1">
      <c r="AU3518" s="45"/>
    </row>
    <row r="3519" spans="47:47" ht="12" customHeight="1">
      <c r="AU3519" s="45"/>
    </row>
    <row r="3520" spans="47:47" ht="12" customHeight="1">
      <c r="AU3520" s="45"/>
    </row>
    <row r="3521" spans="47:47" ht="12" customHeight="1">
      <c r="AU3521" s="45"/>
    </row>
    <row r="3522" spans="47:47" ht="12" customHeight="1">
      <c r="AU3522" s="45"/>
    </row>
    <row r="3523" spans="47:47" ht="12" customHeight="1">
      <c r="AU3523" s="45"/>
    </row>
    <row r="3524" spans="47:47" ht="12" customHeight="1">
      <c r="AU3524" s="45"/>
    </row>
    <row r="3525" spans="47:47" ht="12" customHeight="1">
      <c r="AU3525" s="45"/>
    </row>
    <row r="3526" spans="47:47" ht="12" customHeight="1">
      <c r="AU3526" s="45"/>
    </row>
    <row r="3527" spans="47:47" ht="12" customHeight="1">
      <c r="AU3527" s="45"/>
    </row>
    <row r="3528" spans="47:47" ht="12" customHeight="1">
      <c r="AU3528" s="45"/>
    </row>
    <row r="3529" spans="47:47" ht="12" customHeight="1">
      <c r="AU3529" s="45"/>
    </row>
    <row r="3530" spans="47:47" ht="12" customHeight="1">
      <c r="AU3530" s="45"/>
    </row>
    <row r="3531" spans="47:47" ht="12" customHeight="1">
      <c r="AU3531" s="45"/>
    </row>
    <row r="3532" spans="47:47" ht="12" customHeight="1">
      <c r="AU3532" s="45"/>
    </row>
    <row r="3533" spans="47:47" ht="12" customHeight="1">
      <c r="AU3533" s="45"/>
    </row>
    <row r="3534" spans="47:47" ht="12" customHeight="1">
      <c r="AU3534" s="45"/>
    </row>
    <row r="3535" spans="47:47" ht="12" customHeight="1">
      <c r="AU3535" s="45"/>
    </row>
    <row r="3536" spans="47:47" ht="12" customHeight="1">
      <c r="AU3536" s="45"/>
    </row>
    <row r="3537" spans="47:47" ht="12" customHeight="1">
      <c r="AU3537" s="45"/>
    </row>
    <row r="3538" spans="47:47" ht="12" customHeight="1">
      <c r="AU3538" s="45"/>
    </row>
    <row r="3539" spans="47:47" ht="12" customHeight="1">
      <c r="AU3539" s="45"/>
    </row>
    <row r="3540" spans="47:47" ht="12" customHeight="1">
      <c r="AU3540" s="45"/>
    </row>
    <row r="3541" spans="47:47" ht="12" customHeight="1">
      <c r="AU3541" s="45"/>
    </row>
    <row r="3542" spans="47:47" ht="12" customHeight="1">
      <c r="AU3542" s="45"/>
    </row>
    <row r="3543" spans="47:47" ht="12" customHeight="1">
      <c r="AU3543" s="45"/>
    </row>
    <row r="3544" spans="47:47" ht="12" customHeight="1">
      <c r="AU3544" s="45"/>
    </row>
    <row r="3545" spans="47:47" ht="12" customHeight="1">
      <c r="AU3545" s="45"/>
    </row>
    <row r="3546" spans="47:47" ht="12" customHeight="1">
      <c r="AU3546" s="45"/>
    </row>
    <row r="3547" spans="47:47" ht="12" customHeight="1">
      <c r="AU3547" s="45"/>
    </row>
    <row r="3548" spans="47:47" ht="12" customHeight="1">
      <c r="AU3548" s="45"/>
    </row>
    <row r="3549" spans="47:47" ht="12" customHeight="1">
      <c r="AU3549" s="45"/>
    </row>
    <row r="3550" spans="47:47" ht="12" customHeight="1">
      <c r="AU3550" s="45"/>
    </row>
    <row r="3551" spans="47:47" ht="12" customHeight="1">
      <c r="AU3551" s="45"/>
    </row>
    <row r="3552" spans="47:47" ht="12" customHeight="1">
      <c r="AU3552" s="45"/>
    </row>
    <row r="3553" spans="47:47" ht="12" customHeight="1">
      <c r="AU3553" s="45"/>
    </row>
    <row r="3554" spans="47:47" ht="12" customHeight="1">
      <c r="AU3554" s="45"/>
    </row>
    <row r="3555" spans="47:47" ht="12" customHeight="1">
      <c r="AU3555" s="45"/>
    </row>
    <row r="3556" spans="47:47" ht="12" customHeight="1">
      <c r="AU3556" s="45"/>
    </row>
    <row r="3557" spans="47:47" ht="12" customHeight="1">
      <c r="AU3557" s="45"/>
    </row>
    <row r="3558" spans="47:47" ht="12" customHeight="1">
      <c r="AU3558" s="45"/>
    </row>
    <row r="3559" spans="47:47" ht="12" customHeight="1">
      <c r="AU3559" s="45"/>
    </row>
    <row r="3560" spans="47:47" ht="12" customHeight="1">
      <c r="AU3560" s="45"/>
    </row>
    <row r="3561" spans="47:47" ht="12" customHeight="1">
      <c r="AU3561" s="45"/>
    </row>
    <row r="3562" spans="47:47" ht="12" customHeight="1">
      <c r="AU3562" s="45"/>
    </row>
    <row r="3563" spans="47:47" ht="12" customHeight="1">
      <c r="AU3563" s="45"/>
    </row>
    <row r="3564" spans="47:47" ht="12" customHeight="1">
      <c r="AU3564" s="45"/>
    </row>
    <row r="3565" spans="47:47" ht="12" customHeight="1">
      <c r="AU3565" s="45"/>
    </row>
    <row r="3566" spans="47:47" ht="12" customHeight="1">
      <c r="AU3566" s="45"/>
    </row>
    <row r="3567" spans="47:47" ht="12" customHeight="1">
      <c r="AU3567" s="45"/>
    </row>
    <row r="3568" spans="47:47" ht="12" customHeight="1">
      <c r="AU3568" s="45"/>
    </row>
    <row r="3569" spans="47:47" ht="12" customHeight="1">
      <c r="AU3569" s="45"/>
    </row>
    <row r="3570" spans="47:47" ht="12" customHeight="1">
      <c r="AU3570" s="45"/>
    </row>
    <row r="3571" spans="47:47" ht="12" customHeight="1">
      <c r="AU3571" s="45"/>
    </row>
    <row r="3572" spans="47:47" ht="12" customHeight="1">
      <c r="AU3572" s="45"/>
    </row>
    <row r="3573" spans="47:47" ht="12" customHeight="1">
      <c r="AU3573" s="45"/>
    </row>
    <row r="3574" spans="47:47" ht="12" customHeight="1">
      <c r="AU3574" s="45"/>
    </row>
    <row r="3575" spans="47:47" ht="12" customHeight="1">
      <c r="AU3575" s="45"/>
    </row>
    <row r="3576" spans="47:47" ht="12" customHeight="1">
      <c r="AU3576" s="45"/>
    </row>
    <row r="3577" spans="47:47" ht="12" customHeight="1">
      <c r="AU3577" s="45"/>
    </row>
    <row r="3578" spans="47:47" ht="12" customHeight="1">
      <c r="AU3578" s="45"/>
    </row>
    <row r="3579" spans="47:47" ht="12" customHeight="1">
      <c r="AU3579" s="45"/>
    </row>
    <row r="3580" spans="47:47" ht="12" customHeight="1">
      <c r="AU3580" s="45"/>
    </row>
    <row r="3581" spans="47:47" ht="12" customHeight="1">
      <c r="AU3581" s="45"/>
    </row>
    <row r="3582" spans="47:47" ht="12" customHeight="1">
      <c r="AU3582" s="45"/>
    </row>
    <row r="3583" spans="47:47" ht="12" customHeight="1">
      <c r="AU3583" s="45"/>
    </row>
    <row r="3584" spans="47:47" ht="12" customHeight="1">
      <c r="AU3584" s="45"/>
    </row>
    <row r="3585" spans="47:47" ht="12" customHeight="1">
      <c r="AU3585" s="45"/>
    </row>
    <row r="3586" spans="47:47" ht="12" customHeight="1">
      <c r="AU3586" s="45"/>
    </row>
    <row r="3587" spans="47:47" ht="12" customHeight="1">
      <c r="AU3587" s="45"/>
    </row>
    <row r="3588" spans="47:47" ht="12" customHeight="1">
      <c r="AU3588" s="45"/>
    </row>
    <row r="3589" spans="47:47" ht="12" customHeight="1">
      <c r="AU3589" s="45"/>
    </row>
    <row r="3590" spans="47:47" ht="12" customHeight="1">
      <c r="AU3590" s="45"/>
    </row>
    <row r="3591" spans="47:47" ht="12" customHeight="1">
      <c r="AU3591" s="45"/>
    </row>
    <row r="3592" spans="47:47" ht="12" customHeight="1">
      <c r="AU3592" s="45"/>
    </row>
    <row r="3593" spans="47:47" ht="12" customHeight="1">
      <c r="AU3593" s="45"/>
    </row>
    <row r="3594" spans="47:47" ht="12" customHeight="1">
      <c r="AU3594" s="45"/>
    </row>
    <row r="3595" spans="47:47" ht="12" customHeight="1">
      <c r="AU3595" s="45"/>
    </row>
    <row r="3596" spans="47:47" ht="12" customHeight="1">
      <c r="AU3596" s="45"/>
    </row>
    <row r="3597" spans="47:47" ht="12" customHeight="1">
      <c r="AU3597" s="45"/>
    </row>
    <row r="3598" spans="47:47" ht="12" customHeight="1">
      <c r="AU3598" s="45"/>
    </row>
    <row r="3599" spans="47:47" ht="12" customHeight="1">
      <c r="AU3599" s="45"/>
    </row>
    <row r="3600" spans="47:47" ht="12" customHeight="1">
      <c r="AU3600" s="45"/>
    </row>
    <row r="3601" spans="47:47" ht="12" customHeight="1">
      <c r="AU3601" s="45"/>
    </row>
    <row r="3602" spans="47:47" ht="12" customHeight="1">
      <c r="AU3602" s="45"/>
    </row>
    <row r="3603" spans="47:47" ht="12" customHeight="1">
      <c r="AU3603" s="45"/>
    </row>
    <row r="3604" spans="47:47" ht="12" customHeight="1">
      <c r="AU3604" s="45"/>
    </row>
    <row r="3605" spans="47:47" ht="12" customHeight="1">
      <c r="AU3605" s="45"/>
    </row>
    <row r="3606" spans="47:47" ht="12" customHeight="1">
      <c r="AU3606" s="45"/>
    </row>
    <row r="3607" spans="47:47" ht="12" customHeight="1">
      <c r="AU3607" s="45"/>
    </row>
    <row r="3608" spans="47:47" ht="12" customHeight="1">
      <c r="AU3608" s="45"/>
    </row>
    <row r="3609" spans="47:47" ht="12" customHeight="1">
      <c r="AU3609" s="45"/>
    </row>
    <row r="3610" spans="47:47" ht="12" customHeight="1">
      <c r="AU3610" s="45"/>
    </row>
    <row r="3611" spans="47:47" ht="12" customHeight="1">
      <c r="AU3611" s="45"/>
    </row>
    <row r="3612" spans="47:47" ht="12" customHeight="1">
      <c r="AU3612" s="45"/>
    </row>
    <row r="3613" spans="47:47" ht="12" customHeight="1">
      <c r="AU3613" s="45"/>
    </row>
    <row r="3614" spans="47:47" ht="12" customHeight="1">
      <c r="AU3614" s="45"/>
    </row>
    <row r="3615" spans="47:47" ht="12" customHeight="1">
      <c r="AU3615" s="45"/>
    </row>
    <row r="3616" spans="47:47" ht="12" customHeight="1">
      <c r="AU3616" s="45"/>
    </row>
    <row r="3617" spans="47:47" ht="12" customHeight="1">
      <c r="AU3617" s="45"/>
    </row>
    <row r="3618" spans="47:47" ht="12" customHeight="1">
      <c r="AU3618" s="45"/>
    </row>
    <row r="3619" spans="47:47" ht="12" customHeight="1">
      <c r="AU3619" s="45"/>
    </row>
    <row r="3620" spans="47:47" ht="12" customHeight="1">
      <c r="AU3620" s="45"/>
    </row>
    <row r="3621" spans="47:47" ht="12" customHeight="1">
      <c r="AU3621" s="45"/>
    </row>
    <row r="3622" spans="47:47" ht="12" customHeight="1">
      <c r="AU3622" s="45"/>
    </row>
    <row r="3623" spans="47:47" ht="12" customHeight="1">
      <c r="AU3623" s="45"/>
    </row>
    <row r="3624" spans="47:47" ht="12" customHeight="1">
      <c r="AU3624" s="45"/>
    </row>
    <row r="3625" spans="47:47" ht="12" customHeight="1">
      <c r="AU3625" s="45"/>
    </row>
    <row r="3626" spans="47:47" ht="12" customHeight="1">
      <c r="AU3626" s="45"/>
    </row>
    <row r="3627" spans="47:47" ht="12" customHeight="1">
      <c r="AU3627" s="45"/>
    </row>
    <row r="3628" spans="47:47" ht="12" customHeight="1">
      <c r="AU3628" s="45"/>
    </row>
    <row r="3629" spans="47:47" ht="12" customHeight="1">
      <c r="AU3629" s="45"/>
    </row>
    <row r="3630" spans="47:47" ht="12" customHeight="1">
      <c r="AU3630" s="45"/>
    </row>
    <row r="3631" spans="47:47" ht="12" customHeight="1">
      <c r="AU3631" s="45"/>
    </row>
    <row r="3632" spans="47:47" ht="12" customHeight="1">
      <c r="AU3632" s="45"/>
    </row>
    <row r="3633" spans="47:47" ht="12" customHeight="1">
      <c r="AU3633" s="45"/>
    </row>
    <row r="3634" spans="47:47" ht="12" customHeight="1">
      <c r="AU3634" s="45"/>
    </row>
    <row r="3635" spans="47:47" ht="12" customHeight="1">
      <c r="AU3635" s="45"/>
    </row>
    <row r="3636" spans="47:47" ht="12" customHeight="1">
      <c r="AU3636" s="45"/>
    </row>
    <row r="3637" spans="47:47" ht="12" customHeight="1">
      <c r="AU3637" s="45"/>
    </row>
    <row r="3638" spans="47:47" ht="12" customHeight="1">
      <c r="AU3638" s="45"/>
    </row>
    <row r="3639" spans="47:47" ht="12" customHeight="1">
      <c r="AU3639" s="45"/>
    </row>
    <row r="3640" spans="47:47" ht="12" customHeight="1">
      <c r="AU3640" s="45"/>
    </row>
    <row r="3641" spans="47:47" ht="12" customHeight="1">
      <c r="AU3641" s="45"/>
    </row>
    <row r="3642" spans="47:47" ht="12" customHeight="1">
      <c r="AU3642" s="45"/>
    </row>
    <row r="3643" spans="47:47" ht="12" customHeight="1">
      <c r="AU3643" s="45"/>
    </row>
    <row r="3644" spans="47:47" ht="12" customHeight="1">
      <c r="AU3644" s="45"/>
    </row>
    <row r="3645" spans="47:47" ht="12" customHeight="1">
      <c r="AU3645" s="45"/>
    </row>
    <row r="3646" spans="47:47" ht="12" customHeight="1">
      <c r="AU3646" s="45"/>
    </row>
    <row r="3647" spans="47:47" ht="12" customHeight="1">
      <c r="AU3647" s="45"/>
    </row>
    <row r="3648" spans="47:47" ht="12" customHeight="1">
      <c r="AU3648" s="45"/>
    </row>
    <row r="3649" spans="47:47" ht="12" customHeight="1">
      <c r="AU3649" s="45"/>
    </row>
    <row r="3650" spans="47:47" ht="12" customHeight="1">
      <c r="AU3650" s="45"/>
    </row>
    <row r="3651" spans="47:47" ht="12" customHeight="1">
      <c r="AU3651" s="45"/>
    </row>
    <row r="3652" spans="47:47" ht="12" customHeight="1">
      <c r="AU3652" s="45"/>
    </row>
    <row r="3653" spans="47:47" ht="12" customHeight="1">
      <c r="AU3653" s="45"/>
    </row>
    <row r="3654" spans="47:47" ht="12" customHeight="1">
      <c r="AU3654" s="45"/>
    </row>
    <row r="3655" spans="47:47" ht="12" customHeight="1">
      <c r="AU3655" s="45"/>
    </row>
    <row r="3656" spans="47:47" ht="12" customHeight="1">
      <c r="AU3656" s="45"/>
    </row>
    <row r="3657" spans="47:47" ht="12" customHeight="1">
      <c r="AU3657" s="45"/>
    </row>
    <row r="3658" spans="47:47" ht="12" customHeight="1">
      <c r="AU3658" s="45"/>
    </row>
    <row r="3659" spans="47:47" ht="12" customHeight="1">
      <c r="AU3659" s="45"/>
    </row>
    <row r="3660" spans="47:47" ht="12" customHeight="1">
      <c r="AU3660" s="45"/>
    </row>
    <row r="3661" spans="47:47" ht="12" customHeight="1">
      <c r="AU3661" s="45"/>
    </row>
    <row r="3662" spans="47:47" ht="12" customHeight="1">
      <c r="AU3662" s="45"/>
    </row>
    <row r="3663" spans="47:47" ht="12" customHeight="1">
      <c r="AU3663" s="45"/>
    </row>
    <row r="3664" spans="47:47" ht="12" customHeight="1">
      <c r="AU3664" s="45"/>
    </row>
    <row r="3665" spans="47:47" ht="12" customHeight="1">
      <c r="AU3665" s="45"/>
    </row>
    <row r="3666" spans="47:47" ht="12" customHeight="1">
      <c r="AU3666" s="45"/>
    </row>
    <row r="3667" spans="47:47" ht="12" customHeight="1">
      <c r="AU3667" s="45"/>
    </row>
    <row r="3668" spans="47:47" ht="12" customHeight="1">
      <c r="AU3668" s="45"/>
    </row>
    <row r="3669" spans="47:47" ht="12" customHeight="1">
      <c r="AU3669" s="45"/>
    </row>
    <row r="3670" spans="47:47" ht="12" customHeight="1">
      <c r="AU3670" s="45"/>
    </row>
    <row r="3671" spans="47:47" ht="12" customHeight="1">
      <c r="AU3671" s="45"/>
    </row>
    <row r="3672" spans="47:47" ht="12" customHeight="1">
      <c r="AU3672" s="45"/>
    </row>
    <row r="3673" spans="47:47" ht="12" customHeight="1">
      <c r="AU3673" s="45"/>
    </row>
    <row r="3674" spans="47:47" ht="12" customHeight="1">
      <c r="AU3674" s="45"/>
    </row>
    <row r="3675" spans="47:47" ht="12" customHeight="1">
      <c r="AU3675" s="45"/>
    </row>
    <row r="3676" spans="47:47" ht="12" customHeight="1">
      <c r="AU3676" s="45"/>
    </row>
    <row r="3677" spans="47:47" ht="12" customHeight="1">
      <c r="AU3677" s="45"/>
    </row>
    <row r="3678" spans="47:47" ht="12" customHeight="1">
      <c r="AU3678" s="45"/>
    </row>
    <row r="3679" spans="47:47" ht="12" customHeight="1">
      <c r="AU3679" s="45"/>
    </row>
    <row r="3680" spans="47:47" ht="12" customHeight="1">
      <c r="AU3680" s="45"/>
    </row>
    <row r="3681" spans="47:47" ht="12" customHeight="1">
      <c r="AU3681" s="45"/>
    </row>
    <row r="3682" spans="47:47" ht="12" customHeight="1">
      <c r="AU3682" s="45"/>
    </row>
    <row r="3683" spans="47:47" ht="12" customHeight="1">
      <c r="AU3683" s="45"/>
    </row>
    <row r="3684" spans="47:47" ht="12" customHeight="1">
      <c r="AU3684" s="45"/>
    </row>
    <row r="3685" spans="47:47" ht="12" customHeight="1">
      <c r="AU3685" s="45"/>
    </row>
    <row r="3686" spans="47:47" ht="12" customHeight="1">
      <c r="AU3686" s="45"/>
    </row>
    <row r="3687" spans="47:47" ht="12" customHeight="1">
      <c r="AU3687" s="45"/>
    </row>
    <row r="3688" spans="47:47" ht="12" customHeight="1">
      <c r="AU3688" s="45"/>
    </row>
    <row r="3689" spans="47:47" ht="12" customHeight="1">
      <c r="AU3689" s="45"/>
    </row>
    <row r="3690" spans="47:47" ht="12" customHeight="1">
      <c r="AU3690" s="45"/>
    </row>
    <row r="3691" spans="47:47" ht="12" customHeight="1">
      <c r="AU3691" s="45"/>
    </row>
    <row r="3692" spans="47:47" ht="12" customHeight="1">
      <c r="AU3692" s="45"/>
    </row>
    <row r="3693" spans="47:47" ht="12" customHeight="1">
      <c r="AU3693" s="45"/>
    </row>
    <row r="3694" spans="47:47" ht="12" customHeight="1">
      <c r="AU3694" s="45"/>
    </row>
    <row r="3695" spans="47:47" ht="12" customHeight="1">
      <c r="AU3695" s="45"/>
    </row>
    <row r="3696" spans="47:47" ht="12" customHeight="1">
      <c r="AU3696" s="45"/>
    </row>
    <row r="3697" spans="47:47" ht="12" customHeight="1">
      <c r="AU3697" s="45"/>
    </row>
    <row r="3698" spans="47:47" ht="12" customHeight="1">
      <c r="AU3698" s="45"/>
    </row>
    <row r="3699" spans="47:47" ht="12" customHeight="1">
      <c r="AU3699" s="45"/>
    </row>
    <row r="3700" spans="47:47" ht="12" customHeight="1">
      <c r="AU3700" s="45"/>
    </row>
    <row r="3701" spans="47:47" ht="12" customHeight="1">
      <c r="AU3701" s="45"/>
    </row>
    <row r="3702" spans="47:47" ht="12" customHeight="1">
      <c r="AU3702" s="45"/>
    </row>
    <row r="3703" spans="47:47" ht="12" customHeight="1">
      <c r="AU3703" s="45"/>
    </row>
    <row r="3704" spans="47:47" ht="12" customHeight="1">
      <c r="AU3704" s="45"/>
    </row>
    <row r="3705" spans="47:47" ht="12" customHeight="1">
      <c r="AU3705" s="45"/>
    </row>
    <row r="3706" spans="47:47" ht="12" customHeight="1">
      <c r="AU3706" s="45"/>
    </row>
    <row r="3707" spans="47:47" ht="12" customHeight="1">
      <c r="AU3707" s="45"/>
    </row>
    <row r="3708" spans="47:47" ht="12" customHeight="1">
      <c r="AU3708" s="45"/>
    </row>
    <row r="3709" spans="47:47" ht="12" customHeight="1">
      <c r="AU3709" s="45"/>
    </row>
    <row r="3710" spans="47:47" ht="12" customHeight="1">
      <c r="AU3710" s="45"/>
    </row>
    <row r="3711" spans="47:47" ht="12" customHeight="1">
      <c r="AU3711" s="45"/>
    </row>
    <row r="3712" spans="47:47" ht="12" customHeight="1">
      <c r="AU3712" s="45"/>
    </row>
    <row r="3713" spans="47:47" ht="12" customHeight="1">
      <c r="AU3713" s="45"/>
    </row>
    <row r="3714" spans="47:47" ht="12" customHeight="1">
      <c r="AU3714" s="45"/>
    </row>
    <row r="3715" spans="47:47" ht="12" customHeight="1">
      <c r="AU3715" s="45"/>
    </row>
    <row r="3716" spans="47:47" ht="12" customHeight="1">
      <c r="AU3716" s="45"/>
    </row>
    <row r="3717" spans="47:47" ht="12" customHeight="1">
      <c r="AU3717" s="45"/>
    </row>
    <row r="3718" spans="47:47" ht="12" customHeight="1">
      <c r="AU3718" s="45"/>
    </row>
    <row r="3719" spans="47:47" ht="12" customHeight="1">
      <c r="AU3719" s="45"/>
    </row>
    <row r="3720" spans="47:47" ht="12" customHeight="1">
      <c r="AU3720" s="45"/>
    </row>
    <row r="3721" spans="47:47" ht="12" customHeight="1">
      <c r="AU3721" s="45"/>
    </row>
    <row r="3722" spans="47:47" ht="12" customHeight="1">
      <c r="AU3722" s="45"/>
    </row>
    <row r="3723" spans="47:47" ht="12" customHeight="1">
      <c r="AU3723" s="45"/>
    </row>
    <row r="3724" spans="47:47" ht="12" customHeight="1">
      <c r="AU3724" s="45"/>
    </row>
    <row r="3725" spans="47:47" ht="12" customHeight="1">
      <c r="AU3725" s="45"/>
    </row>
    <row r="3726" spans="47:47" ht="12" customHeight="1">
      <c r="AU3726" s="45"/>
    </row>
    <row r="3727" spans="47:47" ht="12" customHeight="1">
      <c r="AU3727" s="45"/>
    </row>
    <row r="3728" spans="47:47" ht="12" customHeight="1">
      <c r="AU3728" s="45"/>
    </row>
    <row r="3729" spans="47:47" ht="12" customHeight="1">
      <c r="AU3729" s="45"/>
    </row>
    <row r="3730" spans="47:47" ht="12" customHeight="1">
      <c r="AU3730" s="45"/>
    </row>
    <row r="3731" spans="47:47" ht="12" customHeight="1">
      <c r="AU3731" s="45"/>
    </row>
    <row r="3732" spans="47:47" ht="12" customHeight="1">
      <c r="AU3732" s="45"/>
    </row>
    <row r="3733" spans="47:47" ht="12" customHeight="1">
      <c r="AU3733" s="45"/>
    </row>
    <row r="3734" spans="47:47" ht="12" customHeight="1">
      <c r="AU3734" s="45"/>
    </row>
    <row r="3735" spans="47:47" ht="12" customHeight="1">
      <c r="AU3735" s="45"/>
    </row>
    <row r="3736" spans="47:47" ht="12" customHeight="1">
      <c r="AU3736" s="45"/>
    </row>
    <row r="3737" spans="47:47" ht="12" customHeight="1">
      <c r="AU3737" s="45"/>
    </row>
    <row r="3738" spans="47:47" ht="12" customHeight="1">
      <c r="AU3738" s="45"/>
    </row>
    <row r="3739" spans="47:47" ht="12" customHeight="1">
      <c r="AU3739" s="45"/>
    </row>
    <row r="3740" spans="47:47" ht="12" customHeight="1">
      <c r="AU3740" s="45"/>
    </row>
    <row r="3741" spans="47:47" ht="12" customHeight="1">
      <c r="AU3741" s="45"/>
    </row>
    <row r="3742" spans="47:47" ht="12" customHeight="1">
      <c r="AU3742" s="45"/>
    </row>
    <row r="3743" spans="47:47" ht="12" customHeight="1">
      <c r="AU3743" s="45"/>
    </row>
    <row r="3744" spans="47:47" ht="12" customHeight="1">
      <c r="AU3744" s="45"/>
    </row>
    <row r="3745" spans="47:47" ht="12" customHeight="1">
      <c r="AU3745" s="45"/>
    </row>
    <row r="3746" spans="47:47" ht="12" customHeight="1">
      <c r="AU3746" s="45"/>
    </row>
    <row r="3747" spans="47:47" ht="12" customHeight="1">
      <c r="AU3747" s="45"/>
    </row>
    <row r="3748" spans="47:47" ht="12" customHeight="1">
      <c r="AU3748" s="45"/>
    </row>
    <row r="3749" spans="47:47" ht="12" customHeight="1">
      <c r="AU3749" s="45"/>
    </row>
    <row r="3750" spans="47:47" ht="12" customHeight="1">
      <c r="AU3750" s="45"/>
    </row>
    <row r="3751" spans="47:47" ht="12" customHeight="1">
      <c r="AU3751" s="45"/>
    </row>
    <row r="3752" spans="47:47" ht="12" customHeight="1">
      <c r="AU3752" s="45"/>
    </row>
    <row r="3753" spans="47:47" ht="12" customHeight="1">
      <c r="AU3753" s="45"/>
    </row>
    <row r="3754" spans="47:47" ht="12" customHeight="1">
      <c r="AU3754" s="45"/>
    </row>
    <row r="3755" spans="47:47" ht="12" customHeight="1">
      <c r="AU3755" s="45"/>
    </row>
    <row r="3756" spans="47:47" ht="12" customHeight="1">
      <c r="AU3756" s="45"/>
    </row>
    <row r="3757" spans="47:47" ht="12" customHeight="1">
      <c r="AU3757" s="45"/>
    </row>
    <row r="3758" spans="47:47" ht="12" customHeight="1">
      <c r="AU3758" s="45"/>
    </row>
    <row r="3759" spans="47:47" ht="12" customHeight="1">
      <c r="AU3759" s="45"/>
    </row>
    <row r="3760" spans="47:47" ht="12" customHeight="1">
      <c r="AU3760" s="45"/>
    </row>
    <row r="3761" spans="47:47" ht="12" customHeight="1">
      <c r="AU3761" s="45"/>
    </row>
    <row r="3762" spans="47:47" ht="12" customHeight="1">
      <c r="AU3762" s="45"/>
    </row>
    <row r="3763" spans="47:47" ht="12" customHeight="1">
      <c r="AU3763" s="45"/>
    </row>
    <row r="3764" spans="47:47" ht="12" customHeight="1">
      <c r="AU3764" s="45"/>
    </row>
    <row r="3765" spans="47:47" ht="12" customHeight="1">
      <c r="AU3765" s="45"/>
    </row>
    <row r="3766" spans="47:47" ht="12" customHeight="1">
      <c r="AU3766" s="45"/>
    </row>
    <row r="3767" spans="47:47" ht="12" customHeight="1">
      <c r="AU3767" s="45"/>
    </row>
    <row r="3768" spans="47:47" ht="12" customHeight="1">
      <c r="AU3768" s="45"/>
    </row>
    <row r="3769" spans="47:47" ht="12" customHeight="1">
      <c r="AU3769" s="45"/>
    </row>
    <row r="3770" spans="47:47" ht="12" customHeight="1">
      <c r="AU3770" s="45"/>
    </row>
    <row r="3771" spans="47:47" ht="12" customHeight="1">
      <c r="AU3771" s="45"/>
    </row>
    <row r="3772" spans="47:47" ht="12" customHeight="1">
      <c r="AU3772" s="45"/>
    </row>
    <row r="3773" spans="47:47" ht="12" customHeight="1">
      <c r="AU3773" s="45"/>
    </row>
    <row r="3774" spans="47:47" ht="12" customHeight="1">
      <c r="AU3774" s="45"/>
    </row>
    <row r="3775" spans="47:47" ht="12" customHeight="1">
      <c r="AU3775" s="45"/>
    </row>
    <row r="3776" spans="47:47" ht="12" customHeight="1">
      <c r="AU3776" s="45"/>
    </row>
    <row r="3777" spans="47:47" ht="12" customHeight="1">
      <c r="AU3777" s="45"/>
    </row>
    <row r="3778" spans="47:47" ht="12" customHeight="1">
      <c r="AU3778" s="45"/>
    </row>
    <row r="3779" spans="47:47" ht="12" customHeight="1">
      <c r="AU3779" s="45"/>
    </row>
    <row r="3780" spans="47:47" ht="12" customHeight="1">
      <c r="AU3780" s="45"/>
    </row>
    <row r="3781" spans="47:47" ht="12" customHeight="1">
      <c r="AU3781" s="45"/>
    </row>
    <row r="3782" spans="47:47" ht="12" customHeight="1">
      <c r="AU3782" s="45"/>
    </row>
    <row r="3783" spans="47:47" ht="12" customHeight="1">
      <c r="AU3783" s="45"/>
    </row>
    <row r="3784" spans="47:47" ht="12" customHeight="1">
      <c r="AU3784" s="45"/>
    </row>
    <row r="3785" spans="47:47" ht="12" customHeight="1">
      <c r="AU3785" s="45"/>
    </row>
    <row r="3786" spans="47:47" ht="12" customHeight="1">
      <c r="AU3786" s="45"/>
    </row>
    <row r="3787" spans="47:47" ht="12" customHeight="1">
      <c r="AU3787" s="45"/>
    </row>
    <row r="3788" spans="47:47" ht="12" customHeight="1">
      <c r="AU3788" s="45"/>
    </row>
    <row r="3789" spans="47:47" ht="12" customHeight="1">
      <c r="AU3789" s="45"/>
    </row>
    <row r="3790" spans="47:47" ht="12" customHeight="1">
      <c r="AU3790" s="45"/>
    </row>
    <row r="3791" spans="47:47" ht="12" customHeight="1">
      <c r="AU3791" s="45"/>
    </row>
    <row r="3792" spans="47:47" ht="12" customHeight="1">
      <c r="AU3792" s="45"/>
    </row>
    <row r="3793" spans="47:47" ht="12" customHeight="1">
      <c r="AU3793" s="45"/>
    </row>
    <row r="3794" spans="47:47" ht="12" customHeight="1">
      <c r="AU3794" s="45"/>
    </row>
    <row r="3795" spans="47:47" ht="12" customHeight="1">
      <c r="AU3795" s="45"/>
    </row>
    <row r="3796" spans="47:47" ht="12" customHeight="1">
      <c r="AU3796" s="45"/>
    </row>
    <row r="3797" spans="47:47" ht="12" customHeight="1">
      <c r="AU3797" s="45"/>
    </row>
    <row r="3798" spans="47:47" ht="12" customHeight="1">
      <c r="AU3798" s="45"/>
    </row>
    <row r="3799" spans="47:47" ht="12" customHeight="1">
      <c r="AU3799" s="45"/>
    </row>
    <row r="3800" spans="47:47" ht="12" customHeight="1">
      <c r="AU3800" s="45"/>
    </row>
    <row r="3801" spans="47:47" ht="12" customHeight="1">
      <c r="AU3801" s="45"/>
    </row>
    <row r="3802" spans="47:47" ht="12" customHeight="1">
      <c r="AU3802" s="45"/>
    </row>
    <row r="3803" spans="47:47" ht="12" customHeight="1">
      <c r="AU3803" s="45"/>
    </row>
    <row r="3804" spans="47:47" ht="12" customHeight="1">
      <c r="AU3804" s="45"/>
    </row>
    <row r="3805" spans="47:47" ht="12" customHeight="1">
      <c r="AU3805" s="45"/>
    </row>
    <row r="3806" spans="47:47" ht="12" customHeight="1">
      <c r="AU3806" s="45"/>
    </row>
    <row r="3807" spans="47:47" ht="12" customHeight="1">
      <c r="AU3807" s="45"/>
    </row>
    <row r="3808" spans="47:47" ht="12" customHeight="1">
      <c r="AU3808" s="45"/>
    </row>
    <row r="3809" spans="47:47" ht="12" customHeight="1">
      <c r="AU3809" s="45"/>
    </row>
    <row r="3810" spans="47:47" ht="12" customHeight="1">
      <c r="AU3810" s="45"/>
    </row>
    <row r="3811" spans="47:47" ht="12" customHeight="1">
      <c r="AU3811" s="45"/>
    </row>
    <row r="3812" spans="47:47" ht="12" customHeight="1">
      <c r="AU3812" s="45"/>
    </row>
    <row r="3813" spans="47:47" ht="12" customHeight="1">
      <c r="AU3813" s="45"/>
    </row>
    <row r="3814" spans="47:47" ht="12" customHeight="1">
      <c r="AU3814" s="45"/>
    </row>
    <row r="3815" spans="47:47" ht="12" customHeight="1">
      <c r="AU3815" s="45"/>
    </row>
    <row r="3816" spans="47:47" ht="12" customHeight="1">
      <c r="AU3816" s="45"/>
    </row>
    <row r="3817" spans="47:47" ht="12" customHeight="1">
      <c r="AU3817" s="45"/>
    </row>
    <row r="3818" spans="47:47" ht="12" customHeight="1">
      <c r="AU3818" s="45"/>
    </row>
    <row r="3819" spans="47:47" ht="12" customHeight="1">
      <c r="AU3819" s="45"/>
    </row>
    <row r="3820" spans="47:47" ht="12" customHeight="1">
      <c r="AU3820" s="45"/>
    </row>
    <row r="3821" spans="47:47" ht="12" customHeight="1">
      <c r="AU3821" s="45"/>
    </row>
    <row r="3822" spans="47:47" ht="12" customHeight="1">
      <c r="AU3822" s="45"/>
    </row>
    <row r="3823" spans="47:47" ht="12" customHeight="1">
      <c r="AU3823" s="45"/>
    </row>
    <row r="3824" spans="47:47" ht="12" customHeight="1">
      <c r="AU3824" s="45"/>
    </row>
    <row r="3825" spans="47:47" ht="12" customHeight="1">
      <c r="AU3825" s="45"/>
    </row>
    <row r="3826" spans="47:47" ht="12" customHeight="1">
      <c r="AU3826" s="45"/>
    </row>
    <row r="3827" spans="47:47" ht="12" customHeight="1">
      <c r="AU3827" s="45"/>
    </row>
    <row r="3828" spans="47:47" ht="12" customHeight="1">
      <c r="AU3828" s="45"/>
    </row>
    <row r="3829" spans="47:47" ht="12" customHeight="1">
      <c r="AU3829" s="45"/>
    </row>
    <row r="3830" spans="47:47" ht="12" customHeight="1">
      <c r="AU3830" s="45"/>
    </row>
    <row r="3831" spans="47:47" ht="12" customHeight="1">
      <c r="AU3831" s="45"/>
    </row>
    <row r="3832" spans="47:47" ht="12" customHeight="1">
      <c r="AU3832" s="45"/>
    </row>
    <row r="3833" spans="47:47" ht="12" customHeight="1">
      <c r="AU3833" s="45"/>
    </row>
    <row r="3834" spans="47:47" ht="12" customHeight="1">
      <c r="AU3834" s="45"/>
    </row>
    <row r="3835" spans="47:47" ht="12" customHeight="1">
      <c r="AU3835" s="45"/>
    </row>
    <row r="3836" spans="47:47" ht="12" customHeight="1">
      <c r="AU3836" s="45"/>
    </row>
    <row r="3837" spans="47:47" ht="12" customHeight="1">
      <c r="AU3837" s="45"/>
    </row>
    <row r="3838" spans="47:47" ht="12" customHeight="1">
      <c r="AU3838" s="45"/>
    </row>
    <row r="3839" spans="47:47" ht="12" customHeight="1">
      <c r="AU3839" s="45"/>
    </row>
    <row r="3840" spans="47:47" ht="12" customHeight="1">
      <c r="AU3840" s="45"/>
    </row>
    <row r="3841" spans="47:47" ht="12" customHeight="1">
      <c r="AU3841" s="45"/>
    </row>
    <row r="3842" spans="47:47" ht="12" customHeight="1">
      <c r="AU3842" s="45"/>
    </row>
    <row r="3843" spans="47:47" ht="12" customHeight="1">
      <c r="AU3843" s="45"/>
    </row>
    <row r="3844" spans="47:47" ht="12" customHeight="1">
      <c r="AU3844" s="45"/>
    </row>
    <row r="3845" spans="47:47" ht="12" customHeight="1">
      <c r="AU3845" s="45"/>
    </row>
    <row r="3846" spans="47:47" ht="12" customHeight="1">
      <c r="AU3846" s="45"/>
    </row>
    <row r="3847" spans="47:47" ht="12" customHeight="1">
      <c r="AU3847" s="45"/>
    </row>
    <row r="3848" spans="47:47" ht="12" customHeight="1">
      <c r="AU3848" s="45"/>
    </row>
    <row r="3849" spans="47:47" ht="12" customHeight="1">
      <c r="AU3849" s="45"/>
    </row>
    <row r="3850" spans="47:47" ht="12" customHeight="1">
      <c r="AU3850" s="45"/>
    </row>
    <row r="3851" spans="47:47" ht="12" customHeight="1">
      <c r="AU3851" s="45"/>
    </row>
    <row r="3852" spans="47:47" ht="12" customHeight="1">
      <c r="AU3852" s="45"/>
    </row>
    <row r="3853" spans="47:47" ht="12" customHeight="1">
      <c r="AU3853" s="45"/>
    </row>
    <row r="3854" spans="47:47" ht="12" customHeight="1">
      <c r="AU3854" s="45"/>
    </row>
    <row r="3855" spans="47:47" ht="12" customHeight="1">
      <c r="AU3855" s="45"/>
    </row>
    <row r="3856" spans="47:47" ht="12" customHeight="1">
      <c r="AU3856" s="45"/>
    </row>
    <row r="3857" spans="47:47" ht="12" customHeight="1">
      <c r="AU3857" s="45"/>
    </row>
    <row r="3858" spans="47:47" ht="12" customHeight="1">
      <c r="AU3858" s="45"/>
    </row>
    <row r="3859" spans="47:47" ht="12" customHeight="1">
      <c r="AU3859" s="45"/>
    </row>
    <row r="3860" spans="47:47" ht="12" customHeight="1">
      <c r="AU3860" s="45"/>
    </row>
    <row r="3861" spans="47:47" ht="12" customHeight="1">
      <c r="AU3861" s="45"/>
    </row>
    <row r="3862" spans="47:47" ht="12" customHeight="1">
      <c r="AU3862" s="45"/>
    </row>
    <row r="3863" spans="47:47" ht="12" customHeight="1">
      <c r="AU3863" s="45"/>
    </row>
    <row r="3864" spans="47:47" ht="12" customHeight="1">
      <c r="AU3864" s="45"/>
    </row>
    <row r="3865" spans="47:47" ht="12" customHeight="1">
      <c r="AU3865" s="45"/>
    </row>
    <row r="3866" spans="47:47" ht="12" customHeight="1">
      <c r="AU3866" s="45"/>
    </row>
    <row r="3867" spans="47:47" ht="12" customHeight="1">
      <c r="AU3867" s="45"/>
    </row>
    <row r="3868" spans="47:47" ht="12" customHeight="1">
      <c r="AU3868" s="45"/>
    </row>
    <row r="3869" spans="47:47" ht="12" customHeight="1">
      <c r="AU3869" s="45"/>
    </row>
    <row r="3870" spans="47:47" ht="12" customHeight="1">
      <c r="AU3870" s="45"/>
    </row>
    <row r="3871" spans="47:47" ht="12" customHeight="1">
      <c r="AU3871" s="45"/>
    </row>
    <row r="3872" spans="47:47" ht="12" customHeight="1">
      <c r="AU3872" s="45"/>
    </row>
    <row r="3873" spans="47:47" ht="12" customHeight="1">
      <c r="AU3873" s="45"/>
    </row>
    <row r="3874" spans="47:47" ht="12" customHeight="1">
      <c r="AU3874" s="45"/>
    </row>
    <row r="3875" spans="47:47" ht="12" customHeight="1">
      <c r="AU3875" s="45"/>
    </row>
    <row r="3876" spans="47:47" ht="12" customHeight="1">
      <c r="AU3876" s="45"/>
    </row>
    <row r="3877" spans="47:47" ht="12" customHeight="1">
      <c r="AU3877" s="45"/>
    </row>
    <row r="3878" spans="47:47" ht="12" customHeight="1">
      <c r="AU3878" s="45"/>
    </row>
    <row r="3879" spans="47:47" ht="12" customHeight="1">
      <c r="AU3879" s="45"/>
    </row>
    <row r="3880" spans="47:47" ht="12" customHeight="1">
      <c r="AU3880" s="45"/>
    </row>
    <row r="3881" spans="47:47" ht="12" customHeight="1">
      <c r="AU3881" s="45"/>
    </row>
    <row r="3882" spans="47:47" ht="12" customHeight="1">
      <c r="AU3882" s="45"/>
    </row>
    <row r="3883" spans="47:47" ht="12" customHeight="1">
      <c r="AU3883" s="45"/>
    </row>
    <row r="3884" spans="47:47" ht="12" customHeight="1">
      <c r="AU3884" s="45"/>
    </row>
    <row r="3885" spans="47:47" ht="12" customHeight="1">
      <c r="AU3885" s="45"/>
    </row>
    <row r="3886" spans="47:47" ht="12" customHeight="1">
      <c r="AU3886" s="45"/>
    </row>
    <row r="3887" spans="47:47" ht="12" customHeight="1">
      <c r="AU3887" s="45"/>
    </row>
    <row r="3888" spans="47:47" ht="12" customHeight="1">
      <c r="AU3888" s="45"/>
    </row>
    <row r="3889" spans="47:47" ht="12" customHeight="1">
      <c r="AU3889" s="45"/>
    </row>
    <row r="3890" spans="47:47" ht="12" customHeight="1">
      <c r="AU3890" s="45"/>
    </row>
    <row r="3891" spans="47:47" ht="12" customHeight="1">
      <c r="AU3891" s="45"/>
    </row>
    <row r="3892" spans="47:47" ht="12" customHeight="1">
      <c r="AU3892" s="45"/>
    </row>
    <row r="3893" spans="47:47" ht="12" customHeight="1">
      <c r="AU3893" s="45"/>
    </row>
    <row r="3894" spans="47:47" ht="12" customHeight="1">
      <c r="AU3894" s="45"/>
    </row>
    <row r="3895" spans="47:47" ht="12" customHeight="1">
      <c r="AU3895" s="45"/>
    </row>
    <row r="3896" spans="47:47" ht="12" customHeight="1">
      <c r="AU3896" s="45"/>
    </row>
    <row r="3897" spans="47:47" ht="12" customHeight="1">
      <c r="AU3897" s="45"/>
    </row>
    <row r="3898" spans="47:47" ht="12" customHeight="1">
      <c r="AU3898" s="45"/>
    </row>
    <row r="3899" spans="47:47" ht="12" customHeight="1">
      <c r="AU3899" s="45"/>
    </row>
    <row r="3900" spans="47:47" ht="12" customHeight="1">
      <c r="AU3900" s="45"/>
    </row>
    <row r="3901" spans="47:47" ht="12" customHeight="1">
      <c r="AU3901" s="45"/>
    </row>
    <row r="3902" spans="47:47" ht="12" customHeight="1">
      <c r="AU3902" s="45"/>
    </row>
    <row r="3903" spans="47:47" ht="12" customHeight="1">
      <c r="AU3903" s="45"/>
    </row>
    <row r="3904" spans="47:47" ht="12" customHeight="1">
      <c r="AU3904" s="45"/>
    </row>
    <row r="3905" spans="47:47" ht="12" customHeight="1">
      <c r="AU3905" s="45"/>
    </row>
    <row r="3906" spans="47:47" ht="12" customHeight="1">
      <c r="AU3906" s="45"/>
    </row>
    <row r="3907" spans="47:47" ht="12" customHeight="1">
      <c r="AU3907" s="45"/>
    </row>
    <row r="3908" spans="47:47" ht="12" customHeight="1">
      <c r="AU3908" s="45"/>
    </row>
    <row r="3909" spans="47:47" ht="12" customHeight="1">
      <c r="AU3909" s="45"/>
    </row>
    <row r="3910" spans="47:47" ht="12" customHeight="1">
      <c r="AU3910" s="45"/>
    </row>
    <row r="3911" spans="47:47" ht="12" customHeight="1">
      <c r="AU3911" s="45"/>
    </row>
    <row r="3912" spans="47:47" ht="12" customHeight="1">
      <c r="AU3912" s="45"/>
    </row>
    <row r="3913" spans="47:47" ht="12" customHeight="1">
      <c r="AU3913" s="45"/>
    </row>
    <row r="3914" spans="47:47" ht="12" customHeight="1">
      <c r="AU3914" s="45"/>
    </row>
    <row r="3915" spans="47:47" ht="12" customHeight="1">
      <c r="AU3915" s="45"/>
    </row>
    <row r="3916" spans="47:47" ht="12" customHeight="1">
      <c r="AU3916" s="45"/>
    </row>
    <row r="3917" spans="47:47" ht="12" customHeight="1">
      <c r="AU3917" s="45"/>
    </row>
    <row r="3918" spans="47:47" ht="12" customHeight="1">
      <c r="AU3918" s="45"/>
    </row>
    <row r="3919" spans="47:47" ht="12" customHeight="1">
      <c r="AU3919" s="45"/>
    </row>
    <row r="3920" spans="47:47" ht="12" customHeight="1">
      <c r="AU3920" s="45"/>
    </row>
    <row r="3921" spans="47:47" ht="12" customHeight="1">
      <c r="AU3921" s="45"/>
    </row>
    <row r="3922" spans="47:47" ht="12" customHeight="1">
      <c r="AU3922" s="45"/>
    </row>
    <row r="3923" spans="47:47" ht="12" customHeight="1">
      <c r="AU3923" s="45"/>
    </row>
    <row r="3924" spans="47:47" ht="12" customHeight="1">
      <c r="AU3924" s="45"/>
    </row>
    <row r="3925" spans="47:47" ht="12" customHeight="1">
      <c r="AU3925" s="45"/>
    </row>
    <row r="3926" spans="47:47" ht="12" customHeight="1">
      <c r="AU3926" s="45"/>
    </row>
    <row r="3927" spans="47:47" ht="12" customHeight="1">
      <c r="AU3927" s="45"/>
    </row>
    <row r="3928" spans="47:47" ht="12" customHeight="1">
      <c r="AU3928" s="45"/>
    </row>
    <row r="3929" spans="47:47" ht="12" customHeight="1">
      <c r="AU3929" s="45"/>
    </row>
    <row r="3930" spans="47:47" ht="12" customHeight="1">
      <c r="AU3930" s="45"/>
    </row>
    <row r="3931" spans="47:47" ht="12" customHeight="1">
      <c r="AU3931" s="45"/>
    </row>
    <row r="3932" spans="47:47" ht="12" customHeight="1">
      <c r="AU3932" s="45"/>
    </row>
    <row r="3933" spans="47:47" ht="12" customHeight="1">
      <c r="AU3933" s="45"/>
    </row>
    <row r="3934" spans="47:47" ht="12" customHeight="1">
      <c r="AU3934" s="45"/>
    </row>
    <row r="3935" spans="47:47" ht="12" customHeight="1">
      <c r="AU3935" s="45"/>
    </row>
    <row r="3936" spans="47:47" ht="12" customHeight="1">
      <c r="AU3936" s="45"/>
    </row>
    <row r="3937" spans="47:47" ht="12" customHeight="1">
      <c r="AU3937" s="45"/>
    </row>
    <row r="3938" spans="47:47" ht="12" customHeight="1">
      <c r="AU3938" s="45"/>
    </row>
    <row r="3939" spans="47:47" ht="12" customHeight="1">
      <c r="AU3939" s="45"/>
    </row>
    <row r="3940" spans="47:47" ht="12" customHeight="1">
      <c r="AU3940" s="45"/>
    </row>
    <row r="3941" spans="47:47" ht="12" customHeight="1">
      <c r="AU3941" s="45"/>
    </row>
    <row r="3942" spans="47:47" ht="12" customHeight="1">
      <c r="AU3942" s="45"/>
    </row>
    <row r="3943" spans="47:47" ht="12" customHeight="1">
      <c r="AU3943" s="45"/>
    </row>
    <row r="3944" spans="47:47" ht="12" customHeight="1">
      <c r="AU3944" s="45"/>
    </row>
    <row r="3945" spans="47:47" ht="12" customHeight="1">
      <c r="AU3945" s="45"/>
    </row>
    <row r="3946" spans="47:47" ht="12" customHeight="1">
      <c r="AU3946" s="45"/>
    </row>
    <row r="3947" spans="47:47" ht="12" customHeight="1">
      <c r="AU3947" s="45"/>
    </row>
    <row r="3948" spans="47:47" ht="12" customHeight="1">
      <c r="AU3948" s="45"/>
    </row>
    <row r="3949" spans="47:47" ht="12" customHeight="1">
      <c r="AU3949" s="45"/>
    </row>
    <row r="3950" spans="47:47" ht="12" customHeight="1">
      <c r="AU3950" s="45"/>
    </row>
    <row r="3951" spans="47:47" ht="12" customHeight="1">
      <c r="AU3951" s="45"/>
    </row>
    <row r="3952" spans="47:47" ht="12" customHeight="1">
      <c r="AU3952" s="45"/>
    </row>
    <row r="3953" spans="47:47" ht="12" customHeight="1">
      <c r="AU3953" s="45"/>
    </row>
    <row r="3954" spans="47:47" ht="12" customHeight="1">
      <c r="AU3954" s="45"/>
    </row>
    <row r="3955" spans="47:47" ht="12" customHeight="1">
      <c r="AU3955" s="45"/>
    </row>
    <row r="3956" spans="47:47" ht="12" customHeight="1">
      <c r="AU3956" s="45"/>
    </row>
    <row r="3957" spans="47:47" ht="12" customHeight="1">
      <c r="AU3957" s="45"/>
    </row>
    <row r="3958" spans="47:47" ht="12" customHeight="1">
      <c r="AU3958" s="45"/>
    </row>
    <row r="3959" spans="47:47" ht="12" customHeight="1">
      <c r="AU3959" s="45"/>
    </row>
    <row r="3960" spans="47:47" ht="12" customHeight="1">
      <c r="AU3960" s="45"/>
    </row>
    <row r="3961" spans="47:47" ht="12" customHeight="1">
      <c r="AU3961" s="45"/>
    </row>
    <row r="3962" spans="47:47" ht="12" customHeight="1">
      <c r="AU3962" s="45"/>
    </row>
    <row r="3963" spans="47:47" ht="12" customHeight="1">
      <c r="AU3963" s="45"/>
    </row>
    <row r="3964" spans="47:47" ht="12" customHeight="1">
      <c r="AU3964" s="45"/>
    </row>
    <row r="3965" spans="47:47" ht="12" customHeight="1">
      <c r="AU3965" s="45"/>
    </row>
    <row r="3966" spans="47:47" ht="12" customHeight="1">
      <c r="AU3966" s="45"/>
    </row>
    <row r="3967" spans="47:47" ht="12" customHeight="1">
      <c r="AU3967" s="45"/>
    </row>
    <row r="3968" spans="47:47" ht="12" customHeight="1">
      <c r="AU3968" s="45"/>
    </row>
    <row r="3969" spans="47:47" ht="12" customHeight="1">
      <c r="AU3969" s="45"/>
    </row>
    <row r="3970" spans="47:47" ht="12" customHeight="1">
      <c r="AU3970" s="45"/>
    </row>
    <row r="3971" spans="47:47" ht="12" customHeight="1">
      <c r="AU3971" s="45"/>
    </row>
    <row r="3972" spans="47:47" ht="12" customHeight="1">
      <c r="AU3972" s="45"/>
    </row>
    <row r="3973" spans="47:47" ht="12" customHeight="1">
      <c r="AU3973" s="45"/>
    </row>
    <row r="3974" spans="47:47" ht="12" customHeight="1">
      <c r="AU3974" s="45"/>
    </row>
    <row r="3975" spans="47:47" ht="12" customHeight="1">
      <c r="AU3975" s="45"/>
    </row>
    <row r="3976" spans="47:47" ht="12" customHeight="1">
      <c r="AU3976" s="45"/>
    </row>
    <row r="3977" spans="47:47" ht="12" customHeight="1">
      <c r="AU3977" s="45"/>
    </row>
    <row r="3978" spans="47:47" ht="12" customHeight="1">
      <c r="AU3978" s="45"/>
    </row>
    <row r="3979" spans="47:47" ht="12" customHeight="1">
      <c r="AU3979" s="45"/>
    </row>
    <row r="3980" spans="47:47" ht="12" customHeight="1">
      <c r="AU3980" s="45"/>
    </row>
    <row r="3981" spans="47:47" ht="12" customHeight="1">
      <c r="AU3981" s="45"/>
    </row>
    <row r="3982" spans="47:47" ht="12" customHeight="1">
      <c r="AU3982" s="45"/>
    </row>
    <row r="3983" spans="47:47" ht="12" customHeight="1">
      <c r="AU3983" s="45"/>
    </row>
    <row r="3984" spans="47:47" ht="12" customHeight="1">
      <c r="AU3984" s="45"/>
    </row>
    <row r="3985" spans="47:47" ht="12" customHeight="1">
      <c r="AU3985" s="45"/>
    </row>
    <row r="3986" spans="47:47" ht="12" customHeight="1">
      <c r="AU3986" s="45"/>
    </row>
    <row r="3987" spans="47:47" ht="12" customHeight="1">
      <c r="AU3987" s="45"/>
    </row>
    <row r="3988" spans="47:47" ht="12" customHeight="1">
      <c r="AU3988" s="45"/>
    </row>
    <row r="3989" spans="47:47" ht="12" customHeight="1">
      <c r="AU3989" s="45"/>
    </row>
    <row r="3990" spans="47:47" ht="12" customHeight="1">
      <c r="AU3990" s="45"/>
    </row>
    <row r="3991" spans="47:47" ht="12" customHeight="1">
      <c r="AU3991" s="45"/>
    </row>
    <row r="3992" spans="47:47" ht="12" customHeight="1">
      <c r="AU3992" s="45"/>
    </row>
    <row r="3993" spans="47:47" ht="12" customHeight="1">
      <c r="AU3993" s="45"/>
    </row>
    <row r="3994" spans="47:47" ht="12" customHeight="1">
      <c r="AU3994" s="45"/>
    </row>
    <row r="3995" spans="47:47" ht="12" customHeight="1">
      <c r="AU3995" s="45"/>
    </row>
    <row r="3996" spans="47:47" ht="12" customHeight="1">
      <c r="AU3996" s="45"/>
    </row>
    <row r="3997" spans="47:47" ht="12" customHeight="1">
      <c r="AU3997" s="45"/>
    </row>
    <row r="3998" spans="47:47" ht="12" customHeight="1">
      <c r="AU3998" s="45"/>
    </row>
    <row r="3999" spans="47:47" ht="12" customHeight="1">
      <c r="AU3999" s="45"/>
    </row>
    <row r="4000" spans="47:47" ht="12" customHeight="1">
      <c r="AU4000" s="45"/>
    </row>
    <row r="4001" spans="47:47" ht="12" customHeight="1">
      <c r="AU4001" s="45"/>
    </row>
    <row r="4002" spans="47:47" ht="12" customHeight="1">
      <c r="AU4002" s="45"/>
    </row>
    <row r="4003" spans="47:47" ht="12" customHeight="1">
      <c r="AU4003" s="45"/>
    </row>
    <row r="4004" spans="47:47" ht="12" customHeight="1">
      <c r="AU4004" s="45"/>
    </row>
    <row r="4005" spans="47:47" ht="12" customHeight="1">
      <c r="AU4005" s="45"/>
    </row>
    <row r="4006" spans="47:47" ht="12" customHeight="1">
      <c r="AU4006" s="45"/>
    </row>
    <row r="4007" spans="47:47" ht="12" customHeight="1">
      <c r="AU4007" s="45"/>
    </row>
    <row r="4008" spans="47:47" ht="12" customHeight="1">
      <c r="AU4008" s="45"/>
    </row>
    <row r="4009" spans="47:47" ht="12" customHeight="1">
      <c r="AU4009" s="45"/>
    </row>
    <row r="4010" spans="47:47" ht="12" customHeight="1">
      <c r="AU4010" s="45"/>
    </row>
    <row r="4011" spans="47:47" ht="12" customHeight="1">
      <c r="AU4011" s="45"/>
    </row>
    <row r="4012" spans="47:47" ht="12" customHeight="1">
      <c r="AU4012" s="45"/>
    </row>
    <row r="4013" spans="47:47" ht="12" customHeight="1">
      <c r="AU4013" s="45"/>
    </row>
    <row r="4014" spans="47:47" ht="12" customHeight="1">
      <c r="AU4014" s="45"/>
    </row>
    <row r="4015" spans="47:47" ht="12" customHeight="1">
      <c r="AU4015" s="45"/>
    </row>
    <row r="4016" spans="47:47" ht="12" customHeight="1">
      <c r="AU4016" s="45"/>
    </row>
    <row r="4017" spans="47:47" ht="12" customHeight="1">
      <c r="AU4017" s="45"/>
    </row>
    <row r="4018" spans="47:47" ht="12" customHeight="1">
      <c r="AU4018" s="45"/>
    </row>
    <row r="4019" spans="47:47" ht="12" customHeight="1">
      <c r="AU4019" s="45"/>
    </row>
    <row r="4020" spans="47:47" ht="12" customHeight="1">
      <c r="AU4020" s="45"/>
    </row>
    <row r="4021" spans="47:47" ht="12" customHeight="1">
      <c r="AU4021" s="45"/>
    </row>
    <row r="4022" spans="47:47" ht="12" customHeight="1">
      <c r="AU4022" s="45"/>
    </row>
    <row r="4023" spans="47:47" ht="12" customHeight="1">
      <c r="AU4023" s="45"/>
    </row>
    <row r="4024" spans="47:47" ht="12" customHeight="1">
      <c r="AU4024" s="45"/>
    </row>
    <row r="4025" spans="47:47" ht="12" customHeight="1">
      <c r="AU4025" s="45"/>
    </row>
    <row r="4026" spans="47:47" ht="12" customHeight="1">
      <c r="AU4026" s="45"/>
    </row>
    <row r="4027" spans="47:47" ht="12" customHeight="1">
      <c r="AU4027" s="45"/>
    </row>
    <row r="4028" spans="47:47" ht="12" customHeight="1">
      <c r="AU4028" s="45"/>
    </row>
    <row r="4029" spans="47:47" ht="12" customHeight="1">
      <c r="AU4029" s="45"/>
    </row>
    <row r="4030" spans="47:47" ht="12" customHeight="1">
      <c r="AU4030" s="45"/>
    </row>
    <row r="4031" spans="47:47" ht="12" customHeight="1">
      <c r="AU4031" s="45"/>
    </row>
    <row r="4032" spans="47:47" ht="12" customHeight="1">
      <c r="AU4032" s="45"/>
    </row>
    <row r="4033" spans="47:47" ht="12" customHeight="1">
      <c r="AU4033" s="45"/>
    </row>
    <row r="4034" spans="47:47" ht="12" customHeight="1">
      <c r="AU4034" s="45"/>
    </row>
    <row r="4035" spans="47:47" ht="12" customHeight="1">
      <c r="AU4035" s="45"/>
    </row>
    <row r="4036" spans="47:47" ht="12" customHeight="1">
      <c r="AU4036" s="45"/>
    </row>
    <row r="4037" spans="47:47" ht="12" customHeight="1">
      <c r="AU4037" s="45"/>
    </row>
    <row r="4038" spans="47:47" ht="12" customHeight="1">
      <c r="AU4038" s="45"/>
    </row>
    <row r="4039" spans="47:47" ht="12" customHeight="1">
      <c r="AU4039" s="45"/>
    </row>
    <row r="4040" spans="47:47" ht="12" customHeight="1">
      <c r="AU4040" s="45"/>
    </row>
    <row r="4041" spans="47:47" ht="12" customHeight="1">
      <c r="AU4041" s="45"/>
    </row>
    <row r="4042" spans="47:47" ht="12" customHeight="1">
      <c r="AU4042" s="45"/>
    </row>
    <row r="4043" spans="47:47" ht="12" customHeight="1">
      <c r="AU4043" s="45"/>
    </row>
    <row r="4044" spans="47:47" ht="12" customHeight="1">
      <c r="AU4044" s="45"/>
    </row>
    <row r="4045" spans="47:47" ht="12" customHeight="1">
      <c r="AU4045" s="45"/>
    </row>
    <row r="4046" spans="47:47" ht="12" customHeight="1">
      <c r="AU4046" s="45"/>
    </row>
    <row r="4047" spans="47:47" ht="12" customHeight="1">
      <c r="AU4047" s="45"/>
    </row>
    <row r="4048" spans="47:47" ht="12" customHeight="1">
      <c r="AU4048" s="45"/>
    </row>
    <row r="4049" spans="47:47" ht="12" customHeight="1">
      <c r="AU4049" s="45"/>
    </row>
    <row r="4050" spans="47:47" ht="12" customHeight="1">
      <c r="AU4050" s="45"/>
    </row>
    <row r="4051" spans="47:47" ht="12" customHeight="1">
      <c r="AU4051" s="45"/>
    </row>
    <row r="4052" spans="47:47" ht="12" customHeight="1">
      <c r="AU4052" s="45"/>
    </row>
    <row r="4053" spans="47:47" ht="12" customHeight="1">
      <c r="AU4053" s="45"/>
    </row>
    <row r="4054" spans="47:47" ht="12" customHeight="1">
      <c r="AU4054" s="45"/>
    </row>
    <row r="4055" spans="47:47" ht="12" customHeight="1">
      <c r="AU4055" s="45"/>
    </row>
    <row r="4056" spans="47:47" ht="12" customHeight="1">
      <c r="AU4056" s="45"/>
    </row>
    <row r="4057" spans="47:47" ht="12" customHeight="1">
      <c r="AU4057" s="45"/>
    </row>
    <row r="4058" spans="47:47" ht="12" customHeight="1">
      <c r="AU4058" s="45"/>
    </row>
    <row r="4059" spans="47:47" ht="12" customHeight="1">
      <c r="AU4059" s="45"/>
    </row>
    <row r="4060" spans="47:47" ht="12" customHeight="1">
      <c r="AU4060" s="45"/>
    </row>
    <row r="4061" spans="47:47" ht="12" customHeight="1">
      <c r="AU4061" s="45"/>
    </row>
    <row r="4062" spans="47:47" ht="12" customHeight="1">
      <c r="AU4062" s="45"/>
    </row>
    <row r="4063" spans="47:47" ht="12" customHeight="1">
      <c r="AU4063" s="45"/>
    </row>
    <row r="4064" spans="47:47" ht="12" customHeight="1">
      <c r="AU4064" s="45"/>
    </row>
    <row r="4065" spans="47:47" ht="12" customHeight="1">
      <c r="AU4065" s="45"/>
    </row>
    <row r="4066" spans="47:47" ht="12" customHeight="1">
      <c r="AU4066" s="45"/>
    </row>
    <row r="4067" spans="47:47" ht="12" customHeight="1">
      <c r="AU4067" s="45"/>
    </row>
    <row r="4068" spans="47:47" ht="12" customHeight="1">
      <c r="AU4068" s="45"/>
    </row>
    <row r="4069" spans="47:47" ht="12" customHeight="1">
      <c r="AU4069" s="45"/>
    </row>
    <row r="4070" spans="47:47" ht="12" customHeight="1">
      <c r="AU4070" s="45"/>
    </row>
    <row r="4071" spans="47:47" ht="12" customHeight="1">
      <c r="AU4071" s="45"/>
    </row>
    <row r="4072" spans="47:47" ht="12" customHeight="1">
      <c r="AU4072" s="45"/>
    </row>
    <row r="4073" spans="47:47" ht="12" customHeight="1">
      <c r="AU4073" s="45"/>
    </row>
    <row r="4074" spans="47:47" ht="12" customHeight="1">
      <c r="AU4074" s="45"/>
    </row>
    <row r="4075" spans="47:47" ht="12" customHeight="1">
      <c r="AU4075" s="45"/>
    </row>
    <row r="4076" spans="47:47" ht="12" customHeight="1">
      <c r="AU4076" s="45"/>
    </row>
    <row r="4077" spans="47:47" ht="12" customHeight="1">
      <c r="AU4077" s="45"/>
    </row>
    <row r="4078" spans="47:47" ht="12" customHeight="1">
      <c r="AU4078" s="45"/>
    </row>
    <row r="4079" spans="47:47" ht="12" customHeight="1">
      <c r="AU4079" s="45"/>
    </row>
    <row r="4080" spans="47:47" ht="12" customHeight="1">
      <c r="AU4080" s="45"/>
    </row>
    <row r="4081" spans="47:47" ht="12" customHeight="1">
      <c r="AU4081" s="45"/>
    </row>
    <row r="4082" spans="47:47" ht="12" customHeight="1">
      <c r="AU4082" s="45"/>
    </row>
    <row r="4083" spans="47:47" ht="12" customHeight="1">
      <c r="AU4083" s="45"/>
    </row>
    <row r="4084" spans="47:47" ht="12" customHeight="1">
      <c r="AU4084" s="45"/>
    </row>
    <row r="4085" spans="47:47" ht="12" customHeight="1">
      <c r="AU4085" s="45"/>
    </row>
    <row r="4086" spans="47:47" ht="12" customHeight="1">
      <c r="AU4086" s="45"/>
    </row>
    <row r="4087" spans="47:47" ht="12" customHeight="1">
      <c r="AU4087" s="45"/>
    </row>
    <row r="4088" spans="47:47" ht="12" customHeight="1">
      <c r="AU4088" s="45"/>
    </row>
    <row r="4089" spans="47:47" ht="12" customHeight="1">
      <c r="AU4089" s="45"/>
    </row>
    <row r="4090" spans="47:47" ht="12" customHeight="1">
      <c r="AU4090" s="45"/>
    </row>
    <row r="4091" spans="47:47" ht="12" customHeight="1">
      <c r="AU4091" s="45"/>
    </row>
    <row r="4092" spans="47:47" ht="12" customHeight="1">
      <c r="AU4092" s="45"/>
    </row>
    <row r="4093" spans="47:47" ht="12" customHeight="1">
      <c r="AU4093" s="45"/>
    </row>
    <row r="4094" spans="47:47" ht="12" customHeight="1">
      <c r="AU4094" s="45"/>
    </row>
    <row r="4095" spans="47:47" ht="12" customHeight="1">
      <c r="AU4095" s="45"/>
    </row>
    <row r="4096" spans="47:47" ht="12" customHeight="1">
      <c r="AU4096" s="45"/>
    </row>
    <row r="4097" spans="47:47" ht="12" customHeight="1">
      <c r="AU4097" s="45"/>
    </row>
    <row r="4098" spans="47:47" ht="12" customHeight="1">
      <c r="AU4098" s="45"/>
    </row>
    <row r="4099" spans="47:47" ht="12" customHeight="1">
      <c r="AU4099" s="45"/>
    </row>
    <row r="4100" spans="47:47" ht="12" customHeight="1">
      <c r="AU4100" s="45"/>
    </row>
    <row r="4101" spans="47:47" ht="12" customHeight="1">
      <c r="AU4101" s="45"/>
    </row>
    <row r="4102" spans="47:47" ht="12" customHeight="1">
      <c r="AU4102" s="45"/>
    </row>
    <row r="4103" spans="47:47" ht="12" customHeight="1">
      <c r="AU4103" s="45"/>
    </row>
    <row r="4104" spans="47:47" ht="12" customHeight="1">
      <c r="AU4104" s="45"/>
    </row>
    <row r="4105" spans="47:47" ht="12" customHeight="1">
      <c r="AU4105" s="45"/>
    </row>
    <row r="4106" spans="47:47" ht="12" customHeight="1">
      <c r="AU4106" s="45"/>
    </row>
    <row r="4107" spans="47:47" ht="12" customHeight="1">
      <c r="AU4107" s="45"/>
    </row>
    <row r="4108" spans="47:47" ht="12" customHeight="1">
      <c r="AU4108" s="45"/>
    </row>
    <row r="4109" spans="47:47" ht="12" customHeight="1">
      <c r="AU4109" s="45"/>
    </row>
    <row r="4110" spans="47:47" ht="12" customHeight="1">
      <c r="AU4110" s="45"/>
    </row>
    <row r="4111" spans="47:47" ht="12" customHeight="1">
      <c r="AU4111" s="45"/>
    </row>
    <row r="4112" spans="47:47" ht="12" customHeight="1">
      <c r="AU4112" s="45"/>
    </row>
    <row r="4113" spans="47:47" ht="12" customHeight="1">
      <c r="AU4113" s="45"/>
    </row>
    <row r="4114" spans="47:47" ht="12" customHeight="1">
      <c r="AU4114" s="45"/>
    </row>
    <row r="4115" spans="47:47" ht="12" customHeight="1">
      <c r="AU4115" s="45"/>
    </row>
    <row r="4116" spans="47:47" ht="12" customHeight="1">
      <c r="AU4116" s="45"/>
    </row>
    <row r="4117" spans="47:47" ht="12" customHeight="1">
      <c r="AU4117" s="45"/>
    </row>
    <row r="4118" spans="47:47" ht="12" customHeight="1">
      <c r="AU4118" s="45"/>
    </row>
    <row r="4119" spans="47:47" ht="12" customHeight="1">
      <c r="AU4119" s="45"/>
    </row>
    <row r="4120" spans="47:47" ht="12" customHeight="1">
      <c r="AU4120" s="45"/>
    </row>
    <row r="4121" spans="47:47" ht="12" customHeight="1">
      <c r="AU4121" s="45"/>
    </row>
    <row r="4122" spans="47:47" ht="12" customHeight="1">
      <c r="AU4122" s="45"/>
    </row>
    <row r="4123" spans="47:47" ht="12" customHeight="1">
      <c r="AU4123" s="45"/>
    </row>
    <row r="4124" spans="47:47" ht="12" customHeight="1">
      <c r="AU4124" s="45"/>
    </row>
    <row r="4125" spans="47:47" ht="12" customHeight="1">
      <c r="AU4125" s="45"/>
    </row>
    <row r="4126" spans="47:47" ht="12" customHeight="1">
      <c r="AU4126" s="45"/>
    </row>
    <row r="4127" spans="47:47" ht="12" customHeight="1">
      <c r="AU4127" s="45"/>
    </row>
    <row r="4128" spans="47:47" ht="12" customHeight="1">
      <c r="AU4128" s="45"/>
    </row>
    <row r="4129" spans="47:47" ht="12" customHeight="1">
      <c r="AU4129" s="45"/>
    </row>
    <row r="4130" spans="47:47" ht="12" customHeight="1">
      <c r="AU4130" s="45"/>
    </row>
    <row r="4131" spans="47:47" ht="12" customHeight="1">
      <c r="AU4131" s="45"/>
    </row>
    <row r="4132" spans="47:47" ht="12" customHeight="1">
      <c r="AU4132" s="45"/>
    </row>
    <row r="4133" spans="47:47" ht="12" customHeight="1">
      <c r="AU4133" s="45"/>
    </row>
    <row r="4134" spans="47:47" ht="12" customHeight="1">
      <c r="AU4134" s="45"/>
    </row>
    <row r="4135" spans="47:47" ht="12" customHeight="1">
      <c r="AU4135" s="45"/>
    </row>
    <row r="4136" spans="47:47" ht="12" customHeight="1">
      <c r="AU4136" s="45"/>
    </row>
    <row r="4137" spans="47:47" ht="12" customHeight="1">
      <c r="AU4137" s="45"/>
    </row>
    <row r="4138" spans="47:47" ht="12" customHeight="1">
      <c r="AU4138" s="45"/>
    </row>
    <row r="4139" spans="47:47" ht="12" customHeight="1">
      <c r="AU4139" s="45"/>
    </row>
    <row r="4140" spans="47:47" ht="12" customHeight="1">
      <c r="AU4140" s="45"/>
    </row>
    <row r="4141" spans="47:47" ht="12" customHeight="1">
      <c r="AU4141" s="45"/>
    </row>
    <row r="4142" spans="47:47" ht="12" customHeight="1">
      <c r="AU4142" s="45"/>
    </row>
    <row r="4143" spans="47:47" ht="12" customHeight="1">
      <c r="AU4143" s="45"/>
    </row>
    <row r="4144" spans="47:47" ht="12" customHeight="1">
      <c r="AU4144" s="45"/>
    </row>
    <row r="4145" spans="47:47" ht="12" customHeight="1">
      <c r="AU4145" s="45"/>
    </row>
    <row r="4146" spans="47:47" ht="12" customHeight="1">
      <c r="AU4146" s="45"/>
    </row>
    <row r="4147" spans="47:47" ht="12" customHeight="1">
      <c r="AU4147" s="45"/>
    </row>
    <row r="4148" spans="47:47" ht="12" customHeight="1">
      <c r="AU4148" s="45"/>
    </row>
    <row r="4149" spans="47:47" ht="12" customHeight="1">
      <c r="AU4149" s="45"/>
    </row>
    <row r="4150" spans="47:47" ht="12" customHeight="1">
      <c r="AU4150" s="45"/>
    </row>
    <row r="4151" spans="47:47" ht="12" customHeight="1">
      <c r="AU4151" s="45"/>
    </row>
    <row r="4152" spans="47:47" ht="12" customHeight="1">
      <c r="AU4152" s="45"/>
    </row>
    <row r="4153" spans="47:47" ht="12" customHeight="1">
      <c r="AU4153" s="45"/>
    </row>
    <row r="4154" spans="47:47" ht="12" customHeight="1">
      <c r="AU4154" s="45"/>
    </row>
    <row r="4155" spans="47:47" ht="12" customHeight="1">
      <c r="AU4155" s="45"/>
    </row>
    <row r="4156" spans="47:47" ht="12" customHeight="1">
      <c r="AU4156" s="45"/>
    </row>
    <row r="4157" spans="47:47" ht="12" customHeight="1">
      <c r="AU4157" s="45"/>
    </row>
    <row r="4158" spans="47:47" ht="12" customHeight="1">
      <c r="AU4158" s="45"/>
    </row>
    <row r="4159" spans="47:47" ht="12" customHeight="1">
      <c r="AU4159" s="45"/>
    </row>
    <row r="4160" spans="47:47" ht="12" customHeight="1">
      <c r="AU4160" s="45"/>
    </row>
    <row r="4161" spans="47:47" ht="12" customHeight="1">
      <c r="AU4161" s="45"/>
    </row>
    <row r="4162" spans="47:47" ht="12" customHeight="1">
      <c r="AU4162" s="45"/>
    </row>
    <row r="4163" spans="47:47" ht="12" customHeight="1">
      <c r="AU4163" s="45"/>
    </row>
    <row r="4164" spans="47:47" ht="12" customHeight="1">
      <c r="AU4164" s="45"/>
    </row>
    <row r="4165" spans="47:47" ht="12" customHeight="1">
      <c r="AU4165" s="45"/>
    </row>
    <row r="4166" spans="47:47" ht="12" customHeight="1">
      <c r="AU4166" s="45"/>
    </row>
    <row r="4167" spans="47:47" ht="12" customHeight="1">
      <c r="AU4167" s="45"/>
    </row>
    <row r="4168" spans="47:47" ht="12" customHeight="1">
      <c r="AU4168" s="45"/>
    </row>
    <row r="4169" spans="47:47" ht="12" customHeight="1">
      <c r="AU4169" s="45"/>
    </row>
    <row r="4170" spans="47:47" ht="12" customHeight="1">
      <c r="AU4170" s="45"/>
    </row>
    <row r="4171" spans="47:47" ht="12" customHeight="1">
      <c r="AU4171" s="45"/>
    </row>
    <row r="4172" spans="47:47" ht="12" customHeight="1">
      <c r="AU4172" s="45"/>
    </row>
    <row r="4173" spans="47:47" ht="12" customHeight="1">
      <c r="AU4173" s="45"/>
    </row>
    <row r="4174" spans="47:47" ht="12" customHeight="1">
      <c r="AU4174" s="45"/>
    </row>
    <row r="4175" spans="47:47" ht="12" customHeight="1">
      <c r="AU4175" s="45"/>
    </row>
    <row r="4176" spans="47:47" ht="12" customHeight="1">
      <c r="AU4176" s="45"/>
    </row>
    <row r="4177" spans="47:47" ht="12" customHeight="1">
      <c r="AU4177" s="45"/>
    </row>
    <row r="4178" spans="47:47" ht="12" customHeight="1">
      <c r="AU4178" s="45"/>
    </row>
    <row r="4179" spans="47:47" ht="12" customHeight="1">
      <c r="AU4179" s="45"/>
    </row>
    <row r="4180" spans="47:47" ht="12" customHeight="1">
      <c r="AU4180" s="45"/>
    </row>
    <row r="4181" spans="47:47" ht="12" customHeight="1">
      <c r="AU4181" s="45"/>
    </row>
    <row r="4182" spans="47:47" ht="12" customHeight="1">
      <c r="AU4182" s="45"/>
    </row>
    <row r="4183" spans="47:47" ht="12" customHeight="1">
      <c r="AU4183" s="45"/>
    </row>
    <row r="4184" spans="47:47" ht="12" customHeight="1">
      <c r="AU4184" s="45"/>
    </row>
    <row r="4185" spans="47:47" ht="12" customHeight="1">
      <c r="AU4185" s="45"/>
    </row>
    <row r="4186" spans="47:47" ht="12" customHeight="1">
      <c r="AU4186" s="45"/>
    </row>
    <row r="4187" spans="47:47" ht="12" customHeight="1">
      <c r="AU4187" s="45"/>
    </row>
    <row r="4188" spans="47:47" ht="12" customHeight="1">
      <c r="AU4188" s="45"/>
    </row>
    <row r="4189" spans="47:47" ht="12" customHeight="1">
      <c r="AU4189" s="45"/>
    </row>
    <row r="4190" spans="47:47" ht="12" customHeight="1">
      <c r="AU4190" s="45"/>
    </row>
    <row r="4191" spans="47:47" ht="12" customHeight="1">
      <c r="AU4191" s="45"/>
    </row>
    <row r="4192" spans="47:47" ht="12" customHeight="1">
      <c r="AU4192" s="45"/>
    </row>
    <row r="4193" spans="47:47" ht="12" customHeight="1">
      <c r="AU4193" s="45"/>
    </row>
    <row r="4194" spans="47:47" ht="12" customHeight="1">
      <c r="AU4194" s="45"/>
    </row>
    <row r="4195" spans="47:47" ht="12" customHeight="1">
      <c r="AU4195" s="45"/>
    </row>
    <row r="4196" spans="47:47" ht="12" customHeight="1">
      <c r="AU4196" s="45"/>
    </row>
    <row r="4197" spans="47:47" ht="12" customHeight="1">
      <c r="AU4197" s="45"/>
    </row>
    <row r="4198" spans="47:47" ht="12" customHeight="1">
      <c r="AU4198" s="45"/>
    </row>
    <row r="4199" spans="47:47" ht="12" customHeight="1">
      <c r="AU4199" s="45"/>
    </row>
    <row r="4200" spans="47:47" ht="12" customHeight="1">
      <c r="AU4200" s="45"/>
    </row>
    <row r="4201" spans="47:47" ht="12" customHeight="1">
      <c r="AU4201" s="45"/>
    </row>
    <row r="4202" spans="47:47" ht="12" customHeight="1">
      <c r="AU4202" s="45"/>
    </row>
    <row r="4203" spans="47:47" ht="12" customHeight="1">
      <c r="AU4203" s="45"/>
    </row>
    <row r="4204" spans="47:47" ht="12" customHeight="1">
      <c r="AU4204" s="45"/>
    </row>
    <row r="4205" spans="47:47" ht="12" customHeight="1">
      <c r="AU4205" s="45"/>
    </row>
    <row r="4206" spans="47:47" ht="12" customHeight="1">
      <c r="AU4206" s="45"/>
    </row>
    <row r="4207" spans="47:47" ht="12" customHeight="1">
      <c r="AU4207" s="45"/>
    </row>
    <row r="4208" spans="47:47" ht="12" customHeight="1">
      <c r="AU4208" s="45"/>
    </row>
    <row r="4209" spans="47:47" ht="12" customHeight="1">
      <c r="AU4209" s="45"/>
    </row>
    <row r="4210" spans="47:47" ht="12" customHeight="1">
      <c r="AU4210" s="45"/>
    </row>
    <row r="4211" spans="47:47" ht="12" customHeight="1">
      <c r="AU4211" s="45"/>
    </row>
    <row r="4212" spans="47:47" ht="12" customHeight="1">
      <c r="AU4212" s="45"/>
    </row>
    <row r="4213" spans="47:47" ht="12" customHeight="1">
      <c r="AU4213" s="45"/>
    </row>
    <row r="4214" spans="47:47" ht="12" customHeight="1">
      <c r="AU4214" s="45"/>
    </row>
    <row r="4215" spans="47:47" ht="12" customHeight="1">
      <c r="AU4215" s="45"/>
    </row>
    <row r="4216" spans="47:47" ht="12" customHeight="1">
      <c r="AU4216" s="45"/>
    </row>
    <row r="4217" spans="47:47" ht="12" customHeight="1">
      <c r="AU4217" s="45"/>
    </row>
    <row r="4218" spans="47:47" ht="12" customHeight="1">
      <c r="AU4218" s="45"/>
    </row>
    <row r="4219" spans="47:47" ht="12" customHeight="1">
      <c r="AU4219" s="45"/>
    </row>
    <row r="4220" spans="47:47" ht="12" customHeight="1">
      <c r="AU4220" s="45"/>
    </row>
    <row r="4221" spans="47:47" ht="12" customHeight="1">
      <c r="AU4221" s="45"/>
    </row>
    <row r="4222" spans="47:47" ht="12" customHeight="1">
      <c r="AU4222" s="45"/>
    </row>
    <row r="4223" spans="47:47" ht="12" customHeight="1">
      <c r="AU4223" s="45"/>
    </row>
    <row r="4224" spans="47:47" ht="12" customHeight="1">
      <c r="AU4224" s="45"/>
    </row>
    <row r="4225" spans="47:47" ht="12" customHeight="1">
      <c r="AU4225" s="45"/>
    </row>
    <row r="4226" spans="47:47" ht="12" customHeight="1">
      <c r="AU4226" s="45"/>
    </row>
    <row r="4227" spans="47:47" ht="12" customHeight="1">
      <c r="AU4227" s="45"/>
    </row>
    <row r="4228" spans="47:47" ht="12" customHeight="1">
      <c r="AU4228" s="45"/>
    </row>
    <row r="4229" spans="47:47" ht="12" customHeight="1">
      <c r="AU4229" s="45"/>
    </row>
    <row r="4230" spans="47:47" ht="12" customHeight="1">
      <c r="AU4230" s="45"/>
    </row>
    <row r="4231" spans="47:47" ht="12" customHeight="1">
      <c r="AU4231" s="45"/>
    </row>
    <row r="4232" spans="47:47" ht="12" customHeight="1">
      <c r="AU4232" s="45"/>
    </row>
    <row r="4233" spans="47:47" ht="12" customHeight="1">
      <c r="AU4233" s="45"/>
    </row>
    <row r="4234" spans="47:47" ht="12" customHeight="1">
      <c r="AU4234" s="45"/>
    </row>
    <row r="4235" spans="47:47" ht="12" customHeight="1">
      <c r="AU4235" s="45"/>
    </row>
    <row r="4236" spans="47:47" ht="12" customHeight="1">
      <c r="AU4236" s="45"/>
    </row>
    <row r="4237" spans="47:47" ht="12" customHeight="1">
      <c r="AU4237" s="45"/>
    </row>
    <row r="4238" spans="47:47" ht="12" customHeight="1">
      <c r="AU4238" s="45"/>
    </row>
    <row r="4239" spans="47:47" ht="12" customHeight="1">
      <c r="AU4239" s="45"/>
    </row>
    <row r="4240" spans="47:47" ht="12" customHeight="1">
      <c r="AU4240" s="45"/>
    </row>
    <row r="4241" spans="47:47" ht="12" customHeight="1">
      <c r="AU4241" s="45"/>
    </row>
    <row r="4242" spans="47:47" ht="12" customHeight="1">
      <c r="AU4242" s="45"/>
    </row>
    <row r="4243" spans="47:47" ht="12" customHeight="1">
      <c r="AU4243" s="45"/>
    </row>
    <row r="4244" spans="47:47" ht="12" customHeight="1">
      <c r="AU4244" s="45"/>
    </row>
    <row r="4245" spans="47:47" ht="12" customHeight="1">
      <c r="AU4245" s="45"/>
    </row>
    <row r="4246" spans="47:47" ht="12" customHeight="1">
      <c r="AU4246" s="45"/>
    </row>
    <row r="4247" spans="47:47" ht="12" customHeight="1">
      <c r="AU4247" s="45"/>
    </row>
    <row r="4248" spans="47:47" ht="12" customHeight="1">
      <c r="AU4248" s="45"/>
    </row>
    <row r="4249" spans="47:47" ht="12" customHeight="1">
      <c r="AU4249" s="45"/>
    </row>
    <row r="4250" spans="47:47" ht="12" customHeight="1">
      <c r="AU4250" s="45"/>
    </row>
    <row r="4251" spans="47:47" ht="12" customHeight="1">
      <c r="AU4251" s="45"/>
    </row>
    <row r="4252" spans="47:47" ht="12" customHeight="1">
      <c r="AU4252" s="45"/>
    </row>
    <row r="4253" spans="47:47" ht="12" customHeight="1">
      <c r="AU4253" s="45"/>
    </row>
    <row r="4254" spans="47:47" ht="12" customHeight="1">
      <c r="AU4254" s="45"/>
    </row>
    <row r="4255" spans="47:47" ht="12" customHeight="1">
      <c r="AU4255" s="45"/>
    </row>
    <row r="4256" spans="47:47" ht="12" customHeight="1">
      <c r="AU4256" s="45"/>
    </row>
    <row r="4257" spans="47:47" ht="12" customHeight="1">
      <c r="AU4257" s="45"/>
    </row>
    <row r="4258" spans="47:47" ht="12" customHeight="1">
      <c r="AU4258" s="45"/>
    </row>
    <row r="4259" spans="47:47" ht="12" customHeight="1">
      <c r="AU4259" s="45"/>
    </row>
    <row r="4260" spans="47:47" ht="12" customHeight="1">
      <c r="AU4260" s="45"/>
    </row>
    <row r="4261" spans="47:47" ht="12" customHeight="1">
      <c r="AU4261" s="45"/>
    </row>
    <row r="4262" spans="47:47" ht="12" customHeight="1">
      <c r="AU4262" s="45"/>
    </row>
    <row r="4263" spans="47:47" ht="12" customHeight="1">
      <c r="AU4263" s="45"/>
    </row>
    <row r="4264" spans="47:47" ht="12" customHeight="1">
      <c r="AU4264" s="45"/>
    </row>
    <row r="4265" spans="47:47" ht="12" customHeight="1">
      <c r="AU4265" s="45"/>
    </row>
    <row r="4266" spans="47:47" ht="12" customHeight="1">
      <c r="AU4266" s="45"/>
    </row>
    <row r="4267" spans="47:47" ht="12" customHeight="1">
      <c r="AU4267" s="45"/>
    </row>
    <row r="4268" spans="47:47" ht="12" customHeight="1">
      <c r="AU4268" s="45"/>
    </row>
    <row r="4269" spans="47:47" ht="12" customHeight="1">
      <c r="AU4269" s="45"/>
    </row>
    <row r="4270" spans="47:47" ht="12" customHeight="1">
      <c r="AU4270" s="45"/>
    </row>
    <row r="4271" spans="47:47" ht="12" customHeight="1">
      <c r="AU4271" s="45"/>
    </row>
    <row r="4272" spans="47:47" ht="12" customHeight="1">
      <c r="AU4272" s="45"/>
    </row>
    <row r="4273" spans="47:47" ht="12" customHeight="1">
      <c r="AU4273" s="45"/>
    </row>
    <row r="4274" spans="47:47" ht="12" customHeight="1">
      <c r="AU4274" s="45"/>
    </row>
    <row r="4275" spans="47:47" ht="12" customHeight="1">
      <c r="AU4275" s="45"/>
    </row>
    <row r="4276" spans="47:47" ht="12" customHeight="1">
      <c r="AU4276" s="45"/>
    </row>
    <row r="4277" spans="47:47" ht="12" customHeight="1">
      <c r="AU4277" s="45"/>
    </row>
    <row r="4278" spans="47:47" ht="12" customHeight="1">
      <c r="AU4278" s="45"/>
    </row>
    <row r="4279" spans="47:47" ht="12" customHeight="1">
      <c r="AU4279" s="45"/>
    </row>
    <row r="4280" spans="47:47" ht="12" customHeight="1">
      <c r="AU4280" s="45"/>
    </row>
    <row r="4281" spans="47:47" ht="12" customHeight="1">
      <c r="AU4281" s="45"/>
    </row>
    <row r="4282" spans="47:47" ht="12" customHeight="1">
      <c r="AU4282" s="45"/>
    </row>
    <row r="4283" spans="47:47" ht="12" customHeight="1">
      <c r="AU4283" s="45"/>
    </row>
    <row r="4284" spans="47:47" ht="12" customHeight="1">
      <c r="AU4284" s="45"/>
    </row>
    <row r="4285" spans="47:47" ht="12" customHeight="1">
      <c r="AU4285" s="45"/>
    </row>
    <row r="4286" spans="47:47" ht="12" customHeight="1">
      <c r="AU4286" s="45"/>
    </row>
    <row r="4287" spans="47:47" ht="12" customHeight="1">
      <c r="AU4287" s="45"/>
    </row>
    <row r="4288" spans="47:47" ht="12" customHeight="1">
      <c r="AU4288" s="45"/>
    </row>
    <row r="4289" spans="47:47" ht="12" customHeight="1">
      <c r="AU4289" s="45"/>
    </row>
    <row r="4290" spans="47:47" ht="12" customHeight="1">
      <c r="AU4290" s="45"/>
    </row>
    <row r="4291" spans="47:47" ht="12" customHeight="1">
      <c r="AU4291" s="45"/>
    </row>
    <row r="4292" spans="47:47" ht="12" customHeight="1">
      <c r="AU4292" s="45"/>
    </row>
    <row r="4293" spans="47:47" ht="12" customHeight="1">
      <c r="AU4293" s="45"/>
    </row>
    <row r="4294" spans="47:47" ht="12" customHeight="1">
      <c r="AU4294" s="45"/>
    </row>
    <row r="4295" spans="47:47" ht="12" customHeight="1">
      <c r="AU4295" s="45"/>
    </row>
    <row r="4296" spans="47:47" ht="12" customHeight="1">
      <c r="AU4296" s="45"/>
    </row>
    <row r="4297" spans="47:47" ht="12" customHeight="1">
      <c r="AU4297" s="45"/>
    </row>
    <row r="4298" spans="47:47" ht="12" customHeight="1">
      <c r="AU4298" s="45"/>
    </row>
    <row r="4299" spans="47:47" ht="12" customHeight="1">
      <c r="AU4299" s="45"/>
    </row>
    <row r="4300" spans="47:47" ht="12" customHeight="1">
      <c r="AU4300" s="45"/>
    </row>
    <row r="4301" spans="47:47" ht="12" customHeight="1">
      <c r="AU4301" s="45"/>
    </row>
    <row r="4302" spans="47:47" ht="12" customHeight="1">
      <c r="AU4302" s="45"/>
    </row>
    <row r="4303" spans="47:47" ht="12" customHeight="1">
      <c r="AU4303" s="45"/>
    </row>
    <row r="4304" spans="47:47" ht="12" customHeight="1">
      <c r="AU4304" s="45"/>
    </row>
    <row r="4305" spans="47:47" ht="12" customHeight="1">
      <c r="AU4305" s="45"/>
    </row>
    <row r="4306" spans="47:47" ht="12" customHeight="1">
      <c r="AU4306" s="45"/>
    </row>
    <row r="4307" spans="47:47" ht="12" customHeight="1">
      <c r="AU4307" s="45"/>
    </row>
    <row r="4308" spans="47:47" ht="12" customHeight="1">
      <c r="AU4308" s="45"/>
    </row>
    <row r="4309" spans="47:47" ht="12" customHeight="1">
      <c r="AU4309" s="45"/>
    </row>
    <row r="4310" spans="47:47" ht="12" customHeight="1">
      <c r="AU4310" s="45"/>
    </row>
    <row r="4311" spans="47:47" ht="12" customHeight="1">
      <c r="AU4311" s="45"/>
    </row>
    <row r="4312" spans="47:47" ht="12" customHeight="1">
      <c r="AU4312" s="45"/>
    </row>
    <row r="4313" spans="47:47" ht="12" customHeight="1">
      <c r="AU4313" s="45"/>
    </row>
    <row r="4314" spans="47:47" ht="12" customHeight="1">
      <c r="AU4314" s="45"/>
    </row>
    <row r="4315" spans="47:47" ht="12" customHeight="1">
      <c r="AU4315" s="45"/>
    </row>
    <row r="4316" spans="47:47" ht="12" customHeight="1">
      <c r="AU4316" s="45"/>
    </row>
    <row r="4317" spans="47:47" ht="12" customHeight="1">
      <c r="AU4317" s="45"/>
    </row>
    <row r="4318" spans="47:47" ht="12" customHeight="1">
      <c r="AU4318" s="45"/>
    </row>
    <row r="4319" spans="47:47" ht="12" customHeight="1">
      <c r="AU4319" s="45"/>
    </row>
    <row r="4320" spans="47:47" ht="12" customHeight="1">
      <c r="AU4320" s="45"/>
    </row>
    <row r="4321" spans="47:47" ht="12" customHeight="1">
      <c r="AU4321" s="45"/>
    </row>
    <row r="4322" spans="47:47" ht="12" customHeight="1">
      <c r="AU4322" s="45"/>
    </row>
    <row r="4323" spans="47:47" ht="12" customHeight="1">
      <c r="AU4323" s="45"/>
    </row>
    <row r="4324" spans="47:47" ht="12" customHeight="1">
      <c r="AU4324" s="45"/>
    </row>
    <row r="4325" spans="47:47" ht="12" customHeight="1">
      <c r="AU4325" s="45"/>
    </row>
    <row r="4326" spans="47:47" ht="12" customHeight="1">
      <c r="AU4326" s="45"/>
    </row>
    <row r="4327" spans="47:47" ht="12" customHeight="1">
      <c r="AU4327" s="45"/>
    </row>
    <row r="4328" spans="47:47" ht="12" customHeight="1">
      <c r="AU4328" s="45"/>
    </row>
    <row r="4329" spans="47:47" ht="12" customHeight="1">
      <c r="AU4329" s="45"/>
    </row>
    <row r="4330" spans="47:47" ht="12" customHeight="1">
      <c r="AU4330" s="45"/>
    </row>
    <row r="4331" spans="47:47" ht="12" customHeight="1">
      <c r="AU4331" s="45"/>
    </row>
    <row r="4332" spans="47:47" ht="12" customHeight="1">
      <c r="AU4332" s="45"/>
    </row>
    <row r="4333" spans="47:47" ht="12" customHeight="1">
      <c r="AU4333" s="45"/>
    </row>
    <row r="4334" spans="47:47" ht="12" customHeight="1">
      <c r="AU4334" s="45"/>
    </row>
    <row r="4335" spans="47:47" ht="12" customHeight="1">
      <c r="AU4335" s="45"/>
    </row>
    <row r="4336" spans="47:47" ht="12" customHeight="1">
      <c r="AU4336" s="45"/>
    </row>
    <row r="4337" spans="47:47" ht="12" customHeight="1">
      <c r="AU4337" s="45"/>
    </row>
    <row r="4338" spans="47:47" ht="12" customHeight="1">
      <c r="AU4338" s="45"/>
    </row>
    <row r="4339" spans="47:47" ht="12" customHeight="1">
      <c r="AU4339" s="45"/>
    </row>
    <row r="4340" spans="47:47" ht="12" customHeight="1">
      <c r="AU4340" s="45"/>
    </row>
    <row r="4341" spans="47:47" ht="12" customHeight="1">
      <c r="AU4341" s="45"/>
    </row>
    <row r="4342" spans="47:47" ht="12" customHeight="1">
      <c r="AU4342" s="45"/>
    </row>
    <row r="4343" spans="47:47" ht="12" customHeight="1">
      <c r="AU4343" s="45"/>
    </row>
    <row r="4344" spans="47:47" ht="12" customHeight="1">
      <c r="AU4344" s="45"/>
    </row>
    <row r="4345" spans="47:47" ht="12" customHeight="1">
      <c r="AU4345" s="45"/>
    </row>
    <row r="4346" spans="47:47" ht="12" customHeight="1">
      <c r="AU4346" s="45"/>
    </row>
    <row r="4347" spans="47:47" ht="12" customHeight="1">
      <c r="AU4347" s="45"/>
    </row>
    <row r="4348" spans="47:47" ht="12" customHeight="1">
      <c r="AU4348" s="45"/>
    </row>
    <row r="4349" spans="47:47" ht="12" customHeight="1">
      <c r="AU4349" s="45"/>
    </row>
    <row r="4350" spans="47:47" ht="12" customHeight="1">
      <c r="AU4350" s="45"/>
    </row>
    <row r="4351" spans="47:47" ht="12" customHeight="1">
      <c r="AU4351" s="45"/>
    </row>
    <row r="4352" spans="47:47" ht="12" customHeight="1">
      <c r="AU4352" s="45"/>
    </row>
    <row r="4353" spans="47:47" ht="12" customHeight="1">
      <c r="AU4353" s="45"/>
    </row>
    <row r="4354" spans="47:47" ht="12" customHeight="1">
      <c r="AU4354" s="45"/>
    </row>
    <row r="4355" spans="47:47" ht="12" customHeight="1">
      <c r="AU4355" s="45"/>
    </row>
    <row r="4356" spans="47:47" ht="12" customHeight="1">
      <c r="AU4356" s="45"/>
    </row>
    <row r="4357" spans="47:47" ht="12" customHeight="1">
      <c r="AU4357" s="45"/>
    </row>
    <row r="4358" spans="47:47" ht="12" customHeight="1">
      <c r="AU4358" s="45"/>
    </row>
    <row r="4359" spans="47:47" ht="12" customHeight="1">
      <c r="AU4359" s="45"/>
    </row>
    <row r="4360" spans="47:47" ht="12" customHeight="1">
      <c r="AU4360" s="45"/>
    </row>
    <row r="4361" spans="47:47" ht="12" customHeight="1">
      <c r="AU4361" s="45"/>
    </row>
    <row r="4362" spans="47:47" ht="12" customHeight="1">
      <c r="AU4362" s="45"/>
    </row>
    <row r="4363" spans="47:47" ht="12" customHeight="1">
      <c r="AU4363" s="45"/>
    </row>
    <row r="4364" spans="47:47" ht="12" customHeight="1">
      <c r="AU4364" s="45"/>
    </row>
    <row r="4365" spans="47:47" ht="12" customHeight="1">
      <c r="AU4365" s="45"/>
    </row>
    <row r="4366" spans="47:47" ht="12" customHeight="1">
      <c r="AU4366" s="45"/>
    </row>
    <row r="4367" spans="47:47" ht="12" customHeight="1">
      <c r="AU4367" s="45"/>
    </row>
    <row r="4368" spans="47:47" ht="12" customHeight="1">
      <c r="AU4368" s="45"/>
    </row>
    <row r="4369" spans="47:47" ht="12" customHeight="1">
      <c r="AU4369" s="45"/>
    </row>
    <row r="4370" spans="47:47" ht="12" customHeight="1">
      <c r="AU4370" s="45"/>
    </row>
    <row r="4371" spans="47:47" ht="12" customHeight="1">
      <c r="AU4371" s="45"/>
    </row>
    <row r="4372" spans="47:47" ht="12" customHeight="1">
      <c r="AU4372" s="45"/>
    </row>
    <row r="4373" spans="47:47" ht="12" customHeight="1">
      <c r="AU4373" s="45"/>
    </row>
    <row r="4374" spans="47:47" ht="12" customHeight="1">
      <c r="AU4374" s="45"/>
    </row>
    <row r="4375" spans="47:47" ht="12" customHeight="1">
      <c r="AU4375" s="45"/>
    </row>
    <row r="4376" spans="47:47" ht="12" customHeight="1">
      <c r="AU4376" s="45"/>
    </row>
    <row r="4377" spans="47:47" ht="12" customHeight="1">
      <c r="AU4377" s="45"/>
    </row>
    <row r="4378" spans="47:47" ht="12" customHeight="1">
      <c r="AU4378" s="45"/>
    </row>
    <row r="4379" spans="47:47" ht="12" customHeight="1">
      <c r="AU4379" s="45"/>
    </row>
    <row r="4380" spans="47:47" ht="12" customHeight="1">
      <c r="AU4380" s="45"/>
    </row>
    <row r="4381" spans="47:47" ht="12" customHeight="1">
      <c r="AU4381" s="45"/>
    </row>
    <row r="4382" spans="47:47" ht="12" customHeight="1">
      <c r="AU4382" s="45"/>
    </row>
    <row r="4383" spans="47:47" ht="12" customHeight="1">
      <c r="AU4383" s="45"/>
    </row>
    <row r="4384" spans="47:47" ht="12" customHeight="1">
      <c r="AU4384" s="45"/>
    </row>
    <row r="4385" spans="47:47" ht="12" customHeight="1">
      <c r="AU4385" s="45"/>
    </row>
    <row r="4386" spans="47:47" ht="12" customHeight="1">
      <c r="AU4386" s="45"/>
    </row>
    <row r="4387" spans="47:47" ht="12" customHeight="1">
      <c r="AU4387" s="45"/>
    </row>
    <row r="4388" spans="47:47" ht="12" customHeight="1">
      <c r="AU4388" s="45"/>
    </row>
    <row r="4389" spans="47:47" ht="12" customHeight="1">
      <c r="AU4389" s="45"/>
    </row>
    <row r="4390" spans="47:47" ht="12" customHeight="1">
      <c r="AU4390" s="45"/>
    </row>
    <row r="4391" spans="47:47" ht="12" customHeight="1">
      <c r="AU4391" s="45"/>
    </row>
    <row r="4392" spans="47:47" ht="12" customHeight="1">
      <c r="AU4392" s="45"/>
    </row>
    <row r="4393" spans="47:47" ht="12" customHeight="1">
      <c r="AU4393" s="45"/>
    </row>
    <row r="4394" spans="47:47" ht="12" customHeight="1">
      <c r="AU4394" s="45"/>
    </row>
    <row r="4395" spans="47:47" ht="12" customHeight="1">
      <c r="AU4395" s="45"/>
    </row>
    <row r="4396" spans="47:47" ht="12" customHeight="1">
      <c r="AU4396" s="45"/>
    </row>
    <row r="4397" spans="47:47" ht="12" customHeight="1">
      <c r="AU4397" s="45"/>
    </row>
    <row r="4398" spans="47:47" ht="12" customHeight="1">
      <c r="AU4398" s="45"/>
    </row>
    <row r="4399" spans="47:47" ht="12" customHeight="1">
      <c r="AU4399" s="45"/>
    </row>
    <row r="4400" spans="47:47" ht="12" customHeight="1">
      <c r="AU4400" s="45"/>
    </row>
    <row r="4401" spans="47:47" ht="12" customHeight="1">
      <c r="AU4401" s="45"/>
    </row>
    <row r="4402" spans="47:47" ht="12" customHeight="1">
      <c r="AU4402" s="45"/>
    </row>
    <row r="4403" spans="47:47" ht="12" customHeight="1">
      <c r="AU4403" s="45"/>
    </row>
    <row r="4404" spans="47:47" ht="12" customHeight="1">
      <c r="AU4404" s="45"/>
    </row>
    <row r="4405" spans="47:47" ht="12" customHeight="1">
      <c r="AU4405" s="45"/>
    </row>
    <row r="4406" spans="47:47" ht="12" customHeight="1">
      <c r="AU4406" s="45"/>
    </row>
    <row r="4407" spans="47:47" ht="12" customHeight="1">
      <c r="AU4407" s="45"/>
    </row>
    <row r="4408" spans="47:47" ht="12" customHeight="1">
      <c r="AU4408" s="45"/>
    </row>
    <row r="4409" spans="47:47" ht="12" customHeight="1">
      <c r="AU4409" s="45"/>
    </row>
    <row r="4410" spans="47:47" ht="12" customHeight="1">
      <c r="AU4410" s="45"/>
    </row>
    <row r="4411" spans="47:47" ht="12" customHeight="1">
      <c r="AU4411" s="45"/>
    </row>
    <row r="4412" spans="47:47" ht="12" customHeight="1">
      <c r="AU4412" s="45"/>
    </row>
    <row r="4413" spans="47:47" ht="12" customHeight="1">
      <c r="AU4413" s="45"/>
    </row>
    <row r="4414" spans="47:47" ht="12" customHeight="1">
      <c r="AU4414" s="45"/>
    </row>
    <row r="4415" spans="47:47" ht="12" customHeight="1">
      <c r="AU4415" s="45"/>
    </row>
    <row r="4416" spans="47:47" ht="12" customHeight="1">
      <c r="AU4416" s="45"/>
    </row>
    <row r="4417" spans="47:47" ht="12" customHeight="1">
      <c r="AU4417" s="45"/>
    </row>
    <row r="4418" spans="47:47" ht="12" customHeight="1">
      <c r="AU4418" s="45"/>
    </row>
    <row r="4419" spans="47:47" ht="12" customHeight="1">
      <c r="AU4419" s="45"/>
    </row>
    <row r="4420" spans="47:47" ht="12" customHeight="1">
      <c r="AU4420" s="45"/>
    </row>
    <row r="4421" spans="47:47" ht="12" customHeight="1">
      <c r="AU4421" s="45"/>
    </row>
    <row r="4422" spans="47:47" ht="12" customHeight="1">
      <c r="AU4422" s="45"/>
    </row>
    <row r="4423" spans="47:47" ht="12" customHeight="1">
      <c r="AU4423" s="45"/>
    </row>
    <row r="4424" spans="47:47" ht="12" customHeight="1">
      <c r="AU4424" s="45"/>
    </row>
    <row r="4425" spans="47:47" ht="12" customHeight="1">
      <c r="AU4425" s="45"/>
    </row>
    <row r="4426" spans="47:47" ht="12" customHeight="1">
      <c r="AU4426" s="45"/>
    </row>
    <row r="4427" spans="47:47" ht="12" customHeight="1">
      <c r="AU4427" s="45"/>
    </row>
    <row r="4428" spans="47:47" ht="12" customHeight="1">
      <c r="AU4428" s="45"/>
    </row>
    <row r="4429" spans="47:47" ht="12" customHeight="1">
      <c r="AU4429" s="45"/>
    </row>
    <row r="4430" spans="47:47" ht="12" customHeight="1">
      <c r="AU4430" s="45"/>
    </row>
    <row r="4431" spans="47:47" ht="12" customHeight="1">
      <c r="AU4431" s="45"/>
    </row>
    <row r="4432" spans="47:47" ht="12" customHeight="1">
      <c r="AU4432" s="45"/>
    </row>
    <row r="4433" spans="47:47" ht="12" customHeight="1">
      <c r="AU4433" s="45"/>
    </row>
    <row r="4434" spans="47:47" ht="12" customHeight="1">
      <c r="AU4434" s="45"/>
    </row>
    <row r="4435" spans="47:47" ht="12" customHeight="1">
      <c r="AU4435" s="45"/>
    </row>
    <row r="4436" spans="47:47" ht="12" customHeight="1">
      <c r="AU4436" s="45"/>
    </row>
    <row r="4437" spans="47:47" ht="12" customHeight="1">
      <c r="AU4437" s="45"/>
    </row>
    <row r="4438" spans="47:47" ht="12" customHeight="1">
      <c r="AU4438" s="45"/>
    </row>
    <row r="4439" spans="47:47" ht="12" customHeight="1">
      <c r="AU4439" s="45"/>
    </row>
    <row r="4440" spans="47:47" ht="12" customHeight="1">
      <c r="AU4440" s="45"/>
    </row>
    <row r="4441" spans="47:47" ht="12" customHeight="1">
      <c r="AU4441" s="45"/>
    </row>
    <row r="4442" spans="47:47" ht="12" customHeight="1">
      <c r="AU4442" s="45"/>
    </row>
    <row r="4443" spans="47:47" ht="12" customHeight="1">
      <c r="AU4443" s="45"/>
    </row>
    <row r="4444" spans="47:47" ht="12" customHeight="1">
      <c r="AU4444" s="45"/>
    </row>
    <row r="4445" spans="47:47" ht="12" customHeight="1">
      <c r="AU4445" s="45"/>
    </row>
    <row r="4446" spans="47:47" ht="12" customHeight="1">
      <c r="AU4446" s="45"/>
    </row>
    <row r="4447" spans="47:47" ht="12" customHeight="1">
      <c r="AU4447" s="45"/>
    </row>
    <row r="4448" spans="47:47" ht="12" customHeight="1">
      <c r="AU4448" s="45"/>
    </row>
    <row r="4449" spans="47:47" ht="12" customHeight="1">
      <c r="AU4449" s="45"/>
    </row>
    <row r="4450" spans="47:47" ht="12" customHeight="1">
      <c r="AU4450" s="45"/>
    </row>
    <row r="4451" spans="47:47" ht="12" customHeight="1">
      <c r="AU4451" s="45"/>
    </row>
    <row r="4452" spans="47:47" ht="12" customHeight="1">
      <c r="AU4452" s="45"/>
    </row>
    <row r="4453" spans="47:47" ht="12" customHeight="1">
      <c r="AU4453" s="45"/>
    </row>
    <row r="4454" spans="47:47" ht="12" customHeight="1">
      <c r="AU4454" s="45"/>
    </row>
    <row r="4455" spans="47:47" ht="12" customHeight="1">
      <c r="AU4455" s="45"/>
    </row>
    <row r="4456" spans="47:47" ht="12" customHeight="1">
      <c r="AU4456" s="45"/>
    </row>
    <row r="4457" spans="47:47" ht="12" customHeight="1">
      <c r="AU4457" s="45"/>
    </row>
    <row r="4458" spans="47:47" ht="12" customHeight="1">
      <c r="AU4458" s="45"/>
    </row>
    <row r="4459" spans="47:47" ht="12" customHeight="1">
      <c r="AU4459" s="45"/>
    </row>
    <row r="4460" spans="47:47" ht="12" customHeight="1">
      <c r="AU4460" s="45"/>
    </row>
    <row r="4461" spans="47:47" ht="12" customHeight="1">
      <c r="AU4461" s="45"/>
    </row>
    <row r="4462" spans="47:47" ht="12" customHeight="1">
      <c r="AU4462" s="45"/>
    </row>
    <row r="4463" spans="47:47" ht="12" customHeight="1">
      <c r="AU4463" s="45"/>
    </row>
    <row r="4464" spans="47:47" ht="12" customHeight="1">
      <c r="AU4464" s="45"/>
    </row>
    <row r="4465" spans="47:47" ht="12" customHeight="1">
      <c r="AU4465" s="45"/>
    </row>
    <row r="4466" spans="47:47" ht="12" customHeight="1">
      <c r="AU4466" s="45"/>
    </row>
    <row r="4467" spans="47:47" ht="12" customHeight="1">
      <c r="AU4467" s="45"/>
    </row>
    <row r="4468" spans="47:47" ht="12" customHeight="1">
      <c r="AU4468" s="45"/>
    </row>
    <row r="4469" spans="47:47" ht="12" customHeight="1">
      <c r="AU4469" s="45"/>
    </row>
    <row r="4470" spans="47:47" ht="12" customHeight="1">
      <c r="AU4470" s="45"/>
    </row>
    <row r="4471" spans="47:47" ht="12" customHeight="1">
      <c r="AU4471" s="45"/>
    </row>
    <row r="4472" spans="47:47" ht="12" customHeight="1">
      <c r="AU4472" s="45"/>
    </row>
    <row r="4473" spans="47:47" ht="12" customHeight="1">
      <c r="AU4473" s="45"/>
    </row>
    <row r="4474" spans="47:47" ht="12" customHeight="1">
      <c r="AU4474" s="45"/>
    </row>
    <row r="4475" spans="47:47" ht="12" customHeight="1">
      <c r="AU4475" s="45"/>
    </row>
    <row r="4476" spans="47:47" ht="12" customHeight="1">
      <c r="AU4476" s="45"/>
    </row>
    <row r="4477" spans="47:47" ht="12" customHeight="1">
      <c r="AU4477" s="45"/>
    </row>
    <row r="4478" spans="47:47" ht="12" customHeight="1">
      <c r="AU4478" s="45"/>
    </row>
    <row r="4479" spans="47:47" ht="12" customHeight="1">
      <c r="AU4479" s="45"/>
    </row>
    <row r="4480" spans="47:47" ht="12" customHeight="1">
      <c r="AU4480" s="45"/>
    </row>
    <row r="4481" spans="47:47" ht="12" customHeight="1">
      <c r="AU4481" s="45"/>
    </row>
    <row r="4482" spans="47:47" ht="12" customHeight="1">
      <c r="AU4482" s="45"/>
    </row>
    <row r="4483" spans="47:47" ht="12" customHeight="1">
      <c r="AU4483" s="45"/>
    </row>
    <row r="4484" spans="47:47" ht="12" customHeight="1">
      <c r="AU4484" s="45"/>
    </row>
    <row r="4485" spans="47:47" ht="12" customHeight="1">
      <c r="AU4485" s="45"/>
    </row>
    <row r="4486" spans="47:47" ht="12" customHeight="1">
      <c r="AU4486" s="45"/>
    </row>
    <row r="4487" spans="47:47" ht="12" customHeight="1">
      <c r="AU4487" s="45"/>
    </row>
    <row r="4488" spans="47:47" ht="12" customHeight="1">
      <c r="AU4488" s="45"/>
    </row>
    <row r="4489" spans="47:47" ht="12" customHeight="1">
      <c r="AU4489" s="45"/>
    </row>
    <row r="4490" spans="47:47" ht="12" customHeight="1">
      <c r="AU4490" s="45"/>
    </row>
    <row r="4491" spans="47:47" ht="12" customHeight="1">
      <c r="AU4491" s="45"/>
    </row>
    <row r="4492" spans="47:47" ht="12" customHeight="1">
      <c r="AU4492" s="45"/>
    </row>
    <row r="4493" spans="47:47" ht="12" customHeight="1">
      <c r="AU4493" s="45"/>
    </row>
    <row r="4494" spans="47:47" ht="12" customHeight="1">
      <c r="AU4494" s="45"/>
    </row>
    <row r="4495" spans="47:47" ht="12" customHeight="1">
      <c r="AU4495" s="45"/>
    </row>
    <row r="4496" spans="47:47" ht="12" customHeight="1">
      <c r="AU4496" s="45"/>
    </row>
    <row r="4497" spans="47:47" ht="12" customHeight="1">
      <c r="AU4497" s="45"/>
    </row>
    <row r="4498" spans="47:47" ht="12" customHeight="1">
      <c r="AU4498" s="45"/>
    </row>
    <row r="4499" spans="47:47" ht="12" customHeight="1">
      <c r="AU4499" s="45"/>
    </row>
    <row r="4500" spans="47:47" ht="12" customHeight="1">
      <c r="AU4500" s="45"/>
    </row>
    <row r="4501" spans="47:47" ht="12" customHeight="1">
      <c r="AU4501" s="45"/>
    </row>
    <row r="4502" spans="47:47" ht="12" customHeight="1">
      <c r="AU4502" s="45"/>
    </row>
    <row r="4503" spans="47:47" ht="12" customHeight="1">
      <c r="AU4503" s="45"/>
    </row>
    <row r="4504" spans="47:47" ht="12" customHeight="1">
      <c r="AU4504" s="45"/>
    </row>
    <row r="4505" spans="47:47" ht="12" customHeight="1">
      <c r="AU4505" s="45"/>
    </row>
    <row r="4506" spans="47:47" ht="12" customHeight="1">
      <c r="AU4506" s="45"/>
    </row>
    <row r="4507" spans="47:47" ht="12" customHeight="1">
      <c r="AU4507" s="45"/>
    </row>
    <row r="4508" spans="47:47" ht="12" customHeight="1">
      <c r="AU4508" s="45"/>
    </row>
    <row r="4509" spans="47:47" ht="12" customHeight="1">
      <c r="AU4509" s="45"/>
    </row>
    <row r="4510" spans="47:47" ht="12" customHeight="1">
      <c r="AU4510" s="45"/>
    </row>
    <row r="4511" spans="47:47" ht="12" customHeight="1">
      <c r="AU4511" s="45"/>
    </row>
    <row r="4512" spans="47:47" ht="12" customHeight="1">
      <c r="AU4512" s="45"/>
    </row>
    <row r="4513" spans="47:47" ht="12" customHeight="1">
      <c r="AU4513" s="45"/>
    </row>
    <row r="4514" spans="47:47" ht="12" customHeight="1">
      <c r="AU4514" s="45"/>
    </row>
    <row r="4515" spans="47:47" ht="12" customHeight="1">
      <c r="AU4515" s="45"/>
    </row>
    <row r="4516" spans="47:47" ht="12" customHeight="1">
      <c r="AU4516" s="45"/>
    </row>
    <row r="4517" spans="47:47" ht="12" customHeight="1">
      <c r="AU4517" s="45"/>
    </row>
    <row r="4518" spans="47:47" ht="12" customHeight="1">
      <c r="AU4518" s="45"/>
    </row>
    <row r="4519" spans="47:47" ht="12" customHeight="1">
      <c r="AU4519" s="45"/>
    </row>
    <row r="4520" spans="47:47" ht="12" customHeight="1">
      <c r="AU4520" s="45"/>
    </row>
    <row r="4521" spans="47:47" ht="12" customHeight="1">
      <c r="AU4521" s="45"/>
    </row>
    <row r="4522" spans="47:47" ht="12" customHeight="1">
      <c r="AU4522" s="45"/>
    </row>
    <row r="4523" spans="47:47" ht="12" customHeight="1">
      <c r="AU4523" s="45"/>
    </row>
    <row r="4524" spans="47:47" ht="12" customHeight="1">
      <c r="AU4524" s="45"/>
    </row>
    <row r="4525" spans="47:47" ht="12" customHeight="1">
      <c r="AU4525" s="45"/>
    </row>
    <row r="4526" spans="47:47" ht="12" customHeight="1">
      <c r="AU4526" s="45"/>
    </row>
    <row r="4527" spans="47:47" ht="12" customHeight="1">
      <c r="AU4527" s="45"/>
    </row>
    <row r="4528" spans="47:47" ht="12" customHeight="1">
      <c r="AU4528" s="45"/>
    </row>
    <row r="4529" spans="47:47" ht="12" customHeight="1">
      <c r="AU4529" s="45"/>
    </row>
    <row r="4530" spans="47:47" ht="12" customHeight="1">
      <c r="AU4530" s="45"/>
    </row>
    <row r="4531" spans="47:47" ht="12" customHeight="1">
      <c r="AU4531" s="45"/>
    </row>
    <row r="4532" spans="47:47" ht="12" customHeight="1">
      <c r="AU4532" s="45"/>
    </row>
    <row r="4533" spans="47:47" ht="12" customHeight="1">
      <c r="AU4533" s="45"/>
    </row>
    <row r="4534" spans="47:47" ht="12" customHeight="1">
      <c r="AU4534" s="45"/>
    </row>
    <row r="4535" spans="47:47" ht="12" customHeight="1">
      <c r="AU4535" s="45"/>
    </row>
    <row r="4536" spans="47:47" ht="12" customHeight="1">
      <c r="AU4536" s="45"/>
    </row>
    <row r="4537" spans="47:47" ht="12" customHeight="1">
      <c r="AU4537" s="45"/>
    </row>
    <row r="4538" spans="47:47" ht="12" customHeight="1">
      <c r="AU4538" s="45"/>
    </row>
    <row r="4539" spans="47:47" ht="12" customHeight="1">
      <c r="AU4539" s="45"/>
    </row>
    <row r="4540" spans="47:47" ht="12" customHeight="1">
      <c r="AU4540" s="45"/>
    </row>
    <row r="4541" spans="47:47" ht="12" customHeight="1">
      <c r="AU4541" s="45"/>
    </row>
    <row r="4542" spans="47:47" ht="12" customHeight="1">
      <c r="AU4542" s="45"/>
    </row>
    <row r="4543" spans="47:47" ht="12" customHeight="1">
      <c r="AU4543" s="45"/>
    </row>
    <row r="4544" spans="47:47" ht="12" customHeight="1">
      <c r="AU4544" s="45"/>
    </row>
    <row r="4545" spans="47:47" ht="12" customHeight="1">
      <c r="AU4545" s="45"/>
    </row>
    <row r="4546" spans="47:47" ht="12" customHeight="1">
      <c r="AU4546" s="45"/>
    </row>
    <row r="4547" spans="47:47" ht="12" customHeight="1">
      <c r="AU4547" s="45"/>
    </row>
    <row r="4548" spans="47:47" ht="12" customHeight="1">
      <c r="AU4548" s="45"/>
    </row>
    <row r="4549" spans="47:47" ht="12" customHeight="1">
      <c r="AU4549" s="45"/>
    </row>
    <row r="4550" spans="47:47" ht="12" customHeight="1">
      <c r="AU4550" s="45"/>
    </row>
    <row r="4551" spans="47:47" ht="12" customHeight="1">
      <c r="AU4551" s="45"/>
    </row>
    <row r="4552" spans="47:47" ht="12" customHeight="1">
      <c r="AU4552" s="45"/>
    </row>
    <row r="4553" spans="47:47" ht="12" customHeight="1">
      <c r="AU4553" s="45"/>
    </row>
    <row r="4554" spans="47:47" ht="12" customHeight="1">
      <c r="AU4554" s="45"/>
    </row>
    <row r="4555" spans="47:47" ht="12" customHeight="1">
      <c r="AU4555" s="45"/>
    </row>
    <row r="4556" spans="47:47" ht="12" customHeight="1">
      <c r="AU4556" s="45"/>
    </row>
    <row r="4557" spans="47:47" ht="12" customHeight="1">
      <c r="AU4557" s="45"/>
    </row>
    <row r="4558" spans="47:47" ht="12" customHeight="1">
      <c r="AU4558" s="45"/>
    </row>
    <row r="4559" spans="47:47" ht="12" customHeight="1">
      <c r="AU4559" s="45"/>
    </row>
    <row r="4560" spans="47:47" ht="12" customHeight="1">
      <c r="AU4560" s="45"/>
    </row>
    <row r="4561" spans="47:47" ht="12" customHeight="1">
      <c r="AU4561" s="45"/>
    </row>
    <row r="4562" spans="47:47" ht="12" customHeight="1">
      <c r="AU4562" s="45"/>
    </row>
    <row r="4563" spans="47:47" ht="12" customHeight="1">
      <c r="AU4563" s="45"/>
    </row>
    <row r="4564" spans="47:47" ht="12" customHeight="1">
      <c r="AU4564" s="45"/>
    </row>
    <row r="4565" spans="47:47" ht="12" customHeight="1">
      <c r="AU4565" s="45"/>
    </row>
    <row r="4566" spans="47:47" ht="12" customHeight="1">
      <c r="AU4566" s="45"/>
    </row>
    <row r="4567" spans="47:47" ht="12" customHeight="1">
      <c r="AU4567" s="45"/>
    </row>
    <row r="4568" spans="47:47" ht="12" customHeight="1">
      <c r="AU4568" s="45"/>
    </row>
    <row r="4569" spans="47:47" ht="12" customHeight="1">
      <c r="AU4569" s="45"/>
    </row>
    <row r="4570" spans="47:47" ht="12" customHeight="1">
      <c r="AU4570" s="45"/>
    </row>
    <row r="4571" spans="47:47" ht="12" customHeight="1">
      <c r="AU4571" s="45"/>
    </row>
    <row r="4572" spans="47:47" ht="12" customHeight="1">
      <c r="AU4572" s="45"/>
    </row>
    <row r="4573" spans="47:47" ht="12" customHeight="1">
      <c r="AU4573" s="45"/>
    </row>
    <row r="4574" spans="47:47" ht="12" customHeight="1">
      <c r="AU4574" s="45"/>
    </row>
    <row r="4575" spans="47:47" ht="12" customHeight="1">
      <c r="AU4575" s="45"/>
    </row>
    <row r="4576" spans="47:47" ht="12" customHeight="1">
      <c r="AU4576" s="45"/>
    </row>
    <row r="4577" spans="47:47" ht="12" customHeight="1">
      <c r="AU4577" s="45"/>
    </row>
    <row r="4578" spans="47:47" ht="12" customHeight="1">
      <c r="AU4578" s="45"/>
    </row>
    <row r="4579" spans="47:47" ht="12" customHeight="1">
      <c r="AU4579" s="45"/>
    </row>
    <row r="4580" spans="47:47" ht="12" customHeight="1">
      <c r="AU4580" s="45"/>
    </row>
    <row r="4581" spans="47:47" ht="12" customHeight="1">
      <c r="AU4581" s="45"/>
    </row>
    <row r="4582" spans="47:47" ht="12" customHeight="1">
      <c r="AU4582" s="45"/>
    </row>
    <row r="4583" spans="47:47" ht="12" customHeight="1">
      <c r="AU4583" s="45"/>
    </row>
    <row r="4584" spans="47:47" ht="12" customHeight="1">
      <c r="AU4584" s="45"/>
    </row>
    <row r="4585" spans="47:47" ht="12" customHeight="1">
      <c r="AU4585" s="45"/>
    </row>
    <row r="4586" spans="47:47" ht="12" customHeight="1">
      <c r="AU4586" s="45"/>
    </row>
    <row r="4587" spans="47:47" ht="12" customHeight="1">
      <c r="AU4587" s="45"/>
    </row>
    <row r="4588" spans="47:47" ht="12" customHeight="1">
      <c r="AU4588" s="45"/>
    </row>
    <row r="4589" spans="47:47" ht="12" customHeight="1">
      <c r="AU4589" s="45"/>
    </row>
    <row r="4590" spans="47:47" ht="12" customHeight="1">
      <c r="AU4590" s="45"/>
    </row>
    <row r="4591" spans="47:47" ht="12" customHeight="1">
      <c r="AU4591" s="45"/>
    </row>
    <row r="4592" spans="47:47" ht="12" customHeight="1">
      <c r="AU4592" s="45"/>
    </row>
    <row r="4593" spans="47:47" ht="12" customHeight="1">
      <c r="AU4593" s="45"/>
    </row>
    <row r="4594" spans="47:47" ht="12" customHeight="1">
      <c r="AU4594" s="45"/>
    </row>
    <row r="4595" spans="47:47" ht="12" customHeight="1">
      <c r="AU4595" s="45"/>
    </row>
    <row r="4596" spans="47:47" ht="12" customHeight="1">
      <c r="AU4596" s="45"/>
    </row>
    <row r="4597" spans="47:47" ht="12" customHeight="1">
      <c r="AU4597" s="45"/>
    </row>
    <row r="4598" spans="47:47" ht="12" customHeight="1">
      <c r="AU4598" s="45"/>
    </row>
    <row r="4599" spans="47:47" ht="12" customHeight="1">
      <c r="AU4599" s="45"/>
    </row>
    <row r="4600" spans="47:47" ht="12" customHeight="1">
      <c r="AU4600" s="45"/>
    </row>
    <row r="4601" spans="47:47" ht="12" customHeight="1">
      <c r="AU4601" s="45"/>
    </row>
    <row r="4602" spans="47:47" ht="12" customHeight="1">
      <c r="AU4602" s="45"/>
    </row>
    <row r="4603" spans="47:47" ht="12" customHeight="1">
      <c r="AU4603" s="45"/>
    </row>
    <row r="4604" spans="47:47" ht="12" customHeight="1">
      <c r="AU4604" s="45"/>
    </row>
    <row r="4605" spans="47:47" ht="12" customHeight="1">
      <c r="AU4605" s="45"/>
    </row>
    <row r="4606" spans="47:47" ht="12" customHeight="1">
      <c r="AU4606" s="45"/>
    </row>
    <row r="4607" spans="47:47" ht="12" customHeight="1">
      <c r="AU4607" s="45"/>
    </row>
    <row r="4608" spans="47:47" ht="12" customHeight="1">
      <c r="AU4608" s="45"/>
    </row>
    <row r="4609" spans="47:47" ht="12" customHeight="1">
      <c r="AU4609" s="45"/>
    </row>
    <row r="4610" spans="47:47" ht="12" customHeight="1">
      <c r="AU4610" s="45"/>
    </row>
    <row r="4611" spans="47:47" ht="12" customHeight="1">
      <c r="AU4611" s="45"/>
    </row>
    <row r="4612" spans="47:47" ht="12" customHeight="1">
      <c r="AU4612" s="45"/>
    </row>
    <row r="4613" spans="47:47" ht="12" customHeight="1">
      <c r="AU4613" s="45"/>
    </row>
    <row r="4614" spans="47:47" ht="12" customHeight="1">
      <c r="AU4614" s="45"/>
    </row>
    <row r="4615" spans="47:47" ht="12" customHeight="1">
      <c r="AU4615" s="45"/>
    </row>
    <row r="4616" spans="47:47" ht="12" customHeight="1">
      <c r="AU4616" s="45"/>
    </row>
    <row r="4617" spans="47:47" ht="12" customHeight="1">
      <c r="AU4617" s="45"/>
    </row>
    <row r="4618" spans="47:47" ht="12" customHeight="1">
      <c r="AU4618" s="45"/>
    </row>
    <row r="4619" spans="47:47" ht="12" customHeight="1">
      <c r="AU4619" s="45"/>
    </row>
    <row r="4620" spans="47:47" ht="12" customHeight="1">
      <c r="AU4620" s="45"/>
    </row>
    <row r="4621" spans="47:47" ht="12" customHeight="1">
      <c r="AU4621" s="45"/>
    </row>
    <row r="4622" spans="47:47" ht="12" customHeight="1">
      <c r="AU4622" s="45"/>
    </row>
    <row r="4623" spans="47:47" ht="12" customHeight="1">
      <c r="AU4623" s="45"/>
    </row>
    <row r="4624" spans="47:47" ht="12" customHeight="1">
      <c r="AU4624" s="45"/>
    </row>
    <row r="4625" spans="47:47" ht="12" customHeight="1">
      <c r="AU4625" s="45"/>
    </row>
    <row r="4626" spans="47:47" ht="12" customHeight="1">
      <c r="AU4626" s="45"/>
    </row>
    <row r="4627" spans="47:47" ht="12" customHeight="1">
      <c r="AU4627" s="45"/>
    </row>
    <row r="4628" spans="47:47" ht="12" customHeight="1">
      <c r="AU4628" s="45"/>
    </row>
    <row r="4629" spans="47:47" ht="12" customHeight="1">
      <c r="AU4629" s="45"/>
    </row>
    <row r="4630" spans="47:47" ht="12" customHeight="1">
      <c r="AU4630" s="45"/>
    </row>
    <row r="4631" spans="47:47" ht="12" customHeight="1">
      <c r="AU4631" s="45"/>
    </row>
    <row r="4632" spans="47:47" ht="12" customHeight="1">
      <c r="AU4632" s="45"/>
    </row>
    <row r="4633" spans="47:47" ht="12" customHeight="1">
      <c r="AU4633" s="45"/>
    </row>
    <row r="4634" spans="47:47" ht="12" customHeight="1">
      <c r="AU4634" s="45"/>
    </row>
    <row r="4635" spans="47:47" ht="12" customHeight="1">
      <c r="AU4635" s="45"/>
    </row>
    <row r="4636" spans="47:47" ht="12" customHeight="1">
      <c r="AU4636" s="45"/>
    </row>
    <row r="4637" spans="47:47" ht="12" customHeight="1">
      <c r="AU4637" s="45"/>
    </row>
    <row r="4638" spans="47:47" ht="12" customHeight="1">
      <c r="AU4638" s="45"/>
    </row>
    <row r="4639" spans="47:47" ht="12" customHeight="1">
      <c r="AU4639" s="45"/>
    </row>
    <row r="4640" spans="47:47" ht="12" customHeight="1">
      <c r="AU4640" s="45"/>
    </row>
    <row r="4641" spans="47:47" ht="12" customHeight="1">
      <c r="AU4641" s="45"/>
    </row>
    <row r="4642" spans="47:47" ht="12" customHeight="1">
      <c r="AU4642" s="45"/>
    </row>
    <row r="4643" spans="47:47" ht="12" customHeight="1">
      <c r="AU4643" s="45"/>
    </row>
    <row r="4644" spans="47:47" ht="12" customHeight="1">
      <c r="AU4644" s="45"/>
    </row>
    <row r="4645" spans="47:47" ht="12" customHeight="1">
      <c r="AU4645" s="45"/>
    </row>
    <row r="4646" spans="47:47" ht="12" customHeight="1">
      <c r="AU4646" s="45"/>
    </row>
    <row r="4647" spans="47:47" ht="12" customHeight="1">
      <c r="AU4647" s="45"/>
    </row>
    <row r="4648" spans="47:47" ht="12" customHeight="1">
      <c r="AU4648" s="45"/>
    </row>
    <row r="4649" spans="47:47" ht="12" customHeight="1">
      <c r="AU4649" s="45"/>
    </row>
    <row r="4650" spans="47:47" ht="12" customHeight="1">
      <c r="AU4650" s="45"/>
    </row>
    <row r="4651" spans="47:47" ht="12" customHeight="1">
      <c r="AU4651" s="45"/>
    </row>
    <row r="4652" spans="47:47" ht="12" customHeight="1">
      <c r="AU4652" s="45"/>
    </row>
    <row r="4653" spans="47:47" ht="12" customHeight="1">
      <c r="AU4653" s="45"/>
    </row>
    <row r="4654" spans="47:47" ht="12" customHeight="1">
      <c r="AU4654" s="45"/>
    </row>
    <row r="4655" spans="47:47" ht="12" customHeight="1">
      <c r="AU4655" s="45"/>
    </row>
    <row r="4656" spans="47:47" ht="12" customHeight="1">
      <c r="AU4656" s="45"/>
    </row>
    <row r="4657" spans="47:47" ht="12" customHeight="1">
      <c r="AU4657" s="45"/>
    </row>
    <row r="4658" spans="47:47" ht="12" customHeight="1">
      <c r="AU4658" s="45"/>
    </row>
    <row r="4659" spans="47:47" ht="12" customHeight="1">
      <c r="AU4659" s="45"/>
    </row>
    <row r="4660" spans="47:47" ht="12" customHeight="1">
      <c r="AU4660" s="45"/>
    </row>
    <row r="4661" spans="47:47" ht="12" customHeight="1">
      <c r="AU4661" s="45"/>
    </row>
    <row r="4662" spans="47:47" ht="12" customHeight="1">
      <c r="AU4662" s="45"/>
    </row>
    <row r="4663" spans="47:47" ht="12" customHeight="1">
      <c r="AU4663" s="45"/>
    </row>
    <row r="4664" spans="47:47" ht="12" customHeight="1">
      <c r="AU4664" s="45"/>
    </row>
    <row r="4665" spans="47:47" ht="12" customHeight="1">
      <c r="AU4665" s="45"/>
    </row>
    <row r="4666" spans="47:47" ht="12" customHeight="1">
      <c r="AU4666" s="45"/>
    </row>
    <row r="4667" spans="47:47" ht="12" customHeight="1">
      <c r="AU4667" s="45"/>
    </row>
    <row r="4668" spans="47:47" ht="12" customHeight="1">
      <c r="AU4668" s="45"/>
    </row>
    <row r="4669" spans="47:47" ht="12" customHeight="1">
      <c r="AU4669" s="45"/>
    </row>
    <row r="4670" spans="47:47" ht="12" customHeight="1">
      <c r="AU4670" s="45"/>
    </row>
    <row r="4671" spans="47:47" ht="12" customHeight="1">
      <c r="AU4671" s="45"/>
    </row>
    <row r="4672" spans="47:47" ht="12" customHeight="1">
      <c r="AU4672" s="45"/>
    </row>
    <row r="4673" spans="47:47" ht="12" customHeight="1">
      <c r="AU4673" s="45"/>
    </row>
    <row r="4674" spans="47:47" ht="12" customHeight="1">
      <c r="AU4674" s="45"/>
    </row>
    <row r="4675" spans="47:47" ht="12" customHeight="1">
      <c r="AU4675" s="45"/>
    </row>
    <row r="4676" spans="47:47" ht="12" customHeight="1">
      <c r="AU4676" s="45"/>
    </row>
    <row r="4677" spans="47:47" ht="12" customHeight="1">
      <c r="AU4677" s="45"/>
    </row>
    <row r="4678" spans="47:47" ht="12" customHeight="1">
      <c r="AU4678" s="45"/>
    </row>
    <row r="4679" spans="47:47" ht="12" customHeight="1">
      <c r="AU4679" s="45"/>
    </row>
    <row r="4680" spans="47:47" ht="12" customHeight="1">
      <c r="AU4680" s="45"/>
    </row>
    <row r="4681" spans="47:47" ht="12" customHeight="1">
      <c r="AU4681" s="45"/>
    </row>
    <row r="4682" spans="47:47" ht="12" customHeight="1">
      <c r="AU4682" s="45"/>
    </row>
    <row r="4683" spans="47:47" ht="12" customHeight="1">
      <c r="AU4683" s="45"/>
    </row>
    <row r="4684" spans="47:47" ht="12" customHeight="1">
      <c r="AU4684" s="45"/>
    </row>
    <row r="4685" spans="47:47" ht="12" customHeight="1">
      <c r="AU4685" s="45"/>
    </row>
    <row r="4686" spans="47:47" ht="12" customHeight="1">
      <c r="AU4686" s="45"/>
    </row>
    <row r="4687" spans="47:47" ht="12" customHeight="1">
      <c r="AU4687" s="45"/>
    </row>
    <row r="4688" spans="47:47" ht="12" customHeight="1">
      <c r="AU4688" s="45"/>
    </row>
    <row r="4689" spans="47:47" ht="12" customHeight="1">
      <c r="AU4689" s="45"/>
    </row>
    <row r="4690" spans="47:47" ht="12" customHeight="1">
      <c r="AU4690" s="45"/>
    </row>
    <row r="4691" spans="47:47" ht="12" customHeight="1">
      <c r="AU4691" s="45"/>
    </row>
    <row r="4692" spans="47:47" ht="12" customHeight="1">
      <c r="AU4692" s="45"/>
    </row>
    <row r="4693" spans="47:47" ht="12" customHeight="1">
      <c r="AU4693" s="45"/>
    </row>
    <row r="4694" spans="47:47" ht="12" customHeight="1">
      <c r="AU4694" s="45"/>
    </row>
    <row r="4695" spans="47:47" ht="12" customHeight="1">
      <c r="AU4695" s="45"/>
    </row>
    <row r="4696" spans="47:47" ht="12" customHeight="1">
      <c r="AU4696" s="45"/>
    </row>
    <row r="4697" spans="47:47" ht="12" customHeight="1">
      <c r="AU4697" s="45"/>
    </row>
    <row r="4698" spans="47:47" ht="12" customHeight="1">
      <c r="AU4698" s="45"/>
    </row>
    <row r="4699" spans="47:47" ht="12" customHeight="1">
      <c r="AU4699" s="45"/>
    </row>
    <row r="4700" spans="47:47" ht="12" customHeight="1">
      <c r="AU4700" s="45"/>
    </row>
    <row r="4701" spans="47:47" ht="12" customHeight="1">
      <c r="AU4701" s="45"/>
    </row>
    <row r="4702" spans="47:47" ht="12" customHeight="1">
      <c r="AU4702" s="45"/>
    </row>
    <row r="4703" spans="47:47" ht="12" customHeight="1">
      <c r="AU4703" s="45"/>
    </row>
    <row r="4704" spans="47:47" ht="12" customHeight="1">
      <c r="AU4704" s="45"/>
    </row>
    <row r="4705" spans="47:47" ht="12" customHeight="1">
      <c r="AU4705" s="45"/>
    </row>
    <row r="4706" spans="47:47" ht="12" customHeight="1">
      <c r="AU4706" s="45"/>
    </row>
    <row r="4707" spans="47:47" ht="12" customHeight="1">
      <c r="AU4707" s="45"/>
    </row>
    <row r="4708" spans="47:47" ht="12" customHeight="1">
      <c r="AU4708" s="45"/>
    </row>
    <row r="4709" spans="47:47" ht="12" customHeight="1">
      <c r="AU4709" s="45"/>
    </row>
    <row r="4710" spans="47:47" ht="12" customHeight="1">
      <c r="AU4710" s="45"/>
    </row>
    <row r="4711" spans="47:47" ht="12" customHeight="1">
      <c r="AU4711" s="45"/>
    </row>
    <row r="4712" spans="47:47" ht="12" customHeight="1">
      <c r="AU4712" s="45"/>
    </row>
    <row r="4713" spans="47:47" ht="12" customHeight="1">
      <c r="AU4713" s="45"/>
    </row>
    <row r="4714" spans="47:47" ht="12" customHeight="1">
      <c r="AU4714" s="45"/>
    </row>
    <row r="4715" spans="47:47" ht="12" customHeight="1">
      <c r="AU4715" s="45"/>
    </row>
    <row r="4716" spans="47:47" ht="12" customHeight="1">
      <c r="AU4716" s="45"/>
    </row>
    <row r="4717" spans="47:47" ht="12" customHeight="1">
      <c r="AU4717" s="45"/>
    </row>
    <row r="4718" spans="47:47" ht="12" customHeight="1">
      <c r="AU4718" s="45"/>
    </row>
    <row r="4719" spans="47:47" ht="12" customHeight="1">
      <c r="AU4719" s="45"/>
    </row>
    <row r="4720" spans="47:47" ht="12" customHeight="1">
      <c r="AU4720" s="45"/>
    </row>
    <row r="4721" spans="47:47" ht="12" customHeight="1">
      <c r="AU4721" s="45"/>
    </row>
    <row r="4722" spans="47:47" ht="12" customHeight="1">
      <c r="AU4722" s="45"/>
    </row>
    <row r="4723" spans="47:47" ht="12" customHeight="1">
      <c r="AU4723" s="45"/>
    </row>
    <row r="4724" spans="47:47" ht="12" customHeight="1">
      <c r="AU4724" s="45"/>
    </row>
    <row r="4725" spans="47:47" ht="12" customHeight="1">
      <c r="AU4725" s="45"/>
    </row>
    <row r="4726" spans="47:47" ht="12" customHeight="1">
      <c r="AU4726" s="45"/>
    </row>
    <row r="4727" spans="47:47" ht="12" customHeight="1">
      <c r="AU4727" s="45"/>
    </row>
    <row r="4728" spans="47:47" ht="12" customHeight="1">
      <c r="AU4728" s="45"/>
    </row>
    <row r="4729" spans="47:47" ht="12" customHeight="1">
      <c r="AU4729" s="45"/>
    </row>
    <row r="4730" spans="47:47" ht="12" customHeight="1">
      <c r="AU4730" s="45"/>
    </row>
    <row r="4731" spans="47:47" ht="12" customHeight="1">
      <c r="AU4731" s="45"/>
    </row>
    <row r="4732" spans="47:47" ht="12" customHeight="1">
      <c r="AU4732" s="45"/>
    </row>
    <row r="4733" spans="47:47" ht="12" customHeight="1">
      <c r="AU4733" s="45"/>
    </row>
    <row r="4734" spans="47:47" ht="12" customHeight="1">
      <c r="AU4734" s="45"/>
    </row>
    <row r="4735" spans="47:47" ht="12" customHeight="1">
      <c r="AU4735" s="45"/>
    </row>
    <row r="4736" spans="47:47" ht="12" customHeight="1">
      <c r="AU4736" s="45"/>
    </row>
    <row r="4737" spans="47:47" ht="12" customHeight="1">
      <c r="AU4737" s="45"/>
    </row>
    <row r="4738" spans="47:47" ht="12" customHeight="1">
      <c r="AU4738" s="45"/>
    </row>
    <row r="4739" spans="47:47" ht="12" customHeight="1">
      <c r="AU4739" s="45"/>
    </row>
    <row r="4740" spans="47:47" ht="12" customHeight="1">
      <c r="AU4740" s="45"/>
    </row>
    <row r="4741" spans="47:47" ht="12" customHeight="1">
      <c r="AU4741" s="45"/>
    </row>
    <row r="4742" spans="47:47" ht="12" customHeight="1">
      <c r="AU4742" s="45"/>
    </row>
    <row r="4743" spans="47:47" ht="12" customHeight="1">
      <c r="AU4743" s="45"/>
    </row>
    <row r="4744" spans="47:47" ht="12" customHeight="1">
      <c r="AU4744" s="45"/>
    </row>
    <row r="4745" spans="47:47" ht="12" customHeight="1">
      <c r="AU4745" s="45"/>
    </row>
    <row r="4746" spans="47:47" ht="12" customHeight="1">
      <c r="AU4746" s="45"/>
    </row>
    <row r="4747" spans="47:47" ht="12" customHeight="1">
      <c r="AU4747" s="45"/>
    </row>
    <row r="4748" spans="47:47" ht="12" customHeight="1">
      <c r="AU4748" s="45"/>
    </row>
    <row r="4749" spans="47:47" ht="12" customHeight="1">
      <c r="AU4749" s="45"/>
    </row>
    <row r="4750" spans="47:47" ht="12" customHeight="1">
      <c r="AU4750" s="45"/>
    </row>
    <row r="4751" spans="47:47" ht="12" customHeight="1">
      <c r="AU4751" s="45"/>
    </row>
    <row r="4752" spans="47:47" ht="12" customHeight="1">
      <c r="AU4752" s="45"/>
    </row>
    <row r="4753" spans="47:47" ht="12" customHeight="1">
      <c r="AU4753" s="45"/>
    </row>
    <row r="4754" spans="47:47" ht="12" customHeight="1">
      <c r="AU4754" s="45"/>
    </row>
    <row r="4755" spans="47:47" ht="12" customHeight="1">
      <c r="AU4755" s="45"/>
    </row>
    <row r="4756" spans="47:47" ht="12" customHeight="1">
      <c r="AU4756" s="45"/>
    </row>
    <row r="4757" spans="47:47" ht="12" customHeight="1">
      <c r="AU4757" s="45"/>
    </row>
    <row r="4758" spans="47:47" ht="12" customHeight="1">
      <c r="AU4758" s="45"/>
    </row>
    <row r="4759" spans="47:47" ht="12" customHeight="1">
      <c r="AU4759" s="45"/>
    </row>
    <row r="4760" spans="47:47" ht="12" customHeight="1">
      <c r="AU4760" s="45"/>
    </row>
    <row r="4761" spans="47:47" ht="12" customHeight="1">
      <c r="AU4761" s="45"/>
    </row>
    <row r="4762" spans="47:47" ht="12" customHeight="1">
      <c r="AU4762" s="45"/>
    </row>
    <row r="4763" spans="47:47" ht="12" customHeight="1">
      <c r="AU4763" s="45"/>
    </row>
    <row r="4764" spans="47:47" ht="12" customHeight="1">
      <c r="AU4764" s="45"/>
    </row>
    <row r="4765" spans="47:47" ht="12" customHeight="1">
      <c r="AU4765" s="45"/>
    </row>
    <row r="4766" spans="47:47" ht="12" customHeight="1">
      <c r="AU4766" s="45"/>
    </row>
    <row r="4767" spans="47:47" ht="12" customHeight="1">
      <c r="AU4767" s="45"/>
    </row>
    <row r="4768" spans="47:47" ht="12" customHeight="1">
      <c r="AU4768" s="45"/>
    </row>
    <row r="4769" spans="47:47" ht="12" customHeight="1">
      <c r="AU4769" s="45"/>
    </row>
    <row r="4770" spans="47:47" ht="12" customHeight="1">
      <c r="AU4770" s="45"/>
    </row>
    <row r="4771" spans="47:47" ht="12" customHeight="1">
      <c r="AU4771" s="45"/>
    </row>
    <row r="4772" spans="47:47" ht="12" customHeight="1">
      <c r="AU4772" s="45"/>
    </row>
    <row r="4773" spans="47:47" ht="12" customHeight="1">
      <c r="AU4773" s="45"/>
    </row>
    <row r="4774" spans="47:47" ht="12" customHeight="1">
      <c r="AU4774" s="45"/>
    </row>
    <row r="4775" spans="47:47" ht="12" customHeight="1">
      <c r="AU4775" s="45"/>
    </row>
    <row r="4776" spans="47:47" ht="12" customHeight="1">
      <c r="AU4776" s="45"/>
    </row>
    <row r="4777" spans="47:47" ht="12" customHeight="1">
      <c r="AU4777" s="45"/>
    </row>
    <row r="4778" spans="47:47" ht="12" customHeight="1">
      <c r="AU4778" s="45"/>
    </row>
    <row r="4779" spans="47:47" ht="12" customHeight="1">
      <c r="AU4779" s="45"/>
    </row>
    <row r="4780" spans="47:47" ht="12" customHeight="1">
      <c r="AU4780" s="45"/>
    </row>
    <row r="4781" spans="47:47" ht="12" customHeight="1">
      <c r="AU4781" s="45"/>
    </row>
    <row r="4782" spans="47:47" ht="12" customHeight="1">
      <c r="AU4782" s="45"/>
    </row>
    <row r="4783" spans="47:47" ht="12" customHeight="1">
      <c r="AU4783" s="45"/>
    </row>
    <row r="4784" spans="47:47" ht="12" customHeight="1">
      <c r="AU4784" s="45"/>
    </row>
    <row r="4785" spans="47:47" ht="12" customHeight="1">
      <c r="AU4785" s="45"/>
    </row>
    <row r="4786" spans="47:47" ht="12" customHeight="1">
      <c r="AU4786" s="45"/>
    </row>
    <row r="4787" spans="47:47" ht="12" customHeight="1">
      <c r="AU4787" s="45"/>
    </row>
    <row r="4788" spans="47:47" ht="12" customHeight="1">
      <c r="AU4788" s="45"/>
    </row>
    <row r="4789" spans="47:47" ht="12" customHeight="1">
      <c r="AU4789" s="45"/>
    </row>
    <row r="4790" spans="47:47" ht="12" customHeight="1">
      <c r="AU4790" s="45"/>
    </row>
    <row r="4791" spans="47:47" ht="12" customHeight="1">
      <c r="AU4791" s="45"/>
    </row>
    <row r="4792" spans="47:47" ht="12" customHeight="1">
      <c r="AU4792" s="45"/>
    </row>
    <row r="4793" spans="47:47" ht="12" customHeight="1">
      <c r="AU4793" s="45"/>
    </row>
    <row r="4794" spans="47:47" ht="12" customHeight="1">
      <c r="AU4794" s="45"/>
    </row>
    <row r="4795" spans="47:47" ht="12" customHeight="1">
      <c r="AU4795" s="45"/>
    </row>
    <row r="4796" spans="47:47" ht="12" customHeight="1">
      <c r="AU4796" s="45"/>
    </row>
    <row r="4797" spans="47:47" ht="12" customHeight="1">
      <c r="AU4797" s="45"/>
    </row>
    <row r="4798" spans="47:47" ht="12" customHeight="1">
      <c r="AU4798" s="45"/>
    </row>
    <row r="4799" spans="47:47" ht="12" customHeight="1">
      <c r="AU4799" s="45"/>
    </row>
    <row r="4800" spans="47:47" ht="12" customHeight="1">
      <c r="AU4800" s="45"/>
    </row>
    <row r="4801" spans="47:47" ht="12" customHeight="1">
      <c r="AU4801" s="45"/>
    </row>
    <row r="4802" spans="47:47" ht="12" customHeight="1">
      <c r="AU4802" s="45"/>
    </row>
    <row r="4803" spans="47:47" ht="12" customHeight="1">
      <c r="AU4803" s="45"/>
    </row>
    <row r="4804" spans="47:47" ht="12" customHeight="1">
      <c r="AU4804" s="45"/>
    </row>
    <row r="4805" spans="47:47" ht="12" customHeight="1">
      <c r="AU4805" s="45"/>
    </row>
    <row r="4806" spans="47:47" ht="12" customHeight="1">
      <c r="AU4806" s="45"/>
    </row>
    <row r="4807" spans="47:47" ht="12" customHeight="1">
      <c r="AU4807" s="45"/>
    </row>
    <row r="4808" spans="47:47" ht="12" customHeight="1">
      <c r="AU4808" s="45"/>
    </row>
    <row r="4809" spans="47:47" ht="12" customHeight="1">
      <c r="AU4809" s="45"/>
    </row>
    <row r="4810" spans="47:47" ht="12" customHeight="1">
      <c r="AU4810" s="45"/>
    </row>
    <row r="4811" spans="47:47" ht="12" customHeight="1">
      <c r="AU4811" s="45"/>
    </row>
    <row r="4812" spans="47:47" ht="12" customHeight="1">
      <c r="AU4812" s="45"/>
    </row>
    <row r="4813" spans="47:47" ht="12" customHeight="1">
      <c r="AU4813" s="45"/>
    </row>
    <row r="4814" spans="47:47" ht="12" customHeight="1">
      <c r="AU4814" s="45"/>
    </row>
    <row r="4815" spans="47:47" ht="12" customHeight="1">
      <c r="AU4815" s="45"/>
    </row>
    <row r="4816" spans="47:47" ht="12" customHeight="1">
      <c r="AU4816" s="45"/>
    </row>
    <row r="4817" spans="47:47" ht="12" customHeight="1">
      <c r="AU4817" s="45"/>
    </row>
    <row r="4818" spans="47:47" ht="12" customHeight="1">
      <c r="AU4818" s="45"/>
    </row>
    <row r="4819" spans="47:47" ht="12" customHeight="1">
      <c r="AU4819" s="45"/>
    </row>
    <row r="4820" spans="47:47" ht="12" customHeight="1">
      <c r="AU4820" s="45"/>
    </row>
    <row r="4821" spans="47:47" ht="12" customHeight="1">
      <c r="AU4821" s="45"/>
    </row>
    <row r="4822" spans="47:47" ht="12" customHeight="1">
      <c r="AU4822" s="45"/>
    </row>
    <row r="4823" spans="47:47" ht="12" customHeight="1">
      <c r="AU4823" s="45"/>
    </row>
    <row r="4824" spans="47:47" ht="12" customHeight="1">
      <c r="AU4824" s="45"/>
    </row>
    <row r="4825" spans="47:47" ht="12" customHeight="1">
      <c r="AU4825" s="45"/>
    </row>
    <row r="4826" spans="47:47" ht="12" customHeight="1">
      <c r="AU4826" s="45"/>
    </row>
    <row r="4827" spans="47:47" ht="12" customHeight="1">
      <c r="AU4827" s="45"/>
    </row>
    <row r="4828" spans="47:47" ht="12" customHeight="1">
      <c r="AU4828" s="45"/>
    </row>
    <row r="4829" spans="47:47" ht="12" customHeight="1">
      <c r="AU4829" s="45"/>
    </row>
    <row r="4830" spans="47:47" ht="12" customHeight="1">
      <c r="AU4830" s="45"/>
    </row>
    <row r="4831" spans="47:47" ht="12" customHeight="1">
      <c r="AU4831" s="45"/>
    </row>
    <row r="4832" spans="47:47" ht="12" customHeight="1">
      <c r="AU4832" s="45"/>
    </row>
    <row r="4833" spans="47:47" ht="12" customHeight="1">
      <c r="AU4833" s="45"/>
    </row>
    <row r="4834" spans="47:47" ht="12" customHeight="1">
      <c r="AU4834" s="45"/>
    </row>
    <row r="4835" spans="47:47" ht="12" customHeight="1">
      <c r="AU4835" s="45"/>
    </row>
    <row r="4836" spans="47:47" ht="12" customHeight="1">
      <c r="AU4836" s="45"/>
    </row>
    <row r="4837" spans="47:47" ht="12" customHeight="1">
      <c r="AU4837" s="45"/>
    </row>
    <row r="4838" spans="47:47" ht="12" customHeight="1">
      <c r="AU4838" s="45"/>
    </row>
    <row r="4839" spans="47:47" ht="12" customHeight="1">
      <c r="AU4839" s="45"/>
    </row>
    <row r="4840" spans="47:47" ht="12" customHeight="1">
      <c r="AU4840" s="45"/>
    </row>
    <row r="4841" spans="47:47" ht="12" customHeight="1">
      <c r="AU4841" s="45"/>
    </row>
    <row r="4842" spans="47:47" ht="12" customHeight="1">
      <c r="AU4842" s="45"/>
    </row>
    <row r="4843" spans="47:47" ht="12" customHeight="1">
      <c r="AU4843" s="45"/>
    </row>
    <row r="4844" spans="47:47" ht="12" customHeight="1">
      <c r="AU4844" s="45"/>
    </row>
    <row r="4845" spans="47:47" ht="12" customHeight="1">
      <c r="AU4845" s="45"/>
    </row>
    <row r="4846" spans="47:47" ht="12" customHeight="1">
      <c r="AU4846" s="45"/>
    </row>
    <row r="4847" spans="47:47" ht="12" customHeight="1">
      <c r="AU4847" s="45"/>
    </row>
    <row r="4848" spans="47:47" ht="12" customHeight="1">
      <c r="AU4848" s="45"/>
    </row>
    <row r="4849" spans="47:47" ht="12" customHeight="1">
      <c r="AU4849" s="45"/>
    </row>
    <row r="4850" spans="47:47" ht="12" customHeight="1">
      <c r="AU4850" s="45"/>
    </row>
    <row r="4851" spans="47:47" ht="12" customHeight="1">
      <c r="AU4851" s="45"/>
    </row>
    <row r="4852" spans="47:47" ht="12" customHeight="1">
      <c r="AU4852" s="45"/>
    </row>
    <row r="4853" spans="47:47" ht="12" customHeight="1">
      <c r="AU4853" s="45"/>
    </row>
    <row r="4854" spans="47:47" ht="12" customHeight="1">
      <c r="AU4854" s="45"/>
    </row>
    <row r="4855" spans="47:47" ht="12" customHeight="1">
      <c r="AU4855" s="45"/>
    </row>
    <row r="4856" spans="47:47" ht="12" customHeight="1">
      <c r="AU4856" s="45"/>
    </row>
    <row r="4857" spans="47:47" ht="12" customHeight="1">
      <c r="AU4857" s="45"/>
    </row>
    <row r="4858" spans="47:47" ht="12" customHeight="1">
      <c r="AU4858" s="45"/>
    </row>
    <row r="4859" spans="47:47" ht="12" customHeight="1">
      <c r="AU4859" s="45"/>
    </row>
    <row r="4860" spans="47:47" ht="12" customHeight="1">
      <c r="AU4860" s="45"/>
    </row>
    <row r="4861" spans="47:47" ht="12" customHeight="1">
      <c r="AU4861" s="45"/>
    </row>
    <row r="4862" spans="47:47" ht="12" customHeight="1">
      <c r="AU4862" s="45"/>
    </row>
    <row r="4863" spans="47:47" ht="12" customHeight="1">
      <c r="AU4863" s="45"/>
    </row>
    <row r="4864" spans="47:47" ht="12" customHeight="1">
      <c r="AU4864" s="45"/>
    </row>
    <row r="4865" spans="47:47" ht="12" customHeight="1">
      <c r="AU4865" s="45"/>
    </row>
    <row r="4866" spans="47:47" ht="12" customHeight="1">
      <c r="AU4866" s="45"/>
    </row>
    <row r="4867" spans="47:47" ht="12" customHeight="1">
      <c r="AU4867" s="45"/>
    </row>
    <row r="4868" spans="47:47" ht="12" customHeight="1">
      <c r="AU4868" s="45"/>
    </row>
    <row r="4869" spans="47:47" ht="12" customHeight="1">
      <c r="AU4869" s="45"/>
    </row>
    <row r="4870" spans="47:47" ht="12" customHeight="1">
      <c r="AU4870" s="45"/>
    </row>
    <row r="4871" spans="47:47" ht="12" customHeight="1">
      <c r="AU4871" s="45"/>
    </row>
    <row r="4872" spans="47:47" ht="12" customHeight="1">
      <c r="AU4872" s="45"/>
    </row>
    <row r="4873" spans="47:47" ht="12" customHeight="1">
      <c r="AU4873" s="45"/>
    </row>
    <row r="4874" spans="47:47" ht="12" customHeight="1">
      <c r="AU4874" s="45"/>
    </row>
    <row r="4875" spans="47:47" ht="12" customHeight="1">
      <c r="AU4875" s="45"/>
    </row>
    <row r="4876" spans="47:47" ht="12" customHeight="1">
      <c r="AU4876" s="45"/>
    </row>
    <row r="4877" spans="47:47" ht="12" customHeight="1">
      <c r="AU4877" s="45"/>
    </row>
    <row r="4878" spans="47:47" ht="12" customHeight="1">
      <c r="AU4878" s="45"/>
    </row>
    <row r="4879" spans="47:47" ht="12" customHeight="1">
      <c r="AU4879" s="45"/>
    </row>
    <row r="4880" spans="47:47" ht="12" customHeight="1">
      <c r="AU4880" s="45"/>
    </row>
    <row r="4881" spans="47:47" ht="12" customHeight="1">
      <c r="AU4881" s="45"/>
    </row>
    <row r="4882" spans="47:47" ht="12" customHeight="1">
      <c r="AU4882" s="45"/>
    </row>
    <row r="4883" spans="47:47" ht="12" customHeight="1">
      <c r="AU4883" s="45"/>
    </row>
    <row r="4884" spans="47:47" ht="12" customHeight="1">
      <c r="AU4884" s="45"/>
    </row>
    <row r="4885" spans="47:47" ht="12" customHeight="1">
      <c r="AU4885" s="45"/>
    </row>
    <row r="4886" spans="47:47" ht="12" customHeight="1">
      <c r="AU4886" s="45"/>
    </row>
    <row r="4887" spans="47:47" ht="12" customHeight="1">
      <c r="AU4887" s="45"/>
    </row>
    <row r="4888" spans="47:47" ht="12" customHeight="1">
      <c r="AU4888" s="45"/>
    </row>
    <row r="4889" spans="47:47" ht="12" customHeight="1">
      <c r="AU4889" s="45"/>
    </row>
    <row r="4890" spans="47:47" ht="12" customHeight="1">
      <c r="AU4890" s="45"/>
    </row>
    <row r="4891" spans="47:47" ht="12" customHeight="1">
      <c r="AU4891" s="45"/>
    </row>
    <row r="4892" spans="47:47" ht="12" customHeight="1">
      <c r="AU4892" s="45"/>
    </row>
    <row r="4893" spans="47:47" ht="12" customHeight="1">
      <c r="AU4893" s="45"/>
    </row>
    <row r="4894" spans="47:47" ht="12" customHeight="1">
      <c r="AU4894" s="45"/>
    </row>
    <row r="4895" spans="47:47" ht="12" customHeight="1">
      <c r="AU4895" s="45"/>
    </row>
    <row r="4896" spans="47:47" ht="12" customHeight="1">
      <c r="AU4896" s="45"/>
    </row>
    <row r="4897" spans="47:47" ht="12" customHeight="1">
      <c r="AU4897" s="45"/>
    </row>
    <row r="4898" spans="47:47" ht="12" customHeight="1">
      <c r="AU4898" s="45"/>
    </row>
    <row r="4899" spans="47:47" ht="12" customHeight="1">
      <c r="AU4899" s="45"/>
    </row>
    <row r="4900" spans="47:47" ht="12" customHeight="1">
      <c r="AU4900" s="45"/>
    </row>
    <row r="4901" spans="47:47" ht="12" customHeight="1">
      <c r="AU4901" s="45"/>
    </row>
    <row r="4902" spans="47:47" ht="12" customHeight="1">
      <c r="AU4902" s="45"/>
    </row>
    <row r="4903" spans="47:47" ht="12" customHeight="1">
      <c r="AU4903" s="45"/>
    </row>
    <row r="4904" spans="47:47" ht="12" customHeight="1">
      <c r="AU4904" s="45"/>
    </row>
    <row r="4905" spans="47:47" ht="12" customHeight="1">
      <c r="AU4905" s="45"/>
    </row>
    <row r="4906" spans="47:47" ht="12" customHeight="1">
      <c r="AU4906" s="45"/>
    </row>
    <row r="4907" spans="47:47" ht="12" customHeight="1">
      <c r="AU4907" s="45"/>
    </row>
    <row r="4908" spans="47:47" ht="12" customHeight="1">
      <c r="AU4908" s="45"/>
    </row>
    <row r="4909" spans="47:47" ht="12" customHeight="1">
      <c r="AU4909" s="45"/>
    </row>
    <row r="4910" spans="47:47" ht="12" customHeight="1">
      <c r="AU4910" s="45"/>
    </row>
    <row r="4911" spans="47:47" ht="12" customHeight="1">
      <c r="AU4911" s="45"/>
    </row>
    <row r="4912" spans="47:47" ht="12" customHeight="1">
      <c r="AU4912" s="45"/>
    </row>
    <row r="4913" spans="47:47" ht="12" customHeight="1">
      <c r="AU4913" s="45"/>
    </row>
    <row r="4914" spans="47:47" ht="12" customHeight="1">
      <c r="AU4914" s="45"/>
    </row>
    <row r="4915" spans="47:47" ht="12" customHeight="1">
      <c r="AU4915" s="45"/>
    </row>
    <row r="4916" spans="47:47" ht="12" customHeight="1">
      <c r="AU4916" s="45"/>
    </row>
    <row r="4917" spans="47:47" ht="12" customHeight="1">
      <c r="AU4917" s="45"/>
    </row>
    <row r="4918" spans="47:47" ht="12" customHeight="1">
      <c r="AU4918" s="45"/>
    </row>
    <row r="4919" spans="47:47" ht="12" customHeight="1">
      <c r="AU4919" s="45"/>
    </row>
    <row r="4920" spans="47:47" ht="12" customHeight="1">
      <c r="AU4920" s="45"/>
    </row>
    <row r="4921" spans="47:47" ht="12" customHeight="1">
      <c r="AU4921" s="45"/>
    </row>
    <row r="4922" spans="47:47" ht="12" customHeight="1">
      <c r="AU4922" s="45"/>
    </row>
    <row r="4923" spans="47:47" ht="12" customHeight="1">
      <c r="AU4923" s="45"/>
    </row>
    <row r="4924" spans="47:47" ht="12" customHeight="1">
      <c r="AU4924" s="45"/>
    </row>
    <row r="4925" spans="47:47" ht="12" customHeight="1">
      <c r="AU4925" s="45"/>
    </row>
    <row r="4926" spans="47:47" ht="12" customHeight="1">
      <c r="AU4926" s="45"/>
    </row>
    <row r="4927" spans="47:47" ht="12" customHeight="1">
      <c r="AU4927" s="45"/>
    </row>
    <row r="4928" spans="47:47" ht="12" customHeight="1">
      <c r="AU4928" s="45"/>
    </row>
    <row r="4929" spans="47:47" ht="12" customHeight="1">
      <c r="AU4929" s="45"/>
    </row>
    <row r="4930" spans="47:47" ht="12" customHeight="1">
      <c r="AU4930" s="45"/>
    </row>
    <row r="4931" spans="47:47" ht="12" customHeight="1">
      <c r="AU4931" s="45"/>
    </row>
    <row r="4932" spans="47:47" ht="12" customHeight="1">
      <c r="AU4932" s="45"/>
    </row>
    <row r="4933" spans="47:47" ht="12" customHeight="1">
      <c r="AU4933" s="45"/>
    </row>
    <row r="4934" spans="47:47" ht="12" customHeight="1">
      <c r="AU4934" s="45"/>
    </row>
    <row r="4935" spans="47:47" ht="12" customHeight="1">
      <c r="AU4935" s="45"/>
    </row>
    <row r="4936" spans="47:47" ht="12" customHeight="1">
      <c r="AU4936" s="45"/>
    </row>
    <row r="4937" spans="47:47" ht="12" customHeight="1">
      <c r="AU4937" s="45"/>
    </row>
    <row r="4938" spans="47:47" ht="12" customHeight="1">
      <c r="AU4938" s="45"/>
    </row>
    <row r="4939" spans="47:47" ht="12" customHeight="1">
      <c r="AU4939" s="45"/>
    </row>
    <row r="4940" spans="47:47" ht="12" customHeight="1">
      <c r="AU4940" s="45"/>
    </row>
    <row r="4941" spans="47:47" ht="12" customHeight="1">
      <c r="AU4941" s="45"/>
    </row>
    <row r="4942" spans="47:47" ht="12" customHeight="1">
      <c r="AU4942" s="45"/>
    </row>
    <row r="4943" spans="47:47" ht="12" customHeight="1">
      <c r="AU4943" s="45"/>
    </row>
    <row r="4944" spans="47:47" ht="12" customHeight="1">
      <c r="AU4944" s="45"/>
    </row>
    <row r="4945" spans="47:47" ht="12" customHeight="1">
      <c r="AU4945" s="45"/>
    </row>
    <row r="4946" spans="47:47" ht="12" customHeight="1">
      <c r="AU4946" s="45"/>
    </row>
    <row r="4947" spans="47:47" ht="12" customHeight="1">
      <c r="AU4947" s="45"/>
    </row>
    <row r="4948" spans="47:47" ht="12" customHeight="1">
      <c r="AU4948" s="45"/>
    </row>
    <row r="4949" spans="47:47" ht="12" customHeight="1">
      <c r="AU4949" s="45"/>
    </row>
    <row r="4950" spans="47:47" ht="12" customHeight="1">
      <c r="AU4950" s="45"/>
    </row>
    <row r="4951" spans="47:47" ht="12" customHeight="1">
      <c r="AU4951" s="45"/>
    </row>
    <row r="4952" spans="47:47" ht="12" customHeight="1">
      <c r="AU4952" s="45"/>
    </row>
    <row r="4953" spans="47:47" ht="12" customHeight="1">
      <c r="AU4953" s="45"/>
    </row>
    <row r="4954" spans="47:47" ht="12" customHeight="1">
      <c r="AU4954" s="45"/>
    </row>
    <row r="4955" spans="47:47" ht="12" customHeight="1">
      <c r="AU4955" s="45"/>
    </row>
    <row r="4956" spans="47:47" ht="12" customHeight="1">
      <c r="AU4956" s="45"/>
    </row>
    <row r="4957" spans="47:47" ht="12" customHeight="1">
      <c r="AU4957" s="45"/>
    </row>
    <row r="4958" spans="47:47" ht="12" customHeight="1">
      <c r="AU4958" s="45"/>
    </row>
    <row r="4959" spans="47:47" ht="12" customHeight="1">
      <c r="AU4959" s="45"/>
    </row>
    <row r="4960" spans="47:47" ht="12" customHeight="1">
      <c r="AU4960" s="45"/>
    </row>
    <row r="4961" spans="47:47" ht="12" customHeight="1">
      <c r="AU4961" s="45"/>
    </row>
    <row r="4962" spans="47:47" ht="12" customHeight="1">
      <c r="AU4962" s="45"/>
    </row>
    <row r="4963" spans="47:47" ht="12" customHeight="1">
      <c r="AU4963" s="45"/>
    </row>
    <row r="4964" spans="47:47" ht="12" customHeight="1">
      <c r="AU4964" s="45"/>
    </row>
    <row r="4965" spans="47:47" ht="12" customHeight="1">
      <c r="AU4965" s="45"/>
    </row>
    <row r="4966" spans="47:47" ht="12" customHeight="1">
      <c r="AU4966" s="45"/>
    </row>
    <row r="4967" spans="47:47" ht="12" customHeight="1">
      <c r="AU4967" s="45"/>
    </row>
    <row r="4968" spans="47:47" ht="12" customHeight="1">
      <c r="AU4968" s="45"/>
    </row>
    <row r="4969" spans="47:47" ht="12" customHeight="1">
      <c r="AU4969" s="45"/>
    </row>
    <row r="4970" spans="47:47" ht="12" customHeight="1">
      <c r="AU4970" s="45"/>
    </row>
    <row r="4971" spans="47:47" ht="12" customHeight="1">
      <c r="AU4971" s="45"/>
    </row>
    <row r="4972" spans="47:47" ht="12" customHeight="1">
      <c r="AU4972" s="45"/>
    </row>
    <row r="4973" spans="47:47" ht="12" customHeight="1">
      <c r="AU4973" s="45"/>
    </row>
    <row r="4974" spans="47:47" ht="12" customHeight="1">
      <c r="AU4974" s="45"/>
    </row>
    <row r="4975" spans="47:47" ht="12" customHeight="1">
      <c r="AU4975" s="45"/>
    </row>
    <row r="4976" spans="47:47" ht="12" customHeight="1">
      <c r="AU4976" s="45"/>
    </row>
    <row r="4977" spans="47:47" ht="12" customHeight="1">
      <c r="AU4977" s="45"/>
    </row>
    <row r="4978" spans="47:47" ht="12" customHeight="1">
      <c r="AU4978" s="45"/>
    </row>
    <row r="4979" spans="47:47" ht="12" customHeight="1">
      <c r="AU4979" s="45"/>
    </row>
    <row r="4980" spans="47:47" ht="12" customHeight="1">
      <c r="AU4980" s="45"/>
    </row>
    <row r="4981" spans="47:47" ht="12" customHeight="1">
      <c r="AU4981" s="45"/>
    </row>
    <row r="4982" spans="47:47" ht="12" customHeight="1">
      <c r="AU4982" s="45"/>
    </row>
    <row r="4983" spans="47:47" ht="12" customHeight="1">
      <c r="AU4983" s="45"/>
    </row>
    <row r="4984" spans="47:47" ht="12" customHeight="1">
      <c r="AU4984" s="45"/>
    </row>
    <row r="4985" spans="47:47" ht="12" customHeight="1">
      <c r="AU4985" s="45"/>
    </row>
    <row r="4986" spans="47:47" ht="12" customHeight="1">
      <c r="AU4986" s="45"/>
    </row>
    <row r="4987" spans="47:47" ht="12" customHeight="1">
      <c r="AU4987" s="45"/>
    </row>
    <row r="4988" spans="47:47" ht="12" customHeight="1">
      <c r="AU4988" s="45"/>
    </row>
    <row r="4989" spans="47:47" ht="12" customHeight="1">
      <c r="AU4989" s="45"/>
    </row>
    <row r="4990" spans="47:47" ht="12" customHeight="1">
      <c r="AU4990" s="45"/>
    </row>
    <row r="4991" spans="47:47" ht="12" customHeight="1">
      <c r="AU4991" s="45"/>
    </row>
    <row r="4992" spans="47:47" ht="12" customHeight="1">
      <c r="AU4992" s="45"/>
    </row>
    <row r="4993" spans="47:47" ht="12" customHeight="1">
      <c r="AU4993" s="45"/>
    </row>
    <row r="4994" spans="47:47" ht="12" customHeight="1">
      <c r="AU4994" s="45"/>
    </row>
    <row r="4995" spans="47:47" ht="12" customHeight="1">
      <c r="AU4995" s="45"/>
    </row>
    <row r="4996" spans="47:47" ht="12" customHeight="1">
      <c r="AU4996" s="45"/>
    </row>
    <row r="4997" spans="47:47" ht="12" customHeight="1">
      <c r="AU4997" s="45"/>
    </row>
    <row r="4998" spans="47:47" ht="12" customHeight="1">
      <c r="AU4998" s="45"/>
    </row>
    <row r="4999" spans="47:47" ht="12" customHeight="1">
      <c r="AU4999" s="45"/>
    </row>
    <row r="5000" spans="47:47" ht="12" customHeight="1">
      <c r="AU5000" s="45"/>
    </row>
    <row r="5001" spans="47:47" ht="12" customHeight="1">
      <c r="AU5001" s="45"/>
    </row>
    <row r="5002" spans="47:47" ht="12" customHeight="1">
      <c r="AU5002" s="45"/>
    </row>
    <row r="5003" spans="47:47" ht="12" customHeight="1">
      <c r="AU5003" s="45"/>
    </row>
    <row r="5004" spans="47:47" ht="12" customHeight="1">
      <c r="AU5004" s="45"/>
    </row>
    <row r="5005" spans="47:47" ht="12" customHeight="1">
      <c r="AU5005" s="45"/>
    </row>
    <row r="5006" spans="47:47" ht="12" customHeight="1">
      <c r="AU5006" s="45"/>
    </row>
    <row r="5007" spans="47:47" ht="12" customHeight="1">
      <c r="AU5007" s="45"/>
    </row>
    <row r="5008" spans="47:47" ht="12" customHeight="1">
      <c r="AU5008" s="45"/>
    </row>
    <row r="5009" spans="47:47" ht="12" customHeight="1">
      <c r="AU5009" s="45"/>
    </row>
    <row r="5010" spans="47:47" ht="12" customHeight="1">
      <c r="AU5010" s="45"/>
    </row>
    <row r="5011" spans="47:47" ht="12" customHeight="1">
      <c r="AU5011" s="45"/>
    </row>
    <row r="5012" spans="47:47" ht="12" customHeight="1">
      <c r="AU5012" s="45"/>
    </row>
    <row r="5013" spans="47:47" ht="12" customHeight="1">
      <c r="AU5013" s="45"/>
    </row>
    <row r="5014" spans="47:47" ht="12" customHeight="1">
      <c r="AU5014" s="45"/>
    </row>
    <row r="5015" spans="47:47" ht="12" customHeight="1">
      <c r="AU5015" s="45"/>
    </row>
    <row r="5016" spans="47:47" ht="12" customHeight="1">
      <c r="AU5016" s="45"/>
    </row>
    <row r="5017" spans="47:47" ht="12" customHeight="1">
      <c r="AU5017" s="45"/>
    </row>
    <row r="5018" spans="47:47" ht="12" customHeight="1">
      <c r="AU5018" s="45"/>
    </row>
    <row r="5019" spans="47:47" ht="12" customHeight="1">
      <c r="AU5019" s="45"/>
    </row>
    <row r="5020" spans="47:47" ht="12" customHeight="1">
      <c r="AU5020" s="45"/>
    </row>
    <row r="5021" spans="47:47" ht="12" customHeight="1">
      <c r="AU5021" s="45"/>
    </row>
    <row r="5022" spans="47:47" ht="12" customHeight="1">
      <c r="AU5022" s="45"/>
    </row>
    <row r="5023" spans="47:47" ht="12" customHeight="1">
      <c r="AU5023" s="45"/>
    </row>
    <row r="5024" spans="47:47" ht="12" customHeight="1">
      <c r="AU5024" s="45"/>
    </row>
    <row r="5025" spans="47:47" ht="12" customHeight="1">
      <c r="AU5025" s="45"/>
    </row>
    <row r="5026" spans="47:47" ht="12" customHeight="1">
      <c r="AU5026" s="45"/>
    </row>
    <row r="5027" spans="47:47" ht="12" customHeight="1">
      <c r="AU5027" s="45"/>
    </row>
    <row r="5028" spans="47:47" ht="12" customHeight="1">
      <c r="AU5028" s="45"/>
    </row>
    <row r="5029" spans="47:47" ht="12" customHeight="1">
      <c r="AU5029" s="45"/>
    </row>
    <row r="5030" spans="47:47" ht="12" customHeight="1">
      <c r="AU5030" s="45"/>
    </row>
    <row r="5031" spans="47:47" ht="12" customHeight="1">
      <c r="AU5031" s="45"/>
    </row>
    <row r="5032" spans="47:47" ht="12" customHeight="1">
      <c r="AU5032" s="45"/>
    </row>
    <row r="5033" spans="47:47" ht="12" customHeight="1">
      <c r="AU5033" s="45"/>
    </row>
    <row r="5034" spans="47:47" ht="12" customHeight="1">
      <c r="AU5034" s="45"/>
    </row>
    <row r="5035" spans="47:47" ht="12" customHeight="1">
      <c r="AU5035" s="45"/>
    </row>
    <row r="5036" spans="47:47" ht="12" customHeight="1">
      <c r="AU5036" s="45"/>
    </row>
    <row r="5037" spans="47:47" ht="12" customHeight="1">
      <c r="AU5037" s="45"/>
    </row>
    <row r="5038" spans="47:47" ht="12" customHeight="1">
      <c r="AU5038" s="45"/>
    </row>
    <row r="5039" spans="47:47" ht="12" customHeight="1">
      <c r="AU5039" s="45"/>
    </row>
    <row r="5040" spans="47:47" ht="12" customHeight="1">
      <c r="AU5040" s="45"/>
    </row>
    <row r="5041" spans="47:47" ht="12" customHeight="1">
      <c r="AU5041" s="45"/>
    </row>
    <row r="5042" spans="47:47" ht="12" customHeight="1">
      <c r="AU5042" s="45"/>
    </row>
    <row r="5043" spans="47:47" ht="12" customHeight="1">
      <c r="AU5043" s="45"/>
    </row>
    <row r="5044" spans="47:47" ht="12" customHeight="1">
      <c r="AU5044" s="45"/>
    </row>
    <row r="5045" spans="47:47" ht="12" customHeight="1">
      <c r="AU5045" s="45"/>
    </row>
    <row r="5046" spans="47:47" ht="12" customHeight="1">
      <c r="AU5046" s="45"/>
    </row>
    <row r="5047" spans="47:47" ht="12" customHeight="1">
      <c r="AU5047" s="45"/>
    </row>
    <row r="5048" spans="47:47" ht="12" customHeight="1">
      <c r="AU5048" s="45"/>
    </row>
    <row r="5049" spans="47:47" ht="12" customHeight="1">
      <c r="AU5049" s="45"/>
    </row>
    <row r="5050" spans="47:47" ht="12" customHeight="1">
      <c r="AU5050" s="45"/>
    </row>
    <row r="5051" spans="47:47" ht="12" customHeight="1">
      <c r="AU5051" s="45"/>
    </row>
    <row r="5052" spans="47:47" ht="12" customHeight="1">
      <c r="AU5052" s="45"/>
    </row>
    <row r="5053" spans="47:47" ht="12" customHeight="1">
      <c r="AU5053" s="45"/>
    </row>
    <row r="5054" spans="47:47" ht="12" customHeight="1">
      <c r="AU5054" s="45"/>
    </row>
    <row r="5055" spans="47:47" ht="12" customHeight="1">
      <c r="AU5055" s="45"/>
    </row>
    <row r="5056" spans="47:47" ht="12" customHeight="1">
      <c r="AU5056" s="45"/>
    </row>
    <row r="5057" spans="47:47" ht="12" customHeight="1">
      <c r="AU5057" s="45"/>
    </row>
    <row r="5058" spans="47:47" ht="12" customHeight="1">
      <c r="AU5058" s="45"/>
    </row>
    <row r="5059" spans="47:47" ht="12" customHeight="1">
      <c r="AU5059" s="45"/>
    </row>
    <row r="5060" spans="47:47" ht="12" customHeight="1">
      <c r="AU5060" s="45"/>
    </row>
    <row r="5061" spans="47:47" ht="12" customHeight="1">
      <c r="AU5061" s="45"/>
    </row>
    <row r="5062" spans="47:47" ht="12" customHeight="1">
      <c r="AU5062" s="45"/>
    </row>
    <row r="5063" spans="47:47" ht="12" customHeight="1">
      <c r="AU5063" s="45"/>
    </row>
    <row r="5064" spans="47:47" ht="12" customHeight="1">
      <c r="AU5064" s="45"/>
    </row>
    <row r="5065" spans="47:47" ht="12" customHeight="1">
      <c r="AU5065" s="45"/>
    </row>
    <row r="5066" spans="47:47" ht="12" customHeight="1">
      <c r="AU5066" s="45"/>
    </row>
    <row r="5067" spans="47:47" ht="12" customHeight="1">
      <c r="AU5067" s="45"/>
    </row>
    <row r="5068" spans="47:47" ht="12" customHeight="1">
      <c r="AU5068" s="45"/>
    </row>
    <row r="5069" spans="47:47" ht="12" customHeight="1">
      <c r="AU5069" s="45"/>
    </row>
    <row r="5070" spans="47:47" ht="12" customHeight="1">
      <c r="AU5070" s="45"/>
    </row>
    <row r="5071" spans="47:47" ht="12" customHeight="1">
      <c r="AU5071" s="45"/>
    </row>
    <row r="5072" spans="47:47" ht="12" customHeight="1">
      <c r="AU5072" s="45"/>
    </row>
    <row r="5073" spans="47:47" ht="12" customHeight="1">
      <c r="AU5073" s="45"/>
    </row>
    <row r="5074" spans="47:47" ht="12" customHeight="1">
      <c r="AU5074" s="45"/>
    </row>
    <row r="5075" spans="47:47" ht="12" customHeight="1">
      <c r="AU5075" s="45"/>
    </row>
    <row r="5076" spans="47:47" ht="12" customHeight="1">
      <c r="AU5076" s="45"/>
    </row>
    <row r="5077" spans="47:47" ht="12" customHeight="1">
      <c r="AU5077" s="45"/>
    </row>
    <row r="5078" spans="47:47" ht="12" customHeight="1">
      <c r="AU5078" s="45"/>
    </row>
    <row r="5079" spans="47:47" ht="12" customHeight="1">
      <c r="AU5079" s="45"/>
    </row>
    <row r="5080" spans="47:47" ht="12" customHeight="1">
      <c r="AU5080" s="45"/>
    </row>
    <row r="5081" spans="47:47" ht="12" customHeight="1">
      <c r="AU5081" s="45"/>
    </row>
    <row r="5082" spans="47:47" ht="12" customHeight="1">
      <c r="AU5082" s="45"/>
    </row>
    <row r="5083" spans="47:47" ht="12" customHeight="1">
      <c r="AU5083" s="45"/>
    </row>
    <row r="5084" spans="47:47" ht="12" customHeight="1">
      <c r="AU5084" s="45"/>
    </row>
    <row r="5085" spans="47:47" ht="12" customHeight="1">
      <c r="AU5085" s="45"/>
    </row>
    <row r="5086" spans="47:47" ht="12" customHeight="1">
      <c r="AU5086" s="45"/>
    </row>
    <row r="5087" spans="47:47" ht="12" customHeight="1">
      <c r="AU5087" s="45"/>
    </row>
    <row r="5088" spans="47:47" ht="12" customHeight="1">
      <c r="AU5088" s="45"/>
    </row>
    <row r="5089" spans="47:47" ht="12" customHeight="1">
      <c r="AU5089" s="45"/>
    </row>
    <row r="5090" spans="47:47" ht="12" customHeight="1">
      <c r="AU5090" s="45"/>
    </row>
    <row r="5091" spans="47:47" ht="12" customHeight="1">
      <c r="AU5091" s="45"/>
    </row>
    <row r="5092" spans="47:47" ht="12" customHeight="1">
      <c r="AU5092" s="45"/>
    </row>
    <row r="5093" spans="47:47" ht="12" customHeight="1">
      <c r="AU5093" s="45"/>
    </row>
    <row r="5094" spans="47:47" ht="12" customHeight="1">
      <c r="AU5094" s="45"/>
    </row>
    <row r="5095" spans="47:47" ht="12" customHeight="1">
      <c r="AU5095" s="45"/>
    </row>
    <row r="5096" spans="47:47" ht="12" customHeight="1">
      <c r="AU5096" s="45"/>
    </row>
    <row r="5097" spans="47:47" ht="12" customHeight="1">
      <c r="AU5097" s="45"/>
    </row>
    <row r="5098" spans="47:47" ht="12" customHeight="1">
      <c r="AU5098" s="45"/>
    </row>
    <row r="5099" spans="47:47" ht="12" customHeight="1">
      <c r="AU5099" s="45"/>
    </row>
    <row r="5100" spans="47:47" ht="12" customHeight="1">
      <c r="AU5100" s="45"/>
    </row>
    <row r="5101" spans="47:47" ht="12" customHeight="1">
      <c r="AU5101" s="45"/>
    </row>
    <row r="5102" spans="47:47" ht="12" customHeight="1">
      <c r="AU5102" s="45"/>
    </row>
    <row r="5103" spans="47:47" ht="12" customHeight="1">
      <c r="AU5103" s="45"/>
    </row>
    <row r="5104" spans="47:47" ht="12" customHeight="1">
      <c r="AU5104" s="45"/>
    </row>
    <row r="5105" spans="47:47" ht="12" customHeight="1">
      <c r="AU5105" s="45"/>
    </row>
    <row r="5106" spans="47:47" ht="12" customHeight="1">
      <c r="AU5106" s="45"/>
    </row>
    <row r="5107" spans="47:47" ht="12" customHeight="1">
      <c r="AU5107" s="45"/>
    </row>
    <row r="5108" spans="47:47" ht="12" customHeight="1">
      <c r="AU5108" s="45"/>
    </row>
    <row r="5109" spans="47:47" ht="12" customHeight="1">
      <c r="AU5109" s="45"/>
    </row>
    <row r="5110" spans="47:47" ht="12" customHeight="1">
      <c r="AU5110" s="45"/>
    </row>
    <row r="5111" spans="47:47" ht="12" customHeight="1">
      <c r="AU5111" s="45"/>
    </row>
    <row r="5112" spans="47:47" ht="12" customHeight="1">
      <c r="AU5112" s="45"/>
    </row>
    <row r="5113" spans="47:47" ht="12" customHeight="1">
      <c r="AU5113" s="45"/>
    </row>
    <row r="5114" spans="47:47" ht="12" customHeight="1">
      <c r="AU5114" s="45"/>
    </row>
    <row r="5115" spans="47:47" ht="12" customHeight="1">
      <c r="AU5115" s="45"/>
    </row>
    <row r="5116" spans="47:47" ht="12" customHeight="1">
      <c r="AU5116" s="45"/>
    </row>
    <row r="5117" spans="47:47" ht="12" customHeight="1">
      <c r="AU5117" s="45"/>
    </row>
    <row r="5118" spans="47:47" ht="12" customHeight="1">
      <c r="AU5118" s="45"/>
    </row>
    <row r="5119" spans="47:47" ht="12" customHeight="1">
      <c r="AU5119" s="45"/>
    </row>
    <row r="5120" spans="47:47" ht="12" customHeight="1">
      <c r="AU5120" s="45"/>
    </row>
    <row r="5121" spans="47:47" ht="12" customHeight="1">
      <c r="AU5121" s="45"/>
    </row>
    <row r="5122" spans="47:47" ht="12" customHeight="1">
      <c r="AU5122" s="45"/>
    </row>
    <row r="5123" spans="47:47" ht="12" customHeight="1">
      <c r="AU5123" s="45"/>
    </row>
    <row r="5124" spans="47:47" ht="12" customHeight="1">
      <c r="AU5124" s="45"/>
    </row>
    <row r="5125" spans="47:47" ht="12" customHeight="1">
      <c r="AU5125" s="45"/>
    </row>
    <row r="5126" spans="47:47" ht="12" customHeight="1">
      <c r="AU5126" s="45"/>
    </row>
    <row r="5127" spans="47:47" ht="12" customHeight="1">
      <c r="AU5127" s="45"/>
    </row>
    <row r="5128" spans="47:47" ht="12" customHeight="1">
      <c r="AU5128" s="45"/>
    </row>
    <row r="5129" spans="47:47" ht="12" customHeight="1">
      <c r="AU5129" s="45"/>
    </row>
    <row r="5130" spans="47:47" ht="12" customHeight="1">
      <c r="AU5130" s="45"/>
    </row>
    <row r="5131" spans="47:47" ht="12" customHeight="1">
      <c r="AU5131" s="45"/>
    </row>
    <row r="5132" spans="47:47" ht="12" customHeight="1">
      <c r="AU5132" s="45"/>
    </row>
    <row r="5133" spans="47:47" ht="12" customHeight="1">
      <c r="AU5133" s="45"/>
    </row>
    <row r="5134" spans="47:47" ht="12" customHeight="1">
      <c r="AU5134" s="45"/>
    </row>
    <row r="5135" spans="47:47" ht="12" customHeight="1">
      <c r="AU5135" s="45"/>
    </row>
    <row r="5136" spans="47:47" ht="12" customHeight="1">
      <c r="AU5136" s="45"/>
    </row>
    <row r="5137" spans="47:47" ht="12" customHeight="1">
      <c r="AU5137" s="45"/>
    </row>
    <row r="5138" spans="47:47" ht="12" customHeight="1">
      <c r="AU5138" s="45"/>
    </row>
    <row r="5139" spans="47:47" ht="12" customHeight="1">
      <c r="AU5139" s="45"/>
    </row>
    <row r="5140" spans="47:47" ht="12" customHeight="1">
      <c r="AU5140" s="45"/>
    </row>
    <row r="5141" spans="47:47" ht="12" customHeight="1">
      <c r="AU5141" s="45"/>
    </row>
    <row r="5142" spans="47:47" ht="12" customHeight="1">
      <c r="AU5142" s="45"/>
    </row>
    <row r="5143" spans="47:47" ht="12" customHeight="1">
      <c r="AU5143" s="45"/>
    </row>
    <row r="5144" spans="47:47" ht="12" customHeight="1">
      <c r="AU5144" s="45"/>
    </row>
    <row r="5145" spans="47:47" ht="12" customHeight="1">
      <c r="AU5145" s="45"/>
    </row>
    <row r="5146" spans="47:47" ht="12" customHeight="1">
      <c r="AU5146" s="45"/>
    </row>
    <row r="5147" spans="47:47" ht="12" customHeight="1">
      <c r="AU5147" s="45"/>
    </row>
    <row r="5148" spans="47:47" ht="12" customHeight="1">
      <c r="AU5148" s="45"/>
    </row>
    <row r="5149" spans="47:47" ht="12" customHeight="1">
      <c r="AU5149" s="45"/>
    </row>
    <row r="5150" spans="47:47" ht="12" customHeight="1">
      <c r="AU5150" s="45"/>
    </row>
    <row r="5151" spans="47:47" ht="12" customHeight="1">
      <c r="AU5151" s="45"/>
    </row>
    <row r="5152" spans="47:47" ht="12" customHeight="1">
      <c r="AU5152" s="45"/>
    </row>
    <row r="5153" spans="47:47" ht="12" customHeight="1">
      <c r="AU5153" s="45"/>
    </row>
    <row r="5154" spans="47:47" ht="12" customHeight="1">
      <c r="AU5154" s="45"/>
    </row>
    <row r="5155" spans="47:47" ht="12" customHeight="1">
      <c r="AU5155" s="45"/>
    </row>
    <row r="5156" spans="47:47" ht="12" customHeight="1">
      <c r="AU5156" s="45"/>
    </row>
    <row r="5157" spans="47:47" ht="12" customHeight="1">
      <c r="AU5157" s="45"/>
    </row>
    <row r="5158" spans="47:47" ht="12" customHeight="1">
      <c r="AU5158" s="45"/>
    </row>
    <row r="5159" spans="47:47" ht="12" customHeight="1">
      <c r="AU5159" s="45"/>
    </row>
    <row r="5160" spans="47:47" ht="12" customHeight="1">
      <c r="AU5160" s="45"/>
    </row>
    <row r="5161" spans="47:47" ht="12" customHeight="1">
      <c r="AU5161" s="45"/>
    </row>
    <row r="5162" spans="47:47" ht="12" customHeight="1">
      <c r="AU5162" s="45"/>
    </row>
    <row r="5163" spans="47:47" ht="12" customHeight="1">
      <c r="AU5163" s="45"/>
    </row>
    <row r="5164" spans="47:47" ht="12" customHeight="1">
      <c r="AU5164" s="45"/>
    </row>
    <row r="5165" spans="47:47" ht="12" customHeight="1">
      <c r="AU5165" s="45"/>
    </row>
    <row r="5166" spans="47:47" ht="12" customHeight="1">
      <c r="AU5166" s="45"/>
    </row>
    <row r="5167" spans="47:47" ht="12" customHeight="1">
      <c r="AU5167" s="45"/>
    </row>
    <row r="5168" spans="47:47" ht="12" customHeight="1">
      <c r="AU5168" s="45"/>
    </row>
    <row r="5169" spans="47:47" ht="12" customHeight="1">
      <c r="AU5169" s="45"/>
    </row>
    <row r="5170" spans="47:47" ht="12" customHeight="1">
      <c r="AU5170" s="45"/>
    </row>
    <row r="5171" spans="47:47" ht="12" customHeight="1">
      <c r="AU5171" s="45"/>
    </row>
    <row r="5172" spans="47:47" ht="12" customHeight="1">
      <c r="AU5172" s="45"/>
    </row>
    <row r="5173" spans="47:47" ht="12" customHeight="1">
      <c r="AU5173" s="45"/>
    </row>
    <row r="5174" spans="47:47" ht="12" customHeight="1">
      <c r="AU5174" s="45"/>
    </row>
    <row r="5175" spans="47:47" ht="12" customHeight="1">
      <c r="AU5175" s="45"/>
    </row>
    <row r="5176" spans="47:47" ht="12" customHeight="1">
      <c r="AU5176" s="45"/>
    </row>
    <row r="5177" spans="47:47" ht="12" customHeight="1">
      <c r="AU5177" s="45"/>
    </row>
    <row r="5178" spans="47:47" ht="12" customHeight="1">
      <c r="AU5178" s="45"/>
    </row>
    <row r="5179" spans="47:47" ht="12" customHeight="1">
      <c r="AU5179" s="45"/>
    </row>
    <row r="5180" spans="47:47" ht="12" customHeight="1">
      <c r="AU5180" s="45"/>
    </row>
    <row r="5181" spans="47:47" ht="12" customHeight="1">
      <c r="AU5181" s="45"/>
    </row>
    <row r="5182" spans="47:47" ht="12" customHeight="1">
      <c r="AU5182" s="45"/>
    </row>
    <row r="5183" spans="47:47" ht="12" customHeight="1">
      <c r="AU5183" s="45"/>
    </row>
    <row r="5184" spans="47:47" ht="12" customHeight="1">
      <c r="AU5184" s="45"/>
    </row>
    <row r="5185" spans="47:47" ht="12" customHeight="1">
      <c r="AU5185" s="45"/>
    </row>
    <row r="5186" spans="47:47" ht="12" customHeight="1">
      <c r="AU5186" s="45"/>
    </row>
    <row r="5187" spans="47:47" ht="12" customHeight="1">
      <c r="AU5187" s="45"/>
    </row>
    <row r="5188" spans="47:47" ht="12" customHeight="1">
      <c r="AU5188" s="45"/>
    </row>
    <row r="5189" spans="47:47" ht="12" customHeight="1">
      <c r="AU5189" s="45"/>
    </row>
    <row r="5190" spans="47:47" ht="12" customHeight="1">
      <c r="AU5190" s="45"/>
    </row>
    <row r="5191" spans="47:47" ht="12" customHeight="1">
      <c r="AU5191" s="45"/>
    </row>
    <row r="5192" spans="47:47" ht="12" customHeight="1">
      <c r="AU5192" s="45"/>
    </row>
    <row r="5193" spans="47:47" ht="12" customHeight="1">
      <c r="AU5193" s="45"/>
    </row>
    <row r="5194" spans="47:47" ht="12" customHeight="1">
      <c r="AU5194" s="45"/>
    </row>
    <row r="5195" spans="47:47" ht="12" customHeight="1">
      <c r="AU5195" s="45"/>
    </row>
    <row r="5196" spans="47:47" ht="12" customHeight="1">
      <c r="AU5196" s="45"/>
    </row>
    <row r="5197" spans="47:47" ht="12" customHeight="1">
      <c r="AU5197" s="45"/>
    </row>
    <row r="5198" spans="47:47" ht="12" customHeight="1">
      <c r="AU5198" s="45"/>
    </row>
    <row r="5199" spans="47:47" ht="12" customHeight="1">
      <c r="AU5199" s="45"/>
    </row>
    <row r="5200" spans="47:47" ht="12" customHeight="1">
      <c r="AU5200" s="45"/>
    </row>
    <row r="5201" spans="47:47" ht="12" customHeight="1">
      <c r="AU5201" s="45"/>
    </row>
    <row r="5202" spans="47:47" ht="12" customHeight="1">
      <c r="AU5202" s="45"/>
    </row>
    <row r="5203" spans="47:47" ht="12" customHeight="1">
      <c r="AU5203" s="45"/>
    </row>
    <row r="5204" spans="47:47" ht="12" customHeight="1">
      <c r="AU5204" s="45"/>
    </row>
    <row r="5205" spans="47:47" ht="12" customHeight="1">
      <c r="AU5205" s="45"/>
    </row>
    <row r="5206" spans="47:47" ht="12" customHeight="1">
      <c r="AU5206" s="45"/>
    </row>
    <row r="5207" spans="47:47" ht="12" customHeight="1">
      <c r="AU5207" s="45"/>
    </row>
    <row r="5208" spans="47:47" ht="12" customHeight="1">
      <c r="AU5208" s="45"/>
    </row>
    <row r="5209" spans="47:47" ht="12" customHeight="1">
      <c r="AU5209" s="45"/>
    </row>
    <row r="5210" spans="47:47" ht="12" customHeight="1">
      <c r="AU5210" s="45"/>
    </row>
    <row r="5211" spans="47:47" ht="12" customHeight="1">
      <c r="AU5211" s="45"/>
    </row>
    <row r="5212" spans="47:47" ht="12" customHeight="1">
      <c r="AU5212" s="45"/>
    </row>
    <row r="5213" spans="47:47" ht="12" customHeight="1">
      <c r="AU5213" s="45"/>
    </row>
    <row r="5214" spans="47:47" ht="12" customHeight="1">
      <c r="AU5214" s="45"/>
    </row>
    <row r="5215" spans="47:47" ht="12" customHeight="1">
      <c r="AU5215" s="45"/>
    </row>
    <row r="5216" spans="47:47" ht="12" customHeight="1">
      <c r="AU5216" s="45"/>
    </row>
    <row r="5217" spans="47:47" ht="12" customHeight="1">
      <c r="AU5217" s="45"/>
    </row>
    <row r="5218" spans="47:47" ht="12" customHeight="1">
      <c r="AU5218" s="45"/>
    </row>
    <row r="5219" spans="47:47" ht="12" customHeight="1">
      <c r="AU5219" s="45"/>
    </row>
    <row r="5220" spans="47:47" ht="12" customHeight="1">
      <c r="AU5220" s="45"/>
    </row>
    <row r="5221" spans="47:47" ht="12" customHeight="1">
      <c r="AU5221" s="45"/>
    </row>
    <row r="5222" spans="47:47" ht="12" customHeight="1">
      <c r="AU5222" s="45"/>
    </row>
    <row r="5223" spans="47:47" ht="12" customHeight="1">
      <c r="AU5223" s="45"/>
    </row>
    <row r="5224" spans="47:47" ht="12" customHeight="1">
      <c r="AU5224" s="45"/>
    </row>
    <row r="5225" spans="47:47" ht="12" customHeight="1">
      <c r="AU5225" s="45"/>
    </row>
    <row r="5226" spans="47:47" ht="12" customHeight="1">
      <c r="AU5226" s="45"/>
    </row>
    <row r="5227" spans="47:47" ht="12" customHeight="1">
      <c r="AU5227" s="45"/>
    </row>
    <row r="5228" spans="47:47" ht="12" customHeight="1">
      <c r="AU5228" s="45"/>
    </row>
    <row r="5229" spans="47:47" ht="12" customHeight="1">
      <c r="AU5229" s="45"/>
    </row>
    <row r="5230" spans="47:47" ht="12" customHeight="1">
      <c r="AU5230" s="45"/>
    </row>
    <row r="5231" spans="47:47" ht="12" customHeight="1">
      <c r="AU5231" s="45"/>
    </row>
    <row r="5232" spans="47:47" ht="12" customHeight="1">
      <c r="AU5232" s="45"/>
    </row>
    <row r="5233" spans="47:47" ht="12" customHeight="1">
      <c r="AU5233" s="45"/>
    </row>
    <row r="5234" spans="47:47" ht="12" customHeight="1">
      <c r="AU5234" s="45"/>
    </row>
    <row r="5235" spans="47:47" ht="12" customHeight="1">
      <c r="AU5235" s="45"/>
    </row>
    <row r="5236" spans="47:47" ht="12" customHeight="1">
      <c r="AU5236" s="45"/>
    </row>
    <row r="5237" spans="47:47" ht="12" customHeight="1">
      <c r="AU5237" s="45"/>
    </row>
    <row r="5238" spans="47:47" ht="12" customHeight="1">
      <c r="AU5238" s="45"/>
    </row>
    <row r="5239" spans="47:47" ht="12" customHeight="1">
      <c r="AU5239" s="45"/>
    </row>
    <row r="5240" spans="47:47" ht="12" customHeight="1">
      <c r="AU5240" s="45"/>
    </row>
    <row r="5241" spans="47:47" ht="12" customHeight="1">
      <c r="AU5241" s="45"/>
    </row>
    <row r="5242" spans="47:47" ht="12" customHeight="1">
      <c r="AU5242" s="45"/>
    </row>
    <row r="5243" spans="47:47" ht="12" customHeight="1">
      <c r="AU5243" s="45"/>
    </row>
    <row r="5244" spans="47:47" ht="12" customHeight="1">
      <c r="AU5244" s="45"/>
    </row>
    <row r="5245" spans="47:47" ht="12" customHeight="1">
      <c r="AU5245" s="45"/>
    </row>
    <row r="5246" spans="47:47" ht="12" customHeight="1">
      <c r="AU5246" s="45"/>
    </row>
    <row r="5247" spans="47:47" ht="12" customHeight="1">
      <c r="AU5247" s="45"/>
    </row>
    <row r="5248" spans="47:47" ht="12" customHeight="1">
      <c r="AU5248" s="45"/>
    </row>
    <row r="5249" spans="47:47" ht="12" customHeight="1">
      <c r="AU5249" s="45"/>
    </row>
    <row r="5250" spans="47:47" ht="12" customHeight="1">
      <c r="AU5250" s="45"/>
    </row>
    <row r="5251" spans="47:47" ht="12" customHeight="1">
      <c r="AU5251" s="45"/>
    </row>
    <row r="5252" spans="47:47" ht="12" customHeight="1">
      <c r="AU5252" s="45"/>
    </row>
    <row r="5253" spans="47:47" ht="12" customHeight="1">
      <c r="AU5253" s="45"/>
    </row>
    <row r="5254" spans="47:47" ht="12" customHeight="1">
      <c r="AU5254" s="45"/>
    </row>
    <row r="5255" spans="47:47" ht="12" customHeight="1">
      <c r="AU5255" s="45"/>
    </row>
    <row r="5256" spans="47:47" ht="12" customHeight="1">
      <c r="AU5256" s="45"/>
    </row>
    <row r="5257" spans="47:47" ht="12" customHeight="1">
      <c r="AU5257" s="45"/>
    </row>
    <row r="5258" spans="47:47" ht="12" customHeight="1">
      <c r="AU5258" s="45"/>
    </row>
    <row r="5259" spans="47:47" ht="12" customHeight="1">
      <c r="AU5259" s="45"/>
    </row>
    <row r="5260" spans="47:47" ht="12" customHeight="1">
      <c r="AU5260" s="45"/>
    </row>
    <row r="5261" spans="47:47" ht="12" customHeight="1">
      <c r="AU5261" s="45"/>
    </row>
    <row r="5262" spans="47:47" ht="12" customHeight="1">
      <c r="AU5262" s="45"/>
    </row>
    <row r="5263" spans="47:47" ht="12" customHeight="1">
      <c r="AU5263" s="45"/>
    </row>
    <row r="5264" spans="47:47" ht="12" customHeight="1">
      <c r="AU5264" s="45"/>
    </row>
    <row r="5265" spans="47:47" ht="12" customHeight="1">
      <c r="AU5265" s="45"/>
    </row>
    <row r="5266" spans="47:47" ht="12" customHeight="1">
      <c r="AU5266" s="45"/>
    </row>
    <row r="5267" spans="47:47" ht="12" customHeight="1">
      <c r="AU5267" s="45"/>
    </row>
    <row r="5268" spans="47:47" ht="12" customHeight="1">
      <c r="AU5268" s="45"/>
    </row>
    <row r="5269" spans="47:47" ht="12" customHeight="1">
      <c r="AU5269" s="45"/>
    </row>
    <row r="5270" spans="47:47" ht="12" customHeight="1">
      <c r="AU5270" s="45"/>
    </row>
    <row r="5271" spans="47:47" ht="12" customHeight="1">
      <c r="AU5271" s="45"/>
    </row>
    <row r="5272" spans="47:47" ht="12" customHeight="1">
      <c r="AU5272" s="45"/>
    </row>
    <row r="5273" spans="47:47" ht="12" customHeight="1">
      <c r="AU5273" s="45"/>
    </row>
    <row r="5274" spans="47:47" ht="12" customHeight="1">
      <c r="AU5274" s="45"/>
    </row>
    <row r="5275" spans="47:47" ht="12" customHeight="1">
      <c r="AU5275" s="45"/>
    </row>
    <row r="5276" spans="47:47" ht="12" customHeight="1">
      <c r="AU5276" s="45"/>
    </row>
    <row r="5277" spans="47:47" ht="12" customHeight="1">
      <c r="AU5277" s="45"/>
    </row>
    <row r="5278" spans="47:47" ht="12" customHeight="1">
      <c r="AU5278" s="45"/>
    </row>
    <row r="5279" spans="47:47" ht="12" customHeight="1">
      <c r="AU5279" s="45"/>
    </row>
    <row r="5280" spans="47:47" ht="12" customHeight="1">
      <c r="AU5280" s="45"/>
    </row>
    <row r="5281" spans="47:47" ht="12" customHeight="1">
      <c r="AU5281" s="45"/>
    </row>
    <row r="5282" spans="47:47" ht="12" customHeight="1">
      <c r="AU5282" s="45"/>
    </row>
    <row r="5283" spans="47:47" ht="12" customHeight="1">
      <c r="AU5283" s="45"/>
    </row>
    <row r="5284" spans="47:47" ht="12" customHeight="1">
      <c r="AU5284" s="45"/>
    </row>
    <row r="5285" spans="47:47" ht="12" customHeight="1">
      <c r="AU5285" s="45"/>
    </row>
    <row r="5286" spans="47:47" ht="12" customHeight="1">
      <c r="AU5286" s="45"/>
    </row>
    <row r="5287" spans="47:47" ht="12" customHeight="1">
      <c r="AU5287" s="45"/>
    </row>
    <row r="5288" spans="47:47" ht="12" customHeight="1">
      <c r="AU5288" s="45"/>
    </row>
    <row r="5289" spans="47:47" ht="12" customHeight="1">
      <c r="AU5289" s="45"/>
    </row>
    <row r="5290" spans="47:47" ht="12" customHeight="1">
      <c r="AU5290" s="45"/>
    </row>
    <row r="5291" spans="47:47" ht="12" customHeight="1">
      <c r="AU5291" s="45"/>
    </row>
    <row r="5292" spans="47:47" ht="12" customHeight="1">
      <c r="AU5292" s="45"/>
    </row>
    <row r="5293" spans="47:47" ht="12" customHeight="1">
      <c r="AU5293" s="45"/>
    </row>
    <row r="5294" spans="47:47" ht="12" customHeight="1">
      <c r="AU5294" s="45"/>
    </row>
    <row r="5295" spans="47:47" ht="12" customHeight="1">
      <c r="AU5295" s="45"/>
    </row>
    <row r="5296" spans="47:47" ht="12" customHeight="1">
      <c r="AU5296" s="45"/>
    </row>
    <row r="5297" spans="47:47" ht="12" customHeight="1">
      <c r="AU5297" s="45"/>
    </row>
    <row r="5298" spans="47:47" ht="12" customHeight="1">
      <c r="AU5298" s="45"/>
    </row>
    <row r="5299" spans="47:47" ht="12" customHeight="1">
      <c r="AU5299" s="45"/>
    </row>
    <row r="5300" spans="47:47" ht="12" customHeight="1">
      <c r="AU5300" s="45"/>
    </row>
    <row r="5301" spans="47:47" ht="12" customHeight="1">
      <c r="AU5301" s="45"/>
    </row>
    <row r="5302" spans="47:47" ht="12" customHeight="1">
      <c r="AU5302" s="45"/>
    </row>
    <row r="5303" spans="47:47" ht="12" customHeight="1">
      <c r="AU5303" s="45"/>
    </row>
    <row r="5304" spans="47:47" ht="12" customHeight="1">
      <c r="AU5304" s="45"/>
    </row>
    <row r="5305" spans="47:47" ht="12" customHeight="1">
      <c r="AU5305" s="45"/>
    </row>
    <row r="5306" spans="47:47" ht="12" customHeight="1">
      <c r="AU5306" s="45"/>
    </row>
    <row r="5307" spans="47:47" ht="12" customHeight="1">
      <c r="AU5307" s="45"/>
    </row>
    <row r="5308" spans="47:47" ht="12" customHeight="1">
      <c r="AU5308" s="45"/>
    </row>
    <row r="5309" spans="47:47" ht="12" customHeight="1">
      <c r="AU5309" s="45"/>
    </row>
    <row r="5310" spans="47:47" ht="12" customHeight="1">
      <c r="AU5310" s="45"/>
    </row>
    <row r="5311" spans="47:47" ht="12" customHeight="1">
      <c r="AU5311" s="45"/>
    </row>
    <row r="5312" spans="47:47" ht="12" customHeight="1">
      <c r="AU5312" s="45"/>
    </row>
    <row r="5313" spans="47:47" ht="12" customHeight="1">
      <c r="AU5313" s="45"/>
    </row>
    <row r="5314" spans="47:47" ht="12" customHeight="1">
      <c r="AU5314" s="45"/>
    </row>
    <row r="5315" spans="47:47" ht="12" customHeight="1">
      <c r="AU5315" s="45"/>
    </row>
    <row r="5316" spans="47:47" ht="12" customHeight="1">
      <c r="AU5316" s="45"/>
    </row>
    <row r="5317" spans="47:47" ht="12" customHeight="1">
      <c r="AU5317" s="45"/>
    </row>
    <row r="5318" spans="47:47" ht="12" customHeight="1">
      <c r="AU5318" s="45"/>
    </row>
    <row r="5319" spans="47:47" ht="12" customHeight="1">
      <c r="AU5319" s="45"/>
    </row>
    <row r="5320" spans="47:47" ht="12" customHeight="1">
      <c r="AU5320" s="45"/>
    </row>
    <row r="5321" spans="47:47" ht="12" customHeight="1">
      <c r="AU5321" s="45"/>
    </row>
    <row r="5322" spans="47:47" ht="12" customHeight="1">
      <c r="AU5322" s="45"/>
    </row>
    <row r="5323" spans="47:47" ht="12" customHeight="1">
      <c r="AU5323" s="45"/>
    </row>
    <row r="5324" spans="47:47" ht="12" customHeight="1">
      <c r="AU5324" s="45"/>
    </row>
    <row r="5325" spans="47:47" ht="12" customHeight="1">
      <c r="AU5325" s="45"/>
    </row>
    <row r="5326" spans="47:47" ht="12" customHeight="1">
      <c r="AU5326" s="45"/>
    </row>
    <row r="5327" spans="47:47" ht="12" customHeight="1">
      <c r="AU5327" s="45"/>
    </row>
    <row r="5328" spans="47:47" ht="12" customHeight="1">
      <c r="AU5328" s="45"/>
    </row>
    <row r="5329" spans="47:47" ht="12" customHeight="1">
      <c r="AU5329" s="45"/>
    </row>
    <row r="5330" spans="47:47" ht="12" customHeight="1">
      <c r="AU5330" s="45"/>
    </row>
    <row r="5331" spans="47:47" ht="12" customHeight="1">
      <c r="AU5331" s="45"/>
    </row>
    <row r="5332" spans="47:47" ht="12" customHeight="1">
      <c r="AU5332" s="45"/>
    </row>
    <row r="5333" spans="47:47" ht="12" customHeight="1">
      <c r="AU5333" s="45"/>
    </row>
    <row r="5334" spans="47:47" ht="12" customHeight="1">
      <c r="AU5334" s="45"/>
    </row>
    <row r="5335" spans="47:47" ht="12" customHeight="1">
      <c r="AU5335" s="45"/>
    </row>
    <row r="5336" spans="47:47" ht="12" customHeight="1">
      <c r="AU5336" s="45"/>
    </row>
    <row r="5337" spans="47:47" ht="12" customHeight="1">
      <c r="AU5337" s="45"/>
    </row>
    <row r="5338" spans="47:47" ht="12" customHeight="1">
      <c r="AU5338" s="45"/>
    </row>
    <row r="5339" spans="47:47" ht="12" customHeight="1">
      <c r="AU5339" s="45"/>
    </row>
    <row r="5340" spans="47:47" ht="12" customHeight="1">
      <c r="AU5340" s="45"/>
    </row>
    <row r="5341" spans="47:47" ht="12" customHeight="1">
      <c r="AU5341" s="45"/>
    </row>
    <row r="5342" spans="47:47" ht="12" customHeight="1">
      <c r="AU5342" s="45"/>
    </row>
    <row r="5343" spans="47:47" ht="12" customHeight="1">
      <c r="AU5343" s="45"/>
    </row>
    <row r="5344" spans="47:47" ht="12" customHeight="1">
      <c r="AU5344" s="45"/>
    </row>
    <row r="5345" spans="47:47" ht="12" customHeight="1">
      <c r="AU5345" s="45"/>
    </row>
    <row r="5346" spans="47:47" ht="12" customHeight="1">
      <c r="AU5346" s="45"/>
    </row>
    <row r="5347" spans="47:47" ht="12" customHeight="1">
      <c r="AU5347" s="45"/>
    </row>
    <row r="5348" spans="47:47" ht="12" customHeight="1">
      <c r="AU5348" s="45"/>
    </row>
    <row r="5349" spans="47:47" ht="12" customHeight="1">
      <c r="AU5349" s="45"/>
    </row>
    <row r="5350" spans="47:47" ht="12" customHeight="1">
      <c r="AU5350" s="45"/>
    </row>
    <row r="5351" spans="47:47" ht="12" customHeight="1">
      <c r="AU5351" s="45"/>
    </row>
    <row r="5352" spans="47:47" ht="12" customHeight="1">
      <c r="AU5352" s="45"/>
    </row>
    <row r="5353" spans="47:47" ht="12" customHeight="1">
      <c r="AU5353" s="45"/>
    </row>
    <row r="5354" spans="47:47" ht="12" customHeight="1">
      <c r="AU5354" s="45"/>
    </row>
    <row r="5355" spans="47:47" ht="12" customHeight="1">
      <c r="AU5355" s="45"/>
    </row>
    <row r="5356" spans="47:47" ht="12" customHeight="1">
      <c r="AU5356" s="45"/>
    </row>
    <row r="5357" spans="47:47" ht="12" customHeight="1">
      <c r="AU5357" s="45"/>
    </row>
    <row r="5358" spans="47:47" ht="12" customHeight="1">
      <c r="AU5358" s="45"/>
    </row>
    <row r="5359" spans="47:47" ht="12" customHeight="1">
      <c r="AU5359" s="45"/>
    </row>
    <row r="5360" spans="47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  <row r="6865" spans="47:47" ht="12" customHeight="1">
      <c r="AU6865" s="45"/>
    </row>
    <row r="6866" spans="47:47" ht="12" customHeight="1">
      <c r="AU6866" s="45"/>
    </row>
  </sheetData>
  <autoFilter ref="A1:AU70" xr:uid="{9931A248-8A11-4D8E-BACD-A0C0D59E4D18}">
    <filterColumn colId="16">
      <filters>
        <filter val="1. Aceitou o programa"/>
      </filters>
    </filterColumn>
    <filterColumn colId="17">
      <filters>
        <dateGroupItem year="2026" month="6" day="16" dateTimeGrouping="day"/>
      </filters>
    </filterColumn>
  </autoFilter>
  <conditionalFormatting sqref="A1:A567">
    <cfRule type="containsText" dxfId="26" priority="4" operator="containsText" text="Sim">
      <formula>NOT(ISERROR(SEARCH("Sim",A1)))</formula>
    </cfRule>
  </conditionalFormatting>
  <conditionalFormatting sqref="E1">
    <cfRule type="duplicateValues" dxfId="25" priority="6"/>
  </conditionalFormatting>
  <conditionalFormatting sqref="E568:E1048576">
    <cfRule type="duplicateValues" dxfId="24" priority="139"/>
  </conditionalFormatting>
  <conditionalFormatting sqref="E1:F1">
    <cfRule type="duplicateValues" dxfId="23" priority="8"/>
    <cfRule type="duplicateValues" dxfId="22" priority="9"/>
    <cfRule type="duplicateValues" dxfId="21" priority="10"/>
  </conditionalFormatting>
  <conditionalFormatting sqref="E1:F1048576">
    <cfRule type="duplicateValues" dxfId="20" priority="1"/>
  </conditionalFormatting>
  <conditionalFormatting sqref="E2:F61">
    <cfRule type="duplicateValues" dxfId="19" priority="19"/>
  </conditionalFormatting>
  <conditionalFormatting sqref="F1">
    <cfRule type="duplicateValues" dxfId="18" priority="5"/>
    <cfRule type="duplicateValues" dxfId="17" priority="7"/>
  </conditionalFormatting>
  <conditionalFormatting sqref="F2:F61">
    <cfRule type="duplicateValues" dxfId="16" priority="18"/>
  </conditionalFormatting>
  <conditionalFormatting sqref="F24:F394">
    <cfRule type="duplicateValues" dxfId="15" priority="149"/>
  </conditionalFormatting>
  <conditionalFormatting sqref="F395:F494">
    <cfRule type="duplicateValues" dxfId="14" priority="20"/>
    <cfRule type="duplicateValues" dxfId="13" priority="21"/>
  </conditionalFormatting>
  <conditionalFormatting sqref="F495:F567">
    <cfRule type="duplicateValues" dxfId="12" priority="22"/>
  </conditionalFormatting>
  <conditionalFormatting sqref="F568:F1048576">
    <cfRule type="duplicateValues" dxfId="11" priority="142"/>
    <cfRule type="duplicateValues" dxfId="10" priority="143"/>
  </conditionalFormatting>
  <conditionalFormatting sqref="J1:J1048576">
    <cfRule type="containsText" dxfId="9" priority="2" operator="containsText" text="M">
      <formula>NOT(ISERROR(SEARCH("M",J1)))</formula>
    </cfRule>
    <cfRule type="containsText" dxfId="8" priority="3" operator="containsText" text="F">
      <formula>NOT(ISERROR(SEARCH("F",J1)))</formula>
    </cfRule>
  </conditionalFormatting>
  <conditionalFormatting sqref="K24:K394">
    <cfRule type="containsText" dxfId="7" priority="17" operator="containsText" text="RJ">
      <formula>NOT(ISERROR(SEARCH("RJ",K24)))</formula>
    </cfRule>
  </conditionalFormatting>
  <conditionalFormatting sqref="AJ2:AJ1048576">
    <cfRule type="containsText" dxfId="6" priority="11" operator="containsText" text="Pendente">
      <formula>NOT(ISERROR(SEARCH("Pendente",AJ2)))</formula>
    </cfRule>
    <cfRule type="containsText" dxfId="5" priority="12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AF2:AF1048576 AG14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AG2:AG13 AG15:AG1048576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38" activePane="bottomLeft" state="frozen"/>
      <selection pane="bottomLeft" activeCell="U40" sqref="S14:U4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212" t="s">
        <v>37</v>
      </c>
      <c r="C2" s="81" t="s">
        <v>64</v>
      </c>
    </row>
    <row r="3" spans="1:31">
      <c r="B3" s="212" t="s">
        <v>2</v>
      </c>
      <c r="C3" s="81"/>
      <c r="F3" s="40"/>
    </row>
    <row r="4" spans="1:31">
      <c r="B4" s="212" t="s">
        <v>298</v>
      </c>
      <c r="C4" s="81" t="s">
        <v>299</v>
      </c>
      <c r="F4" s="40"/>
    </row>
    <row r="5" spans="1:31">
      <c r="F5" s="40"/>
    </row>
    <row r="6" spans="1:31">
      <c r="F6" s="40"/>
    </row>
    <row r="7" spans="1:31">
      <c r="B7" s="213" t="s">
        <v>38</v>
      </c>
      <c r="C7" s="82">
        <v>46143</v>
      </c>
      <c r="D7" t="s">
        <v>300</v>
      </c>
    </row>
    <row r="9" spans="1:31">
      <c r="B9" s="214" t="s">
        <v>301</v>
      </c>
      <c r="C9" s="78">
        <v>46023</v>
      </c>
    </row>
    <row r="10" spans="1:31">
      <c r="B10" s="214" t="s">
        <v>302</v>
      </c>
      <c r="C10" s="78">
        <v>46165</v>
      </c>
    </row>
    <row r="12" spans="1:31" s="220" customFormat="1">
      <c r="A12" s="218"/>
      <c r="B12" s="219" t="s">
        <v>303</v>
      </c>
      <c r="C12" s="218"/>
      <c r="D12" s="218"/>
      <c r="E12" s="218"/>
      <c r="F12" s="218"/>
      <c r="G12" s="218"/>
      <c r="H12" s="218"/>
      <c r="I12" s="218"/>
      <c r="J12" s="218"/>
      <c r="K12" s="218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</row>
    <row r="14" spans="1:31">
      <c r="B14" s="239" t="s">
        <v>16</v>
      </c>
      <c r="C14" s="177" t="s">
        <v>39</v>
      </c>
      <c r="D14" s="177"/>
      <c r="E14" s="177"/>
      <c r="F14" s="177"/>
      <c r="G14" s="177"/>
      <c r="H14" s="177" t="s">
        <v>304</v>
      </c>
      <c r="I14" s="177"/>
      <c r="K14" s="239" t="s">
        <v>305</v>
      </c>
      <c r="L14" s="177" t="s">
        <v>39</v>
      </c>
      <c r="M14" s="177"/>
      <c r="N14" s="177"/>
      <c r="O14" s="177"/>
      <c r="P14" s="177"/>
      <c r="Q14" s="177"/>
      <c r="S14" s="77" t="s">
        <v>16</v>
      </c>
      <c r="T14" s="77" t="s">
        <v>306</v>
      </c>
      <c r="U14" s="77" t="s">
        <v>307</v>
      </c>
      <c r="W14" s="187" t="s">
        <v>305</v>
      </c>
      <c r="X14" s="187"/>
      <c r="Y14" s="187"/>
    </row>
    <row r="15" spans="1:31">
      <c r="B15" s="239"/>
      <c r="C15" s="37">
        <v>1</v>
      </c>
      <c r="D15" s="177">
        <v>2</v>
      </c>
      <c r="E15" s="177">
        <v>3</v>
      </c>
      <c r="F15" s="177">
        <v>4</v>
      </c>
      <c r="G15" s="177">
        <v>5</v>
      </c>
      <c r="H15" s="177" t="s">
        <v>306</v>
      </c>
      <c r="I15" s="177" t="s">
        <v>307</v>
      </c>
      <c r="K15" s="239"/>
      <c r="L15" s="178">
        <v>1</v>
      </c>
      <c r="M15" s="178">
        <v>2</v>
      </c>
      <c r="N15" s="178">
        <v>3</v>
      </c>
      <c r="O15" s="178">
        <v>4</v>
      </c>
      <c r="P15" s="178">
        <v>5</v>
      </c>
      <c r="Q15" s="177" t="s">
        <v>304</v>
      </c>
      <c r="S15" s="194" t="s">
        <v>57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40</v>
      </c>
      <c r="U15" s="80">
        <f t="shared" ref="U15:U40" si="0">IFERROR(T15/$T$40,0)</f>
        <v>0.66666666666666663</v>
      </c>
      <c r="W15" s="188" t="s">
        <v>308</v>
      </c>
      <c r="X15" s="188"/>
      <c r="Y15" s="189">
        <f>IFERROR(T15/T40,0)</f>
        <v>0.66666666666666663</v>
      </c>
    </row>
    <row r="16" spans="1:31">
      <c r="B16" s="195" t="s">
        <v>57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3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4">
        <f>SUM(C16:G16)</f>
        <v>4</v>
      </c>
      <c r="I16" s="49">
        <f t="shared" ref="I16:I41" si="1">+IFERROR(H16/$H$41,0)</f>
        <v>0.8</v>
      </c>
      <c r="K16" s="36" t="s">
        <v>299</v>
      </c>
      <c r="L16" s="36">
        <f t="shared" ref="L16:Q16" si="2">+C41</f>
        <v>0</v>
      </c>
      <c r="M16" s="36">
        <f t="shared" si="2"/>
        <v>3</v>
      </c>
      <c r="N16" s="36">
        <f t="shared" si="2"/>
        <v>0</v>
      </c>
      <c r="O16" s="36">
        <f t="shared" si="2"/>
        <v>2</v>
      </c>
      <c r="P16" s="36">
        <f t="shared" si="2"/>
        <v>0</v>
      </c>
      <c r="Q16" s="44">
        <f t="shared" si="2"/>
        <v>5</v>
      </c>
      <c r="S16" s="207" t="s">
        <v>309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4">
        <f t="shared" si="0"/>
        <v>0</v>
      </c>
      <c r="W16" s="209" t="s">
        <v>310</v>
      </c>
      <c r="X16" s="209"/>
      <c r="Y16" s="211">
        <f>IFERROR(SUMIFS(Consolidado!AQ:AQ,Consolidado!$AL:$AL,IF(ISBLANK($C$2),"&lt;&gt;",$C$2),Consolidado!$B:$B,"&lt;="&amp;Análise!$C$10,Consolidado!$B:$B,"&gt;="&amp;Análise!$C$9,Consolidado!$C:$C,IF(ISBLANK($C$3),"&lt;&gt;",$C$3))/T15,0)</f>
        <v>29.574999999999999</v>
      </c>
    </row>
    <row r="17" spans="2:25">
      <c r="B17" s="196" t="s">
        <v>309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6" t="s">
        <v>57</v>
      </c>
      <c r="L17" s="38">
        <f t="shared" ref="L17:Q17" si="4">+C16</f>
        <v>0</v>
      </c>
      <c r="M17" s="38">
        <f t="shared" si="4"/>
        <v>3</v>
      </c>
      <c r="N17" s="38">
        <f t="shared" si="4"/>
        <v>0</v>
      </c>
      <c r="O17" s="38">
        <f t="shared" si="4"/>
        <v>1</v>
      </c>
      <c r="P17" s="38">
        <f t="shared" si="4"/>
        <v>0</v>
      </c>
      <c r="Q17" s="39">
        <f t="shared" si="4"/>
        <v>4</v>
      </c>
      <c r="S17" s="194" t="s">
        <v>311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8" t="s">
        <v>312</v>
      </c>
      <c r="X17" s="188"/>
      <c r="Y17" s="190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21.214285714285715</v>
      </c>
    </row>
    <row r="18" spans="2:25">
      <c r="B18" s="195" t="s">
        <v>311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5" t="s">
        <v>308</v>
      </c>
      <c r="L18" s="41" t="str">
        <f t="shared" ref="L18:Q18" si="5">IFERROR(L17/L16,"")</f>
        <v/>
      </c>
      <c r="M18" s="41">
        <f t="shared" si="5"/>
        <v>1</v>
      </c>
      <c r="N18" s="41" t="str">
        <f t="shared" si="5"/>
        <v/>
      </c>
      <c r="O18" s="41">
        <f t="shared" si="5"/>
        <v>0.5</v>
      </c>
      <c r="P18" s="41" t="str">
        <f t="shared" si="5"/>
        <v/>
      </c>
      <c r="Q18" s="49">
        <f t="shared" si="5"/>
        <v>0.8</v>
      </c>
      <c r="S18" s="207" t="s">
        <v>313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4">
        <f t="shared" si="0"/>
        <v>0</v>
      </c>
      <c r="W18" s="209" t="s">
        <v>314</v>
      </c>
      <c r="X18" s="209"/>
      <c r="Y18" s="21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20.792483660130529</v>
      </c>
    </row>
    <row r="19" spans="2:25">
      <c r="B19" s="196" t="s">
        <v>313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6" t="s">
        <v>310</v>
      </c>
      <c r="L19" s="179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9">
        <f>IFERROR(SUMIFS(Consolidado!$AQ:$AQ,Consolidado!$AN:$AN,Análise!M15,Consolidado!$AM:$AM,Análise!$C$7,Consolidado!$AL:$AL,IF(ISBLANK($C$2),"&lt;&gt;",$C$2),Consolidado!$C:$C,IF(ISBLANK($C$3),"&lt;&gt;",$C$3))/M$17,0)</f>
        <v>22.666666666666668</v>
      </c>
      <c r="N19" s="179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9">
        <f>IFERROR(SUMIFS(Consolidado!$AQ:$AQ,Consolidado!$AN:$AN,Análise!O15,Consolidado!$AM:$AM,Análise!$C$7,Consolidado!$AL:$AL,IF(ISBLANK($C$2),"&lt;&gt;",$C$2),Consolidado!$C:$C,IF(ISBLANK($C$3),"&lt;&gt;",$C$3))/O$17,0)</f>
        <v>15</v>
      </c>
      <c r="P19" s="179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82">
        <f>IFERROR(SUMIFS(Consolidado!AQ:AQ,Consolidado!$AM:$AM,Análise!$C$7,Consolidado!$AL:$AL,IF(ISBLANK($C$2),"&lt;&gt;",$C$2),Consolidado!$C:$C,IF(ISBLANK($C$3),"&lt;&gt;",$C$3))/$Q17,0)</f>
        <v>20.75</v>
      </c>
      <c r="S19" s="194" t="s">
        <v>68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6</v>
      </c>
      <c r="U19" s="80">
        <f t="shared" si="0"/>
        <v>0.1</v>
      </c>
      <c r="W19" s="188" t="s">
        <v>315</v>
      </c>
      <c r="X19" s="188"/>
      <c r="Y19" s="190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95" t="s">
        <v>68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5" t="s">
        <v>312</v>
      </c>
      <c r="L20" s="180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80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10</v>
      </c>
      <c r="N20" s="180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80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80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83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9</v>
      </c>
      <c r="S20" s="207" t="s">
        <v>316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4">
        <f t="shared" si="0"/>
        <v>0</v>
      </c>
      <c r="W20" s="209" t="s">
        <v>317</v>
      </c>
      <c r="X20" s="209"/>
      <c r="Y20" s="210">
        <f>IFERROR((T15+T37)/T40,"")</f>
        <v>0.68333333333333335</v>
      </c>
    </row>
    <row r="21" spans="2:25">
      <c r="B21" s="196" t="s">
        <v>316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6" t="s">
        <v>314</v>
      </c>
      <c r="L21" s="179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9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79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9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9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2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94" t="s">
        <v>318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95" t="s">
        <v>318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7" t="s">
        <v>319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4">
        <f t="shared" si="0"/>
        <v>0</v>
      </c>
      <c r="W22" s="77" t="s">
        <v>320</v>
      </c>
      <c r="X22" s="77" t="s">
        <v>306</v>
      </c>
      <c r="Y22" s="77" t="s">
        <v>307</v>
      </c>
    </row>
    <row r="23" spans="2:25">
      <c r="B23" s="196" t="s">
        <v>319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4" t="s">
        <v>134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5</v>
      </c>
      <c r="U23" s="80">
        <f t="shared" si="0"/>
        <v>8.3333333333333329E-2</v>
      </c>
      <c r="W23" s="186" t="s">
        <v>84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19</v>
      </c>
      <c r="Y23" s="80">
        <f>IFERROR(X23/SUM($X$23:$X$24),"")</f>
        <v>0.47499999999999998</v>
      </c>
    </row>
    <row r="24" spans="2:25">
      <c r="B24" s="195" t="s">
        <v>134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9" t="s">
        <v>305</v>
      </c>
      <c r="L24" s="177" t="s">
        <v>39</v>
      </c>
      <c r="M24" s="177"/>
      <c r="N24" s="177"/>
      <c r="O24" s="177"/>
      <c r="P24" s="177"/>
      <c r="Q24" s="177"/>
      <c r="S24" s="207" t="s">
        <v>321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4">
        <f t="shared" si="0"/>
        <v>0</v>
      </c>
      <c r="W24" s="208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21</v>
      </c>
      <c r="Y24" s="184">
        <f>IFERROR(X24/SUM($X$23:$X$24),"")</f>
        <v>0.52500000000000002</v>
      </c>
    </row>
    <row r="25" spans="2:25">
      <c r="B25" s="196" t="s">
        <v>321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9"/>
      <c r="L25" s="178">
        <v>1</v>
      </c>
      <c r="M25" s="178">
        <v>2</v>
      </c>
      <c r="N25" s="178">
        <v>3</v>
      </c>
      <c r="O25" s="178">
        <v>4</v>
      </c>
      <c r="P25" s="178">
        <v>5</v>
      </c>
      <c r="Q25" s="177" t="s">
        <v>304</v>
      </c>
      <c r="S25" s="194" t="s">
        <v>322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95" t="s">
        <v>322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315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1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207" t="s">
        <v>323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4">
        <f t="shared" si="0"/>
        <v>0</v>
      </c>
    </row>
    <row r="27" spans="2:25">
      <c r="B27" s="196" t="s">
        <v>323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4" t="s">
        <v>324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95" t="s">
        <v>324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7" t="s">
        <v>325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84">
        <f t="shared" si="0"/>
        <v>0</v>
      </c>
    </row>
    <row r="29" spans="2:25">
      <c r="B29" s="196" t="s">
        <v>325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39" t="s">
        <v>305</v>
      </c>
      <c r="L29" s="177" t="s">
        <v>39</v>
      </c>
      <c r="M29" s="177"/>
      <c r="N29" s="177"/>
      <c r="O29" s="177"/>
      <c r="P29" s="177"/>
      <c r="Q29" s="177"/>
      <c r="S29" s="194" t="s">
        <v>326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95" t="s">
        <v>326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9"/>
      <c r="L30" s="178">
        <v>1</v>
      </c>
      <c r="M30" s="178">
        <v>2</v>
      </c>
      <c r="N30" s="178">
        <v>3</v>
      </c>
      <c r="O30" s="178">
        <v>4</v>
      </c>
      <c r="P30" s="178">
        <v>5</v>
      </c>
      <c r="Q30" s="177" t="s">
        <v>304</v>
      </c>
      <c r="S30" s="207" t="s">
        <v>327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4">
        <f t="shared" si="0"/>
        <v>0</v>
      </c>
    </row>
    <row r="31" spans="2:25">
      <c r="B31" s="196" t="s">
        <v>327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317</v>
      </c>
      <c r="L31" s="184" t="str">
        <f t="shared" ref="L31:Q31" si="6">IFERROR((C16+C38)/C41,"")</f>
        <v/>
      </c>
      <c r="M31" s="184">
        <f t="shared" si="6"/>
        <v>1</v>
      </c>
      <c r="N31" s="184" t="str">
        <f t="shared" si="6"/>
        <v/>
      </c>
      <c r="O31" s="184">
        <f t="shared" si="6"/>
        <v>1</v>
      </c>
      <c r="P31" s="184" t="str">
        <f t="shared" si="6"/>
        <v/>
      </c>
      <c r="Q31" s="185">
        <f t="shared" si="6"/>
        <v>1</v>
      </c>
      <c r="S31" s="194" t="s">
        <v>328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95" t="s">
        <v>328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207" t="s">
        <v>329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4">
        <f t="shared" si="0"/>
        <v>0</v>
      </c>
    </row>
    <row r="33" spans="1:31">
      <c r="B33" s="196" t="s">
        <v>329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4" t="s">
        <v>330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95" t="s">
        <v>330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320</v>
      </c>
      <c r="L34" s="37" t="s">
        <v>306</v>
      </c>
      <c r="M34" s="177" t="s">
        <v>307</v>
      </c>
      <c r="S34" s="207" t="s">
        <v>331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4">
        <f t="shared" si="0"/>
        <v>0</v>
      </c>
    </row>
    <row r="35" spans="1:31">
      <c r="B35" s="196" t="s">
        <v>331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84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1</v>
      </c>
      <c r="M35" s="41">
        <f>IFERROR(L35/SUM($L$35:$L$36),"")</f>
        <v>0.25</v>
      </c>
      <c r="S35" s="194" t="s">
        <v>332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95" t="s">
        <v>332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3</v>
      </c>
      <c r="M36" s="42">
        <f>IFERROR(L36/SUM($L$35:$L$36),"")</f>
        <v>0.75</v>
      </c>
      <c r="S36" s="207" t="s">
        <v>118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8</v>
      </c>
      <c r="U36" s="184">
        <f t="shared" si="0"/>
        <v>0.13333333333333333</v>
      </c>
    </row>
    <row r="37" spans="1:31">
      <c r="B37" s="196" t="s">
        <v>118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4" t="s">
        <v>268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80">
        <f t="shared" si="0"/>
        <v>1.6666666666666666E-2</v>
      </c>
    </row>
    <row r="38" spans="1:31">
      <c r="B38" s="195" t="s">
        <v>268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0</v>
      </c>
      <c r="H38" s="44">
        <f t="shared" si="3"/>
        <v>1</v>
      </c>
      <c r="I38" s="49">
        <f t="shared" si="1"/>
        <v>0.2</v>
      </c>
      <c r="S38" s="207" t="s">
        <v>333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4">
        <f t="shared" si="0"/>
        <v>0</v>
      </c>
    </row>
    <row r="39" spans="1:31">
      <c r="B39" s="196" t="s">
        <v>333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4" t="s">
        <v>334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95" t="s">
        <v>334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8" t="s">
        <v>299</v>
      </c>
      <c r="T40" s="39">
        <f>SUM(T15:T39)</f>
        <v>60</v>
      </c>
      <c r="U40" s="185">
        <f t="shared" si="0"/>
        <v>1</v>
      </c>
    </row>
    <row r="41" spans="1:31">
      <c r="B41" s="39" t="s">
        <v>299</v>
      </c>
      <c r="C41" s="39">
        <f t="shared" ref="C41:H41" si="7">SUM(C16:C40)</f>
        <v>0</v>
      </c>
      <c r="D41" s="39">
        <f t="shared" si="7"/>
        <v>3</v>
      </c>
      <c r="E41" s="39">
        <f t="shared" si="7"/>
        <v>0</v>
      </c>
      <c r="F41" s="39">
        <f t="shared" si="7"/>
        <v>2</v>
      </c>
      <c r="G41" s="39">
        <f t="shared" si="7"/>
        <v>0</v>
      </c>
      <c r="H41" s="39">
        <f t="shared" si="7"/>
        <v>5</v>
      </c>
      <c r="I41" s="43">
        <f t="shared" si="1"/>
        <v>1</v>
      </c>
    </row>
    <row r="43" spans="1:31" s="220" customFormat="1">
      <c r="A43" s="218"/>
      <c r="B43" s="219" t="s">
        <v>335</v>
      </c>
      <c r="C43" s="218"/>
      <c r="D43" s="218"/>
      <c r="E43" s="218"/>
      <c r="F43" s="218"/>
      <c r="G43" s="218"/>
      <c r="H43" s="218"/>
      <c r="I43" s="218"/>
      <c r="J43" s="218"/>
      <c r="K43" s="218"/>
      <c r="L43" s="218"/>
      <c r="M43" s="218"/>
      <c r="N43" s="218"/>
      <c r="O43" s="218"/>
      <c r="P43" s="218"/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</row>
    <row r="45" spans="1:31">
      <c r="B45" s="239" t="s">
        <v>16</v>
      </c>
      <c r="C45" s="177" t="s">
        <v>39</v>
      </c>
      <c r="D45" s="177"/>
      <c r="E45" s="177"/>
      <c r="F45" s="177"/>
      <c r="G45" s="177"/>
      <c r="H45" s="240" t="s">
        <v>304</v>
      </c>
    </row>
    <row r="46" spans="1:31">
      <c r="B46" s="239"/>
      <c r="C46" s="37">
        <v>1</v>
      </c>
      <c r="D46" s="177">
        <v>2</v>
      </c>
      <c r="E46" s="177">
        <v>3</v>
      </c>
      <c r="F46" s="177">
        <v>4</v>
      </c>
      <c r="G46" s="177">
        <v>5</v>
      </c>
      <c r="H46" s="241"/>
    </row>
    <row r="47" spans="1:31">
      <c r="B47" s="195" t="s">
        <v>57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4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0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</v>
      </c>
      <c r="H47" s="44">
        <f>SUM(C47:G47)</f>
        <v>7</v>
      </c>
    </row>
    <row r="49" spans="1:31">
      <c r="B49" s="77" t="s">
        <v>16</v>
      </c>
      <c r="C49" s="77" t="s">
        <v>336</v>
      </c>
    </row>
    <row r="50" spans="1:31">
      <c r="B50" s="194" t="s">
        <v>57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34</v>
      </c>
    </row>
    <row r="52" spans="1:31" s="220" customFormat="1">
      <c r="A52" s="218"/>
      <c r="B52" s="219" t="s">
        <v>337</v>
      </c>
      <c r="C52" s="218"/>
      <c r="D52" s="218"/>
      <c r="E52" s="218"/>
      <c r="F52" s="218"/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  <c r="AD52" s="218"/>
      <c r="AE52" s="218"/>
    </row>
    <row r="54" spans="1:31">
      <c r="B54" s="235" t="s">
        <v>338</v>
      </c>
      <c r="C54" s="177" t="s">
        <v>39</v>
      </c>
      <c r="D54" s="177"/>
      <c r="E54" s="177"/>
      <c r="F54" s="177"/>
      <c r="G54" s="177"/>
      <c r="H54" s="177"/>
      <c r="K54" s="236" t="s">
        <v>338</v>
      </c>
      <c r="L54" s="237" t="s">
        <v>336</v>
      </c>
    </row>
    <row r="55" spans="1:31">
      <c r="B55" s="235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299</v>
      </c>
      <c r="K55" s="236"/>
      <c r="L55" s="238"/>
    </row>
    <row r="56" spans="1:31">
      <c r="B56" s="47" t="s">
        <v>339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5" t="s">
        <v>339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340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340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341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5" t="s">
        <v>341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81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81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0" spans="1:31">
      <c r="B60" s="47" t="s">
        <v>194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205" t="s">
        <v>194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3</v>
      </c>
    </row>
    <row r="61" spans="1:31">
      <c r="B61" s="48" t="s">
        <v>342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342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299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205" t="s">
        <v>299</v>
      </c>
      <c r="L62" s="206">
        <f>SUM(L56:L61)</f>
        <v>9</v>
      </c>
    </row>
    <row r="64" spans="1:31">
      <c r="B64" s="235" t="s">
        <v>343</v>
      </c>
      <c r="C64" s="177" t="s">
        <v>39</v>
      </c>
      <c r="D64" s="177"/>
      <c r="E64" s="177"/>
      <c r="F64" s="177"/>
      <c r="G64" s="177"/>
      <c r="H64" s="177"/>
      <c r="K64" s="236" t="s">
        <v>343</v>
      </c>
      <c r="L64" s="237" t="s">
        <v>336</v>
      </c>
    </row>
    <row r="65" spans="1:31">
      <c r="B65" s="235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299</v>
      </c>
      <c r="K65" s="236"/>
      <c r="L65" s="238"/>
    </row>
    <row r="66" spans="1:31">
      <c r="B66" s="47" t="s">
        <v>339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205" t="s">
        <v>339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8" t="s">
        <v>340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340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7" t="s">
        <v>344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205" t="s">
        <v>344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20" customFormat="1">
      <c r="A70" s="218"/>
      <c r="B70" s="219" t="s">
        <v>345</v>
      </c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  <c r="AE70" s="218"/>
    </row>
    <row r="72" spans="1:31">
      <c r="B72" s="35" t="s">
        <v>346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304</v>
      </c>
      <c r="K72" s="76" t="s">
        <v>346</v>
      </c>
      <c r="L72" s="215" t="s">
        <v>336</v>
      </c>
    </row>
    <row r="73" spans="1:31">
      <c r="B73" s="47" t="s">
        <v>347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205" t="s">
        <v>347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106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0</v>
      </c>
      <c r="K74" s="48" t="s">
        <v>106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4</v>
      </c>
    </row>
    <row r="75" spans="1:31">
      <c r="B75" s="47" t="s">
        <v>348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5" t="s">
        <v>348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299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0</v>
      </c>
      <c r="H76" s="39">
        <f t="shared" si="10"/>
        <v>0</v>
      </c>
      <c r="K76" s="48" t="s">
        <v>299</v>
      </c>
      <c r="L76" s="39">
        <f>SUM(L73:L75)</f>
        <v>4</v>
      </c>
    </row>
    <row r="78" spans="1:31">
      <c r="B78" s="35" t="s">
        <v>349</v>
      </c>
      <c r="C78" s="46" t="s">
        <v>304</v>
      </c>
      <c r="K78" s="76" t="s">
        <v>349</v>
      </c>
      <c r="L78" s="215" t="s">
        <v>336</v>
      </c>
    </row>
    <row r="79" spans="1:31">
      <c r="B79" s="47" t="s">
        <v>347</v>
      </c>
      <c r="C79" s="49" t="str">
        <f>IFERROR(H73/$H$76,"")</f>
        <v/>
      </c>
      <c r="K79" s="205" t="s">
        <v>347</v>
      </c>
      <c r="L79" s="216">
        <f>IFERROR(L73/$L$76,"")</f>
        <v>0</v>
      </c>
    </row>
    <row r="80" spans="1:31">
      <c r="B80" s="48" t="s">
        <v>106</v>
      </c>
      <c r="C80" s="50" t="str">
        <f>IFERROR(H74/$H$76,"")</f>
        <v/>
      </c>
      <c r="K80" s="48" t="s">
        <v>106</v>
      </c>
      <c r="L80" s="50">
        <f>IFERROR(L74/$L$76,"")</f>
        <v>1</v>
      </c>
    </row>
    <row r="81" spans="1:31">
      <c r="B81" s="47" t="s">
        <v>348</v>
      </c>
      <c r="C81" s="51" t="str">
        <f>IFERROR(H75/$H$76,"")</f>
        <v/>
      </c>
      <c r="K81" s="205" t="s">
        <v>348</v>
      </c>
      <c r="L81" s="217">
        <f>IFERROR(L75/$L$76,"")</f>
        <v>0</v>
      </c>
    </row>
    <row r="83" spans="1:31" s="220" customFormat="1">
      <c r="A83" s="218"/>
      <c r="B83" s="219" t="s">
        <v>350</v>
      </c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</row>
    <row r="85" spans="1:31">
      <c r="B85" s="35" t="s">
        <v>351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304</v>
      </c>
      <c r="K85" s="76" t="s">
        <v>351</v>
      </c>
      <c r="L85" s="215" t="s">
        <v>336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3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1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4">
        <f>SUM(C86:G86)</f>
        <v>4</v>
      </c>
      <c r="K86" s="20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34</v>
      </c>
    </row>
    <row r="87" spans="1:31">
      <c r="B87" s="48" t="s">
        <v>352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352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353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5" t="s">
        <v>353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299</v>
      </c>
      <c r="C89" s="39">
        <f>SUM(C86:C88)</f>
        <v>0</v>
      </c>
      <c r="D89" s="39">
        <f t="shared" ref="D89:H89" si="12">SUM(D86:D88)</f>
        <v>3</v>
      </c>
      <c r="E89" s="39">
        <f t="shared" si="12"/>
        <v>0</v>
      </c>
      <c r="F89" s="39">
        <f t="shared" si="12"/>
        <v>1</v>
      </c>
      <c r="G89" s="39">
        <f t="shared" si="12"/>
        <v>0</v>
      </c>
      <c r="H89" s="39">
        <f t="shared" si="12"/>
        <v>4</v>
      </c>
      <c r="K89" s="48" t="s">
        <v>299</v>
      </c>
      <c r="L89" s="39">
        <f>SUM(L86:L88)</f>
        <v>34</v>
      </c>
    </row>
    <row r="91" spans="1:31">
      <c r="B91" s="35" t="s">
        <v>354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304</v>
      </c>
      <c r="K91" s="76" t="s">
        <v>354</v>
      </c>
      <c r="L91" s="215" t="s">
        <v>336</v>
      </c>
    </row>
    <row r="92" spans="1:31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0</v>
      </c>
      <c r="K92" s="205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22</v>
      </c>
    </row>
    <row r="93" spans="1:31">
      <c r="B93" s="48" t="s">
        <v>355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355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356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205" t="s">
        <v>356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176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3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3</v>
      </c>
      <c r="K95" s="48" t="s">
        <v>176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7</v>
      </c>
    </row>
    <row r="96" spans="1:31">
      <c r="B96" s="47" t="s">
        <v>353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205" t="s">
        <v>353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357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357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299</v>
      </c>
      <c r="C98" s="44">
        <f t="shared" ref="C98:H98" si="14">SUM(C92:C97)</f>
        <v>0</v>
      </c>
      <c r="D98" s="44">
        <f t="shared" si="14"/>
        <v>3</v>
      </c>
      <c r="E98" s="44">
        <f t="shared" si="14"/>
        <v>0</v>
      </c>
      <c r="F98" s="44">
        <f t="shared" si="14"/>
        <v>0</v>
      </c>
      <c r="G98" s="44">
        <f t="shared" si="14"/>
        <v>0</v>
      </c>
      <c r="H98" s="44">
        <f t="shared" si="14"/>
        <v>3</v>
      </c>
      <c r="K98" s="205" t="s">
        <v>299</v>
      </c>
      <c r="L98" s="206">
        <f>SUM(L92:L97)</f>
        <v>29</v>
      </c>
    </row>
    <row r="100" spans="1:31" s="220" customFormat="1">
      <c r="A100" s="218"/>
      <c r="B100" s="219" t="s">
        <v>358</v>
      </c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</row>
    <row r="101" spans="1:31">
      <c r="E101" s="40"/>
      <c r="F101" s="40"/>
    </row>
    <row r="102" spans="1:31">
      <c r="B102" s="235" t="s">
        <v>3</v>
      </c>
      <c r="C102" s="177" t="s">
        <v>39</v>
      </c>
      <c r="D102" s="177"/>
      <c r="E102" s="177"/>
      <c r="F102" s="177"/>
      <c r="G102" s="177"/>
      <c r="H102" s="177"/>
      <c r="K102" s="236" t="s">
        <v>3</v>
      </c>
      <c r="L102" s="237" t="s">
        <v>336</v>
      </c>
    </row>
    <row r="103" spans="1:31">
      <c r="B103" s="235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299</v>
      </c>
      <c r="K103" s="236"/>
      <c r="L103" s="238"/>
    </row>
    <row r="104" spans="1:31">
      <c r="B104" s="47" t="s">
        <v>138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4">
        <f>SUM(C104:G104)</f>
        <v>1</v>
      </c>
      <c r="K104" s="205" t="s">
        <v>138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7</v>
      </c>
    </row>
    <row r="105" spans="1:31">
      <c r="B105" s="48" t="s">
        <v>359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359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7" t="s">
        <v>360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4">
        <f t="shared" si="15"/>
        <v>0</v>
      </c>
      <c r="K106" s="205" t="s">
        <v>360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8" t="s">
        <v>189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189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3</v>
      </c>
    </row>
    <row r="108" spans="1:31">
      <c r="B108" s="47" t="s">
        <v>82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5" t="s">
        <v>82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4</v>
      </c>
    </row>
    <row r="109" spans="1:31">
      <c r="B109" s="48" t="s">
        <v>212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212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3</v>
      </c>
    </row>
    <row r="110" spans="1:31">
      <c r="B110" s="47" t="s">
        <v>361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5" t="s">
        <v>361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299</v>
      </c>
      <c r="C111" s="39">
        <f>SUM(C104:C110)</f>
        <v>0</v>
      </c>
      <c r="D111" s="39">
        <f t="shared" ref="D111:G111" si="16">SUM(D104:D110)</f>
        <v>1</v>
      </c>
      <c r="E111" s="39">
        <f t="shared" si="16"/>
        <v>0</v>
      </c>
      <c r="F111" s="39">
        <f t="shared" si="16"/>
        <v>0</v>
      </c>
      <c r="G111" s="39">
        <f t="shared" si="16"/>
        <v>0</v>
      </c>
      <c r="H111" s="39">
        <f t="shared" si="15"/>
        <v>1</v>
      </c>
      <c r="K111" s="48" t="s">
        <v>299</v>
      </c>
      <c r="L111" s="39">
        <f>SUM(L104:L110)</f>
        <v>17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61" sqref="H61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362</v>
      </c>
      <c r="G1" s="53"/>
      <c r="H1" s="156" t="s">
        <v>37</v>
      </c>
      <c r="I1" s="155" t="s">
        <v>363</v>
      </c>
      <c r="K1" s="71" t="s">
        <v>364</v>
      </c>
      <c r="L1" s="53"/>
      <c r="M1" s="54" t="s">
        <v>37</v>
      </c>
      <c r="N1" s="55" t="s">
        <v>365</v>
      </c>
      <c r="P1" s="159" t="s">
        <v>32</v>
      </c>
      <c r="R1" s="56" t="s">
        <v>366</v>
      </c>
      <c r="T1" s="74" t="s">
        <v>367</v>
      </c>
      <c r="V1" s="171" t="s">
        <v>16</v>
      </c>
      <c r="X1" s="169" t="s">
        <v>19</v>
      </c>
      <c r="Z1" s="227" t="s">
        <v>20</v>
      </c>
      <c r="AB1" s="167" t="s">
        <v>25</v>
      </c>
      <c r="AD1" s="165" t="s">
        <v>27</v>
      </c>
      <c r="AF1" s="165" t="s">
        <v>29</v>
      </c>
      <c r="AH1" s="162" t="s">
        <v>368</v>
      </c>
      <c r="AJ1" s="163" t="s">
        <v>35</v>
      </c>
      <c r="AL1" s="162" t="s">
        <v>36</v>
      </c>
      <c r="AN1" s="174" t="s">
        <v>0</v>
      </c>
    </row>
    <row r="2" spans="2:40" ht="15" thickBot="1">
      <c r="B2" s="52" t="s">
        <v>369</v>
      </c>
      <c r="D2" s="149" t="s">
        <v>48</v>
      </c>
      <c r="F2" s="70" t="str" cm="1">
        <f t="array" ref="F2:F11">IF(COUNTIF(Consolidado!$AL:$AL,"Emagrecimento")&lt;&gt;0,_xlfn._xlws.FILTER($I$2:$I$54,$H$2:$H$54&lt;&gt;""),_xlfn._xlws.FILTER($I$2:$I$54,$H$2:$H$54="Outras"))</f>
        <v>Captado pela Amil/Call Center</v>
      </c>
      <c r="H2" s="79" t="s">
        <v>370</v>
      </c>
      <c r="I2" s="151" t="s">
        <v>138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370</v>
      </c>
      <c r="N2" s="152" t="s">
        <v>339</v>
      </c>
      <c r="P2" s="160" t="s">
        <v>339</v>
      </c>
      <c r="R2" s="59" t="s">
        <v>371</v>
      </c>
      <c r="T2" s="85" t="s">
        <v>347</v>
      </c>
      <c r="V2" s="172" t="s">
        <v>57</v>
      </c>
      <c r="X2" s="170" t="s">
        <v>58</v>
      </c>
      <c r="Z2" s="228" t="s">
        <v>59</v>
      </c>
      <c r="AB2" s="149" t="s">
        <v>62</v>
      </c>
      <c r="AD2" s="160" t="s">
        <v>63</v>
      </c>
      <c r="AF2" s="160" t="s">
        <v>80</v>
      </c>
      <c r="AH2" s="160" t="s">
        <v>47</v>
      </c>
      <c r="AJ2" s="160" t="s">
        <v>233</v>
      </c>
      <c r="AL2" s="160" t="s">
        <v>47</v>
      </c>
      <c r="AN2" s="175" t="s">
        <v>47</v>
      </c>
    </row>
    <row r="3" spans="2:40" ht="15" thickBot="1">
      <c r="D3" s="149" t="s">
        <v>137</v>
      </c>
      <c r="F3" s="68" t="str">
        <v>Casos Prioritário - E-mail</v>
      </c>
      <c r="H3" s="79" t="s">
        <v>370</v>
      </c>
      <c r="I3" s="151" t="s">
        <v>359</v>
      </c>
      <c r="K3" s="60" t="str">
        <v>Samaritano Higi</v>
      </c>
      <c r="M3" s="79" t="s">
        <v>370</v>
      </c>
      <c r="N3" s="152" t="s">
        <v>340</v>
      </c>
      <c r="P3" s="160" t="s">
        <v>340</v>
      </c>
      <c r="R3" s="59" t="s">
        <v>372</v>
      </c>
      <c r="T3" s="84" t="s">
        <v>106</v>
      </c>
      <c r="V3" s="172" t="s">
        <v>309</v>
      </c>
      <c r="X3" s="149" t="s">
        <v>119</v>
      </c>
      <c r="Z3" s="149" t="s">
        <v>269</v>
      </c>
      <c r="AB3" s="168" t="s">
        <v>89</v>
      </c>
      <c r="AD3" s="160" t="s">
        <v>355</v>
      </c>
      <c r="AF3" s="166" t="s">
        <v>105</v>
      </c>
      <c r="AH3" s="160" t="s">
        <v>136</v>
      </c>
      <c r="AJ3" s="164" t="s">
        <v>71</v>
      </c>
      <c r="AL3" s="160" t="s">
        <v>136</v>
      </c>
      <c r="AN3" s="175" t="s">
        <v>136</v>
      </c>
    </row>
    <row r="4" spans="2:40">
      <c r="D4" s="149" t="s">
        <v>373</v>
      </c>
      <c r="F4" s="68" t="str">
        <v>Forms</v>
      </c>
      <c r="H4" s="79" t="s">
        <v>370</v>
      </c>
      <c r="I4" s="151" t="s">
        <v>285</v>
      </c>
      <c r="K4" s="60" t="str">
        <v>COI -RJ</v>
      </c>
      <c r="M4" s="79" t="s">
        <v>370</v>
      </c>
      <c r="N4" s="152" t="s">
        <v>341</v>
      </c>
      <c r="P4" s="160" t="s">
        <v>344</v>
      </c>
      <c r="R4" s="59" t="s">
        <v>374</v>
      </c>
      <c r="T4" s="84" t="s">
        <v>348</v>
      </c>
      <c r="V4" s="172" t="s">
        <v>311</v>
      </c>
      <c r="X4" s="168" t="s">
        <v>375</v>
      </c>
      <c r="Z4" s="59" t="s">
        <v>69</v>
      </c>
      <c r="AD4" s="160" t="s">
        <v>356</v>
      </c>
      <c r="AF4" s="166" t="s">
        <v>215</v>
      </c>
      <c r="AH4" s="161"/>
      <c r="AJ4" s="161" t="s">
        <v>376</v>
      </c>
      <c r="AL4" s="160" t="s">
        <v>377</v>
      </c>
      <c r="AN4" s="176"/>
    </row>
    <row r="5" spans="2:40">
      <c r="D5" s="73" t="s">
        <v>155</v>
      </c>
      <c r="F5" s="68" t="str">
        <v>GSC</v>
      </c>
      <c r="H5" s="79" t="s">
        <v>370</v>
      </c>
      <c r="I5" s="151" t="s">
        <v>189</v>
      </c>
      <c r="K5" s="60" t="str">
        <v>Interno - Amil Geral</v>
      </c>
      <c r="M5" s="79" t="s">
        <v>370</v>
      </c>
      <c r="N5" s="152" t="s">
        <v>81</v>
      </c>
      <c r="P5" s="161" t="s">
        <v>378</v>
      </c>
      <c r="R5" s="59" t="s">
        <v>379</v>
      </c>
      <c r="T5" s="86" t="s">
        <v>377</v>
      </c>
      <c r="V5" s="172" t="s">
        <v>313</v>
      </c>
      <c r="Z5" s="59"/>
      <c r="AD5" s="160" t="s">
        <v>176</v>
      </c>
      <c r="AF5" s="161"/>
      <c r="AH5" s="83"/>
      <c r="AJ5" s="161" t="s">
        <v>136</v>
      </c>
      <c r="AL5" s="161"/>
    </row>
    <row r="6" spans="2:40">
      <c r="D6" s="73" t="s">
        <v>380</v>
      </c>
      <c r="F6" s="68" t="str">
        <v>Triggers</v>
      </c>
      <c r="H6" s="79" t="s">
        <v>370</v>
      </c>
      <c r="I6" s="151" t="s">
        <v>82</v>
      </c>
      <c r="K6" s="60" t="str">
        <v>Externo - Geral</v>
      </c>
      <c r="M6" s="79" t="s">
        <v>370</v>
      </c>
      <c r="N6" s="152" t="s">
        <v>194</v>
      </c>
      <c r="R6" s="59" t="s">
        <v>381</v>
      </c>
      <c r="V6" s="172" t="s">
        <v>68</v>
      </c>
      <c r="Z6" s="226"/>
      <c r="AD6" s="161" t="s">
        <v>353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370</v>
      </c>
      <c r="I7" s="151" t="s">
        <v>212</v>
      </c>
      <c r="K7" s="60" t="str">
        <v>Não Informou</v>
      </c>
      <c r="M7" s="79" t="s">
        <v>370</v>
      </c>
      <c r="N7" s="152" t="s">
        <v>342</v>
      </c>
      <c r="R7" s="59" t="s">
        <v>382</v>
      </c>
      <c r="V7" s="172" t="s">
        <v>316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370</v>
      </c>
      <c r="I8" s="151" t="s">
        <v>361</v>
      </c>
      <c r="K8" s="60" t="str">
        <v>CMDP - Centro Médico Dom Pedro</v>
      </c>
      <c r="M8" s="79" t="s">
        <v>370</v>
      </c>
      <c r="N8" s="152" t="s">
        <v>383</v>
      </c>
      <c r="R8" s="59" t="s">
        <v>384</v>
      </c>
      <c r="V8" s="172" t="s">
        <v>318</v>
      </c>
      <c r="AD8" s="83"/>
      <c r="AF8" s="83"/>
      <c r="AH8" s="83"/>
      <c r="AJ8" s="83"/>
      <c r="AL8" s="83"/>
    </row>
    <row r="9" spans="2:40">
      <c r="D9" s="73"/>
      <c r="F9" s="68" t="str">
        <v>Migrou do Fluxo de Negativa</v>
      </c>
      <c r="H9" s="38" t="s">
        <v>385</v>
      </c>
      <c r="I9" s="153" t="s">
        <v>386</v>
      </c>
      <c r="K9" s="60" t="str">
        <v>Outros</v>
      </c>
      <c r="M9" s="79" t="s">
        <v>370</v>
      </c>
      <c r="N9" s="152" t="s">
        <v>387</v>
      </c>
      <c r="R9" s="59" t="s">
        <v>388</v>
      </c>
      <c r="V9" s="172" t="s">
        <v>319</v>
      </c>
      <c r="Z9" s="1" t="s">
        <v>46</v>
      </c>
      <c r="AA9" s="1" t="s">
        <v>59</v>
      </c>
      <c r="AD9" s="83"/>
      <c r="AF9" s="83"/>
      <c r="AH9" s="83"/>
      <c r="AJ9" s="83"/>
      <c r="AL9" s="83"/>
    </row>
    <row r="10" spans="2:40" ht="15" thickBot="1">
      <c r="D10" s="150"/>
      <c r="F10" s="68" t="str">
        <v>Optin</v>
      </c>
      <c r="H10" s="38" t="s">
        <v>385</v>
      </c>
      <c r="I10" s="154" t="s">
        <v>389</v>
      </c>
      <c r="K10" s="60" t="str">
        <v>Amil - Hospital Ipiranga Arujá - Ambulatório </v>
      </c>
      <c r="M10" s="79" t="s">
        <v>370</v>
      </c>
      <c r="N10" s="152" t="s">
        <v>390</v>
      </c>
      <c r="R10" s="59" t="s">
        <v>391</v>
      </c>
      <c r="V10" s="172" t="s">
        <v>134</v>
      </c>
      <c r="Z10" s="1" t="s">
        <v>46</v>
      </c>
      <c r="AA10" s="1" t="s">
        <v>269</v>
      </c>
      <c r="AD10" s="83"/>
      <c r="AF10" s="83"/>
      <c r="AJ10" s="83"/>
      <c r="AL10" s="83"/>
    </row>
    <row r="11" spans="2:40">
      <c r="F11" s="68" t="str">
        <v>Captado Total Care</v>
      </c>
      <c r="H11" s="38" t="s">
        <v>385</v>
      </c>
      <c r="I11" s="154" t="s">
        <v>392</v>
      </c>
      <c r="K11" s="60" t="str">
        <v>Amil - Hospital Ipiranga Mogi - Ambulatório </v>
      </c>
      <c r="M11" s="79" t="s">
        <v>370</v>
      </c>
      <c r="N11" s="152" t="s">
        <v>393</v>
      </c>
      <c r="R11" s="59" t="s">
        <v>394</v>
      </c>
      <c r="V11" s="172" t="s">
        <v>321</v>
      </c>
      <c r="Z11" s="1" t="s">
        <v>59</v>
      </c>
      <c r="AA11" s="1" t="s">
        <v>59</v>
      </c>
      <c r="AD11" s="83"/>
      <c r="AF11" s="83"/>
      <c r="AH11" s="83"/>
      <c r="AJ11" s="83"/>
      <c r="AL11" s="83"/>
    </row>
    <row r="12" spans="2:40">
      <c r="F12" s="68"/>
      <c r="H12" s="38" t="s">
        <v>385</v>
      </c>
      <c r="I12" s="154" t="s">
        <v>395</v>
      </c>
      <c r="K12" s="60" t="str">
        <v>Amil - Hospital Metropolitano - Centro Médico </v>
      </c>
      <c r="M12" s="79" t="s">
        <v>370</v>
      </c>
      <c r="N12" s="152" t="s">
        <v>396</v>
      </c>
      <c r="R12" s="59" t="s">
        <v>397</v>
      </c>
      <c r="V12" s="172" t="s">
        <v>322</v>
      </c>
      <c r="Z12" s="1" t="s">
        <v>269</v>
      </c>
      <c r="AA12" s="1" t="s">
        <v>269</v>
      </c>
      <c r="AD12" s="83"/>
      <c r="AF12" s="83"/>
      <c r="AH12" s="83"/>
      <c r="AJ12" s="83"/>
      <c r="AL12" s="83"/>
    </row>
    <row r="13" spans="2:40">
      <c r="F13" s="68"/>
      <c r="H13" s="38" t="s">
        <v>385</v>
      </c>
      <c r="I13" s="154" t="s">
        <v>398</v>
      </c>
      <c r="K13" s="60" t="str">
        <v>Amil - Hospital Paulistano - Ambulatório </v>
      </c>
      <c r="M13" s="79" t="s">
        <v>370</v>
      </c>
      <c r="N13" s="152" t="s">
        <v>399</v>
      </c>
      <c r="R13" s="59" t="s">
        <v>400</v>
      </c>
      <c r="V13" s="172" t="s">
        <v>323</v>
      </c>
      <c r="Z13" s="1" t="s">
        <v>69</v>
      </c>
      <c r="AA13" s="1" t="s">
        <v>69</v>
      </c>
      <c r="AD13" s="83"/>
      <c r="AF13" s="83"/>
      <c r="AH13" s="83"/>
      <c r="AJ13" s="83"/>
      <c r="AL13" s="83"/>
    </row>
    <row r="14" spans="2:40">
      <c r="F14" s="68"/>
      <c r="H14" s="38" t="s">
        <v>385</v>
      </c>
      <c r="I14" s="58" t="s">
        <v>401</v>
      </c>
      <c r="K14" s="60" t="str">
        <v>Amil - Ud Cubatão Sp - Hospital Da Luz </v>
      </c>
      <c r="M14" s="79" t="s">
        <v>370</v>
      </c>
      <c r="N14" s="152" t="s">
        <v>127</v>
      </c>
      <c r="R14" s="59" t="s">
        <v>385</v>
      </c>
      <c r="V14" s="172" t="s">
        <v>324</v>
      </c>
      <c r="Z14" s="1" t="s">
        <v>299</v>
      </c>
      <c r="AA14" s="1" t="s">
        <v>59</v>
      </c>
      <c r="AD14" s="83"/>
      <c r="AF14" s="83"/>
      <c r="AH14" s="83"/>
      <c r="AJ14" s="83"/>
      <c r="AL14" s="83"/>
    </row>
    <row r="15" spans="2:40">
      <c r="F15" s="68"/>
      <c r="H15" s="38" t="s">
        <v>385</v>
      </c>
      <c r="I15" s="58" t="s">
        <v>402</v>
      </c>
      <c r="K15" s="60" t="str">
        <v>Amil - Unidade Avançada Carlos Chagas </v>
      </c>
      <c r="M15" s="79" t="s">
        <v>370</v>
      </c>
      <c r="N15" s="152" t="s">
        <v>403</v>
      </c>
      <c r="R15" s="59" t="s">
        <v>404</v>
      </c>
      <c r="V15" s="172" t="s">
        <v>325</v>
      </c>
      <c r="Z15" s="1" t="s">
        <v>299</v>
      </c>
      <c r="AA15" s="1" t="s">
        <v>269</v>
      </c>
      <c r="AD15" s="83"/>
      <c r="AF15" s="83"/>
      <c r="AH15" s="83"/>
      <c r="AJ15" s="83"/>
      <c r="AL15" s="83"/>
    </row>
    <row r="16" spans="2:40">
      <c r="F16" s="68"/>
      <c r="H16" s="38" t="s">
        <v>385</v>
      </c>
      <c r="I16" s="58" t="s">
        <v>405</v>
      </c>
      <c r="K16" s="60" t="str">
        <v>Amil - Unidade Avançada Luz Butantã </v>
      </c>
      <c r="M16" s="79" t="s">
        <v>370</v>
      </c>
      <c r="N16" s="152" t="s">
        <v>406</v>
      </c>
      <c r="R16" s="59" t="s">
        <v>407</v>
      </c>
      <c r="V16" s="172" t="s">
        <v>326</v>
      </c>
      <c r="Z16" s="1" t="s">
        <v>299</v>
      </c>
      <c r="AA16" s="1" t="s">
        <v>69</v>
      </c>
      <c r="AD16" s="83"/>
      <c r="AF16" s="83"/>
      <c r="AH16" s="83"/>
      <c r="AJ16" s="83"/>
      <c r="AL16" s="83"/>
    </row>
    <row r="17" spans="6:38">
      <c r="F17" s="68"/>
      <c r="H17" s="38" t="s">
        <v>385</v>
      </c>
      <c r="I17" s="58" t="s">
        <v>408</v>
      </c>
      <c r="K17" s="60" t="str">
        <v>Amil - Unidade Avançada Luz Joao Dias </v>
      </c>
      <c r="M17" s="79" t="s">
        <v>370</v>
      </c>
      <c r="N17" s="152" t="s">
        <v>409</v>
      </c>
      <c r="R17" s="59" t="s">
        <v>64</v>
      </c>
      <c r="V17" s="172" t="s">
        <v>327</v>
      </c>
      <c r="AD17" s="83"/>
      <c r="AF17" s="83"/>
      <c r="AH17" s="83"/>
      <c r="AJ17" s="83"/>
      <c r="AL17" s="83"/>
    </row>
    <row r="18" spans="6:38">
      <c r="F18" s="68"/>
      <c r="H18" s="38" t="s">
        <v>385</v>
      </c>
      <c r="I18" s="58" t="s">
        <v>410</v>
      </c>
      <c r="K18" s="60" t="str">
        <v>Amil - Unidade Avançada Vitoria </v>
      </c>
      <c r="M18" s="79" t="s">
        <v>370</v>
      </c>
      <c r="N18" s="152" t="s">
        <v>411</v>
      </c>
      <c r="R18" s="59" t="s">
        <v>412</v>
      </c>
      <c r="V18" s="172" t="s">
        <v>328</v>
      </c>
      <c r="AD18" s="83"/>
      <c r="AF18" s="83"/>
      <c r="AH18" s="83"/>
      <c r="AJ18" s="83"/>
      <c r="AL18" s="83"/>
    </row>
    <row r="19" spans="6:38">
      <c r="F19" s="68"/>
      <c r="H19" s="38" t="s">
        <v>385</v>
      </c>
      <c r="I19" s="58" t="s">
        <v>413</v>
      </c>
      <c r="K19" s="60" t="str">
        <v>Amil Espaço Saúde - Ana Rosa </v>
      </c>
      <c r="M19" s="79" t="s">
        <v>370</v>
      </c>
      <c r="N19" s="152" t="s">
        <v>414</v>
      </c>
      <c r="R19" s="59" t="s">
        <v>415</v>
      </c>
      <c r="V19" s="172" t="s">
        <v>329</v>
      </c>
      <c r="AD19" s="83"/>
      <c r="AF19" s="83"/>
      <c r="AH19" s="83"/>
      <c r="AJ19" s="83"/>
      <c r="AL19" s="83"/>
    </row>
    <row r="20" spans="6:38">
      <c r="F20" s="68"/>
      <c r="H20" s="38" t="s">
        <v>385</v>
      </c>
      <c r="I20" s="58" t="s">
        <v>416</v>
      </c>
      <c r="K20" s="60" t="str">
        <v>Amil Espaço Saúde - Botafogo </v>
      </c>
      <c r="M20" s="79" t="s">
        <v>370</v>
      </c>
      <c r="N20" s="152" t="s">
        <v>417</v>
      </c>
      <c r="R20" s="59" t="s">
        <v>418</v>
      </c>
      <c r="V20" s="172" t="s">
        <v>330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419</v>
      </c>
      <c r="AD20" s="83"/>
      <c r="AF20" s="83"/>
      <c r="AH20" s="83"/>
      <c r="AJ20" s="83"/>
      <c r="AL20" s="83"/>
    </row>
    <row r="21" spans="6:38">
      <c r="F21" s="68"/>
      <c r="H21" s="38" t="s">
        <v>385</v>
      </c>
      <c r="I21" s="58" t="s">
        <v>420</v>
      </c>
      <c r="K21" s="60" t="str">
        <v>Amil Espaço Saúde - Campo Grande </v>
      </c>
      <c r="M21" s="79" t="s">
        <v>370</v>
      </c>
      <c r="N21" s="152" t="s">
        <v>421</v>
      </c>
      <c r="R21" s="59" t="s">
        <v>422</v>
      </c>
      <c r="V21" s="172" t="s">
        <v>331</v>
      </c>
      <c r="AA21" s="1" t="str">
        <v>Inativo</v>
      </c>
      <c r="AB21" s="1" t="s">
        <v>419</v>
      </c>
      <c r="AD21" s="83"/>
      <c r="AF21" s="83"/>
      <c r="AH21" s="83"/>
      <c r="AJ21" s="83"/>
      <c r="AL21" s="83"/>
    </row>
    <row r="22" spans="6:38">
      <c r="F22" s="68"/>
      <c r="H22" s="38" t="s">
        <v>385</v>
      </c>
      <c r="I22" s="58" t="s">
        <v>423</v>
      </c>
      <c r="K22" s="60" t="str">
        <v>Amil Espaço Saúde - Caxias </v>
      </c>
      <c r="M22" s="79" t="s">
        <v>370</v>
      </c>
      <c r="N22" s="152" t="s">
        <v>424</v>
      </c>
      <c r="R22" s="59" t="s">
        <v>425</v>
      </c>
      <c r="V22" s="172" t="s">
        <v>332</v>
      </c>
      <c r="AA22" s="1" t="str">
        <v>Fora da Linha</v>
      </c>
      <c r="AB22" s="1" t="s">
        <v>419</v>
      </c>
      <c r="AD22" s="83"/>
      <c r="AF22" s="83"/>
      <c r="AH22" s="83"/>
      <c r="AJ22" s="83"/>
      <c r="AL22" s="83"/>
    </row>
    <row r="23" spans="6:38">
      <c r="F23" s="68"/>
      <c r="H23" s="38" t="s">
        <v>385</v>
      </c>
      <c r="I23" s="58" t="s">
        <v>426</v>
      </c>
      <c r="K23" s="60" t="str">
        <v>Amil Espaço Saúde - Guarulhos </v>
      </c>
      <c r="M23" s="79" t="s">
        <v>370</v>
      </c>
      <c r="N23" s="152" t="s">
        <v>427</v>
      </c>
      <c r="R23" s="59" t="s">
        <v>428</v>
      </c>
      <c r="V23" s="172" t="s">
        <v>118</v>
      </c>
      <c r="AB23" s="1" t="s">
        <v>419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385</v>
      </c>
      <c r="I24" s="58" t="s">
        <v>429</v>
      </c>
      <c r="K24" s="60" t="str">
        <v>Amil Espaço Saúde - Niterói </v>
      </c>
      <c r="M24" s="79" t="s">
        <v>370</v>
      </c>
      <c r="N24" s="152" t="s">
        <v>430</v>
      </c>
      <c r="R24" s="61" t="s">
        <v>431</v>
      </c>
      <c r="V24" s="172" t="s">
        <v>268</v>
      </c>
      <c r="AD24" s="83"/>
      <c r="AF24" s="83"/>
      <c r="AH24" s="83"/>
      <c r="AJ24" s="83"/>
      <c r="AL24" s="83"/>
    </row>
    <row r="25" spans="6:38">
      <c r="F25" s="68"/>
      <c r="H25" s="38" t="s">
        <v>385</v>
      </c>
      <c r="I25" s="58" t="s">
        <v>432</v>
      </c>
      <c r="K25" s="60" t="str">
        <v>Amil Espaço Saúde - Nova Iguaçu </v>
      </c>
      <c r="M25" s="79" t="s">
        <v>370</v>
      </c>
      <c r="N25" s="152" t="s">
        <v>433</v>
      </c>
      <c r="V25" s="172" t="s">
        <v>333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385</v>
      </c>
      <c r="I26" s="58" t="s">
        <v>434</v>
      </c>
      <c r="K26" s="60" t="str">
        <v>Amil Espaço Saúde - Osasco </v>
      </c>
      <c r="M26" s="79" t="s">
        <v>370</v>
      </c>
      <c r="N26" s="152" t="s">
        <v>435</v>
      </c>
      <c r="V26" s="173" t="s">
        <v>334</v>
      </c>
      <c r="AD26" s="83"/>
      <c r="AF26" s="83"/>
      <c r="AH26" s="83"/>
      <c r="AJ26" s="83"/>
      <c r="AL26" s="83"/>
    </row>
    <row r="27" spans="6:38">
      <c r="F27" s="68"/>
      <c r="H27" s="38" t="s">
        <v>385</v>
      </c>
      <c r="I27" s="58" t="s">
        <v>436</v>
      </c>
      <c r="K27" s="60" t="str">
        <v>Amil Espaço Saúde - Santana </v>
      </c>
      <c r="M27" s="79" t="s">
        <v>370</v>
      </c>
      <c r="N27" s="152" t="s">
        <v>437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385</v>
      </c>
      <c r="I28" s="58" t="s">
        <v>438</v>
      </c>
      <c r="K28" s="60" t="str">
        <v>Amil Espaço Saúde - Tijuca </v>
      </c>
      <c r="M28" s="79" t="s">
        <v>370</v>
      </c>
      <c r="N28" s="152" t="s">
        <v>439</v>
      </c>
      <c r="Z28" s="1" t="s">
        <v>59</v>
      </c>
    </row>
    <row r="29" spans="6:38">
      <c r="F29" s="68"/>
      <c r="H29" s="38" t="s">
        <v>385</v>
      </c>
      <c r="I29" s="58" t="s">
        <v>440</v>
      </c>
      <c r="K29" s="60" t="str">
        <v>Amil Telemedicina </v>
      </c>
      <c r="M29" s="79" t="s">
        <v>370</v>
      </c>
      <c r="N29" s="152" t="s">
        <v>441</v>
      </c>
      <c r="Z29" s="1" t="s">
        <v>269</v>
      </c>
    </row>
    <row r="30" spans="6:38">
      <c r="F30" s="68"/>
      <c r="H30" s="38" t="s">
        <v>385</v>
      </c>
      <c r="I30" s="58" t="s">
        <v>442</v>
      </c>
      <c r="K30" s="60" t="str">
        <v>Centro Médico Jardim </v>
      </c>
      <c r="M30" s="79" t="s">
        <v>370</v>
      </c>
      <c r="N30" s="152" t="s">
        <v>443</v>
      </c>
      <c r="Z30" s="1" t="s">
        <v>69</v>
      </c>
    </row>
    <row r="31" spans="6:38">
      <c r="F31" s="68"/>
      <c r="H31" s="38" t="s">
        <v>385</v>
      </c>
      <c r="I31" s="58" t="s">
        <v>444</v>
      </c>
      <c r="K31" s="60" t="str">
        <v>Centro Médico Joao Azevedo - Sbc  II</v>
      </c>
      <c r="M31" s="79" t="s">
        <v>370</v>
      </c>
      <c r="N31" s="152" t="s">
        <v>445</v>
      </c>
      <c r="Z31" s="1" t="s">
        <v>299</v>
      </c>
    </row>
    <row r="32" spans="6:38">
      <c r="F32" s="68"/>
      <c r="H32" s="38" t="s">
        <v>385</v>
      </c>
      <c r="I32" s="58" t="s">
        <v>446</v>
      </c>
      <c r="K32" s="60" t="str">
        <v>Centro Médico João Azevedo - Sbc I  </v>
      </c>
      <c r="M32" s="79" t="s">
        <v>370</v>
      </c>
      <c r="N32" s="152" t="s">
        <v>447</v>
      </c>
    </row>
    <row r="33" spans="6:14">
      <c r="F33" s="68"/>
      <c r="H33" s="38" t="s">
        <v>385</v>
      </c>
      <c r="I33" s="58" t="s">
        <v>448</v>
      </c>
      <c r="K33" s="60" t="str">
        <v>Centro Médico Luiz Ferreira - Sbc </v>
      </c>
      <c r="M33" s="79" t="s">
        <v>370</v>
      </c>
      <c r="N33" s="152" t="s">
        <v>449</v>
      </c>
    </row>
    <row r="34" spans="6:14">
      <c r="F34" s="68"/>
      <c r="H34" s="38" t="s">
        <v>385</v>
      </c>
      <c r="I34" s="58" t="s">
        <v>450</v>
      </c>
      <c r="K34" s="60" t="str">
        <v>Centro Médico - Samaritano Higienópolis </v>
      </c>
      <c r="M34" s="79" t="s">
        <v>370</v>
      </c>
      <c r="N34" s="152" t="s">
        <v>451</v>
      </c>
    </row>
    <row r="35" spans="6:14">
      <c r="F35" s="68"/>
      <c r="H35" s="38" t="s">
        <v>385</v>
      </c>
      <c r="I35" s="58" t="s">
        <v>452</v>
      </c>
      <c r="K35" s="60" t="str">
        <v>Centro Médico Hospital São Lucas </v>
      </c>
      <c r="M35" s="79" t="s">
        <v>370</v>
      </c>
      <c r="N35" s="152" t="s">
        <v>453</v>
      </c>
    </row>
    <row r="36" spans="6:14">
      <c r="F36" s="68"/>
      <c r="H36" s="38" t="s">
        <v>385</v>
      </c>
      <c r="I36" s="58" t="s">
        <v>454</v>
      </c>
      <c r="K36" s="60" t="str">
        <v>Hospital Alvorada Ambulatório Arapanés </v>
      </c>
      <c r="M36" s="79" t="s">
        <v>370</v>
      </c>
      <c r="N36" s="152" t="s">
        <v>455</v>
      </c>
    </row>
    <row r="37" spans="6:14">
      <c r="F37" s="68"/>
      <c r="H37" s="38" t="s">
        <v>385</v>
      </c>
      <c r="I37" s="58" t="s">
        <v>456</v>
      </c>
      <c r="K37" s="60" t="str">
        <v>Hospital Alvorada Moema </v>
      </c>
      <c r="M37" s="79" t="s">
        <v>370</v>
      </c>
      <c r="N37" s="152" t="s">
        <v>457</v>
      </c>
    </row>
    <row r="38" spans="6:14">
      <c r="F38" s="68"/>
      <c r="H38" s="38" t="s">
        <v>385</v>
      </c>
      <c r="I38" s="58" t="s">
        <v>458</v>
      </c>
      <c r="K38" s="60" t="str">
        <v>Hospital Américas - Ambulatório </v>
      </c>
      <c r="M38" s="79" t="s">
        <v>370</v>
      </c>
      <c r="N38" s="152" t="s">
        <v>459</v>
      </c>
    </row>
    <row r="39" spans="6:14">
      <c r="F39" s="68"/>
      <c r="H39" s="38" t="s">
        <v>385</v>
      </c>
      <c r="I39" s="58" t="s">
        <v>460</v>
      </c>
      <c r="K39" s="60" t="str">
        <v>Hospital Samaritano Paulista - Ambulatório </v>
      </c>
      <c r="M39" s="79" t="s">
        <v>370</v>
      </c>
      <c r="N39" s="152" t="s">
        <v>461</v>
      </c>
    </row>
    <row r="40" spans="6:14">
      <c r="F40" s="68"/>
      <c r="H40" s="38" t="s">
        <v>385</v>
      </c>
      <c r="I40" s="58" t="s">
        <v>462</v>
      </c>
      <c r="K40" s="60" t="str">
        <v>Amil Espaço Saúde - Tatuapé</v>
      </c>
      <c r="M40" s="38" t="s">
        <v>385</v>
      </c>
      <c r="N40" s="58" t="s">
        <v>463</v>
      </c>
    </row>
    <row r="41" spans="6:14">
      <c r="F41" s="68"/>
      <c r="H41" s="38" t="s">
        <v>385</v>
      </c>
      <c r="I41" s="58" t="s">
        <v>464</v>
      </c>
      <c r="K41" s="60" t="str">
        <v>Amil Espaço Saúde - Santo Amaro</v>
      </c>
      <c r="M41" s="38" t="s">
        <v>385</v>
      </c>
      <c r="N41" s="58" t="s">
        <v>465</v>
      </c>
    </row>
    <row r="42" spans="6:14">
      <c r="F42" s="68"/>
      <c r="H42" s="38" t="s">
        <v>385</v>
      </c>
      <c r="I42" s="58" t="s">
        <v>466</v>
      </c>
      <c r="K42" s="60" t="str">
        <v>Amil Espaço Saúde - Guarulhos</v>
      </c>
      <c r="M42" s="38" t="s">
        <v>385</v>
      </c>
      <c r="N42" s="58" t="s">
        <v>467</v>
      </c>
    </row>
    <row r="43" spans="6:14">
      <c r="F43" s="68"/>
      <c r="H43" s="38" t="s">
        <v>385</v>
      </c>
      <c r="I43" s="58" t="s">
        <v>468</v>
      </c>
      <c r="K43" s="60" t="str">
        <v xml:space="preserve">Amil Espaço Saúde - Santa Helena </v>
      </c>
      <c r="M43" s="38" t="s">
        <v>385</v>
      </c>
      <c r="N43" s="58" t="s">
        <v>469</v>
      </c>
    </row>
    <row r="44" spans="6:14">
      <c r="F44" s="68"/>
      <c r="H44" s="38" t="s">
        <v>385</v>
      </c>
      <c r="I44" s="58" t="s">
        <v>470</v>
      </c>
      <c r="K44" s="60" t="str">
        <v>Hospital Samaritano - Não Especificado</v>
      </c>
      <c r="M44" s="38" t="s">
        <v>385</v>
      </c>
      <c r="N44" s="58" t="s">
        <v>471</v>
      </c>
    </row>
    <row r="45" spans="6:14">
      <c r="F45" s="68"/>
      <c r="H45" s="38" t="s">
        <v>385</v>
      </c>
      <c r="I45" s="58" t="s">
        <v>472</v>
      </c>
      <c r="K45" s="60" t="str">
        <v>SUS</v>
      </c>
      <c r="M45" s="38" t="s">
        <v>385</v>
      </c>
      <c r="N45" s="58" t="s">
        <v>473</v>
      </c>
    </row>
    <row r="46" spans="6:14">
      <c r="F46" s="68"/>
      <c r="H46" s="79" t="s">
        <v>370</v>
      </c>
      <c r="I46" s="79" t="s">
        <v>155</v>
      </c>
      <c r="K46" s="60"/>
      <c r="M46" s="38" t="s">
        <v>385</v>
      </c>
      <c r="N46" s="58" t="s">
        <v>474</v>
      </c>
    </row>
    <row r="47" spans="6:14">
      <c r="F47" s="68"/>
      <c r="H47" s="79" t="s">
        <v>370</v>
      </c>
      <c r="I47" s="151" t="s">
        <v>475</v>
      </c>
      <c r="K47" s="60"/>
      <c r="M47" s="38" t="s">
        <v>385</v>
      </c>
      <c r="N47" s="58" t="s">
        <v>476</v>
      </c>
    </row>
    <row r="48" spans="6:14">
      <c r="F48" s="68"/>
      <c r="H48" s="231" t="s">
        <v>385</v>
      </c>
      <c r="I48" s="232" t="s">
        <v>477</v>
      </c>
      <c r="K48" s="60"/>
      <c r="M48" s="38" t="s">
        <v>385</v>
      </c>
      <c r="N48" s="58" t="s">
        <v>478</v>
      </c>
    </row>
    <row r="49" spans="6:14">
      <c r="F49" s="68"/>
      <c r="H49" s="233" t="s">
        <v>370</v>
      </c>
      <c r="I49" s="234" t="s">
        <v>477</v>
      </c>
      <c r="K49" s="60"/>
      <c r="M49" s="38" t="s">
        <v>385</v>
      </c>
      <c r="N49" s="58" t="s">
        <v>479</v>
      </c>
    </row>
    <row r="50" spans="6:14">
      <c r="F50" s="68"/>
      <c r="I50" s="62"/>
      <c r="K50" s="60"/>
      <c r="M50" s="38" t="s">
        <v>385</v>
      </c>
      <c r="N50" s="58" t="s">
        <v>480</v>
      </c>
    </row>
    <row r="51" spans="6:14">
      <c r="F51" s="68"/>
      <c r="I51" s="62"/>
      <c r="K51" s="60"/>
      <c r="M51" s="38" t="s">
        <v>385</v>
      </c>
      <c r="N51" s="58" t="s">
        <v>481</v>
      </c>
    </row>
    <row r="52" spans="6:14">
      <c r="F52" s="68"/>
      <c r="I52" s="62"/>
      <c r="K52" s="60"/>
      <c r="M52" s="38" t="s">
        <v>385</v>
      </c>
      <c r="N52" s="58" t="s">
        <v>482</v>
      </c>
    </row>
    <row r="53" spans="6:14">
      <c r="F53" s="68"/>
      <c r="I53" s="62"/>
      <c r="K53" s="60"/>
      <c r="M53" s="38" t="s">
        <v>385</v>
      </c>
      <c r="N53" s="58" t="s">
        <v>483</v>
      </c>
    </row>
    <row r="54" spans="6:14" ht="15" thickBot="1">
      <c r="F54" s="69"/>
      <c r="G54" s="64"/>
      <c r="H54" s="64"/>
      <c r="I54" s="65"/>
      <c r="K54" s="63"/>
      <c r="L54" s="64"/>
      <c r="M54" s="38" t="s">
        <v>385</v>
      </c>
      <c r="N54" s="58" t="s">
        <v>484</v>
      </c>
    </row>
    <row r="55" spans="6:14" ht="15" thickBot="1">
      <c r="M55" s="157" t="s">
        <v>385</v>
      </c>
      <c r="N55" s="158" t="s">
        <v>383</v>
      </c>
    </row>
    <row r="56" spans="6:14">
      <c r="M56" s="201" t="s">
        <v>370</v>
      </c>
      <c r="N56" s="202" t="s">
        <v>485</v>
      </c>
    </row>
    <row r="57" spans="6:14">
      <c r="M57" s="201" t="s">
        <v>370</v>
      </c>
      <c r="N57" s="202" t="s">
        <v>486</v>
      </c>
    </row>
    <row r="58" spans="6:14">
      <c r="M58" s="201" t="s">
        <v>370</v>
      </c>
      <c r="N58" s="202" t="s">
        <v>487</v>
      </c>
    </row>
    <row r="59" spans="6:14">
      <c r="M59" s="201" t="s">
        <v>370</v>
      </c>
      <c r="N59" s="203" t="s">
        <v>488</v>
      </c>
    </row>
    <row r="60" spans="6:14">
      <c r="M60" s="201" t="s">
        <v>370</v>
      </c>
      <c r="N60" s="204" t="s">
        <v>489</v>
      </c>
    </row>
    <row r="61" spans="6:14">
      <c r="M61" s="201" t="s">
        <v>370</v>
      </c>
      <c r="N61" s="204" t="s">
        <v>490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491</v>
      </c>
      <c r="AF1" s="15" t="s">
        <v>492</v>
      </c>
      <c r="AG1" s="16" t="s">
        <v>35</v>
      </c>
    </row>
    <row r="2" spans="1:33">
      <c r="A2" s="17" t="s">
        <v>47</v>
      </c>
      <c r="B2" s="3"/>
      <c r="C2" s="3" t="s">
        <v>493</v>
      </c>
      <c r="D2" s="18" t="s">
        <v>392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57</v>
      </c>
      <c r="R2" s="20"/>
      <c r="S2" s="20"/>
      <c r="T2" s="20" t="s">
        <v>58</v>
      </c>
      <c r="U2" s="20" t="s">
        <v>59</v>
      </c>
      <c r="V2" s="20"/>
      <c r="W2" s="20"/>
      <c r="X2" s="20"/>
      <c r="Y2" s="20"/>
      <c r="Z2" s="3" t="s">
        <v>62</v>
      </c>
      <c r="AA2" s="20"/>
      <c r="AB2" s="3" t="s">
        <v>355</v>
      </c>
      <c r="AC2" s="3"/>
      <c r="AD2" s="3" t="s">
        <v>80</v>
      </c>
      <c r="AE2" s="3"/>
      <c r="AF2" s="3" t="s">
        <v>494</v>
      </c>
      <c r="AG2" s="17" t="s">
        <v>233</v>
      </c>
    </row>
    <row r="3" spans="1:33">
      <c r="A3" s="17" t="s">
        <v>136</v>
      </c>
      <c r="B3" s="3"/>
      <c r="C3" s="3" t="s">
        <v>466</v>
      </c>
      <c r="D3" s="18" t="s">
        <v>360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309</v>
      </c>
      <c r="R3" s="3"/>
      <c r="S3" s="3"/>
      <c r="T3" s="3" t="s">
        <v>119</v>
      </c>
      <c r="U3" s="3" t="s">
        <v>269</v>
      </c>
      <c r="V3" s="3"/>
      <c r="W3" s="3"/>
      <c r="X3" s="3"/>
      <c r="Y3" s="3"/>
      <c r="Z3" s="3" t="s">
        <v>89</v>
      </c>
      <c r="AA3" s="3"/>
      <c r="AB3" s="3" t="s">
        <v>356</v>
      </c>
      <c r="AC3" s="3"/>
      <c r="AD3" s="3" t="s">
        <v>105</v>
      </c>
      <c r="AE3" s="3"/>
      <c r="AF3" s="3" t="s">
        <v>495</v>
      </c>
      <c r="AG3" s="17" t="s">
        <v>376</v>
      </c>
    </row>
    <row r="4" spans="1:33">
      <c r="A4" s="3"/>
      <c r="B4" s="3"/>
      <c r="C4" s="3" t="s">
        <v>496</v>
      </c>
      <c r="D4" s="18" t="s">
        <v>82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311</v>
      </c>
      <c r="R4" s="3"/>
      <c r="S4" s="3"/>
      <c r="T4" s="3" t="s">
        <v>375</v>
      </c>
      <c r="U4" s="3"/>
      <c r="V4" s="3"/>
      <c r="W4" s="3"/>
      <c r="X4" s="3"/>
      <c r="Y4" s="3"/>
      <c r="Z4" s="3" t="s">
        <v>63</v>
      </c>
      <c r="AA4" s="3"/>
      <c r="AB4" s="21" t="s">
        <v>176</v>
      </c>
      <c r="AC4" s="3"/>
      <c r="AD4" s="3" t="s">
        <v>215</v>
      </c>
      <c r="AE4" s="3"/>
      <c r="AF4" s="3" t="s">
        <v>497</v>
      </c>
      <c r="AG4" s="17" t="s">
        <v>136</v>
      </c>
    </row>
    <row r="5" spans="1:33">
      <c r="M5" s="1"/>
      <c r="O5" s="1"/>
      <c r="Q5" s="22" t="s">
        <v>313</v>
      </c>
      <c r="AB5" s="3" t="s">
        <v>63</v>
      </c>
      <c r="AF5" t="s">
        <v>498</v>
      </c>
    </row>
    <row r="6" spans="1:33">
      <c r="M6" s="1"/>
      <c r="O6" s="1"/>
      <c r="Q6" s="23" t="s">
        <v>68</v>
      </c>
      <c r="AF6" t="s">
        <v>499</v>
      </c>
    </row>
    <row r="7" spans="1:33">
      <c r="M7" s="1"/>
      <c r="O7" s="1"/>
      <c r="Q7" s="23" t="s">
        <v>316</v>
      </c>
      <c r="AF7" t="s">
        <v>500</v>
      </c>
    </row>
    <row r="8" spans="1:33">
      <c r="M8" s="1"/>
      <c r="O8" s="1"/>
      <c r="Q8" s="23" t="s">
        <v>318</v>
      </c>
      <c r="AF8" t="s">
        <v>501</v>
      </c>
    </row>
    <row r="9" spans="1:33">
      <c r="M9" s="1"/>
      <c r="O9" s="1"/>
      <c r="Q9" s="23" t="s">
        <v>319</v>
      </c>
      <c r="AF9" t="s">
        <v>502</v>
      </c>
    </row>
    <row r="10" spans="1:33">
      <c r="M10" s="1"/>
      <c r="O10" s="1"/>
      <c r="Q10" s="23" t="s">
        <v>134</v>
      </c>
      <c r="AF10" t="s">
        <v>503</v>
      </c>
      <c r="AG10" t="s">
        <v>504</v>
      </c>
    </row>
    <row r="11" spans="1:33">
      <c r="M11" s="1"/>
      <c r="O11" s="1"/>
      <c r="Q11" s="23" t="s">
        <v>321</v>
      </c>
      <c r="AF11" t="s">
        <v>505</v>
      </c>
    </row>
    <row r="12" spans="1:33">
      <c r="M12" s="1"/>
      <c r="O12" s="1"/>
      <c r="Q12" s="23" t="s">
        <v>322</v>
      </c>
    </row>
    <row r="13" spans="1:33">
      <c r="M13" s="1"/>
      <c r="O13" s="1"/>
      <c r="Q13" s="23" t="s">
        <v>323</v>
      </c>
    </row>
    <row r="14" spans="1:33">
      <c r="M14" s="1"/>
      <c r="O14" s="1"/>
      <c r="Q14" s="23" t="s">
        <v>324</v>
      </c>
    </row>
    <row r="15" spans="1:33">
      <c r="M15" s="1"/>
      <c r="O15" s="1"/>
      <c r="Q15" s="23" t="s">
        <v>325</v>
      </c>
    </row>
    <row r="16" spans="1:33">
      <c r="M16" s="1"/>
      <c r="O16" s="1"/>
      <c r="Q16" s="23" t="s">
        <v>326</v>
      </c>
    </row>
    <row r="17" spans="13:33">
      <c r="M17" s="1"/>
      <c r="O17" s="1"/>
      <c r="Q17" s="23" t="s">
        <v>327</v>
      </c>
      <c r="AF17" t="s">
        <v>506</v>
      </c>
    </row>
    <row r="18" spans="13:33" ht="43.15">
      <c r="M18" s="1"/>
      <c r="O18" s="1"/>
      <c r="Q18" s="23" t="s">
        <v>328</v>
      </c>
      <c r="AF18" s="24" t="s">
        <v>492</v>
      </c>
      <c r="AG18" s="24" t="s">
        <v>367</v>
      </c>
    </row>
    <row r="19" spans="13:33">
      <c r="M19" s="1"/>
      <c r="O19" s="1"/>
      <c r="Q19" s="23" t="s">
        <v>329</v>
      </c>
      <c r="AF19" t="s">
        <v>507</v>
      </c>
      <c r="AG19" t="s">
        <v>47</v>
      </c>
    </row>
    <row r="20" spans="13:33">
      <c r="M20" s="1"/>
      <c r="O20" s="1"/>
      <c r="Q20" s="23" t="s">
        <v>330</v>
      </c>
      <c r="AF20" t="s">
        <v>508</v>
      </c>
      <c r="AG20" t="s">
        <v>136</v>
      </c>
    </row>
    <row r="21" spans="13:33">
      <c r="M21" s="1"/>
      <c r="O21" s="1"/>
      <c r="Q21" s="23" t="s">
        <v>331</v>
      </c>
      <c r="AG21" t="s">
        <v>509</v>
      </c>
    </row>
    <row r="22" spans="13:33">
      <c r="M22" s="1"/>
      <c r="O22" s="1"/>
      <c r="Q22" s="23" t="s">
        <v>332</v>
      </c>
    </row>
    <row r="23" spans="13:33">
      <c r="M23" s="1"/>
      <c r="O23" s="1"/>
      <c r="Q23" s="23" t="s">
        <v>118</v>
      </c>
    </row>
    <row r="24" spans="13:33">
      <c r="M24" s="1"/>
      <c r="O24" s="1"/>
      <c r="Q24" s="23" t="s">
        <v>268</v>
      </c>
    </row>
    <row r="25" spans="13:33">
      <c r="M25" s="1"/>
      <c r="O25" s="1"/>
      <c r="Q25" s="23" t="s">
        <v>333</v>
      </c>
    </row>
    <row r="26" spans="13:33">
      <c r="M26" s="1"/>
      <c r="O26" s="1"/>
      <c r="Q26" s="23" t="s">
        <v>334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0F7B7A9-923F-47C9-B035-F75FFDCA5F1C}"/>
</file>

<file path=customXml/itemProps3.xml><?xml version="1.0" encoding="utf-8"?>
<ds:datastoreItem xmlns:ds="http://schemas.openxmlformats.org/officeDocument/2006/customXml" ds:itemID="{7C7276F3-723F-45C7-96FF-74194C59BEA3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2026-06-19T13:20:58Z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