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944" documentId="8_{6ECDD604-2486-4FAB-B781-1B61D98AF7BB}" xr6:coauthVersionLast="47" xr6:coauthVersionMax="47" xr10:uidLastSave="{800AEC65-38B2-4091-A76E-E78E044CFBF1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Consolidado!$A$1:$AU$118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18" i="32" l="1"/>
  <c r="AT118" i="32" s="1"/>
  <c r="AP118" i="32"/>
  <c r="AO118" i="32"/>
  <c r="AN118" i="32"/>
  <c r="AM118" i="32"/>
  <c r="AU117" i="32"/>
  <c r="AR117" i="32" s="1"/>
  <c r="AP117" i="32"/>
  <c r="AO117" i="32"/>
  <c r="AN117" i="32"/>
  <c r="AM117" i="32"/>
  <c r="AU116" i="32"/>
  <c r="AT116" i="32" s="1"/>
  <c r="AP116" i="32"/>
  <c r="AO116" i="32"/>
  <c r="AN116" i="32"/>
  <c r="AM116" i="32"/>
  <c r="AU115" i="32"/>
  <c r="AT115" i="32" s="1"/>
  <c r="AP115" i="32"/>
  <c r="AO115" i="32"/>
  <c r="AN115" i="32"/>
  <c r="AM115" i="32"/>
  <c r="I115" i="32"/>
  <c r="I116" i="32"/>
  <c r="I117" i="32"/>
  <c r="I118" i="32"/>
  <c r="AU114" i="32"/>
  <c r="AT114" i="32" s="1"/>
  <c r="AP114" i="32"/>
  <c r="AO114" i="32"/>
  <c r="AN114" i="32"/>
  <c r="AM114" i="32"/>
  <c r="AU113" i="32"/>
  <c r="AQ113" i="32" s="1"/>
  <c r="AP113" i="32"/>
  <c r="AO113" i="32"/>
  <c r="AN113" i="32"/>
  <c r="AM113" i="32"/>
  <c r="AU112" i="32"/>
  <c r="AS112" i="32" s="1"/>
  <c r="AP112" i="32"/>
  <c r="AO112" i="32"/>
  <c r="AN112" i="32"/>
  <c r="AM112" i="32"/>
  <c r="AU111" i="32"/>
  <c r="AR111" i="32" s="1"/>
  <c r="AP111" i="32"/>
  <c r="AO111" i="32"/>
  <c r="AN111" i="32"/>
  <c r="AM111" i="32"/>
  <c r="AU110" i="32"/>
  <c r="AT110" i="32" s="1"/>
  <c r="AP110" i="32"/>
  <c r="AO110" i="32"/>
  <c r="AN110" i="32"/>
  <c r="AM110" i="32"/>
  <c r="AU109" i="32"/>
  <c r="AQ109" i="32" s="1"/>
  <c r="AP109" i="32"/>
  <c r="AO109" i="32"/>
  <c r="AN109" i="32"/>
  <c r="AM109" i="32"/>
  <c r="AU108" i="32"/>
  <c r="AS108" i="32" s="1"/>
  <c r="AP108" i="32"/>
  <c r="AO108" i="32"/>
  <c r="AN108" i="32"/>
  <c r="AM108" i="32"/>
  <c r="I108" i="32"/>
  <c r="I109" i="32"/>
  <c r="I110" i="32"/>
  <c r="I111" i="32"/>
  <c r="I112" i="32"/>
  <c r="I113" i="32"/>
  <c r="I114" i="32"/>
  <c r="AU107" i="32"/>
  <c r="AT107" i="32" s="1"/>
  <c r="AP107" i="32"/>
  <c r="AO107" i="32"/>
  <c r="AN107" i="32"/>
  <c r="AM107" i="32"/>
  <c r="AU106" i="32"/>
  <c r="AQ106" i="32" s="1"/>
  <c r="AP106" i="32"/>
  <c r="AO106" i="32"/>
  <c r="AN106" i="32"/>
  <c r="AM106" i="32"/>
  <c r="AU105" i="32"/>
  <c r="AT105" i="32" s="1"/>
  <c r="AP105" i="32"/>
  <c r="AO105" i="32"/>
  <c r="AN105" i="32"/>
  <c r="AM105" i="32"/>
  <c r="AU104" i="32"/>
  <c r="AT104" i="32" s="1"/>
  <c r="AP104" i="32"/>
  <c r="AO104" i="32"/>
  <c r="AN104" i="32"/>
  <c r="AM104" i="32"/>
  <c r="AU103" i="32"/>
  <c r="AT103" i="32" s="1"/>
  <c r="AP103" i="32"/>
  <c r="AO103" i="32"/>
  <c r="AN103" i="32"/>
  <c r="AM103" i="32"/>
  <c r="AU102" i="32"/>
  <c r="AQ102" i="32" s="1"/>
  <c r="AP102" i="32"/>
  <c r="AO102" i="32"/>
  <c r="AN102" i="32"/>
  <c r="AM102" i="32"/>
  <c r="AU101" i="32"/>
  <c r="AT101" i="32" s="1"/>
  <c r="AP101" i="32"/>
  <c r="AO101" i="32"/>
  <c r="AN101" i="32"/>
  <c r="AM101" i="32"/>
  <c r="AU100" i="32"/>
  <c r="AT100" i="32" s="1"/>
  <c r="AP100" i="32"/>
  <c r="AO100" i="32"/>
  <c r="AN100" i="32"/>
  <c r="AM100" i="32"/>
  <c r="AU99" i="32"/>
  <c r="AQ99" i="32" s="1"/>
  <c r="AP99" i="32"/>
  <c r="AO99" i="32"/>
  <c r="AN99" i="32"/>
  <c r="AM99" i="32"/>
  <c r="AU98" i="32"/>
  <c r="AT98" i="32" s="1"/>
  <c r="AP98" i="32"/>
  <c r="AO98" i="32"/>
  <c r="AN98" i="32"/>
  <c r="AM98" i="32"/>
  <c r="AU97" i="32"/>
  <c r="AT97" i="32" s="1"/>
  <c r="AP97" i="32"/>
  <c r="AO97" i="32"/>
  <c r="AN97" i="32"/>
  <c r="AM97" i="32"/>
  <c r="I97" i="32"/>
  <c r="I98" i="32"/>
  <c r="I99" i="32"/>
  <c r="I100" i="32"/>
  <c r="I101" i="32"/>
  <c r="I102" i="32"/>
  <c r="I103" i="32"/>
  <c r="I104" i="32"/>
  <c r="I105" i="32"/>
  <c r="I106" i="32"/>
  <c r="I10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3" i="32"/>
  <c r="AO93" i="32"/>
  <c r="AN93" i="32"/>
  <c r="AM93" i="32"/>
  <c r="AP92" i="32"/>
  <c r="AO92" i="32"/>
  <c r="AN92" i="32"/>
  <c r="AM92" i="32"/>
  <c r="AP91" i="32"/>
  <c r="AO91" i="32"/>
  <c r="AN91" i="32"/>
  <c r="AM91" i="32"/>
  <c r="AP90" i="32"/>
  <c r="AO90" i="32"/>
  <c r="AN90" i="32"/>
  <c r="AM90" i="32"/>
  <c r="I90" i="32"/>
  <c r="I91" i="32"/>
  <c r="I92" i="32"/>
  <c r="I93" i="32"/>
  <c r="I94" i="32"/>
  <c r="I95" i="32"/>
  <c r="I96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34" i="32"/>
  <c r="I35" i="32"/>
  <c r="I36" i="32"/>
  <c r="I37" i="32"/>
  <c r="I38" i="32"/>
  <c r="I39" i="32"/>
  <c r="I40" i="32"/>
  <c r="I41" i="32"/>
  <c r="I42" i="32"/>
  <c r="I43" i="32"/>
  <c r="I44" i="32"/>
  <c r="I45" i="32"/>
  <c r="I46" i="32"/>
  <c r="I47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61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74" i="32"/>
  <c r="I75" i="32"/>
  <c r="I76" i="32"/>
  <c r="I77" i="32"/>
  <c r="I78" i="32"/>
  <c r="I79" i="32"/>
  <c r="I80" i="32"/>
  <c r="I81" i="32"/>
  <c r="I82" i="32"/>
  <c r="I83" i="32"/>
  <c r="I84" i="32"/>
  <c r="I85" i="32"/>
  <c r="I86" i="32"/>
  <c r="I87" i="32"/>
  <c r="I88" i="32"/>
  <c r="I89" i="32"/>
  <c r="I2" i="32"/>
  <c r="O61" i="54"/>
  <c r="O60" i="54"/>
  <c r="O59" i="54"/>
  <c r="O58" i="54"/>
  <c r="O57" i="54"/>
  <c r="AP89" i="32"/>
  <c r="AO89" i="32"/>
  <c r="AN89" i="32"/>
  <c r="AM89" i="32"/>
  <c r="AP88" i="32"/>
  <c r="AO88" i="32"/>
  <c r="AN88" i="32"/>
  <c r="AM88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79" i="32"/>
  <c r="AO79" i="32"/>
  <c r="AN79" i="32"/>
  <c r="AM79" i="32"/>
  <c r="AP78" i="32"/>
  <c r="AO78" i="32"/>
  <c r="AN78" i="32"/>
  <c r="AM78" i="32"/>
  <c r="AP77" i="32"/>
  <c r="AO77" i="32"/>
  <c r="AN77" i="32"/>
  <c r="AM77" i="32"/>
  <c r="AP76" i="32"/>
  <c r="AO76" i="32"/>
  <c r="AN76" i="32"/>
  <c r="AM76" i="32"/>
  <c r="AP75" i="32"/>
  <c r="AO75" i="32"/>
  <c r="AN75" i="32"/>
  <c r="AM75" i="32"/>
  <c r="AP74" i="32"/>
  <c r="AO74" i="32"/>
  <c r="AN74" i="32"/>
  <c r="AM74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61" i="32"/>
  <c r="AO61" i="32"/>
  <c r="AN61" i="32"/>
  <c r="AM61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47" i="32"/>
  <c r="AO47" i="32"/>
  <c r="AN47" i="32"/>
  <c r="AM47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42" i="32"/>
  <c r="AO42" i="32"/>
  <c r="AN42" i="32"/>
  <c r="AM42" i="32"/>
  <c r="AP41" i="32"/>
  <c r="AO41" i="32"/>
  <c r="AN41" i="32"/>
  <c r="AM41" i="32"/>
  <c r="AP40" i="32"/>
  <c r="AO40" i="32"/>
  <c r="AN40" i="32"/>
  <c r="AM40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34" i="32"/>
  <c r="AO34" i="32"/>
  <c r="AN34" i="32"/>
  <c r="AM34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P2" i="32"/>
  <c r="AO2" i="32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L95" i="54"/>
  <c r="L94" i="54"/>
  <c r="G97" i="54"/>
  <c r="F97" i="54"/>
  <c r="E97" i="54"/>
  <c r="D97" i="54"/>
  <c r="C97" i="54"/>
  <c r="G95" i="54"/>
  <c r="F95" i="54"/>
  <c r="E95" i="54"/>
  <c r="D95" i="54"/>
  <c r="C95" i="54"/>
  <c r="G94" i="54"/>
  <c r="F94" i="54"/>
  <c r="E94" i="54"/>
  <c r="D94" i="54"/>
  <c r="C94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L58" i="54"/>
  <c r="G58" i="54"/>
  <c r="F58" i="54"/>
  <c r="E58" i="54"/>
  <c r="D58" i="54"/>
  <c r="C58" i="54"/>
  <c r="T39" i="54"/>
  <c r="T35" i="54"/>
  <c r="T32" i="54"/>
  <c r="T30" i="54"/>
  <c r="T29" i="54"/>
  <c r="T27" i="54"/>
  <c r="T26" i="54"/>
  <c r="T25" i="54"/>
  <c r="T24" i="54"/>
  <c r="T22" i="54"/>
  <c r="T21" i="54"/>
  <c r="T20" i="54"/>
  <c r="T19" i="54"/>
  <c r="T17" i="54"/>
  <c r="T16" i="54"/>
  <c r="Z20" i="49"/>
  <c r="AA20" i="49" s="1" a="1"/>
  <c r="AQ118" i="32" l="1"/>
  <c r="AR116" i="32"/>
  <c r="AS116" i="32"/>
  <c r="AQ116" i="32"/>
  <c r="AQ115" i="32"/>
  <c r="AR115" i="32"/>
  <c r="AS115" i="32"/>
  <c r="AS117" i="32"/>
  <c r="AT117" i="32"/>
  <c r="AR118" i="32"/>
  <c r="AS118" i="32"/>
  <c r="AQ117" i="32"/>
  <c r="AT112" i="32"/>
  <c r="AQ108" i="32"/>
  <c r="T38" i="54"/>
  <c r="AR108" i="32"/>
  <c r="AT108" i="32"/>
  <c r="AR109" i="32"/>
  <c r="AQ111" i="32"/>
  <c r="AS111" i="32"/>
  <c r="AT111" i="32"/>
  <c r="AR113" i="32"/>
  <c r="AQ110" i="32"/>
  <c r="AR112" i="32"/>
  <c r="AS109" i="32"/>
  <c r="AS113" i="32"/>
  <c r="AT109" i="32"/>
  <c r="AQ112" i="32"/>
  <c r="AT113" i="32"/>
  <c r="AQ114" i="32"/>
  <c r="AR110" i="32"/>
  <c r="AR114" i="32"/>
  <c r="AS110" i="32"/>
  <c r="AS114" i="32"/>
  <c r="AS104" i="32"/>
  <c r="AS105" i="32"/>
  <c r="G56" i="54"/>
  <c r="AT102" i="32"/>
  <c r="AQ98" i="32"/>
  <c r="AS98" i="32"/>
  <c r="AR102" i="32"/>
  <c r="AS102" i="32"/>
  <c r="AR104" i="32"/>
  <c r="AS101" i="32"/>
  <c r="AR97" i="32"/>
  <c r="AR106" i="32"/>
  <c r="AS106" i="32"/>
  <c r="AQ101" i="32"/>
  <c r="AT106" i="32"/>
  <c r="AS97" i="32"/>
  <c r="AQ105" i="32"/>
  <c r="AR99" i="32"/>
  <c r="AS99" i="32"/>
  <c r="AT99" i="32"/>
  <c r="AR98" i="32"/>
  <c r="AR101" i="32"/>
  <c r="AR105" i="32"/>
  <c r="AQ97" i="32"/>
  <c r="AQ104" i="32"/>
  <c r="AQ100" i="32"/>
  <c r="AQ103" i="32"/>
  <c r="AQ107" i="32"/>
  <c r="AR100" i="32"/>
  <c r="AR103" i="32"/>
  <c r="AR107" i="32"/>
  <c r="AS100" i="32"/>
  <c r="AS103" i="32"/>
  <c r="AS107" i="32"/>
  <c r="G61" i="54"/>
  <c r="C61" i="54"/>
  <c r="C98" i="54"/>
  <c r="C76" i="54"/>
  <c r="AU2" i="32"/>
  <c r="AT2" i="32" s="1"/>
  <c r="AU96" i="32"/>
  <c r="AT96" i="32" s="1"/>
  <c r="AU95" i="32"/>
  <c r="AT95" i="32" s="1"/>
  <c r="AU94" i="32"/>
  <c r="AQ94" i="32" s="1"/>
  <c r="AU93" i="32"/>
  <c r="AT93" i="32" s="1"/>
  <c r="AU92" i="32"/>
  <c r="AT92" i="32" s="1"/>
  <c r="AU91" i="32"/>
  <c r="AT91" i="32" s="1"/>
  <c r="AU90" i="32"/>
  <c r="AQ90" i="32" s="1"/>
  <c r="AU89" i="32"/>
  <c r="AT89" i="32" s="1"/>
  <c r="AU88" i="32"/>
  <c r="AT88" i="32" s="1"/>
  <c r="AU87" i="32"/>
  <c r="AT87" i="32" s="1"/>
  <c r="AU86" i="32"/>
  <c r="F74" i="54" s="1"/>
  <c r="AU85" i="32"/>
  <c r="AQ85" i="32" s="1"/>
  <c r="AU84" i="32"/>
  <c r="AS84" i="32" s="1"/>
  <c r="AU83" i="32"/>
  <c r="AS83" i="32" s="1"/>
  <c r="AU82" i="32"/>
  <c r="AT82" i="32" s="1"/>
  <c r="AU81" i="32"/>
  <c r="AT81" i="32" s="1"/>
  <c r="AU80" i="32"/>
  <c r="F56" i="54" s="1"/>
  <c r="AU79" i="32"/>
  <c r="AT79" i="32" s="1"/>
  <c r="AU78" i="32"/>
  <c r="AT78" i="32" s="1"/>
  <c r="AU77" i="32"/>
  <c r="AS77" i="32" s="1"/>
  <c r="AU76" i="32"/>
  <c r="AR76" i="32" s="1"/>
  <c r="AU75" i="32"/>
  <c r="AR75" i="32" s="1"/>
  <c r="AU74" i="32"/>
  <c r="AT74" i="32" s="1"/>
  <c r="AU73" i="32"/>
  <c r="AT73" i="32" s="1"/>
  <c r="AU72" i="32"/>
  <c r="AT72" i="32" s="1"/>
  <c r="AU71" i="32"/>
  <c r="AT71" i="32" s="1"/>
  <c r="AU70" i="32"/>
  <c r="AT70" i="32" s="1"/>
  <c r="AU69" i="32"/>
  <c r="AQ69" i="32" s="1"/>
  <c r="AU68" i="32"/>
  <c r="AT68" i="32" s="1"/>
  <c r="AU67" i="32"/>
  <c r="AS67" i="32" s="1"/>
  <c r="AU66" i="32"/>
  <c r="AT66" i="32" s="1"/>
  <c r="AU65" i="32"/>
  <c r="AT65" i="32" s="1"/>
  <c r="AU64" i="32"/>
  <c r="AT64" i="32" s="1"/>
  <c r="AU63" i="32"/>
  <c r="AT63" i="32" s="1"/>
  <c r="AU62" i="32"/>
  <c r="AS62" i="32" s="1"/>
  <c r="AU61" i="32"/>
  <c r="AU60" i="32"/>
  <c r="AQ60" i="32" s="1"/>
  <c r="AU59" i="32"/>
  <c r="AS59" i="32" s="1"/>
  <c r="AU58" i="32"/>
  <c r="AT58" i="32" s="1"/>
  <c r="AU57" i="32"/>
  <c r="AT57" i="32" s="1"/>
  <c r="AU56" i="32"/>
  <c r="AT56" i="32" s="1"/>
  <c r="AU55" i="32"/>
  <c r="AT55" i="32" s="1"/>
  <c r="AU54" i="32"/>
  <c r="AT54" i="32" s="1"/>
  <c r="AU53" i="32"/>
  <c r="AS53" i="32" s="1"/>
  <c r="AU52" i="32"/>
  <c r="AR52" i="32" s="1"/>
  <c r="AU51" i="32"/>
  <c r="AS51" i="32" s="1"/>
  <c r="AU50" i="32"/>
  <c r="AT50" i="32" s="1"/>
  <c r="AU49" i="32"/>
  <c r="AT49" i="32" s="1"/>
  <c r="AU48" i="32"/>
  <c r="AT48" i="32" s="1"/>
  <c r="AU47" i="32"/>
  <c r="AT47" i="32" s="1"/>
  <c r="AU46" i="32"/>
  <c r="AT46" i="32" s="1"/>
  <c r="AU45" i="32"/>
  <c r="AR45" i="32" s="1"/>
  <c r="AU44" i="32"/>
  <c r="AR44" i="32" s="1"/>
  <c r="AU43" i="32"/>
  <c r="AS43" i="32" s="1"/>
  <c r="AU42" i="32"/>
  <c r="AT42" i="32" s="1"/>
  <c r="AU41" i="32"/>
  <c r="AT41" i="32" s="1"/>
  <c r="AU40" i="32"/>
  <c r="AT40" i="32" s="1"/>
  <c r="AU39" i="32"/>
  <c r="AR39" i="32" s="1"/>
  <c r="AU38" i="32"/>
  <c r="AT38" i="32" s="1"/>
  <c r="AU37" i="32"/>
  <c r="AQ37" i="32" s="1"/>
  <c r="AU36" i="32"/>
  <c r="AR36" i="32" s="1"/>
  <c r="AU35" i="32"/>
  <c r="AR35" i="32" s="1"/>
  <c r="AU34" i="32"/>
  <c r="AT34" i="32" s="1"/>
  <c r="AU33" i="32"/>
  <c r="AS33" i="32" s="1"/>
  <c r="AU32" i="32"/>
  <c r="AT32" i="32" s="1"/>
  <c r="AU31" i="32"/>
  <c r="AS31" i="32" s="1"/>
  <c r="AU30" i="32"/>
  <c r="AT30" i="32" s="1"/>
  <c r="AU29" i="32"/>
  <c r="AQ29" i="32" s="1"/>
  <c r="AU28" i="32"/>
  <c r="AT28" i="32" s="1"/>
  <c r="AU27" i="32"/>
  <c r="AS27" i="32" s="1"/>
  <c r="AU26" i="32"/>
  <c r="AT26" i="32" s="1"/>
  <c r="AU25" i="32"/>
  <c r="AT25" i="32" s="1"/>
  <c r="AU24" i="32"/>
  <c r="AR24" i="32" s="1"/>
  <c r="AU23" i="32"/>
  <c r="AQ23" i="32" s="1"/>
  <c r="AU22" i="32"/>
  <c r="AT22" i="32" s="1"/>
  <c r="AU21" i="32"/>
  <c r="AQ21" i="32" s="1"/>
  <c r="AU20" i="32"/>
  <c r="AR20" i="32" s="1"/>
  <c r="AU19" i="32"/>
  <c r="AS19" i="32" s="1"/>
  <c r="AU18" i="32"/>
  <c r="AT18" i="32" s="1"/>
  <c r="AU17" i="32"/>
  <c r="AT17" i="32" s="1"/>
  <c r="AU16" i="32"/>
  <c r="AR16" i="32" s="1"/>
  <c r="AU15" i="32"/>
  <c r="AT15" i="32" s="1"/>
  <c r="AU14" i="32"/>
  <c r="AQ14" i="32" s="1"/>
  <c r="AU13" i="32"/>
  <c r="AR13" i="32" s="1"/>
  <c r="AU12" i="32"/>
  <c r="AS12" i="32" s="1"/>
  <c r="AU11" i="32"/>
  <c r="AT11" i="32" s="1"/>
  <c r="AU10" i="32"/>
  <c r="AT10" i="32" s="1"/>
  <c r="AU9" i="32"/>
  <c r="AT9" i="32" s="1"/>
  <c r="AU8" i="32"/>
  <c r="AS8" i="32" s="1"/>
  <c r="AU7" i="32"/>
  <c r="AT7" i="32" s="1"/>
  <c r="AU6" i="32"/>
  <c r="AQ6" i="32" s="1"/>
  <c r="AU5" i="32"/>
  <c r="AR5" i="32" s="1"/>
  <c r="AU4" i="32"/>
  <c r="AS4" i="32" s="1"/>
  <c r="AU3" i="32"/>
  <c r="AT3" i="32" s="1"/>
  <c r="L75" i="54"/>
  <c r="D56" i="54"/>
  <c r="C96" i="54"/>
  <c r="F57" i="54"/>
  <c r="C56" i="54"/>
  <c r="F59" i="54"/>
  <c r="E73" i="54"/>
  <c r="D60" i="54"/>
  <c r="E60" i="54"/>
  <c r="F60" i="54"/>
  <c r="C87" i="54"/>
  <c r="G60" i="54"/>
  <c r="C60" i="54"/>
  <c r="E56" i="54"/>
  <c r="C59" i="54"/>
  <c r="D59" i="54"/>
  <c r="G73" i="54"/>
  <c r="C57" i="54"/>
  <c r="E59" i="54"/>
  <c r="C73" i="54"/>
  <c r="T34" i="54"/>
  <c r="G59" i="54"/>
  <c r="G57" i="54"/>
  <c r="E57" i="54"/>
  <c r="E74" i="54"/>
  <c r="D73" i="54"/>
  <c r="C74" i="54"/>
  <c r="C75" i="54"/>
  <c r="D96" i="54"/>
  <c r="E75" i="54"/>
  <c r="C93" i="54"/>
  <c r="F75" i="54"/>
  <c r="E93" i="54"/>
  <c r="L105" i="54"/>
  <c r="C47" i="54"/>
  <c r="D47" i="54"/>
  <c r="H111" i="54"/>
  <c r="H110" i="54"/>
  <c r="K2" i="49" a="1"/>
  <c r="AM2" i="32"/>
  <c r="G75" i="54" s="1"/>
  <c r="AN2" i="32"/>
  <c r="F2" i="49" a="1"/>
  <c r="G96" i="54" l="1"/>
  <c r="E96" i="54"/>
  <c r="AR61" i="32"/>
  <c r="T31" i="54"/>
  <c r="F96" i="54"/>
  <c r="G74" i="54"/>
  <c r="G93" i="54"/>
  <c r="F73" i="54"/>
  <c r="AT86" i="32"/>
  <c r="F93" i="54"/>
  <c r="D75" i="54"/>
  <c r="AS16" i="32"/>
  <c r="AS52" i="32"/>
  <c r="G87" i="54"/>
  <c r="G76" i="54"/>
  <c r="G98" i="54"/>
  <c r="D98" i="54"/>
  <c r="G47" i="54"/>
  <c r="AS48" i="32"/>
  <c r="AQ91" i="32"/>
  <c r="AS88" i="32"/>
  <c r="AQ96" i="32"/>
  <c r="AR79" i="32"/>
  <c r="AT75" i="32"/>
  <c r="AQ79" i="32"/>
  <c r="AS55" i="32"/>
  <c r="AS91" i="32"/>
  <c r="AQ53" i="32"/>
  <c r="AS89" i="32"/>
  <c r="AQ67" i="32"/>
  <c r="AR89" i="32"/>
  <c r="AR18" i="32"/>
  <c r="AQ41" i="32"/>
  <c r="AQ11" i="32"/>
  <c r="AR4" i="32"/>
  <c r="D93" i="54"/>
  <c r="AQ48" i="32"/>
  <c r="E87" i="54"/>
  <c r="AR48" i="32"/>
  <c r="AS41" i="32"/>
  <c r="AR26" i="32"/>
  <c r="AT6" i="32"/>
  <c r="AQ51" i="32"/>
  <c r="AS63" i="32"/>
  <c r="AS14" i="32"/>
  <c r="AR62" i="32"/>
  <c r="AS39" i="32"/>
  <c r="AQ75" i="32"/>
  <c r="AS87" i="32"/>
  <c r="AT16" i="32"/>
  <c r="AQ63" i="32"/>
  <c r="AR38" i="32"/>
  <c r="AS94" i="32"/>
  <c r="AR49" i="32"/>
  <c r="AS85" i="32"/>
  <c r="AS61" i="32"/>
  <c r="AS2" i="32"/>
  <c r="AR2" i="32"/>
  <c r="AQ2" i="32"/>
  <c r="AQ16" i="32"/>
  <c r="AR85" i="32"/>
  <c r="AT85" i="32"/>
  <c r="AS25" i="32"/>
  <c r="AT61" i="32"/>
  <c r="AQ74" i="32"/>
  <c r="AR87" i="32"/>
  <c r="AQ39" i="32"/>
  <c r="F87" i="54"/>
  <c r="AQ33" i="32"/>
  <c r="AR73" i="32"/>
  <c r="T18" i="54"/>
  <c r="AS72" i="32"/>
  <c r="AT36" i="32"/>
  <c r="AS49" i="32"/>
  <c r="AQ58" i="32"/>
  <c r="AT27" i="32"/>
  <c r="AQ72" i="32"/>
  <c r="AT39" i="32"/>
  <c r="AR51" i="32"/>
  <c r="AQ45" i="32"/>
  <c r="AQ28" i="32"/>
  <c r="AR34" i="32"/>
  <c r="AR37" i="32"/>
  <c r="AQ61" i="32"/>
  <c r="AR27" i="32"/>
  <c r="AQ27" i="32"/>
  <c r="AQ89" i="32"/>
  <c r="AT14" i="32"/>
  <c r="AT37" i="32"/>
  <c r="AS6" i="32"/>
  <c r="AQ87" i="32"/>
  <c r="AS69" i="32"/>
  <c r="AR22" i="32"/>
  <c r="AQ46" i="32"/>
  <c r="AS23" i="32"/>
  <c r="AS50" i="32"/>
  <c r="AS73" i="32"/>
  <c r="AT59" i="32"/>
  <c r="AT84" i="32"/>
  <c r="AS24" i="32"/>
  <c r="AQ57" i="32"/>
  <c r="AQ84" i="32"/>
  <c r="AS81" i="32"/>
  <c r="AR95" i="32"/>
  <c r="AQ36" i="32"/>
  <c r="AQ81" i="32"/>
  <c r="AT51" i="32"/>
  <c r="AR14" i="32"/>
  <c r="AT24" i="32"/>
  <c r="AR63" i="32"/>
  <c r="AR60" i="32"/>
  <c r="AR21" i="32"/>
  <c r="AR84" i="32"/>
  <c r="AT21" i="32"/>
  <c r="AR46" i="32"/>
  <c r="AS82" i="32"/>
  <c r="AQ24" i="32"/>
  <c r="AR25" i="32"/>
  <c r="AR58" i="32"/>
  <c r="AR81" i="32"/>
  <c r="AQ73" i="32"/>
  <c r="AQ25" i="32"/>
  <c r="AS60" i="32"/>
  <c r="AR33" i="32"/>
  <c r="AQ49" i="32"/>
  <c r="AS96" i="32"/>
  <c r="AR57" i="32"/>
  <c r="AS22" i="32"/>
  <c r="AS57" i="32"/>
  <c r="AS80" i="32"/>
  <c r="AR72" i="32"/>
  <c r="AQ70" i="32"/>
  <c r="AT60" i="32"/>
  <c r="AS46" i="32"/>
  <c r="AQ13" i="32"/>
  <c r="AS36" i="32"/>
  <c r="AS37" i="32"/>
  <c r="AR70" i="32"/>
  <c r="AR96" i="32"/>
  <c r="AQ71" i="32"/>
  <c r="AR43" i="32"/>
  <c r="AQ35" i="32"/>
  <c r="AT35" i="32"/>
  <c r="AR71" i="32"/>
  <c r="AQ47" i="32"/>
  <c r="AR55" i="32"/>
  <c r="E47" i="54"/>
  <c r="AT4" i="32"/>
  <c r="AS10" i="32"/>
  <c r="AR23" i="32"/>
  <c r="AT77" i="32"/>
  <c r="AT53" i="32"/>
  <c r="AQ55" i="32"/>
  <c r="AS26" i="32"/>
  <c r="AS65" i="32"/>
  <c r="AQ50" i="32"/>
  <c r="AS21" i="32"/>
  <c r="AT62" i="32"/>
  <c r="AQ80" i="32"/>
  <c r="AR69" i="32"/>
  <c r="D87" i="54"/>
  <c r="AR83" i="32"/>
  <c r="AQ26" i="32"/>
  <c r="AT69" i="32"/>
  <c r="AR12" i="32"/>
  <c r="AS74" i="32"/>
  <c r="AR50" i="32"/>
  <c r="AT67" i="32"/>
  <c r="AT45" i="32"/>
  <c r="AS47" i="32"/>
  <c r="D57" i="54"/>
  <c r="AQ78" i="32"/>
  <c r="AQ54" i="32"/>
  <c r="AS90" i="32"/>
  <c r="AR66" i="32"/>
  <c r="AQ42" i="32"/>
  <c r="AS70" i="32"/>
  <c r="AR91" i="32"/>
  <c r="AR90" i="32"/>
  <c r="AS42" i="32"/>
  <c r="AR78" i="32"/>
  <c r="AQ59" i="32"/>
  <c r="AQ82" i="32"/>
  <c r="AS30" i="32"/>
  <c r="AT43" i="32"/>
  <c r="AS9" i="32"/>
  <c r="AS78" i="32"/>
  <c r="AR41" i="32"/>
  <c r="AT23" i="32"/>
  <c r="AR6" i="32"/>
  <c r="AR47" i="32"/>
  <c r="AQ95" i="32"/>
  <c r="AR94" i="32"/>
  <c r="AS18" i="32"/>
  <c r="AS71" i="32"/>
  <c r="AQ8" i="32"/>
  <c r="AQ65" i="32"/>
  <c r="AR29" i="32"/>
  <c r="AS7" i="32"/>
  <c r="AQ30" i="32"/>
  <c r="AQ19" i="32"/>
  <c r="AR67" i="32"/>
  <c r="AQ83" i="32"/>
  <c r="L96" i="54"/>
  <c r="AQ22" i="32"/>
  <c r="AQ18" i="32"/>
  <c r="AR30" i="32"/>
  <c r="AT8" i="32"/>
  <c r="AS29" i="32"/>
  <c r="AS92" i="32"/>
  <c r="AS66" i="32"/>
  <c r="AQ12" i="32"/>
  <c r="D74" i="54"/>
  <c r="AR54" i="32"/>
  <c r="T36" i="54"/>
  <c r="AQ20" i="32"/>
  <c r="AR82" i="32"/>
  <c r="AS79" i="32"/>
  <c r="AT19" i="32"/>
  <c r="AT44" i="32"/>
  <c r="AT31" i="32"/>
  <c r="AQ31" i="32"/>
  <c r="AQ77" i="32"/>
  <c r="AT29" i="32"/>
  <c r="AS54" i="32"/>
  <c r="AR59" i="32"/>
  <c r="AR19" i="32"/>
  <c r="AQ43" i="32"/>
  <c r="AR11" i="32"/>
  <c r="AQ66" i="32"/>
  <c r="L87" i="54"/>
  <c r="AT12" i="32"/>
  <c r="AR8" i="32"/>
  <c r="AR31" i="32"/>
  <c r="AR77" i="32"/>
  <c r="AS56" i="32"/>
  <c r="AR53" i="32"/>
  <c r="L57" i="54"/>
  <c r="F47" i="54"/>
  <c r="AS58" i="32"/>
  <c r="AR42" i="32"/>
  <c r="AQ4" i="32"/>
  <c r="AR65" i="32"/>
  <c r="AT83" i="32"/>
  <c r="AQ7" i="32"/>
  <c r="AS38" i="32"/>
  <c r="AT94" i="32"/>
  <c r="AR7" i="32"/>
  <c r="AS95" i="32"/>
  <c r="AT90" i="32"/>
  <c r="T28" i="54"/>
  <c r="X24" i="54"/>
  <c r="AQ86" i="32"/>
  <c r="AQ76" i="32"/>
  <c r="AT52" i="32"/>
  <c r="AR56" i="32"/>
  <c r="T37" i="54"/>
  <c r="AQ52" i="32"/>
  <c r="T15" i="54"/>
  <c r="AQ15" i="32"/>
  <c r="AR9" i="32"/>
  <c r="AR32" i="32"/>
  <c r="AQ40" i="32"/>
  <c r="AR86" i="32"/>
  <c r="AS76" i="32"/>
  <c r="AQ10" i="32"/>
  <c r="AS32" i="32"/>
  <c r="AR40" i="32"/>
  <c r="AS86" i="32"/>
  <c r="AT76" i="32"/>
  <c r="AS45" i="32"/>
  <c r="L60" i="54"/>
  <c r="L93" i="54"/>
  <c r="AT5" i="32"/>
  <c r="AR64" i="32"/>
  <c r="AS5" i="32"/>
  <c r="C50" i="54"/>
  <c r="AQ5" i="32"/>
  <c r="AR88" i="32"/>
  <c r="AR68" i="32"/>
  <c r="AQ88" i="32"/>
  <c r="AS44" i="32"/>
  <c r="AR92" i="32"/>
  <c r="AR93" i="32"/>
  <c r="AQ64" i="32"/>
  <c r="L109" i="54"/>
  <c r="L112" i="54" s="1"/>
  <c r="AQ44" i="32"/>
  <c r="AQ9" i="32"/>
  <c r="AR74" i="32"/>
  <c r="AS15" i="32"/>
  <c r="AS20" i="32"/>
  <c r="AS17" i="32"/>
  <c r="AR15" i="32"/>
  <c r="AS68" i="32"/>
  <c r="AR10" i="32"/>
  <c r="T23" i="54"/>
  <c r="AS40" i="32"/>
  <c r="AS3" i="32"/>
  <c r="AR3" i="32"/>
  <c r="AQ17" i="32"/>
  <c r="AQ32" i="32"/>
  <c r="AQ56" i="32"/>
  <c r="L73" i="54"/>
  <c r="AQ92" i="32"/>
  <c r="AS64" i="32"/>
  <c r="AR80" i="32"/>
  <c r="AQ3" i="32"/>
  <c r="AR17" i="32"/>
  <c r="AQ62" i="32"/>
  <c r="AT20" i="32"/>
  <c r="O56" i="54"/>
  <c r="O62" i="54" s="1"/>
  <c r="AS93" i="32"/>
  <c r="AS28" i="32"/>
  <c r="AQ38" i="32"/>
  <c r="AQ93" i="32"/>
  <c r="AS13" i="32"/>
  <c r="AT13" i="32"/>
  <c r="AS34" i="32"/>
  <c r="L59" i="54"/>
  <c r="AQ34" i="32"/>
  <c r="L74" i="54"/>
  <c r="X23" i="54"/>
  <c r="AS11" i="32"/>
  <c r="AR28" i="32"/>
  <c r="T33" i="54"/>
  <c r="AT80" i="32"/>
  <c r="F76" i="54"/>
  <c r="F98" i="54"/>
  <c r="F61" i="54"/>
  <c r="F66" i="54" s="1"/>
  <c r="AS75" i="32"/>
  <c r="E76" i="54"/>
  <c r="L98" i="54"/>
  <c r="E98" i="54"/>
  <c r="E61" i="54"/>
  <c r="E68" i="54" s="1"/>
  <c r="AQ68" i="32"/>
  <c r="D76" i="54"/>
  <c r="D61" i="54"/>
  <c r="D68" i="54" s="1"/>
  <c r="AS35" i="32"/>
  <c r="L76" i="54"/>
  <c r="L61" i="54"/>
  <c r="L56" i="54"/>
  <c r="AT33" i="32"/>
  <c r="C66" i="54"/>
  <c r="G66" i="54"/>
  <c r="G67" i="54"/>
  <c r="G68" i="54"/>
  <c r="C68" i="54"/>
  <c r="C67" i="54"/>
  <c r="F109" i="54"/>
  <c r="E109" i="54"/>
  <c r="D109" i="54"/>
  <c r="C109" i="54"/>
  <c r="G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H47" i="54" l="1"/>
  <c r="L66" i="54"/>
  <c r="O21" i="54"/>
  <c r="N26" i="54"/>
  <c r="P20" i="54"/>
  <c r="M26" i="54"/>
  <c r="P26" i="54"/>
  <c r="N20" i="54"/>
  <c r="N21" i="54"/>
  <c r="O20" i="54"/>
  <c r="M21" i="54"/>
  <c r="P21" i="54"/>
  <c r="Y19" i="54"/>
  <c r="M20" i="54"/>
  <c r="F67" i="54"/>
  <c r="F68" i="54"/>
  <c r="L67" i="54"/>
  <c r="Q26" i="54"/>
  <c r="Y17" i="54"/>
  <c r="Q20" i="54"/>
  <c r="O26" i="54"/>
  <c r="Q21" i="54"/>
  <c r="L68" i="54"/>
  <c r="Y16" i="54"/>
  <c r="E66" i="54"/>
  <c r="Y18" i="54"/>
  <c r="E67" i="54"/>
  <c r="D67" i="54"/>
  <c r="H76" i="54"/>
  <c r="D66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  <c r="AA20" i="49"/>
  <c r="K2" i="49"/>
  <c r="F2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<sst xmlns="http://schemas.openxmlformats.org/spreadsheetml/2006/main" count="3168" uniqueCount="785">
  <si>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</si>
  <si>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</si>
  <si>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</si>
  <si>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</si>
  <si>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</si>
  <si>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</si>
  <si>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</si>
  <si>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</si>
  <si>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</si>
  <si>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</si>
  <si>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</si>
  <si>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</si>
  <si>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</si>
  <si>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</si>
  <si>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</si>
  <si>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</si>
  <si>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</si>
  <si>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</si>
  <si>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</si>
  <si>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</si>
  <si>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</si>
  <si>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</si>
  <si>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</si>
  <si>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</si>
  <si>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</si>
  <si>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</si>
  <si>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</si>
  <si>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</si>
  <si>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</si>
  <si>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</si>
  <si>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</si>
  <si>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</si>
  <si>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</si>
  <si>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</si>
  <si>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</si>
  <si>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</si>
  <si>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</si>
  <si>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</si>
  <si>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</si>
  <si>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</si>
  <si>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</si>
  <si>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</si>
  <si>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</si>
  <si>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</si>
  <si>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</si>
  <si>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</si>
  <si>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</si>
  <si>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</si>
  <si>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</si>
  <si>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</si>
  <si>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ELIENE MAIRAN NARCISO DE MORAIS SANCHES LORENZONI DE OLIVEIRA</t>
  </si>
  <si>
    <t>385.789.898-48</t>
  </si>
  <si>
    <t>F</t>
  </si>
  <si>
    <t>SP</t>
  </si>
  <si>
    <t>SAO PAULO</t>
  </si>
  <si>
    <t>JARDIM LIDER</t>
  </si>
  <si>
    <t>450</t>
  </si>
  <si>
    <t>16-993921679</t>
  </si>
  <si>
    <t xml:space="preserve">Amanda </t>
  </si>
  <si>
    <t>3. Recusa por desconfiança do programa</t>
  </si>
  <si>
    <t>Contato Com Sucesso</t>
  </si>
  <si>
    <t>Fora da Linha</t>
  </si>
  <si>
    <t> </t>
  </si>
  <si>
    <t>Negativo</t>
  </si>
  <si>
    <t>Não</t>
  </si>
  <si>
    <t>Desflagado</t>
  </si>
  <si>
    <t>NA</t>
  </si>
  <si>
    <t>Pulmão</t>
  </si>
  <si>
    <t>JULIAO ANTONIO VIEIRA</t>
  </si>
  <si>
    <t>064.131.808-11</t>
  </si>
  <si>
    <t>M</t>
  </si>
  <si>
    <t>REPUBLICA</t>
  </si>
  <si>
    <t>750</t>
  </si>
  <si>
    <t>11-959549592</t>
  </si>
  <si>
    <t>6. Contato sem sucesso</t>
  </si>
  <si>
    <t>Contato Sem Sucesso</t>
  </si>
  <si>
    <t>ELISABETE DE OLIVEIRA LEITE</t>
  </si>
  <si>
    <t>398.092.638-99</t>
  </si>
  <si>
    <t>NAO INFORMADO</t>
  </si>
  <si>
    <t>80</t>
  </si>
  <si>
    <t>11-991463985; 11-964377945; 11-989353628</t>
  </si>
  <si>
    <t>4. Inelegível fora do escopo</t>
  </si>
  <si>
    <t>Não Informou</t>
  </si>
  <si>
    <t>LEONARDO PETRAMALI CRAVEIRO</t>
  </si>
  <si>
    <t>443.141.338-30</t>
  </si>
  <si>
    <t>JARDIM CARAVELAS</t>
  </si>
  <si>
    <t>300</t>
  </si>
  <si>
    <t>11-947534006; 11-947793931</t>
  </si>
  <si>
    <t>MISAIRA NUNES VALDIVINO</t>
  </si>
  <si>
    <t>218.991.718-27</t>
  </si>
  <si>
    <t>PINHEIROS</t>
  </si>
  <si>
    <t>380</t>
  </si>
  <si>
    <t>11-984305535</t>
  </si>
  <si>
    <t>Hellen</t>
  </si>
  <si>
    <t>5. Alta por inelegibilidade</t>
  </si>
  <si>
    <t>Não se aplica</t>
  </si>
  <si>
    <t>Interno - Amil Geral</t>
  </si>
  <si>
    <t>Amil Paulistano</t>
  </si>
  <si>
    <t>LUCIA HELENA LEAL DO AMARAL PANGELLA</t>
  </si>
  <si>
    <t>867.453.287-04</t>
  </si>
  <si>
    <t>CONSOLAÇAO</t>
  </si>
  <si>
    <t>500</t>
  </si>
  <si>
    <t>11-996245327; 11-38892738; 11-23077439</t>
  </si>
  <si>
    <t>ADRIANA SILVA REIS CARMO</t>
  </si>
  <si>
    <t>152.068.208-57</t>
  </si>
  <si>
    <t>JARDIM KIKA</t>
  </si>
  <si>
    <t>60</t>
  </si>
  <si>
    <t>11-983422515; 11-983595155; 11--98359-5155</t>
  </si>
  <si>
    <t>Agendada</t>
  </si>
  <si>
    <t>Realizada</t>
  </si>
  <si>
    <t>ROSANGELA DE SOUZA MAZLOUM</t>
  </si>
  <si>
    <t>154.411.978-03</t>
  </si>
  <si>
    <t>GUARULHOS</t>
  </si>
  <si>
    <t>PARQUE RENATO MAIA</t>
  </si>
  <si>
    <t>11-972676880; 11-930268651</t>
  </si>
  <si>
    <t>Tuberculose</t>
  </si>
  <si>
    <t xml:space="preserve">Baixa </t>
  </si>
  <si>
    <t>MARIA APARECIDA DE FARIA SILVA</t>
  </si>
  <si>
    <t>157.986.368-01</t>
  </si>
  <si>
    <t>PARQUE MARIA FERNANDES</t>
  </si>
  <si>
    <t>11-978457950</t>
  </si>
  <si>
    <t>JOSIANE TEIXEIRA DOS SANTOS</t>
  </si>
  <si>
    <t>334.459.678-06</t>
  </si>
  <si>
    <t>CIDADE LIDER</t>
  </si>
  <si>
    <t>11-975308600</t>
  </si>
  <si>
    <t>Externo - Geral</t>
  </si>
  <si>
    <t>JACQUES MAGHIDMAN</t>
  </si>
  <si>
    <t>027.228.288-04</t>
  </si>
  <si>
    <t>VILA POMPEIA</t>
  </si>
  <si>
    <t>600</t>
  </si>
  <si>
    <t>11-36734875; 11-987001586</t>
  </si>
  <si>
    <t>ROSANGELA BELFIORE MARQUES FERREIRA</t>
  </si>
  <si>
    <t>006.073.918-55</t>
  </si>
  <si>
    <t>PAINEIRAS DO MORUMBI</t>
  </si>
  <si>
    <t>11-999980829</t>
  </si>
  <si>
    <t>PRISCILA APARECIDA FRANCISCO NASCIMENTO</t>
  </si>
  <si>
    <t>251.748.598-42</t>
  </si>
  <si>
    <t>VILA MORSE</t>
  </si>
  <si>
    <t>11-974403060; 11-47874907; 11-47874905</t>
  </si>
  <si>
    <t>CARMELITA MOREIRA</t>
  </si>
  <si>
    <t>526.237.858-72</t>
  </si>
  <si>
    <t>JARDIM DAS IMBUIAS</t>
  </si>
  <si>
    <t>11-59290398; 11-973528316</t>
  </si>
  <si>
    <t>1. Aceitou o programa</t>
  </si>
  <si>
    <t>Ativo</t>
  </si>
  <si>
    <t xml:space="preserve">Não realizada - Falta </t>
  </si>
  <si>
    <t xml:space="preserve">Sim </t>
  </si>
  <si>
    <t>SIDELICIA LACERDA SANTOS</t>
  </si>
  <si>
    <t>156.880.318-40</t>
  </si>
  <si>
    <t>EMBU DAS ARTES</t>
  </si>
  <si>
    <t>JARDIM SANTO ANTONIO</t>
  </si>
  <si>
    <t>11-992843865; 11-967100538; 11-999997117</t>
  </si>
  <si>
    <t>LUIZ KIYOTA</t>
  </si>
  <si>
    <t>024.348.148-91</t>
  </si>
  <si>
    <t>VILA GALVAO</t>
  </si>
  <si>
    <t>11-996126085; 11-24515758</t>
  </si>
  <si>
    <t>MARIA SOCORRO DA SILVA PEQUINI</t>
  </si>
  <si>
    <t>186.790.528-09</t>
  </si>
  <si>
    <t>VILA MARIANA</t>
  </si>
  <si>
    <t>11-967065109</t>
  </si>
  <si>
    <t>EULOGIA ROLDAN BIGUILIN</t>
  </si>
  <si>
    <t>041.507.128-32</t>
  </si>
  <si>
    <t>JARDIM DAS PALMAS</t>
  </si>
  <si>
    <t>11-954866730</t>
  </si>
  <si>
    <t>MATHEUS CAVICCHIOLI</t>
  </si>
  <si>
    <t>260.337.228-92</t>
  </si>
  <si>
    <t>11-995046039</t>
  </si>
  <si>
    <t>YIN GUA CHOI</t>
  </si>
  <si>
    <t>118.186.288-48</t>
  </si>
  <si>
    <t>BOM RETIRO</t>
  </si>
  <si>
    <t>11-986276777; 11-971704824; 11-999428980</t>
  </si>
  <si>
    <t>COSME BAIAO DE CARVALHO</t>
  </si>
  <si>
    <t>117.019.308-03</t>
  </si>
  <si>
    <t>TABOAO DA SERRA</t>
  </si>
  <si>
    <t>PARQUE LAGUNA</t>
  </si>
  <si>
    <t>11-934988912</t>
  </si>
  <si>
    <t>CELIO APARECIDO DOS REIS</t>
  </si>
  <si>
    <t>000.377.816-93</t>
  </si>
  <si>
    <t>PARQUE REGINA</t>
  </si>
  <si>
    <t>11-967631224; 11-51803633</t>
  </si>
  <si>
    <t>MARY LANE FERREIRA SILVA</t>
  </si>
  <si>
    <t>028.760.138-27</t>
  </si>
  <si>
    <t>SAO BERNARDO DO CAMPO</t>
  </si>
  <si>
    <t>PARQUE DOS PASSAROS</t>
  </si>
  <si>
    <t>11-997062130</t>
  </si>
  <si>
    <t>ALEXANDRE MARCO DA SILVA</t>
  </si>
  <si>
    <t>128.468.828-35</t>
  </si>
  <si>
    <t>VILA GUARANI (Z SUL)</t>
  </si>
  <si>
    <t>11-940161969; 11-50110189</t>
  </si>
  <si>
    <t>ANA ROSA MARSELHA BRAZAO</t>
  </si>
  <si>
    <t>008.024.448-30</t>
  </si>
  <si>
    <t>PARQUE MANDAQUI</t>
  </si>
  <si>
    <t>11-970612281; 11-22042502</t>
  </si>
  <si>
    <t>JOSE ROBERTO SALGADO</t>
  </si>
  <si>
    <t>011.866.248-17</t>
  </si>
  <si>
    <t>IPIRANGA</t>
  </si>
  <si>
    <t>11-994450296</t>
  </si>
  <si>
    <t>PIERO CASSA</t>
  </si>
  <si>
    <t>312.757.148-89</t>
  </si>
  <si>
    <t>11-97179-9594; 11-971799594</t>
  </si>
  <si>
    <t>5. Alta por exclusão do plano</t>
  </si>
  <si>
    <t>Exclusão do plano em 21/05/26</t>
  </si>
  <si>
    <t>Aguardando Agendamento</t>
  </si>
  <si>
    <t>Aguardando</t>
  </si>
  <si>
    <t>Confirmado</t>
  </si>
  <si>
    <t>JOSEFA INACIO DA SILVA</t>
  </si>
  <si>
    <t>674.201.688-49</t>
  </si>
  <si>
    <t>VILA NOVA CACHOEIRINHA</t>
  </si>
  <si>
    <t>11-968200785; 11-945200570; 11-22327090</t>
  </si>
  <si>
    <t>Em Investigação</t>
  </si>
  <si>
    <t>MARCOS TADEU ALCANTARA</t>
  </si>
  <si>
    <t>157.482.598-42</t>
  </si>
  <si>
    <t>PARQUE DA MOOCA</t>
  </si>
  <si>
    <t>40</t>
  </si>
  <si>
    <t>11-956529665; 11-994214905</t>
  </si>
  <si>
    <t>fora do escopo</t>
  </si>
  <si>
    <t>IRAMAR CHAVES SANTOS</t>
  </si>
  <si>
    <t>316.158.398-10</t>
  </si>
  <si>
    <t>CENTRO</t>
  </si>
  <si>
    <t>11-991538797</t>
  </si>
  <si>
    <t>JOSE CARLOS RESENDE</t>
  </si>
  <si>
    <t>094.098.098-35</t>
  </si>
  <si>
    <t>ELDORADO</t>
  </si>
  <si>
    <t>110</t>
  </si>
  <si>
    <t>11-945167664</t>
  </si>
  <si>
    <t>ANA BEATRIZ GOMES DE LIMA</t>
  </si>
  <si>
    <t>435.278.558-07</t>
  </si>
  <si>
    <t>VILA RE</t>
  </si>
  <si>
    <t>18-997708968</t>
  </si>
  <si>
    <t>HILMA MENDES MOREIRA</t>
  </si>
  <si>
    <t>993.431.503-34</t>
  </si>
  <si>
    <t>JARDIM ANDARAI</t>
  </si>
  <si>
    <t>11-961537846; 11-21729454; 11-40209738</t>
  </si>
  <si>
    <t>DIAGNÓSTICO LINFOMA DE MALT - em acompanhamento com OncoHemato Paulistano</t>
  </si>
  <si>
    <t>JOSAFA RODRIGUES DA COSTA</t>
  </si>
  <si>
    <t>894.251.628-91</t>
  </si>
  <si>
    <t>VILA MORAES</t>
  </si>
  <si>
    <t>400</t>
  </si>
  <si>
    <t>11-966813863; 11-967408392</t>
  </si>
  <si>
    <t>SHOZO ADASHI</t>
  </si>
  <si>
    <t>209.554.568-00</t>
  </si>
  <si>
    <t>MACEDO</t>
  </si>
  <si>
    <t>11-985378925; 11-960125405; 11-953428276</t>
  </si>
  <si>
    <t>CA de estomago com meta hepática</t>
  </si>
  <si>
    <t>LUDMILA HRIBA</t>
  </si>
  <si>
    <t>392.597.908-59</t>
  </si>
  <si>
    <t>VILA BUARQUE</t>
  </si>
  <si>
    <t>11-930824281; 11-982803537</t>
  </si>
  <si>
    <t>Samaritano Higi</t>
  </si>
  <si>
    <t>RITA DE CASSIA FERREIRA PIROZZI</t>
  </si>
  <si>
    <t>004.397.788-08</t>
  </si>
  <si>
    <t>11-982587309</t>
  </si>
  <si>
    <t>KATE LUCY NUNES DE SOUZA</t>
  </si>
  <si>
    <t>226.283.838-02</t>
  </si>
  <si>
    <t>JARDIM IRENE</t>
  </si>
  <si>
    <t>11-49216274; 11-949216274</t>
  </si>
  <si>
    <t>ELIZANGELA DE OLIVEIRA RODRIGUES</t>
  </si>
  <si>
    <t>002.390.141-11</t>
  </si>
  <si>
    <t>VILA ALPINA</t>
  </si>
  <si>
    <t>11-994304632</t>
  </si>
  <si>
    <t>DENISE TAYLOR ANTONUCCI DE MATTEO</t>
  </si>
  <si>
    <t>075.129.608-24</t>
  </si>
  <si>
    <t>VILA GUMERCINDO</t>
  </si>
  <si>
    <t>11-991559565</t>
  </si>
  <si>
    <t>LARISSA ALMERINDA FRANCA DE CARVALHO</t>
  </si>
  <si>
    <t>484.762.318-57</t>
  </si>
  <si>
    <t>50</t>
  </si>
  <si>
    <t>11-992892710</t>
  </si>
  <si>
    <t>hellen</t>
  </si>
  <si>
    <t>MILTON DE CARVALHO LEITE</t>
  </si>
  <si>
    <t>389.609.248-06</t>
  </si>
  <si>
    <t>SANTO ANDRE</t>
  </si>
  <si>
    <t>JARDIM STELLA</t>
  </si>
  <si>
    <t>11-918766083; 11-912342150</t>
  </si>
  <si>
    <t>SANDRA LUCIA GONCALVES</t>
  </si>
  <si>
    <t>941.345.618-68</t>
  </si>
  <si>
    <t>VILA RAMOS</t>
  </si>
  <si>
    <t>11-39836769; 11-999781510</t>
  </si>
  <si>
    <t>MARIA DA SALETE BEZERRA DE ARAUJO</t>
  </si>
  <si>
    <t>101.077.928-18</t>
  </si>
  <si>
    <t>11-55643354; 11-986566175; 11-982528630; 11-958078555; 11-977206701; 11-972186142</t>
  </si>
  <si>
    <t>FRANCISCO ROBERTO SOUSA AIRES</t>
  </si>
  <si>
    <t>133.098.298-39</t>
  </si>
  <si>
    <t>JARDIM MARIA LUIZA</t>
  </si>
  <si>
    <t>11-971680606; 11-972629540</t>
  </si>
  <si>
    <t>EVA EDMOND TEBCHCRANI MALOPER DA SILVA</t>
  </si>
  <si>
    <t>112.619.308-94</t>
  </si>
  <si>
    <t>VILA DOUTOR EIRAS</t>
  </si>
  <si>
    <t>11-995701887</t>
  </si>
  <si>
    <t>CREUZA LIMA DE ARAUJO</t>
  </si>
  <si>
    <t>168.062.238-26</t>
  </si>
  <si>
    <t>OSASCO</t>
  </si>
  <si>
    <t>MUTINGA</t>
  </si>
  <si>
    <t>11-974751561</t>
  </si>
  <si>
    <t>VALMIR MELO MARQUES</t>
  </si>
  <si>
    <t>092.488.298-05</t>
  </si>
  <si>
    <t>VILA REGENTE FEIJO</t>
  </si>
  <si>
    <t>11-947328217</t>
  </si>
  <si>
    <t>ROSELI APARECIDA PASSOS</t>
  </si>
  <si>
    <t>148.927.998-90</t>
  </si>
  <si>
    <t>JARDIM MYRNA</t>
  </si>
  <si>
    <t>11-55268919; 11-987740928</t>
  </si>
  <si>
    <t>EURIDICE MARIA DE ALMEIDA</t>
  </si>
  <si>
    <t>331.906.448-70</t>
  </si>
  <si>
    <t>JARDIM ARPOADOR</t>
  </si>
  <si>
    <t>11-992479382; 11-981849265; 11-964872441; 55-119708861</t>
  </si>
  <si>
    <t>ELEN CRISTINA ODORISSI</t>
  </si>
  <si>
    <t>218.360.598-76</t>
  </si>
  <si>
    <t>SANTANA</t>
  </si>
  <si>
    <t>11-995000305</t>
  </si>
  <si>
    <t>JOSE MAURICIO MEDICI</t>
  </si>
  <si>
    <t>091.832.018-66</t>
  </si>
  <si>
    <t>CONJUNTO RESIDENCIAL PAES DE BARROS</t>
  </si>
  <si>
    <t>11-24821234; 11-972034656</t>
  </si>
  <si>
    <t>ALINE LIMA DE OLIVEIRA</t>
  </si>
  <si>
    <t>401.916.258-17</t>
  </si>
  <si>
    <t>JARDIM SAPOPEMBA</t>
  </si>
  <si>
    <t>100</t>
  </si>
  <si>
    <t>11-987504906</t>
  </si>
  <si>
    <t>JURACI DA SILVA ROCHA MARTINS</t>
  </si>
  <si>
    <t>045.760.818-88</t>
  </si>
  <si>
    <t>NOVA PETROPOLIS</t>
  </si>
  <si>
    <t>11-964172312</t>
  </si>
  <si>
    <t>agendada</t>
  </si>
  <si>
    <t>ADERIZIO GONCALVES DE MORAIS JUNIOR</t>
  </si>
  <si>
    <t>253.050.748-19</t>
  </si>
  <si>
    <t>MOOCA</t>
  </si>
  <si>
    <t>11-964079549</t>
  </si>
  <si>
    <t>04//05/2026</t>
  </si>
  <si>
    <t>MARCIA CRISTINA MARTINHO</t>
  </si>
  <si>
    <t>151.885.228-96</t>
  </si>
  <si>
    <t>BELA VISTA</t>
  </si>
  <si>
    <t>11-999607871</t>
  </si>
  <si>
    <t>OSAMU KOMORI</t>
  </si>
  <si>
    <t>456.036.778-72</t>
  </si>
  <si>
    <t>JARDIM ARICANDUVA</t>
  </si>
  <si>
    <t>11-999193499</t>
  </si>
  <si>
    <t>VANILDA APARECIDA GOMES</t>
  </si>
  <si>
    <t>034.968.118-03</t>
  </si>
  <si>
    <t>JARDIM AEROPORTO</t>
  </si>
  <si>
    <t>11-961855547</t>
  </si>
  <si>
    <t>WALDELICE RODRIGUES MOTTA ANTUNES BRAGA</t>
  </si>
  <si>
    <t>826.401.068-72</t>
  </si>
  <si>
    <t>VILA PALMEIRAS</t>
  </si>
  <si>
    <t>11-995288361; 11-958288361</t>
  </si>
  <si>
    <t>RENATA BICALHO ANDRADE</t>
  </si>
  <si>
    <t>034.696.126-25</t>
  </si>
  <si>
    <t>VILA ANDRADE</t>
  </si>
  <si>
    <t>11-989881781; 11-989793735</t>
  </si>
  <si>
    <t>5. Alta a pedido - perda de interesse</t>
  </si>
  <si>
    <t>CATHIUCE MACEDO SILVA</t>
  </si>
  <si>
    <t>401.265.078-56</t>
  </si>
  <si>
    <t>PARQUE JUREMA</t>
  </si>
  <si>
    <t>11-94985703; 11-32460577; 11-949857032</t>
  </si>
  <si>
    <t>PACIENTE COM DOENÇA DE SJOGREN</t>
  </si>
  <si>
    <t>PRISCILA MIRANDA VILLARINHO</t>
  </si>
  <si>
    <t>288.869.548-08</t>
  </si>
  <si>
    <t>JARAGUA</t>
  </si>
  <si>
    <t>11-964123310</t>
  </si>
  <si>
    <t>TANIA SIMCES ZIMBERNOPF</t>
  </si>
  <si>
    <t>111.107.478-02</t>
  </si>
  <si>
    <t>11-996301472; 11-32216877</t>
  </si>
  <si>
    <t>CELIA SILVA MARTES</t>
  </si>
  <si>
    <t>107.602.018-62</t>
  </si>
  <si>
    <t>VILA PIRES</t>
  </si>
  <si>
    <t>11-988711816; 11-37053655; 11-986747873; 11-981831047</t>
  </si>
  <si>
    <t>SEIKO ADACHI REGIS</t>
  </si>
  <si>
    <t>162.655.868-07</t>
  </si>
  <si>
    <t>VILA PROGREDIOR</t>
  </si>
  <si>
    <t>11-964145212; 11-37212319</t>
  </si>
  <si>
    <t>APARECIDA MAMEDE FERREIRA DA CRUZ</t>
  </si>
  <si>
    <t>053.300.208-75</t>
  </si>
  <si>
    <t>BARRA FUNDA</t>
  </si>
  <si>
    <t>01-138265568; 11-38265568; 11-97247-0634; 11-972470634; 11-971711817</t>
  </si>
  <si>
    <t>ALESSANDRA ROCHA SANCHES</t>
  </si>
  <si>
    <t>104.479.598-08</t>
  </si>
  <si>
    <t>CAMPOS ELISEOS</t>
  </si>
  <si>
    <t>11-970500060</t>
  </si>
  <si>
    <t>KARINA NOGUEIRA BUENO</t>
  </si>
  <si>
    <t>264.592.328-30</t>
  </si>
  <si>
    <t>11-947263528; 11-37350177</t>
  </si>
  <si>
    <t>EMILIO ELIAS BREIN NETO</t>
  </si>
  <si>
    <t>183.676.588-68</t>
  </si>
  <si>
    <t>PERDIZES</t>
  </si>
  <si>
    <t>11-38720812; 11-999762445</t>
  </si>
  <si>
    <t>DUILIO GIANNONI</t>
  </si>
  <si>
    <t>066.810.188-15</t>
  </si>
  <si>
    <t>CASA VERDE ALTA</t>
  </si>
  <si>
    <t>11-981514493; 11-993787882</t>
  </si>
  <si>
    <t>JACI BERTOLO</t>
  </si>
  <si>
    <t>059.749.338-34</t>
  </si>
  <si>
    <t>GOPOUVA</t>
  </si>
  <si>
    <t>11-97390-1932; 11-973901932</t>
  </si>
  <si>
    <t>CASSIA LUCIA DE MELO</t>
  </si>
  <si>
    <t>328.966.518-61</t>
  </si>
  <si>
    <t>CONJUNTO RESIDENCIAL JOSE BONIFACIO</t>
  </si>
  <si>
    <t>11-949816863</t>
  </si>
  <si>
    <t>LUIZA APARECIDA RIBEIRO</t>
  </si>
  <si>
    <t>041.412.268-23</t>
  </si>
  <si>
    <t>VILA ORATORIO</t>
  </si>
  <si>
    <t>11-987097908; 11-973327779</t>
  </si>
  <si>
    <t>n/a</t>
  </si>
  <si>
    <t>MARIA IRACI FREIRE DE OLIVEIRA</t>
  </si>
  <si>
    <t>087.946.668-57</t>
  </si>
  <si>
    <t>JARDIM VILA FORMOSA</t>
  </si>
  <si>
    <t>11-983559360</t>
  </si>
  <si>
    <t>BIANCA FABRI DANTAS</t>
  </si>
  <si>
    <t>464.139.338-95</t>
  </si>
  <si>
    <t>JARDIM UMARIZAL</t>
  </si>
  <si>
    <t>11-967798503</t>
  </si>
  <si>
    <t>MARIA DA LUZ LINS</t>
  </si>
  <si>
    <t>455.538.669-87</t>
  </si>
  <si>
    <t>11-996268286</t>
  </si>
  <si>
    <t>MARIO AKIYAMA</t>
  </si>
  <si>
    <t>118.904.128-64</t>
  </si>
  <si>
    <t>11-975798075; 11-947511563</t>
  </si>
  <si>
    <t>WALTER APARECIDO SCOMPARIM JUNIOR</t>
  </si>
  <si>
    <t>100.427.238-33</t>
  </si>
  <si>
    <t>VILA NOSSA SENHORA DO RETIRO</t>
  </si>
  <si>
    <t>11-994847244; 11-94847244</t>
  </si>
  <si>
    <t>Captação + Navegação</t>
  </si>
  <si>
    <t>EDUARDO CARDOSO TORRECILHA</t>
  </si>
  <si>
    <t>045.885.488-32</t>
  </si>
  <si>
    <t>SOCORRO</t>
  </si>
  <si>
    <t>11-55487018; 11-55229105; 11-989255938</t>
  </si>
  <si>
    <t xml:space="preserve">Alta </t>
  </si>
  <si>
    <t>LUCIENE MAGNUSSON VENANCIO DE OLIVEIRA</t>
  </si>
  <si>
    <t>163.626.448-40</t>
  </si>
  <si>
    <t>SAO CAETANO DO SUL</t>
  </si>
  <si>
    <t>CERAMICA</t>
  </si>
  <si>
    <t>11-42282709; 11-996846302</t>
  </si>
  <si>
    <t>7. Em fase de captação</t>
  </si>
  <si>
    <t>Inativo</t>
  </si>
  <si>
    <t>LUCRECIA DE RICCIO</t>
  </si>
  <si>
    <t>012.322.578-77</t>
  </si>
  <si>
    <t>11-25271437; 11-998463322</t>
  </si>
  <si>
    <t>VANESSA STEPHANIE SEJAS VILLARROEL</t>
  </si>
  <si>
    <t>062.244.307-05</t>
  </si>
  <si>
    <t>BELENZINHO</t>
  </si>
  <si>
    <t>11-941933595</t>
  </si>
  <si>
    <t>ROBERTO SABIO GAMEZ</t>
  </si>
  <si>
    <t>457.953.988-53</t>
  </si>
  <si>
    <t>VILA JORDANOPOLIS</t>
  </si>
  <si>
    <t>11-994217467; 11-41789131</t>
  </si>
  <si>
    <t>WALTER ALVES NOGUEIRA</t>
  </si>
  <si>
    <t>276.061.418-27</t>
  </si>
  <si>
    <t>VILA ALBERTINA</t>
  </si>
  <si>
    <t>11-35827175; 11-993149139</t>
  </si>
  <si>
    <t>NELLA ZACCARIA SIANGA</t>
  </si>
  <si>
    <t>150.928.858-90</t>
  </si>
  <si>
    <t>VILA NAIR</t>
  </si>
  <si>
    <t>11-973461767</t>
  </si>
  <si>
    <t>WILSON HUMBERTO FROSTE</t>
  </si>
  <si>
    <t>063.963.488-53</t>
  </si>
  <si>
    <t>MORRO DOS INGLESES</t>
  </si>
  <si>
    <t>11-964054109</t>
  </si>
  <si>
    <t xml:space="preserve">Média </t>
  </si>
  <si>
    <t>Hospital Nove de Julho</t>
  </si>
  <si>
    <t xml:space="preserve">Hospital Nove de Julho </t>
  </si>
  <si>
    <t>MARCOS DA SILVA LOPES</t>
  </si>
  <si>
    <t>139.748.798-46</t>
  </si>
  <si>
    <t>JARDIM SANTO ELIAS</t>
  </si>
  <si>
    <t>11-947486776</t>
  </si>
  <si>
    <t>SILVANA ALVES GOUVEIA</t>
  </si>
  <si>
    <t>166.315.338-80</t>
  </si>
  <si>
    <t>VILA ZAT</t>
  </si>
  <si>
    <t>11-943479144</t>
  </si>
  <si>
    <t>baixa</t>
  </si>
  <si>
    <t>AMIL ESPAÇO SAÚDE - SANTANA</t>
  </si>
  <si>
    <t>Investigando</t>
  </si>
  <si>
    <t>JOSE CARLOS JORDAO JUNIOR</t>
  </si>
  <si>
    <t>077.794.478-20</t>
  </si>
  <si>
    <t>CIDADE SATELITE SANTA BARBARA</t>
  </si>
  <si>
    <t>11-991154540; 11-23132410; 11-26814949; 11-945563321</t>
  </si>
  <si>
    <t>MARILIA CARDOSO FERNANDES</t>
  </si>
  <si>
    <t>332.571.318-10</t>
  </si>
  <si>
    <t>PARQUE SAO RAFAEL</t>
  </si>
  <si>
    <t>11-973337585</t>
  </si>
  <si>
    <t>CLAUDIO ROBERTO MARCHI</t>
  </si>
  <si>
    <t>140.516.458-19</t>
  </si>
  <si>
    <t>VILA SAO PEDRO</t>
  </si>
  <si>
    <t>11-992132879</t>
  </si>
  <si>
    <t>ANDRE GUSTAVO CAVALCANTI DE MELO</t>
  </si>
  <si>
    <t>013.116.968-81</t>
  </si>
  <si>
    <t>11-972485474</t>
  </si>
  <si>
    <t>KELLI CONCEICAO RIBEIRO DE SOUSA</t>
  </si>
  <si>
    <t>305.994.278-17</t>
  </si>
  <si>
    <t>11-984601827</t>
  </si>
  <si>
    <t>ELVIRA NEVES DOS SANTOS</t>
  </si>
  <si>
    <t>091.215.428-48</t>
  </si>
  <si>
    <t>CHACARA SANTA MARIA</t>
  </si>
  <si>
    <t>11-979629299; 11-58436116</t>
  </si>
  <si>
    <t>AQUILA CELESTINO DOS SANTOS</t>
  </si>
  <si>
    <t>222.505.728-10</t>
  </si>
  <si>
    <t>11-949073748</t>
  </si>
  <si>
    <t>ROSALINE MARIA RIBEIRO</t>
  </si>
  <si>
    <t>242.827.154-72</t>
  </si>
  <si>
    <t>VILA SAO FRANCISCO (ZONA SUL)</t>
  </si>
  <si>
    <t>84-996068557</t>
  </si>
  <si>
    <t>HILTON CESARIO FERNANDES</t>
  </si>
  <si>
    <t>142.594.048-06</t>
  </si>
  <si>
    <t>11-995611886</t>
  </si>
  <si>
    <t>GILVANIA ALTINA DOS SANTOS COELHO</t>
  </si>
  <si>
    <t>320.018.758-19</t>
  </si>
  <si>
    <t>11-953096376</t>
  </si>
  <si>
    <t>MARLENE BOTTO BRAGA BEAUCLAIR</t>
  </si>
  <si>
    <t>103.172.527-04</t>
  </si>
  <si>
    <t>11-999624484; 21-972551404</t>
  </si>
  <si>
    <t>MARIA AMELIA ORTEGA DE ARAUJO</t>
  </si>
  <si>
    <t>432.619.228-34</t>
  </si>
  <si>
    <t>VILA SANTA ISABEL</t>
  </si>
  <si>
    <t>11-912846995; 11-988208126</t>
  </si>
  <si>
    <t>ERENICE NASCIMENTO DOS SANTOS MINGA</t>
  </si>
  <si>
    <t>264.348.428-21</t>
  </si>
  <si>
    <t>CHACARA NANI</t>
  </si>
  <si>
    <t>11-942908356</t>
  </si>
  <si>
    <t>EDNA MARIA BALDO</t>
  </si>
  <si>
    <t>023.532.718-20</t>
  </si>
  <si>
    <t>CIDADE MONÇOES</t>
  </si>
  <si>
    <t>11-994549732</t>
  </si>
  <si>
    <t>MARIA ELIANE CARONE DO NASCIMENTO</t>
  </si>
  <si>
    <t>075.370.798-54</t>
  </si>
  <si>
    <t>VILA MADALENA</t>
  </si>
  <si>
    <t>11-981741212</t>
  </si>
  <si>
    <t>ROGERIO GONCALVES RODRIGUES</t>
  </si>
  <si>
    <t>143.887.028-03</t>
  </si>
  <si>
    <t>11-966077373; 11-940840899</t>
  </si>
  <si>
    <t>Outros</t>
  </si>
  <si>
    <t>TEREZINHA CRISTINA CAMARGO PUGLIESI</t>
  </si>
  <si>
    <t>093.460.788-55</t>
  </si>
  <si>
    <t>VILA ROMANA</t>
  </si>
  <si>
    <t>11-982726022; 11-973376546</t>
  </si>
  <si>
    <t>LILIAN DE LOURDES VASQUEZ ALVEAL</t>
  </si>
  <si>
    <t>007.337.568-32</t>
  </si>
  <si>
    <t>VALE DO SOL</t>
  </si>
  <si>
    <t>11-55230504; 11-997081638</t>
  </si>
  <si>
    <t>JOSE MACIANO SILVA FERREIRA</t>
  </si>
  <si>
    <t>044.405.974-16</t>
  </si>
  <si>
    <t>VILA MAZZEI</t>
  </si>
  <si>
    <t>11-981692398; 11-963408484</t>
  </si>
  <si>
    <t>FABIO ANDRADE DE FARIAS</t>
  </si>
  <si>
    <t>267.220.008-42</t>
  </si>
  <si>
    <t>JARDIM HENRIQUETA</t>
  </si>
  <si>
    <t>11-941655961</t>
  </si>
  <si>
    <t>Aguardando Contato</t>
  </si>
  <si>
    <t>ELAINE MARIA SIQUEIRA</t>
  </si>
  <si>
    <t>023.056.758-44</t>
  </si>
  <si>
    <t>VILA MARIA BAIXA</t>
  </si>
  <si>
    <t>11-957909059</t>
  </si>
  <si>
    <t>MARTA ROMERO DE OLIVEIRA</t>
  </si>
  <si>
    <t>065.573.238-14</t>
  </si>
  <si>
    <t>11-992615234</t>
  </si>
  <si>
    <t>NELIR APARECIDA BIGAL NISHIJIMA</t>
  </si>
  <si>
    <t>106.585.108-19</t>
  </si>
  <si>
    <t>11-955502233</t>
  </si>
  <si>
    <t>SUELY ANGELA DE FREITAS BELINI</t>
  </si>
  <si>
    <t>004.413.208-56</t>
  </si>
  <si>
    <t>PRESIDENTE ALTINO</t>
  </si>
  <si>
    <t>11-991220696; 11-948580807</t>
  </si>
  <si>
    <t>DIANA GAMA SOUSA MELO</t>
  </si>
  <si>
    <t>229.622.958-19</t>
  </si>
  <si>
    <t>JARDIM MONTE ALEGRE</t>
  </si>
  <si>
    <t>11-913655487</t>
  </si>
  <si>
    <t>MARIA VALENTINA ANDREOTTI</t>
  </si>
  <si>
    <t>651.621.298-87</t>
  </si>
  <si>
    <t>VILA CHARLOTE</t>
  </si>
  <si>
    <t>11-949916061</t>
  </si>
  <si>
    <t>REGINA MARIA DE ALMEIDA ESTEVES</t>
  </si>
  <si>
    <t>521.504.298-53</t>
  </si>
  <si>
    <t>11-992662140</t>
  </si>
  <si>
    <t>SILVIA TERUMI ISHIZAWA TAMANAHA</t>
  </si>
  <si>
    <t>072.653.688-19</t>
  </si>
  <si>
    <t>BOSQUE DA SAUDE</t>
  </si>
  <si>
    <t>11-973294223; 11-998837045</t>
  </si>
  <si>
    <t>NEIDE RODRIGUES ARAUJO</t>
  </si>
  <si>
    <t>063.939.218-03</t>
  </si>
  <si>
    <t>JARDIM KIOTO</t>
  </si>
  <si>
    <t>11-59258922; 11-972961639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</si>
  <si>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</si>
  <si>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</si>
  <si>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</si>
  <si>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</si>
  <si>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</si>
  <si>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</si>
  <si>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</si>
  <si>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</si>
  <si>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</si>
  <si>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</si>
  <si>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</si>
  <si>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</si>
  <si>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</si>
  <si>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</si>
  <si>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</si>
  <si>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</si>
  <si>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</si>
  <si>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</si>
  <si>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</si>
  <si>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</si>
  <si>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</si>
  <si>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</si>
  <si>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</si>
  <si>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</si>
  <si>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</si>
  <si>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</si>
  <si>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</si>
  <si>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</si>
  <si>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</si>
  <si>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mudança de região</t>
  </si>
  <si>
    <t>5. Alta por outros motivos</t>
  </si>
  <si>
    <t>5. Alta a pedido da operadora</t>
  </si>
  <si>
    <t>8. Não contactado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</si>
  <si>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</si>
  <si>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</si>
  <si>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</si>
  <si>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</si>
  <si>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</si>
  <si>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</si>
  <si>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</si>
  <si>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</si>
  <si>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</si>
  <si>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</si>
  <si>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</si>
  <si>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</si>
  <si>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</si>
  <si>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</si>
  <si>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</si>
  <si>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</si>
  <si>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</si>
  <si>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</si>
  <si>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</si>
  <si>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</si>
  <si>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</si>
  <si>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</si>
  <si>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</si>
  <si>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</si>
  <si>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</si>
  <si>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</si>
  <si>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</si>
  <si>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</si>
  <si>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</si>
  <si>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</si>
  <si>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</si>
  <si>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</si>
  <si>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</si>
  <si>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</si>
  <si>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</si>
  <si>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</si>
  <si>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</si>
  <si>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</si>
  <si>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</si>
  <si>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</si>
  <si>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</si>
  <si>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</si>
  <si>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</si>
  <si>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Próstata</t>
  </si>
  <si>
    <t>Transbordo/TotalCare</t>
  </si>
  <si>
    <t>Autoimunidade</t>
  </si>
  <si>
    <t>CMDP - Centro Médico Dom Pedro</t>
  </si>
  <si>
    <t>Anticoagulante</t>
  </si>
  <si>
    <t>Emagrecimento</t>
  </si>
  <si>
    <t>Ambulatório - Américas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</si>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</sst>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  <numFmt numFmtId="171" formatCode="00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171" fontId="17" fillId="2" borderId="1" xfId="0" applyNumberFormat="1" applyFont="1" applyFill="1" applyBorder="1" applyAlignment="1">
      <alignment horizontal="center" vertical="center" wrapText="1"/>
    </xf>
    <xf numFmtId="171" fontId="1" fillId="0" borderId="2" xfId="0" applyNumberFormat="1" applyFont="1" applyBorder="1" applyAlignment="1">
      <alignment horizontal="center" vertical="center" wrapText="1"/>
    </xf>
    <xf numFmtId="171" fontId="1" fillId="20" borderId="2" xfId="0" applyNumberFormat="1" applyFont="1" applyFill="1" applyBorder="1" applyAlignment="1">
      <alignment horizontal="center" vertical="center" wrapText="1"/>
    </xf>
    <xf numFmtId="171" fontId="1" fillId="0" borderId="4" xfId="0" applyNumberFormat="1" applyFont="1" applyBorder="1" applyAlignment="1">
      <alignment horizontal="center" vertical="center" wrapText="1"/>
    </xf>
    <xf numFmtId="171" fontId="1" fillId="0" borderId="0" xfId="0" applyNumberFormat="1" applyFont="1" applyAlignment="1">
      <alignment horizontal="center" vertical="center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38"/>
  <sheetViews>
    <sheetView showGridLines="0" tabSelected="1" zoomScale="99" zoomScaleNormal="160" workbookViewId="0">
      <pane xSplit="6" ySplit="1" topLeftCell="N15" activePane="bottomRight" state="frozen"/>
      <selection pane="bottomRight" activeCell="AI119" sqref="AI119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11.28515625" style="29" customWidth="1"/>
    <col min="5" max="5" width="11.7109375" style="28" bestFit="1" customWidth="1"/>
    <col min="6" max="6" width="31.85546875" style="222" bestFit="1" customWidth="1"/>
    <col min="7" max="7" width="11.7109375" style="30" bestFit="1" customWidth="1"/>
    <col min="8" max="8" width="11.8554687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16" style="29" customWidth="1"/>
    <col min="14" max="14" width="8.140625" style="31" customWidth="1"/>
    <col min="15" max="15" width="15.85546875" style="29" customWidth="1"/>
    <col min="16" max="16" width="13.140625" style="32" bestFit="1" customWidth="1"/>
    <col min="17" max="17" width="28.7109375" style="31" bestFit="1" customWidth="1"/>
    <col min="18" max="18" width="16.28515625" style="27" bestFit="1" customWidth="1"/>
    <col min="19" max="19" width="16.140625" style="27" customWidth="1"/>
    <col min="20" max="20" width="17.140625" style="27" customWidth="1"/>
    <col min="21" max="21" width="12.42578125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1" customWidth="1"/>
    <col min="30" max="30" width="15.140625" style="31" customWidth="1"/>
    <col min="31" max="31" width="18.28515625" style="232" customWidth="1"/>
    <col min="32" max="33" width="24.85546875" style="31" customWidth="1"/>
    <col min="34" max="34" width="16.140625" style="31" customWidth="1"/>
    <col min="35" max="35" width="18.5703125" style="31" bestFit="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9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228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hidden="1" customHeight="1">
      <c r="A2" s="87" t="s">
        <v>47</v>
      </c>
      <c r="B2" s="88">
        <v>46091</v>
      </c>
      <c r="C2" s="89" t="s">
        <v>48</v>
      </c>
      <c r="D2" s="89" t="s">
        <v>49</v>
      </c>
      <c r="E2" s="111">
        <v>94882990</v>
      </c>
      <c r="F2" s="220" t="s">
        <v>50</v>
      </c>
      <c r="G2" s="91" t="s">
        <v>51</v>
      </c>
      <c r="H2" s="92">
        <v>33979</v>
      </c>
      <c r="I2" s="89">
        <f ca="1">DATEDIF(H2, TODAY(), "Y")</f>
        <v>33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46097</v>
      </c>
      <c r="T2" s="96" t="s">
        <v>60</v>
      </c>
      <c r="U2" s="96" t="s">
        <v>61</v>
      </c>
      <c r="V2" s="92">
        <v>46097</v>
      </c>
      <c r="W2" s="92">
        <v>45740</v>
      </c>
      <c r="X2" s="92"/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65</v>
      </c>
      <c r="AK2" s="99" t="s">
        <v>66</v>
      </c>
      <c r="AL2" s="45" t="s">
        <v>67</v>
      </c>
      <c r="AM2" s="198" t="str">
        <f t="shared" ref="AM2:AM33" si="0">MONTH(B2)&amp;"/"&amp;YEAR(B2)</f>
        <v>3/2026</v>
      </c>
      <c r="AN2" s="45">
        <f t="shared" ref="AN2:AN33" si="1">WEEKNUM(B2)-WEEKNUM(EOMONTH(B2,-1)+1)+1</f>
        <v>2</v>
      </c>
      <c r="AO2" s="45" t="str">
        <f t="shared" ref="AO2:AO33" si="2">MONTH(R2)&amp;"/"&amp;YEAR(R2)</f>
        <v>1/1900</v>
      </c>
      <c r="AP2" s="45" t="e">
        <f t="shared" ref="AP2:AP33" si="3">WEEKNUM(R2)-WEEKNUM(EOMONTH(R2,-1)+1)+1</f>
        <v>#NUM!</v>
      </c>
      <c r="AQ2" s="45">
        <f>IF(AU2="S",IF(Q2="1. Aceitou o programa",R2-B2,0),0)</f>
        <v>0</v>
      </c>
      <c r="AR2" s="45">
        <f>IF(AU2="S",IF(AND(S2&lt;&gt;"",R2&lt;&gt;""),S2-R2,0),0)</f>
        <v>0</v>
      </c>
      <c r="AS2" s="45">
        <f>IF(AU2="S",IF(Q2="1. Aceitou o programa",IF(OR(X2="Não se Aplica",X2=""),IF(OR(W2="Não se Aplica",W2=""),0,W2-V2),AVERAGE(X2-W2,W2-V2)),0),0)</f>
        <v>0</v>
      </c>
      <c r="AT2" s="45">
        <f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hidden="1" customHeight="1">
      <c r="A3" s="87" t="s">
        <v>47</v>
      </c>
      <c r="B3" s="88">
        <v>46091</v>
      </c>
      <c r="C3" s="89" t="s">
        <v>48</v>
      </c>
      <c r="D3" s="89" t="s">
        <v>49</v>
      </c>
      <c r="E3" s="111">
        <v>89711883</v>
      </c>
      <c r="F3" s="220" t="s">
        <v>68</v>
      </c>
      <c r="G3" s="91" t="s">
        <v>69</v>
      </c>
      <c r="H3" s="92">
        <v>24907</v>
      </c>
      <c r="I3" s="89">
        <f t="shared" ref="I3:I65" ca="1" si="4">DATEDIF(H3, TODAY(), "Y")</f>
        <v>58</v>
      </c>
      <c r="J3" s="89" t="s">
        <v>70</v>
      </c>
      <c r="K3" s="89" t="s">
        <v>53</v>
      </c>
      <c r="L3" s="89" t="s">
        <v>54</v>
      </c>
      <c r="M3" s="89" t="s">
        <v>71</v>
      </c>
      <c r="N3" s="89" t="s">
        <v>72</v>
      </c>
      <c r="O3" s="93" t="s">
        <v>73</v>
      </c>
      <c r="P3" s="94" t="s">
        <v>58</v>
      </c>
      <c r="Q3" s="144" t="s">
        <v>74</v>
      </c>
      <c r="R3" s="95"/>
      <c r="S3" s="96">
        <v>46140</v>
      </c>
      <c r="T3" s="96" t="s">
        <v>75</v>
      </c>
      <c r="U3" s="96" t="s">
        <v>61</v>
      </c>
      <c r="V3" s="92">
        <v>46097</v>
      </c>
      <c r="W3" s="92">
        <v>45740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66</v>
      </c>
      <c r="AI3" s="99" t="s">
        <v>64</v>
      </c>
      <c r="AJ3" s="99" t="s">
        <v>65</v>
      </c>
      <c r="AK3" s="99" t="s">
        <v>64</v>
      </c>
      <c r="AL3" s="45" t="s">
        <v>67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>IF(AU3="S",IF(Q3="1. Aceitou o programa",R3-B3,0),0)</f>
        <v>0</v>
      </c>
      <c r="AR3" s="45">
        <f>IF(AU3="S",IF(AND(S3&lt;&gt;"",R3&lt;&gt;""),S3-R3,0),0)</f>
        <v>0</v>
      </c>
      <c r="AS3" s="45">
        <f>IF(AU3="S",IF(Q3="1. Aceitou o programa",IF(OR(X3="Não se Aplica",X3=""),IF(OR(W3="Não se Aplica",W3=""),0,W3-V3),AVERAGE(X3-W3,W3-V3)),0),0)</f>
        <v>0</v>
      </c>
      <c r="AT3" s="45">
        <f>IF(AU3="S",IF(AND(Q3="1. Aceitou o programa",AB3="Realizada"),IFERROR(IF(AA3="",0,AA3-R3),0),0),0)</f>
        <v>0</v>
      </c>
      <c r="AU3" s="45" t="str">
        <f>_xlfn.XLOOKUP(U3,'Lista Suspensa'!$AA$20:$AA$23,'Lista Suspensa'!$AB$20:$AB$23,"N/A")</f>
        <v>S</v>
      </c>
    </row>
    <row r="4" spans="1:47" ht="12" hidden="1" customHeight="1">
      <c r="A4" s="87" t="s">
        <v>47</v>
      </c>
      <c r="B4" s="88">
        <v>46091</v>
      </c>
      <c r="C4" s="89" t="s">
        <v>48</v>
      </c>
      <c r="D4" s="89" t="s">
        <v>49</v>
      </c>
      <c r="E4" s="111">
        <v>96428123</v>
      </c>
      <c r="F4" s="220" t="s">
        <v>76</v>
      </c>
      <c r="G4" s="91" t="s">
        <v>77</v>
      </c>
      <c r="H4" s="92">
        <v>33425</v>
      </c>
      <c r="I4" s="89">
        <f t="shared" ca="1" si="4"/>
        <v>34</v>
      </c>
      <c r="J4" s="89" t="s">
        <v>52</v>
      </c>
      <c r="K4" s="89" t="s">
        <v>53</v>
      </c>
      <c r="L4" s="89" t="s">
        <v>54</v>
      </c>
      <c r="M4" s="89" t="s">
        <v>78</v>
      </c>
      <c r="N4" s="89" t="s">
        <v>79</v>
      </c>
      <c r="O4" s="93" t="s">
        <v>80</v>
      </c>
      <c r="P4" s="94" t="s">
        <v>58</v>
      </c>
      <c r="Q4" s="144" t="s">
        <v>81</v>
      </c>
      <c r="R4" s="95"/>
      <c r="S4" s="96">
        <v>46097</v>
      </c>
      <c r="T4" s="96" t="s">
        <v>60</v>
      </c>
      <c r="U4" s="96" t="s">
        <v>61</v>
      </c>
      <c r="V4" s="92">
        <v>46097</v>
      </c>
      <c r="W4" s="92">
        <v>45740</v>
      </c>
      <c r="X4" s="92"/>
      <c r="Y4" s="97"/>
      <c r="Z4" s="89"/>
      <c r="AA4" s="96"/>
      <c r="AB4" s="89"/>
      <c r="AC4" s="119"/>
      <c r="AD4" s="89"/>
      <c r="AE4" s="89"/>
      <c r="AF4" s="98" t="s">
        <v>82</v>
      </c>
      <c r="AG4" s="98"/>
      <c r="AH4" s="98" t="s">
        <v>63</v>
      </c>
      <c r="AI4" s="99" t="s">
        <v>64</v>
      </c>
      <c r="AJ4" s="99" t="s">
        <v>65</v>
      </c>
      <c r="AK4" s="99" t="s">
        <v>64</v>
      </c>
      <c r="AL4" s="45" t="s">
        <v>67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>IF(AU4="S",IF(Q4="1. Aceitou o programa",R4-B4,0),0)</f>
        <v>0</v>
      </c>
      <c r="AR4" s="45">
        <f>IF(AU4="S",IF(AND(S4&lt;&gt;"",R4&lt;&gt;""),S4-R4,0),0)</f>
        <v>0</v>
      </c>
      <c r="AS4" s="45">
        <f>IF(AU4="S",IF(Q4="1. Aceitou o programa",IF(OR(X4="Não se Aplica",X4=""),IF(OR(W4="Não se Aplica",W4=""),0,W4-V4),AVERAGE(X4-W4,W4-V4)),0),0)</f>
        <v>0</v>
      </c>
      <c r="AT4" s="45">
        <f>IF(AU4="S",IF(AND(Q4="1. Aceitou o programa",AB4="Realizada"),IFERROR(IF(AA4="",0,AA4-R4),0),0),0)</f>
        <v>0</v>
      </c>
      <c r="AU4" s="45" t="str">
        <f>_xlfn.XLOOKUP(U4,'Lista Suspensa'!$AA$20:$AA$23,'Lista Suspensa'!$AB$20:$AB$23,"N/A")</f>
        <v>S</v>
      </c>
    </row>
    <row r="5" spans="1:47" ht="12" hidden="1" customHeight="1">
      <c r="A5" s="87" t="s">
        <v>47</v>
      </c>
      <c r="B5" s="88">
        <v>46091</v>
      </c>
      <c r="C5" s="89" t="s">
        <v>48</v>
      </c>
      <c r="D5" s="89" t="s">
        <v>49</v>
      </c>
      <c r="E5" s="111">
        <v>94661686</v>
      </c>
      <c r="F5" s="220" t="s">
        <v>83</v>
      </c>
      <c r="G5" s="91" t="s">
        <v>84</v>
      </c>
      <c r="H5" s="92">
        <v>38488</v>
      </c>
      <c r="I5" s="89">
        <f t="shared" ca="1" si="4"/>
        <v>21</v>
      </c>
      <c r="J5" s="89" t="s">
        <v>70</v>
      </c>
      <c r="K5" s="89" t="s">
        <v>53</v>
      </c>
      <c r="L5" s="89" t="s">
        <v>54</v>
      </c>
      <c r="M5" s="89" t="s">
        <v>85</v>
      </c>
      <c r="N5" s="89" t="s">
        <v>86</v>
      </c>
      <c r="O5" s="93" t="s">
        <v>87</v>
      </c>
      <c r="P5" s="94" t="s">
        <v>58</v>
      </c>
      <c r="Q5" s="144" t="s">
        <v>81</v>
      </c>
      <c r="R5" s="95"/>
      <c r="S5" s="96">
        <v>46097</v>
      </c>
      <c r="T5" s="96" t="s">
        <v>60</v>
      </c>
      <c r="U5" s="96" t="s">
        <v>61</v>
      </c>
      <c r="V5" s="92">
        <v>46097</v>
      </c>
      <c r="W5" s="92">
        <v>45740</v>
      </c>
      <c r="X5" s="92"/>
      <c r="Y5" s="97"/>
      <c r="Z5" s="89"/>
      <c r="AA5" s="96"/>
      <c r="AB5" s="89"/>
      <c r="AC5" s="119"/>
      <c r="AD5" s="89"/>
      <c r="AE5" s="89"/>
      <c r="AF5" s="98" t="s">
        <v>82</v>
      </c>
      <c r="AG5" s="98"/>
      <c r="AH5" s="98" t="s">
        <v>63</v>
      </c>
      <c r="AI5" s="99" t="s">
        <v>64</v>
      </c>
      <c r="AJ5" s="99" t="s">
        <v>65</v>
      </c>
      <c r="AK5" s="99" t="s">
        <v>64</v>
      </c>
      <c r="AL5" s="45" t="s">
        <v>67</v>
      </c>
      <c r="AM5" s="198" t="str">
        <f t="shared" si="0"/>
        <v>3/2026</v>
      </c>
      <c r="AN5" s="45">
        <f t="shared" si="1"/>
        <v>2</v>
      </c>
      <c r="AO5" s="45" t="str">
        <f t="shared" si="2"/>
        <v>1/1900</v>
      </c>
      <c r="AP5" s="45" t="e">
        <f t="shared" si="3"/>
        <v>#NUM!</v>
      </c>
      <c r="AQ5" s="45">
        <f>IF(AU5="S",IF(Q5="1. Aceitou o programa",R5-B5,0),0)</f>
        <v>0</v>
      </c>
      <c r="AR5" s="45">
        <f>IF(AU5="S",IF(AND(S5&lt;&gt;"",R5&lt;&gt;""),S5-R5,0),0)</f>
        <v>0</v>
      </c>
      <c r="AS5" s="45">
        <f>IF(AU5="S",IF(Q5="1. Aceitou o programa",IF(OR(X5="Não se Aplica",X5=""),IF(OR(W5="Não se Aplica",W5=""),0,W5-V5),AVERAGE(X5-W5,W5-V5)),0),0)</f>
        <v>0</v>
      </c>
      <c r="AT5" s="45">
        <f>IF(AU5="S",IF(AND(Q5="1. Aceitou o programa",AB5="Realizada"),IFERROR(IF(AA5="",0,AA5-R5),0),0),0)</f>
        <v>0</v>
      </c>
      <c r="AU5" s="45" t="str">
        <f>_xlfn.XLOOKUP(U5,'Lista Suspensa'!$AA$20:$AA$23,'Lista Suspensa'!$AB$20:$AB$23,"N/A")</f>
        <v>S</v>
      </c>
    </row>
    <row r="6" spans="1:47" ht="12" hidden="1" customHeight="1">
      <c r="A6" s="87" t="s">
        <v>47</v>
      </c>
      <c r="B6" s="88">
        <v>46091</v>
      </c>
      <c r="C6" s="89" t="s">
        <v>48</v>
      </c>
      <c r="D6" s="89" t="s">
        <v>49</v>
      </c>
      <c r="E6" s="111">
        <v>83360347</v>
      </c>
      <c r="F6" s="220" t="s">
        <v>88</v>
      </c>
      <c r="G6" s="91" t="s">
        <v>89</v>
      </c>
      <c r="H6" s="92">
        <v>30395</v>
      </c>
      <c r="I6" s="89">
        <f t="shared" ca="1" si="4"/>
        <v>43</v>
      </c>
      <c r="J6" s="89" t="s">
        <v>52</v>
      </c>
      <c r="K6" s="89" t="s">
        <v>53</v>
      </c>
      <c r="L6" s="89" t="s">
        <v>54</v>
      </c>
      <c r="M6" s="89" t="s">
        <v>90</v>
      </c>
      <c r="N6" s="89" t="s">
        <v>91</v>
      </c>
      <c r="O6" s="93" t="s">
        <v>92</v>
      </c>
      <c r="P6" s="94" t="s">
        <v>93</v>
      </c>
      <c r="Q6" s="144" t="s">
        <v>94</v>
      </c>
      <c r="R6" s="95">
        <v>46094</v>
      </c>
      <c r="S6" s="96">
        <v>46104</v>
      </c>
      <c r="T6" s="96" t="s">
        <v>60</v>
      </c>
      <c r="U6" s="96" t="s">
        <v>61</v>
      </c>
      <c r="V6" s="92">
        <v>46094</v>
      </c>
      <c r="W6" s="92" t="s">
        <v>95</v>
      </c>
      <c r="X6" s="92" t="s">
        <v>95</v>
      </c>
      <c r="Y6" s="97"/>
      <c r="Z6" s="89"/>
      <c r="AA6" s="96"/>
      <c r="AB6" s="89"/>
      <c r="AC6" s="119"/>
      <c r="AD6" s="89"/>
      <c r="AE6" s="89"/>
      <c r="AF6" s="98" t="s">
        <v>96</v>
      </c>
      <c r="AG6" s="98" t="s">
        <v>97</v>
      </c>
      <c r="AH6" s="98" t="s">
        <v>63</v>
      </c>
      <c r="AI6" s="99" t="s">
        <v>64</v>
      </c>
      <c r="AJ6" s="99" t="s">
        <v>65</v>
      </c>
      <c r="AK6" s="99" t="s">
        <v>47</v>
      </c>
      <c r="AL6" s="45" t="s">
        <v>67</v>
      </c>
      <c r="AM6" s="198" t="str">
        <f t="shared" si="0"/>
        <v>3/2026</v>
      </c>
      <c r="AN6" s="45">
        <f t="shared" si="1"/>
        <v>2</v>
      </c>
      <c r="AO6" s="45" t="str">
        <f t="shared" si="2"/>
        <v>3/2026</v>
      </c>
      <c r="AP6" s="45">
        <f t="shared" si="3"/>
        <v>2</v>
      </c>
      <c r="AQ6" s="45">
        <f>IF(AU6="S",IF(Q6="1. Aceitou o programa",R6-B6,0),0)</f>
        <v>0</v>
      </c>
      <c r="AR6" s="45">
        <f>IF(AU6="S",IF(AND(S6&lt;&gt;"",R6&lt;&gt;""),S6-R6,0),0)</f>
        <v>10</v>
      </c>
      <c r="AS6" s="45">
        <f>IF(AU6="S",IF(Q6="1. Aceitou o programa",IF(OR(X6="Não se Aplica",X6=""),IF(OR(W6="Não se Aplica",W6=""),0,W6-V6),AVERAGE(X6-W6,W6-V6)),0),0)</f>
        <v>0</v>
      </c>
      <c r="AT6" s="45">
        <f>IF(AU6="S",IF(AND(Q6="1. Aceitou o programa",AB6="Realizada"),IFERROR(IF(AA6="",0,AA6-R6),0),0),0)</f>
        <v>0</v>
      </c>
      <c r="AU6" s="45" t="str">
        <f>_xlfn.XLOOKUP(U6,'Lista Suspensa'!$AA$20:$AA$23,'Lista Suspensa'!$AB$20:$AB$23,"N/A")</f>
        <v>S</v>
      </c>
    </row>
    <row r="7" spans="1:47" ht="12" hidden="1" customHeight="1">
      <c r="A7" s="87" t="s">
        <v>47</v>
      </c>
      <c r="B7" s="88">
        <v>46091</v>
      </c>
      <c r="C7" s="89" t="s">
        <v>48</v>
      </c>
      <c r="D7" s="89" t="s">
        <v>49</v>
      </c>
      <c r="E7" s="111">
        <v>830855386</v>
      </c>
      <c r="F7" s="220" t="s">
        <v>98</v>
      </c>
      <c r="G7" s="91" t="s">
        <v>99</v>
      </c>
      <c r="H7" s="92">
        <v>24781</v>
      </c>
      <c r="I7" s="89">
        <f t="shared" ca="1" si="4"/>
        <v>58</v>
      </c>
      <c r="J7" s="89" t="s">
        <v>52</v>
      </c>
      <c r="K7" s="89" t="s">
        <v>53</v>
      </c>
      <c r="L7" s="89" t="s">
        <v>54</v>
      </c>
      <c r="M7" s="89" t="s">
        <v>100</v>
      </c>
      <c r="N7" s="89" t="s">
        <v>101</v>
      </c>
      <c r="O7" s="93" t="s">
        <v>102</v>
      </c>
      <c r="P7" s="94" t="s">
        <v>58</v>
      </c>
      <c r="Q7" s="144" t="s">
        <v>74</v>
      </c>
      <c r="R7" s="95"/>
      <c r="S7" s="96">
        <v>46140</v>
      </c>
      <c r="T7" s="96" t="s">
        <v>75</v>
      </c>
      <c r="U7" s="96" t="s">
        <v>61</v>
      </c>
      <c r="V7" s="92">
        <v>46097</v>
      </c>
      <c r="W7" s="92">
        <v>45740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66</v>
      </c>
      <c r="AI7" s="99" t="s">
        <v>64</v>
      </c>
      <c r="AJ7" s="99" t="s">
        <v>65</v>
      </c>
      <c r="AK7" s="99" t="s">
        <v>64</v>
      </c>
      <c r="AL7" s="45" t="s">
        <v>67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>IF(AU7="S",IF(Q7="1. Aceitou o programa",R7-B7,0),0)</f>
        <v>0</v>
      </c>
      <c r="AR7" s="45">
        <f>IF(AU7="S",IF(AND(S7&lt;&gt;"",R7&lt;&gt;""),S7-R7,0),0)</f>
        <v>0</v>
      </c>
      <c r="AS7" s="45">
        <f>IF(AU7="S",IF(Q7="1. Aceitou o programa",IF(OR(X7="Não se Aplica",X7=""),IF(OR(W7="Não se Aplica",W7=""),0,W7-V7),AVERAGE(X7-W7,W7-V7)),0),0)</f>
        <v>0</v>
      </c>
      <c r="AT7" s="45">
        <f>IF(AU7="S",IF(AND(Q7="1. Aceitou o programa",AB7="Realizada"),IFERROR(IF(AA7="",0,AA7-R7),0),0),0)</f>
        <v>0</v>
      </c>
      <c r="AU7" s="45" t="str">
        <f>_xlfn.XLOOKUP(U7,'Lista Suspensa'!$AA$20:$AA$23,'Lista Suspensa'!$AB$20:$AB$23,"N/A")</f>
        <v>S</v>
      </c>
    </row>
    <row r="8" spans="1:47" ht="12" hidden="1" customHeight="1">
      <c r="A8" s="87" t="s">
        <v>47</v>
      </c>
      <c r="B8" s="88">
        <v>46091</v>
      </c>
      <c r="C8" s="89" t="s">
        <v>48</v>
      </c>
      <c r="D8" s="89" t="s">
        <v>49</v>
      </c>
      <c r="E8" s="111">
        <v>84876525</v>
      </c>
      <c r="F8" s="220" t="s">
        <v>103</v>
      </c>
      <c r="G8" s="91" t="s">
        <v>104</v>
      </c>
      <c r="H8" s="92">
        <v>26027</v>
      </c>
      <c r="I8" s="89">
        <f t="shared" ca="1" si="4"/>
        <v>55</v>
      </c>
      <c r="J8" s="89" t="s">
        <v>52</v>
      </c>
      <c r="K8" s="89" t="s">
        <v>53</v>
      </c>
      <c r="L8" s="89" t="s">
        <v>54</v>
      </c>
      <c r="M8" s="89" t="s">
        <v>105</v>
      </c>
      <c r="N8" s="89" t="s">
        <v>106</v>
      </c>
      <c r="O8" s="93" t="s">
        <v>107</v>
      </c>
      <c r="P8" s="94" t="s">
        <v>58</v>
      </c>
      <c r="Q8" s="144" t="s">
        <v>94</v>
      </c>
      <c r="R8" s="95">
        <v>46097</v>
      </c>
      <c r="S8" s="96">
        <v>46104</v>
      </c>
      <c r="T8" s="96" t="s">
        <v>60</v>
      </c>
      <c r="U8" s="96" t="s">
        <v>61</v>
      </c>
      <c r="V8" s="92">
        <v>46097</v>
      </c>
      <c r="W8" s="92" t="s">
        <v>95</v>
      </c>
      <c r="X8" s="92" t="s">
        <v>95</v>
      </c>
      <c r="Y8" s="97"/>
      <c r="Z8" s="89" t="s">
        <v>108</v>
      </c>
      <c r="AA8" s="96">
        <v>46104</v>
      </c>
      <c r="AB8" s="89" t="s">
        <v>109</v>
      </c>
      <c r="AC8" s="119"/>
      <c r="AD8" s="89"/>
      <c r="AE8" s="89"/>
      <c r="AF8" s="98" t="s">
        <v>96</v>
      </c>
      <c r="AG8" s="98" t="s">
        <v>97</v>
      </c>
      <c r="AH8" s="98" t="s">
        <v>63</v>
      </c>
      <c r="AI8" s="99" t="s">
        <v>64</v>
      </c>
      <c r="AJ8" s="99" t="s">
        <v>65</v>
      </c>
      <c r="AK8" s="99" t="s">
        <v>47</v>
      </c>
      <c r="AL8" s="45" t="s">
        <v>67</v>
      </c>
      <c r="AM8" s="198" t="str">
        <f t="shared" si="0"/>
        <v>3/2026</v>
      </c>
      <c r="AN8" s="45">
        <f t="shared" si="1"/>
        <v>2</v>
      </c>
      <c r="AO8" s="45" t="str">
        <f t="shared" si="2"/>
        <v>3/2026</v>
      </c>
      <c r="AP8" s="45">
        <f t="shared" si="3"/>
        <v>3</v>
      </c>
      <c r="AQ8" s="45">
        <f>IF(AU8="S",IF(Q8="1. Aceitou o programa",R8-B8,0),0)</f>
        <v>0</v>
      </c>
      <c r="AR8" s="45">
        <f>IF(AU8="S",IF(AND(S8&lt;&gt;"",R8&lt;&gt;""),S8-R8,0),0)</f>
        <v>7</v>
      </c>
      <c r="AS8" s="45">
        <f>IF(AU8="S",IF(Q8="1. Aceitou o programa",IF(OR(X8="Não se Aplica",X8=""),IF(OR(W8="Não se Aplica",W8=""),0,W8-V8),AVERAGE(X8-W8,W8-V8)),0),0)</f>
        <v>0</v>
      </c>
      <c r="AT8" s="45">
        <f>IF(AU8="S",IF(AND(Q8="1. Aceitou o programa",AB8="Realizada"),IFERROR(IF(AA8="",0,AA8-R8),0),0),0)</f>
        <v>0</v>
      </c>
      <c r="AU8" s="45" t="str">
        <f>_xlfn.XLOOKUP(U8,'Lista Suspensa'!$AA$20:$AA$23,'Lista Suspensa'!$AB$20:$AB$23,"N/A")</f>
        <v>S</v>
      </c>
    </row>
    <row r="9" spans="1:47" ht="12" hidden="1" customHeight="1">
      <c r="A9" s="87" t="s">
        <v>47</v>
      </c>
      <c r="B9" s="88">
        <v>46104</v>
      </c>
      <c r="C9" s="89" t="s">
        <v>48</v>
      </c>
      <c r="D9" s="89" t="s">
        <v>49</v>
      </c>
      <c r="E9" s="111">
        <v>92582096</v>
      </c>
      <c r="F9" s="220" t="s">
        <v>110</v>
      </c>
      <c r="G9" s="91" t="s">
        <v>111</v>
      </c>
      <c r="H9" s="92">
        <v>26052</v>
      </c>
      <c r="I9" s="89">
        <f t="shared" ca="1" si="4"/>
        <v>55</v>
      </c>
      <c r="J9" s="89" t="s">
        <v>52</v>
      </c>
      <c r="K9" s="89" t="s">
        <v>53</v>
      </c>
      <c r="L9" s="89" t="s">
        <v>112</v>
      </c>
      <c r="M9" s="89" t="s">
        <v>113</v>
      </c>
      <c r="N9" s="89">
        <v>80</v>
      </c>
      <c r="O9" s="93" t="s">
        <v>114</v>
      </c>
      <c r="P9" s="94" t="s">
        <v>58</v>
      </c>
      <c r="Q9" s="144" t="s">
        <v>81</v>
      </c>
      <c r="R9" s="95"/>
      <c r="S9" s="96">
        <v>46106</v>
      </c>
      <c r="T9" s="96" t="s">
        <v>60</v>
      </c>
      <c r="U9" s="96" t="s">
        <v>61</v>
      </c>
      <c r="V9" s="92">
        <v>46106</v>
      </c>
      <c r="W9" s="92" t="s">
        <v>95</v>
      </c>
      <c r="X9" s="92" t="s">
        <v>95</v>
      </c>
      <c r="Y9" s="97" t="s">
        <v>115</v>
      </c>
      <c r="Z9" s="89" t="s">
        <v>108</v>
      </c>
      <c r="AA9" s="96">
        <v>46108</v>
      </c>
      <c r="AB9" s="89" t="s">
        <v>109</v>
      </c>
      <c r="AC9" s="119"/>
      <c r="AD9" s="89" t="s">
        <v>116</v>
      </c>
      <c r="AE9" s="89">
        <v>0</v>
      </c>
      <c r="AF9" s="98" t="s">
        <v>82</v>
      </c>
      <c r="AG9" s="98"/>
      <c r="AH9" s="98" t="s">
        <v>63</v>
      </c>
      <c r="AI9" s="99" t="s">
        <v>64</v>
      </c>
      <c r="AJ9" s="99" t="s">
        <v>65</v>
      </c>
      <c r="AK9" s="99" t="s">
        <v>64</v>
      </c>
      <c r="AL9" s="45" t="s">
        <v>67</v>
      </c>
      <c r="AM9" s="198" t="str">
        <f t="shared" si="0"/>
        <v>3/2026</v>
      </c>
      <c r="AN9" s="45">
        <f t="shared" si="1"/>
        <v>4</v>
      </c>
      <c r="AO9" s="45" t="str">
        <f t="shared" si="2"/>
        <v>1/1900</v>
      </c>
      <c r="AP9" s="45" t="e">
        <f t="shared" si="3"/>
        <v>#NUM!</v>
      </c>
      <c r="AQ9" s="45">
        <f>IF(AU9="S",IF(Q9="1. Aceitou o programa",R9-B9,0),0)</f>
        <v>0</v>
      </c>
      <c r="AR9" s="45">
        <f>IF(AU9="S",IF(AND(S9&lt;&gt;"",R9&lt;&gt;""),S9-R9,0),0)</f>
        <v>0</v>
      </c>
      <c r="AS9" s="45">
        <f>IF(AU9="S",IF(Q9="1. Aceitou o programa",IF(OR(X9="Não se Aplica",X9=""),IF(OR(W9="Não se Aplica",W9=""),0,W9-V9),AVERAGE(X9-W9,W9-V9)),0),0)</f>
        <v>0</v>
      </c>
      <c r="AT9" s="45">
        <f>IF(AU9="S",IF(AND(Q9="1. Aceitou o programa",AB9="Realizada"),IFERROR(IF(AA9="",0,AA9-R9),0),0),0)</f>
        <v>0</v>
      </c>
      <c r="AU9" s="45" t="str">
        <f>_xlfn.XLOOKUP(U9,'Lista Suspensa'!$AA$20:$AA$23,'Lista Suspensa'!$AB$20:$AB$23,"N/A")</f>
        <v>S</v>
      </c>
    </row>
    <row r="10" spans="1:47" ht="12" hidden="1" customHeight="1">
      <c r="A10" s="87" t="s">
        <v>47</v>
      </c>
      <c r="B10" s="88">
        <v>46127</v>
      </c>
      <c r="C10" s="89" t="s">
        <v>48</v>
      </c>
      <c r="D10" s="89" t="s">
        <v>49</v>
      </c>
      <c r="E10" s="111">
        <v>451241959</v>
      </c>
      <c r="F10" s="220" t="s">
        <v>117</v>
      </c>
      <c r="G10" s="91" t="s">
        <v>118</v>
      </c>
      <c r="H10" s="92">
        <v>26281</v>
      </c>
      <c r="I10" s="89">
        <f t="shared" ca="1" si="4"/>
        <v>54</v>
      </c>
      <c r="J10" s="89" t="s">
        <v>52</v>
      </c>
      <c r="K10" s="89" t="s">
        <v>53</v>
      </c>
      <c r="L10" s="89" t="s">
        <v>54</v>
      </c>
      <c r="M10" s="89" t="s">
        <v>119</v>
      </c>
      <c r="N10" s="89">
        <v>300</v>
      </c>
      <c r="O10" s="93" t="s">
        <v>120</v>
      </c>
      <c r="P10" s="94" t="s">
        <v>93</v>
      </c>
      <c r="Q10" s="144" t="s">
        <v>94</v>
      </c>
      <c r="R10" s="95">
        <v>46128</v>
      </c>
      <c r="S10" s="96">
        <v>46136</v>
      </c>
      <c r="T10" s="96" t="s">
        <v>60</v>
      </c>
      <c r="U10" s="96" t="s">
        <v>61</v>
      </c>
      <c r="V10" s="92">
        <v>46128</v>
      </c>
      <c r="W10" s="92" t="s">
        <v>95</v>
      </c>
      <c r="X10" s="92" t="s">
        <v>95</v>
      </c>
      <c r="Y10" s="97"/>
      <c r="Z10" s="89" t="s">
        <v>108</v>
      </c>
      <c r="AA10" s="96">
        <v>46136</v>
      </c>
      <c r="AB10" s="89" t="s">
        <v>109</v>
      </c>
      <c r="AC10" s="119"/>
      <c r="AD10" s="89" t="s">
        <v>116</v>
      </c>
      <c r="AE10" s="89">
        <v>0</v>
      </c>
      <c r="AF10" s="98" t="s">
        <v>96</v>
      </c>
      <c r="AG10" s="98"/>
      <c r="AH10" s="98" t="s">
        <v>63</v>
      </c>
      <c r="AI10" s="99" t="s">
        <v>64</v>
      </c>
      <c r="AJ10" s="99" t="s">
        <v>65</v>
      </c>
      <c r="AK10" s="99" t="s">
        <v>47</v>
      </c>
      <c r="AL10" s="45" t="s">
        <v>67</v>
      </c>
      <c r="AM10" s="198" t="str">
        <f t="shared" si="0"/>
        <v>4/2026</v>
      </c>
      <c r="AN10" s="45">
        <f t="shared" si="1"/>
        <v>3</v>
      </c>
      <c r="AO10" s="45" t="str">
        <f t="shared" si="2"/>
        <v>4/2026</v>
      </c>
      <c r="AP10" s="45">
        <f t="shared" si="3"/>
        <v>3</v>
      </c>
      <c r="AQ10" s="45">
        <f>IF(AU10="S",IF(Q10="1. Aceitou o programa",R10-B10,0),0)</f>
        <v>0</v>
      </c>
      <c r="AR10" s="45">
        <f>IF(AU10="S",IF(AND(S10&lt;&gt;"",R10&lt;&gt;""),S10-R10,0),0)</f>
        <v>8</v>
      </c>
      <c r="AS10" s="45">
        <f>IF(AU10="S",IF(Q10="1. Aceitou o programa",IF(OR(X10="Não se Aplica",X10=""),IF(OR(W10="Não se Aplica",W10=""),0,W10-V10),AVERAGE(X10-W10,W10-V10)),0),0)</f>
        <v>0</v>
      </c>
      <c r="AT10" s="45">
        <f>IF(AU10="S",IF(AND(Q10="1. Aceitou o programa",AB10="Realizada"),IFERROR(IF(AA10="",0,AA10-R10),0),0),0)</f>
        <v>0</v>
      </c>
      <c r="AU10" s="45" t="str">
        <f>_xlfn.XLOOKUP(U10,'Lista Suspensa'!$AA$20:$AA$23,'Lista Suspensa'!$AB$20:$AB$23,"N/A")</f>
        <v>S</v>
      </c>
    </row>
    <row r="11" spans="1:47" ht="12" hidden="1" customHeight="1">
      <c r="A11" s="87" t="s">
        <v>47</v>
      </c>
      <c r="B11" s="88">
        <v>46139</v>
      </c>
      <c r="C11" s="89" t="s">
        <v>48</v>
      </c>
      <c r="D11" s="89" t="s">
        <v>49</v>
      </c>
      <c r="E11" s="111">
        <v>93468464</v>
      </c>
      <c r="F11" s="220" t="s">
        <v>121</v>
      </c>
      <c r="G11" s="91" t="s">
        <v>122</v>
      </c>
      <c r="H11" s="92">
        <v>31350</v>
      </c>
      <c r="I11" s="89">
        <f t="shared" ca="1" si="4"/>
        <v>40</v>
      </c>
      <c r="J11" s="89" t="s">
        <v>52</v>
      </c>
      <c r="K11" s="89" t="s">
        <v>53</v>
      </c>
      <c r="L11" s="89" t="s">
        <v>54</v>
      </c>
      <c r="M11" s="89" t="s">
        <v>123</v>
      </c>
      <c r="N11" s="89">
        <v>750</v>
      </c>
      <c r="O11" s="93" t="s">
        <v>124</v>
      </c>
      <c r="P11" s="94" t="s">
        <v>93</v>
      </c>
      <c r="Q11" s="144" t="s">
        <v>94</v>
      </c>
      <c r="R11" s="95">
        <v>46140</v>
      </c>
      <c r="S11" s="96">
        <v>46263</v>
      </c>
      <c r="T11" s="96" t="s">
        <v>60</v>
      </c>
      <c r="U11" s="96" t="s">
        <v>61</v>
      </c>
      <c r="V11" s="92">
        <v>46140</v>
      </c>
      <c r="W11" s="92" t="s">
        <v>95</v>
      </c>
      <c r="X11" s="92" t="s">
        <v>95</v>
      </c>
      <c r="Y11" s="97"/>
      <c r="Z11" s="89" t="s">
        <v>108</v>
      </c>
      <c r="AA11" s="96">
        <v>46141</v>
      </c>
      <c r="AB11" s="89" t="s">
        <v>109</v>
      </c>
      <c r="AC11" s="119"/>
      <c r="AD11" s="89" t="s">
        <v>116</v>
      </c>
      <c r="AE11" s="89">
        <v>1</v>
      </c>
      <c r="AF11" s="98" t="s">
        <v>125</v>
      </c>
      <c r="AG11" s="98" t="s">
        <v>97</v>
      </c>
      <c r="AH11" s="98" t="s">
        <v>63</v>
      </c>
      <c r="AI11" s="99" t="s">
        <v>64</v>
      </c>
      <c r="AJ11" s="99" t="s">
        <v>65</v>
      </c>
      <c r="AK11" s="99"/>
      <c r="AL11" s="45" t="s">
        <v>67</v>
      </c>
      <c r="AM11" s="198" t="str">
        <f t="shared" si="0"/>
        <v>4/2026</v>
      </c>
      <c r="AN11" s="45">
        <f t="shared" si="1"/>
        <v>5</v>
      </c>
      <c r="AO11" s="45" t="str">
        <f t="shared" si="2"/>
        <v>4/2026</v>
      </c>
      <c r="AP11" s="45">
        <f t="shared" si="3"/>
        <v>5</v>
      </c>
      <c r="AQ11" s="45">
        <f>IF(AU11="S",IF(Q11="1. Aceitou o programa",R11-B11,0),0)</f>
        <v>0</v>
      </c>
      <c r="AR11" s="45">
        <f>IF(AU11="S",IF(AND(S11&lt;&gt;"",R11&lt;&gt;""),S11-R11,0),0)</f>
        <v>123</v>
      </c>
      <c r="AS11" s="45">
        <f>IF(AU11="S",IF(Q11="1. Aceitou o programa",IF(OR(X11="Não se Aplica",X11=""),IF(OR(W11="Não se Aplica",W11=""),0,W11-V11),AVERAGE(X11-W11,W11-V11)),0),0)</f>
        <v>0</v>
      </c>
      <c r="AT11" s="45">
        <f>IF(AU11="S",IF(AND(Q11="1. Aceitou o programa",AB11="Realizada"),IFERROR(IF(AA11="",0,AA11-R11),0),0),0)</f>
        <v>0</v>
      </c>
      <c r="AU11" s="45" t="str">
        <f>_xlfn.XLOOKUP(U11,'Lista Suspensa'!$AA$20:$AA$23,'Lista Suspensa'!$AB$20:$AB$23,"N/A")</f>
        <v>S</v>
      </c>
    </row>
    <row r="12" spans="1:47" ht="12" hidden="1" customHeight="1">
      <c r="A12" s="87" t="s">
        <v>47</v>
      </c>
      <c r="B12" s="88">
        <v>46091</v>
      </c>
      <c r="C12" s="89" t="s">
        <v>48</v>
      </c>
      <c r="D12" s="89" t="s">
        <v>49</v>
      </c>
      <c r="E12" s="111">
        <v>301255326</v>
      </c>
      <c r="F12" s="220" t="s">
        <v>126</v>
      </c>
      <c r="G12" s="91" t="s">
        <v>127</v>
      </c>
      <c r="H12" s="92">
        <v>14737</v>
      </c>
      <c r="I12" s="89">
        <f t="shared" ca="1" si="4"/>
        <v>86</v>
      </c>
      <c r="J12" s="89" t="s">
        <v>70</v>
      </c>
      <c r="K12" s="89" t="s">
        <v>53</v>
      </c>
      <c r="L12" s="89" t="s">
        <v>54</v>
      </c>
      <c r="M12" s="89" t="s">
        <v>128</v>
      </c>
      <c r="N12" s="89" t="s">
        <v>129</v>
      </c>
      <c r="O12" s="93" t="s">
        <v>130</v>
      </c>
      <c r="P12" s="94" t="s">
        <v>58</v>
      </c>
      <c r="Q12" s="144" t="s">
        <v>74</v>
      </c>
      <c r="R12" s="95"/>
      <c r="S12" s="96">
        <v>46140</v>
      </c>
      <c r="T12" s="96" t="s">
        <v>75</v>
      </c>
      <c r="U12" s="96" t="s">
        <v>61</v>
      </c>
      <c r="V12" s="92">
        <v>46097</v>
      </c>
      <c r="W12" s="92">
        <v>45740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66</v>
      </c>
      <c r="AI12" s="99" t="s">
        <v>64</v>
      </c>
      <c r="AJ12" s="99" t="s">
        <v>65</v>
      </c>
      <c r="AK12" s="99" t="s">
        <v>64</v>
      </c>
      <c r="AL12" s="45" t="s">
        <v>67</v>
      </c>
      <c r="AM12" s="198" t="str">
        <f t="shared" si="0"/>
        <v>3/2026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>IF(AU12="S",IF(Q12="1. Aceitou o programa",R12-B12,0),0)</f>
        <v>0</v>
      </c>
      <c r="AR12" s="45">
        <f>IF(AU12="S",IF(AND(S12&lt;&gt;"",R12&lt;&gt;""),S12-R12,0),0)</f>
        <v>0</v>
      </c>
      <c r="AS12" s="45">
        <f>IF(AU12="S",IF(Q12="1. Aceitou o programa",IF(OR(X12="Não se Aplica",X12=""),IF(OR(W12="Não se Aplica",W12=""),0,W12-V12),AVERAGE(X12-W12,W12-V12)),0),0)</f>
        <v>0</v>
      </c>
      <c r="AT12" s="45">
        <f>IF(AU12="S",IF(AND(Q12="1. Aceitou o programa",AB12="Realizada"),IFERROR(IF(AA12="",0,AA12-R12),0),0),0)</f>
        <v>0</v>
      </c>
      <c r="AU12" s="45" t="str">
        <f>_xlfn.XLOOKUP(U12,'Lista Suspensa'!$AA$20:$AA$23,'Lista Suspensa'!$AB$20:$AB$23,"N/A")</f>
        <v>S</v>
      </c>
    </row>
    <row r="13" spans="1:47" ht="12" hidden="1" customHeight="1">
      <c r="A13" s="87" t="s">
        <v>47</v>
      </c>
      <c r="B13" s="88">
        <v>46091</v>
      </c>
      <c r="C13" s="89" t="s">
        <v>48</v>
      </c>
      <c r="D13" s="89" t="s">
        <v>49</v>
      </c>
      <c r="E13" s="111">
        <v>830352287</v>
      </c>
      <c r="F13" s="220" t="s">
        <v>131</v>
      </c>
      <c r="G13" s="91" t="s">
        <v>132</v>
      </c>
      <c r="H13" s="92">
        <v>19573</v>
      </c>
      <c r="I13" s="89">
        <f t="shared" ca="1" si="4"/>
        <v>72</v>
      </c>
      <c r="J13" s="89" t="s">
        <v>52</v>
      </c>
      <c r="K13" s="89" t="s">
        <v>53</v>
      </c>
      <c r="L13" s="89" t="s">
        <v>54</v>
      </c>
      <c r="M13" s="89" t="s">
        <v>133</v>
      </c>
      <c r="N13" s="89" t="s">
        <v>129</v>
      </c>
      <c r="O13" s="93" t="s">
        <v>134</v>
      </c>
      <c r="P13" s="94" t="s">
        <v>58</v>
      </c>
      <c r="Q13" s="144" t="s">
        <v>74</v>
      </c>
      <c r="R13" s="95"/>
      <c r="S13" s="96">
        <v>46140</v>
      </c>
      <c r="T13" s="96" t="s">
        <v>75</v>
      </c>
      <c r="U13" s="96" t="s">
        <v>61</v>
      </c>
      <c r="V13" s="92">
        <v>46097</v>
      </c>
      <c r="W13" s="92">
        <v>45740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66</v>
      </c>
      <c r="AI13" s="99" t="s">
        <v>64</v>
      </c>
      <c r="AJ13" s="99" t="s">
        <v>65</v>
      </c>
      <c r="AK13" s="99" t="s">
        <v>64</v>
      </c>
      <c r="AL13" s="45" t="s">
        <v>67</v>
      </c>
      <c r="AM13" s="198" t="str">
        <f t="shared" si="0"/>
        <v>3/2026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>IF(AU13="S",IF(Q13="1. Aceitou o programa",R13-B13,0),0)</f>
        <v>0</v>
      </c>
      <c r="AR13" s="45">
        <f>IF(AU13="S",IF(AND(S13&lt;&gt;"",R13&lt;&gt;""),S13-R13,0),0)</f>
        <v>0</v>
      </c>
      <c r="AS13" s="45">
        <f>IF(AU13="S",IF(Q13="1. Aceitou o programa",IF(OR(X13="Não se Aplica",X13=""),IF(OR(W13="Não se Aplica",W13=""),0,W13-V13),AVERAGE(X13-W13,W13-V13)),0),0)</f>
        <v>0</v>
      </c>
      <c r="AT13" s="45">
        <f>IF(AU13="S",IF(AND(Q13="1. Aceitou o programa",AB13="Realizada"),IFERROR(IF(AA13="",0,AA13-R13),0),0),0)</f>
        <v>0</v>
      </c>
      <c r="AU13" s="45" t="str">
        <f>_xlfn.XLOOKUP(U13,'Lista Suspensa'!$AA$20:$AA$23,'Lista Suspensa'!$AB$20:$AB$23,"N/A")</f>
        <v>S</v>
      </c>
    </row>
    <row r="14" spans="1:47" ht="12" hidden="1" customHeight="1">
      <c r="A14" s="87" t="s">
        <v>47</v>
      </c>
      <c r="B14" s="88">
        <v>46091</v>
      </c>
      <c r="C14" s="89" t="s">
        <v>48</v>
      </c>
      <c r="D14" s="89" t="s">
        <v>49</v>
      </c>
      <c r="E14" s="111">
        <v>89437312</v>
      </c>
      <c r="F14" s="220" t="s">
        <v>135</v>
      </c>
      <c r="G14" s="91" t="s">
        <v>136</v>
      </c>
      <c r="H14" s="92">
        <v>28457</v>
      </c>
      <c r="I14" s="89">
        <f t="shared" ca="1" si="4"/>
        <v>48</v>
      </c>
      <c r="J14" s="89" t="s">
        <v>52</v>
      </c>
      <c r="K14" s="89" t="s">
        <v>53</v>
      </c>
      <c r="L14" s="89" t="s">
        <v>54</v>
      </c>
      <c r="M14" s="89" t="s">
        <v>137</v>
      </c>
      <c r="N14" s="89" t="s">
        <v>72</v>
      </c>
      <c r="O14" s="93" t="s">
        <v>138</v>
      </c>
      <c r="P14" s="94" t="s">
        <v>58</v>
      </c>
      <c r="Q14" s="144" t="s">
        <v>74</v>
      </c>
      <c r="R14" s="95"/>
      <c r="S14" s="96">
        <v>46140</v>
      </c>
      <c r="T14" s="96" t="s">
        <v>75</v>
      </c>
      <c r="U14" s="96" t="s">
        <v>61</v>
      </c>
      <c r="V14" s="92">
        <v>46097</v>
      </c>
      <c r="W14" s="92">
        <v>45740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66</v>
      </c>
      <c r="AI14" s="99" t="s">
        <v>64</v>
      </c>
      <c r="AJ14" s="99" t="s">
        <v>65</v>
      </c>
      <c r="AK14" s="99" t="s">
        <v>64</v>
      </c>
      <c r="AL14" s="45" t="s">
        <v>67</v>
      </c>
      <c r="AM14" s="198" t="str">
        <f t="shared" si="0"/>
        <v>3/2026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>IF(AU14="S",IF(Q14="1. Aceitou o programa",R14-B14,0),0)</f>
        <v>0</v>
      </c>
      <c r="AR14" s="45">
        <f>IF(AU14="S",IF(AND(S14&lt;&gt;"",R14&lt;&gt;""),S14-R14,0),0)</f>
        <v>0</v>
      </c>
      <c r="AS14" s="45">
        <f>IF(AU14="S",IF(Q14="1. Aceitou o programa",IF(OR(X14="Não se Aplica",X14=""),IF(OR(W14="Não se Aplica",W14=""),0,W14-V14),AVERAGE(X14-W14,W14-V14)),0),0)</f>
        <v>0</v>
      </c>
      <c r="AT14" s="45">
        <f>IF(AU14="S",IF(AND(Q14="1. Aceitou o programa",AB14="Realizada"),IFERROR(IF(AA14="",0,AA14-R14),0),0),0)</f>
        <v>0</v>
      </c>
      <c r="AU14" s="45" t="str">
        <f>_xlfn.XLOOKUP(U14,'Lista Suspensa'!$AA$20:$AA$23,'Lista Suspensa'!$AB$20:$AB$23,"N/A")</f>
        <v>S</v>
      </c>
    </row>
    <row r="15" spans="1:47" ht="12" hidden="1" customHeight="1">
      <c r="A15" s="87" t="s">
        <v>47</v>
      </c>
      <c r="B15" s="88">
        <v>46091</v>
      </c>
      <c r="C15" s="89" t="s">
        <v>48</v>
      </c>
      <c r="D15" s="89" t="s">
        <v>49</v>
      </c>
      <c r="E15" s="111">
        <v>301076740</v>
      </c>
      <c r="F15" s="220" t="s">
        <v>139</v>
      </c>
      <c r="G15" s="91" t="s">
        <v>140</v>
      </c>
      <c r="H15" s="92">
        <v>18023</v>
      </c>
      <c r="I15" s="89">
        <f t="shared" ca="1" si="4"/>
        <v>77</v>
      </c>
      <c r="J15" s="89" t="s">
        <v>52</v>
      </c>
      <c r="K15" s="89" t="s">
        <v>53</v>
      </c>
      <c r="L15" s="89" t="s">
        <v>54</v>
      </c>
      <c r="M15" s="89" t="s">
        <v>141</v>
      </c>
      <c r="N15" s="89" t="s">
        <v>129</v>
      </c>
      <c r="O15" s="93" t="s">
        <v>142</v>
      </c>
      <c r="P15" s="94" t="s">
        <v>58</v>
      </c>
      <c r="Q15" s="144" t="s">
        <v>143</v>
      </c>
      <c r="R15" s="95">
        <v>46171</v>
      </c>
      <c r="S15" s="96"/>
      <c r="T15" s="96" t="s">
        <v>60</v>
      </c>
      <c r="U15" s="96" t="s">
        <v>144</v>
      </c>
      <c r="V15" s="92">
        <v>46097</v>
      </c>
      <c r="W15" s="92">
        <v>45740</v>
      </c>
      <c r="X15" s="92">
        <v>46140</v>
      </c>
      <c r="Y15" s="97"/>
      <c r="Z15" s="89" t="s">
        <v>108</v>
      </c>
      <c r="AA15" s="96">
        <v>46178</v>
      </c>
      <c r="AB15" s="89" t="s">
        <v>145</v>
      </c>
      <c r="AC15" s="119"/>
      <c r="AD15" s="119"/>
      <c r="AE15" s="119"/>
      <c r="AF15" s="118"/>
      <c r="AG15" s="118"/>
      <c r="AH15" s="118"/>
      <c r="AI15" s="99"/>
      <c r="AJ15" s="99" t="s">
        <v>146</v>
      </c>
      <c r="AK15" s="99" t="s">
        <v>47</v>
      </c>
      <c r="AL15" s="45" t="s">
        <v>67</v>
      </c>
      <c r="AM15" s="198" t="str">
        <f t="shared" si="0"/>
        <v>3/2026</v>
      </c>
      <c r="AN15" s="45">
        <f t="shared" si="1"/>
        <v>2</v>
      </c>
      <c r="AO15" s="45" t="str">
        <f t="shared" si="2"/>
        <v>5/2026</v>
      </c>
      <c r="AP15" s="45">
        <f t="shared" si="3"/>
        <v>5</v>
      </c>
      <c r="AQ15" s="45">
        <f>IF(AU15="S",IF(Q15="1. Aceitou o programa",R15-B15,0),0)</f>
        <v>80</v>
      </c>
      <c r="AR15" s="45">
        <f>IF(AU15="S",IF(AND(S15&lt;&gt;"",R15&lt;&gt;""),S15-R15,0),0)</f>
        <v>0</v>
      </c>
      <c r="AS15" s="45">
        <f>IF(AU15="S",IF(Q15="1. Aceitou o programa",IF(OR(X15="Não se Aplica",X15=""),IF(OR(W15="Não se Aplica",W15=""),0,W15-V15),AVERAGE(X15-W15,W15-V15)),0),0)</f>
        <v>21.5</v>
      </c>
      <c r="AT15" s="45">
        <f>IF(AU15="S",IF(AND(Q15="1. Aceitou o programa",AB15="Realizada"),IFERROR(IF(AA15="",0,AA15-R15),0),0),0)</f>
        <v>0</v>
      </c>
      <c r="AU15" s="45" t="str">
        <f>_xlfn.XLOOKUP(U15,'Lista Suspensa'!$AA$20:$AA$23,'Lista Suspensa'!$AB$20:$AB$23,"N/A")</f>
        <v>S</v>
      </c>
    </row>
    <row r="16" spans="1:47" ht="12" hidden="1" customHeight="1">
      <c r="A16" s="87" t="s">
        <v>47</v>
      </c>
      <c r="B16" s="88">
        <v>46099</v>
      </c>
      <c r="C16" s="89" t="s">
        <v>48</v>
      </c>
      <c r="D16" s="89" t="s">
        <v>49</v>
      </c>
      <c r="E16" s="111">
        <v>780790170</v>
      </c>
      <c r="F16" s="220" t="s">
        <v>147</v>
      </c>
      <c r="G16" s="91" t="s">
        <v>148</v>
      </c>
      <c r="H16" s="92">
        <v>28719</v>
      </c>
      <c r="I16" s="89">
        <f t="shared" ca="1" si="4"/>
        <v>47</v>
      </c>
      <c r="J16" s="89" t="s">
        <v>52</v>
      </c>
      <c r="K16" s="89" t="s">
        <v>53</v>
      </c>
      <c r="L16" s="89" t="s">
        <v>149</v>
      </c>
      <c r="M16" s="89" t="s">
        <v>150</v>
      </c>
      <c r="N16" s="89">
        <v>400</v>
      </c>
      <c r="O16" s="93" t="s">
        <v>151</v>
      </c>
      <c r="P16" s="94" t="s">
        <v>58</v>
      </c>
      <c r="Q16" s="144" t="s">
        <v>74</v>
      </c>
      <c r="R16" s="95"/>
      <c r="S16" s="96">
        <v>46140</v>
      </c>
      <c r="T16" s="96" t="s">
        <v>75</v>
      </c>
      <c r="U16" s="96" t="s">
        <v>61</v>
      </c>
      <c r="V16" s="92">
        <v>46097</v>
      </c>
      <c r="W16" s="92">
        <v>45740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118" t="s">
        <v>62</v>
      </c>
      <c r="AG16" s="118"/>
      <c r="AH16" s="118" t="s">
        <v>66</v>
      </c>
      <c r="AI16" s="99" t="s">
        <v>64</v>
      </c>
      <c r="AJ16" s="99" t="s">
        <v>65</v>
      </c>
      <c r="AK16" s="99" t="s">
        <v>64</v>
      </c>
      <c r="AL16" s="45" t="s">
        <v>67</v>
      </c>
      <c r="AM16" s="198" t="str">
        <f t="shared" si="0"/>
        <v>3/2026</v>
      </c>
      <c r="AN16" s="45">
        <f t="shared" si="1"/>
        <v>3</v>
      </c>
      <c r="AO16" s="45" t="str">
        <f t="shared" si="2"/>
        <v>1/1900</v>
      </c>
      <c r="AP16" s="45" t="e">
        <f t="shared" si="3"/>
        <v>#NUM!</v>
      </c>
      <c r="AQ16" s="45">
        <f>IF(AU16="S",IF(Q16="1. Aceitou o programa",R16-B16,0),0)</f>
        <v>0</v>
      </c>
      <c r="AR16" s="45">
        <f>IF(AU16="S",IF(AND(S16&lt;&gt;"",R16&lt;&gt;""),S16-R16,0),0)</f>
        <v>0</v>
      </c>
      <c r="AS16" s="45">
        <f>IF(AU16="S",IF(Q16="1. Aceitou o programa",IF(OR(X16="Não se Aplica",X16=""),IF(OR(W16="Não se Aplica",W16=""),0,W16-V16),AVERAGE(X16-W16,W16-V16)),0),0)</f>
        <v>0</v>
      </c>
      <c r="AT16" s="45">
        <f>IF(AU16="S",IF(AND(Q16="1. Aceitou o programa",AB16="Realizada"),IFERROR(IF(AA16="",0,AA16-R16),0),0),0)</f>
        <v>0</v>
      </c>
      <c r="AU16" s="45" t="str">
        <f>_xlfn.XLOOKUP(U16,'Lista Suspensa'!$AA$20:$AA$23,'Lista Suspensa'!$AB$20:$AB$23,"N/A")</f>
        <v>S</v>
      </c>
    </row>
    <row r="17" spans="1:47" ht="12" hidden="1" customHeight="1">
      <c r="A17" s="87" t="s">
        <v>47</v>
      </c>
      <c r="B17" s="88">
        <v>46099</v>
      </c>
      <c r="C17" s="89" t="s">
        <v>48</v>
      </c>
      <c r="D17" s="89" t="s">
        <v>49</v>
      </c>
      <c r="E17" s="111">
        <v>301437491</v>
      </c>
      <c r="F17" s="220" t="s">
        <v>152</v>
      </c>
      <c r="G17" s="91" t="s">
        <v>153</v>
      </c>
      <c r="H17" s="92">
        <v>16987</v>
      </c>
      <c r="I17" s="89">
        <f t="shared" ca="1" si="4"/>
        <v>79</v>
      </c>
      <c r="J17" s="89" t="s">
        <v>70</v>
      </c>
      <c r="K17" s="89" t="s">
        <v>53</v>
      </c>
      <c r="L17" s="89" t="s">
        <v>112</v>
      </c>
      <c r="M17" s="89" t="s">
        <v>154</v>
      </c>
      <c r="N17" s="89">
        <v>300</v>
      </c>
      <c r="O17" s="93" t="s">
        <v>155</v>
      </c>
      <c r="P17" s="94" t="s">
        <v>58</v>
      </c>
      <c r="Q17" s="144" t="s">
        <v>74</v>
      </c>
      <c r="R17" s="95"/>
      <c r="S17" s="96">
        <v>46140</v>
      </c>
      <c r="T17" s="96" t="s">
        <v>75</v>
      </c>
      <c r="U17" s="96" t="s">
        <v>61</v>
      </c>
      <c r="V17" s="92">
        <v>46097</v>
      </c>
      <c r="W17" s="92">
        <v>45740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118" t="s">
        <v>62</v>
      </c>
      <c r="AG17" s="118"/>
      <c r="AH17" s="118" t="s">
        <v>66</v>
      </c>
      <c r="AI17" s="99" t="s">
        <v>64</v>
      </c>
      <c r="AJ17" s="99" t="s">
        <v>65</v>
      </c>
      <c r="AK17" s="99" t="s">
        <v>64</v>
      </c>
      <c r="AL17" s="45" t="s">
        <v>67</v>
      </c>
      <c r="AM17" s="198" t="str">
        <f t="shared" si="0"/>
        <v>3/2026</v>
      </c>
      <c r="AN17" s="45">
        <f t="shared" si="1"/>
        <v>3</v>
      </c>
      <c r="AO17" s="45" t="str">
        <f t="shared" si="2"/>
        <v>1/1900</v>
      </c>
      <c r="AP17" s="45" t="e">
        <f t="shared" si="3"/>
        <v>#NUM!</v>
      </c>
      <c r="AQ17" s="45">
        <f>IF(AU17="S",IF(Q17="1. Aceitou o programa",R17-B17,0),0)</f>
        <v>0</v>
      </c>
      <c r="AR17" s="45">
        <f>IF(AU17="S",IF(AND(S17&lt;&gt;"",R17&lt;&gt;""),S17-R17,0),0)</f>
        <v>0</v>
      </c>
      <c r="AS17" s="45">
        <f>IF(AU17="S",IF(Q17="1. Aceitou o programa",IF(OR(X17="Não se Aplica",X17=""),IF(OR(W17="Não se Aplica",W17=""),0,W17-V17),AVERAGE(X17-W17,W17-V17)),0),0)</f>
        <v>0</v>
      </c>
      <c r="AT17" s="45">
        <f>IF(AU17="S",IF(AND(Q17="1. Aceitou o programa",AB17="Realizada"),IFERROR(IF(AA17="",0,AA17-R17),0),0),0)</f>
        <v>0</v>
      </c>
      <c r="AU17" s="45" t="str">
        <f>_xlfn.XLOOKUP(U17,'Lista Suspensa'!$AA$20:$AA$23,'Lista Suspensa'!$AB$20:$AB$23,"N/A")</f>
        <v>S</v>
      </c>
    </row>
    <row r="18" spans="1:47" ht="12" hidden="1" customHeight="1">
      <c r="A18" s="87" t="s">
        <v>47</v>
      </c>
      <c r="B18" s="88">
        <v>46099</v>
      </c>
      <c r="C18" s="89" t="s">
        <v>48</v>
      </c>
      <c r="D18" s="89" t="s">
        <v>49</v>
      </c>
      <c r="E18" s="111">
        <v>95172889</v>
      </c>
      <c r="F18" s="220" t="s">
        <v>156</v>
      </c>
      <c r="G18" s="91" t="s">
        <v>157</v>
      </c>
      <c r="H18" s="92">
        <v>26887</v>
      </c>
      <c r="I18" s="89">
        <f t="shared" ca="1" si="4"/>
        <v>52</v>
      </c>
      <c r="J18" s="89" t="s">
        <v>52</v>
      </c>
      <c r="K18" s="89" t="s">
        <v>53</v>
      </c>
      <c r="L18" s="89" t="s">
        <v>54</v>
      </c>
      <c r="M18" s="89" t="s">
        <v>158</v>
      </c>
      <c r="N18" s="89">
        <v>400</v>
      </c>
      <c r="O18" s="93" t="s">
        <v>159</v>
      </c>
      <c r="P18" s="94" t="s">
        <v>58</v>
      </c>
      <c r="Q18" s="144" t="s">
        <v>74</v>
      </c>
      <c r="R18" s="95"/>
      <c r="S18" s="96">
        <v>46140</v>
      </c>
      <c r="T18" s="96" t="s">
        <v>75</v>
      </c>
      <c r="U18" s="96" t="s">
        <v>61</v>
      </c>
      <c r="V18" s="92">
        <v>46097</v>
      </c>
      <c r="W18" s="92">
        <v>45740</v>
      </c>
      <c r="X18" s="92">
        <v>46140</v>
      </c>
      <c r="Y18" s="97"/>
      <c r="Z18" s="89"/>
      <c r="AA18" s="96"/>
      <c r="AB18" s="89"/>
      <c r="AC18" s="119"/>
      <c r="AD18" s="89"/>
      <c r="AE18" s="89"/>
      <c r="AF18" s="118" t="s">
        <v>62</v>
      </c>
      <c r="AG18" s="118"/>
      <c r="AH18" s="118" t="s">
        <v>66</v>
      </c>
      <c r="AI18" s="99" t="s">
        <v>64</v>
      </c>
      <c r="AJ18" s="99" t="s">
        <v>65</v>
      </c>
      <c r="AK18" s="99" t="s">
        <v>64</v>
      </c>
      <c r="AL18" s="45" t="s">
        <v>67</v>
      </c>
      <c r="AM18" s="198" t="str">
        <f t="shared" si="0"/>
        <v>3/2026</v>
      </c>
      <c r="AN18" s="45">
        <f t="shared" si="1"/>
        <v>3</v>
      </c>
      <c r="AO18" s="45" t="str">
        <f t="shared" si="2"/>
        <v>1/1900</v>
      </c>
      <c r="AP18" s="45" t="e">
        <f t="shared" si="3"/>
        <v>#NUM!</v>
      </c>
      <c r="AQ18" s="45">
        <f>IF(AU18="S",IF(Q18="1. Aceitou o programa",R18-B18,0),0)</f>
        <v>0</v>
      </c>
      <c r="AR18" s="45">
        <f>IF(AU18="S",IF(AND(S18&lt;&gt;"",R18&lt;&gt;""),S18-R18,0),0)</f>
        <v>0</v>
      </c>
      <c r="AS18" s="45">
        <f>IF(AU18="S",IF(Q18="1. Aceitou o programa",IF(OR(X18="Não se Aplica",X18=""),IF(OR(W18="Não se Aplica",W18=""),0,W18-V18),AVERAGE(X18-W18,W18-V18)),0),0)</f>
        <v>0</v>
      </c>
      <c r="AT18" s="45">
        <f>IF(AU18="S",IF(AND(Q18="1. Aceitou o programa",AB18="Realizada"),IFERROR(IF(AA18="",0,AA18-R18),0),0),0)</f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46118</v>
      </c>
      <c r="C19" s="89" t="s">
        <v>48</v>
      </c>
      <c r="D19" s="89" t="s">
        <v>49</v>
      </c>
      <c r="E19" s="111">
        <v>452598354</v>
      </c>
      <c r="F19" s="220" t="s">
        <v>160</v>
      </c>
      <c r="G19" s="91" t="s">
        <v>161</v>
      </c>
      <c r="H19" s="92">
        <v>17835</v>
      </c>
      <c r="I19" s="89">
        <f t="shared" ca="1" si="4"/>
        <v>77</v>
      </c>
      <c r="J19" s="89" t="s">
        <v>52</v>
      </c>
      <c r="K19" s="89" t="s">
        <v>53</v>
      </c>
      <c r="L19" s="89" t="s">
        <v>54</v>
      </c>
      <c r="M19" s="89" t="s">
        <v>162</v>
      </c>
      <c r="N19" s="89">
        <v>300</v>
      </c>
      <c r="O19" s="93" t="s">
        <v>163</v>
      </c>
      <c r="P19" s="94" t="s">
        <v>93</v>
      </c>
      <c r="Q19" s="144" t="s">
        <v>74</v>
      </c>
      <c r="R19" s="95"/>
      <c r="S19" s="96">
        <v>46140</v>
      </c>
      <c r="T19" s="96" t="s">
        <v>75</v>
      </c>
      <c r="U19" s="96" t="s">
        <v>61</v>
      </c>
      <c r="V19" s="92">
        <v>46121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118" t="s">
        <v>62</v>
      </c>
      <c r="AG19" s="118"/>
      <c r="AH19" s="118" t="s">
        <v>66</v>
      </c>
      <c r="AI19" s="99" t="s">
        <v>64</v>
      </c>
      <c r="AJ19" s="99" t="s">
        <v>65</v>
      </c>
      <c r="AK19" s="99" t="s">
        <v>64</v>
      </c>
      <c r="AL19" s="45" t="s">
        <v>67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>IF(AU19="S",IF(Q19="1. Aceitou o programa",R19-B19,0),0)</f>
        <v>0</v>
      </c>
      <c r="AR19" s="45">
        <f>IF(AU19="S",IF(AND(S19&lt;&gt;"",R19&lt;&gt;""),S19-R19,0),0)</f>
        <v>0</v>
      </c>
      <c r="AS19" s="45">
        <f>IF(AU19="S",IF(Q19="1. Aceitou o programa",IF(OR(X19="Não se Aplica",X19=""),IF(OR(W19="Não se Aplica",W19=""),0,W19-V19),AVERAGE(X19-W19,W19-V19)),0),0)</f>
        <v>0</v>
      </c>
      <c r="AT19" s="45">
        <f>IF(AU19="S",IF(AND(Q19="1. Aceitou o programa",AB19="Realizada"),IFERROR(IF(AA19="",0,AA19-R19),0),0),0)</f>
        <v>0</v>
      </c>
      <c r="AU19" s="45" t="str">
        <f>_xlfn.XLOOKUP(U19,'Lista Suspensa'!$AA$20:$AA$23,'Lista Suspensa'!$AB$20:$AB$23,"N/A")</f>
        <v>S</v>
      </c>
    </row>
    <row r="20" spans="1:47" ht="12" hidden="1" customHeight="1">
      <c r="A20" s="87" t="s">
        <v>47</v>
      </c>
      <c r="B20" s="88">
        <v>46118</v>
      </c>
      <c r="C20" s="89" t="s">
        <v>48</v>
      </c>
      <c r="D20" s="89" t="s">
        <v>49</v>
      </c>
      <c r="E20" s="111">
        <v>81378584</v>
      </c>
      <c r="F20" s="220" t="s">
        <v>164</v>
      </c>
      <c r="G20" s="91" t="s">
        <v>165</v>
      </c>
      <c r="H20" s="92">
        <v>27435</v>
      </c>
      <c r="I20" s="89">
        <f t="shared" ca="1" si="4"/>
        <v>51</v>
      </c>
      <c r="J20" s="89" t="s">
        <v>70</v>
      </c>
      <c r="K20" s="89" t="s">
        <v>53</v>
      </c>
      <c r="L20" s="89" t="s">
        <v>54</v>
      </c>
      <c r="M20" s="89" t="s">
        <v>158</v>
      </c>
      <c r="N20" s="89">
        <v>450</v>
      </c>
      <c r="O20" s="93" t="s">
        <v>166</v>
      </c>
      <c r="P20" s="94" t="s">
        <v>93</v>
      </c>
      <c r="Q20" s="144" t="s">
        <v>74</v>
      </c>
      <c r="R20" s="95"/>
      <c r="S20" s="96">
        <v>46140</v>
      </c>
      <c r="T20" s="96" t="s">
        <v>75</v>
      </c>
      <c r="U20" s="96" t="s">
        <v>61</v>
      </c>
      <c r="V20" s="92">
        <v>46121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118" t="s">
        <v>62</v>
      </c>
      <c r="AG20" s="118"/>
      <c r="AH20" s="118" t="s">
        <v>66</v>
      </c>
      <c r="AI20" s="99" t="s">
        <v>64</v>
      </c>
      <c r="AJ20" s="99" t="s">
        <v>65</v>
      </c>
      <c r="AK20" s="99" t="s">
        <v>64</v>
      </c>
      <c r="AL20" s="45" t="s">
        <v>67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>IF(AU20="S",IF(Q20="1. Aceitou o programa",R20-B20,0),0)</f>
        <v>0</v>
      </c>
      <c r="AR20" s="45">
        <f>IF(AU20="S",IF(AND(S20&lt;&gt;"",R20&lt;&gt;""),S20-R20,0),0)</f>
        <v>0</v>
      </c>
      <c r="AS20" s="45">
        <f>IF(AU20="S",IF(Q20="1. Aceitou o programa",IF(OR(X20="Não se Aplica",X20=""),IF(OR(W20="Não se Aplica",W20=""),0,W20-V20),AVERAGE(X20-W20,W20-V20)),0),0)</f>
        <v>0</v>
      </c>
      <c r="AT20" s="45">
        <f>IF(AU20="S",IF(AND(Q20="1. Aceitou o programa",AB20="Realizada"),IFERROR(IF(AA20="",0,AA20-R20),0),0),0)</f>
        <v>0</v>
      </c>
      <c r="AU20" s="45" t="str">
        <f>_xlfn.XLOOKUP(U20,'Lista Suspensa'!$AA$20:$AA$23,'Lista Suspensa'!$AB$20:$AB$23,"N/A")</f>
        <v>S</v>
      </c>
    </row>
    <row r="21" spans="1:47" ht="12" hidden="1" customHeight="1">
      <c r="A21" s="87" t="s">
        <v>47</v>
      </c>
      <c r="B21" s="88">
        <v>46118</v>
      </c>
      <c r="C21" s="89" t="s">
        <v>48</v>
      </c>
      <c r="D21" s="89" t="s">
        <v>49</v>
      </c>
      <c r="E21" s="111">
        <v>95662016</v>
      </c>
      <c r="F21" s="220" t="s">
        <v>167</v>
      </c>
      <c r="G21" s="91" t="s">
        <v>168</v>
      </c>
      <c r="H21" s="92">
        <v>20674</v>
      </c>
      <c r="I21" s="89">
        <f t="shared" ca="1" si="4"/>
        <v>69</v>
      </c>
      <c r="J21" s="89" t="s">
        <v>70</v>
      </c>
      <c r="K21" s="89" t="s">
        <v>53</v>
      </c>
      <c r="L21" s="89" t="s">
        <v>54</v>
      </c>
      <c r="M21" s="89" t="s">
        <v>169</v>
      </c>
      <c r="N21" s="89">
        <v>750</v>
      </c>
      <c r="O21" s="93" t="s">
        <v>170</v>
      </c>
      <c r="P21" s="94" t="s">
        <v>93</v>
      </c>
      <c r="Q21" s="144" t="s">
        <v>74</v>
      </c>
      <c r="R21" s="95"/>
      <c r="S21" s="96">
        <v>46140</v>
      </c>
      <c r="T21" s="96" t="s">
        <v>75</v>
      </c>
      <c r="U21" s="96" t="s">
        <v>61</v>
      </c>
      <c r="V21" s="92">
        <v>46121</v>
      </c>
      <c r="W21" s="92">
        <v>46128</v>
      </c>
      <c r="X21" s="92">
        <v>46140</v>
      </c>
      <c r="Y21" s="97"/>
      <c r="Z21" s="89"/>
      <c r="AA21" s="96"/>
      <c r="AB21" s="89"/>
      <c r="AC21" s="119"/>
      <c r="AD21" s="89"/>
      <c r="AE21" s="89"/>
      <c r="AF21" s="118" t="s">
        <v>62</v>
      </c>
      <c r="AG21" s="118"/>
      <c r="AH21" s="118" t="s">
        <v>66</v>
      </c>
      <c r="AI21" s="99" t="s">
        <v>64</v>
      </c>
      <c r="AJ21" s="99" t="s">
        <v>65</v>
      </c>
      <c r="AK21" s="99" t="s">
        <v>64</v>
      </c>
      <c r="AL21" s="45" t="s">
        <v>67</v>
      </c>
      <c r="AM21" s="198" t="str">
        <f t="shared" si="0"/>
        <v>4/2026</v>
      </c>
      <c r="AN21" s="45">
        <f t="shared" si="1"/>
        <v>2</v>
      </c>
      <c r="AO21" s="45" t="str">
        <f t="shared" si="2"/>
        <v>1/1900</v>
      </c>
      <c r="AP21" s="45" t="e">
        <f t="shared" si="3"/>
        <v>#NUM!</v>
      </c>
      <c r="AQ21" s="45">
        <f>IF(AU21="S",IF(Q21="1. Aceitou o programa",R21-B21,0),0)</f>
        <v>0</v>
      </c>
      <c r="AR21" s="45">
        <f>IF(AU21="S",IF(AND(S21&lt;&gt;"",R21&lt;&gt;""),S21-R21,0),0)</f>
        <v>0</v>
      </c>
      <c r="AS21" s="45">
        <f>IF(AU21="S",IF(Q21="1. Aceitou o programa",IF(OR(X21="Não se Aplica",X21=""),IF(OR(W21="Não se Aplica",W21=""),0,W21-V21),AVERAGE(X21-W21,W21-V21)),0),0)</f>
        <v>0</v>
      </c>
      <c r="AT21" s="45">
        <f>IF(AU21="S",IF(AND(Q21="1. Aceitou o programa",AB21="Realizada"),IFERROR(IF(AA21="",0,AA21-R21),0),0),0)</f>
        <v>0</v>
      </c>
      <c r="AU21" s="45" t="str">
        <f>_xlfn.XLOOKUP(U21,'Lista Suspensa'!$AA$20:$AA$23,'Lista Suspensa'!$AB$20:$AB$23,"N/A")</f>
        <v>S</v>
      </c>
    </row>
    <row r="22" spans="1:47" ht="12" hidden="1" customHeight="1">
      <c r="A22" s="87" t="s">
        <v>47</v>
      </c>
      <c r="B22" s="88">
        <v>46118</v>
      </c>
      <c r="C22" s="89" t="s">
        <v>48</v>
      </c>
      <c r="D22" s="89" t="s">
        <v>49</v>
      </c>
      <c r="E22" s="111">
        <v>95984812</v>
      </c>
      <c r="F22" s="220" t="s">
        <v>171</v>
      </c>
      <c r="G22" s="91" t="s">
        <v>172</v>
      </c>
      <c r="H22" s="92">
        <v>26454</v>
      </c>
      <c r="I22" s="89">
        <f t="shared" ca="1" si="4"/>
        <v>54</v>
      </c>
      <c r="J22" s="89" t="s">
        <v>70</v>
      </c>
      <c r="K22" s="89" t="s">
        <v>53</v>
      </c>
      <c r="L22" s="89" t="s">
        <v>173</v>
      </c>
      <c r="M22" s="89" t="s">
        <v>174</v>
      </c>
      <c r="N22" s="89">
        <v>80</v>
      </c>
      <c r="O22" s="93" t="s">
        <v>175</v>
      </c>
      <c r="P22" s="94" t="s">
        <v>93</v>
      </c>
      <c r="Q22" s="144" t="s">
        <v>74</v>
      </c>
      <c r="R22" s="95"/>
      <c r="S22" s="96">
        <v>46140</v>
      </c>
      <c r="T22" s="96" t="s">
        <v>75</v>
      </c>
      <c r="U22" s="96" t="s">
        <v>61</v>
      </c>
      <c r="V22" s="92">
        <v>46121</v>
      </c>
      <c r="W22" s="92">
        <v>46128</v>
      </c>
      <c r="X22" s="92">
        <v>46140</v>
      </c>
      <c r="Y22" s="97"/>
      <c r="Z22" s="89"/>
      <c r="AA22" s="96"/>
      <c r="AB22" s="89"/>
      <c r="AC22" s="119"/>
      <c r="AD22" s="89"/>
      <c r="AE22" s="89"/>
      <c r="AF22" s="118" t="s">
        <v>62</v>
      </c>
      <c r="AG22" s="118"/>
      <c r="AH22" s="118" t="s">
        <v>66</v>
      </c>
      <c r="AI22" s="99" t="s">
        <v>64</v>
      </c>
      <c r="AJ22" s="99" t="s">
        <v>65</v>
      </c>
      <c r="AK22" s="99" t="s">
        <v>64</v>
      </c>
      <c r="AL22" s="45" t="s">
        <v>67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>IF(AU22="S",IF(Q22="1. Aceitou o programa",R22-B22,0),0)</f>
        <v>0</v>
      </c>
      <c r="AR22" s="45">
        <f>IF(AU22="S",IF(AND(S22&lt;&gt;"",R22&lt;&gt;""),S22-R22,0),0)</f>
        <v>0</v>
      </c>
      <c r="AS22" s="45">
        <f>IF(AU22="S",IF(Q22="1. Aceitou o programa",IF(OR(X22="Não se Aplica",X22=""),IF(OR(W22="Não se Aplica",W22=""),0,W22-V22),AVERAGE(X22-W22,W22-V22)),0),0)</f>
        <v>0</v>
      </c>
      <c r="AT22" s="45">
        <f>IF(AU22="S",IF(AND(Q22="1. Aceitou o programa",AB22="Realizada"),IFERROR(IF(AA22="",0,AA22-R22),0),0),0)</f>
        <v>0</v>
      </c>
      <c r="AU22" s="45" t="str">
        <f>_xlfn.XLOOKUP(U22,'Lista Suspensa'!$AA$20:$AA$23,'Lista Suspensa'!$AB$20:$AB$23,"N/A")</f>
        <v>S</v>
      </c>
    </row>
    <row r="23" spans="1:47" ht="12" hidden="1" customHeight="1">
      <c r="A23" s="87" t="s">
        <v>47</v>
      </c>
      <c r="B23" s="88">
        <v>46118</v>
      </c>
      <c r="C23" s="89" t="s">
        <v>48</v>
      </c>
      <c r="D23" s="89" t="s">
        <v>49</v>
      </c>
      <c r="E23" s="111">
        <v>322004322</v>
      </c>
      <c r="F23" s="220" t="s">
        <v>176</v>
      </c>
      <c r="G23" s="91" t="s">
        <v>177</v>
      </c>
      <c r="H23" s="92">
        <v>27026</v>
      </c>
      <c r="I23" s="89">
        <f t="shared" ca="1" si="4"/>
        <v>52</v>
      </c>
      <c r="J23" s="89" t="s">
        <v>70</v>
      </c>
      <c r="K23" s="89" t="s">
        <v>53</v>
      </c>
      <c r="L23" s="89" t="s">
        <v>54</v>
      </c>
      <c r="M23" s="89" t="s">
        <v>178</v>
      </c>
      <c r="N23" s="89">
        <v>400</v>
      </c>
      <c r="O23" s="93" t="s">
        <v>179</v>
      </c>
      <c r="P23" s="94" t="s">
        <v>93</v>
      </c>
      <c r="Q23" s="144" t="s">
        <v>74</v>
      </c>
      <c r="R23" s="95"/>
      <c r="S23" s="96">
        <v>46140</v>
      </c>
      <c r="T23" s="96" t="s">
        <v>75</v>
      </c>
      <c r="U23" s="96" t="s">
        <v>61</v>
      </c>
      <c r="V23" s="92">
        <v>46121</v>
      </c>
      <c r="W23" s="92">
        <v>46128</v>
      </c>
      <c r="X23" s="92">
        <v>46140</v>
      </c>
      <c r="Y23" s="97"/>
      <c r="Z23" s="89"/>
      <c r="AA23" s="96"/>
      <c r="AB23" s="89"/>
      <c r="AC23" s="119"/>
      <c r="AD23" s="89"/>
      <c r="AE23" s="89"/>
      <c r="AF23" s="118" t="s">
        <v>62</v>
      </c>
      <c r="AG23" s="118"/>
      <c r="AH23" s="118" t="s">
        <v>66</v>
      </c>
      <c r="AI23" s="99" t="s">
        <v>64</v>
      </c>
      <c r="AJ23" s="99" t="s">
        <v>65</v>
      </c>
      <c r="AK23" s="99" t="s">
        <v>64</v>
      </c>
      <c r="AL23" s="45" t="s">
        <v>67</v>
      </c>
      <c r="AM23" s="198" t="str">
        <f t="shared" si="0"/>
        <v>4/2026</v>
      </c>
      <c r="AN23" s="45">
        <f t="shared" si="1"/>
        <v>2</v>
      </c>
      <c r="AO23" s="45" t="str">
        <f t="shared" si="2"/>
        <v>1/1900</v>
      </c>
      <c r="AP23" s="45" t="e">
        <f t="shared" si="3"/>
        <v>#NUM!</v>
      </c>
      <c r="AQ23" s="45">
        <f>IF(AU23="S",IF(Q23="1. Aceitou o programa",R23-B23,0),0)</f>
        <v>0</v>
      </c>
      <c r="AR23" s="45">
        <f>IF(AU23="S",IF(AND(S23&lt;&gt;"",R23&lt;&gt;""),S23-R23,0),0)</f>
        <v>0</v>
      </c>
      <c r="AS23" s="45">
        <f>IF(AU23="S",IF(Q23="1. Aceitou o programa",IF(OR(X23="Não se Aplica",X23=""),IF(OR(W23="Não se Aplica",W23=""),0,W23-V23),AVERAGE(X23-W23,W23-V23)),0),0)</f>
        <v>0</v>
      </c>
      <c r="AT23" s="45">
        <f>IF(AU23="S",IF(AND(Q23="1. Aceitou o programa",AB23="Realizada"),IFERROR(IF(AA23="",0,AA23-R23),0),0),0)</f>
        <v>0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47</v>
      </c>
      <c r="B24" s="88">
        <v>46118</v>
      </c>
      <c r="C24" s="89" t="s">
        <v>48</v>
      </c>
      <c r="D24" s="89" t="s">
        <v>49</v>
      </c>
      <c r="E24" s="111">
        <v>450427013</v>
      </c>
      <c r="F24" s="220" t="s">
        <v>180</v>
      </c>
      <c r="G24" s="91" t="s">
        <v>181</v>
      </c>
      <c r="H24" s="92">
        <v>22321</v>
      </c>
      <c r="I24" s="89">
        <f t="shared" ca="1" si="4"/>
        <v>65</v>
      </c>
      <c r="J24" s="89" t="s">
        <v>52</v>
      </c>
      <c r="K24" s="89" t="s">
        <v>53</v>
      </c>
      <c r="L24" s="89" t="s">
        <v>182</v>
      </c>
      <c r="M24" s="89" t="s">
        <v>183</v>
      </c>
      <c r="N24" s="89">
        <v>400</v>
      </c>
      <c r="O24" s="93" t="s">
        <v>184</v>
      </c>
      <c r="P24" s="94" t="s">
        <v>93</v>
      </c>
      <c r="Q24" s="144" t="s">
        <v>74</v>
      </c>
      <c r="R24" s="95"/>
      <c r="S24" s="96">
        <v>46140</v>
      </c>
      <c r="T24" s="96" t="s">
        <v>75</v>
      </c>
      <c r="U24" s="96" t="s">
        <v>61</v>
      </c>
      <c r="V24" s="92">
        <v>46121</v>
      </c>
      <c r="W24" s="92">
        <v>46128</v>
      </c>
      <c r="X24" s="92">
        <v>46140</v>
      </c>
      <c r="Y24" s="97"/>
      <c r="Z24" s="89"/>
      <c r="AA24" s="96"/>
      <c r="AB24" s="89"/>
      <c r="AC24" s="119"/>
      <c r="AD24" s="89"/>
      <c r="AE24" s="89"/>
      <c r="AF24" s="118" t="s">
        <v>62</v>
      </c>
      <c r="AG24" s="118"/>
      <c r="AH24" s="118" t="s">
        <v>66</v>
      </c>
      <c r="AI24" s="99" t="s">
        <v>64</v>
      </c>
      <c r="AJ24" s="99" t="s">
        <v>65</v>
      </c>
      <c r="AK24" s="99" t="s">
        <v>64</v>
      </c>
      <c r="AL24" s="45" t="s">
        <v>67</v>
      </c>
      <c r="AM24" s="198" t="str">
        <f t="shared" si="0"/>
        <v>4/2026</v>
      </c>
      <c r="AN24" s="45">
        <f t="shared" si="1"/>
        <v>2</v>
      </c>
      <c r="AO24" s="45" t="str">
        <f t="shared" si="2"/>
        <v>1/1900</v>
      </c>
      <c r="AP24" s="45" t="e">
        <f t="shared" si="3"/>
        <v>#NUM!</v>
      </c>
      <c r="AQ24" s="45">
        <f>IF(AU24="S",IF(Q24="1. Aceitou o programa",R24-B24,0),0)</f>
        <v>0</v>
      </c>
      <c r="AR24" s="45">
        <f>IF(AU24="S",IF(AND(S24&lt;&gt;"",R24&lt;&gt;""),S24-R24,0),0)</f>
        <v>0</v>
      </c>
      <c r="AS24" s="45">
        <f>IF(AU24="S",IF(Q24="1. Aceitou o programa",IF(OR(X24="Não se Aplica",X24=""),IF(OR(W24="Não se Aplica",W24=""),0,W24-V24),AVERAGE(X24-W24,W24-V24)),0),0)</f>
        <v>0</v>
      </c>
      <c r="AT24" s="45">
        <f>IF(AU24="S",IF(AND(Q24="1. Aceitou o programa",AB24="Realizada"),IFERROR(IF(AA24="",0,AA24-R24),0),0),0)</f>
        <v>0</v>
      </c>
      <c r="AU24" s="45" t="str">
        <f>_xlfn.XLOOKUP(U24,'Lista Suspensa'!$AA$20:$AA$23,'Lista Suspensa'!$AB$20:$AB$23,"N/A")</f>
        <v>S</v>
      </c>
    </row>
    <row r="25" spans="1:47" ht="12" hidden="1" customHeight="1">
      <c r="A25" s="87" t="s">
        <v>47</v>
      </c>
      <c r="B25" s="88">
        <v>46127</v>
      </c>
      <c r="C25" s="89" t="s">
        <v>48</v>
      </c>
      <c r="D25" s="89" t="s">
        <v>49</v>
      </c>
      <c r="E25" s="111">
        <v>85395909</v>
      </c>
      <c r="F25" s="220" t="s">
        <v>185</v>
      </c>
      <c r="G25" s="91" t="s">
        <v>186</v>
      </c>
      <c r="H25" s="92">
        <v>24983</v>
      </c>
      <c r="I25" s="89">
        <f t="shared" ca="1" si="4"/>
        <v>58</v>
      </c>
      <c r="J25" s="89" t="s">
        <v>70</v>
      </c>
      <c r="K25" s="89" t="s">
        <v>53</v>
      </c>
      <c r="L25" s="89" t="s">
        <v>54</v>
      </c>
      <c r="M25" s="89" t="s">
        <v>187</v>
      </c>
      <c r="N25" s="89">
        <v>750</v>
      </c>
      <c r="O25" s="93" t="s">
        <v>188</v>
      </c>
      <c r="P25" s="94" t="s">
        <v>93</v>
      </c>
      <c r="Q25" s="144" t="s">
        <v>74</v>
      </c>
      <c r="R25" s="95"/>
      <c r="S25" s="96">
        <v>46141</v>
      </c>
      <c r="T25" s="96" t="s">
        <v>75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118"/>
      <c r="AG25" s="118"/>
      <c r="AH25" s="118" t="s">
        <v>66</v>
      </c>
      <c r="AI25" s="99" t="s">
        <v>64</v>
      </c>
      <c r="AJ25" s="99" t="s">
        <v>65</v>
      </c>
      <c r="AK25" s="99" t="s">
        <v>64</v>
      </c>
      <c r="AL25" s="45" t="s">
        <v>67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>IF(AU25="S",IF(Q25="1. Aceitou o programa",R25-B25,0),0)</f>
        <v>0</v>
      </c>
      <c r="AR25" s="45">
        <f>IF(AU25="S",IF(AND(S25&lt;&gt;"",R25&lt;&gt;""),S25-R25,0),0)</f>
        <v>0</v>
      </c>
      <c r="AS25" s="45">
        <f>IF(AU25="S",IF(Q25="1. Aceitou o programa",IF(OR(X25="Não se Aplica",X25=""),IF(OR(W25="Não se Aplica",W25=""),0,W25-V25),AVERAGE(X25-W25,W25-V25)),0),0)</f>
        <v>0</v>
      </c>
      <c r="AT25" s="45">
        <f>IF(AU25="S",IF(AND(Q25="1. Aceitou o programa",AB25="Realizada"),IFERROR(IF(AA25="",0,AA25-R25),0),0),0)</f>
        <v>0</v>
      </c>
      <c r="AU25" s="45" t="str">
        <f>_xlfn.XLOOKUP(U25,'Lista Suspensa'!$AA$20:$AA$23,'Lista Suspensa'!$AB$20:$AB$23,"N/A")</f>
        <v>S</v>
      </c>
    </row>
    <row r="26" spans="1:47" ht="12" hidden="1" customHeight="1">
      <c r="A26" s="87" t="s">
        <v>47</v>
      </c>
      <c r="B26" s="88">
        <v>46127</v>
      </c>
      <c r="C26" s="89" t="s">
        <v>48</v>
      </c>
      <c r="D26" s="89" t="s">
        <v>49</v>
      </c>
      <c r="E26" s="111">
        <v>200214411</v>
      </c>
      <c r="F26" s="220" t="s">
        <v>189</v>
      </c>
      <c r="G26" s="91" t="s">
        <v>190</v>
      </c>
      <c r="H26" s="92">
        <v>21756</v>
      </c>
      <c r="I26" s="89">
        <f t="shared" ca="1" si="4"/>
        <v>66</v>
      </c>
      <c r="J26" s="89" t="s">
        <v>52</v>
      </c>
      <c r="K26" s="89" t="s">
        <v>53</v>
      </c>
      <c r="L26" s="89" t="s">
        <v>54</v>
      </c>
      <c r="M26" s="89" t="s">
        <v>191</v>
      </c>
      <c r="N26" s="89">
        <v>600</v>
      </c>
      <c r="O26" s="93" t="s">
        <v>192</v>
      </c>
      <c r="P26" s="94" t="s">
        <v>93</v>
      </c>
      <c r="Q26" s="144" t="s">
        <v>74</v>
      </c>
      <c r="R26" s="95"/>
      <c r="S26" s="96">
        <v>46141</v>
      </c>
      <c r="T26" s="96" t="s">
        <v>75</v>
      </c>
      <c r="U26" s="96" t="s">
        <v>61</v>
      </c>
      <c r="V26" s="92">
        <v>46128</v>
      </c>
      <c r="W26" s="92">
        <v>46140</v>
      </c>
      <c r="X26" s="92">
        <v>46141</v>
      </c>
      <c r="Y26" s="97"/>
      <c r="Z26" s="89"/>
      <c r="AA26" s="96"/>
      <c r="AB26" s="89"/>
      <c r="AC26" s="119"/>
      <c r="AD26" s="89"/>
      <c r="AE26" s="89"/>
      <c r="AF26" s="118"/>
      <c r="AG26" s="118"/>
      <c r="AH26" s="118" t="s">
        <v>66</v>
      </c>
      <c r="AI26" s="99" t="s">
        <v>64</v>
      </c>
      <c r="AJ26" s="99" t="s">
        <v>65</v>
      </c>
      <c r="AK26" s="99" t="s">
        <v>64</v>
      </c>
      <c r="AL26" s="45" t="s">
        <v>67</v>
      </c>
      <c r="AM26" s="198" t="str">
        <f t="shared" si="0"/>
        <v>4/2026</v>
      </c>
      <c r="AN26" s="45">
        <f t="shared" si="1"/>
        <v>3</v>
      </c>
      <c r="AO26" s="45" t="str">
        <f t="shared" si="2"/>
        <v>1/1900</v>
      </c>
      <c r="AP26" s="45" t="e">
        <f t="shared" si="3"/>
        <v>#NUM!</v>
      </c>
      <c r="AQ26" s="45">
        <f>IF(AU26="S",IF(Q26="1. Aceitou o programa",R26-B26,0),0)</f>
        <v>0</v>
      </c>
      <c r="AR26" s="45">
        <f>IF(AU26="S",IF(AND(S26&lt;&gt;"",R26&lt;&gt;""),S26-R26,0),0)</f>
        <v>0</v>
      </c>
      <c r="AS26" s="45">
        <f>IF(AU26="S",IF(Q26="1. Aceitou o programa",IF(OR(X26="Não se Aplica",X26=""),IF(OR(W26="Não se Aplica",W26=""),0,W26-V26),AVERAGE(X26-W26,W26-V26)),0),0)</f>
        <v>0</v>
      </c>
      <c r="AT26" s="45">
        <f>IF(AU26="S",IF(AND(Q26="1. Aceitou o programa",AB26="Realizada"),IFERROR(IF(AA26="",0,AA26-R26),0),0),0)</f>
        <v>0</v>
      </c>
      <c r="AU26" s="45" t="str">
        <f>_xlfn.XLOOKUP(U26,'Lista Suspensa'!$AA$20:$AA$23,'Lista Suspensa'!$AB$20:$AB$23,"N/A")</f>
        <v>S</v>
      </c>
    </row>
    <row r="27" spans="1:47" ht="12" hidden="1" customHeight="1">
      <c r="A27" s="87" t="s">
        <v>47</v>
      </c>
      <c r="B27" s="88">
        <v>46127</v>
      </c>
      <c r="C27" s="89" t="s">
        <v>48</v>
      </c>
      <c r="D27" s="89" t="s">
        <v>49</v>
      </c>
      <c r="E27" s="111">
        <v>93495957</v>
      </c>
      <c r="F27" s="220" t="s">
        <v>193</v>
      </c>
      <c r="G27" s="91" t="s">
        <v>194</v>
      </c>
      <c r="H27" s="92">
        <v>20882</v>
      </c>
      <c r="I27" s="89">
        <f t="shared" ca="1" si="4"/>
        <v>69</v>
      </c>
      <c r="J27" s="89" t="s">
        <v>70</v>
      </c>
      <c r="K27" s="89" t="s">
        <v>53</v>
      </c>
      <c r="L27" s="89" t="s">
        <v>54</v>
      </c>
      <c r="M27" s="89" t="s">
        <v>195</v>
      </c>
      <c r="N27" s="89">
        <v>750</v>
      </c>
      <c r="O27" s="93" t="s">
        <v>196</v>
      </c>
      <c r="P27" s="94" t="s">
        <v>93</v>
      </c>
      <c r="Q27" s="144" t="s">
        <v>74</v>
      </c>
      <c r="R27" s="95"/>
      <c r="S27" s="96">
        <v>46141</v>
      </c>
      <c r="T27" s="96" t="s">
        <v>75</v>
      </c>
      <c r="U27" s="96" t="s">
        <v>61</v>
      </c>
      <c r="V27" s="92">
        <v>46128</v>
      </c>
      <c r="W27" s="92">
        <v>46140</v>
      </c>
      <c r="X27" s="92">
        <v>46141</v>
      </c>
      <c r="Y27" s="97"/>
      <c r="Z27" s="89"/>
      <c r="AA27" s="96"/>
      <c r="AB27" s="89"/>
      <c r="AC27" s="119"/>
      <c r="AD27" s="89"/>
      <c r="AE27" s="89"/>
      <c r="AF27" s="118"/>
      <c r="AG27" s="118"/>
      <c r="AH27" s="118" t="s">
        <v>66</v>
      </c>
      <c r="AI27" s="99" t="s">
        <v>64</v>
      </c>
      <c r="AJ27" s="99" t="s">
        <v>65</v>
      </c>
      <c r="AK27" s="99" t="s">
        <v>64</v>
      </c>
      <c r="AL27" s="45" t="s">
        <v>67</v>
      </c>
      <c r="AM27" s="198" t="str">
        <f t="shared" si="0"/>
        <v>4/2026</v>
      </c>
      <c r="AN27" s="45">
        <f t="shared" si="1"/>
        <v>3</v>
      </c>
      <c r="AO27" s="45" t="str">
        <f t="shared" si="2"/>
        <v>1/1900</v>
      </c>
      <c r="AP27" s="45" t="e">
        <f t="shared" si="3"/>
        <v>#NUM!</v>
      </c>
      <c r="AQ27" s="45">
        <f>IF(AU27="S",IF(Q27="1. Aceitou o programa",R27-B27,0),0)</f>
        <v>0</v>
      </c>
      <c r="AR27" s="45">
        <f>IF(AU27="S",IF(AND(S27&lt;&gt;"",R27&lt;&gt;""),S27-R27,0),0)</f>
        <v>0</v>
      </c>
      <c r="AS27" s="45">
        <f>IF(AU27="S",IF(Q27="1. Aceitou o programa",IF(OR(X27="Não se Aplica",X27=""),IF(OR(W27="Não se Aplica",W27=""),0,W27-V27),AVERAGE(X27-W27,W27-V27)),0),0)</f>
        <v>0</v>
      </c>
      <c r="AT27" s="45">
        <f>IF(AU27="S",IF(AND(Q27="1. Aceitou o programa",AB27="Realizada"),IFERROR(IF(AA27="",0,AA27-R27),0),0),0)</f>
        <v>0</v>
      </c>
      <c r="AU27" s="45" t="str">
        <f>_xlfn.XLOOKUP(U27,'Lista Suspensa'!$AA$20:$AA$23,'Lista Suspensa'!$AB$20:$AB$23,"N/A")</f>
        <v>S</v>
      </c>
    </row>
    <row r="28" spans="1:47" ht="12" hidden="1" customHeight="1">
      <c r="A28" s="87" t="s">
        <v>47</v>
      </c>
      <c r="B28" s="88">
        <v>46091</v>
      </c>
      <c r="C28" s="89" t="s">
        <v>48</v>
      </c>
      <c r="D28" s="89" t="s">
        <v>49</v>
      </c>
      <c r="E28" s="111">
        <v>89666564</v>
      </c>
      <c r="F28" s="220" t="s">
        <v>197</v>
      </c>
      <c r="G28" s="91" t="s">
        <v>198</v>
      </c>
      <c r="H28" s="92">
        <v>29947</v>
      </c>
      <c r="I28" s="89">
        <f t="shared" ca="1" si="4"/>
        <v>44</v>
      </c>
      <c r="J28" s="89" t="s">
        <v>70</v>
      </c>
      <c r="K28" s="89" t="s">
        <v>53</v>
      </c>
      <c r="L28" s="89" t="s">
        <v>54</v>
      </c>
      <c r="M28" s="89" t="s">
        <v>90</v>
      </c>
      <c r="N28" s="89" t="s">
        <v>72</v>
      </c>
      <c r="O28" s="93" t="s">
        <v>199</v>
      </c>
      <c r="P28" s="94" t="s">
        <v>93</v>
      </c>
      <c r="Q28" s="144" t="s">
        <v>200</v>
      </c>
      <c r="R28" s="95">
        <v>46094</v>
      </c>
      <c r="S28" s="96">
        <v>46169</v>
      </c>
      <c r="T28" s="96" t="s">
        <v>60</v>
      </c>
      <c r="U28" s="96" t="s">
        <v>61</v>
      </c>
      <c r="V28" s="92">
        <v>46094</v>
      </c>
      <c r="W28" s="92" t="s">
        <v>95</v>
      </c>
      <c r="X28" s="92" t="s">
        <v>95</v>
      </c>
      <c r="Y28" s="97" t="s">
        <v>201</v>
      </c>
      <c r="Z28" s="89" t="s">
        <v>202</v>
      </c>
      <c r="AA28" s="96"/>
      <c r="AB28" s="89" t="s">
        <v>203</v>
      </c>
      <c r="AC28" s="119"/>
      <c r="AD28" s="89" t="s">
        <v>203</v>
      </c>
      <c r="AE28" s="89"/>
      <c r="AF28" s="118" t="s">
        <v>96</v>
      </c>
      <c r="AG28" s="118" t="s">
        <v>97</v>
      </c>
      <c r="AH28" s="118" t="s">
        <v>204</v>
      </c>
      <c r="AI28" s="99" t="s">
        <v>64</v>
      </c>
      <c r="AJ28" s="99" t="s">
        <v>65</v>
      </c>
      <c r="AK28" s="99" t="s">
        <v>47</v>
      </c>
      <c r="AL28" s="45" t="s">
        <v>67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2</v>
      </c>
      <c r="AQ28" s="45">
        <f>IF(AU28="S",IF(Q28="1. Aceitou o programa",R28-B28,0),0)</f>
        <v>0</v>
      </c>
      <c r="AR28" s="45">
        <f>IF(AU28="S",IF(AND(S28&lt;&gt;"",R28&lt;&gt;""),S28-R28,0),0)</f>
        <v>75</v>
      </c>
      <c r="AS28" s="45">
        <f>IF(AU28="S",IF(Q28="1. Aceitou o programa",IF(OR(X28="Não se Aplica",X28=""),IF(OR(W28="Não se Aplica",W28=""),0,W28-V28),AVERAGE(X28-W28,W28-V28)),0),0)</f>
        <v>0</v>
      </c>
      <c r="AT28" s="45">
        <f>IF(AU28="S",IF(AND(Q28="1. Aceitou o programa",AB28="Realizada"),IFERROR(IF(AA28="",0,AA28-R28),0),0),0)</f>
        <v>0</v>
      </c>
      <c r="AU28" s="45" t="str">
        <f>_xlfn.XLOOKUP(U28,'Lista Suspensa'!$AA$20:$AA$23,'Lista Suspensa'!$AB$20:$AB$23,"N/A")</f>
        <v>S</v>
      </c>
    </row>
    <row r="29" spans="1:47" ht="12" hidden="1" customHeight="1">
      <c r="A29" s="87" t="s">
        <v>47</v>
      </c>
      <c r="B29" s="88">
        <v>46091</v>
      </c>
      <c r="C29" s="89" t="s">
        <v>48</v>
      </c>
      <c r="D29" s="89" t="s">
        <v>49</v>
      </c>
      <c r="E29" s="111">
        <v>450064190</v>
      </c>
      <c r="F29" s="220" t="s">
        <v>205</v>
      </c>
      <c r="G29" s="91" t="s">
        <v>206</v>
      </c>
      <c r="H29" s="92">
        <v>15841</v>
      </c>
      <c r="I29" s="89">
        <f t="shared" ca="1" si="4"/>
        <v>83</v>
      </c>
      <c r="J29" s="89" t="s">
        <v>52</v>
      </c>
      <c r="K29" s="89" t="s">
        <v>53</v>
      </c>
      <c r="L29" s="89" t="s">
        <v>54</v>
      </c>
      <c r="M29" s="89" t="s">
        <v>207</v>
      </c>
      <c r="N29" s="89" t="s">
        <v>101</v>
      </c>
      <c r="O29" s="93" t="s">
        <v>208</v>
      </c>
      <c r="P29" s="94" t="s">
        <v>93</v>
      </c>
      <c r="Q29" s="144" t="s">
        <v>143</v>
      </c>
      <c r="R29" s="95">
        <v>46094</v>
      </c>
      <c r="S29" s="96"/>
      <c r="T29" s="96" t="s">
        <v>60</v>
      </c>
      <c r="U29" s="96" t="s">
        <v>144</v>
      </c>
      <c r="V29" s="92">
        <v>46094</v>
      </c>
      <c r="W29" s="92" t="s">
        <v>95</v>
      </c>
      <c r="X29" s="92" t="s">
        <v>95</v>
      </c>
      <c r="Y29" s="97"/>
      <c r="Z29" s="89" t="s">
        <v>108</v>
      </c>
      <c r="AA29" s="96">
        <v>46132</v>
      </c>
      <c r="AB29" s="89" t="s">
        <v>145</v>
      </c>
      <c r="AC29" s="119"/>
      <c r="AD29" s="89"/>
      <c r="AE29" s="89"/>
      <c r="AF29" s="118" t="s">
        <v>96</v>
      </c>
      <c r="AG29" s="118" t="s">
        <v>97</v>
      </c>
      <c r="AH29" s="118" t="s">
        <v>209</v>
      </c>
      <c r="AI29" s="99"/>
      <c r="AJ29" s="99" t="s">
        <v>146</v>
      </c>
      <c r="AK29" s="99" t="s">
        <v>47</v>
      </c>
      <c r="AL29" s="45" t="s">
        <v>67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2</v>
      </c>
      <c r="AQ29" s="45">
        <f>IF(AU29="S",IF(Q29="1. Aceitou o programa",R29-B29,0),0)</f>
        <v>3</v>
      </c>
      <c r="AR29" s="45">
        <f>IF(AU29="S",IF(AND(S29&lt;&gt;"",R29&lt;&gt;""),S29-R29,0),0)</f>
        <v>0</v>
      </c>
      <c r="AS29" s="45">
        <f>IF(AU29="S",IF(Q29="1. Aceitou o programa",IF(OR(X29="Não se Aplica",X29=""),IF(OR(W29="Não se Aplica",W29=""),0,W29-V29),AVERAGE(X29-W29,W29-V29)),0),0)</f>
        <v>0</v>
      </c>
      <c r="AT29" s="45">
        <f>IF(AU29="S",IF(AND(Q29="1. Aceitou o programa",AB29="Realizada"),IFERROR(IF(AA29="",0,AA29-R29),0),0),0)</f>
        <v>0</v>
      </c>
      <c r="AU29" s="45" t="str">
        <f>_xlfn.XLOOKUP(U29,'Lista Suspensa'!$AA$20:$AA$23,'Lista Suspensa'!$AB$20:$AB$23,"N/A")</f>
        <v>S</v>
      </c>
    </row>
    <row r="30" spans="1:47" ht="12" hidden="1" customHeight="1">
      <c r="A30" s="87" t="s">
        <v>47</v>
      </c>
      <c r="B30" s="88">
        <v>46091</v>
      </c>
      <c r="C30" s="89" t="s">
        <v>48</v>
      </c>
      <c r="D30" s="89" t="s">
        <v>49</v>
      </c>
      <c r="E30" s="111">
        <v>83525940</v>
      </c>
      <c r="F30" s="220" t="s">
        <v>210</v>
      </c>
      <c r="G30" s="91" t="s">
        <v>211</v>
      </c>
      <c r="H30" s="92">
        <v>25134</v>
      </c>
      <c r="I30" s="89">
        <f t="shared" ca="1" si="4"/>
        <v>57</v>
      </c>
      <c r="J30" s="89" t="s">
        <v>70</v>
      </c>
      <c r="K30" s="89" t="s">
        <v>53</v>
      </c>
      <c r="L30" s="89" t="s">
        <v>54</v>
      </c>
      <c r="M30" s="89" t="s">
        <v>212</v>
      </c>
      <c r="N30" s="89" t="s">
        <v>213</v>
      </c>
      <c r="O30" s="93" t="s">
        <v>214</v>
      </c>
      <c r="P30" s="94" t="s">
        <v>58</v>
      </c>
      <c r="Q30" s="144" t="s">
        <v>81</v>
      </c>
      <c r="R30" s="95"/>
      <c r="S30" s="96">
        <v>46098</v>
      </c>
      <c r="T30" s="96" t="s">
        <v>60</v>
      </c>
      <c r="U30" s="96" t="s">
        <v>61</v>
      </c>
      <c r="V30" s="92">
        <v>46097</v>
      </c>
      <c r="W30" s="92" t="s">
        <v>95</v>
      </c>
      <c r="X30" s="92" t="s">
        <v>95</v>
      </c>
      <c r="Y30" s="97"/>
      <c r="Z30" s="89" t="s">
        <v>108</v>
      </c>
      <c r="AA30" s="96">
        <v>46104</v>
      </c>
      <c r="AB30" s="89" t="s">
        <v>109</v>
      </c>
      <c r="AC30" s="119" t="s">
        <v>215</v>
      </c>
      <c r="AD30" s="89"/>
      <c r="AE30" s="89"/>
      <c r="AF30" s="118" t="s">
        <v>97</v>
      </c>
      <c r="AG30" s="118" t="s">
        <v>97</v>
      </c>
      <c r="AH30" s="118" t="s">
        <v>63</v>
      </c>
      <c r="AI30" s="99" t="s">
        <v>64</v>
      </c>
      <c r="AJ30" s="99" t="s">
        <v>65</v>
      </c>
      <c r="AK30" s="99" t="s">
        <v>47</v>
      </c>
      <c r="AL30" s="45" t="s">
        <v>67</v>
      </c>
      <c r="AM30" s="198" t="str">
        <f t="shared" si="0"/>
        <v>3/2026</v>
      </c>
      <c r="AN30" s="45">
        <f t="shared" si="1"/>
        <v>2</v>
      </c>
      <c r="AO30" s="45" t="str">
        <f t="shared" si="2"/>
        <v>1/1900</v>
      </c>
      <c r="AP30" s="45" t="e">
        <f t="shared" si="3"/>
        <v>#NUM!</v>
      </c>
      <c r="AQ30" s="45">
        <f>IF(AU30="S",IF(Q30="1. Aceitou o programa",R30-B30,0),0)</f>
        <v>0</v>
      </c>
      <c r="AR30" s="45">
        <f>IF(AU30="S",IF(AND(S30&lt;&gt;"",R30&lt;&gt;""),S30-R30,0),0)</f>
        <v>0</v>
      </c>
      <c r="AS30" s="45">
        <f>IF(AU30="S",IF(Q30="1. Aceitou o programa",IF(OR(X30="Não se Aplica",X30=""),IF(OR(W30="Não se Aplica",W30=""),0,W30-V30),AVERAGE(X30-W30,W30-V30)),0),0)</f>
        <v>0</v>
      </c>
      <c r="AT30" s="45">
        <f>IF(AU30="S",IF(AND(Q30="1. Aceitou o programa",AB30="Realizada"),IFERROR(IF(AA30="",0,AA30-R30),0),0),0)</f>
        <v>0</v>
      </c>
      <c r="AU30" s="45" t="str">
        <f>_xlfn.XLOOKUP(U30,'Lista Suspensa'!$AA$20:$AA$23,'Lista Suspensa'!$AB$20:$AB$23,"N/A")</f>
        <v>S</v>
      </c>
    </row>
    <row r="31" spans="1:47" ht="12" hidden="1" customHeight="1">
      <c r="A31" s="87" t="s">
        <v>47</v>
      </c>
      <c r="B31" s="88">
        <v>46091</v>
      </c>
      <c r="C31" s="89" t="s">
        <v>48</v>
      </c>
      <c r="D31" s="89" t="s">
        <v>49</v>
      </c>
      <c r="E31" s="111">
        <v>87340519</v>
      </c>
      <c r="F31" s="220" t="s">
        <v>216</v>
      </c>
      <c r="G31" s="91" t="s">
        <v>217</v>
      </c>
      <c r="H31" s="92">
        <v>30204</v>
      </c>
      <c r="I31" s="89">
        <f t="shared" ca="1" si="4"/>
        <v>43</v>
      </c>
      <c r="J31" s="89" t="s">
        <v>52</v>
      </c>
      <c r="K31" s="89" t="s">
        <v>53</v>
      </c>
      <c r="L31" s="89" t="s">
        <v>182</v>
      </c>
      <c r="M31" s="89" t="s">
        <v>218</v>
      </c>
      <c r="N31" s="89" t="s">
        <v>106</v>
      </c>
      <c r="O31" s="93" t="s">
        <v>219</v>
      </c>
      <c r="P31" s="94" t="s">
        <v>58</v>
      </c>
      <c r="Q31" s="144" t="s">
        <v>94</v>
      </c>
      <c r="R31" s="96">
        <v>46097</v>
      </c>
      <c r="S31" s="96">
        <v>46101</v>
      </c>
      <c r="T31" s="96" t="s">
        <v>60</v>
      </c>
      <c r="U31" s="96" t="s">
        <v>61</v>
      </c>
      <c r="V31" s="92">
        <v>46097</v>
      </c>
      <c r="W31" s="92" t="s">
        <v>95</v>
      </c>
      <c r="X31" s="92" t="s">
        <v>95</v>
      </c>
      <c r="Y31" s="97"/>
      <c r="Z31" s="89" t="s">
        <v>108</v>
      </c>
      <c r="AA31" s="96">
        <v>46101</v>
      </c>
      <c r="AB31" s="89" t="s">
        <v>109</v>
      </c>
      <c r="AC31" s="119">
        <v>46153</v>
      </c>
      <c r="AD31" s="89"/>
      <c r="AE31" s="89"/>
      <c r="AF31" s="118" t="s">
        <v>82</v>
      </c>
      <c r="AG31" s="118"/>
      <c r="AH31" s="118" t="s">
        <v>63</v>
      </c>
      <c r="AI31" s="99" t="s">
        <v>64</v>
      </c>
      <c r="AJ31" s="99" t="s">
        <v>65</v>
      </c>
      <c r="AK31" s="99" t="s">
        <v>47</v>
      </c>
      <c r="AL31" s="45" t="s">
        <v>67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>IF(AU31="S",IF(Q31="1. Aceitou o programa",R31-B31,0),0)</f>
        <v>0</v>
      </c>
      <c r="AR31" s="45">
        <f>IF(AU31="S",IF(AND(S31&lt;&gt;"",R31&lt;&gt;""),S31-R31,0),0)</f>
        <v>4</v>
      </c>
      <c r="AS31" s="45">
        <f>IF(AU31="S",IF(Q31="1. Aceitou o programa",IF(OR(X31="Não se Aplica",X31=""),IF(OR(W31="Não se Aplica",W31=""),0,W31-V31),AVERAGE(X31-W31,W31-V31)),0),0)</f>
        <v>0</v>
      </c>
      <c r="AT31" s="45">
        <f>IF(AU31="S",IF(AND(Q31="1. Aceitou o programa",AB31="Realizada"),IFERROR(IF(AA31="",0,AA31-R31),0),0),0)</f>
        <v>0</v>
      </c>
      <c r="AU31" s="45" t="str">
        <f>_xlfn.XLOOKUP(U31,'Lista Suspensa'!$AA$20:$AA$23,'Lista Suspensa'!$AB$20:$AB$23,"N/A")</f>
        <v>S</v>
      </c>
    </row>
    <row r="32" spans="1:47" ht="12" hidden="1" customHeight="1">
      <c r="A32" s="87" t="s">
        <v>47</v>
      </c>
      <c r="B32" s="88">
        <v>46091</v>
      </c>
      <c r="C32" s="89" t="s">
        <v>48</v>
      </c>
      <c r="D32" s="89" t="s">
        <v>49</v>
      </c>
      <c r="E32" s="111">
        <v>94875765</v>
      </c>
      <c r="F32" s="220" t="s">
        <v>220</v>
      </c>
      <c r="G32" s="91" t="s">
        <v>221</v>
      </c>
      <c r="H32" s="92">
        <v>24671</v>
      </c>
      <c r="I32" s="89">
        <f t="shared" ca="1" si="4"/>
        <v>58</v>
      </c>
      <c r="J32" s="89" t="s">
        <v>70</v>
      </c>
      <c r="K32" s="89" t="s">
        <v>53</v>
      </c>
      <c r="L32" s="89" t="s">
        <v>54</v>
      </c>
      <c r="M32" s="89" t="s">
        <v>222</v>
      </c>
      <c r="N32" s="89" t="s">
        <v>223</v>
      </c>
      <c r="O32" s="93" t="s">
        <v>224</v>
      </c>
      <c r="P32" s="94" t="s">
        <v>93</v>
      </c>
      <c r="Q32" s="144" t="s">
        <v>143</v>
      </c>
      <c r="R32" s="96">
        <v>46141</v>
      </c>
      <c r="S32" s="96"/>
      <c r="T32" s="96" t="s">
        <v>60</v>
      </c>
      <c r="U32" s="96" t="s">
        <v>144</v>
      </c>
      <c r="V32" s="92">
        <v>46097</v>
      </c>
      <c r="W32" s="92">
        <v>45740</v>
      </c>
      <c r="X32" s="92">
        <v>46106</v>
      </c>
      <c r="Y32" s="97"/>
      <c r="Z32" s="89" t="s">
        <v>108</v>
      </c>
      <c r="AA32" s="96">
        <v>46125</v>
      </c>
      <c r="AB32" s="89" t="s">
        <v>109</v>
      </c>
      <c r="AC32" s="119"/>
      <c r="AD32" s="89" t="s">
        <v>116</v>
      </c>
      <c r="AE32" s="89">
        <v>1</v>
      </c>
      <c r="AF32" s="118" t="s">
        <v>96</v>
      </c>
      <c r="AG32" s="118" t="s">
        <v>97</v>
      </c>
      <c r="AH32" s="118" t="s">
        <v>209</v>
      </c>
      <c r="AI32" s="99"/>
      <c r="AJ32" s="99" t="s">
        <v>146</v>
      </c>
      <c r="AK32" s="99" t="s">
        <v>47</v>
      </c>
      <c r="AL32" s="45" t="s">
        <v>67</v>
      </c>
      <c r="AM32" s="198" t="str">
        <f t="shared" si="0"/>
        <v>3/2026</v>
      </c>
      <c r="AN32" s="45">
        <f t="shared" si="1"/>
        <v>2</v>
      </c>
      <c r="AO32" s="45" t="str">
        <f t="shared" si="2"/>
        <v>4/2026</v>
      </c>
      <c r="AP32" s="45">
        <f t="shared" si="3"/>
        <v>5</v>
      </c>
      <c r="AQ32" s="45">
        <f>IF(AU32="S",IF(Q32="1. Aceitou o programa",R32-B32,0),0)</f>
        <v>50</v>
      </c>
      <c r="AR32" s="45">
        <f>IF(AU32="S",IF(AND(S32&lt;&gt;"",R32&lt;&gt;""),S32-R32,0),0)</f>
        <v>0</v>
      </c>
      <c r="AS32" s="45">
        <f>IF(AU32="S",IF(Q32="1. Aceitou o programa",IF(OR(X32="Não se Aplica",X32=""),IF(OR(W32="Não se Aplica",W32=""),0,W32-V32),AVERAGE(X32-W32,W32-V32)),0),0)</f>
        <v>4.5</v>
      </c>
      <c r="AT32" s="45">
        <f>IF(AU32="S",IF(AND(Q32="1. Aceitou o programa",AB32="Realizada"),IFERROR(IF(AA32="",0,AA32-R32),0),0),0)</f>
        <v>-16</v>
      </c>
      <c r="AU32" s="45" t="str">
        <f>_xlfn.XLOOKUP(U32,'Lista Suspensa'!$AA$20:$AA$23,'Lista Suspensa'!$AB$20:$AB$23,"N/A")</f>
        <v>S</v>
      </c>
    </row>
    <row r="33" spans="1:47" ht="12" hidden="1" customHeight="1">
      <c r="A33" s="87" t="s">
        <v>47</v>
      </c>
      <c r="B33" s="88">
        <v>46091</v>
      </c>
      <c r="C33" s="89" t="s">
        <v>48</v>
      </c>
      <c r="D33" s="89" t="s">
        <v>49</v>
      </c>
      <c r="E33" s="111">
        <v>93418052</v>
      </c>
      <c r="F33" s="220" t="s">
        <v>225</v>
      </c>
      <c r="G33" s="91" t="s">
        <v>226</v>
      </c>
      <c r="H33" s="92">
        <v>34557</v>
      </c>
      <c r="I33" s="89">
        <f t="shared" ca="1" si="4"/>
        <v>31</v>
      </c>
      <c r="J33" s="89" t="s">
        <v>52</v>
      </c>
      <c r="K33" s="89" t="s">
        <v>53</v>
      </c>
      <c r="L33" s="89" t="s">
        <v>54</v>
      </c>
      <c r="M33" s="89" t="s">
        <v>227</v>
      </c>
      <c r="N33" s="89" t="s">
        <v>223</v>
      </c>
      <c r="O33" s="93" t="s">
        <v>228</v>
      </c>
      <c r="P33" s="94" t="s">
        <v>93</v>
      </c>
      <c r="Q33" s="144" t="s">
        <v>143</v>
      </c>
      <c r="R33" s="95">
        <v>46094</v>
      </c>
      <c r="S33" s="96"/>
      <c r="T33" s="96" t="s">
        <v>60</v>
      </c>
      <c r="U33" s="96" t="s">
        <v>144</v>
      </c>
      <c r="V33" s="92">
        <v>46094</v>
      </c>
      <c r="W33" s="92" t="s">
        <v>95</v>
      </c>
      <c r="X33" s="92" t="s">
        <v>95</v>
      </c>
      <c r="Y33" s="97"/>
      <c r="Z33" s="89" t="s">
        <v>108</v>
      </c>
      <c r="AA33" s="96">
        <v>46125</v>
      </c>
      <c r="AB33" s="89" t="s">
        <v>145</v>
      </c>
      <c r="AC33" s="119"/>
      <c r="AD33" s="89"/>
      <c r="AE33" s="89"/>
      <c r="AF33" s="118" t="s">
        <v>97</v>
      </c>
      <c r="AG33" s="118" t="s">
        <v>97</v>
      </c>
      <c r="AH33" s="118" t="s">
        <v>209</v>
      </c>
      <c r="AI33" s="99"/>
      <c r="AJ33" s="99" t="s">
        <v>146</v>
      </c>
      <c r="AK33" s="99" t="s">
        <v>47</v>
      </c>
      <c r="AL33" s="45" t="s">
        <v>67</v>
      </c>
      <c r="AM33" s="198" t="str">
        <f t="shared" si="0"/>
        <v>3/2026</v>
      </c>
      <c r="AN33" s="45">
        <f t="shared" si="1"/>
        <v>2</v>
      </c>
      <c r="AO33" s="45" t="str">
        <f t="shared" si="2"/>
        <v>3/2026</v>
      </c>
      <c r="AP33" s="45">
        <f t="shared" si="3"/>
        <v>2</v>
      </c>
      <c r="AQ33" s="45">
        <f>IF(AU33="S",IF(Q33="1. Aceitou o programa",R33-B33,0),0)</f>
        <v>3</v>
      </c>
      <c r="AR33" s="45">
        <f>IF(AU33="S",IF(AND(S33&lt;&gt;"",R33&lt;&gt;""),S33-R33,0),0)</f>
        <v>0</v>
      </c>
      <c r="AS33" s="45">
        <f>IF(AU33="S",IF(Q33="1. Aceitou o programa",IF(OR(X33="Não se Aplica",X33=""),IF(OR(W33="Não se Aplica",W33=""),0,W33-V33),AVERAGE(X33-W33,W33-V33)),0),0)</f>
        <v>0</v>
      </c>
      <c r="AT33" s="45">
        <f>IF(AU33="S",IF(AND(Q33="1. Aceitou o programa",AB33="Realizada"),IFERROR(IF(AA33="",0,AA33-R33),0),0),0)</f>
        <v>0</v>
      </c>
      <c r="AU33" s="45" t="str">
        <f>_xlfn.XLOOKUP(U33,'Lista Suspensa'!$AA$20:$AA$23,'Lista Suspensa'!$AB$20:$AB$23,"N/A")</f>
        <v>S</v>
      </c>
    </row>
    <row r="34" spans="1:47" ht="12" hidden="1" customHeight="1">
      <c r="A34" s="87" t="s">
        <v>47</v>
      </c>
      <c r="B34" s="88">
        <v>46091</v>
      </c>
      <c r="C34" s="89" t="s">
        <v>48</v>
      </c>
      <c r="D34" s="89" t="s">
        <v>49</v>
      </c>
      <c r="E34" s="111">
        <v>92891182</v>
      </c>
      <c r="F34" s="220" t="s">
        <v>229</v>
      </c>
      <c r="G34" s="91" t="s">
        <v>230</v>
      </c>
      <c r="H34" s="92">
        <v>28725</v>
      </c>
      <c r="I34" s="89">
        <f t="shared" ca="1" si="4"/>
        <v>47</v>
      </c>
      <c r="J34" s="89" t="s">
        <v>52</v>
      </c>
      <c r="K34" s="89" t="s">
        <v>53</v>
      </c>
      <c r="L34" s="89" t="s">
        <v>54</v>
      </c>
      <c r="M34" s="89" t="s">
        <v>231</v>
      </c>
      <c r="N34" s="89" t="s">
        <v>106</v>
      </c>
      <c r="O34" s="93" t="s">
        <v>232</v>
      </c>
      <c r="P34" s="94" t="s">
        <v>58</v>
      </c>
      <c r="Q34" s="144" t="s">
        <v>94</v>
      </c>
      <c r="R34" s="95">
        <v>46097</v>
      </c>
      <c r="S34" s="96">
        <v>46163</v>
      </c>
      <c r="T34" s="96" t="s">
        <v>60</v>
      </c>
      <c r="U34" s="96" t="s">
        <v>61</v>
      </c>
      <c r="V34" s="92">
        <v>46097</v>
      </c>
      <c r="W34" s="92" t="s">
        <v>95</v>
      </c>
      <c r="X34" s="92" t="s">
        <v>95</v>
      </c>
      <c r="Y34" s="97" t="s">
        <v>233</v>
      </c>
      <c r="Z34" s="89" t="s">
        <v>108</v>
      </c>
      <c r="AA34" s="96">
        <v>46125</v>
      </c>
      <c r="AB34" s="89" t="s">
        <v>145</v>
      </c>
      <c r="AC34" s="119"/>
      <c r="AD34" s="89"/>
      <c r="AE34" s="89"/>
      <c r="AF34" s="118" t="s">
        <v>82</v>
      </c>
      <c r="AG34" s="118" t="s">
        <v>97</v>
      </c>
      <c r="AH34" s="118" t="s">
        <v>63</v>
      </c>
      <c r="AI34" s="99" t="s">
        <v>64</v>
      </c>
      <c r="AJ34" s="99" t="s">
        <v>65</v>
      </c>
      <c r="AK34" s="99" t="s">
        <v>47</v>
      </c>
      <c r="AL34" s="45" t="s">
        <v>67</v>
      </c>
      <c r="AM34" s="198" t="str">
        <f t="shared" ref="AM34:AM65" si="5">MONTH(B34)&amp;"/"&amp;YEAR(B34)</f>
        <v>3/2026</v>
      </c>
      <c r="AN34" s="45">
        <f t="shared" ref="AN34:AN65" si="6">WEEKNUM(B34)-WEEKNUM(EOMONTH(B34,-1)+1)+1</f>
        <v>2</v>
      </c>
      <c r="AO34" s="45" t="str">
        <f t="shared" ref="AO34:AO65" si="7">MONTH(R34)&amp;"/"&amp;YEAR(R34)</f>
        <v>3/2026</v>
      </c>
      <c r="AP34" s="45">
        <f t="shared" ref="AP34:AP65" si="8">WEEKNUM(R34)-WEEKNUM(EOMONTH(R34,-1)+1)+1</f>
        <v>3</v>
      </c>
      <c r="AQ34" s="45">
        <f>IF(AU34="S",IF(Q34="1. Aceitou o programa",R34-B34,0),0)</f>
        <v>0</v>
      </c>
      <c r="AR34" s="45">
        <f>IF(AU34="S",IF(AND(S34&lt;&gt;"",R34&lt;&gt;""),S34-R34,0),0)</f>
        <v>66</v>
      </c>
      <c r="AS34" s="45">
        <f>IF(AU34="S",IF(Q34="1. Aceitou o programa",IF(OR(X34="Não se Aplica",X34=""),IF(OR(W34="Não se Aplica",W34=""),0,W34-V34),AVERAGE(X34-W34,W34-V34)),0),0)</f>
        <v>0</v>
      </c>
      <c r="AT34" s="45">
        <f>IF(AU34="S",IF(AND(Q34="1. Aceitou o programa",AB34="Realizada"),IFERROR(IF(AA34="",0,AA34-R34),0),0),0)</f>
        <v>0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46091</v>
      </c>
      <c r="C35" s="89" t="s">
        <v>48</v>
      </c>
      <c r="D35" s="89" t="s">
        <v>49</v>
      </c>
      <c r="E35" s="111">
        <v>451815637</v>
      </c>
      <c r="F35" s="220" t="s">
        <v>234</v>
      </c>
      <c r="G35" s="91" t="s">
        <v>235</v>
      </c>
      <c r="H35" s="92">
        <v>18579</v>
      </c>
      <c r="I35" s="89">
        <f t="shared" ca="1" si="4"/>
        <v>75</v>
      </c>
      <c r="J35" s="89" t="s">
        <v>70</v>
      </c>
      <c r="K35" s="89" t="s">
        <v>53</v>
      </c>
      <c r="L35" s="89" t="s">
        <v>54</v>
      </c>
      <c r="M35" s="89" t="s">
        <v>236</v>
      </c>
      <c r="N35" s="89" t="s">
        <v>237</v>
      </c>
      <c r="O35" s="93" t="s">
        <v>238</v>
      </c>
      <c r="P35" s="94" t="s">
        <v>58</v>
      </c>
      <c r="Q35" s="144" t="s">
        <v>143</v>
      </c>
      <c r="R35" s="95">
        <v>46097</v>
      </c>
      <c r="S35" s="96"/>
      <c r="T35" s="96" t="s">
        <v>60</v>
      </c>
      <c r="U35" s="96" t="s">
        <v>144</v>
      </c>
      <c r="V35" s="92">
        <v>46097</v>
      </c>
      <c r="W35" s="92">
        <v>46167</v>
      </c>
      <c r="X35" s="92" t="s">
        <v>95</v>
      </c>
      <c r="Y35" s="97"/>
      <c r="Z35" s="89" t="s">
        <v>108</v>
      </c>
      <c r="AA35" s="96">
        <v>46128</v>
      </c>
      <c r="AB35" s="89" t="s">
        <v>109</v>
      </c>
      <c r="AC35" s="119"/>
      <c r="AD35" s="89"/>
      <c r="AE35" s="89"/>
      <c r="AF35" s="118" t="s">
        <v>82</v>
      </c>
      <c r="AG35" s="118" t="s">
        <v>97</v>
      </c>
      <c r="AH35" s="118" t="s">
        <v>203</v>
      </c>
      <c r="AI35" s="99"/>
      <c r="AJ35" s="99" t="s">
        <v>146</v>
      </c>
      <c r="AK35" s="99" t="s">
        <v>47</v>
      </c>
      <c r="AL35" s="45" t="s">
        <v>67</v>
      </c>
      <c r="AM35" s="198" t="str">
        <f t="shared" si="5"/>
        <v>3/2026</v>
      </c>
      <c r="AN35" s="45">
        <f t="shared" si="6"/>
        <v>2</v>
      </c>
      <c r="AO35" s="45" t="str">
        <f t="shared" si="7"/>
        <v>3/2026</v>
      </c>
      <c r="AP35" s="45">
        <f t="shared" si="8"/>
        <v>3</v>
      </c>
      <c r="AQ35" s="45">
        <f>IF(AU35="S",IF(Q35="1. Aceitou o programa",R35-B35,0),0)</f>
        <v>6</v>
      </c>
      <c r="AR35" s="45">
        <f>IF(AU35="S",IF(AND(S35&lt;&gt;"",R35&lt;&gt;""),S35-R35,0),0)</f>
        <v>0</v>
      </c>
      <c r="AS35" s="45">
        <f>IF(AU35="S",IF(Q35="1. Aceitou o programa",IF(OR(X35="Não se Aplica",X35=""),IF(OR(W35="Não se Aplica",W35=""),0,W35-V35),AVERAGE(X35-W35,W35-V35)),0),0)</f>
        <v>70</v>
      </c>
      <c r="AT35" s="45">
        <f>IF(AU35="S",IF(AND(Q35="1. Aceitou o programa",AB35="Realizada"),IFERROR(IF(AA35="",0,AA35-R35),0),0),0)</f>
        <v>31</v>
      </c>
      <c r="AU35" s="45" t="str">
        <f>_xlfn.XLOOKUP(U35,'Lista Suspensa'!$AA$20:$AA$23,'Lista Suspensa'!$AB$20:$AB$23,"N/A")</f>
        <v>S</v>
      </c>
    </row>
    <row r="36" spans="1:47" ht="12" hidden="1" customHeight="1">
      <c r="A36" s="87" t="s">
        <v>47</v>
      </c>
      <c r="B36" s="88">
        <v>46091</v>
      </c>
      <c r="C36" s="89" t="s">
        <v>48</v>
      </c>
      <c r="D36" s="89" t="s">
        <v>49</v>
      </c>
      <c r="E36" s="111">
        <v>451496558</v>
      </c>
      <c r="F36" s="220" t="s">
        <v>239</v>
      </c>
      <c r="G36" s="91" t="s">
        <v>240</v>
      </c>
      <c r="H36" s="92">
        <v>11768</v>
      </c>
      <c r="I36" s="89">
        <f t="shared" ca="1" si="4"/>
        <v>94</v>
      </c>
      <c r="J36" s="89" t="s">
        <v>70</v>
      </c>
      <c r="K36" s="89" t="s">
        <v>53</v>
      </c>
      <c r="L36" s="89" t="s">
        <v>112</v>
      </c>
      <c r="M36" s="89" t="s">
        <v>241</v>
      </c>
      <c r="N36" s="89" t="s">
        <v>101</v>
      </c>
      <c r="O36" s="93" t="s">
        <v>242</v>
      </c>
      <c r="P36" s="94" t="s">
        <v>58</v>
      </c>
      <c r="Q36" s="144" t="s">
        <v>94</v>
      </c>
      <c r="R36" s="95">
        <v>46097</v>
      </c>
      <c r="S36" s="96">
        <v>46153</v>
      </c>
      <c r="T36" s="96" t="s">
        <v>60</v>
      </c>
      <c r="U36" s="96" t="s">
        <v>61</v>
      </c>
      <c r="V36" s="92">
        <v>46097</v>
      </c>
      <c r="W36" s="92" t="s">
        <v>95</v>
      </c>
      <c r="X36" s="92" t="s">
        <v>95</v>
      </c>
      <c r="Y36" s="97" t="s">
        <v>243</v>
      </c>
      <c r="Z36" s="89" t="s">
        <v>108</v>
      </c>
      <c r="AA36" s="96">
        <v>46196</v>
      </c>
      <c r="AB36" s="89" t="s">
        <v>109</v>
      </c>
      <c r="AC36" s="119">
        <v>46153</v>
      </c>
      <c r="AD36" s="89"/>
      <c r="AE36" s="89"/>
      <c r="AF36" s="118" t="s">
        <v>96</v>
      </c>
      <c r="AG36" s="118" t="s">
        <v>97</v>
      </c>
      <c r="AH36" s="118" t="s">
        <v>63</v>
      </c>
      <c r="AI36" s="99" t="s">
        <v>47</v>
      </c>
      <c r="AJ36" s="99" t="s">
        <v>65</v>
      </c>
      <c r="AK36" s="99" t="s">
        <v>47</v>
      </c>
      <c r="AL36" s="45" t="s">
        <v>67</v>
      </c>
      <c r="AM36" s="198" t="str">
        <f t="shared" si="5"/>
        <v>3/2026</v>
      </c>
      <c r="AN36" s="45">
        <f t="shared" si="6"/>
        <v>2</v>
      </c>
      <c r="AO36" s="45" t="str">
        <f t="shared" si="7"/>
        <v>3/2026</v>
      </c>
      <c r="AP36" s="45">
        <f t="shared" si="8"/>
        <v>3</v>
      </c>
      <c r="AQ36" s="45">
        <f>IF(AU36="S",IF(Q36="1. Aceitou o programa",R36-B36,0),0)</f>
        <v>0</v>
      </c>
      <c r="AR36" s="45">
        <f>IF(AU36="S",IF(AND(S36&lt;&gt;"",R36&lt;&gt;""),S36-R36,0),0)</f>
        <v>56</v>
      </c>
      <c r="AS36" s="45">
        <f>IF(AU36="S",IF(Q36="1. Aceitou o programa",IF(OR(X36="Não se Aplica",X36=""),IF(OR(W36="Não se Aplica",W36=""),0,W36-V36),AVERAGE(X36-W36,W36-V36)),0),0)</f>
        <v>0</v>
      </c>
      <c r="AT36" s="45">
        <f>IF(AU36="S",IF(AND(Q36="1. Aceitou o programa",AB36="Realizada"),IFERROR(IF(AA36="",0,AA36-R36),0),0),0)</f>
        <v>0</v>
      </c>
      <c r="AU36" s="45" t="str">
        <f>_xlfn.XLOOKUP(U36,'Lista Suspensa'!$AA$20:$AA$23,'Lista Suspensa'!$AB$20:$AB$23,"N/A")</f>
        <v>S</v>
      </c>
    </row>
    <row r="37" spans="1:47" ht="12" hidden="1" customHeight="1">
      <c r="A37" s="87" t="s">
        <v>47</v>
      </c>
      <c r="B37" s="88">
        <v>46091</v>
      </c>
      <c r="C37" s="89" t="s">
        <v>48</v>
      </c>
      <c r="D37" s="89" t="s">
        <v>49</v>
      </c>
      <c r="E37" s="111">
        <v>450026264</v>
      </c>
      <c r="F37" s="220" t="s">
        <v>244</v>
      </c>
      <c r="G37" s="91" t="s">
        <v>245</v>
      </c>
      <c r="H37" s="92">
        <v>18988</v>
      </c>
      <c r="I37" s="89">
        <f t="shared" ca="1" si="4"/>
        <v>74</v>
      </c>
      <c r="J37" s="89" t="s">
        <v>52</v>
      </c>
      <c r="K37" s="89" t="s">
        <v>53</v>
      </c>
      <c r="L37" s="89" t="s">
        <v>54</v>
      </c>
      <c r="M37" s="89" t="s">
        <v>246</v>
      </c>
      <c r="N37" s="89" t="s">
        <v>237</v>
      </c>
      <c r="O37" s="93" t="s">
        <v>247</v>
      </c>
      <c r="P37" s="94" t="s">
        <v>58</v>
      </c>
      <c r="Q37" s="144" t="s">
        <v>143</v>
      </c>
      <c r="R37" s="95">
        <v>46098</v>
      </c>
      <c r="S37" s="96"/>
      <c r="T37" s="96" t="s">
        <v>60</v>
      </c>
      <c r="U37" s="96" t="s">
        <v>144</v>
      </c>
      <c r="V37" s="92">
        <v>46098</v>
      </c>
      <c r="W37" s="92" t="s">
        <v>95</v>
      </c>
      <c r="X37" s="92" t="s">
        <v>95</v>
      </c>
      <c r="Y37" s="97"/>
      <c r="Z37" s="89" t="s">
        <v>108</v>
      </c>
      <c r="AA37" s="96">
        <v>46153</v>
      </c>
      <c r="AB37" s="89" t="s">
        <v>109</v>
      </c>
      <c r="AC37" s="119"/>
      <c r="AD37" s="89" t="s">
        <v>116</v>
      </c>
      <c r="AE37" s="89">
        <v>1</v>
      </c>
      <c r="AF37" s="118" t="s">
        <v>248</v>
      </c>
      <c r="AG37" s="118" t="s">
        <v>97</v>
      </c>
      <c r="AH37" s="118" t="s">
        <v>204</v>
      </c>
      <c r="AI37" s="99"/>
      <c r="AJ37" s="99" t="s">
        <v>146</v>
      </c>
      <c r="AK37" s="99" t="s">
        <v>47</v>
      </c>
      <c r="AL37" s="45" t="s">
        <v>67</v>
      </c>
      <c r="AM37" s="198" t="str">
        <f t="shared" si="5"/>
        <v>3/2026</v>
      </c>
      <c r="AN37" s="45">
        <f t="shared" si="6"/>
        <v>2</v>
      </c>
      <c r="AO37" s="45" t="str">
        <f t="shared" si="7"/>
        <v>3/2026</v>
      </c>
      <c r="AP37" s="45">
        <f t="shared" si="8"/>
        <v>3</v>
      </c>
      <c r="AQ37" s="45">
        <f>IF(AU37="S",IF(Q37="1. Aceitou o programa",R37-B37,0),0)</f>
        <v>7</v>
      </c>
      <c r="AR37" s="45">
        <f>IF(AU37="S",IF(AND(S37&lt;&gt;"",R37&lt;&gt;""),S37-R37,0),0)</f>
        <v>0</v>
      </c>
      <c r="AS37" s="45">
        <f>IF(AU37="S",IF(Q37="1. Aceitou o programa",IF(OR(X37="Não se Aplica",X37=""),IF(OR(W37="Não se Aplica",W37=""),0,W37-V37),AVERAGE(X37-W37,W37-V37)),0),0)</f>
        <v>0</v>
      </c>
      <c r="AT37" s="45">
        <f>IF(AU37="S",IF(AND(Q37="1. Aceitou o programa",AB37="Realizada"),IFERROR(IF(AA37="",0,AA37-R37),0),0),0)</f>
        <v>55</v>
      </c>
      <c r="AU37" s="45" t="str">
        <f>_xlfn.XLOOKUP(U37,'Lista Suspensa'!$AA$20:$AA$23,'Lista Suspensa'!$AB$20:$AB$23,"N/A")</f>
        <v>S</v>
      </c>
    </row>
    <row r="38" spans="1:47" ht="12" hidden="1" customHeight="1">
      <c r="A38" s="87" t="s">
        <v>47</v>
      </c>
      <c r="B38" s="88">
        <v>46091</v>
      </c>
      <c r="C38" s="89" t="s">
        <v>48</v>
      </c>
      <c r="D38" s="89" t="s">
        <v>49</v>
      </c>
      <c r="E38" s="111">
        <v>79292745</v>
      </c>
      <c r="F38" s="220" t="s">
        <v>249</v>
      </c>
      <c r="G38" s="91" t="s">
        <v>250</v>
      </c>
      <c r="H38" s="92">
        <v>19793</v>
      </c>
      <c r="I38" s="89">
        <f t="shared" ca="1" si="4"/>
        <v>72</v>
      </c>
      <c r="J38" s="89" t="s">
        <v>52</v>
      </c>
      <c r="K38" s="89" t="s">
        <v>53</v>
      </c>
      <c r="L38" s="89" t="s">
        <v>112</v>
      </c>
      <c r="M38" s="89" t="s">
        <v>218</v>
      </c>
      <c r="N38" s="89" t="s">
        <v>106</v>
      </c>
      <c r="O38" s="93" t="s">
        <v>251</v>
      </c>
      <c r="P38" s="94" t="s">
        <v>58</v>
      </c>
      <c r="Q38" s="144" t="s">
        <v>143</v>
      </c>
      <c r="R38" s="95">
        <v>46097</v>
      </c>
      <c r="S38" s="96"/>
      <c r="T38" s="96" t="s">
        <v>60</v>
      </c>
      <c r="U38" s="96" t="s">
        <v>144</v>
      </c>
      <c r="V38" s="92">
        <v>46097</v>
      </c>
      <c r="W38" s="92" t="s">
        <v>95</v>
      </c>
      <c r="X38" s="92" t="s">
        <v>95</v>
      </c>
      <c r="Y38" s="97"/>
      <c r="Z38" s="89" t="s">
        <v>108</v>
      </c>
      <c r="AA38" s="96">
        <v>46101</v>
      </c>
      <c r="AB38" s="89" t="s">
        <v>109</v>
      </c>
      <c r="AC38" s="119"/>
      <c r="AD38" s="89" t="s">
        <v>116</v>
      </c>
      <c r="AE38" s="89"/>
      <c r="AF38" s="118" t="s">
        <v>125</v>
      </c>
      <c r="AG38" s="118" t="s">
        <v>97</v>
      </c>
      <c r="AH38" s="118" t="s">
        <v>209</v>
      </c>
      <c r="AI38" s="99"/>
      <c r="AJ38" s="99" t="s">
        <v>146</v>
      </c>
      <c r="AK38" s="99" t="s">
        <v>47</v>
      </c>
      <c r="AL38" s="45" t="s">
        <v>67</v>
      </c>
      <c r="AM38" s="198" t="str">
        <f t="shared" si="5"/>
        <v>3/2026</v>
      </c>
      <c r="AN38" s="45">
        <f t="shared" si="6"/>
        <v>2</v>
      </c>
      <c r="AO38" s="45" t="str">
        <f t="shared" si="7"/>
        <v>3/2026</v>
      </c>
      <c r="AP38" s="45">
        <f t="shared" si="8"/>
        <v>3</v>
      </c>
      <c r="AQ38" s="45">
        <f>IF(AU38="S",IF(Q38="1. Aceitou o programa",R38-B38,0),0)</f>
        <v>6</v>
      </c>
      <c r="AR38" s="45">
        <f>IF(AU38="S",IF(AND(S38&lt;&gt;"",R38&lt;&gt;""),S38-R38,0),0)</f>
        <v>0</v>
      </c>
      <c r="AS38" s="45">
        <f>IF(AU38="S",IF(Q38="1. Aceitou o programa",IF(OR(X38="Não se Aplica",X38=""),IF(OR(W38="Não se Aplica",W38=""),0,W38-V38),AVERAGE(X38-W38,W38-V38)),0),0)</f>
        <v>0</v>
      </c>
      <c r="AT38" s="45">
        <f>IF(AU38="S",IF(AND(Q38="1. Aceitou o programa",AB38="Realizada"),IFERROR(IF(AA38="",0,AA38-R38),0),0),0)</f>
        <v>4</v>
      </c>
      <c r="AU38" s="45" t="str">
        <f>_xlfn.XLOOKUP(U38,'Lista Suspensa'!$AA$20:$AA$23,'Lista Suspensa'!$AB$20:$AB$23,"N/A")</f>
        <v>S</v>
      </c>
    </row>
    <row r="39" spans="1:47" ht="12" hidden="1" customHeight="1">
      <c r="A39" s="87" t="s">
        <v>47</v>
      </c>
      <c r="B39" s="88">
        <v>46091</v>
      </c>
      <c r="C39" s="89" t="s">
        <v>48</v>
      </c>
      <c r="D39" s="89" t="s">
        <v>49</v>
      </c>
      <c r="E39" s="111">
        <v>89029126</v>
      </c>
      <c r="F39" s="220" t="s">
        <v>252</v>
      </c>
      <c r="G39" s="91" t="s">
        <v>253</v>
      </c>
      <c r="H39" s="92">
        <v>30274</v>
      </c>
      <c r="I39" s="89">
        <f t="shared" ca="1" si="4"/>
        <v>43</v>
      </c>
      <c r="J39" s="89" t="s">
        <v>52</v>
      </c>
      <c r="K39" s="89" t="s">
        <v>53</v>
      </c>
      <c r="L39" s="89" t="s">
        <v>112</v>
      </c>
      <c r="M39" s="89" t="s">
        <v>254</v>
      </c>
      <c r="N39" s="89" t="s">
        <v>91</v>
      </c>
      <c r="O39" s="93" t="s">
        <v>255</v>
      </c>
      <c r="P39" s="94" t="s">
        <v>58</v>
      </c>
      <c r="Q39" s="144" t="s">
        <v>143</v>
      </c>
      <c r="R39" s="95">
        <v>46097</v>
      </c>
      <c r="S39" s="96"/>
      <c r="T39" s="96" t="s">
        <v>60</v>
      </c>
      <c r="U39" s="96" t="s">
        <v>144</v>
      </c>
      <c r="V39" s="92">
        <v>46097</v>
      </c>
      <c r="W39" s="92" t="s">
        <v>95</v>
      </c>
      <c r="X39" s="92" t="s">
        <v>95</v>
      </c>
      <c r="Y39" s="97"/>
      <c r="Z39" s="89" t="s">
        <v>108</v>
      </c>
      <c r="AA39" s="96">
        <v>46101</v>
      </c>
      <c r="AB39" s="89" t="s">
        <v>109</v>
      </c>
      <c r="AC39" s="119"/>
      <c r="AD39" s="89"/>
      <c r="AE39" s="89"/>
      <c r="AF39" s="118" t="s">
        <v>96</v>
      </c>
      <c r="AG39" s="118" t="s">
        <v>97</v>
      </c>
      <c r="AH39" s="118" t="s">
        <v>204</v>
      </c>
      <c r="AI39" s="99" t="s">
        <v>47</v>
      </c>
      <c r="AJ39" s="99" t="s">
        <v>146</v>
      </c>
      <c r="AK39" s="99" t="s">
        <v>47</v>
      </c>
      <c r="AL39" s="45" t="s">
        <v>67</v>
      </c>
      <c r="AM39" s="198" t="str">
        <f t="shared" si="5"/>
        <v>3/2026</v>
      </c>
      <c r="AN39" s="45">
        <f t="shared" si="6"/>
        <v>2</v>
      </c>
      <c r="AO39" s="45" t="str">
        <f t="shared" si="7"/>
        <v>3/2026</v>
      </c>
      <c r="AP39" s="45">
        <f t="shared" si="8"/>
        <v>3</v>
      </c>
      <c r="AQ39" s="45">
        <f>IF(AU39="S",IF(Q39="1. Aceitou o programa",R39-B39,0),0)</f>
        <v>6</v>
      </c>
      <c r="AR39" s="45">
        <f>IF(AU39="S",IF(AND(S39&lt;&gt;"",R39&lt;&gt;""),S39-R39,0),0)</f>
        <v>0</v>
      </c>
      <c r="AS39" s="45">
        <f>IF(AU39="S",IF(Q39="1. Aceitou o programa",IF(OR(X39="Não se Aplica",X39=""),IF(OR(W39="Não se Aplica",W39=""),0,W39-V39),AVERAGE(X39-W39,W39-V39)),0),0)</f>
        <v>0</v>
      </c>
      <c r="AT39" s="45">
        <f>IF(AU39="S",IF(AND(Q39="1. Aceitou o programa",AB39="Realizada"),IFERROR(IF(AA39="",0,AA39-R39),0),0),0)</f>
        <v>4</v>
      </c>
      <c r="AU39" s="45" t="str">
        <f>_xlfn.XLOOKUP(U39,'Lista Suspensa'!$AA$20:$AA$23,'Lista Suspensa'!$AB$20:$AB$23,"N/A")</f>
        <v>S</v>
      </c>
    </row>
    <row r="40" spans="1:47" ht="12" hidden="1" customHeight="1">
      <c r="A40" s="87" t="s">
        <v>47</v>
      </c>
      <c r="B40" s="88">
        <v>46091</v>
      </c>
      <c r="C40" s="89" t="s">
        <v>48</v>
      </c>
      <c r="D40" s="89" t="s">
        <v>49</v>
      </c>
      <c r="E40" s="111">
        <v>94312524</v>
      </c>
      <c r="F40" s="220" t="s">
        <v>256</v>
      </c>
      <c r="G40" s="91" t="s">
        <v>257</v>
      </c>
      <c r="H40" s="92">
        <v>27791</v>
      </c>
      <c r="I40" s="89">
        <f t="shared" ca="1" si="4"/>
        <v>50</v>
      </c>
      <c r="J40" s="89" t="s">
        <v>52</v>
      </c>
      <c r="K40" s="89" t="s">
        <v>53</v>
      </c>
      <c r="L40" s="89" t="s">
        <v>54</v>
      </c>
      <c r="M40" s="89" t="s">
        <v>258</v>
      </c>
      <c r="N40" s="89" t="s">
        <v>72</v>
      </c>
      <c r="O40" s="93" t="s">
        <v>259</v>
      </c>
      <c r="P40" s="94" t="s">
        <v>58</v>
      </c>
      <c r="Q40" s="144" t="s">
        <v>94</v>
      </c>
      <c r="R40" s="95">
        <v>46097</v>
      </c>
      <c r="S40" s="96">
        <v>46167</v>
      </c>
      <c r="T40" s="96" t="s">
        <v>60</v>
      </c>
      <c r="U40" s="96" t="s">
        <v>61</v>
      </c>
      <c r="V40" s="92">
        <v>46097</v>
      </c>
      <c r="W40" s="92" t="s">
        <v>95</v>
      </c>
      <c r="X40" s="92" t="s">
        <v>95</v>
      </c>
      <c r="Y40" s="97"/>
      <c r="Z40" s="89" t="s">
        <v>108</v>
      </c>
      <c r="AA40" s="96">
        <v>46128</v>
      </c>
      <c r="AB40" s="89" t="s">
        <v>109</v>
      </c>
      <c r="AC40" s="119">
        <v>46153</v>
      </c>
      <c r="AD40" s="89"/>
      <c r="AE40" s="89"/>
      <c r="AF40" s="118" t="s">
        <v>82</v>
      </c>
      <c r="AG40" s="118" t="s">
        <v>97</v>
      </c>
      <c r="AH40" s="118" t="s">
        <v>63</v>
      </c>
      <c r="AI40" s="99" t="s">
        <v>64</v>
      </c>
      <c r="AJ40" s="99" t="s">
        <v>65</v>
      </c>
      <c r="AK40" s="99" t="s">
        <v>47</v>
      </c>
      <c r="AL40" s="45" t="s">
        <v>67</v>
      </c>
      <c r="AM40" s="198" t="str">
        <f t="shared" si="5"/>
        <v>3/2026</v>
      </c>
      <c r="AN40" s="45">
        <f t="shared" si="6"/>
        <v>2</v>
      </c>
      <c r="AO40" s="45" t="str">
        <f t="shared" si="7"/>
        <v>3/2026</v>
      </c>
      <c r="AP40" s="45">
        <f t="shared" si="8"/>
        <v>3</v>
      </c>
      <c r="AQ40" s="45">
        <f>IF(AU40="S",IF(Q40="1. Aceitou o programa",R40-B40,0),0)</f>
        <v>0</v>
      </c>
      <c r="AR40" s="45">
        <f>IF(AU40="S",IF(AND(S40&lt;&gt;"",R40&lt;&gt;""),S40-R40,0),0)</f>
        <v>70</v>
      </c>
      <c r="AS40" s="45">
        <f>IF(AU40="S",IF(Q40="1. Aceitou o programa",IF(OR(X40="Não se Aplica",X40=""),IF(OR(W40="Não se Aplica",W40=""),0,W40-V40),AVERAGE(X40-W40,W40-V40)),0),0)</f>
        <v>0</v>
      </c>
      <c r="AT40" s="45">
        <f>IF(AU40="S",IF(AND(Q40="1. Aceitou o programa",AB40="Realizada"),IFERROR(IF(AA40="",0,AA40-R40),0),0),0)</f>
        <v>0</v>
      </c>
      <c r="AU40" s="45" t="str">
        <f>_xlfn.XLOOKUP(U40,'Lista Suspensa'!$AA$20:$AA$23,'Lista Suspensa'!$AB$20:$AB$23,"N/A")</f>
        <v>S</v>
      </c>
    </row>
    <row r="41" spans="1:47" ht="12" hidden="1" customHeight="1">
      <c r="A41" s="87" t="s">
        <v>47</v>
      </c>
      <c r="B41" s="88">
        <v>46091</v>
      </c>
      <c r="C41" s="89" t="s">
        <v>48</v>
      </c>
      <c r="D41" s="89" t="s">
        <v>49</v>
      </c>
      <c r="E41" s="111">
        <v>450647161</v>
      </c>
      <c r="F41" s="220" t="s">
        <v>260</v>
      </c>
      <c r="G41" s="91" t="s">
        <v>261</v>
      </c>
      <c r="H41" s="92">
        <v>22877</v>
      </c>
      <c r="I41" s="89">
        <f t="shared" ca="1" si="4"/>
        <v>63</v>
      </c>
      <c r="J41" s="89" t="s">
        <v>52</v>
      </c>
      <c r="K41" s="89" t="s">
        <v>53</v>
      </c>
      <c r="L41" s="89" t="s">
        <v>54</v>
      </c>
      <c r="M41" s="89" t="s">
        <v>262</v>
      </c>
      <c r="N41" s="89" t="s">
        <v>101</v>
      </c>
      <c r="O41" s="93" t="s">
        <v>263</v>
      </c>
      <c r="P41" s="94" t="s">
        <v>58</v>
      </c>
      <c r="Q41" s="144" t="s">
        <v>143</v>
      </c>
      <c r="R41" s="95">
        <v>46105</v>
      </c>
      <c r="S41" s="96"/>
      <c r="T41" s="96" t="s">
        <v>60</v>
      </c>
      <c r="U41" s="96" t="s">
        <v>144</v>
      </c>
      <c r="V41" s="92">
        <v>46097</v>
      </c>
      <c r="W41" s="92">
        <v>45740</v>
      </c>
      <c r="X41" s="92">
        <v>46106</v>
      </c>
      <c r="Y41" s="97"/>
      <c r="Z41" s="89" t="s">
        <v>108</v>
      </c>
      <c r="AA41" s="96">
        <v>46108.583333333336</v>
      </c>
      <c r="AB41" s="89" t="s">
        <v>145</v>
      </c>
      <c r="AC41" s="119"/>
      <c r="AD41" s="89"/>
      <c r="AE41" s="89"/>
      <c r="AF41" s="118" t="s">
        <v>82</v>
      </c>
      <c r="AG41" s="118" t="s">
        <v>97</v>
      </c>
      <c r="AH41" s="118"/>
      <c r="AI41" s="99"/>
      <c r="AJ41" s="99" t="s">
        <v>146</v>
      </c>
      <c r="AK41" s="99" t="s">
        <v>47</v>
      </c>
      <c r="AL41" s="45" t="s">
        <v>67</v>
      </c>
      <c r="AM41" s="198" t="str">
        <f t="shared" si="5"/>
        <v>3/2026</v>
      </c>
      <c r="AN41" s="45">
        <f t="shared" si="6"/>
        <v>2</v>
      </c>
      <c r="AO41" s="45" t="str">
        <f t="shared" si="7"/>
        <v>3/2026</v>
      </c>
      <c r="AP41" s="45">
        <f t="shared" si="8"/>
        <v>4</v>
      </c>
      <c r="AQ41" s="45">
        <f>IF(AU41="S",IF(Q41="1. Aceitou o programa",R41-B41,0),0)</f>
        <v>14</v>
      </c>
      <c r="AR41" s="45">
        <f>IF(AU41="S",IF(AND(S41&lt;&gt;"",R41&lt;&gt;""),S41-R41,0),0)</f>
        <v>0</v>
      </c>
      <c r="AS41" s="45">
        <f>IF(AU41="S",IF(Q41="1. Aceitou o programa",IF(OR(X41="Não se Aplica",X41=""),IF(OR(W41="Não se Aplica",W41=""),0,W41-V41),AVERAGE(X41-W41,W41-V41)),0),0)</f>
        <v>4.5</v>
      </c>
      <c r="AT41" s="45">
        <f>IF(AU41="S",IF(AND(Q41="1. Aceitou o programa",AB41="Realizada"),IFERROR(IF(AA41="",0,AA41-R41),0),0),0)</f>
        <v>0</v>
      </c>
      <c r="AU41" s="45" t="str">
        <f>_xlfn.XLOOKUP(U41,'Lista Suspensa'!$AA$20:$AA$23,'Lista Suspensa'!$AB$20:$AB$23,"N/A")</f>
        <v>S</v>
      </c>
    </row>
    <row r="42" spans="1:47" ht="12" hidden="1" customHeight="1">
      <c r="A42" s="87" t="s">
        <v>47</v>
      </c>
      <c r="B42" s="88">
        <v>46091</v>
      </c>
      <c r="C42" s="89" t="s">
        <v>48</v>
      </c>
      <c r="D42" s="89" t="s">
        <v>49</v>
      </c>
      <c r="E42" s="111">
        <v>79479648</v>
      </c>
      <c r="F42" s="220" t="s">
        <v>264</v>
      </c>
      <c r="G42" s="91" t="s">
        <v>265</v>
      </c>
      <c r="H42" s="92">
        <v>35703</v>
      </c>
      <c r="I42" s="89">
        <f t="shared" ca="1" si="4"/>
        <v>28</v>
      </c>
      <c r="J42" s="89" t="s">
        <v>52</v>
      </c>
      <c r="K42" s="89" t="s">
        <v>53</v>
      </c>
      <c r="L42" s="89" t="s">
        <v>112</v>
      </c>
      <c r="M42" s="89" t="s">
        <v>78</v>
      </c>
      <c r="N42" s="89" t="s">
        <v>266</v>
      </c>
      <c r="O42" s="93" t="s">
        <v>267</v>
      </c>
      <c r="P42" s="94" t="s">
        <v>268</v>
      </c>
      <c r="Q42" s="144" t="s">
        <v>143</v>
      </c>
      <c r="R42" s="95">
        <v>46121</v>
      </c>
      <c r="S42" s="96"/>
      <c r="T42" s="96" t="s">
        <v>60</v>
      </c>
      <c r="U42" s="96" t="s">
        <v>144</v>
      </c>
      <c r="V42" s="92">
        <v>46097</v>
      </c>
      <c r="W42" s="92">
        <v>45740</v>
      </c>
      <c r="X42" s="92">
        <v>46106</v>
      </c>
      <c r="Y42" s="97"/>
      <c r="Z42" s="89" t="s">
        <v>108</v>
      </c>
      <c r="AA42" s="96">
        <v>46122</v>
      </c>
      <c r="AB42" s="89" t="s">
        <v>145</v>
      </c>
      <c r="AC42" s="119"/>
      <c r="AD42" s="89"/>
      <c r="AE42" s="89"/>
      <c r="AF42" s="118" t="s">
        <v>82</v>
      </c>
      <c r="AG42" s="118" t="s">
        <v>97</v>
      </c>
      <c r="AH42" s="118"/>
      <c r="AI42" s="99"/>
      <c r="AJ42" s="99" t="s">
        <v>146</v>
      </c>
      <c r="AK42" s="99" t="s">
        <v>47</v>
      </c>
      <c r="AL42" s="45" t="s">
        <v>67</v>
      </c>
      <c r="AM42" s="198" t="str">
        <f t="shared" si="5"/>
        <v>3/2026</v>
      </c>
      <c r="AN42" s="45">
        <f t="shared" si="6"/>
        <v>2</v>
      </c>
      <c r="AO42" s="45" t="str">
        <f t="shared" si="7"/>
        <v>4/2026</v>
      </c>
      <c r="AP42" s="45">
        <f t="shared" si="8"/>
        <v>2</v>
      </c>
      <c r="AQ42" s="45">
        <f>IF(AU42="S",IF(Q42="1. Aceitou o programa",R42-B42,0),0)</f>
        <v>30</v>
      </c>
      <c r="AR42" s="45">
        <f>IF(AU42="S",IF(AND(S42&lt;&gt;"",R42&lt;&gt;""),S42-R42,0),0)</f>
        <v>0</v>
      </c>
      <c r="AS42" s="45">
        <f>IF(AU42="S",IF(Q42="1. Aceitou o programa",IF(OR(X42="Não se Aplica",X42=""),IF(OR(W42="Não se Aplica",W42=""),0,W42-V42),AVERAGE(X42-W42,W42-V42)),0),0)</f>
        <v>4.5</v>
      </c>
      <c r="AT42" s="45">
        <f>IF(AU42="S",IF(AND(Q42="1. Aceitou o programa",AB42="Realizada"),IFERROR(IF(AA42="",0,AA42-R42),0),0),0)</f>
        <v>0</v>
      </c>
      <c r="AU42" s="45" t="str">
        <f>_xlfn.XLOOKUP(U42,'Lista Suspensa'!$AA$20:$AA$23,'Lista Suspensa'!$AB$20:$AB$23,"N/A")</f>
        <v>S</v>
      </c>
    </row>
    <row r="43" spans="1:47" ht="12" hidden="1" customHeight="1">
      <c r="A43" s="87" t="s">
        <v>47</v>
      </c>
      <c r="B43" s="88">
        <v>46091</v>
      </c>
      <c r="C43" s="89" t="s">
        <v>48</v>
      </c>
      <c r="D43" s="89" t="s">
        <v>49</v>
      </c>
      <c r="E43" s="111">
        <v>95137374</v>
      </c>
      <c r="F43" s="220" t="s">
        <v>269</v>
      </c>
      <c r="G43" s="91" t="s">
        <v>270</v>
      </c>
      <c r="H43" s="92">
        <v>33414</v>
      </c>
      <c r="I43" s="89">
        <f t="shared" ca="1" si="4"/>
        <v>34</v>
      </c>
      <c r="J43" s="89" t="s">
        <v>70</v>
      </c>
      <c r="K43" s="89" t="s">
        <v>53</v>
      </c>
      <c r="L43" s="89" t="s">
        <v>271</v>
      </c>
      <c r="M43" s="89" t="s">
        <v>272</v>
      </c>
      <c r="N43" s="89" t="s">
        <v>223</v>
      </c>
      <c r="O43" s="93" t="s">
        <v>273</v>
      </c>
      <c r="P43" s="94" t="s">
        <v>93</v>
      </c>
      <c r="Q43" s="144" t="s">
        <v>143</v>
      </c>
      <c r="R43" s="95">
        <v>46121</v>
      </c>
      <c r="S43" s="96"/>
      <c r="T43" s="96" t="s">
        <v>60</v>
      </c>
      <c r="U43" s="96" t="s">
        <v>144</v>
      </c>
      <c r="V43" s="92">
        <v>46097</v>
      </c>
      <c r="W43" s="92">
        <v>45740</v>
      </c>
      <c r="X43" s="92">
        <v>46106</v>
      </c>
      <c r="Y43" s="97"/>
      <c r="Z43" s="89" t="s">
        <v>108</v>
      </c>
      <c r="AA43" s="96">
        <v>46126</v>
      </c>
      <c r="AB43" s="89" t="s">
        <v>145</v>
      </c>
      <c r="AC43" s="119"/>
      <c r="AD43" s="89"/>
      <c r="AE43" s="89"/>
      <c r="AF43" s="118" t="s">
        <v>82</v>
      </c>
      <c r="AG43" s="118" t="s">
        <v>97</v>
      </c>
      <c r="AH43" s="118"/>
      <c r="AI43" s="99"/>
      <c r="AJ43" s="99" t="s">
        <v>146</v>
      </c>
      <c r="AK43" s="99" t="s">
        <v>47</v>
      </c>
      <c r="AL43" s="45" t="s">
        <v>67</v>
      </c>
      <c r="AM43" s="198" t="str">
        <f t="shared" si="5"/>
        <v>3/2026</v>
      </c>
      <c r="AN43" s="45">
        <f t="shared" si="6"/>
        <v>2</v>
      </c>
      <c r="AO43" s="45" t="str">
        <f t="shared" si="7"/>
        <v>4/2026</v>
      </c>
      <c r="AP43" s="45">
        <f t="shared" si="8"/>
        <v>2</v>
      </c>
      <c r="AQ43" s="45">
        <f>IF(AU43="S",IF(Q43="1. Aceitou o programa",R43-B43,0),0)</f>
        <v>30</v>
      </c>
      <c r="AR43" s="45">
        <f>IF(AU43="S",IF(AND(S43&lt;&gt;"",R43&lt;&gt;""),S43-R43,0),0)</f>
        <v>0</v>
      </c>
      <c r="AS43" s="45">
        <f>IF(AU43="S",IF(Q43="1. Aceitou o programa",IF(OR(X43="Não se Aplica",X43=""),IF(OR(W43="Não se Aplica",W43=""),0,W43-V43),AVERAGE(X43-W43,W43-V43)),0),0)</f>
        <v>4.5</v>
      </c>
      <c r="AT43" s="45">
        <f>IF(AU43="S",IF(AND(Q43="1. Aceitou o programa",AB43="Realizada"),IFERROR(IF(AA43="",0,AA43-R43),0),0),0)</f>
        <v>0</v>
      </c>
      <c r="AU43" s="45" t="str">
        <f>_xlfn.XLOOKUP(U43,'Lista Suspensa'!$AA$20:$AA$23,'Lista Suspensa'!$AB$20:$AB$23,"N/A")</f>
        <v>S</v>
      </c>
    </row>
    <row r="44" spans="1:47" ht="12" hidden="1" customHeight="1">
      <c r="A44" s="87" t="s">
        <v>47</v>
      </c>
      <c r="B44" s="88">
        <v>46091</v>
      </c>
      <c r="C44" s="89" t="s">
        <v>48</v>
      </c>
      <c r="D44" s="89" t="s">
        <v>49</v>
      </c>
      <c r="E44" s="111">
        <v>200386409</v>
      </c>
      <c r="F44" s="220" t="s">
        <v>274</v>
      </c>
      <c r="G44" s="91" t="s">
        <v>275</v>
      </c>
      <c r="H44" s="92">
        <v>21915</v>
      </c>
      <c r="I44" s="89">
        <f t="shared" ca="1" si="4"/>
        <v>66</v>
      </c>
      <c r="J44" s="89" t="s">
        <v>52</v>
      </c>
      <c r="K44" s="89" t="s">
        <v>53</v>
      </c>
      <c r="L44" s="89" t="s">
        <v>54</v>
      </c>
      <c r="M44" s="89" t="s">
        <v>276</v>
      </c>
      <c r="N44" s="89" t="s">
        <v>129</v>
      </c>
      <c r="O44" s="93" t="s">
        <v>277</v>
      </c>
      <c r="P44" s="94" t="s">
        <v>58</v>
      </c>
      <c r="Q44" s="144" t="s">
        <v>143</v>
      </c>
      <c r="R44" s="95">
        <v>46105</v>
      </c>
      <c r="S44" s="96"/>
      <c r="T44" s="96" t="s">
        <v>60</v>
      </c>
      <c r="U44" s="96" t="s">
        <v>144</v>
      </c>
      <c r="V44" s="92">
        <v>46097</v>
      </c>
      <c r="W44" s="92">
        <v>45740</v>
      </c>
      <c r="X44" s="92">
        <v>46106</v>
      </c>
      <c r="Y44" s="97"/>
      <c r="Z44" s="89" t="s">
        <v>108</v>
      </c>
      <c r="AA44" s="96">
        <v>46108</v>
      </c>
      <c r="AB44" s="89" t="s">
        <v>109</v>
      </c>
      <c r="AC44" s="119"/>
      <c r="AD44" s="89" t="s">
        <v>116</v>
      </c>
      <c r="AE44" s="89">
        <v>1</v>
      </c>
      <c r="AF44" s="118" t="s">
        <v>82</v>
      </c>
      <c r="AG44" s="118" t="s">
        <v>97</v>
      </c>
      <c r="AH44" s="118" t="s">
        <v>209</v>
      </c>
      <c r="AI44" s="99"/>
      <c r="AJ44" s="99" t="s">
        <v>146</v>
      </c>
      <c r="AK44" s="99" t="s">
        <v>47</v>
      </c>
      <c r="AL44" s="45" t="s">
        <v>67</v>
      </c>
      <c r="AM44" s="198" t="str">
        <f t="shared" si="5"/>
        <v>3/2026</v>
      </c>
      <c r="AN44" s="45">
        <f t="shared" si="6"/>
        <v>2</v>
      </c>
      <c r="AO44" s="45" t="str">
        <f t="shared" si="7"/>
        <v>3/2026</v>
      </c>
      <c r="AP44" s="45">
        <f t="shared" si="8"/>
        <v>4</v>
      </c>
      <c r="AQ44" s="45">
        <f>IF(AU44="S",IF(Q44="1. Aceitou o programa",R44-B44,0),0)</f>
        <v>14</v>
      </c>
      <c r="AR44" s="45">
        <f>IF(AU44="S",IF(AND(S44&lt;&gt;"",R44&lt;&gt;""),S44-R44,0),0)</f>
        <v>0</v>
      </c>
      <c r="AS44" s="45">
        <f>IF(AU44="S",IF(Q44="1. Aceitou o programa",IF(OR(X44="Não se Aplica",X44=""),IF(OR(W44="Não se Aplica",W44=""),0,W44-V44),AVERAGE(X44-W44,W44-V44)),0),0)</f>
        <v>4.5</v>
      </c>
      <c r="AT44" s="45">
        <f>IF(AU44="S",IF(AND(Q44="1. Aceitou o programa",AB44="Realizada"),IFERROR(IF(AA44="",0,AA44-R44),0),0),0)</f>
        <v>3</v>
      </c>
      <c r="AU44" s="45" t="str">
        <f>_xlfn.XLOOKUP(U44,'Lista Suspensa'!$AA$20:$AA$23,'Lista Suspensa'!$AB$20:$AB$23,"N/A")</f>
        <v>S</v>
      </c>
    </row>
    <row r="45" spans="1:47" ht="12" hidden="1" customHeight="1">
      <c r="A45" s="87" t="s">
        <v>47</v>
      </c>
      <c r="B45" s="88">
        <v>46104</v>
      </c>
      <c r="C45" s="89" t="s">
        <v>48</v>
      </c>
      <c r="D45" s="89" t="s">
        <v>49</v>
      </c>
      <c r="E45" s="111">
        <v>771649533</v>
      </c>
      <c r="F45" s="220" t="s">
        <v>278</v>
      </c>
      <c r="G45" s="91" t="s">
        <v>279</v>
      </c>
      <c r="H45" s="92">
        <v>16261</v>
      </c>
      <c r="I45" s="89">
        <f t="shared" ca="1" si="4"/>
        <v>81</v>
      </c>
      <c r="J45" s="89" t="s">
        <v>52</v>
      </c>
      <c r="K45" s="89" t="s">
        <v>53</v>
      </c>
      <c r="L45" s="89" t="s">
        <v>54</v>
      </c>
      <c r="M45" s="89" t="s">
        <v>78</v>
      </c>
      <c r="N45" s="89">
        <v>300</v>
      </c>
      <c r="O45" s="93" t="s">
        <v>280</v>
      </c>
      <c r="P45" s="94" t="s">
        <v>58</v>
      </c>
      <c r="Q45" s="144" t="s">
        <v>143</v>
      </c>
      <c r="R45" s="95">
        <v>46106</v>
      </c>
      <c r="S45" s="96"/>
      <c r="T45" s="96" t="s">
        <v>60</v>
      </c>
      <c r="U45" s="96" t="s">
        <v>144</v>
      </c>
      <c r="V45" s="92">
        <v>46106</v>
      </c>
      <c r="W45" s="92" t="s">
        <v>95</v>
      </c>
      <c r="X45" s="92" t="s">
        <v>95</v>
      </c>
      <c r="Y45" s="97"/>
      <c r="Z45" s="89" t="s">
        <v>108</v>
      </c>
      <c r="AA45" s="96">
        <v>46108</v>
      </c>
      <c r="AB45" s="89" t="s">
        <v>145</v>
      </c>
      <c r="AC45" s="119"/>
      <c r="AD45" s="89"/>
      <c r="AE45" s="89"/>
      <c r="AF45" s="118" t="s">
        <v>82</v>
      </c>
      <c r="AG45" s="118" t="s">
        <v>97</v>
      </c>
      <c r="AH45" s="118"/>
      <c r="AI45" s="99"/>
      <c r="AJ45" s="99" t="s">
        <v>146</v>
      </c>
      <c r="AK45" s="99" t="s">
        <v>47</v>
      </c>
      <c r="AL45" s="45" t="s">
        <v>67</v>
      </c>
      <c r="AM45" s="198" t="str">
        <f t="shared" si="5"/>
        <v>3/2026</v>
      </c>
      <c r="AN45" s="45">
        <f t="shared" si="6"/>
        <v>4</v>
      </c>
      <c r="AO45" s="45" t="str">
        <f t="shared" si="7"/>
        <v>3/2026</v>
      </c>
      <c r="AP45" s="45">
        <f t="shared" si="8"/>
        <v>4</v>
      </c>
      <c r="AQ45" s="45">
        <f>IF(AU45="S",IF(Q45="1. Aceitou o programa",R45-B45,0),0)</f>
        <v>2</v>
      </c>
      <c r="AR45" s="45">
        <f>IF(AU45="S",IF(AND(S45&lt;&gt;"",R45&lt;&gt;""),S45-R45,0),0)</f>
        <v>0</v>
      </c>
      <c r="AS45" s="45">
        <f>IF(AU45="S",IF(Q45="1. Aceitou o programa",IF(OR(X45="Não se Aplica",X45=""),IF(OR(W45="Não se Aplica",W45=""),0,W45-V45),AVERAGE(X45-W45,W45-V45)),0),0)</f>
        <v>0</v>
      </c>
      <c r="AT45" s="45">
        <f>IF(AU45="S",IF(AND(Q45="1. Aceitou o programa",AB45="Realizada"),IFERROR(IF(AA45="",0,AA45-R45),0),0),0)</f>
        <v>0</v>
      </c>
      <c r="AU45" s="45" t="str">
        <f>_xlfn.XLOOKUP(U45,'Lista Suspensa'!$AA$20:$AA$23,'Lista Suspensa'!$AB$20:$AB$23,"N/A")</f>
        <v>S</v>
      </c>
    </row>
    <row r="46" spans="1:47" ht="12" hidden="1" customHeight="1">
      <c r="A46" s="87" t="s">
        <v>47</v>
      </c>
      <c r="B46" s="88">
        <v>46118</v>
      </c>
      <c r="C46" s="89" t="s">
        <v>48</v>
      </c>
      <c r="D46" s="89" t="s">
        <v>49</v>
      </c>
      <c r="E46" s="111">
        <v>83594811</v>
      </c>
      <c r="F46" s="220" t="s">
        <v>281</v>
      </c>
      <c r="G46" s="91" t="s">
        <v>282</v>
      </c>
      <c r="H46" s="92">
        <v>26979</v>
      </c>
      <c r="I46" s="89">
        <f t="shared" ca="1" si="4"/>
        <v>52</v>
      </c>
      <c r="J46" s="89" t="s">
        <v>70</v>
      </c>
      <c r="K46" s="89" t="s">
        <v>53</v>
      </c>
      <c r="L46" s="89" t="s">
        <v>173</v>
      </c>
      <c r="M46" s="89" t="s">
        <v>283</v>
      </c>
      <c r="N46" s="89">
        <v>40</v>
      </c>
      <c r="O46" s="93" t="s">
        <v>284</v>
      </c>
      <c r="P46" s="94" t="s">
        <v>93</v>
      </c>
      <c r="Q46" s="144" t="s">
        <v>143</v>
      </c>
      <c r="R46" s="95">
        <v>46121</v>
      </c>
      <c r="S46" s="96"/>
      <c r="T46" s="96" t="s">
        <v>60</v>
      </c>
      <c r="U46" s="96" t="s">
        <v>144</v>
      </c>
      <c r="V46" s="92">
        <v>46121</v>
      </c>
      <c r="W46" s="92" t="s">
        <v>95</v>
      </c>
      <c r="X46" s="92" t="s">
        <v>95</v>
      </c>
      <c r="Y46" s="97"/>
      <c r="Z46" s="89" t="s">
        <v>108</v>
      </c>
      <c r="AA46" s="96">
        <v>46122</v>
      </c>
      <c r="AB46" s="89" t="s">
        <v>109</v>
      </c>
      <c r="AC46" s="119"/>
      <c r="AD46" s="89" t="s">
        <v>116</v>
      </c>
      <c r="AE46" s="89">
        <v>1</v>
      </c>
      <c r="AF46" s="118" t="s">
        <v>96</v>
      </c>
      <c r="AG46" s="118" t="s">
        <v>97</v>
      </c>
      <c r="AH46" s="118" t="s">
        <v>209</v>
      </c>
      <c r="AI46" s="99"/>
      <c r="AJ46" s="99" t="s">
        <v>146</v>
      </c>
      <c r="AK46" s="99" t="s">
        <v>47</v>
      </c>
      <c r="AL46" s="45" t="s">
        <v>67</v>
      </c>
      <c r="AM46" s="198" t="str">
        <f t="shared" si="5"/>
        <v>4/2026</v>
      </c>
      <c r="AN46" s="45">
        <f t="shared" si="6"/>
        <v>2</v>
      </c>
      <c r="AO46" s="45" t="str">
        <f t="shared" si="7"/>
        <v>4/2026</v>
      </c>
      <c r="AP46" s="45">
        <f t="shared" si="8"/>
        <v>2</v>
      </c>
      <c r="AQ46" s="45">
        <f>IF(AU46="S",IF(Q46="1. Aceitou o programa",R46-B46,0),0)</f>
        <v>3</v>
      </c>
      <c r="AR46" s="45">
        <f>IF(AU46="S",IF(AND(S46&lt;&gt;"",R46&lt;&gt;""),S46-R46,0),0)</f>
        <v>0</v>
      </c>
      <c r="AS46" s="45">
        <f>IF(AU46="S",IF(Q46="1. Aceitou o programa",IF(OR(X46="Não se Aplica",X46=""),IF(OR(W46="Não se Aplica",W46=""),0,W46-V46),AVERAGE(X46-W46,W46-V46)),0),0)</f>
        <v>0</v>
      </c>
      <c r="AT46" s="45">
        <f>IF(AU46="S",IF(AND(Q46="1. Aceitou o programa",AB46="Realizada"),IFERROR(IF(AA46="",0,AA46-R46),0),0),0)</f>
        <v>1</v>
      </c>
      <c r="AU46" s="45" t="str">
        <f>_xlfn.XLOOKUP(U46,'Lista Suspensa'!$AA$20:$AA$23,'Lista Suspensa'!$AB$20:$AB$23,"N/A")</f>
        <v>S</v>
      </c>
    </row>
    <row r="47" spans="1:47" ht="12" hidden="1" customHeight="1">
      <c r="A47" s="87" t="s">
        <v>47</v>
      </c>
      <c r="B47" s="88">
        <v>46118</v>
      </c>
      <c r="C47" s="89" t="s">
        <v>48</v>
      </c>
      <c r="D47" s="89" t="s">
        <v>49</v>
      </c>
      <c r="E47" s="111">
        <v>983879907</v>
      </c>
      <c r="F47" s="220" t="s">
        <v>285</v>
      </c>
      <c r="G47" s="91" t="s">
        <v>286</v>
      </c>
      <c r="H47" s="92">
        <v>24836</v>
      </c>
      <c r="I47" s="89">
        <f t="shared" ca="1" si="4"/>
        <v>58</v>
      </c>
      <c r="J47" s="89" t="s">
        <v>52</v>
      </c>
      <c r="K47" s="89" t="s">
        <v>53</v>
      </c>
      <c r="L47" s="89" t="s">
        <v>54</v>
      </c>
      <c r="M47" s="89" t="s">
        <v>287</v>
      </c>
      <c r="N47" s="89">
        <v>500</v>
      </c>
      <c r="O47" s="93" t="s">
        <v>288</v>
      </c>
      <c r="P47" s="94" t="s">
        <v>93</v>
      </c>
      <c r="Q47" s="144" t="s">
        <v>94</v>
      </c>
      <c r="R47" s="95">
        <v>46121</v>
      </c>
      <c r="S47" s="96">
        <v>46126</v>
      </c>
      <c r="T47" s="96" t="s">
        <v>60</v>
      </c>
      <c r="U47" s="96" t="s">
        <v>61</v>
      </c>
      <c r="V47" s="92">
        <v>46121</v>
      </c>
      <c r="W47" s="92" t="s">
        <v>95</v>
      </c>
      <c r="X47" s="92" t="s">
        <v>95</v>
      </c>
      <c r="Y47" s="97"/>
      <c r="Z47" s="89" t="s">
        <v>108</v>
      </c>
      <c r="AA47" s="96">
        <v>46126</v>
      </c>
      <c r="AB47" s="89" t="s">
        <v>109</v>
      </c>
      <c r="AC47" s="119" t="s">
        <v>215</v>
      </c>
      <c r="AD47" s="89"/>
      <c r="AE47" s="89"/>
      <c r="AF47" s="118" t="s">
        <v>82</v>
      </c>
      <c r="AG47" s="118" t="s">
        <v>97</v>
      </c>
      <c r="AH47" s="118" t="s">
        <v>63</v>
      </c>
      <c r="AI47" s="99" t="s">
        <v>64</v>
      </c>
      <c r="AJ47" s="99" t="s">
        <v>65</v>
      </c>
      <c r="AK47" s="99" t="s">
        <v>47</v>
      </c>
      <c r="AL47" s="45" t="s">
        <v>67</v>
      </c>
      <c r="AM47" s="198" t="str">
        <f t="shared" si="5"/>
        <v>4/2026</v>
      </c>
      <c r="AN47" s="45">
        <f t="shared" si="6"/>
        <v>2</v>
      </c>
      <c r="AO47" s="45" t="str">
        <f t="shared" si="7"/>
        <v>4/2026</v>
      </c>
      <c r="AP47" s="45">
        <f t="shared" si="8"/>
        <v>2</v>
      </c>
      <c r="AQ47" s="45">
        <f>IF(AU47="S",IF(Q47="1. Aceitou o programa",R47-B47,0),0)</f>
        <v>0</v>
      </c>
      <c r="AR47" s="45">
        <f>IF(AU47="S",IF(AND(S47&lt;&gt;"",R47&lt;&gt;""),S47-R47,0),0)</f>
        <v>5</v>
      </c>
      <c r="AS47" s="45">
        <f>IF(AU47="S",IF(Q47="1. Aceitou o programa",IF(OR(X47="Não se Aplica",X47=""),IF(OR(W47="Não se Aplica",W47=""),0,W47-V47),AVERAGE(X47-W47,W47-V47)),0),0)</f>
        <v>0</v>
      </c>
      <c r="AT47" s="45">
        <f>IF(AU47="S",IF(AND(Q47="1. Aceitou o programa",AB47="Realizada"),IFERROR(IF(AA47="",0,AA47-R47),0),0),0)</f>
        <v>0</v>
      </c>
      <c r="AU47" s="45" t="str">
        <f>_xlfn.XLOOKUP(U47,'Lista Suspensa'!$AA$20:$AA$23,'Lista Suspensa'!$AB$20:$AB$23,"N/A")</f>
        <v>S</v>
      </c>
    </row>
    <row r="48" spans="1:47" ht="12" hidden="1" customHeight="1">
      <c r="A48" s="87" t="s">
        <v>47</v>
      </c>
      <c r="B48" s="88">
        <v>46118</v>
      </c>
      <c r="C48" s="89" t="s">
        <v>48</v>
      </c>
      <c r="D48" s="89" t="s">
        <v>49</v>
      </c>
      <c r="E48" s="111">
        <v>96386370</v>
      </c>
      <c r="F48" s="220" t="s">
        <v>289</v>
      </c>
      <c r="G48" s="91" t="s">
        <v>290</v>
      </c>
      <c r="H48" s="92">
        <v>25035</v>
      </c>
      <c r="I48" s="89">
        <f t="shared" ca="1" si="4"/>
        <v>57</v>
      </c>
      <c r="J48" s="89" t="s">
        <v>52</v>
      </c>
      <c r="K48" s="89" t="s">
        <v>53</v>
      </c>
      <c r="L48" s="89" t="s">
        <v>291</v>
      </c>
      <c r="M48" s="89" t="s">
        <v>292</v>
      </c>
      <c r="N48" s="89">
        <v>60</v>
      </c>
      <c r="O48" s="93" t="s">
        <v>293</v>
      </c>
      <c r="P48" s="94" t="s">
        <v>93</v>
      </c>
      <c r="Q48" s="144" t="s">
        <v>143</v>
      </c>
      <c r="R48" s="95">
        <v>46121</v>
      </c>
      <c r="S48" s="96"/>
      <c r="T48" s="96" t="s">
        <v>60</v>
      </c>
      <c r="U48" s="96" t="s">
        <v>144</v>
      </c>
      <c r="V48" s="92">
        <v>46121</v>
      </c>
      <c r="W48" s="92" t="s">
        <v>95</v>
      </c>
      <c r="X48" s="92" t="s">
        <v>95</v>
      </c>
      <c r="Y48" s="97"/>
      <c r="Z48" s="89" t="s">
        <v>108</v>
      </c>
      <c r="AA48" s="96">
        <v>46125</v>
      </c>
      <c r="AB48" s="89" t="s">
        <v>109</v>
      </c>
      <c r="AC48" s="119"/>
      <c r="AD48" s="89" t="s">
        <v>116</v>
      </c>
      <c r="AE48" s="89">
        <v>5</v>
      </c>
      <c r="AF48" s="118" t="s">
        <v>96</v>
      </c>
      <c r="AG48" s="118" t="s">
        <v>97</v>
      </c>
      <c r="AH48" s="118" t="s">
        <v>209</v>
      </c>
      <c r="AI48" s="99"/>
      <c r="AJ48" s="99" t="s">
        <v>146</v>
      </c>
      <c r="AK48" s="99" t="s">
        <v>47</v>
      </c>
      <c r="AL48" s="45" t="s">
        <v>67</v>
      </c>
      <c r="AM48" s="198" t="str">
        <f t="shared" si="5"/>
        <v>4/2026</v>
      </c>
      <c r="AN48" s="45">
        <f t="shared" si="6"/>
        <v>2</v>
      </c>
      <c r="AO48" s="45" t="str">
        <f t="shared" si="7"/>
        <v>4/2026</v>
      </c>
      <c r="AP48" s="45">
        <f t="shared" si="8"/>
        <v>2</v>
      </c>
      <c r="AQ48" s="45">
        <f>IF(AU48="S",IF(Q48="1. Aceitou o programa",R48-B48,0),0)</f>
        <v>3</v>
      </c>
      <c r="AR48" s="45">
        <f>IF(AU48="S",IF(AND(S48&lt;&gt;"",R48&lt;&gt;""),S48-R48,0),0)</f>
        <v>0</v>
      </c>
      <c r="AS48" s="45">
        <f>IF(AU48="S",IF(Q48="1. Aceitou o programa",IF(OR(X48="Não se Aplica",X48=""),IF(OR(W48="Não se Aplica",W48=""),0,W48-V48),AVERAGE(X48-W48,W48-V48)),0),0)</f>
        <v>0</v>
      </c>
      <c r="AT48" s="45">
        <f>IF(AU48="S",IF(AND(Q48="1. Aceitou o programa",AB48="Realizada"),IFERROR(IF(AA48="",0,AA48-R48),0),0),0)</f>
        <v>4</v>
      </c>
      <c r="AU48" s="45" t="str">
        <f>_xlfn.XLOOKUP(U48,'Lista Suspensa'!$AA$20:$AA$23,'Lista Suspensa'!$AB$20:$AB$23,"N/A")</f>
        <v>S</v>
      </c>
    </row>
    <row r="49" spans="1:47" ht="12" hidden="1" customHeight="1">
      <c r="A49" s="87" t="s">
        <v>47</v>
      </c>
      <c r="B49" s="88">
        <v>46118</v>
      </c>
      <c r="C49" s="89" t="s">
        <v>48</v>
      </c>
      <c r="D49" s="89" t="s">
        <v>49</v>
      </c>
      <c r="E49" s="111">
        <v>200267248</v>
      </c>
      <c r="F49" s="220" t="s">
        <v>294</v>
      </c>
      <c r="G49" s="91" t="s">
        <v>295</v>
      </c>
      <c r="H49" s="92">
        <v>24361</v>
      </c>
      <c r="I49" s="89">
        <f t="shared" ca="1" si="4"/>
        <v>59</v>
      </c>
      <c r="J49" s="89" t="s">
        <v>70</v>
      </c>
      <c r="K49" s="89" t="s">
        <v>53</v>
      </c>
      <c r="L49" s="89" t="s">
        <v>54</v>
      </c>
      <c r="M49" s="89" t="s">
        <v>296</v>
      </c>
      <c r="N49" s="89">
        <v>800</v>
      </c>
      <c r="O49" s="93" t="s">
        <v>297</v>
      </c>
      <c r="P49" s="94" t="s">
        <v>93</v>
      </c>
      <c r="Q49" s="144" t="s">
        <v>94</v>
      </c>
      <c r="R49" s="95">
        <v>46122</v>
      </c>
      <c r="S49" s="96">
        <v>46135</v>
      </c>
      <c r="T49" s="96" t="s">
        <v>60</v>
      </c>
      <c r="U49" s="96" t="s">
        <v>61</v>
      </c>
      <c r="V49" s="92">
        <v>46121</v>
      </c>
      <c r="W49" s="92">
        <v>46122</v>
      </c>
      <c r="X49" s="92" t="s">
        <v>95</v>
      </c>
      <c r="Y49" s="97"/>
      <c r="Z49" s="89" t="s">
        <v>108</v>
      </c>
      <c r="AA49" s="96">
        <v>46128</v>
      </c>
      <c r="AB49" s="89" t="s">
        <v>109</v>
      </c>
      <c r="AC49" s="119" t="s">
        <v>215</v>
      </c>
      <c r="AD49" s="89"/>
      <c r="AE49" s="89"/>
      <c r="AF49" s="118" t="s">
        <v>82</v>
      </c>
      <c r="AG49" s="118" t="s">
        <v>97</v>
      </c>
      <c r="AH49" s="118" t="s">
        <v>63</v>
      </c>
      <c r="AI49" s="99" t="s">
        <v>64</v>
      </c>
      <c r="AJ49" s="99" t="s">
        <v>65</v>
      </c>
      <c r="AK49" s="99" t="s">
        <v>47</v>
      </c>
      <c r="AL49" s="45" t="s">
        <v>67</v>
      </c>
      <c r="AM49" s="198" t="str">
        <f t="shared" si="5"/>
        <v>4/2026</v>
      </c>
      <c r="AN49" s="45">
        <f t="shared" si="6"/>
        <v>2</v>
      </c>
      <c r="AO49" s="45" t="str">
        <f t="shared" si="7"/>
        <v>4/2026</v>
      </c>
      <c r="AP49" s="45">
        <f t="shared" si="8"/>
        <v>2</v>
      </c>
      <c r="AQ49" s="45">
        <f>IF(AU49="S",IF(Q49="1. Aceitou o programa",R49-B49,0),0)</f>
        <v>0</v>
      </c>
      <c r="AR49" s="45">
        <f>IF(AU49="S",IF(AND(S49&lt;&gt;"",R49&lt;&gt;""),S49-R49,0),0)</f>
        <v>13</v>
      </c>
      <c r="AS49" s="45">
        <f>IF(AU49="S",IF(Q49="1. Aceitou o programa",IF(OR(X49="Não se Aplica",X49=""),IF(OR(W49="Não se Aplica",W49=""),0,W49-V49),AVERAGE(X49-W49,W49-V49)),0),0)</f>
        <v>0</v>
      </c>
      <c r="AT49" s="45">
        <f>IF(AU49="S",IF(AND(Q49="1. Aceitou o programa",AB49="Realizada"),IFERROR(IF(AA49="",0,AA49-R49),0),0),0)</f>
        <v>0</v>
      </c>
      <c r="AU49" s="45" t="str">
        <f>_xlfn.XLOOKUP(U49,'Lista Suspensa'!$AA$20:$AA$23,'Lista Suspensa'!$AB$20:$AB$23,"N/A")</f>
        <v>S</v>
      </c>
    </row>
    <row r="50" spans="1:47" ht="12" hidden="1" customHeight="1">
      <c r="A50" s="87" t="s">
        <v>47</v>
      </c>
      <c r="B50" s="88">
        <v>46127</v>
      </c>
      <c r="C50" s="89" t="s">
        <v>48</v>
      </c>
      <c r="D50" s="89" t="s">
        <v>49</v>
      </c>
      <c r="E50" s="111">
        <v>95974440</v>
      </c>
      <c r="F50" s="220" t="s">
        <v>298</v>
      </c>
      <c r="G50" s="91" t="s">
        <v>299</v>
      </c>
      <c r="H50" s="92">
        <v>25851</v>
      </c>
      <c r="I50" s="89">
        <f t="shared" ca="1" si="4"/>
        <v>55</v>
      </c>
      <c r="J50" s="89" t="s">
        <v>52</v>
      </c>
      <c r="K50" s="89" t="s">
        <v>53</v>
      </c>
      <c r="L50" s="89" t="s">
        <v>54</v>
      </c>
      <c r="M50" s="89" t="s">
        <v>300</v>
      </c>
      <c r="N50" s="89">
        <v>110</v>
      </c>
      <c r="O50" s="93" t="s">
        <v>301</v>
      </c>
      <c r="P50" s="94" t="s">
        <v>93</v>
      </c>
      <c r="Q50" s="144" t="s">
        <v>143</v>
      </c>
      <c r="R50" s="95">
        <v>46128</v>
      </c>
      <c r="S50" s="96"/>
      <c r="T50" s="96" t="s">
        <v>60</v>
      </c>
      <c r="U50" s="96" t="s">
        <v>144</v>
      </c>
      <c r="V50" s="92">
        <v>46128</v>
      </c>
      <c r="W50" s="92">
        <v>46128</v>
      </c>
      <c r="X50" s="92" t="s">
        <v>95</v>
      </c>
      <c r="Y50" s="97"/>
      <c r="Z50" s="89" t="s">
        <v>108</v>
      </c>
      <c r="AA50" s="96">
        <v>46136</v>
      </c>
      <c r="AB50" s="89" t="s">
        <v>145</v>
      </c>
      <c r="AC50" s="119"/>
      <c r="AD50" s="89"/>
      <c r="AE50" s="89"/>
      <c r="AF50" s="118" t="s">
        <v>82</v>
      </c>
      <c r="AG50" s="118" t="s">
        <v>97</v>
      </c>
      <c r="AH50" s="118"/>
      <c r="AI50" s="99"/>
      <c r="AJ50" s="99" t="s">
        <v>146</v>
      </c>
      <c r="AK50" s="99" t="s">
        <v>47</v>
      </c>
      <c r="AL50" s="45" t="s">
        <v>67</v>
      </c>
      <c r="AM50" s="198" t="str">
        <f t="shared" si="5"/>
        <v>4/2026</v>
      </c>
      <c r="AN50" s="45">
        <f t="shared" si="6"/>
        <v>3</v>
      </c>
      <c r="AO50" s="45" t="str">
        <f t="shared" si="7"/>
        <v>4/2026</v>
      </c>
      <c r="AP50" s="45">
        <f t="shared" si="8"/>
        <v>3</v>
      </c>
      <c r="AQ50" s="45">
        <f>IF(AU50="S",IF(Q50="1. Aceitou o programa",R50-B50,0),0)</f>
        <v>1</v>
      </c>
      <c r="AR50" s="45">
        <f>IF(AU50="S",IF(AND(S50&lt;&gt;"",R50&lt;&gt;""),S50-R50,0),0)</f>
        <v>0</v>
      </c>
      <c r="AS50" s="45">
        <f>IF(AU50="S",IF(Q50="1. Aceitou o programa",IF(OR(X50="Não se Aplica",X50=""),IF(OR(W50="Não se Aplica",W50=""),0,W50-V50),AVERAGE(X50-W50,W50-V50)),0),0)</f>
        <v>0</v>
      </c>
      <c r="AT50" s="45">
        <f>IF(AU50="S",IF(AND(Q50="1. Aceitou o programa",AB50="Realizada"),IFERROR(IF(AA50="",0,AA50-R50),0),0),0)</f>
        <v>0</v>
      </c>
      <c r="AU50" s="45" t="str">
        <f>_xlfn.XLOOKUP(U50,'Lista Suspensa'!$AA$20:$AA$23,'Lista Suspensa'!$AB$20:$AB$23,"N/A")</f>
        <v>S</v>
      </c>
    </row>
    <row r="51" spans="1:47" ht="12" hidden="1" customHeight="1">
      <c r="A51" s="87" t="s">
        <v>47</v>
      </c>
      <c r="B51" s="88">
        <v>46127</v>
      </c>
      <c r="C51" s="89" t="s">
        <v>48</v>
      </c>
      <c r="D51" s="89" t="s">
        <v>49</v>
      </c>
      <c r="E51" s="111">
        <v>772344850</v>
      </c>
      <c r="F51" s="220" t="s">
        <v>302</v>
      </c>
      <c r="G51" s="91" t="s">
        <v>303</v>
      </c>
      <c r="H51" s="92">
        <v>17048</v>
      </c>
      <c r="I51" s="89">
        <f t="shared" ca="1" si="4"/>
        <v>79</v>
      </c>
      <c r="J51" s="89" t="s">
        <v>52</v>
      </c>
      <c r="K51" s="89" t="s">
        <v>53</v>
      </c>
      <c r="L51" s="89" t="s">
        <v>54</v>
      </c>
      <c r="M51" s="89" t="s">
        <v>304</v>
      </c>
      <c r="N51" s="89">
        <v>300</v>
      </c>
      <c r="O51" s="93" t="s">
        <v>305</v>
      </c>
      <c r="P51" s="94" t="s">
        <v>93</v>
      </c>
      <c r="Q51" s="144" t="s">
        <v>143</v>
      </c>
      <c r="R51" s="95">
        <v>46128</v>
      </c>
      <c r="S51" s="96"/>
      <c r="T51" s="96" t="s">
        <v>60</v>
      </c>
      <c r="U51" s="96" t="s">
        <v>144</v>
      </c>
      <c r="V51" s="92">
        <v>46128</v>
      </c>
      <c r="W51" s="92" t="s">
        <v>95</v>
      </c>
      <c r="X51" s="92" t="s">
        <v>95</v>
      </c>
      <c r="Y51" s="97"/>
      <c r="Z51" s="89" t="s">
        <v>108</v>
      </c>
      <c r="AA51" s="96">
        <v>46136</v>
      </c>
      <c r="AB51" s="89" t="s">
        <v>145</v>
      </c>
      <c r="AC51" s="119"/>
      <c r="AD51" s="89"/>
      <c r="AE51" s="89"/>
      <c r="AF51" s="118" t="s">
        <v>82</v>
      </c>
      <c r="AG51" s="118" t="s">
        <v>97</v>
      </c>
      <c r="AH51" s="118"/>
      <c r="AI51" s="99"/>
      <c r="AJ51" s="99" t="s">
        <v>146</v>
      </c>
      <c r="AK51" s="99" t="s">
        <v>47</v>
      </c>
      <c r="AL51" s="45" t="s">
        <v>67</v>
      </c>
      <c r="AM51" s="198" t="str">
        <f t="shared" si="5"/>
        <v>4/2026</v>
      </c>
      <c r="AN51" s="45">
        <f t="shared" si="6"/>
        <v>3</v>
      </c>
      <c r="AO51" s="45" t="str">
        <f t="shared" si="7"/>
        <v>4/2026</v>
      </c>
      <c r="AP51" s="45">
        <f t="shared" si="8"/>
        <v>3</v>
      </c>
      <c r="AQ51" s="45">
        <f>IF(AU51="S",IF(Q51="1. Aceitou o programa",R51-B51,0),0)</f>
        <v>1</v>
      </c>
      <c r="AR51" s="45">
        <f>IF(AU51="S",IF(AND(S51&lt;&gt;"",R51&lt;&gt;""),S51-R51,0),0)</f>
        <v>0</v>
      </c>
      <c r="AS51" s="45">
        <f>IF(AU51="S",IF(Q51="1. Aceitou o programa",IF(OR(X51="Não se Aplica",X51=""),IF(OR(W51="Não se Aplica",W51=""),0,W51-V51),AVERAGE(X51-W51,W51-V51)),0),0)</f>
        <v>0</v>
      </c>
      <c r="AT51" s="45">
        <f>IF(AU51="S",IF(AND(Q51="1. Aceitou o programa",AB51="Realizada"),IFERROR(IF(AA51="",0,AA51-R51),0),0),0)</f>
        <v>0</v>
      </c>
      <c r="AU51" s="45" t="str">
        <f>_xlfn.XLOOKUP(U51,'Lista Suspensa'!$AA$20:$AA$23,'Lista Suspensa'!$AB$20:$AB$23,"N/A")</f>
        <v>S</v>
      </c>
    </row>
    <row r="52" spans="1:47" ht="12" hidden="1" customHeight="1">
      <c r="A52" s="87" t="s">
        <v>47</v>
      </c>
      <c r="B52" s="88">
        <v>46127</v>
      </c>
      <c r="C52" s="89" t="s">
        <v>48</v>
      </c>
      <c r="D52" s="89" t="s">
        <v>49</v>
      </c>
      <c r="E52" s="111">
        <v>86498107</v>
      </c>
      <c r="F52" s="220" t="s">
        <v>306</v>
      </c>
      <c r="G52" s="91" t="s">
        <v>307</v>
      </c>
      <c r="H52" s="92">
        <v>28150</v>
      </c>
      <c r="I52" s="89">
        <f t="shared" ca="1" si="4"/>
        <v>49</v>
      </c>
      <c r="J52" s="89" t="s">
        <v>52</v>
      </c>
      <c r="K52" s="89" t="s">
        <v>53</v>
      </c>
      <c r="L52" s="89" t="s">
        <v>54</v>
      </c>
      <c r="M52" s="89" t="s">
        <v>308</v>
      </c>
      <c r="N52" s="89">
        <v>750</v>
      </c>
      <c r="O52" s="93" t="s">
        <v>309</v>
      </c>
      <c r="P52" s="94" t="s">
        <v>93</v>
      </c>
      <c r="Q52" s="144" t="s">
        <v>143</v>
      </c>
      <c r="R52" s="95">
        <v>46128</v>
      </c>
      <c r="S52" s="96"/>
      <c r="T52" s="96" t="s">
        <v>60</v>
      </c>
      <c r="U52" s="96" t="s">
        <v>144</v>
      </c>
      <c r="V52" s="92">
        <v>46128</v>
      </c>
      <c r="W52" s="92" t="s">
        <v>95</v>
      </c>
      <c r="X52" s="92" t="s">
        <v>95</v>
      </c>
      <c r="Y52" s="97"/>
      <c r="Z52" s="89" t="s">
        <v>108</v>
      </c>
      <c r="AA52" s="96">
        <v>46139</v>
      </c>
      <c r="AB52" s="89" t="s">
        <v>109</v>
      </c>
      <c r="AC52" s="119"/>
      <c r="AD52" s="89" t="s">
        <v>116</v>
      </c>
      <c r="AE52" s="89">
        <v>8</v>
      </c>
      <c r="AF52" s="118" t="s">
        <v>125</v>
      </c>
      <c r="AG52" s="118" t="s">
        <v>97</v>
      </c>
      <c r="AH52" s="118" t="s">
        <v>204</v>
      </c>
      <c r="AI52" s="99" t="s">
        <v>47</v>
      </c>
      <c r="AJ52" s="99" t="s">
        <v>146</v>
      </c>
      <c r="AK52" s="99" t="s">
        <v>47</v>
      </c>
      <c r="AL52" s="45" t="s">
        <v>67</v>
      </c>
      <c r="AM52" s="198" t="str">
        <f t="shared" si="5"/>
        <v>4/2026</v>
      </c>
      <c r="AN52" s="45">
        <f t="shared" si="6"/>
        <v>3</v>
      </c>
      <c r="AO52" s="45" t="str">
        <f t="shared" si="7"/>
        <v>4/2026</v>
      </c>
      <c r="AP52" s="45">
        <f t="shared" si="8"/>
        <v>3</v>
      </c>
      <c r="AQ52" s="45">
        <f>IF(AU52="S",IF(Q52="1. Aceitou o programa",R52-B52,0),0)</f>
        <v>1</v>
      </c>
      <c r="AR52" s="45">
        <f>IF(AU52="S",IF(AND(S52&lt;&gt;"",R52&lt;&gt;""),S52-R52,0),0)</f>
        <v>0</v>
      </c>
      <c r="AS52" s="45">
        <f>IF(AU52="S",IF(Q52="1. Aceitou o programa",IF(OR(X52="Não se Aplica",X52=""),IF(OR(W52="Não se Aplica",W52=""),0,W52-V52),AVERAGE(X52-W52,W52-V52)),0),0)</f>
        <v>0</v>
      </c>
      <c r="AT52" s="45">
        <f>IF(AU52="S",IF(AND(Q52="1. Aceitou o programa",AB52="Realizada"),IFERROR(IF(AA52="",0,AA52-R52),0),0),0)</f>
        <v>11</v>
      </c>
      <c r="AU52" s="45" t="str">
        <f>_xlfn.XLOOKUP(U52,'Lista Suspensa'!$AA$20:$AA$23,'Lista Suspensa'!$AB$20:$AB$23,"N/A")</f>
        <v>S</v>
      </c>
    </row>
    <row r="53" spans="1:47" ht="12" hidden="1" customHeight="1">
      <c r="A53" s="87" t="s">
        <v>47</v>
      </c>
      <c r="B53" s="88">
        <v>46127</v>
      </c>
      <c r="C53" s="89" t="s">
        <v>48</v>
      </c>
      <c r="D53" s="89" t="s">
        <v>49</v>
      </c>
      <c r="E53" s="111">
        <v>89886202</v>
      </c>
      <c r="F53" s="220" t="s">
        <v>310</v>
      </c>
      <c r="G53" s="91" t="s">
        <v>311</v>
      </c>
      <c r="H53" s="92">
        <v>23442</v>
      </c>
      <c r="I53" s="89">
        <f t="shared" ca="1" si="4"/>
        <v>62</v>
      </c>
      <c r="J53" s="89" t="s">
        <v>70</v>
      </c>
      <c r="K53" s="89" t="s">
        <v>53</v>
      </c>
      <c r="L53" s="89" t="s">
        <v>112</v>
      </c>
      <c r="M53" s="89" t="s">
        <v>312</v>
      </c>
      <c r="N53" s="89">
        <v>380</v>
      </c>
      <c r="O53" s="93" t="s">
        <v>313</v>
      </c>
      <c r="P53" s="94" t="s">
        <v>93</v>
      </c>
      <c r="Q53" s="144" t="s">
        <v>143</v>
      </c>
      <c r="R53" s="95">
        <v>46128</v>
      </c>
      <c r="S53" s="96"/>
      <c r="T53" s="96" t="s">
        <v>60</v>
      </c>
      <c r="U53" s="96" t="s">
        <v>144</v>
      </c>
      <c r="V53" s="92">
        <v>46128</v>
      </c>
      <c r="W53" s="92" t="s">
        <v>95</v>
      </c>
      <c r="X53" s="92" t="s">
        <v>95</v>
      </c>
      <c r="Y53" s="97"/>
      <c r="Z53" s="89" t="s">
        <v>108</v>
      </c>
      <c r="AA53" s="96">
        <v>46136</v>
      </c>
      <c r="AB53" s="89" t="s">
        <v>145</v>
      </c>
      <c r="AC53" s="119"/>
      <c r="AD53" s="89"/>
      <c r="AE53" s="89"/>
      <c r="AF53" s="118" t="s">
        <v>82</v>
      </c>
      <c r="AG53" s="118" t="s">
        <v>97</v>
      </c>
      <c r="AH53" s="118"/>
      <c r="AI53" s="99"/>
      <c r="AJ53" s="99" t="s">
        <v>146</v>
      </c>
      <c r="AK53" s="99" t="s">
        <v>47</v>
      </c>
      <c r="AL53" s="45" t="s">
        <v>67</v>
      </c>
      <c r="AM53" s="198" t="str">
        <f t="shared" si="5"/>
        <v>4/2026</v>
      </c>
      <c r="AN53" s="45">
        <f t="shared" si="6"/>
        <v>3</v>
      </c>
      <c r="AO53" s="45" t="str">
        <f t="shared" si="7"/>
        <v>4/2026</v>
      </c>
      <c r="AP53" s="45">
        <f t="shared" si="8"/>
        <v>3</v>
      </c>
      <c r="AQ53" s="45">
        <f>IF(AU53="S",IF(Q53="1. Aceitou o programa",R53-B53,0),0)</f>
        <v>1</v>
      </c>
      <c r="AR53" s="45">
        <f>IF(AU53="S",IF(AND(S53&lt;&gt;"",R53&lt;&gt;""),S53-R53,0),0)</f>
        <v>0</v>
      </c>
      <c r="AS53" s="45">
        <f>IF(AU53="S",IF(Q53="1. Aceitou o programa",IF(OR(X53="Não se Aplica",X53=""),IF(OR(W53="Não se Aplica",W53=""),0,W53-V53),AVERAGE(X53-W53,W53-V53)),0),0)</f>
        <v>0</v>
      </c>
      <c r="AT53" s="45">
        <f>IF(AU53="S",IF(AND(Q53="1. Aceitou o programa",AB53="Realizada"),IFERROR(IF(AA53="",0,AA53-R53),0),0),0)</f>
        <v>0</v>
      </c>
      <c r="AU53" s="45" t="str">
        <f>_xlfn.XLOOKUP(U53,'Lista Suspensa'!$AA$20:$AA$23,'Lista Suspensa'!$AB$20:$AB$23,"N/A")</f>
        <v>S</v>
      </c>
    </row>
    <row r="54" spans="1:47" ht="12" hidden="1" customHeight="1">
      <c r="A54" s="87" t="s">
        <v>47</v>
      </c>
      <c r="B54" s="88">
        <v>46091</v>
      </c>
      <c r="C54" s="89" t="s">
        <v>48</v>
      </c>
      <c r="D54" s="89" t="s">
        <v>49</v>
      </c>
      <c r="E54" s="111">
        <v>805834630</v>
      </c>
      <c r="F54" s="220" t="s">
        <v>314</v>
      </c>
      <c r="G54" s="91" t="s">
        <v>315</v>
      </c>
      <c r="H54" s="92">
        <v>33137</v>
      </c>
      <c r="I54" s="89">
        <f t="shared" ca="1" si="4"/>
        <v>35</v>
      </c>
      <c r="J54" s="89" t="s">
        <v>52</v>
      </c>
      <c r="K54" s="89" t="s">
        <v>53</v>
      </c>
      <c r="L54" s="89" t="s">
        <v>54</v>
      </c>
      <c r="M54" s="89" t="s">
        <v>316</v>
      </c>
      <c r="N54" s="89" t="s">
        <v>317</v>
      </c>
      <c r="O54" s="93" t="s">
        <v>318</v>
      </c>
      <c r="P54" s="94" t="s">
        <v>58</v>
      </c>
      <c r="Q54" s="144" t="s">
        <v>143</v>
      </c>
      <c r="R54" s="95">
        <v>46140</v>
      </c>
      <c r="S54" s="96"/>
      <c r="T54" s="96" t="s">
        <v>60</v>
      </c>
      <c r="U54" s="96" t="s">
        <v>144</v>
      </c>
      <c r="V54" s="92">
        <v>46097</v>
      </c>
      <c r="W54" s="92">
        <v>45740</v>
      </c>
      <c r="X54" s="92">
        <v>46140</v>
      </c>
      <c r="Y54" s="97"/>
      <c r="Z54" s="89" t="s">
        <v>108</v>
      </c>
      <c r="AA54" s="96">
        <v>46108.666666319441</v>
      </c>
      <c r="AB54" s="89" t="s">
        <v>145</v>
      </c>
      <c r="AC54" s="119"/>
      <c r="AD54" s="89"/>
      <c r="AE54" s="89"/>
      <c r="AF54" s="118" t="s">
        <v>82</v>
      </c>
      <c r="AG54" s="118" t="s">
        <v>97</v>
      </c>
      <c r="AH54" s="118"/>
      <c r="AI54" s="99"/>
      <c r="AJ54" s="99" t="s">
        <v>146</v>
      </c>
      <c r="AK54" s="99" t="s">
        <v>47</v>
      </c>
      <c r="AL54" s="45" t="s">
        <v>67</v>
      </c>
      <c r="AM54" s="198" t="str">
        <f t="shared" si="5"/>
        <v>3/2026</v>
      </c>
      <c r="AN54" s="45">
        <f t="shared" si="6"/>
        <v>2</v>
      </c>
      <c r="AO54" s="45" t="str">
        <f t="shared" si="7"/>
        <v>4/2026</v>
      </c>
      <c r="AP54" s="45">
        <f t="shared" si="8"/>
        <v>5</v>
      </c>
      <c r="AQ54" s="45">
        <f>IF(AU54="S",IF(Q54="1. Aceitou o programa",R54-B54,0),0)</f>
        <v>49</v>
      </c>
      <c r="AR54" s="45">
        <f>IF(AU54="S",IF(AND(S54&lt;&gt;"",R54&lt;&gt;""),S54-R54,0),0)</f>
        <v>0</v>
      </c>
      <c r="AS54" s="45">
        <f>IF(AU54="S",IF(Q54="1. Aceitou o programa",IF(OR(X54="Não se Aplica",X54=""),IF(OR(W54="Não se Aplica",W54=""),0,W54-V54),AVERAGE(X54-W54,W54-V54)),0),0)</f>
        <v>21.5</v>
      </c>
      <c r="AT54" s="45">
        <f>IF(AU54="S",IF(AND(Q54="1. Aceitou o programa",AB54="Realizada"),IFERROR(IF(AA54="",0,AA54-R54),0),0),0)</f>
        <v>0</v>
      </c>
      <c r="AU54" s="45" t="str">
        <f>_xlfn.XLOOKUP(U54,'Lista Suspensa'!$AA$20:$AA$23,'Lista Suspensa'!$AB$20:$AB$23,"N/A")</f>
        <v>S</v>
      </c>
    </row>
    <row r="55" spans="1:47" ht="12" hidden="1" customHeight="1">
      <c r="A55" s="87" t="s">
        <v>47</v>
      </c>
      <c r="B55" s="88">
        <v>46127</v>
      </c>
      <c r="C55" s="89" t="s">
        <v>48</v>
      </c>
      <c r="D55" s="89" t="s">
        <v>49</v>
      </c>
      <c r="E55" s="111">
        <v>81217232</v>
      </c>
      <c r="F55" s="220" t="s">
        <v>319</v>
      </c>
      <c r="G55" s="91" t="s">
        <v>320</v>
      </c>
      <c r="H55" s="92">
        <v>22423</v>
      </c>
      <c r="I55" s="89">
        <f t="shared" ca="1" si="4"/>
        <v>65</v>
      </c>
      <c r="J55" s="89" t="s">
        <v>52</v>
      </c>
      <c r="K55" s="89" t="s">
        <v>53</v>
      </c>
      <c r="L55" s="89" t="s">
        <v>182</v>
      </c>
      <c r="M55" s="89" t="s">
        <v>321</v>
      </c>
      <c r="N55" s="89">
        <v>60</v>
      </c>
      <c r="O55" s="93" t="s">
        <v>322</v>
      </c>
      <c r="P55" s="94" t="s">
        <v>93</v>
      </c>
      <c r="Q55" s="144" t="s">
        <v>143</v>
      </c>
      <c r="R55" s="95">
        <v>46142</v>
      </c>
      <c r="S55" s="96"/>
      <c r="T55" s="96" t="s">
        <v>60</v>
      </c>
      <c r="U55" s="96" t="s">
        <v>144</v>
      </c>
      <c r="V55" s="92">
        <v>46128</v>
      </c>
      <c r="W55" s="92">
        <v>46140</v>
      </c>
      <c r="X55" s="92">
        <v>46141</v>
      </c>
      <c r="Y55" s="97"/>
      <c r="Z55" s="89" t="s">
        <v>323</v>
      </c>
      <c r="AA55" s="96">
        <v>46147</v>
      </c>
      <c r="AB55" s="89" t="s">
        <v>109</v>
      </c>
      <c r="AC55" s="119"/>
      <c r="AD55" s="89" t="s">
        <v>116</v>
      </c>
      <c r="AE55" s="89">
        <v>13</v>
      </c>
      <c r="AF55" s="118" t="s">
        <v>82</v>
      </c>
      <c r="AG55" s="118" t="s">
        <v>97</v>
      </c>
      <c r="AH55" s="118" t="s">
        <v>204</v>
      </c>
      <c r="AI55" s="99" t="s">
        <v>47</v>
      </c>
      <c r="AJ55" s="99" t="s">
        <v>146</v>
      </c>
      <c r="AK55" s="99" t="s">
        <v>47</v>
      </c>
      <c r="AL55" s="45" t="s">
        <v>67</v>
      </c>
      <c r="AM55" s="198" t="str">
        <f t="shared" si="5"/>
        <v>4/2026</v>
      </c>
      <c r="AN55" s="45">
        <f t="shared" si="6"/>
        <v>3</v>
      </c>
      <c r="AO55" s="45" t="str">
        <f t="shared" si="7"/>
        <v>4/2026</v>
      </c>
      <c r="AP55" s="45">
        <f t="shared" si="8"/>
        <v>5</v>
      </c>
      <c r="AQ55" s="45">
        <f>IF(AU55="S",IF(Q55="1. Aceitou o programa",R55-B55,0),0)</f>
        <v>15</v>
      </c>
      <c r="AR55" s="45">
        <f>IF(AU55="S",IF(AND(S55&lt;&gt;"",R55&lt;&gt;""),S55-R55,0),0)</f>
        <v>0</v>
      </c>
      <c r="AS55" s="45">
        <f>IF(AU55="S",IF(Q55="1. Aceitou o programa",IF(OR(X55="Não se Aplica",X55=""),IF(OR(W55="Não se Aplica",W55=""),0,W55-V55),AVERAGE(X55-W55,W55-V55)),0),0)</f>
        <v>6.5</v>
      </c>
      <c r="AT55" s="45">
        <f>IF(AU55="S",IF(AND(Q55="1. Aceitou o programa",AB55="Realizada"),IFERROR(IF(AA55="",0,AA55-R55),0),0),0)</f>
        <v>5</v>
      </c>
      <c r="AU55" s="45" t="str">
        <f>_xlfn.XLOOKUP(U55,'Lista Suspensa'!$AA$20:$AA$23,'Lista Suspensa'!$AB$20:$AB$23,"N/A")</f>
        <v>S</v>
      </c>
    </row>
    <row r="56" spans="1:47" ht="12" hidden="1" customHeight="1">
      <c r="A56" s="87" t="s">
        <v>47</v>
      </c>
      <c r="B56" s="88">
        <v>46127</v>
      </c>
      <c r="C56" s="89" t="s">
        <v>48</v>
      </c>
      <c r="D56" s="89" t="s">
        <v>49</v>
      </c>
      <c r="E56" s="111">
        <v>89962347</v>
      </c>
      <c r="F56" s="220" t="s">
        <v>324</v>
      </c>
      <c r="G56" s="91" t="s">
        <v>325</v>
      </c>
      <c r="H56" s="92">
        <v>28246</v>
      </c>
      <c r="I56" s="89">
        <f t="shared" ca="1" si="4"/>
        <v>49</v>
      </c>
      <c r="J56" s="89" t="s">
        <v>70</v>
      </c>
      <c r="K56" s="89" t="s">
        <v>53</v>
      </c>
      <c r="L56" s="89" t="s">
        <v>54</v>
      </c>
      <c r="M56" s="89" t="s">
        <v>326</v>
      </c>
      <c r="N56" s="89">
        <v>400</v>
      </c>
      <c r="O56" s="93" t="s">
        <v>327</v>
      </c>
      <c r="P56" s="94" t="s">
        <v>93</v>
      </c>
      <c r="Q56" s="144" t="s">
        <v>143</v>
      </c>
      <c r="R56" s="95">
        <v>46141</v>
      </c>
      <c r="S56" s="96"/>
      <c r="T56" s="96" t="s">
        <v>60</v>
      </c>
      <c r="U56" s="96" t="s">
        <v>144</v>
      </c>
      <c r="V56" s="92">
        <v>46128</v>
      </c>
      <c r="W56" s="92">
        <v>46140</v>
      </c>
      <c r="X56" s="92">
        <v>46141</v>
      </c>
      <c r="Y56" s="97"/>
      <c r="Z56" s="89" t="s">
        <v>108</v>
      </c>
      <c r="AA56" s="96" t="s">
        <v>328</v>
      </c>
      <c r="AB56" s="89" t="s">
        <v>109</v>
      </c>
      <c r="AC56" s="119"/>
      <c r="AD56" s="89" t="s">
        <v>116</v>
      </c>
      <c r="AE56" s="89">
        <v>5</v>
      </c>
      <c r="AF56" s="118" t="s">
        <v>96</v>
      </c>
      <c r="AG56" s="118" t="s">
        <v>97</v>
      </c>
      <c r="AH56" s="118" t="s">
        <v>204</v>
      </c>
      <c r="AI56" s="99" t="s">
        <v>47</v>
      </c>
      <c r="AJ56" s="99" t="s">
        <v>146</v>
      </c>
      <c r="AK56" s="99" t="s">
        <v>47</v>
      </c>
      <c r="AL56" s="45" t="s">
        <v>67</v>
      </c>
      <c r="AM56" s="198" t="str">
        <f t="shared" si="5"/>
        <v>4/2026</v>
      </c>
      <c r="AN56" s="45">
        <f t="shared" si="6"/>
        <v>3</v>
      </c>
      <c r="AO56" s="45" t="str">
        <f t="shared" si="7"/>
        <v>4/2026</v>
      </c>
      <c r="AP56" s="45">
        <f t="shared" si="8"/>
        <v>5</v>
      </c>
      <c r="AQ56" s="45">
        <f>IF(AU56="S",IF(Q56="1. Aceitou o programa",R56-B56,0),0)</f>
        <v>14</v>
      </c>
      <c r="AR56" s="45">
        <f>IF(AU56="S",IF(AND(S56&lt;&gt;"",R56&lt;&gt;""),S56-R56,0),0)</f>
        <v>0</v>
      </c>
      <c r="AS56" s="45">
        <f>IF(AU56="S",IF(Q56="1. Aceitou o programa",IF(OR(X56="Não se Aplica",X56=""),IF(OR(W56="Não se Aplica",W56=""),0,W56-V56),AVERAGE(X56-W56,W56-V56)),0),0)</f>
        <v>6.5</v>
      </c>
      <c r="AT56" s="45">
        <f>IF(AU56="S",IF(AND(Q56="1. Aceitou o programa",AB56="Realizada"),IFERROR(IF(AA56="",0,AA56-R56),0),0),0)</f>
        <v>0</v>
      </c>
      <c r="AU56" s="45" t="str">
        <f>_xlfn.XLOOKUP(U56,'Lista Suspensa'!$AA$20:$AA$23,'Lista Suspensa'!$AB$20:$AB$23,"N/A")</f>
        <v>S</v>
      </c>
    </row>
    <row r="57" spans="1:47" ht="12" hidden="1" customHeight="1">
      <c r="A57" s="87" t="s">
        <v>47</v>
      </c>
      <c r="B57" s="88">
        <v>46127</v>
      </c>
      <c r="C57" s="89" t="s">
        <v>48</v>
      </c>
      <c r="D57" s="89" t="s">
        <v>49</v>
      </c>
      <c r="E57" s="111">
        <v>82085091</v>
      </c>
      <c r="F57" s="220" t="s">
        <v>329</v>
      </c>
      <c r="G57" s="91" t="s">
        <v>330</v>
      </c>
      <c r="H57" s="92">
        <v>24685</v>
      </c>
      <c r="I57" s="89">
        <f t="shared" ca="1" si="4"/>
        <v>58</v>
      </c>
      <c r="J57" s="89" t="s">
        <v>52</v>
      </c>
      <c r="K57" s="89" t="s">
        <v>53</v>
      </c>
      <c r="L57" s="89" t="s">
        <v>54</v>
      </c>
      <c r="M57" s="89" t="s">
        <v>331</v>
      </c>
      <c r="N57" s="89">
        <v>750</v>
      </c>
      <c r="O57" s="93" t="s">
        <v>332</v>
      </c>
      <c r="P57" s="94" t="s">
        <v>93</v>
      </c>
      <c r="Q57" s="144" t="s">
        <v>81</v>
      </c>
      <c r="R57" s="95"/>
      <c r="S57" s="96">
        <v>46142</v>
      </c>
      <c r="T57" s="96" t="s">
        <v>60</v>
      </c>
      <c r="U57" s="96" t="s">
        <v>61</v>
      </c>
      <c r="V57" s="92">
        <v>46128</v>
      </c>
      <c r="W57" s="92">
        <v>46140</v>
      </c>
      <c r="X57" s="92" t="s">
        <v>95</v>
      </c>
      <c r="Y57" s="97"/>
      <c r="Z57" s="89" t="s">
        <v>108</v>
      </c>
      <c r="AA57" s="96">
        <v>46142</v>
      </c>
      <c r="AB57" s="89" t="s">
        <v>109</v>
      </c>
      <c r="AC57" s="119" t="s">
        <v>215</v>
      </c>
      <c r="AD57" s="89"/>
      <c r="AE57" s="89"/>
      <c r="AF57" s="118" t="s">
        <v>82</v>
      </c>
      <c r="AG57" s="118" t="s">
        <v>97</v>
      </c>
      <c r="AH57" s="118" t="s">
        <v>63</v>
      </c>
      <c r="AI57" s="99" t="s">
        <v>64</v>
      </c>
      <c r="AJ57" s="99" t="s">
        <v>65</v>
      </c>
      <c r="AK57" s="99"/>
      <c r="AL57" s="45" t="s">
        <v>67</v>
      </c>
      <c r="AM57" s="198" t="str">
        <f t="shared" si="5"/>
        <v>4/2026</v>
      </c>
      <c r="AN57" s="45">
        <f t="shared" si="6"/>
        <v>3</v>
      </c>
      <c r="AO57" s="45" t="str">
        <f t="shared" si="7"/>
        <v>1/1900</v>
      </c>
      <c r="AP57" s="45" t="e">
        <f t="shared" si="8"/>
        <v>#NUM!</v>
      </c>
      <c r="AQ57" s="45">
        <f>IF(AU57="S",IF(Q57="1. Aceitou o programa",R57-B57,0),0)</f>
        <v>0</v>
      </c>
      <c r="AR57" s="45">
        <f>IF(AU57="S",IF(AND(S57&lt;&gt;"",R57&lt;&gt;""),S57-R57,0),0)</f>
        <v>0</v>
      </c>
      <c r="AS57" s="45">
        <f>IF(AU57="S",IF(Q57="1. Aceitou o programa",IF(OR(X57="Não se Aplica",X57=""),IF(OR(W57="Não se Aplica",W57=""),0,W57-V57),AVERAGE(X57-W57,W57-V57)),0),0)</f>
        <v>0</v>
      </c>
      <c r="AT57" s="45">
        <f>IF(AU57="S",IF(AND(Q57="1. Aceitou o programa",AB57="Realizada"),IFERROR(IF(AA57="",0,AA57-R57),0),0),0)</f>
        <v>0</v>
      </c>
      <c r="AU57" s="45" t="str">
        <f>_xlfn.XLOOKUP(U57,'Lista Suspensa'!$AA$20:$AA$23,'Lista Suspensa'!$AB$20:$AB$23,"N/A")</f>
        <v>S</v>
      </c>
    </row>
    <row r="58" spans="1:47" ht="12" hidden="1" customHeight="1">
      <c r="A58" s="87" t="s">
        <v>47</v>
      </c>
      <c r="B58" s="88">
        <v>46127</v>
      </c>
      <c r="C58" s="89" t="s">
        <v>48</v>
      </c>
      <c r="D58" s="89" t="s">
        <v>49</v>
      </c>
      <c r="E58" s="111">
        <v>816654883</v>
      </c>
      <c r="F58" s="220" t="s">
        <v>333</v>
      </c>
      <c r="G58" s="91" t="s">
        <v>334</v>
      </c>
      <c r="H58" s="92">
        <v>17882</v>
      </c>
      <c r="I58" s="89">
        <f t="shared" ca="1" si="4"/>
        <v>77</v>
      </c>
      <c r="J58" s="89" t="s">
        <v>70</v>
      </c>
      <c r="K58" s="89" t="s">
        <v>53</v>
      </c>
      <c r="L58" s="89" t="s">
        <v>54</v>
      </c>
      <c r="M58" s="89" t="s">
        <v>335</v>
      </c>
      <c r="N58" s="89">
        <v>400</v>
      </c>
      <c r="O58" s="93" t="s">
        <v>336</v>
      </c>
      <c r="P58" s="94" t="s">
        <v>93</v>
      </c>
      <c r="Q58" s="144" t="s">
        <v>143</v>
      </c>
      <c r="R58" s="95">
        <v>46140</v>
      </c>
      <c r="S58" s="96"/>
      <c r="T58" s="96" t="s">
        <v>60</v>
      </c>
      <c r="U58" s="96" t="s">
        <v>144</v>
      </c>
      <c r="V58" s="92">
        <v>46128</v>
      </c>
      <c r="W58" s="92">
        <v>46140</v>
      </c>
      <c r="X58" s="92" t="s">
        <v>95</v>
      </c>
      <c r="Y58" s="97"/>
      <c r="Z58" s="89" t="s">
        <v>108</v>
      </c>
      <c r="AA58" s="96">
        <v>46142</v>
      </c>
      <c r="AB58" s="89" t="s">
        <v>145</v>
      </c>
      <c r="AC58" s="119"/>
      <c r="AD58" s="89"/>
      <c r="AE58" s="89"/>
      <c r="AF58" s="118" t="s">
        <v>82</v>
      </c>
      <c r="AG58" s="118" t="s">
        <v>97</v>
      </c>
      <c r="AH58" s="118"/>
      <c r="AI58" s="99"/>
      <c r="AJ58" s="99" t="s">
        <v>146</v>
      </c>
      <c r="AK58" s="99" t="s">
        <v>47</v>
      </c>
      <c r="AL58" s="45" t="s">
        <v>67</v>
      </c>
      <c r="AM58" s="198" t="str">
        <f t="shared" si="5"/>
        <v>4/2026</v>
      </c>
      <c r="AN58" s="45">
        <f t="shared" si="6"/>
        <v>3</v>
      </c>
      <c r="AO58" s="45" t="str">
        <f t="shared" si="7"/>
        <v>4/2026</v>
      </c>
      <c r="AP58" s="45">
        <f t="shared" si="8"/>
        <v>5</v>
      </c>
      <c r="AQ58" s="45">
        <f>IF(AU58="S",IF(Q58="1. Aceitou o programa",R58-B58,0),0)</f>
        <v>13</v>
      </c>
      <c r="AR58" s="45">
        <f>IF(AU58="S",IF(AND(S58&lt;&gt;"",R58&lt;&gt;""),S58-R58,0),0)</f>
        <v>0</v>
      </c>
      <c r="AS58" s="45">
        <f>IF(AU58="S",IF(Q58="1. Aceitou o programa",IF(OR(X58="Não se Aplica",X58=""),IF(OR(W58="Não se Aplica",W58=""),0,W58-V58),AVERAGE(X58-W58,W58-V58)),0),0)</f>
        <v>12</v>
      </c>
      <c r="AT58" s="45">
        <f>IF(AU58="S",IF(AND(Q58="1. Aceitou o programa",AB58="Realizada"),IFERROR(IF(AA58="",0,AA58-R58),0),0),0)</f>
        <v>0</v>
      </c>
      <c r="AU58" s="45" t="str">
        <f>_xlfn.XLOOKUP(U58,'Lista Suspensa'!$AA$20:$AA$23,'Lista Suspensa'!$AB$20:$AB$23,"N/A")</f>
        <v>S</v>
      </c>
    </row>
    <row r="59" spans="1:47" ht="12" hidden="1" customHeight="1">
      <c r="A59" s="87" t="s">
        <v>47</v>
      </c>
      <c r="B59" s="88">
        <v>46134</v>
      </c>
      <c r="C59" s="89" t="s">
        <v>48</v>
      </c>
      <c r="D59" s="89" t="s">
        <v>49</v>
      </c>
      <c r="E59" s="111">
        <v>424599660</v>
      </c>
      <c r="F59" s="220" t="s">
        <v>337</v>
      </c>
      <c r="G59" s="91" t="s">
        <v>338</v>
      </c>
      <c r="H59" s="92">
        <v>20968</v>
      </c>
      <c r="I59" s="89">
        <f t="shared" ca="1" si="4"/>
        <v>69</v>
      </c>
      <c r="J59" s="89" t="s">
        <v>52</v>
      </c>
      <c r="K59" s="89" t="s">
        <v>53</v>
      </c>
      <c r="L59" s="89" t="s">
        <v>54</v>
      </c>
      <c r="M59" s="89" t="s">
        <v>339</v>
      </c>
      <c r="N59" s="89">
        <v>400</v>
      </c>
      <c r="O59" s="93" t="s">
        <v>340</v>
      </c>
      <c r="P59" s="94" t="s">
        <v>93</v>
      </c>
      <c r="Q59" s="144" t="s">
        <v>94</v>
      </c>
      <c r="R59" s="96">
        <v>46141</v>
      </c>
      <c r="S59" s="96">
        <v>46153</v>
      </c>
      <c r="T59" s="96" t="s">
        <v>60</v>
      </c>
      <c r="U59" s="96" t="s">
        <v>61</v>
      </c>
      <c r="V59" s="92">
        <v>46140</v>
      </c>
      <c r="W59" s="92">
        <v>46141</v>
      </c>
      <c r="X59" s="92" t="s">
        <v>95</v>
      </c>
      <c r="Y59" s="97"/>
      <c r="Z59" s="89" t="s">
        <v>108</v>
      </c>
      <c r="AA59" s="96">
        <v>46153</v>
      </c>
      <c r="AB59" s="89" t="s">
        <v>109</v>
      </c>
      <c r="AC59" s="119">
        <v>46153</v>
      </c>
      <c r="AD59" s="89"/>
      <c r="AE59" s="89"/>
      <c r="AF59" s="118" t="s">
        <v>82</v>
      </c>
      <c r="AG59" s="118"/>
      <c r="AH59" s="118" t="s">
        <v>63</v>
      </c>
      <c r="AI59" s="99" t="s">
        <v>64</v>
      </c>
      <c r="AJ59" s="99" t="s">
        <v>65</v>
      </c>
      <c r="AK59" s="99"/>
      <c r="AL59" s="45" t="s">
        <v>67</v>
      </c>
      <c r="AM59" s="198" t="str">
        <f t="shared" si="5"/>
        <v>4/2026</v>
      </c>
      <c r="AN59" s="45">
        <f t="shared" si="6"/>
        <v>4</v>
      </c>
      <c r="AO59" s="45" t="str">
        <f t="shared" si="7"/>
        <v>4/2026</v>
      </c>
      <c r="AP59" s="45">
        <f t="shared" si="8"/>
        <v>5</v>
      </c>
      <c r="AQ59" s="45">
        <f>IF(AU59="S",IF(Q59="1. Aceitou o programa",R59-B59,0),0)</f>
        <v>0</v>
      </c>
      <c r="AR59" s="45">
        <f>IF(AU59="S",IF(AND(S59&lt;&gt;"",R59&lt;&gt;""),S59-R59,0),0)</f>
        <v>12</v>
      </c>
      <c r="AS59" s="45">
        <f>IF(AU59="S",IF(Q59="1. Aceitou o programa",IF(OR(X59="Não se Aplica",X59=""),IF(OR(W59="Não se Aplica",W59=""),0,W59-V59),AVERAGE(X59-W59,W59-V59)),0),0)</f>
        <v>0</v>
      </c>
      <c r="AT59" s="45">
        <f>IF(AU59="S",IF(AND(Q59="1. Aceitou o programa",AB59="Realizada"),IFERROR(IF(AA59="",0,AA59-R59),0),0),0)</f>
        <v>0</v>
      </c>
      <c r="AU59" s="45" t="str">
        <f>_xlfn.XLOOKUP(U59,'Lista Suspensa'!$AA$20:$AA$23,'Lista Suspensa'!$AB$20:$AB$23,"N/A")</f>
        <v>S</v>
      </c>
    </row>
    <row r="60" spans="1:47" ht="12" hidden="1" customHeight="1">
      <c r="A60" s="87" t="s">
        <v>47</v>
      </c>
      <c r="B60" s="88">
        <v>46139</v>
      </c>
      <c r="C60" s="89" t="s">
        <v>48</v>
      </c>
      <c r="D60" s="89" t="s">
        <v>49</v>
      </c>
      <c r="E60" s="111">
        <v>96443359</v>
      </c>
      <c r="F60" s="220" t="s">
        <v>341</v>
      </c>
      <c r="G60" s="91" t="s">
        <v>342</v>
      </c>
      <c r="H60" s="92">
        <v>18792</v>
      </c>
      <c r="I60" s="89">
        <f t="shared" ca="1" si="4"/>
        <v>75</v>
      </c>
      <c r="J60" s="89" t="s">
        <v>52</v>
      </c>
      <c r="K60" s="89" t="s">
        <v>53</v>
      </c>
      <c r="L60" s="89" t="s">
        <v>54</v>
      </c>
      <c r="M60" s="89" t="s">
        <v>343</v>
      </c>
      <c r="N60" s="89">
        <v>450</v>
      </c>
      <c r="O60" s="93" t="s">
        <v>344</v>
      </c>
      <c r="P60" s="94" t="s">
        <v>93</v>
      </c>
      <c r="Q60" s="144" t="s">
        <v>143</v>
      </c>
      <c r="R60" s="95">
        <v>46141</v>
      </c>
      <c r="S60" s="96"/>
      <c r="T60" s="96" t="s">
        <v>60</v>
      </c>
      <c r="U60" s="96" t="s">
        <v>144</v>
      </c>
      <c r="V60" s="92">
        <v>46140</v>
      </c>
      <c r="W60" s="92">
        <v>46141</v>
      </c>
      <c r="X60" s="92" t="s">
        <v>95</v>
      </c>
      <c r="Y60" s="97"/>
      <c r="Z60" s="89" t="s">
        <v>108</v>
      </c>
      <c r="AA60" s="96">
        <v>46147</v>
      </c>
      <c r="AB60" s="89" t="s">
        <v>109</v>
      </c>
      <c r="AC60" s="119"/>
      <c r="AD60" s="89" t="s">
        <v>116</v>
      </c>
      <c r="AE60" s="89">
        <v>0</v>
      </c>
      <c r="AF60" s="118" t="s">
        <v>248</v>
      </c>
      <c r="AG60" s="118" t="s">
        <v>97</v>
      </c>
      <c r="AH60" s="118" t="s">
        <v>204</v>
      </c>
      <c r="AI60" s="99"/>
      <c r="AJ60" s="99" t="s">
        <v>146</v>
      </c>
      <c r="AK60" s="99" t="s">
        <v>47</v>
      </c>
      <c r="AL60" s="45" t="s">
        <v>67</v>
      </c>
      <c r="AM60" s="198" t="str">
        <f t="shared" si="5"/>
        <v>4/2026</v>
      </c>
      <c r="AN60" s="45">
        <f t="shared" si="6"/>
        <v>5</v>
      </c>
      <c r="AO60" s="45" t="str">
        <f t="shared" si="7"/>
        <v>4/2026</v>
      </c>
      <c r="AP60" s="45">
        <f t="shared" si="8"/>
        <v>5</v>
      </c>
      <c r="AQ60" s="45">
        <f>IF(AU60="S",IF(Q60="1. Aceitou o programa",R60-B60,0),0)</f>
        <v>2</v>
      </c>
      <c r="AR60" s="45">
        <f>IF(AU60="S",IF(AND(S60&lt;&gt;"",R60&lt;&gt;""),S60-R60,0),0)</f>
        <v>0</v>
      </c>
      <c r="AS60" s="45">
        <f>IF(AU60="S",IF(Q60="1. Aceitou o programa",IF(OR(X60="Não se Aplica",X60=""),IF(OR(W60="Não se Aplica",W60=""),0,W60-V60),AVERAGE(X60-W60,W60-V60)),0),0)</f>
        <v>1</v>
      </c>
      <c r="AT60" s="45">
        <f>IF(AU60="S",IF(AND(Q60="1. Aceitou o programa",AB60="Realizada"),IFERROR(IF(AA60="",0,AA60-R60),0),0),0)</f>
        <v>6</v>
      </c>
      <c r="AU60" s="45" t="str">
        <f>_xlfn.XLOOKUP(U60,'Lista Suspensa'!$AA$20:$AA$23,'Lista Suspensa'!$AB$20:$AB$23,"N/A")</f>
        <v>S</v>
      </c>
    </row>
    <row r="61" spans="1:47" ht="12" hidden="1" customHeight="1">
      <c r="A61" s="87" t="s">
        <v>47</v>
      </c>
      <c r="B61" s="88">
        <v>46139</v>
      </c>
      <c r="C61" s="89" t="s">
        <v>48</v>
      </c>
      <c r="D61" s="89" t="s">
        <v>49</v>
      </c>
      <c r="E61" s="111">
        <v>89933823</v>
      </c>
      <c r="F61" s="220" t="s">
        <v>345</v>
      </c>
      <c r="G61" s="91" t="s">
        <v>346</v>
      </c>
      <c r="H61" s="92">
        <v>27974</v>
      </c>
      <c r="I61" s="89">
        <f t="shared" ca="1" si="4"/>
        <v>49</v>
      </c>
      <c r="J61" s="89" t="s">
        <v>52</v>
      </c>
      <c r="K61" s="89" t="s">
        <v>53</v>
      </c>
      <c r="L61" s="89" t="s">
        <v>54</v>
      </c>
      <c r="M61" s="89" t="s">
        <v>347</v>
      </c>
      <c r="N61" s="89">
        <v>750</v>
      </c>
      <c r="O61" s="93" t="s">
        <v>348</v>
      </c>
      <c r="P61" s="94" t="s">
        <v>93</v>
      </c>
      <c r="Q61" s="144" t="s">
        <v>349</v>
      </c>
      <c r="R61" s="95">
        <v>46140</v>
      </c>
      <c r="S61" s="96">
        <v>46183</v>
      </c>
      <c r="T61" s="96" t="s">
        <v>60</v>
      </c>
      <c r="U61" s="96" t="s">
        <v>61</v>
      </c>
      <c r="V61" s="92">
        <v>46140</v>
      </c>
      <c r="W61" s="92" t="s">
        <v>95</v>
      </c>
      <c r="X61" s="92" t="s">
        <v>95</v>
      </c>
      <c r="Y61" s="97"/>
      <c r="Z61" s="89" t="s">
        <v>108</v>
      </c>
      <c r="AA61" s="96">
        <v>46141</v>
      </c>
      <c r="AB61" s="89" t="s">
        <v>145</v>
      </c>
      <c r="AC61" s="119"/>
      <c r="AD61" s="89"/>
      <c r="AE61" s="89"/>
      <c r="AF61" s="118" t="s">
        <v>82</v>
      </c>
      <c r="AG61" s="118" t="s">
        <v>97</v>
      </c>
      <c r="AH61" s="118"/>
      <c r="AI61" s="99"/>
      <c r="AJ61" s="99" t="s">
        <v>65</v>
      </c>
      <c r="AK61" s="99"/>
      <c r="AL61" s="45" t="s">
        <v>67</v>
      </c>
      <c r="AM61" s="198" t="str">
        <f t="shared" si="5"/>
        <v>4/2026</v>
      </c>
      <c r="AN61" s="45">
        <f t="shared" si="6"/>
        <v>5</v>
      </c>
      <c r="AO61" s="45" t="str">
        <f t="shared" si="7"/>
        <v>4/2026</v>
      </c>
      <c r="AP61" s="45">
        <f t="shared" si="8"/>
        <v>5</v>
      </c>
      <c r="AQ61" s="45">
        <f>IF(AU61="S",IF(Q61="1. Aceitou o programa",R61-B61,0),0)</f>
        <v>0</v>
      </c>
      <c r="AR61" s="45">
        <f>IF(AU61="S",IF(AND(S61&lt;&gt;"",R61&lt;&gt;""),S61-R61,0),0)</f>
        <v>43</v>
      </c>
      <c r="AS61" s="45">
        <f>IF(AU61="S",IF(Q61="1. Aceitou o programa",IF(OR(X61="Não se Aplica",X61=""),IF(OR(W61="Não se Aplica",W61=""),0,W61-V61),AVERAGE(X61-W61,W61-V61)),0),0)</f>
        <v>0</v>
      </c>
      <c r="AT61" s="45">
        <f>IF(AU61="S",IF(AND(Q61="1. Aceitou o programa",AB61="Realizada"),IFERROR(IF(AA61="",0,AA61-R61),0),0),0)</f>
        <v>0</v>
      </c>
      <c r="AU61" s="45" t="str">
        <f>_xlfn.XLOOKUP(U61,'Lista Suspensa'!$AA$20:$AA$23,'Lista Suspensa'!$AB$20:$AB$23,"N/A")</f>
        <v>S</v>
      </c>
    </row>
    <row r="62" spans="1:47" ht="12" hidden="1" customHeight="1">
      <c r="A62" s="87" t="s">
        <v>47</v>
      </c>
      <c r="B62" s="88">
        <v>46134</v>
      </c>
      <c r="C62" s="89" t="s">
        <v>48</v>
      </c>
      <c r="D62" s="89" t="s">
        <v>49</v>
      </c>
      <c r="E62" s="111">
        <v>80996697</v>
      </c>
      <c r="F62" s="220" t="s">
        <v>350</v>
      </c>
      <c r="G62" s="91" t="s">
        <v>351</v>
      </c>
      <c r="H62" s="92">
        <v>33528</v>
      </c>
      <c r="I62" s="89">
        <f t="shared" ca="1" si="4"/>
        <v>34</v>
      </c>
      <c r="J62" s="89" t="s">
        <v>52</v>
      </c>
      <c r="K62" s="89" t="s">
        <v>53</v>
      </c>
      <c r="L62" s="89" t="s">
        <v>112</v>
      </c>
      <c r="M62" s="89" t="s">
        <v>352</v>
      </c>
      <c r="N62" s="89">
        <v>60</v>
      </c>
      <c r="O62" s="93" t="s">
        <v>353</v>
      </c>
      <c r="P62" s="94" t="s">
        <v>93</v>
      </c>
      <c r="Q62" s="144" t="s">
        <v>94</v>
      </c>
      <c r="R62" s="95">
        <v>46154</v>
      </c>
      <c r="S62" s="96">
        <v>46157</v>
      </c>
      <c r="T62" s="96" t="s">
        <v>60</v>
      </c>
      <c r="U62" s="96" t="s">
        <v>61</v>
      </c>
      <c r="V62" s="92">
        <v>46140</v>
      </c>
      <c r="W62" s="92">
        <v>46141</v>
      </c>
      <c r="X62" s="92">
        <v>46154</v>
      </c>
      <c r="Y62" s="97" t="s">
        <v>354</v>
      </c>
      <c r="Z62" s="89" t="s">
        <v>108</v>
      </c>
      <c r="AA62" s="96">
        <v>46157</v>
      </c>
      <c r="AB62" s="89" t="s">
        <v>109</v>
      </c>
      <c r="AC62" s="119"/>
      <c r="AD62" s="89"/>
      <c r="AE62" s="89"/>
      <c r="AF62" s="118" t="s">
        <v>82</v>
      </c>
      <c r="AG62" s="118"/>
      <c r="AH62" s="118" t="s">
        <v>63</v>
      </c>
      <c r="AI62" s="99" t="s">
        <v>64</v>
      </c>
      <c r="AJ62" s="99" t="s">
        <v>65</v>
      </c>
      <c r="AK62" s="99" t="s">
        <v>66</v>
      </c>
      <c r="AL62" s="45" t="s">
        <v>67</v>
      </c>
      <c r="AM62" s="198" t="str">
        <f t="shared" si="5"/>
        <v>4/2026</v>
      </c>
      <c r="AN62" s="45">
        <f t="shared" si="6"/>
        <v>4</v>
      </c>
      <c r="AO62" s="45" t="str">
        <f t="shared" si="7"/>
        <v>5/2026</v>
      </c>
      <c r="AP62" s="45">
        <f t="shared" si="8"/>
        <v>3</v>
      </c>
      <c r="AQ62" s="45">
        <f>IF(AU62="S",IF(Q62="1. Aceitou o programa",R62-B62,0),0)</f>
        <v>0</v>
      </c>
      <c r="AR62" s="45">
        <f>IF(AU62="S",IF(AND(S62&lt;&gt;"",R62&lt;&gt;""),S62-R62,0),0)</f>
        <v>3</v>
      </c>
      <c r="AS62" s="45">
        <f>IF(AU62="S",IF(Q62="1. Aceitou o programa",IF(OR(X62="Não se Aplica",X62=""),IF(OR(W62="Não se Aplica",W62=""),0,W62-V62),AVERAGE(X62-W62,W62-V62)),0),0)</f>
        <v>0</v>
      </c>
      <c r="AT62" s="45">
        <f>IF(AU62="S",IF(AND(Q62="1. Aceitou o programa",AB62="Realizada"),IFERROR(IF(AA62="",0,AA62-R62),0),0),0)</f>
        <v>0</v>
      </c>
      <c r="AU62" s="45" t="str">
        <f>_xlfn.XLOOKUP(U62,'Lista Suspensa'!$AA$20:$AA$23,'Lista Suspensa'!$AB$20:$AB$23,"N/A")</f>
        <v>S</v>
      </c>
    </row>
    <row r="63" spans="1:47" ht="12" hidden="1" customHeight="1">
      <c r="A63" s="87" t="s">
        <v>47</v>
      </c>
      <c r="B63" s="88">
        <v>46139</v>
      </c>
      <c r="C63" s="89" t="s">
        <v>48</v>
      </c>
      <c r="D63" s="89" t="s">
        <v>49</v>
      </c>
      <c r="E63" s="111">
        <v>78383448</v>
      </c>
      <c r="F63" s="220" t="s">
        <v>355</v>
      </c>
      <c r="G63" s="91" t="s">
        <v>356</v>
      </c>
      <c r="H63" s="92">
        <v>29104</v>
      </c>
      <c r="I63" s="89">
        <f t="shared" ca="1" si="4"/>
        <v>46</v>
      </c>
      <c r="J63" s="89" t="s">
        <v>52</v>
      </c>
      <c r="K63" s="89" t="s">
        <v>53</v>
      </c>
      <c r="L63" s="89" t="s">
        <v>54</v>
      </c>
      <c r="M63" s="89" t="s">
        <v>357</v>
      </c>
      <c r="N63" s="89">
        <v>500</v>
      </c>
      <c r="O63" s="93" t="s">
        <v>358</v>
      </c>
      <c r="P63" s="94" t="s">
        <v>93</v>
      </c>
      <c r="Q63" s="144" t="s">
        <v>74</v>
      </c>
      <c r="R63" s="95"/>
      <c r="S63" s="96">
        <v>46164</v>
      </c>
      <c r="T63" s="96" t="s">
        <v>75</v>
      </c>
      <c r="U63" s="96" t="s">
        <v>61</v>
      </c>
      <c r="V63" s="92">
        <v>46140</v>
      </c>
      <c r="W63" s="92">
        <v>46141</v>
      </c>
      <c r="X63" s="92">
        <v>46154</v>
      </c>
      <c r="Y63" s="97"/>
      <c r="Z63" s="89"/>
      <c r="AA63" s="96"/>
      <c r="AB63" s="89"/>
      <c r="AC63" s="119"/>
      <c r="AD63" s="89"/>
      <c r="AE63" s="89"/>
      <c r="AF63" s="118"/>
      <c r="AG63" s="118"/>
      <c r="AH63" s="118" t="s">
        <v>66</v>
      </c>
      <c r="AI63" s="99" t="s">
        <v>64</v>
      </c>
      <c r="AJ63" s="99" t="s">
        <v>65</v>
      </c>
      <c r="AK63" s="99" t="s">
        <v>64</v>
      </c>
      <c r="AL63" s="45" t="s">
        <v>67</v>
      </c>
      <c r="AM63" s="198" t="str">
        <f t="shared" si="5"/>
        <v>4/2026</v>
      </c>
      <c r="AN63" s="45">
        <f t="shared" si="6"/>
        <v>5</v>
      </c>
      <c r="AO63" s="45" t="str">
        <f t="shared" si="7"/>
        <v>1/1900</v>
      </c>
      <c r="AP63" s="45" t="e">
        <f t="shared" si="8"/>
        <v>#NUM!</v>
      </c>
      <c r="AQ63" s="45">
        <f>IF(AU63="S",IF(Q63="1. Aceitou o programa",R63-B63,0),0)</f>
        <v>0</v>
      </c>
      <c r="AR63" s="45">
        <f>IF(AU63="S",IF(AND(S63&lt;&gt;"",R63&lt;&gt;""),S63-R63,0),0)</f>
        <v>0</v>
      </c>
      <c r="AS63" s="45">
        <f>IF(AU63="S",IF(Q63="1. Aceitou o programa",IF(OR(X63="Não se Aplica",X63=""),IF(OR(W63="Não se Aplica",W63=""),0,W63-V63),AVERAGE(X63-W63,W63-V63)),0),0)</f>
        <v>0</v>
      </c>
      <c r="AT63" s="45">
        <f>IF(AU63="S",IF(AND(Q63="1. Aceitou o programa",AB63="Realizada"),IFERROR(IF(AA63="",0,AA63-R63),0),0),0)</f>
        <v>0</v>
      </c>
      <c r="AU63" s="45" t="str">
        <f>_xlfn.XLOOKUP(U63,'Lista Suspensa'!$AA$20:$AA$23,'Lista Suspensa'!$AB$20:$AB$23,"N/A")</f>
        <v>S</v>
      </c>
    </row>
    <row r="64" spans="1:47" ht="12" hidden="1" customHeight="1">
      <c r="A64" s="87" t="s">
        <v>47</v>
      </c>
      <c r="B64" s="88">
        <v>46139</v>
      </c>
      <c r="C64" s="89" t="s">
        <v>48</v>
      </c>
      <c r="D64" s="89" t="s">
        <v>49</v>
      </c>
      <c r="E64" s="111">
        <v>200029800</v>
      </c>
      <c r="F64" s="220" t="s">
        <v>359</v>
      </c>
      <c r="G64" s="91" t="s">
        <v>360</v>
      </c>
      <c r="H64" s="92">
        <v>23854</v>
      </c>
      <c r="I64" s="89">
        <f t="shared" ca="1" si="4"/>
        <v>61</v>
      </c>
      <c r="J64" s="89" t="s">
        <v>52</v>
      </c>
      <c r="K64" s="89" t="s">
        <v>53</v>
      </c>
      <c r="L64" s="89" t="s">
        <v>54</v>
      </c>
      <c r="M64" s="89" t="s">
        <v>169</v>
      </c>
      <c r="N64" s="89">
        <v>600</v>
      </c>
      <c r="O64" s="93" t="s">
        <v>361</v>
      </c>
      <c r="P64" s="94" t="s">
        <v>93</v>
      </c>
      <c r="Q64" s="144" t="s">
        <v>74</v>
      </c>
      <c r="R64" s="95"/>
      <c r="S64" s="96">
        <v>46164</v>
      </c>
      <c r="T64" s="96" t="s">
        <v>75</v>
      </c>
      <c r="U64" s="96" t="s">
        <v>61</v>
      </c>
      <c r="V64" s="92">
        <v>46140</v>
      </c>
      <c r="W64" s="92">
        <v>46141</v>
      </c>
      <c r="X64" s="92">
        <v>46154</v>
      </c>
      <c r="Y64" s="97"/>
      <c r="Z64" s="89"/>
      <c r="AA64" s="96"/>
      <c r="AB64" s="89"/>
      <c r="AC64" s="119"/>
      <c r="AD64" s="89"/>
      <c r="AE64" s="89"/>
      <c r="AF64" s="118"/>
      <c r="AG64" s="118"/>
      <c r="AH64" s="118" t="s">
        <v>66</v>
      </c>
      <c r="AI64" s="99" t="s">
        <v>64</v>
      </c>
      <c r="AJ64" s="99" t="s">
        <v>65</v>
      </c>
      <c r="AK64" s="99" t="s">
        <v>64</v>
      </c>
      <c r="AL64" s="45" t="s">
        <v>67</v>
      </c>
      <c r="AM64" s="198" t="str">
        <f t="shared" si="5"/>
        <v>4/2026</v>
      </c>
      <c r="AN64" s="45">
        <f t="shared" si="6"/>
        <v>5</v>
      </c>
      <c r="AO64" s="45" t="str">
        <f t="shared" si="7"/>
        <v>1/1900</v>
      </c>
      <c r="AP64" s="45" t="e">
        <f t="shared" si="8"/>
        <v>#NUM!</v>
      </c>
      <c r="AQ64" s="45">
        <f>IF(AU64="S",IF(Q64="1. Aceitou o programa",R64-B64,0),0)</f>
        <v>0</v>
      </c>
      <c r="AR64" s="45">
        <f>IF(AU64="S",IF(AND(S64&lt;&gt;"",R64&lt;&gt;""),S64-R64,0),0)</f>
        <v>0</v>
      </c>
      <c r="AS64" s="45">
        <f>IF(AU64="S",IF(Q64="1. Aceitou o programa",IF(OR(X64="Não se Aplica",X64=""),IF(OR(W64="Não se Aplica",W64=""),0,W64-V64),AVERAGE(X64-W64,W64-V64)),0),0)</f>
        <v>0</v>
      </c>
      <c r="AT64" s="45">
        <f>IF(AU64="S",IF(AND(Q64="1. Aceitou o programa",AB64="Realizada"),IFERROR(IF(AA64="",0,AA64-R64),0),0),0)</f>
        <v>0</v>
      </c>
      <c r="AU64" s="45" t="str">
        <f>_xlfn.XLOOKUP(U64,'Lista Suspensa'!$AA$20:$AA$23,'Lista Suspensa'!$AB$20:$AB$23,"N/A")</f>
        <v>S</v>
      </c>
    </row>
    <row r="65" spans="1:47" ht="12" hidden="1" customHeight="1">
      <c r="A65" s="87" t="s">
        <v>47</v>
      </c>
      <c r="B65" s="88">
        <v>46146</v>
      </c>
      <c r="C65" s="89" t="s">
        <v>48</v>
      </c>
      <c r="D65" s="89" t="s">
        <v>49</v>
      </c>
      <c r="E65" s="111">
        <v>595788076</v>
      </c>
      <c r="F65" s="220" t="s">
        <v>362</v>
      </c>
      <c r="G65" s="91" t="s">
        <v>363</v>
      </c>
      <c r="H65" s="92">
        <v>15490</v>
      </c>
      <c r="I65" s="89">
        <f t="shared" ca="1" si="4"/>
        <v>84</v>
      </c>
      <c r="J65" s="89" t="s">
        <v>52</v>
      </c>
      <c r="K65" s="89" t="s">
        <v>53</v>
      </c>
      <c r="L65" s="89" t="s">
        <v>271</v>
      </c>
      <c r="M65" s="89" t="s">
        <v>364</v>
      </c>
      <c r="N65" s="89">
        <v>50</v>
      </c>
      <c r="O65" s="93" t="s">
        <v>365</v>
      </c>
      <c r="P65" s="94" t="s">
        <v>93</v>
      </c>
      <c r="Q65" s="144" t="s">
        <v>74</v>
      </c>
      <c r="R65" s="95"/>
      <c r="S65" s="96">
        <v>46164</v>
      </c>
      <c r="T65" s="96" t="s">
        <v>75</v>
      </c>
      <c r="U65" s="96" t="s">
        <v>61</v>
      </c>
      <c r="V65" s="92">
        <v>46150</v>
      </c>
      <c r="W65" s="92">
        <v>46154</v>
      </c>
      <c r="X65" s="92">
        <v>46160</v>
      </c>
      <c r="Y65" s="97"/>
      <c r="Z65" s="89" t="s">
        <v>108</v>
      </c>
      <c r="AA65" s="96">
        <v>46155</v>
      </c>
      <c r="AB65" s="89"/>
      <c r="AC65" s="119"/>
      <c r="AD65" s="89"/>
      <c r="AE65" s="89"/>
      <c r="AF65" s="118"/>
      <c r="AG65" s="118"/>
      <c r="AH65" s="118" t="s">
        <v>66</v>
      </c>
      <c r="AI65" s="99" t="s">
        <v>64</v>
      </c>
      <c r="AJ65" s="99" t="s">
        <v>65</v>
      </c>
      <c r="AK65" s="99" t="s">
        <v>64</v>
      </c>
      <c r="AL65" s="45" t="s">
        <v>67</v>
      </c>
      <c r="AM65" s="198" t="str">
        <f t="shared" si="5"/>
        <v>5/2026</v>
      </c>
      <c r="AN65" s="45">
        <f t="shared" si="6"/>
        <v>2</v>
      </c>
      <c r="AO65" s="45" t="str">
        <f t="shared" si="7"/>
        <v>1/1900</v>
      </c>
      <c r="AP65" s="45" t="e">
        <f t="shared" si="8"/>
        <v>#NUM!</v>
      </c>
      <c r="AQ65" s="45">
        <f>IF(AU65="S",IF(Q65="1. Aceitou o programa",R65-B65,0),0)</f>
        <v>0</v>
      </c>
      <c r="AR65" s="45">
        <f>IF(AU65="S",IF(AND(S65&lt;&gt;"",R65&lt;&gt;""),S65-R65,0),0)</f>
        <v>0</v>
      </c>
      <c r="AS65" s="45">
        <f>IF(AU65="S",IF(Q65="1. Aceitou o programa",IF(OR(X65="Não se Aplica",X65=""),IF(OR(W65="Não se Aplica",W65=""),0,W65-V65),AVERAGE(X65-W65,W65-V65)),0),0)</f>
        <v>0</v>
      </c>
      <c r="AT65" s="45">
        <f>IF(AU65="S",IF(AND(Q65="1. Aceitou o programa",AB65="Realizada"),IFERROR(IF(AA65="",0,AA65-R65),0),0),0)</f>
        <v>0</v>
      </c>
      <c r="AU65" s="45" t="str">
        <f>_xlfn.XLOOKUP(U65,'Lista Suspensa'!$AA$20:$AA$23,'Lista Suspensa'!$AB$20:$AB$23,"N/A")</f>
        <v>S</v>
      </c>
    </row>
    <row r="66" spans="1:47" ht="12" hidden="1" customHeight="1">
      <c r="A66" s="87" t="s">
        <v>47</v>
      </c>
      <c r="B66" s="88">
        <v>46146</v>
      </c>
      <c r="C66" s="89" t="s">
        <v>48</v>
      </c>
      <c r="D66" s="89" t="s">
        <v>49</v>
      </c>
      <c r="E66" s="111">
        <v>227640683</v>
      </c>
      <c r="F66" s="220" t="s">
        <v>366</v>
      </c>
      <c r="G66" s="91" t="s">
        <v>367</v>
      </c>
      <c r="H66" s="92">
        <v>19026</v>
      </c>
      <c r="I66" s="89">
        <f t="shared" ref="I66:I118" ca="1" si="9">DATEDIF(H66, TODAY(), "Y")</f>
        <v>74</v>
      </c>
      <c r="J66" s="89" t="s">
        <v>52</v>
      </c>
      <c r="K66" s="89" t="s">
        <v>53</v>
      </c>
      <c r="L66" s="89" t="s">
        <v>54</v>
      </c>
      <c r="M66" s="89" t="s">
        <v>368</v>
      </c>
      <c r="N66" s="89">
        <v>600</v>
      </c>
      <c r="O66" s="93" t="s">
        <v>369</v>
      </c>
      <c r="P66" s="94" t="s">
        <v>93</v>
      </c>
      <c r="Q66" s="144" t="s">
        <v>74</v>
      </c>
      <c r="R66" s="95"/>
      <c r="S66" s="96">
        <v>46164</v>
      </c>
      <c r="T66" s="96" t="s">
        <v>75</v>
      </c>
      <c r="U66" s="96" t="s">
        <v>61</v>
      </c>
      <c r="V66" s="92">
        <v>46150</v>
      </c>
      <c r="W66" s="92">
        <v>46154</v>
      </c>
      <c r="X66" s="92">
        <v>46160</v>
      </c>
      <c r="Y66" s="97"/>
      <c r="Z66" s="89"/>
      <c r="AA66" s="96"/>
      <c r="AB66" s="89"/>
      <c r="AC66" s="119"/>
      <c r="AD66" s="89"/>
      <c r="AE66" s="89"/>
      <c r="AF66" s="118"/>
      <c r="AG66" s="118"/>
      <c r="AH66" s="118" t="s">
        <v>66</v>
      </c>
      <c r="AI66" s="99" t="s">
        <v>64</v>
      </c>
      <c r="AJ66" s="99" t="s">
        <v>65</v>
      </c>
      <c r="AK66" s="99" t="s">
        <v>64</v>
      </c>
      <c r="AL66" s="45" t="s">
        <v>67</v>
      </c>
      <c r="AM66" s="198" t="str">
        <f t="shared" ref="AM66:AM97" si="10">MONTH(B66)&amp;"/"&amp;YEAR(B66)</f>
        <v>5/2026</v>
      </c>
      <c r="AN66" s="45">
        <f t="shared" ref="AN66:AN97" si="11">WEEKNUM(B66)-WEEKNUM(EOMONTH(B66,-1)+1)+1</f>
        <v>2</v>
      </c>
      <c r="AO66" s="45" t="str">
        <f t="shared" ref="AO66:AO97" si="12">MONTH(R66)&amp;"/"&amp;YEAR(R66)</f>
        <v>1/1900</v>
      </c>
      <c r="AP66" s="45" t="e">
        <f t="shared" ref="AP66:AP97" si="13">WEEKNUM(R66)-WEEKNUM(EOMONTH(R66,-1)+1)+1</f>
        <v>#NUM!</v>
      </c>
      <c r="AQ66" s="45">
        <f>IF(AU66="S",IF(Q66="1. Aceitou o programa",R66-B66,0),0)</f>
        <v>0</v>
      </c>
      <c r="AR66" s="45">
        <f>IF(AU66="S",IF(AND(S66&lt;&gt;"",R66&lt;&gt;""),S66-R66,0),0)</f>
        <v>0</v>
      </c>
      <c r="AS66" s="45">
        <f>IF(AU66="S",IF(Q66="1. Aceitou o programa",IF(OR(X66="Não se Aplica",X66=""),IF(OR(W66="Não se Aplica",W66=""),0,W66-V66),AVERAGE(X66-W66,W66-V66)),0),0)</f>
        <v>0</v>
      </c>
      <c r="AT66" s="45">
        <f>IF(AU66="S",IF(AND(Q66="1. Aceitou o programa",AB66="Realizada"),IFERROR(IF(AA66="",0,AA66-R66),0),0),0)</f>
        <v>0</v>
      </c>
      <c r="AU66" s="45" t="str">
        <f>_xlfn.XLOOKUP(U66,'Lista Suspensa'!$AA$20:$AA$23,'Lista Suspensa'!$AB$20:$AB$23,"N/A")</f>
        <v>S</v>
      </c>
    </row>
    <row r="67" spans="1:47" ht="12" hidden="1" customHeight="1">
      <c r="A67" s="87" t="s">
        <v>47</v>
      </c>
      <c r="B67" s="88">
        <v>46146</v>
      </c>
      <c r="C67" s="89" t="s">
        <v>48</v>
      </c>
      <c r="D67" s="89" t="s">
        <v>49</v>
      </c>
      <c r="E67" s="111">
        <v>800311086</v>
      </c>
      <c r="F67" s="220" t="s">
        <v>370</v>
      </c>
      <c r="G67" s="91" t="s">
        <v>371</v>
      </c>
      <c r="H67" s="92">
        <v>22814</v>
      </c>
      <c r="I67" s="89">
        <f t="shared" ca="1" si="9"/>
        <v>64</v>
      </c>
      <c r="J67" s="89" t="s">
        <v>52</v>
      </c>
      <c r="K67" s="89" t="s">
        <v>53</v>
      </c>
      <c r="L67" s="89" t="s">
        <v>54</v>
      </c>
      <c r="M67" s="89" t="s">
        <v>372</v>
      </c>
      <c r="N67" s="89">
        <v>200</v>
      </c>
      <c r="O67" s="93" t="s">
        <v>373</v>
      </c>
      <c r="P67" s="94" t="s">
        <v>93</v>
      </c>
      <c r="Q67" s="144" t="s">
        <v>74</v>
      </c>
      <c r="R67" s="95"/>
      <c r="S67" s="96">
        <v>46164</v>
      </c>
      <c r="T67" s="96" t="s">
        <v>75</v>
      </c>
      <c r="U67" s="96" t="s">
        <v>61</v>
      </c>
      <c r="V67" s="92">
        <v>46150</v>
      </c>
      <c r="W67" s="92">
        <v>46154</v>
      </c>
      <c r="X67" s="92">
        <v>46160</v>
      </c>
      <c r="Y67" s="97"/>
      <c r="Z67" s="89"/>
      <c r="AA67" s="96"/>
      <c r="AB67" s="89"/>
      <c r="AC67" s="119"/>
      <c r="AD67" s="89"/>
      <c r="AE67" s="89"/>
      <c r="AF67" s="118"/>
      <c r="AG67" s="118"/>
      <c r="AH67" s="118" t="s">
        <v>66</v>
      </c>
      <c r="AI67" s="99" t="s">
        <v>64</v>
      </c>
      <c r="AJ67" s="99" t="s">
        <v>65</v>
      </c>
      <c r="AK67" s="99" t="s">
        <v>64</v>
      </c>
      <c r="AL67" s="45" t="s">
        <v>67</v>
      </c>
      <c r="AM67" s="198" t="str">
        <f t="shared" si="10"/>
        <v>5/2026</v>
      </c>
      <c r="AN67" s="45">
        <f t="shared" si="11"/>
        <v>2</v>
      </c>
      <c r="AO67" s="45" t="str">
        <f t="shared" si="12"/>
        <v>1/1900</v>
      </c>
      <c r="AP67" s="45" t="e">
        <f t="shared" si="13"/>
        <v>#NUM!</v>
      </c>
      <c r="AQ67" s="45">
        <f>IF(AU67="S",IF(Q67="1. Aceitou o programa",R67-B67,0),0)</f>
        <v>0</v>
      </c>
      <c r="AR67" s="45">
        <f>IF(AU67="S",IF(AND(S67&lt;&gt;"",R67&lt;&gt;""),S67-R67,0),0)</f>
        <v>0</v>
      </c>
      <c r="AS67" s="45">
        <f>IF(AU67="S",IF(Q67="1. Aceitou o programa",IF(OR(X67="Não se Aplica",X67=""),IF(OR(W67="Não se Aplica",W67=""),0,W67-V67),AVERAGE(X67-W67,W67-V67)),0),0)</f>
        <v>0</v>
      </c>
      <c r="AT67" s="45">
        <f>IF(AU67="S",IF(AND(Q67="1. Aceitou o programa",AB67="Realizada"),IFERROR(IF(AA67="",0,AA67-R67),0),0),0)</f>
        <v>0</v>
      </c>
      <c r="AU67" s="45" t="str">
        <f>_xlfn.XLOOKUP(U67,'Lista Suspensa'!$AA$20:$AA$23,'Lista Suspensa'!$AB$20:$AB$23,"N/A")</f>
        <v>S</v>
      </c>
    </row>
    <row r="68" spans="1:47" ht="12" hidden="1" customHeight="1">
      <c r="A68" s="87" t="s">
        <v>47</v>
      </c>
      <c r="B68" s="88">
        <v>46146</v>
      </c>
      <c r="C68" s="89" t="s">
        <v>48</v>
      </c>
      <c r="D68" s="89" t="s">
        <v>49</v>
      </c>
      <c r="E68" s="111">
        <v>77365570</v>
      </c>
      <c r="F68" s="220" t="s">
        <v>374</v>
      </c>
      <c r="G68" s="91" t="s">
        <v>375</v>
      </c>
      <c r="H68" s="92">
        <v>25588</v>
      </c>
      <c r="I68" s="89">
        <f t="shared" ca="1" si="9"/>
        <v>56</v>
      </c>
      <c r="J68" s="89" t="s">
        <v>52</v>
      </c>
      <c r="K68" s="89" t="s">
        <v>53</v>
      </c>
      <c r="L68" s="89" t="s">
        <v>54</v>
      </c>
      <c r="M68" s="89" t="s">
        <v>376</v>
      </c>
      <c r="N68" s="89">
        <v>700</v>
      </c>
      <c r="O68" s="93" t="s">
        <v>377</v>
      </c>
      <c r="P68" s="94" t="s">
        <v>93</v>
      </c>
      <c r="Q68" s="144" t="s">
        <v>143</v>
      </c>
      <c r="R68" s="95">
        <v>46163</v>
      </c>
      <c r="S68" s="96"/>
      <c r="T68" s="96" t="s">
        <v>60</v>
      </c>
      <c r="U68" s="96" t="s">
        <v>144</v>
      </c>
      <c r="V68" s="92">
        <v>46150</v>
      </c>
      <c r="W68" s="92">
        <v>46154</v>
      </c>
      <c r="X68" s="92">
        <v>46160</v>
      </c>
      <c r="Y68" s="97"/>
      <c r="Z68" s="89" t="s">
        <v>202</v>
      </c>
      <c r="AA68" s="96">
        <v>46170</v>
      </c>
      <c r="AB68" s="89" t="s">
        <v>109</v>
      </c>
      <c r="AC68" s="119"/>
      <c r="AD68" s="89" t="s">
        <v>203</v>
      </c>
      <c r="AE68" s="89"/>
      <c r="AF68" s="118"/>
      <c r="AG68" s="118"/>
      <c r="AH68" s="118"/>
      <c r="AI68" s="99"/>
      <c r="AJ68" s="99" t="s">
        <v>146</v>
      </c>
      <c r="AK68" s="99" t="s">
        <v>47</v>
      </c>
      <c r="AL68" s="45" t="s">
        <v>67</v>
      </c>
      <c r="AM68" s="198" t="str">
        <f t="shared" si="10"/>
        <v>5/2026</v>
      </c>
      <c r="AN68" s="45">
        <f t="shared" si="11"/>
        <v>2</v>
      </c>
      <c r="AO68" s="45" t="str">
        <f t="shared" si="12"/>
        <v>5/2026</v>
      </c>
      <c r="AP68" s="45">
        <f t="shared" si="13"/>
        <v>4</v>
      </c>
      <c r="AQ68" s="45">
        <f>IF(AU68="S",IF(Q68="1. Aceitou o programa",R68-B68,0),0)</f>
        <v>17</v>
      </c>
      <c r="AR68" s="45">
        <f>IF(AU68="S",IF(AND(S68&lt;&gt;"",R68&lt;&gt;""),S68-R68,0),0)</f>
        <v>0</v>
      </c>
      <c r="AS68" s="45">
        <f>IF(AU68="S",IF(Q68="1. Aceitou o programa",IF(OR(X68="Não se Aplica",X68=""),IF(OR(W68="Não se Aplica",W68=""),0,W68-V68),AVERAGE(X68-W68,W68-V68)),0),0)</f>
        <v>5</v>
      </c>
      <c r="AT68" s="45">
        <f>IF(AU68="S",IF(AND(Q68="1. Aceitou o programa",AB68="Realizada"),IFERROR(IF(AA68="",0,AA68-R68),0),0),0)</f>
        <v>7</v>
      </c>
      <c r="AU68" s="45" t="str">
        <f>_xlfn.XLOOKUP(U68,'Lista Suspensa'!$AA$20:$AA$23,'Lista Suspensa'!$AB$20:$AB$23,"N/A")</f>
        <v>S</v>
      </c>
    </row>
    <row r="69" spans="1:47" ht="12" hidden="1" customHeight="1">
      <c r="A69" s="87" t="s">
        <v>47</v>
      </c>
      <c r="B69" s="88">
        <v>46146</v>
      </c>
      <c r="C69" s="89" t="s">
        <v>48</v>
      </c>
      <c r="D69" s="89" t="s">
        <v>49</v>
      </c>
      <c r="E69" s="111">
        <v>82638086</v>
      </c>
      <c r="F69" s="220" t="s">
        <v>378</v>
      </c>
      <c r="G69" s="91" t="s">
        <v>379</v>
      </c>
      <c r="H69" s="92">
        <v>28234</v>
      </c>
      <c r="I69" s="89">
        <f t="shared" ca="1" si="9"/>
        <v>49</v>
      </c>
      <c r="J69" s="89" t="s">
        <v>52</v>
      </c>
      <c r="K69" s="89" t="s">
        <v>53</v>
      </c>
      <c r="L69" s="89" t="s">
        <v>54</v>
      </c>
      <c r="M69" s="89" t="s">
        <v>308</v>
      </c>
      <c r="N69" s="89">
        <v>750</v>
      </c>
      <c r="O69" s="93" t="s">
        <v>380</v>
      </c>
      <c r="P69" s="94" t="s">
        <v>93</v>
      </c>
      <c r="Q69" s="144" t="s">
        <v>74</v>
      </c>
      <c r="R69" s="95"/>
      <c r="S69" s="96">
        <v>46164</v>
      </c>
      <c r="T69" s="96" t="s">
        <v>75</v>
      </c>
      <c r="U69" s="96" t="s">
        <v>61</v>
      </c>
      <c r="V69" s="92">
        <v>46150</v>
      </c>
      <c r="W69" s="92">
        <v>46154</v>
      </c>
      <c r="X69" s="92">
        <v>46160</v>
      </c>
      <c r="Y69" s="97"/>
      <c r="Z69" s="89"/>
      <c r="AA69" s="96"/>
      <c r="AB69" s="89"/>
      <c r="AC69" s="119"/>
      <c r="AD69" s="89"/>
      <c r="AE69" s="89"/>
      <c r="AF69" s="118"/>
      <c r="AG69" s="118"/>
      <c r="AH69" s="118" t="s">
        <v>66</v>
      </c>
      <c r="AI69" s="99" t="s">
        <v>64</v>
      </c>
      <c r="AJ69" s="99" t="s">
        <v>65</v>
      </c>
      <c r="AK69" s="99" t="s">
        <v>64</v>
      </c>
      <c r="AL69" s="45" t="s">
        <v>67</v>
      </c>
      <c r="AM69" s="198" t="str">
        <f t="shared" si="10"/>
        <v>5/2026</v>
      </c>
      <c r="AN69" s="45">
        <f t="shared" si="11"/>
        <v>2</v>
      </c>
      <c r="AO69" s="45" t="str">
        <f t="shared" si="12"/>
        <v>1/1900</v>
      </c>
      <c r="AP69" s="45" t="e">
        <f t="shared" si="13"/>
        <v>#NUM!</v>
      </c>
      <c r="AQ69" s="45">
        <f>IF(AU69="S",IF(Q69="1. Aceitou o programa",R69-B69,0),0)</f>
        <v>0</v>
      </c>
      <c r="AR69" s="45">
        <f>IF(AU69="S",IF(AND(S69&lt;&gt;"",R69&lt;&gt;""),S69-R69,0),0)</f>
        <v>0</v>
      </c>
      <c r="AS69" s="45">
        <f>IF(AU69="S",IF(Q69="1. Aceitou o programa",IF(OR(X69="Não se Aplica",X69=""),IF(OR(W69="Não se Aplica",W69=""),0,W69-V69),AVERAGE(X69-W69,W69-V69)),0),0)</f>
        <v>0</v>
      </c>
      <c r="AT69" s="45">
        <f>IF(AU69="S",IF(AND(Q69="1. Aceitou o programa",AB69="Realizada"),IFERROR(IF(AA69="",0,AA69-R69),0),0),0)</f>
        <v>0</v>
      </c>
      <c r="AU69" s="45" t="str">
        <f>_xlfn.XLOOKUP(U69,'Lista Suspensa'!$AA$20:$AA$23,'Lista Suspensa'!$AB$20:$AB$23,"N/A")</f>
        <v>S</v>
      </c>
    </row>
    <row r="70" spans="1:47" ht="12" hidden="1" customHeight="1">
      <c r="A70" s="87" t="s">
        <v>47</v>
      </c>
      <c r="B70" s="88">
        <v>46146</v>
      </c>
      <c r="C70" s="89" t="s">
        <v>48</v>
      </c>
      <c r="D70" s="89" t="s">
        <v>49</v>
      </c>
      <c r="E70" s="111">
        <v>129973165</v>
      </c>
      <c r="F70" s="220" t="s">
        <v>381</v>
      </c>
      <c r="G70" s="91" t="s">
        <v>382</v>
      </c>
      <c r="H70" s="92">
        <v>17384</v>
      </c>
      <c r="I70" s="89">
        <f t="shared" ca="1" si="9"/>
        <v>78</v>
      </c>
      <c r="J70" s="89" t="s">
        <v>70</v>
      </c>
      <c r="K70" s="89" t="s">
        <v>53</v>
      </c>
      <c r="L70" s="89" t="s">
        <v>54</v>
      </c>
      <c r="M70" s="89" t="s">
        <v>383</v>
      </c>
      <c r="N70" s="89">
        <v>600</v>
      </c>
      <c r="O70" s="93" t="s">
        <v>384</v>
      </c>
      <c r="P70" s="94" t="s">
        <v>93</v>
      </c>
      <c r="Q70" s="144" t="s">
        <v>143</v>
      </c>
      <c r="R70" s="95">
        <v>46171</v>
      </c>
      <c r="S70" s="96"/>
      <c r="T70" s="96" t="s">
        <v>60</v>
      </c>
      <c r="U70" s="96" t="s">
        <v>144</v>
      </c>
      <c r="V70" s="92">
        <v>46150</v>
      </c>
      <c r="W70" s="92">
        <v>46154</v>
      </c>
      <c r="X70" s="92">
        <v>46160</v>
      </c>
      <c r="Y70" s="97"/>
      <c r="Z70" s="89" t="s">
        <v>108</v>
      </c>
      <c r="AA70" s="96">
        <v>46174</v>
      </c>
      <c r="AB70" s="89" t="s">
        <v>145</v>
      </c>
      <c r="AC70" s="119"/>
      <c r="AD70" s="119"/>
      <c r="AE70" s="119"/>
      <c r="AF70" s="118"/>
      <c r="AG70" s="118"/>
      <c r="AH70" s="118"/>
      <c r="AI70" s="99"/>
      <c r="AJ70" s="99" t="s">
        <v>146</v>
      </c>
      <c r="AK70" s="99" t="s">
        <v>47</v>
      </c>
      <c r="AL70" s="45" t="s">
        <v>67</v>
      </c>
      <c r="AM70" s="198" t="str">
        <f t="shared" si="10"/>
        <v>5/2026</v>
      </c>
      <c r="AN70" s="45">
        <f t="shared" si="11"/>
        <v>2</v>
      </c>
      <c r="AO70" s="45" t="str">
        <f t="shared" si="12"/>
        <v>5/2026</v>
      </c>
      <c r="AP70" s="45">
        <f t="shared" si="13"/>
        <v>5</v>
      </c>
      <c r="AQ70" s="45">
        <f>IF(AU70="S",IF(Q70="1. Aceitou o programa",R70-B70,0),0)</f>
        <v>25</v>
      </c>
      <c r="AR70" s="45">
        <f>IF(AU70="S",IF(AND(S70&lt;&gt;"",R70&lt;&gt;""),S70-R70,0),0)</f>
        <v>0</v>
      </c>
      <c r="AS70" s="45">
        <f>IF(AU70="S",IF(Q70="1. Aceitou o programa",IF(OR(X70="Não se Aplica",X70=""),IF(OR(W70="Não se Aplica",W70=""),0,W70-V70),AVERAGE(X70-W70,W70-V70)),0),0)</f>
        <v>5</v>
      </c>
      <c r="AT70" s="45">
        <f>IF(AU70="S",IF(AND(Q70="1. Aceitou o programa",AB70="Realizada"),IFERROR(IF(AA70="",0,AA70-R70),0),0),0)</f>
        <v>0</v>
      </c>
      <c r="AU70" s="45" t="str">
        <f>_xlfn.XLOOKUP(U70,'Lista Suspensa'!$AA$20:$AA$23,'Lista Suspensa'!$AB$20:$AB$23,"N/A")</f>
        <v>S</v>
      </c>
    </row>
    <row r="71" spans="1:47" ht="12" hidden="1" customHeight="1">
      <c r="A71" s="87" t="s">
        <v>47</v>
      </c>
      <c r="B71" s="88">
        <v>46146</v>
      </c>
      <c r="C71" s="89" t="s">
        <v>48</v>
      </c>
      <c r="D71" s="89" t="s">
        <v>49</v>
      </c>
      <c r="E71" s="111">
        <v>301430900</v>
      </c>
      <c r="F71" s="220" t="s">
        <v>385</v>
      </c>
      <c r="G71" s="91" t="s">
        <v>386</v>
      </c>
      <c r="H71" s="92">
        <v>14637</v>
      </c>
      <c r="I71" s="89">
        <f t="shared" ca="1" si="9"/>
        <v>86</v>
      </c>
      <c r="J71" s="89" t="s">
        <v>70</v>
      </c>
      <c r="K71" s="89" t="s">
        <v>53</v>
      </c>
      <c r="L71" s="89" t="s">
        <v>54</v>
      </c>
      <c r="M71" s="89" t="s">
        <v>387</v>
      </c>
      <c r="N71" s="89">
        <v>300</v>
      </c>
      <c r="O71" s="93" t="s">
        <v>388</v>
      </c>
      <c r="P71" s="94" t="s">
        <v>93</v>
      </c>
      <c r="Q71" s="144" t="s">
        <v>143</v>
      </c>
      <c r="R71" s="95">
        <v>46154</v>
      </c>
      <c r="S71" s="96"/>
      <c r="T71" s="96" t="s">
        <v>60</v>
      </c>
      <c r="U71" s="96" t="s">
        <v>144</v>
      </c>
      <c r="V71" s="92">
        <v>46150</v>
      </c>
      <c r="W71" s="92">
        <v>46154</v>
      </c>
      <c r="X71" s="92"/>
      <c r="Y71" s="97"/>
      <c r="Z71" s="89" t="s">
        <v>108</v>
      </c>
      <c r="AA71" s="96">
        <v>46156</v>
      </c>
      <c r="AB71" s="89" t="s">
        <v>109</v>
      </c>
      <c r="AC71" s="119"/>
      <c r="AD71" s="89" t="s">
        <v>116</v>
      </c>
      <c r="AE71" s="89">
        <v>1</v>
      </c>
      <c r="AF71" s="118" t="s">
        <v>248</v>
      </c>
      <c r="AG71" s="118" t="s">
        <v>97</v>
      </c>
      <c r="AH71" s="118" t="s">
        <v>204</v>
      </c>
      <c r="AI71" s="99"/>
      <c r="AJ71" s="99" t="s">
        <v>146</v>
      </c>
      <c r="AK71" s="99" t="s">
        <v>47</v>
      </c>
      <c r="AL71" s="45" t="s">
        <v>67</v>
      </c>
      <c r="AM71" s="198" t="str">
        <f t="shared" si="10"/>
        <v>5/2026</v>
      </c>
      <c r="AN71" s="45">
        <f t="shared" si="11"/>
        <v>2</v>
      </c>
      <c r="AO71" s="45" t="str">
        <f t="shared" si="12"/>
        <v>5/2026</v>
      </c>
      <c r="AP71" s="45">
        <f t="shared" si="13"/>
        <v>3</v>
      </c>
      <c r="AQ71" s="45">
        <f>IF(AU71="S",IF(Q71="1. Aceitou o programa",R71-B71,0),0)</f>
        <v>8</v>
      </c>
      <c r="AR71" s="45">
        <f>IF(AU71="S",IF(AND(S71&lt;&gt;"",R71&lt;&gt;""),S71-R71,0),0)</f>
        <v>0</v>
      </c>
      <c r="AS71" s="45">
        <f>IF(AU71="S",IF(Q71="1. Aceitou o programa",IF(OR(X71="Não se Aplica",X71=""),IF(OR(W71="Não se Aplica",W71=""),0,W71-V71),AVERAGE(X71-W71,W71-V71)),0),0)</f>
        <v>4</v>
      </c>
      <c r="AT71" s="45">
        <f>IF(AU71="S",IF(AND(Q71="1. Aceitou o programa",AB71="Realizada"),IFERROR(IF(AA71="",0,AA71-R71),0),0),0)</f>
        <v>2</v>
      </c>
      <c r="AU71" s="45" t="str">
        <f>_xlfn.XLOOKUP(U71,'Lista Suspensa'!$AA$20:$AA$23,'Lista Suspensa'!$AB$20:$AB$23,"N/A")</f>
        <v>S</v>
      </c>
    </row>
    <row r="72" spans="1:47" ht="12" hidden="1" customHeight="1">
      <c r="A72" s="87" t="s">
        <v>47</v>
      </c>
      <c r="B72" s="88">
        <v>46146</v>
      </c>
      <c r="C72" s="89" t="s">
        <v>48</v>
      </c>
      <c r="D72" s="89" t="s">
        <v>49</v>
      </c>
      <c r="E72" s="111">
        <v>20328630</v>
      </c>
      <c r="F72" s="220" t="s">
        <v>389</v>
      </c>
      <c r="G72" s="91" t="s">
        <v>390</v>
      </c>
      <c r="H72" s="92">
        <v>16081</v>
      </c>
      <c r="I72" s="89">
        <f t="shared" ca="1" si="9"/>
        <v>82</v>
      </c>
      <c r="J72" s="89" t="s">
        <v>70</v>
      </c>
      <c r="K72" s="89" t="s">
        <v>53</v>
      </c>
      <c r="L72" s="89" t="s">
        <v>112</v>
      </c>
      <c r="M72" s="89" t="s">
        <v>391</v>
      </c>
      <c r="N72" s="89">
        <v>600</v>
      </c>
      <c r="O72" s="93" t="s">
        <v>392</v>
      </c>
      <c r="P72" s="94" t="s">
        <v>93</v>
      </c>
      <c r="Q72" s="144" t="s">
        <v>143</v>
      </c>
      <c r="R72" s="95">
        <v>46163</v>
      </c>
      <c r="S72" s="96"/>
      <c r="T72" s="96" t="s">
        <v>60</v>
      </c>
      <c r="U72" s="96" t="s">
        <v>144</v>
      </c>
      <c r="V72" s="92">
        <v>46150</v>
      </c>
      <c r="W72" s="92">
        <v>46154</v>
      </c>
      <c r="X72" s="92">
        <v>46160</v>
      </c>
      <c r="Y72" s="97"/>
      <c r="Z72" s="89" t="s">
        <v>108</v>
      </c>
      <c r="AA72" s="96"/>
      <c r="AB72" s="89" t="s">
        <v>109</v>
      </c>
      <c r="AC72" s="119"/>
      <c r="AD72" s="89" t="s">
        <v>116</v>
      </c>
      <c r="AE72" s="89">
        <v>6</v>
      </c>
      <c r="AF72" s="118"/>
      <c r="AG72" s="118"/>
      <c r="AH72" s="118" t="s">
        <v>204</v>
      </c>
      <c r="AI72" s="99"/>
      <c r="AJ72" s="99" t="s">
        <v>146</v>
      </c>
      <c r="AK72" s="99" t="s">
        <v>47</v>
      </c>
      <c r="AL72" s="45" t="s">
        <v>67</v>
      </c>
      <c r="AM72" s="198" t="str">
        <f t="shared" si="10"/>
        <v>5/2026</v>
      </c>
      <c r="AN72" s="45">
        <f t="shared" si="11"/>
        <v>2</v>
      </c>
      <c r="AO72" s="45" t="str">
        <f t="shared" si="12"/>
        <v>5/2026</v>
      </c>
      <c r="AP72" s="45">
        <f t="shared" si="13"/>
        <v>4</v>
      </c>
      <c r="AQ72" s="45">
        <f>IF(AU72="S",IF(Q72="1. Aceitou o programa",R72-B72,0),0)</f>
        <v>17</v>
      </c>
      <c r="AR72" s="45">
        <f>IF(AU72="S",IF(AND(S72&lt;&gt;"",R72&lt;&gt;""),S72-R72,0),0)</f>
        <v>0</v>
      </c>
      <c r="AS72" s="45">
        <f>IF(AU72="S",IF(Q72="1. Aceitou o programa",IF(OR(X72="Não se Aplica",X72=""),IF(OR(W72="Não se Aplica",W72=""),0,W72-V72),AVERAGE(X72-W72,W72-V72)),0),0)</f>
        <v>5</v>
      </c>
      <c r="AT72" s="45">
        <f>IF(AU72="S",IF(AND(Q72="1. Aceitou o programa",AB72="Realizada"),IFERROR(IF(AA72="",0,AA72-R72),0),0),0)</f>
        <v>0</v>
      </c>
      <c r="AU72" s="45" t="str">
        <f>_xlfn.XLOOKUP(U72,'Lista Suspensa'!$AA$20:$AA$23,'Lista Suspensa'!$AB$20:$AB$23,"N/A")</f>
        <v>S</v>
      </c>
    </row>
    <row r="73" spans="1:47" ht="12" hidden="1" customHeight="1">
      <c r="A73" s="87" t="s">
        <v>47</v>
      </c>
      <c r="B73" s="88">
        <v>46146</v>
      </c>
      <c r="C73" s="89" t="s">
        <v>48</v>
      </c>
      <c r="D73" s="89" t="s">
        <v>49</v>
      </c>
      <c r="E73" s="111">
        <v>448587858</v>
      </c>
      <c r="F73" s="220" t="s">
        <v>393</v>
      </c>
      <c r="G73" s="91" t="s">
        <v>394</v>
      </c>
      <c r="H73" s="92">
        <v>30719</v>
      </c>
      <c r="I73" s="89">
        <f t="shared" ca="1" si="9"/>
        <v>42</v>
      </c>
      <c r="J73" s="89" t="s">
        <v>52</v>
      </c>
      <c r="K73" s="89" t="s">
        <v>53</v>
      </c>
      <c r="L73" s="89" t="s">
        <v>54</v>
      </c>
      <c r="M73" s="89" t="s">
        <v>395</v>
      </c>
      <c r="N73" s="89">
        <v>500</v>
      </c>
      <c r="O73" s="93" t="s">
        <v>396</v>
      </c>
      <c r="P73" s="94" t="s">
        <v>93</v>
      </c>
      <c r="Q73" s="144" t="s">
        <v>143</v>
      </c>
      <c r="R73" s="95">
        <v>46163</v>
      </c>
      <c r="S73" s="96"/>
      <c r="T73" s="96" t="s">
        <v>60</v>
      </c>
      <c r="U73" s="96" t="s">
        <v>144</v>
      </c>
      <c r="V73" s="92">
        <v>46150</v>
      </c>
      <c r="W73" s="92">
        <v>46154</v>
      </c>
      <c r="X73" s="92">
        <v>46160</v>
      </c>
      <c r="Y73" s="97"/>
      <c r="Z73" s="89" t="s">
        <v>108</v>
      </c>
      <c r="AA73" s="96">
        <v>46185</v>
      </c>
      <c r="AB73" s="89"/>
      <c r="AC73" s="119"/>
      <c r="AD73" s="89" t="s">
        <v>203</v>
      </c>
      <c r="AE73" s="89"/>
      <c r="AF73" s="118"/>
      <c r="AG73" s="118"/>
      <c r="AH73" s="118"/>
      <c r="AI73" s="99"/>
      <c r="AJ73" s="99" t="s">
        <v>146</v>
      </c>
      <c r="AK73" s="99" t="s">
        <v>47</v>
      </c>
      <c r="AL73" s="45" t="s">
        <v>67</v>
      </c>
      <c r="AM73" s="198" t="str">
        <f t="shared" si="10"/>
        <v>5/2026</v>
      </c>
      <c r="AN73" s="45">
        <f t="shared" si="11"/>
        <v>2</v>
      </c>
      <c r="AO73" s="45" t="str">
        <f t="shared" si="12"/>
        <v>5/2026</v>
      </c>
      <c r="AP73" s="45">
        <f t="shared" si="13"/>
        <v>4</v>
      </c>
      <c r="AQ73" s="45">
        <f>IF(AU73="S",IF(Q73="1. Aceitou o programa",R73-B73,0),0)</f>
        <v>17</v>
      </c>
      <c r="AR73" s="45">
        <f>IF(AU73="S",IF(AND(S73&lt;&gt;"",R73&lt;&gt;""),S73-R73,0),0)</f>
        <v>0</v>
      </c>
      <c r="AS73" s="45">
        <f>IF(AU73="S",IF(Q73="1. Aceitou o programa",IF(OR(X73="Não se Aplica",X73=""),IF(OR(W73="Não se Aplica",W73=""),0,W73-V73),AVERAGE(X73-W73,W73-V73)),0),0)</f>
        <v>5</v>
      </c>
      <c r="AT73" s="45">
        <f>IF(AU73="S",IF(AND(Q73="1. Aceitou o programa",AB73="Realizada"),IFERROR(IF(AA73="",0,AA73-R73),0),0),0)</f>
        <v>0</v>
      </c>
      <c r="AU73" s="45" t="str">
        <f>_xlfn.XLOOKUP(U73,'Lista Suspensa'!$AA$20:$AA$23,'Lista Suspensa'!$AB$20:$AB$23,"N/A")</f>
        <v>S</v>
      </c>
    </row>
    <row r="74" spans="1:47" ht="12" hidden="1" customHeight="1">
      <c r="A74" s="87" t="s">
        <v>47</v>
      </c>
      <c r="B74" s="88">
        <v>46153</v>
      </c>
      <c r="C74" s="89" t="s">
        <v>48</v>
      </c>
      <c r="D74" s="89" t="s">
        <v>49</v>
      </c>
      <c r="E74" s="111">
        <v>96548349</v>
      </c>
      <c r="F74" s="220" t="s">
        <v>397</v>
      </c>
      <c r="G74" s="91" t="s">
        <v>398</v>
      </c>
      <c r="H74" s="92">
        <v>22798</v>
      </c>
      <c r="I74" s="89">
        <f t="shared" ca="1" si="9"/>
        <v>64</v>
      </c>
      <c r="J74" s="89" t="s">
        <v>52</v>
      </c>
      <c r="K74" s="89" t="s">
        <v>53</v>
      </c>
      <c r="L74" s="89" t="s">
        <v>54</v>
      </c>
      <c r="M74" s="89" t="s">
        <v>399</v>
      </c>
      <c r="N74" s="89">
        <v>110</v>
      </c>
      <c r="O74" s="93" t="s">
        <v>400</v>
      </c>
      <c r="P74" s="94" t="s">
        <v>93</v>
      </c>
      <c r="Q74" s="144" t="s">
        <v>94</v>
      </c>
      <c r="R74" s="95">
        <v>46163</v>
      </c>
      <c r="S74" s="96">
        <v>46171</v>
      </c>
      <c r="T74" s="96" t="s">
        <v>60</v>
      </c>
      <c r="U74" s="96" t="s">
        <v>61</v>
      </c>
      <c r="V74" s="92">
        <v>46154</v>
      </c>
      <c r="W74" s="92">
        <v>46160</v>
      </c>
      <c r="X74" s="92"/>
      <c r="Y74" s="97"/>
      <c r="Z74" s="89"/>
      <c r="AA74" s="96">
        <v>46164</v>
      </c>
      <c r="AB74" s="89" t="s">
        <v>109</v>
      </c>
      <c r="AC74" s="119"/>
      <c r="AD74" s="89" t="s">
        <v>116</v>
      </c>
      <c r="AE74" s="89" t="s">
        <v>401</v>
      </c>
      <c r="AF74" s="118" t="s">
        <v>82</v>
      </c>
      <c r="AG74" s="118"/>
      <c r="AH74" s="118" t="s">
        <v>63</v>
      </c>
      <c r="AI74" s="99" t="s">
        <v>64</v>
      </c>
      <c r="AJ74" s="99" t="s">
        <v>65</v>
      </c>
      <c r="AK74" s="99" t="s">
        <v>66</v>
      </c>
      <c r="AL74" s="45" t="s">
        <v>67</v>
      </c>
      <c r="AM74" s="198" t="str">
        <f t="shared" si="10"/>
        <v>5/2026</v>
      </c>
      <c r="AN74" s="45">
        <f t="shared" si="11"/>
        <v>3</v>
      </c>
      <c r="AO74" s="45" t="str">
        <f t="shared" si="12"/>
        <v>5/2026</v>
      </c>
      <c r="AP74" s="45">
        <f t="shared" si="13"/>
        <v>4</v>
      </c>
      <c r="AQ74" s="45">
        <f>IF(AU74="S",IF(Q74="1. Aceitou o programa",R74-B74,0),0)</f>
        <v>0</v>
      </c>
      <c r="AR74" s="45">
        <f>IF(AU74="S",IF(AND(S74&lt;&gt;"",R74&lt;&gt;""),S74-R74,0),0)</f>
        <v>8</v>
      </c>
      <c r="AS74" s="45">
        <f>IF(AU74="S",IF(Q74="1. Aceitou o programa",IF(OR(X74="Não se Aplica",X74=""),IF(OR(W74="Não se Aplica",W74=""),0,W74-V74),AVERAGE(X74-W74,W74-V74)),0),0)</f>
        <v>0</v>
      </c>
      <c r="AT74" s="45">
        <f>IF(AU74="S",IF(AND(Q74="1. Aceitou o programa",AB74="Realizada"),IFERROR(IF(AA74="",0,AA74-R74),0),0),0)</f>
        <v>0</v>
      </c>
      <c r="AU74" s="45" t="str">
        <f>_xlfn.XLOOKUP(U74,'Lista Suspensa'!$AA$20:$AA$23,'Lista Suspensa'!$AB$20:$AB$23,"N/A")</f>
        <v>S</v>
      </c>
    </row>
    <row r="75" spans="1:47" ht="12" hidden="1" customHeight="1">
      <c r="A75" s="87" t="s">
        <v>47</v>
      </c>
      <c r="B75" s="88">
        <v>46153</v>
      </c>
      <c r="C75" s="89" t="s">
        <v>48</v>
      </c>
      <c r="D75" s="89" t="s">
        <v>49</v>
      </c>
      <c r="E75" s="111">
        <v>87187633</v>
      </c>
      <c r="F75" s="220" t="s">
        <v>402</v>
      </c>
      <c r="G75" s="91" t="s">
        <v>403</v>
      </c>
      <c r="H75" s="92">
        <v>20661</v>
      </c>
      <c r="I75" s="89">
        <f t="shared" ca="1" si="9"/>
        <v>69</v>
      </c>
      <c r="J75" s="89" t="s">
        <v>52</v>
      </c>
      <c r="K75" s="89" t="s">
        <v>53</v>
      </c>
      <c r="L75" s="89" t="s">
        <v>54</v>
      </c>
      <c r="M75" s="89" t="s">
        <v>404</v>
      </c>
      <c r="N75" s="89">
        <v>450</v>
      </c>
      <c r="O75" s="93" t="s">
        <v>405</v>
      </c>
      <c r="P75" s="94" t="s">
        <v>93</v>
      </c>
      <c r="Q75" s="144" t="s">
        <v>143</v>
      </c>
      <c r="R75" s="95">
        <v>46164</v>
      </c>
      <c r="S75" s="96"/>
      <c r="T75" s="96" t="s">
        <v>60</v>
      </c>
      <c r="U75" s="96" t="s">
        <v>144</v>
      </c>
      <c r="V75" s="92">
        <v>46154</v>
      </c>
      <c r="W75" s="92">
        <v>46160</v>
      </c>
      <c r="X75" s="92">
        <v>46164</v>
      </c>
      <c r="Y75" s="97"/>
      <c r="Z75" s="89" t="s">
        <v>108</v>
      </c>
      <c r="AA75" s="96">
        <v>46149</v>
      </c>
      <c r="AB75" s="89" t="s">
        <v>145</v>
      </c>
      <c r="AC75" s="119">
        <v>46184</v>
      </c>
      <c r="AD75" s="89"/>
      <c r="AE75" s="89"/>
      <c r="AF75" s="118"/>
      <c r="AG75" s="118"/>
      <c r="AH75" s="118"/>
      <c r="AI75" s="99"/>
      <c r="AJ75" s="99" t="s">
        <v>146</v>
      </c>
      <c r="AK75" s="99" t="s">
        <v>47</v>
      </c>
      <c r="AL75" s="45" t="s">
        <v>67</v>
      </c>
      <c r="AM75" s="198" t="str">
        <f t="shared" si="10"/>
        <v>5/2026</v>
      </c>
      <c r="AN75" s="45">
        <f t="shared" si="11"/>
        <v>3</v>
      </c>
      <c r="AO75" s="45" t="str">
        <f t="shared" si="12"/>
        <v>5/2026</v>
      </c>
      <c r="AP75" s="45">
        <f t="shared" si="13"/>
        <v>4</v>
      </c>
      <c r="AQ75" s="45">
        <f>IF(AU75="S",IF(Q75="1. Aceitou o programa",R75-B75,0),0)</f>
        <v>11</v>
      </c>
      <c r="AR75" s="45">
        <f>IF(AU75="S",IF(AND(S75&lt;&gt;"",R75&lt;&gt;""),S75-R75,0),0)</f>
        <v>0</v>
      </c>
      <c r="AS75" s="45">
        <f>IF(AU75="S",IF(Q75="1. Aceitou o programa",IF(OR(X75="Não se Aplica",X75=""),IF(OR(W75="Não se Aplica",W75=""),0,W75-V75),AVERAGE(X75-W75,W75-V75)),0),0)</f>
        <v>5</v>
      </c>
      <c r="AT75" s="45">
        <f>IF(AU75="S",IF(AND(Q75="1. Aceitou o programa",AB75="Realizada"),IFERROR(IF(AA75="",0,AA75-R75),0),0),0)</f>
        <v>0</v>
      </c>
      <c r="AU75" s="45" t="str">
        <f>_xlfn.XLOOKUP(U75,'Lista Suspensa'!$AA$20:$AA$23,'Lista Suspensa'!$AB$20:$AB$23,"N/A")</f>
        <v>S</v>
      </c>
    </row>
    <row r="76" spans="1:47" ht="12" hidden="1" customHeight="1">
      <c r="A76" s="87" t="s">
        <v>47</v>
      </c>
      <c r="B76" s="88">
        <v>46153</v>
      </c>
      <c r="C76" s="89" t="s">
        <v>48</v>
      </c>
      <c r="D76" s="89" t="s">
        <v>49</v>
      </c>
      <c r="E76" s="111">
        <v>84884870</v>
      </c>
      <c r="F76" s="220" t="s">
        <v>406</v>
      </c>
      <c r="G76" s="91" t="s">
        <v>407</v>
      </c>
      <c r="H76" s="92">
        <v>34600</v>
      </c>
      <c r="I76" s="89">
        <f t="shared" ca="1" si="9"/>
        <v>31</v>
      </c>
      <c r="J76" s="89" t="s">
        <v>52</v>
      </c>
      <c r="K76" s="89" t="s">
        <v>53</v>
      </c>
      <c r="L76" s="89" t="s">
        <v>54</v>
      </c>
      <c r="M76" s="89" t="s">
        <v>408</v>
      </c>
      <c r="N76" s="89">
        <v>450</v>
      </c>
      <c r="O76" s="93" t="s">
        <v>409</v>
      </c>
      <c r="P76" s="94" t="s">
        <v>93</v>
      </c>
      <c r="Q76" s="144" t="s">
        <v>74</v>
      </c>
      <c r="R76" s="95"/>
      <c r="S76" s="96">
        <v>46167</v>
      </c>
      <c r="T76" s="96" t="s">
        <v>75</v>
      </c>
      <c r="U76" s="96" t="s">
        <v>61</v>
      </c>
      <c r="V76" s="92">
        <v>46154</v>
      </c>
      <c r="W76" s="92">
        <v>46160</v>
      </c>
      <c r="X76" s="92">
        <v>46164</v>
      </c>
      <c r="Y76" s="97"/>
      <c r="Z76" s="89"/>
      <c r="AA76" s="96"/>
      <c r="AB76" s="89"/>
      <c r="AC76" s="119"/>
      <c r="AD76" s="89"/>
      <c r="AE76" s="89"/>
      <c r="AF76" s="118"/>
      <c r="AG76" s="118"/>
      <c r="AH76" s="118" t="s">
        <v>66</v>
      </c>
      <c r="AI76" s="99" t="s">
        <v>64</v>
      </c>
      <c r="AJ76" s="99" t="s">
        <v>65</v>
      </c>
      <c r="AK76" s="99" t="s">
        <v>64</v>
      </c>
      <c r="AL76" s="45" t="s">
        <v>67</v>
      </c>
      <c r="AM76" s="198" t="str">
        <f t="shared" si="10"/>
        <v>5/2026</v>
      </c>
      <c r="AN76" s="45">
        <f t="shared" si="11"/>
        <v>3</v>
      </c>
      <c r="AO76" s="45" t="str">
        <f t="shared" si="12"/>
        <v>1/1900</v>
      </c>
      <c r="AP76" s="45" t="e">
        <f t="shared" si="13"/>
        <v>#NUM!</v>
      </c>
      <c r="AQ76" s="45">
        <f>IF(AU76="S",IF(Q76="1. Aceitou o programa",R76-B76,0),0)</f>
        <v>0</v>
      </c>
      <c r="AR76" s="45">
        <f>IF(AU76="S",IF(AND(S76&lt;&gt;"",R76&lt;&gt;""),S76-R76,0),0)</f>
        <v>0</v>
      </c>
      <c r="AS76" s="45">
        <f>IF(AU76="S",IF(Q76="1. Aceitou o programa",IF(OR(X76="Não se Aplica",X76=""),IF(OR(W76="Não se Aplica",W76=""),0,W76-V76),AVERAGE(X76-W76,W76-V76)),0),0)</f>
        <v>0</v>
      </c>
      <c r="AT76" s="45">
        <f>IF(AU76="S",IF(AND(Q76="1. Aceitou o programa",AB76="Realizada"),IFERROR(IF(AA76="",0,AA76-R76),0),0),0)</f>
        <v>0</v>
      </c>
      <c r="AU76" s="45" t="str">
        <f>_xlfn.XLOOKUP(U76,'Lista Suspensa'!$AA$20:$AA$23,'Lista Suspensa'!$AB$20:$AB$23,"N/A")</f>
        <v>S</v>
      </c>
    </row>
    <row r="77" spans="1:47" ht="12" hidden="1" customHeight="1">
      <c r="A77" s="87" t="s">
        <v>47</v>
      </c>
      <c r="B77" s="88">
        <v>46153</v>
      </c>
      <c r="C77" s="89" t="s">
        <v>48</v>
      </c>
      <c r="D77" s="89" t="s">
        <v>49</v>
      </c>
      <c r="E77" s="111">
        <v>87360969</v>
      </c>
      <c r="F77" s="220" t="s">
        <v>410</v>
      </c>
      <c r="G77" s="91" t="s">
        <v>411</v>
      </c>
      <c r="H77" s="92">
        <v>21695</v>
      </c>
      <c r="I77" s="89">
        <f t="shared" ca="1" si="9"/>
        <v>67</v>
      </c>
      <c r="J77" s="89" t="s">
        <v>52</v>
      </c>
      <c r="K77" s="89" t="s">
        <v>53</v>
      </c>
      <c r="L77" s="89" t="s">
        <v>54</v>
      </c>
      <c r="M77" s="89" t="s">
        <v>90</v>
      </c>
      <c r="N77" s="89">
        <v>750</v>
      </c>
      <c r="O77" s="93" t="s">
        <v>412</v>
      </c>
      <c r="P77" s="94" t="s">
        <v>93</v>
      </c>
      <c r="Q77" s="144" t="s">
        <v>74</v>
      </c>
      <c r="R77" s="95"/>
      <c r="S77" s="96">
        <v>46167</v>
      </c>
      <c r="T77" s="96" t="s">
        <v>75</v>
      </c>
      <c r="U77" s="96" t="s">
        <v>61</v>
      </c>
      <c r="V77" s="92">
        <v>46154</v>
      </c>
      <c r="W77" s="92">
        <v>46160</v>
      </c>
      <c r="X77" s="92">
        <v>46164</v>
      </c>
      <c r="Y77" s="97"/>
      <c r="Z77" s="89"/>
      <c r="AA77" s="96"/>
      <c r="AB77" s="89"/>
      <c r="AC77" s="119"/>
      <c r="AD77" s="89"/>
      <c r="AE77" s="89"/>
      <c r="AF77" s="118"/>
      <c r="AG77" s="118"/>
      <c r="AH77" s="118" t="s">
        <v>66</v>
      </c>
      <c r="AI77" s="99" t="s">
        <v>64</v>
      </c>
      <c r="AJ77" s="99" t="s">
        <v>65</v>
      </c>
      <c r="AK77" s="99" t="s">
        <v>64</v>
      </c>
      <c r="AL77" s="45" t="s">
        <v>67</v>
      </c>
      <c r="AM77" s="198" t="str">
        <f t="shared" si="10"/>
        <v>5/2026</v>
      </c>
      <c r="AN77" s="45">
        <f t="shared" si="11"/>
        <v>3</v>
      </c>
      <c r="AO77" s="45" t="str">
        <f t="shared" si="12"/>
        <v>1/1900</v>
      </c>
      <c r="AP77" s="45" t="e">
        <f t="shared" si="13"/>
        <v>#NUM!</v>
      </c>
      <c r="AQ77" s="45">
        <f>IF(AU77="S",IF(Q77="1. Aceitou o programa",R77-B77,0),0)</f>
        <v>0</v>
      </c>
      <c r="AR77" s="45">
        <f>IF(AU77="S",IF(AND(S77&lt;&gt;"",R77&lt;&gt;""),S77-R77,0),0)</f>
        <v>0</v>
      </c>
      <c r="AS77" s="45">
        <f>IF(AU77="S",IF(Q77="1. Aceitou o programa",IF(OR(X77="Não se Aplica",X77=""),IF(OR(W77="Não se Aplica",W77=""),0,W77-V77),AVERAGE(X77-W77,W77-V77)),0),0)</f>
        <v>0</v>
      </c>
      <c r="AT77" s="45">
        <f>IF(AU77="S",IF(AND(Q77="1. Aceitou o programa",AB77="Realizada"),IFERROR(IF(AA77="",0,AA77-R77),0),0),0)</f>
        <v>0</v>
      </c>
      <c r="AU77" s="45" t="str">
        <f>_xlfn.XLOOKUP(U77,'Lista Suspensa'!$AA$20:$AA$23,'Lista Suspensa'!$AB$20:$AB$23,"N/A")</f>
        <v>S</v>
      </c>
    </row>
    <row r="78" spans="1:47" ht="12" hidden="1" customHeight="1">
      <c r="A78" s="87" t="s">
        <v>47</v>
      </c>
      <c r="B78" s="88">
        <v>46153</v>
      </c>
      <c r="C78" s="89" t="s">
        <v>48</v>
      </c>
      <c r="D78" s="89" t="s">
        <v>49</v>
      </c>
      <c r="E78" s="111">
        <v>85080163</v>
      </c>
      <c r="F78" s="220" t="s">
        <v>413</v>
      </c>
      <c r="G78" s="91" t="s">
        <v>414</v>
      </c>
      <c r="H78" s="92">
        <v>25548</v>
      </c>
      <c r="I78" s="89">
        <f t="shared" ca="1" si="9"/>
        <v>56</v>
      </c>
      <c r="J78" s="89" t="s">
        <v>70</v>
      </c>
      <c r="K78" s="89" t="s">
        <v>53</v>
      </c>
      <c r="L78" s="89" t="s">
        <v>54</v>
      </c>
      <c r="M78" s="89" t="s">
        <v>404</v>
      </c>
      <c r="N78" s="89">
        <v>450</v>
      </c>
      <c r="O78" s="93" t="s">
        <v>415</v>
      </c>
      <c r="P78" s="94" t="s">
        <v>93</v>
      </c>
      <c r="Q78" s="144" t="s">
        <v>74</v>
      </c>
      <c r="R78" s="95"/>
      <c r="S78" s="96">
        <v>46167</v>
      </c>
      <c r="T78" s="96" t="s">
        <v>75</v>
      </c>
      <c r="U78" s="96" t="s">
        <v>61</v>
      </c>
      <c r="V78" s="92">
        <v>46154</v>
      </c>
      <c r="W78" s="92">
        <v>46160</v>
      </c>
      <c r="X78" s="92">
        <v>46164</v>
      </c>
      <c r="Y78" s="97"/>
      <c r="Z78" s="89"/>
      <c r="AA78" s="96"/>
      <c r="AB78" s="89"/>
      <c r="AC78" s="119"/>
      <c r="AD78" s="89"/>
      <c r="AE78" s="89"/>
      <c r="AF78" s="118"/>
      <c r="AG78" s="118"/>
      <c r="AH78" s="118" t="s">
        <v>66</v>
      </c>
      <c r="AI78" s="99" t="s">
        <v>64</v>
      </c>
      <c r="AJ78" s="99" t="s">
        <v>65</v>
      </c>
      <c r="AK78" s="99" t="s">
        <v>64</v>
      </c>
      <c r="AL78" s="45" t="s">
        <v>67</v>
      </c>
      <c r="AM78" s="198" t="str">
        <f t="shared" si="10"/>
        <v>5/2026</v>
      </c>
      <c r="AN78" s="45">
        <f t="shared" si="11"/>
        <v>3</v>
      </c>
      <c r="AO78" s="45" t="str">
        <f t="shared" si="12"/>
        <v>1/1900</v>
      </c>
      <c r="AP78" s="45" t="e">
        <f t="shared" si="13"/>
        <v>#NUM!</v>
      </c>
      <c r="AQ78" s="45">
        <f>IF(AU78="S",IF(Q78="1. Aceitou o programa",R78-B78,0),0)</f>
        <v>0</v>
      </c>
      <c r="AR78" s="45">
        <f>IF(AU78="S",IF(AND(S78&lt;&gt;"",R78&lt;&gt;""),S78-R78,0),0)</f>
        <v>0</v>
      </c>
      <c r="AS78" s="45">
        <f>IF(AU78="S",IF(Q78="1. Aceitou o programa",IF(OR(X78="Não se Aplica",X78=""),IF(OR(W78="Não se Aplica",W78=""),0,W78-V78),AVERAGE(X78-W78,W78-V78)),0),0)</f>
        <v>0</v>
      </c>
      <c r="AT78" s="45">
        <f>IF(AU78="S",IF(AND(Q78="1. Aceitou o programa",AB78="Realizada"),IFERROR(IF(AA78="",0,AA78-R78),0),0),0)</f>
        <v>0</v>
      </c>
      <c r="AU78" s="45" t="str">
        <f>_xlfn.XLOOKUP(U78,'Lista Suspensa'!$AA$20:$AA$23,'Lista Suspensa'!$AB$20:$AB$23,"N/A")</f>
        <v>S</v>
      </c>
    </row>
    <row r="79" spans="1:47" ht="12" hidden="1" customHeight="1">
      <c r="A79" s="87" t="s">
        <v>47</v>
      </c>
      <c r="B79" s="88">
        <v>46153</v>
      </c>
      <c r="C79" s="89" t="s">
        <v>48</v>
      </c>
      <c r="D79" s="89" t="s">
        <v>49</v>
      </c>
      <c r="E79" s="111">
        <v>94595455</v>
      </c>
      <c r="F79" s="220" t="s">
        <v>416</v>
      </c>
      <c r="G79" s="91" t="s">
        <v>417</v>
      </c>
      <c r="H79" s="92">
        <v>25221</v>
      </c>
      <c r="I79" s="89">
        <f t="shared" ca="1" si="9"/>
        <v>57</v>
      </c>
      <c r="J79" s="89" t="s">
        <v>70</v>
      </c>
      <c r="K79" s="89" t="s">
        <v>53</v>
      </c>
      <c r="L79" s="89" t="s">
        <v>54</v>
      </c>
      <c r="M79" s="89" t="s">
        <v>418</v>
      </c>
      <c r="N79" s="89">
        <v>60</v>
      </c>
      <c r="O79" s="93" t="s">
        <v>419</v>
      </c>
      <c r="P79" s="94" t="s">
        <v>93</v>
      </c>
      <c r="Q79" s="144" t="s">
        <v>74</v>
      </c>
      <c r="R79" s="95"/>
      <c r="S79" s="96">
        <v>46167</v>
      </c>
      <c r="T79" s="96" t="s">
        <v>75</v>
      </c>
      <c r="U79" s="96" t="s">
        <v>61</v>
      </c>
      <c r="V79" s="92">
        <v>46154</v>
      </c>
      <c r="W79" s="92">
        <v>46160</v>
      </c>
      <c r="X79" s="92">
        <v>46164</v>
      </c>
      <c r="Y79" s="97"/>
      <c r="Z79" s="89"/>
      <c r="AA79" s="96"/>
      <c r="AB79" s="89"/>
      <c r="AC79" s="119"/>
      <c r="AD79" s="89"/>
      <c r="AE79" s="89"/>
      <c r="AF79" s="118"/>
      <c r="AG79" s="118"/>
      <c r="AH79" s="118" t="s">
        <v>66</v>
      </c>
      <c r="AI79" s="99" t="s">
        <v>64</v>
      </c>
      <c r="AJ79" s="99" t="s">
        <v>65</v>
      </c>
      <c r="AK79" s="99" t="s">
        <v>64</v>
      </c>
      <c r="AL79" s="45" t="s">
        <v>67</v>
      </c>
      <c r="AM79" s="198" t="str">
        <f t="shared" si="10"/>
        <v>5/2026</v>
      </c>
      <c r="AN79" s="45">
        <f t="shared" si="11"/>
        <v>3</v>
      </c>
      <c r="AO79" s="45" t="str">
        <f t="shared" si="12"/>
        <v>1/1900</v>
      </c>
      <c r="AP79" s="45" t="e">
        <f t="shared" si="13"/>
        <v>#NUM!</v>
      </c>
      <c r="AQ79" s="45">
        <f>IF(AU79="S",IF(Q79="1. Aceitou o programa",R79-B79,0),0)</f>
        <v>0</v>
      </c>
      <c r="AR79" s="45">
        <f>IF(AU79="S",IF(AND(S79&lt;&gt;"",R79&lt;&gt;""),S79-R79,0),0)</f>
        <v>0</v>
      </c>
      <c r="AS79" s="45">
        <f>IF(AU79="S",IF(Q79="1. Aceitou o programa",IF(OR(X79="Não se Aplica",X79=""),IF(OR(W79="Não se Aplica",W79=""),0,W79-V79),AVERAGE(X79-W79,W79-V79)),0),0)</f>
        <v>0</v>
      </c>
      <c r="AT79" s="45">
        <f>IF(AU79="S",IF(AND(Q79="1. Aceitou o programa",AB79="Realizada"),IFERROR(IF(AA79="",0,AA79-R79),0),0),0)</f>
        <v>0</v>
      </c>
      <c r="AU79" s="45" t="str">
        <f>_xlfn.XLOOKUP(U79,'Lista Suspensa'!$AA$20:$AA$23,'Lista Suspensa'!$AB$20:$AB$23,"N/A")</f>
        <v>S</v>
      </c>
    </row>
    <row r="80" spans="1:47" ht="12" hidden="1" customHeight="1">
      <c r="A80" s="87" t="s">
        <v>47</v>
      </c>
      <c r="B80" s="88">
        <v>46160</v>
      </c>
      <c r="C80" s="89" t="s">
        <v>420</v>
      </c>
      <c r="D80" s="89" t="s">
        <v>49</v>
      </c>
      <c r="E80" s="111">
        <v>72194406</v>
      </c>
      <c r="F80" s="220" t="s">
        <v>421</v>
      </c>
      <c r="G80" s="91" t="s">
        <v>422</v>
      </c>
      <c r="H80" s="92">
        <v>24507</v>
      </c>
      <c r="I80" s="89">
        <f t="shared" ca="1" si="9"/>
        <v>59</v>
      </c>
      <c r="J80" s="89" t="s">
        <v>70</v>
      </c>
      <c r="K80" s="89" t="s">
        <v>53</v>
      </c>
      <c r="L80" s="89" t="s">
        <v>54</v>
      </c>
      <c r="M80" s="89" t="s">
        <v>423</v>
      </c>
      <c r="N80" s="89">
        <v>50</v>
      </c>
      <c r="O80" s="93" t="s">
        <v>424</v>
      </c>
      <c r="P80" s="94" t="s">
        <v>93</v>
      </c>
      <c r="Q80" s="144" t="s">
        <v>143</v>
      </c>
      <c r="R80" s="95">
        <v>46164</v>
      </c>
      <c r="S80" s="96"/>
      <c r="T80" s="96" t="s">
        <v>60</v>
      </c>
      <c r="U80" s="96" t="s">
        <v>144</v>
      </c>
      <c r="V80" s="92">
        <v>46164</v>
      </c>
      <c r="W80" s="92" t="s">
        <v>95</v>
      </c>
      <c r="X80" s="92" t="s">
        <v>95</v>
      </c>
      <c r="Y80" s="97"/>
      <c r="Z80" s="89" t="s">
        <v>108</v>
      </c>
      <c r="AA80" s="96">
        <v>46174</v>
      </c>
      <c r="AB80" s="89" t="s">
        <v>109</v>
      </c>
      <c r="AC80" s="119"/>
      <c r="AD80" s="89" t="s">
        <v>425</v>
      </c>
      <c r="AE80" s="89">
        <v>12</v>
      </c>
      <c r="AF80" s="118" t="s">
        <v>97</v>
      </c>
      <c r="AG80" s="118" t="s">
        <v>97</v>
      </c>
      <c r="AH80" s="118" t="s">
        <v>209</v>
      </c>
      <c r="AI80" s="99"/>
      <c r="AJ80" s="99" t="s">
        <v>146</v>
      </c>
      <c r="AK80" s="99" t="s">
        <v>47</v>
      </c>
      <c r="AL80" s="45" t="s">
        <v>67</v>
      </c>
      <c r="AM80" s="198" t="str">
        <f t="shared" si="10"/>
        <v>5/2026</v>
      </c>
      <c r="AN80" s="45">
        <f t="shared" si="11"/>
        <v>4</v>
      </c>
      <c r="AO80" s="45" t="str">
        <f t="shared" si="12"/>
        <v>5/2026</v>
      </c>
      <c r="AP80" s="45">
        <f t="shared" si="13"/>
        <v>4</v>
      </c>
      <c r="AQ80" s="45">
        <f>IF(AU80="S",IF(Q80="1. Aceitou o programa",R80-B80,0),0)</f>
        <v>4</v>
      </c>
      <c r="AR80" s="45">
        <f>IF(AU80="S",IF(AND(S80&lt;&gt;"",R80&lt;&gt;""),S80-R80,0),0)</f>
        <v>0</v>
      </c>
      <c r="AS80" s="45">
        <f>IF(AU80="S",IF(Q80="1. Aceitou o programa",IF(OR(X80="Não se Aplica",X80=""),IF(OR(W80="Não se Aplica",W80=""),0,W80-V80),AVERAGE(X80-W80,W80-V80)),0),0)</f>
        <v>0</v>
      </c>
      <c r="AT80" s="45">
        <f>IF(AU80="S",IF(AND(Q80="1. Aceitou o programa",AB80="Realizada"),IFERROR(IF(AA80="",0,AA80-R80),0),0),0)</f>
        <v>10</v>
      </c>
      <c r="AU80" s="45" t="str">
        <f>_xlfn.XLOOKUP(U80,'Lista Suspensa'!$AA$20:$AA$23,'Lista Suspensa'!$AB$20:$AB$23,"N/A")</f>
        <v>S</v>
      </c>
    </row>
    <row r="81" spans="1:47" ht="12" hidden="1" customHeight="1">
      <c r="A81" s="87" t="s">
        <v>47</v>
      </c>
      <c r="B81" s="88">
        <v>46160</v>
      </c>
      <c r="C81" s="89" t="s">
        <v>420</v>
      </c>
      <c r="D81" s="89" t="s">
        <v>49</v>
      </c>
      <c r="E81" s="111">
        <v>235133752</v>
      </c>
      <c r="F81" s="220" t="s">
        <v>426</v>
      </c>
      <c r="G81" s="91" t="s">
        <v>427</v>
      </c>
      <c r="H81" s="92">
        <v>26642</v>
      </c>
      <c r="I81" s="89">
        <f t="shared" ca="1" si="9"/>
        <v>53</v>
      </c>
      <c r="J81" s="89" t="s">
        <v>52</v>
      </c>
      <c r="K81" s="89" t="s">
        <v>53</v>
      </c>
      <c r="L81" s="89" t="s">
        <v>428</v>
      </c>
      <c r="M81" s="89" t="s">
        <v>429</v>
      </c>
      <c r="N81" s="89">
        <v>500</v>
      </c>
      <c r="O81" s="93" t="s">
        <v>430</v>
      </c>
      <c r="P81" s="94" t="s">
        <v>93</v>
      </c>
      <c r="Q81" s="144" t="s">
        <v>431</v>
      </c>
      <c r="R81" s="95"/>
      <c r="S81" s="96"/>
      <c r="T81" s="96" t="s">
        <v>75</v>
      </c>
      <c r="U81" s="96" t="s">
        <v>432</v>
      </c>
      <c r="V81" s="92">
        <v>46164</v>
      </c>
      <c r="W81" s="92">
        <v>46181</v>
      </c>
      <c r="X81" s="92"/>
      <c r="Y81" s="97"/>
      <c r="Z81" s="89"/>
      <c r="AA81" s="96"/>
      <c r="AB81" s="89"/>
      <c r="AC81" s="119"/>
      <c r="AD81" s="89"/>
      <c r="AE81" s="89"/>
      <c r="AF81" s="118"/>
      <c r="AG81" s="118"/>
      <c r="AH81" s="118"/>
      <c r="AI81" s="99"/>
      <c r="AJ81" s="99"/>
      <c r="AK81" s="99" t="s">
        <v>66</v>
      </c>
      <c r="AL81" s="45" t="s">
        <v>67</v>
      </c>
      <c r="AM81" s="198" t="str">
        <f t="shared" si="10"/>
        <v>5/2026</v>
      </c>
      <c r="AN81" s="45">
        <f t="shared" si="11"/>
        <v>4</v>
      </c>
      <c r="AO81" s="45" t="str">
        <f t="shared" si="12"/>
        <v>1/1900</v>
      </c>
      <c r="AP81" s="45" t="e">
        <f t="shared" si="13"/>
        <v>#NUM!</v>
      </c>
      <c r="AQ81" s="45">
        <f>IF(AU81="S",IF(Q81="1. Aceitou o programa",R81-B81,0),0)</f>
        <v>0</v>
      </c>
      <c r="AR81" s="45">
        <f>IF(AU81="S",IF(AND(S81&lt;&gt;"",R81&lt;&gt;""),S81-R81,0),0)</f>
        <v>0</v>
      </c>
      <c r="AS81" s="45">
        <f>IF(AU81="S",IF(Q81="1. Aceitou o programa",IF(OR(X81="Não se Aplica",X81=""),IF(OR(W81="Não se Aplica",W81=""),0,W81-V81),AVERAGE(X81-W81,W81-V81)),0),0)</f>
        <v>0</v>
      </c>
      <c r="AT81" s="45">
        <f>IF(AU81="S",IF(AND(Q81="1. Aceitou o programa",AB81="Realizada"),IFERROR(IF(AA81="",0,AA81-R81),0),0),0)</f>
        <v>0</v>
      </c>
      <c r="AU81" s="45" t="str">
        <f>_xlfn.XLOOKUP(U81,'Lista Suspensa'!$AA$20:$AA$23,'Lista Suspensa'!$AB$20:$AB$23,"N/A")</f>
        <v>S</v>
      </c>
    </row>
    <row r="82" spans="1:47" ht="12" hidden="1" customHeight="1">
      <c r="A82" s="87" t="s">
        <v>47</v>
      </c>
      <c r="B82" s="88">
        <v>46160</v>
      </c>
      <c r="C82" s="89" t="s">
        <v>420</v>
      </c>
      <c r="D82" s="89" t="s">
        <v>49</v>
      </c>
      <c r="E82" s="111">
        <v>808482068</v>
      </c>
      <c r="F82" s="220" t="s">
        <v>433</v>
      </c>
      <c r="G82" s="91" t="s">
        <v>434</v>
      </c>
      <c r="H82" s="92">
        <v>20600</v>
      </c>
      <c r="I82" s="89">
        <f t="shared" ca="1" si="9"/>
        <v>70</v>
      </c>
      <c r="J82" s="89" t="s">
        <v>52</v>
      </c>
      <c r="K82" s="89" t="s">
        <v>53</v>
      </c>
      <c r="L82" s="89" t="s">
        <v>54</v>
      </c>
      <c r="M82" s="89" t="s">
        <v>395</v>
      </c>
      <c r="N82" s="89">
        <v>100</v>
      </c>
      <c r="O82" s="93" t="s">
        <v>435</v>
      </c>
      <c r="P82" s="94" t="s">
        <v>93</v>
      </c>
      <c r="Q82" s="144" t="s">
        <v>431</v>
      </c>
      <c r="R82" s="95"/>
      <c r="S82" s="96"/>
      <c r="T82" s="96" t="s">
        <v>75</v>
      </c>
      <c r="U82" s="96" t="s">
        <v>432</v>
      </c>
      <c r="V82" s="92">
        <v>46164</v>
      </c>
      <c r="W82" s="92">
        <v>46181</v>
      </c>
      <c r="X82" s="92"/>
      <c r="Y82" s="97"/>
      <c r="Z82" s="89"/>
      <c r="AA82" s="96"/>
      <c r="AB82" s="89"/>
      <c r="AC82" s="119"/>
      <c r="AD82" s="89"/>
      <c r="AE82" s="89"/>
      <c r="AF82" s="118"/>
      <c r="AG82" s="118"/>
      <c r="AH82" s="118"/>
      <c r="AI82" s="99"/>
      <c r="AJ82" s="99"/>
      <c r="AK82" s="99" t="s">
        <v>66</v>
      </c>
      <c r="AL82" s="45" t="s">
        <v>67</v>
      </c>
      <c r="AM82" s="198" t="str">
        <f t="shared" si="10"/>
        <v>5/2026</v>
      </c>
      <c r="AN82" s="45">
        <f t="shared" si="11"/>
        <v>4</v>
      </c>
      <c r="AO82" s="45" t="str">
        <f t="shared" si="12"/>
        <v>1/1900</v>
      </c>
      <c r="AP82" s="45" t="e">
        <f t="shared" si="13"/>
        <v>#NUM!</v>
      </c>
      <c r="AQ82" s="45">
        <f>IF(AU82="S",IF(Q82="1. Aceitou o programa",R82-B82,0),0)</f>
        <v>0</v>
      </c>
      <c r="AR82" s="45">
        <f>IF(AU82="S",IF(AND(S82&lt;&gt;"",R82&lt;&gt;""),S82-R82,0),0)</f>
        <v>0</v>
      </c>
      <c r="AS82" s="45">
        <f>IF(AU82="S",IF(Q82="1. Aceitou o programa",IF(OR(X82="Não se Aplica",X82=""),IF(OR(W82="Não se Aplica",W82=""),0,W82-V82),AVERAGE(X82-W82,W82-V82)),0),0)</f>
        <v>0</v>
      </c>
      <c r="AT82" s="45">
        <f>IF(AU82="S",IF(AND(Q82="1. Aceitou o programa",AB82="Realizada"),IFERROR(IF(AA82="",0,AA82-R82),0),0),0)</f>
        <v>0</v>
      </c>
      <c r="AU82" s="45" t="str">
        <f>_xlfn.XLOOKUP(U82,'Lista Suspensa'!$AA$20:$AA$23,'Lista Suspensa'!$AB$20:$AB$23,"N/A")</f>
        <v>S</v>
      </c>
    </row>
    <row r="83" spans="1:47" ht="12" hidden="1" customHeight="1">
      <c r="A83" s="87" t="s">
        <v>47</v>
      </c>
      <c r="B83" s="88">
        <v>46160</v>
      </c>
      <c r="C83" s="89" t="s">
        <v>420</v>
      </c>
      <c r="D83" s="89" t="s">
        <v>49</v>
      </c>
      <c r="E83" s="111">
        <v>85290084</v>
      </c>
      <c r="F83" s="220" t="s">
        <v>436</v>
      </c>
      <c r="G83" s="91" t="s">
        <v>437</v>
      </c>
      <c r="H83" s="92">
        <v>31405</v>
      </c>
      <c r="I83" s="89">
        <f t="shared" ca="1" si="9"/>
        <v>40</v>
      </c>
      <c r="J83" s="89" t="s">
        <v>52</v>
      </c>
      <c r="K83" s="89" t="s">
        <v>53</v>
      </c>
      <c r="L83" s="89" t="s">
        <v>54</v>
      </c>
      <c r="M83" s="89" t="s">
        <v>438</v>
      </c>
      <c r="N83" s="89">
        <v>380</v>
      </c>
      <c r="O83" s="93" t="s">
        <v>439</v>
      </c>
      <c r="P83" s="94" t="s">
        <v>93</v>
      </c>
      <c r="Q83" s="144" t="s">
        <v>143</v>
      </c>
      <c r="R83" s="95">
        <v>46164</v>
      </c>
      <c r="S83" s="96"/>
      <c r="T83" s="96" t="s">
        <v>60</v>
      </c>
      <c r="U83" s="96" t="s">
        <v>144</v>
      </c>
      <c r="V83" s="92">
        <v>46164</v>
      </c>
      <c r="W83" s="92"/>
      <c r="X83" s="92"/>
      <c r="Y83" s="97"/>
      <c r="Z83" s="89" t="s">
        <v>108</v>
      </c>
      <c r="AA83" s="96">
        <v>46177</v>
      </c>
      <c r="AB83" s="89" t="s">
        <v>145</v>
      </c>
      <c r="AC83" s="119">
        <v>46184</v>
      </c>
      <c r="AD83" s="119"/>
      <c r="AE83" s="119"/>
      <c r="AF83" s="118"/>
      <c r="AG83" s="118"/>
      <c r="AH83" s="118"/>
      <c r="AI83" s="99"/>
      <c r="AJ83" s="99" t="s">
        <v>146</v>
      </c>
      <c r="AK83" s="99" t="s">
        <v>47</v>
      </c>
      <c r="AL83" s="45" t="s">
        <v>67</v>
      </c>
      <c r="AM83" s="198" t="str">
        <f t="shared" si="10"/>
        <v>5/2026</v>
      </c>
      <c r="AN83" s="45">
        <f t="shared" si="11"/>
        <v>4</v>
      </c>
      <c r="AO83" s="45" t="str">
        <f t="shared" si="12"/>
        <v>5/2026</v>
      </c>
      <c r="AP83" s="45">
        <f t="shared" si="13"/>
        <v>4</v>
      </c>
      <c r="AQ83" s="45">
        <f>IF(AU83="S",IF(Q83="1. Aceitou o programa",R83-B83,0),0)</f>
        <v>4</v>
      </c>
      <c r="AR83" s="45">
        <f>IF(AU83="S",IF(AND(S83&lt;&gt;"",R83&lt;&gt;""),S83-R83,0),0)</f>
        <v>0</v>
      </c>
      <c r="AS83" s="45">
        <f>IF(AU83="S",IF(Q83="1. Aceitou o programa",IF(OR(X83="Não se Aplica",X83=""),IF(OR(W83="Não se Aplica",W83=""),0,W83-V83),AVERAGE(X83-W83,W83-V83)),0),0)</f>
        <v>0</v>
      </c>
      <c r="AT83" s="45">
        <f>IF(AU83="S",IF(AND(Q83="1. Aceitou o programa",AB83="Realizada"),IFERROR(IF(AA83="",0,AA83-R83),0),0),0)</f>
        <v>0</v>
      </c>
      <c r="AU83" s="45" t="str">
        <f>_xlfn.XLOOKUP(U83,'Lista Suspensa'!$AA$20:$AA$23,'Lista Suspensa'!$AB$20:$AB$23,"N/A")</f>
        <v>S</v>
      </c>
    </row>
    <row r="84" spans="1:47" ht="12" hidden="1" customHeight="1">
      <c r="A84" s="87" t="s">
        <v>47</v>
      </c>
      <c r="B84" s="88">
        <v>46160</v>
      </c>
      <c r="C84" s="89" t="s">
        <v>420</v>
      </c>
      <c r="D84" s="89" t="s">
        <v>49</v>
      </c>
      <c r="E84" s="111">
        <v>450041069</v>
      </c>
      <c r="F84" s="220" t="s">
        <v>440</v>
      </c>
      <c r="G84" s="91" t="s">
        <v>441</v>
      </c>
      <c r="H84" s="92">
        <v>18326</v>
      </c>
      <c r="I84" s="89">
        <f t="shared" ca="1" si="9"/>
        <v>76</v>
      </c>
      <c r="J84" s="89" t="s">
        <v>70</v>
      </c>
      <c r="K84" s="89" t="s">
        <v>53</v>
      </c>
      <c r="L84" s="89" t="s">
        <v>182</v>
      </c>
      <c r="M84" s="89" t="s">
        <v>442</v>
      </c>
      <c r="N84" s="89">
        <v>400</v>
      </c>
      <c r="O84" s="93" t="s">
        <v>443</v>
      </c>
      <c r="P84" s="94" t="s">
        <v>93</v>
      </c>
      <c r="Q84" s="144" t="s">
        <v>431</v>
      </c>
      <c r="R84" s="95"/>
      <c r="S84" s="96"/>
      <c r="T84" s="96" t="s">
        <v>75</v>
      </c>
      <c r="U84" s="96" t="s">
        <v>432</v>
      </c>
      <c r="V84" s="92">
        <v>46164</v>
      </c>
      <c r="W84" s="92">
        <v>46181</v>
      </c>
      <c r="X84" s="92"/>
      <c r="Y84" s="97"/>
      <c r="Z84" s="89"/>
      <c r="AA84" s="96"/>
      <c r="AB84" s="89"/>
      <c r="AC84" s="119"/>
      <c r="AD84" s="89"/>
      <c r="AE84" s="89"/>
      <c r="AF84" s="118"/>
      <c r="AG84" s="118"/>
      <c r="AH84" s="118"/>
      <c r="AI84" s="99"/>
      <c r="AJ84" s="99"/>
      <c r="AK84" s="99" t="s">
        <v>66</v>
      </c>
      <c r="AL84" s="45" t="s">
        <v>67</v>
      </c>
      <c r="AM84" s="198" t="str">
        <f t="shared" si="10"/>
        <v>5/2026</v>
      </c>
      <c r="AN84" s="45">
        <f t="shared" si="11"/>
        <v>4</v>
      </c>
      <c r="AO84" s="45" t="str">
        <f t="shared" si="12"/>
        <v>1/1900</v>
      </c>
      <c r="AP84" s="45" t="e">
        <f t="shared" si="13"/>
        <v>#NUM!</v>
      </c>
      <c r="AQ84" s="45">
        <f>IF(AU84="S",IF(Q84="1. Aceitou o programa",R84-B84,0),0)</f>
        <v>0</v>
      </c>
      <c r="AR84" s="45">
        <f>IF(AU84="S",IF(AND(S84&lt;&gt;"",R84&lt;&gt;""),S84-R84,0),0)</f>
        <v>0</v>
      </c>
      <c r="AS84" s="45">
        <f>IF(AU84="S",IF(Q84="1. Aceitou o programa",IF(OR(X84="Não se Aplica",X84=""),IF(OR(W84="Não se Aplica",W84=""),0,W84-V84),AVERAGE(X84-W84,W84-V84)),0),0)</f>
        <v>0</v>
      </c>
      <c r="AT84" s="45">
        <f>IF(AU84="S",IF(AND(Q84="1. Aceitou o programa",AB84="Realizada"),IFERROR(IF(AA84="",0,AA84-R84),0),0),0)</f>
        <v>0</v>
      </c>
      <c r="AU84" s="45" t="str">
        <f>_xlfn.XLOOKUP(U84,'Lista Suspensa'!$AA$20:$AA$23,'Lista Suspensa'!$AB$20:$AB$23,"N/A")</f>
        <v>S</v>
      </c>
    </row>
    <row r="85" spans="1:47" ht="12" hidden="1" customHeight="1">
      <c r="A85" s="87" t="s">
        <v>47</v>
      </c>
      <c r="B85" s="88">
        <v>46160</v>
      </c>
      <c r="C85" s="89" t="s">
        <v>420</v>
      </c>
      <c r="D85" s="89" t="s">
        <v>49</v>
      </c>
      <c r="E85" s="111">
        <v>95439380</v>
      </c>
      <c r="F85" s="220" t="s">
        <v>444</v>
      </c>
      <c r="G85" s="91" t="s">
        <v>445</v>
      </c>
      <c r="H85" s="92">
        <v>29255</v>
      </c>
      <c r="I85" s="89">
        <f t="shared" ca="1" si="9"/>
        <v>46</v>
      </c>
      <c r="J85" s="89" t="s">
        <v>70</v>
      </c>
      <c r="K85" s="89" t="s">
        <v>53</v>
      </c>
      <c r="L85" s="89" t="s">
        <v>54</v>
      </c>
      <c r="M85" s="89" t="s">
        <v>446</v>
      </c>
      <c r="N85" s="89">
        <v>750</v>
      </c>
      <c r="O85" s="93" t="s">
        <v>447</v>
      </c>
      <c r="P85" s="94" t="s">
        <v>93</v>
      </c>
      <c r="Q85" s="144" t="s">
        <v>143</v>
      </c>
      <c r="R85" s="95">
        <v>46171</v>
      </c>
      <c r="S85" s="96"/>
      <c r="T85" s="96" t="s">
        <v>60</v>
      </c>
      <c r="U85" s="96" t="s">
        <v>144</v>
      </c>
      <c r="V85" s="92">
        <v>46164</v>
      </c>
      <c r="W85" s="92">
        <v>46181</v>
      </c>
      <c r="X85" s="92" t="s">
        <v>95</v>
      </c>
      <c r="Y85" s="97"/>
      <c r="Z85" s="89" t="s">
        <v>108</v>
      </c>
      <c r="AA85" s="96">
        <v>46188</v>
      </c>
      <c r="AB85" s="89" t="s">
        <v>145</v>
      </c>
      <c r="AC85" s="119">
        <v>46198</v>
      </c>
      <c r="AD85" s="119"/>
      <c r="AE85" s="119"/>
      <c r="AF85" s="118"/>
      <c r="AG85" s="118"/>
      <c r="AH85" s="118"/>
      <c r="AI85" s="99"/>
      <c r="AJ85" s="99" t="s">
        <v>146</v>
      </c>
      <c r="AK85" s="99" t="s">
        <v>47</v>
      </c>
      <c r="AL85" s="45" t="s">
        <v>67</v>
      </c>
      <c r="AM85" s="198" t="str">
        <f t="shared" si="10"/>
        <v>5/2026</v>
      </c>
      <c r="AN85" s="45">
        <f t="shared" si="11"/>
        <v>4</v>
      </c>
      <c r="AO85" s="45" t="str">
        <f t="shared" si="12"/>
        <v>5/2026</v>
      </c>
      <c r="AP85" s="45">
        <f t="shared" si="13"/>
        <v>5</v>
      </c>
      <c r="AQ85" s="45">
        <f>IF(AU85="S",IF(Q85="1. Aceitou o programa",R85-B85,0),0)</f>
        <v>11</v>
      </c>
      <c r="AR85" s="45">
        <f>IF(AU85="S",IF(AND(S85&lt;&gt;"",R85&lt;&gt;""),S85-R85,0),0)</f>
        <v>0</v>
      </c>
      <c r="AS85" s="45">
        <f>IF(AU85="S",IF(Q85="1. Aceitou o programa",IF(OR(X85="Não se Aplica",X85=""),IF(OR(W85="Não se Aplica",W85=""),0,W85-V85),AVERAGE(X85-W85,W85-V85)),0),0)</f>
        <v>17</v>
      </c>
      <c r="AT85" s="45">
        <f>IF(AU85="S",IF(AND(Q85="1. Aceitou o programa",AB85="Realizada"),IFERROR(IF(AA85="",0,AA85-R85),0),0),0)</f>
        <v>0</v>
      </c>
      <c r="AU85" s="45" t="str">
        <f>_xlfn.XLOOKUP(U85,'Lista Suspensa'!$AA$20:$AA$23,'Lista Suspensa'!$AB$20:$AB$23,"N/A")</f>
        <v>S</v>
      </c>
    </row>
    <row r="86" spans="1:47" ht="12" hidden="1" customHeight="1">
      <c r="A86" s="87" t="s">
        <v>47</v>
      </c>
      <c r="B86" s="88">
        <v>46160</v>
      </c>
      <c r="C86" s="89" t="s">
        <v>420</v>
      </c>
      <c r="D86" s="89" t="s">
        <v>49</v>
      </c>
      <c r="E86" s="111">
        <v>222466758</v>
      </c>
      <c r="F86" s="220" t="s">
        <v>448</v>
      </c>
      <c r="G86" s="91" t="s">
        <v>449</v>
      </c>
      <c r="H86" s="92">
        <v>17178</v>
      </c>
      <c r="I86" s="89">
        <f t="shared" ca="1" si="9"/>
        <v>79</v>
      </c>
      <c r="J86" s="89" t="s">
        <v>52</v>
      </c>
      <c r="K86" s="89" t="s">
        <v>53</v>
      </c>
      <c r="L86" s="89" t="s">
        <v>54</v>
      </c>
      <c r="M86" s="89" t="s">
        <v>450</v>
      </c>
      <c r="N86" s="89">
        <v>600</v>
      </c>
      <c r="O86" s="93" t="s">
        <v>451</v>
      </c>
      <c r="P86" s="94" t="s">
        <v>93</v>
      </c>
      <c r="Q86" s="144" t="s">
        <v>143</v>
      </c>
      <c r="R86" s="95">
        <v>46164</v>
      </c>
      <c r="S86" s="96"/>
      <c r="T86" s="96" t="s">
        <v>60</v>
      </c>
      <c r="U86" s="96" t="s">
        <v>144</v>
      </c>
      <c r="V86" s="92">
        <v>46164</v>
      </c>
      <c r="W86" s="92" t="s">
        <v>95</v>
      </c>
      <c r="X86" s="92" t="s">
        <v>95</v>
      </c>
      <c r="Y86" s="97"/>
      <c r="Z86" s="89" t="s">
        <v>108</v>
      </c>
      <c r="AA86" s="96">
        <v>46174</v>
      </c>
      <c r="AB86" s="89" t="s">
        <v>109</v>
      </c>
      <c r="AC86" s="119"/>
      <c r="AD86" s="89" t="s">
        <v>425</v>
      </c>
      <c r="AE86" s="89">
        <v>10</v>
      </c>
      <c r="AF86" s="118" t="s">
        <v>82</v>
      </c>
      <c r="AG86" s="118"/>
      <c r="AH86" s="118" t="s">
        <v>204</v>
      </c>
      <c r="AI86" s="99"/>
      <c r="AJ86" s="99" t="s">
        <v>146</v>
      </c>
      <c r="AK86" s="99" t="s">
        <v>47</v>
      </c>
      <c r="AL86" s="45" t="s">
        <v>67</v>
      </c>
      <c r="AM86" s="198" t="str">
        <f t="shared" si="10"/>
        <v>5/2026</v>
      </c>
      <c r="AN86" s="45">
        <f t="shared" si="11"/>
        <v>4</v>
      </c>
      <c r="AO86" s="45" t="str">
        <f t="shared" si="12"/>
        <v>5/2026</v>
      </c>
      <c r="AP86" s="45">
        <f t="shared" si="13"/>
        <v>4</v>
      </c>
      <c r="AQ86" s="45">
        <f>IF(AU86="S",IF(Q86="1. Aceitou o programa",R86-B86,0),0)</f>
        <v>4</v>
      </c>
      <c r="AR86" s="45">
        <f>IF(AU86="S",IF(AND(S86&lt;&gt;"",R86&lt;&gt;""),S86-R86,0),0)</f>
        <v>0</v>
      </c>
      <c r="AS86" s="45">
        <f>IF(AU86="S",IF(Q86="1. Aceitou o programa",IF(OR(X86="Não se Aplica",X86=""),IF(OR(W86="Não se Aplica",W86=""),0,W86-V86),AVERAGE(X86-W86,W86-V86)),0),0)</f>
        <v>0</v>
      </c>
      <c r="AT86" s="45">
        <f>IF(AU86="S",IF(AND(Q86="1. Aceitou o programa",AB86="Realizada"),IFERROR(IF(AA86="",0,AA86-R86),0),0),0)</f>
        <v>10</v>
      </c>
      <c r="AU86" s="45" t="str">
        <f>_xlfn.XLOOKUP(U86,'Lista Suspensa'!$AA$20:$AA$23,'Lista Suspensa'!$AB$20:$AB$23,"N/A")</f>
        <v>S</v>
      </c>
    </row>
    <row r="87" spans="1:47" ht="12" hidden="1" customHeight="1">
      <c r="A87" s="87" t="s">
        <v>47</v>
      </c>
      <c r="B87" s="88">
        <v>46160</v>
      </c>
      <c r="C87" s="89" t="s">
        <v>420</v>
      </c>
      <c r="D87" s="89" t="s">
        <v>49</v>
      </c>
      <c r="E87" s="111">
        <v>22072616</v>
      </c>
      <c r="F87" s="220" t="s">
        <v>452</v>
      </c>
      <c r="G87" s="91" t="s">
        <v>453</v>
      </c>
      <c r="H87" s="92">
        <v>16038</v>
      </c>
      <c r="I87" s="89">
        <f t="shared" ca="1" si="9"/>
        <v>82</v>
      </c>
      <c r="J87" s="89" t="s">
        <v>70</v>
      </c>
      <c r="K87" s="89" t="s">
        <v>53</v>
      </c>
      <c r="L87" s="89" t="s">
        <v>54</v>
      </c>
      <c r="M87" s="89" t="s">
        <v>454</v>
      </c>
      <c r="N87" s="89">
        <v>600</v>
      </c>
      <c r="O87" s="93" t="s">
        <v>455</v>
      </c>
      <c r="P87" s="94" t="s">
        <v>93</v>
      </c>
      <c r="Q87" s="144" t="s">
        <v>143</v>
      </c>
      <c r="R87" s="95">
        <v>46174</v>
      </c>
      <c r="S87" s="96"/>
      <c r="T87" s="96" t="s">
        <v>60</v>
      </c>
      <c r="U87" s="96" t="s">
        <v>144</v>
      </c>
      <c r="V87" s="92">
        <v>46164</v>
      </c>
      <c r="W87" s="92"/>
      <c r="X87" s="92"/>
      <c r="Y87" s="97"/>
      <c r="Z87" s="89" t="s">
        <v>108</v>
      </c>
      <c r="AA87" s="96">
        <v>46174</v>
      </c>
      <c r="AB87" s="89" t="s">
        <v>109</v>
      </c>
      <c r="AC87" s="119"/>
      <c r="AD87" s="89" t="s">
        <v>456</v>
      </c>
      <c r="AE87" s="89">
        <v>7</v>
      </c>
      <c r="AF87" s="118" t="s">
        <v>457</v>
      </c>
      <c r="AG87" s="118" t="s">
        <v>458</v>
      </c>
      <c r="AH87" s="118" t="s">
        <v>146</v>
      </c>
      <c r="AI87" s="99" t="s">
        <v>47</v>
      </c>
      <c r="AJ87" s="99" t="s">
        <v>146</v>
      </c>
      <c r="AK87" s="99" t="s">
        <v>47</v>
      </c>
      <c r="AL87" s="45" t="s">
        <v>67</v>
      </c>
      <c r="AM87" s="198" t="str">
        <f t="shared" si="10"/>
        <v>5/2026</v>
      </c>
      <c r="AN87" s="45">
        <f t="shared" si="11"/>
        <v>4</v>
      </c>
      <c r="AO87" s="45" t="str">
        <f t="shared" si="12"/>
        <v>6/2026</v>
      </c>
      <c r="AP87" s="45">
        <f t="shared" si="13"/>
        <v>1</v>
      </c>
      <c r="AQ87" s="45">
        <f>IF(AU87="S",IF(Q87="1. Aceitou o programa",R87-B87,0),0)</f>
        <v>14</v>
      </c>
      <c r="AR87" s="45">
        <f>IF(AU87="S",IF(AND(S87&lt;&gt;"",R87&lt;&gt;""),S87-R87,0),0)</f>
        <v>0</v>
      </c>
      <c r="AS87" s="45">
        <f>IF(AU87="S",IF(Q87="1. Aceitou o programa",IF(OR(X87="Não se Aplica",X87=""),IF(OR(W87="Não se Aplica",W87=""),0,W87-V87),AVERAGE(X87-W87,W87-V87)),0),0)</f>
        <v>0</v>
      </c>
      <c r="AT87" s="45">
        <f>IF(AU87="S",IF(AND(Q87="1. Aceitou o programa",AB87="Realizada"),IFERROR(IF(AA87="",0,AA87-R87),0),0),0)</f>
        <v>0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47</v>
      </c>
      <c r="B88" s="88">
        <v>46160</v>
      </c>
      <c r="C88" s="89" t="s">
        <v>420</v>
      </c>
      <c r="D88" s="89" t="s">
        <v>49</v>
      </c>
      <c r="E88" s="111">
        <v>82368557</v>
      </c>
      <c r="F88" s="220" t="s">
        <v>459</v>
      </c>
      <c r="G88" s="91" t="s">
        <v>460</v>
      </c>
      <c r="H88" s="92">
        <v>26513</v>
      </c>
      <c r="I88" s="89">
        <f t="shared" ca="1" si="9"/>
        <v>53</v>
      </c>
      <c r="J88" s="89" t="s">
        <v>70</v>
      </c>
      <c r="K88" s="89" t="s">
        <v>53</v>
      </c>
      <c r="L88" s="89" t="s">
        <v>54</v>
      </c>
      <c r="M88" s="89" t="s">
        <v>461</v>
      </c>
      <c r="N88" s="89">
        <v>450</v>
      </c>
      <c r="O88" s="93" t="s">
        <v>462</v>
      </c>
      <c r="P88" s="94" t="s">
        <v>93</v>
      </c>
      <c r="Q88" s="144" t="s">
        <v>143</v>
      </c>
      <c r="R88" s="95">
        <v>46190</v>
      </c>
      <c r="S88" s="96"/>
      <c r="T88" s="96" t="s">
        <v>60</v>
      </c>
      <c r="U88" s="96" t="s">
        <v>144</v>
      </c>
      <c r="V88" s="92">
        <v>46164</v>
      </c>
      <c r="W88" s="92">
        <v>46181</v>
      </c>
      <c r="X88" s="92"/>
      <c r="Y88" s="97"/>
      <c r="Z88" s="89" t="s">
        <v>108</v>
      </c>
      <c r="AA88" s="96">
        <v>46195</v>
      </c>
      <c r="AB88" s="89"/>
      <c r="AC88" s="119"/>
      <c r="AD88" s="89"/>
      <c r="AE88" s="89"/>
      <c r="AF88" s="118"/>
      <c r="AG88" s="118"/>
      <c r="AH88" s="118"/>
      <c r="AI88" s="99"/>
      <c r="AJ88" s="99" t="s">
        <v>146</v>
      </c>
      <c r="AK88" s="99" t="s">
        <v>66</v>
      </c>
      <c r="AL88" s="45" t="s">
        <v>67</v>
      </c>
      <c r="AM88" s="198" t="str">
        <f t="shared" si="10"/>
        <v>5/2026</v>
      </c>
      <c r="AN88" s="45">
        <f t="shared" si="11"/>
        <v>4</v>
      </c>
      <c r="AO88" s="45" t="str">
        <f t="shared" si="12"/>
        <v>6/2026</v>
      </c>
      <c r="AP88" s="45">
        <f t="shared" si="13"/>
        <v>3</v>
      </c>
      <c r="AQ88" s="45">
        <f>IF(AU88="S",IF(Q88="1. Aceitou o programa",R88-B88,0),0)</f>
        <v>30</v>
      </c>
      <c r="AR88" s="45">
        <f>IF(AU88="S",IF(AND(S88&lt;&gt;"",R88&lt;&gt;""),S88-R88,0),0)</f>
        <v>0</v>
      </c>
      <c r="AS88" s="45">
        <f>IF(AU88="S",IF(Q88="1. Aceitou o programa",IF(OR(X88="Não se Aplica",X88=""),IF(OR(W88="Não se Aplica",W88=""),0,W88-V88),AVERAGE(X88-W88,W88-V88)),0),0)</f>
        <v>17</v>
      </c>
      <c r="AT88" s="45">
        <f>IF(AU88="S",IF(AND(Q88="1. Aceitou o programa",AB88="Realizada"),IFERROR(IF(AA88="",0,AA88-R88),0),0),0)</f>
        <v>0</v>
      </c>
      <c r="AU88" s="45" t="str">
        <f>_xlfn.XLOOKUP(U88,'Lista Suspensa'!$AA$20:$AA$23,'Lista Suspensa'!$AB$20:$AB$23,"N/A")</f>
        <v>S</v>
      </c>
    </row>
    <row r="89" spans="1:47" ht="12" hidden="1" customHeight="1">
      <c r="A89" s="87" t="s">
        <v>47</v>
      </c>
      <c r="B89" s="88">
        <v>46160</v>
      </c>
      <c r="C89" s="89" t="s">
        <v>420</v>
      </c>
      <c r="D89" s="89" t="s">
        <v>49</v>
      </c>
      <c r="E89" s="111">
        <v>89506661</v>
      </c>
      <c r="F89" s="220" t="s">
        <v>463</v>
      </c>
      <c r="G89" s="91" t="s">
        <v>464</v>
      </c>
      <c r="H89" s="92">
        <v>27078</v>
      </c>
      <c r="I89" s="89">
        <f t="shared" ca="1" si="9"/>
        <v>52</v>
      </c>
      <c r="J89" s="89" t="s">
        <v>52</v>
      </c>
      <c r="K89" s="89" t="s">
        <v>53</v>
      </c>
      <c r="L89" s="89" t="s">
        <v>54</v>
      </c>
      <c r="M89" s="89" t="s">
        <v>465</v>
      </c>
      <c r="N89" s="89">
        <v>110</v>
      </c>
      <c r="O89" s="93" t="s">
        <v>466</v>
      </c>
      <c r="P89" s="94" t="s">
        <v>93</v>
      </c>
      <c r="Q89" s="144" t="s">
        <v>143</v>
      </c>
      <c r="R89" s="95">
        <v>46178</v>
      </c>
      <c r="S89" s="96"/>
      <c r="T89" s="96" t="s">
        <v>60</v>
      </c>
      <c r="U89" s="96" t="s">
        <v>144</v>
      </c>
      <c r="V89" s="92">
        <v>46164</v>
      </c>
      <c r="W89" s="92">
        <v>46181</v>
      </c>
      <c r="X89" s="92"/>
      <c r="Y89" s="97"/>
      <c r="Z89" s="89" t="s">
        <v>108</v>
      </c>
      <c r="AA89" s="96">
        <v>46184</v>
      </c>
      <c r="AB89" s="89" t="s">
        <v>109</v>
      </c>
      <c r="AC89" s="119">
        <v>46188</v>
      </c>
      <c r="AD89" s="119" t="s">
        <v>467</v>
      </c>
      <c r="AE89" s="119">
        <v>0</v>
      </c>
      <c r="AF89" s="118" t="s">
        <v>468</v>
      </c>
      <c r="AG89" s="118" t="s">
        <v>468</v>
      </c>
      <c r="AH89" s="118" t="s">
        <v>469</v>
      </c>
      <c r="AI89" s="99"/>
      <c r="AJ89" s="99" t="s">
        <v>146</v>
      </c>
      <c r="AK89" s="99" t="s">
        <v>47</v>
      </c>
      <c r="AL89" s="45" t="s">
        <v>67</v>
      </c>
      <c r="AM89" s="198" t="str">
        <f t="shared" si="10"/>
        <v>5/2026</v>
      </c>
      <c r="AN89" s="45">
        <f t="shared" si="11"/>
        <v>4</v>
      </c>
      <c r="AO89" s="45" t="str">
        <f t="shared" si="12"/>
        <v>6/2026</v>
      </c>
      <c r="AP89" s="45">
        <f t="shared" si="13"/>
        <v>1</v>
      </c>
      <c r="AQ89" s="45">
        <f>IF(AU89="S",IF(Q89="1. Aceitou o programa",R89-B89,0),0)</f>
        <v>18</v>
      </c>
      <c r="AR89" s="45">
        <f>IF(AU89="S",IF(AND(S89&lt;&gt;"",R89&lt;&gt;""),S89-R89,0),0)</f>
        <v>0</v>
      </c>
      <c r="AS89" s="45">
        <f>IF(AU89="S",IF(Q89="1. Aceitou o programa",IF(OR(X89="Não se Aplica",X89=""),IF(OR(W89="Não se Aplica",W89=""),0,W89-V89),AVERAGE(X89-W89,W89-V89)),0),0)</f>
        <v>17</v>
      </c>
      <c r="AT89" s="45">
        <f>IF(AU89="S",IF(AND(Q89="1. Aceitou o programa",AB89="Realizada"),IFERROR(IF(AA89="",0,AA89-R89),0),0),0)</f>
        <v>6</v>
      </c>
      <c r="AU89" s="45" t="str">
        <f>_xlfn.XLOOKUP(U89,'Lista Suspensa'!$AA$20:$AA$23,'Lista Suspensa'!$AB$20:$AB$23,"N/A")</f>
        <v>S</v>
      </c>
    </row>
    <row r="90" spans="1:47" ht="12" hidden="1" customHeight="1">
      <c r="A90" s="87" t="s">
        <v>47</v>
      </c>
      <c r="B90" s="88">
        <v>46167</v>
      </c>
      <c r="C90" s="89" t="s">
        <v>48</v>
      </c>
      <c r="D90" s="89" t="s">
        <v>49</v>
      </c>
      <c r="E90" s="111">
        <v>85000064</v>
      </c>
      <c r="F90" s="220" t="s">
        <v>470</v>
      </c>
      <c r="G90" s="112" t="s">
        <v>471</v>
      </c>
      <c r="H90" s="97">
        <v>24063</v>
      </c>
      <c r="I90" s="89">
        <f t="shared" ca="1" si="9"/>
        <v>60</v>
      </c>
      <c r="J90" s="89" t="s">
        <v>70</v>
      </c>
      <c r="K90" s="89" t="s">
        <v>53</v>
      </c>
      <c r="L90" s="89" t="s">
        <v>54</v>
      </c>
      <c r="M90" s="89" t="s">
        <v>472</v>
      </c>
      <c r="N90" s="89">
        <v>450</v>
      </c>
      <c r="O90" s="93" t="s">
        <v>473</v>
      </c>
      <c r="P90" s="94" t="s">
        <v>93</v>
      </c>
      <c r="Q90" s="144" t="s">
        <v>143</v>
      </c>
      <c r="R90" s="95">
        <v>46171</v>
      </c>
      <c r="S90" s="120"/>
      <c r="T90" s="96" t="s">
        <v>60</v>
      </c>
      <c r="U90" s="96" t="s">
        <v>144</v>
      </c>
      <c r="V90" s="97">
        <v>46170</v>
      </c>
      <c r="W90" s="92" t="s">
        <v>95</v>
      </c>
      <c r="X90" s="92" t="s">
        <v>95</v>
      </c>
      <c r="Y90" s="97"/>
      <c r="Z90" s="89" t="s">
        <v>108</v>
      </c>
      <c r="AA90" s="121">
        <v>46175</v>
      </c>
      <c r="AB90" s="89" t="s">
        <v>145</v>
      </c>
      <c r="AC90" s="119"/>
      <c r="AD90" s="119"/>
      <c r="AE90" s="119"/>
      <c r="AF90" s="118"/>
      <c r="AG90" s="118"/>
      <c r="AH90" s="118"/>
      <c r="AI90" s="99"/>
      <c r="AJ90" s="99" t="s">
        <v>146</v>
      </c>
      <c r="AK90" s="99" t="s">
        <v>47</v>
      </c>
      <c r="AL90" s="45" t="s">
        <v>67</v>
      </c>
      <c r="AM90" s="198" t="str">
        <f t="shared" si="10"/>
        <v>5/2026</v>
      </c>
      <c r="AN90" s="45">
        <f t="shared" si="11"/>
        <v>5</v>
      </c>
      <c r="AO90" s="45" t="str">
        <f t="shared" si="12"/>
        <v>5/2026</v>
      </c>
      <c r="AP90" s="45">
        <f t="shared" si="13"/>
        <v>5</v>
      </c>
      <c r="AQ90" s="45">
        <f>IF(AU90="S",IF(Q90="1. Aceitou o programa",R90-B90,0),0)</f>
        <v>4</v>
      </c>
      <c r="AR90" s="45">
        <f>IF(AU90="S",IF(AND(S90&lt;&gt;"",R90&lt;&gt;""),S90-R90,0),0)</f>
        <v>0</v>
      </c>
      <c r="AS90" s="45">
        <f>IF(AU90="S",IF(Q90="1. Aceitou o programa",IF(OR(X90="Não se Aplica",X90=""),IF(OR(W90="Não se Aplica",W90=""),0,W90-V90),AVERAGE(X90-W90,W90-V90)),0),0)</f>
        <v>0</v>
      </c>
      <c r="AT90" s="45">
        <f>IF(AU90="S",IF(AND(Q90="1. Aceitou o programa",AB90="Realizada"),IFERROR(IF(AA90="",0,AA90-R90),0),0),0)</f>
        <v>0</v>
      </c>
      <c r="AU90" s="45" t="str">
        <f>_xlfn.XLOOKUP(U90,'Lista Suspensa'!$AA$20:$AA$23,'Lista Suspensa'!$AB$20:$AB$23,"N/A")</f>
        <v>S</v>
      </c>
    </row>
    <row r="91" spans="1:47" ht="12" hidden="1" customHeight="1">
      <c r="A91" s="87" t="s">
        <v>47</v>
      </c>
      <c r="B91" s="88">
        <v>46167</v>
      </c>
      <c r="C91" s="89" t="s">
        <v>48</v>
      </c>
      <c r="D91" s="89" t="s">
        <v>49</v>
      </c>
      <c r="E91" s="111">
        <v>792222458</v>
      </c>
      <c r="F91" s="220" t="s">
        <v>474</v>
      </c>
      <c r="G91" s="112" t="s">
        <v>475</v>
      </c>
      <c r="H91" s="97">
        <v>31055</v>
      </c>
      <c r="I91" s="89">
        <f t="shared" ca="1" si="9"/>
        <v>41</v>
      </c>
      <c r="J91" s="89" t="s">
        <v>52</v>
      </c>
      <c r="K91" s="89" t="s">
        <v>53</v>
      </c>
      <c r="L91" s="89" t="s">
        <v>54</v>
      </c>
      <c r="M91" s="89" t="s">
        <v>476</v>
      </c>
      <c r="N91" s="87">
        <v>100</v>
      </c>
      <c r="O91" s="90" t="s">
        <v>477</v>
      </c>
      <c r="P91" s="94" t="s">
        <v>93</v>
      </c>
      <c r="Q91" s="144" t="s">
        <v>143</v>
      </c>
      <c r="R91" s="95">
        <v>46171</v>
      </c>
      <c r="S91" s="120"/>
      <c r="T91" s="96" t="s">
        <v>60</v>
      </c>
      <c r="U91" s="96" t="s">
        <v>144</v>
      </c>
      <c r="V91" s="97">
        <v>46170</v>
      </c>
      <c r="W91" s="92" t="s">
        <v>95</v>
      </c>
      <c r="X91" s="92" t="s">
        <v>95</v>
      </c>
      <c r="Y91" s="97"/>
      <c r="Z91" s="89" t="s">
        <v>108</v>
      </c>
      <c r="AA91" s="121">
        <v>46178</v>
      </c>
      <c r="AB91" s="89" t="s">
        <v>109</v>
      </c>
      <c r="AC91" s="119"/>
      <c r="AD91" s="89" t="s">
        <v>425</v>
      </c>
      <c r="AE91" s="229">
        <v>15</v>
      </c>
      <c r="AF91" s="118" t="s">
        <v>203</v>
      </c>
      <c r="AG91" s="118" t="s">
        <v>203</v>
      </c>
      <c r="AH91" s="118" t="s">
        <v>204</v>
      </c>
      <c r="AI91" s="99"/>
      <c r="AJ91" s="99" t="s">
        <v>146</v>
      </c>
      <c r="AK91" s="99" t="s">
        <v>47</v>
      </c>
      <c r="AL91" s="45" t="s">
        <v>67</v>
      </c>
      <c r="AM91" s="198" t="str">
        <f t="shared" si="10"/>
        <v>5/2026</v>
      </c>
      <c r="AN91" s="45">
        <f t="shared" si="11"/>
        <v>5</v>
      </c>
      <c r="AO91" s="45" t="str">
        <f t="shared" si="12"/>
        <v>5/2026</v>
      </c>
      <c r="AP91" s="45">
        <f t="shared" si="13"/>
        <v>5</v>
      </c>
      <c r="AQ91" s="45">
        <f>IF(AU91="S",IF(Q91="1. Aceitou o programa",R91-B91,0),0)</f>
        <v>4</v>
      </c>
      <c r="AR91" s="45">
        <f>IF(AU91="S",IF(AND(S91&lt;&gt;"",R91&lt;&gt;""),S91-R91,0),0)</f>
        <v>0</v>
      </c>
      <c r="AS91" s="45">
        <f>IF(AU91="S",IF(Q91="1. Aceitou o programa",IF(OR(X91="Não se Aplica",X91=""),IF(OR(W91="Não se Aplica",W91=""),0,W91-V91),AVERAGE(X91-W91,W91-V91)),0),0)</f>
        <v>0</v>
      </c>
      <c r="AT91" s="45">
        <f>IF(AU91="S",IF(AND(Q91="1. Aceitou o programa",AB91="Realizada"),IFERROR(IF(AA91="",0,AA91-R91),0),0),0)</f>
        <v>7</v>
      </c>
      <c r="AU91" s="45" t="str">
        <f>_xlfn.XLOOKUP(U91,'Lista Suspensa'!$AA$20:$AA$23,'Lista Suspensa'!$AB$20:$AB$23,"N/A")</f>
        <v>S</v>
      </c>
    </row>
    <row r="92" spans="1:47" ht="12" hidden="1" customHeight="1">
      <c r="A92" s="87" t="s">
        <v>47</v>
      </c>
      <c r="B92" s="88">
        <v>46167</v>
      </c>
      <c r="C92" s="89" t="s">
        <v>48</v>
      </c>
      <c r="D92" s="89" t="s">
        <v>49</v>
      </c>
      <c r="E92" s="111">
        <v>85573474</v>
      </c>
      <c r="F92" s="220" t="s">
        <v>478</v>
      </c>
      <c r="G92" s="112" t="s">
        <v>479</v>
      </c>
      <c r="H92" s="97">
        <v>25143</v>
      </c>
      <c r="I92" s="89">
        <f t="shared" ca="1" si="9"/>
        <v>57</v>
      </c>
      <c r="J92" s="89" t="s">
        <v>70</v>
      </c>
      <c r="K92" s="89" t="s">
        <v>53</v>
      </c>
      <c r="L92" s="89" t="s">
        <v>271</v>
      </c>
      <c r="M92" s="89" t="s">
        <v>480</v>
      </c>
      <c r="N92" s="87">
        <v>600</v>
      </c>
      <c r="O92" s="90" t="s">
        <v>481</v>
      </c>
      <c r="P92" s="94" t="s">
        <v>93</v>
      </c>
      <c r="Q92" s="144" t="s">
        <v>143</v>
      </c>
      <c r="R92" s="120">
        <v>46178</v>
      </c>
      <c r="S92" s="120"/>
      <c r="T92" s="96" t="s">
        <v>60</v>
      </c>
      <c r="U92" s="96" t="s">
        <v>144</v>
      </c>
      <c r="V92" s="97">
        <v>46170</v>
      </c>
      <c r="W92" s="92">
        <v>46181</v>
      </c>
      <c r="X92" s="117"/>
      <c r="Y92" s="97"/>
      <c r="Z92" s="89" t="s">
        <v>108</v>
      </c>
      <c r="AA92" s="121">
        <v>46188</v>
      </c>
      <c r="AB92" s="89"/>
      <c r="AC92" s="119"/>
      <c r="AD92" s="89"/>
      <c r="AE92" s="89"/>
      <c r="AF92" s="118"/>
      <c r="AG92" s="118"/>
      <c r="AH92" s="118"/>
      <c r="AI92" s="99"/>
      <c r="AJ92" s="99" t="s">
        <v>146</v>
      </c>
      <c r="AK92" s="99" t="s">
        <v>47</v>
      </c>
      <c r="AL92" s="45" t="s">
        <v>67</v>
      </c>
      <c r="AM92" s="198" t="str">
        <f t="shared" si="10"/>
        <v>5/2026</v>
      </c>
      <c r="AN92" s="45">
        <f t="shared" si="11"/>
        <v>5</v>
      </c>
      <c r="AO92" s="45" t="str">
        <f t="shared" si="12"/>
        <v>6/2026</v>
      </c>
      <c r="AP92" s="45">
        <f t="shared" si="13"/>
        <v>1</v>
      </c>
      <c r="AQ92" s="45">
        <f>IF(AU92="S",IF(Q92="1. Aceitou o programa",R92-B92,0),0)</f>
        <v>11</v>
      </c>
      <c r="AR92" s="45">
        <f>IF(AU92="S",IF(AND(S92&lt;&gt;"",R92&lt;&gt;""),S92-R92,0),0)</f>
        <v>0</v>
      </c>
      <c r="AS92" s="45">
        <f>IF(AU92="S",IF(Q92="1. Aceitou o programa",IF(OR(X92="Não se Aplica",X92=""),IF(OR(W92="Não se Aplica",W92=""),0,W92-V92),AVERAGE(X92-W92,W92-V92)),0),0)</f>
        <v>11</v>
      </c>
      <c r="AT92" s="45">
        <f>IF(AU92="S",IF(AND(Q92="1. Aceitou o programa",AB92="Realizada"),IFERROR(IF(AA92="",0,AA92-R92),0),0),0)</f>
        <v>0</v>
      </c>
      <c r="AU92" s="45" t="str">
        <f>_xlfn.XLOOKUP(U92,'Lista Suspensa'!$AA$20:$AA$23,'Lista Suspensa'!$AB$20:$AB$23,"N/A")</f>
        <v>S</v>
      </c>
    </row>
    <row r="93" spans="1:47" ht="12" hidden="1" customHeight="1">
      <c r="A93" s="87" t="s">
        <v>47</v>
      </c>
      <c r="B93" s="88">
        <v>46167</v>
      </c>
      <c r="C93" s="89" t="s">
        <v>48</v>
      </c>
      <c r="D93" s="89" t="s">
        <v>49</v>
      </c>
      <c r="E93" s="111">
        <v>94201547</v>
      </c>
      <c r="F93" s="220" t="s">
        <v>482</v>
      </c>
      <c r="G93" s="112" t="s">
        <v>483</v>
      </c>
      <c r="H93" s="97">
        <v>21782</v>
      </c>
      <c r="I93" s="89">
        <f t="shared" ca="1" si="9"/>
        <v>66</v>
      </c>
      <c r="J93" s="89" t="s">
        <v>70</v>
      </c>
      <c r="K93" s="89" t="s">
        <v>53</v>
      </c>
      <c r="L93" s="89" t="s">
        <v>54</v>
      </c>
      <c r="M93" s="89" t="s">
        <v>158</v>
      </c>
      <c r="N93" s="87">
        <v>750</v>
      </c>
      <c r="O93" s="90" t="s">
        <v>484</v>
      </c>
      <c r="P93" s="94" t="s">
        <v>93</v>
      </c>
      <c r="Q93" s="144" t="s">
        <v>143</v>
      </c>
      <c r="R93" s="95">
        <v>46171</v>
      </c>
      <c r="S93" s="120"/>
      <c r="T93" s="96" t="s">
        <v>60</v>
      </c>
      <c r="U93" s="96" t="s">
        <v>144</v>
      </c>
      <c r="V93" s="97">
        <v>46170</v>
      </c>
      <c r="W93" s="92" t="s">
        <v>95</v>
      </c>
      <c r="X93" s="92" t="s">
        <v>95</v>
      </c>
      <c r="Y93" s="97"/>
      <c r="Z93" s="89" t="s">
        <v>108</v>
      </c>
      <c r="AA93" s="121">
        <v>46174</v>
      </c>
      <c r="AB93" s="89" t="s">
        <v>145</v>
      </c>
      <c r="AC93" s="119"/>
      <c r="AD93" s="119"/>
      <c r="AE93" s="119"/>
      <c r="AF93" s="118"/>
      <c r="AG93" s="118"/>
      <c r="AH93" s="118"/>
      <c r="AI93" s="99"/>
      <c r="AJ93" s="99" t="s">
        <v>146</v>
      </c>
      <c r="AK93" s="99" t="s">
        <v>47</v>
      </c>
      <c r="AL93" s="45" t="s">
        <v>67</v>
      </c>
      <c r="AM93" s="198" t="str">
        <f t="shared" si="10"/>
        <v>5/2026</v>
      </c>
      <c r="AN93" s="45">
        <f t="shared" si="11"/>
        <v>5</v>
      </c>
      <c r="AO93" s="45" t="str">
        <f t="shared" si="12"/>
        <v>5/2026</v>
      </c>
      <c r="AP93" s="45">
        <f t="shared" si="13"/>
        <v>5</v>
      </c>
      <c r="AQ93" s="45">
        <f>IF(AU93="S",IF(Q93="1. Aceitou o programa",R93-B93,0),0)</f>
        <v>4</v>
      </c>
      <c r="AR93" s="45">
        <f>IF(AU93="S",IF(AND(S93&lt;&gt;"",R93&lt;&gt;""),S93-R93,0),0)</f>
        <v>0</v>
      </c>
      <c r="AS93" s="45">
        <f>IF(AU93="S",IF(Q93="1. Aceitou o programa",IF(OR(X93="Não se Aplica",X93=""),IF(OR(W93="Não se Aplica",W93=""),0,W93-V93),AVERAGE(X93-W93,W93-V93)),0),0)</f>
        <v>0</v>
      </c>
      <c r="AT93" s="45">
        <f>IF(AU93="S",IF(AND(Q93="1. Aceitou o programa",AB93="Realizada"),IFERROR(IF(AA93="",0,AA93-R93),0),0),0)</f>
        <v>0</v>
      </c>
      <c r="AU93" s="45" t="str">
        <f>_xlfn.XLOOKUP(U93,'Lista Suspensa'!$AA$20:$AA$23,'Lista Suspensa'!$AB$20:$AB$23,"N/A")</f>
        <v>S</v>
      </c>
    </row>
    <row r="94" spans="1:47" ht="12" hidden="1" customHeight="1">
      <c r="A94" s="87" t="s">
        <v>47</v>
      </c>
      <c r="B94" s="88">
        <v>46167</v>
      </c>
      <c r="C94" s="89" t="s">
        <v>48</v>
      </c>
      <c r="D94" s="89" t="s">
        <v>49</v>
      </c>
      <c r="E94" s="111">
        <v>87761078</v>
      </c>
      <c r="F94" s="220" t="s">
        <v>485</v>
      </c>
      <c r="G94" s="112" t="s">
        <v>486</v>
      </c>
      <c r="H94" s="97">
        <v>29454</v>
      </c>
      <c r="I94" s="89">
        <f t="shared" ca="1" si="9"/>
        <v>45</v>
      </c>
      <c r="J94" s="89" t="s">
        <v>52</v>
      </c>
      <c r="K94" s="89" t="s">
        <v>53</v>
      </c>
      <c r="L94" s="89" t="s">
        <v>54</v>
      </c>
      <c r="M94" s="89" t="s">
        <v>472</v>
      </c>
      <c r="N94" s="89">
        <v>380</v>
      </c>
      <c r="O94" s="90" t="s">
        <v>487</v>
      </c>
      <c r="P94" s="94" t="s">
        <v>93</v>
      </c>
      <c r="Q94" s="144" t="s">
        <v>94</v>
      </c>
      <c r="R94" s="95">
        <v>46171</v>
      </c>
      <c r="S94" s="120">
        <v>46178</v>
      </c>
      <c r="T94" s="96" t="s">
        <v>60</v>
      </c>
      <c r="U94" s="96" t="s">
        <v>61</v>
      </c>
      <c r="V94" s="97">
        <v>46170</v>
      </c>
      <c r="W94" s="92" t="s">
        <v>95</v>
      </c>
      <c r="X94" s="92" t="s">
        <v>95</v>
      </c>
      <c r="Y94" s="97"/>
      <c r="Z94" s="89" t="s">
        <v>108</v>
      </c>
      <c r="AA94" s="121">
        <v>46178</v>
      </c>
      <c r="AB94" s="89" t="s">
        <v>109</v>
      </c>
      <c r="AC94" s="119"/>
      <c r="AD94" s="119"/>
      <c r="AE94" s="119"/>
      <c r="AF94" s="118"/>
      <c r="AG94" s="118"/>
      <c r="AH94" s="118" t="s">
        <v>63</v>
      </c>
      <c r="AI94" s="99" t="s">
        <v>64</v>
      </c>
      <c r="AJ94" s="99" t="s">
        <v>65</v>
      </c>
      <c r="AK94" s="99"/>
      <c r="AL94" s="45" t="s">
        <v>67</v>
      </c>
      <c r="AM94" s="198" t="str">
        <f t="shared" si="10"/>
        <v>5/2026</v>
      </c>
      <c r="AN94" s="45">
        <f t="shared" si="11"/>
        <v>5</v>
      </c>
      <c r="AO94" s="45" t="str">
        <f t="shared" si="12"/>
        <v>5/2026</v>
      </c>
      <c r="AP94" s="45">
        <f t="shared" si="13"/>
        <v>5</v>
      </c>
      <c r="AQ94" s="45">
        <f>IF(AU94="S",IF(Q94="1. Aceitou o programa",R94-B94,0),0)</f>
        <v>0</v>
      </c>
      <c r="AR94" s="45">
        <f>IF(AU94="S",IF(AND(S94&lt;&gt;"",R94&lt;&gt;""),S94-R94,0),0)</f>
        <v>7</v>
      </c>
      <c r="AS94" s="45">
        <f>IF(AU94="S",IF(Q94="1. Aceitou o programa",IF(OR(X94="Não se Aplica",X94=""),IF(OR(W94="Não se Aplica",W94=""),0,W94-V94),AVERAGE(X94-W94,W94-V94)),0),0)</f>
        <v>0</v>
      </c>
      <c r="AT94" s="45">
        <f>IF(AU94="S",IF(AND(Q94="1. Aceitou o programa",AB94="Realizada"),IFERROR(IF(AA94="",0,AA94-R94),0),0),0)</f>
        <v>0</v>
      </c>
      <c r="AU94" s="45" t="str">
        <f>_xlfn.XLOOKUP(U94,'Lista Suspensa'!$AA$20:$AA$23,'Lista Suspensa'!$AB$20:$AB$23,"N/A")</f>
        <v>S</v>
      </c>
    </row>
    <row r="95" spans="1:47" ht="12" customHeight="1">
      <c r="A95" s="87" t="s">
        <v>47</v>
      </c>
      <c r="B95" s="88">
        <v>46167</v>
      </c>
      <c r="C95" s="89" t="s">
        <v>48</v>
      </c>
      <c r="D95" s="89" t="s">
        <v>49</v>
      </c>
      <c r="E95" s="111">
        <v>451692292</v>
      </c>
      <c r="F95" s="220" t="s">
        <v>488</v>
      </c>
      <c r="G95" s="112" t="s">
        <v>489</v>
      </c>
      <c r="H95" s="97">
        <v>18587</v>
      </c>
      <c r="I95" s="89">
        <f t="shared" ca="1" si="9"/>
        <v>75</v>
      </c>
      <c r="J95" s="89" t="s">
        <v>52</v>
      </c>
      <c r="K95" s="89" t="s">
        <v>53</v>
      </c>
      <c r="L95" s="89" t="s">
        <v>54</v>
      </c>
      <c r="M95" s="89" t="s">
        <v>490</v>
      </c>
      <c r="N95" s="89">
        <v>400</v>
      </c>
      <c r="O95" s="90" t="s">
        <v>491</v>
      </c>
      <c r="P95" s="94" t="s">
        <v>93</v>
      </c>
      <c r="Q95" s="144" t="s">
        <v>143</v>
      </c>
      <c r="R95" s="121">
        <v>46189</v>
      </c>
      <c r="S95" s="96"/>
      <c r="T95" s="96" t="s">
        <v>60</v>
      </c>
      <c r="U95" s="96" t="s">
        <v>144</v>
      </c>
      <c r="V95" s="97">
        <v>46170</v>
      </c>
      <c r="W95" s="92">
        <v>46181</v>
      </c>
      <c r="X95" s="117">
        <v>46189</v>
      </c>
      <c r="Y95" s="117"/>
      <c r="Z95" s="89" t="s">
        <v>108</v>
      </c>
      <c r="AA95" s="96">
        <v>46195</v>
      </c>
      <c r="AB95" s="89"/>
      <c r="AC95" s="119"/>
      <c r="AD95" s="89"/>
      <c r="AE95" s="89"/>
      <c r="AF95" s="118"/>
      <c r="AG95" s="118"/>
      <c r="AH95" s="118"/>
      <c r="AI95" s="99"/>
      <c r="AJ95" s="99" t="s">
        <v>146</v>
      </c>
      <c r="AK95" s="99" t="s">
        <v>66</v>
      </c>
      <c r="AL95" s="45" t="s">
        <v>67</v>
      </c>
      <c r="AM95" s="198" t="str">
        <f t="shared" si="10"/>
        <v>5/2026</v>
      </c>
      <c r="AN95" s="45">
        <f t="shared" si="11"/>
        <v>5</v>
      </c>
      <c r="AO95" s="45" t="str">
        <f t="shared" si="12"/>
        <v>6/2026</v>
      </c>
      <c r="AP95" s="45">
        <f t="shared" si="13"/>
        <v>3</v>
      </c>
      <c r="AQ95" s="45">
        <f>IF(AU95="S",IF(Q95="1. Aceitou o programa",R95-B95,0),0)</f>
        <v>22</v>
      </c>
      <c r="AR95" s="45">
        <f>IF(AU95="S",IF(AND(S95&lt;&gt;"",R95&lt;&gt;""),S95-R95,0),0)</f>
        <v>0</v>
      </c>
      <c r="AS95" s="45">
        <f>IF(AU95="S",IF(Q95="1. Aceitou o programa",IF(OR(X95="Não se Aplica",X95=""),IF(OR(W95="Não se Aplica",W95=""),0,W95-V95),AVERAGE(X95-W95,W95-V95)),0),0)</f>
        <v>9.5</v>
      </c>
      <c r="AT95" s="45">
        <f>IF(AU95="S",IF(AND(Q95="1. Aceitou o programa",AB95="Realizada"),IFERROR(IF(AA95="",0,AA95-R95),0),0),0)</f>
        <v>0</v>
      </c>
      <c r="AU95" s="45" t="str">
        <f>_xlfn.XLOOKUP(U95,'Lista Suspensa'!$AA$20:$AA$23,'Lista Suspensa'!$AB$20:$AB$23,"N/A")</f>
        <v>S</v>
      </c>
    </row>
    <row r="96" spans="1:47" ht="12" hidden="1" customHeight="1">
      <c r="A96" s="87" t="s">
        <v>47</v>
      </c>
      <c r="B96" s="88">
        <v>46167</v>
      </c>
      <c r="C96" s="89" t="s">
        <v>48</v>
      </c>
      <c r="D96" s="89" t="s">
        <v>49</v>
      </c>
      <c r="E96" s="111">
        <v>451837614</v>
      </c>
      <c r="F96" s="220" t="s">
        <v>492</v>
      </c>
      <c r="G96" s="112" t="s">
        <v>493</v>
      </c>
      <c r="H96" s="97">
        <v>30034</v>
      </c>
      <c r="I96" s="89">
        <f t="shared" ca="1" si="9"/>
        <v>44</v>
      </c>
      <c r="J96" s="89" t="s">
        <v>52</v>
      </c>
      <c r="K96" s="89" t="s">
        <v>53</v>
      </c>
      <c r="L96" s="89" t="s">
        <v>271</v>
      </c>
      <c r="M96" s="89" t="s">
        <v>254</v>
      </c>
      <c r="N96" s="89">
        <v>400</v>
      </c>
      <c r="O96" s="90" t="s">
        <v>494</v>
      </c>
      <c r="P96" s="94" t="s">
        <v>93</v>
      </c>
      <c r="Q96" s="144" t="s">
        <v>143</v>
      </c>
      <c r="R96" s="95">
        <v>46171</v>
      </c>
      <c r="S96" s="96"/>
      <c r="T96" s="96" t="s">
        <v>60</v>
      </c>
      <c r="U96" s="96" t="s">
        <v>144</v>
      </c>
      <c r="V96" s="97">
        <v>46170</v>
      </c>
      <c r="W96" s="92" t="s">
        <v>95</v>
      </c>
      <c r="X96" s="92" t="s">
        <v>95</v>
      </c>
      <c r="Y96" s="97"/>
      <c r="Z96" s="89" t="s">
        <v>108</v>
      </c>
      <c r="AA96" s="121">
        <v>46175</v>
      </c>
      <c r="AB96" s="89" t="s">
        <v>145</v>
      </c>
      <c r="AC96" s="119"/>
      <c r="AD96" s="119"/>
      <c r="AE96" s="119"/>
      <c r="AF96" s="118"/>
      <c r="AG96" s="118"/>
      <c r="AH96" s="118"/>
      <c r="AI96" s="99"/>
      <c r="AJ96" s="99" t="s">
        <v>146</v>
      </c>
      <c r="AK96" s="99" t="s">
        <v>47</v>
      </c>
      <c r="AL96" s="45" t="s">
        <v>67</v>
      </c>
      <c r="AM96" s="198" t="str">
        <f t="shared" si="10"/>
        <v>5/2026</v>
      </c>
      <c r="AN96" s="45">
        <f t="shared" si="11"/>
        <v>5</v>
      </c>
      <c r="AO96" s="45" t="str">
        <f t="shared" si="12"/>
        <v>5/2026</v>
      </c>
      <c r="AP96" s="45">
        <f t="shared" si="13"/>
        <v>5</v>
      </c>
      <c r="AQ96" s="45">
        <f>IF(AU96="S",IF(Q96="1. Aceitou o programa",R96-B96,0),0)</f>
        <v>4</v>
      </c>
      <c r="AR96" s="45">
        <f>IF(AU96="S",IF(AND(S96&lt;&gt;"",R96&lt;&gt;""),S96-R96,0),0)</f>
        <v>0</v>
      </c>
      <c r="AS96" s="45">
        <f>IF(AU96="S",IF(Q96="1. Aceitou o programa",IF(OR(X96="Não se Aplica",X96=""),IF(OR(W96="Não se Aplica",W96=""),0,W96-V96),AVERAGE(X96-W96,W96-V96)),0),0)</f>
        <v>0</v>
      </c>
      <c r="AT96" s="45">
        <f>IF(AU96="S",IF(AND(Q96="1. Aceitou o programa",AB96="Realizada"),IFERROR(IF(AA96="",0,AA96-R96),0),0),0)</f>
        <v>0</v>
      </c>
      <c r="AU96" s="45" t="str">
        <f>_xlfn.XLOOKUP(U96,'Lista Suspensa'!$AA$20:$AA$23,'Lista Suspensa'!$AB$20:$AB$23,"N/A")</f>
        <v>S</v>
      </c>
    </row>
    <row r="97" spans="1:47" ht="12" hidden="1" customHeight="1">
      <c r="A97" s="87" t="s">
        <v>47</v>
      </c>
      <c r="B97" s="92">
        <v>46175</v>
      </c>
      <c r="C97" s="89" t="s">
        <v>48</v>
      </c>
      <c r="D97" s="89" t="s">
        <v>49</v>
      </c>
      <c r="E97" s="111">
        <v>133335003</v>
      </c>
      <c r="F97" s="220" t="s">
        <v>495</v>
      </c>
      <c r="G97" s="112" t="s">
        <v>496</v>
      </c>
      <c r="H97" s="97">
        <v>22087</v>
      </c>
      <c r="I97" s="89">
        <f t="shared" ca="1" si="9"/>
        <v>65</v>
      </c>
      <c r="J97" s="89" t="s">
        <v>52</v>
      </c>
      <c r="K97" s="89" t="s">
        <v>53</v>
      </c>
      <c r="L97" s="89" t="s">
        <v>54</v>
      </c>
      <c r="M97" s="89" t="s">
        <v>497</v>
      </c>
      <c r="N97" s="89">
        <v>400</v>
      </c>
      <c r="O97" s="90" t="s">
        <v>498</v>
      </c>
      <c r="P97" s="94" t="s">
        <v>93</v>
      </c>
      <c r="Q97" s="144" t="s">
        <v>143</v>
      </c>
      <c r="R97" s="95">
        <v>46178</v>
      </c>
      <c r="S97" s="96"/>
      <c r="T97" s="96" t="s">
        <v>60</v>
      </c>
      <c r="U97" s="96" t="s">
        <v>144</v>
      </c>
      <c r="V97" s="88">
        <v>46178</v>
      </c>
      <c r="W97" s="92">
        <v>46181</v>
      </c>
      <c r="X97" s="97"/>
      <c r="Y97" s="117"/>
      <c r="Z97" s="89" t="s">
        <v>108</v>
      </c>
      <c r="AA97" s="121">
        <v>46188</v>
      </c>
      <c r="AB97" s="89"/>
      <c r="AC97" s="119"/>
      <c r="AD97" s="89"/>
      <c r="AE97" s="89"/>
      <c r="AF97" s="118"/>
      <c r="AG97" s="118"/>
      <c r="AH97" s="118"/>
      <c r="AI97" s="99"/>
      <c r="AJ97" s="99" t="s">
        <v>146</v>
      </c>
      <c r="AK97" s="99" t="s">
        <v>47</v>
      </c>
      <c r="AL97" s="45" t="s">
        <v>67</v>
      </c>
      <c r="AM97" s="198" t="str">
        <f t="shared" si="10"/>
        <v>6/2026</v>
      </c>
      <c r="AN97" s="45">
        <f t="shared" si="11"/>
        <v>1</v>
      </c>
      <c r="AO97" s="45" t="str">
        <f t="shared" si="12"/>
        <v>6/2026</v>
      </c>
      <c r="AP97" s="45">
        <f t="shared" si="13"/>
        <v>1</v>
      </c>
      <c r="AQ97" s="45">
        <f>IF(AU97="S",IF(Q97="1. Aceitou o programa",R97-B97,0),0)</f>
        <v>3</v>
      </c>
      <c r="AR97" s="45">
        <f>IF(AU97="S",IF(AND(S97&lt;&gt;"",R97&lt;&gt;""),S97-R97,0),0)</f>
        <v>0</v>
      </c>
      <c r="AS97" s="45">
        <f>IF(AU97="S",IF(Q97="1. Aceitou o programa",IF(OR(X97="Não se Aplica",X97=""),IF(OR(W97="Não se Aplica",W97=""),0,W97-V97),AVERAGE(X97-W97,W97-V97)),0),0)</f>
        <v>3</v>
      </c>
      <c r="AT97" s="45">
        <f>IF(AU97="S",IF(AND(Q97="1. Aceitou o programa",AB97="Realizada"),IFERROR(IF(AA97="",0,AA97-R97),0),0),0)</f>
        <v>0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47</v>
      </c>
      <c r="B98" s="92">
        <v>46175</v>
      </c>
      <c r="C98" s="89" t="s">
        <v>48</v>
      </c>
      <c r="D98" s="89" t="s">
        <v>49</v>
      </c>
      <c r="E98" s="111">
        <v>82620248</v>
      </c>
      <c r="F98" s="220" t="s">
        <v>499</v>
      </c>
      <c r="G98" s="112" t="s">
        <v>500</v>
      </c>
      <c r="H98" s="97">
        <v>27533</v>
      </c>
      <c r="I98" s="89">
        <f t="shared" ca="1" si="9"/>
        <v>51</v>
      </c>
      <c r="J98" s="89" t="s">
        <v>70</v>
      </c>
      <c r="K98" s="89" t="s">
        <v>53</v>
      </c>
      <c r="L98" s="89" t="s">
        <v>54</v>
      </c>
      <c r="M98" s="89" t="s">
        <v>383</v>
      </c>
      <c r="N98" s="89">
        <v>450</v>
      </c>
      <c r="O98" s="90" t="s">
        <v>501</v>
      </c>
      <c r="P98" s="94" t="s">
        <v>93</v>
      </c>
      <c r="Q98" s="144" t="s">
        <v>143</v>
      </c>
      <c r="R98" s="121">
        <v>46189</v>
      </c>
      <c r="S98" s="96"/>
      <c r="T98" s="96" t="s">
        <v>60</v>
      </c>
      <c r="U98" s="96" t="s">
        <v>144</v>
      </c>
      <c r="V98" s="88">
        <v>46178</v>
      </c>
      <c r="W98" s="92">
        <v>46181</v>
      </c>
      <c r="X98" s="117">
        <v>46189</v>
      </c>
      <c r="Y98" s="117"/>
      <c r="Z98" s="89" t="s">
        <v>108</v>
      </c>
      <c r="AA98" s="96">
        <v>46197</v>
      </c>
      <c r="AB98" s="89"/>
      <c r="AC98" s="119"/>
      <c r="AD98" s="89"/>
      <c r="AE98" s="89"/>
      <c r="AF98" s="118"/>
      <c r="AG98" s="118"/>
      <c r="AH98" s="118"/>
      <c r="AI98" s="99"/>
      <c r="AJ98" s="99" t="s">
        <v>146</v>
      </c>
      <c r="AK98" s="99"/>
      <c r="AL98" s="45" t="s">
        <v>67</v>
      </c>
      <c r="AM98" s="198" t="str">
        <f t="shared" ref="AM98:AM118" si="14">MONTH(B98)&amp;"/"&amp;YEAR(B98)</f>
        <v>6/2026</v>
      </c>
      <c r="AN98" s="45">
        <f t="shared" ref="AN98:AN118" si="15">WEEKNUM(B98)-WEEKNUM(EOMONTH(B98,-1)+1)+1</f>
        <v>1</v>
      </c>
      <c r="AO98" s="45" t="str">
        <f t="shared" ref="AO98:AO118" si="16">MONTH(R98)&amp;"/"&amp;YEAR(R98)</f>
        <v>6/2026</v>
      </c>
      <c r="AP98" s="45">
        <f t="shared" ref="AP98:AP118" si="17">WEEKNUM(R98)-WEEKNUM(EOMONTH(R98,-1)+1)+1</f>
        <v>3</v>
      </c>
      <c r="AQ98" s="45">
        <f>IF(AU98="S",IF(Q98="1. Aceitou o programa",R98-B98,0),0)</f>
        <v>14</v>
      </c>
      <c r="AR98" s="45">
        <f>IF(AU98="S",IF(AND(S98&lt;&gt;"",R98&lt;&gt;""),S98-R98,0),0)</f>
        <v>0</v>
      </c>
      <c r="AS98" s="45">
        <f>IF(AU98="S",IF(Q98="1. Aceitou o programa",IF(OR(X98="Não se Aplica",X98=""),IF(OR(W98="Não se Aplica",W98=""),0,W98-V98),AVERAGE(X98-W98,W98-V98)),0),0)</f>
        <v>5.5</v>
      </c>
      <c r="AT98" s="45">
        <f>IF(AU98="S",IF(AND(Q98="1. Aceitou o programa",AB98="Realizada"),IFERROR(IF(AA98="",0,AA98-R98),0),0),0)</f>
        <v>0</v>
      </c>
      <c r="AU98" s="45" t="str">
        <f>_xlfn.XLOOKUP(U98,'Lista Suspensa'!$AA$20:$AA$23,'Lista Suspensa'!$AB$20:$AB$23,"N/A")</f>
        <v>S</v>
      </c>
    </row>
    <row r="99" spans="1:47" ht="12" hidden="1" customHeight="1">
      <c r="A99" s="87" t="s">
        <v>47</v>
      </c>
      <c r="B99" s="92">
        <v>46175</v>
      </c>
      <c r="C99" s="89" t="s">
        <v>48</v>
      </c>
      <c r="D99" s="89" t="s">
        <v>49</v>
      </c>
      <c r="E99" s="111">
        <v>95769885</v>
      </c>
      <c r="F99" s="220" t="s">
        <v>502</v>
      </c>
      <c r="G99" s="112" t="s">
        <v>503</v>
      </c>
      <c r="H99" s="97">
        <v>30966</v>
      </c>
      <c r="I99" s="89">
        <f t="shared" ca="1" si="9"/>
        <v>41</v>
      </c>
      <c r="J99" s="89" t="s">
        <v>52</v>
      </c>
      <c r="K99" s="89" t="s">
        <v>53</v>
      </c>
      <c r="L99" s="89" t="s">
        <v>54</v>
      </c>
      <c r="M99" s="89" t="s">
        <v>78</v>
      </c>
      <c r="N99" s="89">
        <v>110</v>
      </c>
      <c r="O99" s="90" t="s">
        <v>504</v>
      </c>
      <c r="P99" s="94" t="s">
        <v>93</v>
      </c>
      <c r="Q99" s="144" t="s">
        <v>143</v>
      </c>
      <c r="R99" s="95">
        <v>46178</v>
      </c>
      <c r="S99" s="96"/>
      <c r="T99" s="96" t="s">
        <v>60</v>
      </c>
      <c r="U99" s="96" t="s">
        <v>144</v>
      </c>
      <c r="V99" s="88">
        <v>46178</v>
      </c>
      <c r="W99" s="92">
        <v>46181</v>
      </c>
      <c r="X99" s="117"/>
      <c r="Y99" s="97"/>
      <c r="Z99" s="89" t="s">
        <v>108</v>
      </c>
      <c r="AA99" s="96">
        <v>46189</v>
      </c>
      <c r="AB99" s="89"/>
      <c r="AC99" s="119"/>
      <c r="AD99" s="89"/>
      <c r="AE99" s="89"/>
      <c r="AF99" s="118"/>
      <c r="AG99" s="118"/>
      <c r="AH99" s="118"/>
      <c r="AI99" s="99"/>
      <c r="AJ99" s="99" t="s">
        <v>146</v>
      </c>
      <c r="AK99" s="99" t="s">
        <v>47</v>
      </c>
      <c r="AL99" s="45" t="s">
        <v>67</v>
      </c>
      <c r="AM99" s="198" t="str">
        <f t="shared" si="14"/>
        <v>6/2026</v>
      </c>
      <c r="AN99" s="45">
        <f t="shared" si="15"/>
        <v>1</v>
      </c>
      <c r="AO99" s="45" t="str">
        <f t="shared" si="16"/>
        <v>6/2026</v>
      </c>
      <c r="AP99" s="45">
        <f t="shared" si="17"/>
        <v>1</v>
      </c>
      <c r="AQ99" s="45">
        <f>IF(AU99="S",IF(Q99="1. Aceitou o programa",R99-B99,0),0)</f>
        <v>3</v>
      </c>
      <c r="AR99" s="45">
        <f>IF(AU99="S",IF(AND(S99&lt;&gt;"",R99&lt;&gt;""),S99-R99,0),0)</f>
        <v>0</v>
      </c>
      <c r="AS99" s="45">
        <f>IF(AU99="S",IF(Q99="1. Aceitou o programa",IF(OR(X99="Não se Aplica",X99=""),IF(OR(W99="Não se Aplica",W99=""),0,W99-V99),AVERAGE(X99-W99,W99-V99)),0),0)</f>
        <v>3</v>
      </c>
      <c r="AT99" s="45">
        <f>IF(AU99="S",IF(AND(Q99="1. Aceitou o programa",AB99="Realizada"),IFERROR(IF(AA99="",0,AA99-R99),0),0),0)</f>
        <v>0</v>
      </c>
      <c r="AU99" s="45" t="str">
        <f>_xlfn.XLOOKUP(U99,'Lista Suspensa'!$AA$20:$AA$23,'Lista Suspensa'!$AB$20:$AB$23,"N/A")</f>
        <v>S</v>
      </c>
    </row>
    <row r="100" spans="1:47" ht="12" hidden="1" customHeight="1">
      <c r="A100" s="87" t="s">
        <v>47</v>
      </c>
      <c r="B100" s="92">
        <v>46175</v>
      </c>
      <c r="C100" s="89" t="s">
        <v>48</v>
      </c>
      <c r="D100" s="89" t="s">
        <v>49</v>
      </c>
      <c r="E100" s="111">
        <v>84633678</v>
      </c>
      <c r="F100" s="220" t="s">
        <v>505</v>
      </c>
      <c r="G100" s="112" t="s">
        <v>506</v>
      </c>
      <c r="H100" s="97">
        <v>15810</v>
      </c>
      <c r="I100" s="89">
        <f t="shared" ca="1" si="9"/>
        <v>83</v>
      </c>
      <c r="J100" s="89" t="s">
        <v>52</v>
      </c>
      <c r="K100" s="89" t="s">
        <v>53</v>
      </c>
      <c r="L100" s="89" t="s">
        <v>54</v>
      </c>
      <c r="M100" s="89" t="s">
        <v>368</v>
      </c>
      <c r="N100" s="89">
        <v>380</v>
      </c>
      <c r="O100" s="90" t="s">
        <v>507</v>
      </c>
      <c r="P100" s="94" t="s">
        <v>93</v>
      </c>
      <c r="Q100" s="144" t="s">
        <v>143</v>
      </c>
      <c r="R100" s="95">
        <v>46178</v>
      </c>
      <c r="S100" s="96"/>
      <c r="T100" s="96" t="s">
        <v>60</v>
      </c>
      <c r="U100" s="96" t="s">
        <v>144</v>
      </c>
      <c r="V100" s="88">
        <v>46178</v>
      </c>
      <c r="W100" s="92">
        <v>46181</v>
      </c>
      <c r="X100" s="117"/>
      <c r="Y100" s="97"/>
      <c r="Z100" s="89" t="s">
        <v>108</v>
      </c>
      <c r="AA100" s="96">
        <v>46190</v>
      </c>
      <c r="AB100" s="89"/>
      <c r="AC100" s="119"/>
      <c r="AD100" s="89"/>
      <c r="AE100" s="89"/>
      <c r="AF100" s="118"/>
      <c r="AG100" s="118"/>
      <c r="AH100" s="118"/>
      <c r="AI100" s="99"/>
      <c r="AJ100" s="99" t="s">
        <v>146</v>
      </c>
      <c r="AK100" s="99" t="s">
        <v>47</v>
      </c>
      <c r="AL100" s="45" t="s">
        <v>67</v>
      </c>
      <c r="AM100" s="198" t="str">
        <f t="shared" si="14"/>
        <v>6/2026</v>
      </c>
      <c r="AN100" s="45">
        <f t="shared" si="15"/>
        <v>1</v>
      </c>
      <c r="AO100" s="45" t="str">
        <f t="shared" si="16"/>
        <v>6/2026</v>
      </c>
      <c r="AP100" s="45">
        <f t="shared" si="17"/>
        <v>1</v>
      </c>
      <c r="AQ100" s="45">
        <f>IF(AU100="S",IF(Q100="1. Aceitou o programa",R100-B100,0),0)</f>
        <v>3</v>
      </c>
      <c r="AR100" s="45">
        <f>IF(AU100="S",IF(AND(S100&lt;&gt;"",R100&lt;&gt;""),S100-R100,0),0)</f>
        <v>0</v>
      </c>
      <c r="AS100" s="45">
        <f>IF(AU100="S",IF(Q100="1. Aceitou o programa",IF(OR(X100="Não se Aplica",X100=""),IF(OR(W100="Não se Aplica",W100=""),0,W100-V100),AVERAGE(X100-W100,W100-V100)),0),0)</f>
        <v>3</v>
      </c>
      <c r="AT100" s="45">
        <f>IF(AU100="S",IF(AND(Q100="1. Aceitou o programa",AB100="Realizada"),IFERROR(IF(AA100="",0,AA100-R100),0),0),0)</f>
        <v>0</v>
      </c>
      <c r="AU100" s="45" t="str">
        <f>_xlfn.XLOOKUP(U100,'Lista Suspensa'!$AA$20:$AA$23,'Lista Suspensa'!$AB$20:$AB$23,"N/A")</f>
        <v>S</v>
      </c>
    </row>
    <row r="101" spans="1:47" ht="12" hidden="1" customHeight="1">
      <c r="A101" s="87" t="s">
        <v>47</v>
      </c>
      <c r="B101" s="92">
        <v>46175</v>
      </c>
      <c r="C101" s="89" t="s">
        <v>48</v>
      </c>
      <c r="D101" s="89" t="s">
        <v>49</v>
      </c>
      <c r="E101" s="111">
        <v>774088311</v>
      </c>
      <c r="F101" s="220" t="s">
        <v>508</v>
      </c>
      <c r="G101" s="112" t="s">
        <v>509</v>
      </c>
      <c r="H101" s="97">
        <v>15946</v>
      </c>
      <c r="I101" s="89">
        <f t="shared" ca="1" si="9"/>
        <v>82</v>
      </c>
      <c r="J101" s="89" t="s">
        <v>52</v>
      </c>
      <c r="K101" s="89" t="s">
        <v>53</v>
      </c>
      <c r="L101" s="89" t="s">
        <v>54</v>
      </c>
      <c r="M101" s="89" t="s">
        <v>510</v>
      </c>
      <c r="N101" s="89">
        <v>300</v>
      </c>
      <c r="O101" s="90" t="s">
        <v>511</v>
      </c>
      <c r="P101" s="94" t="s">
        <v>93</v>
      </c>
      <c r="Q101" s="144" t="s">
        <v>431</v>
      </c>
      <c r="R101" s="95"/>
      <c r="S101" s="96"/>
      <c r="T101" s="96" t="s">
        <v>75</v>
      </c>
      <c r="U101" s="96" t="s">
        <v>432</v>
      </c>
      <c r="V101" s="88">
        <v>46178</v>
      </c>
      <c r="W101" s="92">
        <v>46181</v>
      </c>
      <c r="X101" s="117"/>
      <c r="Y101" s="117"/>
      <c r="Z101" s="89"/>
      <c r="AA101" s="96"/>
      <c r="AB101" s="89"/>
      <c r="AC101" s="119"/>
      <c r="AD101" s="89"/>
      <c r="AE101" s="89"/>
      <c r="AF101" s="118"/>
      <c r="AG101" s="118"/>
      <c r="AH101" s="118"/>
      <c r="AI101" s="99"/>
      <c r="AJ101" s="99"/>
      <c r="AK101" s="99"/>
      <c r="AL101" s="45" t="s">
        <v>67</v>
      </c>
      <c r="AM101" s="198" t="str">
        <f t="shared" si="14"/>
        <v>6/2026</v>
      </c>
      <c r="AN101" s="45">
        <f t="shared" si="15"/>
        <v>1</v>
      </c>
      <c r="AO101" s="45" t="str">
        <f t="shared" si="16"/>
        <v>1/1900</v>
      </c>
      <c r="AP101" s="45" t="e">
        <f t="shared" si="17"/>
        <v>#NUM!</v>
      </c>
      <c r="AQ101" s="45">
        <f>IF(AU101="S",IF(Q101="1. Aceitou o programa",R101-B101,0),0)</f>
        <v>0</v>
      </c>
      <c r="AR101" s="45">
        <f>IF(AU101="S",IF(AND(S101&lt;&gt;"",R101&lt;&gt;""),S101-R101,0),0)</f>
        <v>0</v>
      </c>
      <c r="AS101" s="45">
        <f>IF(AU101="S",IF(Q101="1. Aceitou o programa",IF(OR(X101="Não se Aplica",X101=""),IF(OR(W101="Não se Aplica",W101=""),0,W101-V101),AVERAGE(X101-W101,W101-V101)),0),0)</f>
        <v>0</v>
      </c>
      <c r="AT101" s="45">
        <f>IF(AU101="S",IF(AND(Q101="1. Aceitou o programa",AB101="Realizada"),IFERROR(IF(AA101="",0,AA101-R101),0),0),0)</f>
        <v>0</v>
      </c>
      <c r="AU101" s="45" t="str">
        <f>_xlfn.XLOOKUP(U101,'Lista Suspensa'!$AA$20:$AA$23,'Lista Suspensa'!$AB$20:$AB$23,"N/A")</f>
        <v>S</v>
      </c>
    </row>
    <row r="102" spans="1:47" ht="12" hidden="1" customHeight="1">
      <c r="A102" s="87" t="s">
        <v>47</v>
      </c>
      <c r="B102" s="92">
        <v>46175</v>
      </c>
      <c r="C102" s="89" t="s">
        <v>48</v>
      </c>
      <c r="D102" s="89" t="s">
        <v>49</v>
      </c>
      <c r="E102" s="111">
        <v>96476296</v>
      </c>
      <c r="F102" s="220" t="s">
        <v>512</v>
      </c>
      <c r="G102" s="112" t="s">
        <v>513</v>
      </c>
      <c r="H102" s="97">
        <v>26722</v>
      </c>
      <c r="I102" s="89">
        <f t="shared" ca="1" si="9"/>
        <v>53</v>
      </c>
      <c r="J102" s="89" t="s">
        <v>52</v>
      </c>
      <c r="K102" s="89" t="s">
        <v>53</v>
      </c>
      <c r="L102" s="89" t="s">
        <v>54</v>
      </c>
      <c r="M102" s="89" t="s">
        <v>514</v>
      </c>
      <c r="N102" s="89">
        <v>110</v>
      </c>
      <c r="O102" s="90" t="s">
        <v>515</v>
      </c>
      <c r="P102" s="94" t="s">
        <v>93</v>
      </c>
      <c r="Q102" s="144" t="s">
        <v>431</v>
      </c>
      <c r="R102" s="95"/>
      <c r="S102" s="96"/>
      <c r="T102" s="96" t="s">
        <v>75</v>
      </c>
      <c r="U102" s="96" t="s">
        <v>432</v>
      </c>
      <c r="V102" s="88">
        <v>46178</v>
      </c>
      <c r="W102" s="92">
        <v>46181</v>
      </c>
      <c r="X102" s="117"/>
      <c r="Y102" s="97"/>
      <c r="Z102" s="89"/>
      <c r="AA102" s="121"/>
      <c r="AB102" s="89"/>
      <c r="AC102" s="119"/>
      <c r="AD102" s="89"/>
      <c r="AE102" s="89"/>
      <c r="AF102" s="118"/>
      <c r="AG102" s="118"/>
      <c r="AH102" s="118"/>
      <c r="AI102" s="99"/>
      <c r="AJ102" s="99"/>
      <c r="AK102" s="99"/>
      <c r="AL102" s="45" t="s">
        <v>67</v>
      </c>
      <c r="AM102" s="198" t="str">
        <f t="shared" si="14"/>
        <v>6/2026</v>
      </c>
      <c r="AN102" s="45">
        <f t="shared" si="15"/>
        <v>1</v>
      </c>
      <c r="AO102" s="45" t="str">
        <f t="shared" si="16"/>
        <v>1/1900</v>
      </c>
      <c r="AP102" s="45" t="e">
        <f t="shared" si="17"/>
        <v>#NUM!</v>
      </c>
      <c r="AQ102" s="45">
        <f>IF(AU102="S",IF(Q102="1. Aceitou o programa",R102-B102,0),0)</f>
        <v>0</v>
      </c>
      <c r="AR102" s="45">
        <f>IF(AU102="S",IF(AND(S102&lt;&gt;"",R102&lt;&gt;""),S102-R102,0),0)</f>
        <v>0</v>
      </c>
      <c r="AS102" s="45">
        <f>IF(AU102="S",IF(Q102="1. Aceitou o programa",IF(OR(X102="Não se Aplica",X102=""),IF(OR(W102="Não se Aplica",W102=""),0,W102-V102),AVERAGE(X102-W102,W102-V102)),0),0)</f>
        <v>0</v>
      </c>
      <c r="AT102" s="45">
        <f>IF(AU102="S",IF(AND(Q102="1. Aceitou o programa",AB102="Realizada"),IFERROR(IF(AA102="",0,AA102-R102),0),0),0)</f>
        <v>0</v>
      </c>
      <c r="AU102" s="45" t="str">
        <f>_xlfn.XLOOKUP(U102,'Lista Suspensa'!$AA$20:$AA$23,'Lista Suspensa'!$AB$20:$AB$23,"N/A")</f>
        <v>S</v>
      </c>
    </row>
    <row r="103" spans="1:47" ht="12" hidden="1" customHeight="1">
      <c r="A103" s="87" t="s">
        <v>47</v>
      </c>
      <c r="B103" s="92">
        <v>46175</v>
      </c>
      <c r="C103" s="89" t="s">
        <v>48</v>
      </c>
      <c r="D103" s="89" t="s">
        <v>49</v>
      </c>
      <c r="E103" s="111">
        <v>92861400</v>
      </c>
      <c r="F103" s="220" t="s">
        <v>516</v>
      </c>
      <c r="G103" s="112" t="s">
        <v>517</v>
      </c>
      <c r="H103" s="97">
        <v>21958</v>
      </c>
      <c r="I103" s="89">
        <f t="shared" ca="1" si="9"/>
        <v>66</v>
      </c>
      <c r="J103" s="89" t="s">
        <v>52</v>
      </c>
      <c r="K103" s="89" t="s">
        <v>53</v>
      </c>
      <c r="L103" s="89" t="s">
        <v>54</v>
      </c>
      <c r="M103" s="89" t="s">
        <v>518</v>
      </c>
      <c r="N103" s="89">
        <v>750</v>
      </c>
      <c r="O103" s="90" t="s">
        <v>519</v>
      </c>
      <c r="P103" s="94" t="s">
        <v>93</v>
      </c>
      <c r="Q103" s="144" t="s">
        <v>431</v>
      </c>
      <c r="R103" s="95"/>
      <c r="S103" s="96"/>
      <c r="T103" s="96" t="s">
        <v>75</v>
      </c>
      <c r="U103" s="96" t="s">
        <v>432</v>
      </c>
      <c r="V103" s="88">
        <v>46178</v>
      </c>
      <c r="W103" s="92">
        <v>46181</v>
      </c>
      <c r="X103" s="117"/>
      <c r="Y103" s="117"/>
      <c r="Z103" s="89"/>
      <c r="AA103" s="96"/>
      <c r="AB103" s="89"/>
      <c r="AC103" s="119"/>
      <c r="AD103" s="89"/>
      <c r="AE103" s="89"/>
      <c r="AF103" s="118"/>
      <c r="AG103" s="118"/>
      <c r="AH103" s="118"/>
      <c r="AI103" s="99"/>
      <c r="AJ103" s="99"/>
      <c r="AK103" s="99"/>
      <c r="AL103" s="45" t="s">
        <v>67</v>
      </c>
      <c r="AM103" s="198" t="str">
        <f t="shared" si="14"/>
        <v>6/2026</v>
      </c>
      <c r="AN103" s="45">
        <f t="shared" si="15"/>
        <v>1</v>
      </c>
      <c r="AO103" s="45" t="str">
        <f t="shared" si="16"/>
        <v>1/1900</v>
      </c>
      <c r="AP103" s="45" t="e">
        <f t="shared" si="17"/>
        <v>#NUM!</v>
      </c>
      <c r="AQ103" s="45">
        <f>IF(AU103="S",IF(Q103="1. Aceitou o programa",R103-B103,0),0)</f>
        <v>0</v>
      </c>
      <c r="AR103" s="45">
        <f>IF(AU103="S",IF(AND(S103&lt;&gt;"",R103&lt;&gt;""),S103-R103,0),0)</f>
        <v>0</v>
      </c>
      <c r="AS103" s="45">
        <f>IF(AU103="S",IF(Q103="1. Aceitou o programa",IF(OR(X103="Não se Aplica",X103=""),IF(OR(W103="Não se Aplica",W103=""),0,W103-V103),AVERAGE(X103-W103,W103-V103)),0),0)</f>
        <v>0</v>
      </c>
      <c r="AT103" s="45">
        <f>IF(AU103="S",IF(AND(Q103="1. Aceitou o programa",AB103="Realizada"),IFERROR(IF(AA103="",0,AA103-R103),0),0),0)</f>
        <v>0</v>
      </c>
      <c r="AU103" s="45" t="str">
        <f>_xlfn.XLOOKUP(U103,'Lista Suspensa'!$AA$20:$AA$23,'Lista Suspensa'!$AB$20:$AB$23,"N/A")</f>
        <v>S</v>
      </c>
    </row>
    <row r="104" spans="1:47" ht="12" hidden="1" customHeight="1">
      <c r="A104" s="87" t="s">
        <v>47</v>
      </c>
      <c r="B104" s="92">
        <v>46175</v>
      </c>
      <c r="C104" s="89" t="s">
        <v>48</v>
      </c>
      <c r="D104" s="89" t="s">
        <v>49</v>
      </c>
      <c r="E104" s="111">
        <v>96169755</v>
      </c>
      <c r="F104" s="220" t="s">
        <v>520</v>
      </c>
      <c r="G104" s="112" t="s">
        <v>521</v>
      </c>
      <c r="H104" s="97">
        <v>20898</v>
      </c>
      <c r="I104" s="89">
        <f t="shared" ca="1" si="9"/>
        <v>69</v>
      </c>
      <c r="J104" s="89" t="s">
        <v>52</v>
      </c>
      <c r="K104" s="89" t="s">
        <v>53</v>
      </c>
      <c r="L104" s="89" t="s">
        <v>54</v>
      </c>
      <c r="M104" s="89" t="s">
        <v>522</v>
      </c>
      <c r="N104" s="89">
        <v>750</v>
      </c>
      <c r="O104" s="90" t="s">
        <v>523</v>
      </c>
      <c r="P104" s="94" t="s">
        <v>93</v>
      </c>
      <c r="Q104" s="144" t="s">
        <v>431</v>
      </c>
      <c r="R104" s="95"/>
      <c r="S104" s="96"/>
      <c r="T104" s="96" t="s">
        <v>75</v>
      </c>
      <c r="U104" s="96" t="s">
        <v>432</v>
      </c>
      <c r="V104" s="88">
        <v>46178</v>
      </c>
      <c r="W104" s="92">
        <v>46181</v>
      </c>
      <c r="X104" s="117"/>
      <c r="Y104" s="97"/>
      <c r="Z104" s="89"/>
      <c r="AA104" s="121"/>
      <c r="AB104" s="89"/>
      <c r="AC104" s="119"/>
      <c r="AD104" s="89"/>
      <c r="AE104" s="89"/>
      <c r="AF104" s="118"/>
      <c r="AG104" s="118"/>
      <c r="AH104" s="118"/>
      <c r="AI104" s="99"/>
      <c r="AJ104" s="99"/>
      <c r="AK104" s="99"/>
      <c r="AL104" s="45" t="s">
        <v>67</v>
      </c>
      <c r="AM104" s="198" t="str">
        <f t="shared" si="14"/>
        <v>6/2026</v>
      </c>
      <c r="AN104" s="45">
        <f t="shared" si="15"/>
        <v>1</v>
      </c>
      <c r="AO104" s="45" t="str">
        <f t="shared" si="16"/>
        <v>1/1900</v>
      </c>
      <c r="AP104" s="45" t="e">
        <f t="shared" si="17"/>
        <v>#NUM!</v>
      </c>
      <c r="AQ104" s="45">
        <f>IF(AU104="S",IF(Q104="1. Aceitou o programa",R104-B104,0),0)</f>
        <v>0</v>
      </c>
      <c r="AR104" s="45">
        <f>IF(AU104="S",IF(AND(S104&lt;&gt;"",R104&lt;&gt;""),S104-R104,0),0)</f>
        <v>0</v>
      </c>
      <c r="AS104" s="45">
        <f>IF(AU104="S",IF(Q104="1. Aceitou o programa",IF(OR(X104="Não se Aplica",X104=""),IF(OR(W104="Não se Aplica",W104=""),0,W104-V104),AVERAGE(X104-W104,W104-V104)),0),0)</f>
        <v>0</v>
      </c>
      <c r="AT104" s="45">
        <f>IF(AU104="S",IF(AND(Q104="1. Aceitou o programa",AB104="Realizada"),IFERROR(IF(AA104="",0,AA104-R104),0),0),0)</f>
        <v>0</v>
      </c>
      <c r="AU104" s="45" t="str">
        <f>_xlfn.XLOOKUP(U104,'Lista Suspensa'!$AA$20:$AA$23,'Lista Suspensa'!$AB$20:$AB$23,"N/A")</f>
        <v>S</v>
      </c>
    </row>
    <row r="105" spans="1:47" ht="12" hidden="1" customHeight="1">
      <c r="A105" s="87" t="s">
        <v>47</v>
      </c>
      <c r="B105" s="92">
        <v>46175</v>
      </c>
      <c r="C105" s="89" t="s">
        <v>48</v>
      </c>
      <c r="D105" s="89" t="s">
        <v>49</v>
      </c>
      <c r="E105" s="111">
        <v>85883108</v>
      </c>
      <c r="F105" s="220" t="s">
        <v>524</v>
      </c>
      <c r="G105" s="112" t="s">
        <v>525</v>
      </c>
      <c r="H105" s="97">
        <v>26884</v>
      </c>
      <c r="I105" s="89">
        <f t="shared" ca="1" si="9"/>
        <v>52</v>
      </c>
      <c r="J105" s="89" t="s">
        <v>70</v>
      </c>
      <c r="K105" s="89" t="s">
        <v>53</v>
      </c>
      <c r="L105" s="89" t="s">
        <v>112</v>
      </c>
      <c r="M105" s="89" t="s">
        <v>154</v>
      </c>
      <c r="N105" s="89">
        <v>750</v>
      </c>
      <c r="O105" s="90" t="s">
        <v>526</v>
      </c>
      <c r="P105" s="94" t="s">
        <v>93</v>
      </c>
      <c r="Q105" s="144" t="s">
        <v>349</v>
      </c>
      <c r="R105" s="95">
        <v>46178</v>
      </c>
      <c r="S105" s="96">
        <v>46189</v>
      </c>
      <c r="T105" s="96" t="s">
        <v>60</v>
      </c>
      <c r="U105" s="96" t="s">
        <v>432</v>
      </c>
      <c r="V105" s="88">
        <v>46178</v>
      </c>
      <c r="W105" s="92">
        <v>46181</v>
      </c>
      <c r="X105" s="117"/>
      <c r="Y105" s="117"/>
      <c r="Z105" s="89" t="s">
        <v>108</v>
      </c>
      <c r="AA105" s="121">
        <v>46189</v>
      </c>
      <c r="AB105" s="89"/>
      <c r="AC105" s="119"/>
      <c r="AD105" s="89"/>
      <c r="AE105" s="89"/>
      <c r="AF105" s="118" t="s">
        <v>527</v>
      </c>
      <c r="AG105" s="118" t="s">
        <v>527</v>
      </c>
      <c r="AH105" s="118" t="s">
        <v>204</v>
      </c>
      <c r="AI105" s="99"/>
      <c r="AJ105" s="99" t="s">
        <v>146</v>
      </c>
      <c r="AK105" s="99"/>
      <c r="AL105" s="45" t="s">
        <v>67</v>
      </c>
      <c r="AM105" s="198" t="str">
        <f t="shared" si="14"/>
        <v>6/2026</v>
      </c>
      <c r="AN105" s="45">
        <f t="shared" si="15"/>
        <v>1</v>
      </c>
      <c r="AO105" s="45" t="str">
        <f t="shared" si="16"/>
        <v>6/2026</v>
      </c>
      <c r="AP105" s="45">
        <f t="shared" si="17"/>
        <v>1</v>
      </c>
      <c r="AQ105" s="45">
        <f>IF(AU105="S",IF(Q105="1. Aceitou o programa",R105-B105,0),0)</f>
        <v>0</v>
      </c>
      <c r="AR105" s="45">
        <f>IF(AU105="S",IF(AND(S105&lt;&gt;"",R105&lt;&gt;""),S105-R105,0),0)</f>
        <v>11</v>
      </c>
      <c r="AS105" s="45">
        <f>IF(AU105="S",IF(Q105="1. Aceitou o programa",IF(OR(X105="Não se Aplica",X105=""),IF(OR(W105="Não se Aplica",W105=""),0,W105-V105),AVERAGE(X105-W105,W105-V105)),0),0)</f>
        <v>0</v>
      </c>
      <c r="AT105" s="45">
        <f>IF(AU105="S",IF(AND(Q105="1. Aceitou o programa",AB105="Realizada"),IFERROR(IF(AA105="",0,AA105-R105),0),0),0)</f>
        <v>0</v>
      </c>
      <c r="AU105" s="45" t="str">
        <f>_xlfn.XLOOKUP(U105,'Lista Suspensa'!$AA$20:$AA$23,'Lista Suspensa'!$AB$20:$AB$23,"N/A")</f>
        <v>S</v>
      </c>
    </row>
    <row r="106" spans="1:47" ht="12" hidden="1" customHeight="1">
      <c r="A106" s="87" t="s">
        <v>47</v>
      </c>
      <c r="B106" s="92">
        <v>46175</v>
      </c>
      <c r="C106" s="89" t="s">
        <v>48</v>
      </c>
      <c r="D106" s="89" t="s">
        <v>49</v>
      </c>
      <c r="E106" s="111">
        <v>200273213</v>
      </c>
      <c r="F106" s="220" t="s">
        <v>528</v>
      </c>
      <c r="G106" s="112" t="s">
        <v>529</v>
      </c>
      <c r="H106" s="97">
        <v>18561</v>
      </c>
      <c r="I106" s="89">
        <f t="shared" ca="1" si="9"/>
        <v>75</v>
      </c>
      <c r="J106" s="89" t="s">
        <v>52</v>
      </c>
      <c r="K106" s="89" t="s">
        <v>53</v>
      </c>
      <c r="L106" s="89" t="s">
        <v>54</v>
      </c>
      <c r="M106" s="89" t="s">
        <v>530</v>
      </c>
      <c r="N106" s="89">
        <v>600</v>
      </c>
      <c r="O106" s="90" t="s">
        <v>531</v>
      </c>
      <c r="P106" s="94" t="s">
        <v>93</v>
      </c>
      <c r="Q106" s="144" t="s">
        <v>143</v>
      </c>
      <c r="R106" s="95">
        <v>46178</v>
      </c>
      <c r="S106" s="96"/>
      <c r="T106" s="96" t="s">
        <v>60</v>
      </c>
      <c r="U106" s="96" t="s">
        <v>144</v>
      </c>
      <c r="V106" s="88">
        <v>46178</v>
      </c>
      <c r="W106" s="92">
        <v>46181</v>
      </c>
      <c r="X106" s="97"/>
      <c r="Y106" s="97"/>
      <c r="Z106" s="89" t="s">
        <v>108</v>
      </c>
      <c r="AA106" s="121">
        <v>46189</v>
      </c>
      <c r="AB106" s="89"/>
      <c r="AC106" s="119"/>
      <c r="AD106" s="89"/>
      <c r="AE106" s="89"/>
      <c r="AF106" s="118"/>
      <c r="AG106" s="118"/>
      <c r="AH106" s="118"/>
      <c r="AI106" s="99"/>
      <c r="AJ106" s="99" t="s">
        <v>146</v>
      </c>
      <c r="AK106" s="99" t="s">
        <v>47</v>
      </c>
      <c r="AL106" s="45" t="s">
        <v>67</v>
      </c>
      <c r="AM106" s="198" t="str">
        <f t="shared" si="14"/>
        <v>6/2026</v>
      </c>
      <c r="AN106" s="45">
        <f t="shared" si="15"/>
        <v>1</v>
      </c>
      <c r="AO106" s="45" t="str">
        <f t="shared" si="16"/>
        <v>6/2026</v>
      </c>
      <c r="AP106" s="45">
        <f t="shared" si="17"/>
        <v>1</v>
      </c>
      <c r="AQ106" s="45">
        <f>IF(AU106="S",IF(Q106="1. Aceitou o programa",R106-B106,0),0)</f>
        <v>3</v>
      </c>
      <c r="AR106" s="45">
        <f>IF(AU106="S",IF(AND(S106&lt;&gt;"",R106&lt;&gt;""),S106-R106,0),0)</f>
        <v>0</v>
      </c>
      <c r="AS106" s="45">
        <f>IF(AU106="S",IF(Q106="1. Aceitou o programa",IF(OR(X106="Não se Aplica",X106=""),IF(OR(W106="Não se Aplica",W106=""),0,W106-V106),AVERAGE(X106-W106,W106-V106)),0),0)</f>
        <v>3</v>
      </c>
      <c r="AT106" s="45">
        <f>IF(AU106="S",IF(AND(Q106="1. Aceitou o programa",AB106="Realizada"),IFERROR(IF(AA106="",0,AA106-R106),0),0),0)</f>
        <v>0</v>
      </c>
      <c r="AU106" s="45" t="str">
        <f>_xlfn.XLOOKUP(U106,'Lista Suspensa'!$AA$20:$AA$23,'Lista Suspensa'!$AB$20:$AB$23,"N/A")</f>
        <v>S</v>
      </c>
    </row>
    <row r="107" spans="1:47" ht="12" hidden="1" customHeight="1">
      <c r="A107" s="87" t="s">
        <v>47</v>
      </c>
      <c r="B107" s="92">
        <v>46175</v>
      </c>
      <c r="C107" s="89" t="s">
        <v>48</v>
      </c>
      <c r="D107" s="89" t="s">
        <v>49</v>
      </c>
      <c r="E107" s="111">
        <v>451808690</v>
      </c>
      <c r="F107" s="220" t="s">
        <v>532</v>
      </c>
      <c r="G107" s="112" t="s">
        <v>533</v>
      </c>
      <c r="H107" s="97">
        <v>19716</v>
      </c>
      <c r="I107" s="89">
        <f t="shared" ca="1" si="9"/>
        <v>72</v>
      </c>
      <c r="J107" s="89" t="s">
        <v>52</v>
      </c>
      <c r="K107" s="89" t="s">
        <v>53</v>
      </c>
      <c r="L107" s="89" t="s">
        <v>149</v>
      </c>
      <c r="M107" s="89" t="s">
        <v>534</v>
      </c>
      <c r="N107" s="89">
        <v>500</v>
      </c>
      <c r="O107" s="90" t="s">
        <v>535</v>
      </c>
      <c r="P107" s="94" t="s">
        <v>93</v>
      </c>
      <c r="Q107" s="144" t="s">
        <v>431</v>
      </c>
      <c r="R107" s="95"/>
      <c r="S107" s="96"/>
      <c r="T107" s="96" t="s">
        <v>75</v>
      </c>
      <c r="U107" s="96" t="s">
        <v>432</v>
      </c>
      <c r="V107" s="88">
        <v>46178</v>
      </c>
      <c r="W107" s="92">
        <v>46181</v>
      </c>
      <c r="X107" s="117"/>
      <c r="Y107" s="97"/>
      <c r="Z107" s="89"/>
      <c r="AA107" s="96"/>
      <c r="AB107" s="89"/>
      <c r="AC107" s="119"/>
      <c r="AD107" s="89"/>
      <c r="AE107" s="89"/>
      <c r="AF107" s="118"/>
      <c r="AG107" s="118"/>
      <c r="AH107" s="118"/>
      <c r="AI107" s="99"/>
      <c r="AJ107" s="99"/>
      <c r="AK107" s="99"/>
      <c r="AL107" s="45" t="s">
        <v>67</v>
      </c>
      <c r="AM107" s="198" t="str">
        <f t="shared" si="14"/>
        <v>6/2026</v>
      </c>
      <c r="AN107" s="45">
        <f t="shared" si="15"/>
        <v>1</v>
      </c>
      <c r="AO107" s="45" t="str">
        <f t="shared" si="16"/>
        <v>1/1900</v>
      </c>
      <c r="AP107" s="45" t="e">
        <f t="shared" si="17"/>
        <v>#NUM!</v>
      </c>
      <c r="AQ107" s="45">
        <f>IF(AU107="S",IF(Q107="1. Aceitou o programa",R107-B107,0),0)</f>
        <v>0</v>
      </c>
      <c r="AR107" s="45">
        <f>IF(AU107="S",IF(AND(S107&lt;&gt;"",R107&lt;&gt;""),S107-R107,0),0)</f>
        <v>0</v>
      </c>
      <c r="AS107" s="45">
        <f>IF(AU107="S",IF(Q107="1. Aceitou o programa",IF(OR(X107="Não se Aplica",X107=""),IF(OR(W107="Não se Aplica",W107=""),0,W107-V107),AVERAGE(X107-W107,W107-V107)),0),0)</f>
        <v>0</v>
      </c>
      <c r="AT107" s="45">
        <f>IF(AU107="S",IF(AND(Q107="1. Aceitou o programa",AB107="Realizada"),IFERROR(IF(AA107="",0,AA107-R107),0),0),0)</f>
        <v>0</v>
      </c>
      <c r="AU107" s="45" t="str">
        <f>_xlfn.XLOOKUP(U107,'Lista Suspensa'!$AA$20:$AA$23,'Lista Suspensa'!$AB$20:$AB$23,"N/A")</f>
        <v>S</v>
      </c>
    </row>
    <row r="108" spans="1:47" ht="12" customHeight="1">
      <c r="A108" s="87" t="s">
        <v>47</v>
      </c>
      <c r="B108" s="92">
        <v>46182</v>
      </c>
      <c r="C108" s="89" t="s">
        <v>48</v>
      </c>
      <c r="D108" s="89" t="s">
        <v>49</v>
      </c>
      <c r="E108" s="111">
        <v>84242188</v>
      </c>
      <c r="F108" s="220" t="s">
        <v>536</v>
      </c>
      <c r="G108" s="112" t="s">
        <v>537</v>
      </c>
      <c r="H108" s="97">
        <v>28914</v>
      </c>
      <c r="I108" s="89">
        <f t="shared" ca="1" si="9"/>
        <v>47</v>
      </c>
      <c r="J108" s="89" t="s">
        <v>70</v>
      </c>
      <c r="K108" s="89" t="s">
        <v>53</v>
      </c>
      <c r="L108" s="89" t="s">
        <v>54</v>
      </c>
      <c r="M108" s="89" t="s">
        <v>538</v>
      </c>
      <c r="N108" s="89">
        <v>40</v>
      </c>
      <c r="O108" s="90" t="s">
        <v>539</v>
      </c>
      <c r="P108" s="94" t="s">
        <v>93</v>
      </c>
      <c r="Q108" s="144" t="s">
        <v>143</v>
      </c>
      <c r="R108" s="121">
        <v>46189</v>
      </c>
      <c r="S108" s="96"/>
      <c r="T108" s="96" t="s">
        <v>60</v>
      </c>
      <c r="U108" s="96" t="s">
        <v>144</v>
      </c>
      <c r="V108" s="117">
        <v>46188</v>
      </c>
      <c r="W108" s="117"/>
      <c r="X108" s="97"/>
      <c r="Y108" s="97"/>
      <c r="Z108" s="89" t="s">
        <v>108</v>
      </c>
      <c r="AA108" s="96">
        <v>46196</v>
      </c>
      <c r="AB108" s="89"/>
      <c r="AC108" s="119"/>
      <c r="AD108" s="89"/>
      <c r="AE108" s="229"/>
      <c r="AF108" s="118"/>
      <c r="AG108" s="118"/>
      <c r="AH108" s="118"/>
      <c r="AI108" s="99"/>
      <c r="AJ108" s="99" t="s">
        <v>146</v>
      </c>
      <c r="AK108" s="99"/>
      <c r="AL108" s="45" t="s">
        <v>67</v>
      </c>
      <c r="AM108" s="198" t="str">
        <f t="shared" si="14"/>
        <v>6/2026</v>
      </c>
      <c r="AN108" s="45">
        <f t="shared" si="15"/>
        <v>2</v>
      </c>
      <c r="AO108" s="45" t="str">
        <f t="shared" si="16"/>
        <v>6/2026</v>
      </c>
      <c r="AP108" s="45">
        <f t="shared" si="17"/>
        <v>3</v>
      </c>
      <c r="AQ108" s="45">
        <f>IF(AU108="S",IF(Q108="1. Aceitou o programa",R108-B108,0),0)</f>
        <v>7</v>
      </c>
      <c r="AR108" s="45">
        <f>IF(AU108="S",IF(AND(S108&lt;&gt;"",R108&lt;&gt;""),S108-R108,0),0)</f>
        <v>0</v>
      </c>
      <c r="AS108" s="45">
        <f>IF(AU108="S",IF(Q108="1. Aceitou o programa",IF(OR(X108="Não se Aplica",X108=""),IF(OR(W108="Não se Aplica",W108=""),0,W108-V108),AVERAGE(X108-W108,W108-V108)),0),0)</f>
        <v>0</v>
      </c>
      <c r="AT108" s="45">
        <f>IF(AU108="S",IF(AND(Q108="1. Aceitou o programa",AB108="Realizada"),IFERROR(IF(AA108="",0,AA108-R108),0),0),0)</f>
        <v>0</v>
      </c>
      <c r="AU108" s="45" t="str">
        <f>_xlfn.XLOOKUP(U108,'Lista Suspensa'!$AA$20:$AA$23,'Lista Suspensa'!$AB$20:$AB$23,"N/A")</f>
        <v>S</v>
      </c>
    </row>
    <row r="109" spans="1:47" ht="12" hidden="1" customHeight="1">
      <c r="A109" s="87" t="s">
        <v>47</v>
      </c>
      <c r="B109" s="92">
        <v>46182</v>
      </c>
      <c r="C109" s="89" t="s">
        <v>48</v>
      </c>
      <c r="D109" s="89" t="s">
        <v>49</v>
      </c>
      <c r="E109" s="111">
        <v>95892834</v>
      </c>
      <c r="F109" s="220" t="s">
        <v>540</v>
      </c>
      <c r="G109" s="112" t="s">
        <v>541</v>
      </c>
      <c r="H109" s="97">
        <v>29105</v>
      </c>
      <c r="I109" s="89">
        <f t="shared" ca="1" si="9"/>
        <v>46</v>
      </c>
      <c r="J109" s="89" t="s">
        <v>70</v>
      </c>
      <c r="K109" s="89" t="s">
        <v>53</v>
      </c>
      <c r="L109" s="89" t="s">
        <v>173</v>
      </c>
      <c r="M109" s="89" t="s">
        <v>542</v>
      </c>
      <c r="N109" s="89">
        <v>450</v>
      </c>
      <c r="O109" s="90" t="s">
        <v>543</v>
      </c>
      <c r="P109" s="94" t="s">
        <v>93</v>
      </c>
      <c r="Q109" s="144" t="s">
        <v>431</v>
      </c>
      <c r="R109" s="121"/>
      <c r="S109" s="96"/>
      <c r="T109" s="96" t="s">
        <v>544</v>
      </c>
      <c r="U109" s="96" t="s">
        <v>432</v>
      </c>
      <c r="V109" s="117">
        <v>46188</v>
      </c>
      <c r="W109" s="117"/>
      <c r="X109" s="97"/>
      <c r="Y109" s="97"/>
      <c r="Z109" s="89"/>
      <c r="AA109" s="96"/>
      <c r="AB109" s="89"/>
      <c r="AC109" s="119"/>
      <c r="AD109" s="89"/>
      <c r="AE109" s="229"/>
      <c r="AF109" s="118"/>
      <c r="AG109" s="118"/>
      <c r="AH109" s="118"/>
      <c r="AI109" s="99"/>
      <c r="AJ109" s="99"/>
      <c r="AK109" s="99"/>
      <c r="AL109" s="45" t="s">
        <v>67</v>
      </c>
      <c r="AM109" s="198" t="str">
        <f t="shared" si="14"/>
        <v>6/2026</v>
      </c>
      <c r="AN109" s="45">
        <f t="shared" si="15"/>
        <v>2</v>
      </c>
      <c r="AO109" s="45" t="str">
        <f t="shared" si="16"/>
        <v>1/1900</v>
      </c>
      <c r="AP109" s="45" t="e">
        <f t="shared" si="17"/>
        <v>#NUM!</v>
      </c>
      <c r="AQ109" s="45">
        <f>IF(AU109="S",IF(Q109="1. Aceitou o programa",R109-B109,0),0)</f>
        <v>0</v>
      </c>
      <c r="AR109" s="45">
        <f>IF(AU109="S",IF(AND(S109&lt;&gt;"",R109&lt;&gt;""),S109-R109,0),0)</f>
        <v>0</v>
      </c>
      <c r="AS109" s="45">
        <f>IF(AU109="S",IF(Q109="1. Aceitou o programa",IF(OR(X109="Não se Aplica",X109=""),IF(OR(W109="Não se Aplica",W109=""),0,W109-V109),AVERAGE(X109-W109,W109-V109)),0),0)</f>
        <v>0</v>
      </c>
      <c r="AT109" s="45">
        <f>IF(AU109="S",IF(AND(Q109="1. Aceitou o programa",AB109="Realizada"),IFERROR(IF(AA109="",0,AA109-R109),0),0),0)</f>
        <v>0</v>
      </c>
      <c r="AU109" s="45" t="str">
        <f>_xlfn.XLOOKUP(U109,'Lista Suspensa'!$AA$20:$AA$23,'Lista Suspensa'!$AB$20:$AB$23,"N/A")</f>
        <v>S</v>
      </c>
    </row>
    <row r="110" spans="1:47" ht="12" hidden="1" customHeight="1">
      <c r="A110" s="87" t="s">
        <v>47</v>
      </c>
      <c r="B110" s="92">
        <v>46182</v>
      </c>
      <c r="C110" s="89" t="s">
        <v>48</v>
      </c>
      <c r="D110" s="89" t="s">
        <v>49</v>
      </c>
      <c r="E110" s="111">
        <v>95092287</v>
      </c>
      <c r="F110" s="220" t="s">
        <v>545</v>
      </c>
      <c r="G110" s="112" t="s">
        <v>546</v>
      </c>
      <c r="H110" s="97">
        <v>23910</v>
      </c>
      <c r="I110" s="89">
        <f t="shared" ca="1" si="9"/>
        <v>61</v>
      </c>
      <c r="J110" s="89" t="s">
        <v>52</v>
      </c>
      <c r="K110" s="89" t="s">
        <v>53</v>
      </c>
      <c r="L110" s="89" t="s">
        <v>54</v>
      </c>
      <c r="M110" s="89" t="s">
        <v>547</v>
      </c>
      <c r="N110" s="89">
        <v>750</v>
      </c>
      <c r="O110" s="90" t="s">
        <v>548</v>
      </c>
      <c r="P110" s="94" t="s">
        <v>93</v>
      </c>
      <c r="Q110" s="144" t="s">
        <v>431</v>
      </c>
      <c r="R110" s="121"/>
      <c r="S110" s="96"/>
      <c r="T110" s="96" t="s">
        <v>544</v>
      </c>
      <c r="U110" s="96" t="s">
        <v>432</v>
      </c>
      <c r="V110" s="117">
        <v>46188</v>
      </c>
      <c r="W110" s="117"/>
      <c r="X110" s="97"/>
      <c r="Y110" s="97"/>
      <c r="Z110" s="89"/>
      <c r="AA110" s="96"/>
      <c r="AB110" s="89"/>
      <c r="AC110" s="119"/>
      <c r="AD110" s="89"/>
      <c r="AE110" s="229"/>
      <c r="AF110" s="118"/>
      <c r="AG110" s="118"/>
      <c r="AH110" s="118"/>
      <c r="AI110" s="99"/>
      <c r="AJ110" s="99"/>
      <c r="AK110" s="99"/>
      <c r="AL110" s="45" t="s">
        <v>67</v>
      </c>
      <c r="AM110" s="198" t="str">
        <f t="shared" si="14"/>
        <v>6/2026</v>
      </c>
      <c r="AN110" s="45">
        <f t="shared" si="15"/>
        <v>2</v>
      </c>
      <c r="AO110" s="45" t="str">
        <f t="shared" si="16"/>
        <v>1/1900</v>
      </c>
      <c r="AP110" s="45" t="e">
        <f t="shared" si="17"/>
        <v>#NUM!</v>
      </c>
      <c r="AQ110" s="45">
        <f>IF(AU110="S",IF(Q110="1. Aceitou o programa",R110-B110,0),0)</f>
        <v>0</v>
      </c>
      <c r="AR110" s="45">
        <f>IF(AU110="S",IF(AND(S110&lt;&gt;"",R110&lt;&gt;""),S110-R110,0),0)</f>
        <v>0</v>
      </c>
      <c r="AS110" s="45">
        <f>IF(AU110="S",IF(Q110="1. Aceitou o programa",IF(OR(X110="Não se Aplica",X110=""),IF(OR(W110="Não se Aplica",W110=""),0,W110-V110),AVERAGE(X110-W110,W110-V110)),0),0)</f>
        <v>0</v>
      </c>
      <c r="AT110" s="45">
        <f>IF(AU110="S",IF(AND(Q110="1. Aceitou o programa",AB110="Realizada"),IFERROR(IF(AA110="",0,AA110-R110),0),0),0)</f>
        <v>0</v>
      </c>
      <c r="AU110" s="45" t="str">
        <f>_xlfn.XLOOKUP(U110,'Lista Suspensa'!$AA$20:$AA$23,'Lista Suspensa'!$AB$20:$AB$23,"N/A")</f>
        <v>S</v>
      </c>
    </row>
    <row r="111" spans="1:47" ht="12" hidden="1" customHeight="1">
      <c r="A111" s="87" t="s">
        <v>47</v>
      </c>
      <c r="B111" s="92">
        <v>46182</v>
      </c>
      <c r="C111" s="89" t="s">
        <v>48</v>
      </c>
      <c r="D111" s="89" t="s">
        <v>49</v>
      </c>
      <c r="E111" s="111">
        <v>96297637</v>
      </c>
      <c r="F111" s="220" t="s">
        <v>549</v>
      </c>
      <c r="G111" s="112" t="s">
        <v>550</v>
      </c>
      <c r="H111" s="97">
        <v>22850</v>
      </c>
      <c r="I111" s="89">
        <f t="shared" ca="1" si="9"/>
        <v>63</v>
      </c>
      <c r="J111" s="89" t="s">
        <v>52</v>
      </c>
      <c r="K111" s="89" t="s">
        <v>53</v>
      </c>
      <c r="L111" s="89" t="s">
        <v>54</v>
      </c>
      <c r="M111" s="89" t="s">
        <v>383</v>
      </c>
      <c r="N111" s="89">
        <v>450</v>
      </c>
      <c r="O111" s="90" t="s">
        <v>551</v>
      </c>
      <c r="P111" s="94" t="s">
        <v>93</v>
      </c>
      <c r="Q111" s="144" t="s">
        <v>431</v>
      </c>
      <c r="R111" s="121"/>
      <c r="S111" s="96"/>
      <c r="T111" s="96" t="s">
        <v>544</v>
      </c>
      <c r="U111" s="96" t="s">
        <v>432</v>
      </c>
      <c r="V111" s="117">
        <v>46188</v>
      </c>
      <c r="W111" s="117"/>
      <c r="X111" s="97"/>
      <c r="Y111" s="97"/>
      <c r="Z111" s="89"/>
      <c r="AA111" s="121"/>
      <c r="AB111" s="89"/>
      <c r="AC111" s="119"/>
      <c r="AD111" s="89"/>
      <c r="AE111" s="229"/>
      <c r="AF111" s="118"/>
      <c r="AG111" s="118"/>
      <c r="AH111" s="118"/>
      <c r="AI111" s="99"/>
      <c r="AJ111" s="99"/>
      <c r="AK111" s="99"/>
      <c r="AL111" s="45" t="s">
        <v>67</v>
      </c>
      <c r="AM111" s="198" t="str">
        <f t="shared" si="14"/>
        <v>6/2026</v>
      </c>
      <c r="AN111" s="45">
        <f t="shared" si="15"/>
        <v>2</v>
      </c>
      <c r="AO111" s="45" t="str">
        <f t="shared" si="16"/>
        <v>1/1900</v>
      </c>
      <c r="AP111" s="45" t="e">
        <f t="shared" si="17"/>
        <v>#NUM!</v>
      </c>
      <c r="AQ111" s="45">
        <f>IF(AU111="S",IF(Q111="1. Aceitou o programa",R111-B111,0),0)</f>
        <v>0</v>
      </c>
      <c r="AR111" s="45">
        <f>IF(AU111="S",IF(AND(S111&lt;&gt;"",R111&lt;&gt;""),S111-R111,0),0)</f>
        <v>0</v>
      </c>
      <c r="AS111" s="45">
        <f>IF(AU111="S",IF(Q111="1. Aceitou o programa",IF(OR(X111="Não se Aplica",X111=""),IF(OR(W111="Não se Aplica",W111=""),0,W111-V111),AVERAGE(X111-W111,W111-V111)),0),0)</f>
        <v>0</v>
      </c>
      <c r="AT111" s="45">
        <f>IF(AU111="S",IF(AND(Q111="1. Aceitou o programa",AB111="Realizada"),IFERROR(IF(AA111="",0,AA111-R111),0),0),0)</f>
        <v>0</v>
      </c>
      <c r="AU111" s="45" t="str">
        <f>_xlfn.XLOOKUP(U111,'Lista Suspensa'!$AA$20:$AA$23,'Lista Suspensa'!$AB$20:$AB$23,"N/A")</f>
        <v>S</v>
      </c>
    </row>
    <row r="112" spans="1:47" ht="12" hidden="1" customHeight="1">
      <c r="A112" s="87" t="s">
        <v>47</v>
      </c>
      <c r="B112" s="92">
        <v>46182</v>
      </c>
      <c r="C112" s="89" t="s">
        <v>48</v>
      </c>
      <c r="D112" s="89" t="s">
        <v>49</v>
      </c>
      <c r="E112" s="111">
        <v>89198226</v>
      </c>
      <c r="F112" s="220" t="s">
        <v>552</v>
      </c>
      <c r="G112" s="112" t="s">
        <v>553</v>
      </c>
      <c r="H112" s="97">
        <v>23786</v>
      </c>
      <c r="I112" s="89">
        <f t="shared" ca="1" si="9"/>
        <v>61</v>
      </c>
      <c r="J112" s="89" t="s">
        <v>52</v>
      </c>
      <c r="K112" s="89" t="s">
        <v>53</v>
      </c>
      <c r="L112" s="89" t="s">
        <v>54</v>
      </c>
      <c r="M112" s="89" t="s">
        <v>195</v>
      </c>
      <c r="N112" s="89">
        <v>750</v>
      </c>
      <c r="O112" s="90" t="s">
        <v>554</v>
      </c>
      <c r="P112" s="94" t="s">
        <v>93</v>
      </c>
      <c r="Q112" s="144" t="s">
        <v>431</v>
      </c>
      <c r="R112" s="121"/>
      <c r="S112" s="96"/>
      <c r="T112" s="96" t="s">
        <v>544</v>
      </c>
      <c r="U112" s="96" t="s">
        <v>432</v>
      </c>
      <c r="V112" s="117">
        <v>46188</v>
      </c>
      <c r="W112" s="117"/>
      <c r="X112" s="97"/>
      <c r="Y112" s="97"/>
      <c r="Z112" s="89"/>
      <c r="AA112" s="96"/>
      <c r="AB112" s="89"/>
      <c r="AC112" s="119"/>
      <c r="AD112" s="89"/>
      <c r="AE112" s="229"/>
      <c r="AF112" s="118"/>
      <c r="AG112" s="118"/>
      <c r="AH112" s="118"/>
      <c r="AI112" s="99"/>
      <c r="AJ112" s="99"/>
      <c r="AK112" s="99"/>
      <c r="AL112" s="45" t="s">
        <v>67</v>
      </c>
      <c r="AM112" s="198" t="str">
        <f t="shared" si="14"/>
        <v>6/2026</v>
      </c>
      <c r="AN112" s="45">
        <f t="shared" si="15"/>
        <v>2</v>
      </c>
      <c r="AO112" s="45" t="str">
        <f t="shared" si="16"/>
        <v>1/1900</v>
      </c>
      <c r="AP112" s="45" t="e">
        <f t="shared" si="17"/>
        <v>#NUM!</v>
      </c>
      <c r="AQ112" s="45">
        <f>IF(AU112="S",IF(Q112="1. Aceitou o programa",R112-B112,0),0)</f>
        <v>0</v>
      </c>
      <c r="AR112" s="45">
        <f>IF(AU112="S",IF(AND(S112&lt;&gt;"",R112&lt;&gt;""),S112-R112,0),0)</f>
        <v>0</v>
      </c>
      <c r="AS112" s="45">
        <f>IF(AU112="S",IF(Q112="1. Aceitou o programa",IF(OR(X112="Não se Aplica",X112=""),IF(OR(W112="Não se Aplica",W112=""),0,W112-V112),AVERAGE(X112-W112,W112-V112)),0),0)</f>
        <v>0</v>
      </c>
      <c r="AT112" s="45">
        <f>IF(AU112="S",IF(AND(Q112="1. Aceitou o programa",AB112="Realizada"),IFERROR(IF(AA112="",0,AA112-R112),0),0),0)</f>
        <v>0</v>
      </c>
      <c r="AU112" s="45" t="str">
        <f>_xlfn.XLOOKUP(U112,'Lista Suspensa'!$AA$20:$AA$23,'Lista Suspensa'!$AB$20:$AB$23,"N/A")</f>
        <v>S</v>
      </c>
    </row>
    <row r="113" spans="1:47" ht="12" hidden="1" customHeight="1">
      <c r="A113" s="87" t="s">
        <v>47</v>
      </c>
      <c r="B113" s="92">
        <v>46182</v>
      </c>
      <c r="C113" s="89" t="s">
        <v>48</v>
      </c>
      <c r="D113" s="89" t="s">
        <v>49</v>
      </c>
      <c r="E113" s="111">
        <v>95024359</v>
      </c>
      <c r="F113" s="220" t="s">
        <v>555</v>
      </c>
      <c r="G113" s="112" t="s">
        <v>556</v>
      </c>
      <c r="H113" s="97">
        <v>21415</v>
      </c>
      <c r="I113" s="89">
        <f t="shared" ca="1" si="9"/>
        <v>67</v>
      </c>
      <c r="J113" s="89" t="s">
        <v>52</v>
      </c>
      <c r="K113" s="89" t="s">
        <v>53</v>
      </c>
      <c r="L113" s="89" t="s">
        <v>291</v>
      </c>
      <c r="M113" s="89" t="s">
        <v>557</v>
      </c>
      <c r="N113" s="89">
        <v>750</v>
      </c>
      <c r="O113" s="90" t="s">
        <v>558</v>
      </c>
      <c r="P113" s="94" t="s">
        <v>93</v>
      </c>
      <c r="Q113" s="144" t="s">
        <v>431</v>
      </c>
      <c r="R113" s="121"/>
      <c r="S113" s="96"/>
      <c r="T113" s="96" t="s">
        <v>544</v>
      </c>
      <c r="U113" s="96" t="s">
        <v>432</v>
      </c>
      <c r="V113" s="117">
        <v>46188</v>
      </c>
      <c r="W113" s="117"/>
      <c r="X113" s="97"/>
      <c r="Y113" s="97"/>
      <c r="Z113" s="89"/>
      <c r="AA113" s="96"/>
      <c r="AB113" s="89"/>
      <c r="AC113" s="119"/>
      <c r="AD113" s="89"/>
      <c r="AE113" s="229"/>
      <c r="AF113" s="118"/>
      <c r="AG113" s="118"/>
      <c r="AH113" s="118"/>
      <c r="AI113" s="99"/>
      <c r="AJ113" s="99"/>
      <c r="AK113" s="99"/>
      <c r="AL113" s="45" t="s">
        <v>67</v>
      </c>
      <c r="AM113" s="198" t="str">
        <f t="shared" si="14"/>
        <v>6/2026</v>
      </c>
      <c r="AN113" s="45">
        <f t="shared" si="15"/>
        <v>2</v>
      </c>
      <c r="AO113" s="45" t="str">
        <f t="shared" si="16"/>
        <v>1/1900</v>
      </c>
      <c r="AP113" s="45" t="e">
        <f t="shared" si="17"/>
        <v>#NUM!</v>
      </c>
      <c r="AQ113" s="45">
        <f>IF(AU113="S",IF(Q113="1. Aceitou o programa",R113-B113,0),0)</f>
        <v>0</v>
      </c>
      <c r="AR113" s="45">
        <f>IF(AU113="S",IF(AND(S113&lt;&gt;"",R113&lt;&gt;""),S113-R113,0),0)</f>
        <v>0</v>
      </c>
      <c r="AS113" s="45">
        <f>IF(AU113="S",IF(Q113="1. Aceitou o programa",IF(OR(X113="Não se Aplica",X113=""),IF(OR(W113="Não se Aplica",W113=""),0,W113-V113),AVERAGE(X113-W113,W113-V113)),0),0)</f>
        <v>0</v>
      </c>
      <c r="AT113" s="45">
        <f>IF(AU113="S",IF(AND(Q113="1. Aceitou o programa",AB113="Realizada"),IFERROR(IF(AA113="",0,AA113-R113),0),0),0)</f>
        <v>0</v>
      </c>
      <c r="AU113" s="45" t="str">
        <f>_xlfn.XLOOKUP(U113,'Lista Suspensa'!$AA$20:$AA$23,'Lista Suspensa'!$AB$20:$AB$23,"N/A")</f>
        <v>S</v>
      </c>
    </row>
    <row r="114" spans="1:47" ht="12" hidden="1" customHeight="1">
      <c r="A114" s="87" t="s">
        <v>47</v>
      </c>
      <c r="B114" s="92">
        <v>46182</v>
      </c>
      <c r="C114" s="89" t="s">
        <v>48</v>
      </c>
      <c r="D114" s="89" t="s">
        <v>49</v>
      </c>
      <c r="E114" s="111">
        <v>95738350</v>
      </c>
      <c r="F114" s="220" t="s">
        <v>559</v>
      </c>
      <c r="G114" s="112" t="s">
        <v>560</v>
      </c>
      <c r="H114" s="97">
        <v>31789</v>
      </c>
      <c r="I114" s="89">
        <f t="shared" ca="1" si="9"/>
        <v>39</v>
      </c>
      <c r="J114" s="89" t="s">
        <v>52</v>
      </c>
      <c r="K114" s="89" t="s">
        <v>53</v>
      </c>
      <c r="L114" s="89" t="s">
        <v>112</v>
      </c>
      <c r="M114" s="89" t="s">
        <v>561</v>
      </c>
      <c r="N114" s="89">
        <v>60</v>
      </c>
      <c r="O114" s="90" t="s">
        <v>562</v>
      </c>
      <c r="P114" s="94" t="s">
        <v>93</v>
      </c>
      <c r="Q114" s="144" t="s">
        <v>431</v>
      </c>
      <c r="R114" s="121"/>
      <c r="S114" s="96"/>
      <c r="T114" s="96" t="s">
        <v>544</v>
      </c>
      <c r="U114" s="96" t="s">
        <v>432</v>
      </c>
      <c r="V114" s="117">
        <v>46188</v>
      </c>
      <c r="W114" s="117"/>
      <c r="X114" s="97"/>
      <c r="Y114" s="97"/>
      <c r="Z114" s="89"/>
      <c r="AA114" s="96"/>
      <c r="AB114" s="89"/>
      <c r="AC114" s="119"/>
      <c r="AD114" s="89"/>
      <c r="AE114" s="229"/>
      <c r="AF114" s="118"/>
      <c r="AG114" s="118"/>
      <c r="AH114" s="118"/>
      <c r="AI114" s="99"/>
      <c r="AJ114" s="99"/>
      <c r="AK114" s="99"/>
      <c r="AL114" s="45" t="s">
        <v>67</v>
      </c>
      <c r="AM114" s="198" t="str">
        <f t="shared" si="14"/>
        <v>6/2026</v>
      </c>
      <c r="AN114" s="45">
        <f t="shared" si="15"/>
        <v>2</v>
      </c>
      <c r="AO114" s="45" t="str">
        <f t="shared" si="16"/>
        <v>1/1900</v>
      </c>
      <c r="AP114" s="45" t="e">
        <f t="shared" si="17"/>
        <v>#NUM!</v>
      </c>
      <c r="AQ114" s="45">
        <f>IF(AU114="S",IF(Q114="1. Aceitou o programa",R114-B114,0),0)</f>
        <v>0</v>
      </c>
      <c r="AR114" s="45">
        <f>IF(AU114="S",IF(AND(S114&lt;&gt;"",R114&lt;&gt;""),S114-R114,0),0)</f>
        <v>0</v>
      </c>
      <c r="AS114" s="45">
        <f>IF(AU114="S",IF(Q114="1. Aceitou o programa",IF(OR(X114="Não se Aplica",X114=""),IF(OR(W114="Não se Aplica",W114=""),0,W114-V114),AVERAGE(X114-W114,W114-V114)),0),0)</f>
        <v>0</v>
      </c>
      <c r="AT114" s="45">
        <f>IF(AU114="S",IF(AND(Q114="1. Aceitou o programa",AB114="Realizada"),IFERROR(IF(AA114="",0,AA114-R114),0),0),0)</f>
        <v>0</v>
      </c>
      <c r="AU114" s="45" t="str">
        <f>_xlfn.XLOOKUP(U114,'Lista Suspensa'!$AA$20:$AA$23,'Lista Suspensa'!$AB$20:$AB$23,"N/A")</f>
        <v>S</v>
      </c>
    </row>
    <row r="115" spans="1:47" ht="12" hidden="1" customHeight="1">
      <c r="A115" s="87" t="s">
        <v>47</v>
      </c>
      <c r="B115" s="92">
        <v>46188</v>
      </c>
      <c r="C115" s="89" t="s">
        <v>48</v>
      </c>
      <c r="D115" s="89" t="s">
        <v>49</v>
      </c>
      <c r="E115" s="111">
        <v>451967046</v>
      </c>
      <c r="F115" s="220" t="s">
        <v>563</v>
      </c>
      <c r="G115" s="112" t="s">
        <v>564</v>
      </c>
      <c r="H115" s="97">
        <v>19628</v>
      </c>
      <c r="I115" s="89">
        <f t="shared" ca="1" si="9"/>
        <v>72</v>
      </c>
      <c r="J115" s="89" t="s">
        <v>52</v>
      </c>
      <c r="K115" s="89" t="s">
        <v>53</v>
      </c>
      <c r="L115" s="89" t="s">
        <v>54</v>
      </c>
      <c r="M115" s="89" t="s">
        <v>565</v>
      </c>
      <c r="N115" s="89">
        <v>500</v>
      </c>
      <c r="O115" s="90" t="s">
        <v>566</v>
      </c>
      <c r="P115" s="94" t="s">
        <v>93</v>
      </c>
      <c r="Q115" s="144" t="s">
        <v>431</v>
      </c>
      <c r="R115" s="121"/>
      <c r="S115" s="96"/>
      <c r="T115" s="96" t="s">
        <v>544</v>
      </c>
      <c r="U115" s="96" t="s">
        <v>432</v>
      </c>
      <c r="V115" s="117">
        <v>46188</v>
      </c>
      <c r="W115" s="117"/>
      <c r="X115" s="97"/>
      <c r="Y115" s="97"/>
      <c r="Z115" s="89"/>
      <c r="AA115" s="121"/>
      <c r="AB115" s="89"/>
      <c r="AC115" s="119"/>
      <c r="AD115" s="89"/>
      <c r="AE115" s="229"/>
      <c r="AF115" s="118"/>
      <c r="AG115" s="118"/>
      <c r="AH115" s="118"/>
      <c r="AI115" s="99"/>
      <c r="AJ115" s="99"/>
      <c r="AK115" s="99"/>
      <c r="AL115" s="45" t="s">
        <v>67</v>
      </c>
      <c r="AM115" s="198" t="str">
        <f t="shared" si="14"/>
        <v>6/2026</v>
      </c>
      <c r="AN115" s="45">
        <f t="shared" si="15"/>
        <v>3</v>
      </c>
      <c r="AO115" s="45" t="str">
        <f t="shared" si="16"/>
        <v>1/1900</v>
      </c>
      <c r="AP115" s="45" t="e">
        <f t="shared" si="17"/>
        <v>#NUM!</v>
      </c>
      <c r="AQ115" s="45">
        <f>IF(AU115="S",IF(Q115="1. Aceitou o programa",R115-B115,0),0)</f>
        <v>0</v>
      </c>
      <c r="AR115" s="45">
        <f>IF(AU115="S",IF(AND(S115&lt;&gt;"",R115&lt;&gt;""),S115-R115,0),0)</f>
        <v>0</v>
      </c>
      <c r="AS115" s="45">
        <f>IF(AU115="S",IF(Q115="1. Aceitou o programa",IF(OR(X115="Não se Aplica",X115=""),IF(OR(W115="Não se Aplica",W115=""),0,W115-V115),AVERAGE(X115-W115,W115-V115)),0),0)</f>
        <v>0</v>
      </c>
      <c r="AT115" s="45">
        <f>IF(AU115="S",IF(AND(Q115="1. Aceitou o programa",AB115="Realizada"),IFERROR(IF(AA115="",0,AA115-R115),0),0),0)</f>
        <v>0</v>
      </c>
      <c r="AU115" s="45" t="str">
        <f>_xlfn.XLOOKUP(U115,'Lista Suspensa'!$AA$20:$AA$23,'Lista Suspensa'!$AB$20:$AB$23,"N/A")</f>
        <v>S</v>
      </c>
    </row>
    <row r="116" spans="1:47" ht="12" hidden="1" customHeight="1">
      <c r="A116" s="87" t="s">
        <v>47</v>
      </c>
      <c r="B116" s="92">
        <v>46188</v>
      </c>
      <c r="C116" s="89" t="s">
        <v>48</v>
      </c>
      <c r="D116" s="89" t="s">
        <v>49</v>
      </c>
      <c r="E116" s="111">
        <v>452181860</v>
      </c>
      <c r="F116" s="220" t="s">
        <v>567</v>
      </c>
      <c r="G116" s="112" t="s">
        <v>568</v>
      </c>
      <c r="H116" s="97">
        <v>18102</v>
      </c>
      <c r="I116" s="89">
        <f t="shared" ca="1" si="9"/>
        <v>76</v>
      </c>
      <c r="J116" s="89" t="s">
        <v>52</v>
      </c>
      <c r="K116" s="89" t="s">
        <v>53</v>
      </c>
      <c r="L116" s="89" t="s">
        <v>54</v>
      </c>
      <c r="M116" s="89" t="s">
        <v>158</v>
      </c>
      <c r="N116" s="89">
        <v>600</v>
      </c>
      <c r="O116" s="90" t="s">
        <v>569</v>
      </c>
      <c r="P116" s="94" t="s">
        <v>93</v>
      </c>
      <c r="Q116" s="144" t="s">
        <v>431</v>
      </c>
      <c r="R116" s="121"/>
      <c r="S116" s="96"/>
      <c r="T116" s="96" t="s">
        <v>544</v>
      </c>
      <c r="U116" s="96" t="s">
        <v>432</v>
      </c>
      <c r="V116" s="117">
        <v>46188</v>
      </c>
      <c r="W116" s="117"/>
      <c r="X116" s="97"/>
      <c r="Y116" s="97"/>
      <c r="Z116" s="89"/>
      <c r="AA116" s="96"/>
      <c r="AB116" s="89"/>
      <c r="AC116" s="119"/>
      <c r="AD116" s="89"/>
      <c r="AE116" s="229"/>
      <c r="AF116" s="118"/>
      <c r="AG116" s="118"/>
      <c r="AH116" s="118"/>
      <c r="AI116" s="99"/>
      <c r="AJ116" s="99"/>
      <c r="AK116" s="99"/>
      <c r="AL116" s="45" t="s">
        <v>67</v>
      </c>
      <c r="AM116" s="198" t="str">
        <f t="shared" si="14"/>
        <v>6/2026</v>
      </c>
      <c r="AN116" s="45">
        <f t="shared" si="15"/>
        <v>3</v>
      </c>
      <c r="AO116" s="45" t="str">
        <f t="shared" si="16"/>
        <v>1/1900</v>
      </c>
      <c r="AP116" s="45" t="e">
        <f t="shared" si="17"/>
        <v>#NUM!</v>
      </c>
      <c r="AQ116" s="45">
        <f>IF(AU116="S",IF(Q116="1. Aceitou o programa",R116-B116,0),0)</f>
        <v>0</v>
      </c>
      <c r="AR116" s="45">
        <f>IF(AU116="S",IF(AND(S116&lt;&gt;"",R116&lt;&gt;""),S116-R116,0),0)</f>
        <v>0</v>
      </c>
      <c r="AS116" s="45">
        <f>IF(AU116="S",IF(Q116="1. Aceitou o programa",IF(OR(X116="Não se Aplica",X116=""),IF(OR(W116="Não se Aplica",W116=""),0,W116-V116),AVERAGE(X116-W116,W116-V116)),0),0)</f>
        <v>0</v>
      </c>
      <c r="AT116" s="45">
        <f>IF(AU116="S",IF(AND(Q116="1. Aceitou o programa",AB116="Realizada"),IFERROR(IF(AA116="",0,AA116-R116),0),0),0)</f>
        <v>0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47</v>
      </c>
      <c r="B117" s="92">
        <v>46188</v>
      </c>
      <c r="C117" s="89" t="s">
        <v>48</v>
      </c>
      <c r="D117" s="89" t="s">
        <v>49</v>
      </c>
      <c r="E117" s="111">
        <v>86502308</v>
      </c>
      <c r="F117" s="220" t="s">
        <v>570</v>
      </c>
      <c r="G117" s="112" t="s">
        <v>571</v>
      </c>
      <c r="H117" s="97">
        <v>24465</v>
      </c>
      <c r="I117" s="89">
        <f t="shared" ca="1" si="9"/>
        <v>59</v>
      </c>
      <c r="J117" s="89" t="s">
        <v>52</v>
      </c>
      <c r="K117" s="89" t="s">
        <v>53</v>
      </c>
      <c r="L117" s="89" t="s">
        <v>54</v>
      </c>
      <c r="M117" s="89" t="s">
        <v>572</v>
      </c>
      <c r="N117" s="89">
        <v>750</v>
      </c>
      <c r="O117" s="90" t="s">
        <v>573</v>
      </c>
      <c r="P117" s="94" t="s">
        <v>93</v>
      </c>
      <c r="Q117" s="144" t="s">
        <v>143</v>
      </c>
      <c r="R117" s="95">
        <v>46190</v>
      </c>
      <c r="S117" s="96"/>
      <c r="T117" s="96" t="s">
        <v>60</v>
      </c>
      <c r="U117" s="96" t="s">
        <v>144</v>
      </c>
      <c r="V117" s="117">
        <v>46188</v>
      </c>
      <c r="W117" s="117"/>
      <c r="X117" s="97"/>
      <c r="Y117" s="97"/>
      <c r="Z117" s="89" t="s">
        <v>108</v>
      </c>
      <c r="AA117" s="121">
        <v>46196</v>
      </c>
      <c r="AB117" s="89"/>
      <c r="AC117" s="119"/>
      <c r="AD117" s="89"/>
      <c r="AE117" s="229"/>
      <c r="AF117" s="118"/>
      <c r="AG117" s="118"/>
      <c r="AH117" s="118"/>
      <c r="AI117" s="99"/>
      <c r="AJ117" s="99" t="s">
        <v>146</v>
      </c>
      <c r="AK117" s="99"/>
      <c r="AL117" s="45" t="s">
        <v>67</v>
      </c>
      <c r="AM117" s="198" t="str">
        <f t="shared" si="14"/>
        <v>6/2026</v>
      </c>
      <c r="AN117" s="45">
        <f t="shared" si="15"/>
        <v>3</v>
      </c>
      <c r="AO117" s="45" t="str">
        <f t="shared" si="16"/>
        <v>6/2026</v>
      </c>
      <c r="AP117" s="45">
        <f t="shared" si="17"/>
        <v>3</v>
      </c>
      <c r="AQ117" s="45">
        <f>IF(AU117="S",IF(Q117="1. Aceitou o programa",R117-B117,0),0)</f>
        <v>2</v>
      </c>
      <c r="AR117" s="45">
        <f>IF(AU117="S",IF(AND(S117&lt;&gt;"",R117&lt;&gt;""),S117-R117,0),0)</f>
        <v>0</v>
      </c>
      <c r="AS117" s="45">
        <f>IF(AU117="S",IF(Q117="1. Aceitou o programa",IF(OR(X117="Não se Aplica",X117=""),IF(OR(W117="Não se Aplica",W117=""),0,W117-V117),AVERAGE(X117-W117,W117-V117)),0),0)</f>
        <v>0</v>
      </c>
      <c r="AT117" s="45">
        <f>IF(AU117="S",IF(AND(Q117="1. Aceitou o programa",AB117="Realizada"),IFERROR(IF(AA117="",0,AA117-R117),0),0),0)</f>
        <v>0</v>
      </c>
      <c r="AU117" s="45" t="str">
        <f>_xlfn.XLOOKUP(U117,'Lista Suspensa'!$AA$20:$AA$23,'Lista Suspensa'!$AB$20:$AB$23,"N/A")</f>
        <v>S</v>
      </c>
    </row>
    <row r="118" spans="1:47" ht="12" hidden="1" customHeight="1">
      <c r="A118" s="87" t="s">
        <v>47</v>
      </c>
      <c r="B118" s="92">
        <v>46188</v>
      </c>
      <c r="C118" s="89" t="s">
        <v>48</v>
      </c>
      <c r="D118" s="89" t="s">
        <v>49</v>
      </c>
      <c r="E118" s="111">
        <v>451644034</v>
      </c>
      <c r="F118" s="220" t="s">
        <v>574</v>
      </c>
      <c r="G118" s="112" t="s">
        <v>575</v>
      </c>
      <c r="H118" s="97">
        <v>23620</v>
      </c>
      <c r="I118" s="89">
        <f t="shared" ca="1" si="9"/>
        <v>61</v>
      </c>
      <c r="J118" s="89" t="s">
        <v>52</v>
      </c>
      <c r="K118" s="89" t="s">
        <v>53</v>
      </c>
      <c r="L118" s="89" t="s">
        <v>54</v>
      </c>
      <c r="M118" s="89" t="s">
        <v>576</v>
      </c>
      <c r="N118" s="89">
        <v>400</v>
      </c>
      <c r="O118" s="90" t="s">
        <v>577</v>
      </c>
      <c r="P118" s="94" t="s">
        <v>93</v>
      </c>
      <c r="Q118" s="144" t="s">
        <v>431</v>
      </c>
      <c r="R118" s="121"/>
      <c r="S118" s="120"/>
      <c r="T118" s="96" t="s">
        <v>544</v>
      </c>
      <c r="U118" s="96" t="s">
        <v>432</v>
      </c>
      <c r="V118" s="117">
        <v>46188</v>
      </c>
      <c r="W118" s="117"/>
      <c r="X118" s="117"/>
      <c r="Y118" s="97"/>
      <c r="Z118" s="89"/>
      <c r="AA118" s="121"/>
      <c r="AB118" s="89"/>
      <c r="AC118" s="119"/>
      <c r="AD118" s="89"/>
      <c r="AE118" s="229"/>
      <c r="AF118" s="118"/>
      <c r="AG118" s="118"/>
      <c r="AH118" s="118"/>
      <c r="AI118" s="99"/>
      <c r="AJ118" s="99"/>
      <c r="AK118" s="99"/>
      <c r="AL118" s="45" t="s">
        <v>67</v>
      </c>
      <c r="AM118" s="198" t="str">
        <f t="shared" si="14"/>
        <v>6/2026</v>
      </c>
      <c r="AN118" s="45">
        <f t="shared" si="15"/>
        <v>3</v>
      </c>
      <c r="AO118" s="45" t="str">
        <f t="shared" si="16"/>
        <v>1/1900</v>
      </c>
      <c r="AP118" s="45" t="e">
        <f t="shared" si="17"/>
        <v>#NUM!</v>
      </c>
      <c r="AQ118" s="45">
        <f>IF(AU118="S",IF(Q118="1. Aceitou o programa",R118-B118,0),0)</f>
        <v>0</v>
      </c>
      <c r="AR118" s="45">
        <f>IF(AU118="S",IF(AND(S118&lt;&gt;"",R118&lt;&gt;""),S118-R118,0),0)</f>
        <v>0</v>
      </c>
      <c r="AS118" s="45">
        <f>IF(AU118="S",IF(Q118="1. Aceitou o programa",IF(OR(X118="Não se Aplica",X118=""),IF(OR(W118="Não se Aplica",W118=""),0,W118-V118),AVERAGE(X118-W118,W118-V118)),0),0)</f>
        <v>0</v>
      </c>
      <c r="AT118" s="45">
        <f>IF(AU118="S",IF(AND(Q118="1. Aceitou o programa",AB118="Realizada"),IFERROR(IF(AA118="",0,AA118-R118),0),0),0)</f>
        <v>0</v>
      </c>
      <c r="AU118" s="45" t="str">
        <f>_xlfn.XLOOKUP(U118,'Lista Suspensa'!$AA$20:$AA$23,'Lista Suspensa'!$AB$20:$AB$23,"N/A")</f>
        <v>S</v>
      </c>
    </row>
    <row r="119" spans="1:47" ht="12" customHeight="1">
      <c r="A119" s="87"/>
      <c r="B119" s="92"/>
      <c r="C119" s="89"/>
      <c r="D119" s="89"/>
      <c r="E119" s="111"/>
      <c r="F119" s="220"/>
      <c r="G119" s="112"/>
      <c r="H119" s="97"/>
      <c r="I119" s="91"/>
      <c r="J119" s="113"/>
      <c r="K119" s="89"/>
      <c r="L119" s="89"/>
      <c r="M119" s="89"/>
      <c r="N119" s="89"/>
      <c r="O119" s="90"/>
      <c r="P119" s="94"/>
      <c r="Q119" s="144"/>
      <c r="R119" s="121"/>
      <c r="S119" s="120"/>
      <c r="T119" s="96"/>
      <c r="U119" s="96"/>
      <c r="V119" s="117"/>
      <c r="W119" s="117"/>
      <c r="X119" s="117"/>
      <c r="Y119" s="97"/>
      <c r="Z119" s="89"/>
      <c r="AA119" s="121"/>
      <c r="AB119" s="89"/>
      <c r="AC119" s="119"/>
      <c r="AD119" s="89"/>
      <c r="AE119" s="229"/>
      <c r="AF119" s="118"/>
      <c r="AG119" s="118"/>
      <c r="AH119" s="118"/>
      <c r="AI119" s="99"/>
      <c r="AJ119" s="99"/>
      <c r="AK119" s="99"/>
      <c r="AU119" s="45"/>
    </row>
    <row r="120" spans="1:47" ht="12" customHeight="1">
      <c r="A120" s="87"/>
      <c r="B120" s="92"/>
      <c r="C120" s="89"/>
      <c r="D120" s="89"/>
      <c r="E120" s="111"/>
      <c r="F120" s="220"/>
      <c r="G120" s="112"/>
      <c r="H120" s="97"/>
      <c r="I120" s="91"/>
      <c r="J120" s="113"/>
      <c r="K120" s="89"/>
      <c r="L120" s="89"/>
      <c r="M120" s="89"/>
      <c r="N120" s="89"/>
      <c r="O120" s="90"/>
      <c r="P120" s="94"/>
      <c r="Q120" s="144"/>
      <c r="R120" s="121"/>
      <c r="S120" s="120"/>
      <c r="T120" s="96"/>
      <c r="U120" s="96"/>
      <c r="V120" s="117"/>
      <c r="W120" s="117"/>
      <c r="X120" s="117"/>
      <c r="Y120" s="97"/>
      <c r="Z120" s="89"/>
      <c r="AA120" s="121"/>
      <c r="AB120" s="89"/>
      <c r="AC120" s="119"/>
      <c r="AD120" s="89"/>
      <c r="AE120" s="229"/>
      <c r="AF120" s="118"/>
      <c r="AG120" s="118"/>
      <c r="AH120" s="118"/>
      <c r="AI120" s="99"/>
      <c r="AJ120" s="99"/>
      <c r="AK120" s="99"/>
      <c r="AU120" s="45"/>
    </row>
    <row r="121" spans="1:47" ht="12" customHeight="1">
      <c r="A121" s="87"/>
      <c r="B121" s="92"/>
      <c r="C121" s="89"/>
      <c r="D121" s="89"/>
      <c r="E121" s="111"/>
      <c r="F121" s="220"/>
      <c r="G121" s="112"/>
      <c r="H121" s="97"/>
      <c r="I121" s="91"/>
      <c r="J121" s="113"/>
      <c r="K121" s="89"/>
      <c r="L121" s="89"/>
      <c r="M121" s="89"/>
      <c r="N121" s="89"/>
      <c r="O121" s="90"/>
      <c r="P121" s="94"/>
      <c r="Q121" s="144"/>
      <c r="R121" s="121"/>
      <c r="S121" s="120"/>
      <c r="T121" s="96"/>
      <c r="U121" s="96"/>
      <c r="V121" s="117"/>
      <c r="W121" s="117"/>
      <c r="X121" s="117"/>
      <c r="Y121" s="97"/>
      <c r="Z121" s="89"/>
      <c r="AA121" s="121"/>
      <c r="AB121" s="89"/>
      <c r="AC121" s="119"/>
      <c r="AD121" s="89"/>
      <c r="AE121" s="229"/>
      <c r="AF121" s="118"/>
      <c r="AG121" s="118"/>
      <c r="AH121" s="118"/>
      <c r="AI121" s="99"/>
      <c r="AJ121" s="99"/>
      <c r="AK121" s="99"/>
      <c r="AU121" s="45"/>
    </row>
    <row r="122" spans="1:47" ht="12" customHeight="1">
      <c r="A122" s="87"/>
      <c r="B122" s="92"/>
      <c r="C122" s="89"/>
      <c r="D122" s="89"/>
      <c r="E122" s="111"/>
      <c r="F122" s="220"/>
      <c r="G122" s="112"/>
      <c r="H122" s="97"/>
      <c r="I122" s="91"/>
      <c r="J122" s="113"/>
      <c r="K122" s="89"/>
      <c r="L122" s="89"/>
      <c r="M122" s="89"/>
      <c r="N122" s="89"/>
      <c r="O122" s="90"/>
      <c r="P122" s="94"/>
      <c r="Q122" s="144"/>
      <c r="R122" s="121"/>
      <c r="S122" s="120"/>
      <c r="T122" s="96"/>
      <c r="U122" s="96"/>
      <c r="V122" s="117"/>
      <c r="W122" s="117"/>
      <c r="X122" s="117"/>
      <c r="Y122" s="97"/>
      <c r="Z122" s="89"/>
      <c r="AA122" s="121"/>
      <c r="AB122" s="89"/>
      <c r="AC122" s="119"/>
      <c r="AD122" s="89"/>
      <c r="AE122" s="229"/>
      <c r="AF122" s="118"/>
      <c r="AG122" s="118"/>
      <c r="AH122" s="118"/>
      <c r="AI122" s="99"/>
      <c r="AJ122" s="99"/>
      <c r="AK122" s="99"/>
      <c r="AU122" s="45"/>
    </row>
    <row r="123" spans="1:47" ht="12" customHeight="1">
      <c r="A123" s="87"/>
      <c r="B123" s="92"/>
      <c r="C123" s="89"/>
      <c r="D123" s="89"/>
      <c r="E123" s="111"/>
      <c r="F123" s="220"/>
      <c r="G123" s="112"/>
      <c r="H123" s="97"/>
      <c r="I123" s="91"/>
      <c r="J123" s="113"/>
      <c r="K123" s="89"/>
      <c r="L123" s="89"/>
      <c r="M123" s="89"/>
      <c r="N123" s="89"/>
      <c r="O123" s="90"/>
      <c r="P123" s="94"/>
      <c r="Q123" s="144"/>
      <c r="R123" s="121"/>
      <c r="S123" s="120"/>
      <c r="T123" s="96"/>
      <c r="U123" s="96"/>
      <c r="V123" s="117"/>
      <c r="W123" s="117"/>
      <c r="X123" s="117"/>
      <c r="Y123" s="97"/>
      <c r="Z123" s="89"/>
      <c r="AA123" s="121"/>
      <c r="AB123" s="89"/>
      <c r="AC123" s="119"/>
      <c r="AD123" s="89"/>
      <c r="AE123" s="229"/>
      <c r="AF123" s="118"/>
      <c r="AG123" s="118"/>
      <c r="AH123" s="118"/>
      <c r="AI123" s="99"/>
      <c r="AJ123" s="99"/>
      <c r="AK123" s="99"/>
      <c r="AU123" s="45"/>
    </row>
    <row r="124" spans="1:47" ht="12" customHeight="1">
      <c r="A124" s="87"/>
      <c r="B124" s="92"/>
      <c r="C124" s="89"/>
      <c r="D124" s="89"/>
      <c r="E124" s="111"/>
      <c r="F124" s="220"/>
      <c r="G124" s="112"/>
      <c r="H124" s="97"/>
      <c r="I124" s="91"/>
      <c r="J124" s="113"/>
      <c r="K124" s="89"/>
      <c r="L124" s="89"/>
      <c r="M124" s="89"/>
      <c r="N124" s="89"/>
      <c r="O124" s="90"/>
      <c r="P124" s="94"/>
      <c r="Q124" s="144"/>
      <c r="R124" s="121"/>
      <c r="S124" s="96"/>
      <c r="T124" s="96"/>
      <c r="U124" s="96"/>
      <c r="V124" s="117"/>
      <c r="W124" s="97"/>
      <c r="X124" s="97"/>
      <c r="Y124" s="97"/>
      <c r="Z124" s="89"/>
      <c r="AA124" s="121"/>
      <c r="AB124" s="89"/>
      <c r="AC124" s="119"/>
      <c r="AD124" s="89"/>
      <c r="AE124" s="229"/>
      <c r="AF124" s="118"/>
      <c r="AG124" s="118"/>
      <c r="AH124" s="118"/>
      <c r="AI124" s="99"/>
      <c r="AJ124" s="99"/>
      <c r="AK124" s="99"/>
      <c r="AU124" s="45"/>
    </row>
    <row r="125" spans="1:47" ht="12" customHeight="1">
      <c r="A125" s="87"/>
      <c r="B125" s="92"/>
      <c r="C125" s="89"/>
      <c r="D125" s="89"/>
      <c r="E125" s="111"/>
      <c r="F125" s="220"/>
      <c r="G125" s="112"/>
      <c r="H125" s="97"/>
      <c r="I125" s="91"/>
      <c r="J125" s="113"/>
      <c r="K125" s="89"/>
      <c r="L125" s="89"/>
      <c r="M125" s="89"/>
      <c r="N125" s="89"/>
      <c r="O125" s="90"/>
      <c r="P125" s="94"/>
      <c r="Q125" s="144"/>
      <c r="R125" s="121"/>
      <c r="S125" s="96"/>
      <c r="T125" s="96"/>
      <c r="U125" s="96"/>
      <c r="V125" s="117"/>
      <c r="W125" s="97"/>
      <c r="X125" s="97"/>
      <c r="Y125" s="97"/>
      <c r="Z125" s="89"/>
      <c r="AA125" s="96"/>
      <c r="AB125" s="89"/>
      <c r="AC125" s="119"/>
      <c r="AD125" s="89"/>
      <c r="AE125" s="229"/>
      <c r="AF125" s="118"/>
      <c r="AG125" s="118"/>
      <c r="AH125" s="118"/>
      <c r="AI125" s="99"/>
      <c r="AJ125" s="99"/>
      <c r="AK125" s="99"/>
      <c r="AU125" s="45"/>
    </row>
    <row r="126" spans="1:47" ht="12" customHeight="1">
      <c r="A126" s="87"/>
      <c r="B126" s="92"/>
      <c r="C126" s="89"/>
      <c r="D126" s="89"/>
      <c r="E126" s="111"/>
      <c r="F126" s="220"/>
      <c r="G126" s="112"/>
      <c r="H126" s="97"/>
      <c r="I126" s="91"/>
      <c r="J126" s="113"/>
      <c r="K126" s="89"/>
      <c r="L126" s="89"/>
      <c r="M126" s="89"/>
      <c r="N126" s="89"/>
      <c r="O126" s="90"/>
      <c r="P126" s="94"/>
      <c r="Q126" s="144"/>
      <c r="R126" s="121"/>
      <c r="S126" s="96"/>
      <c r="T126" s="96"/>
      <c r="U126" s="96"/>
      <c r="V126" s="117"/>
      <c r="W126" s="97"/>
      <c r="X126" s="97"/>
      <c r="Y126" s="97"/>
      <c r="Z126" s="89"/>
      <c r="AA126" s="96"/>
      <c r="AB126" s="89"/>
      <c r="AC126" s="119"/>
      <c r="AD126" s="89"/>
      <c r="AE126" s="229"/>
      <c r="AF126" s="118"/>
      <c r="AG126" s="118"/>
      <c r="AH126" s="118"/>
      <c r="AI126" s="99"/>
      <c r="AJ126" s="99"/>
      <c r="AK126" s="99"/>
      <c r="AU126" s="45"/>
    </row>
    <row r="127" spans="1:47" ht="12" customHeight="1">
      <c r="A127" s="87"/>
      <c r="B127" s="92"/>
      <c r="C127" s="89"/>
      <c r="D127" s="89"/>
      <c r="E127" s="111"/>
      <c r="F127" s="220"/>
      <c r="G127" s="112"/>
      <c r="H127" s="97"/>
      <c r="I127" s="91"/>
      <c r="J127" s="113"/>
      <c r="K127" s="89"/>
      <c r="L127" s="89"/>
      <c r="M127" s="89"/>
      <c r="N127" s="89"/>
      <c r="O127" s="90"/>
      <c r="P127" s="94"/>
      <c r="Q127" s="144"/>
      <c r="R127" s="121"/>
      <c r="S127" s="96"/>
      <c r="T127" s="96"/>
      <c r="U127" s="96"/>
      <c r="V127" s="117"/>
      <c r="W127" s="97"/>
      <c r="X127" s="97"/>
      <c r="Y127" s="97"/>
      <c r="Z127" s="89"/>
      <c r="AA127" s="96"/>
      <c r="AB127" s="89"/>
      <c r="AC127" s="119"/>
      <c r="AD127" s="89"/>
      <c r="AE127" s="229"/>
      <c r="AF127" s="118"/>
      <c r="AG127" s="118"/>
      <c r="AH127" s="118"/>
      <c r="AI127" s="99"/>
      <c r="AJ127" s="99"/>
      <c r="AK127" s="99"/>
      <c r="AU127" s="45"/>
    </row>
    <row r="128" spans="1:47" ht="12" customHeight="1">
      <c r="A128" s="87"/>
      <c r="B128" s="92"/>
      <c r="C128" s="89"/>
      <c r="D128" s="89"/>
      <c r="E128" s="111"/>
      <c r="F128" s="220"/>
      <c r="G128" s="112"/>
      <c r="H128" s="97"/>
      <c r="I128" s="91"/>
      <c r="J128" s="113"/>
      <c r="K128" s="89"/>
      <c r="L128" s="89"/>
      <c r="M128" s="89"/>
      <c r="N128" s="89"/>
      <c r="O128" s="90"/>
      <c r="P128" s="94"/>
      <c r="Q128" s="144"/>
      <c r="R128" s="121"/>
      <c r="S128" s="96"/>
      <c r="T128" s="96"/>
      <c r="U128" s="96"/>
      <c r="V128" s="117"/>
      <c r="W128" s="97"/>
      <c r="X128" s="97"/>
      <c r="Y128" s="97"/>
      <c r="Z128" s="89"/>
      <c r="AA128" s="96"/>
      <c r="AB128" s="89"/>
      <c r="AC128" s="119"/>
      <c r="AD128" s="89"/>
      <c r="AE128" s="229"/>
      <c r="AF128" s="118"/>
      <c r="AG128" s="118"/>
      <c r="AH128" s="118"/>
      <c r="AI128" s="99"/>
      <c r="AJ128" s="99"/>
      <c r="AK128" s="99"/>
      <c r="AU128" s="45"/>
    </row>
    <row r="129" spans="1:47" ht="12" customHeight="1">
      <c r="A129" s="87"/>
      <c r="B129" s="92"/>
      <c r="C129" s="89"/>
      <c r="D129" s="89"/>
      <c r="E129" s="111"/>
      <c r="F129" s="220"/>
      <c r="G129" s="112"/>
      <c r="H129" s="97"/>
      <c r="I129" s="91"/>
      <c r="J129" s="113"/>
      <c r="K129" s="89"/>
      <c r="L129" s="89"/>
      <c r="M129" s="89"/>
      <c r="N129" s="89"/>
      <c r="O129" s="90"/>
      <c r="P129" s="94"/>
      <c r="Q129" s="144"/>
      <c r="R129" s="121"/>
      <c r="S129" s="96"/>
      <c r="T129" s="96"/>
      <c r="U129" s="96"/>
      <c r="V129" s="117"/>
      <c r="W129" s="97"/>
      <c r="X129" s="97"/>
      <c r="Y129" s="97"/>
      <c r="Z129" s="89"/>
      <c r="AA129" s="96"/>
      <c r="AB129" s="89"/>
      <c r="AC129" s="119"/>
      <c r="AD129" s="89"/>
      <c r="AE129" s="229"/>
      <c r="AF129" s="118"/>
      <c r="AG129" s="118"/>
      <c r="AH129" s="118"/>
      <c r="AI129" s="99"/>
      <c r="AJ129" s="99"/>
      <c r="AK129" s="99"/>
      <c r="AU129" s="45"/>
    </row>
    <row r="130" spans="1:47" ht="12" customHeight="1">
      <c r="A130" s="87"/>
      <c r="B130" s="92"/>
      <c r="C130" s="89"/>
      <c r="D130" s="89"/>
      <c r="E130" s="111"/>
      <c r="F130" s="220"/>
      <c r="G130" s="112"/>
      <c r="H130" s="97"/>
      <c r="I130" s="91"/>
      <c r="J130" s="113"/>
      <c r="K130" s="89"/>
      <c r="L130" s="89"/>
      <c r="M130" s="89"/>
      <c r="N130" s="89"/>
      <c r="O130" s="90"/>
      <c r="P130" s="94"/>
      <c r="Q130" s="144"/>
      <c r="R130" s="121"/>
      <c r="S130" s="96"/>
      <c r="T130" s="96"/>
      <c r="U130" s="96"/>
      <c r="V130" s="117"/>
      <c r="W130" s="97"/>
      <c r="X130" s="97"/>
      <c r="Y130" s="97"/>
      <c r="Z130" s="89"/>
      <c r="AA130" s="96"/>
      <c r="AB130" s="89"/>
      <c r="AC130" s="119"/>
      <c r="AD130" s="89"/>
      <c r="AE130" s="229"/>
      <c r="AF130" s="118"/>
      <c r="AG130" s="118"/>
      <c r="AH130" s="118"/>
      <c r="AI130" s="99"/>
      <c r="AJ130" s="99"/>
      <c r="AK130" s="99"/>
      <c r="AU130" s="45"/>
    </row>
    <row r="131" spans="1:47" ht="12" customHeight="1">
      <c r="A131" s="87"/>
      <c r="B131" s="92"/>
      <c r="C131" s="89"/>
      <c r="D131" s="89"/>
      <c r="E131" s="111"/>
      <c r="F131" s="220"/>
      <c r="G131" s="112"/>
      <c r="H131" s="97"/>
      <c r="I131" s="91"/>
      <c r="J131" s="113"/>
      <c r="K131" s="89"/>
      <c r="L131" s="89"/>
      <c r="M131" s="89"/>
      <c r="N131" s="89"/>
      <c r="O131" s="90"/>
      <c r="P131" s="94"/>
      <c r="Q131" s="144"/>
      <c r="R131" s="121"/>
      <c r="S131" s="96"/>
      <c r="T131" s="96"/>
      <c r="U131" s="96"/>
      <c r="V131" s="117"/>
      <c r="W131" s="97"/>
      <c r="X131" s="97"/>
      <c r="Y131" s="97"/>
      <c r="Z131" s="89"/>
      <c r="AA131" s="121"/>
      <c r="AB131" s="89"/>
      <c r="AC131" s="119"/>
      <c r="AD131" s="89"/>
      <c r="AE131" s="229"/>
      <c r="AF131" s="118"/>
      <c r="AG131" s="118"/>
      <c r="AH131" s="118"/>
      <c r="AI131" s="99"/>
      <c r="AJ131" s="99"/>
      <c r="AK131" s="99"/>
      <c r="AU131" s="45"/>
    </row>
    <row r="132" spans="1:47" ht="12" customHeight="1">
      <c r="A132" s="87"/>
      <c r="B132" s="92"/>
      <c r="C132" s="89"/>
      <c r="D132" s="89"/>
      <c r="E132" s="111"/>
      <c r="F132" s="220"/>
      <c r="G132" s="112"/>
      <c r="H132" s="97"/>
      <c r="I132" s="91"/>
      <c r="J132" s="113"/>
      <c r="K132" s="89"/>
      <c r="L132" s="89"/>
      <c r="M132" s="89"/>
      <c r="N132" s="89"/>
      <c r="O132" s="90"/>
      <c r="P132" s="94"/>
      <c r="Q132" s="144"/>
      <c r="R132" s="121"/>
      <c r="S132" s="96"/>
      <c r="T132" s="96"/>
      <c r="U132" s="96"/>
      <c r="V132" s="117"/>
      <c r="W132" s="97"/>
      <c r="X132" s="97"/>
      <c r="Y132" s="97"/>
      <c r="Z132" s="89"/>
      <c r="AA132" s="96"/>
      <c r="AB132" s="89"/>
      <c r="AC132" s="119"/>
      <c r="AD132" s="89"/>
      <c r="AE132" s="229"/>
      <c r="AF132" s="118"/>
      <c r="AG132" s="118"/>
      <c r="AH132" s="118"/>
      <c r="AI132" s="99"/>
      <c r="AJ132" s="99"/>
      <c r="AK132" s="99"/>
      <c r="AU132" s="45"/>
    </row>
    <row r="133" spans="1:47" ht="12" customHeight="1">
      <c r="A133" s="87"/>
      <c r="B133" s="92"/>
      <c r="C133" s="89"/>
      <c r="D133" s="89"/>
      <c r="E133" s="111"/>
      <c r="F133" s="220"/>
      <c r="G133" s="112"/>
      <c r="H133" s="97"/>
      <c r="I133" s="91"/>
      <c r="J133" s="113"/>
      <c r="K133" s="89"/>
      <c r="L133" s="89"/>
      <c r="M133" s="89"/>
      <c r="N133" s="89"/>
      <c r="O133" s="90"/>
      <c r="P133" s="94"/>
      <c r="Q133" s="144"/>
      <c r="R133" s="121"/>
      <c r="S133" s="96"/>
      <c r="T133" s="96"/>
      <c r="U133" s="96"/>
      <c r="V133" s="117"/>
      <c r="W133" s="97"/>
      <c r="X133" s="97"/>
      <c r="Y133" s="97"/>
      <c r="Z133" s="89"/>
      <c r="AA133" s="96"/>
      <c r="AB133" s="89"/>
      <c r="AC133" s="119"/>
      <c r="AD133" s="89"/>
      <c r="AE133" s="229"/>
      <c r="AF133" s="118"/>
      <c r="AG133" s="118"/>
      <c r="AH133" s="118"/>
      <c r="AI133" s="99"/>
      <c r="AJ133" s="99"/>
      <c r="AK133" s="99"/>
      <c r="AU133" s="45"/>
    </row>
    <row r="134" spans="1:47" ht="12" customHeight="1">
      <c r="A134" s="87"/>
      <c r="B134" s="92"/>
      <c r="C134" s="89"/>
      <c r="D134" s="89"/>
      <c r="E134" s="111"/>
      <c r="F134" s="220"/>
      <c r="G134" s="112"/>
      <c r="H134" s="97"/>
      <c r="I134" s="91"/>
      <c r="J134" s="113"/>
      <c r="K134" s="89"/>
      <c r="L134" s="89"/>
      <c r="M134" s="89"/>
      <c r="N134" s="89"/>
      <c r="O134" s="90"/>
      <c r="P134" s="94"/>
      <c r="Q134" s="144"/>
      <c r="R134" s="121"/>
      <c r="S134" s="96"/>
      <c r="T134" s="96"/>
      <c r="U134" s="96"/>
      <c r="V134" s="117"/>
      <c r="W134" s="117"/>
      <c r="X134" s="117"/>
      <c r="Y134" s="117"/>
      <c r="Z134" s="89"/>
      <c r="AA134" s="121"/>
      <c r="AB134" s="89"/>
      <c r="AC134" s="119"/>
      <c r="AD134" s="89"/>
      <c r="AE134" s="229"/>
      <c r="AF134" s="118"/>
      <c r="AG134" s="118"/>
      <c r="AH134" s="118"/>
      <c r="AI134" s="99"/>
      <c r="AJ134" s="99"/>
      <c r="AK134" s="99"/>
      <c r="AU134" s="45"/>
    </row>
    <row r="135" spans="1:47" ht="12" customHeight="1">
      <c r="A135" s="87"/>
      <c r="B135" s="92"/>
      <c r="C135" s="89"/>
      <c r="D135" s="89"/>
      <c r="E135" s="111"/>
      <c r="F135" s="220"/>
      <c r="G135" s="112"/>
      <c r="H135" s="97"/>
      <c r="I135" s="91"/>
      <c r="J135" s="113"/>
      <c r="K135" s="89"/>
      <c r="L135" s="89"/>
      <c r="M135" s="89"/>
      <c r="N135" s="89"/>
      <c r="O135" s="90"/>
      <c r="P135" s="94"/>
      <c r="Q135" s="144"/>
      <c r="R135" s="96"/>
      <c r="S135" s="96"/>
      <c r="T135" s="96"/>
      <c r="U135" s="96"/>
      <c r="V135" s="117"/>
      <c r="W135" s="123"/>
      <c r="X135" s="97"/>
      <c r="Y135" s="97"/>
      <c r="Z135" s="89"/>
      <c r="AA135" s="121"/>
      <c r="AB135" s="89"/>
      <c r="AC135" s="119"/>
      <c r="AD135" s="89"/>
      <c r="AE135" s="229"/>
      <c r="AF135" s="118"/>
      <c r="AG135" s="118"/>
      <c r="AH135" s="118"/>
      <c r="AI135" s="99"/>
      <c r="AJ135" s="99"/>
      <c r="AK135" s="99"/>
      <c r="AU135" s="45"/>
    </row>
    <row r="136" spans="1:47" ht="12" customHeight="1">
      <c r="A136" s="87"/>
      <c r="B136" s="92"/>
      <c r="C136" s="89"/>
      <c r="D136" s="89"/>
      <c r="E136" s="111"/>
      <c r="F136" s="220"/>
      <c r="G136" s="112"/>
      <c r="H136" s="97"/>
      <c r="I136" s="91"/>
      <c r="J136" s="113"/>
      <c r="K136" s="89"/>
      <c r="L136" s="89"/>
      <c r="M136" s="89"/>
      <c r="N136" s="89"/>
      <c r="O136" s="90"/>
      <c r="P136" s="94"/>
      <c r="Q136" s="145"/>
      <c r="R136" s="121"/>
      <c r="S136" s="94"/>
      <c r="T136" s="96"/>
      <c r="U136" s="96"/>
      <c r="V136" s="117"/>
      <c r="W136" s="97"/>
      <c r="X136" s="97"/>
      <c r="Y136" s="97"/>
      <c r="Z136" s="89"/>
      <c r="AA136" s="121"/>
      <c r="AB136" s="89"/>
      <c r="AC136" s="119"/>
      <c r="AD136" s="89"/>
      <c r="AE136" s="229"/>
      <c r="AF136" s="118"/>
      <c r="AG136" s="118"/>
      <c r="AH136" s="118"/>
      <c r="AI136" s="99"/>
      <c r="AJ136" s="99"/>
      <c r="AK136" s="99"/>
      <c r="AU136" s="45"/>
    </row>
    <row r="137" spans="1:47" ht="12" customHeight="1">
      <c r="A137" s="87"/>
      <c r="B137" s="92"/>
      <c r="C137" s="89"/>
      <c r="D137" s="89"/>
      <c r="E137" s="111"/>
      <c r="F137" s="220"/>
      <c r="G137" s="112"/>
      <c r="H137" s="97"/>
      <c r="I137" s="91"/>
      <c r="J137" s="113"/>
      <c r="K137" s="89"/>
      <c r="L137" s="89"/>
      <c r="M137" s="89"/>
      <c r="N137" s="89"/>
      <c r="O137" s="90"/>
      <c r="P137" s="94"/>
      <c r="Q137" s="144"/>
      <c r="R137" s="121"/>
      <c r="S137" s="96"/>
      <c r="T137" s="96"/>
      <c r="U137" s="96"/>
      <c r="V137" s="117"/>
      <c r="W137" s="117"/>
      <c r="X137" s="117"/>
      <c r="Y137" s="117"/>
      <c r="Z137" s="89"/>
      <c r="AA137" s="121"/>
      <c r="AB137" s="89"/>
      <c r="AC137" s="119"/>
      <c r="AD137" s="89"/>
      <c r="AE137" s="229"/>
      <c r="AF137" s="118"/>
      <c r="AG137" s="118"/>
      <c r="AH137" s="118"/>
      <c r="AI137" s="99"/>
      <c r="AJ137" s="99"/>
      <c r="AK137" s="99"/>
      <c r="AU137" s="45"/>
    </row>
    <row r="138" spans="1:47" ht="12" customHeight="1">
      <c r="A138" s="87"/>
      <c r="B138" s="92"/>
      <c r="C138" s="89"/>
      <c r="D138" s="89"/>
      <c r="E138" s="111"/>
      <c r="F138" s="220"/>
      <c r="G138" s="112"/>
      <c r="H138" s="97"/>
      <c r="I138" s="91"/>
      <c r="J138" s="113"/>
      <c r="K138" s="89"/>
      <c r="L138" s="89"/>
      <c r="M138" s="89"/>
      <c r="N138" s="89"/>
      <c r="O138" s="90"/>
      <c r="P138" s="94"/>
      <c r="Q138" s="144"/>
      <c r="R138" s="121"/>
      <c r="S138" s="121"/>
      <c r="T138" s="96"/>
      <c r="U138" s="96"/>
      <c r="V138" s="117"/>
      <c r="W138" s="123"/>
      <c r="X138" s="97"/>
      <c r="Y138" s="97"/>
      <c r="Z138" s="89"/>
      <c r="AA138" s="121"/>
      <c r="AB138" s="89"/>
      <c r="AC138" s="119"/>
      <c r="AD138" s="89"/>
      <c r="AE138" s="229"/>
      <c r="AF138" s="118"/>
      <c r="AG138" s="118"/>
      <c r="AH138" s="118"/>
      <c r="AI138" s="99"/>
      <c r="AJ138" s="99"/>
      <c r="AK138" s="99"/>
      <c r="AU138" s="45"/>
    </row>
    <row r="139" spans="1:47" ht="12" customHeight="1">
      <c r="A139" s="87"/>
      <c r="B139" s="92"/>
      <c r="C139" s="89"/>
      <c r="D139" s="89"/>
      <c r="E139" s="111"/>
      <c r="F139" s="220"/>
      <c r="G139" s="112"/>
      <c r="H139" s="97"/>
      <c r="I139" s="91"/>
      <c r="J139" s="113"/>
      <c r="K139" s="89"/>
      <c r="L139" s="89"/>
      <c r="M139" s="89"/>
      <c r="N139" s="89"/>
      <c r="O139" s="90"/>
      <c r="P139" s="94"/>
      <c r="Q139" s="144"/>
      <c r="R139" s="121"/>
      <c r="S139" s="120"/>
      <c r="T139" s="96"/>
      <c r="U139" s="96"/>
      <c r="V139" s="117"/>
      <c r="W139" s="117"/>
      <c r="X139" s="117"/>
      <c r="Y139" s="97"/>
      <c r="Z139" s="89"/>
      <c r="AA139" s="121"/>
      <c r="AB139" s="89"/>
      <c r="AC139" s="119"/>
      <c r="AD139" s="89"/>
      <c r="AE139" s="229"/>
      <c r="AF139" s="118"/>
      <c r="AG139" s="118"/>
      <c r="AH139" s="118"/>
      <c r="AI139" s="99"/>
      <c r="AJ139" s="99"/>
      <c r="AK139" s="99"/>
      <c r="AU139" s="45"/>
    </row>
    <row r="140" spans="1:47" ht="12" customHeight="1">
      <c r="A140" s="89"/>
      <c r="B140" s="92"/>
      <c r="C140" s="89"/>
      <c r="D140" s="89"/>
      <c r="E140" s="111"/>
      <c r="F140" s="220"/>
      <c r="G140" s="112"/>
      <c r="H140" s="97"/>
      <c r="I140" s="91"/>
      <c r="J140" s="113"/>
      <c r="K140" s="89"/>
      <c r="L140" s="89"/>
      <c r="M140" s="89"/>
      <c r="N140" s="89"/>
      <c r="O140" s="90"/>
      <c r="P140" s="94"/>
      <c r="Q140" s="144"/>
      <c r="R140" s="121"/>
      <c r="S140" s="120"/>
      <c r="T140" s="96"/>
      <c r="U140" s="96"/>
      <c r="V140" s="117"/>
      <c r="W140" s="117"/>
      <c r="X140" s="117"/>
      <c r="Y140" s="97"/>
      <c r="Z140" s="89"/>
      <c r="AA140" s="121"/>
      <c r="AB140" s="89"/>
      <c r="AC140" s="119"/>
      <c r="AD140" s="89"/>
      <c r="AE140" s="229"/>
      <c r="AF140" s="118"/>
      <c r="AG140" s="118"/>
      <c r="AH140" s="118"/>
      <c r="AI140" s="99"/>
      <c r="AJ140" s="99"/>
      <c r="AK140" s="99"/>
      <c r="AU140" s="45"/>
    </row>
    <row r="141" spans="1:47" ht="12" customHeight="1">
      <c r="A141" s="87"/>
      <c r="B141" s="92"/>
      <c r="C141" s="89"/>
      <c r="D141" s="89"/>
      <c r="E141" s="111"/>
      <c r="F141" s="220"/>
      <c r="G141" s="112"/>
      <c r="H141" s="97"/>
      <c r="I141" s="91"/>
      <c r="J141" s="113"/>
      <c r="K141" s="89"/>
      <c r="L141" s="89"/>
      <c r="M141" s="89"/>
      <c r="N141" s="89"/>
      <c r="O141" s="90"/>
      <c r="P141" s="94"/>
      <c r="Q141" s="144"/>
      <c r="R141" s="121"/>
      <c r="S141" s="96"/>
      <c r="T141" s="96"/>
      <c r="U141" s="96"/>
      <c r="V141" s="117"/>
      <c r="W141" s="97"/>
      <c r="X141" s="97"/>
      <c r="Y141" s="97"/>
      <c r="Z141" s="89"/>
      <c r="AA141" s="96"/>
      <c r="AB141" s="89"/>
      <c r="AC141" s="119"/>
      <c r="AD141" s="89"/>
      <c r="AE141" s="229"/>
      <c r="AF141" s="118"/>
      <c r="AG141" s="118"/>
      <c r="AH141" s="118"/>
      <c r="AI141" s="99"/>
      <c r="AJ141" s="99"/>
      <c r="AK141" s="99"/>
      <c r="AU141" s="45"/>
    </row>
    <row r="142" spans="1:47" ht="12" customHeight="1">
      <c r="A142" s="87"/>
      <c r="B142" s="92"/>
      <c r="C142" s="89"/>
      <c r="D142" s="89"/>
      <c r="E142" s="111"/>
      <c r="F142" s="220"/>
      <c r="G142" s="112"/>
      <c r="H142" s="97"/>
      <c r="I142" s="91"/>
      <c r="J142" s="113"/>
      <c r="K142" s="89"/>
      <c r="L142" s="89"/>
      <c r="M142" s="89"/>
      <c r="N142" s="89"/>
      <c r="O142" s="90"/>
      <c r="P142" s="94"/>
      <c r="Q142" s="144"/>
      <c r="R142" s="121"/>
      <c r="S142" s="94"/>
      <c r="T142" s="96"/>
      <c r="U142" s="96"/>
      <c r="V142" s="117"/>
      <c r="W142" s="97"/>
      <c r="X142" s="97"/>
      <c r="Y142" s="97"/>
      <c r="Z142" s="89"/>
      <c r="AA142" s="96"/>
      <c r="AB142" s="89"/>
      <c r="AC142" s="119"/>
      <c r="AD142" s="89"/>
      <c r="AE142" s="229"/>
      <c r="AF142" s="118"/>
      <c r="AG142" s="118"/>
      <c r="AH142" s="118"/>
      <c r="AI142" s="99"/>
      <c r="AJ142" s="99"/>
      <c r="AK142" s="99"/>
      <c r="AU142" s="45"/>
    </row>
    <row r="143" spans="1:47" ht="12" customHeight="1">
      <c r="A143" s="87"/>
      <c r="B143" s="92"/>
      <c r="C143" s="89"/>
      <c r="D143" s="89"/>
      <c r="E143" s="111"/>
      <c r="F143" s="220"/>
      <c r="G143" s="112"/>
      <c r="H143" s="97"/>
      <c r="I143" s="91"/>
      <c r="J143" s="113"/>
      <c r="K143" s="89"/>
      <c r="L143" s="89"/>
      <c r="M143" s="89"/>
      <c r="N143" s="89"/>
      <c r="O143" s="90"/>
      <c r="P143" s="94"/>
      <c r="Q143" s="144"/>
      <c r="R143" s="121"/>
      <c r="S143" s="94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229"/>
      <c r="AF143" s="118"/>
      <c r="AG143" s="118"/>
      <c r="AH143" s="118"/>
      <c r="AI143" s="99"/>
      <c r="AJ143" s="99"/>
      <c r="AK143" s="99"/>
      <c r="AU143" s="45"/>
    </row>
    <row r="144" spans="1:47" ht="12" customHeight="1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4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229"/>
      <c r="AF144" s="118"/>
      <c r="AG144" s="118"/>
      <c r="AH144" s="118"/>
      <c r="AI144" s="99"/>
      <c r="AJ144" s="99"/>
      <c r="AK144" s="99"/>
      <c r="AU144" s="45"/>
    </row>
    <row r="145" spans="1:47" ht="12" customHeight="1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4"/>
      <c r="T145" s="96"/>
      <c r="U145" s="96"/>
      <c r="V145" s="117"/>
      <c r="W145" s="97"/>
      <c r="X145" s="97"/>
      <c r="Y145" s="97"/>
      <c r="Z145" s="89"/>
      <c r="AA145" s="96"/>
      <c r="AB145" s="89"/>
      <c r="AC145" s="119"/>
      <c r="AD145" s="89"/>
      <c r="AE145" s="229"/>
      <c r="AF145" s="118"/>
      <c r="AG145" s="118"/>
      <c r="AH145" s="118"/>
      <c r="AI145" s="99"/>
      <c r="AJ145" s="99"/>
      <c r="AK145" s="99"/>
      <c r="AU145" s="45"/>
    </row>
    <row r="146" spans="1:47" ht="12" customHeight="1">
      <c r="A146" s="89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5"/>
      <c r="R146" s="121"/>
      <c r="S146" s="94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229"/>
      <c r="AF146" s="118"/>
      <c r="AG146" s="118"/>
      <c r="AH146" s="118"/>
      <c r="AI146" s="99"/>
      <c r="AJ146" s="99"/>
      <c r="AK146" s="99"/>
      <c r="AU146" s="45"/>
    </row>
    <row r="147" spans="1:47" ht="12" customHeight="1">
      <c r="A147" s="89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5"/>
      <c r="R147" s="121"/>
      <c r="S147" s="94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229"/>
      <c r="AF147" s="118"/>
      <c r="AG147" s="118"/>
      <c r="AH147" s="118"/>
      <c r="AI147" s="99"/>
      <c r="AJ147" s="99"/>
      <c r="AK147" s="99"/>
      <c r="AU147" s="45"/>
    </row>
    <row r="148" spans="1:47" ht="12" customHeight="1">
      <c r="A148" s="89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5"/>
      <c r="R148" s="121"/>
      <c r="S148" s="94"/>
      <c r="T148" s="96"/>
      <c r="U148" s="96"/>
      <c r="V148" s="117"/>
      <c r="W148" s="97"/>
      <c r="X148" s="97"/>
      <c r="Y148" s="97"/>
      <c r="Z148" s="89"/>
      <c r="AA148" s="96"/>
      <c r="AB148" s="89"/>
      <c r="AC148" s="119"/>
      <c r="AD148" s="89"/>
      <c r="AE148" s="229"/>
      <c r="AF148" s="118"/>
      <c r="AG148" s="118"/>
      <c r="AH148" s="118"/>
      <c r="AI148" s="99"/>
      <c r="AJ148" s="99"/>
      <c r="AK148" s="99"/>
      <c r="AU148" s="45"/>
    </row>
    <row r="149" spans="1:47" ht="12" customHeight="1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96"/>
      <c r="AB149" s="89"/>
      <c r="AC149" s="119"/>
      <c r="AD149" s="89"/>
      <c r="AE149" s="229"/>
      <c r="AF149" s="118"/>
      <c r="AG149" s="118"/>
      <c r="AH149" s="118"/>
      <c r="AI149" s="99"/>
      <c r="AJ149" s="99"/>
      <c r="AK149" s="99"/>
      <c r="AU149" s="45"/>
    </row>
    <row r="150" spans="1:47" ht="12" customHeight="1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229"/>
      <c r="AF150" s="118"/>
      <c r="AG150" s="118"/>
      <c r="AH150" s="118"/>
      <c r="AI150" s="99"/>
      <c r="AJ150" s="99"/>
      <c r="AK150" s="99"/>
      <c r="AU150" s="45"/>
    </row>
    <row r="151" spans="1:47" ht="12" customHeight="1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229"/>
      <c r="AF151" s="118"/>
      <c r="AG151" s="118"/>
      <c r="AH151" s="118"/>
      <c r="AI151" s="99"/>
      <c r="AJ151" s="99"/>
      <c r="AK151" s="99"/>
      <c r="AU151" s="45"/>
    </row>
    <row r="152" spans="1:47" ht="12" customHeight="1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97"/>
      <c r="X152" s="97"/>
      <c r="Y152" s="97"/>
      <c r="Z152" s="89"/>
      <c r="AA152" s="96"/>
      <c r="AB152" s="89"/>
      <c r="AC152" s="119"/>
      <c r="AD152" s="89"/>
      <c r="AE152" s="229"/>
      <c r="AF152" s="118"/>
      <c r="AG152" s="118"/>
      <c r="AH152" s="118"/>
      <c r="AI152" s="99"/>
      <c r="AJ152" s="99"/>
      <c r="AK152" s="99"/>
      <c r="AU152" s="45"/>
    </row>
    <row r="153" spans="1:47" ht="12" customHeight="1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121"/>
      <c r="S153" s="96"/>
      <c r="T153" s="96"/>
      <c r="U153" s="96"/>
      <c r="V153" s="117"/>
      <c r="W153" s="97"/>
      <c r="X153" s="97"/>
      <c r="Y153" s="97"/>
      <c r="Z153" s="89"/>
      <c r="AA153" s="96"/>
      <c r="AB153" s="89"/>
      <c r="AC153" s="119"/>
      <c r="AD153" s="89"/>
      <c r="AE153" s="229"/>
      <c r="AF153" s="118"/>
      <c r="AG153" s="118"/>
      <c r="AH153" s="118"/>
      <c r="AI153" s="99"/>
      <c r="AJ153" s="99"/>
      <c r="AK153" s="99"/>
      <c r="AU153" s="45"/>
    </row>
    <row r="154" spans="1:47" ht="12" customHeight="1">
      <c r="A154" s="89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4"/>
      <c r="R154" s="121"/>
      <c r="S154" s="94"/>
      <c r="T154" s="96"/>
      <c r="U154" s="96"/>
      <c r="V154" s="117"/>
      <c r="W154" s="117"/>
      <c r="X154" s="97"/>
      <c r="Y154" s="117"/>
      <c r="Z154" s="89"/>
      <c r="AA154" s="121"/>
      <c r="AB154" s="89"/>
      <c r="AC154" s="119"/>
      <c r="AD154" s="89"/>
      <c r="AE154" s="229"/>
      <c r="AF154" s="118"/>
      <c r="AG154" s="118"/>
      <c r="AH154" s="118"/>
      <c r="AI154" s="99"/>
      <c r="AJ154" s="99"/>
      <c r="AK154" s="99"/>
      <c r="AU154" s="45"/>
    </row>
    <row r="155" spans="1:47" ht="12" customHeight="1">
      <c r="A155" s="89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4"/>
      <c r="T155" s="96"/>
      <c r="U155" s="96"/>
      <c r="V155" s="117"/>
      <c r="W155" s="117"/>
      <c r="X155" s="97"/>
      <c r="Y155" s="117"/>
      <c r="Z155" s="89"/>
      <c r="AA155" s="121"/>
      <c r="AB155" s="89"/>
      <c r="AC155" s="119"/>
      <c r="AD155" s="89"/>
      <c r="AE155" s="229"/>
      <c r="AF155" s="118"/>
      <c r="AG155" s="118"/>
      <c r="AH155" s="118"/>
      <c r="AI155" s="99"/>
      <c r="AJ155" s="99"/>
      <c r="AK155" s="99"/>
      <c r="AU155" s="45"/>
    </row>
    <row r="156" spans="1:47" ht="12" customHeight="1">
      <c r="A156" s="89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0"/>
      <c r="S156" s="94"/>
      <c r="T156" s="96"/>
      <c r="U156" s="96"/>
      <c r="V156" s="117"/>
      <c r="W156" s="117"/>
      <c r="X156" s="120"/>
      <c r="Y156" s="117"/>
      <c r="Z156" s="89"/>
      <c r="AA156" s="121"/>
      <c r="AB156" s="89"/>
      <c r="AC156" s="119"/>
      <c r="AD156" s="89"/>
      <c r="AE156" s="229"/>
      <c r="AF156" s="118"/>
      <c r="AG156" s="118"/>
      <c r="AH156" s="118"/>
      <c r="AI156" s="99"/>
      <c r="AJ156" s="99"/>
      <c r="AK156" s="99"/>
      <c r="AU156" s="45"/>
    </row>
    <row r="157" spans="1:47" ht="12" customHeight="1">
      <c r="A157" s="89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94"/>
      <c r="T157" s="96"/>
      <c r="U157" s="96"/>
      <c r="V157" s="117"/>
      <c r="W157" s="117"/>
      <c r="X157" s="97"/>
      <c r="Y157" s="117"/>
      <c r="Z157" s="89"/>
      <c r="AA157" s="121"/>
      <c r="AB157" s="89"/>
      <c r="AC157" s="119"/>
      <c r="AD157" s="89"/>
      <c r="AE157" s="229"/>
      <c r="AF157" s="118"/>
      <c r="AG157" s="118"/>
      <c r="AH157" s="118"/>
      <c r="AI157" s="99"/>
      <c r="AJ157" s="99"/>
      <c r="AK157" s="99"/>
      <c r="AU157" s="45"/>
    </row>
    <row r="158" spans="1:47" ht="12" customHeight="1">
      <c r="A158" s="87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94"/>
      <c r="T158" s="96"/>
      <c r="U158" s="96"/>
      <c r="V158" s="117"/>
      <c r="W158" s="117"/>
      <c r="X158" s="97"/>
      <c r="Y158" s="97"/>
      <c r="Z158" s="89"/>
      <c r="AA158" s="121"/>
      <c r="AB158" s="89"/>
      <c r="AC158" s="119"/>
      <c r="AD158" s="89"/>
      <c r="AE158" s="229"/>
      <c r="AF158" s="118"/>
      <c r="AG158" s="118"/>
      <c r="AH158" s="118"/>
      <c r="AI158" s="99"/>
      <c r="AJ158" s="99"/>
      <c r="AK158" s="99"/>
      <c r="AU158" s="45"/>
    </row>
    <row r="159" spans="1:47" ht="12" customHeight="1">
      <c r="A159" s="89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5"/>
      <c r="R159" s="121"/>
      <c r="S159" s="94"/>
      <c r="T159" s="96"/>
      <c r="U159" s="96"/>
      <c r="V159" s="117"/>
      <c r="W159" s="117"/>
      <c r="X159" s="97"/>
      <c r="Y159" s="97"/>
      <c r="Z159" s="89"/>
      <c r="AA159" s="121"/>
      <c r="AB159" s="89"/>
      <c r="AC159" s="119"/>
      <c r="AD159" s="89"/>
      <c r="AE159" s="229"/>
      <c r="AF159" s="118"/>
      <c r="AG159" s="118"/>
      <c r="AH159" s="118"/>
      <c r="AI159" s="99"/>
      <c r="AJ159" s="99"/>
      <c r="AK159" s="99"/>
      <c r="AU159" s="45"/>
    </row>
    <row r="160" spans="1:47" ht="12" customHeight="1">
      <c r="A160" s="89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5"/>
      <c r="R160" s="121"/>
      <c r="S160" s="94"/>
      <c r="T160" s="96"/>
      <c r="U160" s="96"/>
      <c r="V160" s="117"/>
      <c r="W160" s="117"/>
      <c r="X160" s="97"/>
      <c r="Y160" s="97"/>
      <c r="Z160" s="89"/>
      <c r="AA160" s="121"/>
      <c r="AB160" s="89"/>
      <c r="AC160" s="119"/>
      <c r="AD160" s="89"/>
      <c r="AE160" s="229"/>
      <c r="AF160" s="118"/>
      <c r="AG160" s="118"/>
      <c r="AH160" s="118"/>
      <c r="AI160" s="99"/>
      <c r="AJ160" s="99"/>
      <c r="AK160" s="99"/>
      <c r="AU160" s="45"/>
    </row>
    <row r="161" spans="1:47" ht="12" customHeight="1">
      <c r="A161" s="87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4"/>
      <c r="R161" s="120"/>
      <c r="S161" s="96"/>
      <c r="T161" s="96"/>
      <c r="U161" s="96"/>
      <c r="V161" s="117"/>
      <c r="W161" s="117"/>
      <c r="X161" s="120"/>
      <c r="Y161" s="117"/>
      <c r="Z161" s="89"/>
      <c r="AA161" s="121"/>
      <c r="AB161" s="89"/>
      <c r="AC161" s="119"/>
      <c r="AD161" s="89"/>
      <c r="AE161" s="229"/>
      <c r="AF161" s="118"/>
      <c r="AG161" s="118"/>
      <c r="AH161" s="118"/>
      <c r="AI161" s="99"/>
      <c r="AJ161" s="99"/>
      <c r="AK161" s="99"/>
      <c r="AU161" s="45"/>
    </row>
    <row r="162" spans="1:47" ht="12" customHeight="1">
      <c r="A162" s="89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5"/>
      <c r="R162" s="121"/>
      <c r="S162" s="94"/>
      <c r="T162" s="96"/>
      <c r="U162" s="96"/>
      <c r="V162" s="117"/>
      <c r="W162" s="97"/>
      <c r="X162" s="97"/>
      <c r="Y162" s="97"/>
      <c r="Z162" s="89"/>
      <c r="AA162" s="121"/>
      <c r="AB162" s="89"/>
      <c r="AC162" s="119"/>
      <c r="AD162" s="89"/>
      <c r="AE162" s="229"/>
      <c r="AF162" s="118"/>
      <c r="AG162" s="118"/>
      <c r="AH162" s="118"/>
      <c r="AI162" s="99"/>
      <c r="AJ162" s="99"/>
      <c r="AK162" s="99"/>
      <c r="AU162" s="45"/>
    </row>
    <row r="163" spans="1:47" ht="12" customHeight="1">
      <c r="A163" s="89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5"/>
      <c r="R163" s="121"/>
      <c r="S163" s="94"/>
      <c r="T163" s="96"/>
      <c r="U163" s="96"/>
      <c r="V163" s="117"/>
      <c r="W163" s="97"/>
      <c r="X163" s="97"/>
      <c r="Y163" s="97"/>
      <c r="Z163" s="89"/>
      <c r="AA163" s="121"/>
      <c r="AB163" s="89"/>
      <c r="AC163" s="119"/>
      <c r="AD163" s="89"/>
      <c r="AE163" s="229"/>
      <c r="AF163" s="118"/>
      <c r="AG163" s="118"/>
      <c r="AH163" s="118"/>
      <c r="AI163" s="99"/>
      <c r="AJ163" s="99"/>
      <c r="AK163" s="99"/>
      <c r="AU163" s="45"/>
    </row>
    <row r="164" spans="1:47" ht="12" customHeight="1">
      <c r="A164" s="89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4"/>
      <c r="R164" s="121"/>
      <c r="S164" s="96"/>
      <c r="T164" s="96"/>
      <c r="U164" s="96"/>
      <c r="V164" s="117"/>
      <c r="W164" s="97"/>
      <c r="X164" s="97"/>
      <c r="Y164" s="97"/>
      <c r="Z164" s="89"/>
      <c r="AA164" s="121"/>
      <c r="AB164" s="89"/>
      <c r="AC164" s="119"/>
      <c r="AD164" s="89"/>
      <c r="AE164" s="229"/>
      <c r="AF164" s="118"/>
      <c r="AG164" s="118"/>
      <c r="AH164" s="118"/>
      <c r="AI164" s="99"/>
      <c r="AJ164" s="99"/>
      <c r="AK164" s="99"/>
      <c r="AU164" s="45"/>
    </row>
    <row r="165" spans="1:47" ht="12" customHeight="1">
      <c r="A165" s="89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4"/>
      <c r="R165" s="121"/>
      <c r="S165" s="120"/>
      <c r="T165" s="96"/>
      <c r="U165" s="96"/>
      <c r="V165" s="117"/>
      <c r="W165" s="117"/>
      <c r="X165" s="117"/>
      <c r="Y165" s="97"/>
      <c r="Z165" s="89"/>
      <c r="AA165" s="121"/>
      <c r="AB165" s="89"/>
      <c r="AC165" s="119"/>
      <c r="AD165" s="89"/>
      <c r="AE165" s="229"/>
      <c r="AF165" s="118"/>
      <c r="AG165" s="118"/>
      <c r="AH165" s="118"/>
      <c r="AI165" s="99"/>
      <c r="AJ165" s="99"/>
      <c r="AK165" s="99"/>
      <c r="AU165" s="45"/>
    </row>
    <row r="166" spans="1:47" ht="12" customHeight="1">
      <c r="A166" s="89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4"/>
      <c r="R166" s="121"/>
      <c r="S166" s="120"/>
      <c r="T166" s="96"/>
      <c r="U166" s="96"/>
      <c r="V166" s="117"/>
      <c r="W166" s="117"/>
      <c r="X166" s="117"/>
      <c r="Y166" s="97"/>
      <c r="Z166" s="89"/>
      <c r="AA166" s="121"/>
      <c r="AB166" s="89"/>
      <c r="AC166" s="119"/>
      <c r="AD166" s="89"/>
      <c r="AE166" s="229"/>
      <c r="AF166" s="118"/>
      <c r="AG166" s="118"/>
      <c r="AH166" s="118"/>
      <c r="AI166" s="99"/>
      <c r="AJ166" s="99"/>
      <c r="AK166" s="99"/>
      <c r="AU166" s="45"/>
    </row>
    <row r="167" spans="1:47" ht="12" customHeight="1">
      <c r="A167" s="89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120"/>
      <c r="T167" s="96"/>
      <c r="U167" s="96"/>
      <c r="V167" s="117"/>
      <c r="W167" s="117"/>
      <c r="X167" s="117"/>
      <c r="Y167" s="97"/>
      <c r="Z167" s="89"/>
      <c r="AA167" s="121"/>
      <c r="AB167" s="89"/>
      <c r="AC167" s="119"/>
      <c r="AD167" s="89"/>
      <c r="AE167" s="229"/>
      <c r="AF167" s="118"/>
      <c r="AG167" s="118"/>
      <c r="AH167" s="118"/>
      <c r="AI167" s="99"/>
      <c r="AJ167" s="99"/>
      <c r="AK167" s="99"/>
      <c r="AU167" s="45"/>
    </row>
    <row r="168" spans="1:47" ht="12" customHeight="1">
      <c r="A168" s="89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120"/>
      <c r="T168" s="96"/>
      <c r="U168" s="96"/>
      <c r="V168" s="117"/>
      <c r="W168" s="117"/>
      <c r="X168" s="117"/>
      <c r="Y168" s="97"/>
      <c r="Z168" s="89"/>
      <c r="AA168" s="121"/>
      <c r="AB168" s="89"/>
      <c r="AC168" s="119"/>
      <c r="AD168" s="89"/>
      <c r="AE168" s="229"/>
      <c r="AF168" s="118"/>
      <c r="AG168" s="118"/>
      <c r="AH168" s="118"/>
      <c r="AI168" s="99"/>
      <c r="AJ168" s="99"/>
      <c r="AK168" s="99"/>
      <c r="AU168" s="45"/>
    </row>
    <row r="169" spans="1:47" ht="12" customHeight="1">
      <c r="A169" s="89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120"/>
      <c r="T169" s="96"/>
      <c r="U169" s="96"/>
      <c r="V169" s="117"/>
      <c r="W169" s="117"/>
      <c r="X169" s="117"/>
      <c r="Y169" s="97"/>
      <c r="Z169" s="89"/>
      <c r="AA169" s="121"/>
      <c r="AB169" s="89"/>
      <c r="AC169" s="119"/>
      <c r="AD169" s="89"/>
      <c r="AE169" s="229"/>
      <c r="AF169" s="118"/>
      <c r="AG169" s="118"/>
      <c r="AH169" s="118"/>
      <c r="AI169" s="99"/>
      <c r="AJ169" s="99"/>
      <c r="AK169" s="99"/>
      <c r="AU169" s="45"/>
    </row>
    <row r="170" spans="1:47" ht="12" customHeight="1">
      <c r="A170" s="89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1"/>
      <c r="S170" s="120"/>
      <c r="T170" s="96"/>
      <c r="U170" s="96"/>
      <c r="V170" s="117"/>
      <c r="W170" s="117"/>
      <c r="X170" s="117"/>
      <c r="Y170" s="97"/>
      <c r="Z170" s="89"/>
      <c r="AA170" s="121"/>
      <c r="AB170" s="89"/>
      <c r="AC170" s="119"/>
      <c r="AD170" s="89"/>
      <c r="AE170" s="229"/>
      <c r="AF170" s="118"/>
      <c r="AG170" s="118"/>
      <c r="AH170" s="118"/>
      <c r="AI170" s="99"/>
      <c r="AJ170" s="99"/>
      <c r="AK170" s="99"/>
      <c r="AU170" s="45"/>
    </row>
    <row r="171" spans="1:47" ht="12" customHeight="1">
      <c r="A171" s="89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120"/>
      <c r="T171" s="96"/>
      <c r="U171" s="96"/>
      <c r="V171" s="117"/>
      <c r="W171" s="117"/>
      <c r="X171" s="117"/>
      <c r="Y171" s="97"/>
      <c r="Z171" s="89"/>
      <c r="AA171" s="121"/>
      <c r="AB171" s="89"/>
      <c r="AC171" s="119"/>
      <c r="AD171" s="89"/>
      <c r="AE171" s="229"/>
      <c r="AF171" s="118"/>
      <c r="AG171" s="118"/>
      <c r="AH171" s="118"/>
      <c r="AI171" s="99"/>
      <c r="AJ171" s="99"/>
      <c r="AK171" s="99"/>
      <c r="AU171" s="45"/>
    </row>
    <row r="172" spans="1:47" ht="12" customHeight="1">
      <c r="A172" s="89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120"/>
      <c r="T172" s="96"/>
      <c r="U172" s="96"/>
      <c r="V172" s="117"/>
      <c r="W172" s="117"/>
      <c r="X172" s="117"/>
      <c r="Y172" s="97"/>
      <c r="Z172" s="89"/>
      <c r="AA172" s="121"/>
      <c r="AB172" s="89"/>
      <c r="AC172" s="119"/>
      <c r="AD172" s="89"/>
      <c r="AE172" s="229"/>
      <c r="AF172" s="118"/>
      <c r="AG172" s="118"/>
      <c r="AH172" s="118"/>
      <c r="AI172" s="99"/>
      <c r="AJ172" s="99"/>
      <c r="AK172" s="99"/>
      <c r="AU172" s="45"/>
    </row>
    <row r="173" spans="1:47" ht="12" customHeight="1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4"/>
      <c r="R173" s="121"/>
      <c r="S173" s="120"/>
      <c r="T173" s="96"/>
      <c r="U173" s="96"/>
      <c r="V173" s="117"/>
      <c r="W173" s="117"/>
      <c r="X173" s="117"/>
      <c r="Y173" s="97"/>
      <c r="Z173" s="89"/>
      <c r="AA173" s="121"/>
      <c r="AB173" s="89"/>
      <c r="AC173" s="119"/>
      <c r="AD173" s="89"/>
      <c r="AE173" s="229"/>
      <c r="AF173" s="118"/>
      <c r="AG173" s="118"/>
      <c r="AH173" s="118"/>
      <c r="AI173" s="99"/>
      <c r="AJ173" s="99"/>
      <c r="AK173" s="99"/>
      <c r="AU173" s="45"/>
    </row>
    <row r="174" spans="1:47" ht="12" customHeight="1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5"/>
      <c r="R174" s="121"/>
      <c r="S174" s="94"/>
      <c r="T174" s="96"/>
      <c r="U174" s="96"/>
      <c r="V174" s="117"/>
      <c r="W174" s="97"/>
      <c r="X174" s="97"/>
      <c r="Y174" s="97"/>
      <c r="Z174" s="89"/>
      <c r="AA174" s="121"/>
      <c r="AB174" s="89"/>
      <c r="AC174" s="119"/>
      <c r="AD174" s="89"/>
      <c r="AE174" s="229"/>
      <c r="AF174" s="118"/>
      <c r="AG174" s="118"/>
      <c r="AH174" s="118"/>
      <c r="AI174" s="99"/>
      <c r="AJ174" s="99"/>
      <c r="AK174" s="99"/>
      <c r="AU174" s="45"/>
    </row>
    <row r="175" spans="1:47" ht="12" customHeight="1">
      <c r="A175" s="89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5"/>
      <c r="R175" s="121"/>
      <c r="S175" s="94"/>
      <c r="T175" s="96"/>
      <c r="U175" s="96"/>
      <c r="V175" s="117"/>
      <c r="W175" s="97"/>
      <c r="X175" s="97"/>
      <c r="Y175" s="97"/>
      <c r="Z175" s="89"/>
      <c r="AA175" s="121"/>
      <c r="AB175" s="89"/>
      <c r="AC175" s="119"/>
      <c r="AD175" s="89"/>
      <c r="AE175" s="229"/>
      <c r="AF175" s="118"/>
      <c r="AG175" s="118"/>
      <c r="AH175" s="118"/>
      <c r="AI175" s="99"/>
      <c r="AJ175" s="99"/>
      <c r="AK175" s="99"/>
      <c r="AU175" s="45"/>
    </row>
    <row r="176" spans="1:47" ht="12" customHeight="1">
      <c r="A176" s="89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5"/>
      <c r="R176" s="121"/>
      <c r="S176" s="94"/>
      <c r="T176" s="96"/>
      <c r="U176" s="96"/>
      <c r="V176" s="117"/>
      <c r="W176" s="97"/>
      <c r="X176" s="97"/>
      <c r="Y176" s="97"/>
      <c r="Z176" s="89"/>
      <c r="AA176" s="121"/>
      <c r="AB176" s="89"/>
      <c r="AC176" s="119"/>
      <c r="AD176" s="89"/>
      <c r="AE176" s="229"/>
      <c r="AF176" s="118"/>
      <c r="AG176" s="118"/>
      <c r="AH176" s="118"/>
      <c r="AI176" s="99"/>
      <c r="AJ176" s="99"/>
      <c r="AK176" s="99"/>
      <c r="AU176" s="45"/>
    </row>
    <row r="177" spans="1:47" ht="12" customHeight="1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97"/>
      <c r="X177" s="97"/>
      <c r="Y177" s="97"/>
      <c r="Z177" s="89"/>
      <c r="AA177" s="121"/>
      <c r="AB177" s="89"/>
      <c r="AC177" s="119"/>
      <c r="AD177" s="89"/>
      <c r="AE177" s="229"/>
      <c r="AF177" s="118"/>
      <c r="AG177" s="118"/>
      <c r="AH177" s="118"/>
      <c r="AI177" s="99"/>
      <c r="AJ177" s="99"/>
      <c r="AK177" s="99"/>
      <c r="AU177" s="45"/>
    </row>
    <row r="178" spans="1:47" ht="12" customHeight="1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5"/>
      <c r="R178" s="121"/>
      <c r="S178" s="94"/>
      <c r="T178" s="96"/>
      <c r="U178" s="96"/>
      <c r="V178" s="117"/>
      <c r="W178" s="97"/>
      <c r="X178" s="97"/>
      <c r="Y178" s="97"/>
      <c r="Z178" s="89"/>
      <c r="AA178" s="121"/>
      <c r="AB178" s="89"/>
      <c r="AC178" s="119"/>
      <c r="AD178" s="89"/>
      <c r="AE178" s="229"/>
      <c r="AF178" s="118"/>
      <c r="AG178" s="118"/>
      <c r="AH178" s="118"/>
      <c r="AI178" s="99"/>
      <c r="AJ178" s="99"/>
      <c r="AK178" s="99"/>
      <c r="AU178" s="45"/>
    </row>
    <row r="179" spans="1:47" ht="12" customHeight="1">
      <c r="A179" s="89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5"/>
      <c r="R179" s="121"/>
      <c r="S179" s="94"/>
      <c r="T179" s="96"/>
      <c r="U179" s="96"/>
      <c r="V179" s="117"/>
      <c r="W179" s="97"/>
      <c r="X179" s="97"/>
      <c r="Y179" s="97"/>
      <c r="Z179" s="89"/>
      <c r="AA179" s="121"/>
      <c r="AB179" s="89"/>
      <c r="AC179" s="119"/>
      <c r="AD179" s="89"/>
      <c r="AE179" s="229"/>
      <c r="AF179" s="118"/>
      <c r="AG179" s="118"/>
      <c r="AH179" s="118"/>
      <c r="AI179" s="99"/>
      <c r="AJ179" s="99"/>
      <c r="AK179" s="99"/>
      <c r="AU179" s="45"/>
    </row>
    <row r="180" spans="1:47" ht="12" customHeight="1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5"/>
      <c r="R180" s="121"/>
      <c r="S180" s="94"/>
      <c r="T180" s="96"/>
      <c r="U180" s="96"/>
      <c r="V180" s="117"/>
      <c r="W180" s="97"/>
      <c r="X180" s="97"/>
      <c r="Y180" s="97"/>
      <c r="Z180" s="89"/>
      <c r="AA180" s="121"/>
      <c r="AB180" s="89"/>
      <c r="AC180" s="119"/>
      <c r="AD180" s="89"/>
      <c r="AE180" s="229"/>
      <c r="AF180" s="118"/>
      <c r="AG180" s="118"/>
      <c r="AH180" s="118"/>
      <c r="AI180" s="99"/>
      <c r="AJ180" s="99"/>
      <c r="AK180" s="99"/>
      <c r="AU180" s="45"/>
    </row>
    <row r="181" spans="1:47" ht="12" customHeight="1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5"/>
      <c r="R181" s="121"/>
      <c r="S181" s="94"/>
      <c r="T181" s="96"/>
      <c r="U181" s="96"/>
      <c r="V181" s="117"/>
      <c r="W181" s="97"/>
      <c r="X181" s="97"/>
      <c r="Y181" s="97"/>
      <c r="Z181" s="89"/>
      <c r="AA181" s="121"/>
      <c r="AB181" s="89"/>
      <c r="AC181" s="119"/>
      <c r="AD181" s="89"/>
      <c r="AE181" s="229"/>
      <c r="AF181" s="118"/>
      <c r="AG181" s="118"/>
      <c r="AH181" s="118"/>
      <c r="AI181" s="99"/>
      <c r="AJ181" s="99"/>
      <c r="AK181" s="99"/>
      <c r="AU181" s="45"/>
    </row>
    <row r="182" spans="1:47" ht="12" customHeight="1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5"/>
      <c r="R182" s="121"/>
      <c r="S182" s="94"/>
      <c r="T182" s="96"/>
      <c r="U182" s="96"/>
      <c r="V182" s="117"/>
      <c r="W182" s="97"/>
      <c r="X182" s="97"/>
      <c r="Y182" s="97"/>
      <c r="Z182" s="89"/>
      <c r="AA182" s="121"/>
      <c r="AB182" s="89"/>
      <c r="AC182" s="119"/>
      <c r="AD182" s="89"/>
      <c r="AE182" s="229"/>
      <c r="AF182" s="118"/>
      <c r="AG182" s="118"/>
      <c r="AH182" s="118"/>
      <c r="AI182" s="99"/>
      <c r="AJ182" s="99"/>
      <c r="AK182" s="99"/>
      <c r="AU182" s="45"/>
    </row>
    <row r="183" spans="1:47" ht="12" customHeight="1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5"/>
      <c r="R183" s="121"/>
      <c r="S183" s="94"/>
      <c r="T183" s="96"/>
      <c r="U183" s="96"/>
      <c r="V183" s="117"/>
      <c r="W183" s="97"/>
      <c r="X183" s="97"/>
      <c r="Y183" s="97"/>
      <c r="Z183" s="89"/>
      <c r="AA183" s="121"/>
      <c r="AB183" s="89"/>
      <c r="AC183" s="119"/>
      <c r="AD183" s="89"/>
      <c r="AE183" s="229"/>
      <c r="AF183" s="118"/>
      <c r="AG183" s="118"/>
      <c r="AH183" s="118"/>
      <c r="AI183" s="99"/>
      <c r="AJ183" s="99"/>
      <c r="AK183" s="99"/>
      <c r="AU183" s="45"/>
    </row>
    <row r="184" spans="1:47" ht="12" customHeight="1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5"/>
      <c r="R184" s="121"/>
      <c r="S184" s="94"/>
      <c r="T184" s="96"/>
      <c r="U184" s="96"/>
      <c r="V184" s="117"/>
      <c r="W184" s="97"/>
      <c r="X184" s="97"/>
      <c r="Y184" s="97"/>
      <c r="Z184" s="89"/>
      <c r="AA184" s="121"/>
      <c r="AB184" s="89"/>
      <c r="AC184" s="119"/>
      <c r="AD184" s="89"/>
      <c r="AE184" s="229"/>
      <c r="AF184" s="118"/>
      <c r="AG184" s="118"/>
      <c r="AH184" s="118"/>
      <c r="AI184" s="99"/>
      <c r="AJ184" s="99"/>
      <c r="AK184" s="99"/>
      <c r="AU184" s="45"/>
    </row>
    <row r="185" spans="1:47" ht="12" customHeight="1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5"/>
      <c r="R185" s="121"/>
      <c r="S185" s="94"/>
      <c r="T185" s="96"/>
      <c r="U185" s="96"/>
      <c r="V185" s="117"/>
      <c r="W185" s="97"/>
      <c r="X185" s="97"/>
      <c r="Y185" s="97"/>
      <c r="Z185" s="89"/>
      <c r="AA185" s="121"/>
      <c r="AB185" s="89"/>
      <c r="AC185" s="119"/>
      <c r="AD185" s="89"/>
      <c r="AE185" s="229"/>
      <c r="AF185" s="118"/>
      <c r="AG185" s="118"/>
      <c r="AH185" s="118"/>
      <c r="AI185" s="99"/>
      <c r="AJ185" s="99"/>
      <c r="AK185" s="99"/>
      <c r="AU185" s="45"/>
    </row>
    <row r="186" spans="1:47" ht="12" customHeight="1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5"/>
      <c r="R186" s="121"/>
      <c r="S186" s="94"/>
      <c r="T186" s="96"/>
      <c r="U186" s="96"/>
      <c r="V186" s="117"/>
      <c r="W186" s="97"/>
      <c r="X186" s="97"/>
      <c r="Y186" s="97"/>
      <c r="Z186" s="89"/>
      <c r="AA186" s="121"/>
      <c r="AB186" s="89"/>
      <c r="AC186" s="119"/>
      <c r="AD186" s="89"/>
      <c r="AE186" s="229"/>
      <c r="AF186" s="118"/>
      <c r="AG186" s="118"/>
      <c r="AH186" s="118"/>
      <c r="AI186" s="99"/>
      <c r="AJ186" s="99"/>
      <c r="AK186" s="99"/>
      <c r="AU186" s="45"/>
    </row>
    <row r="187" spans="1:47" ht="12" customHeight="1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5"/>
      <c r="R187" s="121"/>
      <c r="S187" s="94"/>
      <c r="T187" s="96"/>
      <c r="U187" s="96"/>
      <c r="V187" s="117"/>
      <c r="W187" s="97"/>
      <c r="X187" s="97"/>
      <c r="Y187" s="97"/>
      <c r="Z187" s="89"/>
      <c r="AA187" s="121"/>
      <c r="AB187" s="89"/>
      <c r="AC187" s="119"/>
      <c r="AD187" s="89"/>
      <c r="AE187" s="229"/>
      <c r="AF187" s="118"/>
      <c r="AG187" s="118"/>
      <c r="AH187" s="118"/>
      <c r="AI187" s="99"/>
      <c r="AJ187" s="99"/>
      <c r="AK187" s="99"/>
      <c r="AU187" s="45"/>
    </row>
    <row r="188" spans="1:47" ht="12" customHeight="1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5"/>
      <c r="R188" s="121"/>
      <c r="S188" s="94"/>
      <c r="T188" s="96"/>
      <c r="U188" s="96"/>
      <c r="V188" s="117"/>
      <c r="W188" s="97"/>
      <c r="X188" s="97"/>
      <c r="Y188" s="97"/>
      <c r="Z188" s="89"/>
      <c r="AA188" s="121"/>
      <c r="AB188" s="89"/>
      <c r="AC188" s="119"/>
      <c r="AD188" s="89"/>
      <c r="AE188" s="229"/>
      <c r="AF188" s="118"/>
      <c r="AG188" s="118"/>
      <c r="AH188" s="118"/>
      <c r="AI188" s="99"/>
      <c r="AJ188" s="99"/>
      <c r="AK188" s="99"/>
      <c r="AU188" s="45"/>
    </row>
    <row r="189" spans="1:47" ht="12" customHeight="1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5"/>
      <c r="R189" s="121"/>
      <c r="S189" s="94"/>
      <c r="T189" s="96"/>
      <c r="U189" s="96"/>
      <c r="V189" s="117"/>
      <c r="W189" s="97"/>
      <c r="X189" s="97"/>
      <c r="Y189" s="97"/>
      <c r="Z189" s="89"/>
      <c r="AA189" s="121"/>
      <c r="AB189" s="89"/>
      <c r="AC189" s="119"/>
      <c r="AD189" s="89"/>
      <c r="AE189" s="229"/>
      <c r="AF189" s="118"/>
      <c r="AG189" s="118"/>
      <c r="AH189" s="118"/>
      <c r="AI189" s="99"/>
      <c r="AJ189" s="99"/>
      <c r="AK189" s="99"/>
      <c r="AU189" s="45"/>
    </row>
    <row r="190" spans="1:47" ht="12" customHeight="1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5"/>
      <c r="R190" s="121"/>
      <c r="S190" s="94"/>
      <c r="T190" s="96"/>
      <c r="U190" s="96"/>
      <c r="V190" s="117"/>
      <c r="W190" s="97"/>
      <c r="X190" s="97"/>
      <c r="Y190" s="97"/>
      <c r="Z190" s="89"/>
      <c r="AA190" s="121"/>
      <c r="AB190" s="89"/>
      <c r="AC190" s="119"/>
      <c r="AD190" s="89"/>
      <c r="AE190" s="229"/>
      <c r="AF190" s="118"/>
      <c r="AG190" s="118"/>
      <c r="AH190" s="118"/>
      <c r="AI190" s="99"/>
      <c r="AJ190" s="99"/>
      <c r="AK190" s="99"/>
      <c r="AU190" s="45"/>
    </row>
    <row r="191" spans="1:47" ht="12" customHeight="1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5"/>
      <c r="R191" s="121"/>
      <c r="S191" s="94"/>
      <c r="T191" s="96"/>
      <c r="U191" s="96"/>
      <c r="V191" s="117"/>
      <c r="W191" s="117"/>
      <c r="X191" s="97"/>
      <c r="Y191" s="97"/>
      <c r="Z191" s="89"/>
      <c r="AA191" s="96"/>
      <c r="AB191" s="89"/>
      <c r="AC191" s="119"/>
      <c r="AD191" s="89"/>
      <c r="AE191" s="229"/>
      <c r="AF191" s="118"/>
      <c r="AG191" s="118"/>
      <c r="AH191" s="118"/>
      <c r="AI191" s="99"/>
      <c r="AJ191" s="99"/>
      <c r="AK191" s="99"/>
      <c r="AU191" s="45"/>
    </row>
    <row r="192" spans="1:47" ht="12" customHeight="1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4"/>
      <c r="R192" s="121"/>
      <c r="S192" s="94"/>
      <c r="T192" s="96"/>
      <c r="U192" s="96"/>
      <c r="V192" s="117"/>
      <c r="W192" s="117"/>
      <c r="X192" s="117"/>
      <c r="Y192" s="97"/>
      <c r="Z192" s="89"/>
      <c r="AA192" s="121"/>
      <c r="AB192" s="89"/>
      <c r="AC192" s="119"/>
      <c r="AD192" s="89"/>
      <c r="AE192" s="229"/>
      <c r="AF192" s="118"/>
      <c r="AG192" s="118"/>
      <c r="AH192" s="118"/>
      <c r="AI192" s="99"/>
      <c r="AJ192" s="99"/>
      <c r="AK192" s="99"/>
      <c r="AU192" s="45"/>
    </row>
    <row r="193" spans="1:47" ht="12" customHeight="1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229"/>
      <c r="AF193" s="118"/>
      <c r="AG193" s="118"/>
      <c r="AH193" s="118"/>
      <c r="AI193" s="99"/>
      <c r="AJ193" s="99"/>
      <c r="AK193" s="99"/>
      <c r="AU193" s="45"/>
    </row>
    <row r="194" spans="1:47" ht="12" customHeight="1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6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229"/>
      <c r="AF194" s="118"/>
      <c r="AG194" s="118"/>
      <c r="AH194" s="118"/>
      <c r="AI194" s="99"/>
      <c r="AJ194" s="99"/>
      <c r="AK194" s="99"/>
      <c r="AU194" s="45"/>
    </row>
    <row r="195" spans="1:47" ht="12" customHeight="1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4"/>
      <c r="R195" s="121"/>
      <c r="S195" s="120"/>
      <c r="T195" s="96"/>
      <c r="U195" s="96"/>
      <c r="V195" s="117"/>
      <c r="W195" s="117"/>
      <c r="X195" s="117"/>
      <c r="Y195" s="97"/>
      <c r="Z195" s="89"/>
      <c r="AA195" s="121"/>
      <c r="AB195" s="89"/>
      <c r="AC195" s="119"/>
      <c r="AD195" s="89"/>
      <c r="AE195" s="229"/>
      <c r="AF195" s="118"/>
      <c r="AG195" s="118"/>
      <c r="AH195" s="118"/>
      <c r="AI195" s="99"/>
      <c r="AJ195" s="99"/>
      <c r="AK195" s="99"/>
      <c r="AU195" s="45"/>
    </row>
    <row r="196" spans="1:47" ht="12" customHeight="1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4"/>
      <c r="R196" s="121"/>
      <c r="S196" s="120"/>
      <c r="T196" s="96"/>
      <c r="U196" s="96"/>
      <c r="V196" s="117"/>
      <c r="W196" s="117"/>
      <c r="X196" s="117"/>
      <c r="Y196" s="97"/>
      <c r="Z196" s="89"/>
      <c r="AA196" s="121"/>
      <c r="AB196" s="89"/>
      <c r="AC196" s="119"/>
      <c r="AD196" s="89"/>
      <c r="AE196" s="229"/>
      <c r="AF196" s="118"/>
      <c r="AG196" s="118"/>
      <c r="AH196" s="118"/>
      <c r="AI196" s="99"/>
      <c r="AJ196" s="99"/>
      <c r="AK196" s="99"/>
      <c r="AU196" s="45"/>
    </row>
    <row r="197" spans="1:47" ht="12" customHeight="1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4"/>
      <c r="R197" s="121"/>
      <c r="S197" s="120"/>
      <c r="T197" s="96"/>
      <c r="U197" s="96"/>
      <c r="V197" s="117"/>
      <c r="W197" s="117"/>
      <c r="X197" s="117"/>
      <c r="Y197" s="97"/>
      <c r="Z197" s="89"/>
      <c r="AA197" s="96"/>
      <c r="AB197" s="89"/>
      <c r="AC197" s="119"/>
      <c r="AD197" s="89"/>
      <c r="AE197" s="229"/>
      <c r="AF197" s="118"/>
      <c r="AG197" s="118"/>
      <c r="AH197" s="118"/>
      <c r="AI197" s="99"/>
      <c r="AJ197" s="99"/>
      <c r="AK197" s="99"/>
      <c r="AU197" s="45"/>
    </row>
    <row r="198" spans="1:47" ht="12" customHeight="1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4"/>
      <c r="R198" s="121"/>
      <c r="S198" s="120"/>
      <c r="T198" s="96"/>
      <c r="U198" s="96"/>
      <c r="V198" s="117"/>
      <c r="W198" s="117"/>
      <c r="X198" s="117"/>
      <c r="Y198" s="97"/>
      <c r="Z198" s="89"/>
      <c r="AA198" s="96"/>
      <c r="AB198" s="89"/>
      <c r="AC198" s="119"/>
      <c r="AD198" s="89"/>
      <c r="AE198" s="229"/>
      <c r="AF198" s="118"/>
      <c r="AG198" s="118"/>
      <c r="AH198" s="118"/>
      <c r="AI198" s="99"/>
      <c r="AJ198" s="99"/>
      <c r="AK198" s="99"/>
      <c r="AU198" s="45"/>
    </row>
    <row r="199" spans="1:47" ht="12" customHeight="1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4"/>
      <c r="R199" s="121"/>
      <c r="S199" s="120"/>
      <c r="T199" s="96"/>
      <c r="U199" s="96"/>
      <c r="V199" s="117"/>
      <c r="W199" s="117"/>
      <c r="X199" s="117"/>
      <c r="Y199" s="97"/>
      <c r="Z199" s="89"/>
      <c r="AA199" s="96"/>
      <c r="AB199" s="89"/>
      <c r="AC199" s="119"/>
      <c r="AD199" s="89"/>
      <c r="AE199" s="229"/>
      <c r="AF199" s="118"/>
      <c r="AG199" s="118"/>
      <c r="AH199" s="118"/>
      <c r="AI199" s="99"/>
      <c r="AJ199" s="99"/>
      <c r="AK199" s="99"/>
      <c r="AU199" s="45"/>
    </row>
    <row r="200" spans="1:47" ht="12" customHeight="1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229"/>
      <c r="AF200" s="118"/>
      <c r="AG200" s="118"/>
      <c r="AH200" s="118"/>
      <c r="AI200" s="99"/>
      <c r="AJ200" s="99"/>
      <c r="AK200" s="99"/>
      <c r="AU200" s="45"/>
    </row>
    <row r="201" spans="1:47" ht="12" customHeight="1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229"/>
      <c r="AF201" s="118"/>
      <c r="AG201" s="118"/>
      <c r="AH201" s="118"/>
      <c r="AI201" s="99"/>
      <c r="AJ201" s="99"/>
      <c r="AK201" s="99"/>
      <c r="AU201" s="45"/>
    </row>
    <row r="202" spans="1:47" ht="12" customHeight="1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96"/>
      <c r="AB202" s="89"/>
      <c r="AC202" s="119"/>
      <c r="AD202" s="89"/>
      <c r="AE202" s="229"/>
      <c r="AF202" s="118"/>
      <c r="AG202" s="118"/>
      <c r="AH202" s="118"/>
      <c r="AI202" s="99"/>
      <c r="AJ202" s="99"/>
      <c r="AK202" s="99"/>
      <c r="AU202" s="45"/>
    </row>
    <row r="203" spans="1:47" ht="12" customHeight="1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229"/>
      <c r="AF203" s="118"/>
      <c r="AG203" s="118"/>
      <c r="AH203" s="118"/>
      <c r="AI203" s="99"/>
      <c r="AJ203" s="99"/>
      <c r="AK203" s="99"/>
      <c r="AU203" s="45"/>
    </row>
    <row r="204" spans="1:47" ht="12" customHeight="1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229"/>
      <c r="AF204" s="118"/>
      <c r="AG204" s="118"/>
      <c r="AH204" s="118"/>
      <c r="AI204" s="99"/>
      <c r="AJ204" s="99"/>
      <c r="AK204" s="99"/>
      <c r="AU204" s="45"/>
    </row>
    <row r="205" spans="1:47" ht="12" customHeight="1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96"/>
      <c r="AB205" s="89"/>
      <c r="AC205" s="119"/>
      <c r="AD205" s="89"/>
      <c r="AE205" s="229"/>
      <c r="AF205" s="118"/>
      <c r="AG205" s="118"/>
      <c r="AH205" s="118"/>
      <c r="AI205" s="99"/>
      <c r="AJ205" s="99"/>
      <c r="AK205" s="99"/>
      <c r="AU205" s="45"/>
    </row>
    <row r="206" spans="1:47" ht="12" customHeight="1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229"/>
      <c r="AF206" s="118"/>
      <c r="AG206" s="118"/>
      <c r="AH206" s="118"/>
      <c r="AI206" s="99"/>
      <c r="AJ206" s="99"/>
      <c r="AK206" s="99"/>
      <c r="AU206" s="45"/>
    </row>
    <row r="207" spans="1:47" ht="12" customHeight="1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229"/>
      <c r="AF207" s="118"/>
      <c r="AG207" s="118"/>
      <c r="AH207" s="118"/>
      <c r="AI207" s="99"/>
      <c r="AJ207" s="99"/>
      <c r="AK207" s="99"/>
      <c r="AU207" s="45"/>
    </row>
    <row r="208" spans="1:47" ht="12" customHeight="1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229"/>
      <c r="AF208" s="118"/>
      <c r="AG208" s="118"/>
      <c r="AH208" s="118"/>
      <c r="AI208" s="99"/>
      <c r="AJ208" s="99"/>
      <c r="AK208" s="99"/>
      <c r="AU208" s="45"/>
    </row>
    <row r="209" spans="1:47" ht="12" customHeight="1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97"/>
      <c r="X209" s="97"/>
      <c r="Y209" s="97"/>
      <c r="Z209" s="89"/>
      <c r="AA209" s="96"/>
      <c r="AB209" s="89"/>
      <c r="AC209" s="119"/>
      <c r="AD209" s="89"/>
      <c r="AE209" s="229"/>
      <c r="AF209" s="118"/>
      <c r="AG209" s="118"/>
      <c r="AH209" s="118"/>
      <c r="AI209" s="99"/>
      <c r="AJ209" s="99"/>
      <c r="AK209" s="99"/>
      <c r="AU209" s="45"/>
    </row>
    <row r="210" spans="1:47" ht="12" customHeight="1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5"/>
      <c r="R210" s="121"/>
      <c r="S210" s="94"/>
      <c r="T210" s="96"/>
      <c r="U210" s="96"/>
      <c r="V210" s="117"/>
      <c r="W210" s="97"/>
      <c r="X210" s="97"/>
      <c r="Y210" s="97"/>
      <c r="Z210" s="89"/>
      <c r="AA210" s="121"/>
      <c r="AB210" s="89"/>
      <c r="AC210" s="119"/>
      <c r="AD210" s="89"/>
      <c r="AE210" s="229"/>
      <c r="AF210" s="118"/>
      <c r="AG210" s="118"/>
      <c r="AH210" s="118"/>
      <c r="AI210" s="99"/>
      <c r="AJ210" s="99"/>
      <c r="AK210" s="99"/>
      <c r="AU210" s="45"/>
    </row>
    <row r="211" spans="1:47" ht="12" customHeight="1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229"/>
      <c r="AF211" s="118"/>
      <c r="AG211" s="118"/>
      <c r="AH211" s="118"/>
      <c r="AI211" s="99"/>
      <c r="AJ211" s="99"/>
      <c r="AK211" s="99"/>
      <c r="AU211" s="45"/>
    </row>
    <row r="212" spans="1:47" ht="12" customHeight="1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5"/>
      <c r="R212" s="121"/>
      <c r="S212" s="94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229"/>
      <c r="AF212" s="118"/>
      <c r="AG212" s="118"/>
      <c r="AH212" s="118"/>
      <c r="AI212" s="99"/>
      <c r="AJ212" s="99"/>
      <c r="AK212" s="99"/>
      <c r="AU212" s="45"/>
    </row>
    <row r="213" spans="1:47" ht="12" customHeight="1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5"/>
      <c r="R213" s="121"/>
      <c r="S213" s="94"/>
      <c r="T213" s="96"/>
      <c r="U213" s="96"/>
      <c r="V213" s="117"/>
      <c r="W213" s="97"/>
      <c r="X213" s="97"/>
      <c r="Y213" s="97"/>
      <c r="Z213" s="89"/>
      <c r="AA213" s="121"/>
      <c r="AB213" s="89"/>
      <c r="AC213" s="119"/>
      <c r="AD213" s="89"/>
      <c r="AE213" s="229"/>
      <c r="AF213" s="118"/>
      <c r="AG213" s="118"/>
      <c r="AH213" s="118"/>
      <c r="AI213" s="99"/>
      <c r="AJ213" s="99"/>
      <c r="AK213" s="99"/>
      <c r="AU213" s="45"/>
    </row>
    <row r="214" spans="1:47" ht="12" customHeight="1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5"/>
      <c r="R214" s="121"/>
      <c r="S214" s="94"/>
      <c r="T214" s="96"/>
      <c r="U214" s="96"/>
      <c r="V214" s="117"/>
      <c r="W214" s="97"/>
      <c r="X214" s="97"/>
      <c r="Y214" s="97"/>
      <c r="Z214" s="89"/>
      <c r="AA214" s="121"/>
      <c r="AB214" s="89"/>
      <c r="AC214" s="119"/>
      <c r="AD214" s="89"/>
      <c r="AE214" s="229"/>
      <c r="AF214" s="118"/>
      <c r="AG214" s="118"/>
      <c r="AH214" s="118"/>
      <c r="AI214" s="99"/>
      <c r="AJ214" s="99"/>
      <c r="AK214" s="99"/>
      <c r="AU214" s="45"/>
    </row>
    <row r="215" spans="1:47" ht="12" customHeight="1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4"/>
      <c r="R215" s="121"/>
      <c r="S215" s="94"/>
      <c r="T215" s="96"/>
      <c r="U215" s="96"/>
      <c r="V215" s="117"/>
      <c r="W215" s="97"/>
      <c r="X215" s="97"/>
      <c r="Y215" s="97"/>
      <c r="Z215" s="89"/>
      <c r="AA215" s="121"/>
      <c r="AB215" s="89"/>
      <c r="AC215" s="119"/>
      <c r="AD215" s="89"/>
      <c r="AE215" s="229"/>
      <c r="AF215" s="118"/>
      <c r="AG215" s="118"/>
      <c r="AH215" s="118"/>
      <c r="AI215" s="99"/>
      <c r="AJ215" s="99"/>
      <c r="AK215" s="99"/>
      <c r="AU215" s="45"/>
    </row>
    <row r="216" spans="1:47" ht="12" customHeight="1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5"/>
      <c r="R216" s="121"/>
      <c r="S216" s="94"/>
      <c r="T216" s="96"/>
      <c r="U216" s="96"/>
      <c r="V216" s="117"/>
      <c r="W216" s="97"/>
      <c r="X216" s="97"/>
      <c r="Y216" s="97"/>
      <c r="Z216" s="89"/>
      <c r="AA216" s="121"/>
      <c r="AB216" s="89"/>
      <c r="AC216" s="119"/>
      <c r="AD216" s="89"/>
      <c r="AE216" s="229"/>
      <c r="AF216" s="118"/>
      <c r="AG216" s="118"/>
      <c r="AH216" s="118"/>
      <c r="AI216" s="99"/>
      <c r="AJ216" s="99"/>
      <c r="AK216" s="99"/>
      <c r="AU216" s="45"/>
    </row>
    <row r="217" spans="1:47" ht="12" customHeight="1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5"/>
      <c r="R217" s="121"/>
      <c r="S217" s="94"/>
      <c r="T217" s="96"/>
      <c r="U217" s="96"/>
      <c r="V217" s="117"/>
      <c r="W217" s="97"/>
      <c r="X217" s="97"/>
      <c r="Y217" s="97"/>
      <c r="Z217" s="89"/>
      <c r="AA217" s="96"/>
      <c r="AB217" s="89"/>
      <c r="AC217" s="119"/>
      <c r="AD217" s="89"/>
      <c r="AE217" s="229"/>
      <c r="AF217" s="118"/>
      <c r="AG217" s="118"/>
      <c r="AH217" s="118"/>
      <c r="AI217" s="99"/>
      <c r="AJ217" s="99"/>
      <c r="AK217" s="99"/>
      <c r="AU217" s="45"/>
    </row>
    <row r="218" spans="1:47" ht="12" customHeight="1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6"/>
      <c r="T218" s="96"/>
      <c r="U218" s="96"/>
      <c r="V218" s="117"/>
      <c r="W218" s="97"/>
      <c r="X218" s="97"/>
      <c r="Y218" s="97"/>
      <c r="Z218" s="89"/>
      <c r="AA218" s="96"/>
      <c r="AB218" s="89"/>
      <c r="AC218" s="119"/>
      <c r="AD218" s="89"/>
      <c r="AE218" s="229"/>
      <c r="AF218" s="118"/>
      <c r="AG218" s="118"/>
      <c r="AH218" s="118"/>
      <c r="AI218" s="99"/>
      <c r="AJ218" s="99"/>
      <c r="AK218" s="99"/>
      <c r="AU218" s="45"/>
    </row>
    <row r="219" spans="1:47" ht="12" customHeight="1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6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229"/>
      <c r="AF219" s="118"/>
      <c r="AG219" s="118"/>
      <c r="AH219" s="118"/>
      <c r="AI219" s="99"/>
      <c r="AJ219" s="99"/>
      <c r="AK219" s="99"/>
      <c r="AU219" s="45"/>
    </row>
    <row r="220" spans="1:47" ht="12" customHeight="1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4"/>
      <c r="R220" s="121"/>
      <c r="S220" s="94"/>
      <c r="T220" s="96"/>
      <c r="U220" s="96"/>
      <c r="V220" s="117"/>
      <c r="W220" s="117"/>
      <c r="X220" s="117"/>
      <c r="Y220" s="117"/>
      <c r="Z220" s="89"/>
      <c r="AA220" s="121"/>
      <c r="AB220" s="89"/>
      <c r="AC220" s="119"/>
      <c r="AD220" s="89"/>
      <c r="AE220" s="229"/>
      <c r="AF220" s="118"/>
      <c r="AG220" s="118"/>
      <c r="AH220" s="118"/>
      <c r="AI220" s="99"/>
      <c r="AJ220" s="99"/>
      <c r="AK220" s="99"/>
      <c r="AU220" s="45"/>
    </row>
    <row r="221" spans="1:47" ht="12" customHeight="1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4"/>
      <c r="R221" s="121"/>
      <c r="S221" s="94"/>
      <c r="T221" s="96"/>
      <c r="U221" s="96"/>
      <c r="V221" s="117"/>
      <c r="W221" s="117"/>
      <c r="X221" s="97"/>
      <c r="Y221" s="117"/>
      <c r="Z221" s="89"/>
      <c r="AA221" s="121"/>
      <c r="AB221" s="89"/>
      <c r="AC221" s="119"/>
      <c r="AD221" s="89"/>
      <c r="AE221" s="229"/>
      <c r="AF221" s="118"/>
      <c r="AG221" s="118"/>
      <c r="AH221" s="118"/>
      <c r="AI221" s="99"/>
      <c r="AJ221" s="99"/>
      <c r="AK221" s="99"/>
      <c r="AU221" s="45"/>
    </row>
    <row r="222" spans="1:47" ht="12" customHeight="1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4"/>
      <c r="R222" s="121"/>
      <c r="S222" s="94"/>
      <c r="T222" s="96"/>
      <c r="U222" s="96"/>
      <c r="V222" s="117"/>
      <c r="W222" s="117"/>
      <c r="X222" s="117"/>
      <c r="Y222" s="117"/>
      <c r="Z222" s="89"/>
      <c r="AA222" s="96"/>
      <c r="AB222" s="89"/>
      <c r="AC222" s="119"/>
      <c r="AD222" s="89"/>
      <c r="AE222" s="229"/>
      <c r="AF222" s="118"/>
      <c r="AG222" s="118"/>
      <c r="AH222" s="118"/>
      <c r="AI222" s="99"/>
      <c r="AJ222" s="99"/>
      <c r="AK222" s="99"/>
      <c r="AU222" s="45"/>
    </row>
    <row r="223" spans="1:47" ht="12" customHeight="1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4"/>
      <c r="R223" s="121"/>
      <c r="S223" s="120"/>
      <c r="T223" s="96"/>
      <c r="U223" s="96"/>
      <c r="V223" s="117"/>
      <c r="W223" s="117"/>
      <c r="X223" s="117"/>
      <c r="Y223" s="97"/>
      <c r="Z223" s="89"/>
      <c r="AA223" s="96"/>
      <c r="AB223" s="89"/>
      <c r="AC223" s="119"/>
      <c r="AD223" s="89"/>
      <c r="AE223" s="229"/>
      <c r="AF223" s="118"/>
      <c r="AG223" s="118"/>
      <c r="AH223" s="118"/>
      <c r="AI223" s="99"/>
      <c r="AJ223" s="99"/>
      <c r="AK223" s="99"/>
      <c r="AU223" s="45"/>
    </row>
    <row r="224" spans="1:47" ht="12" customHeight="1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4"/>
      <c r="R224" s="121"/>
      <c r="S224" s="120"/>
      <c r="T224" s="96"/>
      <c r="U224" s="96"/>
      <c r="V224" s="117"/>
      <c r="W224" s="117"/>
      <c r="X224" s="117"/>
      <c r="Y224" s="97"/>
      <c r="Z224" s="89"/>
      <c r="AA224" s="96"/>
      <c r="AB224" s="89"/>
      <c r="AC224" s="119"/>
      <c r="AD224" s="89"/>
      <c r="AE224" s="229"/>
      <c r="AF224" s="118"/>
      <c r="AG224" s="118"/>
      <c r="AH224" s="118"/>
      <c r="AI224" s="99"/>
      <c r="AJ224" s="99"/>
      <c r="AK224" s="99"/>
      <c r="AU224" s="45"/>
    </row>
    <row r="225" spans="1:47" ht="12" customHeight="1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4"/>
      <c r="R225" s="121"/>
      <c r="S225" s="120"/>
      <c r="T225" s="96"/>
      <c r="U225" s="96"/>
      <c r="V225" s="117"/>
      <c r="W225" s="117"/>
      <c r="X225" s="117"/>
      <c r="Y225" s="97"/>
      <c r="Z225" s="89"/>
      <c r="AA225" s="96"/>
      <c r="AB225" s="89"/>
      <c r="AC225" s="119"/>
      <c r="AD225" s="89"/>
      <c r="AE225" s="229"/>
      <c r="AF225" s="118"/>
      <c r="AG225" s="118"/>
      <c r="AH225" s="118"/>
      <c r="AI225" s="99"/>
      <c r="AJ225" s="99"/>
      <c r="AK225" s="99"/>
      <c r="AU225" s="45"/>
    </row>
    <row r="226" spans="1:47" ht="12" customHeight="1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4"/>
      <c r="R226" s="121"/>
      <c r="S226" s="120"/>
      <c r="T226" s="96"/>
      <c r="U226" s="96"/>
      <c r="V226" s="117"/>
      <c r="W226" s="117"/>
      <c r="X226" s="117"/>
      <c r="Y226" s="97"/>
      <c r="Z226" s="89"/>
      <c r="AA226" s="96"/>
      <c r="AB226" s="89"/>
      <c r="AC226" s="119"/>
      <c r="AD226" s="89"/>
      <c r="AE226" s="229"/>
      <c r="AF226" s="118"/>
      <c r="AG226" s="118"/>
      <c r="AH226" s="118"/>
      <c r="AI226" s="99"/>
      <c r="AJ226" s="99"/>
      <c r="AK226" s="99"/>
      <c r="AU226" s="45"/>
    </row>
    <row r="227" spans="1:47" ht="12" customHeight="1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4"/>
      <c r="R227" s="121"/>
      <c r="S227" s="120"/>
      <c r="T227" s="96"/>
      <c r="U227" s="96"/>
      <c r="V227" s="117"/>
      <c r="W227" s="117"/>
      <c r="X227" s="117"/>
      <c r="Y227" s="97"/>
      <c r="Z227" s="89"/>
      <c r="AA227" s="96"/>
      <c r="AB227" s="89"/>
      <c r="AC227" s="119"/>
      <c r="AD227" s="89"/>
      <c r="AE227" s="229"/>
      <c r="AF227" s="118"/>
      <c r="AG227" s="118"/>
      <c r="AH227" s="118"/>
      <c r="AI227" s="99"/>
      <c r="AJ227" s="99"/>
      <c r="AK227" s="99"/>
      <c r="AU227" s="45"/>
    </row>
    <row r="228" spans="1:47" ht="12" customHeight="1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4"/>
      <c r="R228" s="121"/>
      <c r="S228" s="120"/>
      <c r="T228" s="96"/>
      <c r="U228" s="96"/>
      <c r="V228" s="117"/>
      <c r="W228" s="117"/>
      <c r="X228" s="117"/>
      <c r="Y228" s="97"/>
      <c r="Z228" s="89"/>
      <c r="AA228" s="96"/>
      <c r="AB228" s="89"/>
      <c r="AC228" s="119"/>
      <c r="AD228" s="89"/>
      <c r="AE228" s="229"/>
      <c r="AF228" s="118"/>
      <c r="AG228" s="118"/>
      <c r="AH228" s="118"/>
      <c r="AI228" s="99"/>
      <c r="AJ228" s="99"/>
      <c r="AK228" s="99"/>
      <c r="AU228" s="45"/>
    </row>
    <row r="229" spans="1:47" ht="12" customHeight="1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4"/>
      <c r="R229" s="121"/>
      <c r="S229" s="120"/>
      <c r="T229" s="96"/>
      <c r="U229" s="96"/>
      <c r="V229" s="117"/>
      <c r="W229" s="117"/>
      <c r="X229" s="117"/>
      <c r="Y229" s="97"/>
      <c r="Z229" s="89"/>
      <c r="AA229" s="96"/>
      <c r="AB229" s="89"/>
      <c r="AC229" s="119"/>
      <c r="AD229" s="89"/>
      <c r="AE229" s="229"/>
      <c r="AF229" s="118"/>
      <c r="AG229" s="118"/>
      <c r="AH229" s="118"/>
      <c r="AI229" s="99"/>
      <c r="AJ229" s="99"/>
      <c r="AK229" s="99"/>
      <c r="AU229" s="45"/>
    </row>
    <row r="230" spans="1:47" ht="12" customHeight="1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4"/>
      <c r="R230" s="121"/>
      <c r="S230" s="120"/>
      <c r="T230" s="96"/>
      <c r="U230" s="96"/>
      <c r="V230" s="117"/>
      <c r="W230" s="117"/>
      <c r="X230" s="117"/>
      <c r="Y230" s="97"/>
      <c r="Z230" s="89"/>
      <c r="AA230" s="96"/>
      <c r="AB230" s="89"/>
      <c r="AC230" s="119"/>
      <c r="AD230" s="89"/>
      <c r="AE230" s="229"/>
      <c r="AF230" s="118"/>
      <c r="AG230" s="118"/>
      <c r="AH230" s="118"/>
      <c r="AI230" s="99"/>
      <c r="AJ230" s="99"/>
      <c r="AK230" s="99"/>
      <c r="AU230" s="45"/>
    </row>
    <row r="231" spans="1:47" ht="12" customHeight="1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4"/>
      <c r="R231" s="121"/>
      <c r="S231" s="120"/>
      <c r="T231" s="96"/>
      <c r="U231" s="96"/>
      <c r="V231" s="117"/>
      <c r="W231" s="117"/>
      <c r="X231" s="117"/>
      <c r="Y231" s="97"/>
      <c r="Z231" s="89"/>
      <c r="AA231" s="96"/>
      <c r="AB231" s="89"/>
      <c r="AC231" s="119"/>
      <c r="AD231" s="89"/>
      <c r="AE231" s="229"/>
      <c r="AF231" s="118"/>
      <c r="AG231" s="118"/>
      <c r="AH231" s="118"/>
      <c r="AI231" s="99"/>
      <c r="AJ231" s="99"/>
      <c r="AK231" s="99"/>
      <c r="AU231" s="45"/>
    </row>
    <row r="232" spans="1:47" ht="12" customHeight="1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4"/>
      <c r="R232" s="121"/>
      <c r="S232" s="120"/>
      <c r="T232" s="96"/>
      <c r="U232" s="96"/>
      <c r="V232" s="117"/>
      <c r="W232" s="117"/>
      <c r="X232" s="117"/>
      <c r="Y232" s="97"/>
      <c r="Z232" s="89"/>
      <c r="AA232" s="96"/>
      <c r="AB232" s="89"/>
      <c r="AC232" s="119"/>
      <c r="AD232" s="89"/>
      <c r="AE232" s="229"/>
      <c r="AF232" s="118"/>
      <c r="AG232" s="118"/>
      <c r="AH232" s="118"/>
      <c r="AI232" s="99"/>
      <c r="AJ232" s="99"/>
      <c r="AK232" s="99"/>
      <c r="AU232" s="45"/>
    </row>
    <row r="233" spans="1:47" ht="12" customHeight="1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4"/>
      <c r="R233" s="121"/>
      <c r="S233" s="120"/>
      <c r="T233" s="96"/>
      <c r="U233" s="96"/>
      <c r="V233" s="117"/>
      <c r="W233" s="117"/>
      <c r="X233" s="117"/>
      <c r="Y233" s="97"/>
      <c r="Z233" s="89"/>
      <c r="AA233" s="96"/>
      <c r="AB233" s="89"/>
      <c r="AC233" s="119"/>
      <c r="AD233" s="89"/>
      <c r="AE233" s="229"/>
      <c r="AF233" s="118"/>
      <c r="AG233" s="118"/>
      <c r="AH233" s="118"/>
      <c r="AI233" s="99"/>
      <c r="AJ233" s="99"/>
      <c r="AK233" s="99"/>
      <c r="AU233" s="45"/>
    </row>
    <row r="234" spans="1:47" ht="12" customHeight="1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4"/>
      <c r="R234" s="120"/>
      <c r="S234" s="94"/>
      <c r="T234" s="96"/>
      <c r="U234" s="96"/>
      <c r="V234" s="117"/>
      <c r="W234" s="117"/>
      <c r="X234" s="97"/>
      <c r="Y234" s="117"/>
      <c r="Z234" s="89"/>
      <c r="AA234" s="121"/>
      <c r="AB234" s="89"/>
      <c r="AC234" s="119"/>
      <c r="AD234" s="89"/>
      <c r="AE234" s="229"/>
      <c r="AF234" s="118"/>
      <c r="AG234" s="118"/>
      <c r="AH234" s="118"/>
      <c r="AI234" s="99"/>
      <c r="AJ234" s="99"/>
      <c r="AK234" s="99"/>
      <c r="AU234" s="45"/>
    </row>
    <row r="235" spans="1:47" ht="12" customHeight="1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4"/>
      <c r="R235" s="120"/>
      <c r="S235" s="94"/>
      <c r="T235" s="96"/>
      <c r="U235" s="96"/>
      <c r="V235" s="117"/>
      <c r="W235" s="117"/>
      <c r="X235" s="97"/>
      <c r="Y235" s="117"/>
      <c r="Z235" s="89"/>
      <c r="AA235" s="121"/>
      <c r="AB235" s="89"/>
      <c r="AC235" s="119"/>
      <c r="AD235" s="89"/>
      <c r="AE235" s="229"/>
      <c r="AF235" s="118"/>
      <c r="AG235" s="118"/>
      <c r="AH235" s="118"/>
      <c r="AI235" s="99"/>
      <c r="AJ235" s="99"/>
      <c r="AK235" s="99"/>
      <c r="AU235" s="45"/>
    </row>
    <row r="236" spans="1:47" ht="12" customHeight="1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4"/>
      <c r="R236" s="120"/>
      <c r="S236" s="94"/>
      <c r="T236" s="96"/>
      <c r="U236" s="96"/>
      <c r="V236" s="117"/>
      <c r="W236" s="117"/>
      <c r="X236" s="97"/>
      <c r="Y236" s="117"/>
      <c r="Z236" s="89"/>
      <c r="AA236" s="121"/>
      <c r="AB236" s="89"/>
      <c r="AC236" s="119"/>
      <c r="AD236" s="89"/>
      <c r="AE236" s="229"/>
      <c r="AF236" s="118"/>
      <c r="AG236" s="118"/>
      <c r="AH236" s="118"/>
      <c r="AI236" s="99"/>
      <c r="AJ236" s="99"/>
      <c r="AK236" s="99"/>
      <c r="AU236" s="45"/>
    </row>
    <row r="237" spans="1:47" ht="12" customHeight="1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4"/>
      <c r="R237" s="120"/>
      <c r="S237" s="94"/>
      <c r="T237" s="96"/>
      <c r="U237" s="96"/>
      <c r="V237" s="117"/>
      <c r="W237" s="117"/>
      <c r="X237" s="97"/>
      <c r="Y237" s="117"/>
      <c r="Z237" s="89"/>
      <c r="AA237" s="121"/>
      <c r="AB237" s="89"/>
      <c r="AC237" s="119"/>
      <c r="AD237" s="89"/>
      <c r="AE237" s="229"/>
      <c r="AF237" s="118"/>
      <c r="AG237" s="118"/>
      <c r="AH237" s="118"/>
      <c r="AI237" s="99"/>
      <c r="AJ237" s="99"/>
      <c r="AK237" s="99"/>
      <c r="AU237" s="45"/>
    </row>
    <row r="238" spans="1:47" ht="12" customHeight="1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0"/>
      <c r="S238" s="94"/>
      <c r="T238" s="96"/>
      <c r="U238" s="96"/>
      <c r="V238" s="117"/>
      <c r="W238" s="117"/>
      <c r="X238" s="120"/>
      <c r="Y238" s="117"/>
      <c r="Z238" s="89"/>
      <c r="AA238" s="96"/>
      <c r="AB238" s="89"/>
      <c r="AC238" s="119"/>
      <c r="AD238" s="89"/>
      <c r="AE238" s="229"/>
      <c r="AF238" s="118"/>
      <c r="AG238" s="118"/>
      <c r="AH238" s="118"/>
      <c r="AI238" s="99"/>
      <c r="AJ238" s="99"/>
      <c r="AK238" s="99"/>
      <c r="AU238" s="45"/>
    </row>
    <row r="239" spans="1:47" ht="12" customHeight="1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0"/>
      <c r="S239" s="94"/>
      <c r="T239" s="96"/>
      <c r="U239" s="96"/>
      <c r="V239" s="117"/>
      <c r="W239" s="117"/>
      <c r="X239" s="120"/>
      <c r="Y239" s="117"/>
      <c r="Z239" s="89"/>
      <c r="AA239" s="96"/>
      <c r="AB239" s="89"/>
      <c r="AC239" s="119"/>
      <c r="AD239" s="89"/>
      <c r="AE239" s="229"/>
      <c r="AF239" s="118"/>
      <c r="AG239" s="118"/>
      <c r="AH239" s="118"/>
      <c r="AI239" s="99"/>
      <c r="AJ239" s="99"/>
      <c r="AK239" s="99"/>
      <c r="AU239" s="45"/>
    </row>
    <row r="240" spans="1:47" ht="12" customHeight="1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0"/>
      <c r="S240" s="94"/>
      <c r="T240" s="96"/>
      <c r="U240" s="96"/>
      <c r="V240" s="117"/>
      <c r="W240" s="117"/>
      <c r="X240" s="97"/>
      <c r="Y240" s="117"/>
      <c r="Z240" s="89"/>
      <c r="AA240" s="121"/>
      <c r="AB240" s="89"/>
      <c r="AC240" s="119"/>
      <c r="AD240" s="89"/>
      <c r="AE240" s="229"/>
      <c r="AF240" s="118"/>
      <c r="AG240" s="118"/>
      <c r="AH240" s="118"/>
      <c r="AI240" s="99"/>
      <c r="AJ240" s="99"/>
      <c r="AK240" s="99"/>
      <c r="AU240" s="45"/>
    </row>
    <row r="241" spans="1:47" ht="12" customHeight="1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94"/>
      <c r="T241" s="96"/>
      <c r="U241" s="96"/>
      <c r="V241" s="117"/>
      <c r="W241" s="117"/>
      <c r="X241" s="117"/>
      <c r="Y241" s="117"/>
      <c r="Z241" s="89"/>
      <c r="AA241" s="96"/>
      <c r="AB241" s="89"/>
      <c r="AC241" s="119"/>
      <c r="AD241" s="89"/>
      <c r="AE241" s="229"/>
      <c r="AF241" s="118"/>
      <c r="AG241" s="118"/>
      <c r="AH241" s="118"/>
      <c r="AI241" s="99"/>
      <c r="AJ241" s="99"/>
      <c r="AK241" s="99"/>
      <c r="AU241" s="45"/>
    </row>
    <row r="242" spans="1:47" ht="12" customHeight="1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0"/>
      <c r="S242" s="94"/>
      <c r="T242" s="96"/>
      <c r="U242" s="96"/>
      <c r="V242" s="117"/>
      <c r="W242" s="117"/>
      <c r="X242" s="97"/>
      <c r="Y242" s="117"/>
      <c r="Z242" s="89"/>
      <c r="AA242" s="121"/>
      <c r="AB242" s="89"/>
      <c r="AC242" s="119"/>
      <c r="AD242" s="89"/>
      <c r="AE242" s="229"/>
      <c r="AF242" s="118"/>
      <c r="AG242" s="118"/>
      <c r="AH242" s="118"/>
      <c r="AI242" s="99"/>
      <c r="AJ242" s="99"/>
      <c r="AK242" s="99"/>
      <c r="AU242" s="45"/>
    </row>
    <row r="243" spans="1:47" ht="12" customHeight="1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94"/>
      <c r="T243" s="96"/>
      <c r="U243" s="96"/>
      <c r="V243" s="117"/>
      <c r="W243" s="117"/>
      <c r="X243" s="117"/>
      <c r="Y243" s="117"/>
      <c r="Z243" s="89"/>
      <c r="AA243" s="96"/>
      <c r="AB243" s="89"/>
      <c r="AC243" s="119"/>
      <c r="AD243" s="89"/>
      <c r="AE243" s="229"/>
      <c r="AF243" s="118"/>
      <c r="AG243" s="118"/>
      <c r="AH243" s="118"/>
      <c r="AI243" s="99"/>
      <c r="AJ243" s="99"/>
      <c r="AK243" s="99"/>
      <c r="AU243" s="45"/>
    </row>
    <row r="244" spans="1:47" ht="12" customHeight="1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0"/>
      <c r="S244" s="94"/>
      <c r="T244" s="96"/>
      <c r="U244" s="96"/>
      <c r="V244" s="117"/>
      <c r="W244" s="117"/>
      <c r="X244" s="97"/>
      <c r="Y244" s="117"/>
      <c r="Z244" s="89"/>
      <c r="AA244" s="121"/>
      <c r="AB244" s="89"/>
      <c r="AC244" s="119"/>
      <c r="AD244" s="89"/>
      <c r="AE244" s="229"/>
      <c r="AF244" s="118"/>
      <c r="AG244" s="118"/>
      <c r="AH244" s="118"/>
      <c r="AI244" s="99"/>
      <c r="AJ244" s="99"/>
      <c r="AK244" s="99"/>
      <c r="AU244" s="45"/>
    </row>
    <row r="245" spans="1:47" ht="12" customHeight="1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0"/>
      <c r="S245" s="94"/>
      <c r="T245" s="96"/>
      <c r="U245" s="96"/>
      <c r="V245" s="117"/>
      <c r="W245" s="117"/>
      <c r="X245" s="97"/>
      <c r="Y245" s="117"/>
      <c r="Z245" s="89"/>
      <c r="AA245" s="121"/>
      <c r="AB245" s="89"/>
      <c r="AC245" s="119"/>
      <c r="AD245" s="89"/>
      <c r="AE245" s="229"/>
      <c r="AF245" s="118"/>
      <c r="AG245" s="118"/>
      <c r="AH245" s="118"/>
      <c r="AI245" s="99"/>
      <c r="AJ245" s="99"/>
      <c r="AK245" s="99"/>
      <c r="AU245" s="45"/>
    </row>
    <row r="246" spans="1:47" ht="12" customHeight="1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0"/>
      <c r="S246" s="94"/>
      <c r="T246" s="96"/>
      <c r="U246" s="96"/>
      <c r="V246" s="117"/>
      <c r="W246" s="117"/>
      <c r="X246" s="97"/>
      <c r="Y246" s="117"/>
      <c r="Z246" s="89"/>
      <c r="AA246" s="121"/>
      <c r="AB246" s="89"/>
      <c r="AC246" s="119"/>
      <c r="AD246" s="89"/>
      <c r="AE246" s="229"/>
      <c r="AF246" s="118"/>
      <c r="AG246" s="118"/>
      <c r="AH246" s="118"/>
      <c r="AI246" s="99"/>
      <c r="AJ246" s="99"/>
      <c r="AK246" s="99"/>
      <c r="AU246" s="45"/>
    </row>
    <row r="247" spans="1:47" ht="12" customHeight="1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94"/>
      <c r="T247" s="96"/>
      <c r="U247" s="96"/>
      <c r="V247" s="117"/>
      <c r="W247" s="117"/>
      <c r="X247" s="117"/>
      <c r="Y247" s="117"/>
      <c r="Z247" s="89"/>
      <c r="AA247" s="121"/>
      <c r="AB247" s="89"/>
      <c r="AC247" s="119"/>
      <c r="AD247" s="89"/>
      <c r="AE247" s="229"/>
      <c r="AF247" s="118"/>
      <c r="AG247" s="118"/>
      <c r="AH247" s="118"/>
      <c r="AI247" s="99"/>
      <c r="AJ247" s="99"/>
      <c r="AK247" s="99"/>
      <c r="AU247" s="45"/>
    </row>
    <row r="248" spans="1:47" ht="12" customHeight="1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1"/>
      <c r="S248" s="94"/>
      <c r="T248" s="96"/>
      <c r="U248" s="96"/>
      <c r="V248" s="117"/>
      <c r="W248" s="117"/>
      <c r="X248" s="117"/>
      <c r="Y248" s="117"/>
      <c r="Z248" s="89"/>
      <c r="AA248" s="96"/>
      <c r="AB248" s="89"/>
      <c r="AC248" s="119"/>
      <c r="AD248" s="89"/>
      <c r="AE248" s="229"/>
      <c r="AF248" s="118"/>
      <c r="AG248" s="118"/>
      <c r="AH248" s="118"/>
      <c r="AI248" s="99"/>
      <c r="AJ248" s="99"/>
      <c r="AK248" s="99"/>
      <c r="AU248" s="45"/>
    </row>
    <row r="249" spans="1:47" ht="12" customHeight="1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5"/>
      <c r="R249" s="121"/>
      <c r="S249" s="96"/>
      <c r="T249" s="96"/>
      <c r="U249" s="96"/>
      <c r="V249" s="117"/>
      <c r="W249" s="117"/>
      <c r="X249" s="97"/>
      <c r="Y249" s="97"/>
      <c r="Z249" s="89"/>
      <c r="AA249" s="96"/>
      <c r="AB249" s="89"/>
      <c r="AC249" s="119"/>
      <c r="AD249" s="89"/>
      <c r="AE249" s="229"/>
      <c r="AF249" s="116"/>
      <c r="AG249" s="116"/>
      <c r="AH249" s="118"/>
      <c r="AI249" s="99"/>
      <c r="AJ249" s="99"/>
      <c r="AK249" s="99"/>
      <c r="AU249" s="45"/>
    </row>
    <row r="250" spans="1:47" ht="12" customHeight="1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0"/>
      <c r="S250" s="94"/>
      <c r="T250" s="96"/>
      <c r="U250" s="96"/>
      <c r="V250" s="117"/>
      <c r="W250" s="117"/>
      <c r="X250" s="97"/>
      <c r="Y250" s="117"/>
      <c r="Z250" s="89"/>
      <c r="AA250" s="121"/>
      <c r="AB250" s="89"/>
      <c r="AC250" s="119"/>
      <c r="AD250" s="89"/>
      <c r="AE250" s="229"/>
      <c r="AF250" s="118"/>
      <c r="AG250" s="118"/>
      <c r="AH250" s="118"/>
      <c r="AI250" s="99"/>
      <c r="AJ250" s="99"/>
      <c r="AK250" s="99"/>
      <c r="AU250" s="45"/>
    </row>
    <row r="251" spans="1:47" ht="12" customHeight="1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1"/>
      <c r="S251" s="94"/>
      <c r="T251" s="96"/>
      <c r="U251" s="96"/>
      <c r="V251" s="117"/>
      <c r="W251" s="97"/>
      <c r="X251" s="97"/>
      <c r="Y251" s="117"/>
      <c r="Z251" s="89"/>
      <c r="AA251" s="96"/>
      <c r="AB251" s="89"/>
      <c r="AC251" s="119"/>
      <c r="AD251" s="89"/>
      <c r="AE251" s="229"/>
      <c r="AF251" s="118"/>
      <c r="AG251" s="118"/>
      <c r="AH251" s="118"/>
      <c r="AI251" s="99"/>
      <c r="AJ251" s="99"/>
      <c r="AK251" s="99"/>
      <c r="AU251" s="45"/>
    </row>
    <row r="252" spans="1:47" ht="12" customHeight="1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97"/>
      <c r="Y252" s="117"/>
      <c r="Z252" s="89"/>
      <c r="AA252" s="121"/>
      <c r="AB252" s="89"/>
      <c r="AC252" s="119"/>
      <c r="AD252" s="89"/>
      <c r="AE252" s="229"/>
      <c r="AF252" s="118"/>
      <c r="AG252" s="118"/>
      <c r="AH252" s="118"/>
      <c r="AI252" s="99"/>
      <c r="AJ252" s="99"/>
      <c r="AK252" s="99"/>
      <c r="AU252" s="45"/>
    </row>
    <row r="253" spans="1:47" ht="12" customHeight="1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97"/>
      <c r="Y253" s="117"/>
      <c r="Z253" s="89"/>
      <c r="AA253" s="121"/>
      <c r="AB253" s="89"/>
      <c r="AC253" s="119"/>
      <c r="AD253" s="89"/>
      <c r="AE253" s="229"/>
      <c r="AF253" s="118"/>
      <c r="AG253" s="118"/>
      <c r="AH253" s="118"/>
      <c r="AI253" s="99"/>
      <c r="AJ253" s="99"/>
      <c r="AK253" s="99"/>
      <c r="AU253" s="45"/>
    </row>
    <row r="254" spans="1:47" ht="12" customHeight="1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229"/>
      <c r="AF254" s="118"/>
      <c r="AG254" s="118"/>
      <c r="AH254" s="118"/>
      <c r="AI254" s="99"/>
      <c r="AJ254" s="99"/>
      <c r="AK254" s="99"/>
      <c r="AU254" s="45"/>
    </row>
    <row r="255" spans="1:47" ht="12" customHeight="1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0"/>
      <c r="S255" s="94"/>
      <c r="T255" s="96"/>
      <c r="U255" s="96"/>
      <c r="V255" s="117"/>
      <c r="W255" s="117"/>
      <c r="X255" s="97"/>
      <c r="Y255" s="117"/>
      <c r="Z255" s="89"/>
      <c r="AA255" s="121"/>
      <c r="AB255" s="89"/>
      <c r="AC255" s="119"/>
      <c r="AD255" s="89"/>
      <c r="AE255" s="229"/>
      <c r="AF255" s="118"/>
      <c r="AG255" s="118"/>
      <c r="AH255" s="118"/>
      <c r="AI255" s="99"/>
      <c r="AJ255" s="99"/>
      <c r="AK255" s="99"/>
      <c r="AU255" s="45"/>
    </row>
    <row r="256" spans="1:47" ht="12" customHeight="1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1"/>
      <c r="S256" s="94"/>
      <c r="T256" s="96"/>
      <c r="U256" s="96"/>
      <c r="V256" s="117"/>
      <c r="W256" s="97"/>
      <c r="X256" s="97"/>
      <c r="Y256" s="117"/>
      <c r="Z256" s="89"/>
      <c r="AA256" s="96"/>
      <c r="AB256" s="89"/>
      <c r="AC256" s="119"/>
      <c r="AD256" s="89"/>
      <c r="AE256" s="229"/>
      <c r="AF256" s="118"/>
      <c r="AG256" s="118"/>
      <c r="AH256" s="118"/>
      <c r="AI256" s="99"/>
      <c r="AJ256" s="99"/>
      <c r="AK256" s="99"/>
      <c r="AU256" s="45"/>
    </row>
    <row r="257" spans="1:47" ht="12" customHeight="1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1"/>
      <c r="S257" s="94"/>
      <c r="T257" s="96"/>
      <c r="U257" s="96"/>
      <c r="V257" s="117"/>
      <c r="W257" s="97"/>
      <c r="X257" s="97"/>
      <c r="Y257" s="117"/>
      <c r="Z257" s="89"/>
      <c r="AA257" s="96"/>
      <c r="AB257" s="89"/>
      <c r="AC257" s="119"/>
      <c r="AD257" s="89"/>
      <c r="AE257" s="229"/>
      <c r="AF257" s="118"/>
      <c r="AG257" s="118"/>
      <c r="AH257" s="118"/>
      <c r="AI257" s="99"/>
      <c r="AJ257" s="99"/>
      <c r="AK257" s="99"/>
      <c r="AU257" s="45"/>
    </row>
    <row r="258" spans="1:47" ht="12" customHeight="1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1"/>
      <c r="S258" s="94"/>
      <c r="T258" s="96"/>
      <c r="U258" s="96"/>
      <c r="V258" s="117"/>
      <c r="W258" s="97"/>
      <c r="X258" s="97"/>
      <c r="Y258" s="117"/>
      <c r="Z258" s="89"/>
      <c r="AA258" s="96"/>
      <c r="AB258" s="89"/>
      <c r="AC258" s="119"/>
      <c r="AD258" s="89"/>
      <c r="AE258" s="229"/>
      <c r="AF258" s="118"/>
      <c r="AG258" s="118"/>
      <c r="AH258" s="118"/>
      <c r="AI258" s="99"/>
      <c r="AJ258" s="99"/>
      <c r="AK258" s="99"/>
      <c r="AU258" s="45"/>
    </row>
    <row r="259" spans="1:47" ht="12" customHeight="1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5"/>
      <c r="R259" s="121"/>
      <c r="S259" s="96"/>
      <c r="T259" s="96"/>
      <c r="U259" s="96"/>
      <c r="V259" s="117"/>
      <c r="W259" s="117"/>
      <c r="X259" s="97"/>
      <c r="Y259" s="97"/>
      <c r="Z259" s="89"/>
      <c r="AA259" s="96"/>
      <c r="AB259" s="89"/>
      <c r="AC259" s="119"/>
      <c r="AD259" s="89"/>
      <c r="AE259" s="229"/>
      <c r="AF259" s="116"/>
      <c r="AG259" s="116"/>
      <c r="AH259" s="118"/>
      <c r="AI259" s="99"/>
      <c r="AJ259" s="99"/>
      <c r="AK259" s="99"/>
      <c r="AU259" s="45"/>
    </row>
    <row r="260" spans="1:47" ht="12" customHeight="1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5"/>
      <c r="R260" s="121"/>
      <c r="S260" s="96"/>
      <c r="T260" s="96"/>
      <c r="U260" s="96"/>
      <c r="V260" s="117"/>
      <c r="W260" s="117"/>
      <c r="X260" s="97"/>
      <c r="Y260" s="97"/>
      <c r="Z260" s="89"/>
      <c r="AA260" s="96"/>
      <c r="AB260" s="89"/>
      <c r="AC260" s="119"/>
      <c r="AD260" s="89"/>
      <c r="AE260" s="229"/>
      <c r="AF260" s="116"/>
      <c r="AG260" s="116"/>
      <c r="AH260" s="118"/>
      <c r="AI260" s="99"/>
      <c r="AJ260" s="99"/>
      <c r="AK260" s="99"/>
      <c r="AU260" s="45"/>
    </row>
    <row r="261" spans="1:47" ht="12" customHeight="1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5"/>
      <c r="R261" s="121"/>
      <c r="S261" s="96"/>
      <c r="T261" s="96"/>
      <c r="U261" s="96"/>
      <c r="V261" s="117"/>
      <c r="W261" s="117"/>
      <c r="X261" s="97"/>
      <c r="Y261" s="97"/>
      <c r="Z261" s="89"/>
      <c r="AA261" s="96"/>
      <c r="AB261" s="89"/>
      <c r="AC261" s="119"/>
      <c r="AD261" s="89"/>
      <c r="AE261" s="229"/>
      <c r="AF261" s="116"/>
      <c r="AG261" s="116"/>
      <c r="AH261" s="118"/>
      <c r="AI261" s="99"/>
      <c r="AJ261" s="99"/>
      <c r="AK261" s="99"/>
      <c r="AU261" s="45"/>
    </row>
    <row r="262" spans="1:47" ht="12" customHeight="1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5"/>
      <c r="R262" s="121"/>
      <c r="S262" s="96"/>
      <c r="T262" s="96"/>
      <c r="U262" s="96"/>
      <c r="V262" s="117"/>
      <c r="W262" s="117"/>
      <c r="X262" s="97"/>
      <c r="Y262" s="97"/>
      <c r="Z262" s="89"/>
      <c r="AA262" s="96"/>
      <c r="AB262" s="89"/>
      <c r="AC262" s="119"/>
      <c r="AD262" s="89"/>
      <c r="AE262" s="229"/>
      <c r="AF262" s="116"/>
      <c r="AG262" s="116"/>
      <c r="AH262" s="118"/>
      <c r="AI262" s="99"/>
      <c r="AJ262" s="99"/>
      <c r="AK262" s="99"/>
      <c r="AU262" s="45"/>
    </row>
    <row r="263" spans="1:47" ht="12" customHeight="1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5"/>
      <c r="R263" s="121"/>
      <c r="S263" s="96"/>
      <c r="T263" s="96"/>
      <c r="U263" s="96"/>
      <c r="V263" s="117"/>
      <c r="W263" s="117"/>
      <c r="X263" s="97"/>
      <c r="Y263" s="97"/>
      <c r="Z263" s="89"/>
      <c r="AA263" s="96"/>
      <c r="AB263" s="89"/>
      <c r="AC263" s="119"/>
      <c r="AD263" s="89"/>
      <c r="AE263" s="229"/>
      <c r="AF263" s="116"/>
      <c r="AG263" s="116"/>
      <c r="AH263" s="118"/>
      <c r="AI263" s="99"/>
      <c r="AJ263" s="99"/>
      <c r="AK263" s="99"/>
      <c r="AU263" s="45"/>
    </row>
    <row r="264" spans="1:47" ht="12" customHeight="1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5"/>
      <c r="R264" s="121"/>
      <c r="S264" s="96"/>
      <c r="T264" s="96"/>
      <c r="U264" s="96"/>
      <c r="V264" s="117"/>
      <c r="W264" s="117"/>
      <c r="X264" s="97"/>
      <c r="Y264" s="97"/>
      <c r="Z264" s="89"/>
      <c r="AA264" s="96"/>
      <c r="AB264" s="89"/>
      <c r="AC264" s="119"/>
      <c r="AD264" s="89"/>
      <c r="AE264" s="229"/>
      <c r="AF264" s="116"/>
      <c r="AG264" s="116"/>
      <c r="AH264" s="118"/>
      <c r="AI264" s="99"/>
      <c r="AJ264" s="99"/>
      <c r="AK264" s="99"/>
      <c r="AU264" s="45"/>
    </row>
    <row r="265" spans="1:47" ht="12" customHeight="1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97"/>
      <c r="X265" s="97"/>
      <c r="Y265" s="117"/>
      <c r="Z265" s="89"/>
      <c r="AA265" s="121"/>
      <c r="AB265" s="89"/>
      <c r="AC265" s="119"/>
      <c r="AD265" s="89"/>
      <c r="AE265" s="229"/>
      <c r="AF265" s="118"/>
      <c r="AG265" s="118"/>
      <c r="AH265" s="118"/>
      <c r="AI265" s="99"/>
      <c r="AJ265" s="99"/>
      <c r="AK265" s="99"/>
      <c r="AU265" s="45"/>
    </row>
    <row r="266" spans="1:47" ht="12" customHeight="1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97"/>
      <c r="X266" s="97"/>
      <c r="Y266" s="117"/>
      <c r="Z266" s="89"/>
      <c r="AA266" s="121"/>
      <c r="AB266" s="89"/>
      <c r="AC266" s="119"/>
      <c r="AD266" s="89"/>
      <c r="AE266" s="229"/>
      <c r="AF266" s="118"/>
      <c r="AG266" s="118"/>
      <c r="AH266" s="118"/>
      <c r="AI266" s="99"/>
      <c r="AJ266" s="99"/>
      <c r="AK266" s="99"/>
      <c r="AU266" s="45"/>
    </row>
    <row r="267" spans="1:47" ht="12" customHeight="1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4"/>
      <c r="R267" s="121"/>
      <c r="S267" s="94"/>
      <c r="T267" s="96"/>
      <c r="U267" s="96"/>
      <c r="V267" s="117"/>
      <c r="W267" s="97"/>
      <c r="X267" s="97"/>
      <c r="Y267" s="117"/>
      <c r="Z267" s="89"/>
      <c r="AA267" s="121"/>
      <c r="AB267" s="89"/>
      <c r="AC267" s="119"/>
      <c r="AD267" s="89"/>
      <c r="AE267" s="229"/>
      <c r="AF267" s="118"/>
      <c r="AG267" s="118"/>
      <c r="AH267" s="118"/>
      <c r="AI267" s="99"/>
      <c r="AJ267" s="99"/>
      <c r="AK267" s="99"/>
      <c r="AU267" s="45"/>
    </row>
    <row r="268" spans="1:47" ht="12" customHeight="1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1"/>
      <c r="S268" s="94"/>
      <c r="T268" s="96"/>
      <c r="U268" s="96"/>
      <c r="V268" s="117"/>
      <c r="W268" s="97"/>
      <c r="X268" s="97"/>
      <c r="Y268" s="117"/>
      <c r="Z268" s="89"/>
      <c r="AA268" s="121"/>
      <c r="AB268" s="89"/>
      <c r="AC268" s="119"/>
      <c r="AD268" s="89"/>
      <c r="AE268" s="229"/>
      <c r="AF268" s="118"/>
      <c r="AG268" s="118"/>
      <c r="AH268" s="118"/>
      <c r="AI268" s="99"/>
      <c r="AJ268" s="99"/>
      <c r="AK268" s="99"/>
      <c r="AU268" s="45"/>
    </row>
    <row r="269" spans="1:47" ht="12" customHeight="1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1"/>
      <c r="S269" s="94"/>
      <c r="T269" s="96"/>
      <c r="U269" s="96"/>
      <c r="V269" s="117"/>
      <c r="W269" s="97"/>
      <c r="X269" s="97"/>
      <c r="Y269" s="117"/>
      <c r="Z269" s="89"/>
      <c r="AA269" s="121"/>
      <c r="AB269" s="89"/>
      <c r="AC269" s="119"/>
      <c r="AD269" s="89"/>
      <c r="AE269" s="229"/>
      <c r="AF269" s="118"/>
      <c r="AG269" s="118"/>
      <c r="AH269" s="118"/>
      <c r="AI269" s="99"/>
      <c r="AJ269" s="99"/>
      <c r="AK269" s="99"/>
      <c r="AU269" s="45"/>
    </row>
    <row r="270" spans="1:47" ht="12" customHeight="1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1"/>
      <c r="S270" s="94"/>
      <c r="T270" s="96"/>
      <c r="U270" s="96"/>
      <c r="V270" s="117"/>
      <c r="W270" s="97"/>
      <c r="X270" s="97"/>
      <c r="Y270" s="117"/>
      <c r="Z270" s="89"/>
      <c r="AA270" s="121"/>
      <c r="AB270" s="89"/>
      <c r="AC270" s="119"/>
      <c r="AD270" s="89"/>
      <c r="AE270" s="229"/>
      <c r="AF270" s="118"/>
      <c r="AG270" s="118"/>
      <c r="AH270" s="118"/>
      <c r="AI270" s="99"/>
      <c r="AJ270" s="99"/>
      <c r="AK270" s="99"/>
      <c r="AU270" s="45"/>
    </row>
    <row r="271" spans="1:47" ht="12" customHeight="1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1"/>
      <c r="S271" s="94"/>
      <c r="T271" s="96"/>
      <c r="U271" s="96"/>
      <c r="V271" s="117"/>
      <c r="W271" s="97"/>
      <c r="X271" s="97"/>
      <c r="Y271" s="117"/>
      <c r="Z271" s="89"/>
      <c r="AA271" s="121"/>
      <c r="AB271" s="89"/>
      <c r="AC271" s="119"/>
      <c r="AD271" s="89"/>
      <c r="AE271" s="229"/>
      <c r="AF271" s="118"/>
      <c r="AG271" s="118"/>
      <c r="AH271" s="118"/>
      <c r="AI271" s="99"/>
      <c r="AJ271" s="99"/>
      <c r="AK271" s="99"/>
      <c r="AU271" s="45"/>
    </row>
    <row r="272" spans="1:47" ht="12" customHeight="1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1"/>
      <c r="S272" s="94"/>
      <c r="T272" s="96"/>
      <c r="U272" s="96"/>
      <c r="V272" s="117"/>
      <c r="W272" s="97"/>
      <c r="X272" s="97"/>
      <c r="Y272" s="117"/>
      <c r="Z272" s="89"/>
      <c r="AA272" s="121"/>
      <c r="AB272" s="89"/>
      <c r="AC272" s="119"/>
      <c r="AD272" s="89"/>
      <c r="AE272" s="229"/>
      <c r="AF272" s="118"/>
      <c r="AG272" s="118"/>
      <c r="AH272" s="118"/>
      <c r="AI272" s="99"/>
      <c r="AJ272" s="99"/>
      <c r="AK272" s="99"/>
      <c r="AU272" s="45"/>
    </row>
    <row r="273" spans="1:47" ht="12" customHeight="1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4"/>
      <c r="R273" s="121"/>
      <c r="S273" s="94"/>
      <c r="T273" s="96"/>
      <c r="U273" s="96"/>
      <c r="V273" s="117"/>
      <c r="W273" s="97"/>
      <c r="X273" s="97"/>
      <c r="Y273" s="117"/>
      <c r="Z273" s="89"/>
      <c r="AA273" s="121"/>
      <c r="AB273" s="89"/>
      <c r="AC273" s="119"/>
      <c r="AD273" s="89"/>
      <c r="AE273" s="229"/>
      <c r="AF273" s="118"/>
      <c r="AG273" s="118"/>
      <c r="AH273" s="118"/>
      <c r="AI273" s="99"/>
      <c r="AJ273" s="99"/>
      <c r="AK273" s="99"/>
      <c r="AU273" s="45"/>
    </row>
    <row r="274" spans="1:47" ht="12" customHeight="1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4"/>
      <c r="R274" s="121"/>
      <c r="S274" s="94"/>
      <c r="T274" s="96"/>
      <c r="U274" s="96"/>
      <c r="V274" s="117"/>
      <c r="W274" s="97"/>
      <c r="X274" s="97"/>
      <c r="Y274" s="117"/>
      <c r="Z274" s="89"/>
      <c r="AA274" s="121"/>
      <c r="AB274" s="89"/>
      <c r="AC274" s="119"/>
      <c r="AD274" s="89"/>
      <c r="AE274" s="229"/>
      <c r="AF274" s="118"/>
      <c r="AG274" s="118"/>
      <c r="AH274" s="118"/>
      <c r="AI274" s="99"/>
      <c r="AJ274" s="99"/>
      <c r="AK274" s="99"/>
      <c r="AU274" s="45"/>
    </row>
    <row r="275" spans="1:47" ht="12" customHeight="1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4"/>
      <c r="R275" s="121"/>
      <c r="S275" s="94"/>
      <c r="T275" s="96"/>
      <c r="U275" s="96"/>
      <c r="V275" s="117"/>
      <c r="W275" s="97"/>
      <c r="X275" s="97"/>
      <c r="Y275" s="117"/>
      <c r="Z275" s="89"/>
      <c r="AA275" s="121"/>
      <c r="AB275" s="89"/>
      <c r="AC275" s="119"/>
      <c r="AD275" s="89"/>
      <c r="AE275" s="229"/>
      <c r="AF275" s="118"/>
      <c r="AG275" s="118"/>
      <c r="AH275" s="118"/>
      <c r="AI275" s="99"/>
      <c r="AJ275" s="99"/>
      <c r="AK275" s="99"/>
      <c r="AU275" s="45"/>
    </row>
    <row r="276" spans="1:47" ht="12" customHeight="1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229"/>
      <c r="AF276" s="118"/>
      <c r="AG276" s="118"/>
      <c r="AH276" s="118"/>
      <c r="AI276" s="99"/>
      <c r="AJ276" s="99"/>
      <c r="AK276" s="99"/>
      <c r="AU276" s="45"/>
    </row>
    <row r="277" spans="1:47" ht="12" customHeight="1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4"/>
      <c r="R277" s="121"/>
      <c r="S277" s="94"/>
      <c r="T277" s="96"/>
      <c r="U277" s="96"/>
      <c r="V277" s="117"/>
      <c r="W277" s="97"/>
      <c r="X277" s="97"/>
      <c r="Y277" s="117"/>
      <c r="Z277" s="89"/>
      <c r="AA277" s="96"/>
      <c r="AB277" s="89"/>
      <c r="AC277" s="119"/>
      <c r="AD277" s="89"/>
      <c r="AE277" s="229"/>
      <c r="AF277" s="118"/>
      <c r="AG277" s="118"/>
      <c r="AH277" s="118"/>
      <c r="AI277" s="99"/>
      <c r="AJ277" s="99"/>
      <c r="AK277" s="99"/>
      <c r="AU277" s="45"/>
    </row>
    <row r="278" spans="1:47" ht="12" customHeight="1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4"/>
      <c r="R278" s="121"/>
      <c r="S278" s="94"/>
      <c r="T278" s="96"/>
      <c r="U278" s="96"/>
      <c r="V278" s="117"/>
      <c r="W278" s="97"/>
      <c r="X278" s="97"/>
      <c r="Y278" s="117"/>
      <c r="Z278" s="89"/>
      <c r="AA278" s="96"/>
      <c r="AB278" s="89"/>
      <c r="AC278" s="119"/>
      <c r="AD278" s="89"/>
      <c r="AE278" s="229"/>
      <c r="AF278" s="118"/>
      <c r="AG278" s="118"/>
      <c r="AH278" s="118"/>
      <c r="AI278" s="99"/>
      <c r="AJ278" s="99"/>
      <c r="AK278" s="99"/>
      <c r="AU278" s="45"/>
    </row>
    <row r="279" spans="1:47" ht="12" customHeight="1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4"/>
      <c r="R279" s="121"/>
      <c r="S279" s="94"/>
      <c r="T279" s="96"/>
      <c r="U279" s="96"/>
      <c r="V279" s="117"/>
      <c r="W279" s="97"/>
      <c r="X279" s="97"/>
      <c r="Y279" s="117"/>
      <c r="Z279" s="89"/>
      <c r="AA279" s="96"/>
      <c r="AB279" s="89"/>
      <c r="AC279" s="119"/>
      <c r="AD279" s="89"/>
      <c r="AE279" s="229"/>
      <c r="AF279" s="118"/>
      <c r="AG279" s="118"/>
      <c r="AH279" s="118"/>
      <c r="AI279" s="99"/>
      <c r="AJ279" s="99"/>
      <c r="AK279" s="99"/>
      <c r="AU279" s="45"/>
    </row>
    <row r="280" spans="1:47" ht="12" customHeight="1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4"/>
      <c r="R280" s="121"/>
      <c r="S280" s="94"/>
      <c r="T280" s="96"/>
      <c r="U280" s="96"/>
      <c r="V280" s="117"/>
      <c r="W280" s="97"/>
      <c r="X280" s="97"/>
      <c r="Y280" s="117"/>
      <c r="Z280" s="89"/>
      <c r="AA280" s="96"/>
      <c r="AB280" s="89"/>
      <c r="AC280" s="119"/>
      <c r="AD280" s="89"/>
      <c r="AE280" s="229"/>
      <c r="AF280" s="118"/>
      <c r="AG280" s="118"/>
      <c r="AH280" s="118"/>
      <c r="AI280" s="99"/>
      <c r="AJ280" s="99"/>
      <c r="AK280" s="99"/>
      <c r="AU280" s="45"/>
    </row>
    <row r="281" spans="1:47" ht="12" customHeight="1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4"/>
      <c r="R281" s="121"/>
      <c r="S281" s="94"/>
      <c r="T281" s="96"/>
      <c r="U281" s="96"/>
      <c r="V281" s="117"/>
      <c r="W281" s="97"/>
      <c r="X281" s="97"/>
      <c r="Y281" s="117"/>
      <c r="Z281" s="89"/>
      <c r="AA281" s="96"/>
      <c r="AB281" s="89"/>
      <c r="AC281" s="119"/>
      <c r="AD281" s="89"/>
      <c r="AE281" s="229"/>
      <c r="AF281" s="118"/>
      <c r="AG281" s="118"/>
      <c r="AH281" s="118"/>
      <c r="AI281" s="99"/>
      <c r="AJ281" s="99"/>
      <c r="AK281" s="99"/>
      <c r="AU281" s="45"/>
    </row>
    <row r="282" spans="1:47" ht="12" customHeight="1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4"/>
      <c r="R282" s="121"/>
      <c r="S282" s="94"/>
      <c r="T282" s="96"/>
      <c r="U282" s="96"/>
      <c r="V282" s="117"/>
      <c r="W282" s="97"/>
      <c r="X282" s="97"/>
      <c r="Y282" s="117"/>
      <c r="Z282" s="89"/>
      <c r="AA282" s="96"/>
      <c r="AB282" s="89"/>
      <c r="AC282" s="119"/>
      <c r="AD282" s="89"/>
      <c r="AE282" s="229"/>
      <c r="AF282" s="118"/>
      <c r="AG282" s="118"/>
      <c r="AH282" s="118"/>
      <c r="AI282" s="99"/>
      <c r="AJ282" s="99"/>
      <c r="AK282" s="99"/>
      <c r="AU282" s="45"/>
    </row>
    <row r="283" spans="1:47" ht="12" customHeight="1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96"/>
      <c r="AB283" s="89"/>
      <c r="AC283" s="119"/>
      <c r="AD283" s="89"/>
      <c r="AE283" s="229"/>
      <c r="AF283" s="118"/>
      <c r="AG283" s="118"/>
      <c r="AH283" s="118"/>
      <c r="AI283" s="99"/>
      <c r="AJ283" s="99"/>
      <c r="AK283" s="99"/>
      <c r="AU283" s="45"/>
    </row>
    <row r="284" spans="1:47" ht="12" customHeight="1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0"/>
      <c r="S284" s="94"/>
      <c r="T284" s="96"/>
      <c r="U284" s="96"/>
      <c r="V284" s="117"/>
      <c r="W284" s="97"/>
      <c r="X284" s="97"/>
      <c r="Y284" s="117"/>
      <c r="Z284" s="89"/>
      <c r="AA284" s="96"/>
      <c r="AB284" s="89"/>
      <c r="AC284" s="119"/>
      <c r="AD284" s="89"/>
      <c r="AE284" s="229"/>
      <c r="AF284" s="118"/>
      <c r="AG284" s="118"/>
      <c r="AH284" s="118"/>
      <c r="AI284" s="99"/>
      <c r="AJ284" s="99"/>
      <c r="AK284" s="99"/>
      <c r="AU284" s="45"/>
    </row>
    <row r="285" spans="1:47" ht="12" customHeight="1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96"/>
      <c r="AB285" s="89"/>
      <c r="AC285" s="119"/>
      <c r="AD285" s="89"/>
      <c r="AE285" s="229"/>
      <c r="AF285" s="118"/>
      <c r="AG285" s="118"/>
      <c r="AH285" s="118"/>
      <c r="AI285" s="99"/>
      <c r="AJ285" s="99"/>
      <c r="AK285" s="99"/>
      <c r="AU285" s="45"/>
    </row>
    <row r="286" spans="1:47" ht="12" customHeight="1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96"/>
      <c r="AB286" s="89"/>
      <c r="AC286" s="119"/>
      <c r="AD286" s="89"/>
      <c r="AE286" s="229"/>
      <c r="AF286" s="118"/>
      <c r="AG286" s="118"/>
      <c r="AH286" s="118"/>
      <c r="AI286" s="99"/>
      <c r="AJ286" s="99"/>
      <c r="AK286" s="99"/>
      <c r="AU286" s="45"/>
    </row>
    <row r="287" spans="1:47" ht="12" customHeight="1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96"/>
      <c r="AB287" s="89"/>
      <c r="AC287" s="119"/>
      <c r="AD287" s="89"/>
      <c r="AE287" s="229"/>
      <c r="AF287" s="118"/>
      <c r="AG287" s="118"/>
      <c r="AH287" s="118"/>
      <c r="AI287" s="99"/>
      <c r="AJ287" s="99"/>
      <c r="AK287" s="99"/>
      <c r="AU287" s="45"/>
    </row>
    <row r="288" spans="1:47" ht="12" customHeight="1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96"/>
      <c r="AB288" s="89"/>
      <c r="AC288" s="119"/>
      <c r="AD288" s="89"/>
      <c r="AE288" s="229"/>
      <c r="AF288" s="118"/>
      <c r="AG288" s="118"/>
      <c r="AH288" s="118"/>
      <c r="AI288" s="99"/>
      <c r="AJ288" s="99"/>
      <c r="AK288" s="99"/>
      <c r="AU288" s="45"/>
    </row>
    <row r="289" spans="1:47" ht="12" customHeight="1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0"/>
      <c r="S289" s="94"/>
      <c r="T289" s="96"/>
      <c r="U289" s="96"/>
      <c r="V289" s="117"/>
      <c r="W289" s="97"/>
      <c r="X289" s="97"/>
      <c r="Y289" s="117"/>
      <c r="Z289" s="89"/>
      <c r="AA289" s="96"/>
      <c r="AB289" s="89"/>
      <c r="AC289" s="119"/>
      <c r="AD289" s="89"/>
      <c r="AE289" s="229"/>
      <c r="AF289" s="118"/>
      <c r="AG289" s="118"/>
      <c r="AH289" s="118"/>
      <c r="AI289" s="99"/>
      <c r="AJ289" s="99"/>
      <c r="AK289" s="99"/>
      <c r="AU289" s="45"/>
    </row>
    <row r="290" spans="1:47" ht="12" customHeight="1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96"/>
      <c r="AB290" s="89"/>
      <c r="AC290" s="119"/>
      <c r="AD290" s="89"/>
      <c r="AE290" s="229"/>
      <c r="AF290" s="118"/>
      <c r="AG290" s="118"/>
      <c r="AH290" s="118"/>
      <c r="AI290" s="99"/>
      <c r="AJ290" s="99"/>
      <c r="AK290" s="99"/>
      <c r="AU290" s="45"/>
    </row>
    <row r="291" spans="1:47" ht="12" customHeight="1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96"/>
      <c r="AB291" s="89"/>
      <c r="AC291" s="119"/>
      <c r="AD291" s="89"/>
      <c r="AE291" s="229"/>
      <c r="AF291" s="118"/>
      <c r="AG291" s="118"/>
      <c r="AH291" s="118"/>
      <c r="AI291" s="99"/>
      <c r="AJ291" s="99"/>
      <c r="AK291" s="99"/>
      <c r="AU291" s="45"/>
    </row>
    <row r="292" spans="1:47" ht="12" customHeight="1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96"/>
      <c r="AB292" s="89"/>
      <c r="AC292" s="119"/>
      <c r="AD292" s="89"/>
      <c r="AE292" s="229"/>
      <c r="AF292" s="118"/>
      <c r="AG292" s="118"/>
      <c r="AH292" s="118"/>
      <c r="AI292" s="99"/>
      <c r="AJ292" s="99"/>
      <c r="AK292" s="99"/>
      <c r="AU292" s="45"/>
    </row>
    <row r="293" spans="1:47" ht="12" customHeight="1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0"/>
      <c r="S293" s="94"/>
      <c r="T293" s="96"/>
      <c r="U293" s="96"/>
      <c r="V293" s="117"/>
      <c r="W293" s="97"/>
      <c r="X293" s="97"/>
      <c r="Y293" s="117"/>
      <c r="Z293" s="89"/>
      <c r="AA293" s="96"/>
      <c r="AB293" s="89"/>
      <c r="AC293" s="119"/>
      <c r="AD293" s="89"/>
      <c r="AE293" s="229"/>
      <c r="AF293" s="118"/>
      <c r="AG293" s="118"/>
      <c r="AH293" s="118"/>
      <c r="AI293" s="99"/>
      <c r="AJ293" s="99"/>
      <c r="AK293" s="99"/>
      <c r="AU293" s="45"/>
    </row>
    <row r="294" spans="1:47" ht="12" customHeight="1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121"/>
      <c r="T294" s="96"/>
      <c r="U294" s="96"/>
      <c r="V294" s="117"/>
      <c r="W294" s="97"/>
      <c r="X294" s="97"/>
      <c r="Y294" s="117"/>
      <c r="Z294" s="89"/>
      <c r="AA294" s="121"/>
      <c r="AB294" s="89"/>
      <c r="AC294" s="119"/>
      <c r="AD294" s="89"/>
      <c r="AE294" s="229"/>
      <c r="AF294" s="118"/>
      <c r="AG294" s="118"/>
      <c r="AH294" s="118"/>
      <c r="AI294" s="99"/>
      <c r="AJ294" s="99"/>
      <c r="AK294" s="99"/>
      <c r="AU294" s="45"/>
    </row>
    <row r="295" spans="1:47" ht="12" customHeight="1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5"/>
      <c r="R295" s="121"/>
      <c r="S295" s="96"/>
      <c r="T295" s="96"/>
      <c r="U295" s="96"/>
      <c r="V295" s="117"/>
      <c r="W295" s="117"/>
      <c r="X295" s="97"/>
      <c r="Y295" s="117"/>
      <c r="Z295" s="89"/>
      <c r="AA295" s="96"/>
      <c r="AB295" s="89"/>
      <c r="AC295" s="119"/>
      <c r="AD295" s="89"/>
      <c r="AE295" s="229"/>
      <c r="AF295" s="116"/>
      <c r="AG295" s="116"/>
      <c r="AH295" s="116"/>
      <c r="AI295" s="99"/>
      <c r="AJ295" s="99"/>
      <c r="AK295" s="99"/>
      <c r="AU295" s="45"/>
    </row>
    <row r="296" spans="1:47" ht="12" customHeight="1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5"/>
      <c r="R296" s="114"/>
      <c r="S296" s="115"/>
      <c r="T296" s="96"/>
      <c r="U296" s="96"/>
      <c r="V296" s="97"/>
      <c r="W296" s="117"/>
      <c r="X296" s="97"/>
      <c r="Y296" s="97"/>
      <c r="Z296" s="89"/>
      <c r="AA296" s="96"/>
      <c r="AB296" s="89"/>
      <c r="AC296" s="119"/>
      <c r="AD296" s="89"/>
      <c r="AE296" s="229"/>
      <c r="AF296" s="116"/>
      <c r="AG296" s="118"/>
      <c r="AH296" s="116"/>
      <c r="AI296" s="99"/>
      <c r="AJ296" s="99"/>
      <c r="AK296" s="99"/>
      <c r="AU296" s="45"/>
    </row>
    <row r="297" spans="1:47" ht="12" customHeight="1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5"/>
      <c r="R297" s="114"/>
      <c r="S297" s="115"/>
      <c r="T297" s="96"/>
      <c r="U297" s="96"/>
      <c r="V297" s="97"/>
      <c r="W297" s="117"/>
      <c r="X297" s="97"/>
      <c r="Y297" s="97"/>
      <c r="Z297" s="89"/>
      <c r="AA297" s="96"/>
      <c r="AB297" s="89"/>
      <c r="AC297" s="119"/>
      <c r="AD297" s="89"/>
      <c r="AE297" s="229"/>
      <c r="AF297" s="116"/>
      <c r="AG297" s="118"/>
      <c r="AH297" s="116"/>
      <c r="AI297" s="99"/>
      <c r="AJ297" s="99"/>
      <c r="AK297" s="99"/>
      <c r="AU297" s="45"/>
    </row>
    <row r="298" spans="1:47" ht="12" customHeight="1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0"/>
      <c r="S298" s="120"/>
      <c r="T298" s="96"/>
      <c r="U298" s="96"/>
      <c r="V298" s="97"/>
      <c r="W298" s="97"/>
      <c r="X298" s="97"/>
      <c r="Y298" s="97"/>
      <c r="Z298" s="89"/>
      <c r="AA298" s="96"/>
      <c r="AB298" s="89"/>
      <c r="AC298" s="119"/>
      <c r="AD298" s="89"/>
      <c r="AE298" s="229"/>
      <c r="AF298" s="118"/>
      <c r="AG298" s="118"/>
      <c r="AH298" s="118"/>
      <c r="AI298" s="99"/>
      <c r="AJ298" s="99"/>
      <c r="AK298" s="99"/>
      <c r="AU298" s="45"/>
    </row>
    <row r="299" spans="1:47" ht="12" customHeight="1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0"/>
      <c r="S299" s="120"/>
      <c r="T299" s="96"/>
      <c r="U299" s="96"/>
      <c r="V299" s="97"/>
      <c r="W299" s="97"/>
      <c r="X299" s="97"/>
      <c r="Y299" s="97"/>
      <c r="Z299" s="89"/>
      <c r="AA299" s="96"/>
      <c r="AB299" s="89"/>
      <c r="AC299" s="119"/>
      <c r="AD299" s="89"/>
      <c r="AE299" s="229"/>
      <c r="AF299" s="118"/>
      <c r="AG299" s="118"/>
      <c r="AH299" s="118"/>
      <c r="AI299" s="99"/>
      <c r="AJ299" s="99"/>
      <c r="AK299" s="99"/>
      <c r="AU299" s="45"/>
    </row>
    <row r="300" spans="1:47" ht="12" customHeight="1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5"/>
      <c r="R300" s="114"/>
      <c r="S300" s="115"/>
      <c r="T300" s="96"/>
      <c r="U300" s="96"/>
      <c r="V300" s="97"/>
      <c r="W300" s="117"/>
      <c r="X300" s="97"/>
      <c r="Y300" s="97"/>
      <c r="Z300" s="89"/>
      <c r="AA300" s="96"/>
      <c r="AB300" s="89"/>
      <c r="AC300" s="119"/>
      <c r="AD300" s="89"/>
      <c r="AE300" s="229"/>
      <c r="AF300" s="116"/>
      <c r="AG300" s="116"/>
      <c r="AH300" s="118"/>
      <c r="AI300" s="99"/>
      <c r="AJ300" s="99"/>
      <c r="AK300" s="99"/>
      <c r="AU300" s="45"/>
    </row>
    <row r="301" spans="1:47" ht="12" customHeight="1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5"/>
      <c r="R301" s="114"/>
      <c r="S301" s="115"/>
      <c r="T301" s="96"/>
      <c r="U301" s="96"/>
      <c r="V301" s="97"/>
      <c r="W301" s="117"/>
      <c r="X301" s="97"/>
      <c r="Y301" s="97"/>
      <c r="Z301" s="89"/>
      <c r="AA301" s="96"/>
      <c r="AB301" s="89"/>
      <c r="AC301" s="119"/>
      <c r="AD301" s="89"/>
      <c r="AE301" s="229"/>
      <c r="AF301" s="116"/>
      <c r="AG301" s="116"/>
      <c r="AH301" s="118"/>
      <c r="AI301" s="99"/>
      <c r="AJ301" s="99"/>
      <c r="AK301" s="99"/>
      <c r="AU301" s="45"/>
    </row>
    <row r="302" spans="1:47" ht="12" customHeight="1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5"/>
      <c r="R302" s="114"/>
      <c r="S302" s="115"/>
      <c r="T302" s="96"/>
      <c r="U302" s="96"/>
      <c r="V302" s="97"/>
      <c r="W302" s="117"/>
      <c r="X302" s="97"/>
      <c r="Y302" s="97"/>
      <c r="Z302" s="89"/>
      <c r="AA302" s="96"/>
      <c r="AB302" s="89"/>
      <c r="AC302" s="119"/>
      <c r="AD302" s="89"/>
      <c r="AE302" s="229"/>
      <c r="AF302" s="116"/>
      <c r="AG302" s="116"/>
      <c r="AH302" s="118"/>
      <c r="AI302" s="99"/>
      <c r="AJ302" s="99"/>
      <c r="AK302" s="99"/>
      <c r="AU302" s="45"/>
    </row>
    <row r="303" spans="1:47" ht="12" customHeight="1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5"/>
      <c r="R303" s="114"/>
      <c r="S303" s="115"/>
      <c r="T303" s="96"/>
      <c r="U303" s="96"/>
      <c r="V303" s="97"/>
      <c r="W303" s="117"/>
      <c r="X303" s="97"/>
      <c r="Y303" s="97"/>
      <c r="Z303" s="89"/>
      <c r="AA303" s="96"/>
      <c r="AB303" s="89"/>
      <c r="AC303" s="119"/>
      <c r="AD303" s="89"/>
      <c r="AE303" s="229"/>
      <c r="AF303" s="116"/>
      <c r="AG303" s="116"/>
      <c r="AH303" s="118"/>
      <c r="AI303" s="99"/>
      <c r="AJ303" s="99"/>
      <c r="AK303" s="99"/>
      <c r="AU303" s="45"/>
    </row>
    <row r="304" spans="1:47" ht="12" customHeight="1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5"/>
      <c r="R304" s="114"/>
      <c r="S304" s="115"/>
      <c r="T304" s="96"/>
      <c r="U304" s="96"/>
      <c r="V304" s="97"/>
      <c r="W304" s="117"/>
      <c r="X304" s="97"/>
      <c r="Y304" s="97"/>
      <c r="Z304" s="89"/>
      <c r="AA304" s="96"/>
      <c r="AB304" s="89"/>
      <c r="AC304" s="119"/>
      <c r="AD304" s="89"/>
      <c r="AE304" s="229"/>
      <c r="AF304" s="116"/>
      <c r="AG304" s="116"/>
      <c r="AH304" s="118"/>
      <c r="AI304" s="99"/>
      <c r="AJ304" s="99"/>
      <c r="AK304" s="99"/>
      <c r="AU304" s="45"/>
    </row>
    <row r="305" spans="1:47" ht="12" customHeight="1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5"/>
      <c r="R305" s="114"/>
      <c r="S305" s="115"/>
      <c r="T305" s="96"/>
      <c r="U305" s="96"/>
      <c r="V305" s="97"/>
      <c r="W305" s="117"/>
      <c r="X305" s="97"/>
      <c r="Y305" s="97"/>
      <c r="Z305" s="89"/>
      <c r="AA305" s="96"/>
      <c r="AB305" s="89"/>
      <c r="AC305" s="119"/>
      <c r="AD305" s="89"/>
      <c r="AE305" s="229"/>
      <c r="AF305" s="116"/>
      <c r="AG305" s="116"/>
      <c r="AH305" s="118"/>
      <c r="AI305" s="99"/>
      <c r="AJ305" s="99"/>
      <c r="AK305" s="99"/>
      <c r="AU305" s="45"/>
    </row>
    <row r="306" spans="1:47" ht="12" customHeight="1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5"/>
      <c r="R306" s="114"/>
      <c r="S306" s="115"/>
      <c r="T306" s="96"/>
      <c r="U306" s="96"/>
      <c r="V306" s="97"/>
      <c r="W306" s="117"/>
      <c r="X306" s="97"/>
      <c r="Y306" s="97"/>
      <c r="Z306" s="89"/>
      <c r="AA306" s="96"/>
      <c r="AB306" s="89"/>
      <c r="AC306" s="119"/>
      <c r="AD306" s="89"/>
      <c r="AE306" s="229"/>
      <c r="AF306" s="116"/>
      <c r="AG306" s="116"/>
      <c r="AH306" s="118"/>
      <c r="AI306" s="99"/>
      <c r="AJ306" s="99"/>
      <c r="AK306" s="99"/>
      <c r="AU306" s="45"/>
    </row>
    <row r="307" spans="1:47" ht="12" customHeight="1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115"/>
      <c r="T307" s="96"/>
      <c r="U307" s="96"/>
      <c r="V307" s="97"/>
      <c r="W307" s="97"/>
      <c r="X307" s="97"/>
      <c r="Y307" s="97"/>
      <c r="Z307" s="89"/>
      <c r="AA307" s="96"/>
      <c r="AB307" s="89"/>
      <c r="AC307" s="119"/>
      <c r="AD307" s="89"/>
      <c r="AE307" s="229"/>
      <c r="AF307" s="118"/>
      <c r="AG307" s="118"/>
      <c r="AH307" s="118"/>
      <c r="AI307" s="99"/>
      <c r="AJ307" s="99"/>
      <c r="AK307" s="99"/>
      <c r="AU307" s="45"/>
    </row>
    <row r="308" spans="1:47" ht="12" customHeight="1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0"/>
      <c r="S308" s="115"/>
      <c r="T308" s="96"/>
      <c r="U308" s="96"/>
      <c r="V308" s="97"/>
      <c r="W308" s="97"/>
      <c r="X308" s="97"/>
      <c r="Y308" s="97"/>
      <c r="Z308" s="89"/>
      <c r="AA308" s="96"/>
      <c r="AB308" s="89"/>
      <c r="AC308" s="119"/>
      <c r="AD308" s="89"/>
      <c r="AE308" s="229"/>
      <c r="AF308" s="118"/>
      <c r="AG308" s="118"/>
      <c r="AH308" s="118"/>
      <c r="AI308" s="99"/>
      <c r="AJ308" s="99"/>
      <c r="AK308" s="99"/>
      <c r="AU308" s="45"/>
    </row>
    <row r="309" spans="1:47" ht="12" customHeight="1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4"/>
      <c r="R309" s="120"/>
      <c r="S309" s="115"/>
      <c r="T309" s="96"/>
      <c r="U309" s="96"/>
      <c r="V309" s="97"/>
      <c r="W309" s="97"/>
      <c r="X309" s="97"/>
      <c r="Y309" s="97"/>
      <c r="Z309" s="89"/>
      <c r="AA309" s="96"/>
      <c r="AB309" s="89"/>
      <c r="AC309" s="119"/>
      <c r="AD309" s="89"/>
      <c r="AE309" s="229"/>
      <c r="AF309" s="118"/>
      <c r="AG309" s="118"/>
      <c r="AH309" s="118"/>
      <c r="AI309" s="99"/>
      <c r="AJ309" s="99"/>
      <c r="AK309" s="99"/>
      <c r="AU309" s="45"/>
    </row>
    <row r="310" spans="1:47" ht="12" customHeight="1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4"/>
      <c r="R310" s="120"/>
      <c r="S310" s="115"/>
      <c r="T310" s="96"/>
      <c r="U310" s="96"/>
      <c r="V310" s="97"/>
      <c r="W310" s="97"/>
      <c r="X310" s="97"/>
      <c r="Y310" s="97"/>
      <c r="Z310" s="89"/>
      <c r="AA310" s="96"/>
      <c r="AB310" s="89"/>
      <c r="AC310" s="119"/>
      <c r="AD310" s="89"/>
      <c r="AE310" s="229"/>
      <c r="AF310" s="118"/>
      <c r="AG310" s="118"/>
      <c r="AH310" s="118"/>
      <c r="AI310" s="99"/>
      <c r="AJ310" s="99"/>
      <c r="AK310" s="99"/>
      <c r="AU310" s="45"/>
    </row>
    <row r="311" spans="1:47" ht="12" customHeight="1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4"/>
      <c r="R311" s="120"/>
      <c r="S311" s="115"/>
      <c r="T311" s="96"/>
      <c r="U311" s="96"/>
      <c r="V311" s="97"/>
      <c r="W311" s="97"/>
      <c r="X311" s="97"/>
      <c r="Y311" s="97"/>
      <c r="Z311" s="89"/>
      <c r="AA311" s="96"/>
      <c r="AB311" s="89"/>
      <c r="AC311" s="119"/>
      <c r="AD311" s="89"/>
      <c r="AE311" s="229"/>
      <c r="AF311" s="118"/>
      <c r="AG311" s="118"/>
      <c r="AH311" s="118"/>
      <c r="AI311" s="99"/>
      <c r="AJ311" s="99"/>
      <c r="AK311" s="99"/>
      <c r="AU311" s="45"/>
    </row>
    <row r="312" spans="1:47" ht="12" customHeight="1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0"/>
      <c r="S312" s="115"/>
      <c r="T312" s="96"/>
      <c r="U312" s="96"/>
      <c r="V312" s="97"/>
      <c r="W312" s="97"/>
      <c r="X312" s="97"/>
      <c r="Y312" s="97"/>
      <c r="Z312" s="89"/>
      <c r="AA312" s="96"/>
      <c r="AB312" s="89"/>
      <c r="AC312" s="119"/>
      <c r="AD312" s="89"/>
      <c r="AE312" s="229"/>
      <c r="AF312" s="118"/>
      <c r="AG312" s="118"/>
      <c r="AH312" s="118"/>
      <c r="AI312" s="99"/>
      <c r="AJ312" s="99"/>
      <c r="AK312" s="99"/>
      <c r="AU312" s="45"/>
    </row>
    <row r="313" spans="1:47" ht="12" customHeight="1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5"/>
      <c r="R313" s="114"/>
      <c r="S313" s="115"/>
      <c r="T313" s="96"/>
      <c r="U313" s="96"/>
      <c r="V313" s="97"/>
      <c r="W313" s="117"/>
      <c r="X313" s="97"/>
      <c r="Y313" s="97"/>
      <c r="Z313" s="89"/>
      <c r="AA313" s="96"/>
      <c r="AB313" s="89"/>
      <c r="AC313" s="119"/>
      <c r="AD313" s="89"/>
      <c r="AE313" s="229"/>
      <c r="AF313" s="116"/>
      <c r="AG313" s="118"/>
      <c r="AH313" s="116"/>
      <c r="AI313" s="99"/>
      <c r="AJ313" s="99"/>
      <c r="AK313" s="99"/>
      <c r="AU313" s="45"/>
    </row>
    <row r="314" spans="1:47" ht="12" customHeight="1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4"/>
      <c r="R314" s="120"/>
      <c r="S314" s="115"/>
      <c r="T314" s="96"/>
      <c r="U314" s="96"/>
      <c r="V314" s="97"/>
      <c r="W314" s="97"/>
      <c r="X314" s="97"/>
      <c r="Y314" s="97"/>
      <c r="Z314" s="89"/>
      <c r="AA314" s="96"/>
      <c r="AB314" s="89"/>
      <c r="AC314" s="119"/>
      <c r="AD314" s="89"/>
      <c r="AE314" s="229"/>
      <c r="AF314" s="118"/>
      <c r="AG314" s="118"/>
      <c r="AH314" s="118"/>
      <c r="AI314" s="99"/>
      <c r="AJ314" s="99"/>
      <c r="AK314" s="99"/>
      <c r="AU314" s="45"/>
    </row>
    <row r="315" spans="1:47" ht="12" customHeight="1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4"/>
      <c r="R315" s="120"/>
      <c r="S315" s="115"/>
      <c r="T315" s="96"/>
      <c r="U315" s="96"/>
      <c r="V315" s="97"/>
      <c r="W315" s="97"/>
      <c r="X315" s="97"/>
      <c r="Y315" s="97"/>
      <c r="Z315" s="89"/>
      <c r="AA315" s="96"/>
      <c r="AB315" s="89"/>
      <c r="AC315" s="119"/>
      <c r="AD315" s="89"/>
      <c r="AE315" s="229"/>
      <c r="AF315" s="118"/>
      <c r="AG315" s="118"/>
      <c r="AH315" s="118"/>
      <c r="AI315" s="99"/>
      <c r="AJ315" s="99"/>
      <c r="AK315" s="99"/>
      <c r="AU315" s="45"/>
    </row>
    <row r="316" spans="1:47" ht="12" customHeight="1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4"/>
      <c r="R316" s="120"/>
      <c r="S316" s="115"/>
      <c r="T316" s="96"/>
      <c r="U316" s="96"/>
      <c r="V316" s="97"/>
      <c r="W316" s="97"/>
      <c r="X316" s="97"/>
      <c r="Y316" s="97"/>
      <c r="Z316" s="89"/>
      <c r="AA316" s="96"/>
      <c r="AB316" s="89"/>
      <c r="AC316" s="119"/>
      <c r="AD316" s="89"/>
      <c r="AE316" s="229"/>
      <c r="AF316" s="118"/>
      <c r="AG316" s="118"/>
      <c r="AH316" s="118"/>
      <c r="AI316" s="99"/>
      <c r="AJ316" s="99"/>
      <c r="AK316" s="99"/>
      <c r="AU316" s="45"/>
    </row>
    <row r="317" spans="1:47" ht="12" customHeight="1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5"/>
      <c r="R317" s="114"/>
      <c r="S317" s="115"/>
      <c r="T317" s="96"/>
      <c r="U317" s="96"/>
      <c r="V317" s="97"/>
      <c r="W317" s="117"/>
      <c r="X317" s="97"/>
      <c r="Y317" s="97"/>
      <c r="Z317" s="89"/>
      <c r="AA317" s="96"/>
      <c r="AB317" s="89"/>
      <c r="AC317" s="119"/>
      <c r="AD317" s="89"/>
      <c r="AE317" s="229"/>
      <c r="AF317" s="116"/>
      <c r="AG317" s="118"/>
      <c r="AH317" s="116"/>
      <c r="AI317" s="99"/>
      <c r="AJ317" s="99"/>
      <c r="AK317" s="99"/>
      <c r="AU317" s="45"/>
    </row>
    <row r="318" spans="1:47" ht="12" customHeight="1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4"/>
      <c r="R318" s="120"/>
      <c r="S318" s="115"/>
      <c r="T318" s="96"/>
      <c r="U318" s="96"/>
      <c r="V318" s="97"/>
      <c r="W318" s="97"/>
      <c r="X318" s="97"/>
      <c r="Y318" s="97"/>
      <c r="Z318" s="89"/>
      <c r="AA318" s="96"/>
      <c r="AB318" s="89"/>
      <c r="AC318" s="119"/>
      <c r="AD318" s="89"/>
      <c r="AE318" s="229"/>
      <c r="AF318" s="118"/>
      <c r="AG318" s="118"/>
      <c r="AH318" s="118"/>
      <c r="AI318" s="99"/>
      <c r="AJ318" s="99"/>
      <c r="AK318" s="99"/>
      <c r="AU318" s="45"/>
    </row>
    <row r="319" spans="1:47" ht="12" customHeight="1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229"/>
      <c r="AF319" s="116"/>
      <c r="AG319" s="118"/>
      <c r="AH319" s="116"/>
      <c r="AI319" s="99"/>
      <c r="AJ319" s="99"/>
      <c r="AK319" s="99"/>
      <c r="AU319" s="45"/>
    </row>
    <row r="320" spans="1:47" ht="12" customHeight="1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4"/>
      <c r="R320" s="120"/>
      <c r="S320" s="115"/>
      <c r="T320" s="96"/>
      <c r="U320" s="96"/>
      <c r="V320" s="97"/>
      <c r="W320" s="97"/>
      <c r="X320" s="97"/>
      <c r="Y320" s="97"/>
      <c r="Z320" s="89"/>
      <c r="AA320" s="96"/>
      <c r="AB320" s="89"/>
      <c r="AC320" s="119"/>
      <c r="AD320" s="89"/>
      <c r="AE320" s="229"/>
      <c r="AF320" s="118"/>
      <c r="AG320" s="118"/>
      <c r="AH320" s="118"/>
      <c r="AI320" s="99"/>
      <c r="AJ320" s="99"/>
      <c r="AK320" s="99"/>
      <c r="AU320" s="45"/>
    </row>
    <row r="321" spans="1:47" ht="12" customHeight="1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4"/>
      <c r="R321" s="120"/>
      <c r="S321" s="120"/>
      <c r="T321" s="96"/>
      <c r="U321" s="96"/>
      <c r="V321" s="97"/>
      <c r="W321" s="97"/>
      <c r="X321" s="97"/>
      <c r="Y321" s="97"/>
      <c r="Z321" s="89"/>
      <c r="AA321" s="96"/>
      <c r="AB321" s="89"/>
      <c r="AC321" s="119"/>
      <c r="AD321" s="89"/>
      <c r="AE321" s="229"/>
      <c r="AF321" s="118"/>
      <c r="AG321" s="118"/>
      <c r="AH321" s="118"/>
      <c r="AI321" s="99"/>
      <c r="AJ321" s="99"/>
      <c r="AK321" s="99"/>
      <c r="AU321" s="45"/>
    </row>
    <row r="322" spans="1:47" ht="12" customHeight="1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4"/>
      <c r="R322" s="120"/>
      <c r="S322" s="120"/>
      <c r="T322" s="96"/>
      <c r="U322" s="96"/>
      <c r="V322" s="97"/>
      <c r="W322" s="97"/>
      <c r="X322" s="97"/>
      <c r="Y322" s="97"/>
      <c r="Z322" s="89"/>
      <c r="AA322" s="96"/>
      <c r="AB322" s="89"/>
      <c r="AC322" s="119"/>
      <c r="AD322" s="89"/>
      <c r="AE322" s="229"/>
      <c r="AF322" s="118"/>
      <c r="AG322" s="118"/>
      <c r="AH322" s="118"/>
      <c r="AI322" s="99"/>
      <c r="AJ322" s="99"/>
      <c r="AK322" s="99"/>
      <c r="AU322" s="45"/>
    </row>
    <row r="323" spans="1:47" ht="12" customHeight="1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5"/>
      <c r="R323" s="120"/>
      <c r="S323" s="115"/>
      <c r="T323" s="96"/>
      <c r="U323" s="96"/>
      <c r="V323" s="97"/>
      <c r="W323" s="117"/>
      <c r="X323" s="97"/>
      <c r="Y323" s="97"/>
      <c r="Z323" s="89"/>
      <c r="AA323" s="96"/>
      <c r="AB323" s="89"/>
      <c r="AC323" s="119"/>
      <c r="AD323" s="89"/>
      <c r="AE323" s="229"/>
      <c r="AF323" s="116"/>
      <c r="AG323" s="118"/>
      <c r="AH323" s="116"/>
      <c r="AI323" s="99"/>
      <c r="AJ323" s="99"/>
      <c r="AK323" s="99"/>
      <c r="AU323" s="45"/>
    </row>
    <row r="324" spans="1:47" ht="12" customHeight="1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5"/>
      <c r="R324" s="114"/>
      <c r="S324" s="115"/>
      <c r="T324" s="96"/>
      <c r="U324" s="96"/>
      <c r="V324" s="117"/>
      <c r="W324" s="97"/>
      <c r="X324" s="97"/>
      <c r="Y324" s="97"/>
      <c r="Z324" s="89"/>
      <c r="AA324" s="96"/>
      <c r="AB324" s="89"/>
      <c r="AC324" s="119"/>
      <c r="AD324" s="89"/>
      <c r="AE324" s="229"/>
      <c r="AF324" s="116"/>
      <c r="AG324" s="118"/>
      <c r="AH324" s="116"/>
      <c r="AI324" s="99"/>
      <c r="AJ324" s="99"/>
      <c r="AK324" s="99"/>
      <c r="AU324" s="45"/>
    </row>
    <row r="325" spans="1:47" ht="12" customHeight="1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5"/>
      <c r="R325" s="114"/>
      <c r="S325" s="115"/>
      <c r="T325" s="96"/>
      <c r="U325" s="96"/>
      <c r="V325" s="117"/>
      <c r="W325" s="97"/>
      <c r="X325" s="97"/>
      <c r="Y325" s="97"/>
      <c r="Z325" s="89"/>
      <c r="AA325" s="96"/>
      <c r="AB325" s="89"/>
      <c r="AC325" s="119"/>
      <c r="AD325" s="89"/>
      <c r="AE325" s="229"/>
      <c r="AF325" s="116"/>
      <c r="AG325" s="118"/>
      <c r="AH325" s="116"/>
      <c r="AI325" s="99"/>
      <c r="AJ325" s="99"/>
      <c r="AK325" s="99"/>
      <c r="AU325" s="45"/>
    </row>
    <row r="326" spans="1:47" ht="12" customHeight="1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5"/>
      <c r="R326" s="114"/>
      <c r="S326" s="115"/>
      <c r="T326" s="96"/>
      <c r="U326" s="96"/>
      <c r="V326" s="117"/>
      <c r="W326" s="97"/>
      <c r="X326" s="97"/>
      <c r="Y326" s="97"/>
      <c r="Z326" s="89"/>
      <c r="AA326" s="96"/>
      <c r="AB326" s="89"/>
      <c r="AC326" s="119"/>
      <c r="AD326" s="89"/>
      <c r="AE326" s="229"/>
      <c r="AF326" s="116"/>
      <c r="AG326" s="118"/>
      <c r="AH326" s="116"/>
      <c r="AI326" s="99"/>
      <c r="AJ326" s="99"/>
      <c r="AK326" s="99"/>
      <c r="AU326" s="45"/>
    </row>
    <row r="327" spans="1:47" ht="12" customHeight="1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5"/>
      <c r="R327" s="114"/>
      <c r="S327" s="115"/>
      <c r="T327" s="96"/>
      <c r="U327" s="96"/>
      <c r="V327" s="117"/>
      <c r="W327" s="97"/>
      <c r="X327" s="97"/>
      <c r="Y327" s="97"/>
      <c r="Z327" s="89"/>
      <c r="AA327" s="96"/>
      <c r="AB327" s="89"/>
      <c r="AC327" s="119"/>
      <c r="AD327" s="89"/>
      <c r="AE327" s="229"/>
      <c r="AF327" s="116"/>
      <c r="AG327" s="118"/>
      <c r="AH327" s="116"/>
      <c r="AI327" s="99"/>
      <c r="AJ327" s="99"/>
      <c r="AK327" s="99"/>
      <c r="AU327" s="45"/>
    </row>
    <row r="328" spans="1:47" ht="12" customHeight="1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5"/>
      <c r="R328" s="114"/>
      <c r="S328" s="115"/>
      <c r="T328" s="96"/>
      <c r="U328" s="96"/>
      <c r="V328" s="117"/>
      <c r="W328" s="97"/>
      <c r="X328" s="97"/>
      <c r="Y328" s="97"/>
      <c r="Z328" s="89"/>
      <c r="AA328" s="96"/>
      <c r="AB328" s="89"/>
      <c r="AC328" s="119"/>
      <c r="AD328" s="89"/>
      <c r="AE328" s="229"/>
      <c r="AF328" s="116"/>
      <c r="AG328" s="118"/>
      <c r="AH328" s="116"/>
      <c r="AI328" s="99"/>
      <c r="AJ328" s="99"/>
      <c r="AK328" s="99"/>
      <c r="AU328" s="45"/>
    </row>
    <row r="329" spans="1:47" ht="12" customHeight="1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5"/>
      <c r="R329" s="114"/>
      <c r="S329" s="115"/>
      <c r="T329" s="96"/>
      <c r="U329" s="96"/>
      <c r="V329" s="117"/>
      <c r="W329" s="97"/>
      <c r="X329" s="97"/>
      <c r="Y329" s="97"/>
      <c r="Z329" s="89"/>
      <c r="AA329" s="96"/>
      <c r="AB329" s="89"/>
      <c r="AC329" s="119"/>
      <c r="AD329" s="89"/>
      <c r="AE329" s="229"/>
      <c r="AF329" s="116"/>
      <c r="AG329" s="118"/>
      <c r="AH329" s="116"/>
      <c r="AI329" s="99"/>
      <c r="AJ329" s="99"/>
      <c r="AK329" s="99"/>
      <c r="AU329" s="45"/>
    </row>
    <row r="330" spans="1:47" ht="12" customHeight="1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5"/>
      <c r="R330" s="114"/>
      <c r="S330" s="115"/>
      <c r="T330" s="96"/>
      <c r="U330" s="96"/>
      <c r="V330" s="117"/>
      <c r="W330" s="97"/>
      <c r="X330" s="97"/>
      <c r="Y330" s="97"/>
      <c r="Z330" s="89"/>
      <c r="AA330" s="96"/>
      <c r="AB330" s="89"/>
      <c r="AC330" s="119"/>
      <c r="AD330" s="89"/>
      <c r="AE330" s="229"/>
      <c r="AF330" s="116"/>
      <c r="AG330" s="118"/>
      <c r="AH330" s="116"/>
      <c r="AI330" s="99"/>
      <c r="AJ330" s="99"/>
      <c r="AK330" s="99"/>
      <c r="AU330" s="45"/>
    </row>
    <row r="331" spans="1:47" ht="12" customHeight="1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117"/>
      <c r="W331" s="97"/>
      <c r="X331" s="97"/>
      <c r="Y331" s="97"/>
      <c r="Z331" s="89"/>
      <c r="AA331" s="96"/>
      <c r="AB331" s="89"/>
      <c r="AC331" s="119"/>
      <c r="AD331" s="89"/>
      <c r="AE331" s="229"/>
      <c r="AF331" s="116"/>
      <c r="AG331" s="118"/>
      <c r="AH331" s="116"/>
      <c r="AI331" s="99"/>
      <c r="AJ331" s="99"/>
      <c r="AK331" s="99"/>
      <c r="AU331" s="45"/>
    </row>
    <row r="332" spans="1:47" ht="12" customHeight="1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5"/>
      <c r="R332" s="114"/>
      <c r="S332" s="115"/>
      <c r="T332" s="96"/>
      <c r="U332" s="96"/>
      <c r="V332" s="117"/>
      <c r="W332" s="97"/>
      <c r="X332" s="97"/>
      <c r="Y332" s="97"/>
      <c r="Z332" s="89"/>
      <c r="AA332" s="96"/>
      <c r="AB332" s="89"/>
      <c r="AC332" s="119"/>
      <c r="AD332" s="89"/>
      <c r="AE332" s="229"/>
      <c r="AF332" s="116"/>
      <c r="AG332" s="118"/>
      <c r="AH332" s="116"/>
      <c r="AI332" s="99"/>
      <c r="AJ332" s="99"/>
      <c r="AK332" s="99"/>
      <c r="AU332" s="45"/>
    </row>
    <row r="333" spans="1:47" ht="12" customHeight="1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5"/>
      <c r="R333" s="114"/>
      <c r="S333" s="115"/>
      <c r="T333" s="96"/>
      <c r="U333" s="96"/>
      <c r="V333" s="117"/>
      <c r="W333" s="97"/>
      <c r="X333" s="97"/>
      <c r="Y333" s="97"/>
      <c r="Z333" s="89"/>
      <c r="AA333" s="96"/>
      <c r="AB333" s="89"/>
      <c r="AC333" s="119"/>
      <c r="AD333" s="89"/>
      <c r="AE333" s="229"/>
      <c r="AF333" s="116"/>
      <c r="AG333" s="116"/>
      <c r="AH333" s="116"/>
      <c r="AI333" s="99"/>
      <c r="AJ333" s="99"/>
      <c r="AK333" s="99"/>
      <c r="AU333" s="45"/>
    </row>
    <row r="334" spans="1:47" ht="12" customHeight="1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5"/>
      <c r="R334" s="114"/>
      <c r="S334" s="115"/>
      <c r="T334" s="96"/>
      <c r="U334" s="96"/>
      <c r="V334" s="117"/>
      <c r="W334" s="97"/>
      <c r="X334" s="97"/>
      <c r="Y334" s="97"/>
      <c r="Z334" s="89"/>
      <c r="AA334" s="96"/>
      <c r="AB334" s="89"/>
      <c r="AC334" s="119"/>
      <c r="AD334" s="89"/>
      <c r="AE334" s="229"/>
      <c r="AF334" s="116"/>
      <c r="AG334" s="116"/>
      <c r="AH334" s="116"/>
      <c r="AI334" s="99"/>
      <c r="AJ334" s="99"/>
      <c r="AK334" s="99"/>
      <c r="AU334" s="45"/>
    </row>
    <row r="335" spans="1:47" ht="12" customHeight="1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5"/>
      <c r="R335" s="114"/>
      <c r="S335" s="115"/>
      <c r="T335" s="96"/>
      <c r="U335" s="96"/>
      <c r="V335" s="117"/>
      <c r="W335" s="97"/>
      <c r="X335" s="97"/>
      <c r="Y335" s="97"/>
      <c r="Z335" s="89"/>
      <c r="AA335" s="96"/>
      <c r="AB335" s="89"/>
      <c r="AC335" s="119"/>
      <c r="AD335" s="89"/>
      <c r="AE335" s="229"/>
      <c r="AF335" s="116"/>
      <c r="AG335" s="116"/>
      <c r="AH335" s="116"/>
      <c r="AI335" s="99"/>
      <c r="AJ335" s="99"/>
      <c r="AK335" s="99"/>
      <c r="AU335" s="45"/>
    </row>
    <row r="336" spans="1:47" ht="12" customHeight="1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5"/>
      <c r="R336" s="120"/>
      <c r="S336" s="115"/>
      <c r="T336" s="96"/>
      <c r="U336" s="96"/>
      <c r="V336" s="117"/>
      <c r="W336" s="97"/>
      <c r="X336" s="97"/>
      <c r="Y336" s="97"/>
      <c r="Z336" s="89"/>
      <c r="AA336" s="96"/>
      <c r="AB336" s="89"/>
      <c r="AC336" s="119"/>
      <c r="AD336" s="89"/>
      <c r="AE336" s="229"/>
      <c r="AF336" s="116"/>
      <c r="AG336" s="118"/>
      <c r="AH336" s="116"/>
      <c r="AI336" s="99"/>
      <c r="AJ336" s="99"/>
      <c r="AK336" s="99"/>
      <c r="AU336" s="45"/>
    </row>
    <row r="337" spans="1:47" ht="12" customHeight="1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14"/>
      <c r="S337" s="115"/>
      <c r="T337" s="96"/>
      <c r="U337" s="96"/>
      <c r="V337" s="117"/>
      <c r="W337" s="97"/>
      <c r="X337" s="97"/>
      <c r="Y337" s="97"/>
      <c r="Z337" s="89"/>
      <c r="AA337" s="96"/>
      <c r="AB337" s="89"/>
      <c r="AC337" s="119"/>
      <c r="AD337" s="89"/>
      <c r="AE337" s="229"/>
      <c r="AF337" s="116"/>
      <c r="AG337" s="116"/>
      <c r="AH337" s="116"/>
      <c r="AI337" s="99"/>
      <c r="AJ337" s="99"/>
      <c r="AK337" s="99"/>
      <c r="AU337" s="45"/>
    </row>
    <row r="338" spans="1:47" ht="12" customHeight="1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5"/>
      <c r="R338" s="114"/>
      <c r="S338" s="115"/>
      <c r="T338" s="96"/>
      <c r="U338" s="96"/>
      <c r="V338" s="117"/>
      <c r="W338" s="97"/>
      <c r="X338" s="97"/>
      <c r="Y338" s="97"/>
      <c r="Z338" s="89"/>
      <c r="AA338" s="96"/>
      <c r="AB338" s="89"/>
      <c r="AC338" s="119"/>
      <c r="AD338" s="89"/>
      <c r="AE338" s="229"/>
      <c r="AF338" s="116"/>
      <c r="AG338" s="118"/>
      <c r="AH338" s="116"/>
      <c r="AI338" s="99"/>
      <c r="AJ338" s="99"/>
      <c r="AK338" s="99"/>
      <c r="AU338" s="45"/>
    </row>
    <row r="339" spans="1:47" ht="12" customHeight="1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5"/>
      <c r="R339" s="114"/>
      <c r="S339" s="115"/>
      <c r="T339" s="96"/>
      <c r="U339" s="96"/>
      <c r="V339" s="117"/>
      <c r="W339" s="97"/>
      <c r="X339" s="97"/>
      <c r="Y339" s="97"/>
      <c r="Z339" s="89"/>
      <c r="AA339" s="96"/>
      <c r="AB339" s="89"/>
      <c r="AC339" s="119"/>
      <c r="AD339" s="89"/>
      <c r="AE339" s="229"/>
      <c r="AF339" s="116"/>
      <c r="AG339" s="118"/>
      <c r="AH339" s="116"/>
      <c r="AI339" s="99"/>
      <c r="AJ339" s="99"/>
      <c r="AK339" s="99"/>
      <c r="AU339" s="45"/>
    </row>
    <row r="340" spans="1:47" ht="12" customHeight="1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5"/>
      <c r="R340" s="114"/>
      <c r="S340" s="115"/>
      <c r="T340" s="96"/>
      <c r="U340" s="96"/>
      <c r="V340" s="117"/>
      <c r="W340" s="97"/>
      <c r="X340" s="97"/>
      <c r="Y340" s="97"/>
      <c r="Z340" s="89"/>
      <c r="AA340" s="96"/>
      <c r="AB340" s="89"/>
      <c r="AC340" s="119"/>
      <c r="AD340" s="89"/>
      <c r="AE340" s="229"/>
      <c r="AF340" s="116"/>
      <c r="AG340" s="116"/>
      <c r="AH340" s="116"/>
      <c r="AI340" s="99"/>
      <c r="AJ340" s="99"/>
      <c r="AK340" s="99"/>
      <c r="AU340" s="45"/>
    </row>
    <row r="341" spans="1:47" ht="12" customHeight="1">
      <c r="A341" s="89"/>
      <c r="B341" s="197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14"/>
      <c r="S341" s="115"/>
      <c r="T341" s="96"/>
      <c r="U341" s="96"/>
      <c r="V341" s="117"/>
      <c r="W341" s="97"/>
      <c r="X341" s="97"/>
      <c r="Y341" s="97"/>
      <c r="Z341" s="89"/>
      <c r="AA341" s="96"/>
      <c r="AB341" s="89"/>
      <c r="AC341" s="119"/>
      <c r="AD341" s="89"/>
      <c r="AE341" s="229"/>
      <c r="AF341" s="116"/>
      <c r="AG341" s="118"/>
      <c r="AH341" s="116"/>
      <c r="AI341" s="99"/>
      <c r="AJ341" s="99"/>
      <c r="AK341" s="99"/>
      <c r="AU341" s="45"/>
    </row>
    <row r="342" spans="1:47" ht="12" customHeight="1">
      <c r="A342" s="89"/>
      <c r="B342" s="197"/>
      <c r="C342" s="89"/>
      <c r="D342" s="89"/>
      <c r="E342" s="111"/>
      <c r="F342" s="220"/>
      <c r="G342" s="90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229"/>
      <c r="AF342" s="116"/>
      <c r="AG342" s="118"/>
      <c r="AH342" s="116"/>
      <c r="AI342" s="99"/>
      <c r="AJ342" s="99"/>
      <c r="AK342" s="99"/>
      <c r="AU342" s="45"/>
    </row>
    <row r="343" spans="1:47" ht="12" customHeight="1">
      <c r="A343" s="89"/>
      <c r="B343" s="197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229"/>
      <c r="AF343" s="116"/>
      <c r="AG343" s="118"/>
      <c r="AH343" s="116"/>
      <c r="AI343" s="99"/>
      <c r="AJ343" s="99"/>
      <c r="AK343" s="99"/>
      <c r="AU343" s="45"/>
    </row>
    <row r="344" spans="1:47" ht="12" customHeight="1">
      <c r="A344" s="89"/>
      <c r="B344" s="197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229"/>
      <c r="AF344" s="116"/>
      <c r="AG344" s="118"/>
      <c r="AH344" s="116"/>
      <c r="AI344" s="99"/>
      <c r="AJ344" s="99"/>
      <c r="AK344" s="99"/>
      <c r="AU344" s="45"/>
    </row>
    <row r="345" spans="1:47" ht="12" customHeight="1">
      <c r="A345" s="89"/>
      <c r="B345" s="197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229"/>
      <c r="AF345" s="116"/>
      <c r="AG345" s="118"/>
      <c r="AH345" s="116"/>
      <c r="AI345" s="99"/>
      <c r="AJ345" s="99"/>
      <c r="AK345" s="99"/>
      <c r="AU345" s="45"/>
    </row>
    <row r="346" spans="1:47" ht="12" customHeight="1">
      <c r="A346" s="89"/>
      <c r="B346" s="197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229"/>
      <c r="AF346" s="116"/>
      <c r="AG346" s="118"/>
      <c r="AH346" s="116"/>
      <c r="AI346" s="99"/>
      <c r="AJ346" s="99"/>
      <c r="AK346" s="99"/>
      <c r="AU346" s="45"/>
    </row>
    <row r="347" spans="1:47" ht="12" customHeight="1">
      <c r="A347" s="89"/>
      <c r="B347" s="197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229"/>
      <c r="AF347" s="116"/>
      <c r="AG347" s="118"/>
      <c r="AH347" s="116"/>
      <c r="AI347" s="99"/>
      <c r="AJ347" s="99"/>
      <c r="AK347" s="99"/>
      <c r="AU347" s="45"/>
    </row>
    <row r="348" spans="1:47" ht="12" customHeight="1">
      <c r="A348" s="89"/>
      <c r="B348" s="197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229"/>
      <c r="AF348" s="116"/>
      <c r="AG348" s="118"/>
      <c r="AH348" s="116"/>
      <c r="AI348" s="99"/>
      <c r="AJ348" s="99"/>
      <c r="AK348" s="99"/>
      <c r="AU348" s="45"/>
    </row>
    <row r="349" spans="1:47" ht="12" customHeight="1">
      <c r="A349" s="89"/>
      <c r="B349" s="197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229"/>
      <c r="AF349" s="116"/>
      <c r="AG349" s="118"/>
      <c r="AH349" s="116"/>
      <c r="AI349" s="99"/>
      <c r="AJ349" s="99"/>
      <c r="AK349" s="99"/>
      <c r="AU349" s="45"/>
    </row>
    <row r="350" spans="1:47" ht="12" customHeight="1">
      <c r="A350" s="89"/>
      <c r="B350" s="197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229"/>
      <c r="AF350" s="116"/>
      <c r="AG350" s="118"/>
      <c r="AH350" s="116"/>
      <c r="AI350" s="99"/>
      <c r="AJ350" s="99"/>
      <c r="AK350" s="99"/>
      <c r="AU350" s="45"/>
    </row>
    <row r="351" spans="1:47" ht="12" customHeight="1">
      <c r="A351" s="89"/>
      <c r="B351" s="197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229"/>
      <c r="AF351" s="116"/>
      <c r="AG351" s="116"/>
      <c r="AH351" s="116"/>
      <c r="AI351" s="99"/>
      <c r="AJ351" s="99"/>
      <c r="AK351" s="99"/>
      <c r="AU351" s="45"/>
    </row>
    <row r="352" spans="1:47" ht="12" customHeight="1">
      <c r="A352" s="89"/>
      <c r="B352" s="197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229"/>
      <c r="AF352" s="116"/>
      <c r="AG352" s="116"/>
      <c r="AH352" s="116"/>
      <c r="AI352" s="99"/>
      <c r="AJ352" s="99"/>
      <c r="AK352" s="99"/>
      <c r="AU352" s="45"/>
    </row>
    <row r="353" spans="1:47" ht="12" customHeight="1">
      <c r="A353" s="89"/>
      <c r="B353" s="197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97"/>
      <c r="W353" s="97"/>
      <c r="X353" s="97"/>
      <c r="Y353" s="97"/>
      <c r="Z353" s="89"/>
      <c r="AA353" s="96"/>
      <c r="AB353" s="89"/>
      <c r="AC353" s="119"/>
      <c r="AD353" s="89"/>
      <c r="AE353" s="229"/>
      <c r="AF353" s="116"/>
      <c r="AG353" s="116"/>
      <c r="AH353" s="116"/>
      <c r="AI353" s="99"/>
      <c r="AJ353" s="99"/>
      <c r="AK353" s="99"/>
      <c r="AU353" s="45"/>
    </row>
    <row r="354" spans="1:47" ht="12" customHeight="1">
      <c r="A354" s="89"/>
      <c r="B354" s="197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14"/>
      <c r="S354" s="115"/>
      <c r="T354" s="96"/>
      <c r="U354" s="96"/>
      <c r="V354" s="97"/>
      <c r="W354" s="97"/>
      <c r="X354" s="97"/>
      <c r="Y354" s="97"/>
      <c r="Z354" s="89"/>
      <c r="AA354" s="96"/>
      <c r="AB354" s="89"/>
      <c r="AC354" s="119"/>
      <c r="AD354" s="89"/>
      <c r="AE354" s="229"/>
      <c r="AF354" s="116"/>
      <c r="AG354" s="116"/>
      <c r="AH354" s="116"/>
      <c r="AI354" s="99"/>
      <c r="AJ354" s="99"/>
      <c r="AK354" s="99"/>
      <c r="AU354" s="45"/>
    </row>
    <row r="355" spans="1:47" ht="12" customHeight="1">
      <c r="A355" s="89"/>
      <c r="B355" s="197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97"/>
      <c r="W355" s="97"/>
      <c r="X355" s="97"/>
      <c r="Y355" s="97"/>
      <c r="Z355" s="89"/>
      <c r="AA355" s="96"/>
      <c r="AB355" s="89"/>
      <c r="AC355" s="119"/>
      <c r="AD355" s="89"/>
      <c r="AE355" s="229"/>
      <c r="AF355" s="116"/>
      <c r="AG355" s="116"/>
      <c r="AH355" s="116"/>
      <c r="AI355" s="99"/>
      <c r="AJ355" s="99"/>
      <c r="AK355" s="99"/>
      <c r="AU355" s="45"/>
    </row>
    <row r="356" spans="1:47" ht="12" customHeight="1">
      <c r="A356" s="89"/>
      <c r="B356" s="197"/>
      <c r="C356" s="89"/>
      <c r="D356" s="89"/>
      <c r="E356" s="111"/>
      <c r="F356" s="220"/>
      <c r="G356" s="112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97"/>
      <c r="W356" s="97"/>
      <c r="X356" s="97"/>
      <c r="Y356" s="97"/>
      <c r="Z356" s="89"/>
      <c r="AA356" s="96"/>
      <c r="AB356" s="89"/>
      <c r="AC356" s="119"/>
      <c r="AD356" s="89"/>
      <c r="AE356" s="229"/>
      <c r="AF356" s="116"/>
      <c r="AG356" s="116"/>
      <c r="AH356" s="116"/>
      <c r="AI356" s="99"/>
      <c r="AJ356" s="99"/>
      <c r="AK356" s="99"/>
      <c r="AU356" s="45"/>
    </row>
    <row r="357" spans="1:47" ht="12" customHeight="1">
      <c r="A357" s="89"/>
      <c r="B357" s="197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97"/>
      <c r="W357" s="97"/>
      <c r="X357" s="97"/>
      <c r="Y357" s="97"/>
      <c r="Z357" s="89"/>
      <c r="AA357" s="96"/>
      <c r="AB357" s="89"/>
      <c r="AC357" s="119"/>
      <c r="AD357" s="89"/>
      <c r="AE357" s="229"/>
      <c r="AF357" s="116"/>
      <c r="AG357" s="116"/>
      <c r="AH357" s="116"/>
      <c r="AI357" s="99"/>
      <c r="AJ357" s="99"/>
      <c r="AK357" s="99"/>
      <c r="AU357" s="45"/>
    </row>
    <row r="358" spans="1:47" ht="12" customHeight="1">
      <c r="A358" s="89"/>
      <c r="B358" s="197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97"/>
      <c r="W358" s="97"/>
      <c r="X358" s="97"/>
      <c r="Y358" s="97"/>
      <c r="Z358" s="89"/>
      <c r="AA358" s="96"/>
      <c r="AB358" s="89"/>
      <c r="AC358" s="119"/>
      <c r="AD358" s="89"/>
      <c r="AE358" s="229"/>
      <c r="AF358" s="116"/>
      <c r="AG358" s="116"/>
      <c r="AH358" s="116"/>
      <c r="AI358" s="99"/>
      <c r="AJ358" s="99"/>
      <c r="AK358" s="99"/>
      <c r="AU358" s="45"/>
    </row>
    <row r="359" spans="1:47" ht="12" customHeight="1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97"/>
      <c r="W359" s="97"/>
      <c r="X359" s="97"/>
      <c r="Y359" s="97"/>
      <c r="Z359" s="89"/>
      <c r="AA359" s="96"/>
      <c r="AB359" s="89"/>
      <c r="AC359" s="119"/>
      <c r="AD359" s="89"/>
      <c r="AE359" s="229"/>
      <c r="AF359" s="116"/>
      <c r="AG359" s="116"/>
      <c r="AH359" s="116"/>
      <c r="AI359" s="99"/>
      <c r="AJ359" s="99"/>
      <c r="AK359" s="99"/>
      <c r="AU359" s="45"/>
    </row>
    <row r="360" spans="1:47" ht="12" customHeight="1">
      <c r="A360" s="89"/>
      <c r="B360" s="197"/>
      <c r="C360" s="89"/>
      <c r="D360" s="89"/>
      <c r="E360" s="111"/>
      <c r="F360" s="220"/>
      <c r="G360" s="112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97"/>
      <c r="W360" s="97"/>
      <c r="X360" s="97"/>
      <c r="Y360" s="97"/>
      <c r="Z360" s="89"/>
      <c r="AA360" s="96"/>
      <c r="AB360" s="89"/>
      <c r="AC360" s="119"/>
      <c r="AD360" s="89"/>
      <c r="AE360" s="229"/>
      <c r="AF360" s="116"/>
      <c r="AG360" s="116"/>
      <c r="AH360" s="116"/>
      <c r="AI360" s="99"/>
      <c r="AJ360" s="99"/>
      <c r="AK360" s="99"/>
      <c r="AU360" s="45"/>
    </row>
    <row r="361" spans="1:47" ht="12" customHeight="1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97"/>
      <c r="W361" s="97"/>
      <c r="X361" s="97"/>
      <c r="Y361" s="97"/>
      <c r="Z361" s="89"/>
      <c r="AA361" s="96"/>
      <c r="AB361" s="89"/>
      <c r="AC361" s="119"/>
      <c r="AD361" s="89"/>
      <c r="AE361" s="229"/>
      <c r="AF361" s="116"/>
      <c r="AG361" s="116"/>
      <c r="AH361" s="116"/>
      <c r="AI361" s="99"/>
      <c r="AJ361" s="99"/>
      <c r="AK361" s="99"/>
      <c r="AU361" s="45"/>
    </row>
    <row r="362" spans="1:47" ht="12" customHeight="1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97"/>
      <c r="W362" s="97"/>
      <c r="X362" s="97"/>
      <c r="Y362" s="97"/>
      <c r="Z362" s="89"/>
      <c r="AA362" s="96"/>
      <c r="AB362" s="89"/>
      <c r="AC362" s="119"/>
      <c r="AD362" s="89"/>
      <c r="AE362" s="229"/>
      <c r="AF362" s="116"/>
      <c r="AG362" s="116"/>
      <c r="AH362" s="116"/>
      <c r="AI362" s="99"/>
      <c r="AJ362" s="99"/>
      <c r="AK362" s="99"/>
      <c r="AU362" s="45"/>
    </row>
    <row r="363" spans="1:47" ht="12" customHeight="1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97"/>
      <c r="W363" s="97"/>
      <c r="X363" s="97"/>
      <c r="Y363" s="97"/>
      <c r="Z363" s="89"/>
      <c r="AA363" s="96"/>
      <c r="AB363" s="89"/>
      <c r="AC363" s="119"/>
      <c r="AD363" s="89"/>
      <c r="AE363" s="229"/>
      <c r="AF363" s="116"/>
      <c r="AG363" s="116"/>
      <c r="AH363" s="116"/>
      <c r="AI363" s="99"/>
      <c r="AJ363" s="99"/>
      <c r="AK363" s="99"/>
      <c r="AU363" s="45"/>
    </row>
    <row r="364" spans="1:47" ht="12" customHeight="1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97"/>
      <c r="W364" s="97"/>
      <c r="X364" s="97"/>
      <c r="Y364" s="97"/>
      <c r="Z364" s="89"/>
      <c r="AA364" s="96"/>
      <c r="AB364" s="89"/>
      <c r="AC364" s="119"/>
      <c r="AD364" s="89"/>
      <c r="AE364" s="229"/>
      <c r="AF364" s="116"/>
      <c r="AG364" s="116"/>
      <c r="AH364" s="116"/>
      <c r="AI364" s="99"/>
      <c r="AJ364" s="99"/>
      <c r="AK364" s="99"/>
      <c r="AU364" s="45"/>
    </row>
    <row r="365" spans="1:47" ht="12" customHeight="1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97"/>
      <c r="W365" s="97"/>
      <c r="X365" s="97"/>
      <c r="Y365" s="97"/>
      <c r="Z365" s="89"/>
      <c r="AA365" s="96"/>
      <c r="AB365" s="89"/>
      <c r="AC365" s="119"/>
      <c r="AD365" s="89"/>
      <c r="AE365" s="229"/>
      <c r="AF365" s="116"/>
      <c r="AG365" s="116"/>
      <c r="AH365" s="116"/>
      <c r="AI365" s="99"/>
      <c r="AJ365" s="99"/>
      <c r="AK365" s="99"/>
      <c r="AU365" s="45"/>
    </row>
    <row r="366" spans="1:47" ht="12" customHeight="1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97"/>
      <c r="W366" s="97"/>
      <c r="X366" s="97"/>
      <c r="Y366" s="97"/>
      <c r="Z366" s="89"/>
      <c r="AA366" s="96"/>
      <c r="AB366" s="89"/>
      <c r="AC366" s="119"/>
      <c r="AD366" s="89"/>
      <c r="AE366" s="229"/>
      <c r="AF366" s="116"/>
      <c r="AG366" s="116"/>
      <c r="AH366" s="116"/>
      <c r="AI366" s="99"/>
      <c r="AJ366" s="99"/>
      <c r="AK366" s="99"/>
      <c r="AU366" s="45"/>
    </row>
    <row r="367" spans="1:47" ht="12" customHeight="1">
      <c r="A367" s="125"/>
      <c r="B367" s="88"/>
      <c r="C367" s="89"/>
      <c r="D367" s="89"/>
      <c r="E367" s="111"/>
      <c r="F367" s="220"/>
      <c r="G367" s="91"/>
      <c r="H367" s="92"/>
      <c r="I367" s="91"/>
      <c r="J367" s="126"/>
      <c r="K367" s="89"/>
      <c r="L367" s="89"/>
      <c r="M367" s="89"/>
      <c r="N367" s="89"/>
      <c r="O367" s="93"/>
      <c r="P367" s="94"/>
      <c r="Q367" s="144"/>
      <c r="R367" s="95"/>
      <c r="S367" s="96"/>
      <c r="T367" s="96"/>
      <c r="U367" s="96"/>
      <c r="V367" s="92"/>
      <c r="W367" s="92"/>
      <c r="X367" s="92"/>
      <c r="Y367" s="97"/>
      <c r="Z367" s="89"/>
      <c r="AA367" s="96"/>
      <c r="AB367" s="89"/>
      <c r="AC367" s="119"/>
      <c r="AD367" s="89"/>
      <c r="AE367" s="229"/>
      <c r="AF367" s="98"/>
      <c r="AG367" s="98"/>
      <c r="AH367" s="127"/>
      <c r="AI367" s="99"/>
      <c r="AJ367" s="99"/>
      <c r="AK367" s="128"/>
      <c r="AU367" s="45"/>
    </row>
    <row r="368" spans="1:47" ht="12" customHeight="1">
      <c r="A368" s="125"/>
      <c r="B368" s="88"/>
      <c r="C368" s="89"/>
      <c r="D368" s="89"/>
      <c r="E368" s="111"/>
      <c r="F368" s="220"/>
      <c r="G368" s="91"/>
      <c r="H368" s="92"/>
      <c r="I368" s="91"/>
      <c r="J368" s="126"/>
      <c r="K368" s="89"/>
      <c r="L368" s="89"/>
      <c r="M368" s="89"/>
      <c r="N368" s="89"/>
      <c r="O368" s="93"/>
      <c r="P368" s="94"/>
      <c r="Q368" s="144"/>
      <c r="R368" s="95"/>
      <c r="S368" s="96"/>
      <c r="T368" s="96"/>
      <c r="U368" s="96"/>
      <c r="V368" s="92"/>
      <c r="W368" s="92"/>
      <c r="X368" s="92"/>
      <c r="Y368" s="97"/>
      <c r="Z368" s="89"/>
      <c r="AA368" s="96"/>
      <c r="AB368" s="89"/>
      <c r="AC368" s="119"/>
      <c r="AD368" s="89"/>
      <c r="AE368" s="229"/>
      <c r="AF368" s="98"/>
      <c r="AG368" s="98"/>
      <c r="AH368" s="127"/>
      <c r="AI368" s="99"/>
      <c r="AJ368" s="99"/>
      <c r="AK368" s="128"/>
      <c r="AU368" s="45"/>
    </row>
    <row r="369" spans="1:47" ht="12" customHeight="1">
      <c r="A369" s="125"/>
      <c r="B369" s="88"/>
      <c r="C369" s="89"/>
      <c r="D369" s="89"/>
      <c r="E369" s="111"/>
      <c r="F369" s="220"/>
      <c r="G369" s="91"/>
      <c r="H369" s="92"/>
      <c r="I369" s="91"/>
      <c r="J369" s="126"/>
      <c r="K369" s="89"/>
      <c r="L369" s="89"/>
      <c r="M369" s="89"/>
      <c r="N369" s="89"/>
      <c r="O369" s="93"/>
      <c r="P369" s="94"/>
      <c r="Q369" s="144"/>
      <c r="R369" s="95"/>
      <c r="S369" s="96"/>
      <c r="T369" s="96"/>
      <c r="U369" s="96"/>
      <c r="V369" s="92"/>
      <c r="W369" s="89"/>
      <c r="X369" s="89"/>
      <c r="Y369" s="97"/>
      <c r="Z369" s="89"/>
      <c r="AA369" s="96"/>
      <c r="AB369" s="89"/>
      <c r="AC369" s="119"/>
      <c r="AD369" s="89"/>
      <c r="AE369" s="229"/>
      <c r="AF369" s="98"/>
      <c r="AG369" s="98"/>
      <c r="AH369" s="127"/>
      <c r="AI369" s="99"/>
      <c r="AJ369" s="99"/>
      <c r="AK369" s="128"/>
      <c r="AU369" s="45"/>
    </row>
    <row r="370" spans="1:47" ht="12" customHeight="1">
      <c r="A370" s="125"/>
      <c r="B370" s="88"/>
      <c r="C370" s="89"/>
      <c r="D370" s="89"/>
      <c r="E370" s="111"/>
      <c r="F370" s="220"/>
      <c r="G370" s="91"/>
      <c r="H370" s="92"/>
      <c r="I370" s="91"/>
      <c r="J370" s="126"/>
      <c r="K370" s="89"/>
      <c r="L370" s="89"/>
      <c r="M370" s="89"/>
      <c r="N370" s="89"/>
      <c r="O370" s="93"/>
      <c r="P370" s="94"/>
      <c r="Q370" s="144"/>
      <c r="R370" s="95"/>
      <c r="S370" s="96"/>
      <c r="T370" s="96"/>
      <c r="U370" s="96"/>
      <c r="V370" s="92"/>
      <c r="W370" s="92"/>
      <c r="X370" s="92"/>
      <c r="Y370" s="97"/>
      <c r="Z370" s="89"/>
      <c r="AA370" s="96"/>
      <c r="AB370" s="89"/>
      <c r="AC370" s="119"/>
      <c r="AD370" s="89"/>
      <c r="AE370" s="229"/>
      <c r="AF370" s="127"/>
      <c r="AG370" s="98"/>
      <c r="AH370" s="98"/>
      <c r="AI370" s="99"/>
      <c r="AJ370" s="99"/>
      <c r="AK370" s="128"/>
      <c r="AU370" s="45"/>
    </row>
    <row r="371" spans="1:47" ht="12" customHeight="1">
      <c r="A371" s="125"/>
      <c r="B371" s="88"/>
      <c r="C371" s="89"/>
      <c r="D371" s="89"/>
      <c r="E371" s="111"/>
      <c r="F371" s="220"/>
      <c r="G371" s="91"/>
      <c r="H371" s="92"/>
      <c r="I371" s="91"/>
      <c r="J371" s="126"/>
      <c r="K371" s="89"/>
      <c r="L371" s="89"/>
      <c r="M371" s="89"/>
      <c r="N371" s="89"/>
      <c r="O371" s="93"/>
      <c r="P371" s="94"/>
      <c r="Q371" s="144"/>
      <c r="R371" s="95"/>
      <c r="S371" s="96"/>
      <c r="T371" s="96"/>
      <c r="U371" s="96"/>
      <c r="V371" s="92"/>
      <c r="W371" s="92"/>
      <c r="X371" s="92"/>
      <c r="Y371" s="97"/>
      <c r="Z371" s="89"/>
      <c r="AA371" s="96"/>
      <c r="AB371" s="89"/>
      <c r="AC371" s="119"/>
      <c r="AD371" s="89"/>
      <c r="AE371" s="229"/>
      <c r="AF371" s="98"/>
      <c r="AG371" s="98"/>
      <c r="AH371" s="127"/>
      <c r="AI371" s="99"/>
      <c r="AJ371" s="99"/>
      <c r="AK371" s="128"/>
      <c r="AU371" s="45"/>
    </row>
    <row r="372" spans="1:47" ht="12" customHeight="1">
      <c r="A372" s="125"/>
      <c r="B372" s="88"/>
      <c r="C372" s="89"/>
      <c r="D372" s="89"/>
      <c r="E372" s="111"/>
      <c r="F372" s="220"/>
      <c r="G372" s="91"/>
      <c r="H372" s="92"/>
      <c r="I372" s="91"/>
      <c r="J372" s="126"/>
      <c r="K372" s="89"/>
      <c r="L372" s="89"/>
      <c r="M372" s="89"/>
      <c r="N372" s="89"/>
      <c r="O372" s="93"/>
      <c r="P372" s="94"/>
      <c r="Q372" s="144"/>
      <c r="R372" s="95"/>
      <c r="S372" s="96"/>
      <c r="T372" s="96"/>
      <c r="U372" s="96"/>
      <c r="V372" s="92"/>
      <c r="W372" s="92"/>
      <c r="X372" s="92"/>
      <c r="Y372" s="97"/>
      <c r="Z372" s="89"/>
      <c r="AA372" s="96"/>
      <c r="AB372" s="89"/>
      <c r="AC372" s="119"/>
      <c r="AD372" s="89"/>
      <c r="AE372" s="229"/>
      <c r="AF372" s="98"/>
      <c r="AG372" s="98"/>
      <c r="AH372" s="127"/>
      <c r="AI372" s="99"/>
      <c r="AJ372" s="99"/>
      <c r="AK372" s="128"/>
      <c r="AU372" s="45"/>
    </row>
    <row r="373" spans="1:47" ht="12" customHeight="1">
      <c r="A373" s="125"/>
      <c r="B373" s="88"/>
      <c r="C373" s="89"/>
      <c r="D373" s="89"/>
      <c r="E373" s="111"/>
      <c r="F373" s="220"/>
      <c r="G373" s="91"/>
      <c r="H373" s="92"/>
      <c r="I373" s="91"/>
      <c r="J373" s="126"/>
      <c r="K373" s="89"/>
      <c r="L373" s="89"/>
      <c r="M373" s="89"/>
      <c r="N373" s="89"/>
      <c r="O373" s="93"/>
      <c r="P373" s="94"/>
      <c r="Q373" s="144"/>
      <c r="R373" s="95"/>
      <c r="S373" s="96"/>
      <c r="T373" s="96"/>
      <c r="U373" s="96"/>
      <c r="V373" s="92"/>
      <c r="W373" s="89"/>
      <c r="X373" s="89"/>
      <c r="Y373" s="97"/>
      <c r="Z373" s="89"/>
      <c r="AA373" s="96"/>
      <c r="AB373" s="89"/>
      <c r="AC373" s="119"/>
      <c r="AD373" s="89"/>
      <c r="AE373" s="229"/>
      <c r="AF373" s="98"/>
      <c r="AG373" s="98"/>
      <c r="AH373" s="127"/>
      <c r="AI373" s="99"/>
      <c r="AJ373" s="99"/>
      <c r="AK373" s="128"/>
      <c r="AU373" s="45"/>
    </row>
    <row r="374" spans="1:47" ht="12" customHeight="1">
      <c r="A374" s="125"/>
      <c r="B374" s="88"/>
      <c r="C374" s="89"/>
      <c r="D374" s="89"/>
      <c r="E374" s="111"/>
      <c r="F374" s="220"/>
      <c r="G374" s="91"/>
      <c r="H374" s="92"/>
      <c r="I374" s="91"/>
      <c r="J374" s="126"/>
      <c r="K374" s="89"/>
      <c r="L374" s="89"/>
      <c r="M374" s="89"/>
      <c r="N374" s="89"/>
      <c r="O374" s="93"/>
      <c r="P374" s="94"/>
      <c r="Q374" s="144"/>
      <c r="R374" s="95"/>
      <c r="S374" s="96"/>
      <c r="T374" s="96"/>
      <c r="U374" s="96"/>
      <c r="V374" s="92"/>
      <c r="W374" s="92"/>
      <c r="X374" s="92"/>
      <c r="Y374" s="97"/>
      <c r="Z374" s="89"/>
      <c r="AA374" s="96"/>
      <c r="AB374" s="89"/>
      <c r="AC374" s="119"/>
      <c r="AD374" s="89"/>
      <c r="AE374" s="229"/>
      <c r="AF374" s="98"/>
      <c r="AG374" s="98"/>
      <c r="AH374" s="127"/>
      <c r="AI374" s="99"/>
      <c r="AJ374" s="99"/>
      <c r="AK374" s="128"/>
      <c r="AU374" s="45"/>
    </row>
    <row r="375" spans="1:47" ht="12" customHeight="1">
      <c r="A375" s="125"/>
      <c r="B375" s="88"/>
      <c r="C375" s="89"/>
      <c r="D375" s="89"/>
      <c r="E375" s="111"/>
      <c r="F375" s="220"/>
      <c r="G375" s="91"/>
      <c r="H375" s="92"/>
      <c r="I375" s="91"/>
      <c r="J375" s="126"/>
      <c r="K375" s="89"/>
      <c r="L375" s="89"/>
      <c r="M375" s="89"/>
      <c r="N375" s="89"/>
      <c r="O375" s="93"/>
      <c r="P375" s="94"/>
      <c r="Q375" s="144"/>
      <c r="R375" s="95"/>
      <c r="S375" s="96"/>
      <c r="T375" s="96"/>
      <c r="U375" s="96"/>
      <c r="V375" s="92"/>
      <c r="W375" s="92"/>
      <c r="X375" s="92"/>
      <c r="Y375" s="97"/>
      <c r="Z375" s="89"/>
      <c r="AA375" s="96"/>
      <c r="AB375" s="89"/>
      <c r="AC375" s="119"/>
      <c r="AD375" s="89"/>
      <c r="AE375" s="229"/>
      <c r="AF375" s="98"/>
      <c r="AG375" s="98"/>
      <c r="AH375" s="127"/>
      <c r="AI375" s="99"/>
      <c r="AJ375" s="99"/>
      <c r="AK375" s="128"/>
      <c r="AU375" s="45"/>
    </row>
    <row r="376" spans="1:47" ht="12" customHeight="1">
      <c r="A376" s="125"/>
      <c r="B376" s="88"/>
      <c r="C376" s="89"/>
      <c r="D376" s="89"/>
      <c r="E376" s="111"/>
      <c r="F376" s="220"/>
      <c r="G376" s="91"/>
      <c r="H376" s="92"/>
      <c r="I376" s="91"/>
      <c r="J376" s="126"/>
      <c r="K376" s="89"/>
      <c r="L376" s="89"/>
      <c r="M376" s="89"/>
      <c r="N376" s="89"/>
      <c r="O376" s="93"/>
      <c r="P376" s="94"/>
      <c r="Q376" s="144"/>
      <c r="R376" s="95"/>
      <c r="S376" s="96"/>
      <c r="T376" s="96"/>
      <c r="U376" s="96"/>
      <c r="V376" s="92"/>
      <c r="W376" s="92"/>
      <c r="X376" s="92"/>
      <c r="Y376" s="97"/>
      <c r="Z376" s="89"/>
      <c r="AA376" s="96"/>
      <c r="AB376" s="89"/>
      <c r="AC376" s="119"/>
      <c r="AD376" s="89"/>
      <c r="AE376" s="229"/>
      <c r="AF376" s="98"/>
      <c r="AG376" s="98"/>
      <c r="AH376" s="127"/>
      <c r="AI376" s="99"/>
      <c r="AJ376" s="99"/>
      <c r="AK376" s="128"/>
      <c r="AU376" s="45"/>
    </row>
    <row r="377" spans="1:47" ht="12" customHeight="1">
      <c r="A377" s="125"/>
      <c r="B377" s="88"/>
      <c r="C377" s="89"/>
      <c r="D377" s="89"/>
      <c r="E377" s="111"/>
      <c r="F377" s="220"/>
      <c r="G377" s="91"/>
      <c r="H377" s="92"/>
      <c r="I377" s="91"/>
      <c r="J377" s="126"/>
      <c r="K377" s="89"/>
      <c r="L377" s="89"/>
      <c r="M377" s="89"/>
      <c r="N377" s="89"/>
      <c r="O377" s="93"/>
      <c r="P377" s="94"/>
      <c r="Q377" s="144"/>
      <c r="R377" s="95"/>
      <c r="S377" s="96"/>
      <c r="T377" s="96"/>
      <c r="U377" s="96"/>
      <c r="V377" s="92"/>
      <c r="W377" s="92"/>
      <c r="X377" s="92"/>
      <c r="Y377" s="88"/>
      <c r="Z377" s="89"/>
      <c r="AA377" s="96"/>
      <c r="AB377" s="89"/>
      <c r="AC377" s="119"/>
      <c r="AD377" s="89"/>
      <c r="AE377" s="229"/>
      <c r="AF377" s="98"/>
      <c r="AG377" s="98"/>
      <c r="AH377" s="127"/>
      <c r="AI377" s="99"/>
      <c r="AJ377" s="99"/>
      <c r="AK377" s="128"/>
      <c r="AU377" s="45"/>
    </row>
    <row r="378" spans="1:47" ht="12" customHeight="1">
      <c r="A378" s="125"/>
      <c r="B378" s="88"/>
      <c r="C378" s="89"/>
      <c r="D378" s="89"/>
      <c r="E378" s="111"/>
      <c r="F378" s="220"/>
      <c r="G378" s="91"/>
      <c r="H378" s="92"/>
      <c r="I378" s="91"/>
      <c r="J378" s="126"/>
      <c r="K378" s="89"/>
      <c r="L378" s="89"/>
      <c r="M378" s="89"/>
      <c r="N378" s="89"/>
      <c r="O378" s="93"/>
      <c r="P378" s="94"/>
      <c r="Q378" s="144"/>
      <c r="R378" s="95"/>
      <c r="S378" s="96"/>
      <c r="T378" s="96"/>
      <c r="U378" s="96"/>
      <c r="V378" s="92"/>
      <c r="W378" s="88"/>
      <c r="X378" s="92"/>
      <c r="Y378" s="97"/>
      <c r="Z378" s="89"/>
      <c r="AA378" s="96"/>
      <c r="AB378" s="89"/>
      <c r="AC378" s="119"/>
      <c r="AD378" s="89"/>
      <c r="AE378" s="229"/>
      <c r="AF378" s="98"/>
      <c r="AG378" s="98"/>
      <c r="AH378" s="127"/>
      <c r="AI378" s="99"/>
      <c r="AJ378" s="99"/>
      <c r="AK378" s="128"/>
      <c r="AU378" s="45"/>
    </row>
    <row r="379" spans="1:47" ht="12" customHeight="1">
      <c r="A379" s="125"/>
      <c r="B379" s="88"/>
      <c r="C379" s="89"/>
      <c r="D379" s="89"/>
      <c r="E379" s="111"/>
      <c r="F379" s="220"/>
      <c r="G379" s="91"/>
      <c r="H379" s="92"/>
      <c r="I379" s="91"/>
      <c r="J379" s="126"/>
      <c r="K379" s="89"/>
      <c r="L379" s="89"/>
      <c r="M379" s="89"/>
      <c r="N379" s="89"/>
      <c r="O379" s="93"/>
      <c r="P379" s="94"/>
      <c r="Q379" s="144"/>
      <c r="R379" s="95"/>
      <c r="S379" s="96"/>
      <c r="T379" s="96"/>
      <c r="U379" s="96"/>
      <c r="V379" s="92"/>
      <c r="W379" s="124"/>
      <c r="X379" s="92"/>
      <c r="Y379" s="97"/>
      <c r="Z379" s="89"/>
      <c r="AA379" s="96"/>
      <c r="AB379" s="89"/>
      <c r="AC379" s="119"/>
      <c r="AD379" s="89"/>
      <c r="AE379" s="229"/>
      <c r="AF379" s="98"/>
      <c r="AG379" s="98"/>
      <c r="AH379" s="127"/>
      <c r="AI379" s="99"/>
      <c r="AJ379" s="99"/>
      <c r="AK379" s="128"/>
      <c r="AU379" s="45"/>
    </row>
    <row r="380" spans="1:47" ht="12" customHeight="1">
      <c r="A380" s="125"/>
      <c r="B380" s="88"/>
      <c r="C380" s="89"/>
      <c r="D380" s="89"/>
      <c r="E380" s="111"/>
      <c r="F380" s="220"/>
      <c r="G380" s="91"/>
      <c r="H380" s="92"/>
      <c r="I380" s="91"/>
      <c r="J380" s="126"/>
      <c r="K380" s="89"/>
      <c r="L380" s="89"/>
      <c r="M380" s="89"/>
      <c r="N380" s="89"/>
      <c r="O380" s="93"/>
      <c r="P380" s="94"/>
      <c r="Q380" s="144"/>
      <c r="R380" s="95"/>
      <c r="S380" s="96"/>
      <c r="T380" s="96"/>
      <c r="U380" s="96"/>
      <c r="V380" s="92"/>
      <c r="W380" s="124"/>
      <c r="X380" s="92"/>
      <c r="Y380" s="88"/>
      <c r="Z380" s="89"/>
      <c r="AA380" s="96"/>
      <c r="AB380" s="89"/>
      <c r="AC380" s="119"/>
      <c r="AD380" s="89"/>
      <c r="AE380" s="229"/>
      <c r="AF380" s="98"/>
      <c r="AG380" s="98"/>
      <c r="AH380" s="127"/>
      <c r="AI380" s="99"/>
      <c r="AJ380" s="99"/>
      <c r="AK380" s="128"/>
      <c r="AU380" s="45"/>
    </row>
    <row r="381" spans="1:47" ht="12" customHeight="1">
      <c r="A381" s="125"/>
      <c r="B381" s="88"/>
      <c r="C381" s="89"/>
      <c r="D381" s="89"/>
      <c r="E381" s="111"/>
      <c r="F381" s="220"/>
      <c r="G381" s="91"/>
      <c r="H381" s="92"/>
      <c r="I381" s="91"/>
      <c r="J381" s="126"/>
      <c r="K381" s="89"/>
      <c r="L381" s="89"/>
      <c r="M381" s="89"/>
      <c r="N381" s="89"/>
      <c r="O381" s="93"/>
      <c r="P381" s="94"/>
      <c r="Q381" s="144"/>
      <c r="R381" s="95"/>
      <c r="S381" s="96"/>
      <c r="T381" s="96"/>
      <c r="U381" s="96"/>
      <c r="V381" s="88"/>
      <c r="W381" s="124"/>
      <c r="X381" s="92"/>
      <c r="Y381" s="97"/>
      <c r="Z381" s="89"/>
      <c r="AA381" s="96"/>
      <c r="AB381" s="89"/>
      <c r="AC381" s="119"/>
      <c r="AD381" s="89"/>
      <c r="AE381" s="229"/>
      <c r="AF381" s="98"/>
      <c r="AG381" s="98"/>
      <c r="AH381" s="127"/>
      <c r="AI381" s="99"/>
      <c r="AJ381" s="99"/>
      <c r="AK381" s="128"/>
      <c r="AU381" s="45"/>
    </row>
    <row r="382" spans="1:47" ht="12" customHeight="1">
      <c r="A382" s="125"/>
      <c r="B382" s="88"/>
      <c r="C382" s="89"/>
      <c r="D382" s="89"/>
      <c r="E382" s="111"/>
      <c r="F382" s="220"/>
      <c r="G382" s="91"/>
      <c r="H382" s="92"/>
      <c r="I382" s="91"/>
      <c r="J382" s="126"/>
      <c r="K382" s="89"/>
      <c r="L382" s="89"/>
      <c r="M382" s="89"/>
      <c r="N382" s="89"/>
      <c r="O382" s="93"/>
      <c r="P382" s="94"/>
      <c r="Q382" s="144"/>
      <c r="R382" s="95"/>
      <c r="S382" s="96"/>
      <c r="T382" s="96"/>
      <c r="U382" s="96"/>
      <c r="V382" s="88"/>
      <c r="W382" s="124"/>
      <c r="X382" s="92"/>
      <c r="Y382" s="97"/>
      <c r="Z382" s="89"/>
      <c r="AA382" s="96"/>
      <c r="AB382" s="89"/>
      <c r="AC382" s="119"/>
      <c r="AD382" s="89"/>
      <c r="AE382" s="229"/>
      <c r="AF382" s="98"/>
      <c r="AG382" s="98"/>
      <c r="AH382" s="127"/>
      <c r="AI382" s="99"/>
      <c r="AJ382" s="99"/>
      <c r="AK382" s="128"/>
      <c r="AU382" s="45"/>
    </row>
    <row r="383" spans="1:47" ht="12" customHeight="1">
      <c r="A383" s="125"/>
      <c r="B383" s="88"/>
      <c r="C383" s="89"/>
      <c r="D383" s="89"/>
      <c r="E383" s="111"/>
      <c r="F383" s="220"/>
      <c r="G383" s="91"/>
      <c r="H383" s="92"/>
      <c r="I383" s="91"/>
      <c r="J383" s="126"/>
      <c r="K383" s="89"/>
      <c r="L383" s="89"/>
      <c r="M383" s="89"/>
      <c r="N383" s="89"/>
      <c r="O383" s="93"/>
      <c r="P383" s="94"/>
      <c r="Q383" s="144"/>
      <c r="R383" s="95"/>
      <c r="S383" s="96"/>
      <c r="T383" s="96"/>
      <c r="U383" s="96"/>
      <c r="V383" s="88"/>
      <c r="W383" s="124"/>
      <c r="X383" s="92"/>
      <c r="Y383" s="97"/>
      <c r="Z383" s="89"/>
      <c r="AA383" s="96"/>
      <c r="AB383" s="89"/>
      <c r="AC383" s="119"/>
      <c r="AD383" s="89"/>
      <c r="AE383" s="229"/>
      <c r="AF383" s="98"/>
      <c r="AG383" s="98"/>
      <c r="AH383" s="127"/>
      <c r="AI383" s="99"/>
      <c r="AJ383" s="99"/>
      <c r="AK383" s="128"/>
      <c r="AU383" s="45"/>
    </row>
    <row r="384" spans="1:47" ht="12" customHeight="1">
      <c r="A384" s="125"/>
      <c r="B384" s="88"/>
      <c r="C384" s="89"/>
      <c r="D384" s="89"/>
      <c r="E384" s="111"/>
      <c r="F384" s="220"/>
      <c r="G384" s="91"/>
      <c r="H384" s="92"/>
      <c r="I384" s="91"/>
      <c r="J384" s="126"/>
      <c r="K384" s="89"/>
      <c r="L384" s="89"/>
      <c r="M384" s="89"/>
      <c r="N384" s="89"/>
      <c r="O384" s="93"/>
      <c r="P384" s="94"/>
      <c r="Q384" s="144"/>
      <c r="R384" s="95"/>
      <c r="S384" s="96"/>
      <c r="T384" s="96"/>
      <c r="U384" s="96"/>
      <c r="V384" s="88"/>
      <c r="W384" s="124"/>
      <c r="X384" s="92"/>
      <c r="Y384" s="88"/>
      <c r="Z384" s="89"/>
      <c r="AA384" s="96"/>
      <c r="AB384" s="89"/>
      <c r="AC384" s="119"/>
      <c r="AD384" s="89"/>
      <c r="AE384" s="229"/>
      <c r="AF384" s="98"/>
      <c r="AG384" s="98"/>
      <c r="AH384" s="127"/>
      <c r="AI384" s="99"/>
      <c r="AJ384" s="99"/>
      <c r="AK384" s="128"/>
      <c r="AU384" s="45"/>
    </row>
    <row r="385" spans="1:47" ht="12" customHeight="1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88"/>
      <c r="X385" s="92"/>
      <c r="Y385" s="97"/>
      <c r="Z385" s="89"/>
      <c r="AA385" s="96"/>
      <c r="AB385" s="89"/>
      <c r="AC385" s="119"/>
      <c r="AD385" s="89"/>
      <c r="AE385" s="229"/>
      <c r="AF385" s="98"/>
      <c r="AG385" s="98"/>
      <c r="AH385" s="127"/>
      <c r="AI385" s="99"/>
      <c r="AJ385" s="99"/>
      <c r="AK385" s="128"/>
      <c r="AU385" s="45"/>
    </row>
    <row r="386" spans="1:47" ht="12" customHeight="1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88"/>
      <c r="X386" s="92"/>
      <c r="Y386" s="97"/>
      <c r="Z386" s="89"/>
      <c r="AA386" s="96"/>
      <c r="AB386" s="89"/>
      <c r="AC386" s="119"/>
      <c r="AD386" s="89"/>
      <c r="AE386" s="229"/>
      <c r="AF386" s="98"/>
      <c r="AG386" s="98"/>
      <c r="AH386" s="127"/>
      <c r="AI386" s="99"/>
      <c r="AJ386" s="99"/>
      <c r="AK386" s="128"/>
      <c r="AU386" s="45"/>
    </row>
    <row r="387" spans="1:47" ht="12" customHeight="1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124"/>
      <c r="X387" s="92"/>
      <c r="Y387" s="88"/>
      <c r="Z387" s="89"/>
      <c r="AA387" s="96"/>
      <c r="AB387" s="89"/>
      <c r="AC387" s="119"/>
      <c r="AD387" s="89"/>
      <c r="AE387" s="229"/>
      <c r="AF387" s="98"/>
      <c r="AG387" s="98"/>
      <c r="AH387" s="127"/>
      <c r="AI387" s="99"/>
      <c r="AJ387" s="99"/>
      <c r="AK387" s="128"/>
      <c r="AU387" s="45"/>
    </row>
    <row r="388" spans="1:47" ht="12" customHeight="1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124"/>
      <c r="X388" s="92"/>
      <c r="Y388" s="88"/>
      <c r="Z388" s="89"/>
      <c r="AA388" s="96"/>
      <c r="AB388" s="89"/>
      <c r="AC388" s="119"/>
      <c r="AD388" s="89"/>
      <c r="AE388" s="229"/>
      <c r="AF388" s="98"/>
      <c r="AG388" s="98"/>
      <c r="AH388" s="127"/>
      <c r="AI388" s="99"/>
      <c r="AJ388" s="99"/>
      <c r="AK388" s="128"/>
      <c r="AU388" s="45"/>
    </row>
    <row r="389" spans="1:47" ht="12" customHeight="1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124"/>
      <c r="X389" s="92"/>
      <c r="Y389" s="88"/>
      <c r="Z389" s="89"/>
      <c r="AA389" s="96"/>
      <c r="AB389" s="89"/>
      <c r="AC389" s="119"/>
      <c r="AD389" s="89"/>
      <c r="AE389" s="229"/>
      <c r="AF389" s="98"/>
      <c r="AG389" s="98"/>
      <c r="AH389" s="127"/>
      <c r="AI389" s="99"/>
      <c r="AJ389" s="99"/>
      <c r="AK389" s="128"/>
      <c r="AU389" s="45"/>
    </row>
    <row r="390" spans="1:47" ht="12" customHeight="1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124"/>
      <c r="X390" s="92"/>
      <c r="Y390" s="88"/>
      <c r="Z390" s="89"/>
      <c r="AA390" s="96"/>
      <c r="AB390" s="89"/>
      <c r="AC390" s="119"/>
      <c r="AD390" s="89"/>
      <c r="AE390" s="229"/>
      <c r="AF390" s="98"/>
      <c r="AG390" s="98"/>
      <c r="AH390" s="127"/>
      <c r="AI390" s="99"/>
      <c r="AJ390" s="99"/>
      <c r="AK390" s="128"/>
      <c r="AU390" s="45"/>
    </row>
    <row r="391" spans="1:47" ht="12" customHeight="1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124"/>
      <c r="X391" s="92"/>
      <c r="Y391" s="88"/>
      <c r="Z391" s="89"/>
      <c r="AA391" s="96"/>
      <c r="AB391" s="89"/>
      <c r="AC391" s="119"/>
      <c r="AD391" s="89"/>
      <c r="AE391" s="229"/>
      <c r="AF391" s="98"/>
      <c r="AG391" s="98"/>
      <c r="AH391" s="127"/>
      <c r="AI391" s="99"/>
      <c r="AJ391" s="99"/>
      <c r="AK391" s="128"/>
      <c r="AU391" s="45"/>
    </row>
    <row r="392" spans="1:47" ht="12" customHeight="1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124"/>
      <c r="X392" s="92"/>
      <c r="Y392" s="88"/>
      <c r="Z392" s="89"/>
      <c r="AA392" s="96"/>
      <c r="AB392" s="89"/>
      <c r="AC392" s="119"/>
      <c r="AD392" s="89"/>
      <c r="AE392" s="229"/>
      <c r="AF392" s="98"/>
      <c r="AG392" s="98"/>
      <c r="AH392" s="127"/>
      <c r="AI392" s="99"/>
      <c r="AJ392" s="99"/>
      <c r="AK392" s="128"/>
      <c r="AU392" s="45"/>
    </row>
    <row r="393" spans="1:47" ht="12" customHeight="1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88"/>
      <c r="W393" s="124"/>
      <c r="X393" s="92"/>
      <c r="Y393" s="88"/>
      <c r="Z393" s="89"/>
      <c r="AA393" s="96"/>
      <c r="AB393" s="89"/>
      <c r="AC393" s="119"/>
      <c r="AD393" s="89"/>
      <c r="AE393" s="229"/>
      <c r="AF393" s="98"/>
      <c r="AG393" s="98"/>
      <c r="AH393" s="127"/>
      <c r="AI393" s="99"/>
      <c r="AJ393" s="99"/>
      <c r="AK393" s="128"/>
      <c r="AU393" s="45"/>
    </row>
    <row r="394" spans="1:47" ht="12" customHeight="1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113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88"/>
      <c r="W394" s="124"/>
      <c r="X394" s="92"/>
      <c r="Y394" s="88"/>
      <c r="Z394" s="89"/>
      <c r="AA394" s="96"/>
      <c r="AB394" s="89"/>
      <c r="AC394" s="119"/>
      <c r="AD394" s="89"/>
      <c r="AE394" s="230"/>
      <c r="AF394" s="98"/>
      <c r="AG394" s="98"/>
      <c r="AH394" s="127"/>
      <c r="AI394" s="99"/>
      <c r="AJ394" s="99"/>
      <c r="AK394" s="128"/>
      <c r="AU394" s="45"/>
    </row>
    <row r="395" spans="1:47" ht="12" customHeight="1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113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88"/>
      <c r="W395" s="124"/>
      <c r="X395" s="92"/>
      <c r="Y395" s="88"/>
      <c r="Z395" s="89"/>
      <c r="AA395" s="96"/>
      <c r="AB395" s="89"/>
      <c r="AC395" s="119"/>
      <c r="AD395" s="89"/>
      <c r="AE395" s="229"/>
      <c r="AF395" s="98"/>
      <c r="AG395" s="98"/>
      <c r="AH395" s="127"/>
      <c r="AI395" s="99"/>
      <c r="AJ395" s="99"/>
      <c r="AK395" s="128"/>
      <c r="AU395" s="45"/>
    </row>
    <row r="396" spans="1:47" ht="12" customHeight="1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113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88"/>
      <c r="W396" s="124"/>
      <c r="X396" s="92"/>
      <c r="Y396" s="88"/>
      <c r="Z396" s="89"/>
      <c r="AA396" s="96"/>
      <c r="AB396" s="89"/>
      <c r="AC396" s="119"/>
      <c r="AD396" s="89"/>
      <c r="AE396" s="229"/>
      <c r="AF396" s="98"/>
      <c r="AG396" s="98"/>
      <c r="AH396" s="127"/>
      <c r="AI396" s="99"/>
      <c r="AJ396" s="99"/>
      <c r="AK396" s="128"/>
      <c r="AU396" s="45"/>
    </row>
    <row r="397" spans="1:47" ht="12" customHeight="1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113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88"/>
      <c r="W397" s="92"/>
      <c r="X397" s="92"/>
      <c r="Y397" s="88"/>
      <c r="Z397" s="89"/>
      <c r="AA397" s="96"/>
      <c r="AB397" s="89"/>
      <c r="AC397" s="119"/>
      <c r="AD397" s="89"/>
      <c r="AE397" s="229"/>
      <c r="AF397" s="98"/>
      <c r="AG397" s="98"/>
      <c r="AH397" s="127"/>
      <c r="AI397" s="99"/>
      <c r="AJ397" s="99"/>
      <c r="AK397" s="128"/>
      <c r="AU397" s="45"/>
    </row>
    <row r="398" spans="1:47" ht="12" customHeight="1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113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88"/>
      <c r="W398" s="92"/>
      <c r="X398" s="92"/>
      <c r="Y398" s="97"/>
      <c r="Z398" s="89"/>
      <c r="AA398" s="96"/>
      <c r="AB398" s="89"/>
      <c r="AC398" s="119"/>
      <c r="AD398" s="89"/>
      <c r="AE398" s="229"/>
      <c r="AF398" s="98"/>
      <c r="AG398" s="98"/>
      <c r="AH398" s="127"/>
      <c r="AI398" s="99"/>
      <c r="AJ398" s="99"/>
      <c r="AK398" s="128"/>
      <c r="AU398" s="45"/>
    </row>
    <row r="399" spans="1:47" ht="12" customHeight="1">
      <c r="A399" s="125"/>
      <c r="B399" s="92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0"/>
      <c r="P399" s="94"/>
      <c r="Q399" s="144"/>
      <c r="R399" s="95"/>
      <c r="S399" s="96"/>
      <c r="T399" s="96"/>
      <c r="U399" s="96"/>
      <c r="V399" s="88"/>
      <c r="W399" s="92"/>
      <c r="X399" s="92"/>
      <c r="Y399" s="97"/>
      <c r="Z399" s="89"/>
      <c r="AA399" s="96"/>
      <c r="AB399" s="89"/>
      <c r="AC399" s="119"/>
      <c r="AD399" s="89"/>
      <c r="AE399" s="229"/>
      <c r="AF399" s="98"/>
      <c r="AG399" s="98"/>
      <c r="AH399" s="127"/>
      <c r="AI399" s="99"/>
      <c r="AJ399" s="99"/>
      <c r="AK399" s="128"/>
      <c r="AU399" s="45"/>
    </row>
    <row r="400" spans="1:47" ht="12" customHeight="1">
      <c r="A400" s="125"/>
      <c r="B400" s="92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0"/>
      <c r="P400" s="94"/>
      <c r="Q400" s="144"/>
      <c r="R400" s="95"/>
      <c r="S400" s="96"/>
      <c r="T400" s="96"/>
      <c r="U400" s="96"/>
      <c r="V400" s="88"/>
      <c r="W400" s="92"/>
      <c r="X400" s="92"/>
      <c r="Y400" s="97"/>
      <c r="Z400" s="89"/>
      <c r="AA400" s="96"/>
      <c r="AB400" s="89"/>
      <c r="AC400" s="119"/>
      <c r="AD400" s="89"/>
      <c r="AE400" s="229"/>
      <c r="AF400" s="98"/>
      <c r="AG400" s="98"/>
      <c r="AH400" s="127"/>
      <c r="AI400" s="99"/>
      <c r="AJ400" s="99"/>
      <c r="AK400" s="128"/>
      <c r="AU400" s="45"/>
    </row>
    <row r="401" spans="1:47" ht="12" customHeight="1">
      <c r="A401" s="125"/>
      <c r="B401" s="92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0"/>
      <c r="P401" s="94"/>
      <c r="Q401" s="144"/>
      <c r="R401" s="95"/>
      <c r="S401" s="96"/>
      <c r="T401" s="96"/>
      <c r="U401" s="96"/>
      <c r="V401" s="88"/>
      <c r="W401" s="92"/>
      <c r="X401" s="92"/>
      <c r="Y401" s="97"/>
      <c r="Z401" s="89"/>
      <c r="AA401" s="96"/>
      <c r="AB401" s="89"/>
      <c r="AC401" s="119"/>
      <c r="AD401" s="89"/>
      <c r="AE401" s="229"/>
      <c r="AF401" s="98"/>
      <c r="AG401" s="98"/>
      <c r="AH401" s="127"/>
      <c r="AI401" s="99"/>
      <c r="AJ401" s="99"/>
      <c r="AK401" s="128"/>
      <c r="AU401" s="45"/>
    </row>
    <row r="402" spans="1:47" ht="12" customHeight="1">
      <c r="A402" s="125"/>
      <c r="B402" s="92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0"/>
      <c r="P402" s="94"/>
      <c r="Q402" s="144"/>
      <c r="R402" s="95"/>
      <c r="S402" s="96"/>
      <c r="T402" s="96"/>
      <c r="U402" s="96"/>
      <c r="V402" s="88"/>
      <c r="W402" s="92"/>
      <c r="X402" s="92"/>
      <c r="Y402" s="97"/>
      <c r="Z402" s="89"/>
      <c r="AA402" s="96"/>
      <c r="AB402" s="89"/>
      <c r="AC402" s="119"/>
      <c r="AD402" s="89"/>
      <c r="AE402" s="229"/>
      <c r="AF402" s="98"/>
      <c r="AG402" s="98"/>
      <c r="AH402" s="127"/>
      <c r="AI402" s="99"/>
      <c r="AJ402" s="99"/>
      <c r="AK402" s="128"/>
      <c r="AU402" s="45"/>
    </row>
    <row r="403" spans="1:47" ht="12" customHeight="1">
      <c r="A403" s="125"/>
      <c r="B403" s="92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0"/>
      <c r="P403" s="94"/>
      <c r="Q403" s="144"/>
      <c r="R403" s="95"/>
      <c r="S403" s="96"/>
      <c r="T403" s="96"/>
      <c r="U403" s="96"/>
      <c r="V403" s="88"/>
      <c r="W403" s="92"/>
      <c r="X403" s="92"/>
      <c r="Y403" s="97"/>
      <c r="Z403" s="89"/>
      <c r="AA403" s="96"/>
      <c r="AB403" s="89"/>
      <c r="AC403" s="119"/>
      <c r="AD403" s="89"/>
      <c r="AE403" s="229"/>
      <c r="AF403" s="98"/>
      <c r="AG403" s="98"/>
      <c r="AH403" s="127"/>
      <c r="AI403" s="99"/>
      <c r="AJ403" s="99"/>
      <c r="AK403" s="128"/>
      <c r="AU403" s="45"/>
    </row>
    <row r="404" spans="1:47" ht="12" customHeight="1">
      <c r="A404" s="125"/>
      <c r="B404" s="92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0"/>
      <c r="P404" s="94"/>
      <c r="Q404" s="144"/>
      <c r="R404" s="95"/>
      <c r="S404" s="96"/>
      <c r="T404" s="96"/>
      <c r="U404" s="96"/>
      <c r="V404" s="88"/>
      <c r="W404" s="92"/>
      <c r="X404" s="92"/>
      <c r="Y404" s="97"/>
      <c r="Z404" s="89"/>
      <c r="AA404" s="96"/>
      <c r="AB404" s="89"/>
      <c r="AC404" s="119"/>
      <c r="AD404" s="89"/>
      <c r="AE404" s="229"/>
      <c r="AF404" s="98"/>
      <c r="AG404" s="98"/>
      <c r="AH404" s="127"/>
      <c r="AI404" s="99"/>
      <c r="AJ404" s="99"/>
      <c r="AK404" s="128"/>
      <c r="AU404" s="45"/>
    </row>
    <row r="405" spans="1:47" ht="12" customHeight="1">
      <c r="A405" s="125"/>
      <c r="B405" s="92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0"/>
      <c r="P405" s="94"/>
      <c r="Q405" s="144"/>
      <c r="R405" s="95"/>
      <c r="S405" s="96"/>
      <c r="T405" s="96"/>
      <c r="U405" s="96"/>
      <c r="V405" s="88"/>
      <c r="W405" s="92"/>
      <c r="X405" s="122"/>
      <c r="Y405" s="97"/>
      <c r="Z405" s="89"/>
      <c r="AA405" s="96"/>
      <c r="AB405" s="89"/>
      <c r="AC405" s="119"/>
      <c r="AD405" s="89"/>
      <c r="AE405" s="229"/>
      <c r="AF405" s="98"/>
      <c r="AG405" s="98"/>
      <c r="AH405" s="127"/>
      <c r="AI405" s="99"/>
      <c r="AJ405" s="99"/>
      <c r="AK405" s="128"/>
      <c r="AU405" s="45"/>
    </row>
    <row r="406" spans="1:47" ht="12" customHeight="1">
      <c r="A406" s="125"/>
      <c r="B406" s="92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0"/>
      <c r="P406" s="94"/>
      <c r="Q406" s="144"/>
      <c r="R406" s="95"/>
      <c r="S406" s="96"/>
      <c r="T406" s="96"/>
      <c r="U406" s="96"/>
      <c r="V406" s="88"/>
      <c r="W406" s="92"/>
      <c r="X406" s="92"/>
      <c r="Y406" s="97"/>
      <c r="Z406" s="89"/>
      <c r="AA406" s="96"/>
      <c r="AB406" s="89"/>
      <c r="AC406" s="119"/>
      <c r="AD406" s="89"/>
      <c r="AE406" s="229"/>
      <c r="AF406" s="98"/>
      <c r="AG406" s="98"/>
      <c r="AH406" s="127"/>
      <c r="AI406" s="99"/>
      <c r="AJ406" s="99"/>
      <c r="AK406" s="128"/>
      <c r="AU406" s="45"/>
    </row>
    <row r="407" spans="1:47" ht="12" customHeight="1">
      <c r="A407" s="125"/>
      <c r="B407" s="92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0"/>
      <c r="P407" s="94"/>
      <c r="Q407" s="144"/>
      <c r="R407" s="95"/>
      <c r="S407" s="96"/>
      <c r="T407" s="96"/>
      <c r="U407" s="96"/>
      <c r="V407" s="88"/>
      <c r="W407" s="92"/>
      <c r="X407" s="92"/>
      <c r="Y407" s="97"/>
      <c r="Z407" s="89"/>
      <c r="AA407" s="96"/>
      <c r="AB407" s="89"/>
      <c r="AC407" s="119"/>
      <c r="AD407" s="89"/>
      <c r="AE407" s="229"/>
      <c r="AF407" s="98"/>
      <c r="AG407" s="98"/>
      <c r="AH407" s="127"/>
      <c r="AI407" s="99"/>
      <c r="AJ407" s="99"/>
      <c r="AK407" s="128"/>
      <c r="AU407" s="45"/>
    </row>
    <row r="408" spans="1:47" ht="12" customHeight="1">
      <c r="A408" s="125"/>
      <c r="B408" s="92"/>
      <c r="C408" s="89"/>
      <c r="D408" s="89"/>
      <c r="E408" s="111"/>
      <c r="F408" s="220"/>
      <c r="G408" s="91"/>
      <c r="H408" s="92"/>
      <c r="I408" s="91"/>
      <c r="J408" s="126"/>
      <c r="K408" s="89"/>
      <c r="L408" s="89"/>
      <c r="M408" s="89"/>
      <c r="N408" s="89"/>
      <c r="O408" s="90"/>
      <c r="P408" s="94"/>
      <c r="Q408" s="144"/>
      <c r="R408" s="95"/>
      <c r="S408" s="96"/>
      <c r="T408" s="96"/>
      <c r="U408" s="96"/>
      <c r="V408" s="88"/>
      <c r="W408" s="92"/>
      <c r="X408" s="92"/>
      <c r="Y408" s="97"/>
      <c r="Z408" s="89"/>
      <c r="AA408" s="96"/>
      <c r="AB408" s="89"/>
      <c r="AC408" s="119"/>
      <c r="AD408" s="89"/>
      <c r="AE408" s="229"/>
      <c r="AF408" s="98"/>
      <c r="AG408" s="98"/>
      <c r="AH408" s="127"/>
      <c r="AI408" s="99"/>
      <c r="AJ408" s="99"/>
      <c r="AK408" s="128"/>
      <c r="AU408" s="45"/>
    </row>
    <row r="409" spans="1:47" ht="12" customHeight="1">
      <c r="A409" s="125"/>
      <c r="B409" s="92"/>
      <c r="C409" s="89"/>
      <c r="D409" s="89"/>
      <c r="E409" s="111"/>
      <c r="F409" s="220"/>
      <c r="G409" s="91"/>
      <c r="H409" s="92"/>
      <c r="I409" s="91"/>
      <c r="J409" s="126"/>
      <c r="K409" s="89"/>
      <c r="L409" s="89"/>
      <c r="M409" s="89"/>
      <c r="N409" s="89"/>
      <c r="O409" s="90"/>
      <c r="P409" s="94"/>
      <c r="Q409" s="144"/>
      <c r="R409" s="95"/>
      <c r="S409" s="96"/>
      <c r="T409" s="96"/>
      <c r="U409" s="96"/>
      <c r="V409" s="88"/>
      <c r="W409" s="92"/>
      <c r="X409" s="92"/>
      <c r="Y409" s="97"/>
      <c r="Z409" s="89"/>
      <c r="AA409" s="96"/>
      <c r="AB409" s="89"/>
      <c r="AC409" s="119"/>
      <c r="AD409" s="89"/>
      <c r="AE409" s="229"/>
      <c r="AF409" s="98"/>
      <c r="AG409" s="98"/>
      <c r="AH409" s="127"/>
      <c r="AI409" s="99"/>
      <c r="AJ409" s="99"/>
      <c r="AK409" s="128"/>
      <c r="AU409" s="45"/>
    </row>
    <row r="410" spans="1:47" ht="12" customHeight="1">
      <c r="A410" s="125"/>
      <c r="B410" s="92"/>
      <c r="C410" s="89"/>
      <c r="D410" s="89"/>
      <c r="E410" s="111"/>
      <c r="F410" s="220"/>
      <c r="G410" s="91"/>
      <c r="H410" s="92"/>
      <c r="I410" s="91"/>
      <c r="J410" s="126"/>
      <c r="K410" s="89"/>
      <c r="L410" s="89"/>
      <c r="M410" s="89"/>
      <c r="N410" s="89"/>
      <c r="O410" s="90"/>
      <c r="P410" s="94"/>
      <c r="Q410" s="144"/>
      <c r="R410" s="95"/>
      <c r="S410" s="96"/>
      <c r="T410" s="96"/>
      <c r="U410" s="96"/>
      <c r="V410" s="88"/>
      <c r="W410" s="92"/>
      <c r="X410" s="122"/>
      <c r="Y410" s="97"/>
      <c r="Z410" s="89"/>
      <c r="AA410" s="96"/>
      <c r="AB410" s="89"/>
      <c r="AC410" s="119"/>
      <c r="AD410" s="89"/>
      <c r="AE410" s="229"/>
      <c r="AF410" s="98"/>
      <c r="AG410" s="98"/>
      <c r="AH410" s="127"/>
      <c r="AI410" s="99"/>
      <c r="AJ410" s="99"/>
      <c r="AK410" s="128"/>
      <c r="AU410" s="45"/>
    </row>
    <row r="411" spans="1:47" ht="12" customHeight="1">
      <c r="A411" s="125"/>
      <c r="B411" s="92"/>
      <c r="C411" s="89"/>
      <c r="D411" s="89"/>
      <c r="E411" s="111"/>
      <c r="F411" s="220"/>
      <c r="G411" s="91"/>
      <c r="H411" s="92"/>
      <c r="I411" s="91"/>
      <c r="J411" s="126"/>
      <c r="K411" s="89"/>
      <c r="L411" s="89"/>
      <c r="M411" s="89"/>
      <c r="N411" s="89"/>
      <c r="O411" s="90"/>
      <c r="P411" s="94"/>
      <c r="Q411" s="144"/>
      <c r="R411" s="95"/>
      <c r="S411" s="96"/>
      <c r="T411" s="96"/>
      <c r="U411" s="96"/>
      <c r="V411" s="88"/>
      <c r="W411" s="92"/>
      <c r="X411" s="92"/>
      <c r="Y411" s="97"/>
      <c r="Z411" s="89"/>
      <c r="AA411" s="96"/>
      <c r="AB411" s="89"/>
      <c r="AC411" s="119"/>
      <c r="AD411" s="89"/>
      <c r="AE411" s="229"/>
      <c r="AF411" s="98"/>
      <c r="AG411" s="98"/>
      <c r="AH411" s="127"/>
      <c r="AI411" s="99"/>
      <c r="AJ411" s="99"/>
      <c r="AK411" s="128"/>
      <c r="AU411" s="45"/>
    </row>
    <row r="412" spans="1:47" ht="12" customHeight="1">
      <c r="A412" s="125"/>
      <c r="B412" s="92"/>
      <c r="C412" s="89"/>
      <c r="D412" s="89"/>
      <c r="E412" s="111"/>
      <c r="F412" s="220"/>
      <c r="G412" s="91"/>
      <c r="H412" s="92"/>
      <c r="I412" s="91"/>
      <c r="J412" s="126"/>
      <c r="K412" s="89"/>
      <c r="L412" s="89"/>
      <c r="M412" s="89"/>
      <c r="N412" s="89"/>
      <c r="O412" s="90"/>
      <c r="P412" s="94"/>
      <c r="Q412" s="144"/>
      <c r="R412" s="95"/>
      <c r="S412" s="96"/>
      <c r="T412" s="96"/>
      <c r="U412" s="96"/>
      <c r="V412" s="88"/>
      <c r="W412" s="92"/>
      <c r="X412" s="92"/>
      <c r="Y412" s="97"/>
      <c r="Z412" s="89"/>
      <c r="AA412" s="96"/>
      <c r="AB412" s="89"/>
      <c r="AC412" s="119"/>
      <c r="AD412" s="89"/>
      <c r="AE412" s="229"/>
      <c r="AF412" s="98"/>
      <c r="AG412" s="98"/>
      <c r="AH412" s="127"/>
      <c r="AI412" s="99"/>
      <c r="AJ412" s="99"/>
      <c r="AK412" s="128"/>
      <c r="AU412" s="45"/>
    </row>
    <row r="413" spans="1:47" ht="12" customHeight="1">
      <c r="A413" s="125"/>
      <c r="B413" s="92"/>
      <c r="C413" s="89"/>
      <c r="D413" s="89"/>
      <c r="E413" s="111"/>
      <c r="F413" s="220"/>
      <c r="G413" s="91"/>
      <c r="H413" s="92"/>
      <c r="I413" s="91"/>
      <c r="J413" s="126"/>
      <c r="K413" s="89"/>
      <c r="L413" s="89"/>
      <c r="M413" s="89"/>
      <c r="N413" s="89"/>
      <c r="O413" s="90"/>
      <c r="P413" s="94"/>
      <c r="Q413" s="144"/>
      <c r="R413" s="95"/>
      <c r="S413" s="96"/>
      <c r="T413" s="96"/>
      <c r="U413" s="96"/>
      <c r="V413" s="88"/>
      <c r="W413" s="92"/>
      <c r="X413" s="92"/>
      <c r="Y413" s="97"/>
      <c r="Z413" s="89"/>
      <c r="AA413" s="96"/>
      <c r="AB413" s="89"/>
      <c r="AC413" s="119"/>
      <c r="AD413" s="89"/>
      <c r="AE413" s="229"/>
      <c r="AF413" s="98"/>
      <c r="AG413" s="98"/>
      <c r="AH413" s="127"/>
      <c r="AI413" s="99"/>
      <c r="AJ413" s="99"/>
      <c r="AK413" s="128"/>
      <c r="AU413" s="45"/>
    </row>
    <row r="414" spans="1:47" ht="12" customHeight="1">
      <c r="A414" s="125"/>
      <c r="B414" s="92"/>
      <c r="C414" s="89"/>
      <c r="D414" s="89"/>
      <c r="E414" s="111"/>
      <c r="F414" s="220"/>
      <c r="G414" s="91"/>
      <c r="H414" s="92"/>
      <c r="I414" s="91"/>
      <c r="J414" s="126"/>
      <c r="K414" s="89"/>
      <c r="L414" s="89"/>
      <c r="M414" s="89"/>
      <c r="N414" s="89"/>
      <c r="O414" s="90"/>
      <c r="P414" s="94"/>
      <c r="Q414" s="144"/>
      <c r="R414" s="95"/>
      <c r="S414" s="96"/>
      <c r="T414" s="96"/>
      <c r="U414" s="96"/>
      <c r="V414" s="88"/>
      <c r="W414" s="92"/>
      <c r="X414" s="92"/>
      <c r="Y414" s="97"/>
      <c r="Z414" s="89"/>
      <c r="AA414" s="96"/>
      <c r="AB414" s="89"/>
      <c r="AC414" s="119"/>
      <c r="AD414" s="89"/>
      <c r="AE414" s="229"/>
      <c r="AF414" s="98"/>
      <c r="AG414" s="98"/>
      <c r="AH414" s="127"/>
      <c r="AI414" s="99"/>
      <c r="AJ414" s="99"/>
      <c r="AK414" s="128"/>
      <c r="AU414" s="45"/>
    </row>
    <row r="415" spans="1:47" ht="12" customHeight="1">
      <c r="A415" s="125"/>
      <c r="B415" s="92"/>
      <c r="C415" s="89"/>
      <c r="D415" s="89"/>
      <c r="E415" s="111"/>
      <c r="F415" s="220"/>
      <c r="G415" s="91"/>
      <c r="H415" s="92"/>
      <c r="I415" s="91"/>
      <c r="J415" s="126"/>
      <c r="K415" s="89"/>
      <c r="L415" s="89"/>
      <c r="M415" s="89"/>
      <c r="N415" s="89"/>
      <c r="O415" s="90"/>
      <c r="P415" s="94"/>
      <c r="Q415" s="144"/>
      <c r="R415" s="95"/>
      <c r="S415" s="96"/>
      <c r="T415" s="96"/>
      <c r="U415" s="96"/>
      <c r="V415" s="88"/>
      <c r="W415" s="92"/>
      <c r="X415" s="122"/>
      <c r="Y415" s="97"/>
      <c r="Z415" s="89"/>
      <c r="AA415" s="96"/>
      <c r="AB415" s="89"/>
      <c r="AC415" s="119"/>
      <c r="AD415" s="89"/>
      <c r="AE415" s="229"/>
      <c r="AF415" s="98"/>
      <c r="AG415" s="98"/>
      <c r="AH415" s="127"/>
      <c r="AI415" s="99"/>
      <c r="AJ415" s="99"/>
      <c r="AK415" s="128"/>
      <c r="AU415" s="45"/>
    </row>
    <row r="416" spans="1:47" ht="12" customHeight="1">
      <c r="A416" s="125"/>
      <c r="B416" s="92"/>
      <c r="C416" s="89"/>
      <c r="D416" s="89"/>
      <c r="E416" s="111"/>
      <c r="F416" s="220"/>
      <c r="G416" s="91"/>
      <c r="H416" s="92"/>
      <c r="I416" s="91"/>
      <c r="J416" s="126"/>
      <c r="K416" s="89"/>
      <c r="L416" s="89"/>
      <c r="M416" s="89"/>
      <c r="N416" s="89"/>
      <c r="O416" s="90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229"/>
      <c r="AF416" s="98"/>
      <c r="AG416" s="98"/>
      <c r="AH416" s="127"/>
      <c r="AI416" s="99"/>
      <c r="AJ416" s="99"/>
      <c r="AK416" s="128"/>
      <c r="AU416" s="45"/>
    </row>
    <row r="417" spans="1:47" ht="12" customHeight="1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229"/>
      <c r="AF417" s="98"/>
      <c r="AG417" s="98"/>
      <c r="AH417" s="127"/>
      <c r="AI417" s="99"/>
      <c r="AJ417" s="99"/>
      <c r="AK417" s="128"/>
      <c r="AU417" s="45"/>
    </row>
    <row r="418" spans="1:47" ht="12" customHeight="1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229"/>
      <c r="AF418" s="98"/>
      <c r="AG418" s="98"/>
      <c r="AH418" s="127"/>
      <c r="AI418" s="99"/>
      <c r="AJ418" s="99"/>
      <c r="AK418" s="128"/>
      <c r="AU418" s="45"/>
    </row>
    <row r="419" spans="1:47" ht="12" customHeight="1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92"/>
      <c r="Y419" s="97"/>
      <c r="Z419" s="89"/>
      <c r="AA419" s="96"/>
      <c r="AB419" s="89"/>
      <c r="AC419" s="119"/>
      <c r="AD419" s="89"/>
      <c r="AE419" s="229"/>
      <c r="AF419" s="98"/>
      <c r="AG419" s="98"/>
      <c r="AH419" s="127"/>
      <c r="AI419" s="99"/>
      <c r="AJ419" s="99"/>
      <c r="AK419" s="128"/>
      <c r="AU419" s="45"/>
    </row>
    <row r="420" spans="1:47" ht="12" customHeight="1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229"/>
      <c r="AF420" s="98"/>
      <c r="AG420" s="98"/>
      <c r="AH420" s="127"/>
      <c r="AI420" s="99"/>
      <c r="AJ420" s="99"/>
      <c r="AK420" s="128"/>
      <c r="AU420" s="45"/>
    </row>
    <row r="421" spans="1:47" ht="12" customHeight="1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229"/>
      <c r="AF421" s="98"/>
      <c r="AG421" s="98"/>
      <c r="AH421" s="127"/>
      <c r="AI421" s="99"/>
      <c r="AJ421" s="99"/>
      <c r="AK421" s="128"/>
      <c r="AU421" s="45"/>
    </row>
    <row r="422" spans="1:47" ht="12" customHeight="1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229"/>
      <c r="AF422" s="98"/>
      <c r="AG422" s="98"/>
      <c r="AH422" s="127"/>
      <c r="AI422" s="99"/>
      <c r="AJ422" s="99"/>
      <c r="AK422" s="128"/>
      <c r="AU422" s="45"/>
    </row>
    <row r="423" spans="1:47" ht="12" customHeight="1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92"/>
      <c r="Y423" s="97"/>
      <c r="Z423" s="89"/>
      <c r="AA423" s="96"/>
      <c r="AB423" s="89"/>
      <c r="AC423" s="119"/>
      <c r="AD423" s="89"/>
      <c r="AE423" s="229"/>
      <c r="AF423" s="98"/>
      <c r="AG423" s="98"/>
      <c r="AH423" s="127"/>
      <c r="AI423" s="99"/>
      <c r="AJ423" s="99"/>
      <c r="AK423" s="128"/>
      <c r="AU423" s="45"/>
    </row>
    <row r="424" spans="1:47" ht="12" customHeight="1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229"/>
      <c r="AF424" s="98"/>
      <c r="AG424" s="98"/>
      <c r="AH424" s="127"/>
      <c r="AI424" s="99"/>
      <c r="AJ424" s="99"/>
      <c r="AK424" s="128"/>
      <c r="AU424" s="45"/>
    </row>
    <row r="425" spans="1:47" ht="12" customHeight="1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229"/>
      <c r="AF425" s="98"/>
      <c r="AG425" s="98"/>
      <c r="AH425" s="127"/>
      <c r="AI425" s="99"/>
      <c r="AJ425" s="99"/>
      <c r="AK425" s="128"/>
      <c r="AU425" s="45"/>
    </row>
    <row r="426" spans="1:47" ht="12" customHeight="1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229"/>
      <c r="AF426" s="98"/>
      <c r="AG426" s="98"/>
      <c r="AH426" s="127"/>
      <c r="AI426" s="99"/>
      <c r="AJ426" s="99"/>
      <c r="AK426" s="128"/>
      <c r="AU426" s="45"/>
    </row>
    <row r="427" spans="1:47" ht="12" customHeight="1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229"/>
      <c r="AF427" s="98"/>
      <c r="AG427" s="98"/>
      <c r="AH427" s="127"/>
      <c r="AI427" s="99"/>
      <c r="AJ427" s="99"/>
      <c r="AK427" s="128"/>
      <c r="AU427" s="45"/>
    </row>
    <row r="428" spans="1:47" ht="12" customHeight="1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92"/>
      <c r="Y428" s="97"/>
      <c r="Z428" s="89"/>
      <c r="AA428" s="96"/>
      <c r="AB428" s="89"/>
      <c r="AC428" s="119"/>
      <c r="AD428" s="89"/>
      <c r="AE428" s="229"/>
      <c r="AF428" s="98"/>
      <c r="AG428" s="98"/>
      <c r="AH428" s="127"/>
      <c r="AI428" s="99"/>
      <c r="AJ428" s="99"/>
      <c r="AK428" s="128"/>
      <c r="AU428" s="45"/>
    </row>
    <row r="429" spans="1:47" ht="12" customHeight="1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122"/>
      <c r="Y429" s="97"/>
      <c r="Z429" s="89"/>
      <c r="AA429" s="96"/>
      <c r="AB429" s="89"/>
      <c r="AC429" s="119"/>
      <c r="AD429" s="89"/>
      <c r="AE429" s="229"/>
      <c r="AF429" s="98"/>
      <c r="AG429" s="98"/>
      <c r="AH429" s="127"/>
      <c r="AI429" s="99"/>
      <c r="AJ429" s="99"/>
      <c r="AK429" s="128"/>
      <c r="AU429" s="45"/>
    </row>
    <row r="430" spans="1:47" ht="12" customHeight="1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229"/>
      <c r="AF430" s="98"/>
      <c r="AG430" s="98"/>
      <c r="AH430" s="127"/>
      <c r="AI430" s="99"/>
      <c r="AJ430" s="99"/>
      <c r="AK430" s="128"/>
      <c r="AU430" s="45"/>
    </row>
    <row r="431" spans="1:47" ht="12" customHeight="1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229"/>
      <c r="AF431" s="98"/>
      <c r="AG431" s="98"/>
      <c r="AH431" s="127"/>
      <c r="AI431" s="99"/>
      <c r="AJ431" s="99"/>
      <c r="AK431" s="128"/>
      <c r="AU431" s="45"/>
    </row>
    <row r="432" spans="1:47" ht="12" customHeight="1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92"/>
      <c r="W432" s="92"/>
      <c r="X432" s="92"/>
      <c r="Y432" s="97"/>
      <c r="Z432" s="89"/>
      <c r="AA432" s="96"/>
      <c r="AB432" s="89"/>
      <c r="AC432" s="119"/>
      <c r="AD432" s="89"/>
      <c r="AE432" s="229"/>
      <c r="AF432" s="94"/>
      <c r="AG432" s="98"/>
      <c r="AH432" s="94"/>
      <c r="AI432" s="99"/>
      <c r="AJ432" s="99"/>
      <c r="AK432" s="128"/>
      <c r="AU432" s="45"/>
    </row>
    <row r="433" spans="1:47" ht="12" customHeight="1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92"/>
      <c r="W433" s="92"/>
      <c r="X433" s="92"/>
      <c r="Y433" s="97"/>
      <c r="Z433" s="89"/>
      <c r="AA433" s="96"/>
      <c r="AB433" s="89"/>
      <c r="AC433" s="119"/>
      <c r="AD433" s="89"/>
      <c r="AE433" s="229"/>
      <c r="AF433" s="94"/>
      <c r="AG433" s="98"/>
      <c r="AH433" s="94"/>
      <c r="AI433" s="99"/>
      <c r="AJ433" s="99"/>
      <c r="AK433" s="128"/>
      <c r="AU433" s="45"/>
    </row>
    <row r="434" spans="1:47" ht="12" customHeight="1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92"/>
      <c r="W434" s="122"/>
      <c r="X434" s="122"/>
      <c r="Y434" s="97"/>
      <c r="Z434" s="89"/>
      <c r="AA434" s="96"/>
      <c r="AB434" s="89"/>
      <c r="AC434" s="119"/>
      <c r="AD434" s="89"/>
      <c r="AE434" s="229"/>
      <c r="AF434" s="94"/>
      <c r="AG434" s="98"/>
      <c r="AH434" s="94"/>
      <c r="AI434" s="99"/>
      <c r="AJ434" s="99"/>
      <c r="AK434" s="128"/>
      <c r="AU434" s="45"/>
    </row>
    <row r="435" spans="1:47" ht="12" customHeight="1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92"/>
      <c r="W435" s="122"/>
      <c r="X435" s="122"/>
      <c r="Y435" s="97"/>
      <c r="Z435" s="89"/>
      <c r="AA435" s="96"/>
      <c r="AB435" s="89"/>
      <c r="AC435" s="119"/>
      <c r="AD435" s="89"/>
      <c r="AE435" s="229"/>
      <c r="AF435" s="94"/>
      <c r="AG435" s="94"/>
      <c r="AH435" s="94"/>
      <c r="AI435" s="99"/>
      <c r="AJ435" s="99"/>
      <c r="AK435" s="128"/>
      <c r="AU435" s="45"/>
    </row>
    <row r="436" spans="1:47" ht="12" customHeight="1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92"/>
      <c r="W436" s="122"/>
      <c r="X436" s="122"/>
      <c r="Y436" s="97"/>
      <c r="Z436" s="89"/>
      <c r="AA436" s="96"/>
      <c r="AB436" s="89"/>
      <c r="AC436" s="119"/>
      <c r="AD436" s="89"/>
      <c r="AE436" s="229"/>
      <c r="AF436" s="94"/>
      <c r="AG436" s="98"/>
      <c r="AH436" s="94"/>
      <c r="AI436" s="99"/>
      <c r="AJ436" s="99"/>
      <c r="AK436" s="128"/>
      <c r="AU436" s="45"/>
    </row>
    <row r="437" spans="1:47" ht="12" customHeight="1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92"/>
      <c r="W437" s="92"/>
      <c r="X437" s="92"/>
      <c r="Y437" s="97"/>
      <c r="Z437" s="89"/>
      <c r="AA437" s="96"/>
      <c r="AB437" s="89"/>
      <c r="AC437" s="119"/>
      <c r="AD437" s="89"/>
      <c r="AE437" s="229"/>
      <c r="AF437" s="94"/>
      <c r="AG437" s="94"/>
      <c r="AH437" s="127"/>
      <c r="AI437" s="99"/>
      <c r="AJ437" s="99"/>
      <c r="AK437" s="128"/>
      <c r="AU437" s="45"/>
    </row>
    <row r="438" spans="1:47" ht="12" customHeight="1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92"/>
      <c r="W438" s="92"/>
      <c r="X438" s="92"/>
      <c r="Y438" s="97"/>
      <c r="Z438" s="89"/>
      <c r="AA438" s="96"/>
      <c r="AB438" s="89"/>
      <c r="AC438" s="119"/>
      <c r="AD438" s="89"/>
      <c r="AE438" s="229"/>
      <c r="AF438" s="94"/>
      <c r="AG438" s="98"/>
      <c r="AH438" s="94"/>
      <c r="AI438" s="99"/>
      <c r="AJ438" s="99"/>
      <c r="AK438" s="128"/>
      <c r="AU438" s="45"/>
    </row>
    <row r="439" spans="1:47" ht="12" customHeight="1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92"/>
      <c r="W439" s="92"/>
      <c r="X439" s="92"/>
      <c r="Y439" s="97"/>
      <c r="Z439" s="89"/>
      <c r="AA439" s="96"/>
      <c r="AB439" s="89"/>
      <c r="AC439" s="119"/>
      <c r="AD439" s="89"/>
      <c r="AE439" s="229"/>
      <c r="AF439" s="94"/>
      <c r="AG439" s="98"/>
      <c r="AH439" s="94"/>
      <c r="AI439" s="99"/>
      <c r="AJ439" s="99"/>
      <c r="AK439" s="128"/>
      <c r="AU439" s="45"/>
    </row>
    <row r="440" spans="1:47" ht="12" customHeight="1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92"/>
      <c r="W440" s="92"/>
      <c r="X440" s="92"/>
      <c r="Y440" s="97"/>
      <c r="Z440" s="89"/>
      <c r="AA440" s="96"/>
      <c r="AB440" s="89"/>
      <c r="AC440" s="119"/>
      <c r="AD440" s="89"/>
      <c r="AE440" s="229"/>
      <c r="AF440" s="94"/>
      <c r="AG440" s="94"/>
      <c r="AH440" s="127"/>
      <c r="AI440" s="99"/>
      <c r="AJ440" s="99"/>
      <c r="AK440" s="128"/>
      <c r="AU440" s="45"/>
    </row>
    <row r="441" spans="1:47" ht="12" customHeight="1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92"/>
      <c r="W441" s="122"/>
      <c r="X441" s="89"/>
      <c r="Y441" s="97"/>
      <c r="Z441" s="89"/>
      <c r="AA441" s="96"/>
      <c r="AB441" s="89"/>
      <c r="AC441" s="119"/>
      <c r="AD441" s="89"/>
      <c r="AE441" s="229"/>
      <c r="AF441" s="94"/>
      <c r="AG441" s="94"/>
      <c r="AH441" s="94"/>
      <c r="AI441" s="99"/>
      <c r="AJ441" s="99"/>
      <c r="AK441" s="128"/>
      <c r="AU441" s="45"/>
    </row>
    <row r="442" spans="1:47" ht="12" customHeight="1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92"/>
      <c r="W442" s="122"/>
      <c r="X442" s="89"/>
      <c r="Y442" s="97"/>
      <c r="Z442" s="89"/>
      <c r="AA442" s="96"/>
      <c r="AB442" s="89"/>
      <c r="AC442" s="119"/>
      <c r="AD442" s="89"/>
      <c r="AE442" s="229"/>
      <c r="AF442" s="94"/>
      <c r="AG442" s="94"/>
      <c r="AH442" s="94"/>
      <c r="AI442" s="99"/>
      <c r="AJ442" s="99"/>
      <c r="AK442" s="128"/>
      <c r="AU442" s="45"/>
    </row>
    <row r="443" spans="1:47" ht="12" customHeight="1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92"/>
      <c r="W443" s="122"/>
      <c r="X443" s="89"/>
      <c r="Y443" s="97"/>
      <c r="Z443" s="89"/>
      <c r="AA443" s="96"/>
      <c r="AB443" s="89"/>
      <c r="AC443" s="119"/>
      <c r="AD443" s="89"/>
      <c r="AE443" s="229"/>
      <c r="AF443" s="94"/>
      <c r="AG443" s="94"/>
      <c r="AH443" s="94"/>
      <c r="AI443" s="99"/>
      <c r="AJ443" s="99"/>
      <c r="AK443" s="128"/>
      <c r="AU443" s="45"/>
    </row>
    <row r="444" spans="1:47" ht="12" customHeight="1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92"/>
      <c r="W444" s="122"/>
      <c r="X444" s="89"/>
      <c r="Y444" s="97"/>
      <c r="Z444" s="89"/>
      <c r="AA444" s="96"/>
      <c r="AB444" s="89"/>
      <c r="AC444" s="119"/>
      <c r="AD444" s="89"/>
      <c r="AE444" s="229"/>
      <c r="AF444" s="94"/>
      <c r="AG444" s="94"/>
      <c r="AH444" s="94"/>
      <c r="AI444" s="99"/>
      <c r="AJ444" s="99"/>
      <c r="AK444" s="128"/>
      <c r="AU444" s="45"/>
    </row>
    <row r="445" spans="1:47" ht="12" customHeight="1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92"/>
      <c r="W445" s="92"/>
      <c r="X445" s="92"/>
      <c r="Y445" s="97"/>
      <c r="Z445" s="89"/>
      <c r="AA445" s="96"/>
      <c r="AB445" s="89"/>
      <c r="AC445" s="119"/>
      <c r="AD445" s="89"/>
      <c r="AE445" s="229"/>
      <c r="AF445" s="94"/>
      <c r="AG445" s="98"/>
      <c r="AH445" s="94"/>
      <c r="AI445" s="99"/>
      <c r="AJ445" s="99"/>
      <c r="AK445" s="128"/>
      <c r="AU445" s="45"/>
    </row>
    <row r="446" spans="1:47" ht="12" customHeight="1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92"/>
      <c r="W446" s="122"/>
      <c r="X446" s="89"/>
      <c r="Y446" s="97"/>
      <c r="Z446" s="89"/>
      <c r="AA446" s="96"/>
      <c r="AB446" s="89"/>
      <c r="AC446" s="119"/>
      <c r="AD446" s="89"/>
      <c r="AE446" s="229"/>
      <c r="AF446" s="94"/>
      <c r="AG446" s="94"/>
      <c r="AH446" s="94"/>
      <c r="AI446" s="99"/>
      <c r="AJ446" s="99"/>
      <c r="AK446" s="128"/>
      <c r="AU446" s="45"/>
    </row>
    <row r="447" spans="1:47" ht="12" customHeight="1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92"/>
      <c r="W447" s="92"/>
      <c r="X447" s="92"/>
      <c r="Y447" s="97"/>
      <c r="Z447" s="89"/>
      <c r="AA447" s="96"/>
      <c r="AB447" s="89"/>
      <c r="AC447" s="119"/>
      <c r="AD447" s="89"/>
      <c r="AE447" s="229"/>
      <c r="AF447" s="94"/>
      <c r="AG447" s="98"/>
      <c r="AH447" s="94"/>
      <c r="AI447" s="99"/>
      <c r="AJ447" s="99"/>
      <c r="AK447" s="128"/>
      <c r="AU447" s="45"/>
    </row>
    <row r="448" spans="1:47" ht="12" customHeight="1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92"/>
      <c r="W448" s="122"/>
      <c r="X448" s="89"/>
      <c r="Y448" s="97"/>
      <c r="Z448" s="89"/>
      <c r="AA448" s="96"/>
      <c r="AB448" s="89"/>
      <c r="AC448" s="119"/>
      <c r="AD448" s="89"/>
      <c r="AE448" s="229"/>
      <c r="AF448" s="94"/>
      <c r="AG448" s="94"/>
      <c r="AH448" s="94"/>
      <c r="AI448" s="99"/>
      <c r="AJ448" s="99"/>
      <c r="AK448" s="128"/>
      <c r="AU448" s="45"/>
    </row>
    <row r="449" spans="1:47" ht="12" customHeight="1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92"/>
      <c r="W449" s="92"/>
      <c r="X449" s="92"/>
      <c r="Y449" s="97"/>
      <c r="Z449" s="89"/>
      <c r="AA449" s="96"/>
      <c r="AB449" s="89"/>
      <c r="AC449" s="119"/>
      <c r="AD449" s="89"/>
      <c r="AE449" s="229"/>
      <c r="AF449" s="94"/>
      <c r="AG449" s="98"/>
      <c r="AH449" s="94"/>
      <c r="AI449" s="99"/>
      <c r="AJ449" s="99"/>
      <c r="AK449" s="128"/>
      <c r="AU449" s="45"/>
    </row>
    <row r="450" spans="1:47" ht="12" customHeight="1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122"/>
      <c r="X450" s="89"/>
      <c r="Y450" s="97"/>
      <c r="Z450" s="89"/>
      <c r="AA450" s="96"/>
      <c r="AB450" s="89"/>
      <c r="AC450" s="119"/>
      <c r="AD450" s="89"/>
      <c r="AE450" s="229"/>
      <c r="AF450" s="94"/>
      <c r="AG450" s="94"/>
      <c r="AH450" s="94"/>
      <c r="AI450" s="99"/>
      <c r="AJ450" s="99"/>
      <c r="AK450" s="128"/>
      <c r="AU450" s="45"/>
    </row>
    <row r="451" spans="1:47" ht="12" customHeight="1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229"/>
      <c r="AF451" s="94"/>
      <c r="AG451" s="98"/>
      <c r="AH451" s="94"/>
      <c r="AI451" s="99"/>
      <c r="AJ451" s="99"/>
      <c r="AK451" s="128"/>
      <c r="AU451" s="45"/>
    </row>
    <row r="452" spans="1:47" ht="12" customHeight="1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122"/>
      <c r="X452" s="89"/>
      <c r="Y452" s="97"/>
      <c r="Z452" s="89"/>
      <c r="AA452" s="96"/>
      <c r="AB452" s="89"/>
      <c r="AC452" s="119"/>
      <c r="AD452" s="89"/>
      <c r="AE452" s="229"/>
      <c r="AF452" s="94"/>
      <c r="AG452" s="94"/>
      <c r="AH452" s="94"/>
      <c r="AI452" s="99"/>
      <c r="AJ452" s="99"/>
      <c r="AK452" s="128"/>
      <c r="AU452" s="45"/>
    </row>
    <row r="453" spans="1:47" ht="12" customHeight="1">
      <c r="A453" s="129"/>
      <c r="B453" s="130"/>
      <c r="C453" s="131"/>
      <c r="D453" s="131"/>
      <c r="E453" s="132"/>
      <c r="F453" s="221"/>
      <c r="G453" s="134"/>
      <c r="H453" s="130"/>
      <c r="I453" s="134"/>
      <c r="J453" s="135"/>
      <c r="K453" s="131"/>
      <c r="L453" s="131"/>
      <c r="M453" s="131"/>
      <c r="N453" s="131"/>
      <c r="O453" s="133"/>
      <c r="P453" s="136"/>
      <c r="Q453" s="146"/>
      <c r="R453" s="137"/>
      <c r="S453" s="138"/>
      <c r="T453" s="138"/>
      <c r="U453" s="138"/>
      <c r="V453" s="130"/>
      <c r="W453" s="139"/>
      <c r="X453" s="131"/>
      <c r="Y453" s="140"/>
      <c r="Z453" s="131"/>
      <c r="AA453" s="138"/>
      <c r="AB453" s="131"/>
      <c r="AC453" s="190"/>
      <c r="AD453" s="131"/>
      <c r="AE453" s="231"/>
      <c r="AF453" s="136"/>
      <c r="AG453" s="136"/>
      <c r="AH453" s="136"/>
      <c r="AI453" s="141"/>
      <c r="AJ453" s="141"/>
      <c r="AK453" s="142"/>
      <c r="AU453" s="45"/>
    </row>
    <row r="454" spans="1:47" ht="12" customHeight="1">
      <c r="A454" s="129"/>
      <c r="B454" s="92"/>
      <c r="C454" s="131"/>
      <c r="D454" s="131"/>
      <c r="E454" s="111"/>
      <c r="F454" s="220"/>
      <c r="G454" s="91"/>
      <c r="H454" s="92"/>
      <c r="I454" s="91"/>
      <c r="J454" s="135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122"/>
      <c r="X454" s="89"/>
      <c r="Y454" s="97"/>
      <c r="Z454" s="89"/>
      <c r="AA454" s="96"/>
      <c r="AB454" s="89"/>
      <c r="AC454" s="119"/>
      <c r="AD454" s="89"/>
      <c r="AE454" s="229"/>
      <c r="AF454" s="94"/>
      <c r="AG454" s="94"/>
      <c r="AH454" s="94"/>
      <c r="AI454" s="99"/>
      <c r="AJ454" s="99"/>
      <c r="AK454" s="128"/>
      <c r="AU454" s="45"/>
    </row>
    <row r="455" spans="1:47" ht="12" customHeight="1">
      <c r="A455" s="129"/>
      <c r="B455" s="92"/>
      <c r="C455" s="131"/>
      <c r="D455" s="131"/>
      <c r="E455" s="111"/>
      <c r="F455" s="220"/>
      <c r="G455" s="91"/>
      <c r="H455" s="92"/>
      <c r="I455" s="91"/>
      <c r="J455" s="135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122"/>
      <c r="X455" s="89"/>
      <c r="Y455" s="97"/>
      <c r="Z455" s="89"/>
      <c r="AA455" s="96"/>
      <c r="AB455" s="89"/>
      <c r="AC455" s="119"/>
      <c r="AD455" s="89"/>
      <c r="AE455" s="229"/>
      <c r="AF455" s="94"/>
      <c r="AG455" s="94"/>
      <c r="AH455" s="94"/>
      <c r="AI455" s="99"/>
      <c r="AJ455" s="99"/>
      <c r="AK455" s="128"/>
      <c r="AU455" s="45"/>
    </row>
    <row r="456" spans="1:47" ht="12" customHeight="1">
      <c r="A456" s="129"/>
      <c r="B456" s="92"/>
      <c r="C456" s="131"/>
      <c r="D456" s="131"/>
      <c r="E456" s="111"/>
      <c r="F456" s="220"/>
      <c r="G456" s="91"/>
      <c r="H456" s="92"/>
      <c r="I456" s="91"/>
      <c r="J456" s="135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122"/>
      <c r="X456" s="89"/>
      <c r="Y456" s="97"/>
      <c r="Z456" s="89"/>
      <c r="AA456" s="96"/>
      <c r="AB456" s="89"/>
      <c r="AC456" s="119"/>
      <c r="AD456" s="89"/>
      <c r="AE456" s="229"/>
      <c r="AF456" s="94"/>
      <c r="AG456" s="94"/>
      <c r="AH456" s="94"/>
      <c r="AI456" s="99"/>
      <c r="AJ456" s="99"/>
      <c r="AK456" s="128"/>
      <c r="AU456" s="45"/>
    </row>
    <row r="457" spans="1:47" ht="12" customHeight="1">
      <c r="A457" s="129"/>
      <c r="B457" s="92"/>
      <c r="C457" s="131"/>
      <c r="D457" s="131"/>
      <c r="E457" s="111"/>
      <c r="F457" s="220"/>
      <c r="G457" s="91"/>
      <c r="H457" s="92"/>
      <c r="I457" s="91"/>
      <c r="J457" s="135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122"/>
      <c r="X457" s="89"/>
      <c r="Y457" s="97"/>
      <c r="Z457" s="89"/>
      <c r="AA457" s="96"/>
      <c r="AB457" s="89"/>
      <c r="AC457" s="119"/>
      <c r="AD457" s="89"/>
      <c r="AE457" s="229"/>
      <c r="AF457" s="94"/>
      <c r="AG457" s="94"/>
      <c r="AH457" s="94"/>
      <c r="AI457" s="99"/>
      <c r="AJ457" s="99"/>
      <c r="AK457" s="128"/>
      <c r="AU457" s="45"/>
    </row>
    <row r="458" spans="1:47" ht="12" customHeight="1">
      <c r="A458" s="129"/>
      <c r="B458" s="92"/>
      <c r="C458" s="131"/>
      <c r="D458" s="131"/>
      <c r="E458" s="111"/>
      <c r="F458" s="220"/>
      <c r="G458" s="91"/>
      <c r="H458" s="92"/>
      <c r="I458" s="91"/>
      <c r="J458" s="135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122"/>
      <c r="X458" s="89"/>
      <c r="Y458" s="97"/>
      <c r="Z458" s="89"/>
      <c r="AA458" s="96"/>
      <c r="AB458" s="89"/>
      <c r="AC458" s="119"/>
      <c r="AD458" s="89"/>
      <c r="AE458" s="229"/>
      <c r="AF458" s="94"/>
      <c r="AG458" s="94"/>
      <c r="AH458" s="94"/>
      <c r="AI458" s="99"/>
      <c r="AJ458" s="99"/>
      <c r="AK458" s="128"/>
      <c r="AU458" s="45"/>
    </row>
    <row r="459" spans="1:47" ht="12" customHeight="1">
      <c r="A459" s="129"/>
      <c r="B459" s="92"/>
      <c r="C459" s="131"/>
      <c r="D459" s="131"/>
      <c r="E459" s="111"/>
      <c r="F459" s="220"/>
      <c r="G459" s="91"/>
      <c r="H459" s="92"/>
      <c r="I459" s="91"/>
      <c r="J459" s="135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89"/>
      <c r="Y459" s="97"/>
      <c r="Z459" s="89"/>
      <c r="AA459" s="96"/>
      <c r="AB459" s="89"/>
      <c r="AC459" s="119"/>
      <c r="AD459" s="89"/>
      <c r="AE459" s="229"/>
      <c r="AF459" s="94"/>
      <c r="AG459" s="94"/>
      <c r="AH459" s="94"/>
      <c r="AI459" s="99"/>
      <c r="AJ459" s="99"/>
      <c r="AK459" s="128"/>
      <c r="AU459" s="45"/>
    </row>
    <row r="460" spans="1:47" ht="12" customHeight="1">
      <c r="A460" s="129"/>
      <c r="B460" s="92"/>
      <c r="C460" s="131"/>
      <c r="D460" s="131"/>
      <c r="E460" s="111"/>
      <c r="F460" s="220"/>
      <c r="G460" s="91"/>
      <c r="H460" s="92"/>
      <c r="I460" s="91"/>
      <c r="J460" s="135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229"/>
      <c r="AF460" s="94"/>
      <c r="AG460" s="94"/>
      <c r="AH460" s="94"/>
      <c r="AI460" s="99"/>
      <c r="AJ460" s="99"/>
      <c r="AK460" s="128"/>
      <c r="AU460" s="45"/>
    </row>
    <row r="461" spans="1:47" ht="12" customHeight="1">
      <c r="A461" s="129"/>
      <c r="B461" s="92"/>
      <c r="C461" s="131"/>
      <c r="D461" s="131"/>
      <c r="E461" s="111"/>
      <c r="F461" s="220"/>
      <c r="G461" s="91"/>
      <c r="H461" s="92"/>
      <c r="I461" s="91"/>
      <c r="J461" s="135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89"/>
      <c r="Y461" s="97"/>
      <c r="Z461" s="89"/>
      <c r="AA461" s="96"/>
      <c r="AB461" s="89"/>
      <c r="AC461" s="119"/>
      <c r="AD461" s="89"/>
      <c r="AE461" s="229"/>
      <c r="AF461" s="94"/>
      <c r="AG461" s="94"/>
      <c r="AH461" s="94"/>
      <c r="AI461" s="99"/>
      <c r="AJ461" s="99"/>
      <c r="AK461" s="128"/>
      <c r="AU461" s="45"/>
    </row>
    <row r="462" spans="1:47" ht="12" customHeight="1">
      <c r="A462" s="129"/>
      <c r="B462" s="92"/>
      <c r="C462" s="131"/>
      <c r="D462" s="131"/>
      <c r="E462" s="111"/>
      <c r="F462" s="220"/>
      <c r="G462" s="91"/>
      <c r="H462" s="92"/>
      <c r="I462" s="91"/>
      <c r="J462" s="135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229"/>
      <c r="AF462" s="94"/>
      <c r="AG462" s="94"/>
      <c r="AH462" s="94"/>
      <c r="AI462" s="99"/>
      <c r="AJ462" s="99"/>
      <c r="AK462" s="128"/>
      <c r="AU462" s="45"/>
    </row>
    <row r="463" spans="1:47" ht="12" customHeight="1">
      <c r="A463" s="129"/>
      <c r="B463" s="92"/>
      <c r="C463" s="131"/>
      <c r="D463" s="131"/>
      <c r="E463" s="111"/>
      <c r="F463" s="220"/>
      <c r="G463" s="91"/>
      <c r="H463" s="92"/>
      <c r="I463" s="91"/>
      <c r="J463" s="135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122"/>
      <c r="X463" s="89"/>
      <c r="Y463" s="97"/>
      <c r="Z463" s="89"/>
      <c r="AA463" s="96"/>
      <c r="AB463" s="89"/>
      <c r="AC463" s="119"/>
      <c r="AD463" s="89"/>
      <c r="AE463" s="229"/>
      <c r="AF463" s="94"/>
      <c r="AG463" s="94"/>
      <c r="AH463" s="94"/>
      <c r="AI463" s="99"/>
      <c r="AJ463" s="99"/>
      <c r="AK463" s="128"/>
      <c r="AU463" s="45"/>
    </row>
    <row r="464" spans="1:47" ht="12" customHeight="1">
      <c r="A464" s="129"/>
      <c r="B464" s="92"/>
      <c r="C464" s="131"/>
      <c r="D464" s="131"/>
      <c r="E464" s="111"/>
      <c r="F464" s="220"/>
      <c r="G464" s="91"/>
      <c r="H464" s="92"/>
      <c r="I464" s="91"/>
      <c r="J464" s="135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229"/>
      <c r="AF464" s="94"/>
      <c r="AG464" s="94"/>
      <c r="AH464" s="94"/>
      <c r="AI464" s="99"/>
      <c r="AJ464" s="99"/>
      <c r="AK464" s="128"/>
      <c r="AU464" s="45"/>
    </row>
    <row r="465" spans="1:47" ht="12" customHeight="1">
      <c r="A465" s="129"/>
      <c r="B465" s="92"/>
      <c r="C465" s="131"/>
      <c r="D465" s="131"/>
      <c r="E465" s="111"/>
      <c r="F465" s="220"/>
      <c r="G465" s="91"/>
      <c r="H465" s="92"/>
      <c r="I465" s="91"/>
      <c r="J465" s="135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122"/>
      <c r="X465" s="89"/>
      <c r="Y465" s="97"/>
      <c r="Z465" s="89"/>
      <c r="AA465" s="96"/>
      <c r="AB465" s="89"/>
      <c r="AC465" s="119"/>
      <c r="AD465" s="89"/>
      <c r="AE465" s="229"/>
      <c r="AF465" s="94"/>
      <c r="AG465" s="94"/>
      <c r="AH465" s="94"/>
      <c r="AI465" s="99"/>
      <c r="AJ465" s="99"/>
      <c r="AK465" s="128"/>
      <c r="AU465" s="45"/>
    </row>
    <row r="466" spans="1:47" ht="12" customHeight="1">
      <c r="A466" s="129"/>
      <c r="B466" s="92"/>
      <c r="C466" s="131"/>
      <c r="D466" s="131"/>
      <c r="E466" s="132"/>
      <c r="F466" s="221"/>
      <c r="G466" s="134"/>
      <c r="H466" s="130"/>
      <c r="I466" s="134"/>
      <c r="J466" s="135"/>
      <c r="K466" s="131"/>
      <c r="L466" s="131"/>
      <c r="M466" s="131"/>
      <c r="N466" s="131"/>
      <c r="O466" s="133"/>
      <c r="P466" s="136"/>
      <c r="Q466" s="144"/>
      <c r="R466" s="137"/>
      <c r="S466" s="138"/>
      <c r="T466" s="96"/>
      <c r="U466" s="96"/>
      <c r="V466" s="130"/>
      <c r="W466" s="139"/>
      <c r="X466" s="131"/>
      <c r="Y466" s="140"/>
      <c r="Z466" s="131"/>
      <c r="AA466" s="138"/>
      <c r="AB466" s="131"/>
      <c r="AC466" s="190"/>
      <c r="AD466" s="131"/>
      <c r="AE466" s="231"/>
      <c r="AF466" s="136"/>
      <c r="AG466" s="136"/>
      <c r="AH466" s="136"/>
      <c r="AI466" s="141"/>
      <c r="AJ466" s="141"/>
      <c r="AK466" s="142"/>
      <c r="AU466" s="45"/>
    </row>
    <row r="467" spans="1:47" ht="12" customHeight="1">
      <c r="A467" s="87"/>
      <c r="B467" s="88"/>
      <c r="C467" s="90"/>
      <c r="D467" s="89"/>
      <c r="E467" s="111"/>
      <c r="F467" s="220"/>
      <c r="G467" s="91"/>
      <c r="H467" s="92"/>
      <c r="I467" s="91"/>
      <c r="J467" s="89"/>
      <c r="K467" s="89"/>
      <c r="L467" s="89"/>
      <c r="M467" s="89"/>
      <c r="N467" s="89"/>
      <c r="O467" s="93"/>
      <c r="P467" s="94"/>
      <c r="Q467" s="144"/>
      <c r="R467" s="95"/>
      <c r="S467" s="96"/>
      <c r="T467" s="96"/>
      <c r="U467" s="96"/>
      <c r="V467" s="92"/>
      <c r="W467" s="124"/>
      <c r="X467" s="89"/>
      <c r="Y467" s="97"/>
      <c r="Z467" s="89"/>
      <c r="AA467" s="96"/>
      <c r="AB467" s="90"/>
      <c r="AC467" s="119"/>
      <c r="AD467" s="89"/>
      <c r="AE467" s="229"/>
      <c r="AF467" s="98"/>
      <c r="AG467" s="98"/>
      <c r="AH467" s="98"/>
      <c r="AI467" s="99"/>
      <c r="AJ467" s="99"/>
      <c r="AK467" s="99"/>
      <c r="AU467" s="45"/>
    </row>
    <row r="468" spans="1:47" ht="12" customHeight="1">
      <c r="A468" s="87"/>
      <c r="B468" s="88"/>
      <c r="C468" s="90"/>
      <c r="D468" s="89"/>
      <c r="E468" s="111"/>
      <c r="F468" s="220"/>
      <c r="G468" s="91"/>
      <c r="H468" s="92"/>
      <c r="I468" s="91"/>
      <c r="J468" s="89"/>
      <c r="K468" s="89"/>
      <c r="L468" s="89"/>
      <c r="M468" s="89"/>
      <c r="N468" s="89"/>
      <c r="O468" s="93"/>
      <c r="P468" s="94"/>
      <c r="Q468" s="144"/>
      <c r="R468" s="95"/>
      <c r="S468" s="96"/>
      <c r="T468" s="96"/>
      <c r="U468" s="96"/>
      <c r="V468" s="92"/>
      <c r="W468" s="124"/>
      <c r="X468" s="92"/>
      <c r="Y468" s="97"/>
      <c r="Z468" s="89"/>
      <c r="AA468" s="96"/>
      <c r="AB468" s="90"/>
      <c r="AC468" s="119"/>
      <c r="AD468" s="89"/>
      <c r="AE468" s="229"/>
      <c r="AF468" s="98"/>
      <c r="AG468" s="98"/>
      <c r="AH468" s="98"/>
      <c r="AI468" s="99"/>
      <c r="AJ468" s="99"/>
      <c r="AK468" s="99"/>
      <c r="AU468" s="45"/>
    </row>
    <row r="469" spans="1:47" ht="12" customHeight="1">
      <c r="A469" s="87"/>
      <c r="B469" s="88"/>
      <c r="C469" s="90"/>
      <c r="D469" s="89"/>
      <c r="E469" s="111"/>
      <c r="F469" s="220"/>
      <c r="G469" s="91"/>
      <c r="H469" s="92"/>
      <c r="I469" s="91"/>
      <c r="J469" s="89"/>
      <c r="K469" s="89"/>
      <c r="L469" s="89"/>
      <c r="M469" s="89"/>
      <c r="N469" s="89"/>
      <c r="O469" s="93"/>
      <c r="P469" s="94"/>
      <c r="Q469" s="144"/>
      <c r="R469" s="95"/>
      <c r="S469" s="96"/>
      <c r="T469" s="96"/>
      <c r="U469" s="96"/>
      <c r="V469" s="92"/>
      <c r="W469" s="124"/>
      <c r="X469" s="89"/>
      <c r="Y469" s="97"/>
      <c r="Z469" s="89"/>
      <c r="AA469" s="96"/>
      <c r="AB469" s="90"/>
      <c r="AC469" s="119"/>
      <c r="AD469" s="89"/>
      <c r="AE469" s="229"/>
      <c r="AF469" s="98"/>
      <c r="AG469" s="98"/>
      <c r="AH469" s="98"/>
      <c r="AI469" s="99"/>
      <c r="AJ469" s="99"/>
      <c r="AK469" s="99"/>
      <c r="AU469" s="45"/>
    </row>
    <row r="470" spans="1:47" ht="12" customHeight="1">
      <c r="A470" s="87"/>
      <c r="B470" s="88"/>
      <c r="C470" s="90"/>
      <c r="D470" s="89"/>
      <c r="E470" s="111"/>
      <c r="F470" s="220"/>
      <c r="G470" s="91"/>
      <c r="H470" s="92"/>
      <c r="I470" s="91"/>
      <c r="J470" s="89"/>
      <c r="K470" s="89"/>
      <c r="L470" s="89"/>
      <c r="M470" s="89"/>
      <c r="N470" s="89"/>
      <c r="O470" s="93"/>
      <c r="P470" s="94"/>
      <c r="Q470" s="144"/>
      <c r="R470" s="95"/>
      <c r="S470" s="96"/>
      <c r="T470" s="96"/>
      <c r="U470" s="96"/>
      <c r="V470" s="92"/>
      <c r="W470" s="124"/>
      <c r="X470" s="89"/>
      <c r="Y470" s="97"/>
      <c r="Z470" s="89"/>
      <c r="AA470" s="96"/>
      <c r="AB470" s="90"/>
      <c r="AC470" s="119"/>
      <c r="AD470" s="89"/>
      <c r="AE470" s="229"/>
      <c r="AF470" s="98"/>
      <c r="AG470" s="98"/>
      <c r="AH470" s="98"/>
      <c r="AI470" s="99"/>
      <c r="AJ470" s="99"/>
      <c r="AK470" s="99"/>
      <c r="AU470" s="45"/>
    </row>
    <row r="471" spans="1:47" ht="12" customHeight="1">
      <c r="A471" s="87"/>
      <c r="B471" s="88"/>
      <c r="C471" s="90"/>
      <c r="D471" s="89"/>
      <c r="E471" s="111"/>
      <c r="F471" s="220"/>
      <c r="G471" s="91"/>
      <c r="H471" s="92"/>
      <c r="I471" s="91"/>
      <c r="J471" s="89"/>
      <c r="K471" s="89"/>
      <c r="L471" s="89"/>
      <c r="M471" s="89"/>
      <c r="N471" s="89"/>
      <c r="O471" s="93"/>
      <c r="P471" s="94"/>
      <c r="Q471" s="144"/>
      <c r="R471" s="95"/>
      <c r="S471" s="96"/>
      <c r="T471" s="96"/>
      <c r="U471" s="96"/>
      <c r="V471" s="92"/>
      <c r="W471" s="89"/>
      <c r="X471" s="89"/>
      <c r="Y471" s="89"/>
      <c r="Z471" s="89"/>
      <c r="AA471" s="96"/>
      <c r="AB471" s="90"/>
      <c r="AC471" s="119"/>
      <c r="AD471" s="89"/>
      <c r="AE471" s="229"/>
      <c r="AF471" s="98"/>
      <c r="AG471" s="94"/>
      <c r="AH471" s="98"/>
      <c r="AI471" s="99"/>
      <c r="AJ471" s="99"/>
      <c r="AK471" s="99"/>
      <c r="AU471" s="45"/>
    </row>
    <row r="472" spans="1:47" ht="12" customHeight="1">
      <c r="A472" s="87"/>
      <c r="B472" s="88"/>
      <c r="C472" s="90"/>
      <c r="D472" s="89"/>
      <c r="E472" s="111"/>
      <c r="F472" s="220"/>
      <c r="G472" s="91"/>
      <c r="H472" s="92"/>
      <c r="I472" s="91"/>
      <c r="J472" s="89"/>
      <c r="K472" s="89"/>
      <c r="L472" s="89"/>
      <c r="M472" s="89"/>
      <c r="N472" s="89"/>
      <c r="O472" s="93"/>
      <c r="P472" s="94"/>
      <c r="Q472" s="144"/>
      <c r="R472" s="95"/>
      <c r="S472" s="96"/>
      <c r="T472" s="96"/>
      <c r="U472" s="96"/>
      <c r="V472" s="92"/>
      <c r="W472" s="89"/>
      <c r="X472" s="89"/>
      <c r="Y472" s="89"/>
      <c r="Z472" s="89"/>
      <c r="AA472" s="96"/>
      <c r="AB472" s="90"/>
      <c r="AC472" s="119"/>
      <c r="AD472" s="89"/>
      <c r="AE472" s="229"/>
      <c r="AF472" s="98"/>
      <c r="AG472" s="94"/>
      <c r="AH472" s="98"/>
      <c r="AI472" s="99"/>
      <c r="AJ472" s="99"/>
      <c r="AK472" s="99"/>
      <c r="AU472" s="45"/>
    </row>
    <row r="473" spans="1:47" ht="12" customHeight="1">
      <c r="A473" s="87"/>
      <c r="B473" s="88"/>
      <c r="C473" s="90"/>
      <c r="D473" s="89"/>
      <c r="E473" s="111"/>
      <c r="F473" s="220"/>
      <c r="G473" s="91"/>
      <c r="H473" s="92"/>
      <c r="I473" s="91"/>
      <c r="J473" s="89"/>
      <c r="K473" s="89"/>
      <c r="L473" s="89"/>
      <c r="M473" s="89"/>
      <c r="N473" s="89"/>
      <c r="O473" s="93"/>
      <c r="P473" s="94"/>
      <c r="Q473" s="144"/>
      <c r="R473" s="95"/>
      <c r="S473" s="96"/>
      <c r="T473" s="96"/>
      <c r="U473" s="96"/>
      <c r="V473" s="92"/>
      <c r="W473" s="89"/>
      <c r="X473" s="89"/>
      <c r="Y473" s="89"/>
      <c r="Z473" s="89"/>
      <c r="AA473" s="96"/>
      <c r="AB473" s="90"/>
      <c r="AC473" s="119"/>
      <c r="AD473" s="89"/>
      <c r="AE473" s="229"/>
      <c r="AF473" s="98"/>
      <c r="AG473" s="94"/>
      <c r="AH473" s="98"/>
      <c r="AI473" s="99"/>
      <c r="AJ473" s="99"/>
      <c r="AK473" s="99"/>
      <c r="AU473" s="45"/>
    </row>
    <row r="474" spans="1:47" ht="12" customHeight="1">
      <c r="A474" s="87"/>
      <c r="B474" s="88"/>
      <c r="C474" s="90"/>
      <c r="D474" s="89"/>
      <c r="E474" s="111"/>
      <c r="F474" s="220"/>
      <c r="G474" s="91"/>
      <c r="H474" s="92"/>
      <c r="I474" s="91"/>
      <c r="J474" s="89"/>
      <c r="K474" s="89"/>
      <c r="L474" s="89"/>
      <c r="M474" s="89"/>
      <c r="N474" s="89"/>
      <c r="O474" s="93"/>
      <c r="P474" s="94"/>
      <c r="Q474" s="144"/>
      <c r="R474" s="95"/>
      <c r="S474" s="96"/>
      <c r="T474" s="96"/>
      <c r="U474" s="96"/>
      <c r="V474" s="92"/>
      <c r="W474" s="89"/>
      <c r="X474" s="89"/>
      <c r="Y474" s="89"/>
      <c r="Z474" s="89"/>
      <c r="AA474" s="96"/>
      <c r="AB474" s="90"/>
      <c r="AC474" s="119"/>
      <c r="AD474" s="89"/>
      <c r="AE474" s="229"/>
      <c r="AF474" s="98"/>
      <c r="AG474" s="94"/>
      <c r="AH474" s="98"/>
      <c r="AI474" s="99"/>
      <c r="AJ474" s="99"/>
      <c r="AK474" s="99"/>
      <c r="AU474" s="45"/>
    </row>
    <row r="475" spans="1:47" ht="12" customHeight="1">
      <c r="A475" s="87"/>
      <c r="B475" s="88"/>
      <c r="C475" s="90"/>
      <c r="D475" s="89"/>
      <c r="E475" s="111"/>
      <c r="F475" s="220"/>
      <c r="G475" s="91"/>
      <c r="H475" s="92"/>
      <c r="I475" s="91"/>
      <c r="J475" s="89"/>
      <c r="K475" s="89"/>
      <c r="L475" s="89"/>
      <c r="M475" s="89"/>
      <c r="N475" s="89"/>
      <c r="O475" s="93"/>
      <c r="P475" s="94"/>
      <c r="Q475" s="144"/>
      <c r="R475" s="95"/>
      <c r="S475" s="96"/>
      <c r="T475" s="96"/>
      <c r="U475" s="96"/>
      <c r="V475" s="92"/>
      <c r="W475" s="89"/>
      <c r="X475" s="89"/>
      <c r="Y475" s="97"/>
      <c r="Z475" s="89"/>
      <c r="AA475" s="96"/>
      <c r="AB475" s="90"/>
      <c r="AC475" s="119"/>
      <c r="AD475" s="89"/>
      <c r="AE475" s="229"/>
      <c r="AF475" s="98"/>
      <c r="AG475" s="94"/>
      <c r="AH475" s="98"/>
      <c r="AI475" s="99"/>
      <c r="AJ475" s="99"/>
      <c r="AK475" s="99"/>
      <c r="AU475" s="45"/>
    </row>
    <row r="476" spans="1:47" ht="12" customHeight="1">
      <c r="A476" s="87"/>
      <c r="B476" s="88"/>
      <c r="C476" s="90"/>
      <c r="D476" s="89"/>
      <c r="E476" s="111"/>
      <c r="F476" s="220"/>
      <c r="G476" s="91"/>
      <c r="H476" s="92"/>
      <c r="I476" s="91"/>
      <c r="J476" s="89"/>
      <c r="K476" s="89"/>
      <c r="L476" s="89"/>
      <c r="M476" s="89"/>
      <c r="N476" s="89"/>
      <c r="O476" s="93"/>
      <c r="P476" s="94"/>
      <c r="Q476" s="144"/>
      <c r="R476" s="95"/>
      <c r="S476" s="96"/>
      <c r="T476" s="96"/>
      <c r="U476" s="96"/>
      <c r="V476" s="92"/>
      <c r="W476" s="124"/>
      <c r="X476" s="92"/>
      <c r="Y476" s="97"/>
      <c r="Z476" s="89"/>
      <c r="AA476" s="96"/>
      <c r="AB476" s="90"/>
      <c r="AC476" s="119"/>
      <c r="AD476" s="89"/>
      <c r="AE476" s="229"/>
      <c r="AF476" s="98"/>
      <c r="AG476" s="98"/>
      <c r="AH476" s="98"/>
      <c r="AI476" s="99"/>
      <c r="AJ476" s="99"/>
      <c r="AK476" s="99"/>
      <c r="AU476" s="45"/>
    </row>
    <row r="477" spans="1:47" ht="12" customHeight="1">
      <c r="A477" s="87"/>
      <c r="B477" s="88"/>
      <c r="C477" s="90"/>
      <c r="D477" s="89"/>
      <c r="E477" s="111"/>
      <c r="F477" s="220"/>
      <c r="G477" s="91"/>
      <c r="H477" s="92"/>
      <c r="I477" s="91"/>
      <c r="J477" s="89"/>
      <c r="K477" s="89"/>
      <c r="L477" s="89"/>
      <c r="M477" s="89"/>
      <c r="N477" s="89"/>
      <c r="O477" s="93"/>
      <c r="P477" s="94"/>
      <c r="Q477" s="144"/>
      <c r="R477" s="95"/>
      <c r="S477" s="96"/>
      <c r="T477" s="96"/>
      <c r="U477" s="96"/>
      <c r="V477" s="92"/>
      <c r="W477" s="124"/>
      <c r="X477" s="122"/>
      <c r="Y477" s="97"/>
      <c r="Z477" s="89"/>
      <c r="AA477" s="96"/>
      <c r="AB477" s="90"/>
      <c r="AC477" s="119"/>
      <c r="AD477" s="89"/>
      <c r="AE477" s="229"/>
      <c r="AF477" s="98"/>
      <c r="AG477" s="94"/>
      <c r="AH477" s="98"/>
      <c r="AI477" s="99"/>
      <c r="AJ477" s="99"/>
      <c r="AK477" s="99"/>
      <c r="AU477" s="45"/>
    </row>
    <row r="478" spans="1:47" ht="12" customHeight="1">
      <c r="A478" s="87"/>
      <c r="B478" s="88"/>
      <c r="C478" s="90"/>
      <c r="D478" s="89"/>
      <c r="E478" s="111"/>
      <c r="F478" s="220"/>
      <c r="G478" s="91"/>
      <c r="H478" s="92"/>
      <c r="I478" s="91"/>
      <c r="J478" s="89"/>
      <c r="K478" s="89"/>
      <c r="L478" s="89"/>
      <c r="M478" s="89"/>
      <c r="N478" s="89"/>
      <c r="O478" s="93"/>
      <c r="P478" s="94"/>
      <c r="Q478" s="144"/>
      <c r="R478" s="95"/>
      <c r="S478" s="96"/>
      <c r="T478" s="96"/>
      <c r="U478" s="96"/>
      <c r="V478" s="92"/>
      <c r="W478" s="89"/>
      <c r="X478" s="89"/>
      <c r="Y478" s="89"/>
      <c r="Z478" s="89"/>
      <c r="AA478" s="96"/>
      <c r="AB478" s="90"/>
      <c r="AC478" s="119"/>
      <c r="AD478" s="89"/>
      <c r="AE478" s="229"/>
      <c r="AF478" s="98"/>
      <c r="AG478" s="94"/>
      <c r="AH478" s="98"/>
      <c r="AI478" s="99"/>
      <c r="AJ478" s="99"/>
      <c r="AK478" s="99"/>
      <c r="AU478" s="45"/>
    </row>
    <row r="479" spans="1:47" ht="12" customHeight="1">
      <c r="A479" s="87"/>
      <c r="B479" s="88"/>
      <c r="C479" s="90"/>
      <c r="D479" s="89"/>
      <c r="E479" s="111"/>
      <c r="F479" s="220"/>
      <c r="G479" s="91"/>
      <c r="H479" s="92"/>
      <c r="I479" s="91"/>
      <c r="J479" s="89"/>
      <c r="K479" s="89"/>
      <c r="L479" s="89"/>
      <c r="M479" s="89"/>
      <c r="N479" s="89"/>
      <c r="O479" s="93"/>
      <c r="P479" s="94"/>
      <c r="Q479" s="144"/>
      <c r="R479" s="95"/>
      <c r="S479" s="96"/>
      <c r="T479" s="96"/>
      <c r="U479" s="96"/>
      <c r="V479" s="92"/>
      <c r="W479" s="89"/>
      <c r="X479" s="89"/>
      <c r="Y479" s="89"/>
      <c r="Z479" s="89"/>
      <c r="AA479" s="96"/>
      <c r="AB479" s="90"/>
      <c r="AC479" s="119"/>
      <c r="AD479" s="89"/>
      <c r="AE479" s="229"/>
      <c r="AF479" s="98"/>
      <c r="AG479" s="94"/>
      <c r="AH479" s="98"/>
      <c r="AI479" s="99"/>
      <c r="AJ479" s="99"/>
      <c r="AK479" s="99"/>
      <c r="AU479" s="45"/>
    </row>
    <row r="480" spans="1:47" ht="12" customHeight="1">
      <c r="A480" s="87"/>
      <c r="B480" s="88"/>
      <c r="C480" s="90"/>
      <c r="D480" s="89"/>
      <c r="E480" s="111"/>
      <c r="F480" s="220"/>
      <c r="G480" s="91"/>
      <c r="H480" s="92"/>
      <c r="I480" s="91"/>
      <c r="J480" s="89"/>
      <c r="K480" s="89"/>
      <c r="L480" s="89"/>
      <c r="M480" s="89"/>
      <c r="N480" s="89"/>
      <c r="O480" s="93"/>
      <c r="P480" s="94"/>
      <c r="Q480" s="144"/>
      <c r="R480" s="95"/>
      <c r="S480" s="96"/>
      <c r="T480" s="96"/>
      <c r="U480" s="96"/>
      <c r="V480" s="92"/>
      <c r="W480" s="89"/>
      <c r="X480" s="89"/>
      <c r="Y480" s="89"/>
      <c r="Z480" s="89"/>
      <c r="AA480" s="96"/>
      <c r="AB480" s="90"/>
      <c r="AC480" s="119"/>
      <c r="AD480" s="89"/>
      <c r="AE480" s="229"/>
      <c r="AF480" s="98"/>
      <c r="AG480" s="94"/>
      <c r="AH480" s="98"/>
      <c r="AI480" s="99"/>
      <c r="AJ480" s="99"/>
      <c r="AK480" s="99"/>
      <c r="AU480" s="45"/>
    </row>
    <row r="481" spans="1:47" ht="12" customHeight="1">
      <c r="A481" s="87"/>
      <c r="B481" s="88"/>
      <c r="C481" s="90"/>
      <c r="D481" s="89"/>
      <c r="E481" s="111"/>
      <c r="F481" s="220"/>
      <c r="G481" s="91"/>
      <c r="H481" s="92"/>
      <c r="I481" s="91"/>
      <c r="J481" s="89"/>
      <c r="K481" s="89"/>
      <c r="L481" s="89"/>
      <c r="M481" s="89"/>
      <c r="N481" s="89"/>
      <c r="O481" s="93"/>
      <c r="P481" s="94"/>
      <c r="Q481" s="144"/>
      <c r="R481" s="95"/>
      <c r="S481" s="96"/>
      <c r="T481" s="96"/>
      <c r="U481" s="96"/>
      <c r="V481" s="92"/>
      <c r="W481" s="89"/>
      <c r="X481" s="89"/>
      <c r="Y481" s="97"/>
      <c r="Z481" s="89"/>
      <c r="AA481" s="96"/>
      <c r="AB481" s="90"/>
      <c r="AC481" s="119"/>
      <c r="AD481" s="89"/>
      <c r="AE481" s="229"/>
      <c r="AF481" s="98"/>
      <c r="AG481" s="94"/>
      <c r="AH481" s="98"/>
      <c r="AI481" s="99"/>
      <c r="AJ481" s="99"/>
      <c r="AK481" s="99"/>
      <c r="AU481" s="45"/>
    </row>
    <row r="482" spans="1:47" ht="12" customHeight="1">
      <c r="A482" s="87"/>
      <c r="B482" s="88"/>
      <c r="C482" s="90"/>
      <c r="D482" s="89"/>
      <c r="E482" s="111"/>
      <c r="F482" s="220"/>
      <c r="G482" s="91"/>
      <c r="H482" s="92"/>
      <c r="I482" s="91"/>
      <c r="J482" s="89"/>
      <c r="K482" s="89"/>
      <c r="L482" s="89"/>
      <c r="M482" s="89"/>
      <c r="N482" s="89"/>
      <c r="O482" s="93"/>
      <c r="P482" s="94"/>
      <c r="Q482" s="144"/>
      <c r="R482" s="95"/>
      <c r="S482" s="96"/>
      <c r="T482" s="96"/>
      <c r="U482" s="96"/>
      <c r="V482" s="92"/>
      <c r="W482" s="89"/>
      <c r="X482" s="89"/>
      <c r="Y482" s="97"/>
      <c r="Z482" s="89"/>
      <c r="AA482" s="96"/>
      <c r="AB482" s="90"/>
      <c r="AC482" s="119"/>
      <c r="AD482" s="89"/>
      <c r="AE482" s="229"/>
      <c r="AF482" s="98"/>
      <c r="AG482" s="94"/>
      <c r="AH482" s="98"/>
      <c r="AI482" s="99"/>
      <c r="AJ482" s="99"/>
      <c r="AK482" s="99"/>
      <c r="AU482" s="45"/>
    </row>
    <row r="483" spans="1:47" ht="12" customHeight="1">
      <c r="A483" s="87"/>
      <c r="B483" s="88"/>
      <c r="C483" s="90"/>
      <c r="D483" s="89"/>
      <c r="E483" s="111"/>
      <c r="F483" s="220"/>
      <c r="G483" s="91"/>
      <c r="H483" s="92"/>
      <c r="I483" s="91"/>
      <c r="J483" s="89"/>
      <c r="K483" s="89"/>
      <c r="L483" s="89"/>
      <c r="M483" s="89"/>
      <c r="N483" s="89"/>
      <c r="O483" s="93"/>
      <c r="P483" s="94"/>
      <c r="Q483" s="144"/>
      <c r="R483" s="95"/>
      <c r="S483" s="96"/>
      <c r="T483" s="96"/>
      <c r="U483" s="96"/>
      <c r="V483" s="92"/>
      <c r="W483" s="89"/>
      <c r="X483" s="89"/>
      <c r="Y483" s="97"/>
      <c r="Z483" s="89"/>
      <c r="AA483" s="96"/>
      <c r="AB483" s="90"/>
      <c r="AC483" s="119"/>
      <c r="AD483" s="89"/>
      <c r="AE483" s="229"/>
      <c r="AF483" s="98"/>
      <c r="AG483" s="94"/>
      <c r="AH483" s="98"/>
      <c r="AI483" s="99"/>
      <c r="AJ483" s="99"/>
      <c r="AK483" s="99"/>
      <c r="AU483" s="45"/>
    </row>
    <row r="484" spans="1:47" ht="12" customHeight="1">
      <c r="A484" s="87"/>
      <c r="B484" s="88"/>
      <c r="C484" s="90"/>
      <c r="D484" s="89"/>
      <c r="E484" s="111"/>
      <c r="F484" s="220"/>
      <c r="G484" s="91"/>
      <c r="H484" s="92"/>
      <c r="I484" s="91"/>
      <c r="J484" s="89"/>
      <c r="K484" s="89"/>
      <c r="L484" s="89"/>
      <c r="M484" s="89"/>
      <c r="N484" s="89"/>
      <c r="O484" s="93"/>
      <c r="P484" s="94"/>
      <c r="Q484" s="144"/>
      <c r="R484" s="95"/>
      <c r="S484" s="96"/>
      <c r="T484" s="96"/>
      <c r="U484" s="96"/>
      <c r="V484" s="92"/>
      <c r="W484" s="89"/>
      <c r="X484" s="89"/>
      <c r="Y484" s="97"/>
      <c r="Z484" s="89"/>
      <c r="AA484" s="96"/>
      <c r="AB484" s="90"/>
      <c r="AC484" s="119"/>
      <c r="AD484" s="89"/>
      <c r="AE484" s="229"/>
      <c r="AF484" s="98"/>
      <c r="AG484" s="94"/>
      <c r="AH484" s="98"/>
      <c r="AI484" s="99"/>
      <c r="AJ484" s="99"/>
      <c r="AK484" s="99"/>
      <c r="AU484" s="45"/>
    </row>
    <row r="485" spans="1:47" ht="12" customHeight="1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89"/>
      <c r="X485" s="89"/>
      <c r="Y485" s="97"/>
      <c r="Z485" s="89"/>
      <c r="AA485" s="96"/>
      <c r="AB485" s="90"/>
      <c r="AC485" s="119"/>
      <c r="AD485" s="89"/>
      <c r="AE485" s="229"/>
      <c r="AF485" s="98"/>
      <c r="AG485" s="94"/>
      <c r="AH485" s="98"/>
      <c r="AI485" s="99"/>
      <c r="AJ485" s="99"/>
      <c r="AK485" s="99"/>
      <c r="AU485" s="45"/>
    </row>
    <row r="486" spans="1:47" ht="12" customHeight="1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89"/>
      <c r="X486" s="89"/>
      <c r="Y486" s="97"/>
      <c r="Z486" s="89"/>
      <c r="AA486" s="96"/>
      <c r="AB486" s="90"/>
      <c r="AC486" s="119"/>
      <c r="AD486" s="89"/>
      <c r="AE486" s="229"/>
      <c r="AF486" s="98"/>
      <c r="AG486" s="94"/>
      <c r="AH486" s="98"/>
      <c r="AI486" s="99"/>
      <c r="AJ486" s="99"/>
      <c r="AK486" s="99"/>
      <c r="AU486" s="45"/>
    </row>
    <row r="487" spans="1:47" ht="12" customHeight="1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124"/>
      <c r="X487" s="122"/>
      <c r="Y487" s="97"/>
      <c r="Z487" s="89"/>
      <c r="AA487" s="96"/>
      <c r="AB487" s="90"/>
      <c r="AC487" s="119"/>
      <c r="AD487" s="89"/>
      <c r="AE487" s="229"/>
      <c r="AF487" s="98"/>
      <c r="AG487" s="94"/>
      <c r="AH487" s="98"/>
      <c r="AI487" s="99"/>
      <c r="AJ487" s="99"/>
      <c r="AK487" s="99"/>
      <c r="AU487" s="45"/>
    </row>
    <row r="488" spans="1:47" ht="12" customHeight="1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88"/>
      <c r="W488" s="124"/>
      <c r="X488" s="122"/>
      <c r="Y488" s="97"/>
      <c r="Z488" s="89"/>
      <c r="AA488" s="96"/>
      <c r="AB488" s="90"/>
      <c r="AC488" s="119"/>
      <c r="AD488" s="89"/>
      <c r="AE488" s="229"/>
      <c r="AF488" s="98"/>
      <c r="AG488" s="94"/>
      <c r="AH488" s="98"/>
      <c r="AI488" s="99"/>
      <c r="AJ488" s="99"/>
      <c r="AK488" s="99"/>
      <c r="AU488" s="45"/>
    </row>
    <row r="489" spans="1:47" ht="12" customHeight="1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88"/>
      <c r="W489" s="124"/>
      <c r="X489" s="122"/>
      <c r="Y489" s="97"/>
      <c r="Z489" s="89"/>
      <c r="AA489" s="96"/>
      <c r="AB489" s="90"/>
      <c r="AC489" s="119"/>
      <c r="AD489" s="89"/>
      <c r="AE489" s="229"/>
      <c r="AF489" s="98"/>
      <c r="AG489" s="94"/>
      <c r="AH489" s="98"/>
      <c r="AI489" s="99"/>
      <c r="AJ489" s="99"/>
      <c r="AK489" s="99"/>
      <c r="AU489" s="45"/>
    </row>
    <row r="490" spans="1:47" ht="12" customHeight="1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88"/>
      <c r="W490" s="124"/>
      <c r="X490" s="122"/>
      <c r="Y490" s="97"/>
      <c r="Z490" s="89"/>
      <c r="AA490" s="96"/>
      <c r="AB490" s="90"/>
      <c r="AC490" s="119"/>
      <c r="AD490" s="89"/>
      <c r="AE490" s="229"/>
      <c r="AF490" s="98"/>
      <c r="AG490" s="94"/>
      <c r="AH490" s="98"/>
      <c r="AI490" s="99"/>
      <c r="AJ490" s="99"/>
      <c r="AK490" s="99"/>
      <c r="AU490" s="45"/>
    </row>
    <row r="491" spans="1:47" ht="12" customHeight="1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124"/>
      <c r="X491" s="92"/>
      <c r="Y491" s="97"/>
      <c r="Z491" s="89"/>
      <c r="AA491" s="96"/>
      <c r="AB491" s="90"/>
      <c r="AC491" s="119"/>
      <c r="AD491" s="89"/>
      <c r="AE491" s="229"/>
      <c r="AF491" s="98"/>
      <c r="AG491" s="94"/>
      <c r="AH491" s="98"/>
      <c r="AI491" s="99"/>
      <c r="AJ491" s="99"/>
      <c r="AK491" s="99"/>
      <c r="AU491" s="45"/>
    </row>
    <row r="492" spans="1:47" ht="12" customHeight="1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124"/>
      <c r="X492" s="92"/>
      <c r="Y492" s="97"/>
      <c r="Z492" s="89"/>
      <c r="AA492" s="96"/>
      <c r="AB492" s="90"/>
      <c r="AC492" s="119"/>
      <c r="AD492" s="89"/>
      <c r="AE492" s="229"/>
      <c r="AF492" s="98"/>
      <c r="AG492" s="98"/>
      <c r="AH492" s="98"/>
      <c r="AI492" s="99"/>
      <c r="AJ492" s="99"/>
      <c r="AK492" s="99"/>
      <c r="AU492" s="45"/>
    </row>
    <row r="493" spans="1:47" ht="12" customHeight="1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124"/>
      <c r="X493" s="92"/>
      <c r="Y493" s="97"/>
      <c r="Z493" s="89"/>
      <c r="AA493" s="96"/>
      <c r="AB493" s="90"/>
      <c r="AC493" s="119"/>
      <c r="AD493" s="89"/>
      <c r="AE493" s="229"/>
      <c r="AF493" s="98"/>
      <c r="AG493" s="98"/>
      <c r="AH493" s="98"/>
      <c r="AI493" s="99"/>
      <c r="AJ493" s="99"/>
      <c r="AK493" s="99"/>
      <c r="AU493" s="45"/>
    </row>
    <row r="494" spans="1:47" ht="12" customHeight="1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88"/>
      <c r="W494" s="124"/>
      <c r="X494" s="92"/>
      <c r="Y494" s="97"/>
      <c r="Z494" s="89"/>
      <c r="AA494" s="96"/>
      <c r="AB494" s="90"/>
      <c r="AC494" s="119"/>
      <c r="AD494" s="89"/>
      <c r="AE494" s="229"/>
      <c r="AF494" s="98"/>
      <c r="AG494" s="98"/>
      <c r="AH494" s="98"/>
      <c r="AI494" s="99"/>
      <c r="AJ494" s="99"/>
      <c r="AK494" s="99"/>
      <c r="AU494" s="45"/>
    </row>
    <row r="495" spans="1:47" ht="12" customHeight="1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88"/>
      <c r="W495" s="124"/>
      <c r="X495" s="92"/>
      <c r="Y495" s="97"/>
      <c r="Z495" s="89"/>
      <c r="AA495" s="96"/>
      <c r="AB495" s="90"/>
      <c r="AC495" s="119"/>
      <c r="AD495" s="89"/>
      <c r="AE495" s="229"/>
      <c r="AF495" s="98"/>
      <c r="AG495" s="98"/>
      <c r="AH495" s="98"/>
      <c r="AI495" s="99"/>
      <c r="AJ495" s="99"/>
      <c r="AK495" s="99"/>
      <c r="AU495" s="45"/>
    </row>
    <row r="496" spans="1:47" ht="12" customHeight="1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88"/>
      <c r="W496" s="124"/>
      <c r="X496" s="92"/>
      <c r="Y496" s="97"/>
      <c r="Z496" s="89"/>
      <c r="AA496" s="96"/>
      <c r="AB496" s="90"/>
      <c r="AC496" s="119"/>
      <c r="AD496" s="89"/>
      <c r="AE496" s="229"/>
      <c r="AF496" s="98"/>
      <c r="AG496" s="98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113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88"/>
      <c r="W497" s="124"/>
      <c r="X497" s="92"/>
      <c r="Y497" s="97"/>
      <c r="Z497" s="89"/>
      <c r="AA497" s="96"/>
      <c r="AB497" s="90"/>
      <c r="AC497" s="119"/>
      <c r="AD497" s="89"/>
      <c r="AE497" s="229"/>
      <c r="AF497" s="98"/>
      <c r="AG497" s="98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113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88"/>
      <c r="W498" s="124"/>
      <c r="X498" s="92"/>
      <c r="Y498" s="97"/>
      <c r="Z498" s="89"/>
      <c r="AA498" s="96"/>
      <c r="AB498" s="90"/>
      <c r="AC498" s="119"/>
      <c r="AD498" s="89"/>
      <c r="AE498" s="229"/>
      <c r="AF498" s="98"/>
      <c r="AG498" s="98"/>
      <c r="AH498" s="98"/>
      <c r="AI498" s="99"/>
      <c r="AJ498" s="99"/>
      <c r="AK498" s="99"/>
      <c r="AU498" s="45"/>
    </row>
    <row r="499" spans="1:47" ht="12" customHeight="1">
      <c r="A499" s="87"/>
      <c r="B499" s="92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0"/>
      <c r="P499" s="94"/>
      <c r="Q499" s="144"/>
      <c r="R499" s="96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229"/>
      <c r="AF499" s="98"/>
      <c r="AG499" s="94"/>
      <c r="AH499" s="98"/>
      <c r="AI499" s="99"/>
      <c r="AJ499" s="99"/>
      <c r="AK499" s="99"/>
      <c r="AU499" s="45"/>
    </row>
    <row r="500" spans="1:47" ht="12" customHeight="1">
      <c r="A500" s="87"/>
      <c r="B500" s="92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0"/>
      <c r="P500" s="94"/>
      <c r="Q500" s="144"/>
      <c r="R500" s="96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229"/>
      <c r="AF500" s="98"/>
      <c r="AG500" s="98"/>
      <c r="AH500" s="98"/>
      <c r="AI500" s="99"/>
      <c r="AJ500" s="99"/>
      <c r="AK500" s="99"/>
      <c r="AU500" s="45"/>
    </row>
    <row r="501" spans="1:47" ht="12" customHeight="1">
      <c r="A501" s="87"/>
      <c r="B501" s="92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0"/>
      <c r="P501" s="94"/>
      <c r="Q501" s="144"/>
      <c r="R501" s="96"/>
      <c r="S501" s="96"/>
      <c r="T501" s="96"/>
      <c r="U501" s="96"/>
      <c r="V501" s="92"/>
      <c r="W501" s="92"/>
      <c r="X501" s="92"/>
      <c r="Y501" s="97"/>
      <c r="Z501" s="89"/>
      <c r="AA501" s="96"/>
      <c r="AB501" s="90"/>
      <c r="AC501" s="119"/>
      <c r="AD501" s="89"/>
      <c r="AE501" s="229"/>
      <c r="AF501" s="98"/>
      <c r="AG501" s="98"/>
      <c r="AH501" s="98"/>
      <c r="AI501" s="99"/>
      <c r="AJ501" s="99"/>
      <c r="AK501" s="99"/>
      <c r="AU501" s="45"/>
    </row>
    <row r="502" spans="1:47" ht="12" customHeight="1">
      <c r="A502" s="87"/>
      <c r="B502" s="92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0"/>
      <c r="P502" s="94"/>
      <c r="Q502" s="14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9"/>
      <c r="AD502" s="89"/>
      <c r="AE502" s="229"/>
      <c r="AF502" s="98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92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0"/>
      <c r="P503" s="94"/>
      <c r="Q503" s="14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9"/>
      <c r="AD503" s="89"/>
      <c r="AE503" s="229"/>
      <c r="AF503" s="98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92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0"/>
      <c r="P504" s="94"/>
      <c r="Q504" s="14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9"/>
      <c r="AD504" s="89"/>
      <c r="AE504" s="229"/>
      <c r="AF504" s="98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92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0"/>
      <c r="P505" s="94"/>
      <c r="Q505" s="144"/>
      <c r="R505" s="96"/>
      <c r="S505" s="96"/>
      <c r="T505" s="96"/>
      <c r="U505" s="96"/>
      <c r="V505" s="92"/>
      <c r="W505" s="122"/>
      <c r="X505" s="89"/>
      <c r="Y505" s="97"/>
      <c r="Z505" s="89"/>
      <c r="AA505" s="96"/>
      <c r="AB505" s="90"/>
      <c r="AC505" s="119"/>
      <c r="AD505" s="89"/>
      <c r="AE505" s="229"/>
      <c r="AF505" s="98"/>
      <c r="AG505" s="94"/>
      <c r="AH505" s="98"/>
      <c r="AI505" s="99"/>
      <c r="AJ505" s="99"/>
      <c r="AK505" s="99"/>
      <c r="AU505" s="45"/>
    </row>
    <row r="506" spans="1:47" ht="12" customHeight="1">
      <c r="A506" s="87"/>
      <c r="B506" s="92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0"/>
      <c r="P506" s="94"/>
      <c r="Q506" s="144"/>
      <c r="R506" s="96"/>
      <c r="S506" s="96"/>
      <c r="T506" s="96"/>
      <c r="U506" s="96"/>
      <c r="V506" s="92"/>
      <c r="W506" s="92"/>
      <c r="X506" s="92"/>
      <c r="Y506" s="97"/>
      <c r="Z506" s="89"/>
      <c r="AA506" s="96"/>
      <c r="AB506" s="90"/>
      <c r="AC506" s="119"/>
      <c r="AD506" s="89"/>
      <c r="AE506" s="229"/>
      <c r="AF506" s="98"/>
      <c r="AG506" s="98"/>
      <c r="AH506" s="98"/>
      <c r="AI506" s="99"/>
      <c r="AJ506" s="99"/>
      <c r="AK506" s="99"/>
      <c r="AU506" s="45"/>
    </row>
    <row r="507" spans="1:47" ht="12" customHeight="1">
      <c r="A507" s="87"/>
      <c r="B507" s="92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0"/>
      <c r="P507" s="94"/>
      <c r="Q507" s="144"/>
      <c r="R507" s="96"/>
      <c r="S507" s="96"/>
      <c r="T507" s="96"/>
      <c r="U507" s="96"/>
      <c r="V507" s="92"/>
      <c r="W507" s="92"/>
      <c r="X507" s="92"/>
      <c r="Y507" s="97"/>
      <c r="Z507" s="89"/>
      <c r="AA507" s="96"/>
      <c r="AB507" s="90"/>
      <c r="AC507" s="119"/>
      <c r="AD507" s="89"/>
      <c r="AE507" s="229"/>
      <c r="AF507" s="98"/>
      <c r="AG507" s="98"/>
      <c r="AH507" s="98"/>
      <c r="AI507" s="99"/>
      <c r="AJ507" s="99"/>
      <c r="AK507" s="99"/>
      <c r="AU507" s="45"/>
    </row>
    <row r="508" spans="1:47" ht="12" customHeight="1">
      <c r="A508" s="87"/>
      <c r="B508" s="92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0"/>
      <c r="P508" s="94"/>
      <c r="Q508" s="144"/>
      <c r="R508" s="96"/>
      <c r="S508" s="96"/>
      <c r="T508" s="96"/>
      <c r="U508" s="96"/>
      <c r="V508" s="92"/>
      <c r="W508" s="92"/>
      <c r="X508" s="92"/>
      <c r="Y508" s="97"/>
      <c r="Z508" s="89"/>
      <c r="AA508" s="96"/>
      <c r="AB508" s="90"/>
      <c r="AC508" s="119"/>
      <c r="AD508" s="89"/>
      <c r="AE508" s="229"/>
      <c r="AF508" s="98"/>
      <c r="AG508" s="98"/>
      <c r="AH508" s="98"/>
      <c r="AI508" s="99"/>
      <c r="AJ508" s="99"/>
      <c r="AK508" s="99"/>
      <c r="AU508" s="45"/>
    </row>
    <row r="509" spans="1:47" ht="12" customHeight="1">
      <c r="A509" s="87"/>
      <c r="B509" s="92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0"/>
      <c r="P509" s="94"/>
      <c r="Q509" s="144"/>
      <c r="R509" s="96"/>
      <c r="S509" s="96"/>
      <c r="T509" s="96"/>
      <c r="U509" s="96"/>
      <c r="V509" s="92"/>
      <c r="W509" s="92"/>
      <c r="X509" s="92"/>
      <c r="Y509" s="97"/>
      <c r="Z509" s="89"/>
      <c r="AA509" s="96"/>
      <c r="AB509" s="90"/>
      <c r="AC509" s="119"/>
      <c r="AD509" s="89"/>
      <c r="AE509" s="229"/>
      <c r="AF509" s="98"/>
      <c r="AG509" s="98"/>
      <c r="AH509" s="98"/>
      <c r="AI509" s="99"/>
      <c r="AJ509" s="99"/>
      <c r="AK509" s="99"/>
      <c r="AU509" s="45"/>
    </row>
    <row r="510" spans="1:47" ht="12" customHeight="1">
      <c r="A510" s="87"/>
      <c r="B510" s="92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0"/>
      <c r="P510" s="94"/>
      <c r="Q510" s="144"/>
      <c r="R510" s="96"/>
      <c r="S510" s="96"/>
      <c r="T510" s="96"/>
      <c r="U510" s="96"/>
      <c r="V510" s="92"/>
      <c r="W510" s="92"/>
      <c r="X510" s="92"/>
      <c r="Y510" s="97"/>
      <c r="Z510" s="89"/>
      <c r="AA510" s="96"/>
      <c r="AB510" s="90"/>
      <c r="AC510" s="119"/>
      <c r="AD510" s="89"/>
      <c r="AE510" s="229"/>
      <c r="AF510" s="98"/>
      <c r="AG510" s="98"/>
      <c r="AH510" s="98"/>
      <c r="AI510" s="99"/>
      <c r="AJ510" s="99"/>
      <c r="AK510" s="99"/>
      <c r="AU510" s="45"/>
    </row>
    <row r="511" spans="1:47" ht="12" customHeight="1">
      <c r="A511" s="87"/>
      <c r="B511" s="92"/>
      <c r="C511" s="90"/>
      <c r="D511" s="89"/>
      <c r="E511" s="111"/>
      <c r="F511" s="220"/>
      <c r="G511" s="91"/>
      <c r="H511" s="92"/>
      <c r="I511" s="91"/>
      <c r="J511" s="89"/>
      <c r="K511" s="89"/>
      <c r="L511" s="89"/>
      <c r="M511" s="89"/>
      <c r="N511" s="89"/>
      <c r="O511" s="90"/>
      <c r="P511" s="94"/>
      <c r="Q511" s="144"/>
      <c r="R511" s="96"/>
      <c r="S511" s="96"/>
      <c r="T511" s="96"/>
      <c r="U511" s="96"/>
      <c r="V511" s="92"/>
      <c r="W511" s="92"/>
      <c r="X511" s="92"/>
      <c r="Y511" s="97"/>
      <c r="Z511" s="89"/>
      <c r="AA511" s="96"/>
      <c r="AB511" s="90"/>
      <c r="AC511" s="119"/>
      <c r="AD511" s="89"/>
      <c r="AE511" s="229"/>
      <c r="AF511" s="98"/>
      <c r="AG511" s="98"/>
      <c r="AH511" s="98"/>
      <c r="AI511" s="99"/>
      <c r="AJ511" s="99"/>
      <c r="AK511" s="99"/>
      <c r="AU511" s="45"/>
    </row>
    <row r="512" spans="1:47" ht="12" customHeight="1">
      <c r="A512" s="87"/>
      <c r="B512" s="92"/>
      <c r="C512" s="90"/>
      <c r="D512" s="89"/>
      <c r="E512" s="111"/>
      <c r="F512" s="220"/>
      <c r="G512" s="91"/>
      <c r="H512" s="92"/>
      <c r="I512" s="91"/>
      <c r="J512" s="89"/>
      <c r="K512" s="89"/>
      <c r="L512" s="89"/>
      <c r="M512" s="89"/>
      <c r="N512" s="89"/>
      <c r="O512" s="90"/>
      <c r="P512" s="94"/>
      <c r="Q512" s="144"/>
      <c r="R512" s="96"/>
      <c r="S512" s="96"/>
      <c r="T512" s="96"/>
      <c r="U512" s="96"/>
      <c r="V512" s="92"/>
      <c r="W512" s="92"/>
      <c r="X512" s="89"/>
      <c r="Y512" s="97"/>
      <c r="Z512" s="89"/>
      <c r="AA512" s="96"/>
      <c r="AB512" s="90"/>
      <c r="AC512" s="119"/>
      <c r="AD512" s="89"/>
      <c r="AE512" s="229"/>
      <c r="AF512" s="94"/>
      <c r="AG512" s="94"/>
      <c r="AH512" s="94"/>
      <c r="AI512" s="99"/>
      <c r="AJ512" s="99"/>
      <c r="AK512" s="99"/>
      <c r="AU512" s="45"/>
    </row>
    <row r="513" spans="1:47" ht="12" customHeight="1">
      <c r="A513" s="87"/>
      <c r="B513" s="92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0"/>
      <c r="P513" s="94"/>
      <c r="Q513" s="144"/>
      <c r="R513" s="96"/>
      <c r="S513" s="96"/>
      <c r="T513" s="96"/>
      <c r="U513" s="96"/>
      <c r="V513" s="92"/>
      <c r="W513" s="89"/>
      <c r="X513" s="89"/>
      <c r="Y513" s="97"/>
      <c r="Z513" s="89"/>
      <c r="AA513" s="96"/>
      <c r="AB513" s="90"/>
      <c r="AC513" s="119"/>
      <c r="AD513" s="89"/>
      <c r="AE513" s="229"/>
      <c r="AF513" s="94"/>
      <c r="AG513" s="94"/>
      <c r="AH513" s="94"/>
      <c r="AI513" s="99"/>
      <c r="AJ513" s="99"/>
      <c r="AK513" s="99"/>
      <c r="AU513" s="45"/>
    </row>
    <row r="514" spans="1:47" ht="12" customHeight="1">
      <c r="A514" s="87"/>
      <c r="B514" s="92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0"/>
      <c r="P514" s="94"/>
      <c r="Q514" s="144"/>
      <c r="R514" s="96"/>
      <c r="S514" s="96"/>
      <c r="T514" s="96"/>
      <c r="U514" s="96"/>
      <c r="V514" s="92"/>
      <c r="W514" s="89"/>
      <c r="X514" s="89"/>
      <c r="Y514" s="97"/>
      <c r="Z514" s="89"/>
      <c r="AA514" s="96"/>
      <c r="AB514" s="90"/>
      <c r="AC514" s="119"/>
      <c r="AD514" s="89"/>
      <c r="AE514" s="229"/>
      <c r="AF514" s="94"/>
      <c r="AG514" s="94"/>
      <c r="AH514" s="94"/>
      <c r="AI514" s="99"/>
      <c r="AJ514" s="99"/>
      <c r="AK514" s="99"/>
      <c r="AU514" s="45"/>
    </row>
    <row r="515" spans="1:47" ht="12" customHeight="1">
      <c r="A515" s="87"/>
      <c r="B515" s="92"/>
      <c r="C515" s="90"/>
      <c r="D515" s="89"/>
      <c r="E515" s="111"/>
      <c r="F515" s="220"/>
      <c r="G515" s="91"/>
      <c r="H515" s="92"/>
      <c r="I515" s="91"/>
      <c r="J515" s="89"/>
      <c r="K515" s="89"/>
      <c r="L515" s="89"/>
      <c r="M515" s="89"/>
      <c r="N515" s="89"/>
      <c r="O515" s="90"/>
      <c r="P515" s="94"/>
      <c r="Q515" s="144"/>
      <c r="R515" s="96"/>
      <c r="S515" s="96"/>
      <c r="T515" s="96"/>
      <c r="U515" s="96"/>
      <c r="V515" s="92"/>
      <c r="W515" s="89"/>
      <c r="X515" s="89"/>
      <c r="Y515" s="97"/>
      <c r="Z515" s="89"/>
      <c r="AA515" s="96"/>
      <c r="AB515" s="90"/>
      <c r="AC515" s="119"/>
      <c r="AD515" s="89"/>
      <c r="AE515" s="229"/>
      <c r="AF515" s="94"/>
      <c r="AG515" s="94"/>
      <c r="AH515" s="94"/>
      <c r="AI515" s="99"/>
      <c r="AJ515" s="99"/>
      <c r="AK515" s="99"/>
      <c r="AU515" s="45"/>
    </row>
    <row r="516" spans="1:47" ht="12" customHeight="1">
      <c r="A516" s="87"/>
      <c r="B516" s="92"/>
      <c r="C516" s="90"/>
      <c r="D516" s="89"/>
      <c r="E516" s="111"/>
      <c r="F516" s="220"/>
      <c r="G516" s="91"/>
      <c r="H516" s="92"/>
      <c r="I516" s="91"/>
      <c r="J516" s="89"/>
      <c r="K516" s="89"/>
      <c r="L516" s="89"/>
      <c r="M516" s="89"/>
      <c r="N516" s="89"/>
      <c r="O516" s="90"/>
      <c r="P516" s="94"/>
      <c r="Q516" s="144"/>
      <c r="R516" s="96"/>
      <c r="S516" s="96"/>
      <c r="T516" s="96"/>
      <c r="U516" s="96"/>
      <c r="V516" s="92"/>
      <c r="W516" s="89"/>
      <c r="X516" s="89"/>
      <c r="Y516" s="97"/>
      <c r="Z516" s="89"/>
      <c r="AA516" s="96"/>
      <c r="AB516" s="90"/>
      <c r="AC516" s="119"/>
      <c r="AD516" s="89"/>
      <c r="AE516" s="229"/>
      <c r="AF516" s="94"/>
      <c r="AG516" s="98"/>
      <c r="AH516" s="94"/>
      <c r="AI516" s="99"/>
      <c r="AJ516" s="99"/>
      <c r="AK516" s="99"/>
      <c r="AU516" s="45"/>
    </row>
    <row r="517" spans="1:47" ht="12" customHeight="1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6"/>
      <c r="S517" s="96"/>
      <c r="T517" s="96"/>
      <c r="U517" s="96"/>
      <c r="V517" s="92"/>
      <c r="W517" s="92"/>
      <c r="X517" s="122"/>
      <c r="Y517" s="97"/>
      <c r="Z517" s="89"/>
      <c r="AA517" s="96"/>
      <c r="AB517" s="90"/>
      <c r="AC517" s="119"/>
      <c r="AD517" s="89"/>
      <c r="AE517" s="229"/>
      <c r="AF517" s="94"/>
      <c r="AG517" s="94"/>
      <c r="AH517" s="94"/>
      <c r="AI517" s="99"/>
      <c r="AJ517" s="99"/>
      <c r="AK517" s="99"/>
      <c r="AU517" s="45"/>
    </row>
    <row r="518" spans="1:47" ht="12" customHeight="1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6"/>
      <c r="S518" s="96"/>
      <c r="T518" s="96"/>
      <c r="U518" s="96"/>
      <c r="V518" s="92"/>
      <c r="W518" s="92"/>
      <c r="X518" s="122"/>
      <c r="Y518" s="97"/>
      <c r="Z518" s="89"/>
      <c r="AA518" s="96"/>
      <c r="AB518" s="90"/>
      <c r="AC518" s="119"/>
      <c r="AD518" s="89"/>
      <c r="AE518" s="229"/>
      <c r="AF518" s="94"/>
      <c r="AG518" s="94"/>
      <c r="AH518" s="94"/>
      <c r="AI518" s="99"/>
      <c r="AJ518" s="99"/>
      <c r="AK518" s="99"/>
      <c r="AU518" s="45"/>
    </row>
    <row r="519" spans="1:47" ht="12" customHeight="1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5"/>
      <c r="S519" s="96"/>
      <c r="T519" s="96"/>
      <c r="U519" s="96"/>
      <c r="V519" s="92"/>
      <c r="W519" s="92"/>
      <c r="X519" s="89"/>
      <c r="Y519" s="97"/>
      <c r="Z519" s="89"/>
      <c r="AA519" s="96"/>
      <c r="AB519" s="90"/>
      <c r="AC519" s="119"/>
      <c r="AD519" s="89"/>
      <c r="AE519" s="229"/>
      <c r="AF519" s="94"/>
      <c r="AG519" s="94"/>
      <c r="AH519" s="94"/>
      <c r="AI519" s="99"/>
      <c r="AJ519" s="99"/>
      <c r="AK519" s="99"/>
      <c r="AU519" s="45"/>
    </row>
    <row r="520" spans="1:47" ht="12" customHeight="1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5"/>
      <c r="S520" s="96"/>
      <c r="T520" s="96"/>
      <c r="U520" s="96"/>
      <c r="V520" s="92"/>
      <c r="W520" s="92"/>
      <c r="X520" s="89"/>
      <c r="Y520" s="97"/>
      <c r="Z520" s="89"/>
      <c r="AA520" s="96"/>
      <c r="AB520" s="90"/>
      <c r="AC520" s="119"/>
      <c r="AD520" s="89"/>
      <c r="AE520" s="229"/>
      <c r="AF520" s="94"/>
      <c r="AG520" s="94"/>
      <c r="AH520" s="94"/>
      <c r="AI520" s="99"/>
      <c r="AJ520" s="99"/>
      <c r="AK520" s="99"/>
      <c r="AU520" s="45"/>
    </row>
    <row r="521" spans="1:47" ht="12" customHeight="1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6"/>
      <c r="S521" s="96"/>
      <c r="T521" s="96"/>
      <c r="U521" s="96"/>
      <c r="V521" s="92"/>
      <c r="W521" s="92"/>
      <c r="X521" s="92"/>
      <c r="Y521" s="97"/>
      <c r="Z521" s="89"/>
      <c r="AA521" s="96"/>
      <c r="AB521" s="90"/>
      <c r="AC521" s="119"/>
      <c r="AD521" s="89"/>
      <c r="AE521" s="229"/>
      <c r="AF521" s="94"/>
      <c r="AG521" s="94"/>
      <c r="AH521" s="98"/>
      <c r="AI521" s="99"/>
      <c r="AJ521" s="99"/>
      <c r="AK521" s="99"/>
      <c r="AU521" s="45"/>
    </row>
    <row r="522" spans="1:47" ht="12" customHeight="1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6"/>
      <c r="S522" s="96"/>
      <c r="T522" s="96"/>
      <c r="U522" s="96"/>
      <c r="V522" s="92"/>
      <c r="W522" s="92"/>
      <c r="X522" s="92"/>
      <c r="Y522" s="97"/>
      <c r="Z522" s="89"/>
      <c r="AA522" s="96"/>
      <c r="AB522" s="90"/>
      <c r="AC522" s="119"/>
      <c r="AD522" s="89"/>
      <c r="AE522" s="229"/>
      <c r="AF522" s="94"/>
      <c r="AG522" s="94"/>
      <c r="AH522" s="98"/>
      <c r="AI522" s="99"/>
      <c r="AJ522" s="99"/>
      <c r="AK522" s="99"/>
      <c r="AU522" s="45"/>
    </row>
    <row r="523" spans="1:47" ht="12" customHeight="1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92"/>
      <c r="X523" s="92"/>
      <c r="Y523" s="97"/>
      <c r="Z523" s="89"/>
      <c r="AA523" s="96"/>
      <c r="AB523" s="90"/>
      <c r="AC523" s="119"/>
      <c r="AD523" s="89"/>
      <c r="AE523" s="229"/>
      <c r="AF523" s="94"/>
      <c r="AG523" s="94"/>
      <c r="AH523" s="98"/>
      <c r="AI523" s="99"/>
      <c r="AJ523" s="99"/>
      <c r="AK523" s="99"/>
      <c r="AU523" s="45"/>
    </row>
    <row r="524" spans="1:47" ht="12" customHeight="1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122"/>
      <c r="X524" s="89"/>
      <c r="Y524" s="97"/>
      <c r="Z524" s="89"/>
      <c r="AA524" s="96"/>
      <c r="AB524" s="90"/>
      <c r="AC524" s="119"/>
      <c r="AD524" s="89"/>
      <c r="AE524" s="229"/>
      <c r="AF524" s="94"/>
      <c r="AG524" s="94"/>
      <c r="AH524" s="94"/>
      <c r="AI524" s="99"/>
      <c r="AJ524" s="99"/>
      <c r="AK524" s="99"/>
      <c r="AU524" s="45"/>
    </row>
    <row r="525" spans="1:47" ht="12" customHeight="1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89"/>
      <c r="Y525" s="97"/>
      <c r="Z525" s="89"/>
      <c r="AA525" s="96"/>
      <c r="AB525" s="90"/>
      <c r="AC525" s="119"/>
      <c r="AD525" s="89"/>
      <c r="AE525" s="229"/>
      <c r="AF525" s="94"/>
      <c r="AG525" s="94"/>
      <c r="AH525" s="94"/>
      <c r="AI525" s="99"/>
      <c r="AJ525" s="99"/>
      <c r="AK525" s="99"/>
      <c r="AU525" s="45"/>
    </row>
    <row r="526" spans="1:47" ht="12" customHeight="1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122"/>
      <c r="X526" s="89"/>
      <c r="Y526" s="97"/>
      <c r="Z526" s="89"/>
      <c r="AA526" s="96"/>
      <c r="AB526" s="90"/>
      <c r="AC526" s="119"/>
      <c r="AD526" s="89"/>
      <c r="AE526" s="229"/>
      <c r="AF526" s="94"/>
      <c r="AG526" s="94"/>
      <c r="AH526" s="94"/>
      <c r="AI526" s="99"/>
      <c r="AJ526" s="99"/>
      <c r="AK526" s="99"/>
      <c r="AU526" s="45"/>
    </row>
    <row r="527" spans="1:47" ht="12" customHeight="1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5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9"/>
      <c r="AD527" s="89"/>
      <c r="AE527" s="229"/>
      <c r="AF527" s="94"/>
      <c r="AG527" s="94"/>
      <c r="AH527" s="94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5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9"/>
      <c r="AD528" s="89"/>
      <c r="AE528" s="229"/>
      <c r="AF528" s="94"/>
      <c r="AG528" s="94"/>
      <c r="AH528" s="94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92"/>
      <c r="X529" s="89"/>
      <c r="Y529" s="97"/>
      <c r="Z529" s="89"/>
      <c r="AA529" s="96"/>
      <c r="AB529" s="90"/>
      <c r="AC529" s="119"/>
      <c r="AD529" s="89"/>
      <c r="AE529" s="229"/>
      <c r="AF529" s="94"/>
      <c r="AG529" s="94"/>
      <c r="AH529" s="94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9"/>
      <c r="AD530" s="89"/>
      <c r="AE530" s="229"/>
      <c r="AF530" s="94"/>
      <c r="AG530" s="94"/>
      <c r="AH530" s="94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143"/>
      <c r="Q531" s="14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9"/>
      <c r="AD531" s="89"/>
      <c r="AE531" s="229"/>
      <c r="AF531" s="94"/>
      <c r="AG531" s="94"/>
      <c r="AH531" s="94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143"/>
      <c r="Q532" s="14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9"/>
      <c r="AD532" s="89"/>
      <c r="AE532" s="229"/>
      <c r="AF532" s="94"/>
      <c r="AG532" s="94"/>
      <c r="AH532" s="94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143"/>
      <c r="Q533" s="14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9"/>
      <c r="AD533" s="89"/>
      <c r="AE533" s="229"/>
      <c r="AF533" s="94"/>
      <c r="AG533" s="94"/>
      <c r="AH533" s="94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143"/>
      <c r="Q534" s="14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9"/>
      <c r="AD534" s="89"/>
      <c r="AE534" s="229"/>
      <c r="AF534" s="94"/>
      <c r="AG534" s="94"/>
      <c r="AH534" s="94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143"/>
      <c r="Q535" s="144"/>
      <c r="R535" s="96"/>
      <c r="S535" s="96"/>
      <c r="T535" s="96"/>
      <c r="U535" s="96"/>
      <c r="V535" s="92"/>
      <c r="W535" s="89"/>
      <c r="X535" s="89"/>
      <c r="Y535" s="97"/>
      <c r="Z535" s="89"/>
      <c r="AA535" s="96"/>
      <c r="AB535" s="90"/>
      <c r="AC535" s="119"/>
      <c r="AD535" s="89"/>
      <c r="AE535" s="229"/>
      <c r="AF535" s="94"/>
      <c r="AG535" s="94"/>
      <c r="AH535" s="94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143"/>
      <c r="Q536" s="144"/>
      <c r="R536" s="96"/>
      <c r="S536" s="96"/>
      <c r="T536" s="96"/>
      <c r="U536" s="96"/>
      <c r="V536" s="92"/>
      <c r="W536" s="89"/>
      <c r="X536" s="89"/>
      <c r="Y536" s="97"/>
      <c r="Z536" s="89"/>
      <c r="AA536" s="96"/>
      <c r="AB536" s="90"/>
      <c r="AC536" s="119"/>
      <c r="AD536" s="89"/>
      <c r="AE536" s="229"/>
      <c r="AF536" s="94"/>
      <c r="AG536" s="94"/>
      <c r="AH536" s="94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143"/>
      <c r="Q537" s="144"/>
      <c r="R537" s="96"/>
      <c r="S537" s="96"/>
      <c r="T537" s="96"/>
      <c r="U537" s="96"/>
      <c r="V537" s="92"/>
      <c r="W537" s="89"/>
      <c r="X537" s="89"/>
      <c r="Y537" s="97"/>
      <c r="Z537" s="89"/>
      <c r="AA537" s="96"/>
      <c r="AB537" s="90"/>
      <c r="AC537" s="119"/>
      <c r="AD537" s="89"/>
      <c r="AE537" s="229"/>
      <c r="AF537" s="94"/>
      <c r="AG537" s="94"/>
      <c r="AH537" s="94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143"/>
      <c r="Q538" s="144"/>
      <c r="R538" s="96"/>
      <c r="S538" s="96"/>
      <c r="T538" s="96"/>
      <c r="U538" s="96"/>
      <c r="V538" s="92"/>
      <c r="W538" s="89"/>
      <c r="X538" s="89"/>
      <c r="Y538" s="97"/>
      <c r="Z538" s="89"/>
      <c r="AA538" s="96"/>
      <c r="AB538" s="90"/>
      <c r="AC538" s="119"/>
      <c r="AD538" s="89"/>
      <c r="AE538" s="229"/>
      <c r="AF538" s="94"/>
      <c r="AG538" s="94"/>
      <c r="AH538" s="94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143"/>
      <c r="Q539" s="144"/>
      <c r="R539" s="96"/>
      <c r="S539" s="96"/>
      <c r="T539" s="96"/>
      <c r="U539" s="96"/>
      <c r="V539" s="92"/>
      <c r="W539" s="89"/>
      <c r="X539" s="89"/>
      <c r="Y539" s="97"/>
      <c r="Z539" s="89"/>
      <c r="AA539" s="96"/>
      <c r="AB539" s="90"/>
      <c r="AC539" s="119"/>
      <c r="AD539" s="89"/>
      <c r="AE539" s="229"/>
      <c r="AF539" s="94"/>
      <c r="AG539" s="94"/>
      <c r="AH539" s="94"/>
      <c r="AI539" s="99"/>
      <c r="AJ539" s="99"/>
      <c r="AK539" s="99"/>
      <c r="AU539" s="45"/>
    </row>
    <row r="540" spans="1:47" ht="12" customHeight="1">
      <c r="AU540" s="45"/>
    </row>
    <row r="541" spans="1:47" ht="12" customHeight="1">
      <c r="AU541" s="45"/>
    </row>
    <row r="542" spans="1:47" ht="12" customHeight="1">
      <c r="AU542" s="45"/>
    </row>
    <row r="543" spans="1:47" ht="12" customHeight="1">
      <c r="AU543" s="45"/>
    </row>
    <row r="544" spans="1:47" ht="12" customHeight="1">
      <c r="AU544" s="45"/>
    </row>
    <row r="545" spans="47:47" ht="12" customHeight="1">
      <c r="AU545" s="45"/>
    </row>
    <row r="546" spans="47:47" ht="12" customHeight="1">
      <c r="AU546" s="45"/>
    </row>
    <row r="547" spans="47:47" ht="12" customHeight="1">
      <c r="AU547" s="45"/>
    </row>
    <row r="548" spans="47:47" ht="12" customHeight="1">
      <c r="AU548" s="45"/>
    </row>
    <row r="549" spans="47:47" ht="12" customHeight="1">
      <c r="AU549" s="45"/>
    </row>
    <row r="550" spans="47:47" ht="12" customHeight="1">
      <c r="AU550" s="45"/>
    </row>
    <row r="551" spans="47:47" ht="12" customHeight="1">
      <c r="AU551" s="45"/>
    </row>
    <row r="552" spans="47:47" ht="12" customHeight="1">
      <c r="AU552" s="45"/>
    </row>
    <row r="553" spans="47:47" ht="12" customHeight="1">
      <c r="AU553" s="45"/>
    </row>
    <row r="554" spans="47:47" ht="12" customHeight="1">
      <c r="AU554" s="45"/>
    </row>
    <row r="555" spans="47:47" ht="12" customHeight="1">
      <c r="AU555" s="45"/>
    </row>
    <row r="556" spans="47:47" ht="12" customHeight="1">
      <c r="AU556" s="45"/>
    </row>
    <row r="557" spans="47:47" ht="12" customHeight="1">
      <c r="AU557" s="45"/>
    </row>
    <row r="558" spans="47:47" ht="12" customHeight="1">
      <c r="AU558" s="45"/>
    </row>
    <row r="559" spans="47:47" ht="12" customHeight="1">
      <c r="AU559" s="45"/>
    </row>
    <row r="560" spans="47:47" ht="12" customHeight="1">
      <c r="AU560" s="45"/>
    </row>
    <row r="561" spans="47:47" ht="12" customHeight="1">
      <c r="AU561" s="45"/>
    </row>
    <row r="562" spans="47:47" ht="12" customHeight="1">
      <c r="AU562" s="45"/>
    </row>
    <row r="563" spans="47:47" ht="12" customHeight="1">
      <c r="AU563" s="45"/>
    </row>
    <row r="564" spans="47:47" ht="12" customHeight="1">
      <c r="AU564" s="45"/>
    </row>
    <row r="565" spans="47:47" ht="12" customHeight="1">
      <c r="AU565" s="45"/>
    </row>
    <row r="566" spans="47:47" ht="12" customHeight="1">
      <c r="AU566" s="45"/>
    </row>
    <row r="567" spans="47:47" ht="12" customHeight="1">
      <c r="AU567" s="45"/>
    </row>
    <row r="568" spans="47:47" ht="12" customHeight="1">
      <c r="AU568" s="45"/>
    </row>
    <row r="569" spans="47:47" ht="12" customHeight="1">
      <c r="AU569" s="45"/>
    </row>
    <row r="570" spans="47:47" ht="12" customHeight="1">
      <c r="AU570" s="45"/>
    </row>
    <row r="571" spans="47:47" ht="12" customHeight="1">
      <c r="AU571" s="45"/>
    </row>
    <row r="572" spans="47:47" ht="12" customHeight="1">
      <c r="AU572" s="45"/>
    </row>
    <row r="573" spans="47:47" ht="12" customHeight="1">
      <c r="AU573" s="45"/>
    </row>
    <row r="574" spans="47:47" ht="12" customHeight="1">
      <c r="AU574" s="45"/>
    </row>
    <row r="575" spans="47:47" ht="12" customHeight="1">
      <c r="AU575" s="45"/>
    </row>
    <row r="576" spans="47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</sheetData>
  <autoFilter ref="A1:AU118" xr:uid="{9931A248-8A11-4D8E-BACD-A0C0D59E4D18}">
    <filterColumn colId="16">
      <filters>
        <filter val="1. Aceitou o programa"/>
      </filters>
    </filterColumn>
    <filterColumn colId="17">
      <filters>
        <dateGroupItem year="2026" month="6" day="16" dateTimeGrouping="day"/>
        <dateGroupItem year="2026" month="6" day="17" dateTimeGrouping="day"/>
      </filters>
    </filterColumn>
  </autoFilter>
  <conditionalFormatting sqref="A1:A539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40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89">
    <cfRule type="duplicateValues" dxfId="19" priority="291"/>
  </conditionalFormatting>
  <conditionalFormatting sqref="F1">
    <cfRule type="duplicateValues" dxfId="18" priority="5"/>
    <cfRule type="duplicateValues" dxfId="17" priority="7"/>
  </conditionalFormatting>
  <conditionalFormatting sqref="F2:F89">
    <cfRule type="duplicateValues" dxfId="16" priority="293"/>
  </conditionalFormatting>
  <conditionalFormatting sqref="F23:F366">
    <cfRule type="duplicateValues" dxfId="15" priority="508"/>
  </conditionalFormatting>
  <conditionalFormatting sqref="F367:F466">
    <cfRule type="duplicateValues" dxfId="14" priority="20"/>
    <cfRule type="duplicateValues" dxfId="13" priority="21"/>
  </conditionalFormatting>
  <conditionalFormatting sqref="F467:F539">
    <cfRule type="duplicateValues" dxfId="12" priority="22"/>
  </conditionalFormatting>
  <conditionalFormatting sqref="F540:F1048576">
    <cfRule type="duplicateValues" dxfId="11" priority="142"/>
    <cfRule type="duplicateValues" dxfId="10" priority="143"/>
  </conditionalFormatting>
  <conditionalFormatting sqref="J1:J1048576">
    <cfRule type="containsText" dxfId="9" priority="2" operator="containsText" text="M">
      <formula>NOT(ISERROR(SEARCH("M",J1)))</formula>
    </cfRule>
    <cfRule type="containsText" dxfId="8" priority="3" operator="containsText" text="F">
      <formula>NOT(ISERROR(SEARCH("F",J1)))</formula>
    </cfRule>
  </conditionalFormatting>
  <conditionalFormatting sqref="K23:K366">
    <cfRule type="containsText" dxfId="7" priority="17" operator="containsText" text="RJ">
      <formula>NOT(ISERROR(SEARCH("RJ",K23)))</formula>
    </cfRule>
  </conditionalFormatting>
  <conditionalFormatting sqref="AJ2:AJ1048576">
    <cfRule type="containsText" dxfId="6" priority="11" operator="containsText" text="Pendente">
      <formula>NOT(ISERROR(SEARCH("Pendente",AJ2)))</formula>
    </cfRule>
    <cfRule type="containsText" dxfId="5" priority="12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AF2:AF14 AF84 AF92 AF71:AF82 AF86 AF88 AF16:AF69 AF94:AF95 AF97:AF1048576</xm:sqref>
        </x14:dataValidation>
        <x14:dataValidation type="list" allowBlank="1" showInputMessage="1" showErrorMessage="1" xr:uid="{7139C0CB-DDC2-452C-8AFB-E6BFBC83039A}">
          <x14:formula1>
            <xm:f>'Lista Suspensa'!$AF$2:$AF$10</xm:f>
          </x14:formula1>
          <xm:sqref>AD2:AD14 AD84 AD91:AD92 AD95 AD71:AD82 AD86:AD88 AD16:AD69 AD97:AD1048576</xm:sqref>
        </x14:dataValidation>
        <x14:dataValidation type="list" allowBlank="1" showInputMessage="1" showErrorMessage="1" xr:uid="{65E2CBA2-87FB-422D-9BE7-DCEE57D02C45}">
          <x14:formula1>
            <xm:f>'Lista Suspensa'!$T$2:$T$11</xm:f>
          </x14:formula1>
          <xm:sqref>AH2:AH14 AH84 AH92 AH94:AH95 AH71:AH82 AH86 AH88 AH16:AH69 AH97:AH1048576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AI2:AI82 AI84:AI1048576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AG2:AG14 AG84 AG92 AG95 AG71:AG82 AG86 AG88 AG16:AG69 AG97:AG1048576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Q119:Q1048576 Q105:Q106 Q2:Q100 Q108 Q117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T2:T100 T105:T106 T108:T1048576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U119:U1048576 U105:U106 U2:U100 U108 U117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0053F904-F7A0-43EF-BFE3-FB04FD5D7519}">
          <x14:formula1>
            <xm:f>'Lista Suspensa'!$AD$2:$AD$11</xm:f>
          </x14:formula1>
          <xm:sqref>AB2:AB1048576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4" activePane="bottomLeft" state="frozen"/>
      <selection pane="bottomLeft" activeCell="L36" sqref="L36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4" customWidth="1"/>
    <col min="14" max="14" width="33.140625" customWidth="1"/>
    <col min="15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0" t="s">
        <v>37</v>
      </c>
      <c r="C2" s="81" t="s">
        <v>67</v>
      </c>
    </row>
    <row r="3" spans="1:31">
      <c r="B3" s="210" t="s">
        <v>2</v>
      </c>
      <c r="C3" s="81"/>
      <c r="F3" s="40"/>
    </row>
    <row r="4" spans="1:31">
      <c r="B4" s="210" t="s">
        <v>578</v>
      </c>
      <c r="C4" s="81" t="s">
        <v>579</v>
      </c>
      <c r="F4" s="40"/>
    </row>
    <row r="5" spans="1:31">
      <c r="F5" s="40"/>
    </row>
    <row r="6" spans="1:31">
      <c r="F6" s="40"/>
    </row>
    <row r="7" spans="1:31">
      <c r="B7" s="211" t="s">
        <v>38</v>
      </c>
      <c r="C7" s="82">
        <v>46143</v>
      </c>
      <c r="D7" t="s">
        <v>580</v>
      </c>
    </row>
    <row r="9" spans="1:31">
      <c r="B9" s="212" t="s">
        <v>581</v>
      </c>
      <c r="C9" s="78">
        <v>46023</v>
      </c>
    </row>
    <row r="10" spans="1:31">
      <c r="B10" s="212" t="s">
        <v>582</v>
      </c>
      <c r="C10" s="78">
        <v>46182</v>
      </c>
    </row>
    <row r="12" spans="1:31" s="218" customFormat="1">
      <c r="A12" s="216"/>
      <c r="B12" s="217" t="s">
        <v>583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>
      <c r="B14" s="237" t="s">
        <v>16</v>
      </c>
      <c r="C14" s="175" t="s">
        <v>39</v>
      </c>
      <c r="D14" s="175"/>
      <c r="E14" s="175"/>
      <c r="F14" s="175"/>
      <c r="G14" s="175"/>
      <c r="H14" s="175" t="s">
        <v>584</v>
      </c>
      <c r="I14" s="175"/>
      <c r="K14" s="237" t="s">
        <v>585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586</v>
      </c>
      <c r="U14" s="77" t="s">
        <v>587</v>
      </c>
      <c r="W14" s="185" t="s">
        <v>585</v>
      </c>
      <c r="X14" s="185"/>
      <c r="Y14" s="185"/>
    </row>
    <row r="15" spans="1:31">
      <c r="B15" s="237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586</v>
      </c>
      <c r="I15" s="175" t="s">
        <v>587</v>
      </c>
      <c r="K15" s="237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584</v>
      </c>
      <c r="S15" s="192" t="s">
        <v>143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49</v>
      </c>
      <c r="U15" s="80">
        <f t="shared" ref="U15:U40" si="0">IFERROR(T15/$T$40,0)</f>
        <v>0.4336283185840708</v>
      </c>
      <c r="W15" s="186" t="s">
        <v>588</v>
      </c>
      <c r="X15" s="186"/>
      <c r="Y15" s="187">
        <f>IFERROR(T15/T40,0)</f>
        <v>0.4336283185840708</v>
      </c>
    </row>
    <row r="16" spans="1:31">
      <c r="B16" s="193" t="s">
        <v>143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5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7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6</v>
      </c>
      <c r="H16" s="44">
        <f>SUM(C16:G16)</f>
        <v>19</v>
      </c>
      <c r="I16" s="49">
        <f t="shared" ref="I16:I41" si="1">+IFERROR(H16/$H$41,0)</f>
        <v>0.59375</v>
      </c>
      <c r="K16" s="36" t="s">
        <v>579</v>
      </c>
      <c r="L16" s="36">
        <f t="shared" ref="L16:Q16" si="2">+C41</f>
        <v>0</v>
      </c>
      <c r="M16" s="36">
        <f t="shared" si="2"/>
        <v>9</v>
      </c>
      <c r="N16" s="36">
        <f t="shared" si="2"/>
        <v>6</v>
      </c>
      <c r="O16" s="36">
        <f t="shared" si="2"/>
        <v>10</v>
      </c>
      <c r="P16" s="36">
        <f t="shared" si="2"/>
        <v>7</v>
      </c>
      <c r="Q16" s="44">
        <f t="shared" si="2"/>
        <v>32</v>
      </c>
      <c r="S16" s="205" t="s">
        <v>589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590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12.571428571428571</v>
      </c>
    </row>
    <row r="17" spans="2:25">
      <c r="B17" s="194" t="s">
        <v>589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143</v>
      </c>
      <c r="L17" s="38">
        <f t="shared" ref="L17:Q17" si="4">+C16</f>
        <v>0</v>
      </c>
      <c r="M17" s="38">
        <f t="shared" si="4"/>
        <v>5</v>
      </c>
      <c r="N17" s="38">
        <f t="shared" si="4"/>
        <v>1</v>
      </c>
      <c r="O17" s="38">
        <f t="shared" si="4"/>
        <v>7</v>
      </c>
      <c r="P17" s="38">
        <f t="shared" si="4"/>
        <v>6</v>
      </c>
      <c r="Q17" s="39">
        <f t="shared" si="4"/>
        <v>19</v>
      </c>
      <c r="S17" s="192" t="s">
        <v>591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592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9.9821428571428577</v>
      </c>
    </row>
    <row r="18" spans="2:25">
      <c r="B18" s="193" t="s">
        <v>591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588</v>
      </c>
      <c r="L18" s="41" t="str">
        <f t="shared" ref="L18:Q18" si="5">IFERROR(L17/L16,"")</f>
        <v/>
      </c>
      <c r="M18" s="41">
        <f t="shared" si="5"/>
        <v>0.55555555555555558</v>
      </c>
      <c r="N18" s="41">
        <f t="shared" si="5"/>
        <v>0.16666666666666666</v>
      </c>
      <c r="O18" s="41">
        <f t="shared" si="5"/>
        <v>0.7</v>
      </c>
      <c r="P18" s="41">
        <f t="shared" si="5"/>
        <v>0.8571428571428571</v>
      </c>
      <c r="Q18" s="49">
        <f t="shared" si="5"/>
        <v>0.59375</v>
      </c>
      <c r="S18" s="205" t="s">
        <v>59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1</v>
      </c>
      <c r="U18" s="182">
        <f t="shared" si="0"/>
        <v>8.8495575221238937E-3</v>
      </c>
      <c r="W18" s="207" t="s">
        <v>593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8.8235294117647065</v>
      </c>
    </row>
    <row r="19" spans="2:25">
      <c r="B19" s="194" t="s">
        <v>59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590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16.8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11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12.142857142857142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8.1666666666666661</v>
      </c>
      <c r="Q19" s="180">
        <f>IFERROR(SUMIFS(Consolidado!AQ:AQ,Consolidado!$AM:$AM,Análise!$C$7,Consolidado!$AL:$AL,IF(ISBLANK($C$2),"&lt;&gt;",$C$2),Consolidado!$C:$C,IF(ISBLANK($C$3),"&lt;&gt;",$C$3))/$Q17,0)</f>
        <v>12.052631578947368</v>
      </c>
      <c r="S19" s="192" t="s">
        <v>594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595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7.5</v>
      </c>
    </row>
    <row r="20" spans="2:25">
      <c r="B20" s="193" t="s">
        <v>594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592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4.8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17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10.25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9.1363636363636367</v>
      </c>
      <c r="S20" s="205" t="s">
        <v>596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597</v>
      </c>
      <c r="X20" s="207"/>
      <c r="Y20" s="208">
        <f>IFERROR((T15+T37)/T40,"")</f>
        <v>0.55752212389380529</v>
      </c>
    </row>
    <row r="21" spans="2:25">
      <c r="B21" s="194" t="s">
        <v>596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593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4.5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8.6666666666666661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7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7</v>
      </c>
      <c r="S21" s="192" t="s">
        <v>598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3" t="s">
        <v>598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599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600</v>
      </c>
      <c r="X22" s="77" t="s">
        <v>586</v>
      </c>
      <c r="Y22" s="77" t="s">
        <v>587</v>
      </c>
    </row>
    <row r="23" spans="2:25">
      <c r="B23" s="194" t="s">
        <v>599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81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5</v>
      </c>
      <c r="U23" s="80">
        <f t="shared" si="0"/>
        <v>4.4247787610619468E-2</v>
      </c>
      <c r="W23" s="184" t="s">
        <v>52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30</v>
      </c>
      <c r="Y23" s="80">
        <f>IFERROR(X23/SUM($X$23:$X$24),"")</f>
        <v>0.61224489795918369</v>
      </c>
    </row>
    <row r="24" spans="2:25">
      <c r="B24" s="193" t="s">
        <v>81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37" t="s">
        <v>585</v>
      </c>
      <c r="L24" s="175" t="s">
        <v>39</v>
      </c>
      <c r="M24" s="175"/>
      <c r="N24" s="175"/>
      <c r="O24" s="175"/>
      <c r="P24" s="175"/>
      <c r="Q24" s="175"/>
      <c r="S24" s="205" t="s">
        <v>601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70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19</v>
      </c>
      <c r="Y24" s="182">
        <f>IFERROR(X24/SUM($X$23:$X$24),"")</f>
        <v>0.38775510204081631</v>
      </c>
    </row>
    <row r="25" spans="2:25">
      <c r="B25" s="194" t="s">
        <v>601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37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584</v>
      </c>
      <c r="S25" s="192" t="s">
        <v>602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3" t="s">
        <v>602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595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0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8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7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7.5</v>
      </c>
      <c r="S26" s="205" t="s">
        <v>603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>
      <c r="B27" s="194" t="s">
        <v>603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604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3" t="s">
        <v>604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94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14</v>
      </c>
      <c r="U28" s="182">
        <f t="shared" si="0"/>
        <v>0.12389380530973451</v>
      </c>
    </row>
    <row r="29" spans="2:25">
      <c r="B29" s="194" t="s">
        <v>94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0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1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1</v>
      </c>
      <c r="H29" s="39">
        <f t="shared" si="3"/>
        <v>2</v>
      </c>
      <c r="I29" s="43">
        <f t="shared" si="1"/>
        <v>6.25E-2</v>
      </c>
      <c r="K29" s="237" t="s">
        <v>585</v>
      </c>
      <c r="L29" s="175" t="s">
        <v>39</v>
      </c>
      <c r="M29" s="175"/>
      <c r="N29" s="175"/>
      <c r="O29" s="175"/>
      <c r="P29" s="175"/>
      <c r="Q29" s="175"/>
      <c r="S29" s="192" t="s">
        <v>605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3" t="s">
        <v>605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37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584</v>
      </c>
      <c r="S30" s="205" t="s">
        <v>606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>
      <c r="B31" s="194" t="s">
        <v>606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597</v>
      </c>
      <c r="L31" s="182" t="str">
        <f t="shared" ref="L31:Q31" si="6">IFERROR((C16+C38)/C41,"")</f>
        <v/>
      </c>
      <c r="M31" s="182">
        <f t="shared" si="6"/>
        <v>0.55555555555555558</v>
      </c>
      <c r="N31" s="182">
        <f t="shared" si="6"/>
        <v>0.16666666666666666</v>
      </c>
      <c r="O31" s="182">
        <f t="shared" si="6"/>
        <v>1</v>
      </c>
      <c r="P31" s="182">
        <f t="shared" si="6"/>
        <v>0.8571428571428571</v>
      </c>
      <c r="Q31" s="183">
        <f t="shared" si="6"/>
        <v>0.6875</v>
      </c>
      <c r="S31" s="192" t="s">
        <v>349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2</v>
      </c>
      <c r="U31" s="80">
        <f t="shared" si="0"/>
        <v>1.7699115044247787E-2</v>
      </c>
    </row>
    <row r="32" spans="2:25">
      <c r="B32" s="193" t="s">
        <v>349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607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>
      <c r="B33" s="194" t="s">
        <v>607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200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8.8495575221238937E-3</v>
      </c>
    </row>
    <row r="34" spans="1:31">
      <c r="B34" s="193" t="s">
        <v>200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600</v>
      </c>
      <c r="L34" s="37" t="s">
        <v>586</v>
      </c>
      <c r="M34" s="175" t="s">
        <v>587</v>
      </c>
      <c r="S34" s="205" t="s">
        <v>608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>
      <c r="B35" s="194" t="s">
        <v>608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52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9</v>
      </c>
      <c r="M35" s="41">
        <f>IFERROR(L35/SUM($L$35:$L$36),"")</f>
        <v>0.47368421052631576</v>
      </c>
      <c r="S35" s="192" t="s">
        <v>609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3" t="s">
        <v>609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70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10</v>
      </c>
      <c r="M36" s="42">
        <f>IFERROR(L36/SUM($L$35:$L$36),"")</f>
        <v>0.52631578947368418</v>
      </c>
      <c r="S36" s="205" t="s">
        <v>74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27</v>
      </c>
      <c r="U36" s="182">
        <f t="shared" si="0"/>
        <v>0.23893805309734514</v>
      </c>
    </row>
    <row r="37" spans="1:31">
      <c r="B37" s="194" t="s">
        <v>74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4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4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8</v>
      </c>
      <c r="I37" s="43">
        <f t="shared" si="1"/>
        <v>0.25</v>
      </c>
      <c r="S37" s="192" t="s">
        <v>431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14</v>
      </c>
      <c r="U37" s="80">
        <f t="shared" si="0"/>
        <v>0.12389380530973451</v>
      </c>
    </row>
    <row r="38" spans="1:31">
      <c r="B38" s="193" t="s">
        <v>431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3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0</v>
      </c>
      <c r="H38" s="44">
        <f t="shared" si="3"/>
        <v>3</v>
      </c>
      <c r="I38" s="49">
        <f t="shared" si="1"/>
        <v>9.375E-2</v>
      </c>
      <c r="S38" s="205" t="s">
        <v>610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>
      <c r="B39" s="194" t="s">
        <v>610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611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3" t="s">
        <v>611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579</v>
      </c>
      <c r="T40" s="39">
        <f>SUM(T15:T39)</f>
        <v>113</v>
      </c>
      <c r="U40" s="183">
        <f t="shared" si="0"/>
        <v>1</v>
      </c>
    </row>
    <row r="41" spans="1:31">
      <c r="B41" s="39" t="s">
        <v>579</v>
      </c>
      <c r="C41" s="39">
        <f t="shared" ref="C41:H41" si="7">SUM(C16:C40)</f>
        <v>0</v>
      </c>
      <c r="D41" s="39">
        <f t="shared" si="7"/>
        <v>9</v>
      </c>
      <c r="E41" s="39">
        <f t="shared" si="7"/>
        <v>6</v>
      </c>
      <c r="F41" s="39">
        <f t="shared" si="7"/>
        <v>10</v>
      </c>
      <c r="G41" s="39">
        <f t="shared" si="7"/>
        <v>7</v>
      </c>
      <c r="H41" s="39">
        <f t="shared" si="7"/>
        <v>32</v>
      </c>
      <c r="I41" s="43">
        <f t="shared" si="1"/>
        <v>1</v>
      </c>
    </row>
    <row r="43" spans="1:31" s="218" customFormat="1">
      <c r="A43" s="216"/>
      <c r="B43" s="217" t="s">
        <v>612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>
      <c r="B45" s="237" t="s">
        <v>16</v>
      </c>
      <c r="C45" s="175" t="s">
        <v>39</v>
      </c>
      <c r="D45" s="175"/>
      <c r="E45" s="175"/>
      <c r="F45" s="175"/>
      <c r="G45" s="175"/>
      <c r="H45" s="240" t="s">
        <v>584</v>
      </c>
    </row>
    <row r="46" spans="1:31">
      <c r="B46" s="237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41"/>
    </row>
    <row r="47" spans="1:31">
      <c r="B47" s="193" t="s">
        <v>143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1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7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15</v>
      </c>
    </row>
    <row r="49" spans="1:31">
      <c r="B49" s="77" t="s">
        <v>16</v>
      </c>
      <c r="C49" s="77" t="s">
        <v>613</v>
      </c>
    </row>
    <row r="50" spans="1:31">
      <c r="B50" s="192" t="s">
        <v>143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45</v>
      </c>
    </row>
    <row r="52" spans="1:31" s="218" customFormat="1">
      <c r="A52" s="216"/>
      <c r="B52" s="217" t="s">
        <v>614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>
      <c r="B54" s="238" t="s">
        <v>615</v>
      </c>
      <c r="C54" s="175" t="s">
        <v>39</v>
      </c>
      <c r="D54" s="175"/>
      <c r="E54" s="175"/>
      <c r="F54" s="175"/>
      <c r="G54" s="175"/>
      <c r="H54" s="175"/>
      <c r="K54" s="239" t="s">
        <v>615</v>
      </c>
      <c r="L54" s="242" t="s">
        <v>613</v>
      </c>
      <c r="N54" s="239" t="s">
        <v>616</v>
      </c>
      <c r="O54" s="242" t="s">
        <v>613</v>
      </c>
    </row>
    <row r="55" spans="1:31">
      <c r="B55" s="238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579</v>
      </c>
      <c r="K55" s="239"/>
      <c r="L55" s="243"/>
      <c r="N55" s="239"/>
      <c r="O55" s="243"/>
    </row>
    <row r="56" spans="1:31">
      <c r="B56" s="47" t="s">
        <v>97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1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1</v>
      </c>
      <c r="K56" s="203" t="s">
        <v>97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56" s="203" t="s">
        <v>97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25</v>
      </c>
    </row>
    <row r="57" spans="1:31">
      <c r="B57" s="48" t="s">
        <v>248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248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248</v>
      </c>
      <c r="O57" s="79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47" t="s">
        <v>617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617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617</v>
      </c>
      <c r="O58" s="79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96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96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  <c r="N59" s="48" t="s">
        <v>96</v>
      </c>
      <c r="O59" s="79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>
      <c r="B60" s="47" t="s">
        <v>125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0</v>
      </c>
      <c r="K60" s="203" t="s">
        <v>125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60" s="203" t="s">
        <v>125</v>
      </c>
      <c r="O60" s="79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>
      <c r="B61" s="48" t="s">
        <v>82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0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1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</v>
      </c>
      <c r="K61" s="48" t="s">
        <v>82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13</v>
      </c>
      <c r="N61" s="48" t="s">
        <v>82</v>
      </c>
      <c r="O61" s="79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>
      <c r="B62" s="47" t="s">
        <v>579</v>
      </c>
      <c r="C62" s="44">
        <f>SUM(C56:C61)</f>
        <v>0</v>
      </c>
      <c r="D62" s="44">
        <f>SUM(D56:D61)</f>
        <v>1</v>
      </c>
      <c r="E62" s="44">
        <f>SUM(E56:E61)</f>
        <v>0</v>
      </c>
      <c r="F62" s="44">
        <f>SUM(F56:F61)</f>
        <v>2</v>
      </c>
      <c r="G62" s="44">
        <f>SUM(G56:G61)</f>
        <v>0</v>
      </c>
      <c r="H62" s="44">
        <f t="shared" si="8"/>
        <v>3</v>
      </c>
      <c r="K62" s="203" t="s">
        <v>579</v>
      </c>
      <c r="L62" s="204">
        <f>SUM(L56:L61)</f>
        <v>26</v>
      </c>
      <c r="N62" s="203" t="s">
        <v>579</v>
      </c>
      <c r="O62" s="204">
        <f>SUM(O56:O61)</f>
        <v>25</v>
      </c>
    </row>
    <row r="64" spans="1:31">
      <c r="B64" s="238" t="s">
        <v>618</v>
      </c>
      <c r="C64" s="175" t="s">
        <v>39</v>
      </c>
      <c r="D64" s="175"/>
      <c r="E64" s="175"/>
      <c r="F64" s="175"/>
      <c r="G64" s="175"/>
      <c r="H64" s="175"/>
      <c r="K64" s="239" t="s">
        <v>618</v>
      </c>
      <c r="L64" s="242" t="s">
        <v>613</v>
      </c>
    </row>
    <row r="65" spans="1:31">
      <c r="B65" s="238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579</v>
      </c>
      <c r="K65" s="239"/>
      <c r="L65" s="243"/>
    </row>
    <row r="66" spans="1:31">
      <c r="B66" s="47" t="s">
        <v>97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 t="str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/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1</v>
      </c>
      <c r="K66" s="203" t="s">
        <v>97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1.0952380952380953</v>
      </c>
    </row>
    <row r="67" spans="1:31">
      <c r="B67" s="48" t="s">
        <v>248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 t="str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/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248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619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 t="str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/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619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>
      <c r="A70" s="216"/>
      <c r="B70" s="217" t="s">
        <v>620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>
      <c r="B72" s="35" t="s">
        <v>621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584</v>
      </c>
      <c r="K72" s="76" t="s">
        <v>621</v>
      </c>
      <c r="L72" s="213" t="s">
        <v>613</v>
      </c>
    </row>
    <row r="73" spans="1:31">
      <c r="B73" s="47" t="s">
        <v>209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0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1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3" t="s">
        <v>209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74" spans="1:31">
      <c r="B74" s="48" t="s">
        <v>204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1</v>
      </c>
      <c r="H74" s="39">
        <f t="shared" ref="H74:H75" si="9">SUM(C74:G74)</f>
        <v>4</v>
      </c>
      <c r="K74" s="48" t="s">
        <v>204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75" spans="1:31">
      <c r="B75" s="47" t="s">
        <v>63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63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203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0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0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0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0</v>
      </c>
      <c r="K76" s="203" t="s">
        <v>203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</v>
      </c>
    </row>
    <row r="77" spans="1:31">
      <c r="B77" s="48" t="s">
        <v>579</v>
      </c>
      <c r="C77" s="39">
        <f>SUM(C73:C75)</f>
        <v>0</v>
      </c>
      <c r="D77" s="39">
        <f t="shared" ref="D77:H77" si="11">SUM(D73:D75)</f>
        <v>2</v>
      </c>
      <c r="E77" s="39">
        <f t="shared" si="11"/>
        <v>0</v>
      </c>
      <c r="F77" s="39">
        <f t="shared" si="11"/>
        <v>2</v>
      </c>
      <c r="G77" s="39">
        <f t="shared" si="11"/>
        <v>1</v>
      </c>
      <c r="H77" s="39">
        <f t="shared" si="11"/>
        <v>5</v>
      </c>
      <c r="K77" s="48" t="s">
        <v>579</v>
      </c>
      <c r="L77" s="39">
        <f>SUM(L73:L75)</f>
        <v>18</v>
      </c>
    </row>
    <row r="79" spans="1:31">
      <c r="B79" s="35" t="s">
        <v>622</v>
      </c>
      <c r="C79" s="46" t="s">
        <v>584</v>
      </c>
      <c r="K79" s="76" t="s">
        <v>622</v>
      </c>
      <c r="L79" s="213" t="s">
        <v>613</v>
      </c>
    </row>
    <row r="80" spans="1:31">
      <c r="B80" s="47" t="s">
        <v>209</v>
      </c>
      <c r="C80" s="49">
        <f>IFERROR(H73/$H$77,"")</f>
        <v>0.2</v>
      </c>
      <c r="K80" s="203" t="s">
        <v>209</v>
      </c>
      <c r="L80" s="214">
        <f>IFERROR(L73/$L$77,"")</f>
        <v>0.44444444444444442</v>
      </c>
    </row>
    <row r="81" spans="1:31">
      <c r="B81" s="48" t="s">
        <v>204</v>
      </c>
      <c r="C81" s="50">
        <f>IFERROR(H74/$H$77,"")</f>
        <v>0.8</v>
      </c>
      <c r="K81" s="48" t="s">
        <v>204</v>
      </c>
      <c r="L81" s="50">
        <f>IFERROR(L74/$L$77,"")</f>
        <v>0.55555555555555558</v>
      </c>
    </row>
    <row r="82" spans="1:31">
      <c r="B82" s="47" t="s">
        <v>63</v>
      </c>
      <c r="C82" s="51">
        <f>IFERROR(H75/$H$77,"")</f>
        <v>0</v>
      </c>
      <c r="K82" s="203" t="s">
        <v>63</v>
      </c>
      <c r="L82" s="215">
        <f>IFERROR(L75/$L$77,"")</f>
        <v>0</v>
      </c>
    </row>
    <row r="84" spans="1:31" s="218" customFormat="1">
      <c r="A84" s="216"/>
      <c r="B84" s="217" t="s">
        <v>623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>
      <c r="B86" s="35" t="s">
        <v>624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584</v>
      </c>
      <c r="K86" s="76" t="s">
        <v>624</v>
      </c>
      <c r="L86" s="213" t="s">
        <v>613</v>
      </c>
    </row>
    <row r="87" spans="1:31">
      <c r="B87" s="47" t="s">
        <v>108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5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7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7</v>
      </c>
      <c r="H87" s="44">
        <f>SUM(C87:G87)</f>
        <v>20</v>
      </c>
      <c r="K87" s="203" t="s">
        <v>108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66</v>
      </c>
    </row>
    <row r="88" spans="1:31">
      <c r="B88" s="48" t="s">
        <v>625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625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626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626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579</v>
      </c>
      <c r="C90" s="39">
        <f>SUM(C87:C89)</f>
        <v>0</v>
      </c>
      <c r="D90" s="39">
        <f t="shared" ref="D90:H90" si="13">SUM(D87:D89)</f>
        <v>5</v>
      </c>
      <c r="E90" s="39">
        <f t="shared" si="13"/>
        <v>1</v>
      </c>
      <c r="F90" s="39">
        <f t="shared" si="13"/>
        <v>7</v>
      </c>
      <c r="G90" s="39">
        <f t="shared" si="13"/>
        <v>7</v>
      </c>
      <c r="H90" s="39">
        <f t="shared" si="13"/>
        <v>20</v>
      </c>
      <c r="K90" s="48" t="s">
        <v>579</v>
      </c>
      <c r="L90" s="39">
        <f>SUM(L87:L89)</f>
        <v>66</v>
      </c>
    </row>
    <row r="92" spans="1:31">
      <c r="B92" s="35" t="s">
        <v>627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584</v>
      </c>
      <c r="K92" s="76" t="s">
        <v>627</v>
      </c>
      <c r="L92" s="213" t="s">
        <v>613</v>
      </c>
    </row>
    <row r="93" spans="1:31">
      <c r="B93" s="47" t="s">
        <v>109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2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0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4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2</v>
      </c>
      <c r="H93" s="44">
        <f t="shared" ref="H93:H98" si="14">SUM(C93:G93)</f>
        <v>8</v>
      </c>
      <c r="K93" s="203" t="s">
        <v>109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33</v>
      </c>
    </row>
    <row r="94" spans="1:31">
      <c r="B94" s="48" t="s">
        <v>628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628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7" t="s">
        <v>629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629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>
      <c r="B96" s="48" t="s">
        <v>145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1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1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2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3</v>
      </c>
      <c r="H96" s="39">
        <f t="shared" si="14"/>
        <v>7</v>
      </c>
      <c r="K96" s="48" t="s">
        <v>145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21</v>
      </c>
    </row>
    <row r="97" spans="1:31">
      <c r="B97" s="47" t="s">
        <v>626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626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203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203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579</v>
      </c>
      <c r="C99" s="44">
        <f t="shared" ref="C99:H99" si="15">SUM(C93:C98)</f>
        <v>0</v>
      </c>
      <c r="D99" s="44">
        <f t="shared" si="15"/>
        <v>3</v>
      </c>
      <c r="E99" s="44">
        <f t="shared" si="15"/>
        <v>1</v>
      </c>
      <c r="F99" s="44">
        <f t="shared" si="15"/>
        <v>6</v>
      </c>
      <c r="G99" s="44">
        <f t="shared" si="15"/>
        <v>5</v>
      </c>
      <c r="H99" s="44">
        <f t="shared" si="15"/>
        <v>15</v>
      </c>
      <c r="K99" s="203" t="s">
        <v>579</v>
      </c>
      <c r="L99" s="204">
        <f>SUM(L93:L98)</f>
        <v>54</v>
      </c>
    </row>
    <row r="101" spans="1:31" s="218" customFormat="1">
      <c r="A101" s="216"/>
      <c r="B101" s="217" t="s">
        <v>630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>
      <c r="E102" s="40"/>
      <c r="F102" s="40"/>
    </row>
    <row r="103" spans="1:31">
      <c r="B103" s="238" t="s">
        <v>3</v>
      </c>
      <c r="C103" s="175" t="s">
        <v>39</v>
      </c>
      <c r="D103" s="175"/>
      <c r="E103" s="175"/>
      <c r="F103" s="175"/>
      <c r="G103" s="175"/>
      <c r="H103" s="175"/>
      <c r="K103" s="239" t="s">
        <v>3</v>
      </c>
      <c r="L103" s="242" t="s">
        <v>613</v>
      </c>
    </row>
    <row r="104" spans="1:31">
      <c r="B104" s="238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579</v>
      </c>
      <c r="K104" s="239"/>
      <c r="L104" s="243"/>
    </row>
    <row r="105" spans="1:31">
      <c r="B105" s="47" t="s">
        <v>631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631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8" t="s">
        <v>632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632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633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633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634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634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9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6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10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7</v>
      </c>
      <c r="H109" s="44">
        <f t="shared" si="16"/>
        <v>32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113</v>
      </c>
    </row>
    <row r="110" spans="1:31">
      <c r="B110" s="48" t="s">
        <v>635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635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636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636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579</v>
      </c>
      <c r="C112" s="39">
        <f>SUM(C105:C111)</f>
        <v>0</v>
      </c>
      <c r="D112" s="39">
        <f t="shared" ref="D112:G112" si="17">SUM(D105:D111)</f>
        <v>9</v>
      </c>
      <c r="E112" s="39">
        <f t="shared" si="17"/>
        <v>6</v>
      </c>
      <c r="F112" s="39">
        <f t="shared" si="17"/>
        <v>10</v>
      </c>
      <c r="G112" s="39">
        <f t="shared" si="17"/>
        <v>7</v>
      </c>
      <c r="H112" s="39">
        <f t="shared" si="16"/>
        <v>32</v>
      </c>
      <c r="K112" s="48" t="s">
        <v>579</v>
      </c>
      <c r="L112" s="39">
        <f>SUM(L105:L111)</f>
        <v>113</v>
      </c>
    </row>
  </sheetData>
  <mergeCells count="17"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  <mergeCell ref="B14:B15"/>
    <mergeCell ref="K14:K15"/>
    <mergeCell ref="K24:K25"/>
    <mergeCell ref="K29:K30"/>
    <mergeCell ref="B54:B55"/>
    <mergeCell ref="K54:K5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workbookViewId="0">
      <selection activeCell="I59" sqref="I59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637</v>
      </c>
      <c r="G1" s="53"/>
      <c r="H1" s="154" t="s">
        <v>37</v>
      </c>
      <c r="I1" s="153" t="s">
        <v>638</v>
      </c>
      <c r="K1" s="71" t="s">
        <v>639</v>
      </c>
      <c r="L1" s="53"/>
      <c r="M1" s="54" t="s">
        <v>37</v>
      </c>
      <c r="N1" s="55" t="s">
        <v>640</v>
      </c>
      <c r="P1" s="157" t="s">
        <v>32</v>
      </c>
      <c r="R1" s="56" t="s">
        <v>641</v>
      </c>
      <c r="T1" s="74" t="s">
        <v>642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643</v>
      </c>
      <c r="AJ1" s="161" t="s">
        <v>35</v>
      </c>
      <c r="AL1" s="160" t="s">
        <v>36</v>
      </c>
      <c r="AN1" s="172" t="s">
        <v>0</v>
      </c>
    </row>
    <row r="2" spans="2:40" ht="15" thickBot="1">
      <c r="B2" s="52" t="s">
        <v>644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645</v>
      </c>
      <c r="I2" s="149" t="s">
        <v>631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645</v>
      </c>
      <c r="N2" s="150" t="s">
        <v>97</v>
      </c>
      <c r="P2" s="158" t="s">
        <v>97</v>
      </c>
      <c r="R2" s="59" t="s">
        <v>646</v>
      </c>
      <c r="T2" s="85" t="s">
        <v>209</v>
      </c>
      <c r="V2" s="170" t="s">
        <v>143</v>
      </c>
      <c r="X2" s="168" t="s">
        <v>60</v>
      </c>
      <c r="Z2" s="226" t="s">
        <v>144</v>
      </c>
      <c r="AB2" s="147" t="s">
        <v>108</v>
      </c>
      <c r="AD2" s="158" t="s">
        <v>109</v>
      </c>
      <c r="AF2" s="158" t="s">
        <v>116</v>
      </c>
      <c r="AH2" s="158" t="s">
        <v>47</v>
      </c>
      <c r="AJ2" s="158" t="s">
        <v>146</v>
      </c>
      <c r="AL2" s="158" t="s">
        <v>47</v>
      </c>
      <c r="AN2" s="173" t="s">
        <v>47</v>
      </c>
    </row>
    <row r="3" spans="2:40" ht="15" thickBot="1">
      <c r="D3" s="147" t="s">
        <v>647</v>
      </c>
      <c r="F3" s="68" t="str">
        <v>Casos Prioritário - E-mail</v>
      </c>
      <c r="H3" s="79" t="s">
        <v>645</v>
      </c>
      <c r="I3" s="149" t="s">
        <v>632</v>
      </c>
      <c r="K3" s="60" t="str">
        <v>Samaritano Higi</v>
      </c>
      <c r="M3" s="79" t="s">
        <v>645</v>
      </c>
      <c r="N3" s="150" t="s">
        <v>248</v>
      </c>
      <c r="P3" s="158" t="s">
        <v>248</v>
      </c>
      <c r="R3" s="59" t="s">
        <v>648</v>
      </c>
      <c r="T3" s="84" t="s">
        <v>204</v>
      </c>
      <c r="V3" s="170" t="s">
        <v>589</v>
      </c>
      <c r="X3" s="147" t="s">
        <v>75</v>
      </c>
      <c r="Z3" s="147" t="s">
        <v>432</v>
      </c>
      <c r="AB3" s="166" t="s">
        <v>202</v>
      </c>
      <c r="AD3" s="158" t="s">
        <v>628</v>
      </c>
      <c r="AF3" s="164" t="s">
        <v>456</v>
      </c>
      <c r="AH3" s="158" t="s">
        <v>64</v>
      </c>
      <c r="AJ3" s="162" t="s">
        <v>65</v>
      </c>
      <c r="AL3" s="158" t="s">
        <v>64</v>
      </c>
      <c r="AN3" s="173" t="s">
        <v>64</v>
      </c>
    </row>
    <row r="4" spans="2:40" ht="15" thickBot="1">
      <c r="D4" s="147" t="s">
        <v>649</v>
      </c>
      <c r="F4" s="68" t="str">
        <v>Forms Total Care</v>
      </c>
      <c r="H4" s="79" t="s">
        <v>645</v>
      </c>
      <c r="I4" s="149" t="s">
        <v>633</v>
      </c>
      <c r="K4" s="60" t="str">
        <v>COI -RJ</v>
      </c>
      <c r="M4" s="79" t="s">
        <v>645</v>
      </c>
      <c r="N4" s="150" t="s">
        <v>617</v>
      </c>
      <c r="P4" s="158" t="s">
        <v>619</v>
      </c>
      <c r="R4" s="59" t="s">
        <v>650</v>
      </c>
      <c r="T4" s="84" t="s">
        <v>63</v>
      </c>
      <c r="V4" s="170" t="s">
        <v>591</v>
      </c>
      <c r="X4" s="166" t="s">
        <v>544</v>
      </c>
      <c r="Z4" s="59" t="s">
        <v>61</v>
      </c>
      <c r="AD4" s="158" t="s">
        <v>629</v>
      </c>
      <c r="AF4" s="164" t="s">
        <v>425</v>
      </c>
      <c r="AH4" s="159"/>
      <c r="AJ4" s="159" t="s">
        <v>651</v>
      </c>
      <c r="AL4" s="158" t="s">
        <v>66</v>
      </c>
      <c r="AN4" s="174"/>
    </row>
    <row r="5" spans="2:40">
      <c r="D5" s="73" t="s">
        <v>652</v>
      </c>
      <c r="F5" s="68" t="str">
        <v>GSC</v>
      </c>
      <c r="H5" s="79" t="s">
        <v>645</v>
      </c>
      <c r="I5" s="149" t="s">
        <v>634</v>
      </c>
      <c r="K5" s="60" t="str">
        <v>Interno - Amil Geral</v>
      </c>
      <c r="M5" s="79" t="s">
        <v>645</v>
      </c>
      <c r="N5" s="150" t="s">
        <v>96</v>
      </c>
      <c r="P5" s="159" t="s">
        <v>653</v>
      </c>
      <c r="R5" s="59" t="s">
        <v>654</v>
      </c>
      <c r="T5" s="86" t="s">
        <v>66</v>
      </c>
      <c r="V5" s="170" t="s">
        <v>59</v>
      </c>
      <c r="Z5" s="59"/>
      <c r="AD5" s="158" t="s">
        <v>145</v>
      </c>
      <c r="AF5" s="86" t="s">
        <v>203</v>
      </c>
      <c r="AH5" s="83"/>
      <c r="AJ5" s="83"/>
      <c r="AL5" s="159"/>
    </row>
    <row r="6" spans="2:40">
      <c r="D6" s="73" t="s">
        <v>655</v>
      </c>
      <c r="F6" s="68" t="str">
        <v>Triggers</v>
      </c>
      <c r="H6" s="79" t="s">
        <v>645</v>
      </c>
      <c r="I6" s="149" t="s">
        <v>49</v>
      </c>
      <c r="K6" s="60" t="str">
        <v>Externo - Geral</v>
      </c>
      <c r="M6" s="79" t="s">
        <v>645</v>
      </c>
      <c r="N6" s="150" t="s">
        <v>125</v>
      </c>
      <c r="R6" s="59" t="s">
        <v>67</v>
      </c>
      <c r="T6" s="86" t="s">
        <v>203</v>
      </c>
      <c r="V6" s="170" t="s">
        <v>594</v>
      </c>
      <c r="Z6" s="224"/>
      <c r="AD6" s="159" t="s">
        <v>626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645</v>
      </c>
      <c r="I7" s="149" t="s">
        <v>635</v>
      </c>
      <c r="K7" s="60" t="str">
        <v>Não Informou</v>
      </c>
      <c r="M7" s="79" t="s">
        <v>645</v>
      </c>
      <c r="N7" s="150" t="s">
        <v>82</v>
      </c>
      <c r="R7" s="59" t="s">
        <v>656</v>
      </c>
      <c r="V7" s="170" t="s">
        <v>596</v>
      </c>
      <c r="AD7" s="86" t="s">
        <v>203</v>
      </c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645</v>
      </c>
      <c r="I8" s="149" t="s">
        <v>636</v>
      </c>
      <c r="K8" s="60" t="str">
        <v>CMDP - Centro Médico Dom Pedro</v>
      </c>
      <c r="M8" s="79" t="s">
        <v>645</v>
      </c>
      <c r="N8" s="150" t="s">
        <v>657</v>
      </c>
      <c r="R8" s="59" t="s">
        <v>658</v>
      </c>
      <c r="V8" s="170" t="s">
        <v>598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659</v>
      </c>
      <c r="I9" s="151" t="s">
        <v>660</v>
      </c>
      <c r="K9" s="60" t="str">
        <v>Outros</v>
      </c>
      <c r="M9" s="79" t="s">
        <v>645</v>
      </c>
      <c r="N9" s="150" t="s">
        <v>527</v>
      </c>
      <c r="R9" s="59" t="s">
        <v>661</v>
      </c>
      <c r="V9" s="170" t="s">
        <v>599</v>
      </c>
      <c r="Z9" s="1" t="s">
        <v>46</v>
      </c>
      <c r="AA9" s="1" t="s">
        <v>144</v>
      </c>
      <c r="AD9" s="83"/>
      <c r="AF9" s="83"/>
      <c r="AH9" s="83"/>
      <c r="AJ9" s="83"/>
      <c r="AL9" s="83"/>
    </row>
    <row r="10" spans="2:40" ht="15" thickBot="1">
      <c r="D10" s="148"/>
      <c r="F10" s="68" t="str">
        <v>Captado Total Care</v>
      </c>
      <c r="H10" s="38" t="s">
        <v>659</v>
      </c>
      <c r="I10" s="152" t="s">
        <v>662</v>
      </c>
      <c r="K10" s="60" t="str">
        <v>Amil - Hospital Ipiranga Arujá - Ambulatório </v>
      </c>
      <c r="M10" s="79" t="s">
        <v>645</v>
      </c>
      <c r="N10" s="150" t="s">
        <v>663</v>
      </c>
      <c r="R10" s="59" t="s">
        <v>664</v>
      </c>
      <c r="V10" s="170" t="s">
        <v>81</v>
      </c>
      <c r="Z10" s="1" t="s">
        <v>46</v>
      </c>
      <c r="AA10" s="1" t="s">
        <v>432</v>
      </c>
      <c r="AD10" s="83"/>
      <c r="AF10" s="83"/>
      <c r="AJ10" s="83"/>
      <c r="AL10" s="83"/>
    </row>
    <row r="11" spans="2:40">
      <c r="F11" s="68"/>
      <c r="H11" s="38" t="s">
        <v>659</v>
      </c>
      <c r="I11" s="152" t="s">
        <v>665</v>
      </c>
      <c r="K11" s="60" t="str">
        <v>Amil - Hospital Ipiranga Mogi - Ambulatório </v>
      </c>
      <c r="M11" s="79" t="s">
        <v>645</v>
      </c>
      <c r="N11" s="150" t="s">
        <v>666</v>
      </c>
      <c r="R11" s="59" t="s">
        <v>667</v>
      </c>
      <c r="V11" s="170" t="s">
        <v>601</v>
      </c>
      <c r="Z11" s="1" t="s">
        <v>144</v>
      </c>
      <c r="AA11" s="1" t="s">
        <v>144</v>
      </c>
      <c r="AD11" s="83"/>
      <c r="AF11" s="83"/>
      <c r="AH11" s="83"/>
      <c r="AJ11" s="83"/>
      <c r="AL11" s="83"/>
    </row>
    <row r="12" spans="2:40">
      <c r="F12" s="68"/>
      <c r="H12" s="38" t="s">
        <v>659</v>
      </c>
      <c r="I12" s="152" t="s">
        <v>668</v>
      </c>
      <c r="K12" s="60" t="str">
        <v>Amil - Hospital Metropolitano - Centro Médico </v>
      </c>
      <c r="M12" s="79" t="s">
        <v>645</v>
      </c>
      <c r="N12" s="150" t="s">
        <v>669</v>
      </c>
      <c r="R12" s="59" t="s">
        <v>670</v>
      </c>
      <c r="V12" s="170" t="s">
        <v>602</v>
      </c>
      <c r="Z12" s="1" t="s">
        <v>432</v>
      </c>
      <c r="AA12" s="1" t="s">
        <v>432</v>
      </c>
      <c r="AD12" s="83"/>
      <c r="AF12" s="83"/>
      <c r="AH12" s="83"/>
      <c r="AJ12" s="83"/>
      <c r="AL12" s="83"/>
    </row>
    <row r="13" spans="2:40">
      <c r="F13" s="68"/>
      <c r="H13" s="38" t="s">
        <v>659</v>
      </c>
      <c r="I13" s="152" t="s">
        <v>671</v>
      </c>
      <c r="K13" s="60" t="str">
        <v>Amil - Hospital Paulistano - Ambulatório </v>
      </c>
      <c r="M13" s="79" t="s">
        <v>645</v>
      </c>
      <c r="N13" s="150" t="s">
        <v>672</v>
      </c>
      <c r="R13" s="59" t="s">
        <v>673</v>
      </c>
      <c r="V13" s="170" t="s">
        <v>603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>
      <c r="F14" s="68"/>
      <c r="H14" s="38" t="s">
        <v>659</v>
      </c>
      <c r="I14" s="58" t="s">
        <v>674</v>
      </c>
      <c r="K14" s="60" t="str">
        <v>Amil - Ud Cubatão Sp - Hospital Da Luz </v>
      </c>
      <c r="M14" s="79" t="s">
        <v>645</v>
      </c>
      <c r="N14" s="150" t="s">
        <v>675</v>
      </c>
      <c r="R14" s="59" t="s">
        <v>659</v>
      </c>
      <c r="V14" s="170" t="s">
        <v>604</v>
      </c>
      <c r="Z14" s="1" t="s">
        <v>579</v>
      </c>
      <c r="AA14" s="1" t="s">
        <v>144</v>
      </c>
      <c r="AD14" s="83"/>
      <c r="AF14" s="83"/>
      <c r="AH14" s="83"/>
      <c r="AJ14" s="83"/>
      <c r="AL14" s="83"/>
    </row>
    <row r="15" spans="2:40">
      <c r="F15" s="68"/>
      <c r="H15" s="38" t="s">
        <v>659</v>
      </c>
      <c r="I15" s="58" t="s">
        <v>676</v>
      </c>
      <c r="K15" s="60" t="str">
        <v>Amil - Unidade Avançada Carlos Chagas </v>
      </c>
      <c r="M15" s="79" t="s">
        <v>645</v>
      </c>
      <c r="N15" s="150" t="s">
        <v>677</v>
      </c>
      <c r="R15" s="59" t="s">
        <v>678</v>
      </c>
      <c r="V15" s="170" t="s">
        <v>94</v>
      </c>
      <c r="Z15" s="1" t="s">
        <v>579</v>
      </c>
      <c r="AA15" s="1" t="s">
        <v>432</v>
      </c>
      <c r="AD15" s="83"/>
      <c r="AF15" s="83"/>
      <c r="AH15" s="83"/>
      <c r="AJ15" s="83"/>
      <c r="AL15" s="83"/>
    </row>
    <row r="16" spans="2:40">
      <c r="F16" s="68"/>
      <c r="H16" s="38" t="s">
        <v>659</v>
      </c>
      <c r="I16" s="58" t="s">
        <v>679</v>
      </c>
      <c r="K16" s="60" t="str">
        <v>Amil - Unidade Avançada Luz Butantã </v>
      </c>
      <c r="M16" s="79" t="s">
        <v>645</v>
      </c>
      <c r="N16" s="150" t="s">
        <v>680</v>
      </c>
      <c r="R16" s="59" t="s">
        <v>681</v>
      </c>
      <c r="V16" s="170" t="s">
        <v>605</v>
      </c>
      <c r="Z16" s="1" t="s">
        <v>579</v>
      </c>
      <c r="AA16" s="1" t="s">
        <v>61</v>
      </c>
      <c r="AD16" s="83"/>
      <c r="AF16" s="83"/>
      <c r="AH16" s="83"/>
      <c r="AJ16" s="83"/>
      <c r="AL16" s="83"/>
    </row>
    <row r="17" spans="6:38">
      <c r="F17" s="68"/>
      <c r="H17" s="38" t="s">
        <v>659</v>
      </c>
      <c r="I17" s="58" t="s">
        <v>682</v>
      </c>
      <c r="K17" s="60" t="str">
        <v>Amil - Unidade Avançada Luz Joao Dias </v>
      </c>
      <c r="M17" s="79" t="s">
        <v>645</v>
      </c>
      <c r="N17" s="150" t="s">
        <v>683</v>
      </c>
      <c r="R17" s="59" t="s">
        <v>684</v>
      </c>
      <c r="V17" s="170" t="s">
        <v>606</v>
      </c>
      <c r="AD17" s="83"/>
      <c r="AF17" s="83"/>
      <c r="AH17" s="83"/>
      <c r="AJ17" s="83"/>
      <c r="AL17" s="83"/>
    </row>
    <row r="18" spans="6:38">
      <c r="F18" s="68"/>
      <c r="H18" s="38" t="s">
        <v>659</v>
      </c>
      <c r="I18" s="58" t="s">
        <v>685</v>
      </c>
      <c r="K18" s="60" t="str">
        <v>Amil - Unidade Avançada Vitoria </v>
      </c>
      <c r="M18" s="79" t="s">
        <v>645</v>
      </c>
      <c r="N18" s="150" t="s">
        <v>686</v>
      </c>
      <c r="R18" s="59" t="s">
        <v>687</v>
      </c>
      <c r="V18" s="170" t="s">
        <v>349</v>
      </c>
      <c r="AD18" s="83"/>
      <c r="AF18" s="83"/>
      <c r="AH18" s="83"/>
      <c r="AJ18" s="83"/>
      <c r="AL18" s="83"/>
    </row>
    <row r="19" spans="6:38">
      <c r="F19" s="68"/>
      <c r="H19" s="38" t="s">
        <v>659</v>
      </c>
      <c r="I19" s="58" t="s">
        <v>688</v>
      </c>
      <c r="K19" s="60" t="str">
        <v>Amil Espaço Saúde - Ana Rosa </v>
      </c>
      <c r="M19" s="79" t="s">
        <v>645</v>
      </c>
      <c r="N19" s="150" t="s">
        <v>689</v>
      </c>
      <c r="R19" s="59" t="s">
        <v>690</v>
      </c>
      <c r="V19" s="170" t="s">
        <v>607</v>
      </c>
      <c r="AD19" s="83"/>
      <c r="AF19" s="83"/>
      <c r="AH19" s="83"/>
      <c r="AJ19" s="83"/>
      <c r="AL19" s="83"/>
    </row>
    <row r="20" spans="6:38">
      <c r="F20" s="68"/>
      <c r="H20" s="38" t="s">
        <v>659</v>
      </c>
      <c r="I20" s="58" t="s">
        <v>691</v>
      </c>
      <c r="K20" s="60" t="str">
        <v>Amil Espaço Saúde - Botafogo </v>
      </c>
      <c r="M20" s="79" t="s">
        <v>645</v>
      </c>
      <c r="N20" s="150" t="s">
        <v>692</v>
      </c>
      <c r="R20" s="59" t="s">
        <v>693</v>
      </c>
      <c r="V20" s="170" t="s">
        <v>200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694</v>
      </c>
      <c r="AD20" s="83"/>
      <c r="AF20" s="83"/>
      <c r="AH20" s="83"/>
      <c r="AJ20" s="83"/>
      <c r="AL20" s="83"/>
    </row>
    <row r="21" spans="6:38">
      <c r="F21" s="68"/>
      <c r="H21" s="38" t="s">
        <v>659</v>
      </c>
      <c r="I21" s="58" t="s">
        <v>695</v>
      </c>
      <c r="K21" s="60" t="str">
        <v>Amil Espaço Saúde - Campo Grande </v>
      </c>
      <c r="M21" s="79" t="s">
        <v>645</v>
      </c>
      <c r="N21" s="150" t="s">
        <v>696</v>
      </c>
      <c r="R21" s="59" t="s">
        <v>697</v>
      </c>
      <c r="V21" s="170" t="s">
        <v>608</v>
      </c>
      <c r="AA21" s="1" t="str">
        <v>Inativo</v>
      </c>
      <c r="AB21" s="1" t="s">
        <v>694</v>
      </c>
      <c r="AD21" s="83"/>
      <c r="AF21" s="83"/>
      <c r="AH21" s="83"/>
      <c r="AJ21" s="83"/>
      <c r="AL21" s="83"/>
    </row>
    <row r="22" spans="6:38">
      <c r="F22" s="68"/>
      <c r="H22" s="38" t="s">
        <v>659</v>
      </c>
      <c r="I22" s="58" t="s">
        <v>698</v>
      </c>
      <c r="K22" s="60" t="str">
        <v>Amil Espaço Saúde - Caxias </v>
      </c>
      <c r="M22" s="79" t="s">
        <v>645</v>
      </c>
      <c r="N22" s="150" t="s">
        <v>699</v>
      </c>
      <c r="R22" s="59" t="s">
        <v>700</v>
      </c>
      <c r="V22" s="170" t="s">
        <v>609</v>
      </c>
      <c r="AA22" s="1" t="str">
        <v>Fora da Linha</v>
      </c>
      <c r="AB22" s="1" t="s">
        <v>694</v>
      </c>
      <c r="AD22" s="83"/>
      <c r="AF22" s="83"/>
      <c r="AH22" s="83"/>
      <c r="AJ22" s="83"/>
      <c r="AL22" s="83"/>
    </row>
    <row r="23" spans="6:38">
      <c r="F23" s="68"/>
      <c r="H23" s="38" t="s">
        <v>659</v>
      </c>
      <c r="I23" s="58" t="s">
        <v>701</v>
      </c>
      <c r="K23" s="60" t="str">
        <v>Amil Espaço Saúde - Guarulhos </v>
      </c>
      <c r="M23" s="79" t="s">
        <v>645</v>
      </c>
      <c r="N23" s="150" t="s">
        <v>702</v>
      </c>
      <c r="R23" s="59" t="s">
        <v>703</v>
      </c>
      <c r="V23" s="170" t="s">
        <v>74</v>
      </c>
      <c r="AB23" s="1" t="s">
        <v>694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659</v>
      </c>
      <c r="I24" s="58" t="s">
        <v>704</v>
      </c>
      <c r="K24" s="60" t="str">
        <v>Amil Espaço Saúde - Niterói </v>
      </c>
      <c r="M24" s="79" t="s">
        <v>645</v>
      </c>
      <c r="N24" s="150" t="s">
        <v>705</v>
      </c>
      <c r="R24" s="61" t="s">
        <v>706</v>
      </c>
      <c r="V24" s="170" t="s">
        <v>431</v>
      </c>
      <c r="AD24" s="83"/>
      <c r="AF24" s="83"/>
      <c r="AH24" s="83"/>
      <c r="AJ24" s="83"/>
      <c r="AL24" s="83"/>
    </row>
    <row r="25" spans="6:38">
      <c r="F25" s="68"/>
      <c r="H25" s="38" t="s">
        <v>659</v>
      </c>
      <c r="I25" s="58" t="s">
        <v>707</v>
      </c>
      <c r="K25" s="60" t="str">
        <v>Amil Espaço Saúde - Nova Iguaçu </v>
      </c>
      <c r="M25" s="79" t="s">
        <v>645</v>
      </c>
      <c r="N25" s="150" t="s">
        <v>708</v>
      </c>
      <c r="V25" s="170" t="s">
        <v>610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659</v>
      </c>
      <c r="I26" s="58" t="s">
        <v>709</v>
      </c>
      <c r="K26" s="60" t="str">
        <v>Amil Espaço Saúde - Osasco </v>
      </c>
      <c r="M26" s="79" t="s">
        <v>645</v>
      </c>
      <c r="N26" s="150" t="s">
        <v>710</v>
      </c>
      <c r="V26" s="171" t="s">
        <v>611</v>
      </c>
      <c r="AD26" s="83"/>
      <c r="AF26" s="83"/>
      <c r="AH26" s="83"/>
      <c r="AJ26" s="83"/>
      <c r="AL26" s="83"/>
    </row>
    <row r="27" spans="6:38">
      <c r="F27" s="68"/>
      <c r="H27" s="38" t="s">
        <v>659</v>
      </c>
      <c r="I27" s="58" t="s">
        <v>711</v>
      </c>
      <c r="K27" s="60" t="str">
        <v>Amil Espaço Saúde - Santana </v>
      </c>
      <c r="M27" s="79" t="s">
        <v>645</v>
      </c>
      <c r="N27" s="150" t="s">
        <v>712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659</v>
      </c>
      <c r="I28" s="58" t="s">
        <v>713</v>
      </c>
      <c r="K28" s="60" t="str">
        <v>Amil Espaço Saúde - Tijuca </v>
      </c>
      <c r="M28" s="79" t="s">
        <v>645</v>
      </c>
      <c r="N28" s="150" t="s">
        <v>714</v>
      </c>
      <c r="Z28" s="1" t="s">
        <v>144</v>
      </c>
    </row>
    <row r="29" spans="6:38">
      <c r="F29" s="68"/>
      <c r="H29" s="38" t="s">
        <v>659</v>
      </c>
      <c r="I29" s="58" t="s">
        <v>715</v>
      </c>
      <c r="K29" s="60" t="str">
        <v>Amil Telemedicina </v>
      </c>
      <c r="M29" s="79" t="s">
        <v>645</v>
      </c>
      <c r="N29" s="150" t="s">
        <v>716</v>
      </c>
      <c r="Z29" s="1" t="s">
        <v>432</v>
      </c>
    </row>
    <row r="30" spans="6:38">
      <c r="F30" s="68"/>
      <c r="H30" s="38" t="s">
        <v>659</v>
      </c>
      <c r="I30" s="58" t="s">
        <v>717</v>
      </c>
      <c r="K30" s="60" t="str">
        <v>Centro Médico Jardim </v>
      </c>
      <c r="M30" s="79" t="s">
        <v>645</v>
      </c>
      <c r="N30" s="150" t="s">
        <v>718</v>
      </c>
      <c r="Z30" s="1" t="s">
        <v>61</v>
      </c>
    </row>
    <row r="31" spans="6:38">
      <c r="F31" s="68"/>
      <c r="H31" s="38" t="s">
        <v>659</v>
      </c>
      <c r="I31" s="58" t="s">
        <v>719</v>
      </c>
      <c r="K31" s="60" t="str">
        <v>Centro Médico Joao Azevedo - Sbc  II</v>
      </c>
      <c r="M31" s="79" t="s">
        <v>645</v>
      </c>
      <c r="N31" s="150" t="s">
        <v>720</v>
      </c>
      <c r="Z31" s="1" t="s">
        <v>579</v>
      </c>
    </row>
    <row r="32" spans="6:38">
      <c r="F32" s="68"/>
      <c r="H32" s="38" t="s">
        <v>659</v>
      </c>
      <c r="I32" s="58" t="s">
        <v>721</v>
      </c>
      <c r="K32" s="60" t="str">
        <v>Centro Médico João Azevedo - Sbc I  </v>
      </c>
      <c r="M32" s="79" t="s">
        <v>645</v>
      </c>
      <c r="N32" s="150" t="s">
        <v>722</v>
      </c>
    </row>
    <row r="33" spans="6:14">
      <c r="F33" s="68"/>
      <c r="H33" s="38" t="s">
        <v>659</v>
      </c>
      <c r="I33" s="58" t="s">
        <v>723</v>
      </c>
      <c r="K33" s="60" t="str">
        <v>Centro Médico Luiz Ferreira - Sbc </v>
      </c>
      <c r="M33" s="79" t="s">
        <v>645</v>
      </c>
      <c r="N33" s="150" t="s">
        <v>724</v>
      </c>
    </row>
    <row r="34" spans="6:14">
      <c r="F34" s="68"/>
      <c r="H34" s="38" t="s">
        <v>659</v>
      </c>
      <c r="I34" s="58" t="s">
        <v>725</v>
      </c>
      <c r="K34" s="60" t="str">
        <v>Centro Médico - Samaritano Higienópolis </v>
      </c>
      <c r="M34" s="79" t="s">
        <v>645</v>
      </c>
      <c r="N34" s="150" t="s">
        <v>726</v>
      </c>
    </row>
    <row r="35" spans="6:14">
      <c r="F35" s="68"/>
      <c r="H35" s="38" t="s">
        <v>659</v>
      </c>
      <c r="I35" s="58" t="s">
        <v>727</v>
      </c>
      <c r="K35" s="60" t="str">
        <v>Centro Médico Hospital São Lucas </v>
      </c>
      <c r="M35" s="79" t="s">
        <v>645</v>
      </c>
      <c r="N35" s="150" t="s">
        <v>728</v>
      </c>
    </row>
    <row r="36" spans="6:14">
      <c r="F36" s="68"/>
      <c r="H36" s="38" t="s">
        <v>659</v>
      </c>
      <c r="I36" s="58" t="s">
        <v>729</v>
      </c>
      <c r="K36" s="60" t="str">
        <v>Hospital Alvorada Ambulatório Arapanés </v>
      </c>
      <c r="M36" s="79" t="s">
        <v>645</v>
      </c>
      <c r="N36" s="150" t="s">
        <v>730</v>
      </c>
    </row>
    <row r="37" spans="6:14">
      <c r="F37" s="68"/>
      <c r="H37" s="38" t="s">
        <v>659</v>
      </c>
      <c r="I37" s="58" t="s">
        <v>731</v>
      </c>
      <c r="K37" s="60" t="str">
        <v>Hospital Alvorada Moema </v>
      </c>
      <c r="M37" s="79" t="s">
        <v>645</v>
      </c>
      <c r="N37" s="150" t="s">
        <v>732</v>
      </c>
    </row>
    <row r="38" spans="6:14">
      <c r="F38" s="68"/>
      <c r="H38" s="38" t="s">
        <v>659</v>
      </c>
      <c r="I38" s="58" t="s">
        <v>733</v>
      </c>
      <c r="K38" s="60" t="str">
        <v>Hospital Américas - Ambulatório </v>
      </c>
      <c r="M38" s="79" t="s">
        <v>645</v>
      </c>
      <c r="N38" s="150" t="s">
        <v>734</v>
      </c>
    </row>
    <row r="39" spans="6:14">
      <c r="F39" s="68"/>
      <c r="H39" s="38" t="s">
        <v>659</v>
      </c>
      <c r="I39" s="58" t="s">
        <v>735</v>
      </c>
      <c r="K39" s="60" t="str">
        <v>Hospital Samaritano Paulista - Ambulatório </v>
      </c>
      <c r="M39" s="79" t="s">
        <v>645</v>
      </c>
      <c r="N39" s="150" t="s">
        <v>736</v>
      </c>
    </row>
    <row r="40" spans="6:14">
      <c r="F40" s="68"/>
      <c r="H40" s="38" t="s">
        <v>659</v>
      </c>
      <c r="I40" s="58" t="s">
        <v>737</v>
      </c>
      <c r="K40" s="60" t="str">
        <v>Amil Espaço Saúde - Tatuapé</v>
      </c>
      <c r="M40" s="38" t="s">
        <v>659</v>
      </c>
      <c r="N40" s="58" t="s">
        <v>738</v>
      </c>
    </row>
    <row r="41" spans="6:14">
      <c r="F41" s="68"/>
      <c r="H41" s="38" t="s">
        <v>659</v>
      </c>
      <c r="I41" s="58" t="s">
        <v>739</v>
      </c>
      <c r="K41" s="60" t="str">
        <v>Amil Espaço Saúde - Santo Amaro</v>
      </c>
      <c r="M41" s="38" t="s">
        <v>659</v>
      </c>
      <c r="N41" s="58" t="s">
        <v>740</v>
      </c>
    </row>
    <row r="42" spans="6:14">
      <c r="F42" s="68"/>
      <c r="H42" s="38" t="s">
        <v>659</v>
      </c>
      <c r="I42" s="58" t="s">
        <v>741</v>
      </c>
      <c r="K42" s="60" t="str">
        <v>Amil Espaço Saúde - Guarulhos</v>
      </c>
      <c r="M42" s="38" t="s">
        <v>659</v>
      </c>
      <c r="N42" s="58" t="s">
        <v>742</v>
      </c>
    </row>
    <row r="43" spans="6:14">
      <c r="F43" s="68"/>
      <c r="H43" s="38" t="s">
        <v>659</v>
      </c>
      <c r="I43" s="58" t="s">
        <v>743</v>
      </c>
      <c r="K43" s="60" t="str">
        <v xml:space="preserve">Amil Espaço Saúde - Santa Helena </v>
      </c>
      <c r="M43" s="38" t="s">
        <v>659</v>
      </c>
      <c r="N43" s="58" t="s">
        <v>744</v>
      </c>
    </row>
    <row r="44" spans="6:14">
      <c r="F44" s="68"/>
      <c r="H44" s="38" t="s">
        <v>659</v>
      </c>
      <c r="I44" s="58" t="s">
        <v>745</v>
      </c>
      <c r="K44" s="60" t="str">
        <v>Hospital Samaritano - Não Especificado</v>
      </c>
      <c r="M44" s="38" t="s">
        <v>659</v>
      </c>
      <c r="N44" s="58" t="s">
        <v>746</v>
      </c>
    </row>
    <row r="45" spans="6:14">
      <c r="F45" s="68"/>
      <c r="H45" s="38" t="s">
        <v>659</v>
      </c>
      <c r="I45" s="58" t="s">
        <v>747</v>
      </c>
      <c r="K45" s="60" t="str">
        <v>SUS</v>
      </c>
      <c r="M45" s="38" t="s">
        <v>659</v>
      </c>
      <c r="N45" s="58" t="s">
        <v>748</v>
      </c>
    </row>
    <row r="46" spans="6:14">
      <c r="F46" s="68"/>
      <c r="H46" s="79" t="s">
        <v>645</v>
      </c>
      <c r="I46" s="149" t="s">
        <v>749</v>
      </c>
      <c r="K46" s="60"/>
      <c r="M46" s="38" t="s">
        <v>659</v>
      </c>
      <c r="N46" s="58" t="s">
        <v>750</v>
      </c>
    </row>
    <row r="47" spans="6:14">
      <c r="F47" s="68"/>
      <c r="H47" s="233" t="s">
        <v>659</v>
      </c>
      <c r="I47" s="234" t="s">
        <v>751</v>
      </c>
      <c r="K47" s="60"/>
      <c r="M47" s="38" t="s">
        <v>659</v>
      </c>
      <c r="N47" s="58" t="s">
        <v>752</v>
      </c>
    </row>
    <row r="48" spans="6:14">
      <c r="F48" s="68"/>
      <c r="H48" s="235" t="s">
        <v>645</v>
      </c>
      <c r="I48" s="236" t="s">
        <v>751</v>
      </c>
      <c r="K48" s="60"/>
      <c r="M48" s="38" t="s">
        <v>659</v>
      </c>
      <c r="N48" s="58" t="s">
        <v>753</v>
      </c>
    </row>
    <row r="49" spans="6:14">
      <c r="F49" s="68"/>
      <c r="I49" s="62"/>
      <c r="K49" s="60"/>
      <c r="M49" s="38" t="s">
        <v>659</v>
      </c>
      <c r="N49" s="58" t="s">
        <v>754</v>
      </c>
    </row>
    <row r="50" spans="6:14">
      <c r="F50" s="68"/>
      <c r="I50" s="62"/>
      <c r="K50" s="60"/>
      <c r="M50" s="38" t="s">
        <v>659</v>
      </c>
      <c r="N50" s="58" t="s">
        <v>755</v>
      </c>
    </row>
    <row r="51" spans="6:14">
      <c r="F51" s="68"/>
      <c r="I51" s="62"/>
      <c r="K51" s="60"/>
      <c r="M51" s="38" t="s">
        <v>659</v>
      </c>
      <c r="N51" s="58" t="s">
        <v>756</v>
      </c>
    </row>
    <row r="52" spans="6:14">
      <c r="F52" s="68"/>
      <c r="I52" s="62"/>
      <c r="K52" s="60"/>
      <c r="M52" s="38" t="s">
        <v>659</v>
      </c>
      <c r="N52" s="58" t="s">
        <v>757</v>
      </c>
    </row>
    <row r="53" spans="6:14">
      <c r="F53" s="68"/>
      <c r="I53" s="62"/>
      <c r="K53" s="60"/>
      <c r="M53" s="38" t="s">
        <v>659</v>
      </c>
      <c r="N53" s="58" t="s">
        <v>758</v>
      </c>
    </row>
    <row r="54" spans="6:14" ht="15" thickBot="1">
      <c r="F54" s="69"/>
      <c r="G54" s="64"/>
      <c r="H54" s="64"/>
      <c r="I54" s="65"/>
      <c r="K54" s="63"/>
      <c r="L54" s="64"/>
      <c r="M54" s="38" t="s">
        <v>659</v>
      </c>
      <c r="N54" s="58" t="s">
        <v>759</v>
      </c>
    </row>
    <row r="55" spans="6:14" ht="15" thickBot="1">
      <c r="M55" s="155" t="s">
        <v>659</v>
      </c>
      <c r="N55" s="156" t="s">
        <v>657</v>
      </c>
    </row>
    <row r="56" spans="6:14">
      <c r="M56" s="199" t="s">
        <v>645</v>
      </c>
      <c r="N56" s="200" t="s">
        <v>760</v>
      </c>
    </row>
    <row r="57" spans="6:14">
      <c r="M57" s="199" t="s">
        <v>645</v>
      </c>
      <c r="N57" s="200" t="s">
        <v>761</v>
      </c>
    </row>
    <row r="58" spans="6:14">
      <c r="M58" s="199" t="s">
        <v>645</v>
      </c>
      <c r="N58" s="200" t="s">
        <v>762</v>
      </c>
    </row>
    <row r="59" spans="6:14">
      <c r="M59" s="199" t="s">
        <v>645</v>
      </c>
      <c r="N59" s="201" t="s">
        <v>763</v>
      </c>
    </row>
    <row r="60" spans="6:14">
      <c r="M60" s="199" t="s">
        <v>645</v>
      </c>
      <c r="N60" s="202" t="s">
        <v>764</v>
      </c>
    </row>
    <row r="61" spans="6:14">
      <c r="M61" s="199" t="s">
        <v>645</v>
      </c>
      <c r="N61" s="202" t="s">
        <v>765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766</v>
      </c>
      <c r="AF1" s="15" t="s">
        <v>767</v>
      </c>
      <c r="AG1" s="16" t="s">
        <v>35</v>
      </c>
    </row>
    <row r="2" spans="1:33">
      <c r="A2" s="17" t="s">
        <v>47</v>
      </c>
      <c r="B2" s="3"/>
      <c r="C2" s="3" t="s">
        <v>768</v>
      </c>
      <c r="D2" s="18" t="s">
        <v>665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143</v>
      </c>
      <c r="R2" s="20"/>
      <c r="S2" s="20"/>
      <c r="T2" s="20" t="s">
        <v>60</v>
      </c>
      <c r="U2" s="20" t="s">
        <v>144</v>
      </c>
      <c r="V2" s="20"/>
      <c r="W2" s="20"/>
      <c r="X2" s="20"/>
      <c r="Y2" s="20"/>
      <c r="Z2" s="3" t="s">
        <v>108</v>
      </c>
      <c r="AA2" s="20"/>
      <c r="AB2" s="3" t="s">
        <v>628</v>
      </c>
      <c r="AC2" s="3"/>
      <c r="AD2" s="3" t="s">
        <v>116</v>
      </c>
      <c r="AE2" s="3"/>
      <c r="AF2" s="3" t="s">
        <v>769</v>
      </c>
      <c r="AG2" s="17" t="s">
        <v>146</v>
      </c>
    </row>
    <row r="3" spans="1:33">
      <c r="A3" s="17" t="s">
        <v>64</v>
      </c>
      <c r="B3" s="3"/>
      <c r="C3" s="3" t="s">
        <v>741</v>
      </c>
      <c r="D3" s="18" t="s">
        <v>633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589</v>
      </c>
      <c r="R3" s="3"/>
      <c r="S3" s="3"/>
      <c r="T3" s="3" t="s">
        <v>75</v>
      </c>
      <c r="U3" s="3" t="s">
        <v>432</v>
      </c>
      <c r="V3" s="3"/>
      <c r="W3" s="3"/>
      <c r="X3" s="3"/>
      <c r="Y3" s="3"/>
      <c r="Z3" s="3" t="s">
        <v>202</v>
      </c>
      <c r="AA3" s="3"/>
      <c r="AB3" s="3" t="s">
        <v>629</v>
      </c>
      <c r="AC3" s="3"/>
      <c r="AD3" s="3" t="s">
        <v>456</v>
      </c>
      <c r="AE3" s="3"/>
      <c r="AF3" s="3" t="s">
        <v>770</v>
      </c>
      <c r="AG3" s="17" t="s">
        <v>651</v>
      </c>
    </row>
    <row r="4" spans="1:33">
      <c r="A4" s="3"/>
      <c r="B4" s="3"/>
      <c r="C4" s="3" t="s">
        <v>771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591</v>
      </c>
      <c r="R4" s="3"/>
      <c r="S4" s="3"/>
      <c r="T4" s="3" t="s">
        <v>544</v>
      </c>
      <c r="U4" s="3"/>
      <c r="V4" s="3"/>
      <c r="W4" s="3"/>
      <c r="X4" s="3"/>
      <c r="Y4" s="3"/>
      <c r="Z4" s="3" t="s">
        <v>109</v>
      </c>
      <c r="AA4" s="3"/>
      <c r="AB4" s="21" t="s">
        <v>145</v>
      </c>
      <c r="AC4" s="3"/>
      <c r="AD4" s="3" t="s">
        <v>425</v>
      </c>
      <c r="AE4" s="3"/>
      <c r="AF4" s="3" t="s">
        <v>772</v>
      </c>
      <c r="AG4" s="17" t="s">
        <v>64</v>
      </c>
    </row>
    <row r="5" spans="1:33">
      <c r="M5" s="1"/>
      <c r="O5" s="1"/>
      <c r="Q5" s="22" t="s">
        <v>59</v>
      </c>
      <c r="AB5" s="3" t="s">
        <v>109</v>
      </c>
      <c r="AF5" t="s">
        <v>773</v>
      </c>
    </row>
    <row r="6" spans="1:33">
      <c r="M6" s="1"/>
      <c r="O6" s="1"/>
      <c r="Q6" s="23" t="s">
        <v>594</v>
      </c>
      <c r="AF6" t="s">
        <v>774</v>
      </c>
    </row>
    <row r="7" spans="1:33">
      <c r="M7" s="1"/>
      <c r="O7" s="1"/>
      <c r="Q7" s="23" t="s">
        <v>596</v>
      </c>
      <c r="AF7" t="s">
        <v>775</v>
      </c>
    </row>
    <row r="8" spans="1:33">
      <c r="M8" s="1"/>
      <c r="O8" s="1"/>
      <c r="Q8" s="23" t="s">
        <v>598</v>
      </c>
      <c r="AF8" t="s">
        <v>776</v>
      </c>
    </row>
    <row r="9" spans="1:33">
      <c r="M9" s="1"/>
      <c r="O9" s="1"/>
      <c r="Q9" s="23" t="s">
        <v>599</v>
      </c>
      <c r="AF9" t="s">
        <v>777</v>
      </c>
    </row>
    <row r="10" spans="1:33">
      <c r="M10" s="1"/>
      <c r="O10" s="1"/>
      <c r="Q10" s="23" t="s">
        <v>81</v>
      </c>
      <c r="AF10" t="s">
        <v>778</v>
      </c>
      <c r="AG10" t="s">
        <v>779</v>
      </c>
    </row>
    <row r="11" spans="1:33">
      <c r="M11" s="1"/>
      <c r="O11" s="1"/>
      <c r="Q11" s="23" t="s">
        <v>601</v>
      </c>
      <c r="AF11" t="s">
        <v>780</v>
      </c>
    </row>
    <row r="12" spans="1:33">
      <c r="M12" s="1"/>
      <c r="O12" s="1"/>
      <c r="Q12" s="23" t="s">
        <v>602</v>
      </c>
    </row>
    <row r="13" spans="1:33">
      <c r="M13" s="1"/>
      <c r="O13" s="1"/>
      <c r="Q13" s="23" t="s">
        <v>603</v>
      </c>
    </row>
    <row r="14" spans="1:33">
      <c r="M14" s="1"/>
      <c r="O14" s="1"/>
      <c r="Q14" s="23" t="s">
        <v>604</v>
      </c>
    </row>
    <row r="15" spans="1:33">
      <c r="M15" s="1"/>
      <c r="O15" s="1"/>
      <c r="Q15" s="23" t="s">
        <v>94</v>
      </c>
    </row>
    <row r="16" spans="1:33">
      <c r="M16" s="1"/>
      <c r="O16" s="1"/>
      <c r="Q16" s="23" t="s">
        <v>605</v>
      </c>
    </row>
    <row r="17" spans="13:33">
      <c r="M17" s="1"/>
      <c r="O17" s="1"/>
      <c r="Q17" s="23" t="s">
        <v>606</v>
      </c>
      <c r="AF17" t="s">
        <v>781</v>
      </c>
    </row>
    <row r="18" spans="13:33" ht="43.15">
      <c r="M18" s="1"/>
      <c r="O18" s="1"/>
      <c r="Q18" s="23" t="s">
        <v>349</v>
      </c>
      <c r="AF18" s="24" t="s">
        <v>767</v>
      </c>
      <c r="AG18" s="24" t="s">
        <v>782</v>
      </c>
    </row>
    <row r="19" spans="13:33">
      <c r="M19" s="1"/>
      <c r="O19" s="1"/>
      <c r="Q19" s="23" t="s">
        <v>607</v>
      </c>
      <c r="AF19" t="s">
        <v>783</v>
      </c>
      <c r="AG19" t="s">
        <v>47</v>
      </c>
    </row>
    <row r="20" spans="13:33">
      <c r="M20" s="1"/>
      <c r="O20" s="1"/>
      <c r="Q20" s="23" t="s">
        <v>200</v>
      </c>
      <c r="AF20" t="s">
        <v>784</v>
      </c>
      <c r="AG20" t="s">
        <v>64</v>
      </c>
    </row>
    <row r="21" spans="13:33">
      <c r="M21" s="1"/>
      <c r="O21" s="1"/>
      <c r="Q21" s="23" t="s">
        <v>608</v>
      </c>
      <c r="AG21" t="s">
        <v>469</v>
      </c>
    </row>
    <row r="22" spans="13:33">
      <c r="M22" s="1"/>
      <c r="O22" s="1"/>
      <c r="Q22" s="23" t="s">
        <v>609</v>
      </c>
    </row>
    <row r="23" spans="13:33">
      <c r="M23" s="1"/>
      <c r="O23" s="1"/>
      <c r="Q23" s="23" t="s">
        <v>74</v>
      </c>
    </row>
    <row r="24" spans="13:33">
      <c r="M24" s="1"/>
      <c r="O24" s="1"/>
      <c r="Q24" s="23" t="s">
        <v>431</v>
      </c>
    </row>
    <row r="25" spans="13:33">
      <c r="M25" s="1"/>
      <c r="O25" s="1"/>
      <c r="Q25" s="23" t="s">
        <v>610</v>
      </c>
    </row>
    <row r="26" spans="13:33">
      <c r="M26" s="1"/>
      <c r="O26" s="1"/>
      <c r="Q26" s="23" t="s">
        <v>611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EE90B0-5810-4985-9892-603D6D77939D}"/>
</file>

<file path=customXml/itemProps2.xml><?xml version="1.0" encoding="utf-8"?>
<ds:datastoreItem xmlns:ds="http://schemas.openxmlformats.org/officeDocument/2006/customXml" ds:itemID="{7C7276F3-723F-45C7-96FF-74194C59BEA3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2026-06-19T12:33:40Z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